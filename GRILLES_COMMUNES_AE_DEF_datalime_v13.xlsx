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10.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2.xml" ContentType="application/vnd.ms-excel.threadedcomments+xml"/>
  <Override PartName="/xl/threadedComments/threadedComment4.xml" ContentType="application/vnd.ms-excel.threadedcomments+xml"/>
  <Override PartName="/xl/threadedComments/threadedComment3.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4A977DAF-F910-4CC9-8B2B-C7D9BEF00F50}" xr6:coauthVersionLast="47" xr6:coauthVersionMax="47" xr10:uidLastSave="{00000000-0000-0000-0000-000000000000}"/>
  <bookViews>
    <workbookView xWindow="-28920" yWindow="3135" windowWidth="29040" windowHeight="15720" tabRatio="887" activeTab="1" xr2:uid="{00000000-000D-0000-FFFF-FFFF00000000}"/>
  </bookViews>
  <sheets>
    <sheet name="Descriptif" sheetId="30" r:id="rId1"/>
    <sheet name="SYNTHESE" sheetId="138" r:id="rId2"/>
    <sheet name="PARAM" sheetId="5" r:id="rId3"/>
    <sheet name="Recap_equipements" sheetId="97" r:id="rId4"/>
    <sheet name="Equipements" sheetId="98" r:id="rId5"/>
    <sheet name="Analytique" sheetId="137" r:id="rId6"/>
    <sheet name="Qualité" sheetId="51" r:id="rId7"/>
    <sheet name="A1_DO1_Q_Grav" sheetId="148" r:id="rId8"/>
    <sheet name="A2_P100_Q_Grav" sheetId="139" r:id="rId9"/>
    <sheet name="A3_P102_PREL" sheetId="142" r:id="rId10"/>
    <sheet name="A3_P102_Q_DEM" sheetId="140" r:id="rId11"/>
    <sheet name="A4_P103_PREL" sheetId="144" r:id="rId12"/>
    <sheet name="A4_P103_Q_Grav" sheetId="143" r:id="rId13"/>
    <sheet name="A4_P103_TEMP" sheetId="147" r:id="rId14"/>
    <sheet name="A6_P104_Q_DEM" sheetId="145" r:id="rId15"/>
    <sheet name="PLUVIO_SCL_aaa" sheetId="152" r:id="rId16"/>
    <sheet name="PLUVIO_SCL_ooo" sheetId="156" r:id="rId17"/>
    <sheet name="PLUVIO_STEU_ee" sheetId="151" r:id="rId18"/>
    <sheet name="PLUVIO_STEU_P1" sheetId="146" r:id="rId19"/>
    <sheet name="REX controleurs" sheetId="23" r:id="rId20"/>
    <sheet name="Controle_Pluvio_Thermo" sheetId="163" state="hidden" r:id="rId21"/>
    <sheet name="AnalysesComparatives" sheetId="162" state="hidden" r:id="rId22"/>
    <sheet name="SA_GRILLE_SCL" sheetId="161" state="hidden" r:id="rId23"/>
    <sheet name="AnalysesComparatives_SCL" sheetId="160" state="hidden" r:id="rId24"/>
    <sheet name="SYNTHESE_SCL" sheetId="159" state="hidden" r:id="rId25"/>
    <sheet name="SA_GRILLE_STEU" sheetId="158" state="hidden" r:id="rId26"/>
    <sheet name="Critères" sheetId="47" state="hidden" r:id="rId27"/>
    <sheet name="SeuilsComparaison-EMT" sheetId="8" state="hidden" r:id="rId28"/>
    <sheet name="LimitequantificationSDE" sheetId="9" state="hidden" r:id="rId29"/>
  </sheets>
  <externalReferences>
    <externalReference r:id="rId30"/>
    <externalReference r:id="rId31"/>
  </externalReferences>
  <definedNames>
    <definedName name="_xlnm._FilterDatabase" localSheetId="0" hidden="1">Descriptif!$E$32:$Q$32</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 localSheetId="8">PARAM!$B$44:$B$48</definedName>
    <definedName name="Conformité" localSheetId="12">PARAM!$B$44:$B$48</definedName>
    <definedName name="Conformité">PARAM!$B$44:$B$48</definedName>
    <definedName name="Eq_h_controle" localSheetId="7">PARAM!$C$30:$C$32</definedName>
    <definedName name="Eq_h_controle" localSheetId="8">PARAM!$C$30:$C$32</definedName>
    <definedName name="Eq_h_controle" localSheetId="12">PARAM!$C$30:$C$32</definedName>
    <definedName name="Eq_h_controle">PARAM!$C$30:$C$32</definedName>
    <definedName name="EQUIPEMENT_PREL" localSheetId="9">PARAM!$B$4:$B$6</definedName>
    <definedName name="EQUIPEMENT_PREL" localSheetId="11">PARAM!$B$4:$B$6</definedName>
    <definedName name="EQUIPEMENT_PREL">PARAM!$B$4:$B$6</definedName>
    <definedName name="EQUIPEMENT_Q">PARAM!$A$4:$A$15</definedName>
    <definedName name="Frequence" localSheetId="7">PARAM!$E$44:$E$51</definedName>
    <definedName name="Frequence" localSheetId="8">PARAM!$E$44:$E$51</definedName>
    <definedName name="Frequence" localSheetId="10">PARAM!$E$44:$E$51</definedName>
    <definedName name="Frequence" localSheetId="12">PARAM!$E$44:$E$51</definedName>
    <definedName name="Frequence" localSheetId="14">PARAM!$E$44:$E$51</definedName>
    <definedName name="Frequence">PARAM!$E$44:$E$51</definedName>
    <definedName name="LISTE_1" localSheetId="7">PARAM!$A$21:$A$22</definedName>
    <definedName name="LISTE_1" localSheetId="8">PARAM!$A$21:$A$22</definedName>
    <definedName name="LISTE_1" localSheetId="9">PARAM!$A$21:$A$22</definedName>
    <definedName name="LISTE_1" localSheetId="10">PARAM!$A$21:$A$22</definedName>
    <definedName name="LISTE_1" localSheetId="11">PARAM!$A$21:$A$22</definedName>
    <definedName name="LISTE_1" localSheetId="12">PARAM!$A$21:$A$22</definedName>
    <definedName name="LISTE_1" localSheetId="13">PARAM!$A$21:$A$22</definedName>
    <definedName name="LISTE_1" localSheetId="14">PARAM!$A$21:$A$22</definedName>
    <definedName name="LISTE_1" localSheetId="15">PARAM!$A$21:$A$22</definedName>
    <definedName name="LISTE_1" localSheetId="16">PARAM!$A$21:$A$22</definedName>
    <definedName name="LISTE_1" localSheetId="17">PARAM!$A$21:$A$22</definedName>
    <definedName name="LISTE_1" localSheetId="18">PARAM!$A$21:$A$22</definedName>
    <definedName name="LISTE_1">PARAM!$A$21:$A$22</definedName>
    <definedName name="LISTE_1_a" localSheetId="7">'[1]#REF'!#REF!</definedName>
    <definedName name="LISTE_1_a" localSheetId="12">'[1]#REF'!#REF!</definedName>
    <definedName name="LISTE_1_a" localSheetId="13">'[1]#REF'!#REF!</definedName>
    <definedName name="LISTE_1_a" localSheetId="15">'[1]#REF'!#REF!</definedName>
    <definedName name="LISTE_1_a" localSheetId="16">'[1]#REF'!#REF!</definedName>
    <definedName name="LISTE_1_a" localSheetId="17">'[1]#REF'!#REF!</definedName>
    <definedName name="LISTE_1_a" localSheetId="18">'[1]#REF'!#REF!</definedName>
    <definedName name="LISTE_1_a">'[1]#REF'!#REF!</definedName>
    <definedName name="LISTE_2" localSheetId="7">PARAM!$B$21:$B$23</definedName>
    <definedName name="LISTE_2" localSheetId="8">PARAM!$B$21:$B$23</definedName>
    <definedName name="LISTE_2" localSheetId="9">PARAM!$B$21:$B$23</definedName>
    <definedName name="LISTE_2" localSheetId="10">PARAM!$B$21:$B$23</definedName>
    <definedName name="LISTE_2" localSheetId="11">PARAM!$B$21:$B$23</definedName>
    <definedName name="LISTE_2" localSheetId="12">PARAM!$B$21:$B$23</definedName>
    <definedName name="LISTE_2" localSheetId="13">PARAM!$B$21:$B$23</definedName>
    <definedName name="LISTE_2" localSheetId="14">PARAM!$B$21:$B$23</definedName>
    <definedName name="LISTE_2" localSheetId="15">PARAM!$B$21:$B$23</definedName>
    <definedName name="LISTE_2" localSheetId="16">PARAM!$B$21:$B$23</definedName>
    <definedName name="LISTE_2" localSheetId="17">PARAM!$B$21:$B$23</definedName>
    <definedName name="LISTE_2" localSheetId="18">PARAM!$B$21:$B$23</definedName>
    <definedName name="LISTE_2">PARAM!$B$21:$B$23</definedName>
    <definedName name="LISTE_3" localSheetId="7">PARAM!$C$21:$C$24</definedName>
    <definedName name="LISTE_3" localSheetId="8">PARAM!$C$21:$C$24</definedName>
    <definedName name="LISTE_3" localSheetId="9">PARAM!$C$21:$C$24</definedName>
    <definedName name="LISTE_3" localSheetId="10">PARAM!$C$21:$C$24</definedName>
    <definedName name="LISTE_3" localSheetId="11">PARAM!$C$21:$C$24</definedName>
    <definedName name="LISTE_3" localSheetId="12">PARAM!$C$21:$C$24</definedName>
    <definedName name="LISTE_3" localSheetId="13">PARAM!$C$21:$C$24</definedName>
    <definedName name="LISTE_3" localSheetId="14">PARAM!$C$21:$C$24</definedName>
    <definedName name="LISTE_3" localSheetId="15">PARAM!$C$21:$C$24</definedName>
    <definedName name="LISTE_3" localSheetId="16">PARAM!$C$21:$C$24</definedName>
    <definedName name="LISTE_3" localSheetId="17">PARAM!$C$21:$C$24</definedName>
    <definedName name="LISTE_3" localSheetId="18">PARAM!$C$21:$C$24</definedName>
    <definedName name="LISTE_3">PARAM!$C$21:$C$24</definedName>
    <definedName name="LISTE_4" localSheetId="7">PARAM!$D$21:$D$26</definedName>
    <definedName name="LISTE_4" localSheetId="8">PARAM!$D$21:$D$26</definedName>
    <definedName name="LISTE_4" localSheetId="9">PARAM!$D$21:$D$26</definedName>
    <definedName name="LISTE_4" localSheetId="10">PARAM!$D$21:$D$26</definedName>
    <definedName name="LISTE_4" localSheetId="11">PARAM!$D$21:$D$26</definedName>
    <definedName name="LISTE_4" localSheetId="12">PARAM!$D$21:$D$26</definedName>
    <definedName name="LISTE_4" localSheetId="13">PARAM!$D$21:$D$26</definedName>
    <definedName name="LISTE_4" localSheetId="14">PARAM!$D$21:$D$26</definedName>
    <definedName name="LISTE_4" localSheetId="15">PARAM!$D$21:$D$26</definedName>
    <definedName name="LISTE_4" localSheetId="16">PARAM!$D$21:$D$26</definedName>
    <definedName name="LISTE_4" localSheetId="17">PARAM!$D$21:$D$26</definedName>
    <definedName name="LISTE_4" localSheetId="18">PARAM!$D$21:$D$26</definedName>
    <definedName name="LISTE_4">PARAM!$D$21:$D$26</definedName>
    <definedName name="LISTE_5">PARAM!$F$21:$F$24</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 localSheetId="7">PARAM!$A$55:$A$57</definedName>
    <definedName name="Méthode" localSheetId="8">PARAM!$A$55:$A$57</definedName>
    <definedName name="Méthode" localSheetId="12">PARAM!$A$55:$A$57</definedName>
    <definedName name="Méthode">PARAM!$A$55:$A$57</definedName>
    <definedName name="Montage_sonde" localSheetId="10">PARAM!$G$44:$G$47</definedName>
    <definedName name="Montage_sonde" localSheetId="14">PARAM!$G$44:$G$47</definedName>
    <definedName name="Montage_sonde">PARAM!$G$44:$G$47</definedName>
    <definedName name="PLUVIO_SCL">Descriptif!$E$23:$E$23</definedName>
    <definedName name="Print_Area" localSheetId="21">AnalysesComparatives!$A$1:$V$29</definedName>
    <definedName name="Print_Area" localSheetId="23">AnalysesComparatives_SCL!$A$1:$V$34</definedName>
    <definedName name="Print_Area" localSheetId="28">LimitequantificationSDE!$A$1:$F$21</definedName>
    <definedName name="Print_Area" localSheetId="27">'SeuilsComparaison-EMT'!$A$1:$K$29</definedName>
    <definedName name="Q_en_charge" localSheetId="10">PARAM!$A$30:$A$36</definedName>
    <definedName name="Q_en_charge" localSheetId="14">PARAM!$A$30:$A$36</definedName>
    <definedName name="Q_en_charge">PARAM!$A$30:$A$36</definedName>
    <definedName name="Q_Gravitaire" localSheetId="7">PARAM!$B$30:$B$39</definedName>
    <definedName name="Q_Gravitaire" localSheetId="8">PARAM!$B$30:$B$39</definedName>
    <definedName name="Q_Gravitaire" localSheetId="12">PARAM!$B$30:$B$39</definedName>
    <definedName name="Q_Gravitaire">PARAM!$B$30:$B$39</definedName>
    <definedName name="Satisfaction">PARAM!$D$44:$D$46</definedName>
    <definedName name="Type_capteur" localSheetId="7">PARAM!$C$44:$C$48</definedName>
    <definedName name="Type_capteur" localSheetId="8">PARAM!$C$44:$C$48</definedName>
    <definedName name="Type_capteur" localSheetId="12">PARAM!$C$44:$C$48</definedName>
    <definedName name="Type_capteur">PARAM!$C$44:$C$48</definedName>
    <definedName name="Type_equipement">PARAM!$C$4:$C$7</definedName>
    <definedName name="TypeDeMesure">PARAM!$B$55:$B$56</definedName>
    <definedName name="_xlnm.Print_Area" localSheetId="10">A3_P102_Q_DEM!$B$1:$S$54</definedName>
    <definedName name="_xlnm.Print_Area" localSheetId="13">A4_P103_TEMP!$B$1:$S$42</definedName>
    <definedName name="_xlnm.Print_Area" localSheetId="14">A6_P104_Q_DEM!$B$1:$S$54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5" i="138" l="1"/>
  <c r="M24" i="138"/>
  <c r="K31" i="138"/>
  <c r="Q27" i="137"/>
  <c r="K32" i="138"/>
  <c r="N28" i="138"/>
  <c r="O23" i="138"/>
  <c r="F90" i="97"/>
  <c r="AD4" i="137"/>
  <c r="AD5" i="137"/>
  <c r="AD7" i="137"/>
  <c r="AD18" i="137"/>
  <c r="AD19" i="137"/>
  <c r="AD20" i="137"/>
  <c r="AD21" i="137"/>
  <c r="AD24" i="137"/>
  <c r="AD25" i="137"/>
  <c r="AD3" i="137"/>
  <c r="B5" i="97"/>
  <c r="AC3" i="137"/>
  <c r="AB3" i="137"/>
  <c r="X4" i="137" a="1"/>
  <c r="X4" i="137" s="1"/>
  <c r="Y4" i="137" a="1"/>
  <c r="Y4" i="137" s="1"/>
  <c r="Z4" i="137" a="1"/>
  <c r="Z4" i="137" s="1"/>
  <c r="AA4" i="137" a="1"/>
  <c r="AA4" i="137" s="1"/>
  <c r="X5" i="137" a="1"/>
  <c r="X5" i="137" s="1"/>
  <c r="AB5" i="137" s="1"/>
  <c r="Y5" i="137" a="1"/>
  <c r="Y5" i="137" s="1"/>
  <c r="Z5" i="137" a="1"/>
  <c r="Z5" i="137" s="1"/>
  <c r="AA5" i="137" a="1"/>
  <c r="AA5" i="137" s="1"/>
  <c r="X6" i="137" a="1"/>
  <c r="X6" i="137" s="1"/>
  <c r="AB6" i="137" s="1"/>
  <c r="Y6" i="137" a="1"/>
  <c r="Y6" i="137" s="1"/>
  <c r="Z6" i="137" a="1"/>
  <c r="Z6" i="137" s="1"/>
  <c r="AA6" i="137" a="1"/>
  <c r="AA6" i="137" s="1"/>
  <c r="X7" i="137" a="1"/>
  <c r="X7" i="137" s="1"/>
  <c r="AB7" i="137" s="1"/>
  <c r="Y7" i="137" a="1"/>
  <c r="Y7" i="137" s="1"/>
  <c r="Z7" i="137" a="1"/>
  <c r="Z7" i="137" s="1"/>
  <c r="AA7" i="137" a="1"/>
  <c r="AA7" i="137" s="1"/>
  <c r="X8" i="137" a="1"/>
  <c r="X8" i="137" s="1"/>
  <c r="AB8" i="137" s="1"/>
  <c r="Y8" i="137" a="1"/>
  <c r="Y8" i="137" s="1"/>
  <c r="Z8" i="137" a="1"/>
  <c r="Z8" i="137" s="1"/>
  <c r="AA8" i="137" a="1"/>
  <c r="AA8" i="137" s="1"/>
  <c r="X9" i="137" a="1"/>
  <c r="X9" i="137" s="1"/>
  <c r="AB9" i="137" s="1"/>
  <c r="Y9" i="137" a="1"/>
  <c r="Y9" i="137" s="1"/>
  <c r="Z9" i="137" a="1"/>
  <c r="Z9" i="137" s="1"/>
  <c r="AA9" i="137" a="1"/>
  <c r="AA9" i="137" s="1"/>
  <c r="X10" i="137" a="1"/>
  <c r="X10" i="137" s="1"/>
  <c r="AB10" i="137" s="1"/>
  <c r="Y10" i="137" a="1"/>
  <c r="Y10" i="137" s="1"/>
  <c r="Z10" i="137" a="1"/>
  <c r="Z10" i="137" s="1"/>
  <c r="AA10" i="137" a="1"/>
  <c r="AA10" i="137" s="1"/>
  <c r="X11" i="137" a="1"/>
  <c r="X11" i="137" s="1"/>
  <c r="AB11" i="137" s="1"/>
  <c r="Y11" i="137" a="1"/>
  <c r="Y11" i="137" s="1"/>
  <c r="Z11" i="137" a="1"/>
  <c r="Z11" i="137" s="1"/>
  <c r="AA11" i="137" a="1"/>
  <c r="AA11" i="137" s="1"/>
  <c r="X12" i="137" a="1"/>
  <c r="X12" i="137" s="1"/>
  <c r="AB12" i="137" s="1"/>
  <c r="Y12" i="137" a="1"/>
  <c r="Y12" i="137" s="1"/>
  <c r="Z12" i="137" a="1"/>
  <c r="Z12" i="137" s="1"/>
  <c r="AA12" i="137" a="1"/>
  <c r="AA12" i="137" s="1"/>
  <c r="X13" i="137" a="1"/>
  <c r="X13" i="137" s="1"/>
  <c r="AB13" i="137" s="1"/>
  <c r="Y13" i="137" a="1"/>
  <c r="Y13" i="137" s="1"/>
  <c r="Z13" i="137" a="1"/>
  <c r="Z13" i="137" s="1"/>
  <c r="AA13" i="137" a="1"/>
  <c r="AA13" i="137" s="1"/>
  <c r="X14" i="137" a="1"/>
  <c r="X14" i="137" s="1"/>
  <c r="AB14" i="137" s="1"/>
  <c r="Y14" i="137" a="1"/>
  <c r="Y14" i="137" s="1"/>
  <c r="Z14" i="137" a="1"/>
  <c r="Z14" i="137" s="1"/>
  <c r="AA14" i="137" a="1"/>
  <c r="AA14" i="137" s="1"/>
  <c r="X15" i="137" a="1"/>
  <c r="X15" i="137" s="1"/>
  <c r="AB15" i="137" s="1"/>
  <c r="Y15" i="137" a="1"/>
  <c r="Y15" i="137" s="1"/>
  <c r="Z15" i="137" a="1"/>
  <c r="Z15" i="137" s="1"/>
  <c r="AA15" i="137" a="1"/>
  <c r="AA15" i="137" s="1"/>
  <c r="X16" i="137" a="1"/>
  <c r="X16" i="137" s="1"/>
  <c r="AD16" i="137" s="1"/>
  <c r="Y16" i="137" a="1"/>
  <c r="Y16" i="137" s="1"/>
  <c r="Z16" i="137" a="1"/>
  <c r="Z16" i="137" s="1"/>
  <c r="AA16" i="137" a="1"/>
  <c r="AA16" i="137" s="1"/>
  <c r="X17" i="137" a="1"/>
  <c r="X17" i="137" s="1"/>
  <c r="AB17" i="137" s="1"/>
  <c r="Y17" i="137" a="1"/>
  <c r="Y17" i="137" s="1"/>
  <c r="Z17" i="137" a="1"/>
  <c r="Z17" i="137" s="1"/>
  <c r="AA17" i="137" a="1"/>
  <c r="AA17" i="137" s="1"/>
  <c r="X18" i="137" a="1"/>
  <c r="X18" i="137" s="1"/>
  <c r="AB18" i="137" s="1"/>
  <c r="Y18" i="137" a="1"/>
  <c r="Y18" i="137" s="1"/>
  <c r="Z18" i="137" a="1"/>
  <c r="Z18" i="137" s="1"/>
  <c r="AA18" i="137" a="1"/>
  <c r="AA18" i="137" s="1"/>
  <c r="X19" i="137" a="1"/>
  <c r="X19" i="137" s="1"/>
  <c r="AB19" i="137" s="1"/>
  <c r="Y19" i="137" a="1"/>
  <c r="Y19" i="137" s="1"/>
  <c r="Z19" i="137" a="1"/>
  <c r="Z19" i="137" s="1"/>
  <c r="AA19" i="137" a="1"/>
  <c r="AA19" i="137" s="1"/>
  <c r="X20" i="137" a="1"/>
  <c r="X20" i="137" s="1"/>
  <c r="AB20" i="137" s="1"/>
  <c r="Y20" i="137" a="1"/>
  <c r="Y20" i="137" s="1"/>
  <c r="Z20" i="137" a="1"/>
  <c r="Z20" i="137" s="1"/>
  <c r="AA20" i="137" a="1"/>
  <c r="AA20" i="137" s="1"/>
  <c r="X21" i="137" a="1"/>
  <c r="X21" i="137" s="1"/>
  <c r="AB21" i="137" s="1"/>
  <c r="Y21" i="137" a="1"/>
  <c r="Y21" i="137" s="1"/>
  <c r="Z21" i="137" a="1"/>
  <c r="Z21" i="137" s="1"/>
  <c r="AA21" i="137" a="1"/>
  <c r="AA21" i="137" s="1"/>
  <c r="X22" i="137" a="1"/>
  <c r="X22" i="137" s="1"/>
  <c r="AC22" i="137" s="1"/>
  <c r="Y22" i="137" a="1"/>
  <c r="Y22" i="137" s="1"/>
  <c r="Z22" i="137" a="1"/>
  <c r="Z22" i="137" s="1"/>
  <c r="AA22" i="137" a="1"/>
  <c r="AA22" i="137" s="1"/>
  <c r="X23" i="137" a="1"/>
  <c r="X23" i="137" s="1"/>
  <c r="AB23" i="137" s="1"/>
  <c r="Y23" i="137" a="1"/>
  <c r="Y23" i="137" s="1"/>
  <c r="Z23" i="137" a="1"/>
  <c r="Z23" i="137" s="1"/>
  <c r="AA23" i="137" a="1"/>
  <c r="AA23" i="137" s="1"/>
  <c r="X24" i="137" a="1"/>
  <c r="X24" i="137" s="1"/>
  <c r="AC24" i="137" s="1"/>
  <c r="Y24" i="137" a="1"/>
  <c r="Y24" i="137" s="1"/>
  <c r="Z24" i="137" a="1"/>
  <c r="Z24" i="137" s="1"/>
  <c r="AA24" i="137" a="1"/>
  <c r="AA24" i="137" s="1"/>
  <c r="X25" i="137" a="1"/>
  <c r="X25" i="137" s="1"/>
  <c r="AB25" i="137" s="1"/>
  <c r="Y25" i="137" a="1"/>
  <c r="Y25" i="137" s="1"/>
  <c r="Z25" i="137" a="1"/>
  <c r="Z25" i="137" s="1"/>
  <c r="AA25" i="137" a="1"/>
  <c r="AA25" i="137" s="1"/>
  <c r="X26" i="137" a="1"/>
  <c r="X26" i="137" s="1"/>
  <c r="AB26" i="137" s="1"/>
  <c r="Y26" i="137" a="1"/>
  <c r="Y26" i="137" s="1"/>
  <c r="Z26" i="137" a="1"/>
  <c r="Z26" i="137" s="1"/>
  <c r="AA26" i="137" a="1"/>
  <c r="AA26" i="137" s="1"/>
  <c r="X27" i="137" a="1"/>
  <c r="X27" i="137" s="1"/>
  <c r="AB27" i="137" s="1"/>
  <c r="Y27" i="137" a="1"/>
  <c r="Y27" i="137" s="1"/>
  <c r="Z27" i="137" a="1"/>
  <c r="Z27" i="137" s="1"/>
  <c r="AA27" i="137" a="1"/>
  <c r="AA27" i="137" s="1"/>
  <c r="X28" i="137" a="1"/>
  <c r="X28" i="137" s="1"/>
  <c r="AB28" i="137" s="1"/>
  <c r="Y28" i="137" a="1"/>
  <c r="Y28" i="137" s="1"/>
  <c r="Z28" i="137" a="1"/>
  <c r="Z28" i="137" s="1"/>
  <c r="AA28" i="137" a="1"/>
  <c r="AA28" i="137" s="1"/>
  <c r="X29" i="137" a="1"/>
  <c r="X29" i="137" s="1"/>
  <c r="AB29" i="137" s="1"/>
  <c r="Y29" i="137" a="1"/>
  <c r="Y29" i="137" s="1"/>
  <c r="Z29" i="137" a="1"/>
  <c r="Z29" i="137" s="1"/>
  <c r="AA29" i="137" a="1"/>
  <c r="AA29" i="137" s="1"/>
  <c r="X30" i="137" a="1"/>
  <c r="X30" i="137" s="1"/>
  <c r="AB30" i="137" s="1"/>
  <c r="Y30" i="137" a="1"/>
  <c r="Y30" i="137" s="1"/>
  <c r="Z30" i="137" a="1"/>
  <c r="Z30" i="137" s="1"/>
  <c r="AA30" i="137" a="1"/>
  <c r="AA30" i="137" s="1"/>
  <c r="X31" i="137" a="1"/>
  <c r="X31" i="137" s="1"/>
  <c r="AB31" i="137" s="1"/>
  <c r="Y31" i="137" a="1"/>
  <c r="Y31" i="137" s="1"/>
  <c r="Z31" i="137" a="1"/>
  <c r="Z31" i="137" s="1"/>
  <c r="AA31" i="137" a="1"/>
  <c r="AA31" i="137" s="1"/>
  <c r="X32" i="137" a="1"/>
  <c r="X32" i="137" s="1"/>
  <c r="AC32" i="137" s="1"/>
  <c r="Y32" i="137" a="1"/>
  <c r="Y32" i="137" s="1"/>
  <c r="Z32" i="137" a="1"/>
  <c r="Z32" i="137" s="1"/>
  <c r="AA32" i="137" a="1"/>
  <c r="AA32" i="137" s="1"/>
  <c r="AA3" i="137" a="1"/>
  <c r="AA3" i="137" s="1"/>
  <c r="Z3" i="137" a="1"/>
  <c r="Z3" i="137" s="1"/>
  <c r="Y3" i="137" a="1"/>
  <c r="Y3" i="137" s="1"/>
  <c r="O85" i="137"/>
  <c r="M85" i="137"/>
  <c r="F85" i="137"/>
  <c r="O84" i="137"/>
  <c r="M84" i="137"/>
  <c r="F84" i="137"/>
  <c r="O83" i="137"/>
  <c r="M83" i="137"/>
  <c r="F83" i="137"/>
  <c r="O82" i="137"/>
  <c r="M82" i="137"/>
  <c r="F82" i="137"/>
  <c r="O81" i="137"/>
  <c r="M81" i="137"/>
  <c r="F81" i="137"/>
  <c r="O80" i="137"/>
  <c r="M80" i="137"/>
  <c r="F80" i="137"/>
  <c r="O79" i="137"/>
  <c r="M79" i="137"/>
  <c r="F79" i="137"/>
  <c r="O78" i="137"/>
  <c r="M78" i="137"/>
  <c r="F78" i="137"/>
  <c r="O77" i="137"/>
  <c r="M77" i="137"/>
  <c r="F77" i="137"/>
  <c r="O76" i="137"/>
  <c r="M76" i="137"/>
  <c r="F76" i="137"/>
  <c r="O75" i="137"/>
  <c r="M75" i="137"/>
  <c r="F75" i="137"/>
  <c r="O74" i="137"/>
  <c r="M74" i="137"/>
  <c r="F74" i="137"/>
  <c r="M73" i="137"/>
  <c r="O73" i="137" s="1"/>
  <c r="O71" i="137" s="1"/>
  <c r="F73" i="137"/>
  <c r="T71" i="137"/>
  <c r="U71" i="137" s="1"/>
  <c r="M71" i="137"/>
  <c r="AD22" i="137" l="1"/>
  <c r="AD14" i="137"/>
  <c r="AD13" i="137"/>
  <c r="AD12" i="137"/>
  <c r="AD23" i="137"/>
  <c r="AD17" i="137"/>
  <c r="AD11" i="137"/>
  <c r="AD32" i="137"/>
  <c r="AD10" i="137"/>
  <c r="AD31" i="137"/>
  <c r="AD9" i="137"/>
  <c r="AD30" i="137"/>
  <c r="AD8" i="137"/>
  <c r="AD29" i="137"/>
  <c r="AD28" i="137"/>
  <c r="AD6" i="137"/>
  <c r="AD15" i="137"/>
  <c r="AD27" i="137"/>
  <c r="AD26" i="137"/>
  <c r="AB24" i="137"/>
  <c r="AB22" i="137"/>
  <c r="AC23" i="137"/>
  <c r="AC21" i="137"/>
  <c r="AC25" i="137"/>
  <c r="AC19" i="137"/>
  <c r="AC13" i="137"/>
  <c r="AC9" i="137"/>
  <c r="AC5" i="137"/>
  <c r="AC12" i="137"/>
  <c r="AB4" i="137"/>
  <c r="AC4" i="137" s="1"/>
  <c r="AB32" i="137"/>
  <c r="AB16" i="137"/>
  <c r="AC16" i="137"/>
  <c r="AC18" i="137"/>
  <c r="AC17" i="137"/>
  <c r="AC11" i="137"/>
  <c r="AC10" i="137"/>
  <c r="AC14" i="137"/>
  <c r="AC30" i="137"/>
  <c r="AC8" i="137"/>
  <c r="AC31" i="137"/>
  <c r="AC29" i="137"/>
  <c r="AC7" i="137"/>
  <c r="AC28" i="137"/>
  <c r="AC6" i="137"/>
  <c r="AC27" i="137"/>
  <c r="AC20" i="137"/>
  <c r="AC15" i="137"/>
  <c r="AC26" i="137"/>
  <c r="W71" i="137"/>
  <c r="V71" i="137"/>
  <c r="L25" i="162" l="1"/>
  <c r="I25" i="162"/>
  <c r="L24" i="162"/>
  <c r="I24" i="162"/>
  <c r="L23" i="162"/>
  <c r="I23" i="162"/>
  <c r="R21" i="162"/>
  <c r="P16" i="162"/>
  <c r="M16" i="162"/>
  <c r="F16" i="162"/>
  <c r="D16" i="162"/>
  <c r="P15" i="162"/>
  <c r="M15" i="162"/>
  <c r="F15" i="162"/>
  <c r="D15" i="162"/>
  <c r="P14" i="162"/>
  <c r="M14" i="162"/>
  <c r="F14" i="162"/>
  <c r="D14" i="162"/>
  <c r="P13" i="162"/>
  <c r="M13" i="162"/>
  <c r="F13" i="162"/>
  <c r="D13" i="162"/>
  <c r="P12" i="162"/>
  <c r="M12" i="162"/>
  <c r="F12" i="162"/>
  <c r="D12" i="162"/>
  <c r="P11" i="162"/>
  <c r="M11" i="162"/>
  <c r="F11" i="162"/>
  <c r="D11" i="162"/>
  <c r="BG37" i="161"/>
  <c r="BB37" i="161"/>
  <c r="AW37" i="161"/>
  <c r="AR37" i="161"/>
  <c r="AM37" i="161"/>
  <c r="AH37" i="161"/>
  <c r="AC37" i="161"/>
  <c r="X37" i="161"/>
  <c r="S37" i="161"/>
  <c r="N37" i="161"/>
  <c r="I37" i="161"/>
  <c r="D37" i="161"/>
  <c r="BH34" i="161"/>
  <c r="BG34" i="161"/>
  <c r="BE34" i="161"/>
  <c r="BC34" i="161"/>
  <c r="BB34" i="161"/>
  <c r="AZ34" i="161"/>
  <c r="AX34" i="161"/>
  <c r="AW34" i="161"/>
  <c r="AU34" i="161"/>
  <c r="AS34" i="161"/>
  <c r="AR34" i="161"/>
  <c r="AP34" i="161"/>
  <c r="AN34" i="161"/>
  <c r="AM34" i="161"/>
  <c r="AK34" i="161"/>
  <c r="AI34" i="161"/>
  <c r="AH34" i="161"/>
  <c r="AF34" i="161"/>
  <c r="AD34" i="161"/>
  <c r="AC34" i="161"/>
  <c r="AA34" i="161"/>
  <c r="Y34" i="161"/>
  <c r="X34" i="161"/>
  <c r="V34" i="161"/>
  <c r="T34" i="161"/>
  <c r="S34" i="161"/>
  <c r="Q34" i="161"/>
  <c r="O34" i="161"/>
  <c r="N34" i="161"/>
  <c r="L34" i="161"/>
  <c r="J34" i="161"/>
  <c r="I34" i="161"/>
  <c r="G34" i="161"/>
  <c r="E34" i="161"/>
  <c r="D34" i="161"/>
  <c r="B34" i="161"/>
  <c r="BH33" i="161"/>
  <c r="BG33" i="161"/>
  <c r="BE33" i="161"/>
  <c r="BC33" i="161"/>
  <c r="BB33" i="161"/>
  <c r="AZ33" i="161"/>
  <c r="AX33" i="161"/>
  <c r="AW33" i="161"/>
  <c r="AU33" i="161"/>
  <c r="AS33" i="161"/>
  <c r="AR33" i="161"/>
  <c r="AP33" i="161"/>
  <c r="AN33" i="161"/>
  <c r="AM33" i="161"/>
  <c r="AK33" i="161"/>
  <c r="AI33" i="161"/>
  <c r="AH33" i="161"/>
  <c r="AF33" i="161"/>
  <c r="AD33" i="161"/>
  <c r="AC33" i="161"/>
  <c r="AA33" i="161"/>
  <c r="Y33" i="161"/>
  <c r="X33" i="161"/>
  <c r="V33" i="161"/>
  <c r="T33" i="161"/>
  <c r="S33" i="161"/>
  <c r="Q33" i="161"/>
  <c r="O33" i="161"/>
  <c r="N33" i="161"/>
  <c r="L33" i="161"/>
  <c r="J33" i="161"/>
  <c r="I33" i="161"/>
  <c r="G33" i="161"/>
  <c r="E33" i="161"/>
  <c r="D33" i="161"/>
  <c r="B33" i="161"/>
  <c r="BH32" i="161"/>
  <c r="BG32" i="161"/>
  <c r="BE32" i="161"/>
  <c r="BC32" i="161"/>
  <c r="BB32" i="161"/>
  <c r="AZ32" i="161"/>
  <c r="AX32" i="161"/>
  <c r="AW32" i="161"/>
  <c r="AU32" i="161"/>
  <c r="AS32" i="161"/>
  <c r="AR32" i="161"/>
  <c r="AP32" i="161"/>
  <c r="AN32" i="161"/>
  <c r="AM32" i="161"/>
  <c r="AK32" i="161"/>
  <c r="AI32" i="161"/>
  <c r="AH32" i="161"/>
  <c r="AF32" i="161"/>
  <c r="AD32" i="161"/>
  <c r="AC32" i="161"/>
  <c r="AA32" i="161"/>
  <c r="Y32" i="161"/>
  <c r="X32" i="161"/>
  <c r="V32" i="161"/>
  <c r="T32" i="161"/>
  <c r="S32" i="161"/>
  <c r="Q32" i="161"/>
  <c r="O32" i="161"/>
  <c r="N32" i="161"/>
  <c r="L32" i="161"/>
  <c r="J32" i="161"/>
  <c r="I32" i="161"/>
  <c r="G32" i="161"/>
  <c r="E32" i="161"/>
  <c r="D32" i="161"/>
  <c r="B32" i="161"/>
  <c r="BH31" i="161"/>
  <c r="BG31" i="161"/>
  <c r="BE31" i="161"/>
  <c r="BC31" i="161"/>
  <c r="BB31" i="161"/>
  <c r="AZ31" i="161"/>
  <c r="AX31" i="161"/>
  <c r="AW31" i="161"/>
  <c r="AU31" i="161"/>
  <c r="AS31" i="161"/>
  <c r="AR31" i="161"/>
  <c r="AP31" i="161"/>
  <c r="AN31" i="161"/>
  <c r="AM31" i="161"/>
  <c r="AK31" i="161"/>
  <c r="AI31" i="161"/>
  <c r="AH31" i="161"/>
  <c r="AF31" i="161"/>
  <c r="AD31" i="161"/>
  <c r="AC31" i="161"/>
  <c r="AA31" i="161"/>
  <c r="Y31" i="161"/>
  <c r="X31" i="161"/>
  <c r="V31" i="161"/>
  <c r="T31" i="161"/>
  <c r="S31" i="161"/>
  <c r="Q31" i="161"/>
  <c r="O31" i="161"/>
  <c r="N31" i="161"/>
  <c r="L31" i="161"/>
  <c r="J31" i="161"/>
  <c r="I31" i="161"/>
  <c r="G31" i="161"/>
  <c r="E31" i="161"/>
  <c r="D31" i="161"/>
  <c r="B31" i="161"/>
  <c r="BH30" i="161"/>
  <c r="BG30" i="161"/>
  <c r="BE30" i="161"/>
  <c r="BC30" i="161"/>
  <c r="BB30" i="161"/>
  <c r="AZ30" i="161"/>
  <c r="AX30" i="161"/>
  <c r="AW30" i="161"/>
  <c r="AU30" i="161"/>
  <c r="AS30" i="161"/>
  <c r="AR30" i="161"/>
  <c r="AP30" i="161"/>
  <c r="AN30" i="161"/>
  <c r="AM30" i="161"/>
  <c r="AK30" i="161"/>
  <c r="AI30" i="161"/>
  <c r="AH30" i="161"/>
  <c r="AF30" i="161"/>
  <c r="AD30" i="161"/>
  <c r="AC30" i="161"/>
  <c r="AA30" i="161"/>
  <c r="Y30" i="161"/>
  <c r="X30" i="161"/>
  <c r="V30" i="161"/>
  <c r="T30" i="161"/>
  <c r="S30" i="161"/>
  <c r="Q30" i="161"/>
  <c r="O30" i="161"/>
  <c r="N30" i="161"/>
  <c r="L30" i="161"/>
  <c r="J30" i="161"/>
  <c r="I30" i="161"/>
  <c r="G30" i="161"/>
  <c r="E30" i="161"/>
  <c r="D30" i="161"/>
  <c r="B30" i="161"/>
  <c r="BH29" i="161"/>
  <c r="BG29" i="161"/>
  <c r="BE29" i="161"/>
  <c r="BC29" i="161"/>
  <c r="BB29" i="161"/>
  <c r="AZ29" i="161"/>
  <c r="AX29" i="161"/>
  <c r="AW29" i="161"/>
  <c r="AU29" i="161"/>
  <c r="AS29" i="161"/>
  <c r="AR29" i="161"/>
  <c r="AP29" i="161"/>
  <c r="AN29" i="161"/>
  <c r="AM29" i="161"/>
  <c r="AK29" i="161"/>
  <c r="AI29" i="161"/>
  <c r="AH29" i="161"/>
  <c r="AF29" i="161"/>
  <c r="AD29" i="161"/>
  <c r="AC29" i="161"/>
  <c r="AA29" i="161"/>
  <c r="Y29" i="161"/>
  <c r="X29" i="161"/>
  <c r="V29" i="161"/>
  <c r="T29" i="161"/>
  <c r="S29" i="161"/>
  <c r="Q29" i="161"/>
  <c r="O29" i="161"/>
  <c r="N29" i="161"/>
  <c r="L29" i="161"/>
  <c r="J29" i="161"/>
  <c r="I29" i="161"/>
  <c r="G29" i="161"/>
  <c r="E29" i="161"/>
  <c r="D29" i="161"/>
  <c r="B29" i="161"/>
  <c r="BH28" i="161"/>
  <c r="BG28" i="161"/>
  <c r="BE28" i="161"/>
  <c r="BC28" i="161"/>
  <c r="BB28" i="161"/>
  <c r="AZ28" i="161"/>
  <c r="AX28" i="161"/>
  <c r="AW28" i="161"/>
  <c r="AU28" i="161"/>
  <c r="AS28" i="161"/>
  <c r="AR28" i="161"/>
  <c r="AP28" i="161"/>
  <c r="AN28" i="161"/>
  <c r="AM28" i="161"/>
  <c r="AK28" i="161"/>
  <c r="AI28" i="161"/>
  <c r="AH28" i="161"/>
  <c r="AF28" i="161"/>
  <c r="AD28" i="161"/>
  <c r="AC28" i="161"/>
  <c r="AA28" i="161"/>
  <c r="Y28" i="161"/>
  <c r="X28" i="161"/>
  <c r="V28" i="161"/>
  <c r="T28" i="161"/>
  <c r="S28" i="161"/>
  <c r="Q28" i="161"/>
  <c r="O28" i="161"/>
  <c r="N28" i="161"/>
  <c r="L28" i="161"/>
  <c r="J28" i="161"/>
  <c r="I28" i="161"/>
  <c r="G28" i="161"/>
  <c r="E28" i="161"/>
  <c r="D28" i="161"/>
  <c r="B28" i="161"/>
  <c r="BH27" i="161"/>
  <c r="BG27" i="161"/>
  <c r="BE27" i="161"/>
  <c r="BC27" i="161"/>
  <c r="BB27" i="161"/>
  <c r="AZ27" i="161"/>
  <c r="AX27" i="161"/>
  <c r="AW27" i="161"/>
  <c r="AU27" i="161"/>
  <c r="AS27" i="161"/>
  <c r="AR27" i="161"/>
  <c r="AP27" i="161"/>
  <c r="AN27" i="161"/>
  <c r="AM27" i="161"/>
  <c r="AK27" i="161"/>
  <c r="AI27" i="161"/>
  <c r="AH27" i="161"/>
  <c r="AF27" i="161"/>
  <c r="AD27" i="161"/>
  <c r="AC27" i="161"/>
  <c r="AA27" i="161"/>
  <c r="Y27" i="161"/>
  <c r="X27" i="161"/>
  <c r="V27" i="161"/>
  <c r="T27" i="161"/>
  <c r="S27" i="161"/>
  <c r="Q27" i="161"/>
  <c r="O27" i="161"/>
  <c r="N27" i="161"/>
  <c r="L27" i="161"/>
  <c r="J27" i="161"/>
  <c r="I27" i="161"/>
  <c r="G27" i="161"/>
  <c r="E27" i="161"/>
  <c r="D27" i="161"/>
  <c r="B27" i="161"/>
  <c r="BH26" i="161"/>
  <c r="BG26" i="161"/>
  <c r="BE26" i="161"/>
  <c r="BC26" i="161"/>
  <c r="BB26" i="161"/>
  <c r="AZ26" i="161"/>
  <c r="AX26" i="161"/>
  <c r="AW26" i="161"/>
  <c r="AU26" i="161"/>
  <c r="AS26" i="161"/>
  <c r="AR26" i="161"/>
  <c r="AP26" i="161"/>
  <c r="AN26" i="161"/>
  <c r="AM26" i="161"/>
  <c r="AK26" i="161"/>
  <c r="AI26" i="161"/>
  <c r="AH26" i="161"/>
  <c r="AF26" i="161"/>
  <c r="AD26" i="161"/>
  <c r="AC26" i="161"/>
  <c r="AA26" i="161"/>
  <c r="Y26" i="161"/>
  <c r="X26" i="161"/>
  <c r="V26" i="161"/>
  <c r="T26" i="161"/>
  <c r="S26" i="161"/>
  <c r="Q26" i="161"/>
  <c r="O26" i="161"/>
  <c r="N26" i="161"/>
  <c r="L26" i="161"/>
  <c r="J26" i="161"/>
  <c r="I26" i="161"/>
  <c r="G26" i="161"/>
  <c r="E26" i="161"/>
  <c r="D26" i="161"/>
  <c r="B26" i="161"/>
  <c r="BH25" i="161"/>
  <c r="BE25" i="161"/>
  <c r="BC25" i="161"/>
  <c r="AZ25" i="161"/>
  <c r="AX25" i="161"/>
  <c r="AU25" i="161"/>
  <c r="AS25" i="161"/>
  <c r="AP25" i="161"/>
  <c r="AN25" i="161"/>
  <c r="AK25" i="161"/>
  <c r="AI25" i="161"/>
  <c r="AF25" i="161"/>
  <c r="AD25" i="161"/>
  <c r="AA25" i="161"/>
  <c r="Y25" i="161"/>
  <c r="V25" i="161"/>
  <c r="T25" i="161"/>
  <c r="Q25" i="161"/>
  <c r="O25" i="161"/>
  <c r="L25" i="161"/>
  <c r="J25" i="161"/>
  <c r="G25" i="161"/>
  <c r="E25" i="161"/>
  <c r="B25" i="161"/>
  <c r="BG19" i="161"/>
  <c r="BB19" i="161"/>
  <c r="AW19" i="161"/>
  <c r="AR19" i="161"/>
  <c r="AM19" i="161"/>
  <c r="AH19" i="161"/>
  <c r="AC19" i="161"/>
  <c r="X19" i="161"/>
  <c r="S19" i="161"/>
  <c r="N19" i="161"/>
  <c r="I19" i="161"/>
  <c r="D19" i="161"/>
  <c r="BH17" i="161"/>
  <c r="BG17" i="161"/>
  <c r="BE17" i="161"/>
  <c r="BC17" i="161"/>
  <c r="BB17" i="161"/>
  <c r="AZ17" i="161"/>
  <c r="AX17" i="161"/>
  <c r="AW17" i="161"/>
  <c r="AU17" i="161"/>
  <c r="AS17" i="161"/>
  <c r="AR17" i="161"/>
  <c r="AP17" i="161"/>
  <c r="AN17" i="161"/>
  <c r="AM17" i="161"/>
  <c r="AK17" i="161"/>
  <c r="AI17" i="161"/>
  <c r="AH17" i="161"/>
  <c r="AF17" i="161"/>
  <c r="AD17" i="161"/>
  <c r="AC17" i="161"/>
  <c r="AA17" i="161"/>
  <c r="Y17" i="161"/>
  <c r="X17" i="161"/>
  <c r="V17" i="161"/>
  <c r="T17" i="161"/>
  <c r="S17" i="161"/>
  <c r="Q17" i="161"/>
  <c r="O17" i="161"/>
  <c r="N17" i="161"/>
  <c r="L17" i="161"/>
  <c r="J17" i="161"/>
  <c r="I17" i="161"/>
  <c r="G17" i="161"/>
  <c r="E17" i="161"/>
  <c r="D17" i="161"/>
  <c r="B17" i="161"/>
  <c r="BH16" i="161"/>
  <c r="BG16" i="161"/>
  <c r="BE16" i="161"/>
  <c r="BC16" i="161"/>
  <c r="BB16" i="161"/>
  <c r="AZ16" i="161"/>
  <c r="AX16" i="161"/>
  <c r="AW16" i="161"/>
  <c r="AU16" i="161"/>
  <c r="AS16" i="161"/>
  <c r="AR16" i="161"/>
  <c r="AP16" i="161"/>
  <c r="AN16" i="161"/>
  <c r="AM16" i="161"/>
  <c r="AK16" i="161"/>
  <c r="AI16" i="161"/>
  <c r="AH16" i="161"/>
  <c r="AF16" i="161"/>
  <c r="AD16" i="161"/>
  <c r="AC16" i="161"/>
  <c r="AA16" i="161"/>
  <c r="Y16" i="161"/>
  <c r="X16" i="161"/>
  <c r="V16" i="161"/>
  <c r="T16" i="161"/>
  <c r="S16" i="161"/>
  <c r="Q16" i="161"/>
  <c r="O16" i="161"/>
  <c r="N16" i="161"/>
  <c r="L16" i="161"/>
  <c r="J16" i="161"/>
  <c r="I16" i="161"/>
  <c r="G16" i="161"/>
  <c r="E16" i="161"/>
  <c r="D16" i="161"/>
  <c r="B16" i="161"/>
  <c r="BH15" i="161"/>
  <c r="BG15" i="161"/>
  <c r="BE15" i="161"/>
  <c r="BC15" i="161"/>
  <c r="BB15" i="161"/>
  <c r="AZ15" i="161"/>
  <c r="AX15" i="161"/>
  <c r="AW15" i="161"/>
  <c r="AU15" i="161"/>
  <c r="AS15" i="161"/>
  <c r="AR15" i="161"/>
  <c r="AP15" i="161"/>
  <c r="AN15" i="161"/>
  <c r="AM15" i="161"/>
  <c r="AK15" i="161"/>
  <c r="AI15" i="161"/>
  <c r="AH15" i="161"/>
  <c r="AF15" i="161"/>
  <c r="AD15" i="161"/>
  <c r="AC15" i="161"/>
  <c r="AA15" i="161"/>
  <c r="Y15" i="161"/>
  <c r="X15" i="161"/>
  <c r="V15" i="161"/>
  <c r="T15" i="161"/>
  <c r="S15" i="161"/>
  <c r="Q15" i="161"/>
  <c r="O15" i="161"/>
  <c r="N15" i="161"/>
  <c r="L15" i="161"/>
  <c r="J15" i="161"/>
  <c r="I15" i="161"/>
  <c r="G15" i="161"/>
  <c r="E15" i="161"/>
  <c r="D15" i="161"/>
  <c r="B15" i="161"/>
  <c r="BH14" i="161"/>
  <c r="BG14" i="161"/>
  <c r="BE14" i="161"/>
  <c r="BC14" i="161"/>
  <c r="BB14" i="161"/>
  <c r="AZ14" i="161"/>
  <c r="AX14" i="161"/>
  <c r="AW14" i="161"/>
  <c r="AU14" i="161"/>
  <c r="AS14" i="161"/>
  <c r="AR14" i="161"/>
  <c r="AP14" i="161"/>
  <c r="AN14" i="161"/>
  <c r="AM14" i="161"/>
  <c r="AK14" i="161"/>
  <c r="AI14" i="161"/>
  <c r="AH14" i="161"/>
  <c r="AF14" i="161"/>
  <c r="AD14" i="161"/>
  <c r="AC14" i="161"/>
  <c r="AA14" i="161"/>
  <c r="Y14" i="161"/>
  <c r="X14" i="161"/>
  <c r="V14" i="161"/>
  <c r="T14" i="161"/>
  <c r="S14" i="161"/>
  <c r="Q14" i="161"/>
  <c r="O14" i="161"/>
  <c r="N14" i="161"/>
  <c r="L14" i="161"/>
  <c r="J14" i="161"/>
  <c r="I14" i="161"/>
  <c r="G14" i="161"/>
  <c r="E14" i="161"/>
  <c r="D14" i="161"/>
  <c r="B14" i="161"/>
  <c r="BH13" i="161"/>
  <c r="BG13" i="161"/>
  <c r="BE13" i="161"/>
  <c r="BC13" i="161"/>
  <c r="BB13" i="161"/>
  <c r="AZ13" i="161"/>
  <c r="AX13" i="161"/>
  <c r="AW13" i="161"/>
  <c r="AU13" i="161"/>
  <c r="AS13" i="161"/>
  <c r="AR13" i="161"/>
  <c r="AP13" i="161"/>
  <c r="AN13" i="161"/>
  <c r="AM13" i="161"/>
  <c r="AK13" i="161"/>
  <c r="AI13" i="161"/>
  <c r="AH13" i="161"/>
  <c r="AF13" i="161"/>
  <c r="AD13" i="161"/>
  <c r="AC13" i="161"/>
  <c r="AA13" i="161"/>
  <c r="Y13" i="161"/>
  <c r="X13" i="161"/>
  <c r="V13" i="161"/>
  <c r="T13" i="161"/>
  <c r="S13" i="161"/>
  <c r="Q13" i="161"/>
  <c r="O13" i="161"/>
  <c r="N13" i="161"/>
  <c r="L13" i="161"/>
  <c r="J13" i="161"/>
  <c r="I13" i="161"/>
  <c r="G13" i="161"/>
  <c r="E13" i="161"/>
  <c r="D13" i="161"/>
  <c r="B13" i="161"/>
  <c r="BH12" i="161"/>
  <c r="BG12" i="161"/>
  <c r="BE12" i="161"/>
  <c r="BC12" i="161"/>
  <c r="BB12" i="161"/>
  <c r="AZ12" i="161"/>
  <c r="AX12" i="161"/>
  <c r="AW12" i="161"/>
  <c r="AU12" i="161"/>
  <c r="AS12" i="161"/>
  <c r="AR12" i="161"/>
  <c r="AP12" i="161"/>
  <c r="AN12" i="161"/>
  <c r="AM12" i="161"/>
  <c r="AK12" i="161"/>
  <c r="AI12" i="161"/>
  <c r="AH12" i="161"/>
  <c r="AF12" i="161"/>
  <c r="AD12" i="161"/>
  <c r="AC12" i="161"/>
  <c r="AA12" i="161"/>
  <c r="Y12" i="161"/>
  <c r="X12" i="161"/>
  <c r="V12" i="161"/>
  <c r="T12" i="161"/>
  <c r="S12" i="161"/>
  <c r="Q12" i="161"/>
  <c r="O12" i="161"/>
  <c r="N12" i="161"/>
  <c r="L12" i="161"/>
  <c r="J12" i="161"/>
  <c r="I12" i="161"/>
  <c r="G12" i="161"/>
  <c r="E12" i="161"/>
  <c r="D12" i="161"/>
  <c r="B12" i="161"/>
  <c r="BH11" i="161"/>
  <c r="BG11" i="161"/>
  <c r="BE11" i="161"/>
  <c r="BC11" i="161"/>
  <c r="BB11" i="161"/>
  <c r="AZ11" i="161"/>
  <c r="AX11" i="161"/>
  <c r="AW11" i="161"/>
  <c r="AU11" i="161"/>
  <c r="AS11" i="161"/>
  <c r="AR11" i="161"/>
  <c r="AP11" i="161"/>
  <c r="AN11" i="161"/>
  <c r="AM11" i="161"/>
  <c r="AK11" i="161"/>
  <c r="AI11" i="161"/>
  <c r="AH11" i="161"/>
  <c r="AF11" i="161"/>
  <c r="AD11" i="161"/>
  <c r="AC11" i="161"/>
  <c r="AA11" i="161"/>
  <c r="Y11" i="161"/>
  <c r="X11" i="161"/>
  <c r="V11" i="161"/>
  <c r="T11" i="161"/>
  <c r="S11" i="161"/>
  <c r="Q11" i="161"/>
  <c r="O11" i="161"/>
  <c r="N11" i="161"/>
  <c r="L11" i="161"/>
  <c r="J11" i="161"/>
  <c r="I11" i="161"/>
  <c r="G11" i="161"/>
  <c r="E11" i="161"/>
  <c r="D11" i="161"/>
  <c r="B11" i="161"/>
  <c r="BH10" i="161"/>
  <c r="BG10" i="161"/>
  <c r="BE10" i="161"/>
  <c r="BC10" i="161"/>
  <c r="BB10" i="161"/>
  <c r="AZ10" i="161"/>
  <c r="AX10" i="161"/>
  <c r="AW10" i="161"/>
  <c r="AU10" i="161"/>
  <c r="AS10" i="161"/>
  <c r="AR10" i="161"/>
  <c r="AP10" i="161"/>
  <c r="AN10" i="161"/>
  <c r="AM10" i="161"/>
  <c r="AK10" i="161"/>
  <c r="AI10" i="161"/>
  <c r="AH10" i="161"/>
  <c r="AF10" i="161"/>
  <c r="AD10" i="161"/>
  <c r="AC10" i="161"/>
  <c r="AA10" i="161"/>
  <c r="Y10" i="161"/>
  <c r="X10" i="161"/>
  <c r="V10" i="161"/>
  <c r="T10" i="161"/>
  <c r="S10" i="161"/>
  <c r="Q10" i="161"/>
  <c r="O10" i="161"/>
  <c r="N10" i="161"/>
  <c r="L10" i="161"/>
  <c r="J10" i="161"/>
  <c r="I10" i="161"/>
  <c r="G10" i="161"/>
  <c r="E10" i="161"/>
  <c r="D10" i="161"/>
  <c r="B10" i="161"/>
  <c r="BH9" i="161"/>
  <c r="BG9" i="161"/>
  <c r="BE9" i="161"/>
  <c r="BC9" i="161"/>
  <c r="BB9" i="161"/>
  <c r="AZ9" i="161"/>
  <c r="AX9" i="161"/>
  <c r="AW9" i="161"/>
  <c r="AU9" i="161"/>
  <c r="AS9" i="161"/>
  <c r="AR9" i="161"/>
  <c r="AP9" i="161"/>
  <c r="AN9" i="161"/>
  <c r="AM9" i="161"/>
  <c r="AK9" i="161"/>
  <c r="AI9" i="161"/>
  <c r="AH9" i="161"/>
  <c r="AF9" i="161"/>
  <c r="AD9" i="161"/>
  <c r="AC9" i="161"/>
  <c r="AA9" i="161"/>
  <c r="Y9" i="161"/>
  <c r="X9" i="161"/>
  <c r="V9" i="161"/>
  <c r="T9" i="161"/>
  <c r="S9" i="161"/>
  <c r="Q9" i="161"/>
  <c r="O9" i="161"/>
  <c r="N9" i="161"/>
  <c r="L9" i="161"/>
  <c r="J9" i="161"/>
  <c r="I9" i="161"/>
  <c r="G9" i="161"/>
  <c r="E9" i="161"/>
  <c r="D9" i="161"/>
  <c r="B9" i="161"/>
  <c r="BH8" i="161"/>
  <c r="BE8" i="161"/>
  <c r="BC8" i="161"/>
  <c r="AZ8" i="161"/>
  <c r="AX8" i="161"/>
  <c r="AU8" i="161"/>
  <c r="AS8" i="161"/>
  <c r="AP8" i="161"/>
  <c r="AN8" i="161"/>
  <c r="AK8" i="161"/>
  <c r="AI8" i="161"/>
  <c r="AF8" i="161"/>
  <c r="AD8" i="161"/>
  <c r="AA8" i="161"/>
  <c r="Y8" i="161"/>
  <c r="V8" i="161"/>
  <c r="T8" i="161"/>
  <c r="Q8" i="161"/>
  <c r="O8" i="161"/>
  <c r="L8" i="161"/>
  <c r="J8" i="161"/>
  <c r="G8" i="161"/>
  <c r="E8" i="161"/>
  <c r="B8" i="161"/>
  <c r="P29" i="160"/>
  <c r="M29" i="160"/>
  <c r="F29" i="160"/>
  <c r="D29" i="160"/>
  <c r="P28" i="160"/>
  <c r="M28" i="160"/>
  <c r="F28" i="160"/>
  <c r="D28" i="160"/>
  <c r="P27" i="160"/>
  <c r="M27" i="160"/>
  <c r="F27" i="160"/>
  <c r="D27" i="160"/>
  <c r="P26" i="160"/>
  <c r="M26" i="160"/>
  <c r="F26" i="160"/>
  <c r="D26" i="160"/>
  <c r="P25" i="160"/>
  <c r="M25" i="160"/>
  <c r="F25" i="160"/>
  <c r="D25" i="160"/>
  <c r="P24" i="160"/>
  <c r="M24" i="160"/>
  <c r="F24" i="160"/>
  <c r="D24" i="160"/>
  <c r="R11" i="160"/>
  <c r="R10" i="160"/>
  <c r="R9" i="160"/>
  <c r="R7" i="160"/>
  <c r="J4" i="160"/>
  <c r="J3" i="160"/>
  <c r="K57" i="159"/>
  <c r="I57" i="159"/>
  <c r="G57" i="159"/>
  <c r="F57" i="159"/>
  <c r="K56" i="159"/>
  <c r="J56" i="159"/>
  <c r="I56" i="159"/>
  <c r="E21" i="159" s="1" a="1"/>
  <c r="E21" i="159" s="1"/>
  <c r="G56" i="159"/>
  <c r="F56" i="159"/>
  <c r="D56" i="159"/>
  <c r="C56" i="159"/>
  <c r="C57" i="159" s="1"/>
  <c r="K55" i="159"/>
  <c r="I55" i="159"/>
  <c r="G55" i="159"/>
  <c r="F55" i="159"/>
  <c r="K54" i="159"/>
  <c r="J54" i="159"/>
  <c r="I54" i="159"/>
  <c r="E20" i="159" s="1" a="1"/>
  <c r="E20" i="159" s="1"/>
  <c r="G54" i="159"/>
  <c r="F54" i="159"/>
  <c r="D54" i="159"/>
  <c r="C54" i="159"/>
  <c r="C55" i="159" s="1"/>
  <c r="K53" i="159"/>
  <c r="I53" i="159"/>
  <c r="G53" i="159"/>
  <c r="F53" i="159"/>
  <c r="K52" i="159"/>
  <c r="J52" i="159"/>
  <c r="I52" i="159"/>
  <c r="E19" i="159" s="1" a="1"/>
  <c r="E19" i="159" s="1"/>
  <c r="G52" i="159"/>
  <c r="F52" i="159"/>
  <c r="D52" i="159"/>
  <c r="C52" i="159"/>
  <c r="C53" i="159" s="1"/>
  <c r="K51" i="159"/>
  <c r="I51" i="159"/>
  <c r="G51" i="159"/>
  <c r="F51" i="159"/>
  <c r="K50" i="159"/>
  <c r="J50" i="159"/>
  <c r="I50" i="159"/>
  <c r="E18" i="159" s="1" a="1"/>
  <c r="E18" i="159" s="1"/>
  <c r="G50" i="159"/>
  <c r="F50" i="159"/>
  <c r="D50" i="159"/>
  <c r="C50" i="159"/>
  <c r="C51" i="159" s="1"/>
  <c r="K49" i="159"/>
  <c r="I49" i="159"/>
  <c r="G49" i="159"/>
  <c r="F49" i="159"/>
  <c r="K48" i="159"/>
  <c r="J48" i="159"/>
  <c r="I48" i="159"/>
  <c r="G48" i="159"/>
  <c r="F48" i="159"/>
  <c r="D48" i="159"/>
  <c r="C48" i="159"/>
  <c r="C49" i="159" s="1"/>
  <c r="K47" i="159"/>
  <c r="I47" i="159"/>
  <c r="G47" i="159"/>
  <c r="F47" i="159"/>
  <c r="K46" i="159"/>
  <c r="J46" i="159"/>
  <c r="I46" i="159"/>
  <c r="G46" i="159"/>
  <c r="F46" i="159"/>
  <c r="D46" i="159"/>
  <c r="C46" i="159"/>
  <c r="C47" i="159" s="1"/>
  <c r="K45" i="159"/>
  <c r="I45" i="159"/>
  <c r="G45" i="159"/>
  <c r="F45" i="159"/>
  <c r="K44" i="159"/>
  <c r="J44" i="159"/>
  <c r="I44" i="159"/>
  <c r="E15" i="159" s="1" a="1"/>
  <c r="E15" i="159" s="1"/>
  <c r="G44" i="159"/>
  <c r="F44" i="159"/>
  <c r="D44" i="159"/>
  <c r="C44" i="159"/>
  <c r="C45" i="159" s="1"/>
  <c r="K43" i="159"/>
  <c r="I43" i="159"/>
  <c r="G43" i="159"/>
  <c r="F43" i="159"/>
  <c r="K42" i="159"/>
  <c r="J42" i="159"/>
  <c r="I42" i="159"/>
  <c r="E14" i="159" s="1" a="1"/>
  <c r="E14" i="159" s="1"/>
  <c r="G42" i="159"/>
  <c r="F42" i="159"/>
  <c r="D42" i="159"/>
  <c r="C42" i="159"/>
  <c r="C43" i="159" s="1"/>
  <c r="K41" i="159"/>
  <c r="I41" i="159"/>
  <c r="G41" i="159"/>
  <c r="F41" i="159"/>
  <c r="K40" i="159"/>
  <c r="J40" i="159"/>
  <c r="I40" i="159"/>
  <c r="E13" i="159" s="1" a="1"/>
  <c r="E13" i="159" s="1"/>
  <c r="G40" i="159"/>
  <c r="F40" i="159"/>
  <c r="D40" i="159"/>
  <c r="C40" i="159"/>
  <c r="C41" i="159" s="1"/>
  <c r="K39" i="159"/>
  <c r="I39" i="159"/>
  <c r="G39" i="159"/>
  <c r="F39" i="159"/>
  <c r="K38" i="159"/>
  <c r="J38" i="159"/>
  <c r="G38" i="159"/>
  <c r="F38" i="159"/>
  <c r="D38" i="159"/>
  <c r="C38" i="159"/>
  <c r="C39" i="159" s="1"/>
  <c r="K37" i="159"/>
  <c r="I37" i="159"/>
  <c r="G37" i="159"/>
  <c r="F37" i="159"/>
  <c r="K36" i="159"/>
  <c r="J36" i="159"/>
  <c r="I36" i="159"/>
  <c r="G36" i="159"/>
  <c r="F36" i="159"/>
  <c r="D36" i="159"/>
  <c r="C36" i="159"/>
  <c r="C37" i="159" s="1"/>
  <c r="K35" i="159"/>
  <c r="I35" i="159"/>
  <c r="G35" i="159"/>
  <c r="F35" i="159"/>
  <c r="K34" i="159"/>
  <c r="J34" i="159"/>
  <c r="I34" i="159"/>
  <c r="G34" i="159"/>
  <c r="F34" i="159"/>
  <c r="D34" i="159"/>
  <c r="C34" i="159"/>
  <c r="M18" i="159"/>
  <c r="J18" i="159"/>
  <c r="I18" i="159"/>
  <c r="H18" i="159"/>
  <c r="D6" i="159"/>
  <c r="D5" i="159"/>
  <c r="D4" i="159"/>
  <c r="BG37" i="158"/>
  <c r="BB37" i="158"/>
  <c r="AW37" i="158"/>
  <c r="AR37" i="158"/>
  <c r="AM37" i="158"/>
  <c r="AH37" i="158"/>
  <c r="AC37" i="158"/>
  <c r="X37" i="158"/>
  <c r="S37" i="158"/>
  <c r="N37" i="158"/>
  <c r="I37" i="158"/>
  <c r="D37" i="158"/>
  <c r="BH34" i="158"/>
  <c r="BG34" i="158"/>
  <c r="BE34" i="158"/>
  <c r="BC34" i="158"/>
  <c r="BB34" i="158"/>
  <c r="AZ34" i="158"/>
  <c r="AX34" i="158"/>
  <c r="AW34" i="158"/>
  <c r="AU34" i="158"/>
  <c r="AS34" i="158"/>
  <c r="AR34" i="158"/>
  <c r="AP34" i="158"/>
  <c r="AN34" i="158"/>
  <c r="AM34" i="158"/>
  <c r="AK34" i="158"/>
  <c r="AI34" i="158"/>
  <c r="AH34" i="158"/>
  <c r="AF34" i="158"/>
  <c r="AD34" i="158"/>
  <c r="AC34" i="158"/>
  <c r="AA34" i="158"/>
  <c r="Y34" i="158"/>
  <c r="X34" i="158"/>
  <c r="V34" i="158"/>
  <c r="T34" i="158"/>
  <c r="S34" i="158"/>
  <c r="Q34" i="158"/>
  <c r="O34" i="158"/>
  <c r="N34" i="158"/>
  <c r="L34" i="158"/>
  <c r="J34" i="158"/>
  <c r="I34" i="158"/>
  <c r="G34" i="158"/>
  <c r="E34" i="158"/>
  <c r="D34" i="158"/>
  <c r="B34" i="158"/>
  <c r="BH33" i="158"/>
  <c r="BG33" i="158"/>
  <c r="BE33" i="158"/>
  <c r="BC33" i="158"/>
  <c r="BB33" i="158"/>
  <c r="AZ33" i="158"/>
  <c r="AX33" i="158"/>
  <c r="AW33" i="158"/>
  <c r="AU33" i="158"/>
  <c r="AS33" i="158"/>
  <c r="AR33" i="158"/>
  <c r="AP33" i="158"/>
  <c r="AN33" i="158"/>
  <c r="AM33" i="158"/>
  <c r="AK33" i="158"/>
  <c r="AI33" i="158"/>
  <c r="AH33" i="158"/>
  <c r="AF33" i="158"/>
  <c r="AD33" i="158"/>
  <c r="AC33" i="158"/>
  <c r="AA33" i="158"/>
  <c r="Y33" i="158"/>
  <c r="X33" i="158"/>
  <c r="V33" i="158"/>
  <c r="T33" i="158"/>
  <c r="S33" i="158"/>
  <c r="Q33" i="158"/>
  <c r="O33" i="158"/>
  <c r="N33" i="158"/>
  <c r="L33" i="158"/>
  <c r="J33" i="158"/>
  <c r="I33" i="158"/>
  <c r="G33" i="158"/>
  <c r="E33" i="158"/>
  <c r="D33" i="158"/>
  <c r="B33" i="158"/>
  <c r="BH32" i="158"/>
  <c r="BG32" i="158"/>
  <c r="BE32" i="158"/>
  <c r="BC32" i="158"/>
  <c r="BB32" i="158"/>
  <c r="AZ32" i="158"/>
  <c r="AX32" i="158"/>
  <c r="AW32" i="158"/>
  <c r="AU32" i="158"/>
  <c r="AS32" i="158"/>
  <c r="AR32" i="158"/>
  <c r="AP32" i="158"/>
  <c r="AN32" i="158"/>
  <c r="AM32" i="158"/>
  <c r="AK32" i="158"/>
  <c r="AI32" i="158"/>
  <c r="AH32" i="158"/>
  <c r="AF32" i="158"/>
  <c r="AD32" i="158"/>
  <c r="AC32" i="158"/>
  <c r="AA32" i="158"/>
  <c r="Y32" i="158"/>
  <c r="X32" i="158"/>
  <c r="V32" i="158"/>
  <c r="T32" i="158"/>
  <c r="S32" i="158"/>
  <c r="Q32" i="158"/>
  <c r="O32" i="158"/>
  <c r="N32" i="158"/>
  <c r="L32" i="158"/>
  <c r="J32" i="158"/>
  <c r="I32" i="158"/>
  <c r="G32" i="158"/>
  <c r="E32" i="158"/>
  <c r="D32" i="158"/>
  <c r="B32" i="158"/>
  <c r="BH31" i="158"/>
  <c r="BG31" i="158"/>
  <c r="BE31" i="158"/>
  <c r="BC31" i="158"/>
  <c r="BB31" i="158"/>
  <c r="AZ31" i="158"/>
  <c r="AX31" i="158"/>
  <c r="AW31" i="158"/>
  <c r="AU31" i="158"/>
  <c r="AS31" i="158"/>
  <c r="AR31" i="158"/>
  <c r="AP31" i="158"/>
  <c r="AN31" i="158"/>
  <c r="AM31" i="158"/>
  <c r="AK31" i="158"/>
  <c r="AI31" i="158"/>
  <c r="AH31" i="158"/>
  <c r="AF31" i="158"/>
  <c r="AD31" i="158"/>
  <c r="AC31" i="158"/>
  <c r="AA31" i="158"/>
  <c r="Y31" i="158"/>
  <c r="X31" i="158"/>
  <c r="V31" i="158"/>
  <c r="T31" i="158"/>
  <c r="S31" i="158"/>
  <c r="Q31" i="158"/>
  <c r="O31" i="158"/>
  <c r="N31" i="158"/>
  <c r="L31" i="158"/>
  <c r="J31" i="158"/>
  <c r="I31" i="158"/>
  <c r="G31" i="158"/>
  <c r="E31" i="158"/>
  <c r="D31" i="158"/>
  <c r="B31" i="158"/>
  <c r="BH30" i="158"/>
  <c r="BG30" i="158"/>
  <c r="BE30" i="158"/>
  <c r="BC30" i="158"/>
  <c r="BB30" i="158"/>
  <c r="AZ30" i="158"/>
  <c r="AX30" i="158"/>
  <c r="AW30" i="158"/>
  <c r="AU30" i="158"/>
  <c r="AS30" i="158"/>
  <c r="AR30" i="158"/>
  <c r="AP30" i="158"/>
  <c r="AN30" i="158"/>
  <c r="AM30" i="158"/>
  <c r="AK30" i="158"/>
  <c r="AI30" i="158"/>
  <c r="AH30" i="158"/>
  <c r="AF30" i="158"/>
  <c r="AD30" i="158"/>
  <c r="AC30" i="158"/>
  <c r="AA30" i="158"/>
  <c r="Y30" i="158"/>
  <c r="X30" i="158"/>
  <c r="V30" i="158"/>
  <c r="T30" i="158"/>
  <c r="S30" i="158"/>
  <c r="Q30" i="158"/>
  <c r="O30" i="158"/>
  <c r="N30" i="158"/>
  <c r="L30" i="158"/>
  <c r="J30" i="158"/>
  <c r="I30" i="158"/>
  <c r="G30" i="158"/>
  <c r="E30" i="158"/>
  <c r="D30" i="158"/>
  <c r="B30" i="158"/>
  <c r="BH29" i="158"/>
  <c r="BG29" i="158"/>
  <c r="BE29" i="158"/>
  <c r="BC29" i="158"/>
  <c r="BB29" i="158"/>
  <c r="AZ29" i="158"/>
  <c r="AX29" i="158"/>
  <c r="AW29" i="158"/>
  <c r="AU29" i="158"/>
  <c r="AS29" i="158"/>
  <c r="AR29" i="158"/>
  <c r="AP29" i="158"/>
  <c r="AN29" i="158"/>
  <c r="AM29" i="158"/>
  <c r="AK29" i="158"/>
  <c r="AI29" i="158"/>
  <c r="AH29" i="158"/>
  <c r="AF29" i="158"/>
  <c r="AD29" i="158"/>
  <c r="AC29" i="158"/>
  <c r="AA29" i="158"/>
  <c r="Y29" i="158"/>
  <c r="X29" i="158"/>
  <c r="V29" i="158"/>
  <c r="T29" i="158"/>
  <c r="S29" i="158"/>
  <c r="Q29" i="158"/>
  <c r="O29" i="158"/>
  <c r="N29" i="158"/>
  <c r="L29" i="158"/>
  <c r="J29" i="158"/>
  <c r="I29" i="158"/>
  <c r="G29" i="158"/>
  <c r="E29" i="158"/>
  <c r="D29" i="158"/>
  <c r="B29" i="158"/>
  <c r="BH28" i="158"/>
  <c r="BG28" i="158"/>
  <c r="BE28" i="158"/>
  <c r="BC28" i="158"/>
  <c r="BB28" i="158"/>
  <c r="AZ28" i="158"/>
  <c r="AX28" i="158"/>
  <c r="AW28" i="158"/>
  <c r="AU28" i="158"/>
  <c r="AS28" i="158"/>
  <c r="AR28" i="158"/>
  <c r="AP28" i="158"/>
  <c r="AN28" i="158"/>
  <c r="AM28" i="158"/>
  <c r="AK28" i="158"/>
  <c r="AI28" i="158"/>
  <c r="AH28" i="158"/>
  <c r="AF28" i="158"/>
  <c r="AD28" i="158"/>
  <c r="AC28" i="158"/>
  <c r="AA28" i="158"/>
  <c r="Y28" i="158"/>
  <c r="X28" i="158"/>
  <c r="V28" i="158"/>
  <c r="T28" i="158"/>
  <c r="S28" i="158"/>
  <c r="Q28" i="158"/>
  <c r="O28" i="158"/>
  <c r="N28" i="158"/>
  <c r="L28" i="158"/>
  <c r="J28" i="158"/>
  <c r="I28" i="158"/>
  <c r="G28" i="158"/>
  <c r="E28" i="158"/>
  <c r="D28" i="158"/>
  <c r="B28" i="158"/>
  <c r="BH27" i="158"/>
  <c r="BG27" i="158"/>
  <c r="BE27" i="158"/>
  <c r="BC27" i="158"/>
  <c r="BB27" i="158"/>
  <c r="AZ27" i="158"/>
  <c r="AX27" i="158"/>
  <c r="AW27" i="158"/>
  <c r="AU27" i="158"/>
  <c r="AS27" i="158"/>
  <c r="AR27" i="158"/>
  <c r="AP27" i="158"/>
  <c r="AN27" i="158"/>
  <c r="AM27" i="158"/>
  <c r="AK27" i="158"/>
  <c r="AI27" i="158"/>
  <c r="AH27" i="158"/>
  <c r="AF27" i="158"/>
  <c r="AD27" i="158"/>
  <c r="AC27" i="158"/>
  <c r="AA27" i="158"/>
  <c r="Y27" i="158"/>
  <c r="X27" i="158"/>
  <c r="V27" i="158"/>
  <c r="T27" i="158"/>
  <c r="S27" i="158"/>
  <c r="Q27" i="158"/>
  <c r="O27" i="158"/>
  <c r="N27" i="158"/>
  <c r="L27" i="158"/>
  <c r="J27" i="158"/>
  <c r="I27" i="158"/>
  <c r="G27" i="158"/>
  <c r="E27" i="158"/>
  <c r="D27" i="158"/>
  <c r="B27" i="158"/>
  <c r="BH26" i="158"/>
  <c r="BG26" i="158"/>
  <c r="BE26" i="158"/>
  <c r="BC26" i="158"/>
  <c r="BB26" i="158"/>
  <c r="AZ26" i="158"/>
  <c r="AX26" i="158"/>
  <c r="AW26" i="158"/>
  <c r="AU26" i="158"/>
  <c r="AS26" i="158"/>
  <c r="AR26" i="158"/>
  <c r="AP26" i="158"/>
  <c r="AN26" i="158"/>
  <c r="AM26" i="158"/>
  <c r="AK26" i="158"/>
  <c r="AI26" i="158"/>
  <c r="AH26" i="158"/>
  <c r="AF26" i="158"/>
  <c r="AD26" i="158"/>
  <c r="AC26" i="158"/>
  <c r="AA26" i="158"/>
  <c r="Y26" i="158"/>
  <c r="X26" i="158"/>
  <c r="V26" i="158"/>
  <c r="T26" i="158"/>
  <c r="S26" i="158"/>
  <c r="Q26" i="158"/>
  <c r="O26" i="158"/>
  <c r="N26" i="158"/>
  <c r="L26" i="158"/>
  <c r="J26" i="158"/>
  <c r="I26" i="158"/>
  <c r="G26" i="158"/>
  <c r="E26" i="158"/>
  <c r="D26" i="158"/>
  <c r="B26" i="158"/>
  <c r="BH25" i="158"/>
  <c r="BE25" i="158"/>
  <c r="BC25" i="158"/>
  <c r="AZ25" i="158"/>
  <c r="AX25" i="158"/>
  <c r="AU25" i="158"/>
  <c r="AS25" i="158"/>
  <c r="AP25" i="158"/>
  <c r="AN25" i="158"/>
  <c r="AK25" i="158"/>
  <c r="AI25" i="158"/>
  <c r="AF25" i="158"/>
  <c r="AD25" i="158"/>
  <c r="AA25" i="158"/>
  <c r="Y25" i="158"/>
  <c r="V25" i="158"/>
  <c r="T25" i="158"/>
  <c r="Q25" i="158"/>
  <c r="O25" i="158"/>
  <c r="L25" i="158"/>
  <c r="J25" i="158"/>
  <c r="G25" i="158"/>
  <c r="E25" i="158"/>
  <c r="B25" i="158"/>
  <c r="BG19" i="158"/>
  <c r="BB19" i="158"/>
  <c r="AW19" i="158"/>
  <c r="AR19" i="158"/>
  <c r="AM19" i="158"/>
  <c r="AH19" i="158"/>
  <c r="AC19" i="158"/>
  <c r="X19" i="158"/>
  <c r="S19" i="158"/>
  <c r="N19" i="158"/>
  <c r="I19" i="158"/>
  <c r="D19" i="158"/>
  <c r="BH17" i="158"/>
  <c r="BG17" i="158"/>
  <c r="BE17" i="158"/>
  <c r="BC17" i="158"/>
  <c r="BB17" i="158"/>
  <c r="AZ17" i="158"/>
  <c r="AX17" i="158"/>
  <c r="AW17" i="158"/>
  <c r="AU17" i="158"/>
  <c r="AS17" i="158"/>
  <c r="AR17" i="158"/>
  <c r="AP17" i="158"/>
  <c r="AN17" i="158"/>
  <c r="AM17" i="158"/>
  <c r="AK17" i="158"/>
  <c r="AI17" i="158"/>
  <c r="AH17" i="158"/>
  <c r="AF17" i="158"/>
  <c r="AD17" i="158"/>
  <c r="AC17" i="158"/>
  <c r="AA17" i="158"/>
  <c r="Y17" i="158"/>
  <c r="X17" i="158"/>
  <c r="V17" i="158"/>
  <c r="T17" i="158"/>
  <c r="S17" i="158"/>
  <c r="Q17" i="158"/>
  <c r="O17" i="158"/>
  <c r="N17" i="158"/>
  <c r="L17" i="158"/>
  <c r="J17" i="158"/>
  <c r="I17" i="158"/>
  <c r="G17" i="158"/>
  <c r="E17" i="158"/>
  <c r="D17" i="158"/>
  <c r="B17" i="158"/>
  <c r="BH16" i="158"/>
  <c r="BG16" i="158"/>
  <c r="BE16" i="158"/>
  <c r="BC16" i="158"/>
  <c r="BB16" i="158"/>
  <c r="AZ16" i="158"/>
  <c r="AX16" i="158"/>
  <c r="AW16" i="158"/>
  <c r="AU16" i="158"/>
  <c r="AS16" i="158"/>
  <c r="AR16" i="158"/>
  <c r="AP16" i="158"/>
  <c r="AN16" i="158"/>
  <c r="AM16" i="158"/>
  <c r="AK16" i="158"/>
  <c r="AI16" i="158"/>
  <c r="AH16" i="158"/>
  <c r="AF16" i="158"/>
  <c r="AD16" i="158"/>
  <c r="AC16" i="158"/>
  <c r="AA16" i="158"/>
  <c r="Y16" i="158"/>
  <c r="X16" i="158"/>
  <c r="V16" i="158"/>
  <c r="T16" i="158"/>
  <c r="S16" i="158"/>
  <c r="Q16" i="158"/>
  <c r="O16" i="158"/>
  <c r="N16" i="158"/>
  <c r="L16" i="158"/>
  <c r="J16" i="158"/>
  <c r="I16" i="158"/>
  <c r="G16" i="158"/>
  <c r="E16" i="158"/>
  <c r="D16" i="158"/>
  <c r="B16" i="158"/>
  <c r="BH15" i="158"/>
  <c r="BG15" i="158"/>
  <c r="BE15" i="158"/>
  <c r="BC15" i="158"/>
  <c r="BB15" i="158"/>
  <c r="AZ15" i="158"/>
  <c r="AX15" i="158"/>
  <c r="AW15" i="158"/>
  <c r="AU15" i="158"/>
  <c r="AS15" i="158"/>
  <c r="AR15" i="158"/>
  <c r="AP15" i="158"/>
  <c r="AN15" i="158"/>
  <c r="AM15" i="158"/>
  <c r="AK15" i="158"/>
  <c r="AI15" i="158"/>
  <c r="AH15" i="158"/>
  <c r="AF15" i="158"/>
  <c r="AD15" i="158"/>
  <c r="AC15" i="158"/>
  <c r="AA15" i="158"/>
  <c r="Y15" i="158"/>
  <c r="X15" i="158"/>
  <c r="V15" i="158"/>
  <c r="T15" i="158"/>
  <c r="S15" i="158"/>
  <c r="Q15" i="158"/>
  <c r="O15" i="158"/>
  <c r="N15" i="158"/>
  <c r="L15" i="158"/>
  <c r="J15" i="158"/>
  <c r="I15" i="158"/>
  <c r="G15" i="158"/>
  <c r="E15" i="158"/>
  <c r="D15" i="158"/>
  <c r="B15" i="158"/>
  <c r="BH14" i="158"/>
  <c r="BG14" i="158"/>
  <c r="BE14" i="158"/>
  <c r="BC14" i="158"/>
  <c r="BB14" i="158"/>
  <c r="AZ14" i="158"/>
  <c r="AX14" i="158"/>
  <c r="AW14" i="158"/>
  <c r="AU14" i="158"/>
  <c r="AS14" i="158"/>
  <c r="AR14" i="158"/>
  <c r="AP14" i="158"/>
  <c r="AN14" i="158"/>
  <c r="AM14" i="158"/>
  <c r="AK14" i="158"/>
  <c r="AI14" i="158"/>
  <c r="AH14" i="158"/>
  <c r="AF14" i="158"/>
  <c r="AD14" i="158"/>
  <c r="AC14" i="158"/>
  <c r="AA14" i="158"/>
  <c r="Y14" i="158"/>
  <c r="X14" i="158"/>
  <c r="V14" i="158"/>
  <c r="T14" i="158"/>
  <c r="S14" i="158"/>
  <c r="Q14" i="158"/>
  <c r="O14" i="158"/>
  <c r="N14" i="158"/>
  <c r="L14" i="158"/>
  <c r="J14" i="158"/>
  <c r="I14" i="158"/>
  <c r="G14" i="158"/>
  <c r="E14" i="158"/>
  <c r="D14" i="158"/>
  <c r="B14" i="158"/>
  <c r="BH13" i="158"/>
  <c r="BG13" i="158"/>
  <c r="BE13" i="158"/>
  <c r="BC13" i="158"/>
  <c r="BB13" i="158"/>
  <c r="AZ13" i="158"/>
  <c r="AX13" i="158"/>
  <c r="AW13" i="158"/>
  <c r="AU13" i="158"/>
  <c r="AS13" i="158"/>
  <c r="AR13" i="158"/>
  <c r="AP13" i="158"/>
  <c r="AN13" i="158"/>
  <c r="AM13" i="158"/>
  <c r="AK13" i="158"/>
  <c r="AI13" i="158"/>
  <c r="AH13" i="158"/>
  <c r="AF13" i="158"/>
  <c r="AD13" i="158"/>
  <c r="AC13" i="158"/>
  <c r="AA13" i="158"/>
  <c r="Y13" i="158"/>
  <c r="X13" i="158"/>
  <c r="V13" i="158"/>
  <c r="T13" i="158"/>
  <c r="S13" i="158"/>
  <c r="Q13" i="158"/>
  <c r="O13" i="158"/>
  <c r="N13" i="158"/>
  <c r="L13" i="158"/>
  <c r="J13" i="158"/>
  <c r="I13" i="158"/>
  <c r="G13" i="158"/>
  <c r="E13" i="158"/>
  <c r="D13" i="158"/>
  <c r="B13" i="158"/>
  <c r="BH12" i="158"/>
  <c r="BG12" i="158"/>
  <c r="BE12" i="158"/>
  <c r="BC12" i="158"/>
  <c r="BB12" i="158"/>
  <c r="AZ12" i="158"/>
  <c r="AX12" i="158"/>
  <c r="AW12" i="158"/>
  <c r="AU12" i="158"/>
  <c r="AS12" i="158"/>
  <c r="AR12" i="158"/>
  <c r="AP12" i="158"/>
  <c r="AN12" i="158"/>
  <c r="AM12" i="158"/>
  <c r="AK12" i="158"/>
  <c r="AI12" i="158"/>
  <c r="AH12" i="158"/>
  <c r="AF12" i="158"/>
  <c r="AD12" i="158"/>
  <c r="AC12" i="158"/>
  <c r="AA12" i="158"/>
  <c r="Y12" i="158"/>
  <c r="X12" i="158"/>
  <c r="V12" i="158"/>
  <c r="T12" i="158"/>
  <c r="S12" i="158"/>
  <c r="Q12" i="158"/>
  <c r="O12" i="158"/>
  <c r="N12" i="158"/>
  <c r="L12" i="158"/>
  <c r="J12" i="158"/>
  <c r="I12" i="158"/>
  <c r="G12" i="158"/>
  <c r="E12" i="158"/>
  <c r="D12" i="158"/>
  <c r="B12" i="158"/>
  <c r="BH11" i="158"/>
  <c r="BG11" i="158"/>
  <c r="BE11" i="158"/>
  <c r="BC11" i="158"/>
  <c r="BB11" i="158"/>
  <c r="AZ11" i="158"/>
  <c r="AX11" i="158"/>
  <c r="AW11" i="158"/>
  <c r="AU11" i="158"/>
  <c r="AS11" i="158"/>
  <c r="AR11" i="158"/>
  <c r="AP11" i="158"/>
  <c r="AN11" i="158"/>
  <c r="AM11" i="158"/>
  <c r="AK11" i="158"/>
  <c r="AI11" i="158"/>
  <c r="AH11" i="158"/>
  <c r="AF11" i="158"/>
  <c r="AD11" i="158"/>
  <c r="AC11" i="158"/>
  <c r="AA11" i="158"/>
  <c r="Y11" i="158"/>
  <c r="X11" i="158"/>
  <c r="V11" i="158"/>
  <c r="T11" i="158"/>
  <c r="S11" i="158"/>
  <c r="Q11" i="158"/>
  <c r="O11" i="158"/>
  <c r="N11" i="158"/>
  <c r="L11" i="158"/>
  <c r="J11" i="158"/>
  <c r="I11" i="158"/>
  <c r="G11" i="158"/>
  <c r="E11" i="158"/>
  <c r="D11" i="158"/>
  <c r="B11" i="158"/>
  <c r="BH10" i="158"/>
  <c r="BG10" i="158"/>
  <c r="BE10" i="158"/>
  <c r="BC10" i="158"/>
  <c r="BB10" i="158"/>
  <c r="AZ10" i="158"/>
  <c r="AX10" i="158"/>
  <c r="AW10" i="158"/>
  <c r="AU10" i="158"/>
  <c r="AS10" i="158"/>
  <c r="AR10" i="158"/>
  <c r="AP10" i="158"/>
  <c r="AN10" i="158"/>
  <c r="AM10" i="158"/>
  <c r="AK10" i="158"/>
  <c r="AI10" i="158"/>
  <c r="AH10" i="158"/>
  <c r="AF10" i="158"/>
  <c r="AD10" i="158"/>
  <c r="AC10" i="158"/>
  <c r="AA10" i="158"/>
  <c r="Y10" i="158"/>
  <c r="X10" i="158"/>
  <c r="V10" i="158"/>
  <c r="T10" i="158"/>
  <c r="S10" i="158"/>
  <c r="Q10" i="158"/>
  <c r="O10" i="158"/>
  <c r="N10" i="158"/>
  <c r="L10" i="158"/>
  <c r="J10" i="158"/>
  <c r="I10" i="158"/>
  <c r="G10" i="158"/>
  <c r="E10" i="158"/>
  <c r="D10" i="158"/>
  <c r="B10" i="158"/>
  <c r="BH9" i="158"/>
  <c r="BG9" i="158"/>
  <c r="BE9" i="158"/>
  <c r="BC9" i="158"/>
  <c r="BB9" i="158"/>
  <c r="AZ9" i="158"/>
  <c r="AX9" i="158"/>
  <c r="AW9" i="158"/>
  <c r="AU9" i="158"/>
  <c r="AS9" i="158"/>
  <c r="AR9" i="158"/>
  <c r="AP9" i="158"/>
  <c r="AN9" i="158"/>
  <c r="AM9" i="158"/>
  <c r="AK9" i="158"/>
  <c r="AI9" i="158"/>
  <c r="AH9" i="158"/>
  <c r="AF9" i="158"/>
  <c r="AD9" i="158"/>
  <c r="AC9" i="158"/>
  <c r="AA9" i="158"/>
  <c r="Y9" i="158"/>
  <c r="X9" i="158"/>
  <c r="V9" i="158"/>
  <c r="T9" i="158"/>
  <c r="S9" i="158"/>
  <c r="Q9" i="158"/>
  <c r="O9" i="158"/>
  <c r="N9" i="158"/>
  <c r="L9" i="158"/>
  <c r="J9" i="158"/>
  <c r="I9" i="158"/>
  <c r="G9" i="158"/>
  <c r="E9" i="158"/>
  <c r="D9" i="158"/>
  <c r="B9" i="158"/>
  <c r="BH8" i="158"/>
  <c r="BE8" i="158"/>
  <c r="BC8" i="158"/>
  <c r="AZ8" i="158"/>
  <c r="AX8" i="158"/>
  <c r="AU8" i="158"/>
  <c r="AS8" i="158"/>
  <c r="AP8" i="158"/>
  <c r="AN8" i="158"/>
  <c r="AK8" i="158"/>
  <c r="AI8" i="158"/>
  <c r="AF8" i="158"/>
  <c r="AD8" i="158"/>
  <c r="AA8" i="158"/>
  <c r="Y8" i="158"/>
  <c r="V8" i="158"/>
  <c r="T8" i="158"/>
  <c r="Q8" i="158"/>
  <c r="O8" i="158"/>
  <c r="L8" i="158"/>
  <c r="J8" i="158"/>
  <c r="G8" i="158"/>
  <c r="E8" i="158"/>
  <c r="B8" i="158"/>
  <c r="T43" i="137"/>
  <c r="K23" i="138"/>
  <c r="K24" i="138"/>
  <c r="X3" i="137" l="1" a="1"/>
  <c r="X3" i="137" s="1"/>
  <c r="E10" i="159" a="1"/>
  <c r="E10" i="159" s="1"/>
  <c r="E11" i="159" a="1"/>
  <c r="E11" i="159" s="1"/>
  <c r="E17" i="159" a="1"/>
  <c r="E17" i="159" s="1"/>
  <c r="E12" i="159" a="1"/>
  <c r="E12" i="159" s="1"/>
  <c r="E16" i="159" a="1"/>
  <c r="E16" i="159" s="1"/>
  <c r="N45" i="140" l="1"/>
  <c r="P3" i="156" l="1"/>
  <c r="E6" i="156"/>
  <c r="E5" i="156"/>
  <c r="E4" i="156"/>
  <c r="E3" i="156"/>
  <c r="AI21" i="30"/>
  <c r="AG21" i="30"/>
  <c r="AE21" i="30"/>
  <c r="AC21" i="30"/>
  <c r="Q30" i="156"/>
  <c r="J30" i="156"/>
  <c r="E30" i="156"/>
  <c r="Q29" i="156"/>
  <c r="J29" i="156"/>
  <c r="E29" i="156"/>
  <c r="Q28" i="156"/>
  <c r="J28" i="156"/>
  <c r="E28" i="156"/>
  <c r="Q27" i="156"/>
  <c r="J27" i="156"/>
  <c r="E27" i="156"/>
  <c r="Q26" i="156"/>
  <c r="J26" i="156"/>
  <c r="E26" i="156"/>
  <c r="P29" i="156"/>
  <c r="P28" i="156"/>
  <c r="N27" i="156"/>
  <c r="P27" i="156" s="1"/>
  <c r="P26" i="156"/>
  <c r="H19" i="156"/>
  <c r="U19" i="156" s="1"/>
  <c r="H18" i="156"/>
  <c r="U18" i="156" s="1"/>
  <c r="U20" i="156" s="1"/>
  <c r="N30" i="156" s="1"/>
  <c r="P30" i="156" s="1"/>
  <c r="P32" i="156" l="1"/>
  <c r="P3" i="152" l="1"/>
  <c r="E6" i="152"/>
  <c r="E5" i="152"/>
  <c r="E4" i="152"/>
  <c r="E3" i="152"/>
  <c r="Q30" i="152"/>
  <c r="J30" i="152"/>
  <c r="E30" i="152"/>
  <c r="Q29" i="152"/>
  <c r="J29" i="152"/>
  <c r="E29" i="152"/>
  <c r="Q28" i="152"/>
  <c r="J28" i="152"/>
  <c r="E28" i="152"/>
  <c r="Q27" i="152"/>
  <c r="J27" i="152"/>
  <c r="E27" i="152"/>
  <c r="Q26" i="152"/>
  <c r="J26" i="152"/>
  <c r="E26" i="152"/>
  <c r="P29" i="152"/>
  <c r="P28" i="152"/>
  <c r="N27" i="152"/>
  <c r="P27" i="152" s="1"/>
  <c r="P26" i="152"/>
  <c r="H19" i="152"/>
  <c r="U19" i="152" s="1"/>
  <c r="H18" i="152"/>
  <c r="U18" i="152" s="1"/>
  <c r="U20" i="152" s="1"/>
  <c r="N30" i="152" s="1"/>
  <c r="P30" i="152" s="1"/>
  <c r="P32" i="152" l="1"/>
  <c r="P3" i="151" l="1"/>
  <c r="E6" i="151"/>
  <c r="E5" i="151"/>
  <c r="E4" i="151"/>
  <c r="E3" i="151"/>
  <c r="AI48" i="30"/>
  <c r="AG48" i="30"/>
  <c r="AE48" i="30"/>
  <c r="AC48" i="30"/>
  <c r="Q30" i="151"/>
  <c r="J30" i="151"/>
  <c r="E30" i="151"/>
  <c r="Q29" i="151"/>
  <c r="J29" i="151"/>
  <c r="E29" i="151"/>
  <c r="Q28" i="151"/>
  <c r="J28" i="151"/>
  <c r="E28" i="151"/>
  <c r="Q27" i="151"/>
  <c r="J27" i="151"/>
  <c r="E27" i="151"/>
  <c r="Q26" i="151"/>
  <c r="J26" i="151"/>
  <c r="E26" i="151"/>
  <c r="P29" i="151"/>
  <c r="P28" i="151"/>
  <c r="N27" i="151"/>
  <c r="P27" i="151" s="1"/>
  <c r="P26" i="151"/>
  <c r="H19" i="151"/>
  <c r="U19" i="151" s="1"/>
  <c r="H18" i="151"/>
  <c r="U18" i="151" s="1"/>
  <c r="U20" i="151" l="1"/>
  <c r="N30" i="151" s="1"/>
  <c r="P30" i="151" s="1"/>
  <c r="P32" i="151" s="1"/>
  <c r="AI2" i="30" l="1"/>
  <c r="C2" i="98" s="1"/>
  <c r="AI3" i="30"/>
  <c r="F2" i="98" s="1"/>
  <c r="AH3" i="30"/>
  <c r="E2" i="98" s="1"/>
  <c r="AH2" i="30"/>
  <c r="B2" i="98" s="1"/>
  <c r="B12" i="98" s="1"/>
  <c r="AE14" i="30" l="1"/>
  <c r="AE15" i="30"/>
  <c r="AE16" i="30"/>
  <c r="AE17" i="30"/>
  <c r="AE18" i="30"/>
  <c r="AE19" i="30"/>
  <c r="AE20" i="30"/>
  <c r="AE23" i="30"/>
  <c r="AE24" i="30"/>
  <c r="AE25" i="30"/>
  <c r="AE26" i="30"/>
  <c r="AE27" i="30"/>
  <c r="AE28" i="30"/>
  <c r="AE29" i="30"/>
  <c r="AE30" i="30"/>
  <c r="AE31" i="30"/>
  <c r="AE32" i="30"/>
  <c r="AE33" i="30"/>
  <c r="AE34" i="30"/>
  <c r="AE35" i="30"/>
  <c r="AE36" i="30"/>
  <c r="AE37" i="30"/>
  <c r="AE38" i="30"/>
  <c r="AE39" i="30"/>
  <c r="AE40" i="30"/>
  <c r="AE41" i="30"/>
  <c r="AE42" i="30"/>
  <c r="AE43" i="30"/>
  <c r="AE44" i="30"/>
  <c r="AE45" i="30"/>
  <c r="AE46" i="30"/>
  <c r="AE47"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E92" i="30"/>
  <c r="AE93" i="30"/>
  <c r="AE94" i="30"/>
  <c r="AE95" i="30"/>
  <c r="AE96" i="30"/>
  <c r="AE13" i="30"/>
  <c r="AC14" i="30"/>
  <c r="AC15" i="30"/>
  <c r="AC16" i="30"/>
  <c r="AC17" i="30"/>
  <c r="AC18" i="30"/>
  <c r="AC19" i="30"/>
  <c r="P3" i="148"/>
  <c r="E6" i="148"/>
  <c r="E5" i="148"/>
  <c r="E4" i="148"/>
  <c r="E3" i="148"/>
  <c r="AI13" i="30"/>
  <c r="AG13" i="30"/>
  <c r="AC13" i="30"/>
  <c r="O13" i="30"/>
  <c r="K13" i="30"/>
  <c r="J13" i="30"/>
  <c r="I13" i="30"/>
  <c r="U51" i="148"/>
  <c r="Q51" i="148"/>
  <c r="J51" i="148"/>
  <c r="E51" i="148"/>
  <c r="U50" i="148"/>
  <c r="Q50" i="148"/>
  <c r="J50" i="148"/>
  <c r="E50" i="148"/>
  <c r="U49" i="148"/>
  <c r="Q49" i="148"/>
  <c r="J49" i="148"/>
  <c r="E49" i="148"/>
  <c r="U48" i="148"/>
  <c r="Q48" i="148"/>
  <c r="J48" i="148"/>
  <c r="E48" i="148"/>
  <c r="U47" i="148"/>
  <c r="Q47" i="148"/>
  <c r="J47" i="148"/>
  <c r="E47" i="148"/>
  <c r="U46" i="148"/>
  <c r="Q46" i="148"/>
  <c r="J46" i="148"/>
  <c r="E46" i="148"/>
  <c r="U45" i="148"/>
  <c r="Q45" i="148"/>
  <c r="J45" i="148"/>
  <c r="E45" i="148"/>
  <c r="U44" i="148"/>
  <c r="Q44" i="148"/>
  <c r="J44" i="148"/>
  <c r="E44" i="148"/>
  <c r="U43" i="148"/>
  <c r="Q43" i="148"/>
  <c r="J43" i="148"/>
  <c r="E43" i="148"/>
  <c r="U42" i="148"/>
  <c r="Q42" i="148"/>
  <c r="J42" i="148"/>
  <c r="E42" i="148"/>
  <c r="P51" i="148"/>
  <c r="P48" i="148"/>
  <c r="P47" i="148"/>
  <c r="P46" i="148"/>
  <c r="P45" i="148"/>
  <c r="P44" i="148"/>
  <c r="P43" i="148"/>
  <c r="P42" i="148"/>
  <c r="O35" i="148"/>
  <c r="N35" i="148"/>
  <c r="P35" i="148" s="1"/>
  <c r="V35" i="148" s="1"/>
  <c r="L35" i="148"/>
  <c r="K35" i="148"/>
  <c r="M35" i="148" s="1"/>
  <c r="U35" i="148" s="1"/>
  <c r="F35" i="148"/>
  <c r="V31" i="148"/>
  <c r="U31" i="148"/>
  <c r="O30" i="148"/>
  <c r="N30" i="148"/>
  <c r="K30" i="148"/>
  <c r="Q30" i="148" s="1"/>
  <c r="V30" i="148" s="1"/>
  <c r="J30" i="148"/>
  <c r="P30" i="148" s="1"/>
  <c r="U30" i="148" s="1"/>
  <c r="G30" i="148"/>
  <c r="E30" i="148"/>
  <c r="O29" i="148"/>
  <c r="N29" i="148"/>
  <c r="K29" i="148"/>
  <c r="Q29" i="148" s="1"/>
  <c r="V29" i="148" s="1"/>
  <c r="J29" i="148"/>
  <c r="P29" i="148" s="1"/>
  <c r="U29" i="148" s="1"/>
  <c r="G29" i="148"/>
  <c r="E29" i="148"/>
  <c r="O28" i="148"/>
  <c r="N28" i="148"/>
  <c r="K28" i="148"/>
  <c r="Q28" i="148" s="1"/>
  <c r="V28" i="148" s="1"/>
  <c r="J28" i="148"/>
  <c r="P28" i="148" s="1"/>
  <c r="U28" i="148" s="1"/>
  <c r="G28" i="148"/>
  <c r="E28" i="148"/>
  <c r="O27" i="148"/>
  <c r="N27" i="148"/>
  <c r="K27" i="148"/>
  <c r="Q27" i="148" s="1"/>
  <c r="V27" i="148" s="1"/>
  <c r="J27" i="148"/>
  <c r="P27" i="148" s="1"/>
  <c r="U27" i="148" s="1"/>
  <c r="G27" i="148"/>
  <c r="E27" i="148"/>
  <c r="P49" i="148" l="1"/>
  <c r="U36" i="148"/>
  <c r="P50" i="148" s="1"/>
  <c r="P53" i="148" l="1"/>
  <c r="O27" i="140"/>
  <c r="L27" i="140"/>
  <c r="N27" i="140"/>
  <c r="K27" i="140"/>
  <c r="P42" i="140"/>
  <c r="N30" i="146" l="1"/>
  <c r="U20" i="146"/>
  <c r="U19" i="146"/>
  <c r="U18" i="146"/>
  <c r="N48" i="143" l="1"/>
  <c r="U27" i="143"/>
  <c r="P51" i="139" l="1"/>
  <c r="P43" i="139"/>
  <c r="P44" i="139"/>
  <c r="P45" i="139"/>
  <c r="P46" i="139"/>
  <c r="P47" i="139"/>
  <c r="P48" i="139"/>
  <c r="P49" i="139"/>
  <c r="P50" i="139"/>
  <c r="P42" i="139"/>
  <c r="P28" i="139"/>
  <c r="N28" i="139"/>
  <c r="N29" i="139"/>
  <c r="N30" i="139"/>
  <c r="N27" i="139"/>
  <c r="J28" i="139" l="1"/>
  <c r="J29" i="139"/>
  <c r="J30" i="139"/>
  <c r="J27" i="139"/>
  <c r="O50" i="137"/>
  <c r="M50" i="137"/>
  <c r="F50" i="137"/>
  <c r="O45" i="137" l="1"/>
  <c r="O47" i="137"/>
  <c r="O48" i="137"/>
  <c r="O49" i="137"/>
  <c r="O51" i="137"/>
  <c r="O52" i="137"/>
  <c r="O53" i="137"/>
  <c r="O54" i="137"/>
  <c r="O55" i="137"/>
  <c r="O56" i="137"/>
  <c r="O57" i="137"/>
  <c r="N31" i="147" l="1"/>
  <c r="M43" i="137" l="1"/>
  <c r="U43" i="137" l="1"/>
  <c r="K33" i="138"/>
  <c r="J37" i="30"/>
  <c r="J36" i="30"/>
  <c r="J35" i="30"/>
  <c r="J34" i="30"/>
  <c r="J33" i="30"/>
  <c r="J38" i="30"/>
  <c r="Y6" i="138"/>
  <c r="P3" i="147" l="1"/>
  <c r="E6" i="147"/>
  <c r="E5" i="147"/>
  <c r="E4" i="147"/>
  <c r="E3" i="147"/>
  <c r="AI39" i="30"/>
  <c r="AG39" i="30"/>
  <c r="AC39" i="30"/>
  <c r="K39" i="30"/>
  <c r="J39" i="30"/>
  <c r="I39" i="30"/>
  <c r="Q31" i="147"/>
  <c r="P31" i="147" s="1"/>
  <c r="J31" i="147"/>
  <c r="E31" i="147"/>
  <c r="Q30" i="147"/>
  <c r="P30" i="147" s="1"/>
  <c r="J30" i="147"/>
  <c r="E30" i="147"/>
  <c r="Q29" i="147"/>
  <c r="P29" i="147" s="1"/>
  <c r="J29" i="147"/>
  <c r="E29" i="147"/>
  <c r="Q28" i="147"/>
  <c r="P28" i="147" s="1"/>
  <c r="J28" i="147"/>
  <c r="E28" i="147"/>
  <c r="L21" i="147"/>
  <c r="P33" i="147" l="1"/>
  <c r="Q26" i="144" l="1"/>
  <c r="J27" i="143"/>
  <c r="O28" i="143"/>
  <c r="K28" i="143"/>
  <c r="J28" i="143"/>
  <c r="Q28" i="142"/>
  <c r="P3" i="146" l="1"/>
  <c r="E6" i="146"/>
  <c r="E5" i="146"/>
  <c r="E4" i="146"/>
  <c r="E3" i="146"/>
  <c r="AI47" i="30"/>
  <c r="AG47" i="30"/>
  <c r="AC47" i="30"/>
  <c r="Q30" i="146"/>
  <c r="J30" i="146"/>
  <c r="E30" i="146"/>
  <c r="Q29" i="146"/>
  <c r="P29" i="146" s="1"/>
  <c r="J29" i="146"/>
  <c r="E29" i="146"/>
  <c r="Q28" i="146"/>
  <c r="P28" i="146" s="1"/>
  <c r="J28" i="146"/>
  <c r="E28" i="146"/>
  <c r="Q27" i="146"/>
  <c r="J27" i="146"/>
  <c r="E27" i="146"/>
  <c r="Q26" i="146"/>
  <c r="J26" i="146"/>
  <c r="E26" i="146"/>
  <c r="P30" i="146"/>
  <c r="N27" i="146"/>
  <c r="P26" i="146"/>
  <c r="H19" i="146"/>
  <c r="H18" i="146"/>
  <c r="P27" i="146" l="1"/>
  <c r="P32" i="146" s="1"/>
  <c r="P3" i="145" l="1"/>
  <c r="E6" i="145"/>
  <c r="E5" i="145"/>
  <c r="E4" i="145"/>
  <c r="E3" i="145"/>
  <c r="AI38" i="30"/>
  <c r="AG38" i="30"/>
  <c r="AC38" i="30"/>
  <c r="O38" i="30"/>
  <c r="K38" i="30"/>
  <c r="I38" i="30"/>
  <c r="Q43" i="145"/>
  <c r="J43" i="145"/>
  <c r="E43" i="145"/>
  <c r="Q42" i="145"/>
  <c r="J42" i="145"/>
  <c r="E42" i="145"/>
  <c r="Q41" i="145"/>
  <c r="J41" i="145"/>
  <c r="E41" i="145"/>
  <c r="Q40" i="145"/>
  <c r="J40" i="145"/>
  <c r="E40" i="145"/>
  <c r="Q39" i="145"/>
  <c r="J39" i="145"/>
  <c r="E39" i="145"/>
  <c r="Q38" i="145"/>
  <c r="J38" i="145"/>
  <c r="E38" i="145"/>
  <c r="Q37" i="145"/>
  <c r="J37" i="145"/>
  <c r="E37" i="145"/>
  <c r="Q36" i="145"/>
  <c r="J36" i="145"/>
  <c r="E36" i="145"/>
  <c r="Q35" i="145"/>
  <c r="J35" i="145"/>
  <c r="E35" i="145"/>
  <c r="Q34" i="145"/>
  <c r="J34" i="145"/>
  <c r="E34" i="145"/>
  <c r="P43" i="145"/>
  <c r="P42" i="145"/>
  <c r="P41" i="145"/>
  <c r="P40" i="145"/>
  <c r="P39" i="145"/>
  <c r="P38" i="145"/>
  <c r="P36" i="145"/>
  <c r="P35" i="145"/>
  <c r="P34" i="145"/>
  <c r="O27" i="145"/>
  <c r="N27" i="145"/>
  <c r="P27" i="145" s="1"/>
  <c r="L27" i="145"/>
  <c r="K27" i="145"/>
  <c r="F27" i="145"/>
  <c r="M27" i="145" l="1"/>
  <c r="U27" i="145" s="1"/>
  <c r="N37" i="145" s="1"/>
  <c r="P37" i="145" s="1"/>
  <c r="P45" i="145" s="1"/>
  <c r="P3" i="144" l="1"/>
  <c r="E6" i="144"/>
  <c r="E5" i="144"/>
  <c r="E4" i="144"/>
  <c r="E3" i="144"/>
  <c r="AI37" i="30"/>
  <c r="AG37" i="30"/>
  <c r="AC37" i="30"/>
  <c r="O37" i="30"/>
  <c r="K37" i="30"/>
  <c r="I37" i="30"/>
  <c r="Q48" i="144"/>
  <c r="J48" i="144"/>
  <c r="E48" i="144"/>
  <c r="Q47" i="144"/>
  <c r="J47" i="144"/>
  <c r="E47" i="144"/>
  <c r="Q46" i="144"/>
  <c r="J46" i="144"/>
  <c r="E46" i="144"/>
  <c r="Q45" i="144"/>
  <c r="J45" i="144"/>
  <c r="E45" i="144"/>
  <c r="Q44" i="144"/>
  <c r="J44" i="144"/>
  <c r="E44" i="144"/>
  <c r="Q43" i="144"/>
  <c r="J43" i="144"/>
  <c r="E43" i="144"/>
  <c r="Q42" i="144"/>
  <c r="J42" i="144"/>
  <c r="E42" i="144"/>
  <c r="Q41" i="144"/>
  <c r="J41" i="144"/>
  <c r="E41" i="144"/>
  <c r="Q40" i="144"/>
  <c r="J40" i="144"/>
  <c r="E40" i="144"/>
  <c r="Q39" i="144"/>
  <c r="J39" i="144"/>
  <c r="E39" i="144"/>
  <c r="P41" i="144"/>
  <c r="P40" i="144"/>
  <c r="P39" i="144"/>
  <c r="Q32" i="144"/>
  <c r="U32" i="144" s="1"/>
  <c r="N47" i="144" s="1"/>
  <c r="H32" i="144"/>
  <c r="V32" i="144" s="1"/>
  <c r="Q25" i="144"/>
  <c r="H24" i="144"/>
  <c r="G24" i="144"/>
  <c r="F24" i="144"/>
  <c r="I23" i="144"/>
  <c r="K19" i="144"/>
  <c r="I19" i="144"/>
  <c r="U14" i="144"/>
  <c r="N42" i="144" s="1"/>
  <c r="P42" i="144" s="1"/>
  <c r="I24" i="144" l="1"/>
  <c r="U24" i="144" s="1"/>
  <c r="N44" i="144" s="1"/>
  <c r="P44" i="144" s="1"/>
  <c r="L19" i="144"/>
  <c r="U19" i="144" s="1"/>
  <c r="F28" i="144"/>
  <c r="H28" i="144" s="1"/>
  <c r="U28" i="144" s="1"/>
  <c r="N48" i="144" s="1"/>
  <c r="P48" i="144" s="1"/>
  <c r="P47" i="144"/>
  <c r="Q28" i="144"/>
  <c r="V28" i="144" s="1"/>
  <c r="N45" i="144" l="1"/>
  <c r="N46" i="144"/>
  <c r="P46" i="144" s="1"/>
  <c r="N43" i="144"/>
  <c r="P43" i="144" s="1"/>
  <c r="P45" i="144"/>
  <c r="P50" i="144" l="1"/>
  <c r="P3" i="143"/>
  <c r="E6" i="143"/>
  <c r="E5" i="143"/>
  <c r="E4" i="143"/>
  <c r="E3" i="143"/>
  <c r="AI36" i="30"/>
  <c r="AG36" i="30"/>
  <c r="AC36" i="30"/>
  <c r="O36" i="30"/>
  <c r="K36" i="30"/>
  <c r="I36" i="30"/>
  <c r="U51" i="143"/>
  <c r="Q51" i="143"/>
  <c r="J51" i="143"/>
  <c r="E51" i="143"/>
  <c r="U50" i="143"/>
  <c r="Q50" i="143"/>
  <c r="J50" i="143"/>
  <c r="E50" i="143"/>
  <c r="U49" i="143"/>
  <c r="Q49" i="143"/>
  <c r="J49" i="143"/>
  <c r="E49" i="143"/>
  <c r="U48" i="143"/>
  <c r="Q48" i="143"/>
  <c r="J48" i="143"/>
  <c r="E48" i="143"/>
  <c r="U47" i="143"/>
  <c r="Q47" i="143"/>
  <c r="N47" i="143"/>
  <c r="J47" i="143"/>
  <c r="E47" i="143"/>
  <c r="U46" i="143"/>
  <c r="Q46" i="143"/>
  <c r="J46" i="143"/>
  <c r="E46" i="143"/>
  <c r="U45" i="143"/>
  <c r="Q45" i="143"/>
  <c r="J45" i="143"/>
  <c r="E45" i="143"/>
  <c r="U44" i="143"/>
  <c r="Q44" i="143"/>
  <c r="J44" i="143"/>
  <c r="E44" i="143"/>
  <c r="U43" i="143"/>
  <c r="Q43" i="143"/>
  <c r="J43" i="143"/>
  <c r="E43" i="143"/>
  <c r="U42" i="143"/>
  <c r="Q42" i="143"/>
  <c r="J42" i="143"/>
  <c r="E42" i="143"/>
  <c r="P51" i="143"/>
  <c r="P46" i="143"/>
  <c r="P45" i="143"/>
  <c r="P44" i="143"/>
  <c r="P43" i="143"/>
  <c r="P42" i="143"/>
  <c r="O35" i="143"/>
  <c r="N35" i="143"/>
  <c r="L35" i="143"/>
  <c r="M35" i="143" s="1"/>
  <c r="U35" i="143" s="1"/>
  <c r="K35" i="143"/>
  <c r="F35" i="143"/>
  <c r="P30" i="143"/>
  <c r="U30" i="143" s="1"/>
  <c r="O30" i="143"/>
  <c r="N30" i="143"/>
  <c r="K30" i="143"/>
  <c r="Q30" i="143" s="1"/>
  <c r="V30" i="143" s="1"/>
  <c r="J30" i="143"/>
  <c r="G30" i="143"/>
  <c r="E30" i="143"/>
  <c r="O29" i="143"/>
  <c r="N29" i="143"/>
  <c r="K29" i="143"/>
  <c r="Q29" i="143" s="1"/>
  <c r="V29" i="143" s="1"/>
  <c r="J29" i="143"/>
  <c r="P29" i="143" s="1"/>
  <c r="U29" i="143" s="1"/>
  <c r="G29" i="143"/>
  <c r="E29" i="143"/>
  <c r="N28" i="143"/>
  <c r="Q28" i="143"/>
  <c r="V28" i="143" s="1"/>
  <c r="P28" i="143"/>
  <c r="U28" i="143" s="1"/>
  <c r="G28" i="143"/>
  <c r="E28" i="143"/>
  <c r="O27" i="143"/>
  <c r="N27" i="143"/>
  <c r="K27" i="143"/>
  <c r="Q27" i="143" s="1"/>
  <c r="V27" i="143" s="1"/>
  <c r="P27" i="143"/>
  <c r="G27" i="143"/>
  <c r="E27" i="143"/>
  <c r="P35" i="143" l="1"/>
  <c r="V35" i="143" s="1"/>
  <c r="U36" i="143" s="1"/>
  <c r="N50" i="143" s="1"/>
  <c r="P50" i="143" s="1"/>
  <c r="U31" i="143"/>
  <c r="V31" i="143"/>
  <c r="N49" i="143" s="1"/>
  <c r="P49" i="143" s="1"/>
  <c r="P47" i="143"/>
  <c r="P48" i="143" l="1"/>
  <c r="P53" i="143" s="1"/>
  <c r="P3" i="142"/>
  <c r="E6" i="142"/>
  <c r="E5" i="142"/>
  <c r="E4" i="142"/>
  <c r="E3" i="142"/>
  <c r="AI35" i="30"/>
  <c r="AG35" i="30"/>
  <c r="AC35" i="30"/>
  <c r="O35" i="30"/>
  <c r="K35" i="30"/>
  <c r="I35" i="30"/>
  <c r="Q48" i="142"/>
  <c r="J48" i="142"/>
  <c r="E48" i="142"/>
  <c r="Q47" i="142"/>
  <c r="J47" i="142"/>
  <c r="E47" i="142"/>
  <c r="Q46" i="142"/>
  <c r="J46" i="142"/>
  <c r="E46" i="142"/>
  <c r="Q45" i="142"/>
  <c r="J45" i="142"/>
  <c r="E45" i="142"/>
  <c r="Q44" i="142"/>
  <c r="J44" i="142"/>
  <c r="E44" i="142"/>
  <c r="Q43" i="142"/>
  <c r="J43" i="142"/>
  <c r="E43" i="142"/>
  <c r="Q42" i="142"/>
  <c r="N42" i="142"/>
  <c r="P42" i="142" s="1"/>
  <c r="J42" i="142"/>
  <c r="E42" i="142"/>
  <c r="Q41" i="142"/>
  <c r="J41" i="142"/>
  <c r="E41" i="142"/>
  <c r="Q40" i="142"/>
  <c r="J40" i="142"/>
  <c r="E40" i="142"/>
  <c r="Q39" i="142"/>
  <c r="J39" i="142"/>
  <c r="E39" i="142"/>
  <c r="P41" i="142"/>
  <c r="P40" i="142"/>
  <c r="P39" i="142"/>
  <c r="Q32" i="142"/>
  <c r="U32" i="142" s="1"/>
  <c r="N47" i="142" s="1"/>
  <c r="P47" i="142" s="1"/>
  <c r="H32" i="142"/>
  <c r="V32" i="142" s="1"/>
  <c r="Q25" i="142"/>
  <c r="V28" i="142" s="1"/>
  <c r="N45" i="142" s="1"/>
  <c r="H24" i="142"/>
  <c r="G24" i="142"/>
  <c r="F24" i="142"/>
  <c r="I24" i="142" s="1"/>
  <c r="U24" i="142" s="1"/>
  <c r="N44" i="142" s="1"/>
  <c r="I23" i="142"/>
  <c r="K19" i="142"/>
  <c r="I19" i="142"/>
  <c r="U14" i="142"/>
  <c r="N46" i="142" l="1"/>
  <c r="P44" i="142"/>
  <c r="P45" i="142"/>
  <c r="P46" i="142"/>
  <c r="L19" i="142"/>
  <c r="U19" i="142" s="1"/>
  <c r="N43" i="142" s="1"/>
  <c r="P43" i="142" s="1"/>
  <c r="F28" i="142"/>
  <c r="H28" i="142" s="1"/>
  <c r="U28" i="142" s="1"/>
  <c r="N48" i="142" l="1"/>
  <c r="P48" i="142" s="1"/>
  <c r="P50" i="142" s="1"/>
  <c r="P3" i="140" l="1"/>
  <c r="E6" i="140"/>
  <c r="E5" i="140"/>
  <c r="E4" i="140"/>
  <c r="E3" i="140"/>
  <c r="AI34" i="30"/>
  <c r="AG34" i="30"/>
  <c r="AC34" i="30"/>
  <c r="O34" i="30"/>
  <c r="K34" i="30"/>
  <c r="I34" i="30"/>
  <c r="Q43" i="140"/>
  <c r="J43" i="140"/>
  <c r="E43" i="140"/>
  <c r="Q42" i="140"/>
  <c r="J42" i="140"/>
  <c r="E42" i="140"/>
  <c r="Q41" i="140"/>
  <c r="J41" i="140"/>
  <c r="E41" i="140"/>
  <c r="Q40" i="140"/>
  <c r="J40" i="140"/>
  <c r="E40" i="140"/>
  <c r="Q39" i="140"/>
  <c r="J39" i="140"/>
  <c r="E39" i="140"/>
  <c r="Q38" i="140"/>
  <c r="J38" i="140"/>
  <c r="E38" i="140"/>
  <c r="Q37" i="140"/>
  <c r="J37" i="140"/>
  <c r="E37" i="140"/>
  <c r="Q36" i="140"/>
  <c r="J36" i="140"/>
  <c r="E36" i="140"/>
  <c r="Q35" i="140"/>
  <c r="J35" i="140"/>
  <c r="E35" i="140"/>
  <c r="Q34" i="140"/>
  <c r="J34" i="140"/>
  <c r="E34" i="140"/>
  <c r="P43" i="140"/>
  <c r="P41" i="140"/>
  <c r="P40" i="140"/>
  <c r="P39" i="140"/>
  <c r="P38" i="140"/>
  <c r="P36" i="140"/>
  <c r="P35" i="140"/>
  <c r="P34" i="140"/>
  <c r="P27" i="140"/>
  <c r="F27" i="140"/>
  <c r="M27" i="140" l="1"/>
  <c r="U27" i="140" s="1"/>
  <c r="N37" i="140" s="1"/>
  <c r="P37" i="140" s="1"/>
  <c r="P45" i="140" s="1"/>
  <c r="P3" i="139" l="1"/>
  <c r="E6" i="139"/>
  <c r="E5" i="139"/>
  <c r="E4" i="139"/>
  <c r="E3" i="139"/>
  <c r="AI33" i="30"/>
  <c r="AG33" i="30"/>
  <c r="AC33" i="30"/>
  <c r="O33" i="30"/>
  <c r="K33" i="30"/>
  <c r="I33" i="30"/>
  <c r="U51" i="139"/>
  <c r="Q51" i="139"/>
  <c r="J51" i="139"/>
  <c r="E51" i="139"/>
  <c r="U50" i="139"/>
  <c r="Q50" i="139"/>
  <c r="J50" i="139"/>
  <c r="E50" i="139"/>
  <c r="U49" i="139"/>
  <c r="Q49" i="139"/>
  <c r="N49" i="139"/>
  <c r="J49" i="139"/>
  <c r="E49" i="139"/>
  <c r="U48" i="139"/>
  <c r="Q48" i="139"/>
  <c r="N48" i="139"/>
  <c r="J48" i="139"/>
  <c r="E48" i="139"/>
  <c r="U47" i="139"/>
  <c r="Q47" i="139"/>
  <c r="J47" i="139"/>
  <c r="E47" i="139"/>
  <c r="U46" i="139"/>
  <c r="Q46" i="139"/>
  <c r="J46" i="139"/>
  <c r="E46" i="139"/>
  <c r="U45" i="139"/>
  <c r="Q45" i="139"/>
  <c r="J45" i="139"/>
  <c r="E45" i="139"/>
  <c r="U44" i="139"/>
  <c r="Q44" i="139"/>
  <c r="J44" i="139"/>
  <c r="E44" i="139"/>
  <c r="U43" i="139"/>
  <c r="Q43" i="139"/>
  <c r="J43" i="139"/>
  <c r="E43" i="139"/>
  <c r="U42" i="139"/>
  <c r="Q42" i="139"/>
  <c r="J42" i="139"/>
  <c r="E42" i="139"/>
  <c r="U36" i="139"/>
  <c r="O35" i="139"/>
  <c r="P35" i="139" s="1"/>
  <c r="V35" i="139" s="1"/>
  <c r="N35" i="139"/>
  <c r="L35" i="139"/>
  <c r="K35" i="139"/>
  <c r="M35" i="139" s="1"/>
  <c r="U35" i="139" s="1"/>
  <c r="F35" i="139"/>
  <c r="P30" i="139"/>
  <c r="U30" i="139" s="1"/>
  <c r="O30" i="139"/>
  <c r="K30" i="139"/>
  <c r="Q30" i="139" s="1"/>
  <c r="V30" i="139" s="1"/>
  <c r="G30" i="139"/>
  <c r="E30" i="139"/>
  <c r="O29" i="139"/>
  <c r="K29" i="139"/>
  <c r="Q29" i="139" s="1"/>
  <c r="V29" i="139" s="1"/>
  <c r="P29" i="139"/>
  <c r="U29" i="139" s="1"/>
  <c r="G29" i="139"/>
  <c r="E29" i="139"/>
  <c r="O28" i="139"/>
  <c r="K28" i="139"/>
  <c r="Q28" i="139" s="1"/>
  <c r="V28" i="139" s="1"/>
  <c r="U28" i="139"/>
  <c r="G28" i="139"/>
  <c r="E28" i="139"/>
  <c r="O27" i="139"/>
  <c r="K27" i="139"/>
  <c r="Q27" i="139" s="1"/>
  <c r="V27" i="139" s="1"/>
  <c r="P27" i="139"/>
  <c r="U27" i="139" s="1"/>
  <c r="G27" i="139"/>
  <c r="E27" i="139"/>
  <c r="U31" i="139" l="1"/>
  <c r="N47" i="139" s="1"/>
  <c r="P53" i="139" s="1"/>
  <c r="V31" i="139"/>
  <c r="K30" i="138" l="1"/>
  <c r="K29" i="138"/>
  <c r="K28" i="138"/>
  <c r="N6" i="138"/>
  <c r="G6" i="138"/>
  <c r="Y5" i="138"/>
  <c r="N5" i="138"/>
  <c r="G5" i="138"/>
  <c r="Y4" i="138"/>
  <c r="N4" i="138"/>
  <c r="G4" i="138"/>
  <c r="Y3" i="138"/>
  <c r="N3" i="138"/>
  <c r="G3" i="138"/>
  <c r="G6" i="51"/>
  <c r="O5" i="51"/>
  <c r="O4" i="51"/>
  <c r="O3" i="51"/>
  <c r="G4" i="51"/>
  <c r="G5" i="51"/>
  <c r="G3" i="51"/>
  <c r="F57" i="137"/>
  <c r="F47" i="137"/>
  <c r="F48" i="137"/>
  <c r="F49" i="137"/>
  <c r="F51" i="137"/>
  <c r="F52" i="137"/>
  <c r="F53" i="137"/>
  <c r="F54" i="137"/>
  <c r="F55" i="137"/>
  <c r="F56" i="137"/>
  <c r="F45" i="137"/>
  <c r="F46" i="137"/>
  <c r="M46" i="137"/>
  <c r="O46" i="137" s="1"/>
  <c r="M47" i="137"/>
  <c r="M48" i="137"/>
  <c r="M49" i="137"/>
  <c r="M51" i="137"/>
  <c r="M52" i="137"/>
  <c r="M53" i="137"/>
  <c r="M54" i="137"/>
  <c r="M55" i="137"/>
  <c r="M56" i="137"/>
  <c r="M57" i="137"/>
  <c r="M45" i="137"/>
  <c r="G6" i="137"/>
  <c r="O5" i="137"/>
  <c r="G5" i="137"/>
  <c r="G4" i="137"/>
  <c r="G3" i="137"/>
  <c r="O43" i="137"/>
  <c r="O14" i="137"/>
  <c r="O13" i="137"/>
  <c r="O12" i="137"/>
  <c r="O11" i="137"/>
  <c r="V43" i="137" l="1"/>
  <c r="O26" i="137" s="1"/>
  <c r="W43" i="137"/>
  <c r="O25" i="137"/>
  <c r="Q25" i="137" s="1"/>
  <c r="Q15" i="137"/>
  <c r="AC20" i="30"/>
  <c r="AC23" i="30"/>
  <c r="AC24" i="30"/>
  <c r="AC25" i="30"/>
  <c r="AC26" i="30"/>
  <c r="AC27" i="30"/>
  <c r="AC28" i="30"/>
  <c r="AC29" i="30"/>
  <c r="AC30" i="30"/>
  <c r="AC31" i="30"/>
  <c r="AC32" i="30"/>
  <c r="AC40" i="30"/>
  <c r="AC41" i="30"/>
  <c r="AC42" i="30"/>
  <c r="AC43" i="30"/>
  <c r="AC44" i="30"/>
  <c r="AC45" i="30"/>
  <c r="AC46"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J28" i="137" l="1"/>
  <c r="AG14" i="30"/>
  <c r="AI14" i="30"/>
  <c r="AG15" i="30"/>
  <c r="AI15" i="30"/>
  <c r="AG16" i="30"/>
  <c r="AI16" i="30"/>
  <c r="AG17" i="30"/>
  <c r="AI17" i="30"/>
  <c r="AG18" i="30"/>
  <c r="AI18" i="30"/>
  <c r="AG19" i="30"/>
  <c r="AI19" i="30"/>
  <c r="AG20" i="30"/>
  <c r="AI20" i="30"/>
  <c r="AG23" i="30"/>
  <c r="AI23" i="30"/>
  <c r="AG24" i="30"/>
  <c r="AI24" i="30"/>
  <c r="AG25" i="30"/>
  <c r="AI25" i="30"/>
  <c r="AG26" i="30"/>
  <c r="AI26" i="30"/>
  <c r="AG27" i="30"/>
  <c r="AI27" i="30"/>
  <c r="AG28" i="30"/>
  <c r="AI28" i="30"/>
  <c r="AG29" i="30"/>
  <c r="AI29" i="30"/>
  <c r="AG30" i="30"/>
  <c r="AI30" i="30"/>
  <c r="AG31" i="30"/>
  <c r="AI31" i="30"/>
  <c r="AG32" i="30"/>
  <c r="AI32" i="30"/>
  <c r="AG40" i="30"/>
  <c r="AI40" i="30"/>
  <c r="AG41" i="30"/>
  <c r="AI41" i="30"/>
  <c r="AG42" i="30"/>
  <c r="AI42" i="30"/>
  <c r="AG43" i="30"/>
  <c r="AI43" i="30"/>
  <c r="AG44" i="30"/>
  <c r="AI44" i="30"/>
  <c r="AG45" i="30"/>
  <c r="AI45" i="30"/>
  <c r="AG46" i="30"/>
  <c r="AI46" i="30"/>
  <c r="AG49" i="30"/>
  <c r="AI49" i="30"/>
  <c r="AG50" i="30"/>
  <c r="AI50" i="30"/>
  <c r="AG51" i="30"/>
  <c r="AI51" i="30"/>
  <c r="AG52" i="30"/>
  <c r="AI52" i="30"/>
  <c r="AG53" i="30"/>
  <c r="AI53" i="30"/>
  <c r="AG54" i="30"/>
  <c r="AI54" i="30"/>
  <c r="AG55" i="30"/>
  <c r="AI55" i="30"/>
  <c r="AG56" i="30"/>
  <c r="AI56" i="30"/>
  <c r="AG57" i="30"/>
  <c r="AI57" i="30"/>
  <c r="AG58" i="30"/>
  <c r="AI58" i="30"/>
  <c r="AG59" i="30"/>
  <c r="AI59" i="30"/>
  <c r="AG60" i="30"/>
  <c r="AI60" i="30"/>
  <c r="AG61" i="30"/>
  <c r="AI61" i="30"/>
  <c r="AG62" i="30"/>
  <c r="AI62" i="30"/>
  <c r="AG63" i="30"/>
  <c r="AI63" i="30"/>
  <c r="AG64" i="30"/>
  <c r="AI64" i="30"/>
  <c r="AG65" i="30"/>
  <c r="AI65" i="30"/>
  <c r="AG66" i="30"/>
  <c r="AI66" i="30"/>
  <c r="AG67" i="30"/>
  <c r="AI67" i="30"/>
  <c r="AG68" i="30"/>
  <c r="AI68" i="30"/>
  <c r="AG69" i="30"/>
  <c r="AI69" i="30"/>
  <c r="AG70" i="30"/>
  <c r="AI70" i="30"/>
  <c r="AG71" i="30"/>
  <c r="AI71" i="30"/>
  <c r="AG72" i="30"/>
  <c r="AI72" i="30"/>
  <c r="AG73" i="30"/>
  <c r="AI73" i="30"/>
  <c r="AG74" i="30"/>
  <c r="AI74" i="30"/>
  <c r="AG75" i="30"/>
  <c r="AI75" i="30"/>
  <c r="AG76" i="30"/>
  <c r="AI76" i="30"/>
  <c r="AG77" i="30"/>
  <c r="AI77" i="30"/>
  <c r="AG78" i="30"/>
  <c r="AI78" i="30"/>
  <c r="AG79" i="30"/>
  <c r="AI79" i="30"/>
  <c r="AG80" i="30"/>
  <c r="AI80" i="30"/>
  <c r="AG81" i="30"/>
  <c r="AI81" i="30"/>
  <c r="AG82" i="30"/>
  <c r="AI82" i="30"/>
  <c r="AG83" i="30"/>
  <c r="AI83" i="30"/>
  <c r="AG84" i="30"/>
  <c r="AI84" i="30"/>
  <c r="AG85" i="30"/>
  <c r="AI85" i="30"/>
  <c r="AG86" i="30"/>
  <c r="AI86" i="30"/>
  <c r="AG87" i="30"/>
  <c r="AI87" i="30"/>
  <c r="AG88" i="30"/>
  <c r="AI88" i="30"/>
  <c r="AG89" i="30"/>
  <c r="AI89" i="30"/>
  <c r="AG90" i="30"/>
  <c r="AI90" i="30"/>
  <c r="AG91" i="30"/>
  <c r="AI91" i="30"/>
  <c r="AG92" i="30"/>
  <c r="AI92" i="30"/>
  <c r="AG93" i="30"/>
  <c r="AI93" i="30"/>
  <c r="AG94" i="30"/>
  <c r="AI94" i="30"/>
  <c r="AG95" i="30"/>
  <c r="AI95" i="30"/>
  <c r="AG96" i="30"/>
  <c r="AI96" i="30"/>
  <c r="AC72" i="30"/>
  <c r="AC73" i="30"/>
  <c r="AC74" i="30"/>
  <c r="AC75" i="30"/>
  <c r="AC76" i="30"/>
  <c r="AC77" i="30"/>
  <c r="AC78" i="30"/>
  <c r="AC79" i="30"/>
  <c r="AC80" i="30"/>
  <c r="AC81" i="30"/>
  <c r="AC82" i="30"/>
  <c r="AC83" i="30"/>
  <c r="AC84" i="30"/>
  <c r="AC85" i="30"/>
  <c r="AC86" i="30"/>
  <c r="AC87" i="30"/>
  <c r="AC88" i="30"/>
  <c r="AC89" i="30"/>
  <c r="AC90" i="30"/>
  <c r="AC91" i="30"/>
  <c r="AC92" i="30"/>
  <c r="AC93" i="30"/>
  <c r="AC94" i="30"/>
  <c r="AC95" i="30"/>
  <c r="AC96" i="30"/>
  <c r="J29" i="137" l="1"/>
  <c r="A7" i="98"/>
  <c r="A8" i="98"/>
  <c r="A9" i="98"/>
  <c r="A6" i="98"/>
  <c r="D10" i="97" l="1"/>
  <c r="D47" i="97" s="1"/>
  <c r="D9" i="97"/>
  <c r="D21" i="97" s="1"/>
  <c r="D8" i="97"/>
  <c r="D20" i="97" s="1"/>
  <c r="D7" i="97"/>
  <c r="D19" i="97" s="1"/>
  <c r="D162" i="97" l="1"/>
  <c r="D160" i="97"/>
  <c r="D128" i="97"/>
  <c r="D130" i="97"/>
  <c r="D132" i="97"/>
  <c r="D136" i="97"/>
  <c r="D127" i="97"/>
  <c r="D134" i="97"/>
  <c r="D138" i="97"/>
  <c r="D133" i="97"/>
  <c r="D139" i="97"/>
  <c r="D142" i="97"/>
  <c r="D144" i="97"/>
  <c r="D151" i="97"/>
  <c r="D140" i="97"/>
  <c r="D146" i="97"/>
  <c r="D115" i="97"/>
  <c r="D148" i="97"/>
  <c r="D116" i="97"/>
  <c r="D150" i="97"/>
  <c r="D118" i="97"/>
  <c r="D120" i="97"/>
  <c r="D152" i="97"/>
  <c r="D145" i="97"/>
  <c r="D121" i="97"/>
  <c r="D154" i="97"/>
  <c r="D122" i="97"/>
  <c r="D156" i="97"/>
  <c r="D124" i="97"/>
  <c r="D157" i="97"/>
  <c r="D126" i="97"/>
  <c r="D158" i="97"/>
  <c r="D42" i="97"/>
  <c r="D37" i="97"/>
  <c r="D38" i="97"/>
  <c r="D39" i="97"/>
  <c r="D40" i="97"/>
  <c r="D77" i="97"/>
  <c r="D79" i="97"/>
  <c r="D80" i="97"/>
  <c r="D83" i="97"/>
  <c r="D45" i="97"/>
  <c r="D85" i="97"/>
  <c r="D52" i="97"/>
  <c r="D86" i="97"/>
  <c r="D93" i="97"/>
  <c r="D87" i="97"/>
  <c r="D55" i="97"/>
  <c r="D97" i="97"/>
  <c r="D98" i="97"/>
  <c r="D53" i="97"/>
  <c r="D89" i="97"/>
  <c r="D101" i="97"/>
  <c r="D54" i="97"/>
  <c r="D91" i="97"/>
  <c r="D57" i="97"/>
  <c r="D23" i="97"/>
  <c r="D62" i="97"/>
  <c r="D63" i="97"/>
  <c r="D65" i="97"/>
  <c r="D67" i="97"/>
  <c r="D30" i="97"/>
  <c r="D69" i="97"/>
  <c r="D34" i="97"/>
  <c r="D73" i="97"/>
  <c r="D105" i="97"/>
  <c r="D81" i="97"/>
  <c r="D92" i="97"/>
  <c r="D25" i="97"/>
  <c r="D95" i="97"/>
  <c r="D26" i="97"/>
  <c r="D28" i="97"/>
  <c r="D29" i="97"/>
  <c r="D99" i="97"/>
  <c r="D68" i="97"/>
  <c r="D31" i="97"/>
  <c r="D103" i="97"/>
  <c r="D33" i="97"/>
  <c r="D71" i="97"/>
  <c r="D104" i="97"/>
  <c r="D35" i="97"/>
  <c r="D74" i="97"/>
  <c r="D107" i="97"/>
  <c r="D36" i="97"/>
  <c r="D75" i="97"/>
  <c r="D109" i="97"/>
  <c r="D43" i="97"/>
  <c r="D44" i="97"/>
  <c r="D48" i="97"/>
  <c r="D49" i="97"/>
  <c r="D24" i="97"/>
  <c r="D50" i="97"/>
  <c r="AF3" i="30" l="1"/>
  <c r="F1" i="98" s="1"/>
  <c r="AF2" i="30"/>
  <c r="C1" i="98" s="1"/>
  <c r="AD2" i="30"/>
  <c r="AB21" i="30" s="1"/>
  <c r="AH21" i="30" a="1"/>
  <c r="AD21" i="30" a="1"/>
  <c r="AF21" i="30" a="1"/>
  <c r="AJ21" i="30" a="1"/>
  <c r="AH21" i="30" l="1"/>
  <c r="AJ21" i="30"/>
  <c r="AF21" i="30"/>
  <c r="AD21" i="30"/>
  <c r="AB48" i="30"/>
  <c r="AB13" i="30"/>
  <c r="AB47" i="30"/>
  <c r="AB39" i="30"/>
  <c r="AB37" i="30"/>
  <c r="AB38" i="30"/>
  <c r="AB35" i="30"/>
  <c r="AB36" i="30"/>
  <c r="AB34" i="30"/>
  <c r="AB33" i="30"/>
  <c r="AB94" i="30"/>
  <c r="AB96" i="30"/>
  <c r="AB92" i="30"/>
  <c r="AB93" i="30"/>
  <c r="AB95" i="30"/>
  <c r="AB15" i="30"/>
  <c r="AB43" i="30"/>
  <c r="AB55" i="30"/>
  <c r="AB77" i="30"/>
  <c r="AB16" i="30"/>
  <c r="AB56" i="30"/>
  <c r="AB78" i="30"/>
  <c r="AB45" i="30"/>
  <c r="AB57" i="30"/>
  <c r="AB79" i="30"/>
  <c r="AB18" i="30"/>
  <c r="AB46" i="30"/>
  <c r="AB58" i="30"/>
  <c r="AB80" i="30"/>
  <c r="AB49" i="30"/>
  <c r="AB61" i="30"/>
  <c r="AB86" i="30"/>
  <c r="AB72" i="30"/>
  <c r="AB19" i="30"/>
  <c r="AB59" i="30"/>
  <c r="AB81" i="30"/>
  <c r="AB83" i="30"/>
  <c r="AB23" i="30"/>
  <c r="AB64" i="30"/>
  <c r="AB74" i="30"/>
  <c r="AB20" i="30"/>
  <c r="AB60" i="30"/>
  <c r="AB82" i="30"/>
  <c r="AB63" i="30"/>
  <c r="AB85" i="30"/>
  <c r="AB52" i="30"/>
  <c r="AB50" i="30"/>
  <c r="AB62" i="30"/>
  <c r="AB84" i="30"/>
  <c r="AB51" i="30"/>
  <c r="AB24" i="30"/>
  <c r="AB25" i="30"/>
  <c r="AB65" i="30"/>
  <c r="AB87" i="30"/>
  <c r="AB26" i="30"/>
  <c r="AB66" i="30"/>
  <c r="AB88" i="30"/>
  <c r="AB27" i="30"/>
  <c r="AB67" i="30"/>
  <c r="AB89" i="30"/>
  <c r="AB28" i="30"/>
  <c r="AB68" i="30"/>
  <c r="AB90" i="30"/>
  <c r="AB29" i="30"/>
  <c r="AB69" i="30"/>
  <c r="AB91" i="30"/>
  <c r="AB30" i="30"/>
  <c r="AB70" i="30"/>
  <c r="AB31" i="30"/>
  <c r="AB71" i="30"/>
  <c r="AB14" i="30"/>
  <c r="AB32" i="30"/>
  <c r="AB73" i="30"/>
  <c r="AB40" i="30"/>
  <c r="AB41" i="30"/>
  <c r="AB53" i="30"/>
  <c r="AB75" i="30"/>
  <c r="AB42" i="30"/>
  <c r="AB54" i="30"/>
  <c r="AB76" i="30"/>
  <c r="AB44" i="30"/>
  <c r="AB17" i="30"/>
  <c r="B1" i="98"/>
  <c r="E14" i="97"/>
  <c r="AD3" i="30"/>
  <c r="AJ35" i="30" a="1"/>
  <c r="AD48" i="30" a="1"/>
  <c r="AH38" i="30" a="1"/>
  <c r="AD19" i="30" a="1"/>
  <c r="AH36" i="30" a="1"/>
  <c r="AH33" i="30" a="1"/>
  <c r="AJ38" i="30" a="1"/>
  <c r="AD47" i="30" a="1"/>
  <c r="AJ33" i="30" a="1"/>
  <c r="AH16" i="30" a="1"/>
  <c r="AD16" i="30" a="1"/>
  <c r="AH47" i="30" a="1"/>
  <c r="AF17" i="30" a="1"/>
  <c r="AD36" i="30" a="1"/>
  <c r="AH48" i="30" a="1"/>
  <c r="AD37" i="30" a="1"/>
  <c r="AH15" i="30" a="1"/>
  <c r="AJ37" i="30" a="1"/>
  <c r="AF16" i="30" a="1"/>
  <c r="AH13" i="30" a="1"/>
  <c r="AD20" i="30" a="1"/>
  <c r="AF33" i="30" a="1"/>
  <c r="AJ34" i="30" a="1"/>
  <c r="AD17" i="30" a="1"/>
  <c r="AH17" i="30" a="1"/>
  <c r="AD35" i="30" a="1"/>
  <c r="AD23" i="30" a="1"/>
  <c r="AJ47" i="30" a="1"/>
  <c r="AH14" i="30" a="1"/>
  <c r="AF39" i="30" a="1"/>
  <c r="AD39" i="30" a="1"/>
  <c r="AF48" i="30" a="1"/>
  <c r="AJ39" i="30" a="1"/>
  <c r="AH34" i="30" a="1"/>
  <c r="AF38" i="30" a="1"/>
  <c r="AD38" i="30" a="1"/>
  <c r="AJ48" i="30" a="1"/>
  <c r="AF37" i="30" a="1"/>
  <c r="AF34" i="30" a="1"/>
  <c r="AF35" i="30" a="1"/>
  <c r="AF14" i="30" a="1"/>
  <c r="AD18" i="30" a="1"/>
  <c r="AJ36" i="30" a="1"/>
  <c r="AD15" i="30" a="1"/>
  <c r="AF36" i="30" a="1"/>
  <c r="AD33" i="30" a="1"/>
  <c r="AD34" i="30" a="1"/>
  <c r="AH19" i="30" a="1"/>
  <c r="AH37" i="30" a="1"/>
  <c r="AH35" i="30" a="1"/>
  <c r="AF13" i="30" a="1"/>
  <c r="AD13" i="30" a="1"/>
  <c r="AJ13" i="30" a="1"/>
  <c r="AF47" i="30" a="1"/>
  <c r="AF15" i="30" a="1"/>
  <c r="AD14" i="30" a="1"/>
  <c r="AH18" i="30" a="1"/>
  <c r="AH39" i="30" a="1"/>
  <c r="AH48" i="30" l="1"/>
  <c r="AJ48" i="30"/>
  <c r="AF48" i="30"/>
  <c r="AD48" i="30"/>
  <c r="AH13" i="30"/>
  <c r="AJ13" i="30"/>
  <c r="AD13" i="30"/>
  <c r="AF13" i="30"/>
  <c r="AF14" i="30"/>
  <c r="AD14" i="30"/>
  <c r="AH14" i="30"/>
  <c r="AD19" i="30"/>
  <c r="AH19" i="30"/>
  <c r="AF16" i="30"/>
  <c r="AD16" i="30"/>
  <c r="AH16" i="30"/>
  <c r="AD23" i="30"/>
  <c r="AF15" i="30"/>
  <c r="AD15" i="30"/>
  <c r="AH15" i="30"/>
  <c r="AF17" i="30"/>
  <c r="AD17" i="30"/>
  <c r="AH17" i="30"/>
  <c r="AD18" i="30"/>
  <c r="AH18" i="30"/>
  <c r="AD20" i="30"/>
  <c r="AD39" i="30"/>
  <c r="AF39" i="30"/>
  <c r="AJ39" i="30"/>
  <c r="AH39" i="30"/>
  <c r="AF47" i="30"/>
  <c r="AJ47" i="30"/>
  <c r="AH47" i="30"/>
  <c r="AD47" i="30"/>
  <c r="AJ38" i="30"/>
  <c r="AH38" i="30"/>
  <c r="AF38" i="30"/>
  <c r="AD38" i="30"/>
  <c r="AD37" i="30"/>
  <c r="AF37" i="30"/>
  <c r="AH37" i="30"/>
  <c r="AJ37" i="30"/>
  <c r="AJ36" i="30"/>
  <c r="AH36" i="30"/>
  <c r="AF36" i="30"/>
  <c r="AD36" i="30"/>
  <c r="AD35" i="30"/>
  <c r="AF35" i="30"/>
  <c r="AH35" i="30"/>
  <c r="AJ35" i="30"/>
  <c r="AF34" i="30"/>
  <c r="AD34" i="30"/>
  <c r="AH34" i="30"/>
  <c r="AJ34" i="30"/>
  <c r="AJ33" i="30"/>
  <c r="AH33" i="30"/>
  <c r="AF33" i="30"/>
  <c r="AD33" i="30"/>
  <c r="E13" i="97"/>
  <c r="E1" i="98"/>
  <c r="B17" i="98" s="1"/>
  <c r="F14" i="97"/>
  <c r="B33" i="98" l="1"/>
  <c r="B31" i="98"/>
  <c r="B54" i="98"/>
  <c r="B36" i="98"/>
  <c r="B57" i="98"/>
  <c r="B35" i="98"/>
  <c r="B45" i="98"/>
  <c r="B52" i="98"/>
  <c r="B16" i="98"/>
  <c r="B51" i="98"/>
  <c r="B72" i="98"/>
  <c r="B68" i="98"/>
  <c r="B24" i="98"/>
  <c r="B23" i="98"/>
  <c r="B22" i="98"/>
  <c r="B66" i="98"/>
  <c r="B65" i="98"/>
  <c r="B30" i="98"/>
  <c r="B29" i="98"/>
  <c r="B46" i="98"/>
  <c r="B44" i="98"/>
  <c r="B43" i="98"/>
  <c r="B34" i="98"/>
  <c r="B67" i="98"/>
  <c r="B32" i="98"/>
  <c r="B50" i="98"/>
  <c r="B21" i="98"/>
  <c r="B59" i="98"/>
  <c r="B71" i="98"/>
  <c r="B42" i="98"/>
  <c r="B20" i="98"/>
  <c r="B63" i="98"/>
  <c r="B41" i="98"/>
  <c r="B53" i="98"/>
  <c r="B48" i="98"/>
  <c r="B62" i="98"/>
  <c r="B19" i="98"/>
  <c r="B49" i="98"/>
  <c r="B70" i="98"/>
  <c r="B18" i="98"/>
  <c r="B26" i="98"/>
  <c r="B40" i="98"/>
  <c r="B64" i="98"/>
  <c r="B58" i="98"/>
  <c r="B55" i="98"/>
  <c r="B60" i="98"/>
  <c r="B69" i="98"/>
  <c r="B61" i="98"/>
  <c r="B56" i="98"/>
  <c r="B38" i="98"/>
  <c r="B47" i="98"/>
  <c r="B39" i="98"/>
  <c r="B28" i="98"/>
  <c r="B27" i="98"/>
  <c r="B37" i="98"/>
  <c r="B25" i="98"/>
  <c r="F13" i="97"/>
  <c r="G13" i="97" s="1"/>
  <c r="G14" i="97"/>
  <c r="D70" i="98"/>
  <c r="F26" i="98"/>
  <c r="F63" i="98"/>
  <c r="C69" i="98"/>
  <c r="E48" i="98"/>
  <c r="E68" i="98"/>
  <c r="D72" i="98"/>
  <c r="C22" i="98"/>
  <c r="E21" i="98"/>
  <c r="F39" i="98"/>
  <c r="D25" i="98"/>
  <c r="C61" i="98"/>
  <c r="E26" i="98"/>
  <c r="C30" i="98"/>
  <c r="E29" i="98"/>
  <c r="D24" i="98"/>
  <c r="E40" i="98"/>
  <c r="C36" i="98"/>
  <c r="E19" i="98"/>
  <c r="C71" i="98"/>
  <c r="E45" i="98"/>
  <c r="E39" i="98"/>
  <c r="C38" i="98"/>
  <c r="C45" i="98"/>
  <c r="E56" i="98"/>
  <c r="C19" i="98"/>
  <c r="C63" i="98"/>
  <c r="F51" i="98"/>
  <c r="F46" i="98"/>
  <c r="E64" i="98"/>
  <c r="C50" i="98"/>
  <c r="F66" i="98"/>
  <c r="F49" i="98"/>
  <c r="F68" i="98"/>
  <c r="E61" i="98"/>
  <c r="E42" i="98"/>
  <c r="F34" i="98"/>
  <c r="D23" i="98"/>
  <c r="D59" i="98"/>
  <c r="E27" i="98"/>
  <c r="C17" i="98"/>
  <c r="E49" i="98"/>
  <c r="F22" i="98"/>
  <c r="D36" i="98"/>
  <c r="F59" i="98"/>
  <c r="D61" i="98"/>
  <c r="F19" i="98"/>
  <c r="C51" i="98"/>
  <c r="F56" i="98"/>
  <c r="C21" i="98"/>
  <c r="D27" i="98"/>
  <c r="E36" i="98"/>
  <c r="E43" i="98"/>
  <c r="F55" i="98"/>
  <c r="E37" i="98"/>
  <c r="C25" i="98"/>
  <c r="F42" i="98"/>
  <c r="F17" i="98"/>
  <c r="F61" i="98"/>
  <c r="C31" i="98"/>
  <c r="D26" i="98"/>
  <c r="D30" i="98"/>
  <c r="D34" i="98"/>
  <c r="F31" i="98"/>
  <c r="F60" i="98"/>
  <c r="F62" i="98"/>
  <c r="F64" i="98"/>
  <c r="E23" i="98"/>
  <c r="C42" i="98"/>
  <c r="F71" i="98"/>
  <c r="C35" i="98"/>
  <c r="C28" i="98"/>
  <c r="D58" i="98"/>
  <c r="C33" i="98"/>
  <c r="D32" i="98"/>
  <c r="C72" i="98"/>
  <c r="C52" i="98"/>
  <c r="E63" i="98"/>
  <c r="C48" i="98"/>
  <c r="E65" i="98"/>
  <c r="F25" i="98"/>
  <c r="E41" i="98"/>
  <c r="F18" i="98"/>
  <c r="E44" i="98"/>
  <c r="D39" i="98"/>
  <c r="F58" i="98"/>
  <c r="C68" i="98"/>
  <c r="D17" i="98"/>
  <c r="F28" i="98"/>
  <c r="D50" i="98"/>
  <c r="E66" i="98"/>
  <c r="C24" i="98"/>
  <c r="E72" i="98"/>
  <c r="C20" i="98"/>
  <c r="D53" i="98"/>
  <c r="D38" i="98"/>
  <c r="D21" i="98"/>
  <c r="D18" i="98"/>
  <c r="D43" i="98"/>
  <c r="E20" i="98"/>
  <c r="E22" i="98"/>
  <c r="F70" i="98"/>
  <c r="D56" i="98"/>
  <c r="C67" i="98"/>
  <c r="E35" i="98"/>
  <c r="E17" i="98"/>
  <c r="D57" i="98"/>
  <c r="D47" i="98"/>
  <c r="D52" i="98"/>
  <c r="D51" i="98"/>
  <c r="E33" i="98"/>
  <c r="C39" i="98"/>
  <c r="C62" i="98"/>
  <c r="F65" i="98"/>
  <c r="D66" i="98"/>
  <c r="E28" i="98"/>
  <c r="F27" i="98"/>
  <c r="E31" i="98"/>
  <c r="C27" i="98"/>
  <c r="D28" i="98"/>
  <c r="F48" i="98"/>
  <c r="F33" i="98"/>
  <c r="C54" i="98"/>
  <c r="E69" i="98"/>
  <c r="D71" i="98"/>
  <c r="F29" i="98"/>
  <c r="C32" i="98"/>
  <c r="E55" i="98"/>
  <c r="E54" i="98"/>
  <c r="F38" i="98"/>
  <c r="C41" i="98"/>
  <c r="E53" i="98"/>
  <c r="F16" i="98"/>
  <c r="C57" i="98"/>
  <c r="D69" i="98"/>
  <c r="E59" i="98"/>
  <c r="C29" i="98"/>
  <c r="F45" i="98"/>
  <c r="F30" i="98"/>
  <c r="E38" i="98"/>
  <c r="D60" i="98"/>
  <c r="C59" i="98"/>
  <c r="F24" i="98"/>
  <c r="E46" i="98"/>
  <c r="C46" i="98"/>
  <c r="D41" i="98"/>
  <c r="D62" i="98"/>
  <c r="F69" i="98"/>
  <c r="C44" i="98"/>
  <c r="F40" i="98"/>
  <c r="D65" i="98"/>
  <c r="C18" i="98"/>
  <c r="E60" i="98"/>
  <c r="E32" i="98"/>
  <c r="F72" i="98"/>
  <c r="F21" i="98"/>
  <c r="F20" i="98"/>
  <c r="F43" i="98"/>
  <c r="C64" i="98"/>
  <c r="C65" i="98"/>
  <c r="C34" i="98"/>
  <c r="C43" i="98"/>
  <c r="F54" i="98"/>
  <c r="D54" i="98"/>
  <c r="C66" i="98"/>
  <c r="C49" i="98"/>
  <c r="C58" i="98"/>
  <c r="F37" i="98"/>
  <c r="D67" i="98"/>
  <c r="E18" i="98"/>
  <c r="D63" i="98"/>
  <c r="F52" i="98"/>
  <c r="C40" i="98"/>
  <c r="E58" i="98"/>
  <c r="E70" i="98"/>
  <c r="D35" i="98"/>
  <c r="F41" i="98"/>
  <c r="D20" i="98"/>
  <c r="C55" i="98"/>
  <c r="D46" i="98"/>
  <c r="E47" i="98"/>
  <c r="D31" i="98"/>
  <c r="D19" i="98"/>
  <c r="D64" i="98"/>
  <c r="E67" i="98"/>
  <c r="C26" i="98"/>
  <c r="C37" i="98"/>
  <c r="E52" i="98"/>
  <c r="D49" i="98"/>
  <c r="D22" i="98"/>
  <c r="E62" i="98"/>
  <c r="F44" i="98"/>
  <c r="E71" i="98"/>
  <c r="D45" i="98"/>
  <c r="E25" i="98"/>
  <c r="C70" i="98"/>
  <c r="F35" i="98"/>
  <c r="C16" i="98"/>
  <c r="C56" i="98"/>
  <c r="C23" i="98"/>
  <c r="D42" i="98"/>
  <c r="E34" i="98"/>
  <c r="D55" i="98"/>
  <c r="D33" i="98"/>
  <c r="C60" i="98"/>
  <c r="F50" i="98"/>
  <c r="D16" i="98"/>
  <c r="E16" i="98"/>
  <c r="E57" i="98"/>
  <c r="D44" i="98"/>
  <c r="D68" i="98"/>
  <c r="F32" i="98"/>
  <c r="E51" i="98"/>
  <c r="D48" i="98"/>
  <c r="E50" i="98"/>
  <c r="E30" i="98"/>
  <c r="F36" i="98"/>
  <c r="C53" i="98"/>
  <c r="D40" i="98"/>
  <c r="F23" i="98"/>
  <c r="D37" i="98"/>
  <c r="D29" i="98"/>
  <c r="F57" i="98"/>
  <c r="F53" i="98"/>
  <c r="C47" i="98"/>
  <c r="F47" i="98"/>
  <c r="F67" i="98"/>
  <c r="E24" i="98"/>
  <c r="G66" i="98" l="1" a="1"/>
  <c r="G66" i="98" s="1"/>
  <c r="K66" i="98" s="1"/>
  <c r="G68" i="98" a="1"/>
  <c r="G68" i="98" s="1"/>
  <c r="K68" i="98" s="1"/>
  <c r="G70" i="98" a="1"/>
  <c r="G70" i="98" s="1"/>
  <c r="K70" i="98" s="1"/>
  <c r="G59" i="98" a="1"/>
  <c r="G59" i="98" s="1"/>
  <c r="K59" i="98" s="1"/>
  <c r="G61" i="98" a="1"/>
  <c r="G61" i="98" s="1"/>
  <c r="K61" i="98" s="1"/>
  <c r="G72" i="98" a="1"/>
  <c r="G72" i="98" s="1"/>
  <c r="K72" i="98" s="1"/>
  <c r="G63" i="98" a="1"/>
  <c r="G63" i="98" s="1"/>
  <c r="K63" i="98" s="1"/>
  <c r="G65" i="98" a="1"/>
  <c r="G65" i="98" s="1"/>
  <c r="K65" i="98" s="1"/>
  <c r="G67" i="98" a="1"/>
  <c r="G67" i="98" s="1"/>
  <c r="K67" i="98" s="1"/>
  <c r="G62" i="98" a="1"/>
  <c r="G62" i="98" s="1"/>
  <c r="K62" i="98" s="1"/>
  <c r="G69" i="98" a="1"/>
  <c r="G69" i="98" s="1"/>
  <c r="K69" i="98" s="1"/>
  <c r="G71" i="98" a="1"/>
  <c r="G71" i="98" s="1"/>
  <c r="K71" i="98" s="1"/>
  <c r="G64" i="98" a="1"/>
  <c r="G64" i="98" s="1"/>
  <c r="K64" i="98" s="1"/>
  <c r="G60" i="98" a="1"/>
  <c r="G60" i="98" s="1"/>
  <c r="K60" i="98" s="1"/>
  <c r="H64" i="98" a="1"/>
  <c r="H64" i="98" s="1"/>
  <c r="H61" i="98" a="1"/>
  <c r="H61" i="98" s="1"/>
  <c r="H66" i="98" a="1"/>
  <c r="H66" i="98" s="1"/>
  <c r="H68" i="98" a="1"/>
  <c r="H68" i="98" s="1"/>
  <c r="H59" i="98" a="1"/>
  <c r="H59" i="98" s="1"/>
  <c r="H70" i="98" a="1"/>
  <c r="H70" i="98" s="1"/>
  <c r="H63" i="98" a="1"/>
  <c r="H63" i="98" s="1"/>
  <c r="H65" i="98" a="1"/>
  <c r="H65" i="98" s="1"/>
  <c r="H60" i="98" a="1"/>
  <c r="H60" i="98" s="1"/>
  <c r="H71" i="98" a="1"/>
  <c r="H71" i="98" s="1"/>
  <c r="H69" i="98" a="1"/>
  <c r="H69" i="98" s="1"/>
  <c r="H72" i="98" a="1"/>
  <c r="H72" i="98" s="1"/>
  <c r="H62" i="98" a="1"/>
  <c r="H62" i="98" s="1"/>
  <c r="H67" i="98" a="1"/>
  <c r="H67" i="98" s="1"/>
  <c r="I62" i="98" a="1"/>
  <c r="I62" i="98" s="1"/>
  <c r="I66" i="98" a="1"/>
  <c r="I66" i="98" s="1"/>
  <c r="I64" i="98" a="1"/>
  <c r="I64" i="98" s="1"/>
  <c r="I59" i="98" a="1"/>
  <c r="I59" i="98" s="1"/>
  <c r="I68" i="98" a="1"/>
  <c r="I68" i="98" s="1"/>
  <c r="I61" i="98" a="1"/>
  <c r="I61" i="98" s="1"/>
  <c r="I72" i="98" a="1"/>
  <c r="I72" i="98" s="1"/>
  <c r="I63" i="98" a="1"/>
  <c r="I63" i="98" s="1"/>
  <c r="I67" i="98" a="1"/>
  <c r="I67" i="98" s="1"/>
  <c r="I65" i="98" a="1"/>
  <c r="I65" i="98" s="1"/>
  <c r="I71" i="98" a="1"/>
  <c r="I71" i="98" s="1"/>
  <c r="I69" i="98" a="1"/>
  <c r="I69" i="98" s="1"/>
  <c r="I70" i="98" a="1"/>
  <c r="I70" i="98" s="1"/>
  <c r="I60" i="98" a="1"/>
  <c r="I60" i="98" s="1"/>
  <c r="J60" i="98" a="1"/>
  <c r="J60" i="98" s="1"/>
  <c r="J71" i="98" a="1"/>
  <c r="J71" i="98" s="1"/>
  <c r="J64" i="98" a="1"/>
  <c r="J64" i="98" s="1"/>
  <c r="J62" i="98" a="1"/>
  <c r="J62" i="98" s="1"/>
  <c r="J66" i="98" a="1"/>
  <c r="J66" i="98" s="1"/>
  <c r="J59" i="98" a="1"/>
  <c r="J59" i="98" s="1"/>
  <c r="J70" i="98" a="1"/>
  <c r="J70" i="98" s="1"/>
  <c r="J61" i="98" a="1"/>
  <c r="J61" i="98" s="1"/>
  <c r="J72" i="98" a="1"/>
  <c r="J72" i="98" s="1"/>
  <c r="J69" i="98" a="1"/>
  <c r="J69" i="98" s="1"/>
  <c r="J67" i="98" a="1"/>
  <c r="J67" i="98" s="1"/>
  <c r="J65" i="98" a="1"/>
  <c r="J65" i="98" s="1"/>
  <c r="J68" i="98" a="1"/>
  <c r="J68" i="98" s="1"/>
  <c r="J63" i="98" a="1"/>
  <c r="J63" i="98" s="1"/>
  <c r="G47" i="98" a="1"/>
  <c r="G47" i="98" s="1"/>
  <c r="K47" i="98" s="1"/>
  <c r="G58" i="98" a="1"/>
  <c r="G58" i="98" s="1"/>
  <c r="K58" i="98" s="1"/>
  <c r="G49" i="98" a="1"/>
  <c r="G49" i="98" s="1"/>
  <c r="K49" i="98" s="1"/>
  <c r="G57" i="98" a="1"/>
  <c r="G57" i="98" s="1"/>
  <c r="K57" i="98" s="1"/>
  <c r="G55" i="98" a="1"/>
  <c r="G55" i="98" s="1"/>
  <c r="K55" i="98" s="1"/>
  <c r="G52" i="98" a="1"/>
  <c r="G52" i="98" s="1"/>
  <c r="K52" i="98" s="1"/>
  <c r="G53" i="98" a="1"/>
  <c r="G53" i="98" s="1"/>
  <c r="K53" i="98" s="1"/>
  <c r="G56" i="98" a="1"/>
  <c r="G56" i="98" s="1"/>
  <c r="K56" i="98" s="1"/>
  <c r="G51" i="98" a="1"/>
  <c r="G51" i="98" s="1"/>
  <c r="K51" i="98" s="1"/>
  <c r="G50" i="98" a="1"/>
  <c r="G50" i="98" s="1"/>
  <c r="K50" i="98" s="1"/>
  <c r="G54" i="98" a="1"/>
  <c r="G54" i="98" s="1"/>
  <c r="K54" i="98" s="1"/>
  <c r="G48" i="98" a="1"/>
  <c r="G48" i="98" s="1"/>
  <c r="K48" i="98" s="1"/>
  <c r="H57" i="98" a="1"/>
  <c r="H57" i="98" s="1"/>
  <c r="H56" i="98" a="1"/>
  <c r="H56" i="98" s="1"/>
  <c r="H50" i="98" a="1"/>
  <c r="H50" i="98" s="1"/>
  <c r="H53" i="98" a="1"/>
  <c r="H53" i="98" s="1"/>
  <c r="H54" i="98" a="1"/>
  <c r="H54" i="98" s="1"/>
  <c r="H48" i="98" a="1"/>
  <c r="H48" i="98" s="1"/>
  <c r="H58" i="98" a="1"/>
  <c r="H58" i="98" s="1"/>
  <c r="H55" i="98" a="1"/>
  <c r="H55" i="98" s="1"/>
  <c r="H52" i="98" a="1"/>
  <c r="H52" i="98" s="1"/>
  <c r="H49" i="98" a="1"/>
  <c r="H49" i="98" s="1"/>
  <c r="H51" i="98" a="1"/>
  <c r="H51" i="98" s="1"/>
  <c r="H47" i="98" a="1"/>
  <c r="H47" i="98" s="1"/>
  <c r="I55" i="98" a="1"/>
  <c r="I55" i="98" s="1"/>
  <c r="I57" i="98" a="1"/>
  <c r="I57" i="98" s="1"/>
  <c r="I50" i="98" a="1"/>
  <c r="I50" i="98" s="1"/>
  <c r="I52" i="98" a="1"/>
  <c r="I52" i="98" s="1"/>
  <c r="I47" i="98" a="1"/>
  <c r="I47" i="98" s="1"/>
  <c r="I58" i="98" a="1"/>
  <c r="I58" i="98" s="1"/>
  <c r="I56" i="98" a="1"/>
  <c r="I56" i="98" s="1"/>
  <c r="I49" i="98" a="1"/>
  <c r="I49" i="98" s="1"/>
  <c r="I51" i="98" a="1"/>
  <c r="I51" i="98" s="1"/>
  <c r="I53" i="98" a="1"/>
  <c r="I53" i="98" s="1"/>
  <c r="I48" i="98" a="1"/>
  <c r="I48" i="98" s="1"/>
  <c r="I54" i="98" a="1"/>
  <c r="I54" i="98" s="1"/>
  <c r="J52" i="98" a="1"/>
  <c r="J52" i="98" s="1"/>
  <c r="J56" i="98" a="1"/>
  <c r="J56" i="98" s="1"/>
  <c r="J50" i="98" a="1"/>
  <c r="J50" i="98" s="1"/>
  <c r="J47" i="98" a="1"/>
  <c r="J47" i="98" s="1"/>
  <c r="J58" i="98" a="1"/>
  <c r="J58" i="98" s="1"/>
  <c r="J51" i="98" a="1"/>
  <c r="J51" i="98" s="1"/>
  <c r="J49" i="98" a="1"/>
  <c r="J49" i="98" s="1"/>
  <c r="J55" i="98" a="1"/>
  <c r="J55" i="98" s="1"/>
  <c r="J54" i="98" a="1"/>
  <c r="J54" i="98" s="1"/>
  <c r="J57" i="98" a="1"/>
  <c r="J57" i="98" s="1"/>
  <c r="J53" i="98" a="1"/>
  <c r="J53" i="98" s="1"/>
  <c r="J48" i="98" a="1"/>
  <c r="J48" i="98" s="1"/>
  <c r="H13" i="97"/>
  <c r="H14" i="97"/>
  <c r="L69" i="98" l="1"/>
  <c r="V69" i="98" s="1"/>
  <c r="N69" i="98"/>
  <c r="P69" i="98"/>
  <c r="M69" i="98"/>
  <c r="O69" i="98"/>
  <c r="U69" i="98" s="1"/>
  <c r="S69" i="98"/>
  <c r="Q69" i="98"/>
  <c r="R69" i="98"/>
  <c r="T69" i="98"/>
  <c r="O65" i="98"/>
  <c r="U65" i="98" s="1"/>
  <c r="P65" i="98"/>
  <c r="T65" i="98"/>
  <c r="Q65" i="98"/>
  <c r="R65" i="98"/>
  <c r="S65" i="98"/>
  <c r="N65" i="98"/>
  <c r="L65" i="98"/>
  <c r="V65" i="98" s="1"/>
  <c r="M65" i="98"/>
  <c r="W69" i="98"/>
  <c r="X69" i="98"/>
  <c r="AC69" i="98"/>
  <c r="Y69" i="98"/>
  <c r="AF69" i="98"/>
  <c r="Z69" i="98"/>
  <c r="AD69" i="98"/>
  <c r="AA69" i="98"/>
  <c r="AB69" i="98"/>
  <c r="AE69" i="98"/>
  <c r="L70" i="98"/>
  <c r="V70" i="98" s="1"/>
  <c r="Q70" i="98"/>
  <c r="R70" i="98"/>
  <c r="S70" i="98"/>
  <c r="T70" i="98"/>
  <c r="M70" i="98"/>
  <c r="N70" i="98"/>
  <c r="P70" i="98"/>
  <c r="O70" i="98"/>
  <c r="U70" i="98" s="1"/>
  <c r="S72" i="98"/>
  <c r="T72" i="98"/>
  <c r="O72" i="98"/>
  <c r="U72" i="98" s="1"/>
  <c r="Q72" i="98"/>
  <c r="L72" i="98"/>
  <c r="V72" i="98" s="1"/>
  <c r="M72" i="98"/>
  <c r="N72" i="98"/>
  <c r="P72" i="98"/>
  <c r="R72" i="98"/>
  <c r="S61" i="98"/>
  <c r="T61" i="98"/>
  <c r="O61" i="98"/>
  <c r="U61" i="98" s="1"/>
  <c r="P61" i="98"/>
  <c r="Q61" i="98"/>
  <c r="R61" i="98"/>
  <c r="L61" i="98"/>
  <c r="V61" i="98" s="1"/>
  <c r="M61" i="98"/>
  <c r="N61" i="98"/>
  <c r="AE71" i="98"/>
  <c r="AF71" i="98"/>
  <c r="AA71" i="98"/>
  <c r="Y71" i="98"/>
  <c r="Z71" i="98"/>
  <c r="AB71" i="98"/>
  <c r="AC71" i="98"/>
  <c r="X71" i="98"/>
  <c r="W71" i="98"/>
  <c r="AD71" i="98"/>
  <c r="L68" i="98"/>
  <c r="V68" i="98" s="1"/>
  <c r="M68" i="98"/>
  <c r="N68" i="98"/>
  <c r="S68" i="98"/>
  <c r="O68" i="98"/>
  <c r="U68" i="98" s="1"/>
  <c r="T68" i="98"/>
  <c r="Q68" i="98"/>
  <c r="R68" i="98"/>
  <c r="P68" i="98"/>
  <c r="L59" i="98"/>
  <c r="V59" i="98" s="1"/>
  <c r="M59" i="98"/>
  <c r="Q59" i="98"/>
  <c r="R59" i="98"/>
  <c r="N59" i="98"/>
  <c r="O59" i="98"/>
  <c r="U59" i="98" s="1"/>
  <c r="P59" i="98"/>
  <c r="S59" i="98"/>
  <c r="T59" i="98"/>
  <c r="AC62" i="98"/>
  <c r="AD62" i="98"/>
  <c r="AE62" i="98"/>
  <c r="AF62" i="98"/>
  <c r="Y62" i="98"/>
  <c r="Z62" i="98"/>
  <c r="W62" i="98"/>
  <c r="X62" i="98"/>
  <c r="AA62" i="98"/>
  <c r="AB62" i="98"/>
  <c r="M64" i="98"/>
  <c r="L64" i="98"/>
  <c r="V64" i="98" s="1"/>
  <c r="O64" i="98"/>
  <c r="U64" i="98" s="1"/>
  <c r="P64" i="98"/>
  <c r="Q64" i="98"/>
  <c r="R64" i="98"/>
  <c r="T64" i="98"/>
  <c r="N64" i="98"/>
  <c r="S64" i="98"/>
  <c r="W67" i="98"/>
  <c r="X67" i="98"/>
  <c r="Y67" i="98"/>
  <c r="Z67" i="98"/>
  <c r="AE67" i="98"/>
  <c r="AB67" i="98"/>
  <c r="AC67" i="98"/>
  <c r="AD67" i="98"/>
  <c r="AA67" i="98"/>
  <c r="AF67" i="98"/>
  <c r="M66" i="98"/>
  <c r="N66" i="98"/>
  <c r="O66" i="98"/>
  <c r="U66" i="98" s="1"/>
  <c r="P66" i="98"/>
  <c r="Q66" i="98"/>
  <c r="T66" i="98"/>
  <c r="R66" i="98"/>
  <c r="L66" i="98"/>
  <c r="V66" i="98" s="1"/>
  <c r="S66" i="98"/>
  <c r="W65" i="98"/>
  <c r="Y65" i="98"/>
  <c r="Z65" i="98"/>
  <c r="AA65" i="98"/>
  <c r="AB65" i="98"/>
  <c r="X65" i="98"/>
  <c r="AC65" i="98"/>
  <c r="AE65" i="98"/>
  <c r="AD65" i="98"/>
  <c r="AF65" i="98"/>
  <c r="N60" i="98"/>
  <c r="M60" i="98"/>
  <c r="R60" i="98"/>
  <c r="L60" i="98"/>
  <c r="V60" i="98" s="1"/>
  <c r="O60" i="98"/>
  <c r="U60" i="98" s="1"/>
  <c r="P60" i="98"/>
  <c r="Q60" i="98"/>
  <c r="S60" i="98"/>
  <c r="T60" i="98"/>
  <c r="AE60" i="98"/>
  <c r="AF60" i="98"/>
  <c r="W60" i="98"/>
  <c r="AA60" i="98"/>
  <c r="AB60" i="98"/>
  <c r="Z60" i="98"/>
  <c r="AC60" i="98"/>
  <c r="Y60" i="98"/>
  <c r="X60" i="98"/>
  <c r="AD60" i="98"/>
  <c r="L62" i="98"/>
  <c r="V62" i="98" s="1"/>
  <c r="O62" i="98"/>
  <c r="U62" i="98" s="1"/>
  <c r="M62" i="98"/>
  <c r="N62" i="98"/>
  <c r="P62" i="98"/>
  <c r="Q62" i="98"/>
  <c r="R62" i="98"/>
  <c r="S62" i="98"/>
  <c r="T62" i="98"/>
  <c r="W63" i="98"/>
  <c r="X63" i="98"/>
  <c r="Y63" i="98"/>
  <c r="AA63" i="98"/>
  <c r="AB63" i="98"/>
  <c r="AC63" i="98"/>
  <c r="AD63" i="98"/>
  <c r="AE63" i="98"/>
  <c r="AF63" i="98"/>
  <c r="Z63" i="98"/>
  <c r="W72" i="98"/>
  <c r="X72" i="98"/>
  <c r="Y72" i="98"/>
  <c r="Z72" i="98"/>
  <c r="AA72" i="98"/>
  <c r="AC72" i="98"/>
  <c r="AD72" i="98"/>
  <c r="AE72" i="98"/>
  <c r="AF72" i="98"/>
  <c r="AB72" i="98"/>
  <c r="L71" i="98"/>
  <c r="V71" i="98" s="1"/>
  <c r="N71" i="98"/>
  <c r="M71" i="98"/>
  <c r="O71" i="98"/>
  <c r="U71" i="98" s="1"/>
  <c r="P71" i="98"/>
  <c r="Q71" i="98"/>
  <c r="S71" i="98"/>
  <c r="T71" i="98"/>
  <c r="R71" i="98"/>
  <c r="Q63" i="98"/>
  <c r="R63" i="98"/>
  <c r="S63" i="98"/>
  <c r="T63" i="98"/>
  <c r="M63" i="98"/>
  <c r="N63" i="98"/>
  <c r="L63" i="98"/>
  <c r="V63" i="98" s="1"/>
  <c r="O63" i="98"/>
  <c r="U63" i="98" s="1"/>
  <c r="P63" i="98"/>
  <c r="X61" i="98"/>
  <c r="W61" i="98"/>
  <c r="Y61" i="98"/>
  <c r="Z61" i="98"/>
  <c r="AA61" i="98"/>
  <c r="AC61" i="98"/>
  <c r="AD61" i="98"/>
  <c r="AE61" i="98"/>
  <c r="AF61" i="98"/>
  <c r="AB61" i="98"/>
  <c r="Z59" i="98"/>
  <c r="Y59" i="98"/>
  <c r="W59" i="98"/>
  <c r="X59" i="98"/>
  <c r="AA59" i="98"/>
  <c r="AB59" i="98"/>
  <c r="AC59" i="98"/>
  <c r="AD59" i="98"/>
  <c r="AE59" i="98"/>
  <c r="AF59" i="98"/>
  <c r="X70" i="98"/>
  <c r="Z70" i="98"/>
  <c r="W70" i="98"/>
  <c r="Y70" i="98"/>
  <c r="AA70" i="98"/>
  <c r="AB70" i="98"/>
  <c r="AC70" i="98"/>
  <c r="AE70" i="98"/>
  <c r="AF70" i="98"/>
  <c r="AD70" i="98"/>
  <c r="W68" i="98"/>
  <c r="AB68" i="98"/>
  <c r="X68" i="98"/>
  <c r="Z68" i="98"/>
  <c r="Y68" i="98"/>
  <c r="AA68" i="98"/>
  <c r="AC68" i="98"/>
  <c r="AD68" i="98"/>
  <c r="AE68" i="98"/>
  <c r="AF68" i="98"/>
  <c r="M67" i="98"/>
  <c r="P67" i="98"/>
  <c r="N67" i="98"/>
  <c r="O67" i="98"/>
  <c r="U67" i="98" s="1"/>
  <c r="Q67" i="98"/>
  <c r="R67" i="98"/>
  <c r="S67" i="98"/>
  <c r="T67" i="98"/>
  <c r="L67" i="98"/>
  <c r="V67" i="98" s="1"/>
  <c r="AA64" i="98"/>
  <c r="AB64" i="98"/>
  <c r="AF64" i="98"/>
  <c r="AC64" i="98"/>
  <c r="AD64" i="98"/>
  <c r="AE64" i="98"/>
  <c r="W64" i="98"/>
  <c r="Z64" i="98"/>
  <c r="X64" i="98"/>
  <c r="Y64" i="98"/>
  <c r="Y66" i="98"/>
  <c r="AB66" i="98"/>
  <c r="Z66" i="98"/>
  <c r="AA66" i="98"/>
  <c r="AC66" i="98"/>
  <c r="AD66" i="98"/>
  <c r="AE66" i="98"/>
  <c r="AF66" i="98"/>
  <c r="W66" i="98"/>
  <c r="X66" i="98"/>
  <c r="L48" i="98"/>
  <c r="V48" i="98" s="1"/>
  <c r="N48" i="98"/>
  <c r="P48" i="98"/>
  <c r="S48" i="98"/>
  <c r="M48" i="98"/>
  <c r="T48" i="98"/>
  <c r="Q48" i="98"/>
  <c r="R48" i="98"/>
  <c r="O48" i="98"/>
  <c r="U48" i="98" s="1"/>
  <c r="L56" i="98"/>
  <c r="V56" i="98" s="1"/>
  <c r="O56" i="98"/>
  <c r="U56" i="98" s="1"/>
  <c r="M56" i="98"/>
  <c r="N56" i="98"/>
  <c r="P56" i="98"/>
  <c r="Q56" i="98"/>
  <c r="R56" i="98"/>
  <c r="S56" i="98"/>
  <c r="T56" i="98"/>
  <c r="Y50" i="98"/>
  <c r="Z50" i="98"/>
  <c r="AB50" i="98"/>
  <c r="AC50" i="98"/>
  <c r="AD50" i="98"/>
  <c r="AE50" i="98"/>
  <c r="AF50" i="98"/>
  <c r="AA50" i="98"/>
  <c r="W50" i="98"/>
  <c r="X50" i="98"/>
  <c r="AA51" i="98"/>
  <c r="AE51" i="98"/>
  <c r="AD51" i="98"/>
  <c r="AF51" i="98"/>
  <c r="X51" i="98"/>
  <c r="Y51" i="98"/>
  <c r="Z51" i="98"/>
  <c r="AB51" i="98"/>
  <c r="AC51" i="98"/>
  <c r="W51" i="98"/>
  <c r="O50" i="98"/>
  <c r="U50" i="98" s="1"/>
  <c r="R50" i="98"/>
  <c r="M50" i="98"/>
  <c r="N50" i="98"/>
  <c r="L50" i="98"/>
  <c r="V50" i="98" s="1"/>
  <c r="S50" i="98"/>
  <c r="T50" i="98"/>
  <c r="Q50" i="98"/>
  <c r="P50" i="98"/>
  <c r="AF56" i="98"/>
  <c r="AC56" i="98"/>
  <c r="X56" i="98"/>
  <c r="W56" i="98"/>
  <c r="Y56" i="98"/>
  <c r="Z56" i="98"/>
  <c r="AA56" i="98"/>
  <c r="AD56" i="98"/>
  <c r="AE56" i="98"/>
  <c r="AB56" i="98"/>
  <c r="Q57" i="98"/>
  <c r="S57" i="98"/>
  <c r="L57" i="98"/>
  <c r="V57" i="98" s="1"/>
  <c r="N57" i="98"/>
  <c r="O57" i="98"/>
  <c r="U57" i="98" s="1"/>
  <c r="R57" i="98"/>
  <c r="P57" i="98"/>
  <c r="T57" i="98"/>
  <c r="M57" i="98"/>
  <c r="AD53" i="98"/>
  <c r="AE53" i="98"/>
  <c r="AF53" i="98"/>
  <c r="AB53" i="98"/>
  <c r="W53" i="98"/>
  <c r="X53" i="98"/>
  <c r="Z53" i="98"/>
  <c r="AA53" i="98"/>
  <c r="Y53" i="98"/>
  <c r="AC53" i="98"/>
  <c r="T55" i="98"/>
  <c r="P55" i="98"/>
  <c r="Q55" i="98"/>
  <c r="R55" i="98"/>
  <c r="N55" i="98"/>
  <c r="O55" i="98"/>
  <c r="U55" i="98" s="1"/>
  <c r="S55" i="98"/>
  <c r="L55" i="98"/>
  <c r="V55" i="98" s="1"/>
  <c r="M55" i="98"/>
  <c r="S58" i="98"/>
  <c r="O58" i="98"/>
  <c r="U58" i="98" s="1"/>
  <c r="Q58" i="98"/>
  <c r="L58" i="98"/>
  <c r="V58" i="98" s="1"/>
  <c r="P58" i="98"/>
  <c r="R58" i="98"/>
  <c r="M58" i="98"/>
  <c r="N58" i="98"/>
  <c r="T58" i="98"/>
  <c r="AE57" i="98"/>
  <c r="AB57" i="98"/>
  <c r="AA57" i="98"/>
  <c r="Y57" i="98"/>
  <c r="AF57" i="98"/>
  <c r="X57" i="98"/>
  <c r="AC57" i="98"/>
  <c r="W57" i="98"/>
  <c r="Z57" i="98"/>
  <c r="AD57" i="98"/>
  <c r="M53" i="98"/>
  <c r="O53" i="98"/>
  <c r="U53" i="98" s="1"/>
  <c r="N53" i="98"/>
  <c r="P53" i="98"/>
  <c r="L53" i="98"/>
  <c r="V53" i="98" s="1"/>
  <c r="Q53" i="98"/>
  <c r="R53" i="98"/>
  <c r="S53" i="98"/>
  <c r="T53" i="98"/>
  <c r="M51" i="98"/>
  <c r="N51" i="98"/>
  <c r="T51" i="98"/>
  <c r="L51" i="98"/>
  <c r="V51" i="98" s="1"/>
  <c r="R51" i="98"/>
  <c r="P51" i="98"/>
  <c r="O51" i="98"/>
  <c r="U51" i="98" s="1"/>
  <c r="Q51" i="98"/>
  <c r="S51" i="98"/>
  <c r="AD54" i="98"/>
  <c r="AF54" i="98"/>
  <c r="AE54" i="98"/>
  <c r="W54" i="98"/>
  <c r="Y54" i="98"/>
  <c r="Z54" i="98"/>
  <c r="AA54" i="98"/>
  <c r="AB54" i="98"/>
  <c r="X54" i="98"/>
  <c r="AC54" i="98"/>
  <c r="AA52" i="98"/>
  <c r="AD52" i="98"/>
  <c r="AC52" i="98"/>
  <c r="AE52" i="98"/>
  <c r="AF52" i="98"/>
  <c r="Y52" i="98"/>
  <c r="AB52" i="98"/>
  <c r="W52" i="98"/>
  <c r="X52" i="98"/>
  <c r="Z52" i="98"/>
  <c r="AE49" i="98"/>
  <c r="Z49" i="98"/>
  <c r="AB49" i="98"/>
  <c r="AF49" i="98"/>
  <c r="W49" i="98"/>
  <c r="X49" i="98"/>
  <c r="AA49" i="98"/>
  <c r="AD49" i="98"/>
  <c r="Y49" i="98"/>
  <c r="AC49" i="98"/>
  <c r="M54" i="98"/>
  <c r="T54" i="98"/>
  <c r="O54" i="98"/>
  <c r="U54" i="98" s="1"/>
  <c r="P54" i="98"/>
  <c r="Q54" i="98"/>
  <c r="R54" i="98"/>
  <c r="S54" i="98"/>
  <c r="L54" i="98"/>
  <c r="V54" i="98" s="1"/>
  <c r="N54" i="98"/>
  <c r="M52" i="98"/>
  <c r="L52" i="98"/>
  <c r="V52" i="98" s="1"/>
  <c r="R52" i="98"/>
  <c r="S52" i="98"/>
  <c r="T52" i="98"/>
  <c r="N52" i="98"/>
  <c r="P52" i="98"/>
  <c r="Q52" i="98"/>
  <c r="O52" i="98"/>
  <c r="U52" i="98" s="1"/>
  <c r="Y58" i="98"/>
  <c r="AB58" i="98"/>
  <c r="AC58" i="98"/>
  <c r="Z58" i="98"/>
  <c r="AA58" i="98"/>
  <c r="AD58" i="98"/>
  <c r="AE58" i="98"/>
  <c r="AF58" i="98"/>
  <c r="W58" i="98"/>
  <c r="X58" i="98"/>
  <c r="N49" i="98"/>
  <c r="O49" i="98"/>
  <c r="U49" i="98" s="1"/>
  <c r="P49" i="98"/>
  <c r="R49" i="98"/>
  <c r="S49" i="98"/>
  <c r="T49" i="98"/>
  <c r="Q49" i="98"/>
  <c r="L49" i="98"/>
  <c r="V49" i="98" s="1"/>
  <c r="M49" i="98"/>
  <c r="AA48" i="98"/>
  <c r="AB48" i="98"/>
  <c r="AD48" i="98"/>
  <c r="Y48" i="98"/>
  <c r="AE48" i="98"/>
  <c r="W48" i="98"/>
  <c r="AF48" i="98"/>
  <c r="AC48" i="98"/>
  <c r="X48" i="98"/>
  <c r="Z48" i="98"/>
  <c r="N47" i="98"/>
  <c r="S47" i="98"/>
  <c r="T47" i="98"/>
  <c r="L47" i="98"/>
  <c r="V47" i="98" s="1"/>
  <c r="M47" i="98"/>
  <c r="P47" i="98"/>
  <c r="Q47" i="98"/>
  <c r="R47" i="98"/>
  <c r="O47" i="98"/>
  <c r="U47" i="98" s="1"/>
  <c r="Y55" i="98"/>
  <c r="AD55" i="98"/>
  <c r="AE55" i="98"/>
  <c r="W55" i="98"/>
  <c r="X55" i="98"/>
  <c r="AF55" i="98"/>
  <c r="AA55" i="98"/>
  <c r="Z55" i="98"/>
  <c r="AB55" i="98"/>
  <c r="AC55" i="98"/>
  <c r="AF47" i="98"/>
  <c r="W47" i="98"/>
  <c r="AB47" i="98"/>
  <c r="Y47" i="98"/>
  <c r="Z47" i="98"/>
  <c r="AC47" i="98"/>
  <c r="AA47" i="98"/>
  <c r="AD47" i="98"/>
  <c r="AE47" i="98"/>
  <c r="X47" i="98"/>
  <c r="I14" i="97"/>
  <c r="I13" i="97"/>
  <c r="J13" i="97" l="1"/>
  <c r="J14" i="97"/>
  <c r="K14" i="97" l="1"/>
  <c r="K13" i="97"/>
  <c r="L13" i="97" l="1"/>
  <c r="L14" i="97"/>
  <c r="M13" i="97" l="1"/>
  <c r="M14" i="97"/>
  <c r="N14" i="97" l="1"/>
  <c r="N13" i="97"/>
  <c r="O13" i="97" l="1"/>
  <c r="O14" i="97"/>
  <c r="P14" i="97" l="1"/>
  <c r="P13" i="97"/>
  <c r="Q13" i="97" l="1"/>
  <c r="Q14" i="97"/>
  <c r="R14" i="97" l="1"/>
  <c r="R13" i="97"/>
  <c r="S13" i="97" l="1"/>
  <c r="S14" i="97"/>
  <c r="H30" i="98" l="1" a="1"/>
  <c r="H30" i="98" s="1"/>
  <c r="H44" i="98" a="1"/>
  <c r="H44" i="98" s="1"/>
  <c r="H42" i="98" a="1"/>
  <c r="H42" i="98" s="1"/>
  <c r="H21" i="98" a="1"/>
  <c r="H21" i="98" s="1"/>
  <c r="F60" i="138" s="1"/>
  <c r="H24" i="98" a="1"/>
  <c r="H24" i="98" s="1"/>
  <c r="F63" i="138" s="1"/>
  <c r="H41" i="98" a="1"/>
  <c r="H41" i="98" s="1"/>
  <c r="H40" i="98" a="1"/>
  <c r="H40" i="98" s="1"/>
  <c r="H26" i="98" a="1"/>
  <c r="H26" i="98" s="1"/>
  <c r="F65" i="138" s="1"/>
  <c r="H35" i="98" a="1"/>
  <c r="H35" i="98" s="1"/>
  <c r="H17" i="98" a="1"/>
  <c r="H17" i="98" s="1"/>
  <c r="F56" i="138" s="1"/>
  <c r="H18" i="98" a="1"/>
  <c r="H18" i="98" s="1"/>
  <c r="F57" i="138" s="1"/>
  <c r="H46" i="98" a="1"/>
  <c r="H46" i="98" s="1"/>
  <c r="H22" i="98" a="1"/>
  <c r="H22" i="98" s="1"/>
  <c r="F61" i="138" s="1"/>
  <c r="H28" i="98" a="1"/>
  <c r="H28" i="98" s="1"/>
  <c r="F67" i="138" s="1"/>
  <c r="H23" i="98" a="1"/>
  <c r="H23" i="98" s="1"/>
  <c r="F62" i="138" s="1"/>
  <c r="H43" i="98" a="1"/>
  <c r="H43" i="98" s="1"/>
  <c r="H45" i="98" a="1"/>
  <c r="H45" i="98" s="1"/>
  <c r="H29" i="98" a="1"/>
  <c r="H29" i="98" s="1"/>
  <c r="H34" i="98" a="1"/>
  <c r="H34" i="98" s="1"/>
  <c r="H37" i="98" a="1"/>
  <c r="H37" i="98" s="1"/>
  <c r="H38" i="98" a="1"/>
  <c r="H38" i="98" s="1"/>
  <c r="H20" i="98" a="1"/>
  <c r="H20" i="98" s="1"/>
  <c r="F59" i="138" s="1"/>
  <c r="H36" i="98" a="1"/>
  <c r="H36" i="98" s="1"/>
  <c r="H19" i="98" a="1"/>
  <c r="H19" i="98" s="1"/>
  <c r="F58" i="138" s="1"/>
  <c r="H31" i="98" a="1"/>
  <c r="H31" i="98" s="1"/>
  <c r="H25" i="98" a="1"/>
  <c r="H25" i="98" s="1"/>
  <c r="F64" i="138" s="1"/>
  <c r="H39" i="98" a="1"/>
  <c r="H39" i="98" s="1"/>
  <c r="H33" i="98" a="1"/>
  <c r="H33" i="98" s="1"/>
  <c r="H27" i="98" a="1"/>
  <c r="H27" i="98" s="1"/>
  <c r="F66" i="138" s="1"/>
  <c r="H32" i="98" a="1"/>
  <c r="H32" i="98" s="1"/>
  <c r="H16" i="98" a="1"/>
  <c r="H16" i="98" s="1"/>
  <c r="F55" i="138" s="1"/>
  <c r="I18" i="98" a="1"/>
  <c r="I18" i="98" s="1"/>
  <c r="I37" i="98" a="1"/>
  <c r="I37" i="98" s="1"/>
  <c r="I30" i="98" a="1"/>
  <c r="I30" i="98" s="1"/>
  <c r="O30" i="98" s="1"/>
  <c r="U30" i="98" s="1"/>
  <c r="I35" i="98" a="1"/>
  <c r="I35" i="98" s="1"/>
  <c r="T35" i="98" s="1"/>
  <c r="I29" i="98" a="1"/>
  <c r="I29" i="98" s="1"/>
  <c r="I33" i="98" a="1"/>
  <c r="I33" i="98" s="1"/>
  <c r="I23" i="98" a="1"/>
  <c r="I23" i="98" s="1"/>
  <c r="I24" i="98" a="1"/>
  <c r="I24" i="98" s="1"/>
  <c r="I31" i="98" a="1"/>
  <c r="I31" i="98" s="1"/>
  <c r="N31" i="98" s="1"/>
  <c r="I46" i="98" a="1"/>
  <c r="I46" i="98" s="1"/>
  <c r="I16" i="98" a="1"/>
  <c r="I16" i="98" s="1"/>
  <c r="I44" i="98" a="1"/>
  <c r="I44" i="98" s="1"/>
  <c r="N44" i="98" s="1"/>
  <c r="I26" i="98" a="1"/>
  <c r="I26" i="98" s="1"/>
  <c r="G65" i="138" s="1"/>
  <c r="I28" i="98" a="1"/>
  <c r="I28" i="98" s="1"/>
  <c r="G67" i="138" s="1"/>
  <c r="I20" i="98" a="1"/>
  <c r="I20" i="98" s="1"/>
  <c r="G59" i="138" s="1"/>
  <c r="I27" i="98" a="1"/>
  <c r="I27" i="98" s="1"/>
  <c r="I38" i="98" a="1"/>
  <c r="I38" i="98" s="1"/>
  <c r="O38" i="98" s="1"/>
  <c r="U38" i="98" s="1"/>
  <c r="I19" i="98" a="1"/>
  <c r="I19" i="98" s="1"/>
  <c r="O19" i="98" s="1"/>
  <c r="U19" i="98" s="1"/>
  <c r="I36" i="98" a="1"/>
  <c r="I36" i="98" s="1"/>
  <c r="Q36" i="98" s="1"/>
  <c r="I42" i="98" a="1"/>
  <c r="I42" i="98" s="1"/>
  <c r="I21" i="98" a="1"/>
  <c r="I21" i="98" s="1"/>
  <c r="I25" i="98" a="1"/>
  <c r="I25" i="98" s="1"/>
  <c r="I39" i="98" a="1"/>
  <c r="I39" i="98" s="1"/>
  <c r="Q39" i="98" s="1"/>
  <c r="I40" i="98" a="1"/>
  <c r="I40" i="98" s="1"/>
  <c r="I41" i="98" a="1"/>
  <c r="I41" i="98" s="1"/>
  <c r="N41" i="98" s="1"/>
  <c r="I32" i="98" a="1"/>
  <c r="I32" i="98" s="1"/>
  <c r="O32" i="98" s="1"/>
  <c r="U32" i="98" s="1"/>
  <c r="I22" i="98" a="1"/>
  <c r="I22" i="98" s="1"/>
  <c r="I17" i="98" a="1"/>
  <c r="I17" i="98" s="1"/>
  <c r="I45" i="98" a="1"/>
  <c r="I45" i="98" s="1"/>
  <c r="I34" i="98" a="1"/>
  <c r="I34" i="98" s="1"/>
  <c r="R34" i="98" s="1"/>
  <c r="I43" i="98" a="1"/>
  <c r="I43" i="98" s="1"/>
  <c r="N43" i="98" s="1"/>
  <c r="G29" i="98" a="1"/>
  <c r="G29" i="98" s="1"/>
  <c r="K29" i="98" s="1"/>
  <c r="G37" i="98" a="1"/>
  <c r="G37" i="98" s="1"/>
  <c r="K37" i="98" s="1"/>
  <c r="G19" i="98" a="1"/>
  <c r="G19" i="98" s="1"/>
  <c r="K19" i="98" s="1"/>
  <c r="G28" i="98" a="1"/>
  <c r="G28" i="98" s="1"/>
  <c r="K28" i="98" s="1"/>
  <c r="G42" i="98" a="1"/>
  <c r="G42" i="98" s="1"/>
  <c r="K42" i="98" s="1"/>
  <c r="G41" i="98" a="1"/>
  <c r="G41" i="98" s="1"/>
  <c r="G45" i="98" a="1"/>
  <c r="G45" i="98" s="1"/>
  <c r="G39" i="98" a="1"/>
  <c r="G39" i="98" s="1"/>
  <c r="G38" i="98" a="1"/>
  <c r="G38" i="98" s="1"/>
  <c r="G46" i="98" a="1"/>
  <c r="G46" i="98" s="1"/>
  <c r="G36" i="98" a="1"/>
  <c r="G36" i="98" s="1"/>
  <c r="G23" i="98" a="1"/>
  <c r="G23" i="98" s="1"/>
  <c r="K23" i="98" s="1"/>
  <c r="G20" i="98" a="1"/>
  <c r="G20" i="98" s="1"/>
  <c r="K20" i="98" s="1"/>
  <c r="G26" i="98" a="1"/>
  <c r="G26" i="98" s="1"/>
  <c r="K26" i="98" s="1"/>
  <c r="G33" i="98" a="1"/>
  <c r="G33" i="98" s="1"/>
  <c r="G31" i="98" a="1"/>
  <c r="G31" i="98" s="1"/>
  <c r="G24" i="98" a="1"/>
  <c r="G24" i="98" s="1"/>
  <c r="K24" i="98" s="1"/>
  <c r="G18" i="98" a="1"/>
  <c r="G18" i="98" s="1"/>
  <c r="K18" i="98" s="1"/>
  <c r="G30" i="98" a="1"/>
  <c r="G30" i="98" s="1"/>
  <c r="K30" i="98" s="1"/>
  <c r="G34" i="98" a="1"/>
  <c r="G34" i="98" s="1"/>
  <c r="K34" i="98" s="1"/>
  <c r="G43" i="98" a="1"/>
  <c r="G43" i="98" s="1"/>
  <c r="K43" i="98" s="1"/>
  <c r="G44" i="98" a="1"/>
  <c r="G44" i="98" s="1"/>
  <c r="G35" i="98" a="1"/>
  <c r="G35" i="98" s="1"/>
  <c r="G25" i="98" a="1"/>
  <c r="G25" i="98" s="1"/>
  <c r="K25" i="98" s="1"/>
  <c r="G40" i="98" a="1"/>
  <c r="G40" i="98" s="1"/>
  <c r="K40" i="98" s="1"/>
  <c r="G32" i="98" a="1"/>
  <c r="G32" i="98" s="1"/>
  <c r="K32" i="98" s="1"/>
  <c r="G16" i="98" a="1"/>
  <c r="G16" i="98" s="1"/>
  <c r="K16" i="98" s="1"/>
  <c r="G21" i="98" a="1"/>
  <c r="G21" i="98" s="1"/>
  <c r="K21" i="98" s="1"/>
  <c r="G17" i="98" a="1"/>
  <c r="G17" i="98" s="1"/>
  <c r="K17" i="98" s="1"/>
  <c r="G22" i="98" a="1"/>
  <c r="G22" i="98" s="1"/>
  <c r="K22" i="98" s="1"/>
  <c r="G27" i="98" a="1"/>
  <c r="G27" i="98" s="1"/>
  <c r="J27" i="98" a="1"/>
  <c r="J27" i="98" s="1"/>
  <c r="I66" i="138" s="1"/>
  <c r="J40" i="98" a="1"/>
  <c r="J40" i="98" s="1"/>
  <c r="J18" i="98" a="1"/>
  <c r="J18" i="98" s="1"/>
  <c r="I57" i="138" s="1"/>
  <c r="J29" i="98" a="1"/>
  <c r="J29" i="98" s="1"/>
  <c r="J44" i="98" a="1"/>
  <c r="J44" i="98" s="1"/>
  <c r="J42" i="98" a="1"/>
  <c r="J42" i="98" s="1"/>
  <c r="J36" i="98" a="1"/>
  <c r="J36" i="98" s="1"/>
  <c r="J30" i="98" a="1"/>
  <c r="J30" i="98" s="1"/>
  <c r="J33" i="98" a="1"/>
  <c r="J33" i="98" s="1"/>
  <c r="J22" i="98" a="1"/>
  <c r="J22" i="98" s="1"/>
  <c r="I61" i="138" s="1"/>
  <c r="J37" i="98" a="1"/>
  <c r="J37" i="98" s="1"/>
  <c r="J19" i="98" a="1"/>
  <c r="J19" i="98" s="1"/>
  <c r="I58" i="138" s="1"/>
  <c r="J16" i="98" a="1"/>
  <c r="J16" i="98" s="1"/>
  <c r="I55" i="138" s="1"/>
  <c r="J24" i="98" a="1"/>
  <c r="J24" i="98" s="1"/>
  <c r="I63" i="138" s="1"/>
  <c r="J45" i="98" a="1"/>
  <c r="J45" i="98" s="1"/>
  <c r="J31" i="98" a="1"/>
  <c r="J31" i="98" s="1"/>
  <c r="J35" i="98" a="1"/>
  <c r="J35" i="98" s="1"/>
  <c r="J20" i="98" a="1"/>
  <c r="J20" i="98" s="1"/>
  <c r="I59" i="138" s="1"/>
  <c r="J26" i="98" a="1"/>
  <c r="J26" i="98" s="1"/>
  <c r="I65" i="138" s="1"/>
  <c r="J41" i="98" a="1"/>
  <c r="J41" i="98" s="1"/>
  <c r="J21" i="98" a="1"/>
  <c r="J21" i="98" s="1"/>
  <c r="I60" i="138" s="1"/>
  <c r="J43" i="98" a="1"/>
  <c r="J43" i="98" s="1"/>
  <c r="J38" i="98" a="1"/>
  <c r="J38" i="98" s="1"/>
  <c r="J23" i="98" a="1"/>
  <c r="J23" i="98" s="1"/>
  <c r="I62" i="138" s="1"/>
  <c r="J34" i="98" a="1"/>
  <c r="J34" i="98" s="1"/>
  <c r="J25" i="98" a="1"/>
  <c r="J25" i="98" s="1"/>
  <c r="I64" i="138" s="1"/>
  <c r="J32" i="98" a="1"/>
  <c r="J32" i="98" s="1"/>
  <c r="J28" i="98" a="1"/>
  <c r="J28" i="98" s="1"/>
  <c r="I67" i="138" s="1"/>
  <c r="J46" i="98" a="1"/>
  <c r="J46" i="98" s="1"/>
  <c r="J17" i="98" a="1"/>
  <c r="J17" i="98" s="1"/>
  <c r="I56" i="138" s="1"/>
  <c r="J39" i="98" a="1"/>
  <c r="J39" i="98" s="1"/>
  <c r="AH73" i="30" a="1"/>
  <c r="F28" i="97"/>
  <c r="G48" i="97"/>
  <c r="K39" i="97"/>
  <c r="J28" i="97"/>
  <c r="I24" i="97"/>
  <c r="Q43" i="97"/>
  <c r="AH88" i="30" a="1"/>
  <c r="I52" i="97"/>
  <c r="AF19" i="30" a="1"/>
  <c r="I28" i="97"/>
  <c r="M21" i="97"/>
  <c r="AH27" i="30" a="1"/>
  <c r="J19" i="97"/>
  <c r="I21" i="97"/>
  <c r="O25" i="97"/>
  <c r="AF82" i="30" a="1"/>
  <c r="G53" i="97"/>
  <c r="O26" i="97"/>
  <c r="AD58" i="30" a="1"/>
  <c r="AJ85" i="30" a="1"/>
  <c r="P21" i="97"/>
  <c r="AH72" i="30" a="1"/>
  <c r="G50" i="97"/>
  <c r="AF53" i="30" a="1"/>
  <c r="AH55" i="30" a="1"/>
  <c r="AJ25" i="30" a="1"/>
  <c r="L40" i="97"/>
  <c r="AD31" i="30" a="1"/>
  <c r="R38" i="97"/>
  <c r="P29" i="97"/>
  <c r="AH84" i="30" a="1"/>
  <c r="H39" i="97"/>
  <c r="AD24" i="30" a="1"/>
  <c r="N34" i="97"/>
  <c r="S49" i="97"/>
  <c r="AJ45" i="30" a="1"/>
  <c r="F43" i="97"/>
  <c r="S35" i="97"/>
  <c r="L50" i="97"/>
  <c r="G19" i="97"/>
  <c r="P55" i="97"/>
  <c r="AD42" i="30" a="1"/>
  <c r="H33" i="97"/>
  <c r="T35" i="97"/>
  <c r="AJ68" i="30" a="1"/>
  <c r="AF81" i="30" a="1"/>
  <c r="I57" i="97"/>
  <c r="Q38" i="97"/>
  <c r="T47" i="97"/>
  <c r="AF46" i="30" a="1"/>
  <c r="S55" i="97"/>
  <c r="L54" i="97"/>
  <c r="R43" i="97"/>
  <c r="M43" i="97"/>
  <c r="T55" i="97"/>
  <c r="Q36" i="97"/>
  <c r="H21" i="97"/>
  <c r="T49" i="97"/>
  <c r="J20" i="97"/>
  <c r="AH90" i="30" a="1"/>
  <c r="T45" i="97"/>
  <c r="AF96" i="30" a="1"/>
  <c r="AF57" i="30" a="1"/>
  <c r="K19" i="97"/>
  <c r="AF60" i="30" a="1"/>
  <c r="AD95" i="30" a="1"/>
  <c r="H42" i="97"/>
  <c r="N48" i="97"/>
  <c r="F42" i="97"/>
  <c r="AF67" i="30" a="1"/>
  <c r="G52" i="97"/>
  <c r="T25" i="97"/>
  <c r="AJ57" i="30" a="1"/>
  <c r="L57" i="97"/>
  <c r="P44" i="97"/>
  <c r="Q25" i="97"/>
  <c r="H24" i="97"/>
  <c r="L21" i="97"/>
  <c r="AD51" i="30" a="1"/>
  <c r="S20" i="97"/>
  <c r="AD74" i="30" a="1"/>
  <c r="K26" i="97"/>
  <c r="AD85" i="30" a="1"/>
  <c r="AJ15" i="30" a="1"/>
  <c r="N36" i="97"/>
  <c r="AD53" i="30" a="1"/>
  <c r="R21" i="97"/>
  <c r="AJ64" i="30" a="1"/>
  <c r="O42" i="97"/>
  <c r="N19" i="97"/>
  <c r="M23" i="97"/>
  <c r="P40" i="97"/>
  <c r="T19" i="97"/>
  <c r="R45" i="97"/>
  <c r="K24" i="97"/>
  <c r="N50" i="97"/>
  <c r="AH64" i="30" a="1"/>
  <c r="AJ92" i="30" a="1"/>
  <c r="J43" i="97"/>
  <c r="Q44" i="97"/>
  <c r="AD25" i="30" a="1"/>
  <c r="AH56" i="30" a="1"/>
  <c r="AD26" i="30" a="1"/>
  <c r="AJ77" i="30" a="1"/>
  <c r="AH68" i="30" a="1"/>
  <c r="AJ86" i="30" a="1"/>
  <c r="N38" i="97"/>
  <c r="AJ76" i="30" a="1"/>
  <c r="L26" i="97"/>
  <c r="T30" i="97"/>
  <c r="AH82" i="30" a="1"/>
  <c r="AJ14" i="30" a="1"/>
  <c r="T57" i="97"/>
  <c r="S57" i="97"/>
  <c r="L31" i="97"/>
  <c r="S48" i="97"/>
  <c r="AH51" i="30" a="1"/>
  <c r="AF59" i="30" a="1"/>
  <c r="J53" i="97"/>
  <c r="R57" i="97"/>
  <c r="K23" i="97"/>
  <c r="M50" i="97"/>
  <c r="K43" i="97"/>
  <c r="AJ43" i="30" a="1"/>
  <c r="AF27" i="30" a="1"/>
  <c r="O28" i="97"/>
  <c r="I34" i="97"/>
  <c r="AF40" i="30" a="1"/>
  <c r="AH87" i="30" a="1"/>
  <c r="H45" i="97"/>
  <c r="H55" i="97"/>
  <c r="I37" i="97"/>
  <c r="AD63" i="30" a="1"/>
  <c r="AH46" i="30" a="1"/>
  <c r="AJ55" i="30" a="1"/>
  <c r="AJ26" i="30" a="1"/>
  <c r="O36" i="97"/>
  <c r="Q20" i="97"/>
  <c r="L35" i="97"/>
  <c r="AJ75" i="30" a="1"/>
  <c r="AF75" i="30" a="1"/>
  <c r="L47" i="97"/>
  <c r="R35" i="97"/>
  <c r="AH26" i="30" a="1"/>
  <c r="AJ23" i="30" a="1"/>
  <c r="AD82" i="30" a="1"/>
  <c r="K36" i="97"/>
  <c r="T33" i="97"/>
  <c r="N53" i="97"/>
  <c r="AD52" i="30" a="1"/>
  <c r="O54" i="97"/>
  <c r="O44" i="97"/>
  <c r="T28" i="97"/>
  <c r="R40" i="97"/>
  <c r="F37" i="97"/>
  <c r="M44" i="97"/>
  <c r="R23" i="97"/>
  <c r="J29" i="97"/>
  <c r="AH41" i="30" a="1"/>
  <c r="O47" i="97"/>
  <c r="AF72" i="30" a="1"/>
  <c r="O53" i="97"/>
  <c r="AH91" i="30" a="1"/>
  <c r="J37" i="97"/>
  <c r="AD78" i="30" a="1"/>
  <c r="N54" i="97"/>
  <c r="H29" i="97"/>
  <c r="I38" i="97"/>
  <c r="AH79" i="30" a="1"/>
  <c r="T38" i="97"/>
  <c r="R33" i="97"/>
  <c r="G25" i="97"/>
  <c r="Q54" i="97"/>
  <c r="N23" i="97"/>
  <c r="M33" i="97"/>
  <c r="K38" i="97"/>
  <c r="AD28" i="30" a="1"/>
  <c r="J47" i="97"/>
  <c r="N28" i="97"/>
  <c r="AD87" i="30" a="1"/>
  <c r="AF41" i="30" a="1"/>
  <c r="AD73" i="30" a="1"/>
  <c r="Q53" i="97"/>
  <c r="AF84" i="30" a="1"/>
  <c r="AH74" i="30" a="1"/>
  <c r="Q34" i="97"/>
  <c r="N35" i="97"/>
  <c r="AD45" i="30" a="1"/>
  <c r="AD72" i="30" a="1"/>
  <c r="P19" i="97"/>
  <c r="S50" i="97"/>
  <c r="O49" i="97"/>
  <c r="AH70" i="30" a="1"/>
  <c r="M30" i="97"/>
  <c r="AH83" i="30" a="1"/>
  <c r="S19" i="97"/>
  <c r="AJ93" i="30" a="1"/>
  <c r="AH92" i="30" a="1"/>
  <c r="G21" i="97"/>
  <c r="R24" i="97"/>
  <c r="P20" i="97"/>
  <c r="M49" i="97"/>
  <c r="O52" i="97"/>
  <c r="F26" i="97"/>
  <c r="L42" i="97"/>
  <c r="L49" i="97"/>
  <c r="G23" i="97"/>
  <c r="AF54" i="30" a="1"/>
  <c r="AJ41" i="30" a="1"/>
  <c r="AD89" i="30" a="1"/>
  <c r="R55" i="97"/>
  <c r="H52" i="97"/>
  <c r="P53" i="97"/>
  <c r="G33" i="97"/>
  <c r="L44" i="97"/>
  <c r="M31" i="97"/>
  <c r="AD41" i="30" a="1"/>
  <c r="O29" i="97"/>
  <c r="N39" i="97"/>
  <c r="R25" i="97"/>
  <c r="T43" i="97"/>
  <c r="Q49" i="97"/>
  <c r="Q31" i="97"/>
  <c r="T34" i="97"/>
  <c r="AF74" i="30" a="1"/>
  <c r="Q33" i="97"/>
  <c r="L36" i="97"/>
  <c r="N40" i="97"/>
  <c r="J55" i="97"/>
  <c r="AH52" i="30" a="1"/>
  <c r="AF26" i="30" a="1"/>
  <c r="J31" i="97"/>
  <c r="AH28" i="30" a="1"/>
  <c r="K33" i="97"/>
  <c r="AD60" i="30" a="1"/>
  <c r="G20" i="97"/>
  <c r="H53" i="97"/>
  <c r="L30" i="97"/>
  <c r="AH31" i="30" a="1"/>
  <c r="H49" i="97"/>
  <c r="AJ27" i="30" a="1"/>
  <c r="M35" i="97"/>
  <c r="P42" i="97"/>
  <c r="T29" i="97"/>
  <c r="J23" i="97"/>
  <c r="G36" i="97"/>
  <c r="F33" i="97"/>
  <c r="AJ20" i="30" a="1"/>
  <c r="AH77" i="30" a="1"/>
  <c r="H28" i="97"/>
  <c r="AF64" i="30" a="1"/>
  <c r="T48" i="97"/>
  <c r="H44" i="97"/>
  <c r="AJ80" i="30" a="1"/>
  <c r="I39" i="97"/>
  <c r="P50" i="97"/>
  <c r="G39" i="97"/>
  <c r="G54" i="97"/>
  <c r="AF32" i="30" a="1"/>
  <c r="AD96" i="30" a="1"/>
  <c r="J45" i="97"/>
  <c r="P23" i="97"/>
  <c r="G24" i="97"/>
  <c r="N55" i="97"/>
  <c r="Q21" i="97"/>
  <c r="AH20" i="30" a="1"/>
  <c r="S28" i="97"/>
  <c r="M53" i="97"/>
  <c r="R53" i="97"/>
  <c r="Q35" i="97"/>
  <c r="I23" i="97"/>
  <c r="J34" i="97"/>
  <c r="M38" i="97"/>
  <c r="P37" i="97"/>
  <c r="AH59" i="30" a="1"/>
  <c r="L53" i="97"/>
  <c r="F30" i="97"/>
  <c r="AJ94" i="30" a="1"/>
  <c r="AF25" i="30" a="1"/>
  <c r="AD62" i="30" a="1"/>
  <c r="J36" i="97"/>
  <c r="T21" i="97"/>
  <c r="M24" i="97"/>
  <c r="L34" i="97"/>
  <c r="I30" i="97"/>
  <c r="AF89" i="30" a="1"/>
  <c r="P38" i="97"/>
  <c r="S38" i="97"/>
  <c r="S36" i="97"/>
  <c r="N37" i="97"/>
  <c r="F23" i="97"/>
  <c r="AH78" i="30" a="1"/>
  <c r="M40" i="97"/>
  <c r="F24" i="97"/>
  <c r="AF80" i="30" a="1"/>
  <c r="L52" i="97"/>
  <c r="T40" i="97"/>
  <c r="Q37" i="97"/>
  <c r="AH60" i="30" a="1"/>
  <c r="AH85" i="30" a="1"/>
  <c r="J21" i="97"/>
  <c r="AJ59" i="30" a="1"/>
  <c r="P54" i="97"/>
  <c r="M45" i="97"/>
  <c r="M34" i="97"/>
  <c r="O20" i="97"/>
  <c r="O38" i="97"/>
  <c r="N47" i="97"/>
  <c r="G55" i="97"/>
  <c r="H38" i="97"/>
  <c r="I29" i="97"/>
  <c r="Q40" i="97"/>
  <c r="AJ82" i="30" a="1"/>
  <c r="AD68" i="30" a="1"/>
  <c r="AH61" i="30" a="1"/>
  <c r="AF58" i="30" a="1"/>
  <c r="R37" i="97"/>
  <c r="G40" i="97"/>
  <c r="P48" i="97"/>
  <c r="AJ66" i="30" a="1"/>
  <c r="P49" i="97"/>
  <c r="Q29" i="97"/>
  <c r="K49" i="97"/>
  <c r="AJ62" i="30" a="1"/>
  <c r="L24" i="97"/>
  <c r="AD91" i="30" a="1"/>
  <c r="N30" i="97"/>
  <c r="AD61" i="30" a="1"/>
  <c r="AH40" i="30" a="1"/>
  <c r="J50" i="97"/>
  <c r="M47" i="97"/>
  <c r="J35" i="97"/>
  <c r="R39" i="97"/>
  <c r="AJ67" i="30" a="1"/>
  <c r="J57" i="97"/>
  <c r="AF69" i="30" a="1"/>
  <c r="L55" i="97"/>
  <c r="G34" i="97"/>
  <c r="AF79" i="30" a="1"/>
  <c r="AF65" i="30" a="1"/>
  <c r="F36" i="97"/>
  <c r="AF66" i="30" a="1"/>
  <c r="J42" i="97"/>
  <c r="AD43" i="30" a="1"/>
  <c r="G30" i="97"/>
  <c r="AJ46" i="30" a="1"/>
  <c r="AD54" i="30" a="1"/>
  <c r="O39" i="97"/>
  <c r="AH86" i="30" a="1"/>
  <c r="S33" i="97"/>
  <c r="L38" i="97"/>
  <c r="L28" i="97"/>
  <c r="AJ89" i="30" a="1"/>
  <c r="J49" i="97"/>
  <c r="F49" i="97"/>
  <c r="N20" i="97"/>
  <c r="K31" i="97"/>
  <c r="S44" i="97"/>
  <c r="R26" i="97"/>
  <c r="Q24" i="97"/>
  <c r="H25" i="97"/>
  <c r="F50" i="97"/>
  <c r="I55" i="97"/>
  <c r="K30" i="97"/>
  <c r="AJ83" i="30" a="1"/>
  <c r="AJ50" i="30" a="1"/>
  <c r="Q42" i="97"/>
  <c r="T54" i="97"/>
  <c r="O19" i="97"/>
  <c r="AJ78" i="30" a="1"/>
  <c r="O45" i="97"/>
  <c r="O43" i="97"/>
  <c r="AH42" i="30" a="1"/>
  <c r="AH75" i="30" a="1"/>
  <c r="Q55" i="97"/>
  <c r="F34" i="97"/>
  <c r="AD90" i="30" a="1"/>
  <c r="AF71" i="30" a="1"/>
  <c r="M39" i="97"/>
  <c r="H50" i="97"/>
  <c r="O23" i="97"/>
  <c r="R29" i="97"/>
  <c r="AD64" i="30" a="1"/>
  <c r="P25" i="97"/>
  <c r="J44" i="97"/>
  <c r="J25" i="97"/>
  <c r="T53" i="97"/>
  <c r="N57" i="97"/>
  <c r="AJ32" i="30" a="1"/>
  <c r="H36" i="97"/>
  <c r="T52" i="97"/>
  <c r="AF43" i="30" a="1"/>
  <c r="I31" i="97"/>
  <c r="P26" i="97"/>
  <c r="AD70" i="30" a="1"/>
  <c r="AF51" i="30" a="1"/>
  <c r="AJ19" i="30" a="1"/>
  <c r="O21" i="97"/>
  <c r="G57" i="97"/>
  <c r="AD77" i="30" a="1"/>
  <c r="F31" i="97"/>
  <c r="AJ49" i="30" a="1"/>
  <c r="H19" i="97"/>
  <c r="AH80" i="30" a="1"/>
  <c r="AD59" i="30" a="1"/>
  <c r="O33" i="97"/>
  <c r="AF42" i="30" a="1"/>
  <c r="N25" i="97"/>
  <c r="M48" i="97"/>
  <c r="AH69" i="30" a="1"/>
  <c r="AF56" i="30" a="1"/>
  <c r="J52" i="97"/>
  <c r="S54" i="97"/>
  <c r="H31" i="97"/>
  <c r="H54" i="97"/>
  <c r="AF85" i="30" a="1"/>
  <c r="L48" i="97"/>
  <c r="AH23" i="30" a="1"/>
  <c r="O57" i="97"/>
  <c r="AD57" i="30" a="1"/>
  <c r="O50" i="97"/>
  <c r="M52" i="97"/>
  <c r="S39" i="97"/>
  <c r="AD75" i="30" a="1"/>
  <c r="AJ91" i="30" a="1"/>
  <c r="AJ72" i="30" a="1"/>
  <c r="AF52" i="30" a="1"/>
  <c r="AD56" i="30" a="1"/>
  <c r="AD55" i="30" a="1"/>
  <c r="K28" i="97"/>
  <c r="N26" i="97"/>
  <c r="G44" i="97"/>
  <c r="AJ53" i="30" a="1"/>
  <c r="T31" i="97"/>
  <c r="F29" i="97"/>
  <c r="G42" i="97"/>
  <c r="AH63" i="30" a="1"/>
  <c r="AD32" i="30" a="1"/>
  <c r="G28" i="97"/>
  <c r="G26" i="97"/>
  <c r="G37" i="97"/>
  <c r="S21" i="97"/>
  <c r="F57" i="97"/>
  <c r="I19" i="97"/>
  <c r="M20" i="97"/>
  <c r="K40" i="97"/>
  <c r="P31" i="97"/>
  <c r="AF90" i="30" a="1"/>
  <c r="AJ51" i="30" a="1"/>
  <c r="F40" i="97"/>
  <c r="F38" i="97"/>
  <c r="L39" i="97"/>
  <c r="AF61" i="30" a="1"/>
  <c r="M54" i="97"/>
  <c r="AJ70" i="30" a="1"/>
  <c r="H57" i="97"/>
  <c r="K52" i="97"/>
  <c r="O31" i="97"/>
  <c r="AJ84" i="30" a="1"/>
  <c r="S25" i="97"/>
  <c r="I43" i="97"/>
  <c r="AF68" i="30" a="1"/>
  <c r="R30" i="97"/>
  <c r="N31" i="97"/>
  <c r="AJ52" i="30" a="1"/>
  <c r="AD65" i="30" a="1"/>
  <c r="AJ81" i="30" a="1"/>
  <c r="P33" i="97"/>
  <c r="P36" i="97"/>
  <c r="R31" i="97"/>
  <c r="AH94" i="30" a="1"/>
  <c r="AJ42" i="30" a="1"/>
  <c r="M25" i="97"/>
  <c r="T39" i="97"/>
  <c r="AF23" i="30" a="1"/>
  <c r="Q39" i="97"/>
  <c r="F39" i="97"/>
  <c r="Q30" i="97"/>
  <c r="S42" i="97"/>
  <c r="G38" i="97"/>
  <c r="F48" i="97"/>
  <c r="S45" i="97"/>
  <c r="O37" i="97"/>
  <c r="AJ18" i="30" a="1"/>
  <c r="AH96" i="30" a="1"/>
  <c r="AH58" i="30" a="1"/>
  <c r="M42" i="97"/>
  <c r="AJ73" i="30" a="1"/>
  <c r="AJ17" i="30" a="1"/>
  <c r="AJ58" i="30" a="1"/>
  <c r="F53" i="97"/>
  <c r="AF18" i="30" a="1"/>
  <c r="AD84" i="30" a="1"/>
  <c r="F47" i="97"/>
  <c r="AH95" i="30" a="1"/>
  <c r="J39" i="97"/>
  <c r="AF73" i="30" a="1"/>
  <c r="L19" i="97"/>
  <c r="P52" i="97"/>
  <c r="AF30" i="30" a="1"/>
  <c r="K55" i="97"/>
  <c r="M29" i="97"/>
  <c r="AF78" i="30" a="1"/>
  <c r="Q28" i="97"/>
  <c r="I44" i="97"/>
  <c r="S40" i="97"/>
  <c r="Q50" i="97"/>
  <c r="K54" i="97"/>
  <c r="AJ40" i="30" a="1"/>
  <c r="AJ54" i="30" a="1"/>
  <c r="H26" i="97"/>
  <c r="L43" i="97"/>
  <c r="AJ65" i="30" a="1"/>
  <c r="R47" i="97"/>
  <c r="J30" i="97"/>
  <c r="M55" i="97"/>
  <c r="AH50" i="30" a="1"/>
  <c r="H20" i="97"/>
  <c r="K53" i="97"/>
  <c r="S30" i="97"/>
  <c r="AD66" i="30" a="1"/>
  <c r="L33" i="97"/>
  <c r="I35" i="97"/>
  <c r="F20" i="97"/>
  <c r="O40" i="97"/>
  <c r="AF77" i="30" a="1"/>
  <c r="AH53" i="30" a="1"/>
  <c r="R20" i="97"/>
  <c r="P30" i="97"/>
  <c r="P45" i="97"/>
  <c r="N45" i="97"/>
  <c r="R19" i="97"/>
  <c r="T50" i="97"/>
  <c r="S24" i="97"/>
  <c r="AF55" i="30" a="1"/>
  <c r="L45" i="97"/>
  <c r="AF63" i="30" a="1"/>
  <c r="AH30" i="30" a="1"/>
  <c r="P57" i="97"/>
  <c r="AF70" i="30" a="1"/>
  <c r="S37" i="97"/>
  <c r="M19" i="97"/>
  <c r="F45" i="97"/>
  <c r="AJ95" i="30" a="1"/>
  <c r="R44" i="97"/>
  <c r="S23" i="97"/>
  <c r="G47" i="97"/>
  <c r="G31" i="97"/>
  <c r="AH76" i="30" a="1"/>
  <c r="R42" i="97"/>
  <c r="AJ24" i="30" a="1"/>
  <c r="J33" i="97"/>
  <c r="AD40" i="30" a="1"/>
  <c r="P28" i="97"/>
  <c r="AF86" i="30" a="1"/>
  <c r="T20" i="97"/>
  <c r="P39" i="97"/>
  <c r="F25" i="97"/>
  <c r="T26" i="97"/>
  <c r="P47" i="97"/>
  <c r="O24" i="97"/>
  <c r="G45" i="97"/>
  <c r="I42" i="97"/>
  <c r="AD88" i="30" a="1"/>
  <c r="J26" i="97"/>
  <c r="O30" i="97"/>
  <c r="K35" i="97"/>
  <c r="H30" i="97"/>
  <c r="T44" i="97"/>
  <c r="AD27" i="30" a="1"/>
  <c r="I36" i="97"/>
  <c r="Q23" i="97"/>
  <c r="J40" i="97"/>
  <c r="Q48" i="97"/>
  <c r="S43" i="97"/>
  <c r="N24" i="97"/>
  <c r="K42" i="97"/>
  <c r="K29" i="97"/>
  <c r="AF44" i="30" a="1"/>
  <c r="S47" i="97"/>
  <c r="AD93" i="30" a="1"/>
  <c r="AJ63" i="30" a="1"/>
  <c r="AF93" i="30" a="1"/>
  <c r="R54" i="97"/>
  <c r="AJ28" i="30" a="1"/>
  <c r="T36" i="97"/>
  <c r="K48" i="97"/>
  <c r="J48" i="97"/>
  <c r="N33" i="97"/>
  <c r="AJ31" i="30" a="1"/>
  <c r="F52" i="97"/>
  <c r="AD79" i="30" a="1"/>
  <c r="K45" i="97"/>
  <c r="AH57" i="30" a="1"/>
  <c r="Q57" i="97"/>
  <c r="I20" i="97"/>
  <c r="M36" i="97"/>
  <c r="H48" i="97"/>
  <c r="I49" i="97"/>
  <c r="H37" i="97"/>
  <c r="AJ56" i="30" a="1"/>
  <c r="H23" i="97"/>
  <c r="AH89" i="30" a="1"/>
  <c r="AH93" i="30" a="1"/>
  <c r="AF28" i="30" a="1"/>
  <c r="S26" i="97"/>
  <c r="I40" i="97"/>
  <c r="R48" i="97"/>
  <c r="K25" i="97"/>
  <c r="AD67" i="30" a="1"/>
  <c r="I33" i="97"/>
  <c r="N43" i="97"/>
  <c r="AH81" i="30" a="1"/>
  <c r="I54" i="97"/>
  <c r="P35" i="97"/>
  <c r="AJ96" i="30" a="1"/>
  <c r="AH43" i="30" a="1"/>
  <c r="I53" i="97"/>
  <c r="S53" i="97"/>
  <c r="R28" i="97"/>
  <c r="N49" i="97"/>
  <c r="N52" i="97"/>
  <c r="J54" i="97"/>
  <c r="M57" i="97"/>
  <c r="L29" i="97"/>
  <c r="K57" i="97"/>
  <c r="O55" i="97"/>
  <c r="AD46" i="30" a="1"/>
  <c r="I25" i="97"/>
  <c r="AJ44" i="30" a="1"/>
  <c r="AH32" i="30" a="1"/>
  <c r="F44" i="97"/>
  <c r="R49" i="97"/>
  <c r="K20" i="97"/>
  <c r="AJ29" i="30" a="1"/>
  <c r="K21" i="97"/>
  <c r="M28" i="97"/>
  <c r="R52" i="97"/>
  <c r="Q47" i="97"/>
  <c r="AF76" i="30" a="1"/>
  <c r="AF91" i="30" a="1"/>
  <c r="AF95" i="30" a="1"/>
  <c r="AD49" i="30" a="1"/>
  <c r="I48" i="97"/>
  <c r="S34" i="97"/>
  <c r="O48" i="97"/>
  <c r="H35" i="97"/>
  <c r="S52" i="97"/>
  <c r="J24" i="97"/>
  <c r="T37" i="97"/>
  <c r="K37" i="97"/>
  <c r="AF92" i="30" a="1"/>
  <c r="O35" i="97"/>
  <c r="L37" i="97"/>
  <c r="T42" i="97"/>
  <c r="AH29" i="30" a="1"/>
  <c r="S29" i="97"/>
  <c r="AD44" i="30" a="1"/>
  <c r="T24" i="97"/>
  <c r="J38" i="97"/>
  <c r="I26" i="97"/>
  <c r="AF49" i="30" a="1"/>
  <c r="AF29" i="30" a="1"/>
  <c r="N42" i="97"/>
  <c r="AF50" i="30" a="1"/>
  <c r="AH71" i="30" a="1"/>
  <c r="M37" i="97"/>
  <c r="G29" i="97"/>
  <c r="AD83" i="30" a="1"/>
  <c r="K44" i="97"/>
  <c r="N29" i="97"/>
  <c r="P43" i="97"/>
  <c r="Q45" i="97"/>
  <c r="N21" i="97"/>
  <c r="F21" i="97"/>
  <c r="AF62" i="30" a="1"/>
  <c r="AJ87" i="30" a="1"/>
  <c r="H47" i="97"/>
  <c r="AH67" i="30" a="1"/>
  <c r="AD81" i="30" a="1"/>
  <c r="K47" i="97"/>
  <c r="AD30" i="30" a="1"/>
  <c r="F35" i="97"/>
  <c r="AH24" i="30" a="1"/>
  <c r="AF24" i="30" a="1"/>
  <c r="R36" i="97"/>
  <c r="AJ61" i="30" a="1"/>
  <c r="F54" i="97"/>
  <c r="O34" i="97"/>
  <c r="G43" i="97"/>
  <c r="F19" i="97"/>
  <c r="AD92" i="30" a="1"/>
  <c r="Q26" i="97"/>
  <c r="I47" i="97"/>
  <c r="S31" i="97"/>
  <c r="I45" i="97"/>
  <c r="AH62" i="30" a="1"/>
  <c r="I50" i="97"/>
  <c r="AD80" i="30" a="1"/>
  <c r="AJ90" i="30" a="1"/>
  <c r="H40" i="97"/>
  <c r="AF45" i="30" a="1"/>
  <c r="AD29" i="30" a="1"/>
  <c r="AH44" i="30" a="1"/>
  <c r="AJ79" i="30" a="1"/>
  <c r="L20" i="97"/>
  <c r="K34" i="97"/>
  <c r="L25" i="97"/>
  <c r="AD71" i="30" a="1"/>
  <c r="G49" i="97"/>
  <c r="AH54" i="30" a="1"/>
  <c r="AF83" i="30" a="1"/>
  <c r="AH65" i="30" a="1"/>
  <c r="AJ69" i="30" a="1"/>
  <c r="AH66" i="30" a="1"/>
  <c r="AH45" i="30" a="1"/>
  <c r="N44" i="97"/>
  <c r="Q19" i="97"/>
  <c r="AD69" i="30" a="1"/>
  <c r="H34" i="97"/>
  <c r="AF94" i="30" a="1"/>
  <c r="G35" i="97"/>
  <c r="R50" i="97"/>
  <c r="AJ60" i="30" a="1"/>
  <c r="Q52" i="97"/>
  <c r="AJ16" i="30" a="1"/>
  <c r="AF31" i="30" a="1"/>
  <c r="P34" i="97"/>
  <c r="AD50" i="30" a="1"/>
  <c r="AH49" i="30" a="1"/>
  <c r="F55" i="97"/>
  <c r="P24" i="97"/>
  <c r="T23" i="97"/>
  <c r="AF20" i="30" a="1"/>
  <c r="AF88" i="30" a="1"/>
  <c r="H43" i="97"/>
  <c r="K50" i="97"/>
  <c r="AJ74" i="30" a="1"/>
  <c r="AJ30" i="30" a="1"/>
  <c r="L23" i="97"/>
  <c r="AJ88" i="30" a="1"/>
  <c r="M26" i="97"/>
  <c r="AJ71" i="30" a="1"/>
  <c r="AH25" i="30" a="1"/>
  <c r="AD86" i="30" a="1"/>
  <c r="R34" i="97"/>
  <c r="AD94" i="30" a="1"/>
  <c r="AF87" i="30" a="1"/>
  <c r="AD76" i="30" a="1"/>
  <c r="L155" i="97" l="1"/>
  <c r="N155" i="97"/>
  <c r="R155" i="97"/>
  <c r="Q155" i="97"/>
  <c r="I155" i="97"/>
  <c r="G155" i="97"/>
  <c r="P155" i="97"/>
  <c r="H155" i="97"/>
  <c r="O155" i="97"/>
  <c r="K155" i="97"/>
  <c r="S155" i="97"/>
  <c r="T155" i="97"/>
  <c r="U155" i="97"/>
  <c r="M155" i="97"/>
  <c r="J155" i="97"/>
  <c r="J143" i="97"/>
  <c r="R143" i="97"/>
  <c r="L143" i="97"/>
  <c r="H143" i="97"/>
  <c r="G143" i="97"/>
  <c r="M143" i="97"/>
  <c r="O143" i="97"/>
  <c r="Q143" i="97"/>
  <c r="T143" i="97"/>
  <c r="P143" i="97"/>
  <c r="N143" i="97"/>
  <c r="K143" i="97"/>
  <c r="I143" i="97"/>
  <c r="S143" i="97"/>
  <c r="U143" i="97"/>
  <c r="Q137" i="97"/>
  <c r="K137" i="97"/>
  <c r="G137" i="97"/>
  <c r="R137" i="97"/>
  <c r="U137" i="97"/>
  <c r="M137" i="97"/>
  <c r="T137" i="97"/>
  <c r="N137" i="97"/>
  <c r="P137" i="97"/>
  <c r="S137" i="97"/>
  <c r="H137" i="97"/>
  <c r="J137" i="97"/>
  <c r="O137" i="97"/>
  <c r="I137" i="97"/>
  <c r="L137" i="97"/>
  <c r="J131" i="97"/>
  <c r="O131" i="97"/>
  <c r="K131" i="97"/>
  <c r="M131" i="97"/>
  <c r="Q131" i="97"/>
  <c r="P131" i="97"/>
  <c r="T131" i="97"/>
  <c r="G131" i="97"/>
  <c r="L131" i="97"/>
  <c r="R131" i="97"/>
  <c r="H131" i="97"/>
  <c r="N131" i="97"/>
  <c r="S131" i="97"/>
  <c r="U131" i="97"/>
  <c r="I131" i="97"/>
  <c r="G119" i="97"/>
  <c r="H119" i="97"/>
  <c r="O119" i="97"/>
  <c r="L119" i="97"/>
  <c r="T119" i="97"/>
  <c r="P119" i="97"/>
  <c r="K119" i="97"/>
  <c r="U119" i="97"/>
  <c r="R119" i="97"/>
  <c r="S119" i="97"/>
  <c r="M119" i="97"/>
  <c r="Q119" i="97"/>
  <c r="J119" i="97"/>
  <c r="N119" i="97"/>
  <c r="I119" i="97"/>
  <c r="L102" i="97"/>
  <c r="N102" i="97"/>
  <c r="R102" i="97"/>
  <c r="Q102" i="97"/>
  <c r="I102" i="97"/>
  <c r="G102" i="97"/>
  <c r="P102" i="97"/>
  <c r="H102" i="97"/>
  <c r="O102" i="97"/>
  <c r="K102" i="97"/>
  <c r="S102" i="97"/>
  <c r="T102" i="97"/>
  <c r="U102" i="97"/>
  <c r="M102" i="97"/>
  <c r="J102" i="97"/>
  <c r="Q84" i="97"/>
  <c r="K84" i="97"/>
  <c r="G84" i="97"/>
  <c r="R84" i="97"/>
  <c r="U84" i="97"/>
  <c r="M84" i="97"/>
  <c r="T84" i="97"/>
  <c r="N84" i="97"/>
  <c r="P84" i="97"/>
  <c r="S84" i="97"/>
  <c r="H84" i="97"/>
  <c r="J84" i="97"/>
  <c r="O84" i="97"/>
  <c r="I84" i="97"/>
  <c r="L84" i="97"/>
  <c r="J78" i="97"/>
  <c r="O78" i="97"/>
  <c r="K78" i="97"/>
  <c r="M78" i="97"/>
  <c r="Q78" i="97"/>
  <c r="P78" i="97"/>
  <c r="T78" i="97"/>
  <c r="G78" i="97"/>
  <c r="L78" i="97"/>
  <c r="R78" i="97"/>
  <c r="H78" i="97"/>
  <c r="N78" i="97"/>
  <c r="S78" i="97"/>
  <c r="U78" i="97"/>
  <c r="I78" i="97"/>
  <c r="G66" i="97"/>
  <c r="H66" i="97"/>
  <c r="O66" i="97"/>
  <c r="L66" i="97"/>
  <c r="T66" i="97"/>
  <c r="P66" i="97"/>
  <c r="K66" i="97"/>
  <c r="U66" i="97"/>
  <c r="R66" i="97"/>
  <c r="S66" i="97"/>
  <c r="M66" i="97"/>
  <c r="Q66" i="97"/>
  <c r="J66" i="97"/>
  <c r="N66" i="97"/>
  <c r="I66" i="97"/>
  <c r="F56" i="97"/>
  <c r="O56" i="97"/>
  <c r="M56" i="97"/>
  <c r="K56" i="97"/>
  <c r="Q56" i="97"/>
  <c r="I56" i="97"/>
  <c r="L56" i="97"/>
  <c r="G56" i="97"/>
  <c r="N56" i="97"/>
  <c r="J56" i="97"/>
  <c r="R56" i="97"/>
  <c r="H56" i="97"/>
  <c r="T56" i="97"/>
  <c r="S56" i="97"/>
  <c r="P56" i="97"/>
  <c r="K51" i="97"/>
  <c r="R51" i="97"/>
  <c r="I51" i="97"/>
  <c r="T51" i="97"/>
  <c r="Q51" i="97"/>
  <c r="O51" i="97"/>
  <c r="H51" i="97"/>
  <c r="F51" i="97"/>
  <c r="J51" i="97"/>
  <c r="P51" i="97"/>
  <c r="S51" i="97"/>
  <c r="M51" i="97"/>
  <c r="N51" i="97"/>
  <c r="L51" i="97"/>
  <c r="G51" i="97"/>
  <c r="I46" i="97"/>
  <c r="Q46" i="97"/>
  <c r="K46" i="97"/>
  <c r="G46" i="97"/>
  <c r="F46" i="97"/>
  <c r="L46" i="97"/>
  <c r="N46" i="97"/>
  <c r="P46" i="97"/>
  <c r="S46" i="97"/>
  <c r="O46" i="97"/>
  <c r="M46" i="97"/>
  <c r="J46" i="97"/>
  <c r="H46" i="97"/>
  <c r="R46" i="97"/>
  <c r="T46" i="97"/>
  <c r="H41" i="97"/>
  <c r="I41" i="97"/>
  <c r="J41" i="97"/>
  <c r="O41" i="97"/>
  <c r="S41" i="97"/>
  <c r="F41" i="97"/>
  <c r="K41" i="97"/>
  <c r="G41" i="97"/>
  <c r="Q41" i="97"/>
  <c r="T41" i="97"/>
  <c r="M41" i="97"/>
  <c r="N41" i="97"/>
  <c r="R41" i="97"/>
  <c r="P41" i="97"/>
  <c r="L41" i="97"/>
  <c r="S32" i="97"/>
  <c r="G32" i="97"/>
  <c r="R32" i="97"/>
  <c r="N32" i="97"/>
  <c r="O32" i="97"/>
  <c r="P32" i="97"/>
  <c r="T32" i="97"/>
  <c r="H32" i="97"/>
  <c r="F32" i="97"/>
  <c r="I32" i="97"/>
  <c r="K32" i="97"/>
  <c r="J32" i="97"/>
  <c r="Q32" i="97"/>
  <c r="M32" i="97"/>
  <c r="L32" i="97"/>
  <c r="M27" i="97"/>
  <c r="Q27" i="97"/>
  <c r="I27" i="97"/>
  <c r="S27" i="97"/>
  <c r="J27" i="97"/>
  <c r="T27" i="97"/>
  <c r="H27" i="97"/>
  <c r="G27" i="97"/>
  <c r="N27" i="97"/>
  <c r="P27" i="97"/>
  <c r="R27" i="97"/>
  <c r="F27" i="97"/>
  <c r="L27" i="97"/>
  <c r="K27" i="97"/>
  <c r="O27" i="97"/>
  <c r="F22" i="97"/>
  <c r="G22" i="97"/>
  <c r="N22" i="97"/>
  <c r="K22" i="97"/>
  <c r="S22" i="97"/>
  <c r="O22" i="97"/>
  <c r="J22" i="97"/>
  <c r="T22" i="97"/>
  <c r="Q22" i="97"/>
  <c r="R22" i="97"/>
  <c r="L22" i="97"/>
  <c r="P22" i="97"/>
  <c r="I22" i="97"/>
  <c r="M22" i="97"/>
  <c r="H22" i="97"/>
  <c r="X39" i="138" a="1"/>
  <c r="X39" i="138" s="1"/>
  <c r="T38" i="138" a="1"/>
  <c r="T38" i="138" s="1"/>
  <c r="T39" i="138" a="1"/>
  <c r="T39" i="138" s="1"/>
  <c r="T37" i="138" a="1"/>
  <c r="T37" i="138" s="1"/>
  <c r="K38" i="138" a="1"/>
  <c r="K38" i="138" s="1"/>
  <c r="K39" i="138" a="1"/>
  <c r="K39" i="138" s="1"/>
  <c r="I38" i="138" a="1"/>
  <c r="I38" i="138" s="1"/>
  <c r="I39" i="138" a="1"/>
  <c r="I39" i="138" s="1"/>
  <c r="I37" i="138" a="1"/>
  <c r="I37" i="138" s="1"/>
  <c r="H136" i="97"/>
  <c r="H83" i="97"/>
  <c r="O121" i="97"/>
  <c r="O68" i="97"/>
  <c r="P101" i="97"/>
  <c r="P154" i="97"/>
  <c r="M83" i="97"/>
  <c r="M136" i="97"/>
  <c r="AJ49" i="30"/>
  <c r="AJ88" i="30"/>
  <c r="H73" i="97"/>
  <c r="H126" i="97"/>
  <c r="K146" i="97"/>
  <c r="K93" i="97"/>
  <c r="T101" i="97"/>
  <c r="T154" i="97"/>
  <c r="O154" i="97"/>
  <c r="O101" i="97"/>
  <c r="Q122" i="97"/>
  <c r="Q69" i="97"/>
  <c r="AD93" i="30"/>
  <c r="H128" i="97"/>
  <c r="H75" i="97"/>
  <c r="J77" i="97"/>
  <c r="J130" i="97"/>
  <c r="M99" i="97"/>
  <c r="M152" i="97"/>
  <c r="P132" i="97"/>
  <c r="P79" i="97"/>
  <c r="AF90" i="30"/>
  <c r="T89" i="97"/>
  <c r="T142" i="97"/>
  <c r="Q151" i="97"/>
  <c r="Q98" i="97"/>
  <c r="M95" i="97"/>
  <c r="M148" i="97"/>
  <c r="R103" i="97"/>
  <c r="R156" i="97"/>
  <c r="I98" i="97"/>
  <c r="I151" i="97"/>
  <c r="T65" i="97"/>
  <c r="T118" i="97"/>
  <c r="H79" i="97"/>
  <c r="H132" i="97"/>
  <c r="O65" i="97"/>
  <c r="O118" i="97"/>
  <c r="T83" i="97"/>
  <c r="T136" i="97"/>
  <c r="H118" i="97"/>
  <c r="H65" i="97"/>
  <c r="AD94" i="30"/>
  <c r="R148" i="97"/>
  <c r="R95" i="97"/>
  <c r="K69" i="97"/>
  <c r="K122" i="97"/>
  <c r="AF28" i="30"/>
  <c r="K138" i="97"/>
  <c r="K85" i="97"/>
  <c r="AD32" i="30"/>
  <c r="AF96" i="30"/>
  <c r="H87" i="97"/>
  <c r="H140" i="97"/>
  <c r="G120" i="97"/>
  <c r="G67" i="97"/>
  <c r="U156" i="97"/>
  <c r="U103" i="97"/>
  <c r="AH72" i="30"/>
  <c r="AD69" i="30"/>
  <c r="O105" i="97"/>
  <c r="O158" i="97"/>
  <c r="O62" i="97"/>
  <c r="O115" i="97"/>
  <c r="L130" i="97"/>
  <c r="L77" i="97"/>
  <c r="P162" i="97"/>
  <c r="P109" i="97"/>
  <c r="AD50" i="30"/>
  <c r="Q115" i="97"/>
  <c r="Q62" i="97"/>
  <c r="M87" i="97"/>
  <c r="M140" i="97"/>
  <c r="AH62" i="30"/>
  <c r="K87" i="97"/>
  <c r="K140" i="97"/>
  <c r="G92" i="97"/>
  <c r="G145" i="97"/>
  <c r="AF67" i="30"/>
  <c r="I62" i="97"/>
  <c r="I115" i="97"/>
  <c r="AJ90" i="30"/>
  <c r="AF87" i="30"/>
  <c r="J140" i="97"/>
  <c r="J87" i="97"/>
  <c r="U65" i="97"/>
  <c r="U118" i="97"/>
  <c r="AH26" i="30"/>
  <c r="I104" i="97"/>
  <c r="I157" i="97"/>
  <c r="G80" i="97"/>
  <c r="G133" i="97"/>
  <c r="I162" i="97"/>
  <c r="I109" i="97"/>
  <c r="N128" i="97"/>
  <c r="N75" i="97"/>
  <c r="T99" i="97"/>
  <c r="T152" i="97"/>
  <c r="G122" i="97"/>
  <c r="G69" i="97"/>
  <c r="I122" i="97"/>
  <c r="I69" i="97"/>
  <c r="AH95" i="30"/>
  <c r="P120" i="97"/>
  <c r="P67" i="97"/>
  <c r="S71" i="97"/>
  <c r="S124" i="97"/>
  <c r="U132" i="97"/>
  <c r="U79" i="97"/>
  <c r="K115" i="97"/>
  <c r="K62" i="97"/>
  <c r="O107" i="97"/>
  <c r="O160" i="97"/>
  <c r="I86" i="97"/>
  <c r="I139" i="97"/>
  <c r="M67" i="97"/>
  <c r="M120" i="97"/>
  <c r="AD89" i="30"/>
  <c r="H109" i="97"/>
  <c r="H162" i="97"/>
  <c r="I67" i="97"/>
  <c r="I120" i="97"/>
  <c r="AD82" i="30"/>
  <c r="AH75" i="30"/>
  <c r="AJ86" i="30"/>
  <c r="R133" i="97"/>
  <c r="R80" i="97"/>
  <c r="AJ46" i="30"/>
  <c r="AF66" i="30"/>
  <c r="K103" i="97"/>
  <c r="K156" i="97"/>
  <c r="AJ55" i="30"/>
  <c r="AD31" i="30"/>
  <c r="I124" i="97"/>
  <c r="I71" i="97"/>
  <c r="P95" i="97"/>
  <c r="P148" i="97"/>
  <c r="K74" i="97"/>
  <c r="K127" i="97"/>
  <c r="I150" i="97"/>
  <c r="I97" i="97"/>
  <c r="AF73" i="30"/>
  <c r="Q104" i="97"/>
  <c r="Q157" i="97"/>
  <c r="AH70" i="30"/>
  <c r="L146" i="97"/>
  <c r="L93" i="97"/>
  <c r="H80" i="97"/>
  <c r="H133" i="97"/>
  <c r="J133" i="97"/>
  <c r="J80" i="97"/>
  <c r="AJ85" i="30"/>
  <c r="AD60" i="30"/>
  <c r="AD54" i="30"/>
  <c r="AJ43" i="30"/>
  <c r="AH61" i="30"/>
  <c r="N150" i="97"/>
  <c r="N97" i="97"/>
  <c r="I146" i="97"/>
  <c r="I93" i="97"/>
  <c r="R74" i="97"/>
  <c r="R127" i="97"/>
  <c r="H71" i="97"/>
  <c r="H124" i="97"/>
  <c r="M69" i="97"/>
  <c r="M122" i="97"/>
  <c r="AD78" i="30"/>
  <c r="AD64" i="30"/>
  <c r="AF18" i="30"/>
  <c r="N115" i="97"/>
  <c r="N62" i="97"/>
  <c r="AJ32" i="30"/>
  <c r="AD87" i="30"/>
  <c r="AF65" i="30"/>
  <c r="G116" i="97"/>
  <c r="G63" i="97"/>
  <c r="T139" i="97"/>
  <c r="T86" i="97"/>
  <c r="AJ57" i="30"/>
  <c r="H138" i="97"/>
  <c r="H85" i="97"/>
  <c r="J115" i="97"/>
  <c r="J62" i="97"/>
  <c r="N79" i="97"/>
  <c r="N132" i="97"/>
  <c r="N77" i="97"/>
  <c r="N130" i="97"/>
  <c r="AD43" i="30"/>
  <c r="AD51" i="30"/>
  <c r="R104" i="97"/>
  <c r="R157" i="97"/>
  <c r="H116" i="97"/>
  <c r="H63" i="97"/>
  <c r="AD68" i="30"/>
  <c r="J139" i="97"/>
  <c r="J86" i="97"/>
  <c r="R128" i="97"/>
  <c r="R75" i="97"/>
  <c r="G146" i="97"/>
  <c r="G93" i="97"/>
  <c r="U67" i="97"/>
  <c r="U120" i="97"/>
  <c r="AF80" i="30"/>
  <c r="G127" i="97"/>
  <c r="G74" i="97"/>
  <c r="S126" i="97"/>
  <c r="S73" i="97"/>
  <c r="L83" i="97"/>
  <c r="L136" i="97"/>
  <c r="K152" i="97"/>
  <c r="K99" i="97"/>
  <c r="N122" i="97"/>
  <c r="N69" i="97"/>
  <c r="S86" i="97"/>
  <c r="S139" i="97"/>
  <c r="Q77" i="97"/>
  <c r="Q130" i="97"/>
  <c r="G109" i="97"/>
  <c r="G162" i="97"/>
  <c r="AF27" i="30"/>
  <c r="K81" i="97"/>
  <c r="K134" i="97"/>
  <c r="AJ76" i="30"/>
  <c r="M91" i="97"/>
  <c r="M144" i="97"/>
  <c r="AD41" i="30"/>
  <c r="AD73" i="30"/>
  <c r="G65" i="97"/>
  <c r="G118" i="97"/>
  <c r="AD55" i="30"/>
  <c r="Q86" i="97"/>
  <c r="Q139" i="97"/>
  <c r="S68" i="97"/>
  <c r="S121" i="97"/>
  <c r="H81" i="97"/>
  <c r="H134" i="97"/>
  <c r="G98" i="97"/>
  <c r="G151" i="97"/>
  <c r="AF79" i="30"/>
  <c r="U93" i="97"/>
  <c r="U146" i="97"/>
  <c r="AF94" i="30"/>
  <c r="L99" i="97"/>
  <c r="L152" i="97"/>
  <c r="N71" i="97"/>
  <c r="N124" i="97"/>
  <c r="AH71" i="30"/>
  <c r="S122" i="97"/>
  <c r="S69" i="97"/>
  <c r="K128" i="97"/>
  <c r="K75" i="97"/>
  <c r="AJ93" i="30"/>
  <c r="K154" i="97"/>
  <c r="K101" i="97"/>
  <c r="L140" i="97"/>
  <c r="L87" i="97"/>
  <c r="P156" i="97"/>
  <c r="P103" i="97"/>
  <c r="AH91" i="30"/>
  <c r="AF72" i="30"/>
  <c r="Q120" i="97"/>
  <c r="Q67" i="97"/>
  <c r="J91" i="97"/>
  <c r="J144" i="97"/>
  <c r="L128" i="97"/>
  <c r="L75" i="97"/>
  <c r="S120" i="97"/>
  <c r="S67" i="97"/>
  <c r="P89" i="97"/>
  <c r="P142" i="97"/>
  <c r="P62" i="97"/>
  <c r="P115" i="97"/>
  <c r="N146" i="97"/>
  <c r="N93" i="97"/>
  <c r="G132" i="97"/>
  <c r="G79" i="97"/>
  <c r="S98" i="97"/>
  <c r="S151" i="97"/>
  <c r="U105" i="97"/>
  <c r="U158" i="97"/>
  <c r="AJ54" i="30"/>
  <c r="AH65" i="30"/>
  <c r="AD52" i="30"/>
  <c r="R142" i="97"/>
  <c r="R89" i="97"/>
  <c r="AF69" i="30"/>
  <c r="O99" i="97"/>
  <c r="O152" i="97"/>
  <c r="M71" i="97"/>
  <c r="M124" i="97"/>
  <c r="S85" i="97"/>
  <c r="S138" i="97"/>
  <c r="U121" i="97"/>
  <c r="U68" i="97"/>
  <c r="S134" i="97"/>
  <c r="S81" i="97"/>
  <c r="M97" i="97"/>
  <c r="M150" i="97"/>
  <c r="P83" i="97"/>
  <c r="P136" i="97"/>
  <c r="Q126" i="97"/>
  <c r="Q73" i="97"/>
  <c r="R62" i="97"/>
  <c r="R115" i="97"/>
  <c r="S132" i="97"/>
  <c r="S79" i="97"/>
  <c r="O63" i="97"/>
  <c r="O116" i="97"/>
  <c r="AD84" i="30"/>
  <c r="I144" i="97"/>
  <c r="I91" i="97"/>
  <c r="N81" i="97"/>
  <c r="N134" i="97"/>
  <c r="N133" i="97"/>
  <c r="N80" i="97"/>
  <c r="H144" i="97"/>
  <c r="H91" i="97"/>
  <c r="G85" i="97"/>
  <c r="G138" i="97"/>
  <c r="AJ95" i="30"/>
  <c r="O85" i="97"/>
  <c r="O138" i="97"/>
  <c r="AH40" i="30"/>
  <c r="Q116" i="97"/>
  <c r="Q63" i="97"/>
  <c r="S101" i="97"/>
  <c r="S154" i="97"/>
  <c r="AH67" i="30"/>
  <c r="AJ75" i="30"/>
  <c r="L132" i="97"/>
  <c r="L79" i="97"/>
  <c r="AJ15" i="30"/>
  <c r="R116" i="97"/>
  <c r="R63" i="97"/>
  <c r="N101" i="97"/>
  <c r="N154" i="97"/>
  <c r="U148" i="97"/>
  <c r="U95" i="97"/>
  <c r="Q138" i="97"/>
  <c r="Q85" i="97"/>
  <c r="Q93" i="97"/>
  <c r="Q146" i="97"/>
  <c r="AJ62" i="30"/>
  <c r="O156" i="97"/>
  <c r="O103" i="97"/>
  <c r="AF86" i="30"/>
  <c r="R99" i="97"/>
  <c r="R152" i="97"/>
  <c r="R86" i="97"/>
  <c r="R139" i="97"/>
  <c r="P146" i="97"/>
  <c r="P93" i="97"/>
  <c r="H121" i="97"/>
  <c r="H68" i="97"/>
  <c r="AH24" i="30"/>
  <c r="AF60" i="30"/>
  <c r="P74" i="97"/>
  <c r="P127" i="97"/>
  <c r="AJ19" i="30"/>
  <c r="U91" i="97"/>
  <c r="U144" i="97"/>
  <c r="Q103" i="97"/>
  <c r="Q156" i="97"/>
  <c r="S109" i="97"/>
  <c r="S162" i="97"/>
  <c r="AD45" i="30"/>
  <c r="AH66" i="30"/>
  <c r="L92" i="97"/>
  <c r="L145" i="97"/>
  <c r="AJ68" i="30"/>
  <c r="Q107" i="97"/>
  <c r="Q160" i="97"/>
  <c r="T73" i="97"/>
  <c r="T126" i="97"/>
  <c r="M109" i="97"/>
  <c r="M162" i="97"/>
  <c r="M92" i="97"/>
  <c r="M145" i="97"/>
  <c r="AH25" i="30"/>
  <c r="AJ63" i="30"/>
  <c r="AH84" i="30"/>
  <c r="S92" i="97"/>
  <c r="S145" i="97"/>
  <c r="J120" i="97"/>
  <c r="J67" i="97"/>
  <c r="U133" i="97"/>
  <c r="U80" i="97"/>
  <c r="U142" i="97"/>
  <c r="U89" i="97"/>
  <c r="AJ27" i="30"/>
  <c r="N107" i="97"/>
  <c r="N160" i="97"/>
  <c r="AH30" i="30"/>
  <c r="AD71" i="30"/>
  <c r="O98" i="97"/>
  <c r="O151" i="97"/>
  <c r="Q144" i="97"/>
  <c r="Q91" i="97"/>
  <c r="I132" i="97"/>
  <c r="I79" i="97"/>
  <c r="AF84" i="30"/>
  <c r="H150" i="97"/>
  <c r="H97" i="97"/>
  <c r="K104" i="97"/>
  <c r="K157" i="97"/>
  <c r="L71" i="97"/>
  <c r="L124" i="97"/>
  <c r="I121" i="97"/>
  <c r="I68" i="97"/>
  <c r="U128" i="97"/>
  <c r="U75" i="97"/>
  <c r="AH79" i="30"/>
  <c r="U152" i="97"/>
  <c r="U99" i="97"/>
  <c r="AF89" i="30"/>
  <c r="R144" i="97"/>
  <c r="R91" i="97"/>
  <c r="J85" i="97"/>
  <c r="J138" i="97"/>
  <c r="I142" i="97"/>
  <c r="I89" i="97"/>
  <c r="P145" i="97"/>
  <c r="P92" i="97"/>
  <c r="O109" i="97"/>
  <c r="O162" i="97"/>
  <c r="H156" i="97"/>
  <c r="H103" i="97"/>
  <c r="AJ69" i="30"/>
  <c r="T145" i="97"/>
  <c r="T92" i="97"/>
  <c r="O120" i="97"/>
  <c r="O67" i="97"/>
  <c r="J128" i="97"/>
  <c r="J75" i="97"/>
  <c r="AD53" i="30"/>
  <c r="H120" i="97"/>
  <c r="H67" i="97"/>
  <c r="J103" i="97"/>
  <c r="J156" i="97"/>
  <c r="O86" i="97"/>
  <c r="O139" i="97"/>
  <c r="R145" i="97"/>
  <c r="R92" i="97"/>
  <c r="G73" i="97"/>
  <c r="G126" i="97"/>
  <c r="P107" i="97"/>
  <c r="P160" i="97"/>
  <c r="R73" i="97"/>
  <c r="R126" i="97"/>
  <c r="L157" i="97"/>
  <c r="L104" i="97"/>
  <c r="AH54" i="30"/>
  <c r="T162" i="97"/>
  <c r="T109" i="97"/>
  <c r="O140" i="97"/>
  <c r="O87" i="97"/>
  <c r="U83" i="97"/>
  <c r="U136" i="97"/>
  <c r="AF46" i="30"/>
  <c r="T115" i="97"/>
  <c r="T62" i="97"/>
  <c r="AH86" i="30"/>
  <c r="AJ83" i="30"/>
  <c r="AH46" i="30"/>
  <c r="R97" i="97"/>
  <c r="R150" i="97"/>
  <c r="J83" i="97"/>
  <c r="J136" i="97"/>
  <c r="AJ78" i="30"/>
  <c r="K116" i="97"/>
  <c r="K63" i="97"/>
  <c r="T116" i="97"/>
  <c r="T63" i="97"/>
  <c r="G71" i="97"/>
  <c r="G124" i="97"/>
  <c r="Q75" i="97"/>
  <c r="Q128" i="97"/>
  <c r="AD42" i="30"/>
  <c r="AF49" i="30"/>
  <c r="T74" i="97"/>
  <c r="T127" i="97"/>
  <c r="N83" i="97"/>
  <c r="N136" i="97"/>
  <c r="K80" i="97"/>
  <c r="K133" i="97"/>
  <c r="AJ52" i="30"/>
  <c r="AF74" i="30"/>
  <c r="S89" i="97"/>
  <c r="S142" i="97"/>
  <c r="R68" i="97"/>
  <c r="R121" i="97"/>
  <c r="P152" i="97"/>
  <c r="P99" i="97"/>
  <c r="R105" i="97"/>
  <c r="R158" i="97"/>
  <c r="AJ40" i="30"/>
  <c r="L109" i="97"/>
  <c r="L162" i="97"/>
  <c r="L68" i="97"/>
  <c r="L121" i="97"/>
  <c r="P73" i="97"/>
  <c r="P126" i="97"/>
  <c r="P75" i="97"/>
  <c r="P128" i="97"/>
  <c r="S148" i="97"/>
  <c r="S95" i="97"/>
  <c r="AH87" i="30"/>
  <c r="AH45" i="30"/>
  <c r="K73" i="97"/>
  <c r="K126" i="97"/>
  <c r="AJ23" i="30"/>
  <c r="G115" i="97"/>
  <c r="G62" i="97"/>
  <c r="M65" i="97"/>
  <c r="M118" i="97"/>
  <c r="AJ30" i="30"/>
  <c r="AF95" i="30"/>
  <c r="S87" i="97"/>
  <c r="S140" i="97"/>
  <c r="J63" i="97"/>
  <c r="J116" i="97"/>
  <c r="O75" i="97"/>
  <c r="O128" i="97"/>
  <c r="AH57" i="30"/>
  <c r="G154" i="97"/>
  <c r="G101" i="97"/>
  <c r="R81" i="97"/>
  <c r="R134" i="97"/>
  <c r="M158" i="97"/>
  <c r="M105" i="97"/>
  <c r="AF62" i="30"/>
  <c r="AH44" i="30"/>
  <c r="AH28" i="30"/>
  <c r="AH90" i="30"/>
  <c r="G144" i="97"/>
  <c r="G91" i="97"/>
  <c r="AH50" i="30"/>
  <c r="Q81" i="97"/>
  <c r="Q134" i="97"/>
  <c r="U130" i="97"/>
  <c r="U77" i="97"/>
  <c r="G150" i="97"/>
  <c r="G97" i="97"/>
  <c r="K86" i="97"/>
  <c r="K139" i="97"/>
  <c r="AF57" i="30"/>
  <c r="AF29" i="30"/>
  <c r="AD85" i="30"/>
  <c r="S91" i="97"/>
  <c r="S144" i="97"/>
  <c r="S146" i="97"/>
  <c r="S93" i="97"/>
  <c r="J158" i="97"/>
  <c r="J105" i="97"/>
  <c r="U86" i="97"/>
  <c r="U139" i="97"/>
  <c r="H160" i="97"/>
  <c r="H107" i="97"/>
  <c r="H157" i="97"/>
  <c r="H104" i="97"/>
  <c r="U97" i="97"/>
  <c r="U150" i="97"/>
  <c r="H89" i="97"/>
  <c r="H142" i="97"/>
  <c r="U63" i="97"/>
  <c r="U116" i="97"/>
  <c r="AD56" i="30"/>
  <c r="N157" i="97"/>
  <c r="N104" i="97"/>
  <c r="AF91" i="30"/>
  <c r="AH96" i="30"/>
  <c r="N139" i="97"/>
  <c r="N86" i="97"/>
  <c r="T81" i="97"/>
  <c r="T134" i="97"/>
  <c r="AH76" i="30"/>
  <c r="M134" i="97"/>
  <c r="M81" i="97"/>
  <c r="T80" i="97"/>
  <c r="T133" i="97"/>
  <c r="H151" i="97"/>
  <c r="H98" i="97"/>
  <c r="S62" i="97"/>
  <c r="S115" i="97"/>
  <c r="AH53" i="30"/>
  <c r="AH56" i="30"/>
  <c r="S103" i="97"/>
  <c r="S156" i="97"/>
  <c r="AD95" i="30"/>
  <c r="AH20" i="30"/>
  <c r="I127" i="97"/>
  <c r="I74" i="97"/>
  <c r="AF23" i="30"/>
  <c r="R140" i="97"/>
  <c r="R87" i="97"/>
  <c r="L105" i="97"/>
  <c r="L158" i="97"/>
  <c r="AD58" i="30"/>
  <c r="P158" i="97"/>
  <c r="P105" i="97"/>
  <c r="AJ91" i="30"/>
  <c r="AJ64" i="30"/>
  <c r="U62" i="97"/>
  <c r="U115" i="97"/>
  <c r="AD72" i="30"/>
  <c r="G157" i="97"/>
  <c r="G104" i="97"/>
  <c r="O91" i="97"/>
  <c r="O144" i="97"/>
  <c r="AF81" i="30"/>
  <c r="AD30" i="30"/>
  <c r="AH88" i="30"/>
  <c r="R124" i="97"/>
  <c r="R71" i="97"/>
  <c r="H92" i="97"/>
  <c r="H145" i="97"/>
  <c r="AD25" i="30"/>
  <c r="K107" i="97"/>
  <c r="K160" i="97"/>
  <c r="AJ45" i="30"/>
  <c r="R93" i="97"/>
  <c r="R146" i="97"/>
  <c r="AJ65" i="30"/>
  <c r="AH59" i="30"/>
  <c r="K120" i="97"/>
  <c r="K67" i="97"/>
  <c r="S136" i="97"/>
  <c r="S83" i="97"/>
  <c r="I128" i="97"/>
  <c r="I75" i="97"/>
  <c r="AF63" i="30"/>
  <c r="O95" i="97"/>
  <c r="O148" i="97"/>
  <c r="I81" i="97"/>
  <c r="I134" i="97"/>
  <c r="O83" i="97"/>
  <c r="O136" i="97"/>
  <c r="AH32" i="30"/>
  <c r="AD44" i="30"/>
  <c r="I85" i="97"/>
  <c r="I138" i="97"/>
  <c r="AD81" i="30"/>
  <c r="Q68" i="97"/>
  <c r="Q121" i="97"/>
  <c r="I148" i="97"/>
  <c r="I95" i="97"/>
  <c r="M98" i="97"/>
  <c r="M151" i="97"/>
  <c r="N65" i="97"/>
  <c r="N118" i="97"/>
  <c r="AF82" i="30"/>
  <c r="AF54" i="30"/>
  <c r="M146" i="97"/>
  <c r="M93" i="97"/>
  <c r="R83" i="97"/>
  <c r="R136" i="97"/>
  <c r="AJ79" i="30"/>
  <c r="AJ84" i="30"/>
  <c r="M121" i="97"/>
  <c r="M68" i="97"/>
  <c r="U160" i="97"/>
  <c r="U107" i="97"/>
  <c r="AJ44" i="30"/>
  <c r="AF56" i="30"/>
  <c r="AJ20" i="30"/>
  <c r="AF44" i="30"/>
  <c r="K132" i="97"/>
  <c r="K79" i="97"/>
  <c r="AF19" i="30"/>
  <c r="T121" i="97"/>
  <c r="T68" i="97"/>
  <c r="AJ16" i="30"/>
  <c r="L126" i="97"/>
  <c r="L73" i="97"/>
  <c r="N144" i="97"/>
  <c r="N91" i="97"/>
  <c r="S127" i="97"/>
  <c r="S74" i="97"/>
  <c r="K92" i="97"/>
  <c r="K145" i="97"/>
  <c r="R130" i="97"/>
  <c r="R77" i="97"/>
  <c r="O157" i="97"/>
  <c r="O104" i="97"/>
  <c r="S128" i="97"/>
  <c r="S75" i="97"/>
  <c r="N98" i="97"/>
  <c r="N151" i="97"/>
  <c r="G156" i="97"/>
  <c r="G103" i="97"/>
  <c r="U109" i="97"/>
  <c r="U162" i="97"/>
  <c r="P63" i="97"/>
  <c r="P116" i="97"/>
  <c r="Q133" i="97"/>
  <c r="Q80" i="97"/>
  <c r="H74" i="97"/>
  <c r="H127" i="97"/>
  <c r="AH83" i="30"/>
  <c r="I87" i="97"/>
  <c r="I140" i="97"/>
  <c r="AF93" i="30"/>
  <c r="H148" i="97"/>
  <c r="H95" i="97"/>
  <c r="T157" i="97"/>
  <c r="T104" i="97"/>
  <c r="AF31" i="30"/>
  <c r="AJ17" i="30"/>
  <c r="AJ74" i="30"/>
  <c r="T87" i="97"/>
  <c r="T140" i="97"/>
  <c r="AJ81" i="30"/>
  <c r="I73" i="97"/>
  <c r="I126" i="97"/>
  <c r="N105" i="97"/>
  <c r="N158" i="97"/>
  <c r="AJ87" i="30"/>
  <c r="AJ18" i="30"/>
  <c r="O73" i="97"/>
  <c r="O126" i="97"/>
  <c r="H86" i="97"/>
  <c r="H139" i="97"/>
  <c r="J81" i="97"/>
  <c r="J134" i="97"/>
  <c r="AD29" i="30"/>
  <c r="H154" i="97"/>
  <c r="H101" i="97"/>
  <c r="S160" i="97"/>
  <c r="S107" i="97"/>
  <c r="AD79" i="30"/>
  <c r="P139" i="97"/>
  <c r="P86" i="97"/>
  <c r="M103" i="97"/>
  <c r="M156" i="97"/>
  <c r="O92" i="97"/>
  <c r="O145" i="97"/>
  <c r="U85" i="97"/>
  <c r="U138" i="97"/>
  <c r="AD67" i="30"/>
  <c r="AD49" i="30"/>
  <c r="P98" i="97"/>
  <c r="P151" i="97"/>
  <c r="J150" i="97"/>
  <c r="J97" i="97"/>
  <c r="J98" i="97"/>
  <c r="J151" i="97"/>
  <c r="AF85" i="30"/>
  <c r="T105" i="97"/>
  <c r="T158" i="97"/>
  <c r="AH82" i="30"/>
  <c r="G121" i="97"/>
  <c r="G68" i="97"/>
  <c r="AD83" i="30"/>
  <c r="T156" i="97"/>
  <c r="T103" i="97"/>
  <c r="L115" i="97"/>
  <c r="L62" i="97"/>
  <c r="AH77" i="30"/>
  <c r="AF53" i="30"/>
  <c r="AJ60" i="30"/>
  <c r="AJ50" i="30"/>
  <c r="AH68" i="30"/>
  <c r="J104" i="97"/>
  <c r="J157" i="97"/>
  <c r="R67" i="97"/>
  <c r="R120" i="97"/>
  <c r="R79" i="97"/>
  <c r="R132" i="97"/>
  <c r="T75" i="97"/>
  <c r="T128" i="97"/>
  <c r="N95" i="97"/>
  <c r="N148" i="97"/>
  <c r="H130" i="97"/>
  <c r="H77" i="97"/>
  <c r="M116" i="97"/>
  <c r="M63" i="97"/>
  <c r="Q83" i="97"/>
  <c r="Q136" i="97"/>
  <c r="T120" i="97"/>
  <c r="T67" i="97"/>
  <c r="AJ51" i="30"/>
  <c r="AH80" i="30"/>
  <c r="AJ14" i="30"/>
  <c r="AF24" i="30"/>
  <c r="G87" i="97"/>
  <c r="G140" i="97"/>
  <c r="P65" i="97"/>
  <c r="P118" i="97"/>
  <c r="M80" i="97"/>
  <c r="M133" i="97"/>
  <c r="AH89" i="30"/>
  <c r="AD96" i="30"/>
  <c r="P91" i="97"/>
  <c r="P144" i="97"/>
  <c r="AD77" i="30"/>
  <c r="K121" i="97"/>
  <c r="K68" i="97"/>
  <c r="S99" i="97"/>
  <c r="S152" i="97"/>
  <c r="J109" i="97"/>
  <c r="J162" i="97"/>
  <c r="M101" i="97"/>
  <c r="M154" i="97"/>
  <c r="G95" i="97"/>
  <c r="G148" i="97"/>
  <c r="N156" i="97"/>
  <c r="N103" i="97"/>
  <c r="N89" i="97"/>
  <c r="N142" i="97"/>
  <c r="J95" i="97"/>
  <c r="J148" i="97"/>
  <c r="AF55" i="30"/>
  <c r="L107" i="97"/>
  <c r="L160" i="97"/>
  <c r="S116" i="97"/>
  <c r="S63" i="97"/>
  <c r="AD70" i="30"/>
  <c r="I136" i="97"/>
  <c r="I83" i="97"/>
  <c r="S80" i="97"/>
  <c r="S133" i="97"/>
  <c r="I92" i="97"/>
  <c r="I145" i="97"/>
  <c r="R98" i="97"/>
  <c r="R151" i="97"/>
  <c r="Q109" i="97"/>
  <c r="Q162" i="97"/>
  <c r="R85" i="97"/>
  <c r="R138" i="97"/>
  <c r="AJ89" i="30"/>
  <c r="Q142" i="97"/>
  <c r="Q89" i="97"/>
  <c r="K151" i="97"/>
  <c r="K98" i="97"/>
  <c r="AF40" i="30"/>
  <c r="I101" i="97"/>
  <c r="I154" i="97"/>
  <c r="T146" i="97"/>
  <c r="T93" i="97"/>
  <c r="AF52" i="30"/>
  <c r="AJ29" i="30"/>
  <c r="Q148" i="97"/>
  <c r="Q95" i="97"/>
  <c r="T77" i="97"/>
  <c r="T130" i="97"/>
  <c r="O124" i="97"/>
  <c r="O71" i="97"/>
  <c r="AJ24" i="30"/>
  <c r="R107" i="97"/>
  <c r="R160" i="97"/>
  <c r="AH42" i="30"/>
  <c r="N140" i="97"/>
  <c r="N87" i="97"/>
  <c r="L63" i="97"/>
  <c r="L116" i="97"/>
  <c r="K158" i="97"/>
  <c r="K105" i="97"/>
  <c r="S118" i="97"/>
  <c r="S65" i="97"/>
  <c r="AH55" i="30"/>
  <c r="AF92" i="30"/>
  <c r="Q127" i="97"/>
  <c r="Q74" i="97"/>
  <c r="P80" i="97"/>
  <c r="P133" i="97"/>
  <c r="O89" i="97"/>
  <c r="O142" i="97"/>
  <c r="Q92" i="97"/>
  <c r="Q145" i="97"/>
  <c r="AF30" i="30"/>
  <c r="J89" i="97"/>
  <c r="J142" i="97"/>
  <c r="S104" i="97"/>
  <c r="S157" i="97"/>
  <c r="K95" i="97"/>
  <c r="K148" i="97"/>
  <c r="O127" i="97"/>
  <c r="O74" i="97"/>
  <c r="AF71" i="30"/>
  <c r="G81" i="97"/>
  <c r="G134" i="97"/>
  <c r="N127" i="97"/>
  <c r="N74" i="97"/>
  <c r="I77" i="97"/>
  <c r="I130" i="97"/>
  <c r="U154" i="97"/>
  <c r="U101" i="97"/>
  <c r="M104" i="97"/>
  <c r="M157" i="97"/>
  <c r="G136" i="97"/>
  <c r="G83" i="97"/>
  <c r="T97" i="97"/>
  <c r="T150" i="97"/>
  <c r="O77" i="97"/>
  <c r="O130" i="97"/>
  <c r="M86" i="97"/>
  <c r="M139" i="97"/>
  <c r="R65" i="97"/>
  <c r="R118" i="97"/>
  <c r="L151" i="97"/>
  <c r="L98" i="97"/>
  <c r="P124" i="97"/>
  <c r="P71" i="97"/>
  <c r="N121" i="97"/>
  <c r="N68" i="97"/>
  <c r="N109" i="97"/>
  <c r="N162" i="97"/>
  <c r="AH81" i="30"/>
  <c r="J126" i="97"/>
  <c r="J73" i="97"/>
  <c r="AJ77" i="30"/>
  <c r="AF70" i="30"/>
  <c r="L142" i="97"/>
  <c r="L89" i="97"/>
  <c r="AF64" i="30"/>
  <c r="P140" i="97"/>
  <c r="P87" i="97"/>
  <c r="AD92" i="30"/>
  <c r="H93" i="97"/>
  <c r="H146" i="97"/>
  <c r="AD75" i="30"/>
  <c r="Q154" i="97"/>
  <c r="Q101" i="97"/>
  <c r="U98" i="97"/>
  <c r="U151" i="97"/>
  <c r="AD26" i="30"/>
  <c r="AH43" i="30"/>
  <c r="P130" i="97"/>
  <c r="P77" i="97"/>
  <c r="AD61" i="30"/>
  <c r="AD63" i="30"/>
  <c r="AJ61" i="30"/>
  <c r="P69" i="97"/>
  <c r="P122" i="97"/>
  <c r="AH92" i="30"/>
  <c r="J74" i="97"/>
  <c r="J127" i="97"/>
  <c r="K109" i="97"/>
  <c r="K162" i="97"/>
  <c r="U127" i="97"/>
  <c r="U74" i="97"/>
  <c r="L81" i="97"/>
  <c r="L134" i="97"/>
  <c r="AF45" i="30"/>
  <c r="G107" i="97"/>
  <c r="G160" i="97"/>
  <c r="AJ58" i="30"/>
  <c r="AJ53" i="30"/>
  <c r="L144" i="97"/>
  <c r="L91" i="97"/>
  <c r="AD59" i="30"/>
  <c r="S150" i="97"/>
  <c r="S97" i="97"/>
  <c r="AF58" i="30"/>
  <c r="AJ82" i="30"/>
  <c r="J154" i="97"/>
  <c r="J101" i="97"/>
  <c r="J93" i="97"/>
  <c r="J146" i="97"/>
  <c r="AF50" i="30"/>
  <c r="L103" i="97"/>
  <c r="L156" i="97"/>
  <c r="AH52" i="30"/>
  <c r="U157" i="97"/>
  <c r="U104" i="97"/>
  <c r="AD86" i="30"/>
  <c r="AD65" i="30"/>
  <c r="N126" i="97"/>
  <c r="N73" i="97"/>
  <c r="AD27" i="30"/>
  <c r="M62" i="97"/>
  <c r="M115" i="97"/>
  <c r="K97" i="97"/>
  <c r="K150" i="97"/>
  <c r="L95" i="97"/>
  <c r="L148" i="97"/>
  <c r="N85" i="97"/>
  <c r="N138" i="97"/>
  <c r="AH23" i="30"/>
  <c r="AF32" i="30"/>
  <c r="J99" i="97"/>
  <c r="J152" i="97"/>
  <c r="Q97" i="97"/>
  <c r="Q150" i="97"/>
  <c r="AF68" i="30"/>
  <c r="L97" i="97"/>
  <c r="L150" i="97"/>
  <c r="AH74" i="30"/>
  <c r="AF41" i="30"/>
  <c r="G130" i="97"/>
  <c r="G77" i="97"/>
  <c r="U92" i="97"/>
  <c r="U145" i="97"/>
  <c r="U140" i="97"/>
  <c r="U87" i="97"/>
  <c r="I63" i="97"/>
  <c r="I116" i="97"/>
  <c r="I133" i="97"/>
  <c r="I80" i="97"/>
  <c r="T79" i="97"/>
  <c r="T132" i="97"/>
  <c r="O79" i="97"/>
  <c r="O132" i="97"/>
  <c r="O146" i="97"/>
  <c r="O93" i="97"/>
  <c r="L85" i="97"/>
  <c r="L138" i="97"/>
  <c r="AF76" i="30"/>
  <c r="R109" i="97"/>
  <c r="R162" i="97"/>
  <c r="AH41" i="30"/>
  <c r="O80" i="97"/>
  <c r="O133" i="97"/>
  <c r="AH94" i="30"/>
  <c r="L74" i="97"/>
  <c r="L127" i="97"/>
  <c r="Q105" i="97"/>
  <c r="Q158" i="97"/>
  <c r="AF43" i="30"/>
  <c r="AJ56" i="30"/>
  <c r="P157" i="97"/>
  <c r="P104" i="97"/>
  <c r="P150" i="97"/>
  <c r="P97" i="97"/>
  <c r="L122" i="97"/>
  <c r="L69" i="97"/>
  <c r="AJ70" i="30"/>
  <c r="I103" i="97"/>
  <c r="I156" i="97"/>
  <c r="M89" i="97"/>
  <c r="M142" i="97"/>
  <c r="T144" i="97"/>
  <c r="T91" i="97"/>
  <c r="AJ71" i="30"/>
  <c r="T107" i="97"/>
  <c r="T160" i="97"/>
  <c r="H122" i="97"/>
  <c r="H69" i="97"/>
  <c r="AF61" i="30"/>
  <c r="R101" i="97"/>
  <c r="R154" i="97"/>
  <c r="H99" i="97"/>
  <c r="H152" i="97"/>
  <c r="M107" i="97"/>
  <c r="M160" i="97"/>
  <c r="AH93" i="30"/>
  <c r="J92" i="97"/>
  <c r="J145" i="97"/>
  <c r="S105" i="97"/>
  <c r="S158" i="97"/>
  <c r="AF51" i="30"/>
  <c r="AF42" i="30"/>
  <c r="AJ73" i="30"/>
  <c r="AF75" i="30"/>
  <c r="AJ26" i="30"/>
  <c r="L133" i="97"/>
  <c r="L80" i="97"/>
  <c r="AF77" i="30"/>
  <c r="AH60" i="30"/>
  <c r="AF26" i="30"/>
  <c r="M85" i="97"/>
  <c r="M138" i="97"/>
  <c r="AJ25" i="30"/>
  <c r="AD66" i="30"/>
  <c r="J160" i="97"/>
  <c r="J107" i="97"/>
  <c r="Q87" i="97"/>
  <c r="Q140" i="97"/>
  <c r="AF20" i="30"/>
  <c r="AJ66" i="30"/>
  <c r="L65" i="97"/>
  <c r="L118" i="97"/>
  <c r="O122" i="97"/>
  <c r="O69" i="97"/>
  <c r="N67" i="97"/>
  <c r="N120" i="97"/>
  <c r="AH31" i="30"/>
  <c r="S77" i="97"/>
  <c r="S130" i="97"/>
  <c r="K83" i="97"/>
  <c r="K136" i="97"/>
  <c r="AF25" i="30"/>
  <c r="Q79" i="97"/>
  <c r="Q132" i="97"/>
  <c r="L120" i="97"/>
  <c r="L67" i="97"/>
  <c r="AF59" i="30"/>
  <c r="I152" i="97"/>
  <c r="I99" i="97"/>
  <c r="U126" i="97"/>
  <c r="U73" i="97"/>
  <c r="AD88" i="30"/>
  <c r="M74" i="97"/>
  <c r="M127" i="97"/>
  <c r="Q152" i="97"/>
  <c r="Q99" i="97"/>
  <c r="AD40" i="30"/>
  <c r="AF88" i="30"/>
  <c r="P138" i="97"/>
  <c r="P85" i="97"/>
  <c r="N152" i="97"/>
  <c r="N99" i="97"/>
  <c r="AF83" i="30"/>
  <c r="AH58" i="30"/>
  <c r="AJ59" i="30"/>
  <c r="P68" i="97"/>
  <c r="P121" i="97"/>
  <c r="AJ94" i="30"/>
  <c r="K144" i="97"/>
  <c r="K91" i="97"/>
  <c r="T122" i="97"/>
  <c r="T69" i="97"/>
  <c r="U134" i="97"/>
  <c r="U81" i="97"/>
  <c r="T95" i="97"/>
  <c r="T148" i="97"/>
  <c r="AD91" i="30"/>
  <c r="L101" i="97"/>
  <c r="L154" i="97"/>
  <c r="AD57" i="30"/>
  <c r="AD46" i="30"/>
  <c r="T98" i="97"/>
  <c r="T151" i="97"/>
  <c r="J65" i="97"/>
  <c r="J118" i="97"/>
  <c r="AH64" i="30"/>
  <c r="I107" i="97"/>
  <c r="I160" i="97"/>
  <c r="G86" i="97"/>
  <c r="G139" i="97"/>
  <c r="AD76" i="30"/>
  <c r="AH27" i="30"/>
  <c r="AJ67" i="30"/>
  <c r="AJ31" i="30"/>
  <c r="O150" i="97"/>
  <c r="O97" i="97"/>
  <c r="Q71" i="97"/>
  <c r="Q124" i="97"/>
  <c r="I105" i="97"/>
  <c r="I158" i="97"/>
  <c r="H105" i="97"/>
  <c r="H158" i="97"/>
  <c r="AH78" i="30"/>
  <c r="AJ28" i="30"/>
  <c r="AD74" i="30"/>
  <c r="R122" i="97"/>
  <c r="R69" i="97"/>
  <c r="J79" i="97"/>
  <c r="J132" i="97"/>
  <c r="M132" i="97"/>
  <c r="M79" i="97"/>
  <c r="AH63" i="30"/>
  <c r="K77" i="97"/>
  <c r="K130" i="97"/>
  <c r="AD24" i="30"/>
  <c r="G158" i="97"/>
  <c r="G105" i="97"/>
  <c r="AH85" i="30"/>
  <c r="AD28" i="30"/>
  <c r="N145" i="97"/>
  <c r="N92" i="97"/>
  <c r="N116" i="97"/>
  <c r="N63" i="97"/>
  <c r="AH69" i="30"/>
  <c r="AJ96" i="30"/>
  <c r="AJ92" i="30"/>
  <c r="AH49" i="30"/>
  <c r="Q118" i="97"/>
  <c r="Q65" i="97"/>
  <c r="G142" i="97"/>
  <c r="G89" i="97"/>
  <c r="M75" i="97"/>
  <c r="M128" i="97"/>
  <c r="AJ80" i="30"/>
  <c r="AJ42" i="30"/>
  <c r="J68" i="97"/>
  <c r="J121" i="97"/>
  <c r="AH73" i="30"/>
  <c r="M77" i="97"/>
  <c r="M130" i="97"/>
  <c r="AJ41" i="30"/>
  <c r="AD80" i="30"/>
  <c r="AJ72" i="30"/>
  <c r="AF78" i="30"/>
  <c r="T124" i="97"/>
  <c r="T71" i="97"/>
  <c r="AH51" i="30"/>
  <c r="T85" i="97"/>
  <c r="T138" i="97"/>
  <c r="P134" i="97"/>
  <c r="P81" i="97"/>
  <c r="K142" i="97"/>
  <c r="K89" i="97"/>
  <c r="AD62" i="30"/>
  <c r="K65" i="97"/>
  <c r="K118" i="97"/>
  <c r="O134" i="97"/>
  <c r="O81" i="97"/>
  <c r="AD90" i="30"/>
  <c r="U124" i="97"/>
  <c r="U71" i="97"/>
  <c r="J124" i="97"/>
  <c r="J71" i="97"/>
  <c r="AH29" i="30"/>
  <c r="U122" i="97"/>
  <c r="U69" i="97"/>
  <c r="P46" i="98"/>
  <c r="P45" i="98"/>
  <c r="R44" i="98"/>
  <c r="AC31" i="98"/>
  <c r="K31" i="98"/>
  <c r="X33" i="98"/>
  <c r="K33" i="98"/>
  <c r="W35" i="98"/>
  <c r="K35" i="98"/>
  <c r="AE46" i="98"/>
  <c r="K46" i="98"/>
  <c r="Z36" i="98"/>
  <c r="K36" i="98"/>
  <c r="D66" i="138"/>
  <c r="K27" i="98"/>
  <c r="X38" i="98"/>
  <c r="K38" i="98"/>
  <c r="Y39" i="98"/>
  <c r="K39" i="98"/>
  <c r="Y45" i="98"/>
  <c r="K45" i="98"/>
  <c r="Y44" i="98"/>
  <c r="K44" i="98"/>
  <c r="AA41" i="98"/>
  <c r="K41" i="98"/>
  <c r="Q44" i="98"/>
  <c r="S44" i="98"/>
  <c r="T46" i="98"/>
  <c r="R46" i="98"/>
  <c r="Q46" i="98"/>
  <c r="T44" i="98"/>
  <c r="S46" i="98"/>
  <c r="AF39" i="98"/>
  <c r="AE38" i="98"/>
  <c r="W39" i="98"/>
  <c r="X41" i="98"/>
  <c r="AB45" i="98"/>
  <c r="AA45" i="98"/>
  <c r="D62" i="138"/>
  <c r="M44" i="98"/>
  <c r="P44" i="98"/>
  <c r="P34" i="98"/>
  <c r="N46" i="98"/>
  <c r="Q34" i="98"/>
  <c r="AD41" i="98"/>
  <c r="L46" i="98"/>
  <c r="V46" i="98" s="1"/>
  <c r="O34" i="98"/>
  <c r="U34" i="98" s="1"/>
  <c r="AF41" i="98"/>
  <c r="AC41" i="98"/>
  <c r="Y41" i="98"/>
  <c r="L34" i="98"/>
  <c r="V34" i="98" s="1"/>
  <c r="W41" i="98"/>
  <c r="M34" i="98"/>
  <c r="M46" i="98"/>
  <c r="P43" i="98"/>
  <c r="O43" i="98"/>
  <c r="U43" i="98" s="1"/>
  <c r="L43" i="98"/>
  <c r="V43" i="98" s="1"/>
  <c r="S43" i="98"/>
  <c r="R43" i="98"/>
  <c r="M43" i="98"/>
  <c r="T43" i="98"/>
  <c r="Q43" i="98"/>
  <c r="D60" i="138"/>
  <c r="O46" i="98"/>
  <c r="U46" i="98" s="1"/>
  <c r="N34" i="98"/>
  <c r="D61" i="138"/>
  <c r="S34" i="98"/>
  <c r="T34" i="98"/>
  <c r="Q28" i="98"/>
  <c r="L28" i="98"/>
  <c r="V28" i="98" s="1"/>
  <c r="AD45" i="98"/>
  <c r="S26" i="98"/>
  <c r="O26" i="98"/>
  <c r="U26" i="98" s="1"/>
  <c r="L16" i="98"/>
  <c r="V16" i="98" s="1"/>
  <c r="Q16" i="98"/>
  <c r="AF38" i="98"/>
  <c r="O16" i="98"/>
  <c r="U16" i="98" s="1"/>
  <c r="W38" i="98"/>
  <c r="T36" i="98"/>
  <c r="M20" i="98"/>
  <c r="M26" i="98"/>
  <c r="Y38" i="98"/>
  <c r="AD39" i="98"/>
  <c r="L20" i="98"/>
  <c r="V20" i="98" s="1"/>
  <c r="AB41" i="98"/>
  <c r="AE44" i="98"/>
  <c r="Z31" i="98"/>
  <c r="AF31" i="98"/>
  <c r="M36" i="98"/>
  <c r="Z38" i="98"/>
  <c r="Q20" i="98"/>
  <c r="L26" i="98"/>
  <c r="V26" i="98" s="1"/>
  <c r="X46" i="98"/>
  <c r="AE36" i="98"/>
  <c r="AD38" i="98"/>
  <c r="S20" i="98"/>
  <c r="Q26" i="98"/>
  <c r="O20" i="98"/>
  <c r="U20" i="98" s="1"/>
  <c r="AC35" i="98"/>
  <c r="X35" i="98"/>
  <c r="Z45" i="98"/>
  <c r="AC44" i="98"/>
  <c r="S28" i="98"/>
  <c r="Y35" i="98"/>
  <c r="W44" i="98"/>
  <c r="W36" i="98"/>
  <c r="M28" i="98"/>
  <c r="O28" i="98"/>
  <c r="U28" i="98" s="1"/>
  <c r="Z32" i="98"/>
  <c r="X32" i="98"/>
  <c r="AE32" i="98"/>
  <c r="AB32" i="98"/>
  <c r="AD42" i="98"/>
  <c r="Z42" i="98"/>
  <c r="AC42" i="98"/>
  <c r="AA42" i="98"/>
  <c r="AB42" i="98"/>
  <c r="W42" i="98"/>
  <c r="W40" i="98"/>
  <c r="Z40" i="98"/>
  <c r="AC40" i="98"/>
  <c r="AD40" i="98"/>
  <c r="D64" i="138"/>
  <c r="D58" i="138"/>
  <c r="M33" i="98"/>
  <c r="N33" i="98"/>
  <c r="AA35" i="98"/>
  <c r="AF35" i="98"/>
  <c r="Z35" i="98"/>
  <c r="AD35" i="98"/>
  <c r="AB35" i="98"/>
  <c r="AC37" i="98"/>
  <c r="AE37" i="98"/>
  <c r="X37" i="98"/>
  <c r="AF37" i="98"/>
  <c r="W37" i="98"/>
  <c r="AB37" i="98"/>
  <c r="L29" i="98"/>
  <c r="V29" i="98" s="1"/>
  <c r="M29" i="98"/>
  <c r="T40" i="98"/>
  <c r="N40" i="98"/>
  <c r="L40" i="98"/>
  <c r="V40" i="98" s="1"/>
  <c r="O40" i="98"/>
  <c r="U40" i="98" s="1"/>
  <c r="P40" i="98"/>
  <c r="Q40" i="98"/>
  <c r="AD44" i="98"/>
  <c r="AB43" i="98"/>
  <c r="X43" i="98"/>
  <c r="P39" i="98"/>
  <c r="L39" i="98"/>
  <c r="V39" i="98" s="1"/>
  <c r="Z44" i="98"/>
  <c r="AE34" i="98"/>
  <c r="W34" i="98"/>
  <c r="Z34" i="98"/>
  <c r="AB34" i="98"/>
  <c r="AD34" i="98"/>
  <c r="G64" i="138"/>
  <c r="R37" i="98"/>
  <c r="Q37" i="98"/>
  <c r="L37" i="98"/>
  <c r="V37" i="98" s="1"/>
  <c r="O37" i="98"/>
  <c r="U37" i="98" s="1"/>
  <c r="AF44" i="98"/>
  <c r="AF34" i="98"/>
  <c r="S21" i="98"/>
  <c r="O21" i="98"/>
  <c r="U21" i="98" s="1"/>
  <c r="S18" i="98"/>
  <c r="Q18" i="98"/>
  <c r="AA44" i="98"/>
  <c r="AD37" i="98"/>
  <c r="T42" i="98"/>
  <c r="L42" i="98"/>
  <c r="V42" i="98" s="1"/>
  <c r="M42" i="98"/>
  <c r="O42" i="98"/>
  <c r="U42" i="98" s="1"/>
  <c r="P42" i="98"/>
  <c r="Q42" i="98"/>
  <c r="N42" i="98"/>
  <c r="S42" i="98"/>
  <c r="R42" i="98"/>
  <c r="AF32" i="98"/>
  <c r="X34" i="98"/>
  <c r="AA34" i="98"/>
  <c r="Y42" i="98"/>
  <c r="AC34" i="98"/>
  <c r="Y37" i="98"/>
  <c r="AD43" i="98"/>
  <c r="Z37" i="98"/>
  <c r="AE43" i="98"/>
  <c r="D55" i="138"/>
  <c r="O33" i="98"/>
  <c r="U33" i="98" s="1"/>
  <c r="Z43" i="98"/>
  <c r="AA37" i="98"/>
  <c r="W43" i="98"/>
  <c r="AF40" i="98"/>
  <c r="Y34" i="98"/>
  <c r="AA43" i="98"/>
  <c r="D67" i="138"/>
  <c r="Y40" i="98"/>
  <c r="O29" i="98"/>
  <c r="U29" i="98" s="1"/>
  <c r="AC43" i="98"/>
  <c r="AA40" i="98"/>
  <c r="AF43" i="98"/>
  <c r="X40" i="98"/>
  <c r="Y43" i="98"/>
  <c r="AB44" i="98"/>
  <c r="AE40" i="98"/>
  <c r="AC32" i="98"/>
  <c r="X44" i="98"/>
  <c r="AB40" i="98"/>
  <c r="X31" i="98"/>
  <c r="AE31" i="98"/>
  <c r="AD31" i="98"/>
  <c r="N36" i="98"/>
  <c r="L27" i="98"/>
  <c r="V27" i="98" s="1"/>
  <c r="N38" i="98"/>
  <c r="R38" i="98"/>
  <c r="Q19" i="98"/>
  <c r="Q38" i="98"/>
  <c r="G66" i="138"/>
  <c r="M19" i="98"/>
  <c r="M38" i="98"/>
  <c r="M27" i="98"/>
  <c r="W31" i="98"/>
  <c r="S38" i="98"/>
  <c r="S27" i="98"/>
  <c r="AF36" i="98"/>
  <c r="Q27" i="98"/>
  <c r="L44" i="98"/>
  <c r="V44" i="98" s="1"/>
  <c r="O44" i="98"/>
  <c r="U44" i="98" s="1"/>
  <c r="S16" i="98"/>
  <c r="X45" i="98"/>
  <c r="R31" i="98"/>
  <c r="M31" i="98"/>
  <c r="Q31" i="98"/>
  <c r="O23" i="98"/>
  <c r="U23" i="98" s="1"/>
  <c r="T33" i="98"/>
  <c r="Q35" i="98"/>
  <c r="L24" i="98"/>
  <c r="V24" i="98" s="1"/>
  <c r="S17" i="98"/>
  <c r="AB33" i="98"/>
  <c r="M45" i="98"/>
  <c r="O24" i="98"/>
  <c r="U24" i="98" s="1"/>
  <c r="L41" i="98"/>
  <c r="V41" i="98" s="1"/>
  <c r="R33" i="98"/>
  <c r="M23" i="98"/>
  <c r="L25" i="98"/>
  <c r="V25" i="98" s="1"/>
  <c r="N32" i="98"/>
  <c r="N45" i="98"/>
  <c r="R41" i="98"/>
  <c r="R39" i="98"/>
  <c r="W33" i="98"/>
  <c r="M21" i="98"/>
  <c r="N37" i="98"/>
  <c r="L18" i="98"/>
  <c r="V18" i="98" s="1"/>
  <c r="AB46" i="98"/>
  <c r="Q25" i="98"/>
  <c r="AD36" i="98"/>
  <c r="Q45" i="98"/>
  <c r="G56" i="138"/>
  <c r="L45" i="98"/>
  <c r="V45" i="98" s="1"/>
  <c r="T41" i="98"/>
  <c r="AA38" i="98"/>
  <c r="Z33" i="98"/>
  <c r="AC36" i="98"/>
  <c r="M30" i="98"/>
  <c r="Q33" i="98"/>
  <c r="AB39" i="98"/>
  <c r="L35" i="98"/>
  <c r="V35" i="98" s="1"/>
  <c r="L33" i="98"/>
  <c r="V33" i="98" s="1"/>
  <c r="S23" i="98"/>
  <c r="O35" i="98"/>
  <c r="U35" i="98" s="1"/>
  <c r="T31" i="98"/>
  <c r="O41" i="98"/>
  <c r="U41" i="98" s="1"/>
  <c r="S41" i="98"/>
  <c r="R32" i="98"/>
  <c r="G61" i="138"/>
  <c r="N35" i="98"/>
  <c r="AC33" i="98"/>
  <c r="M37" i="98"/>
  <c r="L21" i="98"/>
  <c r="V21" i="98" s="1"/>
  <c r="AE33" i="98"/>
  <c r="AB36" i="98"/>
  <c r="AB38" i="98"/>
  <c r="L32" i="98"/>
  <c r="V32" i="98" s="1"/>
  <c r="X39" i="98"/>
  <c r="D57" i="138"/>
  <c r="S36" i="98"/>
  <c r="D56" i="138"/>
  <c r="L22" i="98"/>
  <c r="V22" i="98" s="1"/>
  <c r="AD46" i="98"/>
  <c r="S29" i="98"/>
  <c r="O25" i="98"/>
  <c r="U25" i="98" s="1"/>
  <c r="W46" i="98"/>
  <c r="O17" i="98"/>
  <c r="U17" i="98" s="1"/>
  <c r="L23" i="98"/>
  <c r="V23" i="98" s="1"/>
  <c r="P32" i="98"/>
  <c r="Z39" i="98"/>
  <c r="AF45" i="98"/>
  <c r="AE42" i="98"/>
  <c r="L17" i="98"/>
  <c r="V17" i="98" s="1"/>
  <c r="D65" i="138"/>
  <c r="L36" i="98"/>
  <c r="V36" i="98" s="1"/>
  <c r="T38" i="98"/>
  <c r="G58" i="138"/>
  <c r="X42" i="98"/>
  <c r="Y36" i="98"/>
  <c r="G55" i="138"/>
  <c r="M24" i="98"/>
  <c r="Q24" i="98"/>
  <c r="S25" i="98"/>
  <c r="AE35" i="98"/>
  <c r="M39" i="98"/>
  <c r="R40" i="98"/>
  <c r="P38" i="98"/>
  <c r="S19" i="98"/>
  <c r="M16" i="98"/>
  <c r="Y46" i="98"/>
  <c r="D63" i="138"/>
  <c r="AC38" i="98"/>
  <c r="S45" i="98"/>
  <c r="P33" i="98"/>
  <c r="S22" i="98"/>
  <c r="T45" i="98"/>
  <c r="S30" i="98"/>
  <c r="AF33" i="98"/>
  <c r="Y31" i="98"/>
  <c r="AA33" i="98"/>
  <c r="AC39" i="98"/>
  <c r="Z41" i="98"/>
  <c r="W45" i="98"/>
  <c r="AA39" i="98"/>
  <c r="AD32" i="98"/>
  <c r="AE45" i="98"/>
  <c r="G60" i="138"/>
  <c r="G57" i="138"/>
  <c r="L31" i="98"/>
  <c r="V31" i="98" s="1"/>
  <c r="O45" i="98"/>
  <c r="U45" i="98" s="1"/>
  <c r="S24" i="98"/>
  <c r="P35" i="98"/>
  <c r="AA31" i="98"/>
  <c r="AD33" i="98"/>
  <c r="T37" i="98"/>
  <c r="P31" i="98"/>
  <c r="R35" i="98"/>
  <c r="L30" i="98"/>
  <c r="V30" i="98" s="1"/>
  <c r="P41" i="98"/>
  <c r="Y33" i="98"/>
  <c r="S31" i="98"/>
  <c r="S39" i="98"/>
  <c r="G63" i="138"/>
  <c r="X36" i="98"/>
  <c r="O18" i="98"/>
  <c r="U18" i="98" s="1"/>
  <c r="M18" i="98"/>
  <c r="M35" i="98"/>
  <c r="Q29" i="98"/>
  <c r="Q21" i="98"/>
  <c r="Q41" i="98"/>
  <c r="M41" i="98"/>
  <c r="Q32" i="98"/>
  <c r="R45" i="98"/>
  <c r="O31" i="98"/>
  <c r="U31" i="98" s="1"/>
  <c r="P36" i="98"/>
  <c r="N39" i="98"/>
  <c r="T32" i="98"/>
  <c r="S35" i="98"/>
  <c r="D59" i="138"/>
  <c r="Q23" i="98"/>
  <c r="AF42" i="98"/>
  <c r="S32" i="98"/>
  <c r="O22" i="98"/>
  <c r="U22" i="98" s="1"/>
  <c r="M32" i="98"/>
  <c r="Z46" i="98"/>
  <c r="M17" i="98"/>
  <c r="G62" i="138"/>
  <c r="Q22" i="98"/>
  <c r="AF46" i="98"/>
  <c r="M25" i="98"/>
  <c r="AA32" i="98"/>
  <c r="S37" i="98"/>
  <c r="S33" i="98"/>
  <c r="W32" i="98"/>
  <c r="O39" i="98"/>
  <c r="U39" i="98" s="1"/>
  <c r="M40" i="98"/>
  <c r="L38" i="98"/>
  <c r="V38" i="98" s="1"/>
  <c r="O36" i="98"/>
  <c r="U36" i="98" s="1"/>
  <c r="L19" i="98"/>
  <c r="V19" i="98" s="1"/>
  <c r="AC46" i="98"/>
  <c r="Q17" i="98"/>
  <c r="AE39" i="98"/>
  <c r="Q30" i="98"/>
  <c r="R36" i="98"/>
  <c r="T39" i="98"/>
  <c r="S40" i="98"/>
  <c r="M22" i="98"/>
  <c r="O27" i="98"/>
  <c r="U27" i="98" s="1"/>
  <c r="AA46" i="98"/>
  <c r="AB31" i="98"/>
  <c r="Y32" i="98"/>
  <c r="P37" i="98"/>
  <c r="AA36" i="98"/>
  <c r="AE41" i="98"/>
  <c r="AC45" i="98"/>
  <c r="N26" i="98"/>
  <c r="Z29" i="98"/>
  <c r="AC29" i="98"/>
  <c r="X29" i="98"/>
  <c r="AE27" i="98"/>
  <c r="Y27" i="98"/>
  <c r="N28" i="98"/>
  <c r="AB30" i="98"/>
  <c r="X27" i="98"/>
  <c r="Z28" i="98"/>
  <c r="Z27" i="98"/>
  <c r="Y29" i="98"/>
  <c r="P30" i="98"/>
  <c r="X28" i="98"/>
  <c r="P28" i="98"/>
  <c r="AC28" i="98"/>
  <c r="R30" i="98"/>
  <c r="T29" i="98"/>
  <c r="R29" i="98"/>
  <c r="AD29" i="98"/>
  <c r="N29" i="98"/>
  <c r="AA29" i="98"/>
  <c r="R28" i="98"/>
  <c r="X67" i="138" s="1"/>
  <c r="AB29" i="98"/>
  <c r="X30" i="98"/>
  <c r="N30" i="98"/>
  <c r="R27" i="98"/>
  <c r="X66" i="138" s="1"/>
  <c r="T26" i="98"/>
  <c r="T28" i="98"/>
  <c r="AF28" i="98"/>
  <c r="N27" i="98"/>
  <c r="R26" i="98"/>
  <c r="X65" i="138" s="1"/>
  <c r="T30" i="98"/>
  <c r="T27" i="98"/>
  <c r="Z26" i="98"/>
  <c r="AC27" i="98"/>
  <c r="N20" i="98"/>
  <c r="G75" i="97"/>
  <c r="I65" i="97"/>
  <c r="H62" i="97"/>
  <c r="W24" i="98"/>
  <c r="H115" i="97"/>
  <c r="N24" i="98"/>
  <c r="T19" i="98"/>
  <c r="N16" i="98"/>
  <c r="AD20" i="98"/>
  <c r="AF16" i="98"/>
  <c r="J69" i="97"/>
  <c r="I118" i="97"/>
  <c r="K71" i="97"/>
  <c r="P19" i="98"/>
  <c r="R19" i="98"/>
  <c r="N23" i="98"/>
  <c r="M126" i="97"/>
  <c r="N25" i="98"/>
  <c r="G128" i="97"/>
  <c r="L86" i="97"/>
  <c r="T16" i="98"/>
  <c r="AE21" i="98"/>
  <c r="M73" i="97"/>
  <c r="G99" i="97"/>
  <c r="J122" i="97"/>
  <c r="K124" i="97"/>
  <c r="N17" i="98"/>
  <c r="R23" i="98"/>
  <c r="R22" i="98"/>
  <c r="L139" i="97"/>
  <c r="N22" i="98"/>
  <c r="T23" i="98"/>
  <c r="N21" i="98"/>
  <c r="G152" i="97"/>
  <c r="T17" i="98"/>
  <c r="N19" i="98"/>
  <c r="R24" i="98"/>
  <c r="N18" i="98"/>
  <c r="T25" i="98"/>
  <c r="R20" i="98"/>
  <c r="R21" i="98"/>
  <c r="X19" i="98"/>
  <c r="W25" i="98"/>
  <c r="W17" i="98"/>
  <c r="R16" i="98"/>
  <c r="AB21" i="98"/>
  <c r="R18" i="98"/>
  <c r="W18" i="98"/>
  <c r="T24" i="98"/>
  <c r="T20" i="98"/>
  <c r="T21" i="98"/>
  <c r="T18" i="98"/>
  <c r="R25" i="98"/>
  <c r="T22" i="98"/>
  <c r="R17" i="98"/>
  <c r="X56" i="138" l="1"/>
  <c r="X64" i="138"/>
  <c r="X57" i="138"/>
  <c r="X60" i="138"/>
  <c r="X59" i="138"/>
  <c r="X63" i="138"/>
  <c r="X61" i="138"/>
  <c r="X62" i="138"/>
  <c r="X58" i="138"/>
  <c r="X55" i="138"/>
  <c r="J108" i="97"/>
  <c r="J161" i="97"/>
  <c r="N108" i="97"/>
  <c r="N161" i="97"/>
  <c r="S108" i="97"/>
  <c r="S161" i="97"/>
  <c r="T108" i="97"/>
  <c r="T161" i="97"/>
  <c r="H108" i="97"/>
  <c r="H161" i="97"/>
  <c r="P108" i="97"/>
  <c r="P161" i="97"/>
  <c r="O108" i="97"/>
  <c r="O161" i="97"/>
  <c r="M108" i="97"/>
  <c r="M161" i="97"/>
  <c r="R108" i="97"/>
  <c r="R161" i="97"/>
  <c r="I108" i="97"/>
  <c r="I161" i="97"/>
  <c r="K108" i="97"/>
  <c r="K161" i="97"/>
  <c r="Q108" i="97"/>
  <c r="Q161" i="97"/>
  <c r="U108" i="97"/>
  <c r="U161" i="97"/>
  <c r="L108" i="97"/>
  <c r="L161" i="97"/>
  <c r="F155" i="97" a="1"/>
  <c r="F155" i="97" s="1"/>
  <c r="H96" i="97"/>
  <c r="H149" i="97"/>
  <c r="M96" i="97"/>
  <c r="M149" i="97"/>
  <c r="O96" i="97"/>
  <c r="O149" i="97"/>
  <c r="N96" i="97"/>
  <c r="N149" i="97"/>
  <c r="T96" i="97"/>
  <c r="T149" i="97"/>
  <c r="Q96" i="97"/>
  <c r="Q149" i="97"/>
  <c r="K96" i="97"/>
  <c r="K149" i="97"/>
  <c r="G96" i="97"/>
  <c r="G149" i="97"/>
  <c r="I96" i="97"/>
  <c r="I149" i="97"/>
  <c r="P96" i="97"/>
  <c r="P149" i="97"/>
  <c r="R96" i="97"/>
  <c r="R149" i="97"/>
  <c r="U96" i="97"/>
  <c r="U149" i="97"/>
  <c r="J96" i="97"/>
  <c r="J149" i="97"/>
  <c r="S96" i="97"/>
  <c r="S149" i="97"/>
  <c r="L96" i="97"/>
  <c r="L149" i="97"/>
  <c r="F143" i="97" a="1"/>
  <c r="F143" i="97" s="1"/>
  <c r="X15" i="138" s="1"/>
  <c r="F137" i="97" a="1"/>
  <c r="F137" i="97" s="1"/>
  <c r="N19" i="138" s="1"/>
  <c r="F131" i="97" a="1"/>
  <c r="F131" i="97" s="1"/>
  <c r="N15" i="138" s="1"/>
  <c r="T72" i="97"/>
  <c r="T125" i="97"/>
  <c r="J72" i="97"/>
  <c r="J125" i="97"/>
  <c r="N72" i="97"/>
  <c r="N125" i="97"/>
  <c r="P72" i="97"/>
  <c r="P125" i="97"/>
  <c r="S72" i="97"/>
  <c r="S125" i="97"/>
  <c r="H72" i="97"/>
  <c r="H125" i="97"/>
  <c r="U72" i="97"/>
  <c r="U125" i="97"/>
  <c r="R72" i="97"/>
  <c r="R125" i="97"/>
  <c r="L72" i="97"/>
  <c r="L125" i="97"/>
  <c r="M72" i="97"/>
  <c r="M125" i="97"/>
  <c r="G72" i="97"/>
  <c r="G125" i="97"/>
  <c r="Q72" i="97"/>
  <c r="Q125" i="97"/>
  <c r="O72" i="97"/>
  <c r="O125" i="97"/>
  <c r="I72" i="97"/>
  <c r="I125" i="97"/>
  <c r="K72" i="97"/>
  <c r="K125" i="97"/>
  <c r="F102" i="97"/>
  <c r="F84" i="97"/>
  <c r="P19" i="138" s="1"/>
  <c r="F78" i="97"/>
  <c r="P15" i="138" s="1"/>
  <c r="F66" i="97"/>
  <c r="J15" i="138" s="1"/>
  <c r="F152" i="97" a="1"/>
  <c r="F152" i="97" s="1"/>
  <c r="F128" i="97" a="1"/>
  <c r="F128" i="97" s="1"/>
  <c r="F126" i="97" a="1"/>
  <c r="F126" i="97" s="1"/>
  <c r="F142" i="97" a="1"/>
  <c r="F142" i="97" s="1"/>
  <c r="X14" i="138" s="1"/>
  <c r="F133" i="97" a="1"/>
  <c r="F133" i="97" s="1"/>
  <c r="F121" i="97" a="1"/>
  <c r="F121" i="97" s="1"/>
  <c r="F146" i="97" a="1"/>
  <c r="F146" i="97" s="1"/>
  <c r="F162" i="97" a="1"/>
  <c r="F162" i="97" s="1"/>
  <c r="F116" i="97" a="1"/>
  <c r="F116" i="97" s="1"/>
  <c r="F154" i="97" a="1"/>
  <c r="F154" i="97" s="1"/>
  <c r="F151" i="97" a="1"/>
  <c r="F151" i="97" s="1"/>
  <c r="F134" i="97" a="1"/>
  <c r="F134" i="97" s="1"/>
  <c r="F160" i="97" a="1"/>
  <c r="F160" i="97" s="1"/>
  <c r="F140" i="97" a="1"/>
  <c r="F140" i="97" s="1"/>
  <c r="F150" i="97" a="1"/>
  <c r="F150" i="97" s="1"/>
  <c r="F124" i="97" a="1"/>
  <c r="F124" i="97" s="1"/>
  <c r="I18" i="138" s="1"/>
  <c r="F158" i="97" a="1"/>
  <c r="F158" i="97" s="1"/>
  <c r="F157" i="97" a="1"/>
  <c r="F157" i="97" s="1"/>
  <c r="F145" i="97" a="1"/>
  <c r="F145" i="97" s="1"/>
  <c r="F138" i="97" a="1"/>
  <c r="F138" i="97" s="1"/>
  <c r="F132" i="97" a="1"/>
  <c r="F132" i="97" s="1"/>
  <c r="F122" i="97" a="1"/>
  <c r="F122" i="97" s="1"/>
  <c r="F120" i="97" a="1"/>
  <c r="F120" i="97" s="1"/>
  <c r="F136" i="97" a="1"/>
  <c r="F136" i="97" s="1"/>
  <c r="N18" i="138" s="1"/>
  <c r="F118" i="97" a="1"/>
  <c r="F118" i="97" s="1"/>
  <c r="I14" i="138" s="1"/>
  <c r="F130" i="97" a="1"/>
  <c r="F130" i="97" s="1"/>
  <c r="N14" i="138" s="1"/>
  <c r="F139" i="97" a="1"/>
  <c r="F139" i="97" s="1"/>
  <c r="F148" i="97" a="1"/>
  <c r="F148" i="97" s="1"/>
  <c r="X18" i="138" s="1"/>
  <c r="F144" i="97" a="1"/>
  <c r="F144" i="97" s="1"/>
  <c r="F156" i="97" a="1"/>
  <c r="F156" i="97" s="1"/>
  <c r="F127" i="97" a="1"/>
  <c r="F127" i="97" s="1"/>
  <c r="H76" i="97"/>
  <c r="U106" i="97"/>
  <c r="M135" i="97"/>
  <c r="H129" i="97"/>
  <c r="T153" i="97"/>
  <c r="P64" i="97"/>
  <c r="O106" i="97"/>
  <c r="K100" i="97"/>
  <c r="M123" i="97"/>
  <c r="N94" i="97"/>
  <c r="K82" i="97"/>
  <c r="Q64" i="97"/>
  <c r="M94" i="97"/>
  <c r="K135" i="97"/>
  <c r="M70" i="97"/>
  <c r="N141" i="97"/>
  <c r="M147" i="97"/>
  <c r="Q135" i="97"/>
  <c r="L129" i="97"/>
  <c r="N159" i="97"/>
  <c r="I82" i="97"/>
  <c r="J106" i="97"/>
  <c r="T100" i="97"/>
  <c r="H70" i="97"/>
  <c r="I76" i="97"/>
  <c r="J94" i="97"/>
  <c r="O159" i="97"/>
  <c r="J159" i="97"/>
  <c r="O100" i="97"/>
  <c r="G82" i="97"/>
  <c r="T94" i="97"/>
  <c r="I123" i="97"/>
  <c r="G141" i="97"/>
  <c r="P76" i="97"/>
  <c r="T76" i="97"/>
  <c r="Q117" i="97"/>
  <c r="T82" i="97"/>
  <c r="L159" i="97"/>
  <c r="K70" i="97"/>
  <c r="I94" i="97"/>
  <c r="O94" i="97"/>
  <c r="I100" i="97"/>
  <c r="L64" i="97"/>
  <c r="O153" i="97"/>
  <c r="N76" i="97"/>
  <c r="U94" i="97"/>
  <c r="T70" i="97"/>
  <c r="U76" i="97"/>
  <c r="T129" i="97"/>
  <c r="M88" i="97"/>
  <c r="H123" i="97"/>
  <c r="M159" i="97"/>
  <c r="O88" i="97"/>
  <c r="M106" i="97"/>
  <c r="L76" i="97"/>
  <c r="N106" i="97"/>
  <c r="T123" i="97"/>
  <c r="U153" i="97"/>
  <c r="I70" i="97"/>
  <c r="S141" i="97"/>
  <c r="U135" i="97"/>
  <c r="S88" i="97"/>
  <c r="O117" i="97"/>
  <c r="M129" i="97"/>
  <c r="O147" i="97"/>
  <c r="U129" i="97"/>
  <c r="N117" i="97"/>
  <c r="O64" i="97"/>
  <c r="S106" i="97"/>
  <c r="N135" i="97"/>
  <c r="Q106" i="97"/>
  <c r="T117" i="97"/>
  <c r="I147" i="97"/>
  <c r="O135" i="97"/>
  <c r="M64" i="97"/>
  <c r="S117" i="97"/>
  <c r="S64" i="97"/>
  <c r="S100" i="97"/>
  <c r="N64" i="97"/>
  <c r="H135" i="97"/>
  <c r="S123" i="97"/>
  <c r="N70" i="97"/>
  <c r="J88" i="97"/>
  <c r="M76" i="97"/>
  <c r="P123" i="97"/>
  <c r="I153" i="97"/>
  <c r="K153" i="97"/>
  <c r="F91" i="97"/>
  <c r="Q94" i="97"/>
  <c r="S70" i="97"/>
  <c r="N123" i="97"/>
  <c r="R82" i="97"/>
  <c r="F89" i="97"/>
  <c r="Y14" i="138" s="1"/>
  <c r="P70" i="97"/>
  <c r="S159" i="97"/>
  <c r="J153" i="97"/>
  <c r="U141" i="97"/>
  <c r="R123" i="97"/>
  <c r="S147" i="97"/>
  <c r="S82" i="97"/>
  <c r="R135" i="97"/>
  <c r="M100" i="97"/>
  <c r="O70" i="97"/>
  <c r="O82" i="97"/>
  <c r="L117" i="97"/>
  <c r="F101" i="97"/>
  <c r="F85" i="97"/>
  <c r="H159" i="97"/>
  <c r="R70" i="97"/>
  <c r="O123" i="97"/>
  <c r="Q82" i="97"/>
  <c r="K147" i="97"/>
  <c r="U88" i="97"/>
  <c r="S94" i="97"/>
  <c r="S135" i="97"/>
  <c r="H141" i="97"/>
  <c r="K94" i="97"/>
  <c r="P94" i="97"/>
  <c r="U70" i="97"/>
  <c r="P117" i="97"/>
  <c r="H88" i="97"/>
  <c r="S76" i="97"/>
  <c r="H147" i="97"/>
  <c r="P147" i="97"/>
  <c r="P129" i="97"/>
  <c r="N82" i="97"/>
  <c r="U123" i="97"/>
  <c r="K129" i="97"/>
  <c r="F79" i="97"/>
  <c r="H82" i="97"/>
  <c r="M82" i="97"/>
  <c r="J100" i="97"/>
  <c r="P106" i="97"/>
  <c r="P153" i="97"/>
  <c r="H94" i="97"/>
  <c r="N88" i="97"/>
  <c r="F83" i="97"/>
  <c r="P18" i="138" s="1"/>
  <c r="Q159" i="97"/>
  <c r="I64" i="97"/>
  <c r="F68" i="97"/>
  <c r="I129" i="97"/>
  <c r="P82" i="97"/>
  <c r="K76" i="97"/>
  <c r="M141" i="97"/>
  <c r="M153" i="97"/>
  <c r="N147" i="97"/>
  <c r="F104" i="97"/>
  <c r="K141" i="97"/>
  <c r="R141" i="97"/>
  <c r="I88" i="97"/>
  <c r="K88" i="97"/>
  <c r="L123" i="97"/>
  <c r="P141" i="97"/>
  <c r="R88" i="97"/>
  <c r="U147" i="97"/>
  <c r="G147" i="97"/>
  <c r="T141" i="97"/>
  <c r="U100" i="97"/>
  <c r="N129" i="97"/>
  <c r="M117" i="97"/>
  <c r="P88" i="97"/>
  <c r="T88" i="97"/>
  <c r="F97" i="97"/>
  <c r="J117" i="97"/>
  <c r="L70" i="97"/>
  <c r="Q129" i="97"/>
  <c r="O141" i="97"/>
  <c r="J129" i="97"/>
  <c r="L147" i="97"/>
  <c r="R153" i="97"/>
  <c r="R117" i="97"/>
  <c r="R76" i="97"/>
  <c r="G64" i="97"/>
  <c r="F80" i="97"/>
  <c r="Q100" i="97"/>
  <c r="K123" i="97"/>
  <c r="F77" i="97"/>
  <c r="P14" i="138" s="1"/>
  <c r="N153" i="97"/>
  <c r="Q123" i="97"/>
  <c r="J64" i="97"/>
  <c r="Q76" i="97"/>
  <c r="L94" i="97"/>
  <c r="R100" i="97"/>
  <c r="R64" i="97"/>
  <c r="R129" i="97"/>
  <c r="K64" i="97"/>
  <c r="I159" i="97"/>
  <c r="Q153" i="97"/>
  <c r="F81" i="97"/>
  <c r="G70" i="97"/>
  <c r="N100" i="97"/>
  <c r="Q70" i="97"/>
  <c r="H100" i="97"/>
  <c r="K117" i="97"/>
  <c r="I106" i="97"/>
  <c r="L135" i="97"/>
  <c r="L100" i="97"/>
  <c r="F105" i="97"/>
  <c r="G123" i="97"/>
  <c r="R147" i="97"/>
  <c r="U64" i="97"/>
  <c r="H153" i="97"/>
  <c r="J141" i="97"/>
  <c r="J82" i="97"/>
  <c r="J147" i="97"/>
  <c r="U159" i="97"/>
  <c r="L153" i="97"/>
  <c r="K159" i="97"/>
  <c r="T106" i="97"/>
  <c r="R94" i="97"/>
  <c r="T135" i="97"/>
  <c r="H106" i="97"/>
  <c r="T64" i="97"/>
  <c r="L106" i="97"/>
  <c r="U82" i="97"/>
  <c r="S153" i="97"/>
  <c r="J135" i="97"/>
  <c r="F69" i="97"/>
  <c r="J70" i="97"/>
  <c r="F73" i="97"/>
  <c r="L141" i="97"/>
  <c r="L88" i="97"/>
  <c r="G129" i="97"/>
  <c r="J123" i="97"/>
  <c r="H117" i="97"/>
  <c r="F115" i="97" a="1"/>
  <c r="F115" i="97" s="1"/>
  <c r="H64" i="97"/>
  <c r="F65" i="97"/>
  <c r="J14" i="138" s="1"/>
  <c r="F75" i="97"/>
  <c r="F99" i="97"/>
  <c r="F71" i="97"/>
  <c r="J18" i="138" s="1"/>
  <c r="I141" i="97"/>
  <c r="J76" i="97"/>
  <c r="L82" i="97"/>
  <c r="F74" i="97"/>
  <c r="F119" i="97" s="1" a="1"/>
  <c r="F119" i="97" s="1"/>
  <c r="I15" i="138" s="1"/>
  <c r="R159" i="97"/>
  <c r="F93" i="97"/>
  <c r="G94" i="97"/>
  <c r="F107" i="97"/>
  <c r="F109" i="97"/>
  <c r="O76" i="97"/>
  <c r="U117" i="97"/>
  <c r="G153" i="97"/>
  <c r="F63" i="97"/>
  <c r="F92" i="97"/>
  <c r="O129" i="97"/>
  <c r="T159" i="97"/>
  <c r="F98" i="97"/>
  <c r="G100" i="97"/>
  <c r="G88" i="97"/>
  <c r="F86" i="97"/>
  <c r="T147" i="97"/>
  <c r="F103" i="97"/>
  <c r="G159" i="97"/>
  <c r="G135" i="97"/>
  <c r="F62" i="97"/>
  <c r="Q141" i="97"/>
  <c r="P159" i="97"/>
  <c r="G117" i="97"/>
  <c r="K106" i="97"/>
  <c r="Q88" i="97"/>
  <c r="F87" i="97"/>
  <c r="S129" i="97"/>
  <c r="R106" i="97"/>
  <c r="I135" i="97"/>
  <c r="Q147" i="97"/>
  <c r="P100" i="97"/>
  <c r="G106" i="97"/>
  <c r="I117" i="97"/>
  <c r="F95" i="97"/>
  <c r="Y18" i="138" s="1"/>
  <c r="P135" i="97"/>
  <c r="F67" i="97"/>
  <c r="G76" i="97"/>
  <c r="M64" i="138"/>
  <c r="N64" i="138"/>
  <c r="T66" i="138"/>
  <c r="Q65" i="138"/>
  <c r="N63" i="138"/>
  <c r="M66" i="138"/>
  <c r="W67" i="138"/>
  <c r="M63" i="138"/>
  <c r="T67" i="138"/>
  <c r="K67" i="138"/>
  <c r="O67" i="138"/>
  <c r="Q66" i="138"/>
  <c r="Q67" i="138"/>
  <c r="O66" i="138"/>
  <c r="M67" i="138"/>
  <c r="P66" i="138"/>
  <c r="V66" i="138"/>
  <c r="M65" i="138"/>
  <c r="M58" i="138"/>
  <c r="M62" i="138"/>
  <c r="M57" i="138"/>
  <c r="M61" i="138"/>
  <c r="M59" i="138"/>
  <c r="K58" i="138"/>
  <c r="M56" i="138"/>
  <c r="M60" i="138"/>
  <c r="M55" i="138"/>
  <c r="N56" i="138"/>
  <c r="S60" i="138"/>
  <c r="U59" i="138"/>
  <c r="V60" i="138"/>
  <c r="O58" i="138"/>
  <c r="N57" i="138"/>
  <c r="W55" i="138"/>
  <c r="P29" i="98"/>
  <c r="AF30" i="98"/>
  <c r="AE28" i="98"/>
  <c r="AE26" i="98"/>
  <c r="W26" i="98"/>
  <c r="AC26" i="98"/>
  <c r="AB26" i="98"/>
  <c r="AA30" i="98"/>
  <c r="AB27" i="98"/>
  <c r="Y30" i="98"/>
  <c r="AF29" i="98"/>
  <c r="AF27" i="98"/>
  <c r="AA27" i="98"/>
  <c r="AF26" i="98"/>
  <c r="Y28" i="98"/>
  <c r="AA26" i="98"/>
  <c r="W28" i="98"/>
  <c r="W27" i="98"/>
  <c r="AB28" i="98"/>
  <c r="AA28" i="98"/>
  <c r="W29" i="98"/>
  <c r="W30" i="98"/>
  <c r="AE29" i="98"/>
  <c r="AD27" i="98"/>
  <c r="P26" i="98"/>
  <c r="AD26" i="98"/>
  <c r="AE30" i="98"/>
  <c r="Z30" i="98"/>
  <c r="AD30" i="98"/>
  <c r="Y26" i="98"/>
  <c r="AD28" i="98"/>
  <c r="AC30" i="98"/>
  <c r="X26" i="98"/>
  <c r="P27" i="98"/>
  <c r="AC18" i="98"/>
  <c r="P23" i="98"/>
  <c r="AB18" i="98"/>
  <c r="AB22" i="98"/>
  <c r="AD24" i="98"/>
  <c r="AC16" i="98"/>
  <c r="P21" i="98"/>
  <c r="W16" i="98"/>
  <c r="AD23" i="98"/>
  <c r="Z21" i="98"/>
  <c r="P17" i="98"/>
  <c r="AE25" i="98"/>
  <c r="X17" i="98"/>
  <c r="AD21" i="98"/>
  <c r="Z24" i="98"/>
  <c r="Y22" i="98"/>
  <c r="Z18" i="98"/>
  <c r="P20" i="98"/>
  <c r="AA23" i="98"/>
  <c r="AB17" i="98"/>
  <c r="W22" i="98"/>
  <c r="Z20" i="98"/>
  <c r="Y17" i="98"/>
  <c r="AF17" i="98"/>
  <c r="X25" i="98"/>
  <c r="P25" i="98"/>
  <c r="Y20" i="98"/>
  <c r="AC21" i="98"/>
  <c r="AF20" i="98"/>
  <c r="AF21" i="98"/>
  <c r="Z22" i="98"/>
  <c r="AE22" i="98"/>
  <c r="AB19" i="98"/>
  <c r="AF18" i="98"/>
  <c r="AF25" i="98"/>
  <c r="X20" i="98"/>
  <c r="AE23" i="98"/>
  <c r="AC25" i="98"/>
  <c r="Y16" i="98"/>
  <c r="Z19" i="98"/>
  <c r="AA18" i="98"/>
  <c r="AB25" i="98"/>
  <c r="AC23" i="98"/>
  <c r="AA20" i="98"/>
  <c r="AC22" i="98"/>
  <c r="X23" i="98"/>
  <c r="Y23" i="98"/>
  <c r="AF23" i="98"/>
  <c r="W21" i="98"/>
  <c r="Z25" i="98"/>
  <c r="W19" i="98"/>
  <c r="Z16" i="98"/>
  <c r="AE18" i="98"/>
  <c r="AE17" i="98"/>
  <c r="AC17" i="98"/>
  <c r="AA17" i="98"/>
  <c r="X24" i="98"/>
  <c r="AB16" i="98"/>
  <c r="P24" i="98"/>
  <c r="AC20" i="98"/>
  <c r="AD25" i="98"/>
  <c r="AC24" i="98"/>
  <c r="AA19" i="98"/>
  <c r="W20" i="98"/>
  <c r="Z23" i="98"/>
  <c r="Y24" i="98"/>
  <c r="X16" i="98"/>
  <c r="AA16" i="98"/>
  <c r="AA21" i="98"/>
  <c r="AE20" i="98"/>
  <c r="P18" i="98"/>
  <c r="AD22" i="98"/>
  <c r="AF24" i="98"/>
  <c r="Y18" i="98"/>
  <c r="Y25" i="98"/>
  <c r="AF19" i="98"/>
  <c r="X22" i="98"/>
  <c r="X18" i="98"/>
  <c r="AD19" i="98"/>
  <c r="AE24" i="98"/>
  <c r="Y21" i="98"/>
  <c r="W23" i="98"/>
  <c r="AF22" i="98"/>
  <c r="AA25" i="98"/>
  <c r="AD18" i="98"/>
  <c r="AD16" i="98"/>
  <c r="AA24" i="98"/>
  <c r="AD17" i="98"/>
  <c r="AB24" i="98"/>
  <c r="AA22" i="98"/>
  <c r="AE16" i="98"/>
  <c r="AE19" i="98"/>
  <c r="P16" i="98"/>
  <c r="AC19" i="98"/>
  <c r="AB20" i="98"/>
  <c r="AB23" i="98"/>
  <c r="X21" i="98"/>
  <c r="Z17" i="98"/>
  <c r="P22" i="98"/>
  <c r="Y19" i="98"/>
  <c r="G108" i="97" l="1"/>
  <c r="F108" i="97" s="1"/>
  <c r="G161" i="97"/>
  <c r="F161" i="97" s="1" a="1"/>
  <c r="F161" i="97" s="1"/>
  <c r="F96" i="97"/>
  <c r="Y19" i="138" s="1"/>
  <c r="F149" i="97" a="1"/>
  <c r="F149" i="97" s="1"/>
  <c r="X19" i="138" s="1"/>
  <c r="F72" i="97"/>
  <c r="J19" i="138" s="1"/>
  <c r="F125" i="97" a="1"/>
  <c r="F125" i="97" s="1"/>
  <c r="I19" i="138" s="1"/>
  <c r="F159" i="97" a="1"/>
  <c r="F159" i="97" s="1"/>
  <c r="F135" i="97" a="1"/>
  <c r="F135" i="97" s="1"/>
  <c r="N17" i="138" s="1"/>
  <c r="F129" i="97" a="1"/>
  <c r="F129" i="97" s="1"/>
  <c r="N13" i="138" s="1"/>
  <c r="F147" i="97" a="1"/>
  <c r="F147" i="97" s="1"/>
  <c r="X17" i="138" s="1"/>
  <c r="F123" i="97" a="1"/>
  <c r="F123" i="97" s="1"/>
  <c r="I17" i="138" s="1"/>
  <c r="F117" i="97" a="1"/>
  <c r="F117" i="97" s="1"/>
  <c r="I13" i="138" s="1"/>
  <c r="F153" i="97" a="1"/>
  <c r="F153" i="97" s="1"/>
  <c r="E151" i="97" s="1" a="1"/>
  <c r="E151" i="97" s="1"/>
  <c r="F141" i="97" a="1"/>
  <c r="F141" i="97" s="1"/>
  <c r="X13" i="138" s="1"/>
  <c r="X38" i="138" a="1"/>
  <c r="X38" i="138" s="1"/>
  <c r="X37" i="138" a="1"/>
  <c r="X37" i="138" s="1"/>
  <c r="K37" i="138" a="1"/>
  <c r="K37" i="138" s="1"/>
  <c r="T57" i="138"/>
  <c r="S64" i="138"/>
  <c r="U55" i="138"/>
  <c r="V59" i="138"/>
  <c r="R55" i="138"/>
  <c r="N59" i="138"/>
  <c r="V55" i="138"/>
  <c r="Q57" i="138"/>
  <c r="O57" i="138"/>
  <c r="N60" i="138"/>
  <c r="F82" i="97"/>
  <c r="F64" i="97"/>
  <c r="F106" i="97"/>
  <c r="F70" i="97"/>
  <c r="J17" i="138" s="1"/>
  <c r="F88" i="97"/>
  <c r="F76" i="97"/>
  <c r="F94" i="97"/>
  <c r="Y17" i="138" s="1"/>
  <c r="F100" i="97"/>
  <c r="E98" i="97" s="1"/>
  <c r="V57" i="138"/>
  <c r="R57" i="138"/>
  <c r="U57" i="138"/>
  <c r="U62" i="138"/>
  <c r="S59" i="138"/>
  <c r="R58" i="138"/>
  <c r="N62" i="138"/>
  <c r="N55" i="138"/>
  <c r="Q58" i="138"/>
  <c r="O60" i="138"/>
  <c r="T60" i="138"/>
  <c r="U60" i="138"/>
  <c r="K62" i="138"/>
  <c r="R59" i="138"/>
  <c r="W59" i="138"/>
  <c r="Q59" i="138"/>
  <c r="S57" i="138"/>
  <c r="S61" i="138"/>
  <c r="O59" i="138"/>
  <c r="Q61" i="138"/>
  <c r="T55" i="138"/>
  <c r="K63" i="138"/>
  <c r="R62" i="138"/>
  <c r="P58" i="138"/>
  <c r="P59" i="138"/>
  <c r="P57" i="138"/>
  <c r="O55" i="138"/>
  <c r="S55" i="138"/>
  <c r="Q55" i="138"/>
  <c r="W57" i="138"/>
  <c r="T59" i="138"/>
  <c r="W62" i="138"/>
  <c r="K66" i="138"/>
  <c r="O65" i="138"/>
  <c r="U67" i="138"/>
  <c r="P64" i="138"/>
  <c r="S63" i="138"/>
  <c r="U63" i="138"/>
  <c r="T64" i="138"/>
  <c r="R63" i="138"/>
  <c r="V64" i="138"/>
  <c r="O64" i="138"/>
  <c r="P65" i="138"/>
  <c r="W64" i="138"/>
  <c r="U65" i="138"/>
  <c r="K65" i="138"/>
  <c r="U66" i="138"/>
  <c r="W63" i="138"/>
  <c r="O63" i="138"/>
  <c r="R67" i="138"/>
  <c r="S67" i="138"/>
  <c r="T63" i="138"/>
  <c r="Q63" i="138"/>
  <c r="N66" i="138"/>
  <c r="N67" i="138"/>
  <c r="R65" i="138"/>
  <c r="P67" i="138"/>
  <c r="W65" i="138"/>
  <c r="R66" i="138"/>
  <c r="W66" i="138"/>
  <c r="Q64" i="138"/>
  <c r="S66" i="138"/>
  <c r="V63" i="138"/>
  <c r="U64" i="138"/>
  <c r="P63" i="138"/>
  <c r="S65" i="138"/>
  <c r="T65" i="138"/>
  <c r="R64" i="138"/>
  <c r="N65" i="138"/>
  <c r="V65" i="138"/>
  <c r="V67" i="138"/>
  <c r="K64" i="138"/>
  <c r="K56" i="138"/>
  <c r="K61" i="138"/>
  <c r="K59" i="138"/>
  <c r="K57" i="138"/>
  <c r="K60" i="138"/>
  <c r="K55" i="138"/>
  <c r="W56" i="138"/>
  <c r="O56" i="138"/>
  <c r="P60" i="138"/>
  <c r="S58" i="138"/>
  <c r="P61" i="138"/>
  <c r="V58" i="138"/>
  <c r="W61" i="138"/>
  <c r="Q60" i="138"/>
  <c r="Q62" i="138"/>
  <c r="O61" i="138"/>
  <c r="R56" i="138"/>
  <c r="T58" i="138"/>
  <c r="N58" i="138"/>
  <c r="R60" i="138"/>
  <c r="P56" i="138"/>
  <c r="O62" i="138"/>
  <c r="T61" i="138"/>
  <c r="Q56" i="138"/>
  <c r="U56" i="138"/>
  <c r="R61" i="138"/>
  <c r="S56" i="138"/>
  <c r="S62" i="138"/>
  <c r="V56" i="138"/>
  <c r="U58" i="138"/>
  <c r="W58" i="138"/>
  <c r="W60" i="138"/>
  <c r="T62" i="138"/>
  <c r="V62" i="138"/>
  <c r="T56" i="138"/>
  <c r="U61" i="138"/>
  <c r="P62" i="138"/>
  <c r="V61" i="138"/>
  <c r="N61" i="138"/>
  <c r="P55" i="138"/>
  <c r="E86" i="97" l="1"/>
  <c r="Y12" i="138" s="1"/>
  <c r="Y13" i="138"/>
  <c r="P13" i="138"/>
  <c r="E80" i="97"/>
  <c r="P16" i="138" s="1"/>
  <c r="P17" i="138"/>
  <c r="E74" i="97"/>
  <c r="E62" i="97"/>
  <c r="J12" i="138" s="1"/>
  <c r="J13" i="138"/>
  <c r="E157" i="97" a="1"/>
  <c r="E157" i="97" s="1"/>
  <c r="E92" i="97"/>
  <c r="Y16" i="138" s="1"/>
  <c r="E104" i="97"/>
  <c r="E68" i="97"/>
  <c r="J16" i="138" s="1"/>
  <c r="P12" i="138"/>
  <c r="E145" i="97" a="1"/>
  <c r="E145" i="97" s="1"/>
  <c r="X16" i="138" s="1"/>
  <c r="E139" i="97" a="1"/>
  <c r="E139" i="97" s="1"/>
  <c r="X12" i="138" s="1"/>
  <c r="E133" i="97" a="1"/>
  <c r="E133" i="97" s="1"/>
  <c r="N16" i="138" s="1"/>
  <c r="E127" i="97" a="1"/>
  <c r="E127" i="97" s="1"/>
  <c r="N12" i="138" s="1"/>
  <c r="E121" i="97" a="1"/>
  <c r="E121" i="97" s="1"/>
  <c r="I16" i="138" s="1"/>
  <c r="E115" i="97" a="1"/>
  <c r="E115" i="97" s="1"/>
  <c r="I12" i="13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tc={EE12F811-E84D-4C92-8E0A-A7206D8CC7F4}</author>
    <author>tc={AA9503DB-4D1F-4D0D-BE2B-C481379003DF}</author>
    <author>tc={7E077257-A2EF-4C9A-8D4C-D38302F5EEA0}</author>
    <author>tc={C4F1626C-C343-4846-B744-A6D82428C19A}</author>
    <author>tc={B04DBC6F-F822-4BF8-A1D9-625814CB1CFC}</author>
    <author>tc={0FCBE9BA-9353-46EC-AA49-427A6F54FE78}</author>
  </authors>
  <commentList>
    <comment ref="Q6" authorId="0" shapeId="0" xr:uid="{EE12F811-E84D-4C92-8E0A-A7206D8CC7F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Cette information n’a pas besoin de figurer au niveau du descriptif, elle est dans l’onglet Analytique</t>
        </r>
      </text>
    </comment>
    <comment ref="C8" authorId="1" shapeId="0" xr:uid="{AA9503DB-4D1F-4D0D-BE2B-C481379003D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Produire un fichier vierge de tout équipement réseau et station</t>
        </r>
      </text>
    </comment>
    <comment ref="O32" authorId="2" shapeId="0" xr:uid="{7E077257-A2EF-4C9A-8D4C-D38302F5EEA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a 2 fois le même libellé de colonne O30 et M30 (ainsi que dans les Templates) ce qui prête à confusion, il vaudrait mieux parler de type d’équipement pour M30 et de type de matériel pour O30 (ainsi que dans les Templates)</t>
        </r>
      </text>
    </comment>
    <comment ref="J33" authorId="3" shapeId="0" xr:uid="{C4F1626C-C343-4846-B744-A6D82428C19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pointe vers le libellé de l’équipement. Il y a un mélange entre Point de mesure / équipement et code / libellé</t>
        </r>
      </text>
    </comment>
    <comment ref="K33" authorId="4" shapeId="0" xr:uid="{B04DBC6F-F822-4BF8-A1D9-625814CB1CF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pointe vers le libellé de l’équipement. Il y a un mélange entre Point de mesure / équipement et code / libellé</t>
        </r>
      </text>
    </comment>
    <comment ref="E41" authorId="5" shapeId="0" xr:uid="{0FCBE9BA-9353-46EC-AA49-427A6F54FE78}">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ne peut pas ajouter d’équipement sur la station s’il n’y en a aucun sur le système de collecte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tc={FBC7F5DD-5FA2-438C-A9B8-A26BE939FEF8}</author>
    <author>tc={C8DCE332-75DA-4DA2-89F8-2648339154DA}</author>
    <author>tc={F25581D5-1145-4727-9499-AAA8921C098A}</author>
    <author>tc={FE8E1DF2-1420-428A-AC48-8E3C1A2874CF}</author>
    <author>tc={572509B3-59D2-4D23-8E1B-13D3C97207A8}</author>
    <author>tc={ECD12205-531F-427D-8560-7B37AAED15FE}</author>
    <author>tc={254127BD-21EC-4567-840C-CC90CD2C03AA}</author>
    <author>tc={EE03F8C0-62EA-459F-9A41-6370D1CF9253}</author>
  </authors>
  <commentList>
    <comment ref="I12" authorId="0" shapeId="0" xr:uid="{FBC7F5DD-5FA2-438C-A9B8-A26BE939FEF8}">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Verrouiller toutes les cellules avec des formules</t>
        </r>
      </text>
    </comment>
    <comment ref="G23" authorId="1" shapeId="0" xr:uid="{C8DCE332-75DA-4DA2-89F8-2648339154D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à la fin de la phrase «ou en cours d’expertise»</t>
        </r>
      </text>
    </comment>
    <comment ref="K23" authorId="2" shapeId="0" xr:uid="{F25581D5-1145-4727-9499-AAA8921C098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Aller chercher l’information dans l’onglet Qualité</t>
        </r>
      </text>
    </comment>
    <comment ref="K24" authorId="3" shapeId="0" xr:uid="{FE8E1DF2-1420-428A-AC48-8E3C1A2874C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 ref="G28" authorId="4" shapeId="0" xr:uid="{572509B3-59D2-4D23-8E1B-13D3C97207A8}">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manque une ligne sur les analyses à alimenter en fonction du score à la cellule Q21 de l’onglet «Analytique». Il manque également une conclusion globale en fonction du score à la cellule J24 de l’onglet «Analytique»</t>
        </r>
      </text>
    </comment>
    <comment ref="G37" authorId="5" shapeId="0" xr:uid="{ECD12205-531F-427D-8560-7B37AAED15FE}">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informations ne remontent pas des onglets TEMP</t>
        </r>
      </text>
    </comment>
    <comment ref="P37" authorId="6" shapeId="0" xr:uid="{254127BD-21EC-4567-840C-CC90CD2C03A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informations ne remontent pas des onglets PLUVIO</t>
        </r>
      </text>
    </comment>
    <comment ref="C51" authorId="7" shapeId="0" xr:uid="{EE03F8C0-62EA-459F-9A41-6370D1CF9253}">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voir en GT2 si l’on conserve cette présentation plus détaillée, mais les cellules commentaires risquent d’être trop petites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tc={D4CCEFEA-B1D7-43A6-A8C8-EBB826D465A6}</author>
    <author>tc={523D3885-5460-48F3-BFB8-C3B8DA7A8B7D}</author>
    <author>tc={FB9BA56C-9BB4-42CB-9B1F-330CFC72F3D9}</author>
    <author>tc={712DB4BA-90E4-419F-B85B-5B6F5E63F79A}</author>
    <author>tc={6C5B93C2-CFE8-49C4-B775-8A450B4F4F8C}</author>
    <author>tc={270FE892-3A84-4948-9E4C-C650A0D050DB}</author>
    <author>tc={0734DA72-B4A5-416D-A1B5-2A7AC9025C45}</author>
    <author>tc={86A84E34-9762-45E3-90FD-C586B4E261EF}</author>
    <author>tc={6068CCF3-0DB9-4CE5-A320-C66FE45BBBB5}</author>
  </authors>
  <commentList>
    <comment ref="D20" authorId="0" shapeId="0" xr:uid="{D4CCEFEA-B1D7-43A6-A8C8-EBB826D465A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manque les questions suivantes :
Nom du(des) laboratoire(s) réalisant les analyses de la matrice eau ?
Nom du laboratoire réalisant l’analyse de la siccités des boues et des matières sèches ?
Le(s) laboratoire(s) est(sont)-il(s) agréé(s) au titre du code de l’environnement pour l’ensemble des paramètres de la matrice eau ?
A défaut, est ce que le laboratoire réalise un exercice concluant d’intercalibration avec un laboratoire agréé ?</t>
        </r>
      </text>
    </comment>
    <comment ref="J23" authorId="1" shapeId="0" xr:uid="{863185CF-5597-4CCB-8028-3CD76EB0E6F6}">
      <text>
        <r>
          <rPr>
            <sz val="10"/>
            <color theme="1"/>
            <rFont val="Arial"/>
            <family val="2"/>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une formule pour remplir cette cellule en fonction des résultats aux 2 questions précédente (à rajouter). </t>
        </r>
      </text>
    </comment>
    <comment ref="J24" authorId="1" shapeId="0" xr:uid="{ED2D05CE-747E-42FF-8DB2-EDDFB2733277}">
      <text>
        <r>
          <rPr>
            <sz val="10"/>
            <color theme="1"/>
            <rFont val="Arial"/>
            <family val="2"/>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une formule pour remplir cette cellule en fonction des résultats aux 2 questions précédente (à rajouter). </t>
        </r>
      </text>
    </comment>
    <comment ref="J25" authorId="1" shapeId="0" xr:uid="{523D3885-5460-48F3-BFB8-C3B8DA7A8B7D}">
      <text>
        <r>
          <rPr>
            <sz val="10"/>
            <color theme="1"/>
            <rFont val="Arial"/>
            <family val="2"/>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une formule pour remplir cette cellule en fonction des résultats aux 2 questions précédente (à rajouter). </t>
        </r>
      </text>
    </comment>
    <comment ref="C34" authorId="2" shapeId="0" xr:uid="{FB9BA56C-9BB4-42CB-9B1F-330CFC72F3D9}">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Module non testé</t>
        </r>
      </text>
    </comment>
    <comment ref="D37" authorId="3" shapeId="0" xr:uid="{712DB4BA-90E4-419F-B85B-5B6F5E63F79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Voir l’intérêt de cette information</t>
        </r>
      </text>
    </comment>
    <comment ref="K37" authorId="4" shapeId="0" xr:uid="{6C5B93C2-CFE8-49C4-B775-8A450B4F4F8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Voir l’intérêt de cette information</t>
        </r>
      </text>
    </comment>
    <comment ref="D41" authorId="5" shapeId="0" xr:uid="{270FE892-3A84-4948-9E4C-C650A0D050D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convient de faire apparaître le point de prélèvement (Entrée station, Sortie station, Boues, etc …)</t>
        </r>
      </text>
    </comment>
    <comment ref="D42" authorId="6" shapeId="0" xr:uid="{0734DA72-B4A5-416D-A1B5-2A7AC9025C45}">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manque le NGL, Métox, AOX et COT sont inutiles pour les collectivités</t>
        </r>
      </text>
    </comment>
    <comment ref="M43" authorId="7" shapeId="0" xr:uid="{86A84E34-9762-45E3-90FD-C586B4E261E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 nombre d’analyses réalisées n’est pas à compter sur la colonne M mais sur la colonne G</t>
        </r>
      </text>
    </comment>
    <comment ref="O45" authorId="8" shapeId="0" xr:uid="{6068CCF3-0DB9-4CE5-A320-C66FE45BBBB5}">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 cellules doivent se remplir «automatiquement» en fonction des EMT (Cf. le fichier des industriels).</t>
        </r>
      </text>
    </comment>
    <comment ref="O73" authorId="8" shapeId="0" xr:uid="{6DA38516-52FA-4FEA-AE2F-250280CF42B1}">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 cellules doivent se remplir «automatiquement» en fonction des EMT (Cf. le fichier des industriels).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tc={D8175C3C-A09E-4F39-A30D-46145E61CB51}</author>
  </authors>
  <commentList>
    <comment ref="E18" authorId="0" shapeId="0" xr:uid="{D8175C3C-A09E-4F39-A30D-46145E61CB51}">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les lignes 2 à 7 enlever (à jour, validé ou en cours d’expertise) à la fin des phrases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tc={839BD1FE-25C9-431E-B804-0B555A917F6F}</author>
    <author>tc={E7469063-EACA-4494-A98C-8B31BC8E088E}</author>
    <author>tc={4C29DD99-CBEC-45FA-9A2D-C419658E6FF0}</author>
    <author>tc={F96FFEC1-3AB8-42EF-BBC8-8DF78FD9FF93}</author>
    <author>tc={F21AB27E-8144-4403-89DA-29D23F23F412}</author>
    <author>tc={087BD5A6-ABE6-4078-ABF5-F36E30D056BF}</author>
    <author>tc={365FFB4C-1DDE-4FDA-9BED-EB7AC74C8882}</author>
    <author>tc={9EE8EC42-0573-4CAE-A334-79D9A22BAA45}</author>
    <author>tc={8C59FC6F-004A-410A-ABB1-867872B90356}</author>
    <author>tc={F8867A5C-6E2C-4537-9492-CCB178A636DC}</author>
    <author>tc={C60F4E7C-C197-4689-A41C-29AD7474E0A5}</author>
    <author>tc={49427EB1-3247-4799-A1A8-A623E98E8591}</author>
    <author>tc={E21A2B2F-4E93-4378-9374-305C5EA8215F}</author>
    <author>tc={3C78993E-3170-47D0-B6EA-974390514B86}</author>
    <author>tc={D9A9686C-E30A-4BCA-B98B-D3D4C8E6C801}</author>
    <author>tc={E3BB4C13-F22F-4949-B29F-E95D6AEC968E}</author>
    <author>tc={CA5583B5-F82C-4124-B7A7-5DF6236A0EEC}</author>
    <author>tc={5788E2D3-B920-448E-875F-1D4FF738744F}</author>
    <author>tc={2A8D723C-0C0A-43F0-8B26-82FC59DDD0EE}</author>
    <author>tc={7630EF51-98E6-44CC-AE99-14CC6457A494}</author>
    <author>tc={6E9C0D49-47E7-4333-B039-0F94410F9E7B}</author>
    <author>tc={AC9E7841-2F9F-4F3D-BD22-BFBD03F8D1FB}</author>
    <author>tc={E037C6FB-1B82-46A1-A564-28AFD2F8C182}</author>
  </authors>
  <commentList>
    <comment ref="H3" authorId="0" shapeId="0" xr:uid="{839BD1FE-25C9-431E-B804-0B555A917F6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faudrait ici la localisation du point de mesure</t>
        </r>
      </text>
    </comment>
    <comment ref="P3" authorId="1" shapeId="0" xr:uid="{E7469063-EACA-4494-A98C-8B31BC8E088E}">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L’information ne remonte pas car la formule fait un test sur la cellule Descriptif!T3 qui n’a pas lieu d’être</t>
        </r>
      </text>
    </comment>
    <comment ref="H4" authorId="2" shapeId="0" xr:uid="{4C29DD99-CBEC-45FA-9A2D-C419658E6FF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faudrait ici le libellé du point de mesure</t>
        </r>
      </text>
    </comment>
    <comment ref="M4" authorId="3" shapeId="0" xr:uid="{F96FFEC1-3AB8-42EF-BBC8-8DF78FD9FF93}">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Cette information ne figure pas dans l’onglet Descriptif ce qui oblige de devoir la saisir pour chaque matériel contrôlé. Merci de la rajouter dans l’onglet Descriptif et de la dupliquer dans chaque onglet des matériels</t>
        </r>
      </text>
    </comment>
    <comment ref="H5" authorId="4" shapeId="0" xr:uid="{F21AB27E-8144-4403-89DA-29D23F23F412}">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faudrait ici le type d’équipement
Réponse :
    Mettre un format de nombre avec une unité en mm</t>
        </r>
      </text>
    </comment>
    <comment ref="M5" authorId="5" shapeId="0" xr:uid="{087BD5A6-ABE6-4078-ABF5-F36E30D056B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Cette information ne figure pas dans l’onglet Descriptif ce qui oblige de devoir la saisir pour chaque matériel contrôlé. Merci de la rajouter dans l’onglet Descriptif et de la dupliquer dans chaque onglet des matériels</t>
        </r>
      </text>
    </comment>
    <comment ref="H6" authorId="6" shapeId="0" xr:uid="{365FFB4C-1DDE-4FDA-9BED-EB7AC74C8882}">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faudrait ici le type de matériel</t>
        </r>
      </text>
    </comment>
    <comment ref="M6" authorId="7" shapeId="0" xr:uid="{9EE8EC42-0573-4CAE-A334-79D9A22BAA45}">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Cette information ne figure pas dans l’onglet Descriptif ce qui oblige de devoir la saisir pour chaque matériel contrôlé. Merci de la rajouter dans l’onglet Descriptif et de la dupliquer dans chaque onglet des matériels</t>
        </r>
      </text>
    </comment>
    <comment ref="K12" authorId="8" shapeId="0" xr:uid="{8C59FC6F-004A-410A-ABB1-867872B9035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Supprimer cette question, elle figure dans l’évaluation</t>
        </r>
      </text>
    </comment>
    <comment ref="K14" authorId="9" shapeId="0" xr:uid="{F8867A5C-6E2C-4537-9492-CCB178A636D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Supprimer cette question, elle figure dans l’évaluation</t>
        </r>
      </text>
    </comment>
    <comment ref="G15" authorId="10" shapeId="0" xr:uid="{C60F4E7C-C197-4689-A41C-29AD7474E0A5}">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manque des éléments dans le menu déroulant pour les hauteurs/vitesse</t>
        </r>
      </text>
    </comment>
    <comment ref="N15" authorId="11" shapeId="0" xr:uid="{49427EB1-3247-4799-A1A8-A623E98E8591}">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pourrait mettre un menu déroulant Oui/Non</t>
        </r>
      </text>
    </comment>
    <comment ref="K16" authorId="12" shapeId="0" xr:uid="{E21A2B2F-4E93-4378-9374-305C5EA8215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le type de dispositif de contrôle et la date du dernier contrôle</t>
        </r>
      </text>
    </comment>
    <comment ref="N16" authorId="13" shapeId="0" xr:uid="{3C78993E-3170-47D0-B6EA-974390514B8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la loi hydraulique utilisée et sa cohérence
Rajouter la plage horaire de mesure</t>
        </r>
      </text>
    </comment>
    <comment ref="J28" authorId="14" shapeId="0" xr:uid="{D9A9686C-E30A-4BCA-B98B-D3D4C8E6C801}">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Inverser la formule pour arriver à -5 par rapport à la valeur contrôlée</t>
        </r>
      </text>
    </comment>
    <comment ref="N28" authorId="15" shapeId="0" xr:uid="{E3BB4C13-F22F-4949-B29F-E95D6AEC968E}">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Inverser la formule pour calculer l’écart par rapport à la valeur contrôlée</t>
        </r>
      </text>
    </comment>
    <comment ref="P28" authorId="16" shapeId="0" xr:uid="{CA5583B5-F82C-4124-B7A7-5DF6236A0EE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Erreur dans la formule à voir ensemble</t>
        </r>
      </text>
    </comment>
    <comment ref="P42" authorId="17" shapeId="0" xr:uid="{5788E2D3-B920-448E-875F-1D4FF738744F}">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 n’est pas la note qui s’affiche</t>
        </r>
      </text>
    </comment>
    <comment ref="P43" authorId="18" shapeId="0" xr:uid="{2A8D723C-0C0A-43F0-8B26-82FC59DDD0EE}">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 ref="P44" authorId="19" shapeId="0" xr:uid="{7630EF51-98E6-44CC-AE99-14CC6457A49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 ref="P45" authorId="20" shapeId="0" xr:uid="{6E9C0D49-47E7-4333-B039-0F94410F9E7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 ref="P46" authorId="21" shapeId="0" xr:uid="{AC9E7841-2F9F-4F3D-BD22-BFBD03F8D1F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 ref="P47" authorId="22" shapeId="0" xr:uid="{E037C6FB-1B82-46A1-A564-28AFD2F8C182}">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Idem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tc={DF2FE21D-D688-4678-BAB4-943B5E1E882E}</author>
    <author>tc={A567D6D1-7888-4DF2-9163-16C72666A9D8}</author>
    <author>tc={65D916B9-5B7C-48C1-915B-6B8EB2C017C6}</author>
    <author>tc={E96F3E31-7704-41DF-B333-E9B23C3DD5F4}</author>
    <author>tc={0D6318EE-0475-4E29-A357-B91DF7D19A6B}</author>
    <author>tc={F89548C4-526E-4FA5-B6D3-608C892949C8}</author>
    <author>tc={0693A29B-84A7-4767-AF7A-64BD37C7C786}</author>
  </authors>
  <commentList>
    <comment ref="G14" authorId="0" shapeId="0" xr:uid="{DF2FE21D-D688-4678-BAB4-943B5E1E882E}">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un menu déroulant Oui/Non</t>
        </r>
      </text>
    </comment>
    <comment ref="I23" authorId="1" shapeId="0" xr:uid="{A567D6D1-7888-4DF2-9163-16C72666A9D8}">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Réduire à 2 chiffres après la virgule</t>
        </r>
      </text>
    </comment>
    <comment ref="Q23" authorId="2" shapeId="0" xr:uid="{65D916B9-5B7C-48C1-915B-6B8EB2C017C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formule pour ramener la valeur saisie en G15</t>
        </r>
      </text>
    </comment>
    <comment ref="I24" authorId="3" shapeId="0" xr:uid="{E96F3E31-7704-41DF-B333-E9B23C3DD5F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Réduire à 2 chiffres après la virgule</t>
        </r>
      </text>
    </comment>
    <comment ref="L26" authorId="4" shapeId="0" xr:uid="{0D6318EE-0475-4E29-A357-B91DF7D19A6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Basculer sur des heures</t>
        </r>
      </text>
    </comment>
    <comment ref="Q28" authorId="5" shapeId="0" xr:uid="{F89548C4-526E-4FA5-B6D3-608C892949C8}">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Arrondir à 0 chiffre après la virgule</t>
        </r>
      </text>
    </comment>
    <comment ref="H33" authorId="6" shapeId="0" xr:uid="{0693A29B-84A7-4767-AF7A-64BD37C7C78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normal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tc={55EC0C7B-D652-438C-9D7F-CF0B2B7B3BA0}</author>
    <author>tc={9EC52686-19F5-487E-A31F-32ADDAF6F7FC}</author>
    <author>tc={FB012DDC-D6D7-40BB-9B19-EB98E6DECE36}</author>
    <author>tc={61298836-2552-44A0-BA73-275F11CF1719}</author>
    <author>tc={5426CC2F-9E79-4F08-B7DB-B39B3E091DCA}</author>
    <author>tc={DBB42850-5C2A-41CF-82EC-726596E9F4B3}</author>
  </authors>
  <commentList>
    <comment ref="D15" authorId="0" shapeId="0" xr:uid="{55EC0C7B-D652-438C-9D7F-CF0B2B7B3BA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Remplacer cette question par «Plage horaire de mesure»</t>
        </r>
      </text>
    </comment>
    <comment ref="L27" authorId="1" shapeId="0" xr:uid="{9EC52686-19F5-487E-A31F-32ADDAF6F7F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n’est pas correcte, il faut calculer l’écart par rapport à la moyenne des 2 valeurs</t>
        </r>
      </text>
    </comment>
    <comment ref="M27" authorId="2" shapeId="0" xr:uid="{FB012DDC-D6D7-40BB-9B19-EB98E6DECE36}">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n’est pas correcte, il faut calculer l’écart en pourcentage par rapport à la moyenne des 2 valeurs</t>
        </r>
      </text>
    </comment>
    <comment ref="O27" authorId="3" shapeId="0" xr:uid="{61298836-2552-44A0-BA73-275F11CF1719}">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n’est pas correcte, il faut calculer l’écart par rapport à la moyenne des 2 valeurs</t>
        </r>
      </text>
    </comment>
    <comment ref="P27" authorId="4" shapeId="0" xr:uid="{5426CC2F-9E79-4F08-B7DB-B39B3E091DC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formule n’est pas correcte, il faut calculer l’écart en pourcentage par rapport à la moyenne des 2 valeurs</t>
        </r>
      </text>
    </comment>
    <comment ref="P42" authorId="5" shapeId="0" xr:uid="{DBB42850-5C2A-41CF-82EC-726596E9F4B3}">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note ne remonte pas car le test est effectué sur un libellé qui n’est pas le bon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tc={273975B7-F074-45DD-838B-5604993E2D47}</author>
    <author>tc={8AE7D6E8-5E73-4ECA-8074-D096DDFA31B4}</author>
    <author>tc={AF77A3F1-A714-409D-89E0-9FC8A0FE1A09}</author>
    <author>tc={A1A6C327-67EA-46C2-9545-4BB350F40624}</author>
    <author>tc={1CDED76B-C33E-40D0-A9E0-F9C82477EBAB}</author>
    <author>tc={862318CD-C525-4B5F-894A-3380626C9E9B}</author>
    <author>tc={D2E8D452-EDF5-476C-B97A-EC946C092A8B}</author>
    <author>tc={7DEF5218-A625-4A9E-AE08-530FCC8F9DF7}</author>
    <author>tc={13FABDE3-AE58-4E7A-AD4C-5A363FD76B93}</author>
  </authors>
  <commentList>
    <comment ref="J26" authorId="0" shapeId="0" xr:uid="{273975B7-F074-45DD-838B-5604993E2D47}">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Préciser que c’est un écart sur la hauteur</t>
        </r>
      </text>
    </comment>
    <comment ref="K26" authorId="1" shapeId="0" xr:uid="{8AE7D6E8-5E73-4ECA-8074-D096DDFA31B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Préciser que c’est un écart sur le débit</t>
        </r>
      </text>
    </comment>
    <comment ref="N26" authorId="2" shapeId="0" xr:uid="{AF77A3F1-A714-409D-89E0-9FC8A0FE1A09}">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Préciser que c’est un écart sur la hauteur</t>
        </r>
      </text>
    </comment>
    <comment ref="O26" authorId="3" shapeId="0" xr:uid="{A1A6C327-67EA-46C2-9545-4BB350F4062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Préciser que c’est un écart sur le débit</t>
        </r>
      </text>
    </comment>
    <comment ref="D27" authorId="4" shapeId="0" xr:uid="{1CDED76B-C33E-40D0-A9E0-F9C82477EBA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Mettre l’unité dans le format du nombre ou dans l’entête de la colonne</t>
        </r>
      </text>
    </comment>
    <comment ref="F27" authorId="5" shapeId="0" xr:uid="{862318CD-C525-4B5F-894A-3380626C9E9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Mettre l’unité dans le format du nombre ou dans l’entête de la colonne</t>
        </r>
      </text>
    </comment>
    <comment ref="N47" authorId="6" shapeId="0" xr:uid="{D2E8D452-EDF5-476C-B97A-EC946C092A8B}">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Problème avec la formule qui ramène «Non contrôlé» pour les canaux Venturi</t>
        </r>
      </text>
    </comment>
    <comment ref="N48" authorId="7" shapeId="0" xr:uid="{7DEF5218-A625-4A9E-AE08-530FCC8F9DF7}">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doit y avoir un problème dans la formule qui ramène «Non validé» dans cet exemple alors qu’on devrait avoir «Validé» du fait des écarts tous inférieurs à 10 mm</t>
        </r>
      </text>
    </comment>
    <comment ref="N53" authorId="8" shapeId="0" xr:uid="{13FABDE3-AE58-4E7A-AD4C-5A363FD76B93}">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Rajouter une formule
Si score &gt;= 8 alors Validé
Si score &gt;= 7 et &lt; 8 alors Validé avec réserve
Si score &lt; 7 alors Non validé</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tc={D2733B0A-E088-480A-9B8A-888EFB3661BA}</author>
    <author>tc={F44AA3B9-96A9-4074-AAB7-F149288BC2D3}</author>
    <author>tc={7E36D60E-3D2C-40EC-BA6C-215C1F9A7D84}</author>
  </authors>
  <commentList>
    <comment ref="N11" authorId="0" shapeId="0" xr:uid="{D2733B0A-E088-480A-9B8A-888EFB3661BA}">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Renvoyer le texte à la ligne</t>
        </r>
      </text>
    </comment>
    <comment ref="D21" authorId="1" shapeId="0" xr:uid="{F44AA3B9-96A9-4074-AAB7-F149288BC2D3}">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pourrait mettre un menu déroulant «Ponctuelle;En continu»</t>
        </r>
      </text>
    </comment>
    <comment ref="N31" authorId="2" shapeId="0" xr:uid="{7E36D60E-3D2C-40EC-BA6C-215C1F9A7D84}">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Préremplir la réponse avec une formule en fonction du résultat de la cellule L21</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tc={914CD5C8-F72B-4FE3-AEEA-168BA386EB80}</author>
  </authors>
  <commentList>
    <comment ref="N30" authorId="0" shapeId="0" xr:uid="{914CD5C8-F72B-4FE3-AEEA-168BA386EB8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Préremplir la réponse avec une formule en fonction du résultat des cellules D18 et D19</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tc={5720B396-A80E-4D57-9481-233DB1A10F0C}</author>
  </authors>
  <commentList>
    <comment ref="G3" authorId="0" shapeId="0" xr:uid="{5720B396-A80E-4D57-9481-233DB1A10F0C}">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Supprimer cet onglet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PELLETIER Clémentine</author>
  </authors>
  <commentList>
    <comment ref="E9" authorId="0" shapeId="0" xr:uid="{96BEA2A4-1CE9-49E5-9538-38EE5F8C4AEF}">
      <text>
        <r>
          <rPr>
            <sz val="10"/>
            <color theme="1"/>
            <rFont val="Arial"/>
            <family val="2"/>
          </rPr>
          <t>Cette note prend en compte le score des équipements en débitmétrie et en échantillonnage, ainsi que le système qualité interne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tc={B4132B75-E79F-4C91-84CF-E3DED874F9F6}</author>
  </authors>
  <commentList>
    <comment ref="J27" authorId="0" shapeId="0" xr:uid="{00000000-0006-0000-1700-00000100000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du retour de RMC si % ou mg/l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<sst xmlns="http://schemas.openxmlformats.org/spreadsheetml/2006/main" count="3175" uniqueCount="888">
  <si>
    <t>REX des controleurs</t>
  </si>
  <si>
    <t>Cet onglet est dédié aux SATESE, organismes de controles, .. Afin de nous faire vos retours d'expérience (REX), nous soumettre des propositions d'améliorations et/ou de nous préciser vos incompréhensions</t>
  </si>
  <si>
    <t>Les agences de l'eau vous remercient de votre contribution dans l'harmonisation nationale des pratiques et du temps que vous y aurez accordé</t>
  </si>
  <si>
    <t xml:space="preserve">Date(s) d'intervention : </t>
  </si>
  <si>
    <t>NOM du maitre d'ouvrage :</t>
  </si>
  <si>
    <t xml:space="preserve">Organisme de contrôle : </t>
  </si>
  <si>
    <t>NOM du controleur :</t>
  </si>
  <si>
    <t xml:space="preserve">Laboratoire(s) de contrôle : </t>
  </si>
  <si>
    <t xml:space="preserve">Laboratoire(s) STEU : </t>
  </si>
  <si>
    <t>Evaluation par point</t>
  </si>
  <si>
    <t>Evaluation documentaire</t>
  </si>
  <si>
    <t>Evaluation controleur</t>
  </si>
  <si>
    <t>Commentaire évaluation</t>
  </si>
  <si>
    <t>ENTREE et SORTIE</t>
  </si>
  <si>
    <t>Score /100</t>
  </si>
  <si>
    <t>MAS à jour</t>
  </si>
  <si>
    <t>Point A3</t>
  </si>
  <si>
    <t>Système qualité interne suivi AS</t>
  </si>
  <si>
    <t>Point A4</t>
  </si>
  <si>
    <t>Q</t>
  </si>
  <si>
    <t>Evaluation des pratiques analytiques</t>
  </si>
  <si>
    <t>Fract.</t>
  </si>
  <si>
    <t>T°C</t>
  </si>
  <si>
    <t>Délai Tr.</t>
  </si>
  <si>
    <t>DEVERSEMENT STATION</t>
  </si>
  <si>
    <t>Eau</t>
  </si>
  <si>
    <t>SDE</t>
  </si>
  <si>
    <t>Point A2</t>
  </si>
  <si>
    <t>Point A5</t>
  </si>
  <si>
    <t>Point 1</t>
  </si>
  <si>
    <t>Point 2</t>
  </si>
  <si>
    <t>Point 3</t>
  </si>
  <si>
    <t>BOUE et Apports extérieurs</t>
  </si>
  <si>
    <t>Point A6</t>
  </si>
  <si>
    <t>Point A7</t>
  </si>
  <si>
    <t>Autres évaluations</t>
  </si>
  <si>
    <t>Sonde température</t>
  </si>
  <si>
    <t>Pluviomètre</t>
  </si>
  <si>
    <t>Commentaire général</t>
  </si>
  <si>
    <t>Détails des équipements contrôlés</t>
  </si>
  <si>
    <t>Score analyses /100</t>
  </si>
  <si>
    <t>Commentaire évaluation par équipement</t>
  </si>
  <si>
    <t>Code</t>
  </si>
  <si>
    <t>Libellé</t>
  </si>
  <si>
    <t>Info. Equipement</t>
  </si>
  <si>
    <t>Prel</t>
  </si>
  <si>
    <t>Point 4</t>
  </si>
  <si>
    <t>Point 5</t>
  </si>
  <si>
    <t>Point 6</t>
  </si>
  <si>
    <t>Point 7</t>
  </si>
  <si>
    <t>Point 8</t>
  </si>
  <si>
    <t>Point 9</t>
  </si>
  <si>
    <t>Point 10</t>
  </si>
  <si>
    <t>Point 11</t>
  </si>
  <si>
    <t>Point 12</t>
  </si>
  <si>
    <t>Libellé du point</t>
  </si>
  <si>
    <t>Code SANDRE</t>
  </si>
  <si>
    <t>Caisson</t>
  </si>
  <si>
    <t>Clapet</t>
  </si>
  <si>
    <t>Libellé des critères " MESURE DE DEBIT "</t>
  </si>
  <si>
    <t>Pts</t>
  </si>
  <si>
    <t>Choix LISTE</t>
  </si>
  <si>
    <t>Commentaire</t>
  </si>
  <si>
    <t>Evaluation finale controleur</t>
  </si>
  <si>
    <t>Score</t>
  </si>
  <si>
    <t>Libellé des critères "PRELEVEMENT D'ECHANTILLONS"</t>
  </si>
  <si>
    <t>COMPARATIF ANALYTIQUE</t>
  </si>
  <si>
    <t>Les analyses de l'établissement sont réalisées par :</t>
  </si>
  <si>
    <t>Les analyses de contrôle ont été réalisées par :</t>
  </si>
  <si>
    <t>1 - Les échantillons sont-ils constitués, conservés et mis en analyse, selon les règles de l'art en vigueur ?</t>
  </si>
  <si>
    <r>
      <t xml:space="preserve">Score Pénalité </t>
    </r>
    <r>
      <rPr>
        <b/>
        <vertAlign val="superscript"/>
        <sz val="11"/>
        <color theme="0"/>
        <rFont val="Arial"/>
        <family val="2"/>
      </rPr>
      <t>(6)</t>
    </r>
  </si>
  <si>
    <r>
      <t>Le guide AQUAREF est-il respecté pour le prélèvement des échantillons SDE</t>
    </r>
    <r>
      <rPr>
        <b/>
        <vertAlign val="superscript"/>
        <sz val="10"/>
        <color theme="1"/>
        <rFont val="Arial"/>
        <family val="2"/>
      </rPr>
      <t xml:space="preserve"> (1)</t>
    </r>
    <r>
      <rPr>
        <b/>
        <sz val="10"/>
        <color theme="1"/>
        <rFont val="Arial"/>
        <family val="2"/>
      </rPr>
      <t xml:space="preserve"> ?</t>
    </r>
  </si>
  <si>
    <r>
      <t xml:space="preserve">Les échantillons sont-ils fractionnés selon la norme FDT 90-523-2 </t>
    </r>
    <r>
      <rPr>
        <b/>
        <vertAlign val="superscript"/>
        <sz val="10"/>
        <color theme="1"/>
        <rFont val="Arial"/>
        <family val="2"/>
      </rPr>
      <t>(2)</t>
    </r>
    <r>
      <rPr>
        <b/>
        <sz val="10"/>
        <color theme="1"/>
        <rFont val="Arial"/>
        <family val="2"/>
      </rPr>
      <t xml:space="preserve"> ?</t>
    </r>
  </si>
  <si>
    <r>
      <t>La conservation pendant le transport des échantillons est-elle assurée à 5°C ±</t>
    </r>
    <r>
      <rPr>
        <b/>
        <sz val="10"/>
        <color theme="1"/>
        <rFont val="Comic Sans MS"/>
        <family val="4"/>
      </rPr>
      <t xml:space="preserve"> </t>
    </r>
    <r>
      <rPr>
        <b/>
        <sz val="10"/>
        <color theme="1"/>
        <rFont val="Arial"/>
        <family val="2"/>
      </rPr>
      <t xml:space="preserve">3°C </t>
    </r>
    <r>
      <rPr>
        <b/>
        <vertAlign val="superscript"/>
        <sz val="10"/>
        <color theme="1"/>
        <rFont val="Arial"/>
        <family val="2"/>
      </rPr>
      <t>(3)</t>
    </r>
    <r>
      <rPr>
        <b/>
        <sz val="10"/>
        <color theme="1"/>
        <rFont val="Arial"/>
        <family val="2"/>
      </rPr>
      <t xml:space="preserve"> ?</t>
    </r>
  </si>
  <si>
    <r>
      <t>Les conditions de transport permettent-elles l'acheminement et la réception des échantillons au laboratoire dans un délai de 24h</t>
    </r>
    <r>
      <rPr>
        <b/>
        <vertAlign val="superscript"/>
        <sz val="10"/>
        <color theme="1"/>
        <rFont val="Arial"/>
        <family val="2"/>
      </rPr>
      <t>(4)(5)</t>
    </r>
    <r>
      <rPr>
        <b/>
        <sz val="10"/>
        <color theme="1"/>
        <rFont val="Arial"/>
        <family val="2"/>
      </rPr>
      <t xml:space="preserve"> après la fin du prélèvement ? </t>
    </r>
  </si>
  <si>
    <t>Commentaires</t>
  </si>
  <si>
    <t>(*) Pour les astérisques de ce paragraphe, vous référer à la notice</t>
  </si>
  <si>
    <r>
      <t>2 - File EAU : Les analyses sont elles correctement effectuées ?</t>
    </r>
    <r>
      <rPr>
        <b/>
        <vertAlign val="superscript"/>
        <sz val="11"/>
        <color theme="0"/>
        <rFont val="Arial"/>
        <family val="2"/>
      </rPr>
      <t xml:space="preserve"> (7)</t>
    </r>
  </si>
  <si>
    <t>Analyses rendues sous COFRAC?</t>
  </si>
  <si>
    <r>
      <t>Score analyses</t>
    </r>
    <r>
      <rPr>
        <b/>
        <vertAlign val="superscript"/>
        <sz val="10"/>
        <color theme="0"/>
        <rFont val="Arial"/>
        <family val="2"/>
      </rPr>
      <t>(8)</t>
    </r>
  </si>
  <si>
    <t>Coef final</t>
  </si>
  <si>
    <t>è</t>
  </si>
  <si>
    <t>(7) En l'absence de réception des résultats analytiques de l'exploitant sous 3 semaines, le coefficient est forcé à 0</t>
  </si>
  <si>
    <t>(8) Note forcée à 10 en cas de rendu de la totalité des analyses COFRAC</t>
  </si>
  <si>
    <t>3 - File BOUE : L'échantillonnage et les analyses sont elles correctement effectuées ?</t>
  </si>
  <si>
    <t xml:space="preserve">Les conditions de transport permettent-elles l'acheminement et la réception des échantillons au laboratoire dans un délai de 24h* après la fin du prélèvement ? </t>
  </si>
  <si>
    <r>
      <t xml:space="preserve">Note forcée à </t>
    </r>
    <r>
      <rPr>
        <b/>
        <sz val="9"/>
        <rFont val="Arial"/>
        <family val="2"/>
      </rPr>
      <t>10</t>
    </r>
    <r>
      <rPr>
        <sz val="9"/>
        <rFont val="Arial"/>
        <family val="2"/>
      </rPr>
      <t xml:space="preserve"> en cas de rendu </t>
    </r>
    <r>
      <rPr>
        <b/>
        <sz val="9"/>
        <rFont val="Arial"/>
        <family val="2"/>
      </rPr>
      <t>COFRAC</t>
    </r>
  </si>
  <si>
    <t>Paramètres</t>
  </si>
  <si>
    <t>Nb conformes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</si>
  <si>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</si>
  <si>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</si>
  <si>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</si>
  <si>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</si>
  <si>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</si>
  <si>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</si>
  <si>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</si>
  <si>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</si>
  <si>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</si>
  <si>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</si>
  <si>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</si>
  <si>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</si>
  <si>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</si>
  <si>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</si>
  <si>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</si>
  <si>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</si>
  <si>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</si>
  <si>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</si>
  <si>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</si>
  <si>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</si>
  <si>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</si>
  <si>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</si>
  <si>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</si>
  <si>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</si>
  <si>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</si>
  <si>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r>
      <t>CONTRÔLE ANNUEL DES DISPOSITIFS D'AUTOSURVEILLANCE 
DE</t>
    </r>
    <r>
      <rPr>
        <b/>
        <sz val="16"/>
        <color theme="0"/>
        <rFont val="Arial"/>
        <family val="2"/>
      </rPr>
      <t>S SYST</t>
    </r>
    <r>
      <rPr>
        <b/>
        <sz val="16"/>
        <color theme="0"/>
        <rFont val="Calibri"/>
        <family val="2"/>
      </rPr>
      <t>È</t>
    </r>
    <r>
      <rPr>
        <b/>
        <sz val="16"/>
        <color theme="0"/>
        <rFont val="Arial"/>
        <family val="2"/>
      </rPr>
      <t>MES D'ASSAINISSEMENT COLLECTIF</t>
    </r>
  </si>
  <si>
    <t>NOM DU RESEAU :</t>
  </si>
  <si>
    <t xml:space="preserve">Code SANDRE SCL : </t>
  </si>
  <si>
    <t>POINTS RESEAU</t>
  </si>
  <si>
    <t>Connaissance réseau</t>
  </si>
  <si>
    <t>Nombre de points total A1/R1</t>
  </si>
  <si>
    <t>Nombre de points controlés</t>
  </si>
  <si>
    <t>Nombre de points conformes</t>
  </si>
  <si>
    <r>
      <t xml:space="preserve">SYNTHESE  DISPOSITIFS  AUTOSURVEILLANCE  </t>
    </r>
    <r>
      <rPr>
        <b/>
        <u/>
        <sz val="16"/>
        <color theme="1"/>
        <rFont val="Arial"/>
        <family val="2"/>
      </rPr>
      <t>DU  SYSTÈME  DE  COLLECTE</t>
    </r>
  </si>
  <si>
    <t>COMPARATIF ANALYTIQUE - RESEAU</t>
  </si>
  <si>
    <t>Oui</t>
  </si>
  <si>
    <t>A4</t>
  </si>
  <si>
    <t>Localisation exacte du dispositif :</t>
  </si>
  <si>
    <t>Non contrôlé</t>
  </si>
  <si>
    <t>Non validé</t>
  </si>
  <si>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</si>
  <si>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</si>
  <si>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</si>
  <si>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</si>
  <si>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</si>
  <si>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</si>
  <si>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</si>
  <si>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</si>
  <si>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</si>
  <si>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</si>
  <si>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</si>
  <si>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</si>
  <si>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</si>
  <si>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</si>
  <si>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</si>
  <si>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</si>
  <si>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</si>
  <si>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</si>
  <si>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</si>
  <si>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</si>
  <si>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</si>
  <si>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</si>
  <si>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</si>
  <si>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</si>
  <si>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</si>
  <si>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</si>
  <si>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</si>
  <si>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</si>
  <si>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</si>
  <si>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</si>
  <si>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</si>
  <si>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</si>
  <si>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</si>
  <si>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</si>
  <si>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</si>
  <si>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</si>
  <si>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</si>
  <si>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</si>
  <si>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</si>
  <si>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</si>
  <si>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</si>
  <si>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</si>
  <si>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</si>
  <si>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</si>
  <si>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</si>
  <si>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</si>
  <si>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</si>
  <si>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Validé avec réserve</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</si>
  <si>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</si>
  <si>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</si>
  <si>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</si>
  <si>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</si>
  <si>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</si>
  <si>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</si>
  <si>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</si>
  <si>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</si>
  <si>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</si>
  <si>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</si>
  <si>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</si>
  <si>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</si>
  <si>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</si>
  <si>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</si>
  <si>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</si>
  <si>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</si>
  <si>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</si>
  <si>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</si>
  <si>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</si>
  <si>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</si>
  <si>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</si>
  <si>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</si>
  <si>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</si>
  <si>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</si>
  <si>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</si>
  <si>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</si>
  <si>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</si>
  <si>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</si>
  <si>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</si>
  <si>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</si>
  <si>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</si>
  <si>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</si>
  <si>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</si>
  <si>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</si>
  <si>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</si>
  <si>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</si>
  <si>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</si>
  <si>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</si>
  <si>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</si>
  <si>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</si>
  <si>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</si>
  <si>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</si>
  <si>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</si>
  <si>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</si>
  <si>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</si>
  <si>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</si>
  <si>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</si>
  <si>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</si>
  <si>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</si>
  <si>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</si>
  <si>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</si>
  <si>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</si>
  <si>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</si>
  <si>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</si>
  <si>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</si>
  <si>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</si>
  <si>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</si>
  <si>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</si>
  <si>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</si>
  <si>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Informations sur les équipements en place</t>
  </si>
  <si>
    <t>pas forcément à conserver</t>
  </si>
  <si>
    <t>Commun à tous les points</t>
  </si>
  <si>
    <t>renommer la feuille en fractionnent, transport</t>
  </si>
  <si>
    <t>commun à tous les points</t>
  </si>
  <si>
    <t>Analyses rendues sous agrément du ministère de l'environnement</t>
  </si>
  <si>
    <t>Evaluation</t>
  </si>
  <si>
    <t>Au débit</t>
  </si>
  <si>
    <t>Conforme</t>
  </si>
  <si>
    <t>Type</t>
  </si>
  <si>
    <t>Pluviométre de référence</t>
  </si>
  <si>
    <t>Liste des équipements du système de traitement</t>
  </si>
  <si>
    <t>Annuelle</t>
  </si>
  <si>
    <t>En V</t>
  </si>
  <si>
    <t>Comparaison des volumes mesurés sur la période considérée</t>
  </si>
  <si>
    <t>Réglet</t>
  </si>
  <si>
    <t>Satisfaisant</t>
  </si>
  <si>
    <t>Mensuelle</t>
  </si>
  <si>
    <r>
      <t xml:space="preserve">Note forcée à </t>
    </r>
    <r>
      <rPr>
        <b/>
        <sz val="9"/>
        <rFont val="Arial"/>
        <family val="2"/>
      </rPr>
      <t>10</t>
    </r>
    <r>
      <rPr>
        <sz val="9"/>
        <rFont val="Arial"/>
        <family val="2"/>
      </rPr>
      <t xml:space="preserve"> en cas de rendu </t>
    </r>
    <r>
      <rPr>
        <b/>
        <sz val="9"/>
        <rFont val="Arial"/>
        <family val="2"/>
      </rPr>
      <t>sous agrément</t>
    </r>
  </si>
  <si>
    <t>Les échantillons sont-ils constitués, conservés et mis en analyse, selon les règles de l'art en vigueur ?</t>
  </si>
  <si>
    <t>COMMENTAIRES</t>
  </si>
  <si>
    <t>Liste des équipements du système de collecte par point</t>
  </si>
  <si>
    <t>Gérer l'équipement</t>
  </si>
  <si>
    <t>Actif</t>
  </si>
  <si>
    <t>Ajouter un équipement réseau</t>
  </si>
  <si>
    <t>Ajouter un équipement station</t>
  </si>
  <si>
    <t>Organe deprimogène (pito...)</t>
  </si>
  <si>
    <t>Q en charge</t>
  </si>
  <si>
    <t>Débitmètre Ultrason</t>
  </si>
  <si>
    <t>compteur mécanique</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</si>
  <si>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</si>
  <si>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</si>
  <si>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</si>
  <si>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</si>
  <si>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</si>
  <si>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</si>
  <si>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</si>
  <si>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</si>
  <si>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</si>
  <si>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</si>
  <si>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</si>
  <si>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</si>
  <si>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</si>
  <si>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</si>
  <si>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</si>
  <si>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</si>
  <si>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</si>
  <si>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</si>
  <si>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</si>
  <si>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</si>
  <si>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</si>
  <si>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</si>
  <si>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</si>
  <si>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</si>
  <si>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</si>
  <si>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</si>
  <si>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</si>
  <si>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</si>
  <si>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</si>
  <si>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</si>
  <si>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</si>
  <si>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</si>
  <si>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La sonde de mesure de hauteur d'eau est-elle installée conformément aux prescriptions définies dans l'étude loi COACHs ?</t>
  </si>
  <si>
    <t>La sonde de mesure de hauteur d'eau est-elle installée conformément aux prescriptions définies dans l'étude spécifique ?</t>
  </si>
  <si>
    <t>Le dimensionnement du clapet est-il adapté vis à vis de l'étendue des débits à mesurer ?</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</si>
  <si>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t>
  </si>
  <si>
    <t>Le capteur est-il installé conformément aux règles de l'art et/ou aux prescriptions des constructeurs ?</t>
  </si>
  <si>
    <t>Le débitmètre est-il installé conformément aux normes en vigueur et/ou aux prescriptions du constructeur ?</t>
  </si>
  <si>
    <t>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</si>
  <si>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</si>
  <si>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 caisson et les capteurs associés, sont-ils installés conformément aux normes en vigueur et/ou aux prescriptions des constructeurs ? </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</si>
  <si>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</si>
  <si>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</si>
  <si>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</si>
  <si>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</si>
  <si>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</si>
  <si>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</si>
  <si>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</si>
  <si>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</si>
  <si>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</si>
  <si>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</si>
  <si>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</si>
  <si>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</si>
  <si>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</si>
  <si>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La propreté et l'état d'entretien du débitmètre sont-ils satisfaisants ?</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</si>
  <si>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</si>
  <si>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</si>
  <si>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</si>
  <si>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</si>
  <si>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</si>
  <si>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</si>
  <si>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</si>
  <si>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</si>
  <si>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 xml:space="preserve">Le fonctionnement hydraulique, en amont et en aval de la sonde de mesure de la hauteur d'eau, est-il satisfaisant ? </t>
  </si>
  <si>
    <t xml:space="preserve">L'écoulement au niveau de l'organe de mesure est-il conforme aux prescriptions du constructeur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</si>
  <si>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</si>
  <si>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</si>
  <si>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</si>
  <si>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</si>
  <si>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</si>
  <si>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</si>
  <si>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</si>
  <si>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</si>
  <si>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</si>
  <si>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</si>
  <si>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</si>
  <si>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</si>
  <si>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t>L'inclinomètre est-il adapté à l'environnement rencontré et présente t-il un état de fonctionnement satisfaisant ?
L'implantation de l'inclinomètre respecte t-elle les prescriptions du constructeur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</si>
  <si>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</si>
  <si>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</si>
  <si>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</si>
  <si>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t>Tolérance de validation à 4 prélèvement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</si>
  <si>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régulièrement réalisé (&lt;7ans)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</si>
  <si>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</si>
  <si>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</si>
  <si>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</si>
  <si>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</si>
  <si>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</si>
  <si>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</si>
  <si>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</si>
  <si>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</si>
  <si>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</si>
  <si>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</si>
  <si>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</si>
  <si>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</si>
  <si>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</si>
  <si>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</si>
  <si>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</si>
  <si>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</si>
  <si>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</si>
  <si>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</si>
  <si>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</si>
  <si>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</si>
  <si>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</si>
  <si>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</si>
  <si>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</si>
  <si>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</si>
  <si>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</si>
  <si>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</si>
  <si>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</si>
  <si>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</si>
  <si>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</si>
  <si>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</si>
  <si>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</si>
  <si>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Présence d'un écoulement :</t>
  </si>
  <si>
    <t>Mesure Intervenant</t>
  </si>
  <si>
    <t>Ajouter un pluviomètre réseau</t>
  </si>
  <si>
    <t>Les analyses sont-elles correctement effectuées ?</t>
  </si>
  <si>
    <t xml:space="preserve">Nombre d'analyses ayant fait l'objet d'un comparatif : </t>
  </si>
  <si>
    <t>Nombre de résultats analytiques conformes :</t>
  </si>
  <si>
    <t xml:space="preserve">Modèle de l'équipement : </t>
  </si>
  <si>
    <t>Marque de l'équipement :</t>
  </si>
  <si>
    <t>Indice de qualité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</si>
  <si>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</si>
  <si>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</si>
  <si>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</si>
  <si>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</si>
  <si>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</si>
  <si>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</si>
  <si>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</si>
  <si>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</si>
  <si>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</si>
  <si>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</si>
  <si>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</si>
  <si>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Le guide AQUAREF est-il respecté pour le prélèvement des échantillons SDE ?</t>
  </si>
  <si>
    <t>Les échantillons sont-ils fractionnés selon la norme FDT 90-523-2 ?</t>
  </si>
  <si>
    <t>La conservation pendant le transport des échantillons est-elle assurée à 5°C ± 3°C ?</t>
  </si>
  <si>
    <t>Conductivité</t>
  </si>
  <si>
    <t>Cl</t>
  </si>
  <si>
    <t>Ajouter un comparatif analytique</t>
  </si>
  <si>
    <t>Ne rien mettre dans cette colonne</t>
  </si>
  <si>
    <t>Libellé des critères</t>
  </si>
  <si>
    <t>Préleveur</t>
  </si>
  <si>
    <t>Note</t>
  </si>
  <si>
    <t>Equipement de contrôle H</t>
  </si>
  <si>
    <t>Sonde</t>
  </si>
  <si>
    <t>Câble</t>
  </si>
  <si>
    <t>Evaluation finale</t>
  </si>
  <si>
    <t xml:space="preserve">Date du dernier étalonnage :  </t>
  </si>
  <si>
    <t>Liste préleveurs</t>
  </si>
  <si>
    <t>Liste débimètres</t>
  </si>
  <si>
    <t>(Dupliquer ce bloc en cas de comparatif multiple)</t>
  </si>
  <si>
    <t>Coefficient</t>
  </si>
  <si>
    <t>début données sys collect</t>
  </si>
  <si>
    <t>début données station</t>
  </si>
  <si>
    <t>fin données sys collect</t>
  </si>
  <si>
    <t>fin données station</t>
  </si>
  <si>
    <t>Conforme avec réserve</t>
  </si>
  <si>
    <t>Planéité, horizontalité :</t>
  </si>
  <si>
    <t>N° de l'équipement de contrôle :</t>
  </si>
  <si>
    <t>Date du dernier étalonnage :</t>
  </si>
  <si>
    <t>Marque de l'équipement de contrôle :</t>
  </si>
  <si>
    <t>Matériel de contrôle de la hauteur :</t>
  </si>
  <si>
    <t>Modèle de l'équipement de contrôle :</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</si>
  <si>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</si>
  <si>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</si>
  <si>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</si>
  <si>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</si>
  <si>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</si>
  <si>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</si>
  <si>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</si>
  <si>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</si>
  <si>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</si>
  <si>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</si>
  <si>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</si>
  <si>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</si>
  <si>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</si>
  <si>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</si>
  <si>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</si>
  <si>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</si>
  <si>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</si>
  <si>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</si>
  <si>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</si>
  <si>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</si>
  <si>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</si>
  <si>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</si>
  <si>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</si>
  <si>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</si>
  <si>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</si>
  <si>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</si>
  <si>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</si>
  <si>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</si>
  <si>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</si>
  <si>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</si>
  <si>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</si>
  <si>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</si>
  <si>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</si>
  <si>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</si>
  <si>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</si>
  <si>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</si>
  <si>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</si>
  <si>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</si>
  <si>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</si>
  <si>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</si>
  <si>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</si>
  <si>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</si>
  <si>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</si>
  <si>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</si>
  <si>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</si>
  <si>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</si>
  <si>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Critères</t>
  </si>
  <si>
    <t>Score Pénalité</t>
  </si>
  <si>
    <t>en g/l</t>
  </si>
  <si>
    <t>si S4</t>
  </si>
  <si>
    <t>Code du point
 (cf. MAS)</t>
  </si>
  <si>
    <t>Ajouter un pluviomètre station</t>
  </si>
  <si>
    <t>Localisation 
(cf. MAS)</t>
  </si>
  <si>
    <t>Point réglementaire</t>
  </si>
  <si>
    <t>Liste pluvio</t>
  </si>
  <si>
    <t>Liste thermo</t>
  </si>
  <si>
    <t>ORGANISME DE CONTRÔLE :</t>
  </si>
  <si>
    <t>CONTRÔLE ANNUEL DES DISPOSITIFS D'AUTOSURVEILLANCE 
DES SYSTÈMES D'ASSAINISSEMENT COLLECTIF</t>
  </si>
  <si>
    <t>NOM DU SYSTÈME D'ASSAINISSEMENT :</t>
  </si>
  <si>
    <t>CODE SANDRE DE L'AGGLOMERATION :</t>
  </si>
  <si>
    <t>NOM DU MAITRE D'OUVRAGE :</t>
  </si>
  <si>
    <t>CODE SANDRE DE LA STATION :</t>
  </si>
  <si>
    <t>CAPACITE DE LA STATION :</t>
  </si>
  <si>
    <t>EXPLOITANT DE LA STATION :</t>
  </si>
  <si>
    <t>NOM SYSTÈME DE COLLECTE :</t>
  </si>
  <si>
    <t>CODE SANDRE DU RESEAU :</t>
  </si>
  <si>
    <t>EXPLOITANT DU RESEAU :</t>
  </si>
  <si>
    <t>NOM SYSTÈME DE TRAITEMENT :</t>
  </si>
  <si>
    <t>NOM DU LABORATOIRE :</t>
  </si>
  <si>
    <t>SYSTÈME DE COLLECTE</t>
  </si>
  <si>
    <t>Localisation (cf. MAS)</t>
  </si>
  <si>
    <t>Code du point (cf MAS)</t>
  </si>
  <si>
    <t>Lien vers l'onglet de l'équipement</t>
  </si>
  <si>
    <t>Si pas de pluviomètre, veuillez ajouter en commentaire la provenance des données :</t>
  </si>
  <si>
    <t>SYSTÈME DE TRAITEMENT</t>
  </si>
  <si>
    <t>COMMENTAIRES :</t>
  </si>
  <si>
    <t>Liste des pluviomètres du réseau</t>
  </si>
  <si>
    <t>Liste des pluviomètres de la station</t>
  </si>
  <si>
    <t>En /</t>
  </si>
  <si>
    <t>En N</t>
  </si>
  <si>
    <t>Listes méthode contrôle</t>
  </si>
  <si>
    <t>Méthode</t>
  </si>
  <si>
    <t>…</t>
  </si>
  <si>
    <t>Simulation d'une hauteur d'eau (plaque)</t>
  </si>
  <si>
    <t>Mesure en parallèle</t>
  </si>
  <si>
    <t>Simulation d'une hauteur d'eau et mesure en parallèle</t>
  </si>
  <si>
    <t>D24</t>
  </si>
  <si>
    <t>P32</t>
  </si>
  <si>
    <t>N32</t>
  </si>
  <si>
    <t>D32</t>
  </si>
  <si>
    <t>C36</t>
  </si>
  <si>
    <t>D26</t>
  </si>
  <si>
    <t>P33</t>
  </si>
  <si>
    <t>N33</t>
  </si>
  <si>
    <t>C37</t>
  </si>
  <si>
    <t>D37</t>
  </si>
  <si>
    <t>P50</t>
  </si>
  <si>
    <t>N50</t>
  </si>
  <si>
    <t>D50</t>
  </si>
  <si>
    <t>C54</t>
  </si>
  <si>
    <t>P45</t>
  </si>
  <si>
    <t>N45</t>
  </si>
  <si>
    <t>D45</t>
  </si>
  <si>
    <t>C49</t>
  </si>
  <si>
    <t>D40</t>
  </si>
  <si>
    <t>P53</t>
  </si>
  <si>
    <t>N53</t>
  </si>
  <si>
    <t>C57</t>
  </si>
  <si>
    <t>F</t>
  </si>
  <si>
    <t>CONTRÔLE ANNUEL DES DISPOSITIFS D'AUTOSURVEILLANCE DES SYSTÈMES D'ASSAINISSEMENT COLLECTIF</t>
  </si>
  <si>
    <t>LIBELLE EQUIPEMENT :</t>
  </si>
  <si>
    <t>CODE SANDRE :</t>
  </si>
  <si>
    <t>CODE EQUIPEMENT :</t>
  </si>
  <si>
    <t>NOM·S CONTROLEUR·SE·S :</t>
  </si>
  <si>
    <t>MAITRE D'OUVRAGE :</t>
  </si>
  <si>
    <t>LOCALISATION :</t>
  </si>
  <si>
    <t>CONDITION METEO :</t>
  </si>
  <si>
    <t>EXPLOITANT :</t>
  </si>
  <si>
    <t>TYPE :</t>
  </si>
  <si>
    <t>DATE·S D'INTERVENTION :</t>
  </si>
  <si>
    <t>CONTRÔLE DE LA MESURE DE DEBIT - DEM</t>
  </si>
  <si>
    <t xml:space="preserve">Équipement existant sur site : </t>
  </si>
  <si>
    <t xml:space="preserve">Fréquence de vérification sur site : </t>
  </si>
  <si>
    <t>Plage de mesure (m3/h) :</t>
  </si>
  <si>
    <t xml:space="preserve">Diamètre de la canalisation (mm) : </t>
  </si>
  <si>
    <t xml:space="preserve">Débit moyen d'écoulement (m3/h) : </t>
  </si>
  <si>
    <t xml:space="preserve">Longueur droite amont (mm) : </t>
  </si>
  <si>
    <t xml:space="preserve">Longueur droite aval (mm) : </t>
  </si>
  <si>
    <t xml:space="preserve">Équipement de contrôle installé : </t>
  </si>
  <si>
    <t>Type de montage des sondes :</t>
  </si>
  <si>
    <t xml:space="preserve">Ecartement des sondes (mm) : </t>
  </si>
  <si>
    <t>Positionnement :</t>
  </si>
  <si>
    <t xml:space="preserve">Principe de mesure :  </t>
  </si>
  <si>
    <t>Gain en dB :</t>
  </si>
  <si>
    <t xml:space="preserve">Période (min) : </t>
  </si>
  <si>
    <t>Equipement de contrôle</t>
  </si>
  <si>
    <t>Équipement sur site</t>
  </si>
  <si>
    <t>Ecart retenu - Appareil</t>
  </si>
  <si>
    <t>Ecart retenu - Supervision</t>
  </si>
  <si>
    <t>Volume mesuré</t>
  </si>
  <si>
    <t>EMT</t>
  </si>
  <si>
    <t>Volume appareil</t>
  </si>
  <si>
    <t>Volume supervision</t>
  </si>
  <si>
    <t>Moyenne</t>
  </si>
  <si>
    <t>Ecart (m3)</t>
  </si>
  <si>
    <t>EVALUATION</t>
  </si>
  <si>
    <t>Points</t>
  </si>
  <si>
    <t xml:space="preserve">
</t>
  </si>
  <si>
    <t xml:space="preserve">STATION : </t>
  </si>
  <si>
    <t>M</t>
  </si>
  <si>
    <t>O</t>
  </si>
  <si>
    <t>CONTRÔLE DE L'EQUIPEMENT</t>
  </si>
  <si>
    <t>Équipement existant sur site</t>
  </si>
  <si>
    <t>Modèle de l'équipement :</t>
  </si>
  <si>
    <t>Report en supervision (O/N) :</t>
  </si>
  <si>
    <t>Numéro de l'équipement :</t>
  </si>
  <si>
    <t>Type d'appareil :</t>
  </si>
  <si>
    <t>Équipement de contrôle installé</t>
  </si>
  <si>
    <t>Informations sur le comparatif</t>
  </si>
  <si>
    <t>Préleveur :</t>
  </si>
  <si>
    <t>Date du comparatif :</t>
  </si>
  <si>
    <t>Nom de la station :</t>
  </si>
  <si>
    <t>Code de la station :</t>
  </si>
  <si>
    <t>Résultats du comparatif</t>
  </si>
  <si>
    <t>Laboratoire du MO/exploitant</t>
  </si>
  <si>
    <t>Laboratoire de contrôle</t>
  </si>
  <si>
    <t>NB analyses</t>
  </si>
  <si>
    <t>Diamètre du pluviomètre (cm) :</t>
  </si>
  <si>
    <t>Poids de l'impulsion :</t>
  </si>
  <si>
    <t>Vérification de la hauteur de précipitation</t>
  </si>
  <si>
    <t>Mesure Exploitant</t>
  </si>
  <si>
    <t>Écart (± 1 unité)</t>
  </si>
  <si>
    <t>CONTRÔLE DE LA MESURE DE DEBIT EN GRAVITAIRE</t>
  </si>
  <si>
    <t>Modèle de l'équipement  :</t>
  </si>
  <si>
    <t xml:space="preserve">Plage de mesure (m3/h) : </t>
  </si>
  <si>
    <t xml:space="preserve">Marque du capteur de mesure : </t>
  </si>
  <si>
    <t xml:space="preserve">Positionnement : </t>
  </si>
  <si>
    <t xml:space="preserve">Type du capteur de mesure : </t>
  </si>
  <si>
    <t xml:space="preserve">Présence d'un dispositif de contrôle : </t>
  </si>
  <si>
    <t>Méthode de contrôle :</t>
  </si>
  <si>
    <t xml:space="preserve">Loi hydraulique utilisée :  </t>
  </si>
  <si>
    <t>Comparaison des hauteurs et débits</t>
  </si>
  <si>
    <t>Valeurs contrôlées</t>
  </si>
  <si>
    <t>Équipement de contrôle</t>
  </si>
  <si>
    <t>Ecart retenu</t>
  </si>
  <si>
    <t>Hauteur de contrôle</t>
  </si>
  <si>
    <t>Débit attendu</t>
  </si>
  <si>
    <t>Hauteur lue</t>
  </si>
  <si>
    <t>Débit lu</t>
  </si>
  <si>
    <t>Ecart (mm)</t>
  </si>
  <si>
    <t>Hauteur (mm)</t>
  </si>
  <si>
    <t>Débit 
(%)</t>
  </si>
  <si>
    <t>Volume attendu</t>
  </si>
  <si>
    <t>Volume lu</t>
  </si>
  <si>
    <t>En cas d'accès nécessitant des équipements de protection individuels renforcés (ARI par exemple) ou d'intervenir à 2 personnes, retenir "Validé avec réserve"</t>
  </si>
  <si>
    <t>Débitmètre en charge</t>
  </si>
  <si>
    <t>Débitmètre gravitaire</t>
  </si>
  <si>
    <t>Date de la dernière vérification :</t>
  </si>
  <si>
    <t>MANUEL D'AUTOSURVEILLANCE</t>
  </si>
  <si>
    <t>Est-ce que le manuel est à jour, validé ou en cours d'expertise?</t>
  </si>
  <si>
    <r>
      <t xml:space="preserve">Les </t>
    </r>
    <r>
      <rPr>
        <b/>
        <sz val="10"/>
        <color theme="0"/>
        <rFont val="Calibri"/>
        <family val="2"/>
        <scheme val="minor"/>
      </rPr>
      <t>contrôles internes</t>
    </r>
    <r>
      <rPr>
        <sz val="10"/>
        <color theme="1"/>
        <rFont val="Calibri"/>
        <family val="2"/>
        <scheme val="minor"/>
      </rPr>
      <t xml:space="preserve"> sont-ils tous tracés, formalisés et suivis (fiches de vie, cartes de contrôle...) ?</t>
    </r>
  </si>
  <si>
    <r>
      <t xml:space="preserve">Des fiches de </t>
    </r>
    <r>
      <rPr>
        <b/>
        <sz val="10"/>
        <color theme="0"/>
        <rFont val="Calibri"/>
        <family val="2"/>
        <scheme val="minor"/>
      </rPr>
      <t>non-conformité</t>
    </r>
    <r>
      <rPr>
        <sz val="10"/>
        <color theme="1"/>
        <rFont val="Calibri"/>
        <family val="2"/>
        <scheme val="minor"/>
      </rPr>
      <t xml:space="preserve"> et d'</t>
    </r>
    <r>
      <rPr>
        <b/>
        <sz val="10"/>
        <color theme="0"/>
        <rFont val="Calibri"/>
        <family val="2"/>
        <scheme val="minor"/>
      </rPr>
      <t>action d'amélioration</t>
    </r>
    <r>
      <rPr>
        <sz val="10"/>
        <color theme="1"/>
        <rFont val="Calibri"/>
        <family val="2"/>
        <scheme val="minor"/>
      </rPr>
      <t xml:space="preserve"> ont-elles été produites ?</t>
    </r>
  </si>
  <si>
    <t>STATION :</t>
  </si>
  <si>
    <t>AGREMENT :</t>
  </si>
  <si>
    <t>ECHANTILLONAGE</t>
  </si>
  <si>
    <t>Les conditions de transport permettent-elles l'acheminement et la réception des échantillons dans les 24 h ?</t>
  </si>
  <si>
    <t>Total pénalité :</t>
  </si>
  <si>
    <t>ANALYSES</t>
  </si>
  <si>
    <t>Score total de la chaine analytique (échantillonnage &amp; analyses) :</t>
  </si>
  <si>
    <t>Le comparatif est-il effectué à partir des prélévements d'une autre station ? 
(si oui, précisez la station)</t>
  </si>
  <si>
    <t>PROCEDURE DE CONTROLES INTERNES DES MATERIELS D'AUTOSURVEILLANCE</t>
  </si>
  <si>
    <t>EVALUATIONS</t>
  </si>
  <si>
    <t>Evaluation des points règlementaires</t>
  </si>
  <si>
    <t>Commentaire évaluation :</t>
  </si>
  <si>
    <t>EAU</t>
  </si>
  <si>
    <t>Fractionnement</t>
  </si>
  <si>
    <t>Température</t>
  </si>
  <si>
    <t>Transport</t>
  </si>
  <si>
    <t>Aquaref</t>
  </si>
  <si>
    <t>SYNTHESE DISPOSITIFS AUTOSURVEILLANCE DE LA STATION D'ÉPURATION</t>
  </si>
  <si>
    <t>Score 
sur 100</t>
  </si>
  <si>
    <t>Commentaires d'évaluation</t>
  </si>
  <si>
    <t xml:space="preserve">Localisation </t>
  </si>
  <si>
    <t>Type d'équipement</t>
  </si>
  <si>
    <t>A2_P100_Q_Grav</t>
  </si>
  <si>
    <t>P100</t>
  </si>
  <si>
    <t>A3_P102_Q_DEM</t>
  </si>
  <si>
    <t>P102</t>
  </si>
  <si>
    <t>CONTRÔLE DE LA PRISE D'ECHANTILLONS</t>
  </si>
  <si>
    <t xml:space="preserve">Équipement sur site : </t>
  </si>
  <si>
    <t>Point de prélèvement :</t>
  </si>
  <si>
    <t xml:space="preserve">Nombre de flacons : </t>
  </si>
  <si>
    <t>Longueur tuyau (m) :</t>
  </si>
  <si>
    <t>Réfrigération :</t>
  </si>
  <si>
    <t xml:space="preserve">Diamètre du tuyau (mm) : </t>
  </si>
  <si>
    <t>Asservissement :</t>
  </si>
  <si>
    <t>Hauteur d'aspiration (m) :</t>
  </si>
  <si>
    <t>Vérification de la répétabilité du volume unitaire de prélèvement :</t>
  </si>
  <si>
    <t>Volume programmé</t>
  </si>
  <si>
    <t>Essai 1
(ml)</t>
  </si>
  <si>
    <t>Essai 2
(ml)</t>
  </si>
  <si>
    <t>Essai 3
(ml)</t>
  </si>
  <si>
    <t>Volume moyen
(ml)</t>
  </si>
  <si>
    <t>Ecart type</t>
  </si>
  <si>
    <t>Répétabilité
EMT ± 5%</t>
  </si>
  <si>
    <t>Vérification de la vitesse d'aspiration :</t>
  </si>
  <si>
    <t>Objectif ≥ 0,5 m/s</t>
  </si>
  <si>
    <t>Vérification de la fréquence de prèlèvement :</t>
  </si>
  <si>
    <t>Essai 1</t>
  </si>
  <si>
    <t>Essai 2</t>
  </si>
  <si>
    <t>Essai 3</t>
  </si>
  <si>
    <t>Objectif ≥ 4 / heure</t>
  </si>
  <si>
    <t>Temps (s)</t>
  </si>
  <si>
    <t>Fréquence (F) d'asservissement par impulsion débitmétrique (m3)</t>
  </si>
  <si>
    <t>Vitesse (m/s)</t>
  </si>
  <si>
    <t>Volume (V) d'effluent mesuré par le débitmètre (m3)</t>
  </si>
  <si>
    <t>Nombre théorique (N) de prélèvements à effectuer (N = V / F)</t>
  </si>
  <si>
    <t>Vérification du volume prélevé :</t>
  </si>
  <si>
    <t>Durée (s)</t>
  </si>
  <si>
    <t>Volume prélevé
(Vp) en ml</t>
  </si>
  <si>
    <t>Vol  théorique en ml
(Vt = Vmoyen x N)</t>
  </si>
  <si>
    <t>Écart (Vp - Vt) / Vt
en % EMT ± 10%</t>
  </si>
  <si>
    <t>Plage horaire</t>
  </si>
  <si>
    <t>Nombre par Heure</t>
  </si>
  <si>
    <t>Vérification de la balance :</t>
  </si>
  <si>
    <t>Vérification de la température de l'enceinte</t>
  </si>
  <si>
    <t>EMT 5 °C ± 3 °C</t>
  </si>
  <si>
    <t>Poids mesuré (Pm) de la masse étalon en kg</t>
  </si>
  <si>
    <t>Poids nominal (Pn) de la masse étalon en kg</t>
  </si>
  <si>
    <t>Écart (Pm - Pn) / Pn 
en % EMT ± 3%</t>
  </si>
  <si>
    <t>Température extérieure</t>
  </si>
  <si>
    <t>Température affichée</t>
  </si>
  <si>
    <t>Mesure Exploitant
Te en °C</t>
  </si>
  <si>
    <t>Mesure Intervenant
Ti en °C</t>
  </si>
  <si>
    <t>Ce test ne remonte pas dans les critères d'évaluation</t>
  </si>
  <si>
    <t>Libellé des critères " PRELEVEMENT D'ECHANTILLONS "</t>
  </si>
  <si>
    <t>A3_P102_PREL</t>
  </si>
  <si>
    <t>A4_P103_Q_Grav</t>
  </si>
  <si>
    <t>P103</t>
  </si>
  <si>
    <t>A4_P103_PREL</t>
  </si>
  <si>
    <t>A6_P104_Q_DEM</t>
  </si>
  <si>
    <t>P104</t>
  </si>
  <si>
    <t>PLUVIO_STEU_P1</t>
  </si>
  <si>
    <t>P1</t>
  </si>
  <si>
    <t>Une version de décembre 2024 a été transmise à l'agence de l'eau pour expertise</t>
  </si>
  <si>
    <t>La fiche descriptive du débitmètre "sortiestation" devra être actualisée afin de tenir compte du renouvellement du dispositif de mesure en mars 2025</t>
  </si>
  <si>
    <t>BARJAC (30)</t>
  </si>
  <si>
    <t>Commune de Barjac</t>
  </si>
  <si>
    <t>CEREG Ingénierie</t>
  </si>
  <si>
    <t>060930290002</t>
  </si>
  <si>
    <t>5 000 EH</t>
  </si>
  <si>
    <t>Régie</t>
  </si>
  <si>
    <t>Les fiches de suivi et de traçabilité sont àjour et consultables sur site.</t>
  </si>
  <si>
    <t>La bonne connaissance de la procédure a été épprouvée avec l'exploitant.</t>
  </si>
  <si>
    <t>Le système Qualité mis en œuvre est performant.</t>
  </si>
  <si>
    <t>Flow-Tronic</t>
  </si>
  <si>
    <t>Beluga</t>
  </si>
  <si>
    <t>0 - 1000 m3/h</t>
  </si>
  <si>
    <t>150 m3/h</t>
  </si>
  <si>
    <t>Niveau seul</t>
  </si>
  <si>
    <t>Leurre présent sur site</t>
  </si>
  <si>
    <t>-</t>
  </si>
  <si>
    <t xml:space="preserve">En l'absence
</t>
  </si>
  <si>
    <t>Endress+Hauser</t>
  </si>
  <si>
    <t>Promag 10W</t>
  </si>
  <si>
    <t>0 - 600 m3/h</t>
  </si>
  <si>
    <t>40 m3/h</t>
  </si>
  <si>
    <t>164,3 mm</t>
  </si>
  <si>
    <t>800 mm</t>
  </si>
  <si>
    <t>QCCT-009</t>
  </si>
  <si>
    <t>Ultraflux</t>
  </si>
  <si>
    <t>801P</t>
  </si>
  <si>
    <t>Temps de transit</t>
  </si>
  <si>
    <t>144 mm</t>
  </si>
  <si>
    <t>En amont du DEM</t>
  </si>
  <si>
    <t xml:space="preserve">Le dispositif en place </t>
  </si>
  <si>
    <t>Dans le PR Entrée Station</t>
  </si>
  <si>
    <t>Hach Lange</t>
  </si>
  <si>
    <t>BU 4011 à dépression</t>
  </si>
  <si>
    <t>0,80 m3</t>
  </si>
  <si>
    <t>1 flacon de 20L</t>
  </si>
  <si>
    <t>08h00-08h00</t>
  </si>
  <si>
    <t>Pb de positionnement</t>
  </si>
  <si>
    <t>QV 303 N</t>
  </si>
  <si>
    <t>0 à 104,29 m3/h</t>
  </si>
  <si>
    <t>Echelle minimétrique</t>
  </si>
  <si>
    <t>Adaptée</t>
  </si>
  <si>
    <t>Dans le PR Entrée</t>
  </si>
  <si>
    <t>BU 4011 à Dépression</t>
  </si>
  <si>
    <t>Siemens</t>
  </si>
  <si>
    <t>MAG  5100W / 5000</t>
  </si>
  <si>
    <t>0 - 20 m3/h</t>
  </si>
  <si>
    <t>3,0 m3/h</t>
  </si>
  <si>
    <t>QCCT 013</t>
  </si>
  <si>
    <t>801 P</t>
  </si>
  <si>
    <t>Vérification de la température</t>
  </si>
  <si>
    <t>Type de mesure</t>
  </si>
  <si>
    <t>Écart en °C (Te - Ti)
EMT ± 1°C</t>
  </si>
  <si>
    <t>A4_P103_TEMP</t>
  </si>
  <si>
    <t>Dans le canal de sortie, au centre de l'écoulement, à mi-profondeur</t>
  </si>
  <si>
    <t>Ponctuelle</t>
  </si>
  <si>
    <t>COMETEC</t>
  </si>
  <si>
    <t>Simple auget basculant</t>
  </si>
  <si>
    <t>Pluvio PRO</t>
  </si>
  <si>
    <t>fqs</t>
  </si>
  <si>
    <t>&lt;0,05</t>
  </si>
  <si>
    <t>&lt;0,5</t>
  </si>
  <si>
    <t>Entrée station</t>
  </si>
  <si>
    <t>Manuel d'autosurveillance à jour ou en cours d'expertise</t>
  </si>
  <si>
    <t>ok</t>
  </si>
  <si>
    <t>Type de matériel</t>
  </si>
  <si>
    <t>TYPE EQUIPEMENT :</t>
  </si>
  <si>
    <t>test labo</t>
  </si>
  <si>
    <t>Analytique</t>
  </si>
  <si>
    <t>Conclusion</t>
  </si>
  <si>
    <t>Nom du(des) laboratoire(s) réalisant les analyses de la matrice eau</t>
  </si>
  <si>
    <t>Nom du(des) laboratoire(s) réalisant l'analyse de la siccité des boues et des matières séches</t>
  </si>
  <si>
    <t>Le(s) laboratoire(s) est/sont-il(s) aggréé(s) au titre du code de l’environnement pour l'ensemble des paramètres de la matrice eau ?</t>
  </si>
  <si>
    <t>A défaut, est ce que le laboratoire réalise un exercice concluant d’intercalibration avec un laboratoire agréé ?</t>
  </si>
  <si>
    <t xml:space="preserve">  Il manque le NGL, Métox, AOX et COT sont inutiles pour les collectivités</t>
  </si>
  <si>
    <t>c'est ce qui permet de savoir sur quel équipement nous sommes</t>
  </si>
  <si>
    <t>En continu</t>
  </si>
  <si>
    <t>ajout NGL ok</t>
  </si>
  <si>
    <t>en attente</t>
  </si>
  <si>
    <t>à revoir</t>
  </si>
  <si>
    <t>Hauteur de contrôle (mm)</t>
  </si>
  <si>
    <t>Hauteur lue (mm)</t>
  </si>
  <si>
    <t>Débit attendu (m3/h)</t>
  </si>
  <si>
    <t>Débit lu (m3/h)</t>
  </si>
  <si>
    <t>Volume attendu (m3)</t>
  </si>
  <si>
    <t>Volume lu (m3)</t>
  </si>
  <si>
    <t>Ecart hauteur (mm)</t>
  </si>
  <si>
    <t>Ecart débit (%)</t>
  </si>
  <si>
    <t>Problème avec la formule qui ramène «Non contrôlé» pour les canaux Venturi =&gt; la formule ne semble pas fausse</t>
  </si>
  <si>
    <t>L'écart entre d'une part la mesure de la hauteur de pluie réalisée à partir du dispositif en place et celle réalisée par l'organisme de contrôle d'autre part, est-il cohérent (EMT ± 1 unité) ?</t>
  </si>
  <si>
    <t>Plage horaire de mesure :</t>
  </si>
  <si>
    <t>12h00-12h00</t>
  </si>
  <si>
    <t>Volume mesuré (m3)</t>
  </si>
  <si>
    <t>Volume supervision (m3)</t>
  </si>
  <si>
    <t>Volume appareil (m3)</t>
  </si>
  <si>
    <t xml:space="preserve"> Il manque des éléments dans le menu déroulant pour les hauteurs/vitesse =&gt; lesquelles ?</t>
  </si>
  <si>
    <t>Sur la colonne M, c'est volontaire car les valeurs peuvents chenger dans le cas ou le contrôle se fait sur 2 jours ou à 2 contrôleur.</t>
  </si>
  <si>
    <t>Sur la colonne H, ca suppose de reprendre, tous les templates et de modifier le code VBA, confirmez vous la modification ?</t>
  </si>
  <si>
    <t>Commentaire à préciser car il ne correspond pas au score sur 100. Par ailleurs cette analyse s'applique t'elle à tous les scores pour tous les types d'équiepement ?</t>
  </si>
  <si>
    <t>formule à revoir</t>
  </si>
  <si>
    <t>Volume appareil  (m3)</t>
  </si>
  <si>
    <t>A1_DO1_Q_Grav</t>
  </si>
  <si>
    <t>DO1</t>
  </si>
  <si>
    <t xml:space="preserve">RESEAU : </t>
  </si>
  <si>
    <t>aaaaaaaa</t>
  </si>
  <si>
    <t>pluvio SCL</t>
  </si>
  <si>
    <t>pluvio STEU</t>
  </si>
  <si>
    <t>Pluvio SCL</t>
  </si>
  <si>
    <t>Puvio STEU</t>
  </si>
  <si>
    <t>Vérification de la hauteur de précipitation (mm)</t>
  </si>
  <si>
    <t>code</t>
  </si>
  <si>
    <t>Ok</t>
  </si>
  <si>
    <t>PLUVIO_STEU_ee</t>
  </si>
  <si>
    <t>ee</t>
  </si>
  <si>
    <t>PLUVIO_SCL_aaa</t>
  </si>
  <si>
    <t>aaa</t>
  </si>
  <si>
    <t>PLUVIO_SCL_ooo</t>
  </si>
  <si>
    <t>ooo</t>
  </si>
  <si>
    <t>on</t>
  </si>
  <si>
    <t>reprendre l'info depuis l'onglet descriptif mais laisser modifiable dans les cas ou plusieurs intervenants ou plusieurs jours</t>
  </si>
  <si>
    <t>test</t>
  </si>
  <si>
    <t>Voir si possible d'avoir le type de matériel dans le cartouche</t>
  </si>
  <si>
    <t>mettre plutôt libellé de la localisation</t>
  </si>
  <si>
    <t>Si score &gt; 80 alors Validé
Si score &gt;= 70 et &lt;= 80 alors Validé avec réserve
Si score &lt; 7 alors Non validé</t>
  </si>
  <si>
    <t>mettre une saisie libre avec une liste dans le commentaire</t>
  </si>
  <si>
    <r>
      <t xml:space="preserve">Est-ce que le contrôle des </t>
    </r>
    <r>
      <rPr>
        <b/>
        <sz val="10"/>
        <color theme="0"/>
        <rFont val="Calibri"/>
        <family val="2"/>
        <scheme val="minor"/>
      </rPr>
      <t>débimètres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</si>
  <si>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échantillonneurs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</si>
  <si>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thermomètres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</si>
  <si>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pluviomètres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</si>
  <si>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balances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</si>
  <si>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chronomètres</t>
    </r>
    <r>
      <rPr>
        <sz val="10"/>
        <color theme="1"/>
        <rFont val="Calibri"/>
        <family val="2"/>
        <scheme val="minor"/>
      </rPr>
      <t xml:space="preserve"> est réalisé selon les procédures décrites dans le manuel d'autosurveillance ?</t>
    </r>
  </si>
  <si>
    <t>Débitmètre</t>
  </si>
  <si>
    <r>
      <t xml:space="preserve">Existe-il un </t>
    </r>
    <r>
      <rPr>
        <sz val="10"/>
        <color theme="0"/>
        <rFont val="Calibri"/>
        <family val="2"/>
        <scheme val="minor"/>
      </rPr>
      <t>système qualité performant</t>
    </r>
    <r>
      <rPr>
        <sz val="10"/>
        <color theme="1"/>
        <rFont val="Calibri"/>
        <family val="2"/>
        <scheme val="minor"/>
      </rPr>
      <t xml:space="preserve"> et les résultats analytiques sont-ils déposés selon le scénario d'échange en vigueur ?</t>
    </r>
  </si>
  <si>
    <t>Les modalités et les fréquences des essais réalisés par l'exploitant permettent de s'assurer du bon fonctionnement des débitmètres et des échantillonneurs.
Le thermomètre, le pluviomètre et la balance sont contrôlés lors du CDA.
Un téléphone portable raccordé est utilisé en guise de chronomètre.</t>
  </si>
  <si>
    <t>Evaluation globale de la chaine analytique (échantillonnage &amp; analyses) :</t>
  </si>
  <si>
    <t>SONDE TEMPERATURE</t>
  </si>
  <si>
    <r>
      <t>Libellé du point</t>
    </r>
    <r>
      <rPr>
        <b/>
        <sz val="12"/>
        <color rgb="FFCCFFFF"/>
        <rFont val="Arial"/>
        <family val="2"/>
      </rPr>
      <t>,,,,</t>
    </r>
  </si>
  <si>
    <t>Matériel station</t>
  </si>
  <si>
    <t>Report en supervision (O/N)</t>
  </si>
  <si>
    <t>Type d'appareil</t>
  </si>
  <si>
    <t>1/ EXAMEN de l'implantation</t>
  </si>
  <si>
    <t>EVALUATION CONTROLEUR</t>
  </si>
  <si>
    <t>REMARQUES</t>
  </si>
  <si>
    <t>L'accès à l'ouvrage et aux équipements de mesure se fait-il en toute sécurité pour les agents en charge des opérations de contrôles, d'entretien... ?</t>
  </si>
  <si>
    <t xml:space="preserve">L'implantation de la sonde respecte t-elle les normes en vigueur et/ou les prescriptions des constructeurs ? </t>
  </si>
  <si>
    <t>2/ EXAMEN du capteur et de son fonctionnement</t>
  </si>
  <si>
    <t xml:space="preserve">Equipement propre et en bon état </t>
  </si>
  <si>
    <t>3/ EXAMEN du suivi du dispositif</t>
  </si>
  <si>
    <t>Est-ce que la maintenance préventive est réalisée conformément au MAS</t>
  </si>
  <si>
    <t>Consignation des résultats (fiche de vie, cahier de station, …)</t>
  </si>
  <si>
    <t>4/ Mesure comparative</t>
  </si>
  <si>
    <t>L'écart entre la valeur mesurée par le contrôleur et celle de la sonde est-elle &lt; à +1°C?</t>
  </si>
  <si>
    <t>EVALUATION FINALE CONTROLEUR</t>
  </si>
  <si>
    <t>----------------------------------------------------------------------------------------------------------------------------------------------------------------------------------------------------------------------------------------------------------------------------------------------------------------------------------------------------------------------------------------------------------------------------------------------------------------------------------------------------------------------------------------------------------------------------------------------------------------------------------------------------------------------------------------------------------------------------------------------------------------------------------------------------------------------------------------------------------------------</t>
  </si>
  <si>
    <t>PLUVIOMETRE</t>
  </si>
  <si>
    <t>Le système d'assainissement dispose-t-il d'un pluviomètre?</t>
  </si>
  <si>
    <t>O/N</t>
  </si>
  <si>
    <t>Implantation correcte du pluviomètre ?</t>
  </si>
  <si>
    <t>Positionnement correct du pluviomètre ? (à l'horizontale et à plus d'un mètre du sol)</t>
  </si>
  <si>
    <t>Equipement propre et en bon état ?</t>
  </si>
  <si>
    <t>Le pluviomètre présente-t-il une section suffisante ?</t>
  </si>
  <si>
    <t>Maintenance préventive réalisée ou contrôles périodiques</t>
  </si>
  <si>
    <r>
      <t xml:space="preserve">Réalisation d'un comparatif - sur un volume connu représentatif (EMT 5% sur la hauteur reportée en supervision) </t>
    </r>
    <r>
      <rPr>
        <i/>
        <sz val="11"/>
        <color rgb="FF000000"/>
        <rFont val="Arial"/>
        <family val="2"/>
      </rPr>
      <t>-se reporter aux consignes constructeurs</t>
    </r>
  </si>
  <si>
    <t>Code PREL</t>
  </si>
  <si>
    <t>NB ANALYSE</t>
  </si>
  <si>
    <t>NB CONFORME</t>
  </si>
  <si>
    <t>Coef</t>
  </si>
  <si>
    <t>Coefficient fixé à 100 en cas de réalisation par un laboratoire agréé au titre du code de l’environnement, ou à défaut procédant annuellement à un exercice concluant d’intercalibration avec un laboratoire agréé :</t>
  </si>
  <si>
    <t>Coef corrigé</t>
  </si>
  <si>
    <t>Facteur Qualité</t>
  </si>
  <si>
    <t>Les évaluations des sondes de température ne sont pas prises en compte</t>
  </si>
  <si>
    <t>Evaluation des analyses :</t>
  </si>
  <si>
    <t>Coef Qualité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</si>
</sst>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 &quot;0%"/>
    <numFmt numFmtId="167" formatCode="\±\ #,##0"/>
  </numFmts>
  <fonts count="16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6"/>
      <color indexed="9"/>
      <name val="Arial"/>
      <family val="2"/>
    </font>
    <font>
      <b/>
      <sz val="10"/>
      <name val="Arial"/>
      <family val="2"/>
    </font>
    <font>
      <b/>
      <i/>
      <sz val="8"/>
      <name val="Arial"/>
      <family val="2"/>
    </font>
    <font>
      <b/>
      <sz val="9"/>
      <color theme="0"/>
      <name val="Arial"/>
      <family val="2"/>
    </font>
    <font>
      <sz val="8"/>
      <name val="Arial"/>
      <family val="2"/>
    </font>
    <font>
      <b/>
      <sz val="8"/>
      <name val="Arial"/>
      <family val="2"/>
    </font>
    <font>
      <b/>
      <sz val="8"/>
      <color theme="0"/>
      <name val="Arial"/>
      <family val="2"/>
    </font>
    <font>
      <sz val="9"/>
      <color theme="0"/>
      <name val="Arial"/>
      <family val="2"/>
    </font>
    <font>
      <sz val="9"/>
      <name val="Arial"/>
      <family val="2"/>
    </font>
    <font>
      <b/>
      <sz val="9"/>
      <name val="Arial"/>
      <family val="2"/>
    </font>
    <font>
      <sz val="10"/>
      <name val="Arial"/>
      <family val="2"/>
    </font>
    <font>
      <u/>
      <sz val="10"/>
      <color theme="10"/>
      <name val="Arial"/>
      <family val="2"/>
    </font>
    <font>
      <sz val="8"/>
      <color theme="1"/>
      <name val="Arial"/>
      <family val="2"/>
    </font>
    <font>
      <b/>
      <sz val="8"/>
      <color theme="1"/>
      <name val="Arial"/>
      <family val="2"/>
    </font>
    <font>
      <b/>
      <sz val="16"/>
      <color theme="1"/>
      <name val="Arial"/>
      <family val="2"/>
    </font>
    <font>
      <b/>
      <sz val="18"/>
      <color theme="1"/>
      <name val="Arial"/>
      <family val="2"/>
    </font>
    <font>
      <sz val="18"/>
      <color theme="1"/>
      <name val="Arial"/>
      <family val="2"/>
    </font>
    <font>
      <sz val="8"/>
      <color theme="0"/>
      <name val="Arial"/>
      <family val="2"/>
    </font>
    <font>
      <sz val="10"/>
      <color theme="1"/>
      <name val="Arial"/>
      <family val="2"/>
    </font>
    <font>
      <b/>
      <sz val="11"/>
      <name val="Arial"/>
      <family val="2"/>
    </font>
    <font>
      <sz val="9"/>
      <color theme="1"/>
      <name val="Arial"/>
      <family val="2"/>
    </font>
    <font>
      <i/>
      <sz val="8"/>
      <name val="Arial"/>
      <family val="2"/>
    </font>
    <font>
      <b/>
      <sz val="18"/>
      <name val="Arial"/>
      <family val="2"/>
    </font>
    <font>
      <b/>
      <sz val="12"/>
      <color indexed="9"/>
      <name val="Arial"/>
      <family val="2"/>
    </font>
    <font>
      <b/>
      <sz val="10"/>
      <color rgb="FFFF0000"/>
      <name val="Arial"/>
      <family val="2"/>
    </font>
    <font>
      <b/>
      <sz val="11"/>
      <color theme="0"/>
      <name val="Arial"/>
      <family val="2"/>
    </font>
    <font>
      <b/>
      <sz val="10"/>
      <color theme="1"/>
      <name val="Comic Sans MS"/>
      <family val="4"/>
    </font>
    <font>
      <b/>
      <sz val="10"/>
      <color indexed="9"/>
      <name val="Arial"/>
      <family val="2"/>
    </font>
    <font>
      <b/>
      <sz val="12"/>
      <name val="Arial"/>
      <family val="2"/>
    </font>
    <font>
      <b/>
      <sz val="12"/>
      <color theme="0"/>
      <name val="Arial"/>
      <family val="2"/>
    </font>
    <font>
      <b/>
      <sz val="12"/>
      <color theme="0"/>
      <name val="Wingdings"/>
      <charset val="2"/>
    </font>
    <font>
      <i/>
      <sz val="10"/>
      <color theme="5" tint="-0.499984740745262"/>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trike/>
      <sz val="10"/>
      <name val="Arial"/>
      <family val="2"/>
    </font>
    <font>
      <sz val="11"/>
      <name val="Arial"/>
      <family val="2"/>
    </font>
    <font>
      <b/>
      <sz val="12"/>
      <color theme="1"/>
      <name val="Arial"/>
      <family val="2"/>
    </font>
    <font>
      <b/>
      <i/>
      <sz val="9"/>
      <name val="Arial"/>
      <family val="2"/>
    </font>
    <font>
      <sz val="12"/>
      <color theme="1"/>
      <name val="Arial"/>
      <family val="2"/>
    </font>
    <font>
      <b/>
      <sz val="16"/>
      <name val="Arial"/>
      <family val="2"/>
    </font>
    <font>
      <b/>
      <sz val="16"/>
      <color theme="0" tint="-4.9989318521683403E-2"/>
      <name val="Arial"/>
      <family val="2"/>
    </font>
    <font>
      <b/>
      <i/>
      <sz val="10"/>
      <name val="Arial"/>
      <family val="2"/>
    </font>
    <font>
      <b/>
      <sz val="16"/>
      <color theme="0"/>
      <name val="Arial"/>
      <family val="2"/>
    </font>
    <font>
      <b/>
      <sz val="9"/>
      <color theme="1"/>
      <name val="Arial"/>
      <family val="2"/>
    </font>
    <font>
      <b/>
      <sz val="14"/>
      <name val="Arial"/>
      <family val="2"/>
    </font>
    <font>
      <b/>
      <vertAlign val="superscript"/>
      <sz val="11"/>
      <color theme="0"/>
      <name val="Arial"/>
      <family val="2"/>
    </font>
    <font>
      <sz val="11"/>
      <name val="Calibri"/>
      <family val="2"/>
      <scheme val="minor"/>
    </font>
    <font>
      <b/>
      <sz val="12"/>
      <name val="Calibri"/>
      <family val="2"/>
      <scheme val="minor"/>
    </font>
    <font>
      <b/>
      <sz val="20"/>
      <color theme="0"/>
      <name val="Calibri"/>
      <family val="2"/>
      <scheme val="minor"/>
    </font>
    <font>
      <sz val="11"/>
      <color theme="1"/>
      <name val="Arial"/>
      <family val="2"/>
    </font>
    <font>
      <sz val="12"/>
      <name val="Calibri"/>
      <family val="2"/>
      <scheme val="minor"/>
    </font>
    <font>
      <b/>
      <u/>
      <sz val="16"/>
      <color theme="1"/>
      <name val="Arial"/>
      <family val="2"/>
    </font>
    <font>
      <b/>
      <sz val="14"/>
      <color theme="1"/>
      <name val="Arial"/>
      <family val="2"/>
    </font>
    <font>
      <i/>
      <sz val="10"/>
      <name val="Arial"/>
      <family val="2"/>
    </font>
    <font>
      <b/>
      <vertAlign val="superscript"/>
      <sz val="10"/>
      <color theme="1"/>
      <name val="Arial"/>
      <family val="2"/>
    </font>
    <font>
      <i/>
      <sz val="9"/>
      <name val="Arial"/>
      <family val="2"/>
    </font>
    <font>
      <b/>
      <sz val="16"/>
      <color theme="0"/>
      <name val="Calibri"/>
      <family val="2"/>
    </font>
    <font>
      <b/>
      <sz val="18"/>
      <color theme="0"/>
      <name val="Calibri"/>
      <family val="2"/>
      <scheme val="minor"/>
    </font>
    <font>
      <b/>
      <vertAlign val="superscript"/>
      <sz val="10"/>
      <color theme="0"/>
      <name val="Arial"/>
      <family val="2"/>
    </font>
    <font>
      <i/>
      <sz val="10"/>
      <color theme="1"/>
      <name val="Arial"/>
      <family val="2"/>
    </font>
    <font>
      <sz val="10"/>
      <color rgb="FFFF0000"/>
      <name val="Arial"/>
      <family val="2"/>
    </font>
    <font>
      <sz val="8"/>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rgb="FF002DE0"/>
      <name val="Calibri"/>
      <family val="2"/>
      <scheme val="minor"/>
    </font>
    <font>
      <b/>
      <sz val="11"/>
      <color theme="7"/>
      <name val="Calibri"/>
      <family val="2"/>
      <scheme val="minor"/>
    </font>
    <font>
      <b/>
      <sz val="11"/>
      <color theme="7" tint="-0.249977111117893"/>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b/>
      <sz val="11"/>
      <color theme="0"/>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Arial"/>
      <family val="2"/>
    </font>
    <font>
      <b/>
      <sz val="12"/>
      <color theme="3"/>
      <name val="Calibri"/>
      <family val="2"/>
      <scheme val="minor"/>
    </font>
    <font>
      <u/>
      <sz val="10"/>
      <color rgb="FFFFFFFF"/>
      <name val="Arial"/>
      <family val="2"/>
    </font>
    <font>
      <sz val="11"/>
      <color rgb="FF571CB5"/>
      <name val="Calibri"/>
      <family val="2"/>
      <scheme val="minor"/>
    </font>
    <font>
      <sz val="10"/>
      <color theme="2"/>
      <name val="Calibri"/>
      <family val="2"/>
      <scheme val="minor"/>
    </font>
    <font>
      <b/>
      <sz val="12"/>
      <color theme="1"/>
      <name val="Calibri"/>
      <family val="2"/>
      <scheme val="minor"/>
    </font>
    <font>
      <sz val="11"/>
      <color theme="2"/>
      <name val="Calibri"/>
      <family val="2"/>
      <scheme val="minor"/>
    </font>
    <font>
      <sz val="12"/>
      <color theme="2"/>
      <name val="Calibri"/>
      <family val="2"/>
      <scheme val="minor"/>
    </font>
    <font>
      <b/>
      <sz val="14"/>
      <color theme="4"/>
      <name val="Calibri"/>
      <family val="2"/>
      <scheme val="minor"/>
    </font>
    <font>
      <sz val="10"/>
      <color rgb="FF00A383"/>
      <name val="Calibri"/>
      <family val="2"/>
      <scheme val="minor"/>
    </font>
    <font>
      <b/>
      <sz val="12"/>
      <color theme="2"/>
      <name val="Calibri"/>
      <family val="2"/>
      <scheme val="minor"/>
    </font>
    <font>
      <b/>
      <sz val="10"/>
      <color theme="2"/>
      <name val="Calibri"/>
      <family val="2"/>
      <scheme val="minor"/>
    </font>
    <font>
      <b/>
      <sz val="10"/>
      <color theme="0"/>
      <name val="Calibri"/>
      <family val="2"/>
      <scheme val="minor"/>
    </font>
    <font>
      <sz val="10"/>
      <color theme="4"/>
      <name val="Calibri"/>
      <family val="2"/>
      <scheme val="minor"/>
    </font>
    <font>
      <b/>
      <sz val="12"/>
      <color theme="0"/>
      <name val="Calibri"/>
      <family val="2"/>
      <scheme val="minor"/>
    </font>
    <font>
      <i/>
      <sz val="10"/>
      <color theme="3"/>
      <name val="Calibri"/>
      <family val="2"/>
      <scheme val="minor"/>
    </font>
    <font>
      <b/>
      <i/>
      <sz val="12"/>
      <color theme="0"/>
      <name val="Calibri"/>
      <family val="2"/>
      <scheme val="minor"/>
    </font>
    <font>
      <sz val="10"/>
      <color theme="0"/>
      <name val="Calibri"/>
      <family val="2"/>
      <scheme val="minor"/>
    </font>
    <font>
      <sz val="5"/>
      <color theme="1"/>
      <name val="Calibri"/>
      <family val="2"/>
      <scheme val="minor"/>
    </font>
    <font>
      <b/>
      <sz val="10"/>
      <color theme="3"/>
      <name val="Calibri"/>
      <family val="2"/>
      <scheme val="minor"/>
    </font>
    <font>
      <sz val="10"/>
      <color rgb="FF571CB5"/>
      <name val="Calibri"/>
      <family val="2"/>
      <scheme val="minor"/>
    </font>
    <font>
      <sz val="9"/>
      <color rgb="FF571CB5"/>
      <name val="Calibri"/>
      <family val="2"/>
      <scheme val="minor"/>
    </font>
    <font>
      <b/>
      <sz val="16"/>
      <color theme="1"/>
      <name val="Calibri"/>
      <family val="2"/>
      <scheme val="minor"/>
    </font>
    <font>
      <b/>
      <sz val="18"/>
      <color theme="1"/>
      <name val="Calibri"/>
      <family val="2"/>
      <scheme val="minor"/>
    </font>
    <font>
      <b/>
      <sz val="13"/>
      <name val="Arial"/>
      <family val="2"/>
    </font>
    <font>
      <b/>
      <sz val="12"/>
      <color rgb="FFCCFFFF"/>
      <name val="Arial"/>
      <family val="2"/>
    </font>
    <font>
      <sz val="16"/>
      <color theme="1"/>
      <name val="Calibri"/>
      <family val="2"/>
      <scheme val="minor"/>
    </font>
    <font>
      <sz val="14"/>
      <name val="Calibri"/>
      <family val="2"/>
      <scheme val="minor"/>
    </font>
    <font>
      <sz val="16"/>
      <name val="Calibri"/>
      <family val="2"/>
      <scheme val="minor"/>
    </font>
    <font>
      <sz val="14"/>
      <color theme="0"/>
      <name val="Calibri"/>
      <family val="2"/>
      <scheme val="minor"/>
    </font>
    <font>
      <sz val="22"/>
      <color rgb="FF008080"/>
      <name val="Arial"/>
      <family val="2"/>
    </font>
    <font>
      <b/>
      <sz val="11.5"/>
      <name val="Arial"/>
      <family val="2"/>
    </font>
    <font>
      <b/>
      <sz val="16"/>
      <name val="Calibri"/>
      <family val="2"/>
      <scheme val="minor"/>
    </font>
    <font>
      <sz val="11"/>
      <color rgb="FF000000"/>
      <name val="Arial"/>
      <family val="2"/>
    </font>
    <font>
      <i/>
      <sz val="11"/>
      <color rgb="FF000000"/>
      <name val="Arial"/>
      <family val="2"/>
    </font>
    <font>
      <b/>
      <sz val="26"/>
      <color theme="1"/>
      <name val="Arial"/>
      <family val="2"/>
    </font>
  </fonts>
  <fills count="5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6FF66"/>
        <bgColor indexed="64"/>
      </patternFill>
    </fill>
    <fill>
      <patternFill patternType="solid">
        <fgColor theme="6" tint="0.79998168889431442"/>
        <bgColor indexed="64"/>
      </patternFill>
    </fill>
    <fill>
      <patternFill patternType="solid">
        <fgColor rgb="FFFFC000"/>
        <bgColor indexed="64"/>
      </patternFill>
    </fill>
    <fill>
      <patternFill patternType="solid">
        <fgColor indexed="55"/>
        <bgColor indexed="64"/>
      </patternFill>
    </fill>
    <fill>
      <patternFill patternType="solid">
        <fgColor theme="1"/>
        <bgColor indexed="64"/>
      </patternFill>
    </fill>
    <fill>
      <patternFill patternType="solid">
        <fgColor theme="9" tint="-0.499984740745262"/>
        <bgColor indexed="64"/>
      </patternFill>
    </fill>
    <fill>
      <patternFill patternType="solid">
        <fgColor theme="0" tint="-0.24994659260841701"/>
        <bgColor indexed="64"/>
      </patternFill>
    </fill>
    <fill>
      <patternFill patternType="solid">
        <fgColor rgb="FFF0F8FA"/>
        <bgColor indexed="64"/>
      </patternFill>
    </fill>
    <fill>
      <patternFill patternType="solid">
        <fgColor theme="3" tint="0.39997558519241921"/>
        <bgColor indexed="64"/>
      </patternFill>
    </fill>
    <fill>
      <patternFill patternType="solid">
        <fgColor rgb="FF00B0AC"/>
        <bgColor indexed="64"/>
      </patternFill>
    </fill>
    <fill>
      <patternFill patternType="solid">
        <fgColor rgb="FFFFFFB9"/>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09DE0"/>
        <bgColor indexed="64"/>
      </patternFill>
    </fill>
    <fill>
      <patternFill patternType="solid">
        <fgColor theme="9"/>
        <bgColor indexed="64"/>
      </patternFill>
    </fill>
    <fill>
      <patternFill patternType="solid">
        <fgColor theme="5" tint="0.59999389629810485"/>
        <bgColor indexed="64"/>
      </patternFill>
    </fill>
    <fill>
      <patternFill patternType="solid">
        <fgColor theme="8"/>
        <bgColor indexed="64"/>
      </patternFill>
    </fill>
    <fill>
      <patternFill patternType="solid">
        <fgColor rgb="FFE6E6E6"/>
        <bgColor indexed="64"/>
      </patternFill>
    </fill>
    <fill>
      <patternFill patternType="solid">
        <fgColor rgb="FF1F497D"/>
        <bgColor indexed="64"/>
      </patternFill>
    </fill>
    <fill>
      <patternFill patternType="solid">
        <fgColor rgb="FFDBCAF7"/>
        <bgColor indexed="64"/>
      </patternFill>
    </fill>
    <fill>
      <patternFill patternType="solid">
        <fgColor rgb="FFFFFFFF"/>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FF"/>
        <bgColor rgb="FF000000"/>
      </patternFill>
    </fill>
    <fill>
      <patternFill patternType="lightDown">
        <bgColor rgb="FFF2F2F2"/>
      </patternFill>
    </fill>
    <fill>
      <patternFill patternType="solid">
        <fgColor rgb="FF006699"/>
        <bgColor indexed="64"/>
      </patternFill>
    </fill>
  </fills>
  <borders count="3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theme="1"/>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right style="hair">
        <color auto="1"/>
      </right>
      <top style="hair">
        <color auto="1"/>
      </top>
      <bottom style="hair">
        <color auto="1"/>
      </bottom>
      <diagonal/>
    </border>
    <border>
      <left style="medium">
        <color indexed="64"/>
      </left>
      <right/>
      <top style="thin">
        <color indexed="64"/>
      </top>
      <bottom/>
      <diagonal/>
    </border>
    <border>
      <left style="thin">
        <color theme="1"/>
      </left>
      <right style="thin">
        <color indexed="64"/>
      </right>
      <top style="medium">
        <color indexed="64"/>
      </top>
      <bottom/>
      <diagonal/>
    </border>
    <border>
      <left style="thin">
        <color theme="1"/>
      </left>
      <right style="thin">
        <color indexed="64"/>
      </right>
      <top style="thin">
        <color theme="1"/>
      </top>
      <bottom style="thin">
        <color theme="1"/>
      </bottom>
      <diagonal/>
    </border>
    <border>
      <left style="thin">
        <color theme="1"/>
      </left>
      <right style="thin">
        <color indexed="64"/>
      </right>
      <top/>
      <bottom style="medium">
        <color indexed="64"/>
      </bottom>
      <diagonal/>
    </border>
    <border>
      <left style="medium">
        <color indexed="64"/>
      </left>
      <right style="mediumDashed">
        <color theme="8" tint="-0.24994659260841701"/>
      </right>
      <top style="mediumDashed">
        <color theme="8" tint="-0.24994659260841701"/>
      </top>
      <bottom style="mediumDashed">
        <color theme="8" tint="-0.24994659260841701"/>
      </bottom>
      <diagonal/>
    </border>
    <border>
      <left style="mediumDashed">
        <color theme="8" tint="-0.24994659260841701"/>
      </left>
      <right style="mediumDashed">
        <color theme="8" tint="-0.24994659260841701"/>
      </right>
      <top style="mediumDashed">
        <color theme="8" tint="-0.24994659260841701"/>
      </top>
      <bottom style="mediumDashed">
        <color theme="8" tint="-0.24994659260841701"/>
      </bottom>
      <diagonal/>
    </border>
    <border>
      <left style="thin">
        <color theme="0"/>
      </left>
      <right style="thin">
        <color theme="0"/>
      </right>
      <top style="thin">
        <color indexed="64"/>
      </top>
      <bottom style="thin">
        <color indexed="64"/>
      </bottom>
      <diagonal/>
    </border>
    <border>
      <left style="mediumDashed">
        <color theme="0" tint="-0.499984740745262"/>
      </left>
      <right style="mediumDashed">
        <color theme="0" tint="-0.499984740745262"/>
      </right>
      <top style="thin">
        <color indexed="64"/>
      </top>
      <bottom style="thin">
        <color indexed="64"/>
      </bottom>
      <diagonal/>
    </border>
    <border>
      <left style="mediumDashed">
        <color theme="0" tint="-0.499984740745262"/>
      </left>
      <right style="mediumDashed">
        <color theme="0" tint="-0.499984740745262"/>
      </right>
      <top/>
      <bottom/>
      <diagonal/>
    </border>
    <border>
      <left style="mediumDashed">
        <color theme="0" tint="-0.499984740745262"/>
      </left>
      <right style="mediumDashed">
        <color theme="0" tint="-0.499984740745262"/>
      </right>
      <top/>
      <bottom style="thin">
        <color indexed="64"/>
      </bottom>
      <diagonal/>
    </border>
    <border>
      <left style="medium">
        <color indexed="64"/>
      </left>
      <right style="thin">
        <color indexed="64"/>
      </right>
      <top style="hair">
        <color auto="1"/>
      </top>
      <bottom style="hair">
        <color auto="1"/>
      </bottom>
      <diagonal/>
    </border>
    <border>
      <left style="medium">
        <color indexed="64"/>
      </left>
      <right style="thin">
        <color indexed="64"/>
      </right>
      <top/>
      <bottom style="hair">
        <color indexed="64"/>
      </bottom>
      <diagonal/>
    </border>
    <border>
      <left/>
      <right style="medium">
        <color indexed="64"/>
      </right>
      <top style="dotted">
        <color indexed="64"/>
      </top>
      <bottom style="medium">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
        <color indexed="64"/>
      </bottom>
      <diagonal/>
    </border>
    <border>
      <left/>
      <right style="mediumDashed">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top/>
      <bottom style="medium">
        <color indexed="64"/>
      </bottom>
      <diagonal/>
    </border>
    <border>
      <left style="thin">
        <color indexed="64"/>
      </left>
      <right style="thin">
        <color indexed="64"/>
      </right>
      <top/>
      <bottom/>
      <diagonal/>
    </border>
    <border>
      <left style="mediumDashed">
        <color theme="8" tint="-0.24994659260841701"/>
      </left>
      <right/>
      <top style="mediumDashed">
        <color theme="8" tint="-0.24994659260841701"/>
      </top>
      <bottom/>
      <diagonal/>
    </border>
    <border>
      <left/>
      <right style="medium">
        <color indexed="64"/>
      </right>
      <top style="mediumDashed">
        <color theme="8" tint="-0.24994659260841701"/>
      </top>
      <bottom/>
      <diagonal/>
    </border>
    <border>
      <left style="medium">
        <color indexed="64"/>
      </left>
      <right/>
      <top/>
      <bottom style="mediumDashed">
        <color rgb="FFFFC000"/>
      </bottom>
      <diagonal/>
    </border>
    <border>
      <left/>
      <right style="thin">
        <color indexed="64"/>
      </right>
      <top/>
      <bottom style="mediumDashed">
        <color rgb="FFFFC000"/>
      </bottom>
      <diagonal/>
    </border>
    <border>
      <left style="medium">
        <color indexed="64"/>
      </left>
      <right style="mediumDashed">
        <color theme="8" tint="-0.24994659260841701"/>
      </right>
      <top style="mediumDashed">
        <color theme="8" tint="-0.24994659260841701"/>
      </top>
      <bottom/>
      <diagonal/>
    </border>
    <border>
      <left style="mediumDashed">
        <color theme="8" tint="-0.24994659260841701"/>
      </left>
      <right style="mediumDashed">
        <color theme="8" tint="-0.24994659260841701"/>
      </right>
      <top style="mediumDashed">
        <color theme="8" tint="-0.24994659260841701"/>
      </top>
      <bottom/>
      <diagonal/>
    </border>
    <border>
      <left style="thin">
        <color auto="1"/>
      </left>
      <right style="mediumDashed">
        <color theme="0" tint="-0.499984740745262"/>
      </right>
      <top/>
      <bottom style="medium">
        <color indexed="64"/>
      </bottom>
      <diagonal/>
    </border>
    <border>
      <left/>
      <right style="thin">
        <color theme="0"/>
      </right>
      <top style="thin">
        <color indexed="64"/>
      </top>
      <bottom style="thin">
        <color indexed="64"/>
      </bottom>
      <diagonal/>
    </border>
    <border>
      <left style="thin">
        <color theme="0"/>
      </left>
      <right style="medium">
        <color indexed="64"/>
      </right>
      <top style="thin">
        <color indexed="64"/>
      </top>
      <bottom style="thin">
        <color indexed="64"/>
      </bottom>
      <diagonal/>
    </border>
    <border>
      <left style="mediumDashed">
        <color theme="0" tint="-0.499984740745262"/>
      </left>
      <right style="medium">
        <color indexed="64"/>
      </right>
      <top style="thin">
        <color indexed="64"/>
      </top>
      <bottom style="thin">
        <color indexed="64"/>
      </bottom>
      <diagonal/>
    </border>
    <border>
      <left style="mediumDashed">
        <color theme="0" tint="-0.499984740745262"/>
      </left>
      <right style="mediumDashed">
        <color theme="0" tint="-0.499984740745262"/>
      </right>
      <top/>
      <bottom style="medium">
        <color indexed="64"/>
      </bottom>
      <diagonal/>
    </border>
    <border>
      <left style="mediumDashed">
        <color indexed="64"/>
      </left>
      <right/>
      <top/>
      <bottom style="thin">
        <color indexed="64"/>
      </bottom>
      <diagonal/>
    </border>
    <border>
      <left/>
      <right style="hair">
        <color auto="1"/>
      </right>
      <top/>
      <bottom style="hair">
        <color auto="1"/>
      </bottom>
      <diagonal/>
    </border>
    <border>
      <left/>
      <right/>
      <top/>
      <bottom style="hair">
        <color auto="1"/>
      </bottom>
      <diagonal/>
    </border>
    <border>
      <left/>
      <right style="thin">
        <color indexed="64"/>
      </right>
      <top/>
      <bottom style="hair">
        <color auto="1"/>
      </bottom>
      <diagonal/>
    </border>
    <border>
      <left/>
      <right style="thin">
        <color indexed="64"/>
      </right>
      <top style="hair">
        <color auto="1"/>
      </top>
      <bottom style="hair">
        <color auto="1"/>
      </bottom>
      <diagonal/>
    </border>
    <border>
      <left style="medium">
        <color indexed="64"/>
      </left>
      <right style="medium">
        <color indexed="64"/>
      </right>
      <top/>
      <bottom/>
      <diagonal/>
    </border>
    <border>
      <left style="mediumDashed">
        <color theme="0" tint="-0.34998626667073579"/>
      </left>
      <right style="medium">
        <color indexed="64"/>
      </right>
      <top style="thin">
        <color indexed="64"/>
      </top>
      <bottom style="thin">
        <color indexed="64"/>
      </bottom>
      <diagonal/>
    </border>
    <border>
      <left style="thin">
        <color rgb="FF000000"/>
      </left>
      <right style="medium">
        <color indexed="64"/>
      </right>
      <top style="thin">
        <color rgb="FF000000"/>
      </top>
      <bottom style="thick">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medium">
        <color indexed="64"/>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n">
        <color rgb="FFFFFFFF"/>
      </left>
      <right style="thin">
        <color rgb="FFFFFFFF"/>
      </right>
      <top style="thin">
        <color rgb="FFFFFFFF"/>
      </top>
      <bottom style="thin">
        <color rgb="FFFFFFFF"/>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n">
        <color indexed="64"/>
      </left>
      <right style="thin">
        <color indexed="64"/>
      </right>
      <top style="hair">
        <color indexed="64"/>
      </top>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hair">
        <color indexed="64"/>
      </left>
      <right/>
      <top style="thin">
        <color indexed="64"/>
      </top>
      <bottom style="thin">
        <color indexed="64"/>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thin">
        <color indexed="64"/>
      </bottom>
      <diagonal/>
    </border>
    <border>
      <left/>
      <right/>
      <top style="thin">
        <color indexed="64"/>
      </top>
      <bottom style="thick">
        <color theme="9"/>
      </bottom>
      <diagonal/>
    </border>
    <border>
      <left style="thin">
        <color rgb="FFFFFFFF"/>
      </left>
      <right/>
      <top style="thin">
        <color theme="0"/>
      </top>
      <bottom style="thin">
        <color rgb="FFFFFFFF"/>
      </bottom>
      <diagonal/>
    </border>
    <border>
      <left/>
      <right style="thin">
        <color rgb="FFFFFFFF"/>
      </right>
      <top style="thin">
        <color theme="0"/>
      </top>
      <bottom style="thin">
        <color rgb="FFFFFFFF"/>
      </bottom>
      <diagonal/>
    </border>
    <border>
      <left/>
      <right style="hair">
        <color indexed="64"/>
      </right>
      <top style="thin">
        <color indexed="64"/>
      </top>
      <bottom/>
      <diagonal/>
    </border>
    <border>
      <left style="thin">
        <color indexed="64"/>
      </left>
      <right/>
      <top style="medium">
        <color indexed="64"/>
      </top>
      <bottom style="medium">
        <color indexed="64"/>
      </bottom>
      <diagonal/>
    </border>
    <border>
      <left style="thin">
        <color indexed="64"/>
      </left>
      <right style="hair">
        <color theme="3"/>
      </right>
      <top style="thin">
        <color indexed="64"/>
      </top>
      <bottom style="thin">
        <color theme="3"/>
      </bottom>
      <diagonal/>
    </border>
    <border>
      <left style="hair">
        <color theme="3"/>
      </left>
      <right style="hair">
        <color theme="3"/>
      </right>
      <top style="thin">
        <color indexed="64"/>
      </top>
      <bottom style="thin">
        <color theme="3"/>
      </bottom>
      <diagonal/>
    </border>
    <border>
      <left style="hair">
        <color theme="3"/>
      </left>
      <right/>
      <top style="thin">
        <color indexed="64"/>
      </top>
      <bottom/>
      <diagonal/>
    </border>
    <border>
      <left style="thin">
        <color indexed="64"/>
      </left>
      <right style="hair">
        <color theme="3"/>
      </right>
      <top style="thin">
        <color theme="3"/>
      </top>
      <bottom style="thin">
        <color indexed="64"/>
      </bottom>
      <diagonal/>
    </border>
    <border>
      <left style="hair">
        <color theme="3"/>
      </left>
      <right style="hair">
        <color theme="3"/>
      </right>
      <top style="thin">
        <color theme="3"/>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thin">
        <color theme="1"/>
      </left>
      <right style="thin">
        <color theme="1"/>
      </right>
      <top style="thin">
        <color indexed="64"/>
      </top>
      <bottom style="medium">
        <color theme="1"/>
      </bottom>
      <diagonal/>
    </border>
    <border>
      <left style="medium">
        <color indexed="64"/>
      </left>
      <right style="medium">
        <color indexed="64"/>
      </right>
      <top/>
      <bottom style="thin">
        <color indexed="64"/>
      </bottom>
      <diagonal/>
    </border>
    <border>
      <left style="medium">
        <color theme="1"/>
      </left>
      <right style="thin">
        <color theme="1"/>
      </right>
      <top style="thin">
        <color indexed="64"/>
      </top>
      <bottom style="thin">
        <color indexed="64"/>
      </bottom>
      <diagonal/>
    </border>
    <border>
      <left/>
      <right style="medium">
        <color indexed="64"/>
      </right>
      <top style="thin">
        <color indexed="64"/>
      </top>
      <bottom/>
      <diagonal/>
    </border>
    <border>
      <left style="medium">
        <color indexed="64"/>
      </left>
      <right style="thin">
        <color theme="1"/>
      </right>
      <top style="thin">
        <color indexed="64"/>
      </top>
      <bottom style="medium">
        <color indexed="64"/>
      </bottom>
      <diagonal/>
    </border>
    <border>
      <left style="thin">
        <color theme="1"/>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hair">
        <color indexed="64"/>
      </left>
      <right style="hair">
        <color indexed="64"/>
      </right>
      <top style="medium">
        <color indexed="64"/>
      </top>
      <bottom style="medium">
        <color indexed="64"/>
      </bottom>
      <diagonal/>
    </border>
    <border>
      <left style="medium">
        <color indexed="64"/>
      </left>
      <right/>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right style="thin">
        <color indexed="64"/>
      </right>
      <top style="medium">
        <color indexed="64"/>
      </top>
      <bottom/>
      <diagonal/>
    </border>
    <border>
      <left style="hair">
        <color indexed="64"/>
      </left>
      <right/>
      <top style="medium">
        <color indexed="64"/>
      </top>
      <bottom style="medium">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s>
  <cellStyleXfs count="8">
    <xf numFmtId="0" fontId="0" fillId="0" borderId="0"/>
    <xf numFmtId="0" fontId="27" fillId="0" borderId="0" applyNumberFormat="0" applyFill="0" applyBorder="0" applyAlignment="0" applyProtection="0"/>
    <xf numFmtId="0" fontId="26" fillId="0" borderId="0"/>
    <xf numFmtId="9" fontId="26" fillId="0" borderId="0" applyFont="0" applyFill="0" applyBorder="0" applyAlignment="0" applyProtection="0"/>
    <xf numFmtId="0" fontId="12" fillId="0" borderId="0"/>
    <xf numFmtId="0" fontId="11" fillId="0" borderId="0"/>
    <xf numFmtId="0" fontId="10" fillId="0" borderId="0"/>
    <xf numFmtId="0" fontId="9" fillId="0" borderId="0"/>
  </cellStyleXfs>
  <cellXfs count="1838">
    <xf numFmtId="0" fontId="0" fillId="0" borderId="0" xfId="0"/>
    <xf numFmtId="0" fontId="0" fillId="2" borderId="0" xfId="0" applyFill="1"/>
    <xf numFmtId="0" fontId="0" fillId="0" borderId="0" xfId="0" applyAlignment="1">
      <alignment horizontal="center"/>
    </xf>
    <xf numFmtId="0" fontId="20" fillId="3" borderId="3" xfId="0" applyFont="1" applyFill="1" applyBorder="1" applyAlignment="1" applyProtection="1">
      <alignment horizontal="left" vertical="top" wrapText="1"/>
      <protection hidden="1"/>
    </xf>
    <xf numFmtId="0" fontId="33" fillId="6" borderId="4" xfId="0" applyFont="1" applyFill="1" applyBorder="1" applyAlignment="1">
      <alignment horizontal="center" vertical="center"/>
    </xf>
    <xf numFmtId="0" fontId="26" fillId="0" borderId="0" xfId="0" applyFont="1" applyAlignment="1">
      <alignment horizontal="center"/>
    </xf>
    <xf numFmtId="0" fontId="20" fillId="8" borderId="4" xfId="0" applyFont="1" applyFill="1" applyBorder="1" applyAlignment="1">
      <alignment horizontal="center" vertical="center"/>
    </xf>
    <xf numFmtId="0" fontId="26" fillId="0" borderId="0" xfId="0" applyFont="1" applyAlignment="1">
      <alignment horizontal="center" vertical="center"/>
    </xf>
    <xf numFmtId="0" fontId="20" fillId="3" borderId="1" xfId="0" applyFont="1" applyFill="1" applyBorder="1" applyAlignment="1" applyProtection="1">
      <alignment horizontal="left" vertical="top" wrapText="1"/>
      <protection hidden="1"/>
    </xf>
    <xf numFmtId="0" fontId="20" fillId="3" borderId="2" xfId="0" applyFont="1" applyFill="1" applyBorder="1" applyAlignment="1" applyProtection="1">
      <alignment horizontal="left" vertical="top" wrapText="1"/>
      <protection hidden="1"/>
    </xf>
    <xf numFmtId="0" fontId="20" fillId="3" borderId="21" xfId="0" applyFont="1" applyFill="1" applyBorder="1" applyAlignment="1" applyProtection="1">
      <alignment horizontal="left" vertical="top" wrapText="1"/>
      <protection hidden="1"/>
    </xf>
    <xf numFmtId="0" fontId="20" fillId="10" borderId="4" xfId="0" applyFont="1" applyFill="1" applyBorder="1" applyAlignment="1">
      <alignment horizontal="center" vertical="center"/>
    </xf>
    <xf numFmtId="0" fontId="26" fillId="0" borderId="0" xfId="2" applyAlignment="1">
      <alignment vertical="center"/>
    </xf>
    <xf numFmtId="0" fontId="26" fillId="2" borderId="0" xfId="2" applyFill="1" applyAlignment="1" applyProtection="1">
      <alignment vertical="center"/>
      <protection hidden="1"/>
    </xf>
    <xf numFmtId="0" fontId="26" fillId="0" borderId="0" xfId="2" applyAlignment="1" applyProtection="1">
      <alignment vertical="center"/>
      <protection hidden="1"/>
    </xf>
    <xf numFmtId="0" fontId="26" fillId="0" borderId="0" xfId="2" applyAlignment="1" applyProtection="1">
      <alignment vertical="center" wrapText="1"/>
      <protection hidden="1"/>
    </xf>
    <xf numFmtId="0" fontId="26" fillId="11" borderId="69" xfId="2" applyFill="1" applyBorder="1" applyAlignment="1" applyProtection="1">
      <alignment vertical="center"/>
      <protection hidden="1"/>
    </xf>
    <xf numFmtId="0" fontId="26" fillId="11" borderId="70" xfId="2" applyFill="1" applyBorder="1" applyAlignment="1" applyProtection="1">
      <alignment vertical="center"/>
      <protection hidden="1"/>
    </xf>
    <xf numFmtId="0" fontId="26" fillId="0" borderId="0" xfId="2" applyAlignment="1" applyProtection="1">
      <alignment horizontal="center" vertical="center"/>
      <protection hidden="1"/>
    </xf>
    <xf numFmtId="0" fontId="17" fillId="0" borderId="0" xfId="2" applyFont="1" applyAlignment="1" applyProtection="1">
      <alignment vertical="center"/>
      <protection hidden="1"/>
    </xf>
    <xf numFmtId="3" fontId="26" fillId="0" borderId="0" xfId="2" applyNumberFormat="1" applyAlignment="1" applyProtection="1">
      <alignment vertical="center"/>
      <protection hidden="1"/>
    </xf>
    <xf numFmtId="0" fontId="17" fillId="0" borderId="4" xfId="2" applyFont="1" applyBorder="1" applyAlignment="1" applyProtection="1">
      <alignment horizontal="center" vertical="center"/>
      <protection locked="0"/>
    </xf>
    <xf numFmtId="0" fontId="20" fillId="3" borderId="0" xfId="0" applyFont="1" applyFill="1" applyAlignment="1" applyProtection="1">
      <alignment horizontal="left" vertical="top" wrapText="1"/>
      <protection hidden="1"/>
    </xf>
    <xf numFmtId="0" fontId="25" fillId="5" borderId="81" xfId="0" applyFont="1" applyFill="1" applyBorder="1" applyAlignment="1" applyProtection="1">
      <alignment horizontal="center" vertical="center"/>
      <protection locked="0"/>
    </xf>
    <xf numFmtId="0" fontId="20" fillId="3" borderId="75" xfId="0" applyFont="1" applyFill="1" applyBorder="1" applyAlignment="1" applyProtection="1">
      <alignment horizontal="left" vertical="top" wrapText="1"/>
      <protection hidden="1"/>
    </xf>
    <xf numFmtId="0" fontId="0" fillId="3" borderId="0" xfId="0" applyFill="1" applyAlignment="1">
      <alignment horizontal="center" vertical="center"/>
    </xf>
    <xf numFmtId="0" fontId="0" fillId="3" borderId="0" xfId="0" applyFill="1" applyAlignment="1">
      <alignment vertical="center"/>
    </xf>
    <xf numFmtId="0" fontId="20" fillId="3" borderId="21" xfId="0" applyFont="1" applyFill="1" applyBorder="1" applyAlignment="1" applyProtection="1">
      <alignment horizontal="left" vertical="center" wrapText="1"/>
      <protection hidden="1"/>
    </xf>
    <xf numFmtId="0" fontId="20" fillId="3" borderId="2" xfId="0" applyFont="1" applyFill="1" applyBorder="1" applyAlignment="1" applyProtection="1">
      <alignment horizontal="left" vertical="center" wrapText="1"/>
      <protection hidden="1"/>
    </xf>
    <xf numFmtId="0" fontId="20" fillId="3" borderId="1" xfId="0" applyFont="1" applyFill="1" applyBorder="1" applyAlignment="1" applyProtection="1">
      <alignment horizontal="left" vertical="center" wrapText="1"/>
      <protection hidden="1"/>
    </xf>
    <xf numFmtId="0" fontId="0" fillId="0" borderId="0" xfId="0" applyAlignment="1">
      <alignment vertical="center"/>
    </xf>
    <xf numFmtId="0" fontId="20" fillId="3" borderId="75" xfId="0" applyFont="1" applyFill="1" applyBorder="1" applyAlignment="1" applyProtection="1">
      <alignment horizontal="left" vertical="center" wrapText="1"/>
      <protection hidden="1"/>
    </xf>
    <xf numFmtId="0" fontId="20" fillId="3" borderId="3" xfId="0" applyFont="1" applyFill="1" applyBorder="1" applyAlignment="1" applyProtection="1">
      <alignment horizontal="left" vertical="center" wrapText="1"/>
      <protection hidden="1"/>
    </xf>
    <xf numFmtId="0" fontId="20" fillId="3" borderId="0" xfId="0" applyFont="1" applyFill="1" applyAlignment="1" applyProtection="1">
      <alignment horizontal="left" vertical="center" wrapText="1"/>
      <protection hidden="1"/>
    </xf>
    <xf numFmtId="0" fontId="28" fillId="3" borderId="21" xfId="0" applyFont="1" applyFill="1" applyBorder="1" applyAlignment="1" applyProtection="1">
      <alignment horizontal="left" vertical="center" wrapText="1"/>
      <protection hidden="1"/>
    </xf>
    <xf numFmtId="0" fontId="28" fillId="3" borderId="2" xfId="0" applyFont="1" applyFill="1" applyBorder="1" applyAlignment="1" applyProtection="1">
      <alignment horizontal="left" vertical="center" wrapText="1"/>
      <protection hidden="1"/>
    </xf>
    <xf numFmtId="0" fontId="28" fillId="3" borderId="0" xfId="0" applyFont="1" applyFill="1" applyAlignment="1" applyProtection="1">
      <alignment horizontal="left" vertical="center" wrapText="1"/>
      <protection hidden="1"/>
    </xf>
    <xf numFmtId="0" fontId="17" fillId="0" borderId="76" xfId="2" applyFont="1" applyBorder="1" applyAlignment="1" applyProtection="1">
      <alignment horizontal="center" vertical="center"/>
      <protection locked="0"/>
    </xf>
    <xf numFmtId="0" fontId="26" fillId="2" borderId="0" xfId="2" applyFill="1" applyAlignment="1">
      <alignment vertical="center"/>
    </xf>
    <xf numFmtId="0" fontId="26" fillId="7" borderId="0" xfId="2" applyFill="1" applyAlignment="1">
      <alignment vertical="center"/>
    </xf>
    <xf numFmtId="0" fontId="41" fillId="17" borderId="0" xfId="2" applyFont="1" applyFill="1" applyAlignment="1" applyProtection="1">
      <alignment vertical="center"/>
      <protection hidden="1"/>
    </xf>
    <xf numFmtId="0" fontId="28" fillId="3" borderId="21" xfId="0" applyFont="1" applyFill="1" applyBorder="1" applyAlignment="1" applyProtection="1">
      <alignment horizontal="left" vertical="top" wrapText="1"/>
      <protection hidden="1"/>
    </xf>
    <xf numFmtId="0" fontId="28" fillId="3" borderId="2" xfId="0" applyFont="1" applyFill="1" applyBorder="1" applyAlignment="1" applyProtection="1">
      <alignment horizontal="left" vertical="top" wrapText="1"/>
      <protection hidden="1"/>
    </xf>
    <xf numFmtId="0" fontId="28" fillId="3" borderId="0" xfId="0" applyFont="1" applyFill="1" applyAlignment="1" applyProtection="1">
      <alignment horizontal="left" vertical="top" wrapText="1"/>
      <protection hidden="1"/>
    </xf>
    <xf numFmtId="0" fontId="57" fillId="5" borderId="32" xfId="0" applyFont="1" applyFill="1" applyBorder="1" applyAlignment="1" applyProtection="1">
      <alignment horizontal="center"/>
      <protection hidden="1"/>
    </xf>
    <xf numFmtId="0" fontId="25" fillId="5" borderId="12" xfId="0" applyFont="1" applyFill="1" applyBorder="1" applyAlignment="1" applyProtection="1">
      <alignment horizontal="center" vertical="center"/>
      <protection hidden="1"/>
    </xf>
    <xf numFmtId="0" fontId="21" fillId="5" borderId="15" xfId="0" applyFont="1" applyFill="1" applyBorder="1" applyAlignment="1" applyProtection="1">
      <alignment horizontal="center" vertical="center"/>
      <protection hidden="1"/>
    </xf>
    <xf numFmtId="0" fontId="58" fillId="5" borderId="35" xfId="0" applyFont="1" applyFill="1" applyBorder="1" applyAlignment="1" applyProtection="1">
      <alignment horizontal="center"/>
      <protection hidden="1"/>
    </xf>
    <xf numFmtId="0" fontId="25" fillId="5" borderId="19" xfId="0" applyFont="1" applyFill="1" applyBorder="1" applyAlignment="1" applyProtection="1">
      <alignment horizontal="center" vertical="center"/>
      <protection hidden="1"/>
    </xf>
    <xf numFmtId="0" fontId="21" fillId="5" borderId="19" xfId="0" applyFont="1" applyFill="1" applyBorder="1" applyAlignment="1" applyProtection="1">
      <alignment horizontal="center" vertical="center"/>
      <protection hidden="1"/>
    </xf>
    <xf numFmtId="0" fontId="0" fillId="2" borderId="0" xfId="0" applyFill="1" applyProtection="1">
      <protection hidden="1"/>
    </xf>
    <xf numFmtId="0" fontId="0" fillId="0" borderId="0" xfId="0" applyProtection="1">
      <protection hidden="1"/>
    </xf>
    <xf numFmtId="0" fontId="44" fillId="3" borderId="36" xfId="0" applyFont="1" applyFill="1" applyBorder="1" applyAlignment="1" applyProtection="1">
      <alignment horizontal="center" vertical="center"/>
      <protection hidden="1"/>
    </xf>
    <xf numFmtId="0" fontId="23" fillId="17" borderId="57" xfId="0" applyFont="1" applyFill="1" applyBorder="1" applyAlignment="1" applyProtection="1">
      <alignment horizontal="center" vertical="center" textRotation="90" wrapText="1"/>
      <protection hidden="1"/>
    </xf>
    <xf numFmtId="0" fontId="23" fillId="17" borderId="58" xfId="0" applyFont="1" applyFill="1" applyBorder="1" applyAlignment="1" applyProtection="1">
      <alignment horizontal="center" vertical="center" textRotation="90" wrapText="1"/>
      <protection hidden="1"/>
    </xf>
    <xf numFmtId="0" fontId="23" fillId="17" borderId="7" xfId="0" applyFont="1" applyFill="1" applyBorder="1" applyAlignment="1" applyProtection="1">
      <alignment horizontal="center" vertical="center" textRotation="90" wrapText="1"/>
      <protection hidden="1"/>
    </xf>
    <xf numFmtId="0" fontId="19" fillId="17" borderId="28" xfId="0" applyFont="1" applyFill="1" applyBorder="1" applyAlignment="1" applyProtection="1">
      <alignment horizontal="center" vertical="center" wrapText="1"/>
      <protection hidden="1"/>
    </xf>
    <xf numFmtId="0" fontId="19" fillId="17" borderId="28" xfId="0" applyFont="1" applyFill="1" applyBorder="1" applyAlignment="1" applyProtection="1">
      <alignment vertical="center" wrapText="1"/>
      <protection hidden="1"/>
    </xf>
    <xf numFmtId="0" fontId="26" fillId="5" borderId="12" xfId="0" applyFont="1" applyFill="1" applyBorder="1" applyAlignment="1" applyProtection="1">
      <alignment horizontal="center" vertical="center" wrapText="1"/>
      <protection hidden="1"/>
    </xf>
    <xf numFmtId="0" fontId="26" fillId="5" borderId="19" xfId="0" applyFont="1" applyFill="1" applyBorder="1" applyAlignment="1" applyProtection="1">
      <alignment horizontal="center" vertical="center" wrapText="1"/>
      <protection hidden="1"/>
    </xf>
    <xf numFmtId="164" fontId="17" fillId="3" borderId="12" xfId="0" applyNumberFormat="1" applyFont="1" applyFill="1" applyBorder="1" applyAlignment="1" applyProtection="1">
      <alignment horizontal="center" vertical="center" wrapText="1"/>
      <protection locked="0" hidden="1"/>
    </xf>
    <xf numFmtId="164" fontId="17" fillId="3" borderId="101" xfId="0" applyNumberFormat="1" applyFont="1" applyFill="1" applyBorder="1" applyAlignment="1" applyProtection="1">
      <alignment horizontal="center" vertical="center" wrapText="1"/>
      <protection locked="0" hidden="1"/>
    </xf>
    <xf numFmtId="0" fontId="56" fillId="0" borderId="0" xfId="0" applyFont="1" applyProtection="1">
      <protection hidden="1"/>
    </xf>
    <xf numFmtId="0" fontId="0" fillId="0" borderId="0" xfId="0" applyAlignment="1" applyProtection="1">
      <alignment horizontal="center" vertical="center"/>
      <protection hidden="1"/>
    </xf>
    <xf numFmtId="0" fontId="70" fillId="0" borderId="0" xfId="0" applyFont="1" applyProtection="1">
      <protection hidden="1"/>
    </xf>
    <xf numFmtId="0" fontId="32" fillId="0" borderId="45" xfId="0" applyFont="1" applyBorder="1" applyAlignment="1" applyProtection="1">
      <alignment horizontal="right" vertical="center"/>
      <protection hidden="1"/>
    </xf>
    <xf numFmtId="0" fontId="32" fillId="0" borderId="0" xfId="0" applyFont="1" applyAlignment="1" applyProtection="1">
      <alignment horizontal="center" vertical="center"/>
      <protection hidden="1"/>
    </xf>
    <xf numFmtId="0" fontId="0" fillId="0" borderId="53" xfId="0" applyBorder="1" applyProtection="1">
      <protection hidden="1"/>
    </xf>
    <xf numFmtId="0" fontId="0" fillId="0" borderId="46" xfId="0" applyBorder="1" applyProtection="1">
      <protection hidden="1"/>
    </xf>
    <xf numFmtId="0" fontId="32" fillId="0" borderId="21" xfId="0" applyFont="1" applyBorder="1" applyAlignment="1" applyProtection="1">
      <alignment horizontal="center" vertical="center"/>
      <protection hidden="1"/>
    </xf>
    <xf numFmtId="0" fontId="32" fillId="0" borderId="53" xfId="0" applyFont="1" applyBorder="1" applyAlignment="1" applyProtection="1">
      <alignment horizontal="center" vertical="center"/>
      <protection hidden="1"/>
    </xf>
    <xf numFmtId="0" fontId="28" fillId="0" borderId="2" xfId="0" applyFont="1" applyBorder="1" applyAlignment="1" applyProtection="1">
      <alignment wrapText="1"/>
      <protection hidden="1"/>
    </xf>
    <xf numFmtId="0" fontId="28" fillId="0" borderId="0" xfId="0" applyFont="1" applyAlignment="1" applyProtection="1">
      <alignment wrapText="1"/>
      <protection hidden="1"/>
    </xf>
    <xf numFmtId="0" fontId="28" fillId="3" borderId="2" xfId="0" applyFont="1" applyFill="1" applyBorder="1" applyAlignment="1" applyProtection="1">
      <alignment horizontal="center" vertical="center" textRotation="90"/>
      <protection hidden="1"/>
    </xf>
    <xf numFmtId="0" fontId="33" fillId="3" borderId="52" xfId="0" applyFont="1" applyFill="1" applyBorder="1" applyAlignment="1" applyProtection="1">
      <alignment horizontal="center" vertical="center"/>
      <protection hidden="1"/>
    </xf>
    <xf numFmtId="0" fontId="15" fillId="0" borderId="52" xfId="0" applyFont="1" applyBorder="1" applyProtection="1">
      <protection hidden="1"/>
    </xf>
    <xf numFmtId="0" fontId="28" fillId="3" borderId="0" xfId="0" applyFont="1" applyFill="1" applyAlignment="1" applyProtection="1">
      <alignment horizontal="center" vertical="center" textRotation="90"/>
      <protection hidden="1"/>
    </xf>
    <xf numFmtId="0" fontId="33" fillId="0" borderId="52" xfId="0" applyFont="1" applyBorder="1" applyAlignment="1" applyProtection="1">
      <alignment horizontal="center" vertical="center"/>
      <protection hidden="1"/>
    </xf>
    <xf numFmtId="0" fontId="0" fillId="3" borderId="2" xfId="0" applyFill="1" applyBorder="1" applyAlignment="1" applyProtection="1">
      <alignment horizontal="center"/>
      <protection hidden="1"/>
    </xf>
    <xf numFmtId="0" fontId="0" fillId="3" borderId="0" xfId="0" applyFill="1" applyAlignment="1" applyProtection="1">
      <alignment horizontal="center"/>
      <protection hidden="1"/>
    </xf>
    <xf numFmtId="0" fontId="0" fillId="0" borderId="0" xfId="0" applyAlignment="1" applyProtection="1">
      <alignment horizontal="center"/>
      <protection hidden="1"/>
    </xf>
    <xf numFmtId="1" fontId="24" fillId="3" borderId="29" xfId="0" applyNumberFormat="1" applyFont="1" applyFill="1" applyBorder="1" applyAlignment="1" applyProtection="1">
      <alignment horizontal="center" vertical="center"/>
      <protection hidden="1"/>
    </xf>
    <xf numFmtId="0" fontId="26" fillId="3" borderId="0" xfId="0" applyFont="1" applyFill="1" applyProtection="1">
      <protection hidden="1"/>
    </xf>
    <xf numFmtId="0" fontId="24" fillId="0" borderId="0" xfId="0" applyFont="1" applyProtection="1">
      <protection hidden="1"/>
    </xf>
    <xf numFmtId="0" fontId="36" fillId="14" borderId="0" xfId="0" applyFont="1" applyFill="1" applyAlignment="1" applyProtection="1">
      <alignment horizontal="right"/>
      <protection hidden="1"/>
    </xf>
    <xf numFmtId="0" fontId="36" fillId="14" borderId="0" xfId="0" applyFont="1" applyFill="1" applyAlignment="1" applyProtection="1">
      <alignment horizontal="left" vertical="top"/>
      <protection hidden="1"/>
    </xf>
    <xf numFmtId="164" fontId="24" fillId="14" borderId="0" xfId="0" applyNumberFormat="1" applyFont="1" applyFill="1" applyAlignment="1" applyProtection="1">
      <alignment horizontal="center" vertical="center" wrapText="1"/>
      <protection hidden="1"/>
    </xf>
    <xf numFmtId="1" fontId="36" fillId="14" borderId="0" xfId="0" applyNumberFormat="1" applyFont="1" applyFill="1" applyAlignment="1" applyProtection="1">
      <alignment horizontal="center" vertical="center"/>
      <protection hidden="1"/>
    </xf>
    <xf numFmtId="0" fontId="0" fillId="14" borderId="0" xfId="0" applyFill="1" applyProtection="1">
      <protection hidden="1"/>
    </xf>
    <xf numFmtId="0" fontId="0" fillId="3" borderId="0" xfId="0" applyFill="1" applyProtection="1">
      <protection hidden="1"/>
    </xf>
    <xf numFmtId="0" fontId="36" fillId="0" borderId="0" xfId="0" applyFont="1" applyProtection="1">
      <protection hidden="1"/>
    </xf>
    <xf numFmtId="0" fontId="0" fillId="0" borderId="6" xfId="0" applyBorder="1" applyProtection="1">
      <protection hidden="1"/>
    </xf>
    <xf numFmtId="0" fontId="32" fillId="0" borderId="46" xfId="0" applyFont="1" applyBorder="1" applyAlignment="1" applyProtection="1">
      <alignment horizontal="center" vertical="center"/>
      <protection hidden="1"/>
    </xf>
    <xf numFmtId="0" fontId="22" fillId="16" borderId="86" xfId="0" applyFont="1" applyFill="1" applyBorder="1" applyAlignment="1" applyProtection="1">
      <alignment horizontal="center" vertical="center" wrapText="1"/>
      <protection hidden="1"/>
    </xf>
    <xf numFmtId="0" fontId="22" fillId="16" borderId="52" xfId="0" applyFont="1" applyFill="1" applyBorder="1" applyAlignment="1" applyProtection="1">
      <alignment horizontal="center" vertical="center" wrapText="1"/>
      <protection hidden="1"/>
    </xf>
    <xf numFmtId="0" fontId="22" fillId="16" borderId="2" xfId="0" applyFont="1" applyFill="1" applyBorder="1" applyAlignment="1" applyProtection="1">
      <alignment horizontal="center" vertical="center" wrapText="1"/>
      <protection hidden="1"/>
    </xf>
    <xf numFmtId="0" fontId="22" fillId="16" borderId="120" xfId="0" applyFont="1" applyFill="1" applyBorder="1" applyAlignment="1" applyProtection="1">
      <alignment horizontal="center" vertical="center" wrapText="1"/>
      <protection hidden="1"/>
    </xf>
    <xf numFmtId="0" fontId="15" fillId="3" borderId="96" xfId="0" applyFont="1" applyFill="1" applyBorder="1" applyProtection="1">
      <protection hidden="1"/>
    </xf>
    <xf numFmtId="0" fontId="15" fillId="3" borderId="53" xfId="0" applyFont="1" applyFill="1" applyBorder="1" applyProtection="1">
      <protection hidden="1"/>
    </xf>
    <xf numFmtId="0" fontId="61" fillId="5" borderId="90" xfId="0" applyFont="1" applyFill="1" applyBorder="1" applyAlignment="1" applyProtection="1">
      <alignment horizontal="center" vertical="center"/>
      <protection hidden="1"/>
    </xf>
    <xf numFmtId="0" fontId="15" fillId="3" borderId="53" xfId="0" applyFont="1" applyFill="1" applyBorder="1" applyAlignment="1" applyProtection="1">
      <alignment vertical="center"/>
      <protection hidden="1"/>
    </xf>
    <xf numFmtId="0" fontId="15" fillId="0" borderId="53" xfId="0" applyFont="1" applyBorder="1" applyAlignment="1" applyProtection="1">
      <alignment vertical="center"/>
      <protection hidden="1"/>
    </xf>
    <xf numFmtId="0" fontId="0" fillId="0" borderId="0" xfId="0" applyAlignment="1" applyProtection="1">
      <alignment vertical="top"/>
      <protection hidden="1"/>
    </xf>
    <xf numFmtId="0" fontId="61" fillId="5" borderId="89" xfId="0" applyFont="1" applyFill="1" applyBorder="1" applyAlignment="1" applyProtection="1">
      <alignment horizontal="center" vertical="center"/>
      <protection hidden="1"/>
    </xf>
    <xf numFmtId="0" fontId="33" fillId="3" borderId="46" xfId="0" applyFont="1" applyFill="1" applyBorder="1" applyAlignment="1" applyProtection="1">
      <alignment horizontal="center" vertical="center"/>
      <protection hidden="1"/>
    </xf>
    <xf numFmtId="0" fontId="29" fillId="0" borderId="37" xfId="0" applyFont="1" applyBorder="1" applyAlignment="1" applyProtection="1">
      <alignment horizontal="right" vertical="top"/>
      <protection hidden="1"/>
    </xf>
    <xf numFmtId="0" fontId="29" fillId="0" borderId="37" xfId="0" applyFont="1" applyBorder="1" applyAlignment="1" applyProtection="1">
      <alignment horizontal="center" vertical="top"/>
      <protection hidden="1"/>
    </xf>
    <xf numFmtId="0" fontId="33" fillId="0" borderId="46" xfId="0" applyFont="1" applyBorder="1" applyAlignment="1" applyProtection="1">
      <alignment horizontal="center" vertical="center"/>
      <protection hidden="1"/>
    </xf>
    <xf numFmtId="0" fontId="0" fillId="0" borderId="2" xfId="0" applyBorder="1" applyAlignment="1" applyProtection="1">
      <alignment horizontal="center"/>
      <protection hidden="1"/>
    </xf>
    <xf numFmtId="0" fontId="26" fillId="0" borderId="28" xfId="0" applyFont="1" applyBorder="1" applyProtection="1">
      <protection hidden="1"/>
    </xf>
    <xf numFmtId="0" fontId="25" fillId="0" borderId="27" xfId="0" applyFont="1" applyBorder="1" applyAlignment="1" applyProtection="1">
      <alignment horizontal="right"/>
      <protection hidden="1"/>
    </xf>
    <xf numFmtId="0" fontId="25" fillId="0" borderId="27" xfId="0" applyFont="1" applyBorder="1" applyProtection="1">
      <protection hidden="1"/>
    </xf>
    <xf numFmtId="0" fontId="26" fillId="0" borderId="0" xfId="0" applyFont="1" applyProtection="1">
      <protection hidden="1"/>
    </xf>
    <xf numFmtId="0" fontId="0" fillId="0" borderId="0" xfId="0" applyAlignment="1" applyProtection="1">
      <alignment horizontal="right"/>
      <protection hidden="1"/>
    </xf>
    <xf numFmtId="0" fontId="28" fillId="0" borderId="0" xfId="0" applyFont="1" applyProtection="1">
      <protection hidden="1"/>
    </xf>
    <xf numFmtId="164" fontId="25" fillId="3" borderId="88" xfId="0" applyNumberFormat="1" applyFont="1" applyFill="1" applyBorder="1" applyAlignment="1" applyProtection="1">
      <alignment horizontal="center" vertical="center" wrapText="1"/>
      <protection locked="0" hidden="1"/>
    </xf>
    <xf numFmtId="164" fontId="24" fillId="3" borderId="86" xfId="0" applyNumberFormat="1" applyFont="1" applyFill="1" applyBorder="1" applyAlignment="1" applyProtection="1">
      <alignment horizontal="center" vertical="center" wrapText="1"/>
      <protection locked="0" hidden="1"/>
    </xf>
    <xf numFmtId="164" fontId="24" fillId="3" borderId="87" xfId="0" applyNumberFormat="1" applyFont="1" applyFill="1" applyBorder="1" applyAlignment="1" applyProtection="1">
      <alignment horizontal="center" vertical="center" wrapText="1"/>
      <protection locked="0" hidden="1"/>
    </xf>
    <xf numFmtId="0" fontId="24" fillId="0" borderId="101" xfId="0" applyFont="1" applyBorder="1" applyProtection="1">
      <protection locked="0" hidden="1"/>
    </xf>
    <xf numFmtId="164" fontId="24" fillId="3" borderId="113" xfId="0" applyNumberFormat="1" applyFont="1" applyFill="1" applyBorder="1" applyAlignment="1" applyProtection="1">
      <alignment horizontal="center" vertical="center" wrapText="1"/>
      <protection locked="0" hidden="1"/>
    </xf>
    <xf numFmtId="0" fontId="24" fillId="0" borderId="101" xfId="0" applyFont="1" applyBorder="1" applyAlignment="1" applyProtection="1">
      <alignment horizontal="left" vertical="top"/>
      <protection locked="0" hidden="1"/>
    </xf>
    <xf numFmtId="164" fontId="25" fillId="3" borderId="86" xfId="0" applyNumberFormat="1" applyFont="1" applyFill="1" applyBorder="1" applyAlignment="1" applyProtection="1">
      <alignment horizontal="center" vertical="center" wrapText="1"/>
      <protection locked="0" hidden="1"/>
    </xf>
    <xf numFmtId="0" fontId="24" fillId="0" borderId="35" xfId="0" applyFont="1" applyBorder="1" applyProtection="1">
      <protection locked="0" hidden="1"/>
    </xf>
    <xf numFmtId="0" fontId="24" fillId="0" borderId="35" xfId="0" applyFont="1" applyBorder="1" applyAlignment="1" applyProtection="1">
      <alignment horizontal="left" vertical="top"/>
      <protection locked="0" hidden="1"/>
    </xf>
    <xf numFmtId="0" fontId="0" fillId="0" borderId="0" xfId="0" applyProtection="1">
      <protection locked="0" hidden="1"/>
    </xf>
    <xf numFmtId="0" fontId="70" fillId="0" borderId="0" xfId="0" applyFont="1" applyProtection="1">
      <protection locked="0" hidden="1"/>
    </xf>
    <xf numFmtId="164" fontId="61" fillId="3" borderId="88" xfId="0" applyNumberFormat="1" applyFont="1" applyFill="1" applyBorder="1" applyAlignment="1" applyProtection="1">
      <alignment horizontal="center" vertical="center" wrapText="1"/>
      <protection locked="0" hidden="1"/>
    </xf>
    <xf numFmtId="164" fontId="36" fillId="3" borderId="86" xfId="0" applyNumberFormat="1" applyFont="1" applyFill="1" applyBorder="1" applyAlignment="1" applyProtection="1">
      <alignment horizontal="center" vertical="center" wrapText="1"/>
      <protection locked="0" hidden="1"/>
    </xf>
    <xf numFmtId="164" fontId="36" fillId="3" borderId="87" xfId="0" applyNumberFormat="1" applyFont="1" applyFill="1" applyBorder="1" applyAlignment="1" applyProtection="1">
      <alignment horizontal="center" vertical="center" wrapText="1"/>
      <protection locked="0" hidden="1"/>
    </xf>
    <xf numFmtId="0" fontId="24" fillId="0" borderId="109" xfId="0" applyFont="1" applyBorder="1" applyAlignment="1" applyProtection="1">
      <alignment horizontal="left" vertical="top"/>
      <protection locked="0" hidden="1"/>
    </xf>
    <xf numFmtId="0" fontId="24" fillId="0" borderId="109" xfId="0" applyFont="1" applyBorder="1" applyProtection="1">
      <protection locked="0" hidden="1"/>
    </xf>
    <xf numFmtId="0" fontId="0" fillId="17" borderId="0" xfId="0" applyFill="1" applyProtection="1">
      <protection hidden="1"/>
    </xf>
    <xf numFmtId="0" fontId="22" fillId="17" borderId="86" xfId="0" applyFont="1" applyFill="1" applyBorder="1" applyAlignment="1" applyProtection="1">
      <alignment horizontal="center" vertical="center" wrapText="1"/>
      <protection hidden="1"/>
    </xf>
    <xf numFmtId="0" fontId="22" fillId="17" borderId="112" xfId="0" applyFont="1" applyFill="1" applyBorder="1" applyAlignment="1" applyProtection="1">
      <alignment horizontal="center" vertical="center" wrapText="1"/>
      <protection hidden="1"/>
    </xf>
    <xf numFmtId="0" fontId="22" fillId="17" borderId="52" xfId="0" applyFont="1" applyFill="1" applyBorder="1" applyAlignment="1" applyProtection="1">
      <alignment horizontal="center" vertical="center" wrapText="1"/>
      <protection hidden="1"/>
    </xf>
    <xf numFmtId="0" fontId="22" fillId="17" borderId="85" xfId="0" applyFont="1" applyFill="1" applyBorder="1" applyAlignment="1" applyProtection="1">
      <alignment horizontal="center" vertical="center" wrapText="1"/>
      <protection hidden="1"/>
    </xf>
    <xf numFmtId="0" fontId="22" fillId="17" borderId="111" xfId="0" applyFont="1" applyFill="1" applyBorder="1" applyAlignment="1" applyProtection="1">
      <alignment horizontal="center" vertical="center" wrapText="1"/>
      <protection hidden="1"/>
    </xf>
    <xf numFmtId="0" fontId="0" fillId="17" borderId="2" xfId="0" applyFill="1" applyBorder="1" applyAlignment="1" applyProtection="1">
      <alignment horizontal="center"/>
      <protection hidden="1"/>
    </xf>
    <xf numFmtId="0" fontId="0" fillId="17" borderId="0" xfId="0" applyFill="1" applyAlignment="1" applyProtection="1">
      <alignment horizontal="center"/>
      <protection hidden="1"/>
    </xf>
    <xf numFmtId="0" fontId="0" fillId="0" borderId="0" xfId="0" applyAlignment="1" applyProtection="1">
      <alignment horizontal="center" vertical="center"/>
      <protection locked="0" hidden="1"/>
    </xf>
    <xf numFmtId="0" fontId="26" fillId="7" borderId="0" xfId="2" applyFill="1" applyAlignment="1" applyProtection="1">
      <alignment vertical="center"/>
      <protection hidden="1"/>
    </xf>
    <xf numFmtId="0" fontId="23" fillId="17" borderId="115" xfId="0" applyFont="1" applyFill="1" applyBorder="1" applyAlignment="1" applyProtection="1">
      <alignment horizontal="center" vertical="center" wrapText="1"/>
      <protection hidden="1"/>
    </xf>
    <xf numFmtId="0" fontId="46" fillId="17" borderId="0" xfId="2" applyFont="1" applyFill="1" applyAlignment="1" applyProtection="1">
      <alignment horizontal="center" vertical="center"/>
      <protection hidden="1"/>
    </xf>
    <xf numFmtId="0" fontId="23" fillId="17" borderId="78" xfId="0" applyFont="1" applyFill="1" applyBorder="1" applyAlignment="1" applyProtection="1">
      <alignment horizontal="center" vertical="center" wrapText="1"/>
      <protection hidden="1"/>
    </xf>
    <xf numFmtId="0" fontId="25" fillId="5" borderId="71" xfId="0" applyFont="1" applyFill="1" applyBorder="1" applyAlignment="1" applyProtection="1">
      <alignment horizontal="center" vertical="center"/>
      <protection locked="0" hidden="1"/>
    </xf>
    <xf numFmtId="0" fontId="25" fillId="5" borderId="80" xfId="0" applyFont="1" applyFill="1" applyBorder="1" applyAlignment="1" applyProtection="1">
      <alignment horizontal="center" vertical="center"/>
      <protection locked="0" hidden="1"/>
    </xf>
    <xf numFmtId="0" fontId="25" fillId="5" borderId="81" xfId="0" applyFont="1" applyFill="1" applyBorder="1" applyAlignment="1" applyProtection="1">
      <alignment horizontal="center" vertical="center"/>
      <protection locked="0" hidden="1"/>
    </xf>
    <xf numFmtId="0" fontId="25" fillId="5" borderId="82" xfId="0" applyFont="1" applyFill="1" applyBorder="1" applyAlignment="1" applyProtection="1">
      <alignment horizontal="center" vertical="center"/>
      <protection locked="0" hidden="1"/>
    </xf>
    <xf numFmtId="0" fontId="17" fillId="0" borderId="4" xfId="2" applyFont="1" applyBorder="1" applyAlignment="1" applyProtection="1">
      <alignment horizontal="center" vertical="center"/>
      <protection locked="0" hidden="1"/>
    </xf>
    <xf numFmtId="0" fontId="17" fillId="0" borderId="76" xfId="2" applyFont="1" applyBorder="1" applyAlignment="1" applyProtection="1">
      <alignment horizontal="center" vertical="center"/>
      <protection locked="0" hidden="1"/>
    </xf>
    <xf numFmtId="0" fontId="19" fillId="17" borderId="23" xfId="0" applyFont="1" applyFill="1" applyBorder="1" applyAlignment="1" applyProtection="1">
      <alignment horizontal="center" vertical="center" wrapText="1"/>
      <protection hidden="1"/>
    </xf>
    <xf numFmtId="0" fontId="0" fillId="3" borderId="52" xfId="0" applyFill="1" applyBorder="1" applyProtection="1">
      <protection hidden="1"/>
    </xf>
    <xf numFmtId="0" fontId="28" fillId="3" borderId="52" xfId="0" applyFont="1" applyFill="1" applyBorder="1" applyAlignment="1" applyProtection="1">
      <alignment horizontal="center" vertical="center"/>
      <protection hidden="1"/>
    </xf>
    <xf numFmtId="164" fontId="17" fillId="3" borderId="51" xfId="0" applyNumberFormat="1" applyFont="1" applyFill="1" applyBorder="1" applyAlignment="1" applyProtection="1">
      <alignment horizontal="center" vertical="center" wrapText="1"/>
      <protection locked="0" hidden="1"/>
    </xf>
    <xf numFmtId="1" fontId="25" fillId="5" borderId="121" xfId="0" applyNumberFormat="1" applyFont="1" applyFill="1" applyBorder="1" applyAlignment="1" applyProtection="1">
      <alignment horizontal="center" vertical="center"/>
      <protection hidden="1"/>
    </xf>
    <xf numFmtId="1" fontId="25" fillId="5" borderId="122" xfId="0" applyNumberFormat="1" applyFont="1" applyFill="1" applyBorder="1" applyAlignment="1" applyProtection="1">
      <alignment horizontal="center" vertical="center"/>
      <protection hidden="1"/>
    </xf>
    <xf numFmtId="1" fontId="25" fillId="5" borderId="123" xfId="0" applyNumberFormat="1" applyFont="1" applyFill="1" applyBorder="1" applyAlignment="1" applyProtection="1">
      <alignment horizontal="center" vertical="center"/>
      <protection hidden="1"/>
    </xf>
    <xf numFmtId="0" fontId="78" fillId="3" borderId="52" xfId="0" applyFont="1" applyFill="1" applyBorder="1" applyProtection="1">
      <protection hidden="1"/>
    </xf>
    <xf numFmtId="0" fontId="79" fillId="3" borderId="52" xfId="0" applyFont="1" applyFill="1" applyBorder="1" applyAlignment="1" applyProtection="1">
      <alignment horizontal="center" vertical="center"/>
      <protection hidden="1"/>
    </xf>
    <xf numFmtId="0" fontId="21" fillId="7" borderId="15" xfId="0" applyFont="1" applyFill="1" applyBorder="1" applyAlignment="1" applyProtection="1">
      <alignment horizontal="center" vertical="center"/>
      <protection hidden="1"/>
    </xf>
    <xf numFmtId="0" fontId="0" fillId="7" borderId="0" xfId="0" applyFill="1" applyProtection="1">
      <protection hidden="1"/>
    </xf>
    <xf numFmtId="0" fontId="0" fillId="3" borderId="4" xfId="0" applyFill="1" applyBorder="1" applyAlignment="1">
      <alignment horizontal="center"/>
    </xf>
    <xf numFmtId="0" fontId="0" fillId="5" borderId="0" xfId="0" applyFill="1"/>
    <xf numFmtId="0" fontId="0" fillId="18" borderId="0" xfId="0" applyFill="1"/>
    <xf numFmtId="0" fontId="14" fillId="19" borderId="131" xfId="0" applyFont="1" applyFill="1" applyBorder="1" applyAlignment="1">
      <alignment horizontal="center" vertical="center" wrapText="1"/>
    </xf>
    <xf numFmtId="0" fontId="0" fillId="19" borderId="132" xfId="0" applyFill="1" applyBorder="1" applyAlignment="1">
      <alignment vertical="top" wrapText="1"/>
    </xf>
    <xf numFmtId="0" fontId="0" fillId="19" borderId="133" xfId="0" applyFill="1" applyBorder="1" applyAlignment="1">
      <alignment vertical="top" wrapText="1"/>
    </xf>
    <xf numFmtId="0" fontId="0" fillId="19" borderId="133" xfId="0" applyFill="1" applyBorder="1" applyAlignment="1">
      <alignment horizontal="center" vertical="top" wrapText="1"/>
    </xf>
    <xf numFmtId="0" fontId="0" fillId="19" borderId="134" xfId="0" applyFill="1" applyBorder="1" applyAlignment="1">
      <alignment horizontal="center" vertical="top" wrapText="1"/>
    </xf>
    <xf numFmtId="0" fontId="0" fillId="19" borderId="135" xfId="0" applyFill="1" applyBorder="1" applyAlignment="1">
      <alignment vertical="top" wrapText="1"/>
    </xf>
    <xf numFmtId="0" fontId="14" fillId="19" borderId="136" xfId="0" applyFont="1" applyFill="1" applyBorder="1" applyAlignment="1">
      <alignment horizontal="center" vertical="center" wrapText="1"/>
    </xf>
    <xf numFmtId="0" fontId="0" fillId="19" borderId="137" xfId="0" applyFill="1" applyBorder="1" applyAlignment="1">
      <alignment vertical="top" wrapText="1"/>
    </xf>
    <xf numFmtId="0" fontId="0" fillId="19" borderId="138" xfId="0" applyFill="1" applyBorder="1" applyAlignment="1">
      <alignment vertical="top" wrapText="1"/>
    </xf>
    <xf numFmtId="0" fontId="0" fillId="19" borderId="138" xfId="0" applyFill="1" applyBorder="1" applyAlignment="1">
      <alignment horizontal="center" vertical="top" wrapText="1"/>
    </xf>
    <xf numFmtId="0" fontId="0" fillId="19" borderId="139" xfId="0" applyFill="1" applyBorder="1" applyAlignment="1">
      <alignment horizontal="center" vertical="top" wrapText="1"/>
    </xf>
    <xf numFmtId="0" fontId="0" fillId="19" borderId="140" xfId="0" applyFill="1" applyBorder="1" applyAlignment="1">
      <alignment vertical="top" wrapText="1"/>
    </xf>
    <xf numFmtId="0" fontId="78" fillId="19" borderId="138" xfId="0" applyFont="1" applyFill="1" applyBorder="1" applyAlignment="1">
      <alignment vertical="top" wrapText="1"/>
    </xf>
    <xf numFmtId="0" fontId="85" fillId="19" borderId="137" xfId="0" applyFont="1" applyFill="1" applyBorder="1" applyAlignment="1">
      <alignment vertical="top" wrapText="1"/>
    </xf>
    <xf numFmtId="0" fontId="85" fillId="19" borderId="138" xfId="0" applyFont="1" applyFill="1" applyBorder="1" applyAlignment="1">
      <alignment vertical="top" wrapText="1"/>
    </xf>
    <xf numFmtId="0" fontId="85" fillId="19" borderId="138" xfId="0" applyFont="1" applyFill="1" applyBorder="1" applyAlignment="1">
      <alignment horizontal="center" vertical="top" wrapText="1"/>
    </xf>
    <xf numFmtId="0" fontId="85" fillId="19" borderId="139" xfId="0" applyFont="1" applyFill="1" applyBorder="1" applyAlignment="1">
      <alignment horizontal="center" vertical="top" wrapText="1"/>
    </xf>
    <xf numFmtId="0" fontId="26" fillId="19" borderId="138" xfId="0" applyFont="1" applyFill="1" applyBorder="1" applyAlignment="1">
      <alignment vertical="top" wrapText="1"/>
    </xf>
    <xf numFmtId="0" fontId="85" fillId="19" borderId="140" xfId="0" applyFont="1" applyFill="1" applyBorder="1" applyAlignment="1">
      <alignment vertical="top" wrapText="1"/>
    </xf>
    <xf numFmtId="0" fontId="0" fillId="0" borderId="140" xfId="0" applyBorder="1" applyAlignment="1">
      <alignment vertical="top" wrapText="1"/>
    </xf>
    <xf numFmtId="0" fontId="0" fillId="19" borderId="139" xfId="0" applyFill="1" applyBorder="1" applyAlignment="1">
      <alignment vertical="top" wrapText="1"/>
    </xf>
    <xf numFmtId="0" fontId="0" fillId="20" borderId="0" xfId="0" applyFill="1" applyAlignment="1">
      <alignment vertical="top" wrapText="1"/>
    </xf>
    <xf numFmtId="0" fontId="14" fillId="19" borderId="142" xfId="0" applyFont="1" applyFill="1" applyBorder="1" applyAlignment="1">
      <alignment horizontal="center" vertical="center" wrapText="1"/>
    </xf>
    <xf numFmtId="0" fontId="0" fillId="0" borderId="143" xfId="0" applyBorder="1" applyAlignment="1">
      <alignment vertical="top" wrapText="1"/>
    </xf>
    <xf numFmtId="0" fontId="0" fillId="0" borderId="144" xfId="0" applyBorder="1" applyAlignment="1">
      <alignment vertical="top" wrapText="1"/>
    </xf>
    <xf numFmtId="0" fontId="0" fillId="0" borderId="144" xfId="0" applyBorder="1" applyAlignment="1">
      <alignment horizontal="center" vertical="top" wrapText="1"/>
    </xf>
    <xf numFmtId="0" fontId="0" fillId="0" borderId="145" xfId="0" applyBorder="1" applyAlignment="1">
      <alignment horizontal="center" vertical="top" wrapText="1"/>
    </xf>
    <xf numFmtId="0" fontId="0" fillId="19" borderId="143" xfId="0" applyFill="1" applyBorder="1" applyAlignment="1">
      <alignment vertical="top" wrapText="1"/>
    </xf>
    <xf numFmtId="0" fontId="0" fillId="19" borderId="144" xfId="0" applyFill="1" applyBorder="1" applyAlignment="1">
      <alignment vertical="top" wrapText="1"/>
    </xf>
    <xf numFmtId="0" fontId="0" fillId="19" borderId="144" xfId="0" applyFill="1" applyBorder="1" applyAlignment="1">
      <alignment horizontal="center" vertical="top" wrapText="1"/>
    </xf>
    <xf numFmtId="0" fontId="0" fillId="19" borderId="145" xfId="0" applyFill="1" applyBorder="1" applyAlignment="1">
      <alignment horizontal="center" vertical="top" wrapText="1"/>
    </xf>
    <xf numFmtId="0" fontId="0" fillId="19" borderId="146" xfId="0" applyFill="1" applyBorder="1" applyAlignment="1">
      <alignment vertical="top" wrapText="1"/>
    </xf>
    <xf numFmtId="0" fontId="85" fillId="19" borderId="143" xfId="0" applyFont="1" applyFill="1" applyBorder="1" applyAlignment="1">
      <alignment vertical="top" wrapText="1"/>
    </xf>
    <xf numFmtId="0" fontId="85" fillId="19" borderId="144" xfId="0" applyFont="1" applyFill="1" applyBorder="1" applyAlignment="1">
      <alignment vertical="top" wrapText="1"/>
    </xf>
    <xf numFmtId="0" fontId="85" fillId="19" borderId="144" xfId="0" applyFont="1" applyFill="1" applyBorder="1" applyAlignment="1">
      <alignment horizontal="center" vertical="top" wrapText="1"/>
    </xf>
    <xf numFmtId="0" fontId="85" fillId="19" borderId="145" xfId="0" applyFont="1" applyFill="1" applyBorder="1" applyAlignment="1">
      <alignment horizontal="center" vertical="top" wrapText="1"/>
    </xf>
    <xf numFmtId="0" fontId="78" fillId="19" borderId="144" xfId="0" applyFont="1" applyFill="1" applyBorder="1" applyAlignment="1">
      <alignment vertical="top" wrapText="1"/>
    </xf>
    <xf numFmtId="0" fontId="0" fillId="0" borderId="0" xfId="0" applyAlignment="1">
      <alignment horizontal="center" vertical="center" wrapText="1"/>
    </xf>
    <xf numFmtId="0" fontId="31" fillId="0" borderId="0" xfId="0" applyFont="1" applyAlignment="1">
      <alignment horizontal="left" vertical="center"/>
    </xf>
    <xf numFmtId="0" fontId="31"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151" xfId="0" applyBorder="1" applyAlignment="1">
      <alignment wrapText="1"/>
    </xf>
    <xf numFmtId="0" fontId="0" fillId="19"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14" fillId="5" borderId="46" xfId="0" applyFont="1" applyFill="1" applyBorder="1"/>
    <xf numFmtId="0" fontId="0" fillId="0" borderId="137" xfId="0" applyBorder="1" applyAlignment="1">
      <alignment vertical="top" wrapText="1"/>
    </xf>
    <xf numFmtId="0" fontId="0" fillId="0" borderId="138" xfId="0" applyBorder="1" applyAlignment="1">
      <alignment vertical="top" wrapText="1"/>
    </xf>
    <xf numFmtId="0" fontId="22" fillId="21" borderId="86" xfId="0" applyFont="1" applyFill="1" applyBorder="1" applyAlignment="1" applyProtection="1">
      <alignment horizontal="center" vertical="center" wrapText="1"/>
      <protection hidden="1"/>
    </xf>
    <xf numFmtId="0" fontId="22" fillId="21" borderId="112" xfId="0" applyFont="1" applyFill="1" applyBorder="1" applyAlignment="1" applyProtection="1">
      <alignment horizontal="center" vertical="center" wrapText="1"/>
      <protection hidden="1"/>
    </xf>
    <xf numFmtId="0" fontId="22" fillId="21" borderId="52" xfId="0" applyFont="1" applyFill="1" applyBorder="1" applyAlignment="1" applyProtection="1">
      <alignment horizontal="center" vertical="center" wrapText="1"/>
      <protection hidden="1"/>
    </xf>
    <xf numFmtId="0" fontId="61" fillId="22" borderId="95" xfId="0" applyFont="1" applyFill="1" applyBorder="1" applyAlignment="1" applyProtection="1">
      <alignment horizontal="center" vertical="center"/>
      <protection hidden="1"/>
    </xf>
    <xf numFmtId="0" fontId="61" fillId="22" borderId="48" xfId="0" applyFont="1" applyFill="1" applyBorder="1" applyAlignment="1" applyProtection="1">
      <alignment horizontal="center" vertical="center"/>
      <protection hidden="1"/>
    </xf>
    <xf numFmtId="0" fontId="22" fillId="21" borderId="85" xfId="0" applyFont="1" applyFill="1" applyBorder="1" applyAlignment="1" applyProtection="1">
      <alignment horizontal="center" vertical="center" wrapText="1"/>
      <protection hidden="1"/>
    </xf>
    <xf numFmtId="0" fontId="22" fillId="21" borderId="111" xfId="0" applyFont="1" applyFill="1" applyBorder="1" applyAlignment="1" applyProtection="1">
      <alignment horizontal="center" vertical="center" wrapText="1"/>
      <protection hidden="1"/>
    </xf>
    <xf numFmtId="0" fontId="24" fillId="22" borderId="34" xfId="0" applyFont="1" applyFill="1" applyBorder="1" applyAlignment="1" applyProtection="1">
      <alignment horizontal="right"/>
      <protection hidden="1"/>
    </xf>
    <xf numFmtId="0" fontId="24" fillId="22" borderId="27" xfId="0" applyFont="1" applyFill="1" applyBorder="1" applyAlignment="1" applyProtection="1">
      <alignment horizontal="right"/>
      <protection hidden="1"/>
    </xf>
    <xf numFmtId="0" fontId="24" fillId="22" borderId="30" xfId="0" applyFont="1" applyFill="1" applyBorder="1" applyAlignment="1" applyProtection="1">
      <alignment horizontal="right"/>
      <protection hidden="1"/>
    </xf>
    <xf numFmtId="0" fontId="24" fillId="22" borderId="27" xfId="0" applyFont="1" applyFill="1" applyBorder="1" applyProtection="1">
      <protection hidden="1"/>
    </xf>
    <xf numFmtId="0" fontId="61" fillId="22" borderId="90" xfId="0" applyFont="1" applyFill="1" applyBorder="1" applyAlignment="1" applyProtection="1">
      <alignment horizontal="center" vertical="center"/>
      <protection hidden="1"/>
    </xf>
    <xf numFmtId="0" fontId="61" fillId="22" borderId="89" xfId="0" applyFont="1" applyFill="1" applyBorder="1" applyAlignment="1" applyProtection="1">
      <alignment horizontal="center" vertical="center"/>
      <protection hidden="1"/>
    </xf>
    <xf numFmtId="0" fontId="29" fillId="22" borderId="37" xfId="0" applyFont="1" applyFill="1" applyBorder="1" applyAlignment="1" applyProtection="1">
      <alignment horizontal="right" vertical="top"/>
      <protection hidden="1"/>
    </xf>
    <xf numFmtId="0" fontId="29" fillId="22" borderId="37" xfId="0" applyFont="1" applyFill="1" applyBorder="1" applyAlignment="1" applyProtection="1">
      <alignment horizontal="center" vertical="top"/>
      <protection hidden="1"/>
    </xf>
    <xf numFmtId="0" fontId="70" fillId="22" borderId="43" xfId="0" applyFont="1" applyFill="1" applyBorder="1" applyAlignment="1" applyProtection="1">
      <alignment vertical="center" wrapText="1"/>
      <protection hidden="1"/>
    </xf>
    <xf numFmtId="0" fontId="0" fillId="22" borderId="0" xfId="0" applyFill="1" applyProtection="1">
      <protection hidden="1"/>
    </xf>
    <xf numFmtId="0" fontId="18" fillId="22" borderId="0" xfId="0" applyFont="1" applyFill="1" applyProtection="1">
      <protection hidden="1"/>
    </xf>
    <xf numFmtId="0" fontId="30" fillId="22" borderId="0" xfId="0" applyFont="1" applyFill="1" applyAlignment="1" applyProtection="1">
      <alignment vertical="center"/>
      <protection hidden="1"/>
    </xf>
    <xf numFmtId="0" fontId="37" fillId="22" borderId="0" xfId="0" applyFont="1" applyFill="1" applyProtection="1">
      <protection hidden="1"/>
    </xf>
    <xf numFmtId="0" fontId="28" fillId="22" borderId="0" xfId="0" applyFont="1" applyFill="1" applyAlignment="1" applyProtection="1">
      <alignment wrapText="1"/>
      <protection hidden="1"/>
    </xf>
    <xf numFmtId="0" fontId="55" fillId="22" borderId="0" xfId="0" applyFont="1" applyFill="1" applyProtection="1">
      <protection hidden="1"/>
    </xf>
    <xf numFmtId="0" fontId="36" fillId="22" borderId="0" xfId="0" applyFont="1" applyFill="1" applyProtection="1">
      <protection hidden="1"/>
    </xf>
    <xf numFmtId="0" fontId="54" fillId="22" borderId="0" xfId="0" applyFont="1" applyFill="1" applyAlignment="1" applyProtection="1">
      <alignment horizontal="center" wrapText="1"/>
      <protection hidden="1"/>
    </xf>
    <xf numFmtId="1" fontId="0" fillId="22" borderId="0" xfId="0" applyNumberFormat="1" applyFill="1" applyAlignment="1" applyProtection="1">
      <alignment horizontal="center" vertical="center"/>
      <protection hidden="1"/>
    </xf>
    <xf numFmtId="0" fontId="0" fillId="22" borderId="0" xfId="0" applyFill="1" applyAlignment="1" applyProtection="1">
      <alignment horizontal="left" vertical="center"/>
      <protection hidden="1"/>
    </xf>
    <xf numFmtId="0" fontId="77" fillId="22" borderId="0" xfId="0" applyFont="1" applyFill="1" applyAlignment="1" applyProtection="1">
      <alignment horizontal="left"/>
      <protection hidden="1"/>
    </xf>
    <xf numFmtId="0" fontId="20" fillId="22" borderId="0" xfId="0" applyFont="1" applyFill="1" applyProtection="1">
      <protection hidden="1"/>
    </xf>
    <xf numFmtId="0" fontId="17" fillId="22" borderId="0" xfId="0" applyFont="1" applyFill="1" applyProtection="1">
      <protection hidden="1"/>
    </xf>
    <xf numFmtId="0" fontId="26" fillId="22" borderId="0" xfId="2" applyFill="1" applyAlignment="1">
      <alignment vertical="center"/>
    </xf>
    <xf numFmtId="0" fontId="17" fillId="22" borderId="43" xfId="2" applyFont="1" applyFill="1" applyBorder="1" applyAlignment="1" applyProtection="1">
      <alignment horizontal="right" vertical="center"/>
      <protection hidden="1"/>
    </xf>
    <xf numFmtId="0" fontId="17" fillId="22" borderId="43" xfId="2" applyFont="1" applyFill="1" applyBorder="1" applyAlignment="1" applyProtection="1">
      <alignment horizontal="center" vertical="center"/>
      <protection hidden="1"/>
    </xf>
    <xf numFmtId="0" fontId="73" fillId="22" borderId="0" xfId="2" applyFont="1" applyFill="1" applyAlignment="1">
      <alignment vertical="center"/>
    </xf>
    <xf numFmtId="0" fontId="40" fillId="22" borderId="0" xfId="2" applyFont="1" applyFill="1" applyAlignment="1">
      <alignment vertical="center"/>
    </xf>
    <xf numFmtId="0" fontId="40" fillId="22" borderId="0" xfId="2" applyFont="1" applyFill="1" applyAlignment="1">
      <alignment horizontal="right" vertical="center"/>
    </xf>
    <xf numFmtId="0" fontId="40" fillId="22" borderId="0" xfId="2" applyFont="1" applyFill="1" applyAlignment="1">
      <alignment horizontal="center" vertical="center"/>
    </xf>
    <xf numFmtId="0" fontId="26" fillId="22" borderId="0" xfId="2" applyFill="1" applyAlignment="1" applyProtection="1">
      <alignment vertical="center"/>
      <protection hidden="1"/>
    </xf>
    <xf numFmtId="0" fontId="17" fillId="22" borderId="0" xfId="2" applyFont="1" applyFill="1" applyAlignment="1" applyProtection="1">
      <alignment horizontal="right" vertical="center"/>
      <protection hidden="1"/>
    </xf>
    <xf numFmtId="0" fontId="41" fillId="22" borderId="0" xfId="2" applyFont="1" applyFill="1" applyAlignment="1">
      <alignment vertical="center"/>
    </xf>
    <xf numFmtId="0" fontId="41" fillId="21" borderId="0" xfId="2" applyFont="1" applyFill="1" applyAlignment="1" applyProtection="1">
      <alignment vertical="center"/>
      <protection hidden="1"/>
    </xf>
    <xf numFmtId="0" fontId="17" fillId="22" borderId="0" xfId="2" applyFont="1" applyFill="1" applyAlignment="1">
      <alignment wrapText="1"/>
    </xf>
    <xf numFmtId="0" fontId="17" fillId="22" borderId="0" xfId="2" applyFont="1" applyFill="1" applyAlignment="1">
      <alignment vertical="center" wrapText="1"/>
    </xf>
    <xf numFmtId="0" fontId="26" fillId="22" borderId="0" xfId="2" applyFill="1"/>
    <xf numFmtId="0" fontId="23" fillId="21" borderId="115" xfId="0" applyFont="1" applyFill="1" applyBorder="1" applyAlignment="1">
      <alignment horizontal="center" vertical="center" wrapText="1"/>
    </xf>
    <xf numFmtId="0" fontId="26" fillId="22" borderId="76" xfId="2" applyFill="1" applyBorder="1" applyAlignment="1" applyProtection="1">
      <alignment horizontal="center" vertical="center"/>
      <protection hidden="1"/>
    </xf>
    <xf numFmtId="0" fontId="46" fillId="21" borderId="0" xfId="2" applyFont="1" applyFill="1" applyAlignment="1">
      <alignment horizontal="center" vertical="center"/>
    </xf>
    <xf numFmtId="1" fontId="17" fillId="22" borderId="4" xfId="2" applyNumberFormat="1" applyFont="1" applyFill="1" applyBorder="1" applyAlignment="1" applyProtection="1">
      <alignment horizontal="center" vertical="center"/>
      <protection hidden="1"/>
    </xf>
    <xf numFmtId="0" fontId="26" fillId="22" borderId="4" xfId="2" applyFill="1" applyBorder="1" applyAlignment="1" applyProtection="1">
      <alignment horizontal="center" vertical="center"/>
      <protection hidden="1"/>
    </xf>
    <xf numFmtId="0" fontId="23" fillId="21" borderId="78" xfId="0" applyFont="1" applyFill="1" applyBorder="1" applyAlignment="1">
      <alignment horizontal="center" vertical="center" wrapText="1"/>
    </xf>
    <xf numFmtId="0" fontId="73" fillId="22" borderId="0" xfId="2" applyFont="1" applyFill="1" applyAlignment="1">
      <alignment horizontal="left" vertical="center"/>
    </xf>
    <xf numFmtId="1" fontId="43" fillId="22" borderId="0" xfId="2" applyNumberFormat="1" applyFont="1" applyFill="1" applyAlignment="1" applyProtection="1">
      <alignment horizontal="center" vertical="center"/>
      <protection hidden="1"/>
    </xf>
    <xf numFmtId="0" fontId="34" fillId="22" borderId="0" xfId="2" applyFont="1" applyFill="1" applyAlignment="1">
      <alignment vertical="center"/>
    </xf>
    <xf numFmtId="0" fontId="17" fillId="22" borderId="0" xfId="2" applyFont="1" applyFill="1" applyAlignment="1" applyProtection="1">
      <alignment horizontal="center" vertical="center"/>
      <protection hidden="1"/>
    </xf>
    <xf numFmtId="1" fontId="14" fillId="22" borderId="0" xfId="2" applyNumberFormat="1" applyFont="1" applyFill="1" applyAlignment="1" applyProtection="1">
      <alignment horizontal="center" vertical="center"/>
      <protection hidden="1"/>
    </xf>
    <xf numFmtId="164" fontId="17" fillId="22" borderId="0" xfId="2" quotePrefix="1" applyNumberFormat="1" applyFont="1" applyFill="1" applyAlignment="1">
      <alignment horizontal="center" vertical="center"/>
    </xf>
    <xf numFmtId="0" fontId="47" fillId="22" borderId="0" xfId="2" applyFont="1" applyFill="1" applyAlignment="1">
      <alignment vertical="center"/>
    </xf>
    <xf numFmtId="0" fontId="41" fillId="22" borderId="0" xfId="2" applyFont="1" applyFill="1" applyAlignment="1" applyProtection="1">
      <alignment vertical="center"/>
      <protection hidden="1"/>
    </xf>
    <xf numFmtId="0" fontId="13" fillId="23" borderId="8" xfId="2" applyFont="1" applyFill="1" applyBorder="1" applyAlignment="1" applyProtection="1">
      <alignment horizontal="center" vertical="center"/>
      <protection hidden="1"/>
    </xf>
    <xf numFmtId="0" fontId="40" fillId="23" borderId="0" xfId="2" applyFont="1" applyFill="1" applyAlignment="1" applyProtection="1">
      <alignment vertical="center"/>
      <protection hidden="1"/>
    </xf>
    <xf numFmtId="0" fontId="26" fillId="23" borderId="0" xfId="2" applyFill="1" applyAlignment="1" applyProtection="1">
      <alignment vertical="center"/>
      <protection hidden="1"/>
    </xf>
    <xf numFmtId="0" fontId="14" fillId="23" borderId="0" xfId="2" applyFont="1" applyFill="1" applyAlignment="1" applyProtection="1">
      <alignment horizontal="right" vertical="center"/>
      <protection hidden="1"/>
    </xf>
    <xf numFmtId="0" fontId="34" fillId="22" borderId="0" xfId="2" applyFont="1" applyFill="1" applyAlignment="1" applyProtection="1">
      <alignment vertical="center"/>
      <protection hidden="1"/>
    </xf>
    <xf numFmtId="0" fontId="40" fillId="22" borderId="0" xfId="2" applyFont="1" applyFill="1" applyAlignment="1" applyProtection="1">
      <alignment vertical="center"/>
      <protection hidden="1"/>
    </xf>
    <xf numFmtId="0" fontId="52" fillId="22" borderId="0" xfId="2" applyFont="1" applyFill="1" applyAlignment="1" applyProtection="1">
      <alignment vertical="center"/>
      <protection hidden="1"/>
    </xf>
    <xf numFmtId="0" fontId="14" fillId="22" borderId="0" xfId="2" applyFont="1" applyFill="1" applyAlignment="1" applyProtection="1">
      <alignment horizontal="right" vertical="center"/>
      <protection hidden="1"/>
    </xf>
    <xf numFmtId="9" fontId="26" fillId="22" borderId="0" xfId="3" applyFont="1" applyFill="1" applyBorder="1" applyAlignment="1" applyProtection="1">
      <alignment horizontal="center" vertical="center"/>
      <protection hidden="1"/>
    </xf>
    <xf numFmtId="0" fontId="73" fillId="22" borderId="0" xfId="2" applyFont="1" applyFill="1" applyAlignment="1" applyProtection="1">
      <alignment horizontal="left" vertical="center"/>
      <protection hidden="1"/>
    </xf>
    <xf numFmtId="0" fontId="71" fillId="22" borderId="0" xfId="2" applyFont="1" applyFill="1" applyAlignment="1" applyProtection="1">
      <alignment vertical="center"/>
      <protection hidden="1"/>
    </xf>
    <xf numFmtId="9" fontId="71" fillId="22" borderId="0" xfId="3" applyFont="1" applyFill="1" applyBorder="1" applyAlignment="1" applyProtection="1">
      <alignment horizontal="center" vertical="center"/>
      <protection hidden="1"/>
    </xf>
    <xf numFmtId="0" fontId="40" fillId="22" borderId="0" xfId="2" applyFont="1" applyFill="1" applyAlignment="1" applyProtection="1">
      <alignment horizontal="right" vertical="center"/>
      <protection hidden="1"/>
    </xf>
    <xf numFmtId="0" fontId="40" fillId="22" borderId="0" xfId="2" applyFont="1" applyFill="1" applyAlignment="1" applyProtection="1">
      <alignment horizontal="center" vertical="center"/>
      <protection hidden="1"/>
    </xf>
    <xf numFmtId="0" fontId="73" fillId="22" borderId="0" xfId="2" applyFont="1" applyFill="1" applyAlignment="1" applyProtection="1">
      <alignment vertical="center"/>
      <protection hidden="1"/>
    </xf>
    <xf numFmtId="0" fontId="17" fillId="22" borderId="0" xfId="2" applyFont="1" applyFill="1" applyAlignment="1" applyProtection="1">
      <alignment wrapText="1"/>
      <protection hidden="1"/>
    </xf>
    <xf numFmtId="0" fontId="17" fillId="22" borderId="0" xfId="2" applyFont="1" applyFill="1" applyAlignment="1" applyProtection="1">
      <alignment vertical="center" wrapText="1"/>
      <protection hidden="1"/>
    </xf>
    <xf numFmtId="0" fontId="26" fillId="22" borderId="0" xfId="2" applyFill="1" applyProtection="1">
      <protection hidden="1"/>
    </xf>
    <xf numFmtId="0" fontId="80" fillId="21" borderId="23" xfId="0" applyFont="1" applyFill="1" applyBorder="1" applyAlignment="1">
      <alignment horizontal="center" vertical="center"/>
    </xf>
    <xf numFmtId="0" fontId="80" fillId="21" borderId="124" xfId="0" applyFont="1" applyFill="1" applyBorder="1" applyAlignment="1">
      <alignment vertical="center"/>
    </xf>
    <xf numFmtId="0" fontId="80" fillId="21" borderId="124" xfId="0" applyFont="1" applyFill="1" applyBorder="1" applyAlignment="1">
      <alignment horizontal="center" vertical="center"/>
    </xf>
    <xf numFmtId="0" fontId="80" fillId="21" borderId="125" xfId="0" applyFont="1" applyFill="1" applyBorder="1" applyAlignment="1">
      <alignment horizontal="center" vertical="center"/>
    </xf>
    <xf numFmtId="0" fontId="80" fillId="21" borderId="126" xfId="0" applyFont="1" applyFill="1" applyBorder="1" applyAlignment="1">
      <alignment vertical="center"/>
    </xf>
    <xf numFmtId="0" fontId="81" fillId="21" borderId="124" xfId="0" applyFont="1" applyFill="1" applyBorder="1" applyAlignment="1">
      <alignment vertical="center"/>
    </xf>
    <xf numFmtId="0" fontId="82" fillId="21" borderId="124" xfId="0" applyFont="1" applyFill="1" applyBorder="1" applyAlignment="1">
      <alignment vertical="center"/>
    </xf>
    <xf numFmtId="0" fontId="82" fillId="21" borderId="124" xfId="0" applyFont="1" applyFill="1" applyBorder="1" applyAlignment="1">
      <alignment horizontal="center" vertical="center"/>
    </xf>
    <xf numFmtId="0" fontId="82" fillId="21" borderId="125" xfId="0" applyFont="1" applyFill="1" applyBorder="1" applyAlignment="1">
      <alignment horizontal="center" vertical="center"/>
    </xf>
    <xf numFmtId="0" fontId="80" fillId="21" borderId="127" xfId="0" applyFont="1" applyFill="1" applyBorder="1" applyAlignment="1">
      <alignment horizontal="center" vertical="center" wrapText="1"/>
    </xf>
    <xf numFmtId="0" fontId="83" fillId="21" borderId="128" xfId="0" applyFont="1" applyFill="1" applyBorder="1" applyAlignment="1">
      <alignment horizontal="center" vertical="center" wrapText="1"/>
    </xf>
    <xf numFmtId="0" fontId="83" fillId="21" borderId="129" xfId="0" applyFont="1" applyFill="1" applyBorder="1" applyAlignment="1">
      <alignment horizontal="center" vertical="center" wrapText="1"/>
    </xf>
    <xf numFmtId="0" fontId="83" fillId="21" borderId="130" xfId="0" applyFont="1" applyFill="1" applyBorder="1" applyAlignment="1">
      <alignment horizontal="center" vertical="center" wrapText="1"/>
    </xf>
    <xf numFmtId="0" fontId="14" fillId="23" borderId="136" xfId="0" applyFont="1" applyFill="1" applyBorder="1" applyAlignment="1">
      <alignment horizontal="center" vertical="center" wrapText="1"/>
    </xf>
    <xf numFmtId="0" fontId="0" fillId="23" borderId="137" xfId="0" applyFill="1" applyBorder="1" applyAlignment="1">
      <alignment vertical="top" wrapText="1"/>
    </xf>
    <xf numFmtId="0" fontId="0" fillId="23" borderId="138" xfId="0" applyFill="1" applyBorder="1" applyAlignment="1">
      <alignment vertical="top" wrapText="1"/>
    </xf>
    <xf numFmtId="0" fontId="0" fillId="23" borderId="138" xfId="0" applyFill="1" applyBorder="1" applyAlignment="1">
      <alignment horizontal="center" vertical="top" wrapText="1"/>
    </xf>
    <xf numFmtId="0" fontId="0" fillId="23" borderId="139" xfId="0" applyFill="1" applyBorder="1" applyAlignment="1">
      <alignment horizontal="center" vertical="top" wrapText="1"/>
    </xf>
    <xf numFmtId="0" fontId="0" fillId="23" borderId="140" xfId="0" applyFill="1" applyBorder="1" applyAlignment="1">
      <alignment vertical="top" wrapText="1"/>
    </xf>
    <xf numFmtId="0" fontId="78" fillId="23" borderId="138" xfId="0" applyFont="1" applyFill="1" applyBorder="1" applyAlignment="1">
      <alignment vertical="top" wrapText="1"/>
    </xf>
    <xf numFmtId="0" fontId="0" fillId="23" borderId="0" xfId="0" applyFill="1" applyAlignment="1">
      <alignment vertical="top" wrapText="1"/>
    </xf>
    <xf numFmtId="0" fontId="85" fillId="23" borderId="137" xfId="0" applyFont="1" applyFill="1" applyBorder="1" applyAlignment="1">
      <alignment vertical="top" wrapText="1"/>
    </xf>
    <xf numFmtId="0" fontId="85" fillId="23" borderId="138" xfId="0" applyFont="1" applyFill="1" applyBorder="1" applyAlignment="1">
      <alignment vertical="top" wrapText="1"/>
    </xf>
    <xf numFmtId="0" fontId="85" fillId="23" borderId="138" xfId="0" applyFont="1" applyFill="1" applyBorder="1" applyAlignment="1">
      <alignment horizontal="center" vertical="top" wrapText="1"/>
    </xf>
    <xf numFmtId="0" fontId="85" fillId="23" borderId="139" xfId="0" applyFont="1" applyFill="1" applyBorder="1" applyAlignment="1">
      <alignment horizontal="center" vertical="top" wrapText="1"/>
    </xf>
    <xf numFmtId="0" fontId="0" fillId="23" borderId="141" xfId="0" applyFill="1" applyBorder="1" applyAlignment="1">
      <alignment vertical="top" wrapText="1"/>
    </xf>
    <xf numFmtId="0" fontId="14" fillId="23" borderId="97" xfId="0" applyFont="1" applyFill="1" applyBorder="1" applyAlignment="1">
      <alignment horizontal="center" vertical="center" wrapText="1"/>
    </xf>
    <xf numFmtId="0" fontId="0" fillId="23" borderId="147" xfId="0" applyFill="1" applyBorder="1" applyAlignment="1">
      <alignment vertical="top" wrapText="1"/>
    </xf>
    <xf numFmtId="0" fontId="0" fillId="23" borderId="148" xfId="0" applyFill="1" applyBorder="1" applyAlignment="1">
      <alignment vertical="top" wrapText="1"/>
    </xf>
    <xf numFmtId="0" fontId="0" fillId="23" borderId="148" xfId="0" applyFill="1" applyBorder="1" applyAlignment="1">
      <alignment horizontal="center" vertical="top" wrapText="1"/>
    </xf>
    <xf numFmtId="0" fontId="0" fillId="23" borderId="149" xfId="0" applyFill="1" applyBorder="1" applyAlignment="1">
      <alignment horizontal="center" vertical="top" wrapText="1"/>
    </xf>
    <xf numFmtId="0" fontId="0" fillId="23" borderId="150" xfId="0" applyFill="1" applyBorder="1" applyAlignment="1">
      <alignment vertical="top" wrapText="1"/>
    </xf>
    <xf numFmtId="3" fontId="26" fillId="22" borderId="0" xfId="2" applyNumberFormat="1" applyFill="1" applyAlignment="1" applyProtection="1">
      <alignment vertical="center"/>
      <protection hidden="1"/>
    </xf>
    <xf numFmtId="0" fontId="43" fillId="22" borderId="0" xfId="2" applyFont="1" applyFill="1" applyAlignment="1" applyProtection="1">
      <alignment vertical="center"/>
      <protection hidden="1"/>
    </xf>
    <xf numFmtId="0" fontId="26" fillId="22" borderId="0" xfId="2" applyFill="1" applyAlignment="1" applyProtection="1">
      <alignment vertical="center" wrapText="1"/>
      <protection hidden="1"/>
    </xf>
    <xf numFmtId="0" fontId="48" fillId="21" borderId="57" xfId="2" applyFont="1" applyFill="1" applyBorder="1" applyAlignment="1" applyProtection="1">
      <alignment horizontal="center" vertical="center" wrapText="1"/>
      <protection hidden="1"/>
    </xf>
    <xf numFmtId="0" fontId="48" fillId="21" borderId="58" xfId="2" applyFont="1" applyFill="1" applyBorder="1" applyAlignment="1" applyProtection="1">
      <alignment horizontal="center" vertical="center" wrapText="1"/>
      <protection hidden="1"/>
    </xf>
    <xf numFmtId="3" fontId="48" fillId="21" borderId="7" xfId="2" applyNumberFormat="1" applyFont="1" applyFill="1" applyBorder="1" applyAlignment="1" applyProtection="1">
      <alignment horizontal="center" vertical="center" wrapText="1"/>
      <protection hidden="1"/>
    </xf>
    <xf numFmtId="0" fontId="26" fillId="23" borderId="14" xfId="2" applyFill="1" applyBorder="1" applyAlignment="1" applyProtection="1">
      <alignment horizontal="center" vertical="center"/>
      <protection hidden="1"/>
    </xf>
    <xf numFmtId="0" fontId="26" fillId="23" borderId="15" xfId="2" applyFill="1" applyBorder="1" applyAlignment="1" applyProtection="1">
      <alignment horizontal="center" vertical="center"/>
      <protection hidden="1"/>
    </xf>
    <xf numFmtId="0" fontId="34" fillId="23" borderId="15" xfId="2" applyFont="1" applyFill="1" applyBorder="1" applyAlignment="1" applyProtection="1">
      <alignment horizontal="center" vertical="center"/>
      <protection hidden="1"/>
    </xf>
    <xf numFmtId="3" fontId="26" fillId="23" borderId="16" xfId="2" applyNumberFormat="1" applyFill="1" applyBorder="1" applyAlignment="1" applyProtection="1">
      <alignment horizontal="center" vertical="center"/>
      <protection hidden="1"/>
    </xf>
    <xf numFmtId="0" fontId="26" fillId="23" borderId="48" xfId="2" applyFill="1" applyBorder="1" applyAlignment="1" applyProtection="1">
      <alignment horizontal="center" vertical="center"/>
      <protection hidden="1"/>
    </xf>
    <xf numFmtId="0" fontId="26" fillId="23" borderId="4" xfId="2" applyFill="1" applyBorder="1" applyAlignment="1" applyProtection="1">
      <alignment horizontal="center" vertical="center"/>
      <protection hidden="1"/>
    </xf>
    <xf numFmtId="0" fontId="34" fillId="23" borderId="4" xfId="2" applyFont="1" applyFill="1" applyBorder="1" applyAlignment="1" applyProtection="1">
      <alignment horizontal="center" vertical="center"/>
      <protection hidden="1"/>
    </xf>
    <xf numFmtId="3" fontId="26" fillId="23" borderId="47" xfId="2" applyNumberFormat="1" applyFill="1" applyBorder="1" applyAlignment="1" applyProtection="1">
      <alignment horizontal="center" vertical="center"/>
      <protection hidden="1"/>
    </xf>
    <xf numFmtId="0" fontId="26" fillId="23" borderId="48" xfId="2" applyFill="1" applyBorder="1" applyAlignment="1" applyProtection="1">
      <alignment horizontal="center" vertical="center" wrapText="1"/>
      <protection hidden="1"/>
    </xf>
    <xf numFmtId="0" fontId="26" fillId="23" borderId="4" xfId="2" applyFill="1" applyBorder="1" applyAlignment="1" applyProtection="1">
      <alignment horizontal="center" vertical="center" wrapText="1"/>
      <protection hidden="1"/>
    </xf>
    <xf numFmtId="0" fontId="17" fillId="22" borderId="0" xfId="2" applyFont="1" applyFill="1" applyAlignment="1" applyProtection="1">
      <alignment vertical="center"/>
      <protection hidden="1"/>
    </xf>
    <xf numFmtId="0" fontId="26" fillId="23" borderId="49" xfId="2" applyFill="1" applyBorder="1" applyAlignment="1" applyProtection="1">
      <alignment horizontal="center" vertical="center" wrapText="1"/>
      <protection hidden="1"/>
    </xf>
    <xf numFmtId="0" fontId="26" fillId="23" borderId="19" xfId="2" applyFill="1" applyBorder="1" applyAlignment="1" applyProtection="1">
      <alignment horizontal="center" vertical="center" wrapText="1"/>
      <protection hidden="1"/>
    </xf>
    <xf numFmtId="0" fontId="26" fillId="23" borderId="19" xfId="2" applyFill="1" applyBorder="1" applyAlignment="1" applyProtection="1">
      <alignment horizontal="center" vertical="center"/>
      <protection hidden="1"/>
    </xf>
    <xf numFmtId="3" fontId="26" fillId="23" borderId="10" xfId="2" applyNumberFormat="1" applyFill="1" applyBorder="1" applyAlignment="1" applyProtection="1">
      <alignment horizontal="center" vertical="center"/>
      <protection hidden="1"/>
    </xf>
    <xf numFmtId="0" fontId="26" fillId="22" borderId="0" xfId="2" applyFill="1" applyAlignment="1" applyProtection="1">
      <alignment horizontal="left" vertical="center"/>
      <protection hidden="1"/>
    </xf>
    <xf numFmtId="0" fontId="26" fillId="22" borderId="0" xfId="2" applyFill="1" applyAlignment="1" applyProtection="1">
      <alignment horizontal="center" vertical="center"/>
      <protection hidden="1"/>
    </xf>
    <xf numFmtId="3" fontId="26" fillId="22" borderId="0" xfId="2" applyNumberFormat="1" applyFill="1" applyAlignment="1" applyProtection="1">
      <alignment horizontal="center" vertical="center"/>
      <protection hidden="1"/>
    </xf>
    <xf numFmtId="0" fontId="48" fillId="21" borderId="5" xfId="2" applyFont="1" applyFill="1" applyBorder="1" applyAlignment="1" applyProtection="1">
      <alignment horizontal="center" vertical="center" wrapText="1"/>
      <protection hidden="1"/>
    </xf>
    <xf numFmtId="0" fontId="48" fillId="21" borderId="8" xfId="2" applyFont="1" applyFill="1" applyBorder="1" applyAlignment="1" applyProtection="1">
      <alignment horizontal="center" vertical="center" wrapText="1"/>
      <protection hidden="1"/>
    </xf>
    <xf numFmtId="0" fontId="48" fillId="21" borderId="59" xfId="2" applyFont="1" applyFill="1" applyBorder="1" applyAlignment="1" applyProtection="1">
      <alignment horizontal="center" vertical="center" wrapText="1"/>
      <protection hidden="1"/>
    </xf>
    <xf numFmtId="0" fontId="15" fillId="21" borderId="60" xfId="2" applyFont="1" applyFill="1" applyBorder="1" applyAlignment="1" applyProtection="1">
      <alignment horizontal="center" vertical="center" wrapText="1"/>
      <protection hidden="1"/>
    </xf>
    <xf numFmtId="0" fontId="26" fillId="22" borderId="45" xfId="2" applyFill="1" applyBorder="1" applyAlignment="1" applyProtection="1">
      <alignment vertical="center" wrapText="1"/>
      <protection hidden="1"/>
    </xf>
    <xf numFmtId="0" fontId="26" fillId="23" borderId="61" xfId="2" applyFill="1" applyBorder="1" applyAlignment="1" applyProtection="1">
      <alignment horizontal="center" vertical="center"/>
      <protection hidden="1"/>
    </xf>
    <xf numFmtId="0" fontId="26" fillId="23" borderId="62" xfId="2" applyFill="1" applyBorder="1" applyAlignment="1" applyProtection="1">
      <alignment horizontal="center" vertical="center"/>
      <protection hidden="1"/>
    </xf>
    <xf numFmtId="0" fontId="34" fillId="23" borderId="61" xfId="2" applyFont="1" applyFill="1" applyBorder="1" applyAlignment="1" applyProtection="1">
      <alignment horizontal="center" vertical="center"/>
      <protection hidden="1"/>
    </xf>
    <xf numFmtId="0" fontId="26" fillId="23" borderId="63" xfId="2" applyFill="1" applyBorder="1" applyAlignment="1" applyProtection="1">
      <alignment horizontal="center" vertical="center"/>
      <protection hidden="1"/>
    </xf>
    <xf numFmtId="9" fontId="26" fillId="23" borderId="64" xfId="2" applyNumberFormat="1" applyFill="1" applyBorder="1" applyAlignment="1" applyProtection="1">
      <alignment horizontal="center" vertical="center"/>
      <protection hidden="1"/>
    </xf>
    <xf numFmtId="0" fontId="26" fillId="23" borderId="65" xfId="2" applyFill="1" applyBorder="1" applyAlignment="1" applyProtection="1">
      <alignment horizontal="center" vertical="center"/>
      <protection hidden="1"/>
    </xf>
    <xf numFmtId="9" fontId="26" fillId="23" borderId="66" xfId="2" applyNumberFormat="1" applyFill="1" applyBorder="1" applyAlignment="1" applyProtection="1">
      <alignment horizontal="center" vertical="center"/>
      <protection hidden="1"/>
    </xf>
    <xf numFmtId="0" fontId="26" fillId="23" borderId="67" xfId="2" applyFill="1" applyBorder="1" applyAlignment="1" applyProtection="1">
      <alignment horizontal="center" vertical="center"/>
      <protection hidden="1"/>
    </xf>
    <xf numFmtId="0" fontId="26" fillId="23" borderId="68" xfId="2" applyFill="1" applyBorder="1" applyAlignment="1" applyProtection="1">
      <alignment horizontal="center" vertical="center"/>
      <protection hidden="1"/>
    </xf>
    <xf numFmtId="0" fontId="34" fillId="23" borderId="67" xfId="2" applyFont="1" applyFill="1" applyBorder="1" applyAlignment="1" applyProtection="1">
      <alignment horizontal="center" vertical="center"/>
      <protection hidden="1"/>
    </xf>
    <xf numFmtId="0" fontId="26" fillId="23" borderId="69" xfId="2" applyFill="1" applyBorder="1" applyAlignment="1" applyProtection="1">
      <alignment horizontal="center" vertical="center"/>
      <protection hidden="1"/>
    </xf>
    <xf numFmtId="9" fontId="26" fillId="23" borderId="70" xfId="2" applyNumberFormat="1" applyFill="1" applyBorder="1" applyAlignment="1" applyProtection="1">
      <alignment horizontal="center" vertical="center"/>
      <protection hidden="1"/>
    </xf>
    <xf numFmtId="0" fontId="50" fillId="23" borderId="68" xfId="2" applyFont="1" applyFill="1" applyBorder="1" applyAlignment="1" applyProtection="1">
      <alignment horizontal="center" vertical="center"/>
      <protection hidden="1"/>
    </xf>
    <xf numFmtId="0" fontId="26" fillId="23" borderId="68" xfId="2" applyFill="1" applyBorder="1" applyAlignment="1" applyProtection="1">
      <alignment horizontal="center" vertical="center" wrapText="1"/>
      <protection hidden="1"/>
    </xf>
    <xf numFmtId="0" fontId="13" fillId="21" borderId="0" xfId="0" applyFont="1" applyFill="1"/>
    <xf numFmtId="0" fontId="13" fillId="21" borderId="0" xfId="0" applyFont="1" applyFill="1" applyAlignment="1">
      <alignment horizontal="center"/>
    </xf>
    <xf numFmtId="0" fontId="20" fillId="23" borderId="4" xfId="0" applyFont="1" applyFill="1" applyBorder="1" applyAlignment="1">
      <alignment horizontal="center" vertical="center"/>
    </xf>
    <xf numFmtId="0" fontId="15" fillId="23" borderId="0" xfId="0" applyFont="1" applyFill="1"/>
    <xf numFmtId="0" fontId="13" fillId="23" borderId="0" xfId="0" applyFont="1" applyFill="1"/>
    <xf numFmtId="49" fontId="0" fillId="0" borderId="0" xfId="0" applyNumberFormat="1" applyAlignment="1">
      <alignment vertical="top"/>
    </xf>
    <xf numFmtId="49" fontId="0" fillId="0" borderId="0" xfId="0" applyNumberFormat="1" applyAlignment="1">
      <alignment horizontal="left" vertical="top"/>
    </xf>
    <xf numFmtId="0" fontId="26" fillId="23" borderId="152" xfId="2" applyFill="1" applyBorder="1" applyAlignment="1" applyProtection="1">
      <alignment horizontal="center" vertical="center"/>
      <protection hidden="1"/>
    </xf>
    <xf numFmtId="0" fontId="26" fillId="23" borderId="153" xfId="2" applyFill="1" applyBorder="1" applyAlignment="1" applyProtection="1">
      <alignment horizontal="center" vertical="center" wrapText="1"/>
      <protection hidden="1"/>
    </xf>
    <xf numFmtId="0" fontId="34" fillId="23" borderId="152" xfId="2" applyFont="1" applyFill="1" applyBorder="1" applyAlignment="1" applyProtection="1">
      <alignment horizontal="center" vertical="center"/>
      <protection hidden="1"/>
    </xf>
    <xf numFmtId="0" fontId="26" fillId="23" borderId="153" xfId="2" applyFill="1" applyBorder="1" applyAlignment="1" applyProtection="1">
      <alignment horizontal="center" vertical="center"/>
      <protection hidden="1"/>
    </xf>
    <xf numFmtId="0" fontId="26" fillId="23" borderId="154" xfId="2" applyFill="1" applyBorder="1" applyAlignment="1" applyProtection="1">
      <alignment horizontal="center" vertical="center"/>
      <protection hidden="1"/>
    </xf>
    <xf numFmtId="9" fontId="26" fillId="23" borderId="155" xfId="2" applyNumberFormat="1" applyFill="1" applyBorder="1" applyAlignment="1" applyProtection="1">
      <alignment horizontal="center" vertical="center"/>
      <protection hidden="1"/>
    </xf>
    <xf numFmtId="0" fontId="26" fillId="23" borderId="5" xfId="2" applyFill="1" applyBorder="1" applyAlignment="1" applyProtection="1">
      <alignment horizontal="center" vertical="center"/>
      <protection hidden="1"/>
    </xf>
    <xf numFmtId="0" fontId="26" fillId="23" borderId="8" xfId="2" applyFill="1" applyBorder="1" applyAlignment="1" applyProtection="1">
      <alignment horizontal="center" vertical="center" wrapText="1"/>
      <protection hidden="1"/>
    </xf>
    <xf numFmtId="0" fontId="26" fillId="23" borderId="8" xfId="2" applyFill="1" applyBorder="1" applyAlignment="1" applyProtection="1">
      <alignment horizontal="center" vertical="center"/>
      <protection hidden="1"/>
    </xf>
    <xf numFmtId="0" fontId="26" fillId="23" borderId="59" xfId="2" applyFill="1" applyBorder="1" applyAlignment="1" applyProtection="1">
      <alignment horizontal="center" vertical="center"/>
      <protection hidden="1"/>
    </xf>
    <xf numFmtId="9" fontId="26" fillId="23" borderId="60" xfId="2" applyNumberFormat="1" applyFill="1" applyBorder="1" applyAlignment="1" applyProtection="1">
      <alignment horizontal="center" vertical="center"/>
      <protection hidden="1"/>
    </xf>
    <xf numFmtId="0" fontId="0" fillId="2" borderId="45" xfId="0" applyFill="1" applyBorder="1"/>
    <xf numFmtId="0" fontId="0" fillId="0" borderId="4" xfId="0" applyBorder="1"/>
    <xf numFmtId="0" fontId="0" fillId="2" borderId="4" xfId="0" applyFill="1" applyBorder="1"/>
    <xf numFmtId="0" fontId="0" fillId="3" borderId="4" xfId="0" applyFill="1" applyBorder="1"/>
    <xf numFmtId="0" fontId="0" fillId="21" borderId="0" xfId="0" applyFill="1"/>
    <xf numFmtId="0" fontId="45" fillId="21" borderId="0" xfId="0" applyFont="1" applyFill="1" applyAlignment="1">
      <alignment vertical="center"/>
    </xf>
    <xf numFmtId="0" fontId="0" fillId="24" borderId="0" xfId="0" applyFill="1"/>
    <xf numFmtId="0" fontId="45" fillId="24" borderId="0" xfId="0" applyFont="1" applyFill="1" applyAlignment="1">
      <alignment vertical="center"/>
    </xf>
    <xf numFmtId="0" fontId="24" fillId="5" borderId="3" xfId="0" applyFont="1" applyFill="1" applyBorder="1" applyAlignment="1">
      <alignment horizontal="center" vertical="center"/>
    </xf>
    <xf numFmtId="0" fontId="24" fillId="5" borderId="42" xfId="0" applyFont="1"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47" xfId="0" applyFill="1" applyBorder="1" applyAlignment="1">
      <alignment horizontal="center"/>
    </xf>
    <xf numFmtId="0" fontId="24" fillId="5" borderId="18" xfId="0" applyFont="1" applyFill="1" applyBorder="1" applyAlignment="1">
      <alignment horizontal="center" vertical="center"/>
    </xf>
    <xf numFmtId="0" fontId="0" fillId="3" borderId="19" xfId="0" applyFill="1" applyBorder="1"/>
    <xf numFmtId="0" fontId="0" fillId="3" borderId="10" xfId="0" applyFill="1" applyBorder="1"/>
    <xf numFmtId="0" fontId="0" fillId="3" borderId="19" xfId="0" applyFill="1" applyBorder="1" applyAlignment="1">
      <alignment horizontal="center"/>
    </xf>
    <xf numFmtId="0" fontId="0" fillId="3" borderId="10" xfId="0" applyFill="1" applyBorder="1" applyAlignment="1">
      <alignment horizontal="center"/>
    </xf>
    <xf numFmtId="0" fontId="14" fillId="0" borderId="0" xfId="0" applyFont="1" applyAlignment="1">
      <alignment vertical="center"/>
    </xf>
    <xf numFmtId="0" fontId="14" fillId="0" borderId="4" xfId="0" applyFont="1" applyBorder="1" applyAlignment="1">
      <alignment horizontal="right" vertical="center"/>
    </xf>
    <xf numFmtId="0" fontId="28" fillId="0" borderId="4" xfId="0" applyFont="1" applyBorder="1" applyAlignment="1">
      <alignment horizontal="center" vertical="center"/>
    </xf>
    <xf numFmtId="0" fontId="13" fillId="21" borderId="4" xfId="0" applyFont="1" applyFill="1" applyBorder="1" applyAlignment="1">
      <alignment vertical="center"/>
    </xf>
    <xf numFmtId="0" fontId="13" fillId="21" borderId="1" xfId="0" applyFont="1" applyFill="1" applyBorder="1" applyAlignment="1">
      <alignment vertical="center"/>
    </xf>
    <xf numFmtId="0" fontId="13" fillId="25" borderId="5" xfId="0" applyFont="1" applyFill="1" applyBorder="1" applyAlignment="1">
      <alignment horizontal="center" vertical="center"/>
    </xf>
    <xf numFmtId="0" fontId="22" fillId="25" borderId="6" xfId="0" applyFont="1" applyFill="1" applyBorder="1" applyAlignment="1">
      <alignment horizontal="center" vertical="center"/>
    </xf>
    <xf numFmtId="0" fontId="15" fillId="25" borderId="5" xfId="0" applyFont="1" applyFill="1" applyBorder="1" applyAlignment="1">
      <alignment vertical="center"/>
    </xf>
    <xf numFmtId="0" fontId="15" fillId="25" borderId="6" xfId="0" applyFont="1" applyFill="1" applyBorder="1" applyAlignment="1">
      <alignment vertical="center"/>
    </xf>
    <xf numFmtId="0" fontId="15" fillId="25" borderId="6" xfId="0" applyFont="1" applyFill="1" applyBorder="1" applyAlignment="1">
      <alignment horizontal="center" vertical="center"/>
    </xf>
    <xf numFmtId="0" fontId="15" fillId="25" borderId="22" xfId="0" applyFont="1" applyFill="1" applyBorder="1" applyAlignment="1">
      <alignment horizontal="center" vertical="center"/>
    </xf>
    <xf numFmtId="0" fontId="13" fillId="25" borderId="11" xfId="0" applyFont="1" applyFill="1" applyBorder="1" applyAlignment="1">
      <alignment horizontal="center" vertical="center"/>
    </xf>
    <xf numFmtId="0" fontId="22" fillId="25" borderId="43" xfId="0" applyFont="1" applyFill="1" applyBorder="1" applyAlignment="1">
      <alignment horizontal="center" vertical="center"/>
    </xf>
    <xf numFmtId="0" fontId="0" fillId="26" borderId="4" xfId="0" applyFill="1" applyBorder="1" applyAlignment="1">
      <alignment horizontal="center"/>
    </xf>
    <xf numFmtId="0" fontId="0" fillId="26" borderId="47" xfId="0" applyFill="1" applyBorder="1" applyAlignment="1">
      <alignment horizontal="center"/>
    </xf>
    <xf numFmtId="0" fontId="15" fillId="25" borderId="43" xfId="0" applyFont="1" applyFill="1" applyBorder="1" applyAlignment="1">
      <alignment horizontal="center" vertical="center"/>
    </xf>
    <xf numFmtId="0" fontId="15" fillId="25" borderId="44" xfId="0" applyFont="1" applyFill="1" applyBorder="1" applyAlignment="1">
      <alignment horizontal="center" vertical="center"/>
    </xf>
    <xf numFmtId="0" fontId="15" fillId="25" borderId="11" xfId="0" applyFont="1" applyFill="1" applyBorder="1" applyAlignment="1">
      <alignment vertical="center"/>
    </xf>
    <xf numFmtId="0" fontId="13" fillId="25" borderId="43" xfId="0" applyFont="1" applyFill="1" applyBorder="1" applyAlignment="1">
      <alignment horizontal="center" vertical="center"/>
    </xf>
    <xf numFmtId="0" fontId="24" fillId="5" borderId="4" xfId="0" applyFont="1" applyFill="1" applyBorder="1" applyAlignment="1">
      <alignment horizontal="center" vertical="center"/>
    </xf>
    <xf numFmtId="0" fontId="24" fillId="5" borderId="15" xfId="0" applyFont="1" applyFill="1" applyBorder="1" applyAlignment="1">
      <alignment horizontal="center" vertical="center"/>
    </xf>
    <xf numFmtId="0" fontId="24" fillId="5" borderId="19" xfId="0" applyFont="1" applyFill="1" applyBorder="1" applyAlignment="1">
      <alignment horizontal="center" vertical="center"/>
    </xf>
    <xf numFmtId="0" fontId="0" fillId="3" borderId="42" xfId="0" applyFill="1" applyBorder="1" applyAlignment="1">
      <alignment horizontal="center"/>
    </xf>
    <xf numFmtId="0" fontId="0" fillId="3" borderId="3" xfId="0" applyFill="1" applyBorder="1" applyAlignment="1">
      <alignment horizontal="center"/>
    </xf>
    <xf numFmtId="0" fontId="0" fillId="26" borderId="3" xfId="0" applyFill="1" applyBorder="1" applyAlignment="1">
      <alignment horizontal="center"/>
    </xf>
    <xf numFmtId="0" fontId="0" fillId="3" borderId="18" xfId="0" applyFill="1" applyBorder="1" applyAlignment="1">
      <alignment horizontal="center"/>
    </xf>
    <xf numFmtId="0" fontId="15" fillId="25" borderId="43" xfId="0" applyFont="1" applyFill="1" applyBorder="1" applyAlignment="1">
      <alignment vertical="center"/>
    </xf>
    <xf numFmtId="0" fontId="24" fillId="5" borderId="16" xfId="0" applyFont="1" applyFill="1" applyBorder="1" applyAlignment="1">
      <alignment horizontal="center" vertical="center"/>
    </xf>
    <xf numFmtId="0" fontId="24" fillId="5" borderId="47" xfId="0" applyFont="1" applyFill="1" applyBorder="1" applyAlignment="1">
      <alignment horizontal="center" vertical="center"/>
    </xf>
    <xf numFmtId="0" fontId="24" fillId="5" borderId="10" xfId="0" applyFont="1" applyFill="1" applyBorder="1" applyAlignment="1">
      <alignment horizontal="center" vertical="center"/>
    </xf>
    <xf numFmtId="0" fontId="13" fillId="25" borderId="43" xfId="0" applyFont="1" applyFill="1" applyBorder="1" applyAlignment="1">
      <alignment vertical="center"/>
    </xf>
    <xf numFmtId="0" fontId="0" fillId="27" borderId="0" xfId="0" applyFill="1"/>
    <xf numFmtId="0" fontId="14" fillId="27" borderId="0" xfId="0" applyFont="1" applyFill="1" applyAlignment="1">
      <alignment vertical="center"/>
    </xf>
    <xf numFmtId="0" fontId="13" fillId="24" borderId="98" xfId="0" applyFont="1" applyFill="1" applyBorder="1" applyAlignment="1">
      <alignment vertical="center"/>
    </xf>
    <xf numFmtId="0" fontId="15" fillId="24" borderId="0" xfId="0" applyFont="1" applyFill="1"/>
    <xf numFmtId="0" fontId="13" fillId="24" borderId="0" xfId="0" applyFont="1" applyFill="1" applyAlignment="1">
      <alignment vertical="center"/>
    </xf>
    <xf numFmtId="0" fontId="0" fillId="2" borderId="46" xfId="0" applyFill="1" applyBorder="1"/>
    <xf numFmtId="0" fontId="13" fillId="21" borderId="11" xfId="0" applyFont="1" applyFill="1" applyBorder="1" applyAlignment="1">
      <alignment horizontal="center" vertical="center"/>
    </xf>
    <xf numFmtId="0" fontId="0" fillId="27" borderId="45" xfId="0" applyFill="1" applyBorder="1" applyAlignment="1">
      <alignment horizontal="center"/>
    </xf>
    <xf numFmtId="0" fontId="0" fillId="27" borderId="46" xfId="0" applyFill="1" applyBorder="1" applyAlignment="1">
      <alignment horizontal="center"/>
    </xf>
    <xf numFmtId="0" fontId="14" fillId="27" borderId="45" xfId="0" applyFont="1" applyFill="1" applyBorder="1" applyAlignment="1">
      <alignment vertical="center"/>
    </xf>
    <xf numFmtId="0" fontId="14" fillId="5" borderId="45" xfId="0" applyFont="1" applyFill="1" applyBorder="1"/>
    <xf numFmtId="0" fontId="0" fillId="28" borderId="0" xfId="0" applyFill="1"/>
    <xf numFmtId="0" fontId="0" fillId="28" borderId="45" xfId="0" applyFill="1" applyBorder="1"/>
    <xf numFmtId="0" fontId="14" fillId="27" borderId="0" xfId="0" applyFont="1" applyFill="1" applyAlignment="1">
      <alignment horizontal="center" vertical="center"/>
    </xf>
    <xf numFmtId="0" fontId="14" fillId="27" borderId="45" xfId="0" applyFont="1" applyFill="1" applyBorder="1" applyAlignment="1">
      <alignment horizontal="center" vertical="center"/>
    </xf>
    <xf numFmtId="0" fontId="14" fillId="27" borderId="46" xfId="0" applyFont="1" applyFill="1" applyBorder="1" applyAlignment="1">
      <alignment horizontal="center" vertical="center"/>
    </xf>
    <xf numFmtId="0" fontId="0" fillId="9" borderId="45" xfId="0" applyFill="1" applyBorder="1"/>
    <xf numFmtId="0" fontId="0" fillId="9" borderId="0" xfId="0" applyFill="1"/>
    <xf numFmtId="0" fontId="0" fillId="9" borderId="46" xfId="0" applyFill="1" applyBorder="1"/>
    <xf numFmtId="0" fontId="0" fillId="29" borderId="45" xfId="0" applyFill="1" applyBorder="1"/>
    <xf numFmtId="0" fontId="0" fillId="29" borderId="0" xfId="0" applyFill="1"/>
    <xf numFmtId="0" fontId="0" fillId="30" borderId="0" xfId="0" applyFill="1"/>
    <xf numFmtId="0" fontId="0" fillId="30" borderId="46" xfId="0" applyFill="1" applyBorder="1"/>
    <xf numFmtId="0" fontId="95" fillId="31" borderId="0" xfId="0" applyFont="1" applyFill="1" applyProtection="1">
      <protection hidden="1"/>
    </xf>
    <xf numFmtId="0" fontId="92" fillId="0" borderId="0" xfId="0" applyFont="1"/>
    <xf numFmtId="0" fontId="106" fillId="31" borderId="0" xfId="0" applyFont="1" applyFill="1" applyAlignment="1">
      <alignment vertical="center" wrapText="1"/>
    </xf>
    <xf numFmtId="0" fontId="92" fillId="31" borderId="0" xfId="0" applyFont="1" applyFill="1"/>
    <xf numFmtId="0" fontId="92" fillId="31" borderId="0" xfId="0" applyFont="1" applyFill="1" applyProtection="1">
      <protection hidden="1"/>
    </xf>
    <xf numFmtId="0" fontId="107" fillId="31" borderId="0" xfId="0" applyFont="1" applyFill="1" applyAlignment="1" applyProtection="1">
      <alignment vertical="center"/>
      <protection locked="0"/>
    </xf>
    <xf numFmtId="0" fontId="108" fillId="31" borderId="0" xfId="0" applyFont="1" applyFill="1" applyAlignment="1" applyProtection="1">
      <alignment vertical="center"/>
      <protection locked="0"/>
    </xf>
    <xf numFmtId="0" fontId="92" fillId="31" borderId="0" xfId="0" applyFont="1" applyFill="1" applyAlignment="1" applyProtection="1">
      <alignment horizontal="center" vertical="center"/>
      <protection locked="0" hidden="1"/>
    </xf>
    <xf numFmtId="0" fontId="65" fillId="31" borderId="0" xfId="0" applyFont="1" applyFill="1" applyAlignment="1">
      <alignment vertical="center" wrapText="1"/>
    </xf>
    <xf numFmtId="0" fontId="93" fillId="0" borderId="0" xfId="0" applyFont="1" applyAlignment="1">
      <alignment vertical="center" wrapText="1"/>
    </xf>
    <xf numFmtId="0" fontId="65" fillId="0" borderId="0" xfId="0" applyFont="1" applyAlignment="1">
      <alignment vertical="center" wrapText="1"/>
    </xf>
    <xf numFmtId="0" fontId="111" fillId="0" borderId="0" xfId="0" applyFont="1"/>
    <xf numFmtId="0" fontId="111" fillId="0" borderId="0" xfId="0" applyFont="1" applyAlignment="1">
      <alignment horizontal="center" vertical="center"/>
    </xf>
    <xf numFmtId="0" fontId="114" fillId="31" borderId="0" xfId="0" applyFont="1" applyFill="1"/>
    <xf numFmtId="0" fontId="115" fillId="31" borderId="0" xfId="0" applyFont="1" applyFill="1"/>
    <xf numFmtId="0" fontId="113" fillId="0" borderId="0" xfId="0" applyFont="1" applyAlignment="1">
      <alignment vertical="center"/>
    </xf>
    <xf numFmtId="0" fontId="117" fillId="0" borderId="0" xfId="0" applyFont="1"/>
    <xf numFmtId="0" fontId="117" fillId="0" borderId="0" xfId="0" applyFont="1" applyAlignment="1">
      <alignment horizontal="center" vertical="center"/>
    </xf>
    <xf numFmtId="0" fontId="118" fillId="0" borderId="0" xfId="0" applyFont="1"/>
    <xf numFmtId="0" fontId="101" fillId="0" borderId="177" xfId="0" applyFont="1" applyBorder="1" applyAlignment="1">
      <alignment horizontal="center" vertical="center"/>
    </xf>
    <xf numFmtId="0" fontId="117" fillId="0" borderId="177" xfId="0" applyFont="1" applyBorder="1"/>
    <xf numFmtId="0" fontId="111" fillId="0" borderId="183" xfId="0" applyFont="1" applyBorder="1"/>
    <xf numFmtId="0" fontId="111" fillId="0" borderId="184" xfId="0" applyFont="1" applyBorder="1"/>
    <xf numFmtId="0" fontId="92" fillId="0" borderId="183" xfId="0" applyFont="1" applyBorder="1"/>
    <xf numFmtId="0" fontId="117" fillId="0" borderId="184" xfId="0" applyFont="1" applyBorder="1"/>
    <xf numFmtId="0" fontId="117" fillId="0" borderId="183" xfId="0" applyFont="1" applyBorder="1"/>
    <xf numFmtId="0" fontId="117" fillId="0" borderId="185" xfId="0" applyFont="1" applyBorder="1"/>
    <xf numFmtId="0" fontId="117" fillId="0" borderId="186" xfId="0" applyFont="1" applyBorder="1" applyAlignment="1">
      <alignment horizontal="center"/>
    </xf>
    <xf numFmtId="0" fontId="118" fillId="0" borderId="186" xfId="0" applyFont="1" applyBorder="1"/>
    <xf numFmtId="0" fontId="117" fillId="0" borderId="186" xfId="0" applyFont="1" applyBorder="1"/>
    <xf numFmtId="0" fontId="118" fillId="0" borderId="186" xfId="0" applyFont="1" applyBorder="1" applyAlignment="1">
      <alignment horizontal="center" vertical="center"/>
    </xf>
    <xf numFmtId="0" fontId="117" fillId="0" borderId="187" xfId="0" applyFont="1" applyBorder="1"/>
    <xf numFmtId="0" fontId="92" fillId="0" borderId="193" xfId="0" applyFont="1" applyBorder="1"/>
    <xf numFmtId="0" fontId="92" fillId="0" borderId="194" xfId="0" applyFont="1" applyBorder="1"/>
    <xf numFmtId="0" fontId="106" fillId="0" borderId="194" xfId="0" applyFont="1" applyBorder="1" applyAlignment="1">
      <alignment vertical="center" wrapText="1"/>
    </xf>
    <xf numFmtId="0" fontId="106" fillId="0" borderId="195" xfId="0" applyFont="1" applyBorder="1" applyAlignment="1">
      <alignment vertical="center" wrapText="1"/>
    </xf>
    <xf numFmtId="0" fontId="92" fillId="0" borderId="192" xfId="0" applyFont="1" applyBorder="1"/>
    <xf numFmtId="0" fontId="107" fillId="0" borderId="191" xfId="0" applyFont="1" applyBorder="1" applyAlignment="1" applyProtection="1">
      <alignment vertical="center"/>
      <protection locked="0"/>
    </xf>
    <xf numFmtId="0" fontId="108" fillId="0" borderId="191" xfId="0" applyFont="1" applyBorder="1" applyAlignment="1" applyProtection="1">
      <alignment vertical="center"/>
      <protection locked="0"/>
    </xf>
    <xf numFmtId="0" fontId="65" fillId="0" borderId="191" xfId="0" applyFont="1" applyBorder="1" applyAlignment="1">
      <alignment vertical="center" wrapText="1"/>
    </xf>
    <xf numFmtId="0" fontId="92" fillId="0" borderId="191" xfId="0" applyFont="1" applyBorder="1"/>
    <xf numFmtId="0" fontId="114" fillId="0" borderId="191" xfId="0" applyFont="1" applyBorder="1"/>
    <xf numFmtId="0" fontId="115" fillId="0" borderId="191" xfId="0" applyFont="1" applyBorder="1"/>
    <xf numFmtId="0" fontId="92" fillId="0" borderId="196" xfId="0" applyFont="1" applyBorder="1"/>
    <xf numFmtId="0" fontId="92" fillId="0" borderId="197" xfId="0" applyFont="1" applyBorder="1"/>
    <xf numFmtId="0" fontId="94" fillId="0" borderId="197" xfId="2" applyFont="1" applyBorder="1" applyAlignment="1">
      <alignment vertical="center"/>
    </xf>
    <xf numFmtId="0" fontId="112" fillId="0" borderId="197" xfId="2" applyFont="1" applyBorder="1" applyAlignment="1">
      <alignment vertical="center"/>
    </xf>
    <xf numFmtId="9" fontId="116" fillId="0" borderId="197" xfId="3" applyFont="1" applyFill="1" applyBorder="1" applyAlignment="1" applyProtection="1">
      <alignment horizontal="center" vertical="center"/>
    </xf>
    <xf numFmtId="0" fontId="92" fillId="0" borderId="198" xfId="0" applyFont="1" applyBorder="1"/>
    <xf numFmtId="0" fontId="101" fillId="32" borderId="177" xfId="0" applyFont="1" applyFill="1" applyBorder="1" applyAlignment="1">
      <alignment horizontal="center" vertical="center" wrapText="1"/>
    </xf>
    <xf numFmtId="0" fontId="112" fillId="0" borderId="0" xfId="0" applyFont="1" applyAlignment="1">
      <alignment horizontal="center" vertical="center"/>
    </xf>
    <xf numFmtId="0" fontId="117" fillId="0" borderId="0" xfId="0" applyFont="1" applyAlignment="1">
      <alignment horizontal="center"/>
    </xf>
    <xf numFmtId="0" fontId="118" fillId="0" borderId="0" xfId="0" applyFont="1" applyAlignment="1">
      <alignment horizontal="center" vertical="center"/>
    </xf>
    <xf numFmtId="0" fontId="117" fillId="0" borderId="0" xfId="0" applyFont="1" applyAlignment="1">
      <alignment vertical="center"/>
    </xf>
    <xf numFmtId="0" fontId="100" fillId="0" borderId="0" xfId="0" applyFont="1" applyAlignment="1">
      <alignment horizontal="center" vertical="center"/>
    </xf>
    <xf numFmtId="0" fontId="92" fillId="0" borderId="0" xfId="0" applyFont="1" applyAlignment="1">
      <alignment horizontal="center" vertical="center"/>
    </xf>
    <xf numFmtId="0" fontId="100" fillId="0" borderId="177" xfId="0" applyFont="1" applyBorder="1" applyAlignment="1">
      <alignment horizontal="center" vertical="center"/>
    </xf>
    <xf numFmtId="0" fontId="100" fillId="0" borderId="183" xfId="0" applyFont="1" applyBorder="1" applyAlignment="1">
      <alignment horizontal="center" vertical="center"/>
    </xf>
    <xf numFmtId="0" fontId="100" fillId="0" borderId="184" xfId="0" applyFont="1" applyBorder="1" applyAlignment="1">
      <alignment horizontal="center" vertical="center"/>
    </xf>
    <xf numFmtId="0" fontId="117" fillId="0" borderId="184" xfId="0" applyFont="1" applyBorder="1" applyAlignment="1">
      <alignment horizontal="center" vertical="center"/>
    </xf>
    <xf numFmtId="0" fontId="119" fillId="0" borderId="183" xfId="0" applyFont="1" applyBorder="1" applyAlignment="1">
      <alignment horizontal="center" vertical="center"/>
    </xf>
    <xf numFmtId="0" fontId="117" fillId="0" borderId="183" xfId="0" applyFont="1" applyBorder="1" applyAlignment="1">
      <alignment horizontal="center" vertical="center"/>
    </xf>
    <xf numFmtId="0" fontId="117" fillId="0" borderId="185" xfId="0" applyFont="1" applyBorder="1" applyAlignment="1">
      <alignment horizontal="center" vertical="center"/>
    </xf>
    <xf numFmtId="0" fontId="117" fillId="0" borderId="186" xfId="0" applyFont="1" applyBorder="1" applyAlignment="1">
      <alignment horizontal="center" vertical="center"/>
    </xf>
    <xf numFmtId="0" fontId="117" fillId="0" borderId="186" xfId="0" applyFont="1" applyBorder="1" applyAlignment="1">
      <alignment vertical="center"/>
    </xf>
    <xf numFmtId="0" fontId="117" fillId="0" borderId="187" xfId="0" applyFont="1" applyBorder="1" applyAlignment="1">
      <alignment horizontal="center" vertical="center"/>
    </xf>
    <xf numFmtId="0" fontId="111" fillId="0" borderId="172" xfId="0" applyFont="1" applyBorder="1"/>
    <xf numFmtId="0" fontId="92" fillId="0" borderId="173" xfId="0" applyFont="1" applyBorder="1"/>
    <xf numFmtId="0" fontId="92" fillId="0" borderId="173" xfId="0" applyFont="1" applyBorder="1" applyAlignment="1">
      <alignment horizontal="center" vertical="center"/>
    </xf>
    <xf numFmtId="0" fontId="111" fillId="0" borderId="174" xfId="0" applyFont="1" applyBorder="1"/>
    <xf numFmtId="0" fontId="117" fillId="0" borderId="175" xfId="0" applyFont="1" applyBorder="1" applyAlignment="1">
      <alignment horizontal="center" vertical="center"/>
    </xf>
    <xf numFmtId="0" fontId="118" fillId="0" borderId="175" xfId="0" applyFont="1" applyBorder="1" applyAlignment="1">
      <alignment horizontal="center" vertical="center"/>
    </xf>
    <xf numFmtId="0" fontId="92" fillId="0" borderId="176" xfId="0" applyFont="1" applyBorder="1" applyAlignment="1">
      <alignment horizontal="center" vertical="center"/>
    </xf>
    <xf numFmtId="0" fontId="101" fillId="0" borderId="177" xfId="0" applyFont="1" applyBorder="1" applyAlignment="1">
      <alignment vertical="center" wrapText="1"/>
    </xf>
    <xf numFmtId="0" fontId="122" fillId="32" borderId="177" xfId="0" applyFont="1" applyFill="1" applyBorder="1" applyAlignment="1">
      <alignment horizontal="center" vertical="center" wrapText="1"/>
    </xf>
    <xf numFmtId="0" fontId="92" fillId="0" borderId="177" xfId="0" applyFont="1" applyBorder="1"/>
    <xf numFmtId="0" fontId="111" fillId="0" borderId="177" xfId="0" applyFont="1" applyBorder="1" applyAlignment="1">
      <alignment horizontal="center" vertical="center"/>
    </xf>
    <xf numFmtId="0" fontId="120" fillId="32" borderId="177" xfId="0" applyFont="1" applyFill="1" applyBorder="1" applyAlignment="1">
      <alignment horizontal="center" vertical="center" wrapText="1"/>
    </xf>
    <xf numFmtId="0" fontId="123" fillId="32" borderId="177" xfId="0" applyFont="1" applyFill="1" applyBorder="1" applyAlignment="1">
      <alignment horizontal="center" vertical="center" wrapText="1"/>
    </xf>
    <xf numFmtId="0" fontId="111" fillId="0" borderId="183" xfId="0" applyFont="1" applyBorder="1" applyAlignment="1">
      <alignment horizontal="center" vertical="center"/>
    </xf>
    <xf numFmtId="0" fontId="112" fillId="0" borderId="184" xfId="0" applyFont="1" applyBorder="1" applyAlignment="1">
      <alignment horizontal="center" vertical="center"/>
    </xf>
    <xf numFmtId="0" fontId="111" fillId="0" borderId="184" xfId="0" applyFont="1" applyBorder="1" applyAlignment="1">
      <alignment horizontal="center" vertical="center"/>
    </xf>
    <xf numFmtId="0" fontId="112" fillId="0" borderId="183" xfId="0" applyFont="1" applyBorder="1" applyAlignment="1">
      <alignment horizontal="center" vertical="center"/>
    </xf>
    <xf numFmtId="0" fontId="112" fillId="0" borderId="185" xfId="0" applyFont="1" applyBorder="1" applyAlignment="1">
      <alignment horizontal="center" vertical="center"/>
    </xf>
    <xf numFmtId="0" fontId="111" fillId="0" borderId="186" xfId="0" applyFont="1" applyBorder="1" applyAlignment="1">
      <alignment vertical="center"/>
    </xf>
    <xf numFmtId="0" fontId="111" fillId="0" borderId="186" xfId="0" applyFont="1" applyBorder="1" applyAlignment="1">
      <alignment horizontal="center" vertical="center"/>
    </xf>
    <xf numFmtId="0" fontId="111" fillId="0" borderId="187" xfId="0" applyFont="1" applyBorder="1" applyAlignment="1">
      <alignment horizontal="center" vertical="center"/>
    </xf>
    <xf numFmtId="0" fontId="111" fillId="0" borderId="185" xfId="0" applyFont="1" applyBorder="1" applyAlignment="1">
      <alignment horizontal="center" vertical="center"/>
    </xf>
    <xf numFmtId="0" fontId="105" fillId="0" borderId="186" xfId="0" applyFont="1" applyBorder="1" applyAlignment="1">
      <alignment horizontal="center" vertical="center"/>
    </xf>
    <xf numFmtId="0" fontId="112" fillId="0" borderId="186" xfId="0" applyFont="1" applyBorder="1" applyAlignment="1">
      <alignment horizontal="center" vertical="center"/>
    </xf>
    <xf numFmtId="0" fontId="92" fillId="0" borderId="186" xfId="0" applyFont="1" applyBorder="1"/>
    <xf numFmtId="0" fontId="114" fillId="0" borderId="173" xfId="0" applyFont="1" applyBorder="1" applyAlignment="1">
      <alignment horizontal="center" vertical="center"/>
    </xf>
    <xf numFmtId="0" fontId="115" fillId="0" borderId="173" xfId="0" applyFont="1" applyBorder="1" applyAlignment="1">
      <alignment horizontal="center" vertical="center"/>
    </xf>
    <xf numFmtId="0" fontId="111" fillId="0" borderId="175" xfId="0" applyFont="1" applyBorder="1" applyAlignment="1">
      <alignment horizontal="center" vertical="center"/>
    </xf>
    <xf numFmtId="0" fontId="111" fillId="0" borderId="175" xfId="0" applyFont="1" applyBorder="1" applyAlignment="1">
      <alignment vertical="center"/>
    </xf>
    <xf numFmtId="0" fontId="13" fillId="6" borderId="0" xfId="0" applyFont="1" applyFill="1"/>
    <xf numFmtId="0" fontId="15" fillId="36" borderId="0" xfId="0" applyFont="1" applyFill="1"/>
    <xf numFmtId="0" fontId="26" fillId="0" borderId="0" xfId="0" applyFont="1"/>
    <xf numFmtId="0" fontId="100" fillId="33" borderId="199" xfId="0" applyFont="1" applyFill="1" applyBorder="1" applyAlignment="1">
      <alignment vertical="center"/>
    </xf>
    <xf numFmtId="0" fontId="100" fillId="33" borderId="200" xfId="0" applyFont="1" applyFill="1" applyBorder="1" applyAlignment="1">
      <alignment vertical="center"/>
    </xf>
    <xf numFmtId="0" fontId="100" fillId="33" borderId="201" xfId="0" applyFont="1" applyFill="1" applyBorder="1" applyAlignment="1">
      <alignment vertical="center"/>
    </xf>
    <xf numFmtId="0" fontId="92" fillId="0" borderId="193" xfId="0" applyFont="1" applyBorder="1" applyAlignment="1">
      <alignment horizontal="left" vertical="center"/>
    </xf>
    <xf numFmtId="0" fontId="92" fillId="0" borderId="194" xfId="0" applyFont="1" applyBorder="1" applyAlignment="1">
      <alignment horizontal="left" vertical="center"/>
    </xf>
    <xf numFmtId="0" fontId="92" fillId="0" borderId="195" xfId="0" applyFont="1" applyBorder="1" applyAlignment="1">
      <alignment horizontal="left" vertical="center"/>
    </xf>
    <xf numFmtId="0" fontId="26" fillId="31" borderId="0" xfId="0" applyFont="1" applyFill="1"/>
    <xf numFmtId="0" fontId="75" fillId="0" borderId="192" xfId="0" applyFont="1" applyBorder="1" applyAlignment="1">
      <alignment vertical="center"/>
    </xf>
    <xf numFmtId="0" fontId="75" fillId="0" borderId="191" xfId="0" applyFont="1" applyBorder="1" applyAlignment="1">
      <alignment vertical="center"/>
    </xf>
    <xf numFmtId="0" fontId="95" fillId="0" borderId="192" xfId="0" applyFont="1" applyBorder="1" applyAlignment="1">
      <alignment horizontal="left" vertical="center"/>
    </xf>
    <xf numFmtId="0" fontId="95" fillId="0" borderId="0" xfId="0" applyFont="1" applyAlignment="1">
      <alignment horizontal="left" vertical="center"/>
    </xf>
    <xf numFmtId="0" fontId="95" fillId="0" borderId="191" xfId="0" applyFont="1" applyBorder="1" applyAlignment="1">
      <alignment horizontal="left" vertical="center"/>
    </xf>
    <xf numFmtId="0" fontId="26" fillId="0" borderId="211" xfId="0" applyFont="1" applyBorder="1"/>
    <xf numFmtId="0" fontId="26" fillId="0" borderId="212" xfId="0" applyFont="1" applyBorder="1"/>
    <xf numFmtId="0" fontId="126" fillId="31" borderId="0" xfId="0" applyFont="1" applyFill="1"/>
    <xf numFmtId="0" fontId="127" fillId="39" borderId="3" xfId="0" applyFont="1" applyFill="1" applyBorder="1" applyAlignment="1">
      <alignment horizontal="left" vertical="center"/>
    </xf>
    <xf numFmtId="0" fontId="94" fillId="9" borderId="217" xfId="0" applyFont="1" applyFill="1" applyBorder="1" applyAlignment="1">
      <alignment horizontal="center" vertical="center" wrapText="1"/>
    </xf>
    <xf numFmtId="0" fontId="94" fillId="40" borderId="222" xfId="0" applyFont="1" applyFill="1" applyBorder="1" applyAlignment="1">
      <alignment horizontal="center" vertical="center" wrapText="1"/>
    </xf>
    <xf numFmtId="0" fontId="94" fillId="40" borderId="223" xfId="0" applyFont="1" applyFill="1" applyBorder="1" applyAlignment="1">
      <alignment horizontal="center" vertical="center" wrapText="1"/>
    </xf>
    <xf numFmtId="0" fontId="94" fillId="40" borderId="217" xfId="0" applyFont="1" applyFill="1" applyBorder="1" applyAlignment="1">
      <alignment horizontal="center" vertical="center" wrapText="1"/>
    </xf>
    <xf numFmtId="9" fontId="94" fillId="31" borderId="226" xfId="0" applyNumberFormat="1" applyFont="1" applyFill="1" applyBorder="1" applyAlignment="1">
      <alignment horizontal="center" vertical="center"/>
    </xf>
    <xf numFmtId="0" fontId="94" fillId="31" borderId="229" xfId="0" applyFont="1" applyFill="1" applyBorder="1" applyAlignment="1">
      <alignment horizontal="center" vertical="center"/>
    </xf>
    <xf numFmtId="0" fontId="94" fillId="31" borderId="230" xfId="0" applyFont="1" applyFill="1" applyBorder="1" applyAlignment="1">
      <alignment horizontal="center" vertical="center"/>
    </xf>
    <xf numFmtId="0" fontId="26" fillId="0" borderId="231" xfId="0" applyFont="1" applyBorder="1"/>
    <xf numFmtId="0" fontId="26" fillId="0" borderId="232" xfId="0" applyFont="1" applyBorder="1"/>
    <xf numFmtId="0" fontId="26" fillId="0" borderId="233" xfId="0" applyFont="1" applyBorder="1"/>
    <xf numFmtId="0" fontId="124" fillId="35" borderId="4" xfId="0" applyFont="1" applyFill="1" applyBorder="1" applyAlignment="1">
      <alignment horizontal="center" vertical="center"/>
    </xf>
    <xf numFmtId="0" fontId="92" fillId="0" borderId="192" xfId="0" applyFont="1" applyBorder="1" applyAlignment="1">
      <alignment horizontal="left" vertical="center"/>
    </xf>
    <xf numFmtId="0" fontId="92" fillId="0" borderId="0" xfId="0" applyFont="1" applyAlignment="1">
      <alignment horizontal="left" vertical="center"/>
    </xf>
    <xf numFmtId="0" fontId="92" fillId="0" borderId="191" xfId="0" applyFont="1" applyBorder="1" applyAlignment="1">
      <alignment horizontal="left" vertical="center"/>
    </xf>
    <xf numFmtId="0" fontId="92" fillId="0" borderId="196" xfId="0" applyFont="1" applyBorder="1" applyAlignment="1">
      <alignment horizontal="left" vertical="center"/>
    </xf>
    <xf numFmtId="0" fontId="92" fillId="0" borderId="197" xfId="0" applyFont="1" applyBorder="1" applyAlignment="1">
      <alignment horizontal="left" vertical="center"/>
    </xf>
    <xf numFmtId="0" fontId="92" fillId="0" borderId="198" xfId="0" applyFont="1" applyBorder="1" applyAlignment="1">
      <alignment horizontal="left" vertical="center"/>
    </xf>
    <xf numFmtId="0" fontId="117" fillId="41" borderId="234" xfId="0" applyFont="1" applyFill="1" applyBorder="1" applyAlignment="1">
      <alignment horizontal="center" vertical="center"/>
    </xf>
    <xf numFmtId="0" fontId="120" fillId="41" borderId="234" xfId="0" applyFont="1" applyFill="1" applyBorder="1" applyAlignment="1">
      <alignment horizontal="center" vertical="center"/>
    </xf>
    <xf numFmtId="0" fontId="130" fillId="31" borderId="0" xfId="0" applyFont="1" applyFill="1" applyAlignment="1">
      <alignment vertical="center"/>
    </xf>
    <xf numFmtId="0" fontId="92" fillId="0" borderId="0" xfId="0" applyFont="1" applyAlignment="1">
      <alignment vertical="center"/>
    </xf>
    <xf numFmtId="0" fontId="92" fillId="0" borderId="211" xfId="0" applyFont="1" applyBorder="1" applyAlignment="1">
      <alignment vertical="center"/>
    </xf>
    <xf numFmtId="0" fontId="92" fillId="0" borderId="212" xfId="0" applyFont="1" applyBorder="1" applyAlignment="1">
      <alignment vertical="center"/>
    </xf>
    <xf numFmtId="0" fontId="125" fillId="0" borderId="98" xfId="0" applyFont="1" applyBorder="1" applyAlignment="1">
      <alignment vertical="center"/>
    </xf>
    <xf numFmtId="0" fontId="92" fillId="0" borderId="231" xfId="0" applyFont="1" applyBorder="1" applyAlignment="1">
      <alignment vertical="center"/>
    </xf>
    <xf numFmtId="0" fontId="92" fillId="0" borderId="232" xfId="0" applyFont="1" applyBorder="1" applyAlignment="1">
      <alignment vertical="center"/>
    </xf>
    <xf numFmtId="0" fontId="92" fillId="0" borderId="233" xfId="0" applyFont="1" applyBorder="1" applyAlignment="1">
      <alignment vertical="center"/>
    </xf>
    <xf numFmtId="0" fontId="92" fillId="31" borderId="0" xfId="0" applyFont="1" applyFill="1" applyAlignment="1">
      <alignment vertical="center"/>
    </xf>
    <xf numFmtId="0" fontId="94" fillId="31" borderId="0" xfId="0" applyFont="1" applyFill="1" applyAlignment="1">
      <alignment vertical="center"/>
    </xf>
    <xf numFmtId="0" fontId="14" fillId="27" borderId="46" xfId="0" applyFont="1" applyFill="1" applyBorder="1" applyAlignment="1">
      <alignment vertical="center"/>
    </xf>
    <xf numFmtId="0" fontId="0" fillId="31" borderId="0" xfId="0" applyFill="1" applyAlignment="1">
      <alignment vertical="center"/>
    </xf>
    <xf numFmtId="0" fontId="0" fillId="0" borderId="192" xfId="0" applyBorder="1" applyAlignment="1">
      <alignment vertical="center"/>
    </xf>
    <xf numFmtId="0" fontId="0" fillId="0" borderId="211" xfId="0" applyBorder="1" applyAlignment="1">
      <alignment vertical="center"/>
    </xf>
    <xf numFmtId="0" fontId="0" fillId="0" borderId="212" xfId="0" applyBorder="1" applyAlignment="1">
      <alignment vertical="center"/>
    </xf>
    <xf numFmtId="0" fontId="0" fillId="0" borderId="191" xfId="0" applyBorder="1" applyAlignment="1">
      <alignment vertical="center"/>
    </xf>
    <xf numFmtId="0" fontId="126" fillId="31" borderId="0" xfId="0" applyFont="1" applyFill="1" applyAlignment="1">
      <alignment vertical="center"/>
    </xf>
    <xf numFmtId="0" fontId="0" fillId="0" borderId="231" xfId="0" applyBorder="1" applyAlignment="1">
      <alignment vertical="center"/>
    </xf>
    <xf numFmtId="0" fontId="0" fillId="0" borderId="232" xfId="0" applyBorder="1" applyAlignment="1">
      <alignment vertical="center"/>
    </xf>
    <xf numFmtId="0" fontId="0" fillId="0" borderId="233" xfId="0" applyBorder="1" applyAlignment="1">
      <alignment vertical="center"/>
    </xf>
    <xf numFmtId="0" fontId="92" fillId="35" borderId="4" xfId="0" applyFont="1" applyFill="1" applyBorder="1" applyAlignment="1">
      <alignment horizontal="center" vertical="center"/>
    </xf>
    <xf numFmtId="0" fontId="0" fillId="0" borderId="196" xfId="0" applyBorder="1" applyAlignment="1">
      <alignment vertical="center"/>
    </xf>
    <xf numFmtId="0" fontId="0" fillId="0" borderId="197" xfId="0" applyBorder="1" applyAlignment="1">
      <alignment vertical="center"/>
    </xf>
    <xf numFmtId="0" fontId="0" fillId="0" borderId="198" xfId="0" applyBorder="1" applyAlignment="1">
      <alignment vertical="center"/>
    </xf>
    <xf numFmtId="49" fontId="0" fillId="2" borderId="0" xfId="0" applyNumberFormat="1" applyFill="1" applyAlignment="1">
      <alignment vertical="top"/>
    </xf>
    <xf numFmtId="0" fontId="0" fillId="0" borderId="193" xfId="0" applyBorder="1" applyAlignment="1">
      <alignment vertical="center"/>
    </xf>
    <xf numFmtId="0" fontId="0" fillId="0" borderId="194" xfId="0" applyBorder="1" applyAlignment="1">
      <alignment vertical="center"/>
    </xf>
    <xf numFmtId="0" fontId="0" fillId="0" borderId="195" xfId="0" applyBorder="1" applyAlignment="1">
      <alignment vertical="center"/>
    </xf>
    <xf numFmtId="0" fontId="95" fillId="0" borderId="249" xfId="0" applyFont="1" applyBorder="1" applyAlignment="1">
      <alignment horizontal="left" vertical="center"/>
    </xf>
    <xf numFmtId="0" fontId="95" fillId="0" borderId="250" xfId="0" applyFont="1" applyBorder="1" applyAlignment="1">
      <alignment horizontal="left" vertical="center"/>
    </xf>
    <xf numFmtId="0" fontId="95" fillId="0" borderId="251" xfId="0" applyFont="1" applyBorder="1" applyAlignment="1">
      <alignment horizontal="left" vertical="center"/>
    </xf>
    <xf numFmtId="0" fontId="130" fillId="41" borderId="0" xfId="0" applyFont="1" applyFill="1" applyAlignment="1">
      <alignment horizontal="left" vertical="center"/>
    </xf>
    <xf numFmtId="0" fontId="92" fillId="41" borderId="0" xfId="0" applyFont="1" applyFill="1" applyAlignment="1">
      <alignment horizontal="left" vertical="center"/>
    </xf>
    <xf numFmtId="0" fontId="132" fillId="41" borderId="0" xfId="0" applyFont="1" applyFill="1" applyAlignment="1">
      <alignment horizontal="left" vertical="center"/>
    </xf>
    <xf numFmtId="0" fontId="133" fillId="41" borderId="0" xfId="0" applyFont="1" applyFill="1" applyAlignment="1">
      <alignment horizontal="left" vertical="center"/>
    </xf>
    <xf numFmtId="0" fontId="95" fillId="41" borderId="0" xfId="0" applyFont="1" applyFill="1" applyAlignment="1">
      <alignment horizontal="left" vertical="center"/>
    </xf>
    <xf numFmtId="0" fontId="95" fillId="0" borderId="211" xfId="0" applyFont="1" applyBorder="1" applyAlignment="1">
      <alignment horizontal="left" vertical="center"/>
    </xf>
    <xf numFmtId="0" fontId="95" fillId="0" borderId="212" xfId="0" applyFont="1" applyBorder="1" applyAlignment="1">
      <alignment horizontal="left" vertical="center"/>
    </xf>
    <xf numFmtId="0" fontId="92" fillId="0" borderId="211" xfId="0" applyFont="1" applyBorder="1" applyAlignment="1">
      <alignment horizontal="left" vertical="center"/>
    </xf>
    <xf numFmtId="0" fontId="92" fillId="0" borderId="212" xfId="0" applyFont="1" applyBorder="1" applyAlignment="1">
      <alignment horizontal="left" vertical="center"/>
    </xf>
    <xf numFmtId="0" fontId="130" fillId="31" borderId="0" xfId="0" applyFont="1" applyFill="1" applyAlignment="1">
      <alignment horizontal="left" vertical="center"/>
    </xf>
    <xf numFmtId="0" fontId="94" fillId="9" borderId="222" xfId="0" applyFont="1" applyFill="1" applyBorder="1" applyAlignment="1">
      <alignment horizontal="center" vertical="center" wrapText="1"/>
    </xf>
    <xf numFmtId="0" fontId="94" fillId="9" borderId="223" xfId="0" applyFont="1" applyFill="1" applyBorder="1" applyAlignment="1">
      <alignment horizontal="center" vertical="center" wrapText="1"/>
    </xf>
    <xf numFmtId="0" fontId="94" fillId="0" borderId="222" xfId="0" applyFont="1" applyBorder="1" applyAlignment="1">
      <alignment horizontal="center" vertical="center" wrapText="1"/>
    </xf>
    <xf numFmtId="167" fontId="94" fillId="41" borderId="223" xfId="0" applyNumberFormat="1" applyFont="1" applyFill="1" applyBorder="1" applyAlignment="1">
      <alignment horizontal="center" vertical="center" wrapText="1"/>
    </xf>
    <xf numFmtId="0" fontId="94" fillId="0" borderId="223" xfId="0" applyFont="1" applyBorder="1" applyAlignment="1">
      <alignment horizontal="center" vertical="center" wrapText="1"/>
    </xf>
    <xf numFmtId="166" fontId="94" fillId="41" borderId="217" xfId="0" applyNumberFormat="1" applyFont="1" applyFill="1" applyBorder="1" applyAlignment="1">
      <alignment horizontal="center" vertical="center" wrapText="1"/>
    </xf>
    <xf numFmtId="0" fontId="94" fillId="41" borderId="223" xfId="0" applyFont="1" applyFill="1" applyBorder="1" applyAlignment="1">
      <alignment horizontal="center" vertical="center" wrapText="1"/>
    </xf>
    <xf numFmtId="9" fontId="94" fillId="41" borderId="217" xfId="0" applyNumberFormat="1" applyFont="1" applyFill="1" applyBorder="1" applyAlignment="1">
      <alignment horizontal="center" vertical="center" wrapText="1"/>
    </xf>
    <xf numFmtId="0" fontId="135" fillId="0" borderId="212" xfId="0" applyFont="1" applyBorder="1" applyAlignment="1">
      <alignment horizontal="left" vertical="center"/>
    </xf>
    <xf numFmtId="167" fontId="94" fillId="41" borderId="223" xfId="0" applyNumberFormat="1" applyFont="1" applyFill="1" applyBorder="1" applyAlignment="1">
      <alignment horizontal="center" vertical="center"/>
    </xf>
    <xf numFmtId="166" fontId="94" fillId="41" borderId="217" xfId="0" applyNumberFormat="1" applyFont="1" applyFill="1" applyBorder="1" applyAlignment="1">
      <alignment horizontal="center" vertical="center"/>
    </xf>
    <xf numFmtId="0" fontId="94" fillId="41" borderId="223" xfId="0" applyFont="1" applyFill="1" applyBorder="1" applyAlignment="1">
      <alignment horizontal="center" vertical="center"/>
    </xf>
    <xf numFmtId="0" fontId="94" fillId="0" borderId="229" xfId="0" applyFont="1" applyBorder="1" applyAlignment="1">
      <alignment horizontal="center" vertical="center" wrapText="1"/>
    </xf>
    <xf numFmtId="167" fontId="94" fillId="41" borderId="230" xfId="0" applyNumberFormat="1" applyFont="1" applyFill="1" applyBorder="1" applyAlignment="1">
      <alignment horizontal="center" vertical="center"/>
    </xf>
    <xf numFmtId="0" fontId="94" fillId="0" borderId="230" xfId="0" applyFont="1" applyBorder="1" applyAlignment="1">
      <alignment horizontal="center" vertical="center" wrapText="1"/>
    </xf>
    <xf numFmtId="166" fontId="94" fillId="41" borderId="226" xfId="0" applyNumberFormat="1" applyFont="1" applyFill="1" applyBorder="1" applyAlignment="1">
      <alignment horizontal="center" vertical="center"/>
    </xf>
    <xf numFmtId="0" fontId="94" fillId="41" borderId="230" xfId="0" applyFont="1" applyFill="1" applyBorder="1" applyAlignment="1">
      <alignment horizontal="center" vertical="center" wrapText="1"/>
    </xf>
    <xf numFmtId="9" fontId="94" fillId="41" borderId="226" xfId="0" applyNumberFormat="1" applyFont="1" applyFill="1" applyBorder="1" applyAlignment="1">
      <alignment horizontal="center" vertical="center" wrapText="1"/>
    </xf>
    <xf numFmtId="0" fontId="94" fillId="41" borderId="230" xfId="0" applyFont="1" applyFill="1" applyBorder="1" applyAlignment="1">
      <alignment horizontal="center" vertical="center"/>
    </xf>
    <xf numFmtId="0" fontId="92" fillId="0" borderId="192" xfId="0" applyFont="1" applyBorder="1" applyAlignment="1">
      <alignment horizontal="center" vertical="center"/>
    </xf>
    <xf numFmtId="0" fontId="92" fillId="0" borderId="211" xfId="0" applyFont="1" applyBorder="1" applyAlignment="1">
      <alignment horizontal="center" vertical="center"/>
    </xf>
    <xf numFmtId="0" fontId="109" fillId="0" borderId="98" xfId="0" applyFont="1" applyBorder="1" applyAlignment="1">
      <alignment vertical="center"/>
    </xf>
    <xf numFmtId="0" fontId="92" fillId="0" borderId="212" xfId="0" applyFont="1" applyBorder="1" applyAlignment="1">
      <alignment horizontal="center" vertical="center"/>
    </xf>
    <xf numFmtId="0" fontId="92" fillId="0" borderId="191" xfId="0" applyFont="1" applyBorder="1" applyAlignment="1">
      <alignment horizontal="center" vertical="center"/>
    </xf>
    <xf numFmtId="0" fontId="130" fillId="41" borderId="0" xfId="0" applyFont="1" applyFill="1" applyAlignment="1">
      <alignment horizontal="center" vertical="center"/>
    </xf>
    <xf numFmtId="0" fontId="92" fillId="41" borderId="0" xfId="0" applyFont="1" applyFill="1" applyAlignment="1">
      <alignment horizontal="center" vertical="center"/>
    </xf>
    <xf numFmtId="0" fontId="92" fillId="0" borderId="192" xfId="0" applyFont="1" applyBorder="1" applyAlignment="1">
      <alignment horizontal="center" vertical="center" wrapText="1"/>
    </xf>
    <xf numFmtId="0" fontId="92" fillId="0" borderId="211" xfId="0" applyFont="1" applyBorder="1" applyAlignment="1">
      <alignment horizontal="center" vertical="center" wrapText="1"/>
    </xf>
    <xf numFmtId="0" fontId="94" fillId="0" borderId="98" xfId="0" applyFont="1" applyBorder="1" applyAlignment="1">
      <alignment horizontal="center" vertical="center" wrapText="1"/>
    </xf>
    <xf numFmtId="0" fontId="92" fillId="0" borderId="212" xfId="0" applyFont="1" applyBorder="1" applyAlignment="1">
      <alignment horizontal="center" vertical="center" wrapText="1"/>
    </xf>
    <xf numFmtId="0" fontId="92" fillId="0" borderId="191" xfId="0" applyFont="1" applyBorder="1" applyAlignment="1">
      <alignment horizontal="center" vertical="center" wrapText="1"/>
    </xf>
    <xf numFmtId="0" fontId="130" fillId="41" borderId="0" xfId="0" applyFont="1" applyFill="1" applyAlignment="1">
      <alignment horizontal="center" vertical="center" wrapText="1"/>
    </xf>
    <xf numFmtId="0" fontId="92" fillId="41" borderId="0" xfId="0" applyFont="1" applyFill="1" applyAlignment="1">
      <alignment horizontal="center" vertical="center" wrapText="1"/>
    </xf>
    <xf numFmtId="0" fontId="94" fillId="0" borderId="229" xfId="0" applyFont="1" applyBorder="1" applyAlignment="1">
      <alignment horizontal="center" vertical="center"/>
    </xf>
    <xf numFmtId="0" fontId="94" fillId="0" borderId="230" xfId="0" applyFont="1" applyBorder="1" applyAlignment="1">
      <alignment horizontal="center" vertical="center"/>
    </xf>
    <xf numFmtId="166" fontId="94" fillId="41" borderId="226" xfId="0" applyNumberFormat="1" applyFont="1" applyFill="1" applyBorder="1" applyAlignment="1">
      <alignment horizontal="center" vertical="center" wrapText="1"/>
    </xf>
    <xf numFmtId="0" fontId="94" fillId="0" borderId="226" xfId="0" applyFont="1" applyBorder="1" applyAlignment="1">
      <alignment horizontal="center" vertical="center"/>
    </xf>
    <xf numFmtId="9" fontId="94" fillId="0" borderId="98" xfId="0" applyNumberFormat="1" applyFont="1" applyBorder="1" applyAlignment="1">
      <alignment horizontal="center" vertical="center"/>
    </xf>
    <xf numFmtId="0" fontId="92" fillId="0" borderId="231" xfId="0" applyFont="1" applyBorder="1" applyAlignment="1">
      <alignment horizontal="left" vertical="center"/>
    </xf>
    <xf numFmtId="0" fontId="92" fillId="0" borderId="233" xfId="0" applyFont="1" applyBorder="1" applyAlignment="1">
      <alignment horizontal="left" vertical="center"/>
    </xf>
    <xf numFmtId="0" fontId="92" fillId="0" borderId="232" xfId="0" applyFont="1" applyBorder="1" applyAlignment="1">
      <alignment horizontal="left" vertical="center"/>
    </xf>
    <xf numFmtId="0" fontId="136" fillId="31" borderId="0" xfId="0" applyFont="1" applyFill="1" applyAlignment="1">
      <alignment vertical="center" wrapText="1"/>
    </xf>
    <xf numFmtId="0" fontId="130" fillId="31" borderId="0" xfId="0" applyFont="1" applyFill="1"/>
    <xf numFmtId="0" fontId="130" fillId="31" borderId="0" xfId="0" applyFont="1" applyFill="1" applyAlignment="1">
      <alignment vertical="top"/>
    </xf>
    <xf numFmtId="0" fontId="0" fillId="0" borderId="252" xfId="0" applyBorder="1" applyAlignment="1">
      <alignment horizontal="center" vertical="center"/>
    </xf>
    <xf numFmtId="0" fontId="0" fillId="31" borderId="252" xfId="0" applyFill="1" applyBorder="1" applyAlignment="1">
      <alignment horizontal="center" vertical="center"/>
    </xf>
    <xf numFmtId="0" fontId="92" fillId="0" borderId="191" xfId="0" applyFont="1" applyBorder="1" applyAlignment="1">
      <alignment vertical="center"/>
    </xf>
    <xf numFmtId="0" fontId="139" fillId="35" borderId="1" xfId="0" applyFont="1" applyFill="1" applyBorder="1" applyAlignment="1">
      <alignment horizontal="center" vertical="center"/>
    </xf>
    <xf numFmtId="49" fontId="0" fillId="31" borderId="0" xfId="0" applyNumberFormat="1" applyFill="1" applyAlignment="1">
      <alignment vertical="top"/>
    </xf>
    <xf numFmtId="0" fontId="92" fillId="3" borderId="196" xfId="0" applyFont="1" applyFill="1" applyBorder="1" applyAlignment="1">
      <alignment vertical="center"/>
    </xf>
    <xf numFmtId="0" fontId="92" fillId="3" borderId="197" xfId="0" applyFont="1" applyFill="1" applyBorder="1" applyAlignment="1">
      <alignment vertical="center"/>
    </xf>
    <xf numFmtId="0" fontId="92" fillId="3" borderId="198" xfId="0" applyFont="1" applyFill="1" applyBorder="1" applyAlignment="1">
      <alignment vertical="center"/>
    </xf>
    <xf numFmtId="0" fontId="92" fillId="3" borderId="212" xfId="0" applyFont="1" applyFill="1" applyBorder="1" applyAlignment="1">
      <alignment vertical="center"/>
    </xf>
    <xf numFmtId="0" fontId="92" fillId="3" borderId="191" xfId="0" applyFont="1" applyFill="1" applyBorder="1" applyAlignment="1">
      <alignment vertical="center"/>
    </xf>
    <xf numFmtId="0" fontId="92" fillId="3" borderId="233" xfId="0" applyFont="1" applyFill="1" applyBorder="1" applyAlignment="1">
      <alignment vertical="center"/>
    </xf>
    <xf numFmtId="0" fontId="92" fillId="3" borderId="193" xfId="0" applyFont="1" applyFill="1" applyBorder="1" applyAlignment="1">
      <alignment vertical="center"/>
    </xf>
    <xf numFmtId="0" fontId="92" fillId="3" borderId="194" xfId="0" applyFont="1" applyFill="1" applyBorder="1" applyAlignment="1">
      <alignment vertical="center"/>
    </xf>
    <xf numFmtId="0" fontId="92" fillId="3" borderId="195" xfId="0" applyFont="1" applyFill="1" applyBorder="1" applyAlignment="1">
      <alignment vertical="center"/>
    </xf>
    <xf numFmtId="0" fontId="92" fillId="3" borderId="192" xfId="0" applyFont="1" applyFill="1" applyBorder="1" applyAlignment="1">
      <alignment vertical="center"/>
    </xf>
    <xf numFmtId="0" fontId="92" fillId="3" borderId="0" xfId="0" applyFont="1" applyFill="1" applyAlignment="1">
      <alignment vertical="center"/>
    </xf>
    <xf numFmtId="0" fontId="92" fillId="3" borderId="211" xfId="0" applyFont="1" applyFill="1" applyBorder="1" applyAlignment="1">
      <alignment vertical="center"/>
    </xf>
    <xf numFmtId="0" fontId="103" fillId="3" borderId="0" xfId="0" applyFont="1" applyFill="1" applyAlignment="1">
      <alignment vertical="center"/>
    </xf>
    <xf numFmtId="0" fontId="92" fillId="3" borderId="231" xfId="0" applyFont="1" applyFill="1" applyBorder="1" applyAlignment="1">
      <alignment vertical="center"/>
    </xf>
    <xf numFmtId="0" fontId="92" fillId="3" borderId="232" xfId="0" applyFont="1" applyFill="1" applyBorder="1" applyAlignment="1">
      <alignment vertical="center"/>
    </xf>
    <xf numFmtId="9" fontId="8" fillId="31" borderId="242" xfId="0" applyNumberFormat="1" applyFont="1" applyFill="1" applyBorder="1" applyAlignment="1">
      <alignment horizontal="center" vertical="center"/>
    </xf>
    <xf numFmtId="0" fontId="92" fillId="31" borderId="242" xfId="0" applyFont="1" applyFill="1" applyBorder="1" applyAlignment="1">
      <alignment horizontal="center" vertical="center"/>
    </xf>
    <xf numFmtId="0" fontId="92" fillId="31" borderId="0" xfId="0" applyFont="1" applyFill="1" applyAlignment="1">
      <alignment vertical="center" wrapText="1"/>
    </xf>
    <xf numFmtId="0" fontId="0" fillId="31" borderId="4" xfId="0" applyFill="1" applyBorder="1" applyAlignment="1">
      <alignment horizontal="center" vertical="center"/>
    </xf>
    <xf numFmtId="0" fontId="0" fillId="0" borderId="13" xfId="0" applyBorder="1" applyAlignment="1">
      <alignment horizontal="center" vertical="center"/>
    </xf>
    <xf numFmtId="0" fontId="0" fillId="31" borderId="248" xfId="0" applyFill="1" applyBorder="1" applyAlignment="1">
      <alignment horizontal="center" vertical="center"/>
    </xf>
    <xf numFmtId="0" fontId="0" fillId="0" borderId="248" xfId="0" applyBorder="1" applyAlignment="1">
      <alignment horizontal="center" vertical="center"/>
    </xf>
    <xf numFmtId="0" fontId="92" fillId="3" borderId="191" xfId="0" applyFont="1" applyFill="1" applyBorder="1" applyAlignment="1">
      <alignment vertical="center" wrapText="1"/>
    </xf>
    <xf numFmtId="0" fontId="0" fillId="0" borderId="4" xfId="0" applyBorder="1" applyAlignment="1">
      <alignment horizontal="center" vertical="center"/>
    </xf>
    <xf numFmtId="0" fontId="92" fillId="3" borderId="102" xfId="0" applyFont="1" applyFill="1" applyBorder="1" applyAlignment="1">
      <alignment vertical="center"/>
    </xf>
    <xf numFmtId="0" fontId="92" fillId="3" borderId="192" xfId="0" applyFont="1" applyFill="1" applyBorder="1" applyAlignment="1">
      <alignment vertical="center" wrapText="1"/>
    </xf>
    <xf numFmtId="0" fontId="92" fillId="3" borderId="212" xfId="0" applyFont="1" applyFill="1" applyBorder="1" applyAlignment="1">
      <alignment vertical="center" wrapText="1"/>
    </xf>
    <xf numFmtId="0" fontId="92" fillId="3" borderId="211" xfId="0" applyFont="1" applyFill="1" applyBorder="1" applyAlignment="1">
      <alignment vertical="center" wrapText="1"/>
    </xf>
    <xf numFmtId="0" fontId="125" fillId="3" borderId="98" xfId="0" applyFont="1" applyFill="1" applyBorder="1" applyAlignment="1">
      <alignment vertical="center"/>
    </xf>
    <xf numFmtId="0" fontId="92" fillId="0" borderId="240" xfId="0" applyFont="1" applyBorder="1" applyAlignment="1">
      <alignment horizontal="center" vertical="center"/>
    </xf>
    <xf numFmtId="0" fontId="92" fillId="0" borderId="192" xfId="0" applyFont="1" applyBorder="1" applyAlignment="1">
      <alignment vertical="center"/>
    </xf>
    <xf numFmtId="0" fontId="92" fillId="0" borderId="172" xfId="0" applyFont="1" applyBorder="1" applyAlignment="1">
      <alignment vertical="center"/>
    </xf>
    <xf numFmtId="0" fontId="92" fillId="0" borderId="173" xfId="0" applyFont="1" applyBorder="1" applyAlignment="1">
      <alignment vertical="center"/>
    </xf>
    <xf numFmtId="0" fontId="92" fillId="0" borderId="270" xfId="0" applyFont="1" applyBorder="1" applyAlignment="1">
      <alignment vertical="center"/>
    </xf>
    <xf numFmtId="0" fontId="92" fillId="0" borderId="276" xfId="0" applyFont="1" applyBorder="1" applyAlignment="1">
      <alignment vertical="center"/>
    </xf>
    <xf numFmtId="0" fontId="92" fillId="0" borderId="248" xfId="0" applyFont="1" applyBorder="1" applyAlignment="1">
      <alignment horizontal="center" vertical="center"/>
    </xf>
    <xf numFmtId="0" fontId="92" fillId="0" borderId="223" xfId="0" applyFont="1" applyBorder="1" applyAlignment="1">
      <alignment horizontal="center" vertical="center"/>
    </xf>
    <xf numFmtId="0" fontId="92" fillId="0" borderId="230" xfId="0" applyFont="1" applyBorder="1" applyAlignment="1">
      <alignment horizontal="center" vertical="center"/>
    </xf>
    <xf numFmtId="0" fontId="92" fillId="32" borderId="277" xfId="0" applyFont="1" applyFill="1" applyBorder="1" applyAlignment="1">
      <alignment horizontal="center" vertical="center"/>
    </xf>
    <xf numFmtId="0" fontId="92" fillId="32" borderId="278" xfId="0" applyFont="1" applyFill="1" applyBorder="1" applyAlignment="1">
      <alignment horizontal="center" vertical="center"/>
    </xf>
    <xf numFmtId="0" fontId="92" fillId="32" borderId="279" xfId="0" applyFont="1" applyFill="1" applyBorder="1" applyAlignment="1">
      <alignment horizontal="center" vertical="center"/>
    </xf>
    <xf numFmtId="0" fontId="144" fillId="31" borderId="222" xfId="0" applyFont="1" applyFill="1" applyBorder="1" applyAlignment="1">
      <alignment horizontal="center" vertical="center"/>
    </xf>
    <xf numFmtId="0" fontId="144" fillId="31" borderId="223" xfId="0" applyFont="1" applyFill="1" applyBorder="1" applyAlignment="1">
      <alignment horizontal="center" vertical="center"/>
    </xf>
    <xf numFmtId="0" fontId="144" fillId="31" borderId="217" xfId="0" applyFont="1" applyFill="1" applyBorder="1" applyAlignment="1">
      <alignment horizontal="center" vertical="center"/>
    </xf>
    <xf numFmtId="0" fontId="144" fillId="31" borderId="229" xfId="0" applyFont="1" applyFill="1" applyBorder="1" applyAlignment="1">
      <alignment horizontal="center" vertical="center"/>
    </xf>
    <xf numFmtId="0" fontId="144" fillId="31" borderId="230" xfId="0" applyFont="1" applyFill="1" applyBorder="1" applyAlignment="1">
      <alignment horizontal="center" vertical="center"/>
    </xf>
    <xf numFmtId="0" fontId="144" fillId="31" borderId="226" xfId="0" applyFont="1" applyFill="1" applyBorder="1" applyAlignment="1">
      <alignment horizontal="center" vertical="center"/>
    </xf>
    <xf numFmtId="0" fontId="92" fillId="3" borderId="174" xfId="0" applyFont="1" applyFill="1" applyBorder="1" applyAlignment="1">
      <alignment vertical="center"/>
    </xf>
    <xf numFmtId="0" fontId="92" fillId="3" borderId="175" xfId="0" applyFont="1" applyFill="1" applyBorder="1" applyAlignment="1">
      <alignment horizontal="center" vertical="center"/>
    </xf>
    <xf numFmtId="0" fontId="92" fillId="3" borderId="176" xfId="0" applyFont="1" applyFill="1" applyBorder="1" applyAlignment="1">
      <alignment vertical="center"/>
    </xf>
    <xf numFmtId="0" fontId="92" fillId="3" borderId="172" xfId="0" applyFont="1" applyFill="1" applyBorder="1" applyAlignment="1">
      <alignment vertical="center"/>
    </xf>
    <xf numFmtId="0" fontId="92" fillId="3" borderId="173" xfId="0" applyFont="1" applyFill="1" applyBorder="1" applyAlignment="1">
      <alignment vertical="center"/>
    </xf>
    <xf numFmtId="0" fontId="92" fillId="3" borderId="175" xfId="0" applyFont="1" applyFill="1" applyBorder="1" applyAlignment="1">
      <alignment vertical="center"/>
    </xf>
    <xf numFmtId="0" fontId="92" fillId="3" borderId="269" xfId="0" applyFont="1" applyFill="1" applyBorder="1" applyAlignment="1">
      <alignment vertical="center"/>
    </xf>
    <xf numFmtId="0" fontId="92" fillId="3" borderId="272" xfId="0" applyFont="1" applyFill="1" applyBorder="1" applyAlignment="1">
      <alignment vertical="center"/>
    </xf>
    <xf numFmtId="0" fontId="92" fillId="3" borderId="275" xfId="0" applyFont="1" applyFill="1" applyBorder="1" applyAlignment="1">
      <alignment vertical="center"/>
    </xf>
    <xf numFmtId="0" fontId="92" fillId="3" borderId="276" xfId="0" applyFont="1" applyFill="1" applyBorder="1" applyAlignment="1">
      <alignment vertical="center"/>
    </xf>
    <xf numFmtId="0" fontId="92" fillId="3" borderId="270" xfId="0" applyFont="1" applyFill="1" applyBorder="1" applyAlignment="1">
      <alignment vertical="center"/>
    </xf>
    <xf numFmtId="0" fontId="131" fillId="3" borderId="0" xfId="0" applyFont="1" applyFill="1" applyAlignment="1">
      <alignment vertical="center"/>
    </xf>
    <xf numFmtId="0" fontId="92" fillId="3" borderId="0" xfId="0" applyFont="1" applyFill="1" applyAlignment="1">
      <alignment horizontal="center" vertical="center"/>
    </xf>
    <xf numFmtId="0" fontId="125" fillId="3" borderId="0" xfId="0" applyFont="1" applyFill="1" applyAlignment="1">
      <alignment horizontal="center" vertical="center" wrapText="1"/>
    </xf>
    <xf numFmtId="0" fontId="95" fillId="3" borderId="0" xfId="0" applyFont="1" applyFill="1" applyAlignment="1">
      <alignment horizontal="left" vertical="center"/>
    </xf>
    <xf numFmtId="0" fontId="100" fillId="3" borderId="0" xfId="0" applyFont="1" applyFill="1" applyAlignment="1">
      <alignment horizontal="center" vertical="center" wrapText="1"/>
    </xf>
    <xf numFmtId="0" fontId="94" fillId="0" borderId="0" xfId="0" applyFont="1" applyAlignment="1">
      <alignment horizontal="left" vertical="center"/>
    </xf>
    <xf numFmtId="0" fontId="124" fillId="9" borderId="4" xfId="0" applyFont="1" applyFill="1" applyBorder="1" applyAlignment="1">
      <alignment horizontal="center" vertical="center"/>
    </xf>
    <xf numFmtId="0" fontId="94" fillId="0" borderId="232" xfId="0" applyFont="1" applyBorder="1" applyAlignment="1">
      <alignment horizontal="left" vertical="center"/>
    </xf>
    <xf numFmtId="0" fontId="92" fillId="31" borderId="4" xfId="0" applyFont="1" applyFill="1" applyBorder="1" applyAlignment="1">
      <alignment horizontal="center" vertical="center"/>
    </xf>
    <xf numFmtId="0" fontId="92" fillId="0" borderId="3" xfId="0" applyFont="1" applyBorder="1" applyAlignment="1">
      <alignment horizontal="center" vertical="center"/>
    </xf>
    <xf numFmtId="0" fontId="92" fillId="0" borderId="1" xfId="0" applyFont="1" applyBorder="1" applyAlignment="1">
      <alignment horizontal="center" vertical="center"/>
    </xf>
    <xf numFmtId="0" fontId="92" fillId="0" borderId="241" xfId="0" applyFont="1" applyBorder="1" applyAlignment="1">
      <alignment horizontal="center" vertical="center"/>
    </xf>
    <xf numFmtId="0" fontId="92" fillId="0" borderId="226" xfId="0" applyFont="1" applyBorder="1" applyAlignment="1">
      <alignment horizontal="center" vertical="center"/>
    </xf>
    <xf numFmtId="0" fontId="110" fillId="9" borderId="4" xfId="0" applyFont="1" applyFill="1" applyBorder="1" applyAlignment="1">
      <alignment horizontal="center" vertical="center"/>
    </xf>
    <xf numFmtId="0" fontId="7" fillId="0" borderId="192" xfId="0" applyFont="1" applyBorder="1" applyAlignment="1">
      <alignment horizontal="left" vertical="center"/>
    </xf>
    <xf numFmtId="0" fontId="7" fillId="0" borderId="191" xfId="0" applyFont="1" applyBorder="1" applyAlignment="1">
      <alignment horizontal="left" vertical="center"/>
    </xf>
    <xf numFmtId="0" fontId="7" fillId="41" borderId="0" xfId="0" applyFont="1" applyFill="1" applyAlignment="1">
      <alignment horizontal="left" vertical="center"/>
    </xf>
    <xf numFmtId="0" fontId="6" fillId="0" borderId="192" xfId="0" applyFont="1" applyBorder="1" applyAlignment="1">
      <alignment horizontal="left" vertical="center"/>
    </xf>
    <xf numFmtId="0" fontId="6" fillId="0" borderId="191" xfId="0" applyFont="1" applyBorder="1" applyAlignment="1">
      <alignment horizontal="left" vertical="center"/>
    </xf>
    <xf numFmtId="0" fontId="6" fillId="41" borderId="0" xfId="0" applyFont="1" applyFill="1" applyAlignment="1">
      <alignment horizontal="left" vertical="center"/>
    </xf>
    <xf numFmtId="0" fontId="125" fillId="0" borderId="0" xfId="0" applyFont="1" applyAlignment="1">
      <alignment vertical="center"/>
    </xf>
    <xf numFmtId="0" fontId="92" fillId="9" borderId="235" xfId="0" applyFont="1" applyFill="1" applyBorder="1" applyAlignment="1">
      <alignment horizontal="center" vertical="center" wrapText="1"/>
    </xf>
    <xf numFmtId="0" fontId="92" fillId="9" borderId="236" xfId="0" applyFont="1" applyFill="1" applyBorder="1" applyAlignment="1">
      <alignment horizontal="center" vertical="center" wrapText="1"/>
    </xf>
    <xf numFmtId="0" fontId="92" fillId="9" borderId="237" xfId="0" applyFont="1" applyFill="1" applyBorder="1" applyAlignment="1">
      <alignment horizontal="center" vertical="center" wrapText="1"/>
    </xf>
    <xf numFmtId="0" fontId="92" fillId="40" borderId="238" xfId="0" applyFont="1" applyFill="1" applyBorder="1" applyAlignment="1">
      <alignment horizontal="center" vertical="center"/>
    </xf>
    <xf numFmtId="0" fontId="92" fillId="0" borderId="229" xfId="0" applyFont="1" applyBorder="1" applyAlignment="1">
      <alignment vertical="center"/>
    </xf>
    <xf numFmtId="0" fontId="92" fillId="0" borderId="230" xfId="0" applyFont="1" applyBorder="1" applyAlignment="1">
      <alignment vertical="center"/>
    </xf>
    <xf numFmtId="0" fontId="92" fillId="0" borderId="226" xfId="0" applyFont="1" applyBorder="1" applyAlignment="1">
      <alignment vertical="center"/>
    </xf>
    <xf numFmtId="2" fontId="92" fillId="31" borderId="240" xfId="0" applyNumberFormat="1" applyFont="1" applyFill="1" applyBorder="1" applyAlignment="1">
      <alignment vertical="center"/>
    </xf>
    <xf numFmtId="0" fontId="92" fillId="9" borderId="1" xfId="0" applyFont="1" applyFill="1" applyBorder="1" applyAlignment="1">
      <alignment horizontal="center" vertical="center" wrapText="1"/>
    </xf>
    <xf numFmtId="0" fontId="92" fillId="9" borderId="241" xfId="0" applyFont="1" applyFill="1" applyBorder="1" applyAlignment="1">
      <alignment horizontal="center" vertical="center" wrapText="1"/>
    </xf>
    <xf numFmtId="0" fontId="92" fillId="9" borderId="3" xfId="0" applyFont="1" applyFill="1" applyBorder="1" applyAlignment="1">
      <alignment horizontal="center" vertical="center" wrapText="1"/>
    </xf>
    <xf numFmtId="0" fontId="92" fillId="0" borderId="242" xfId="0" applyFont="1" applyBorder="1" applyAlignment="1">
      <alignment horizontal="left" vertical="center"/>
    </xf>
    <xf numFmtId="2" fontId="92" fillId="31" borderId="1" xfId="0" applyNumberFormat="1" applyFont="1" applyFill="1" applyBorder="1" applyAlignment="1">
      <alignment horizontal="center" vertical="center"/>
    </xf>
    <xf numFmtId="2" fontId="92" fillId="31" borderId="241" xfId="0" applyNumberFormat="1" applyFont="1" applyFill="1" applyBorder="1" applyAlignment="1">
      <alignment horizontal="center" vertical="center"/>
    </xf>
    <xf numFmtId="2" fontId="92" fillId="31" borderId="3" xfId="0" applyNumberFormat="1" applyFont="1" applyFill="1" applyBorder="1" applyAlignment="1">
      <alignment horizontal="center" vertical="center"/>
    </xf>
    <xf numFmtId="0" fontId="92" fillId="31" borderId="242" xfId="0" applyFont="1" applyFill="1" applyBorder="1" applyAlignment="1">
      <alignment horizontal="left" vertical="center"/>
    </xf>
    <xf numFmtId="0" fontId="92" fillId="0" borderId="242" xfId="0" applyFont="1" applyBorder="1" applyAlignment="1">
      <alignment horizontal="left" vertical="center" wrapText="1"/>
    </xf>
    <xf numFmtId="164" fontId="92" fillId="31" borderId="242" xfId="0" applyNumberFormat="1" applyFont="1" applyFill="1" applyBorder="1" applyAlignment="1">
      <alignment horizontal="left" vertical="center"/>
    </xf>
    <xf numFmtId="0" fontId="92" fillId="9" borderId="72" xfId="0" applyFont="1" applyFill="1" applyBorder="1" applyAlignment="1">
      <alignment horizontal="center" vertical="center" wrapText="1"/>
    </xf>
    <xf numFmtId="0" fontId="92" fillId="9" borderId="243" xfId="0" applyFont="1" applyFill="1" applyBorder="1" applyAlignment="1">
      <alignment horizontal="center" vertical="center" wrapText="1"/>
    </xf>
    <xf numFmtId="0" fontId="94" fillId="40" borderId="74" xfId="0" applyFont="1" applyFill="1" applyBorder="1" applyAlignment="1">
      <alignment horizontal="center" vertical="center"/>
    </xf>
    <xf numFmtId="0" fontId="92" fillId="0" borderId="224" xfId="0" applyFont="1" applyBorder="1" applyAlignment="1">
      <alignment horizontal="center" vertical="center"/>
    </xf>
    <xf numFmtId="0" fontId="92" fillId="31" borderId="240" xfId="0" applyFont="1" applyFill="1" applyBorder="1" applyAlignment="1">
      <alignment horizontal="center" vertical="center"/>
    </xf>
    <xf numFmtId="0" fontId="110" fillId="7" borderId="232" xfId="0" applyFont="1" applyFill="1" applyBorder="1" applyAlignment="1">
      <alignment vertical="center"/>
    </xf>
    <xf numFmtId="0" fontId="5" fillId="0" borderId="192" xfId="0" applyFont="1" applyBorder="1" applyAlignment="1">
      <alignment horizontal="left" vertical="center"/>
    </xf>
    <xf numFmtId="0" fontId="5" fillId="0" borderId="191" xfId="0" applyFont="1" applyBorder="1" applyAlignment="1">
      <alignment horizontal="left" vertical="center"/>
    </xf>
    <xf numFmtId="0" fontId="0" fillId="0" borderId="192" xfId="0" applyBorder="1" applyAlignment="1">
      <alignment horizontal="center" vertical="center"/>
    </xf>
    <xf numFmtId="0" fontId="0" fillId="0" borderId="211" xfId="0" applyBorder="1" applyAlignment="1">
      <alignment horizontal="center" vertical="center"/>
    </xf>
    <xf numFmtId="0" fontId="0" fillId="0" borderId="0" xfId="0" applyAlignment="1">
      <alignment horizontal="center" vertical="center"/>
    </xf>
    <xf numFmtId="0" fontId="0" fillId="0" borderId="212" xfId="0" applyBorder="1" applyAlignment="1">
      <alignment horizontal="center" vertical="center"/>
    </xf>
    <xf numFmtId="0" fontId="0" fillId="0" borderId="191" xfId="0" applyBorder="1" applyAlignment="1">
      <alignment horizontal="center" vertical="center"/>
    </xf>
    <xf numFmtId="0" fontId="0" fillId="31" borderId="0" xfId="0" applyFill="1" applyAlignment="1">
      <alignment horizontal="center" vertical="center"/>
    </xf>
    <xf numFmtId="0" fontId="126" fillId="31" borderId="0" xfId="0" applyFont="1" applyFill="1" applyAlignment="1">
      <alignment horizontal="center" vertical="center"/>
    </xf>
    <xf numFmtId="0" fontId="92" fillId="0" borderId="243" xfId="0" applyFont="1" applyBorder="1" applyAlignment="1">
      <alignment horizontal="center" vertical="center"/>
    </xf>
    <xf numFmtId="0" fontId="92" fillId="7" borderId="0" xfId="0" applyFont="1" applyFill="1" applyAlignment="1">
      <alignment vertical="center"/>
    </xf>
    <xf numFmtId="0" fontId="26" fillId="7" borderId="232" xfId="0" applyFont="1" applyFill="1" applyBorder="1"/>
    <xf numFmtId="0" fontId="92" fillId="7" borderId="212" xfId="0" applyFont="1" applyFill="1" applyBorder="1" applyAlignment="1">
      <alignment vertical="center"/>
    </xf>
    <xf numFmtId="0" fontId="92" fillId="7" borderId="211" xfId="0" applyFont="1" applyFill="1" applyBorder="1" applyAlignment="1">
      <alignment vertical="center"/>
    </xf>
    <xf numFmtId="0" fontId="94" fillId="7" borderId="0" xfId="0" applyFont="1" applyFill="1" applyAlignment="1">
      <alignment horizontal="left" vertical="center"/>
    </xf>
    <xf numFmtId="0" fontId="0" fillId="7" borderId="212" xfId="0" applyFill="1" applyBorder="1" applyAlignment="1">
      <alignment vertical="center"/>
    </xf>
    <xf numFmtId="0" fontId="0" fillId="7" borderId="232" xfId="0" applyFill="1" applyBorder="1" applyAlignment="1">
      <alignment vertical="center"/>
    </xf>
    <xf numFmtId="0" fontId="112" fillId="7" borderId="0" xfId="0" applyFont="1" applyFill="1" applyAlignment="1">
      <alignment horizontal="center" vertical="center"/>
    </xf>
    <xf numFmtId="0" fontId="111" fillId="7" borderId="0" xfId="0" applyFont="1" applyFill="1" applyAlignment="1">
      <alignment horizontal="center" vertical="center"/>
    </xf>
    <xf numFmtId="0" fontId="78" fillId="7" borderId="0" xfId="0" applyFont="1" applyFill="1" applyAlignment="1">
      <alignment vertical="center"/>
    </xf>
    <xf numFmtId="0" fontId="0" fillId="7" borderId="0" xfId="0" applyFill="1" applyAlignment="1">
      <alignment vertical="center"/>
    </xf>
    <xf numFmtId="0" fontId="137" fillId="31" borderId="0" xfId="0" applyFont="1" applyFill="1" applyAlignment="1">
      <alignment horizontal="center" vertical="center"/>
    </xf>
    <xf numFmtId="0" fontId="13" fillId="21" borderId="43" xfId="0" applyFont="1" applyFill="1" applyBorder="1" applyAlignment="1">
      <alignment horizontal="center" vertical="center"/>
    </xf>
    <xf numFmtId="0" fontId="92" fillId="10" borderId="212" xfId="0" applyFont="1" applyFill="1" applyBorder="1" applyAlignment="1">
      <alignment vertical="center"/>
    </xf>
    <xf numFmtId="0" fontId="92" fillId="7" borderId="212" xfId="0" applyFont="1" applyFill="1" applyBorder="1" applyAlignment="1">
      <alignment horizontal="left" vertical="center"/>
    </xf>
    <xf numFmtId="0" fontId="94" fillId="10" borderId="0" xfId="0" applyFont="1" applyFill="1" applyAlignment="1">
      <alignment horizontal="left" vertical="center"/>
    </xf>
    <xf numFmtId="0" fontId="92" fillId="10" borderId="212" xfId="0" applyFont="1" applyFill="1" applyBorder="1" applyAlignment="1">
      <alignment horizontal="left" vertical="center"/>
    </xf>
    <xf numFmtId="0" fontId="4" fillId="41" borderId="0" xfId="0" applyFont="1" applyFill="1" applyAlignment="1">
      <alignment horizontal="left" vertical="center"/>
    </xf>
    <xf numFmtId="0" fontId="26" fillId="7" borderId="0" xfId="0" applyFont="1" applyFill="1"/>
    <xf numFmtId="0" fontId="26" fillId="7" borderId="212" xfId="0" applyFont="1" applyFill="1" applyBorder="1"/>
    <xf numFmtId="0" fontId="92" fillId="10" borderId="211" xfId="0" applyFont="1" applyFill="1" applyBorder="1" applyAlignment="1">
      <alignment horizontal="left" vertical="center"/>
    </xf>
    <xf numFmtId="0" fontId="4" fillId="10" borderId="0" xfId="0" applyFont="1" applyFill="1" applyAlignment="1">
      <alignment horizontal="left" vertical="center"/>
    </xf>
    <xf numFmtId="0" fontId="3" fillId="0" borderId="192" xfId="0" applyFont="1" applyBorder="1" applyAlignment="1">
      <alignment horizontal="left" vertical="center"/>
    </xf>
    <xf numFmtId="0" fontId="3" fillId="0" borderId="191" xfId="0" applyFont="1" applyBorder="1" applyAlignment="1">
      <alignment horizontal="left" vertical="center"/>
    </xf>
    <xf numFmtId="0" fontId="3" fillId="41" borderId="0" xfId="0" applyFont="1" applyFill="1" applyAlignment="1">
      <alignment horizontal="left" vertical="center"/>
    </xf>
    <xf numFmtId="0" fontId="94" fillId="0" borderId="0" xfId="0" applyFont="1" applyAlignment="1">
      <alignment vertical="center"/>
    </xf>
    <xf numFmtId="0" fontId="94" fillId="0" borderId="0" xfId="0" applyFont="1" applyAlignment="1">
      <alignment vertical="center" wrapText="1"/>
    </xf>
    <xf numFmtId="0" fontId="101" fillId="41" borderId="234" xfId="0" applyFont="1" applyFill="1" applyBorder="1" applyAlignment="1">
      <alignment horizontal="center" vertical="center" wrapText="1"/>
    </xf>
    <xf numFmtId="0" fontId="122" fillId="41" borderId="234" xfId="0" applyFont="1" applyFill="1" applyBorder="1" applyAlignment="1">
      <alignment horizontal="center" vertical="center" wrapText="1"/>
    </xf>
    <xf numFmtId="0" fontId="14" fillId="5" borderId="0" xfId="0" applyFont="1" applyFill="1"/>
    <xf numFmtId="0" fontId="0" fillId="2" borderId="1" xfId="0" applyFill="1" applyBorder="1"/>
    <xf numFmtId="0" fontId="0" fillId="28" borderId="51" xfId="0" applyFill="1" applyBorder="1"/>
    <xf numFmtId="0" fontId="0" fillId="28" borderId="2" xfId="0" applyFill="1" applyBorder="1"/>
    <xf numFmtId="0" fontId="0" fillId="9" borderId="51" xfId="0" applyFill="1" applyBorder="1"/>
    <xf numFmtId="0" fontId="0" fillId="9" borderId="2" xfId="0" applyFill="1" applyBorder="1"/>
    <xf numFmtId="0" fontId="0" fillId="9" borderId="52" xfId="0" applyFill="1" applyBorder="1"/>
    <xf numFmtId="0" fontId="0" fillId="0" borderId="2" xfId="0" applyBorder="1"/>
    <xf numFmtId="0" fontId="117" fillId="44" borderId="138" xfId="0" applyFont="1" applyFill="1" applyBorder="1" applyAlignment="1">
      <alignment horizontal="center" vertical="center"/>
    </xf>
    <xf numFmtId="0" fontId="101" fillId="44" borderId="138" xfId="0" applyFont="1" applyFill="1" applyBorder="1" applyAlignment="1">
      <alignment horizontal="center" vertical="center" wrapText="1"/>
    </xf>
    <xf numFmtId="0" fontId="141" fillId="0" borderId="241" xfId="0" applyFont="1" applyBorder="1" applyAlignment="1">
      <alignment horizontal="center" vertical="center" wrapText="1"/>
    </xf>
    <xf numFmtId="0" fontId="2" fillId="46" borderId="0" xfId="0" applyFont="1" applyFill="1" applyAlignment="1">
      <alignment horizontal="left" vertical="center"/>
    </xf>
    <xf numFmtId="0" fontId="111" fillId="46" borderId="0" xfId="0" applyFont="1" applyFill="1" applyAlignment="1">
      <alignment horizontal="center" vertical="center"/>
    </xf>
    <xf numFmtId="0" fontId="92" fillId="0" borderId="232" xfId="0" applyFont="1" applyBorder="1" applyAlignment="1">
      <alignment horizontal="left" vertical="center" wrapText="1"/>
    </xf>
    <xf numFmtId="0" fontId="92" fillId="46" borderId="211" xfId="0" applyFont="1" applyFill="1" applyBorder="1" applyAlignment="1">
      <alignment horizontal="left" vertical="center"/>
    </xf>
    <xf numFmtId="0" fontId="26" fillId="5" borderId="72" xfId="2" applyFill="1" applyBorder="1" applyAlignment="1" applyProtection="1">
      <alignment horizontal="left" vertical="top"/>
      <protection locked="0" hidden="1"/>
    </xf>
    <xf numFmtId="0" fontId="26" fillId="5" borderId="73" xfId="2" applyFill="1" applyBorder="1" applyAlignment="1" applyProtection="1">
      <alignment horizontal="left" vertical="top"/>
      <protection locked="0" hidden="1"/>
    </xf>
    <xf numFmtId="0" fontId="26" fillId="5" borderId="74" xfId="2" applyFill="1" applyBorder="1" applyAlignment="1" applyProtection="1">
      <alignment horizontal="left" vertical="top"/>
      <protection locked="0" hidden="1"/>
    </xf>
    <xf numFmtId="0" fontId="26" fillId="5" borderId="98" xfId="2" applyFill="1" applyBorder="1" applyAlignment="1" applyProtection="1">
      <alignment horizontal="left" vertical="top"/>
      <protection locked="0" hidden="1"/>
    </xf>
    <xf numFmtId="0" fontId="26" fillId="5" borderId="0" xfId="2" applyFill="1" applyAlignment="1" applyProtection="1">
      <alignment horizontal="left" vertical="top"/>
      <protection locked="0" hidden="1"/>
    </xf>
    <xf numFmtId="0" fontId="26" fillId="5" borderId="99" xfId="2" applyFill="1" applyBorder="1" applyAlignment="1" applyProtection="1">
      <alignment horizontal="left" vertical="top"/>
      <protection locked="0" hidden="1"/>
    </xf>
    <xf numFmtId="0" fontId="26" fillId="5" borderId="20" xfId="2" applyFill="1" applyBorder="1" applyAlignment="1" applyProtection="1">
      <alignment horizontal="left" vertical="top"/>
      <protection locked="0" hidden="1"/>
    </xf>
    <xf numFmtId="0" fontId="26" fillId="5" borderId="21" xfId="2" applyFill="1" applyBorder="1" applyAlignment="1" applyProtection="1">
      <alignment horizontal="left" vertical="top"/>
      <protection locked="0" hidden="1"/>
    </xf>
    <xf numFmtId="0" fontId="26" fillId="5" borderId="75" xfId="2" applyFill="1" applyBorder="1" applyAlignment="1" applyProtection="1">
      <alignment horizontal="left" vertical="top"/>
      <protection locked="0" hidden="1"/>
    </xf>
    <xf numFmtId="0" fontId="39" fillId="17" borderId="5" xfId="2" applyFont="1" applyFill="1" applyBorder="1" applyAlignment="1" applyProtection="1">
      <alignment horizontal="center" vertical="center"/>
      <protection hidden="1"/>
    </xf>
    <xf numFmtId="0" fontId="39" fillId="17" borderId="6" xfId="2" applyFont="1" applyFill="1" applyBorder="1" applyAlignment="1" applyProtection="1">
      <alignment horizontal="center" vertical="center"/>
      <protection hidden="1"/>
    </xf>
    <xf numFmtId="0" fontId="39" fillId="17" borderId="22" xfId="2" applyFont="1" applyFill="1" applyBorder="1" applyAlignment="1" applyProtection="1">
      <alignment horizontal="center" vertical="center"/>
      <protection hidden="1"/>
    </xf>
    <xf numFmtId="0" fontId="17" fillId="23" borderId="11" xfId="0" applyFont="1" applyFill="1" applyBorder="1" applyAlignment="1" applyProtection="1">
      <alignment horizontal="right" vertical="center" wrapText="1"/>
      <protection hidden="1"/>
    </xf>
    <xf numFmtId="0" fontId="17" fillId="23" borderId="43" xfId="0" applyFont="1" applyFill="1" applyBorder="1" applyAlignment="1" applyProtection="1">
      <alignment horizontal="right" vertical="center" wrapText="1"/>
      <protection hidden="1"/>
    </xf>
    <xf numFmtId="0" fontId="17" fillId="5" borderId="43" xfId="2" applyFont="1" applyFill="1" applyBorder="1" applyAlignment="1" applyProtection="1">
      <alignment horizontal="left" vertical="center"/>
      <protection hidden="1"/>
    </xf>
    <xf numFmtId="0" fontId="17" fillId="5" borderId="44" xfId="2" applyFont="1" applyFill="1" applyBorder="1" applyAlignment="1" applyProtection="1">
      <alignment horizontal="left" vertical="center"/>
      <protection hidden="1"/>
    </xf>
    <xf numFmtId="0" fontId="17" fillId="23" borderId="55" xfId="0" applyFont="1" applyFill="1" applyBorder="1" applyAlignment="1" applyProtection="1">
      <alignment horizontal="right" vertical="center" wrapText="1"/>
      <protection hidden="1"/>
    </xf>
    <xf numFmtId="0" fontId="17" fillId="23" borderId="56" xfId="0" applyFont="1" applyFill="1" applyBorder="1" applyAlignment="1" applyProtection="1">
      <alignment horizontal="right" vertical="center" wrapText="1"/>
      <protection hidden="1"/>
    </xf>
    <xf numFmtId="0" fontId="17" fillId="5" borderId="56" xfId="2" applyFont="1" applyFill="1" applyBorder="1" applyAlignment="1" applyProtection="1">
      <alignment horizontal="left" vertical="center"/>
      <protection hidden="1"/>
    </xf>
    <xf numFmtId="0" fontId="17" fillId="5" borderId="91" xfId="2" applyFont="1" applyFill="1" applyBorder="1" applyAlignment="1" applyProtection="1">
      <alignment horizontal="left" vertical="center"/>
      <protection hidden="1"/>
    </xf>
    <xf numFmtId="0" fontId="41" fillId="17" borderId="0" xfId="2" applyFont="1" applyFill="1" applyAlignment="1" applyProtection="1">
      <alignment horizontal="left" vertical="center"/>
      <protection hidden="1"/>
    </xf>
    <xf numFmtId="0" fontId="22" fillId="17" borderId="0" xfId="2" applyFont="1" applyFill="1" applyAlignment="1" applyProtection="1">
      <alignment horizontal="center" vertical="center"/>
      <protection hidden="1"/>
    </xf>
    <xf numFmtId="9" fontId="26" fillId="5" borderId="1" xfId="3" applyFont="1" applyFill="1" applyBorder="1" applyAlignment="1" applyProtection="1">
      <alignment horizontal="center" vertical="center"/>
      <protection hidden="1"/>
    </xf>
    <xf numFmtId="9" fontId="26" fillId="5" borderId="3" xfId="3" applyFont="1" applyFill="1" applyBorder="1" applyAlignment="1" applyProtection="1">
      <alignment horizontal="center" vertical="center"/>
      <protection hidden="1"/>
    </xf>
    <xf numFmtId="9" fontId="26" fillId="5" borderId="4" xfId="3" applyFont="1" applyFill="1" applyBorder="1" applyAlignment="1" applyProtection="1">
      <alignment horizontal="center" vertical="center"/>
      <protection hidden="1"/>
    </xf>
    <xf numFmtId="0" fontId="14" fillId="22" borderId="0" xfId="2" applyFont="1" applyFill="1" applyAlignment="1" applyProtection="1">
      <alignment horizontal="right" vertical="top" wrapText="1"/>
      <protection hidden="1"/>
    </xf>
    <xf numFmtId="0" fontId="41" fillId="17" borderId="0" xfId="2" applyFont="1" applyFill="1" applyAlignment="1" applyProtection="1">
      <alignment horizontal="center" vertical="center"/>
      <protection hidden="1"/>
    </xf>
    <xf numFmtId="0" fontId="17" fillId="7" borderId="13" xfId="2" applyFont="1" applyFill="1" applyBorder="1" applyAlignment="1" applyProtection="1">
      <alignment horizontal="center" wrapText="1"/>
      <protection hidden="1"/>
    </xf>
    <xf numFmtId="0" fontId="17" fillId="7" borderId="76" xfId="2" applyFont="1" applyFill="1" applyBorder="1" applyAlignment="1" applyProtection="1">
      <alignment horizontal="center" wrapText="1"/>
      <protection hidden="1"/>
    </xf>
    <xf numFmtId="0" fontId="13" fillId="17" borderId="13" xfId="2" applyFont="1" applyFill="1" applyBorder="1" applyAlignment="1" applyProtection="1">
      <alignment horizontal="center" vertical="center" wrapText="1"/>
      <protection hidden="1"/>
    </xf>
    <xf numFmtId="0" fontId="13" fillId="17" borderId="76" xfId="2" applyFont="1" applyFill="1" applyBorder="1" applyAlignment="1" applyProtection="1">
      <alignment horizontal="center" vertical="center" wrapText="1"/>
      <protection hidden="1"/>
    </xf>
    <xf numFmtId="0" fontId="19" fillId="17" borderId="4" xfId="2" applyFont="1" applyFill="1" applyBorder="1" applyAlignment="1" applyProtection="1">
      <alignment horizontal="center" vertical="center"/>
      <protection hidden="1"/>
    </xf>
    <xf numFmtId="0" fontId="13" fillId="17" borderId="72" xfId="2" applyFont="1" applyFill="1" applyBorder="1" applyAlignment="1" applyProtection="1">
      <alignment horizontal="center" vertical="center" wrapText="1"/>
      <protection hidden="1"/>
    </xf>
    <xf numFmtId="0" fontId="13" fillId="17" borderId="73" xfId="2" applyFont="1" applyFill="1" applyBorder="1" applyAlignment="1" applyProtection="1">
      <alignment horizontal="center" vertical="center" wrapText="1"/>
      <protection hidden="1"/>
    </xf>
    <xf numFmtId="0" fontId="13" fillId="17" borderId="74" xfId="2" applyFont="1" applyFill="1" applyBorder="1" applyAlignment="1" applyProtection="1">
      <alignment horizontal="center" vertical="center" wrapText="1"/>
      <protection hidden="1"/>
    </xf>
    <xf numFmtId="0" fontId="13" fillId="17" borderId="20" xfId="2" applyFont="1" applyFill="1" applyBorder="1" applyAlignment="1" applyProtection="1">
      <alignment horizontal="center" vertical="center" wrapText="1"/>
      <protection hidden="1"/>
    </xf>
    <xf numFmtId="0" fontId="13" fillId="17" borderId="21" xfId="2" applyFont="1" applyFill="1" applyBorder="1" applyAlignment="1" applyProtection="1">
      <alignment horizontal="center" vertical="center" wrapText="1"/>
      <protection hidden="1"/>
    </xf>
    <xf numFmtId="0" fontId="13" fillId="17" borderId="75" xfId="2" applyFont="1" applyFill="1" applyBorder="1" applyAlignment="1" applyProtection="1">
      <alignment horizontal="center" vertical="center" wrapText="1"/>
      <protection hidden="1"/>
    </xf>
    <xf numFmtId="0" fontId="23" fillId="17" borderId="116" xfId="0" applyFont="1" applyFill="1" applyBorder="1" applyAlignment="1" applyProtection="1">
      <alignment horizontal="center" vertical="center" wrapText="1"/>
      <protection hidden="1"/>
    </xf>
    <xf numFmtId="0" fontId="23" fillId="17" borderId="117" xfId="0" applyFont="1" applyFill="1" applyBorder="1" applyAlignment="1" applyProtection="1">
      <alignment horizontal="center" vertical="center" wrapText="1"/>
      <protection hidden="1"/>
    </xf>
    <xf numFmtId="0" fontId="26" fillId="22" borderId="4" xfId="2" applyFill="1" applyBorder="1" applyAlignment="1" applyProtection="1">
      <alignment horizontal="center" vertical="center"/>
      <protection hidden="1"/>
    </xf>
    <xf numFmtId="0" fontId="23" fillId="17" borderId="100" xfId="0" applyFont="1" applyFill="1" applyBorder="1" applyAlignment="1" applyProtection="1">
      <alignment horizontal="center" vertical="center" wrapText="1"/>
      <protection hidden="1"/>
    </xf>
    <xf numFmtId="0" fontId="23" fillId="17" borderId="118" xfId="0" applyFont="1" applyFill="1" applyBorder="1" applyAlignment="1" applyProtection="1">
      <alignment horizontal="center" vertical="center" wrapText="1"/>
      <protection hidden="1"/>
    </xf>
    <xf numFmtId="0" fontId="13" fillId="21" borderId="13" xfId="2" applyFont="1" applyFill="1" applyBorder="1" applyAlignment="1">
      <alignment horizontal="center" wrapText="1"/>
    </xf>
    <xf numFmtId="0" fontId="13" fillId="21" borderId="76" xfId="2" applyFont="1" applyFill="1" applyBorder="1" applyAlignment="1">
      <alignment horizontal="center" wrapText="1"/>
    </xf>
    <xf numFmtId="0" fontId="19" fillId="21" borderId="4" xfId="2" applyFont="1" applyFill="1" applyBorder="1" applyAlignment="1">
      <alignment horizontal="center" vertical="center"/>
    </xf>
    <xf numFmtId="0" fontId="13" fillId="21" borderId="13" xfId="2" applyFont="1" applyFill="1" applyBorder="1" applyAlignment="1">
      <alignment horizontal="center" vertical="center" wrapText="1"/>
    </xf>
    <xf numFmtId="0" fontId="13" fillId="21" borderId="76" xfId="2" applyFont="1" applyFill="1" applyBorder="1" applyAlignment="1">
      <alignment horizontal="center" vertical="center" wrapText="1"/>
    </xf>
    <xf numFmtId="0" fontId="39" fillId="21" borderId="5" xfId="2" applyFont="1" applyFill="1" applyBorder="1" applyAlignment="1" applyProtection="1">
      <alignment horizontal="center" vertical="center"/>
      <protection hidden="1"/>
    </xf>
    <xf numFmtId="0" fontId="39" fillId="21" borderId="6" xfId="2" applyFont="1" applyFill="1" applyBorder="1" applyAlignment="1" applyProtection="1">
      <alignment horizontal="center" vertical="center"/>
      <protection hidden="1"/>
    </xf>
    <xf numFmtId="0" fontId="39" fillId="21" borderId="22" xfId="2" applyFont="1" applyFill="1" applyBorder="1" applyAlignment="1" applyProtection="1">
      <alignment horizontal="center" vertical="center"/>
      <protection hidden="1"/>
    </xf>
    <xf numFmtId="0" fontId="17" fillId="23" borderId="11" xfId="0" applyFont="1" applyFill="1" applyBorder="1" applyAlignment="1">
      <alignment horizontal="right" vertical="center" wrapText="1"/>
    </xf>
    <xf numFmtId="0" fontId="17" fillId="23" borderId="43" xfId="0" applyFont="1" applyFill="1" applyBorder="1" applyAlignment="1">
      <alignment horizontal="right" vertical="center" wrapText="1"/>
    </xf>
    <xf numFmtId="0" fontId="17" fillId="23" borderId="55" xfId="0" applyFont="1" applyFill="1" applyBorder="1" applyAlignment="1">
      <alignment horizontal="right" vertical="center" wrapText="1"/>
    </xf>
    <xf numFmtId="0" fontId="17" fillId="23" borderId="56" xfId="0" applyFont="1" applyFill="1" applyBorder="1" applyAlignment="1">
      <alignment horizontal="right" vertical="center" wrapText="1"/>
    </xf>
    <xf numFmtId="0" fontId="13" fillId="21" borderId="72" xfId="2" applyFont="1" applyFill="1" applyBorder="1" applyAlignment="1">
      <alignment horizontal="center" vertical="center" wrapText="1"/>
    </xf>
    <xf numFmtId="0" fontId="13" fillId="21" borderId="73" xfId="2" applyFont="1" applyFill="1" applyBorder="1" applyAlignment="1">
      <alignment horizontal="center" vertical="center" wrapText="1"/>
    </xf>
    <xf numFmtId="0" fontId="13" fillId="21" borderId="74" xfId="2" applyFont="1" applyFill="1" applyBorder="1" applyAlignment="1">
      <alignment horizontal="center" vertical="center" wrapText="1"/>
    </xf>
    <xf numFmtId="0" fontId="13" fillId="21" borderId="20" xfId="2" applyFont="1" applyFill="1" applyBorder="1" applyAlignment="1">
      <alignment horizontal="center" vertical="center" wrapText="1"/>
    </xf>
    <xf numFmtId="0" fontId="13" fillId="21" borderId="21" xfId="2" applyFont="1" applyFill="1" applyBorder="1" applyAlignment="1">
      <alignment horizontal="center" vertical="center" wrapText="1"/>
    </xf>
    <xf numFmtId="0" fontId="13" fillId="21" borderId="75" xfId="2" applyFont="1" applyFill="1" applyBorder="1" applyAlignment="1">
      <alignment horizontal="center" vertical="center" wrapText="1"/>
    </xf>
    <xf numFmtId="0" fontId="24" fillId="7" borderId="1" xfId="2" quotePrefix="1" applyFont="1" applyFill="1" applyBorder="1" applyAlignment="1">
      <alignment horizontal="center" vertical="center" wrapText="1"/>
    </xf>
    <xf numFmtId="0" fontId="24" fillId="7" borderId="2" xfId="2" quotePrefix="1" applyFont="1" applyFill="1" applyBorder="1" applyAlignment="1">
      <alignment horizontal="center" vertical="center" wrapText="1"/>
    </xf>
    <xf numFmtId="0" fontId="24" fillId="7" borderId="3" xfId="2" quotePrefix="1" applyFont="1" applyFill="1" applyBorder="1" applyAlignment="1">
      <alignment horizontal="center" vertical="center" wrapText="1"/>
    </xf>
    <xf numFmtId="0" fontId="24" fillId="22" borderId="1" xfId="2" quotePrefix="1" applyFont="1" applyFill="1" applyBorder="1" applyAlignment="1">
      <alignment horizontal="center" vertical="center" wrapText="1"/>
    </xf>
    <xf numFmtId="0" fontId="24" fillId="22" borderId="2" xfId="2" quotePrefix="1" applyFont="1" applyFill="1" applyBorder="1" applyAlignment="1">
      <alignment horizontal="center" vertical="center" wrapText="1"/>
    </xf>
    <xf numFmtId="0" fontId="24" fillId="22" borderId="3" xfId="2" quotePrefix="1" applyFont="1" applyFill="1" applyBorder="1" applyAlignment="1">
      <alignment horizontal="center" vertical="center" wrapText="1"/>
    </xf>
    <xf numFmtId="0" fontId="41" fillId="21" borderId="0" xfId="2" applyFont="1" applyFill="1" applyAlignment="1">
      <alignment horizontal="center" vertical="center"/>
    </xf>
    <xf numFmtId="0" fontId="17" fillId="22" borderId="0" xfId="2" applyFont="1" applyFill="1" applyAlignment="1">
      <alignment horizontal="right" vertical="top" wrapText="1"/>
    </xf>
    <xf numFmtId="0" fontId="41" fillId="21" borderId="0" xfId="2" applyFont="1" applyFill="1" applyAlignment="1" applyProtection="1">
      <alignment horizontal="left" vertical="center"/>
      <protection hidden="1"/>
    </xf>
    <xf numFmtId="0" fontId="41" fillId="13" borderId="0" xfId="2" applyFont="1" applyFill="1" applyAlignment="1" applyProtection="1">
      <alignment horizontal="left" vertical="center"/>
      <protection hidden="1"/>
    </xf>
    <xf numFmtId="0" fontId="23" fillId="21" borderId="116" xfId="0" applyFont="1" applyFill="1" applyBorder="1" applyAlignment="1">
      <alignment horizontal="center" vertical="center" wrapText="1"/>
    </xf>
    <xf numFmtId="0" fontId="23" fillId="21" borderId="117" xfId="0" applyFont="1" applyFill="1" applyBorder="1" applyAlignment="1">
      <alignment horizontal="center" vertical="center" wrapText="1"/>
    </xf>
    <xf numFmtId="0" fontId="26" fillId="22" borderId="1" xfId="2" applyFill="1" applyBorder="1" applyAlignment="1" applyProtection="1">
      <alignment horizontal="center" vertical="center"/>
      <protection hidden="1"/>
    </xf>
    <xf numFmtId="0" fontId="26" fillId="22" borderId="3" xfId="2" applyFill="1" applyBorder="1" applyAlignment="1" applyProtection="1">
      <alignment horizontal="center" vertical="center"/>
      <protection hidden="1"/>
    </xf>
    <xf numFmtId="0" fontId="23" fillId="21" borderId="100" xfId="0" applyFont="1" applyFill="1" applyBorder="1" applyAlignment="1">
      <alignment horizontal="center" vertical="center" wrapText="1"/>
    </xf>
    <xf numFmtId="0" fontId="23" fillId="21" borderId="118" xfId="0" applyFont="1" applyFill="1" applyBorder="1" applyAlignment="1">
      <alignment horizontal="center" vertical="center" wrapText="1"/>
    </xf>
    <xf numFmtId="0" fontId="95" fillId="31" borderId="188" xfId="0" applyFont="1" applyFill="1" applyBorder="1" applyAlignment="1">
      <alignment horizontal="left" vertical="top" wrapText="1"/>
    </xf>
    <xf numFmtId="0" fontId="95" fillId="31" borderId="189" xfId="0" applyFont="1" applyFill="1" applyBorder="1" applyAlignment="1">
      <alignment horizontal="left" vertical="top" wrapText="1"/>
    </xf>
    <xf numFmtId="0" fontId="95" fillId="31" borderId="190" xfId="0" applyFont="1" applyFill="1" applyBorder="1" applyAlignment="1">
      <alignment horizontal="left" vertical="top" wrapText="1"/>
    </xf>
    <xf numFmtId="0" fontId="128" fillId="42" borderId="244" xfId="1" applyFont="1" applyFill="1" applyBorder="1" applyAlignment="1">
      <alignment horizontal="center" vertical="center"/>
    </xf>
    <xf numFmtId="0" fontId="128" fillId="42" borderId="245" xfId="1" applyFont="1" applyFill="1" applyBorder="1" applyAlignment="1">
      <alignment horizontal="center" vertical="center"/>
    </xf>
    <xf numFmtId="0" fontId="120" fillId="41" borderId="244" xfId="0" applyFont="1" applyFill="1" applyBorder="1" applyAlignment="1">
      <alignment horizontal="center" vertical="center"/>
    </xf>
    <xf numFmtId="0" fontId="120" fillId="41" borderId="245" xfId="0" applyFont="1" applyFill="1" applyBorder="1" applyAlignment="1">
      <alignment horizontal="center" vertical="center"/>
    </xf>
    <xf numFmtId="0" fontId="120" fillId="41" borderId="246" xfId="0" applyFont="1" applyFill="1" applyBorder="1" applyAlignment="1">
      <alignment horizontal="center" vertical="center"/>
    </xf>
    <xf numFmtId="0" fontId="129" fillId="43" borderId="244" xfId="0" applyFont="1" applyFill="1" applyBorder="1" applyAlignment="1">
      <alignment horizontal="center" vertical="center"/>
    </xf>
    <xf numFmtId="0" fontId="129" fillId="43" borderId="245" xfId="0" applyFont="1" applyFill="1" applyBorder="1" applyAlignment="1">
      <alignment horizontal="center" vertical="center"/>
    </xf>
    <xf numFmtId="0" fontId="105" fillId="35" borderId="180" xfId="0" applyFont="1" applyFill="1" applyBorder="1" applyAlignment="1">
      <alignment horizontal="center" vertical="center"/>
    </xf>
    <xf numFmtId="0" fontId="105" fillId="35" borderId="181" xfId="0" applyFont="1" applyFill="1" applyBorder="1" applyAlignment="1">
      <alignment horizontal="center" vertical="center"/>
    </xf>
    <xf numFmtId="0" fontId="105" fillId="35" borderId="182" xfId="0" applyFont="1" applyFill="1" applyBorder="1" applyAlignment="1">
      <alignment horizontal="center" vertical="center"/>
    </xf>
    <xf numFmtId="0" fontId="104" fillId="0" borderId="0" xfId="0" applyFont="1" applyAlignment="1">
      <alignment horizontal="left"/>
    </xf>
    <xf numFmtId="0" fontId="75" fillId="34" borderId="169" xfId="0" applyFont="1" applyFill="1" applyBorder="1" applyAlignment="1">
      <alignment horizontal="left" vertical="center"/>
    </xf>
    <xf numFmtId="0" fontId="75" fillId="34" borderId="170" xfId="0" applyFont="1" applyFill="1" applyBorder="1" applyAlignment="1">
      <alignment horizontal="left" vertical="center"/>
    </xf>
    <xf numFmtId="0" fontId="75" fillId="34" borderId="171" xfId="0" applyFont="1" applyFill="1" applyBorder="1" applyAlignment="1">
      <alignment horizontal="left" vertical="center"/>
    </xf>
    <xf numFmtId="0" fontId="101" fillId="32" borderId="177" xfId="0" applyFont="1" applyFill="1" applyBorder="1" applyAlignment="1">
      <alignment horizontal="center" vertical="center" wrapText="1"/>
    </xf>
    <xf numFmtId="0" fontId="146" fillId="43" borderId="247" xfId="0" applyFont="1" applyFill="1" applyBorder="1" applyAlignment="1">
      <alignment horizontal="center" vertical="center"/>
    </xf>
    <xf numFmtId="0" fontId="111" fillId="44" borderId="137" xfId="0" applyFont="1" applyFill="1" applyBorder="1" applyAlignment="1">
      <alignment horizontal="center" vertical="center"/>
    </xf>
    <xf numFmtId="0" fontId="128" fillId="42" borderId="247" xfId="1" applyFont="1" applyFill="1" applyBorder="1" applyAlignment="1">
      <alignment horizontal="center" vertical="center"/>
    </xf>
    <xf numFmtId="0" fontId="128" fillId="42" borderId="137" xfId="1" applyFont="1" applyFill="1" applyBorder="1" applyAlignment="1">
      <alignment horizontal="center" vertical="center"/>
    </xf>
    <xf numFmtId="0" fontId="146" fillId="44" borderId="137" xfId="0" applyFont="1" applyFill="1" applyBorder="1" applyAlignment="1">
      <alignment horizontal="center" vertical="center"/>
    </xf>
    <xf numFmtId="0" fontId="137" fillId="31" borderId="0" xfId="0" applyFont="1" applyFill="1" applyAlignment="1">
      <alignment horizontal="center" vertical="center"/>
    </xf>
    <xf numFmtId="0" fontId="120" fillId="32" borderId="177" xfId="0" applyFont="1" applyFill="1" applyBorder="1" applyAlignment="1">
      <alignment horizontal="center" vertical="center" wrapText="1"/>
    </xf>
    <xf numFmtId="0" fontId="101" fillId="32" borderId="178" xfId="0" applyFont="1" applyFill="1" applyBorder="1" applyAlignment="1">
      <alignment horizontal="center" vertical="center" wrapText="1"/>
    </xf>
    <xf numFmtId="0" fontId="101" fillId="32" borderId="179" xfId="0" applyFont="1" applyFill="1" applyBorder="1" applyAlignment="1">
      <alignment horizontal="center" vertical="center" wrapText="1"/>
    </xf>
    <xf numFmtId="0" fontId="102" fillId="35" borderId="180" xfId="0" quotePrefix="1" applyFont="1" applyFill="1" applyBorder="1" applyAlignment="1">
      <alignment horizontal="center" vertical="center"/>
    </xf>
    <xf numFmtId="0" fontId="102" fillId="35" borderId="181" xfId="0" quotePrefix="1" applyFont="1" applyFill="1" applyBorder="1" applyAlignment="1">
      <alignment horizontal="center" vertical="center"/>
    </xf>
    <xf numFmtId="0" fontId="102" fillId="35" borderId="182" xfId="0" quotePrefix="1" applyFont="1" applyFill="1" applyBorder="1" applyAlignment="1">
      <alignment horizontal="center" vertical="center"/>
    </xf>
    <xf numFmtId="0" fontId="128" fillId="42" borderId="286" xfId="1" applyFont="1" applyFill="1" applyBorder="1" applyAlignment="1">
      <alignment horizontal="center" vertical="center" wrapText="1"/>
    </xf>
    <xf numFmtId="0" fontId="128" fillId="42" borderId="287" xfId="1" applyFont="1" applyFill="1" applyBorder="1" applyAlignment="1">
      <alignment horizontal="center" vertical="center" wrapText="1"/>
    </xf>
    <xf numFmtId="0" fontId="101" fillId="41" borderId="286" xfId="0" applyFont="1" applyFill="1" applyBorder="1" applyAlignment="1">
      <alignment horizontal="center" vertical="center" wrapText="1"/>
    </xf>
    <xf numFmtId="0" fontId="101" fillId="41" borderId="287" xfId="0" applyFont="1" applyFill="1" applyBorder="1" applyAlignment="1">
      <alignment horizontal="center" vertical="center" wrapText="1"/>
    </xf>
    <xf numFmtId="0" fontId="64" fillId="0" borderId="166" xfId="0" applyFont="1" applyBorder="1" applyAlignment="1">
      <alignment vertical="center"/>
    </xf>
    <xf numFmtId="0" fontId="64" fillId="0" borderId="163" xfId="0" applyFont="1" applyBorder="1" applyAlignment="1">
      <alignment vertical="center"/>
    </xf>
    <xf numFmtId="0" fontId="64" fillId="0" borderId="168" xfId="0" applyFont="1" applyBorder="1" applyAlignment="1">
      <alignment vertical="center"/>
    </xf>
    <xf numFmtId="0" fontId="99" fillId="0" borderId="165" xfId="0" applyFont="1" applyBorder="1" applyAlignment="1">
      <alignment vertical="center"/>
    </xf>
    <xf numFmtId="0" fontId="99" fillId="0" borderId="160" xfId="0" applyFont="1" applyBorder="1" applyAlignment="1">
      <alignment vertical="center"/>
    </xf>
    <xf numFmtId="0" fontId="99" fillId="0" borderId="161" xfId="0" applyFont="1" applyBorder="1" applyAlignment="1">
      <alignment vertical="center"/>
    </xf>
    <xf numFmtId="0" fontId="96" fillId="0" borderId="165" xfId="0" applyFont="1" applyBorder="1" applyAlignment="1">
      <alignment vertical="center"/>
    </xf>
    <xf numFmtId="0" fontId="96" fillId="0" borderId="160" xfId="0" applyFont="1" applyBorder="1" applyAlignment="1">
      <alignment vertical="center"/>
    </xf>
    <xf numFmtId="0" fontId="96" fillId="0" borderId="161" xfId="0" applyFont="1" applyBorder="1" applyAlignment="1">
      <alignment vertical="center"/>
    </xf>
    <xf numFmtId="0" fontId="99" fillId="7" borderId="166" xfId="0" applyFont="1" applyFill="1" applyBorder="1" applyAlignment="1">
      <alignment vertical="center"/>
    </xf>
    <xf numFmtId="0" fontId="99" fillId="7" borderId="163" xfId="0" applyFont="1" applyFill="1" applyBorder="1" applyAlignment="1">
      <alignment vertical="center"/>
    </xf>
    <xf numFmtId="0" fontId="99" fillId="7" borderId="164" xfId="0" applyFont="1" applyFill="1" applyBorder="1" applyAlignment="1">
      <alignment vertical="center"/>
    </xf>
    <xf numFmtId="0" fontId="98" fillId="0" borderId="159" xfId="0" applyFont="1" applyBorder="1" applyAlignment="1">
      <alignment vertical="center"/>
    </xf>
    <xf numFmtId="0" fontId="98" fillId="0" borderId="160" xfId="0" applyFont="1" applyBorder="1" applyAlignment="1">
      <alignment vertical="center"/>
    </xf>
    <xf numFmtId="0" fontId="98" fillId="0" borderId="161" xfId="0" applyFont="1" applyBorder="1" applyAlignment="1">
      <alignment vertical="center"/>
    </xf>
    <xf numFmtId="0" fontId="64" fillId="0" borderId="165" xfId="0" applyFont="1" applyBorder="1" applyAlignment="1">
      <alignment vertical="center"/>
    </xf>
    <xf numFmtId="0" fontId="64" fillId="0" borderId="160" xfId="0" applyFont="1" applyBorder="1" applyAlignment="1">
      <alignment vertical="center"/>
    </xf>
    <xf numFmtId="0" fontId="64" fillId="0" borderId="167" xfId="0" applyFont="1" applyBorder="1" applyAlignment="1">
      <alignment vertical="center"/>
    </xf>
    <xf numFmtId="0" fontId="64" fillId="0" borderId="161" xfId="0" applyFont="1" applyBorder="1" applyAlignment="1">
      <alignment vertical="center"/>
    </xf>
    <xf numFmtId="0" fontId="93" fillId="0" borderId="0" xfId="0" applyFont="1" applyAlignment="1">
      <alignment horizontal="center" vertical="center" wrapText="1"/>
    </xf>
    <xf numFmtId="0" fontId="98" fillId="0" borderId="162" xfId="0" applyFont="1" applyBorder="1" applyAlignment="1">
      <alignment vertical="center"/>
    </xf>
    <xf numFmtId="0" fontId="98" fillId="0" borderId="163" xfId="0" applyFont="1" applyBorder="1" applyAlignment="1">
      <alignment vertical="center"/>
    </xf>
    <xf numFmtId="0" fontId="98" fillId="0" borderId="164" xfId="0" applyFont="1" applyBorder="1" applyAlignment="1">
      <alignment vertical="center"/>
    </xf>
    <xf numFmtId="0" fontId="64" fillId="0" borderId="164" xfId="0" applyFont="1" applyBorder="1" applyAlignment="1">
      <alignment vertical="center"/>
    </xf>
    <xf numFmtId="0" fontId="99" fillId="0" borderId="166" xfId="0" applyFont="1" applyBorder="1" applyAlignment="1">
      <alignment vertical="center"/>
    </xf>
    <xf numFmtId="0" fontId="99" fillId="0" borderId="163" xfId="0" applyFont="1" applyBorder="1" applyAlignment="1">
      <alignment vertical="center"/>
    </xf>
    <xf numFmtId="0" fontId="99" fillId="0" borderId="164" xfId="0" applyFont="1" applyBorder="1" applyAlignment="1">
      <alignment vertical="center"/>
    </xf>
    <xf numFmtId="0" fontId="96" fillId="0" borderId="166" xfId="0" applyFont="1" applyBorder="1" applyAlignment="1">
      <alignment vertical="center"/>
    </xf>
    <xf numFmtId="0" fontId="96" fillId="0" borderId="163" xfId="0" applyFont="1" applyBorder="1" applyAlignment="1">
      <alignment vertical="center"/>
    </xf>
    <xf numFmtId="0" fontId="96" fillId="0" borderId="164" xfId="0" applyFont="1" applyBorder="1" applyAlignment="1">
      <alignment vertical="center"/>
    </xf>
    <xf numFmtId="14" fontId="93" fillId="0" borderId="0" xfId="0" applyNumberFormat="1" applyFont="1" applyAlignment="1" applyProtection="1">
      <alignment horizontal="center" vertical="center"/>
      <protection locked="0"/>
    </xf>
    <xf numFmtId="0" fontId="93" fillId="0" borderId="0" xfId="0" applyFont="1" applyAlignment="1" applyProtection="1">
      <alignment horizontal="center" vertical="center" wrapText="1"/>
      <protection locked="0"/>
    </xf>
    <xf numFmtId="0" fontId="66" fillId="33" borderId="156" xfId="0" applyFont="1" applyFill="1" applyBorder="1" applyAlignment="1">
      <alignment horizontal="center" vertical="center" wrapText="1"/>
    </xf>
    <xf numFmtId="0" fontId="66" fillId="33" borderId="157" xfId="0" applyFont="1" applyFill="1" applyBorder="1" applyAlignment="1">
      <alignment horizontal="center" vertical="center"/>
    </xf>
    <xf numFmtId="0" fontId="66" fillId="33" borderId="158" xfId="0" applyFont="1" applyFill="1" applyBorder="1" applyAlignment="1">
      <alignment horizontal="center" vertical="center"/>
    </xf>
    <xf numFmtId="0" fontId="97" fillId="0" borderId="165" xfId="0" quotePrefix="1" applyFont="1" applyBorder="1" applyAlignment="1">
      <alignment vertical="center"/>
    </xf>
    <xf numFmtId="0" fontId="97" fillId="0" borderId="160" xfId="0" applyFont="1" applyBorder="1" applyAlignment="1">
      <alignment vertical="center"/>
    </xf>
    <xf numFmtId="0" fontId="97" fillId="0" borderId="161" xfId="0" applyFont="1" applyBorder="1" applyAlignment="1">
      <alignment vertical="center"/>
    </xf>
    <xf numFmtId="0" fontId="97" fillId="0" borderId="165" xfId="0" applyFont="1" applyBorder="1" applyAlignment="1">
      <alignment vertical="center"/>
    </xf>
    <xf numFmtId="0" fontId="147" fillId="43" borderId="247" xfId="0" applyFont="1" applyFill="1" applyBorder="1" applyAlignment="1">
      <alignment horizontal="center" vertical="center" wrapText="1"/>
    </xf>
    <xf numFmtId="0" fontId="101" fillId="44" borderId="137" xfId="0" applyFont="1" applyFill="1" applyBorder="1" applyAlignment="1">
      <alignment horizontal="center" vertical="center" wrapText="1"/>
    </xf>
    <xf numFmtId="0" fontId="128" fillId="42" borderId="247" xfId="1" applyFont="1" applyFill="1" applyBorder="1" applyAlignment="1">
      <alignment horizontal="center" vertical="center" wrapText="1"/>
    </xf>
    <xf numFmtId="0" fontId="128" fillId="42" borderId="137" xfId="1" applyFont="1" applyFill="1" applyBorder="1" applyAlignment="1">
      <alignment horizontal="center" vertical="center" wrapText="1"/>
    </xf>
    <xf numFmtId="0" fontId="147" fillId="43" borderId="286" xfId="0" applyFont="1" applyFill="1" applyBorder="1" applyAlignment="1">
      <alignment horizontal="center" vertical="center"/>
    </xf>
    <xf numFmtId="0" fontId="147" fillId="43" borderId="287" xfId="0" applyFont="1" applyFill="1" applyBorder="1" applyAlignment="1">
      <alignment horizontal="center" vertical="center"/>
    </xf>
    <xf numFmtId="0" fontId="125" fillId="32" borderId="1" xfId="0" applyFont="1" applyFill="1" applyBorder="1" applyAlignment="1">
      <alignment horizontal="center" vertical="center"/>
    </xf>
    <xf numFmtId="0" fontId="125" fillId="32" borderId="253" xfId="0" applyFont="1" applyFill="1" applyBorder="1" applyAlignment="1">
      <alignment horizontal="center" vertical="center"/>
    </xf>
    <xf numFmtId="0" fontId="95" fillId="9" borderId="3" xfId="0" applyFont="1" applyFill="1" applyBorder="1" applyAlignment="1">
      <alignment horizontal="left" vertical="center"/>
    </xf>
    <xf numFmtId="0" fontId="95" fillId="9" borderId="254" xfId="0" applyFont="1" applyFill="1" applyBorder="1" applyAlignment="1">
      <alignment horizontal="left" vertical="center"/>
    </xf>
    <xf numFmtId="0" fontId="92" fillId="0" borderId="242" xfId="0" applyFont="1" applyBorder="1" applyAlignment="1">
      <alignment horizontal="center" vertical="center"/>
    </xf>
    <xf numFmtId="0" fontId="92" fillId="0" borderId="4" xfId="0" applyFont="1" applyBorder="1" applyAlignment="1">
      <alignment horizontal="center" vertical="center"/>
    </xf>
    <xf numFmtId="0" fontId="125" fillId="32" borderId="73" xfId="0" applyFont="1" applyFill="1" applyBorder="1" applyAlignment="1">
      <alignment horizontal="center" vertical="center"/>
    </xf>
    <xf numFmtId="0" fontId="125" fillId="32" borderId="21" xfId="0" applyFont="1" applyFill="1" applyBorder="1" applyAlignment="1">
      <alignment horizontal="center" vertical="center"/>
    </xf>
    <xf numFmtId="0" fontId="92" fillId="3" borderId="175" xfId="0" applyFont="1" applyFill="1" applyBorder="1" applyAlignment="1">
      <alignment horizontal="left" vertical="center"/>
    </xf>
    <xf numFmtId="0" fontId="92" fillId="9" borderId="216" xfId="0" applyFont="1" applyFill="1" applyBorder="1" applyAlignment="1">
      <alignment horizontal="center" vertical="center"/>
    </xf>
    <xf numFmtId="0" fontId="92" fillId="9" borderId="78" xfId="0" applyFont="1" applyFill="1" applyBorder="1" applyAlignment="1">
      <alignment horizontal="center" vertical="center"/>
    </xf>
    <xf numFmtId="0" fontId="92" fillId="0" borderId="280" xfId="0" applyFont="1" applyBorder="1" applyAlignment="1">
      <alignment horizontal="center" vertical="center"/>
    </xf>
    <xf numFmtId="0" fontId="92" fillId="0" borderId="78" xfId="0" applyFont="1" applyBorder="1" applyAlignment="1">
      <alignment horizontal="center" vertical="center"/>
    </xf>
    <xf numFmtId="0" fontId="92" fillId="0" borderId="118" xfId="0" applyFont="1" applyBorder="1" applyAlignment="1">
      <alignment horizontal="center" vertical="center"/>
    </xf>
    <xf numFmtId="0" fontId="92" fillId="0" borderId="248" xfId="0" applyFont="1" applyBorder="1" applyAlignment="1">
      <alignment horizontal="left" vertical="center"/>
    </xf>
    <xf numFmtId="0" fontId="92" fillId="9" borderId="224" xfId="0" applyFont="1" applyFill="1" applyBorder="1" applyAlignment="1">
      <alignment horizontal="center" vertical="center"/>
    </xf>
    <xf numFmtId="0" fontId="92" fillId="9" borderId="225" xfId="0" applyFont="1" applyFill="1" applyBorder="1" applyAlignment="1">
      <alignment horizontal="center" vertical="center"/>
    </xf>
    <xf numFmtId="0" fontId="92" fillId="0" borderId="281" xfId="0" applyFont="1" applyBorder="1" applyAlignment="1">
      <alignment horizontal="center" vertical="center"/>
    </xf>
    <xf numFmtId="0" fontId="92" fillId="0" borderId="225" xfId="0" applyFont="1" applyBorder="1" applyAlignment="1">
      <alignment horizontal="center" vertical="center"/>
    </xf>
    <xf numFmtId="0" fontId="92" fillId="0" borderId="239" xfId="0" applyFont="1" applyBorder="1" applyAlignment="1">
      <alignment horizontal="center" vertical="center"/>
    </xf>
    <xf numFmtId="0" fontId="92" fillId="32" borderId="278" xfId="0" applyFont="1" applyFill="1" applyBorder="1" applyAlignment="1">
      <alignment horizontal="center" vertical="center"/>
    </xf>
    <xf numFmtId="0" fontId="92" fillId="32" borderId="279" xfId="0" applyFont="1" applyFill="1" applyBorder="1" applyAlignment="1">
      <alignment horizontal="center" vertical="center"/>
    </xf>
    <xf numFmtId="0" fontId="92" fillId="9" borderId="222" xfId="0" applyFont="1" applyFill="1" applyBorder="1" applyAlignment="1">
      <alignment horizontal="center" vertical="center"/>
    </xf>
    <xf numFmtId="0" fontId="92" fillId="9" borderId="223" xfId="0" applyFont="1" applyFill="1" applyBorder="1" applyAlignment="1">
      <alignment horizontal="center" vertical="center"/>
    </xf>
    <xf numFmtId="0" fontId="92" fillId="0" borderId="223" xfId="0" applyFont="1" applyBorder="1" applyAlignment="1">
      <alignment horizontal="center" vertical="center"/>
    </xf>
    <xf numFmtId="0" fontId="92" fillId="0" borderId="217" xfId="0" applyFont="1" applyBorder="1" applyAlignment="1">
      <alignment horizontal="center" vertical="center"/>
    </xf>
    <xf numFmtId="0" fontId="100" fillId="24" borderId="268" xfId="0" applyFont="1" applyFill="1" applyBorder="1" applyAlignment="1">
      <alignment horizontal="center" vertical="center" wrapText="1"/>
    </xf>
    <xf numFmtId="0" fontId="100" fillId="24" borderId="269" xfId="0" applyFont="1" applyFill="1" applyBorder="1" applyAlignment="1">
      <alignment horizontal="center" vertical="center" wrapText="1"/>
    </xf>
    <xf numFmtId="0" fontId="100" fillId="24" borderId="271" xfId="0" applyFont="1" applyFill="1" applyBorder="1" applyAlignment="1">
      <alignment horizontal="center" vertical="center" wrapText="1"/>
    </xf>
    <xf numFmtId="0" fontId="100" fillId="24" borderId="272" xfId="0" applyFont="1" applyFill="1" applyBorder="1" applyAlignment="1">
      <alignment horizontal="center" vertical="center" wrapText="1"/>
    </xf>
    <xf numFmtId="0" fontId="100" fillId="24" borderId="274" xfId="0" applyFont="1" applyFill="1" applyBorder="1" applyAlignment="1">
      <alignment horizontal="center" vertical="center" wrapText="1"/>
    </xf>
    <xf numFmtId="0" fontId="100" fillId="24" borderId="275" xfId="0" applyFont="1" applyFill="1" applyBorder="1" applyAlignment="1">
      <alignment horizontal="center" vertical="center" wrapText="1"/>
    </xf>
    <xf numFmtId="0" fontId="95" fillId="31" borderId="268" xfId="0" applyFont="1" applyFill="1" applyBorder="1" applyAlignment="1">
      <alignment horizontal="left" vertical="center"/>
    </xf>
    <xf numFmtId="0" fontId="95" fillId="31" borderId="270" xfId="0" applyFont="1" applyFill="1" applyBorder="1" applyAlignment="1">
      <alignment horizontal="left" vertical="center"/>
    </xf>
    <xf numFmtId="0" fontId="95" fillId="31" borderId="269" xfId="0" applyFont="1" applyFill="1" applyBorder="1" applyAlignment="1">
      <alignment horizontal="left" vertical="center"/>
    </xf>
    <xf numFmtId="0" fontId="95" fillId="31" borderId="271" xfId="0" applyFont="1" applyFill="1" applyBorder="1" applyAlignment="1">
      <alignment horizontal="left" vertical="center"/>
    </xf>
    <xf numFmtId="0" fontId="95" fillId="31" borderId="0" xfId="0" applyFont="1" applyFill="1" applyAlignment="1">
      <alignment horizontal="left" vertical="center"/>
    </xf>
    <xf numFmtId="0" fontId="95" fillId="31" borderId="272" xfId="0" applyFont="1" applyFill="1" applyBorder="1" applyAlignment="1">
      <alignment horizontal="left" vertical="center"/>
    </xf>
    <xf numFmtId="0" fontId="95" fillId="31" borderId="274" xfId="0" applyFont="1" applyFill="1" applyBorder="1" applyAlignment="1">
      <alignment horizontal="left" vertical="center"/>
    </xf>
    <xf numFmtId="0" fontId="95" fillId="31" borderId="276" xfId="0" applyFont="1" applyFill="1" applyBorder="1" applyAlignment="1">
      <alignment horizontal="left" vertical="center"/>
    </xf>
    <xf numFmtId="0" fontId="95" fillId="31" borderId="275" xfId="0" applyFont="1" applyFill="1" applyBorder="1" applyAlignment="1">
      <alignment horizontal="left" vertical="center"/>
    </xf>
    <xf numFmtId="0" fontId="131" fillId="32" borderId="213" xfId="0" applyFont="1" applyFill="1" applyBorder="1" applyAlignment="1">
      <alignment horizontal="center" vertical="center"/>
    </xf>
    <xf numFmtId="0" fontId="131" fillId="32" borderId="214" xfId="0" applyFont="1" applyFill="1" applyBorder="1" applyAlignment="1">
      <alignment horizontal="center" vertical="center"/>
    </xf>
    <xf numFmtId="0" fontId="131" fillId="32" borderId="215" xfId="0" applyFont="1" applyFill="1" applyBorder="1" applyAlignment="1">
      <alignment horizontal="center" vertical="center"/>
    </xf>
    <xf numFmtId="0" fontId="131" fillId="40" borderId="4" xfId="0" applyFont="1" applyFill="1" applyBorder="1" applyAlignment="1">
      <alignment horizontal="center" vertical="center" wrapText="1"/>
    </xf>
    <xf numFmtId="0" fontId="131" fillId="40" borderId="13" xfId="0" applyFont="1" applyFill="1" applyBorder="1" applyAlignment="1">
      <alignment horizontal="center" vertical="center" wrapText="1"/>
    </xf>
    <xf numFmtId="0" fontId="131" fillId="32" borderId="13" xfId="0" applyFont="1" applyFill="1" applyBorder="1" applyAlignment="1">
      <alignment horizontal="center" vertical="center"/>
    </xf>
    <xf numFmtId="0" fontId="131" fillId="32" borderId="4" xfId="0" applyFont="1" applyFill="1" applyBorder="1" applyAlignment="1">
      <alignment horizontal="center" vertical="center"/>
    </xf>
    <xf numFmtId="0" fontId="92" fillId="32" borderId="277" xfId="0" applyFont="1" applyFill="1" applyBorder="1" applyAlignment="1">
      <alignment horizontal="center" vertical="center"/>
    </xf>
    <xf numFmtId="0" fontId="125" fillId="32" borderId="1" xfId="0" applyFont="1" applyFill="1" applyBorder="1" applyAlignment="1">
      <alignment horizontal="center" vertical="center" wrapText="1"/>
    </xf>
    <xf numFmtId="0" fontId="125" fillId="32" borderId="2" xfId="0" applyFont="1" applyFill="1" applyBorder="1" applyAlignment="1">
      <alignment horizontal="center" vertical="center" wrapText="1"/>
    </xf>
    <xf numFmtId="0" fontId="95" fillId="9" borderId="237" xfId="0" applyFont="1" applyFill="1" applyBorder="1" applyAlignment="1">
      <alignment horizontal="left" vertical="center"/>
    </xf>
    <xf numFmtId="0" fontId="95" fillId="9" borderId="213" xfId="0" applyFont="1" applyFill="1" applyBorder="1" applyAlignment="1">
      <alignment horizontal="left" vertical="center"/>
    </xf>
    <xf numFmtId="0" fontId="92" fillId="0" borderId="237" xfId="0" applyFont="1" applyBorder="1" applyAlignment="1">
      <alignment horizontal="center" vertical="center"/>
    </xf>
    <xf numFmtId="0" fontId="92" fillId="0" borderId="238" xfId="0" applyFont="1" applyBorder="1" applyAlignment="1">
      <alignment horizontal="center" vertical="center"/>
    </xf>
    <xf numFmtId="0" fontId="125" fillId="32" borderId="72" xfId="0" applyFont="1" applyFill="1" applyBorder="1" applyAlignment="1">
      <alignment horizontal="center" vertical="center" wrapText="1"/>
    </xf>
    <xf numFmtId="0" fontId="125" fillId="32" borderId="73" xfId="0" applyFont="1" applyFill="1" applyBorder="1" applyAlignment="1">
      <alignment horizontal="center" vertical="center" wrapText="1"/>
    </xf>
    <xf numFmtId="0" fontId="125" fillId="32" borderId="98" xfId="0" applyFont="1" applyFill="1" applyBorder="1" applyAlignment="1">
      <alignment horizontal="center" vertical="center" wrapText="1"/>
    </xf>
    <xf numFmtId="0" fontId="125" fillId="32" borderId="0" xfId="0" applyFont="1" applyFill="1" applyAlignment="1">
      <alignment horizontal="center" vertical="center" wrapText="1"/>
    </xf>
    <xf numFmtId="0" fontId="125" fillId="32" borderId="20" xfId="0" applyFont="1" applyFill="1" applyBorder="1" applyAlignment="1">
      <alignment horizontal="center" vertical="center" wrapText="1"/>
    </xf>
    <xf numFmtId="0" fontId="125" fillId="32" borderId="21" xfId="0" applyFont="1" applyFill="1" applyBorder="1" applyAlignment="1">
      <alignment horizontal="center" vertical="center" wrapText="1"/>
    </xf>
    <xf numFmtId="0" fontId="95" fillId="9" borderId="236" xfId="0" applyFont="1" applyFill="1" applyBorder="1" applyAlignment="1">
      <alignment horizontal="left" vertical="center"/>
    </xf>
    <xf numFmtId="0" fontId="92" fillId="0" borderId="236" xfId="0" applyFont="1" applyBorder="1" applyAlignment="1">
      <alignment horizontal="center" vertical="center"/>
    </xf>
    <xf numFmtId="0" fontId="92" fillId="31" borderId="260" xfId="0" applyFont="1" applyFill="1" applyBorder="1" applyAlignment="1">
      <alignment horizontal="center" vertical="top" wrapText="1"/>
    </xf>
    <xf numFmtId="0" fontId="92" fillId="31" borderId="261" xfId="0" applyFont="1" applyFill="1" applyBorder="1" applyAlignment="1">
      <alignment horizontal="center" vertical="top" wrapText="1"/>
    </xf>
    <xf numFmtId="0" fontId="92" fillId="31" borderId="262" xfId="0" applyFont="1" applyFill="1" applyBorder="1" applyAlignment="1">
      <alignment horizontal="center" vertical="top" wrapText="1"/>
    </xf>
    <xf numFmtId="0" fontId="92" fillId="31" borderId="265" xfId="0" applyFont="1" applyFill="1" applyBorder="1" applyAlignment="1">
      <alignment horizontal="center" vertical="top" wrapText="1"/>
    </xf>
    <xf numFmtId="0" fontId="92" fillId="31" borderId="266" xfId="0" applyFont="1" applyFill="1" applyBorder="1" applyAlignment="1">
      <alignment horizontal="center" vertical="top" wrapText="1"/>
    </xf>
    <xf numFmtId="0" fontId="92" fillId="31" borderId="267" xfId="0" applyFont="1" applyFill="1" applyBorder="1" applyAlignment="1">
      <alignment horizontal="center" vertical="top" wrapText="1"/>
    </xf>
    <xf numFmtId="0" fontId="95" fillId="9" borderId="217" xfId="0" applyFont="1" applyFill="1" applyBorder="1" applyAlignment="1">
      <alignment horizontal="left" vertical="center"/>
    </xf>
    <xf numFmtId="0" fontId="95" fillId="9" borderId="216" xfId="0" applyFont="1" applyFill="1" applyBorder="1" applyAlignment="1">
      <alignment horizontal="left" vertical="center"/>
    </xf>
    <xf numFmtId="0" fontId="92" fillId="0" borderId="240" xfId="0" applyFont="1" applyBorder="1" applyAlignment="1">
      <alignment horizontal="center" vertical="center"/>
    </xf>
    <xf numFmtId="0" fontId="140" fillId="32" borderId="254" xfId="0" applyFont="1" applyFill="1" applyBorder="1" applyAlignment="1">
      <alignment horizontal="center" vertical="center"/>
    </xf>
    <xf numFmtId="0" fontId="140" fillId="32" borderId="241" xfId="0" applyFont="1" applyFill="1" applyBorder="1" applyAlignment="1">
      <alignment horizontal="center" vertical="center"/>
    </xf>
    <xf numFmtId="0" fontId="92" fillId="0" borderId="3" xfId="0" applyFont="1" applyBorder="1" applyAlignment="1">
      <alignment horizontal="center" vertical="center"/>
    </xf>
    <xf numFmtId="0" fontId="92" fillId="0" borderId="1" xfId="0" applyFont="1" applyBorder="1" applyAlignment="1">
      <alignment horizontal="center" vertical="center"/>
    </xf>
    <xf numFmtId="0" fontId="140" fillId="32" borderId="4" xfId="0" applyFont="1" applyFill="1" applyBorder="1" applyAlignment="1">
      <alignment horizontal="center" vertical="center"/>
    </xf>
    <xf numFmtId="0" fontId="64" fillId="0" borderId="166" xfId="0" applyFont="1" applyBorder="1" applyAlignment="1">
      <alignment horizontal="left" vertical="center"/>
    </xf>
    <xf numFmtId="0" fontId="64" fillId="0" borderId="163" xfId="0" applyFont="1" applyBorder="1" applyAlignment="1">
      <alignment horizontal="left" vertical="center"/>
    </xf>
    <xf numFmtId="0" fontId="64" fillId="0" borderId="164" xfId="0" applyFont="1" applyBorder="1" applyAlignment="1">
      <alignment horizontal="left" vertical="center"/>
    </xf>
    <xf numFmtId="0" fontId="64" fillId="0" borderId="165" xfId="0" applyFont="1" applyBorder="1" applyAlignment="1">
      <alignment horizontal="left" vertical="center"/>
    </xf>
    <xf numFmtId="0" fontId="64" fillId="0" borderId="160" xfId="0" applyFont="1" applyBorder="1" applyAlignment="1">
      <alignment horizontal="left" vertical="center"/>
    </xf>
    <xf numFmtId="0" fontId="64" fillId="0" borderId="161" xfId="0" applyFont="1" applyBorder="1" applyAlignment="1">
      <alignment horizontal="left" vertical="center"/>
    </xf>
    <xf numFmtId="0" fontId="103" fillId="3" borderId="0" xfId="0" applyFont="1" applyFill="1" applyAlignment="1">
      <alignment horizontal="left" vertical="center"/>
    </xf>
    <xf numFmtId="0" fontId="103" fillId="31" borderId="260" xfId="0" applyFont="1" applyFill="1" applyBorder="1" applyAlignment="1">
      <alignment horizontal="left" vertical="top" wrapText="1"/>
    </xf>
    <xf numFmtId="0" fontId="103" fillId="31" borderId="261" xfId="0" applyFont="1" applyFill="1" applyBorder="1" applyAlignment="1">
      <alignment horizontal="left" vertical="top" wrapText="1"/>
    </xf>
    <xf numFmtId="0" fontId="103" fillId="31" borderId="262" xfId="0" applyFont="1" applyFill="1" applyBorder="1" applyAlignment="1">
      <alignment horizontal="left" vertical="top" wrapText="1"/>
    </xf>
    <xf numFmtId="0" fontId="103" fillId="31" borderId="263" xfId="0" applyFont="1" applyFill="1" applyBorder="1" applyAlignment="1">
      <alignment horizontal="left" vertical="top" wrapText="1"/>
    </xf>
    <xf numFmtId="0" fontId="103" fillId="31" borderId="0" xfId="0" applyFont="1" applyFill="1" applyAlignment="1">
      <alignment horizontal="left" vertical="top" wrapText="1"/>
    </xf>
    <xf numFmtId="0" fontId="103" fillId="31" borderId="264" xfId="0" applyFont="1" applyFill="1" applyBorder="1" applyAlignment="1">
      <alignment horizontal="left" vertical="top" wrapText="1"/>
    </xf>
    <xf numFmtId="0" fontId="103" fillId="31" borderId="265" xfId="0" applyFont="1" applyFill="1" applyBorder="1" applyAlignment="1">
      <alignment horizontal="left" vertical="top" wrapText="1"/>
    </xf>
    <xf numFmtId="0" fontId="103" fillId="31" borderId="266" xfId="0" applyFont="1" applyFill="1" applyBorder="1" applyAlignment="1">
      <alignment horizontal="left" vertical="top" wrapText="1"/>
    </xf>
    <xf numFmtId="0" fontId="103" fillId="31" borderId="267" xfId="0" applyFont="1" applyFill="1" applyBorder="1" applyAlignment="1">
      <alignment horizontal="left" vertical="top" wrapText="1"/>
    </xf>
    <xf numFmtId="0" fontId="102" fillId="35" borderId="1" xfId="0" applyFont="1" applyFill="1" applyBorder="1" applyAlignment="1">
      <alignment horizontal="center" vertical="center"/>
    </xf>
    <xf numFmtId="0" fontId="102" fillId="35" borderId="2" xfId="0" applyFont="1" applyFill="1" applyBorder="1" applyAlignment="1">
      <alignment horizontal="center" vertical="center"/>
    </xf>
    <xf numFmtId="0" fontId="102" fillId="35" borderId="3" xfId="0" applyFont="1" applyFill="1" applyBorder="1" applyAlignment="1">
      <alignment horizontal="center" vertical="center"/>
    </xf>
    <xf numFmtId="0" fontId="0" fillId="31" borderId="4" xfId="0" applyFill="1" applyBorder="1" applyAlignment="1">
      <alignment horizontal="center" vertical="center"/>
    </xf>
    <xf numFmtId="0" fontId="0" fillId="0" borderId="4" xfId="0" applyBorder="1" applyAlignment="1">
      <alignment horizontal="center" vertical="center"/>
    </xf>
    <xf numFmtId="10" fontId="0" fillId="31" borderId="1" xfId="0" applyNumberFormat="1" applyFill="1" applyBorder="1" applyAlignment="1">
      <alignment horizontal="center" vertical="center"/>
    </xf>
    <xf numFmtId="10" fontId="0" fillId="31" borderId="3" xfId="0" applyNumberFormat="1" applyFill="1" applyBorder="1" applyAlignment="1">
      <alignment horizontal="center" vertical="center"/>
    </xf>
    <xf numFmtId="0" fontId="0" fillId="31" borderId="248" xfId="0" applyFill="1" applyBorder="1" applyAlignment="1">
      <alignment horizontal="center" vertical="center"/>
    </xf>
    <xf numFmtId="0" fontId="0" fillId="0" borderId="248" xfId="0" applyBorder="1" applyAlignment="1">
      <alignment horizontal="center" vertical="center"/>
    </xf>
    <xf numFmtId="10" fontId="0" fillId="31" borderId="216" xfId="0" applyNumberFormat="1" applyFill="1" applyBorder="1" applyAlignment="1">
      <alignment horizontal="center" vertical="center"/>
    </xf>
    <xf numFmtId="10" fontId="0" fillId="31" borderId="118" xfId="0" applyNumberFormat="1" applyFill="1" applyBorder="1" applyAlignment="1">
      <alignment horizontal="center" vertical="center"/>
    </xf>
    <xf numFmtId="0" fontId="0" fillId="31" borderId="252" xfId="0" applyFill="1" applyBorder="1" applyAlignment="1">
      <alignment horizontal="center" vertical="center"/>
    </xf>
    <xf numFmtId="0" fontId="0" fillId="0" borderId="252" xfId="0" applyBorder="1" applyAlignment="1">
      <alignment horizontal="center" vertical="center"/>
    </xf>
    <xf numFmtId="10" fontId="0" fillId="31" borderId="218" xfId="0" applyNumberFormat="1" applyFill="1" applyBorder="1" applyAlignment="1">
      <alignment horizontal="center" vertical="center"/>
    </xf>
    <xf numFmtId="10" fontId="0" fillId="31" borderId="221" xfId="0" applyNumberFormat="1" applyFill="1" applyBorder="1" applyAlignment="1">
      <alignment horizontal="center" vertical="center"/>
    </xf>
    <xf numFmtId="0" fontId="0" fillId="40" borderId="4" xfId="0" applyFill="1" applyBorder="1" applyAlignment="1">
      <alignment horizontal="center" vertical="center"/>
    </xf>
    <xf numFmtId="0" fontId="0" fillId="31" borderId="13" xfId="0" applyFill="1" applyBorder="1" applyAlignment="1">
      <alignment horizontal="center" vertical="center"/>
    </xf>
    <xf numFmtId="0" fontId="0" fillId="0" borderId="13" xfId="0" applyBorder="1" applyAlignment="1">
      <alignment horizontal="center" vertical="center"/>
    </xf>
    <xf numFmtId="165" fontId="0" fillId="31" borderId="13" xfId="0" applyNumberFormat="1" applyFill="1" applyBorder="1" applyAlignment="1">
      <alignment horizontal="center" vertical="center"/>
    </xf>
    <xf numFmtId="0" fontId="125" fillId="32" borderId="1" xfId="0" applyFont="1" applyFill="1" applyBorder="1" applyAlignment="1">
      <alignment horizontal="left" vertical="center"/>
    </xf>
    <xf numFmtId="0" fontId="125" fillId="32" borderId="2" xfId="0" applyFont="1" applyFill="1" applyBorder="1" applyAlignment="1">
      <alignment horizontal="left" vertical="center"/>
    </xf>
    <xf numFmtId="0" fontId="0" fillId="9" borderId="4" xfId="0" applyFill="1" applyBorder="1" applyAlignment="1">
      <alignment horizontal="center" vertical="center"/>
    </xf>
    <xf numFmtId="0" fontId="0" fillId="9" borderId="4" xfId="0" applyFill="1" applyBorder="1" applyAlignment="1">
      <alignment horizontal="center" vertical="center" wrapText="1"/>
    </xf>
    <xf numFmtId="0" fontId="94" fillId="9" borderId="256" xfId="0" applyFont="1" applyFill="1" applyBorder="1" applyAlignment="1">
      <alignment horizontal="left" vertical="center" wrapText="1"/>
    </xf>
    <xf numFmtId="0" fontId="94" fillId="9" borderId="257" xfId="0" applyFont="1" applyFill="1" applyBorder="1" applyAlignment="1">
      <alignment horizontal="left" vertical="center" wrapText="1"/>
    </xf>
    <xf numFmtId="0" fontId="94" fillId="9" borderId="258" xfId="0" applyFont="1" applyFill="1" applyBorder="1" applyAlignment="1">
      <alignment horizontal="left" vertical="center" wrapText="1"/>
    </xf>
    <xf numFmtId="0" fontId="94" fillId="9" borderId="259" xfId="0" applyFont="1" applyFill="1" applyBorder="1" applyAlignment="1">
      <alignment horizontal="left" vertical="center" wrapText="1"/>
    </xf>
    <xf numFmtId="0" fontId="94" fillId="0" borderId="257" xfId="0" applyFont="1" applyBorder="1" applyAlignment="1">
      <alignment horizontal="left" vertical="center"/>
    </xf>
    <xf numFmtId="0" fontId="94" fillId="0" borderId="243" xfId="0" applyFont="1" applyBorder="1" applyAlignment="1">
      <alignment horizontal="left" vertical="center"/>
    </xf>
    <xf numFmtId="0" fontId="94" fillId="0" borderId="259" xfId="0" applyFont="1" applyBorder="1" applyAlignment="1">
      <alignment horizontal="left" vertical="center"/>
    </xf>
    <xf numFmtId="0" fontId="94" fillId="0" borderId="255" xfId="0" applyFont="1" applyBorder="1" applyAlignment="1">
      <alignment horizontal="left" vertical="center"/>
    </xf>
    <xf numFmtId="0" fontId="143" fillId="3" borderId="98" xfId="0" applyFont="1" applyFill="1" applyBorder="1" applyAlignment="1">
      <alignment horizontal="left" vertical="center"/>
    </xf>
    <xf numFmtId="0" fontId="143" fillId="3" borderId="0" xfId="0" applyFont="1" applyFill="1" applyAlignment="1">
      <alignment horizontal="left" vertical="center"/>
    </xf>
    <xf numFmtId="0" fontId="94" fillId="3" borderId="0" xfId="0" applyFont="1" applyFill="1" applyAlignment="1">
      <alignment horizontal="left" vertical="center"/>
    </xf>
    <xf numFmtId="0" fontId="92" fillId="31" borderId="188" xfId="0" applyFont="1" applyFill="1" applyBorder="1" applyAlignment="1">
      <alignment horizontal="left" vertical="center" wrapText="1"/>
    </xf>
    <xf numFmtId="0" fontId="92" fillId="31" borderId="189" xfId="0" applyFont="1" applyFill="1" applyBorder="1" applyAlignment="1">
      <alignment horizontal="left" vertical="center" wrapText="1"/>
    </xf>
    <xf numFmtId="0" fontId="92" fillId="31" borderId="190" xfId="0" applyFont="1" applyFill="1" applyBorder="1" applyAlignment="1">
      <alignment horizontal="left" vertical="center" wrapText="1"/>
    </xf>
    <xf numFmtId="0" fontId="75" fillId="38" borderId="208" xfId="0" applyFont="1" applyFill="1" applyBorder="1" applyAlignment="1">
      <alignment horizontal="left" vertical="center"/>
    </xf>
    <xf numFmtId="0" fontId="75" fillId="38" borderId="209" xfId="0" applyFont="1" applyFill="1" applyBorder="1" applyAlignment="1">
      <alignment horizontal="left" vertical="center"/>
    </xf>
    <xf numFmtId="0" fontId="142" fillId="38" borderId="209" xfId="0" applyFont="1" applyFill="1" applyBorder="1" applyAlignment="1">
      <alignment horizontal="left" vertical="center"/>
    </xf>
    <xf numFmtId="0" fontId="142" fillId="38" borderId="210" xfId="0" applyFont="1" applyFill="1" applyBorder="1" applyAlignment="1">
      <alignment horizontal="left" vertical="center"/>
    </xf>
    <xf numFmtId="0" fontId="125" fillId="32" borderId="3" xfId="0" applyFont="1" applyFill="1" applyBorder="1" applyAlignment="1">
      <alignment horizontal="left" vertical="center"/>
    </xf>
    <xf numFmtId="0" fontId="94" fillId="9" borderId="254" xfId="0" applyFont="1" applyFill="1" applyBorder="1" applyAlignment="1">
      <alignment horizontal="left" vertical="center"/>
    </xf>
    <xf numFmtId="0" fontId="94" fillId="9" borderId="241" xfId="0" applyFont="1" applyFill="1" applyBorder="1" applyAlignment="1">
      <alignment horizontal="left" vertical="center"/>
    </xf>
    <xf numFmtId="0" fontId="94" fillId="0" borderId="241" xfId="0" applyFont="1" applyBorder="1" applyAlignment="1">
      <alignment horizontal="left" vertical="center"/>
    </xf>
    <xf numFmtId="0" fontId="94" fillId="0" borderId="242" xfId="0" applyFont="1" applyBorder="1" applyAlignment="1">
      <alignment horizontal="left" vertical="center"/>
    </xf>
    <xf numFmtId="9" fontId="92" fillId="0" borderId="4" xfId="0" applyNumberFormat="1" applyFont="1" applyBorder="1" applyAlignment="1">
      <alignment horizontal="center" vertical="center"/>
    </xf>
    <xf numFmtId="0" fontId="92" fillId="9" borderId="254" xfId="0" applyFont="1" applyFill="1" applyBorder="1" applyAlignment="1">
      <alignment horizontal="left" vertical="center" wrapText="1"/>
    </xf>
    <xf numFmtId="0" fontId="92" fillId="9" borderId="241" xfId="0" applyFont="1" applyFill="1" applyBorder="1" applyAlignment="1">
      <alignment horizontal="left" vertical="center" wrapText="1"/>
    </xf>
    <xf numFmtId="0" fontId="92" fillId="0" borderId="243" xfId="0" applyFont="1" applyBorder="1" applyAlignment="1">
      <alignment horizontal="center" vertical="center"/>
    </xf>
    <xf numFmtId="0" fontId="92" fillId="0" borderId="255" xfId="0" applyFont="1" applyBorder="1" applyAlignment="1">
      <alignment horizontal="center" vertical="center"/>
    </xf>
    <xf numFmtId="0" fontId="92" fillId="9" borderId="254" xfId="0" applyFont="1" applyFill="1" applyBorder="1" applyAlignment="1">
      <alignment horizontal="left" vertical="center"/>
    </xf>
    <xf numFmtId="0" fontId="92" fillId="9" borderId="241" xfId="0" applyFont="1" applyFill="1" applyBorder="1" applyAlignment="1">
      <alignment horizontal="left" vertical="center"/>
    </xf>
    <xf numFmtId="0" fontId="94" fillId="40" borderId="254" xfId="0" applyFont="1" applyFill="1" applyBorder="1" applyAlignment="1">
      <alignment horizontal="center" vertical="center"/>
    </xf>
    <xf numFmtId="0" fontId="92" fillId="31" borderId="242" xfId="0" applyFont="1" applyFill="1" applyBorder="1" applyAlignment="1">
      <alignment horizontal="center" vertical="center"/>
    </xf>
    <xf numFmtId="0" fontId="94" fillId="0" borderId="241" xfId="0" applyFont="1" applyBorder="1" applyAlignment="1">
      <alignment horizontal="center" vertical="center"/>
    </xf>
    <xf numFmtId="0" fontId="94" fillId="0" borderId="242" xfId="0" applyFont="1" applyBorder="1" applyAlignment="1">
      <alignment horizontal="center" vertical="center"/>
    </xf>
    <xf numFmtId="0" fontId="109" fillId="40" borderId="254" xfId="0" applyFont="1" applyFill="1" applyBorder="1" applyAlignment="1">
      <alignment horizontal="left" vertical="center"/>
    </xf>
    <xf numFmtId="0" fontId="109" fillId="40" borderId="241" xfId="0" applyFont="1" applyFill="1" applyBorder="1" applyAlignment="1">
      <alignment horizontal="left" vertical="center"/>
    </xf>
    <xf numFmtId="0" fontId="75" fillId="38" borderId="210" xfId="0" applyFont="1" applyFill="1" applyBorder="1" applyAlignment="1">
      <alignment horizontal="left" vertical="center"/>
    </xf>
    <xf numFmtId="0" fontId="125" fillId="32" borderId="4" xfId="0" applyFont="1" applyFill="1" applyBorder="1" applyAlignment="1">
      <alignment horizontal="left" vertical="center"/>
    </xf>
    <xf numFmtId="0" fontId="92" fillId="9" borderId="1" xfId="0" applyFont="1" applyFill="1" applyBorder="1" applyAlignment="1">
      <alignment horizontal="center" vertical="center"/>
    </xf>
    <xf numFmtId="0" fontId="92" fillId="9" borderId="2" xfId="0" applyFont="1" applyFill="1" applyBorder="1" applyAlignment="1">
      <alignment horizontal="center" vertical="center"/>
    </xf>
    <xf numFmtId="0" fontId="92" fillId="9" borderId="3" xfId="0" applyFont="1" applyFill="1" applyBorder="1" applyAlignment="1">
      <alignment horizontal="center" vertical="center"/>
    </xf>
    <xf numFmtId="0" fontId="125" fillId="3" borderId="1" xfId="0" applyFont="1" applyFill="1" applyBorder="1" applyAlignment="1">
      <alignment horizontal="center" vertical="center"/>
    </xf>
    <xf numFmtId="0" fontId="125" fillId="3" borderId="2" xfId="0" applyFont="1" applyFill="1" applyBorder="1" applyAlignment="1">
      <alignment horizontal="center" vertical="center"/>
    </xf>
    <xf numFmtId="0" fontId="125" fillId="3" borderId="3" xfId="0" applyFont="1" applyFill="1" applyBorder="1" applyAlignment="1">
      <alignment horizontal="center" vertical="center"/>
    </xf>
    <xf numFmtId="49" fontId="92" fillId="9" borderId="1" xfId="0" applyNumberFormat="1" applyFont="1" applyFill="1" applyBorder="1" applyAlignment="1">
      <alignment horizontal="left" vertical="center" wrapText="1"/>
    </xf>
    <xf numFmtId="49" fontId="92" fillId="9" borderId="2" xfId="0" applyNumberFormat="1" applyFont="1" applyFill="1" applyBorder="1" applyAlignment="1">
      <alignment horizontal="left" vertical="center" wrapText="1"/>
    </xf>
    <xf numFmtId="49" fontId="92" fillId="9" borderId="253" xfId="0" applyNumberFormat="1" applyFont="1" applyFill="1" applyBorder="1" applyAlignment="1">
      <alignment horizontal="left" vertical="center" wrapText="1"/>
    </xf>
    <xf numFmtId="0" fontId="92" fillId="9" borderId="1" xfId="0" applyFont="1" applyFill="1" applyBorder="1" applyAlignment="1">
      <alignment horizontal="center" vertical="center" wrapText="1"/>
    </xf>
    <xf numFmtId="0" fontId="92" fillId="9" borderId="2" xfId="0" applyFont="1" applyFill="1" applyBorder="1" applyAlignment="1">
      <alignment horizontal="center" vertical="center" wrapText="1"/>
    </xf>
    <xf numFmtId="0" fontId="92" fillId="9" borderId="253" xfId="0" applyFont="1" applyFill="1" applyBorder="1" applyAlignment="1">
      <alignment horizontal="center" vertical="center" wrapText="1"/>
    </xf>
    <xf numFmtId="0" fontId="125" fillId="32" borderId="2" xfId="0" applyFont="1" applyFill="1" applyBorder="1" applyAlignment="1">
      <alignment horizontal="center" vertical="center"/>
    </xf>
    <xf numFmtId="0" fontId="125" fillId="32" borderId="3" xfId="0" applyFont="1" applyFill="1" applyBorder="1" applyAlignment="1">
      <alignment horizontal="center" vertical="center"/>
    </xf>
    <xf numFmtId="0" fontId="66" fillId="33" borderId="156" xfId="0" applyFont="1" applyFill="1" applyBorder="1" applyAlignment="1">
      <alignment horizontal="center" vertical="center"/>
    </xf>
    <xf numFmtId="0" fontId="98" fillId="0" borderId="159" xfId="0" applyFont="1" applyBorder="1" applyAlignment="1">
      <alignment horizontal="left" vertical="center"/>
    </xf>
    <xf numFmtId="0" fontId="98" fillId="0" borderId="160" xfId="0" applyFont="1" applyBorder="1" applyAlignment="1">
      <alignment horizontal="left" vertical="center"/>
    </xf>
    <xf numFmtId="0" fontId="98" fillId="0" borderId="161" xfId="0" applyFont="1" applyBorder="1" applyAlignment="1">
      <alignment horizontal="left" vertical="center"/>
    </xf>
    <xf numFmtId="0" fontId="64" fillId="0" borderId="165" xfId="0" applyFont="1" applyBorder="1" applyAlignment="1">
      <alignment horizontal="left" vertical="center" wrapText="1"/>
    </xf>
    <xf numFmtId="0" fontId="64" fillId="0" borderId="160" xfId="0" applyFont="1" applyBorder="1" applyAlignment="1">
      <alignment horizontal="left" vertical="center" wrapText="1"/>
    </xf>
    <xf numFmtId="0" fontId="64" fillId="0" borderId="161" xfId="0" applyFont="1" applyBorder="1" applyAlignment="1">
      <alignment horizontal="left" vertical="center" wrapText="1"/>
    </xf>
    <xf numFmtId="0" fontId="98" fillId="0" borderId="165" xfId="0" applyFont="1" applyBorder="1" applyAlignment="1">
      <alignment horizontal="left" vertical="center" wrapText="1"/>
    </xf>
    <xf numFmtId="0" fontId="98" fillId="0" borderId="160" xfId="0" applyFont="1" applyBorder="1" applyAlignment="1">
      <alignment horizontal="left" vertical="center" wrapText="1"/>
    </xf>
    <xf numFmtId="0" fontId="98" fillId="0" borderId="161" xfId="0" applyFont="1" applyBorder="1" applyAlignment="1">
      <alignment horizontal="left" vertical="center" wrapText="1"/>
    </xf>
    <xf numFmtId="0" fontId="64" fillId="0" borderId="167" xfId="0" applyFont="1" applyBorder="1" applyAlignment="1">
      <alignment horizontal="left" vertical="center"/>
    </xf>
    <xf numFmtId="0" fontId="0" fillId="31" borderId="216" xfId="0" applyFill="1" applyBorder="1" applyAlignment="1">
      <alignment horizontal="center" vertical="center"/>
    </xf>
    <xf numFmtId="0" fontId="0" fillId="31" borderId="118" xfId="0" applyFill="1" applyBorder="1" applyAlignment="1">
      <alignment horizontal="center" vertical="center"/>
    </xf>
    <xf numFmtId="0" fontId="99" fillId="0" borderId="165" xfId="0" applyFont="1" applyBorder="1" applyAlignment="1">
      <alignment horizontal="left" vertical="center" wrapText="1"/>
    </xf>
    <xf numFmtId="0" fontId="99" fillId="0" borderId="160" xfId="0" applyFont="1" applyBorder="1" applyAlignment="1">
      <alignment horizontal="left" vertical="center" wrapText="1"/>
    </xf>
    <xf numFmtId="0" fontId="99" fillId="0" borderId="161" xfId="0" applyFont="1" applyBorder="1" applyAlignment="1">
      <alignment horizontal="left" vertical="center" wrapText="1"/>
    </xf>
    <xf numFmtId="0" fontId="98" fillId="0" borderId="162" xfId="0" applyFont="1" applyBorder="1" applyAlignment="1">
      <alignment horizontal="left" vertical="center"/>
    </xf>
    <xf numFmtId="0" fontId="98" fillId="0" borderId="163" xfId="0" applyFont="1" applyBorder="1" applyAlignment="1">
      <alignment horizontal="left" vertical="center"/>
    </xf>
    <xf numFmtId="0" fontId="98" fillId="0" borderId="164" xfId="0" applyFont="1" applyBorder="1" applyAlignment="1">
      <alignment horizontal="left" vertical="center"/>
    </xf>
    <xf numFmtId="0" fontId="64" fillId="0" borderId="166" xfId="0" applyFont="1" applyBorder="1" applyAlignment="1">
      <alignment horizontal="left" vertical="center" wrapText="1"/>
    </xf>
    <xf numFmtId="0" fontId="64" fillId="0" borderId="163" xfId="0" applyFont="1" applyBorder="1" applyAlignment="1">
      <alignment horizontal="left" vertical="center" wrapText="1"/>
    </xf>
    <xf numFmtId="0" fontId="64" fillId="0" borderId="164" xfId="0" applyFont="1" applyBorder="1" applyAlignment="1">
      <alignment horizontal="left" vertical="center" wrapText="1"/>
    </xf>
    <xf numFmtId="0" fontId="99" fillId="0" borderId="166" xfId="0" applyFont="1" applyBorder="1" applyAlignment="1">
      <alignment horizontal="left" vertical="center" wrapText="1"/>
    </xf>
    <xf numFmtId="0" fontId="99" fillId="0" borderId="163" xfId="0" applyFont="1" applyBorder="1" applyAlignment="1">
      <alignment horizontal="left" vertical="center" wrapText="1"/>
    </xf>
    <xf numFmtId="0" fontId="99" fillId="0" borderId="164" xfId="0" applyFont="1" applyBorder="1" applyAlignment="1">
      <alignment horizontal="left" vertical="center" wrapText="1"/>
    </xf>
    <xf numFmtId="0" fontId="64" fillId="0" borderId="168" xfId="0" applyFont="1" applyBorder="1" applyAlignment="1">
      <alignment horizontal="left" vertical="center"/>
    </xf>
    <xf numFmtId="0" fontId="140" fillId="32" borderId="1" xfId="0" applyFont="1" applyFill="1" applyBorder="1" applyAlignment="1">
      <alignment horizontal="left" vertical="center"/>
    </xf>
    <xf numFmtId="0" fontId="140" fillId="32" borderId="2" xfId="0" applyFont="1" applyFill="1" applyBorder="1" applyAlignment="1">
      <alignment horizontal="left" vertical="center"/>
    </xf>
    <xf numFmtId="0" fontId="140" fillId="32" borderId="3" xfId="0" applyFont="1" applyFill="1" applyBorder="1" applyAlignment="1">
      <alignment horizontal="left" vertical="center"/>
    </xf>
    <xf numFmtId="0" fontId="141" fillId="0" borderId="1" xfId="0" applyFont="1" applyBorder="1" applyAlignment="1">
      <alignment vertical="center" wrapText="1"/>
    </xf>
    <xf numFmtId="0" fontId="141" fillId="0" borderId="2" xfId="0" applyFont="1" applyBorder="1" applyAlignment="1">
      <alignment vertical="center" wrapText="1"/>
    </xf>
    <xf numFmtId="0" fontId="141" fillId="0" borderId="3" xfId="0" applyFont="1" applyBorder="1" applyAlignment="1">
      <alignment vertical="center" wrapText="1"/>
    </xf>
    <xf numFmtId="0" fontId="92" fillId="32" borderId="1" xfId="0" applyFont="1" applyFill="1" applyBorder="1" applyAlignment="1">
      <alignment horizontal="left" vertical="center" wrapText="1"/>
    </xf>
    <xf numFmtId="0" fontId="92" fillId="32" borderId="2" xfId="0" applyFont="1" applyFill="1" applyBorder="1" applyAlignment="1">
      <alignment horizontal="left" vertical="center" wrapText="1"/>
    </xf>
    <xf numFmtId="0" fontId="92" fillId="32" borderId="253" xfId="0" applyFont="1" applyFill="1" applyBorder="1" applyAlignment="1">
      <alignment horizontal="left" vertical="center" wrapText="1"/>
    </xf>
    <xf numFmtId="0" fontId="92" fillId="31" borderId="188" xfId="0" applyFont="1" applyFill="1" applyBorder="1" applyAlignment="1">
      <alignment horizontal="left" vertical="top" wrapText="1"/>
    </xf>
    <xf numFmtId="0" fontId="92" fillId="31" borderId="189" xfId="0" applyFont="1" applyFill="1" applyBorder="1" applyAlignment="1">
      <alignment horizontal="left" vertical="top" wrapText="1"/>
    </xf>
    <xf numFmtId="0" fontId="92" fillId="31" borderId="190" xfId="0" applyFont="1" applyFill="1" applyBorder="1" applyAlignment="1">
      <alignment horizontal="left" vertical="top" wrapText="1"/>
    </xf>
    <xf numFmtId="0" fontId="140" fillId="32" borderId="253" xfId="0" applyFont="1" applyFill="1" applyBorder="1" applyAlignment="1">
      <alignment horizontal="left" vertical="center"/>
    </xf>
    <xf numFmtId="0" fontId="141" fillId="0" borderId="1" xfId="0" applyFont="1" applyBorder="1" applyAlignment="1">
      <alignment horizontal="left" vertical="center" wrapText="1"/>
    </xf>
    <xf numFmtId="0" fontId="141" fillId="0" borderId="2" xfId="0" applyFont="1" applyBorder="1" applyAlignment="1">
      <alignment horizontal="left" vertical="center" wrapText="1"/>
    </xf>
    <xf numFmtId="0" fontId="141" fillId="0" borderId="3" xfId="0" applyFont="1" applyBorder="1" applyAlignment="1">
      <alignment horizontal="left" vertical="center" wrapText="1"/>
    </xf>
    <xf numFmtId="0" fontId="141" fillId="0" borderId="72" xfId="0" applyFont="1" applyBorder="1" applyAlignment="1">
      <alignment vertical="center" wrapText="1"/>
    </xf>
    <xf numFmtId="0" fontId="141" fillId="0" borderId="73" xfId="0" applyFont="1" applyBorder="1" applyAlignment="1">
      <alignment vertical="center" wrapText="1"/>
    </xf>
    <xf numFmtId="0" fontId="141" fillId="0" borderId="74" xfId="0" applyFont="1" applyBorder="1" applyAlignment="1">
      <alignment vertical="center" wrapText="1"/>
    </xf>
    <xf numFmtId="0" fontId="141" fillId="0" borderId="98" xfId="0" applyFont="1" applyBorder="1" applyAlignment="1">
      <alignment vertical="center" wrapText="1"/>
    </xf>
    <xf numFmtId="0" fontId="141" fillId="0" borderId="0" xfId="0" applyFont="1" applyAlignment="1">
      <alignment vertical="center" wrapText="1"/>
    </xf>
    <xf numFmtId="0" fontId="141" fillId="0" borderId="99" xfId="0" applyFont="1" applyBorder="1" applyAlignment="1">
      <alignment vertical="center" wrapText="1"/>
    </xf>
    <xf numFmtId="0" fontId="141" fillId="0" borderId="20" xfId="0" applyFont="1" applyBorder="1" applyAlignment="1">
      <alignment vertical="center" wrapText="1"/>
    </xf>
    <xf numFmtId="0" fontId="141" fillId="0" borderId="21" xfId="0" applyFont="1" applyBorder="1" applyAlignment="1">
      <alignment vertical="center" wrapText="1"/>
    </xf>
    <xf numFmtId="0" fontId="141" fillId="0" borderId="75" xfId="0" applyFont="1" applyBorder="1" applyAlignment="1">
      <alignment vertical="center" wrapText="1"/>
    </xf>
    <xf numFmtId="0" fontId="94" fillId="0" borderId="211" xfId="0" applyFont="1" applyBorder="1" applyAlignment="1">
      <alignment horizontal="left" vertical="top" wrapText="1"/>
    </xf>
    <xf numFmtId="0" fontId="94" fillId="0" borderId="0" xfId="0" applyFont="1" applyAlignment="1">
      <alignment horizontal="left" vertical="top"/>
    </xf>
    <xf numFmtId="0" fontId="94" fillId="0" borderId="212" xfId="0" applyFont="1" applyBorder="1" applyAlignment="1">
      <alignment horizontal="left" vertical="top"/>
    </xf>
    <xf numFmtId="0" fontId="94" fillId="0" borderId="211" xfId="0" applyFont="1" applyBorder="1" applyAlignment="1">
      <alignment horizontal="left" vertical="top"/>
    </xf>
    <xf numFmtId="0" fontId="94" fillId="0" borderId="231" xfId="0" applyFont="1" applyBorder="1" applyAlignment="1">
      <alignment horizontal="left" vertical="top"/>
    </xf>
    <xf numFmtId="0" fontId="94" fillId="0" borderId="232" xfId="0" applyFont="1" applyBorder="1" applyAlignment="1">
      <alignment horizontal="left" vertical="top"/>
    </xf>
    <xf numFmtId="0" fontId="94" fillId="0" borderId="233" xfId="0" applyFont="1" applyBorder="1" applyAlignment="1">
      <alignment horizontal="left" vertical="top"/>
    </xf>
    <xf numFmtId="0" fontId="124" fillId="32" borderId="1" xfId="0" applyFont="1" applyFill="1" applyBorder="1" applyAlignment="1">
      <alignment horizontal="left" vertical="center"/>
    </xf>
    <xf numFmtId="0" fontId="124" fillId="32" borderId="2" xfId="0" applyFont="1" applyFill="1" applyBorder="1" applyAlignment="1">
      <alignment horizontal="left" vertical="center"/>
    </xf>
    <xf numFmtId="0" fontId="124" fillId="32" borderId="3" xfId="0" applyFont="1" applyFill="1" applyBorder="1" applyAlignment="1">
      <alignment horizontal="left" vertical="center"/>
    </xf>
    <xf numFmtId="0" fontId="124" fillId="40" borderId="4" xfId="0" applyFont="1" applyFill="1" applyBorder="1" applyAlignment="1">
      <alignment horizontal="center" vertical="center"/>
    </xf>
    <xf numFmtId="0" fontId="92" fillId="0" borderId="2" xfId="0" applyFont="1" applyBorder="1" applyAlignment="1">
      <alignment horizontal="center" vertical="center"/>
    </xf>
    <xf numFmtId="0" fontId="92" fillId="31" borderId="1" xfId="0" applyFont="1" applyFill="1" applyBorder="1" applyAlignment="1">
      <alignment horizontal="center" vertical="center"/>
    </xf>
    <xf numFmtId="0" fontId="92" fillId="31" borderId="3" xfId="0" applyFont="1" applyFill="1" applyBorder="1" applyAlignment="1">
      <alignment horizontal="center" vertical="center"/>
    </xf>
    <xf numFmtId="0" fontId="92" fillId="0" borderId="1" xfId="0" applyFont="1" applyBorder="1" applyAlignment="1">
      <alignment horizontal="left" vertical="center" wrapText="1"/>
    </xf>
    <xf numFmtId="0" fontId="92" fillId="0" borderId="2" xfId="0" applyFont="1" applyBorder="1" applyAlignment="1">
      <alignment horizontal="left" vertical="center" wrapText="1"/>
    </xf>
    <xf numFmtId="0" fontId="92" fillId="0" borderId="3" xfId="0" applyFont="1" applyBorder="1" applyAlignment="1">
      <alignment horizontal="left" vertical="center" wrapText="1"/>
    </xf>
    <xf numFmtId="0" fontId="92" fillId="0" borderId="1" xfId="0" applyFont="1" applyBorder="1" applyAlignment="1">
      <alignment horizontal="left" vertical="center"/>
    </xf>
    <xf numFmtId="0" fontId="92" fillId="0" borderId="3" xfId="0" applyFont="1" applyBorder="1" applyAlignment="1">
      <alignment horizontal="left" vertical="center"/>
    </xf>
    <xf numFmtId="0" fontId="94" fillId="0" borderId="224" xfId="0" applyFont="1" applyBorder="1" applyAlignment="1">
      <alignment horizontal="center" vertical="center"/>
    </xf>
    <xf numFmtId="0" fontId="94" fillId="0" borderId="239" xfId="0" applyFont="1" applyBorder="1" applyAlignment="1">
      <alignment horizontal="center" vertical="center"/>
    </xf>
    <xf numFmtId="0" fontId="75" fillId="32" borderId="4" xfId="0" applyFont="1" applyFill="1" applyBorder="1" applyAlignment="1">
      <alignment horizontal="left" vertical="center"/>
    </xf>
    <xf numFmtId="0" fontId="124" fillId="9" borderId="4" xfId="0" applyFont="1" applyFill="1" applyBorder="1" applyAlignment="1">
      <alignment horizontal="center" vertical="center"/>
    </xf>
    <xf numFmtId="0" fontId="109" fillId="9" borderId="213" xfId="0" applyFont="1" applyFill="1" applyBorder="1" applyAlignment="1">
      <alignment horizontal="center" vertical="center"/>
    </xf>
    <xf numFmtId="0" fontId="109" fillId="9" borderId="214" xfId="0" applyFont="1" applyFill="1" applyBorder="1" applyAlignment="1">
      <alignment horizontal="center" vertical="center"/>
    </xf>
    <xf numFmtId="0" fontId="109" fillId="9" borderId="215" xfId="0" applyFont="1" applyFill="1" applyBorder="1" applyAlignment="1">
      <alignment horizontal="center" vertical="center"/>
    </xf>
    <xf numFmtId="0" fontId="109" fillId="40" borderId="213" xfId="0" applyFont="1" applyFill="1" applyBorder="1" applyAlignment="1">
      <alignment horizontal="center" vertical="center"/>
    </xf>
    <xf numFmtId="0" fontId="109" fillId="40" borderId="214" xfId="0" applyFont="1" applyFill="1" applyBorder="1" applyAlignment="1">
      <alignment horizontal="center" vertical="center"/>
    </xf>
    <xf numFmtId="0" fontId="109" fillId="40" borderId="215" xfId="0" applyFont="1" applyFill="1" applyBorder="1" applyAlignment="1">
      <alignment horizontal="center" vertical="center"/>
    </xf>
    <xf numFmtId="0" fontId="94" fillId="9" borderId="216" xfId="0" applyFont="1" applyFill="1" applyBorder="1" applyAlignment="1">
      <alignment horizontal="center" vertical="center" wrapText="1"/>
    </xf>
    <xf numFmtId="0" fontId="94" fillId="9" borderId="118" xfId="0" applyFont="1" applyFill="1" applyBorder="1" applyAlignment="1">
      <alignment horizontal="center" vertical="center" wrapText="1"/>
    </xf>
    <xf numFmtId="0" fontId="109" fillId="9" borderId="13" xfId="0" applyFont="1" applyFill="1" applyBorder="1" applyAlignment="1">
      <alignment horizontal="center" vertical="center" wrapText="1"/>
    </xf>
    <xf numFmtId="0" fontId="109" fillId="40" borderId="13" xfId="0" applyFont="1" applyFill="1" applyBorder="1" applyAlignment="1">
      <alignment horizontal="center" vertical="center" wrapText="1"/>
    </xf>
    <xf numFmtId="0" fontId="127" fillId="32" borderId="2" xfId="0" applyFont="1" applyFill="1" applyBorder="1" applyAlignment="1">
      <alignment horizontal="right" vertical="center"/>
    </xf>
    <xf numFmtId="0" fontId="94" fillId="9" borderId="1" xfId="0" applyFont="1" applyFill="1" applyBorder="1" applyAlignment="1">
      <alignment horizontal="left" vertical="center"/>
    </xf>
    <xf numFmtId="0" fontId="94" fillId="9" borderId="2" xfId="0" applyFont="1" applyFill="1" applyBorder="1" applyAlignment="1">
      <alignment horizontal="left" vertical="center"/>
    </xf>
    <xf numFmtId="0" fontId="94" fillId="9" borderId="3" xfId="0" applyFont="1" applyFill="1" applyBorder="1" applyAlignment="1">
      <alignment horizontal="left" vertical="center"/>
    </xf>
    <xf numFmtId="0" fontId="94" fillId="0" borderId="1" xfId="0" applyFont="1" applyBorder="1" applyAlignment="1">
      <alignment horizontal="left" vertical="center"/>
    </xf>
    <xf numFmtId="0" fontId="94" fillId="0" borderId="2" xfId="0" applyFont="1" applyBorder="1" applyAlignment="1">
      <alignment horizontal="left" vertical="center"/>
    </xf>
    <xf numFmtId="0" fontId="94" fillId="0" borderId="3" xfId="0" applyFont="1" applyBorder="1" applyAlignment="1">
      <alignment horizontal="left" vertical="center"/>
    </xf>
    <xf numFmtId="0" fontId="125" fillId="45" borderId="4" xfId="0" applyFont="1" applyFill="1" applyBorder="1" applyAlignment="1">
      <alignment horizontal="left" vertical="center"/>
    </xf>
    <xf numFmtId="0" fontId="134" fillId="0" borderId="4" xfId="0" applyFont="1" applyBorder="1" applyAlignment="1">
      <alignment horizontal="left" vertical="center"/>
    </xf>
    <xf numFmtId="0" fontId="94" fillId="0" borderId="4" xfId="0" applyFont="1" applyBorder="1" applyAlignment="1">
      <alignment horizontal="left" vertical="center"/>
    </xf>
    <xf numFmtId="0" fontId="94" fillId="3" borderId="4" xfId="0" applyFont="1" applyFill="1" applyBorder="1" applyAlignment="1">
      <alignment horizontal="left" vertical="center"/>
    </xf>
    <xf numFmtId="0" fontId="94" fillId="9" borderId="4" xfId="0" applyFont="1" applyFill="1" applyBorder="1" applyAlignment="1">
      <alignment horizontal="left" vertical="center"/>
    </xf>
    <xf numFmtId="0" fontId="26" fillId="0" borderId="1" xfId="0" applyFont="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98" fillId="0" borderId="205" xfId="0" applyFont="1" applyBorder="1" applyAlignment="1">
      <alignment horizontal="left" vertical="center"/>
    </xf>
    <xf numFmtId="0" fontId="98" fillId="0" borderId="206" xfId="0" applyFont="1" applyBorder="1" applyAlignment="1">
      <alignment horizontal="left" vertical="center"/>
    </xf>
    <xf numFmtId="0" fontId="64" fillId="0" borderId="206" xfId="0" applyFont="1" applyBorder="1" applyAlignment="1">
      <alignment horizontal="left" vertical="center" wrapText="1"/>
    </xf>
    <xf numFmtId="0" fontId="99" fillId="0" borderId="206" xfId="0" applyFont="1" applyBorder="1" applyAlignment="1">
      <alignment horizontal="left" vertical="center"/>
    </xf>
    <xf numFmtId="0" fontId="64" fillId="0" borderId="207" xfId="0" applyFont="1" applyBorder="1" applyAlignment="1">
      <alignment horizontal="left" vertical="center" wrapText="1"/>
    </xf>
    <xf numFmtId="0" fontId="98" fillId="0" borderId="202" xfId="0" applyFont="1" applyBorder="1" applyAlignment="1">
      <alignment horizontal="left" vertical="center"/>
    </xf>
    <xf numFmtId="0" fontId="98" fillId="0" borderId="203" xfId="0" applyFont="1" applyBorder="1" applyAlignment="1">
      <alignment horizontal="left" vertical="center"/>
    </xf>
    <xf numFmtId="0" fontId="64" fillId="0" borderId="203" xfId="0" applyFont="1" applyBorder="1" applyAlignment="1">
      <alignment horizontal="left" vertical="center" wrapText="1"/>
    </xf>
    <xf numFmtId="0" fontId="99" fillId="0" borderId="203" xfId="0" applyFont="1" applyBorder="1" applyAlignment="1">
      <alignment horizontal="left" vertical="center"/>
    </xf>
    <xf numFmtId="0" fontId="64" fillId="0" borderId="204" xfId="0" applyFont="1" applyBorder="1" applyAlignment="1">
      <alignment horizontal="left" vertical="center" wrapText="1"/>
    </xf>
    <xf numFmtId="0" fontId="94" fillId="0" borderId="1" xfId="0" quotePrefix="1" applyFont="1" applyBorder="1" applyAlignment="1">
      <alignment horizontal="left" vertical="center"/>
    </xf>
    <xf numFmtId="0" fontId="94" fillId="3" borderId="1" xfId="0" applyFont="1" applyFill="1" applyBorder="1" applyAlignment="1">
      <alignment horizontal="left" vertical="center"/>
    </xf>
    <xf numFmtId="0" fontId="94" fillId="3" borderId="2" xfId="0" applyFont="1" applyFill="1" applyBorder="1" applyAlignment="1">
      <alignment horizontal="left" vertical="center"/>
    </xf>
    <xf numFmtId="0" fontId="94" fillId="3" borderId="3" xfId="0" applyFont="1" applyFill="1" applyBorder="1" applyAlignment="1">
      <alignment horizontal="left" vertical="center"/>
    </xf>
    <xf numFmtId="0" fontId="94" fillId="0" borderId="72" xfId="0" applyFont="1" applyBorder="1" applyAlignment="1">
      <alignment horizontal="left" vertical="center"/>
    </xf>
    <xf numFmtId="0" fontId="94" fillId="0" borderId="73" xfId="0" applyFont="1" applyBorder="1" applyAlignment="1">
      <alignment horizontal="left" vertical="center"/>
    </xf>
    <xf numFmtId="0" fontId="94" fillId="0" borderId="73" xfId="0" applyFont="1" applyBorder="1" applyAlignment="1">
      <alignment horizontal="left" vertical="center" wrapText="1"/>
    </xf>
    <xf numFmtId="0" fontId="98" fillId="7" borderId="206" xfId="0" applyFont="1" applyFill="1" applyBorder="1" applyAlignment="1">
      <alignment horizontal="left" vertical="center"/>
    </xf>
    <xf numFmtId="0" fontId="99" fillId="7" borderId="206" xfId="0" applyFont="1" applyFill="1" applyBorder="1" applyAlignment="1">
      <alignment horizontal="left" vertical="center"/>
    </xf>
    <xf numFmtId="0" fontId="98" fillId="7" borderId="203" xfId="0" applyFont="1" applyFill="1" applyBorder="1" applyAlignment="1">
      <alignment horizontal="left" vertical="center"/>
    </xf>
    <xf numFmtId="0" fontId="99" fillId="7" borderId="203" xfId="0" applyFont="1" applyFill="1" applyBorder="1" applyAlignment="1">
      <alignment horizontal="left" vertical="center"/>
    </xf>
    <xf numFmtId="0" fontId="66" fillId="37" borderId="156" xfId="0" applyFont="1" applyFill="1" applyBorder="1" applyAlignment="1">
      <alignment horizontal="center" vertical="center"/>
    </xf>
    <xf numFmtId="0" fontId="66" fillId="37" borderId="157" xfId="0" applyFont="1" applyFill="1" applyBorder="1" applyAlignment="1">
      <alignment horizontal="center" vertical="center"/>
    </xf>
    <xf numFmtId="0" fontId="66" fillId="37" borderId="158" xfId="0" applyFont="1" applyFill="1" applyBorder="1" applyAlignment="1">
      <alignment horizontal="center" vertical="center"/>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2" fillId="0" borderId="224" xfId="0" applyFont="1" applyBorder="1" applyAlignment="1">
      <alignment horizontal="center" vertical="center"/>
    </xf>
    <xf numFmtId="164" fontId="92" fillId="31" borderId="224" xfId="0" applyNumberFormat="1" applyFont="1" applyFill="1" applyBorder="1" applyAlignment="1">
      <alignment horizontal="center" vertical="center"/>
    </xf>
    <xf numFmtId="164" fontId="92" fillId="31" borderId="284" xfId="0" applyNumberFormat="1" applyFont="1" applyFill="1" applyBorder="1" applyAlignment="1">
      <alignment horizontal="center" vertical="center"/>
    </xf>
    <xf numFmtId="165" fontId="92" fillId="31" borderId="284" xfId="0" applyNumberFormat="1" applyFont="1" applyFill="1" applyBorder="1" applyAlignment="1">
      <alignment horizontal="center" vertical="center"/>
    </xf>
    <xf numFmtId="165" fontId="92" fillId="31" borderId="239" xfId="0" applyNumberFormat="1" applyFont="1" applyFill="1" applyBorder="1" applyAlignment="1">
      <alignment horizontal="center" vertical="center"/>
    </xf>
    <xf numFmtId="0" fontId="127" fillId="32" borderId="3" xfId="0" applyFont="1" applyFill="1" applyBorder="1" applyAlignment="1">
      <alignment horizontal="right" vertical="center"/>
    </xf>
    <xf numFmtId="0" fontId="125" fillId="32" borderId="72" xfId="0" applyFont="1" applyFill="1" applyBorder="1" applyAlignment="1">
      <alignment horizontal="left" vertical="center"/>
    </xf>
    <xf numFmtId="0" fontId="125" fillId="32" borderId="73" xfId="0" applyFont="1" applyFill="1" applyBorder="1" applyAlignment="1">
      <alignment horizontal="left" vertical="center"/>
    </xf>
    <xf numFmtId="0" fontId="125" fillId="32" borderId="74" xfId="0" applyFont="1" applyFill="1" applyBorder="1" applyAlignment="1">
      <alignment horizontal="left" vertical="center"/>
    </xf>
    <xf numFmtId="0" fontId="92" fillId="9" borderId="235" xfId="0" applyFont="1" applyFill="1" applyBorder="1" applyAlignment="1">
      <alignment horizontal="center" vertical="center"/>
    </xf>
    <xf numFmtId="0" fontId="92" fillId="9" borderId="282" xfId="0" applyFont="1" applyFill="1" applyBorder="1" applyAlignment="1">
      <alignment horizontal="center" vertical="center"/>
    </xf>
    <xf numFmtId="0" fontId="92" fillId="40" borderId="283" xfId="0" applyFont="1" applyFill="1" applyBorder="1" applyAlignment="1">
      <alignment horizontal="center" vertical="center" wrapText="1"/>
    </xf>
    <xf numFmtId="0" fontId="92" fillId="40" borderId="282" xfId="0" applyFont="1" applyFill="1" applyBorder="1" applyAlignment="1">
      <alignment horizontal="center" vertical="center" wrapText="1"/>
    </xf>
    <xf numFmtId="0" fontId="92" fillId="40" borderId="237" xfId="0" applyFont="1" applyFill="1" applyBorder="1" applyAlignment="1">
      <alignment horizontal="center" vertical="center" wrapText="1"/>
    </xf>
    <xf numFmtId="0" fontId="92" fillId="9" borderId="4" xfId="0" applyFont="1" applyFill="1" applyBorder="1" applyAlignment="1">
      <alignment horizontal="left" vertical="center"/>
    </xf>
    <xf numFmtId="0" fontId="92" fillId="9" borderId="1" xfId="0" applyFont="1" applyFill="1" applyBorder="1" applyAlignment="1">
      <alignment horizontal="left" vertical="center"/>
    </xf>
    <xf numFmtId="0" fontId="145" fillId="9" borderId="4" xfId="0" applyFont="1" applyFill="1" applyBorder="1" applyAlignment="1">
      <alignment horizontal="center" vertical="center" wrapText="1"/>
    </xf>
    <xf numFmtId="0" fontId="92" fillId="40" borderId="4" xfId="0" applyFont="1" applyFill="1" applyBorder="1" applyAlignment="1">
      <alignment horizontal="center" vertical="center"/>
    </xf>
    <xf numFmtId="0" fontId="127" fillId="32" borderId="20" xfId="0" applyFont="1" applyFill="1" applyBorder="1" applyAlignment="1">
      <alignment horizontal="right" vertical="center"/>
    </xf>
    <xf numFmtId="0" fontId="127" fillId="32" borderId="21" xfId="0" applyFont="1" applyFill="1" applyBorder="1" applyAlignment="1">
      <alignment horizontal="right" vertical="center"/>
    </xf>
    <xf numFmtId="0" fontId="127" fillId="32" borderId="75" xfId="0" applyFont="1" applyFill="1" applyBorder="1" applyAlignment="1">
      <alignment horizontal="right" vertical="center"/>
    </xf>
    <xf numFmtId="0" fontId="92" fillId="9" borderId="72" xfId="0" applyFont="1" applyFill="1" applyBorder="1" applyAlignment="1">
      <alignment horizontal="center" vertical="center" wrapText="1"/>
    </xf>
    <xf numFmtId="0" fontId="92" fillId="9" borderId="74" xfId="0" applyFont="1" applyFill="1" applyBorder="1" applyAlignment="1">
      <alignment horizontal="center" vertical="center" wrapText="1"/>
    </xf>
    <xf numFmtId="0" fontId="92" fillId="40" borderId="72" xfId="0" applyFont="1" applyFill="1" applyBorder="1" applyAlignment="1">
      <alignment horizontal="center" vertical="center" wrapText="1"/>
    </xf>
    <xf numFmtId="0" fontId="92" fillId="40" borderId="74" xfId="0" applyFont="1" applyFill="1" applyBorder="1" applyAlignment="1">
      <alignment horizontal="center" vertical="center" wrapText="1"/>
    </xf>
    <xf numFmtId="0" fontId="92" fillId="9" borderId="73" xfId="0" applyFont="1" applyFill="1" applyBorder="1" applyAlignment="1">
      <alignment horizontal="center" vertical="center" wrapText="1"/>
    </xf>
    <xf numFmtId="0" fontId="92" fillId="31" borderId="240" xfId="0" applyFont="1" applyFill="1" applyBorder="1" applyAlignment="1">
      <alignment horizontal="center" vertical="center"/>
    </xf>
    <xf numFmtId="165" fontId="92" fillId="31" borderId="240" xfId="0" applyNumberFormat="1" applyFont="1" applyFill="1" applyBorder="1" applyAlignment="1">
      <alignment horizontal="center" vertical="center"/>
    </xf>
    <xf numFmtId="0" fontId="92" fillId="40" borderId="4" xfId="0" applyFont="1" applyFill="1" applyBorder="1" applyAlignment="1">
      <alignment horizontal="left" vertical="center"/>
    </xf>
    <xf numFmtId="0" fontId="92" fillId="40" borderId="1" xfId="0" applyFont="1" applyFill="1" applyBorder="1" applyAlignment="1">
      <alignment horizontal="left" vertical="center"/>
    </xf>
    <xf numFmtId="0" fontId="94" fillId="0" borderId="211" xfId="0" applyFont="1" applyBorder="1" applyAlignment="1">
      <alignment horizontal="left" vertical="center" wrapText="1"/>
    </xf>
    <xf numFmtId="0" fontId="94" fillId="0" borderId="0" xfId="0" applyFont="1" applyAlignment="1">
      <alignment horizontal="left" vertical="center"/>
    </xf>
    <xf numFmtId="0" fontId="94" fillId="0" borderId="212" xfId="0" applyFont="1" applyBorder="1" applyAlignment="1">
      <alignment horizontal="left" vertical="center"/>
    </xf>
    <xf numFmtId="0" fontId="94" fillId="0" borderId="211" xfId="0" applyFont="1" applyBorder="1" applyAlignment="1">
      <alignment horizontal="left" vertical="center"/>
    </xf>
    <xf numFmtId="0" fontId="94" fillId="0" borderId="231" xfId="0" applyFont="1" applyBorder="1" applyAlignment="1">
      <alignment horizontal="left" vertical="center"/>
    </xf>
    <xf numFmtId="0" fontId="94" fillId="0" borderId="232" xfId="0" applyFont="1" applyBorder="1" applyAlignment="1">
      <alignment horizontal="left" vertical="center"/>
    </xf>
    <xf numFmtId="0" fontId="94" fillId="0" borderId="233" xfId="0" applyFont="1" applyBorder="1" applyAlignment="1">
      <alignment horizontal="left" vertical="center"/>
    </xf>
    <xf numFmtId="0" fontId="94" fillId="0" borderId="0" xfId="0" applyFont="1" applyAlignment="1">
      <alignment horizontal="left" vertical="top" wrapText="1"/>
    </xf>
    <xf numFmtId="0" fontId="94" fillId="0" borderId="212" xfId="0" applyFont="1" applyBorder="1" applyAlignment="1">
      <alignment horizontal="left" vertical="top" wrapText="1"/>
    </xf>
    <xf numFmtId="0" fontId="94" fillId="0" borderId="231" xfId="0" applyFont="1" applyBorder="1" applyAlignment="1">
      <alignment horizontal="left" vertical="top" wrapText="1"/>
    </xf>
    <xf numFmtId="0" fontId="94" fillId="0" borderId="232" xfId="0" applyFont="1" applyBorder="1" applyAlignment="1">
      <alignment horizontal="left" vertical="top" wrapText="1"/>
    </xf>
    <xf numFmtId="0" fontId="94" fillId="0" borderId="233" xfId="0" applyFont="1" applyBorder="1" applyAlignment="1">
      <alignment horizontal="left" vertical="top" wrapText="1"/>
    </xf>
    <xf numFmtId="0" fontId="94" fillId="0" borderId="225" xfId="0" applyFont="1" applyBorder="1" applyAlignment="1">
      <alignment horizontal="center" vertical="center"/>
    </xf>
    <xf numFmtId="0" fontId="94" fillId="0" borderId="20" xfId="0" applyFont="1" applyBorder="1" applyAlignment="1">
      <alignment horizontal="center" vertical="center"/>
    </xf>
    <xf numFmtId="0" fontId="94" fillId="0" borderId="227" xfId="0" applyFont="1" applyBorder="1" applyAlignment="1">
      <alignment horizontal="center" vertical="center"/>
    </xf>
    <xf numFmtId="0" fontId="94" fillId="0" borderId="228" xfId="0" applyFont="1" applyBorder="1" applyAlignment="1">
      <alignment horizontal="center" vertical="center"/>
    </xf>
    <xf numFmtId="0" fontId="94" fillId="0" borderId="75" xfId="0" applyFont="1" applyBorder="1" applyAlignment="1">
      <alignment horizontal="center" vertical="center"/>
    </xf>
    <xf numFmtId="0" fontId="109" fillId="9" borderId="72" xfId="0" applyFont="1" applyFill="1" applyBorder="1" applyAlignment="1">
      <alignment horizontal="center" vertical="center"/>
    </xf>
    <xf numFmtId="0" fontId="109" fillId="9" borderId="73" xfId="0" applyFont="1" applyFill="1" applyBorder="1" applyAlignment="1">
      <alignment horizontal="center" vertical="center"/>
    </xf>
    <xf numFmtId="0" fontId="109" fillId="9" borderId="74" xfId="0" applyFont="1" applyFill="1" applyBorder="1" applyAlignment="1">
      <alignment horizontal="center" vertical="center"/>
    </xf>
    <xf numFmtId="0" fontId="94" fillId="9" borderId="78" xfId="0" applyFont="1" applyFill="1" applyBorder="1" applyAlignment="1">
      <alignment horizontal="center" vertical="center" wrapText="1"/>
    </xf>
    <xf numFmtId="0" fontId="94" fillId="9" borderId="218" xfId="0" applyFont="1" applyFill="1" applyBorder="1" applyAlignment="1">
      <alignment horizontal="center" vertical="center" wrapText="1"/>
    </xf>
    <xf numFmtId="0" fontId="94" fillId="9" borderId="219" xfId="0" applyFont="1" applyFill="1" applyBorder="1" applyAlignment="1">
      <alignment horizontal="center" vertical="center" wrapText="1"/>
    </xf>
    <xf numFmtId="0" fontId="94" fillId="9" borderId="220" xfId="0" applyFont="1" applyFill="1" applyBorder="1" applyAlignment="1">
      <alignment horizontal="center" vertical="center" wrapText="1"/>
    </xf>
    <xf numFmtId="0" fontId="94" fillId="9" borderId="221" xfId="0" applyFont="1" applyFill="1" applyBorder="1" applyAlignment="1">
      <alignment horizontal="center" vertical="center" wrapText="1"/>
    </xf>
    <xf numFmtId="14" fontId="94" fillId="0" borderId="1" xfId="0" applyNumberFormat="1" applyFont="1" applyBorder="1" applyAlignment="1">
      <alignment horizontal="left" vertical="center"/>
    </xf>
    <xf numFmtId="9" fontId="94" fillId="0" borderId="1" xfId="0" applyNumberFormat="1" applyFont="1" applyBorder="1" applyAlignment="1">
      <alignment horizontal="left" vertical="center"/>
    </xf>
    <xf numFmtId="14" fontId="26" fillId="0" borderId="1" xfId="0" applyNumberFormat="1" applyFont="1" applyBorder="1" applyAlignment="1">
      <alignment horizontal="left" vertical="center"/>
    </xf>
    <xf numFmtId="0" fontId="92" fillId="7" borderId="1" xfId="0" applyFont="1" applyFill="1" applyBorder="1" applyAlignment="1">
      <alignment horizontal="left" vertical="center"/>
    </xf>
    <xf numFmtId="0" fontId="92" fillId="7" borderId="3" xfId="0" applyFont="1" applyFill="1" applyBorder="1" applyAlignment="1">
      <alignment horizontal="left" vertical="center"/>
    </xf>
    <xf numFmtId="49" fontId="92" fillId="10" borderId="285" xfId="0" applyNumberFormat="1" applyFont="1" applyFill="1" applyBorder="1" applyAlignment="1">
      <alignment horizontal="center" vertical="center" wrapText="1"/>
    </xf>
    <xf numFmtId="49" fontId="26" fillId="0" borderId="1" xfId="0" applyNumberFormat="1" applyFont="1" applyBorder="1" applyAlignment="1">
      <alignment horizontal="left" vertical="center" wrapText="1"/>
    </xf>
    <xf numFmtId="49" fontId="26" fillId="0" borderId="2" xfId="0" applyNumberFormat="1" applyFont="1" applyBorder="1" applyAlignment="1">
      <alignment horizontal="left" vertical="center" wrapText="1"/>
    </xf>
    <xf numFmtId="49" fontId="26" fillId="0" borderId="3" xfId="0" applyNumberFormat="1" applyFont="1" applyBorder="1" applyAlignment="1">
      <alignment horizontal="left" vertical="center" wrapText="1"/>
    </xf>
    <xf numFmtId="0" fontId="0" fillId="9" borderId="13" xfId="0" applyFill="1" applyBorder="1" applyAlignment="1">
      <alignment horizontal="center" vertical="center"/>
    </xf>
    <xf numFmtId="0" fontId="0" fillId="9" borderId="13" xfId="0" applyFill="1" applyBorder="1" applyAlignment="1">
      <alignment horizontal="center" vertical="center" wrapText="1"/>
    </xf>
    <xf numFmtId="0" fontId="0" fillId="40" borderId="13" xfId="0" applyFill="1" applyBorder="1" applyAlignment="1">
      <alignment horizontal="center" vertical="center" wrapText="1"/>
    </xf>
    <xf numFmtId="0" fontId="0" fillId="0" borderId="224" xfId="0" applyBorder="1" applyAlignment="1">
      <alignment horizontal="center" vertical="center"/>
    </xf>
    <xf numFmtId="0" fontId="0" fillId="0" borderId="239" xfId="0" applyBorder="1" applyAlignment="1">
      <alignment horizontal="center" vertical="center"/>
    </xf>
    <xf numFmtId="0" fontId="0" fillId="31" borderId="224" xfId="0" applyFill="1" applyBorder="1" applyAlignment="1">
      <alignment horizontal="center" vertical="center"/>
    </xf>
    <xf numFmtId="0" fontId="0" fillId="31" borderId="239" xfId="0" applyFill="1" applyBorder="1" applyAlignment="1">
      <alignment horizontal="center" vertical="center"/>
    </xf>
    <xf numFmtId="0" fontId="110" fillId="9" borderId="1" xfId="0" applyFont="1" applyFill="1" applyBorder="1" applyAlignment="1">
      <alignment horizontal="center" vertical="center"/>
    </xf>
    <xf numFmtId="0" fontId="110" fillId="9" borderId="2" xfId="0" applyFont="1" applyFill="1" applyBorder="1" applyAlignment="1">
      <alignment horizontal="center" vertical="center"/>
    </xf>
    <xf numFmtId="0" fontId="110" fillId="9" borderId="3" xfId="0" applyFont="1" applyFill="1" applyBorder="1" applyAlignment="1">
      <alignment horizontal="center" vertical="center"/>
    </xf>
    <xf numFmtId="0" fontId="110" fillId="9" borderId="4" xfId="0" applyFont="1" applyFill="1" applyBorder="1" applyAlignment="1">
      <alignment horizontal="center" vertical="center"/>
    </xf>
    <xf numFmtId="0" fontId="92" fillId="3" borderId="1" xfId="0" applyFont="1" applyFill="1" applyBorder="1" applyAlignment="1">
      <alignment horizontal="center" vertical="center"/>
    </xf>
    <xf numFmtId="0" fontId="92" fillId="3" borderId="3" xfId="0" applyFont="1" applyFill="1" applyBorder="1" applyAlignment="1">
      <alignment horizontal="center" vertical="center"/>
    </xf>
    <xf numFmtId="0" fontId="124" fillId="32" borderId="4" xfId="0" applyFont="1" applyFill="1" applyBorder="1" applyAlignment="1">
      <alignment horizontal="left" vertical="center"/>
    </xf>
    <xf numFmtId="0" fontId="92" fillId="0" borderId="4" xfId="0" applyFont="1" applyBorder="1" applyAlignment="1">
      <alignment horizontal="left" vertical="center"/>
    </xf>
    <xf numFmtId="0" fontId="92" fillId="31" borderId="4" xfId="0" applyFont="1" applyFill="1" applyBorder="1" applyAlignment="1">
      <alignment horizontal="center" vertical="center"/>
    </xf>
    <xf numFmtId="0" fontId="0" fillId="0" borderId="240" xfId="0" applyBorder="1" applyAlignment="1">
      <alignment horizontal="center" vertical="center"/>
    </xf>
    <xf numFmtId="0" fontId="0" fillId="31" borderId="240" xfId="0" applyFill="1" applyBorder="1" applyAlignment="1">
      <alignment horizontal="center" vertical="center"/>
    </xf>
    <xf numFmtId="0" fontId="94" fillId="9" borderId="238" xfId="0" applyFont="1" applyFill="1" applyBorder="1" applyAlignment="1">
      <alignment horizontal="center" vertical="center"/>
    </xf>
    <xf numFmtId="0" fontId="0" fillId="9" borderId="238" xfId="0" applyFill="1" applyBorder="1" applyAlignment="1">
      <alignment horizontal="center" vertical="center"/>
    </xf>
    <xf numFmtId="0" fontId="0" fillId="40" borderId="238" xfId="0" applyFill="1" applyBorder="1" applyAlignment="1">
      <alignment horizontal="center" vertical="center" wrapText="1"/>
    </xf>
    <xf numFmtId="0" fontId="62" fillId="22" borderId="11" xfId="0" applyFont="1" applyFill="1" applyBorder="1" applyAlignment="1">
      <alignment horizontal="center" vertical="center"/>
    </xf>
    <xf numFmtId="0" fontId="62" fillId="22" borderId="43" xfId="0" applyFont="1" applyFill="1" applyBorder="1" applyAlignment="1">
      <alignment horizontal="center" vertical="center"/>
    </xf>
    <xf numFmtId="0" fontId="62" fillId="22" borderId="44" xfId="0" applyFont="1" applyFill="1" applyBorder="1" applyAlignment="1">
      <alignment horizontal="center" vertical="center"/>
    </xf>
    <xf numFmtId="0" fontId="62" fillId="22" borderId="27" xfId="0" applyFont="1" applyFill="1" applyBorder="1" applyAlignment="1">
      <alignment horizontal="center" vertical="center"/>
    </xf>
    <xf numFmtId="0" fontId="62" fillId="22" borderId="28" xfId="0" applyFont="1" applyFill="1" applyBorder="1" applyAlignment="1">
      <alignment horizontal="center" vertical="center"/>
    </xf>
    <xf numFmtId="0" fontId="62" fillId="22" borderId="29" xfId="0" applyFont="1" applyFill="1" applyBorder="1" applyAlignment="1">
      <alignment horizontal="center" vertical="center"/>
    </xf>
    <xf numFmtId="0" fontId="22" fillId="21" borderId="45" xfId="0" applyFont="1" applyFill="1" applyBorder="1" applyAlignment="1" applyProtection="1">
      <alignment horizontal="center" vertical="center" wrapText="1"/>
      <protection hidden="1"/>
    </xf>
    <xf numFmtId="0" fontId="22" fillId="21" borderId="0" xfId="0" applyFont="1" applyFill="1" applyAlignment="1" applyProtection="1">
      <alignment horizontal="center" vertical="center" wrapText="1"/>
      <protection hidden="1"/>
    </xf>
    <xf numFmtId="0" fontId="22" fillId="21" borderId="46" xfId="0" applyFont="1" applyFill="1" applyBorder="1" applyAlignment="1" applyProtection="1">
      <alignment horizontal="center" vertical="center" wrapText="1"/>
      <protection hidden="1"/>
    </xf>
    <xf numFmtId="0" fontId="30" fillId="0" borderId="83" xfId="0" applyFont="1" applyBorder="1" applyAlignment="1" applyProtection="1">
      <alignment horizontal="center" vertical="center"/>
      <protection locked="0" hidden="1"/>
    </xf>
    <xf numFmtId="0" fontId="30" fillId="0" borderId="84" xfId="0" applyFont="1" applyBorder="1" applyAlignment="1" applyProtection="1">
      <alignment horizontal="center" vertical="center"/>
      <protection locked="0" hidden="1"/>
    </xf>
    <xf numFmtId="0" fontId="22" fillId="21" borderId="37" xfId="0" applyFont="1" applyFill="1" applyBorder="1" applyAlignment="1" applyProtection="1">
      <alignment horizontal="center" vertical="center" wrapText="1"/>
      <protection hidden="1"/>
    </xf>
    <xf numFmtId="0" fontId="22" fillId="21" borderId="102" xfId="0" applyFont="1" applyFill="1" applyBorder="1" applyAlignment="1" applyProtection="1">
      <alignment horizontal="center" vertical="center" wrapText="1"/>
      <protection hidden="1"/>
    </xf>
    <xf numFmtId="0" fontId="30" fillId="0" borderId="107" xfId="0" applyFont="1" applyBorder="1" applyAlignment="1" applyProtection="1">
      <alignment horizontal="center" vertical="center"/>
      <protection locked="0" hidden="1"/>
    </xf>
    <xf numFmtId="0" fontId="30" fillId="0" borderId="108" xfId="0" applyFont="1" applyBorder="1" applyAlignment="1" applyProtection="1">
      <alignment horizontal="center" vertical="center"/>
      <protection locked="0" hidden="1"/>
    </xf>
    <xf numFmtId="0" fontId="22" fillId="21" borderId="95" xfId="0" applyFont="1" applyFill="1" applyBorder="1" applyAlignment="1" applyProtection="1">
      <alignment horizontal="center" vertical="center" wrapText="1"/>
      <protection hidden="1"/>
    </xf>
    <xf numFmtId="0" fontId="22" fillId="21" borderId="76" xfId="0" applyFont="1" applyFill="1" applyBorder="1" applyAlignment="1" applyProtection="1">
      <alignment horizontal="center" vertical="center" wrapText="1"/>
      <protection hidden="1"/>
    </xf>
    <xf numFmtId="0" fontId="22" fillId="21" borderId="105" xfId="0" applyFont="1" applyFill="1" applyBorder="1" applyAlignment="1" applyProtection="1">
      <alignment horizontal="center" vertical="center" wrapText="1"/>
      <protection hidden="1"/>
    </xf>
    <xf numFmtId="0" fontId="22" fillId="21" borderId="106" xfId="0" applyFont="1" applyFill="1" applyBorder="1" applyAlignment="1" applyProtection="1">
      <alignment horizontal="center" vertical="center" wrapText="1"/>
      <protection hidden="1"/>
    </xf>
    <xf numFmtId="0" fontId="29" fillId="0" borderId="98" xfId="0" applyFont="1" applyBorder="1" applyAlignment="1" applyProtection="1">
      <alignment horizontal="center" vertical="center"/>
      <protection hidden="1"/>
    </xf>
    <xf numFmtId="0" fontId="29" fillId="0" borderId="46" xfId="0" applyFont="1" applyBorder="1" applyAlignment="1" applyProtection="1">
      <alignment horizontal="center" vertical="center"/>
      <protection hidden="1"/>
    </xf>
    <xf numFmtId="0" fontId="30" fillId="0" borderId="103" xfId="0" applyFont="1" applyBorder="1" applyAlignment="1" applyProtection="1">
      <alignment horizontal="center" vertical="center"/>
      <protection locked="0" hidden="1"/>
    </xf>
    <xf numFmtId="0" fontId="30" fillId="0" borderId="104" xfId="0" applyFont="1" applyBorder="1" applyAlignment="1" applyProtection="1">
      <alignment horizontal="center" vertical="center"/>
      <protection locked="0" hidden="1"/>
    </xf>
    <xf numFmtId="0" fontId="45" fillId="23" borderId="5" xfId="0" applyFont="1" applyFill="1" applyBorder="1" applyAlignment="1" applyProtection="1">
      <alignment horizontal="center"/>
      <protection hidden="1"/>
    </xf>
    <xf numFmtId="0" fontId="45" fillId="23" borderId="6" xfId="0" applyFont="1" applyFill="1" applyBorder="1" applyAlignment="1" applyProtection="1">
      <alignment horizontal="center"/>
      <protection hidden="1"/>
    </xf>
    <xf numFmtId="0" fontId="45" fillId="23" borderId="22" xfId="0" applyFont="1" applyFill="1" applyBorder="1" applyAlignment="1" applyProtection="1">
      <alignment horizontal="center"/>
      <protection hidden="1"/>
    </xf>
    <xf numFmtId="0" fontId="45" fillId="23" borderId="43" xfId="0" applyFont="1" applyFill="1" applyBorder="1" applyAlignment="1" applyProtection="1">
      <alignment horizontal="center"/>
      <protection hidden="1"/>
    </xf>
    <xf numFmtId="0" fontId="45" fillId="23" borderId="44" xfId="0" applyFont="1" applyFill="1" applyBorder="1" applyAlignment="1" applyProtection="1">
      <alignment horizontal="center"/>
      <protection hidden="1"/>
    </xf>
    <xf numFmtId="0" fontId="22" fillId="21" borderId="20" xfId="0" applyFont="1" applyFill="1" applyBorder="1" applyAlignment="1" applyProtection="1">
      <alignment horizontal="center" vertical="center" wrapText="1"/>
      <protection hidden="1"/>
    </xf>
    <xf numFmtId="0" fontId="29" fillId="0" borderId="12" xfId="0" applyFont="1" applyBorder="1" applyAlignment="1" applyProtection="1">
      <alignment horizontal="center" vertical="center"/>
      <protection hidden="1"/>
    </xf>
    <xf numFmtId="0" fontId="29" fillId="0" borderId="44" xfId="0" applyFont="1" applyBorder="1" applyAlignment="1" applyProtection="1">
      <alignment horizontal="center" vertical="center"/>
      <protection hidden="1"/>
    </xf>
    <xf numFmtId="0" fontId="70" fillId="0" borderId="45" xfId="0" applyFont="1" applyBorder="1" applyAlignment="1" applyProtection="1">
      <alignment horizontal="center" vertical="center"/>
      <protection locked="0" hidden="1"/>
    </xf>
    <xf numFmtId="0" fontId="70" fillId="0" borderId="0" xfId="0" applyFont="1" applyAlignment="1" applyProtection="1">
      <alignment horizontal="center" vertical="center"/>
      <protection locked="0" hidden="1"/>
    </xf>
    <xf numFmtId="0" fontId="70" fillId="0" borderId="46" xfId="0" applyFont="1" applyBorder="1" applyAlignment="1" applyProtection="1">
      <alignment horizontal="center" vertical="center"/>
      <protection locked="0" hidden="1"/>
    </xf>
    <xf numFmtId="0" fontId="14" fillId="22" borderId="79" xfId="0" applyFont="1" applyFill="1" applyBorder="1" applyAlignment="1" applyProtection="1">
      <alignment horizontal="center" vertical="center"/>
      <protection hidden="1"/>
    </xf>
    <xf numFmtId="0" fontId="14" fillId="22" borderId="2" xfId="0" applyFont="1" applyFill="1" applyBorder="1" applyAlignment="1" applyProtection="1">
      <alignment horizontal="center" vertical="center"/>
      <protection hidden="1"/>
    </xf>
    <xf numFmtId="0" fontId="22" fillId="21" borderId="51" xfId="0" applyFont="1" applyFill="1" applyBorder="1" applyAlignment="1" applyProtection="1">
      <alignment horizontal="center" vertical="center" wrapText="1"/>
      <protection hidden="1"/>
    </xf>
    <xf numFmtId="0" fontId="22" fillId="21" borderId="110" xfId="0" applyFont="1" applyFill="1" applyBorder="1" applyAlignment="1" applyProtection="1">
      <alignment horizontal="center" vertical="center" wrapText="1"/>
      <protection hidden="1"/>
    </xf>
    <xf numFmtId="0" fontId="29" fillId="0" borderId="103" xfId="0" applyFont="1" applyBorder="1" applyAlignment="1" applyProtection="1">
      <alignment horizontal="center" vertical="center"/>
      <protection hidden="1"/>
    </xf>
    <xf numFmtId="0" fontId="29" fillId="0" borderId="104" xfId="0" applyFont="1" applyBorder="1" applyAlignment="1" applyProtection="1">
      <alignment horizontal="center" vertical="center"/>
      <protection hidden="1"/>
    </xf>
    <xf numFmtId="0" fontId="22" fillId="16" borderId="5" xfId="0" applyFont="1" applyFill="1" applyBorder="1" applyAlignment="1" applyProtection="1">
      <alignment horizontal="center" vertical="center" wrapText="1"/>
      <protection hidden="1"/>
    </xf>
    <xf numFmtId="0" fontId="22" fillId="16" borderId="6" xfId="0" applyFont="1" applyFill="1" applyBorder="1" applyAlignment="1" applyProtection="1">
      <alignment horizontal="center" vertical="center" wrapText="1"/>
      <protection hidden="1"/>
    </xf>
    <xf numFmtId="0" fontId="22" fillId="16" borderId="22" xfId="0" applyFont="1" applyFill="1" applyBorder="1" applyAlignment="1" applyProtection="1">
      <alignment horizontal="center" vertical="center" wrapText="1"/>
      <protection hidden="1"/>
    </xf>
    <xf numFmtId="0" fontId="14" fillId="5" borderId="79" xfId="0" applyFont="1" applyFill="1" applyBorder="1" applyAlignment="1" applyProtection="1">
      <alignment horizontal="center" vertical="center"/>
      <protection hidden="1"/>
    </xf>
    <xf numFmtId="0" fontId="14" fillId="5" borderId="2" xfId="0" applyFont="1" applyFill="1" applyBorder="1" applyAlignment="1" applyProtection="1">
      <alignment horizontal="center" vertical="center"/>
      <protection hidden="1"/>
    </xf>
    <xf numFmtId="0" fontId="22" fillId="16" borderId="51" xfId="0" applyFont="1" applyFill="1" applyBorder="1" applyAlignment="1" applyProtection="1">
      <alignment horizontal="center" vertical="center" wrapText="1"/>
      <protection hidden="1"/>
    </xf>
    <xf numFmtId="0" fontId="22" fillId="16" borderId="2" xfId="0" applyFont="1" applyFill="1" applyBorder="1" applyAlignment="1" applyProtection="1">
      <alignment horizontal="center" vertical="center" wrapText="1"/>
      <protection hidden="1"/>
    </xf>
    <xf numFmtId="0" fontId="22" fillId="17" borderId="51" xfId="0" applyFont="1" applyFill="1" applyBorder="1" applyAlignment="1" applyProtection="1">
      <alignment horizontal="center" vertical="center" wrapText="1"/>
      <protection hidden="1"/>
    </xf>
    <xf numFmtId="0" fontId="22" fillId="17" borderId="110" xfId="0" applyFont="1" applyFill="1" applyBorder="1" applyAlignment="1" applyProtection="1">
      <alignment horizontal="center" vertical="center" wrapText="1"/>
      <protection hidden="1"/>
    </xf>
    <xf numFmtId="0" fontId="22" fillId="17" borderId="95" xfId="0" applyFont="1" applyFill="1" applyBorder="1" applyAlignment="1" applyProtection="1">
      <alignment horizontal="center" vertical="center" wrapText="1"/>
      <protection hidden="1"/>
    </xf>
    <xf numFmtId="0" fontId="22" fillId="17" borderId="20" xfId="0" applyFont="1" applyFill="1" applyBorder="1" applyAlignment="1" applyProtection="1">
      <alignment horizontal="center" vertical="center" wrapText="1"/>
      <protection hidden="1"/>
    </xf>
    <xf numFmtId="0" fontId="22" fillId="17" borderId="45" xfId="0" applyFont="1" applyFill="1" applyBorder="1" applyAlignment="1" applyProtection="1">
      <alignment horizontal="center" vertical="center" wrapText="1"/>
      <protection hidden="1"/>
    </xf>
    <xf numFmtId="0" fontId="22" fillId="17" borderId="0" xfId="0" applyFont="1" applyFill="1" applyAlignment="1" applyProtection="1">
      <alignment horizontal="center" vertical="center" wrapText="1"/>
      <protection hidden="1"/>
    </xf>
    <xf numFmtId="0" fontId="22" fillId="17" borderId="46" xfId="0" applyFont="1" applyFill="1" applyBorder="1" applyAlignment="1" applyProtection="1">
      <alignment horizontal="center" vertical="center" wrapText="1"/>
      <protection hidden="1"/>
    </xf>
    <xf numFmtId="0" fontId="22" fillId="17" borderId="76" xfId="0" applyFont="1" applyFill="1" applyBorder="1" applyAlignment="1" applyProtection="1">
      <alignment horizontal="center" vertical="center" wrapText="1"/>
      <protection hidden="1"/>
    </xf>
    <xf numFmtId="0" fontId="22" fillId="17" borderId="37" xfId="0" applyFont="1" applyFill="1" applyBorder="1" applyAlignment="1" applyProtection="1">
      <alignment horizontal="center" vertical="center" wrapText="1"/>
      <protection hidden="1"/>
    </xf>
    <xf numFmtId="0" fontId="22" fillId="17" borderId="102" xfId="0" applyFont="1" applyFill="1" applyBorder="1" applyAlignment="1" applyProtection="1">
      <alignment horizontal="center" vertical="center" wrapText="1"/>
      <protection hidden="1"/>
    </xf>
    <xf numFmtId="0" fontId="22" fillId="17" borderId="105" xfId="0" applyFont="1" applyFill="1" applyBorder="1" applyAlignment="1" applyProtection="1">
      <alignment horizontal="center" vertical="center" wrapText="1"/>
      <protection hidden="1"/>
    </xf>
    <xf numFmtId="0" fontId="22" fillId="17" borderId="106" xfId="0" applyFont="1" applyFill="1" applyBorder="1" applyAlignment="1" applyProtection="1">
      <alignment horizontal="center" vertical="center" wrapText="1"/>
      <protection hidden="1"/>
    </xf>
    <xf numFmtId="0" fontId="14" fillId="22" borderId="8" xfId="0" applyFont="1" applyFill="1" applyBorder="1" applyAlignment="1" applyProtection="1">
      <alignment horizontal="center" vertical="center"/>
      <protection hidden="1"/>
    </xf>
    <xf numFmtId="0" fontId="14" fillId="22" borderId="119" xfId="0" applyFont="1" applyFill="1" applyBorder="1" applyAlignment="1" applyProtection="1">
      <alignment horizontal="center" vertical="center"/>
      <protection hidden="1"/>
    </xf>
    <xf numFmtId="0" fontId="14" fillId="22" borderId="30" xfId="0" applyFont="1" applyFill="1" applyBorder="1" applyAlignment="1" applyProtection="1">
      <alignment horizontal="center" vertical="center"/>
      <protection hidden="1"/>
    </xf>
    <xf numFmtId="164" fontId="41" fillId="17" borderId="8" xfId="0" applyNumberFormat="1" applyFont="1" applyFill="1" applyBorder="1" applyAlignment="1" applyProtection="1">
      <alignment horizontal="center" vertical="center" wrapText="1"/>
      <protection hidden="1"/>
    </xf>
    <xf numFmtId="49" fontId="53" fillId="3" borderId="5" xfId="0" quotePrefix="1" applyNumberFormat="1" applyFont="1" applyFill="1" applyBorder="1" applyAlignment="1" applyProtection="1">
      <alignment horizontal="center" vertical="center" wrapText="1"/>
      <protection locked="0"/>
    </xf>
    <xf numFmtId="49" fontId="53" fillId="3" borderId="6" xfId="0" applyNumberFormat="1" applyFont="1" applyFill="1" applyBorder="1" applyAlignment="1" applyProtection="1">
      <alignment horizontal="center" vertical="center" wrapText="1"/>
      <protection locked="0"/>
    </xf>
    <xf numFmtId="49" fontId="53" fillId="3" borderId="22" xfId="0" applyNumberFormat="1" applyFont="1" applyFill="1" applyBorder="1" applyAlignment="1" applyProtection="1">
      <alignment horizontal="center" vertical="center" wrapText="1"/>
      <protection locked="0"/>
    </xf>
    <xf numFmtId="0" fontId="45" fillId="17" borderId="5" xfId="0" applyFont="1" applyFill="1" applyBorder="1" applyAlignment="1" applyProtection="1">
      <alignment horizontal="center" vertical="center" wrapText="1"/>
      <protection hidden="1"/>
    </xf>
    <xf numFmtId="0" fontId="45" fillId="17" borderId="6" xfId="0" applyFont="1" applyFill="1" applyBorder="1" applyAlignment="1" applyProtection="1">
      <alignment horizontal="center" vertical="center" wrapText="1"/>
      <protection hidden="1"/>
    </xf>
    <xf numFmtId="0" fontId="45" fillId="17" borderId="22" xfId="0" applyFont="1" applyFill="1" applyBorder="1" applyAlignment="1" applyProtection="1">
      <alignment horizontal="center" vertical="center" wrapText="1"/>
      <protection hidden="1"/>
    </xf>
    <xf numFmtId="0" fontId="22" fillId="12" borderId="23" xfId="0" applyFont="1" applyFill="1" applyBorder="1" applyAlignment="1" applyProtection="1">
      <alignment horizontal="center" vertical="center" textRotation="90" wrapText="1"/>
      <protection hidden="1"/>
    </xf>
    <xf numFmtId="0" fontId="22" fillId="12" borderId="30" xfId="0" applyFont="1" applyFill="1" applyBorder="1" applyAlignment="1" applyProtection="1">
      <alignment horizontal="center" vertical="center" textRotation="90" wrapText="1"/>
      <protection hidden="1"/>
    </xf>
    <xf numFmtId="0" fontId="19" fillId="17" borderId="5" xfId="0" applyFont="1" applyFill="1" applyBorder="1" applyAlignment="1" applyProtection="1">
      <alignment horizontal="right" vertical="center" wrapText="1"/>
      <protection hidden="1"/>
    </xf>
    <xf numFmtId="0" fontId="19" fillId="17" borderId="6" xfId="0" applyFont="1" applyFill="1" applyBorder="1" applyAlignment="1" applyProtection="1">
      <alignment horizontal="right" vertical="center" wrapText="1"/>
      <protection hidden="1"/>
    </xf>
    <xf numFmtId="0" fontId="19" fillId="17" borderId="28" xfId="0" applyFont="1" applyFill="1" applyBorder="1" applyAlignment="1" applyProtection="1">
      <alignment horizontal="center" vertical="center" wrapText="1"/>
      <protection hidden="1"/>
    </xf>
    <xf numFmtId="0" fontId="19" fillId="17" borderId="29" xfId="0" applyFont="1" applyFill="1" applyBorder="1" applyAlignment="1" applyProtection="1">
      <alignment horizontal="center" vertical="center" wrapText="1"/>
      <protection hidden="1"/>
    </xf>
    <xf numFmtId="0" fontId="57" fillId="5" borderId="32" xfId="0" applyFont="1" applyFill="1" applyBorder="1" applyAlignment="1" applyProtection="1">
      <alignment horizontal="center" vertical="center"/>
      <protection hidden="1"/>
    </xf>
    <xf numFmtId="0" fontId="57" fillId="5" borderId="35" xfId="0" applyFont="1" applyFill="1" applyBorder="1" applyAlignment="1" applyProtection="1">
      <alignment horizontal="center" vertical="center"/>
      <protection hidden="1"/>
    </xf>
    <xf numFmtId="0" fontId="17" fillId="23" borderId="31" xfId="0" applyFont="1" applyFill="1" applyBorder="1" applyAlignment="1" applyProtection="1">
      <alignment horizontal="center" vertical="center"/>
      <protection hidden="1"/>
    </xf>
    <xf numFmtId="0" fontId="17" fillId="23" borderId="34" xfId="0" applyFont="1" applyFill="1" applyBorder="1" applyAlignment="1" applyProtection="1">
      <alignment horizontal="center" vertical="center"/>
      <protection hidden="1"/>
    </xf>
    <xf numFmtId="0" fontId="35" fillId="5" borderId="32" xfId="0" applyFont="1" applyFill="1" applyBorder="1" applyAlignment="1" applyProtection="1">
      <alignment horizontal="center" vertical="center" wrapText="1"/>
      <protection hidden="1"/>
    </xf>
    <xf numFmtId="0" fontId="35" fillId="5" borderId="35" xfId="0" applyFont="1" applyFill="1" applyBorder="1" applyAlignment="1" applyProtection="1">
      <alignment horizontal="center" vertical="center" wrapText="1"/>
      <protection hidden="1"/>
    </xf>
    <xf numFmtId="164" fontId="21" fillId="5" borderId="54" xfId="0" applyNumberFormat="1" applyFont="1" applyFill="1" applyBorder="1" applyAlignment="1" applyProtection="1">
      <alignment horizontal="center" vertical="center" wrapText="1"/>
      <protection hidden="1"/>
    </xf>
    <xf numFmtId="164" fontId="21" fillId="5" borderId="42" xfId="0" applyNumberFormat="1" applyFont="1" applyFill="1" applyBorder="1" applyAlignment="1" applyProtection="1">
      <alignment horizontal="center" vertical="center" wrapText="1"/>
      <protection hidden="1"/>
    </xf>
    <xf numFmtId="164" fontId="21" fillId="5" borderId="36" xfId="0" applyNumberFormat="1" applyFont="1" applyFill="1" applyBorder="1" applyAlignment="1" applyProtection="1">
      <alignment horizontal="center" vertical="center" wrapText="1"/>
      <protection hidden="1"/>
    </xf>
    <xf numFmtId="164" fontId="21" fillId="5" borderId="18" xfId="0" applyNumberFormat="1" applyFont="1" applyFill="1" applyBorder="1" applyAlignment="1" applyProtection="1">
      <alignment horizontal="center" vertical="center" wrapText="1"/>
      <protection hidden="1"/>
    </xf>
    <xf numFmtId="164" fontId="41" fillId="17" borderId="51" xfId="0" applyNumberFormat="1" applyFont="1" applyFill="1" applyBorder="1" applyAlignment="1" applyProtection="1">
      <alignment horizontal="center" vertical="center"/>
      <protection hidden="1"/>
    </xf>
    <xf numFmtId="164" fontId="41" fillId="17" borderId="52" xfId="0" applyNumberFormat="1" applyFont="1" applyFill="1" applyBorder="1" applyAlignment="1" applyProtection="1">
      <alignment horizontal="center" vertical="center"/>
      <protection hidden="1"/>
    </xf>
    <xf numFmtId="0" fontId="0" fillId="21" borderId="11" xfId="0" applyFill="1" applyBorder="1" applyAlignment="1" applyProtection="1">
      <alignment horizontal="center"/>
      <protection hidden="1"/>
    </xf>
    <xf numFmtId="0" fontId="0" fillId="21" borderId="43" xfId="0" applyFill="1" applyBorder="1" applyAlignment="1" applyProtection="1">
      <alignment horizontal="center"/>
      <protection hidden="1"/>
    </xf>
    <xf numFmtId="0" fontId="16" fillId="17" borderId="9" xfId="0" applyFont="1" applyFill="1" applyBorder="1" applyAlignment="1" applyProtection="1">
      <alignment horizontal="center" vertical="center" wrapText="1"/>
      <protection hidden="1"/>
    </xf>
    <xf numFmtId="0" fontId="16" fillId="17" borderId="58" xfId="0" applyFont="1" applyFill="1" applyBorder="1" applyAlignment="1" applyProtection="1">
      <alignment horizontal="center" vertical="center" wrapText="1"/>
      <protection hidden="1"/>
    </xf>
    <xf numFmtId="0" fontId="16" fillId="17" borderId="7" xfId="0" applyFont="1" applyFill="1" applyBorder="1" applyAlignment="1" applyProtection="1">
      <alignment horizontal="center" vertical="center" wrapText="1"/>
      <protection hidden="1"/>
    </xf>
    <xf numFmtId="0" fontId="44" fillId="23" borderId="50" xfId="0" applyFont="1" applyFill="1" applyBorder="1" applyAlignment="1" applyProtection="1">
      <alignment horizontal="center" vertical="center" wrapText="1"/>
      <protection hidden="1"/>
    </xf>
    <xf numFmtId="0" fontId="44" fillId="23" borderId="38" xfId="0" applyFont="1" applyFill="1" applyBorder="1" applyAlignment="1" applyProtection="1">
      <alignment horizontal="center" vertical="center" wrapText="1"/>
      <protection hidden="1"/>
    </xf>
    <xf numFmtId="0" fontId="44" fillId="23" borderId="75" xfId="0" applyFont="1" applyFill="1" applyBorder="1" applyAlignment="1" applyProtection="1">
      <alignment horizontal="center" vertical="center" wrapText="1"/>
      <protection hidden="1"/>
    </xf>
    <xf numFmtId="0" fontId="44" fillId="23" borderId="51" xfId="0" applyFont="1" applyFill="1" applyBorder="1" applyAlignment="1" applyProtection="1">
      <alignment horizontal="center" vertical="center" wrapText="1"/>
      <protection hidden="1"/>
    </xf>
    <xf numFmtId="0" fontId="44" fillId="23" borderId="2" xfId="0" applyFont="1" applyFill="1" applyBorder="1" applyAlignment="1" applyProtection="1">
      <alignment horizontal="center" vertical="center" wrapText="1"/>
      <protection hidden="1"/>
    </xf>
    <xf numFmtId="0" fontId="44" fillId="23" borderId="3" xfId="0" applyFont="1" applyFill="1" applyBorder="1" applyAlignment="1" applyProtection="1">
      <alignment horizontal="center" vertical="center" wrapText="1"/>
      <protection hidden="1"/>
    </xf>
    <xf numFmtId="0" fontId="57" fillId="3" borderId="1" xfId="0" applyFont="1" applyFill="1" applyBorder="1" applyAlignment="1" applyProtection="1">
      <alignment horizontal="center" vertical="center"/>
      <protection locked="0" hidden="1"/>
    </xf>
    <xf numFmtId="0" fontId="57" fillId="3" borderId="2" xfId="0" applyFont="1" applyFill="1" applyBorder="1" applyAlignment="1" applyProtection="1">
      <alignment horizontal="center" vertical="center"/>
      <protection locked="0" hidden="1"/>
    </xf>
    <xf numFmtId="0" fontId="44" fillId="23" borderId="1" xfId="0" applyFont="1" applyFill="1" applyBorder="1" applyAlignment="1" applyProtection="1">
      <alignment horizontal="center" vertical="center" wrapText="1"/>
      <protection hidden="1"/>
    </xf>
    <xf numFmtId="0" fontId="38" fillId="3" borderId="20" xfId="0" applyFont="1" applyFill="1" applyBorder="1" applyAlignment="1" applyProtection="1">
      <alignment horizontal="center" vertical="center"/>
      <protection locked="0" hidden="1"/>
    </xf>
    <xf numFmtId="0" fontId="38" fillId="3" borderId="21" xfId="0" applyFont="1" applyFill="1" applyBorder="1" applyAlignment="1" applyProtection="1">
      <alignment horizontal="center" vertical="center"/>
      <protection locked="0" hidden="1"/>
    </xf>
    <xf numFmtId="0" fontId="35" fillId="23" borderId="114" xfId="0" applyFont="1" applyFill="1" applyBorder="1" applyAlignment="1" applyProtection="1">
      <alignment horizontal="center" vertical="center" wrapText="1"/>
      <protection hidden="1"/>
    </xf>
    <xf numFmtId="0" fontId="35" fillId="23" borderId="53" xfId="0" applyFont="1" applyFill="1" applyBorder="1" applyAlignment="1" applyProtection="1">
      <alignment horizontal="center" vertical="center" wrapText="1"/>
      <protection hidden="1"/>
    </xf>
    <xf numFmtId="14" fontId="44" fillId="15" borderId="92" xfId="0" applyNumberFormat="1" applyFont="1" applyFill="1" applyBorder="1" applyAlignment="1" applyProtection="1">
      <alignment horizontal="center" vertical="center" wrapText="1"/>
      <protection locked="0" hidden="1"/>
    </xf>
    <xf numFmtId="0" fontId="44" fillId="15" borderId="52" xfId="0" applyFont="1" applyFill="1" applyBorder="1" applyAlignment="1" applyProtection="1">
      <alignment horizontal="center" vertical="center" wrapText="1"/>
      <protection locked="0" hidden="1"/>
    </xf>
    <xf numFmtId="0" fontId="44" fillId="3" borderId="1" xfId="0" applyFont="1" applyFill="1" applyBorder="1" applyAlignment="1" applyProtection="1">
      <alignment horizontal="center" vertical="center" wrapText="1"/>
      <protection locked="0" hidden="1"/>
    </xf>
    <xf numFmtId="0" fontId="44" fillId="3" borderId="2" xfId="0" applyFont="1" applyFill="1" applyBorder="1" applyAlignment="1" applyProtection="1">
      <alignment horizontal="center" vertical="center" wrapText="1"/>
      <protection locked="0" hidden="1"/>
    </xf>
    <xf numFmtId="0" fontId="44" fillId="3" borderId="94" xfId="0" applyFont="1" applyFill="1" applyBorder="1" applyAlignment="1" applyProtection="1">
      <alignment horizontal="center" vertical="center" wrapText="1"/>
      <protection locked="0" hidden="1"/>
    </xf>
    <xf numFmtId="0" fontId="44" fillId="15" borderId="92" xfId="0" applyFont="1" applyFill="1" applyBorder="1" applyAlignment="1" applyProtection="1">
      <alignment horizontal="center" vertical="center" wrapText="1"/>
      <protection locked="0" hidden="1"/>
    </xf>
    <xf numFmtId="0" fontId="35" fillId="23" borderId="17" xfId="0" applyFont="1" applyFill="1" applyBorder="1" applyAlignment="1" applyProtection="1">
      <alignment horizontal="center" vertical="center" wrapText="1"/>
      <protection hidden="1"/>
    </xf>
    <xf numFmtId="0" fontId="35" fillId="23" borderId="40" xfId="0" applyFont="1" applyFill="1" applyBorder="1" applyAlignment="1" applyProtection="1">
      <alignment horizontal="center" vertical="center" wrapText="1"/>
      <protection hidden="1"/>
    </xf>
    <xf numFmtId="0" fontId="35" fillId="23" borderId="18" xfId="0" applyFont="1" applyFill="1" applyBorder="1" applyAlignment="1" applyProtection="1">
      <alignment horizontal="center" vertical="center" wrapText="1"/>
      <protection hidden="1"/>
    </xf>
    <xf numFmtId="14" fontId="44" fillId="3" borderId="36" xfId="0" applyNumberFormat="1" applyFont="1" applyFill="1" applyBorder="1" applyAlignment="1" applyProtection="1">
      <alignment horizontal="center" vertical="center"/>
      <protection locked="0" hidden="1"/>
    </xf>
    <xf numFmtId="14" fontId="44" fillId="3" borderId="40" xfId="0" applyNumberFormat="1" applyFont="1" applyFill="1" applyBorder="1" applyAlignment="1" applyProtection="1">
      <alignment horizontal="center" vertical="center"/>
      <protection locked="0" hidden="1"/>
    </xf>
    <xf numFmtId="0" fontId="54" fillId="22" borderId="28" xfId="0" applyFont="1" applyFill="1" applyBorder="1" applyAlignment="1" applyProtection="1">
      <alignment horizontal="center" vertical="center"/>
      <protection hidden="1"/>
    </xf>
    <xf numFmtId="0" fontId="54" fillId="22" borderId="29" xfId="0" applyFont="1" applyFill="1" applyBorder="1" applyAlignment="1" applyProtection="1">
      <alignment horizontal="center" vertical="center"/>
      <protection hidden="1"/>
    </xf>
    <xf numFmtId="0" fontId="30" fillId="22" borderId="0" xfId="0" applyFont="1" applyFill="1" applyAlignment="1" applyProtection="1">
      <alignment horizontal="center" vertical="center"/>
      <protection hidden="1"/>
    </xf>
    <xf numFmtId="0" fontId="35" fillId="3" borderId="36" xfId="0" applyFont="1" applyFill="1" applyBorder="1" applyAlignment="1" applyProtection="1">
      <alignment horizontal="center" vertical="center" wrapText="1"/>
      <protection locked="0" hidden="1"/>
    </xf>
    <xf numFmtId="0" fontId="35" fillId="3" borderId="40" xfId="0" applyFont="1" applyFill="1" applyBorder="1" applyAlignment="1" applyProtection="1">
      <alignment horizontal="center" vertical="center" wrapText="1"/>
      <protection locked="0" hidden="1"/>
    </xf>
    <xf numFmtId="0" fontId="35" fillId="3" borderId="18" xfId="0" applyFont="1" applyFill="1" applyBorder="1" applyAlignment="1" applyProtection="1">
      <alignment horizontal="center" vertical="center" wrapText="1"/>
      <protection locked="0" hidden="1"/>
    </xf>
    <xf numFmtId="0" fontId="26" fillId="3" borderId="5" xfId="0" applyFont="1" applyFill="1" applyBorder="1" applyAlignment="1" applyProtection="1">
      <alignment horizontal="left" vertical="top" wrapText="1"/>
      <protection locked="0"/>
    </xf>
    <xf numFmtId="0" fontId="26" fillId="3" borderId="6" xfId="0" applyFont="1" applyFill="1" applyBorder="1" applyAlignment="1" applyProtection="1">
      <alignment horizontal="left" vertical="top" wrapText="1"/>
      <protection locked="0"/>
    </xf>
    <xf numFmtId="0" fontId="26" fillId="3" borderId="22" xfId="0" applyFont="1" applyFill="1" applyBorder="1" applyAlignment="1" applyProtection="1">
      <alignment horizontal="left" vertical="top" wrapText="1"/>
      <protection locked="0"/>
    </xf>
    <xf numFmtId="164" fontId="53" fillId="3" borderId="5" xfId="0" applyNumberFormat="1" applyFont="1" applyFill="1" applyBorder="1" applyAlignment="1" applyProtection="1">
      <alignment horizontal="center" vertical="center" wrapText="1"/>
      <protection locked="0"/>
    </xf>
    <xf numFmtId="164" fontId="53" fillId="3" borderId="6" xfId="0" applyNumberFormat="1" applyFont="1" applyFill="1" applyBorder="1" applyAlignment="1" applyProtection="1">
      <alignment horizontal="center" vertical="center" wrapText="1"/>
      <protection locked="0"/>
    </xf>
    <xf numFmtId="164" fontId="53" fillId="3" borderId="22" xfId="0" applyNumberFormat="1" applyFont="1" applyFill="1" applyBorder="1" applyAlignment="1" applyProtection="1">
      <alignment horizontal="center" vertical="center" wrapText="1"/>
      <protection locked="0"/>
    </xf>
    <xf numFmtId="0" fontId="44" fillId="15" borderId="93" xfId="0" applyFont="1" applyFill="1" applyBorder="1" applyAlignment="1" applyProtection="1">
      <alignment horizontal="center" vertical="center" wrapText="1"/>
      <protection locked="0" hidden="1"/>
    </xf>
    <xf numFmtId="0" fontId="44" fillId="15" borderId="41" xfId="0" applyFont="1" applyFill="1" applyBorder="1" applyAlignment="1" applyProtection="1">
      <alignment horizontal="center" vertical="center" wrapText="1"/>
      <protection locked="0" hidden="1"/>
    </xf>
    <xf numFmtId="14" fontId="44" fillId="3" borderId="1" xfId="0" applyNumberFormat="1" applyFont="1" applyFill="1" applyBorder="1" applyAlignment="1" applyProtection="1">
      <alignment horizontal="center" vertical="center"/>
      <protection locked="0" hidden="1"/>
    </xf>
    <xf numFmtId="14" fontId="44" fillId="3" borderId="2" xfId="0" applyNumberFormat="1" applyFont="1" applyFill="1" applyBorder="1" applyAlignment="1" applyProtection="1">
      <alignment horizontal="center" vertical="center"/>
      <protection locked="0" hidden="1"/>
    </xf>
    <xf numFmtId="0" fontId="44" fillId="23" borderId="36" xfId="0" applyFont="1" applyFill="1" applyBorder="1" applyAlignment="1" applyProtection="1">
      <alignment horizontal="center" vertical="center" wrapText="1"/>
      <protection hidden="1"/>
    </xf>
    <xf numFmtId="0" fontId="44" fillId="23" borderId="40" xfId="0" applyFont="1" applyFill="1" applyBorder="1" applyAlignment="1" applyProtection="1">
      <alignment horizontal="center" vertical="center" wrapText="1"/>
      <protection hidden="1"/>
    </xf>
    <xf numFmtId="0" fontId="26" fillId="5" borderId="24" xfId="0" applyFont="1" applyFill="1" applyBorder="1" applyAlignment="1" applyProtection="1">
      <alignment horizontal="left" vertical="center" wrapText="1"/>
      <protection hidden="1"/>
    </xf>
    <xf numFmtId="0" fontId="26" fillId="5" borderId="25" xfId="0" applyFont="1" applyFill="1" applyBorder="1" applyAlignment="1" applyProtection="1">
      <alignment horizontal="left" vertical="center" wrapText="1"/>
      <protection hidden="1"/>
    </xf>
    <xf numFmtId="0" fontId="26" fillId="5" borderId="26" xfId="0" applyFont="1" applyFill="1" applyBorder="1" applyAlignment="1" applyProtection="1">
      <alignment horizontal="left" vertical="center" wrapText="1"/>
      <protection hidden="1"/>
    </xf>
    <xf numFmtId="0" fontId="26" fillId="5" borderId="27" xfId="0" applyFont="1" applyFill="1" applyBorder="1" applyAlignment="1" applyProtection="1">
      <alignment horizontal="left" vertical="center" wrapText="1"/>
      <protection hidden="1"/>
    </xf>
    <xf numFmtId="0" fontId="26" fillId="5" borderId="28" xfId="0" applyFont="1" applyFill="1" applyBorder="1" applyAlignment="1" applyProtection="1">
      <alignment horizontal="left" vertical="center" wrapText="1"/>
      <protection hidden="1"/>
    </xf>
    <xf numFmtId="0" fontId="26" fillId="5" borderId="29" xfId="0" applyFont="1" applyFill="1" applyBorder="1" applyAlignment="1" applyProtection="1">
      <alignment horizontal="left" vertical="center" wrapText="1"/>
      <protection hidden="1"/>
    </xf>
    <xf numFmtId="0" fontId="30" fillId="22" borderId="11" xfId="0" applyFont="1" applyFill="1" applyBorder="1" applyAlignment="1" applyProtection="1">
      <alignment horizontal="center" vertical="center"/>
      <protection hidden="1"/>
    </xf>
    <xf numFmtId="0" fontId="30" fillId="22" borderId="43" xfId="0" applyFont="1" applyFill="1" applyBorder="1" applyAlignment="1" applyProtection="1">
      <alignment horizontal="center" vertical="center"/>
      <protection hidden="1"/>
    </xf>
    <xf numFmtId="0" fontId="30" fillId="22" borderId="44" xfId="0" applyFont="1" applyFill="1" applyBorder="1" applyAlignment="1" applyProtection="1">
      <alignment horizontal="center" vertical="center"/>
      <protection hidden="1"/>
    </xf>
    <xf numFmtId="0" fontId="30" fillId="22" borderId="27" xfId="0" applyFont="1" applyFill="1" applyBorder="1" applyAlignment="1" applyProtection="1">
      <alignment horizontal="center" vertical="center"/>
      <protection hidden="1"/>
    </xf>
    <xf numFmtId="0" fontId="30" fillId="22" borderId="28" xfId="0" applyFont="1" applyFill="1" applyBorder="1" applyAlignment="1" applyProtection="1">
      <alignment horizontal="center" vertical="center"/>
      <protection hidden="1"/>
    </xf>
    <xf numFmtId="0" fontId="30" fillId="22" borderId="29" xfId="0" applyFont="1" applyFill="1" applyBorder="1" applyAlignment="1" applyProtection="1">
      <alignment horizontal="center" vertical="center"/>
      <protection hidden="1"/>
    </xf>
    <xf numFmtId="0" fontId="22" fillId="23" borderId="23" xfId="0" applyFont="1" applyFill="1" applyBorder="1" applyAlignment="1" applyProtection="1">
      <alignment horizontal="center" vertical="center" textRotation="90" wrapText="1"/>
      <protection hidden="1"/>
    </xf>
    <xf numFmtId="0" fontId="22" fillId="23" borderId="30" xfId="0" applyFont="1" applyFill="1" applyBorder="1" applyAlignment="1" applyProtection="1">
      <alignment horizontal="center" vertical="center" textRotation="90" wrapText="1"/>
      <protection hidden="1"/>
    </xf>
    <xf numFmtId="0" fontId="14" fillId="22" borderId="23" xfId="0" applyFont="1" applyFill="1" applyBorder="1" applyAlignment="1" applyProtection="1">
      <alignment horizontal="center" vertical="center"/>
      <protection hidden="1"/>
    </xf>
    <xf numFmtId="0" fontId="67" fillId="3" borderId="72" xfId="0" applyFont="1" applyFill="1" applyBorder="1" applyAlignment="1" applyProtection="1">
      <alignment horizontal="left" vertical="top" wrapText="1"/>
      <protection locked="0"/>
    </xf>
    <xf numFmtId="0" fontId="67" fillId="3" borderId="73" xfId="0" applyFont="1" applyFill="1" applyBorder="1" applyAlignment="1" applyProtection="1">
      <alignment horizontal="left" vertical="top" wrapText="1"/>
      <protection locked="0"/>
    </xf>
    <xf numFmtId="0" fontId="67" fillId="3" borderId="74" xfId="0" applyFont="1" applyFill="1" applyBorder="1" applyAlignment="1" applyProtection="1">
      <alignment horizontal="left" vertical="top" wrapText="1"/>
      <protection locked="0"/>
    </xf>
    <xf numFmtId="0" fontId="67" fillId="3" borderId="98" xfId="0" applyFont="1" applyFill="1" applyBorder="1" applyAlignment="1" applyProtection="1">
      <alignment horizontal="left" vertical="top" wrapText="1"/>
      <protection locked="0"/>
    </xf>
    <xf numFmtId="0" fontId="67" fillId="3" borderId="0" xfId="0" applyFont="1" applyFill="1" applyAlignment="1" applyProtection="1">
      <alignment horizontal="left" vertical="top" wrapText="1"/>
      <protection locked="0"/>
    </xf>
    <xf numFmtId="0" fontId="67" fillId="3" borderId="99" xfId="0" applyFont="1" applyFill="1" applyBorder="1" applyAlignment="1" applyProtection="1">
      <alignment horizontal="left" vertical="top" wrapText="1"/>
      <protection locked="0"/>
    </xf>
    <xf numFmtId="0" fontId="67" fillId="3" borderId="20" xfId="0" applyFont="1" applyFill="1" applyBorder="1" applyAlignment="1" applyProtection="1">
      <alignment horizontal="left" vertical="top" wrapText="1"/>
      <protection locked="0"/>
    </xf>
    <xf numFmtId="0" fontId="67" fillId="3" borderId="21" xfId="0" applyFont="1" applyFill="1" applyBorder="1" applyAlignment="1" applyProtection="1">
      <alignment horizontal="left" vertical="top" wrapText="1"/>
      <protection locked="0"/>
    </xf>
    <xf numFmtId="0" fontId="67" fillId="3" borderId="75" xfId="0" applyFont="1" applyFill="1" applyBorder="1" applyAlignment="1" applyProtection="1">
      <alignment horizontal="left" vertical="top" wrapText="1"/>
      <protection locked="0"/>
    </xf>
    <xf numFmtId="164" fontId="24" fillId="5" borderId="32" xfId="0" applyNumberFormat="1" applyFont="1" applyFill="1" applyBorder="1" applyAlignment="1" applyProtection="1">
      <alignment horizontal="center" vertical="center" textRotation="90" wrapText="1"/>
      <protection hidden="1"/>
    </xf>
    <xf numFmtId="164" fontId="24" fillId="5" borderId="35" xfId="0" applyNumberFormat="1" applyFont="1" applyFill="1" applyBorder="1" applyAlignment="1" applyProtection="1">
      <alignment horizontal="center" vertical="center" textRotation="90" wrapText="1"/>
      <protection hidden="1"/>
    </xf>
    <xf numFmtId="164" fontId="24" fillId="5" borderId="33" xfId="0" applyNumberFormat="1" applyFont="1" applyFill="1" applyBorder="1" applyAlignment="1" applyProtection="1">
      <alignment horizontal="center" vertical="center" textRotation="90" wrapText="1"/>
      <protection hidden="1"/>
    </xf>
    <xf numFmtId="164" fontId="24" fillId="5" borderId="77" xfId="0" applyNumberFormat="1" applyFont="1" applyFill="1" applyBorder="1" applyAlignment="1" applyProtection="1">
      <alignment horizontal="center" vertical="center" textRotation="90" wrapText="1"/>
      <protection hidden="1"/>
    </xf>
    <xf numFmtId="0" fontId="41" fillId="17" borderId="31" xfId="0" applyFont="1" applyFill="1" applyBorder="1" applyAlignment="1" applyProtection="1">
      <alignment horizontal="center" vertical="center" wrapText="1"/>
      <protection hidden="1"/>
    </xf>
    <xf numFmtId="0" fontId="41" fillId="17" borderId="34" xfId="0" applyFont="1" applyFill="1" applyBorder="1" applyAlignment="1" applyProtection="1">
      <alignment horizontal="center" vertical="center" wrapText="1"/>
      <protection hidden="1"/>
    </xf>
    <xf numFmtId="0" fontId="67" fillId="3" borderId="8" xfId="0" applyFont="1" applyFill="1" applyBorder="1" applyAlignment="1" applyProtection="1">
      <alignment horizontal="center" vertical="top"/>
      <protection locked="0"/>
    </xf>
    <xf numFmtId="164" fontId="41" fillId="17" borderId="50" xfId="0" applyNumberFormat="1" applyFont="1" applyFill="1" applyBorder="1" applyAlignment="1" applyProtection="1">
      <alignment horizontal="center" vertical="center"/>
      <protection hidden="1"/>
    </xf>
    <xf numFmtId="164" fontId="41" fillId="17" borderId="39" xfId="0" applyNumberFormat="1" applyFont="1" applyFill="1" applyBorder="1" applyAlignment="1" applyProtection="1">
      <alignment horizontal="center" vertical="center"/>
      <protection hidden="1"/>
    </xf>
    <xf numFmtId="164" fontId="41" fillId="17" borderId="17" xfId="0" applyNumberFormat="1" applyFont="1" applyFill="1" applyBorder="1" applyAlignment="1" applyProtection="1">
      <alignment horizontal="center" vertical="center"/>
      <protection hidden="1"/>
    </xf>
    <xf numFmtId="164" fontId="41" fillId="17" borderId="41" xfId="0" applyNumberFormat="1" applyFont="1" applyFill="1" applyBorder="1" applyAlignment="1" applyProtection="1">
      <alignment horizontal="center" vertical="center"/>
      <protection hidden="1"/>
    </xf>
    <xf numFmtId="0" fontId="59" fillId="22" borderId="11" xfId="0" applyFont="1" applyFill="1" applyBorder="1" applyAlignment="1" applyProtection="1">
      <alignment horizontal="center" vertical="center" wrapText="1"/>
      <protection hidden="1"/>
    </xf>
    <xf numFmtId="0" fontId="59" fillId="22" borderId="43" xfId="0" applyFont="1" applyFill="1" applyBorder="1" applyAlignment="1" applyProtection="1">
      <alignment horizontal="center" vertical="center" wrapText="1"/>
      <protection hidden="1"/>
    </xf>
    <xf numFmtId="0" fontId="59" fillId="22" borderId="44" xfId="0" applyFont="1" applyFill="1" applyBorder="1" applyAlignment="1" applyProtection="1">
      <alignment horizontal="center" vertical="center" wrapText="1"/>
      <protection hidden="1"/>
    </xf>
    <xf numFmtId="0" fontId="59" fillId="22" borderId="27" xfId="0" applyFont="1" applyFill="1" applyBorder="1" applyAlignment="1" applyProtection="1">
      <alignment horizontal="center" vertical="center" wrapText="1"/>
      <protection hidden="1"/>
    </xf>
    <xf numFmtId="0" fontId="59" fillId="22" borderId="28" xfId="0" applyFont="1" applyFill="1" applyBorder="1" applyAlignment="1" applyProtection="1">
      <alignment horizontal="center" vertical="center" wrapText="1"/>
      <protection hidden="1"/>
    </xf>
    <xf numFmtId="0" fontId="59" fillId="22" borderId="29" xfId="0" applyFont="1" applyFill="1" applyBorder="1" applyAlignment="1" applyProtection="1">
      <alignment horizontal="center" vertical="center" wrapText="1"/>
      <protection hidden="1"/>
    </xf>
    <xf numFmtId="0" fontId="13" fillId="21" borderId="43" xfId="0" applyFont="1" applyFill="1" applyBorder="1" applyAlignment="1">
      <alignment horizontal="center"/>
    </xf>
    <xf numFmtId="0" fontId="13" fillId="21" borderId="44" xfId="0" applyFont="1" applyFill="1" applyBorder="1" applyAlignment="1">
      <alignment horizontal="center"/>
    </xf>
    <xf numFmtId="0" fontId="13" fillId="21" borderId="11" xfId="0" applyFont="1" applyFill="1" applyBorder="1" applyAlignment="1">
      <alignment horizontal="center"/>
    </xf>
    <xf numFmtId="0" fontId="13" fillId="21" borderId="2" xfId="0" applyFont="1" applyFill="1" applyBorder="1" applyAlignment="1">
      <alignment horizontal="center" vertical="center"/>
    </xf>
    <xf numFmtId="0" fontId="13" fillId="21" borderId="11" xfId="0" applyFont="1" applyFill="1" applyBorder="1" applyAlignment="1">
      <alignment horizontal="center" vertical="center"/>
    </xf>
    <xf numFmtId="0" fontId="13" fillId="21" borderId="44" xfId="0" applyFont="1" applyFill="1" applyBorder="1" applyAlignment="1">
      <alignment horizontal="center" vertical="center"/>
    </xf>
    <xf numFmtId="0" fontId="13" fillId="21" borderId="43"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34"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102" xfId="0" applyFont="1" applyFill="1" applyBorder="1" applyAlignment="1">
      <alignment horizontal="center" vertical="center"/>
    </xf>
    <xf numFmtId="0" fontId="14" fillId="5" borderId="35" xfId="0" applyFont="1" applyFill="1" applyBorder="1" applyAlignment="1">
      <alignment horizontal="center" vertical="center"/>
    </xf>
    <xf numFmtId="0" fontId="13" fillId="21" borderId="1" xfId="0" applyFont="1" applyFill="1" applyBorder="1" applyAlignment="1">
      <alignment horizontal="center" vertical="center"/>
    </xf>
    <xf numFmtId="0" fontId="13" fillId="21" borderId="3"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102" xfId="0" applyFont="1" applyFill="1" applyBorder="1" applyAlignment="1">
      <alignment horizontal="center" vertical="center"/>
    </xf>
    <xf numFmtId="0" fontId="24" fillId="5" borderId="35" xfId="0" applyFont="1" applyFill="1" applyBorder="1" applyAlignment="1">
      <alignment horizontal="center" vertical="center"/>
    </xf>
    <xf numFmtId="0" fontId="14" fillId="5" borderId="14" xfId="0" applyFont="1" applyFill="1" applyBorder="1" applyAlignment="1">
      <alignment horizontal="center" vertical="center"/>
    </xf>
    <xf numFmtId="0" fontId="14" fillId="5" borderId="48" xfId="0" applyFont="1" applyFill="1" applyBorder="1" applyAlignment="1">
      <alignment horizontal="center" vertical="center"/>
    </xf>
    <xf numFmtId="0" fontId="14" fillId="5" borderId="49" xfId="0" applyFont="1" applyFill="1" applyBorder="1" applyAlignment="1">
      <alignment horizontal="center" vertical="center"/>
    </xf>
    <xf numFmtId="0" fontId="14" fillId="5" borderId="15" xfId="0" applyFont="1" applyFill="1" applyBorder="1" applyAlignment="1">
      <alignment horizontal="center" vertical="center"/>
    </xf>
    <xf numFmtId="0" fontId="14" fillId="5" borderId="4" xfId="0" applyFont="1" applyFill="1" applyBorder="1" applyAlignment="1">
      <alignment horizontal="center" vertical="center"/>
    </xf>
    <xf numFmtId="0" fontId="14" fillId="5" borderId="19" xfId="0" applyFont="1" applyFill="1" applyBorder="1" applyAlignment="1">
      <alignment horizontal="center" vertical="center"/>
    </xf>
    <xf numFmtId="164" fontId="24" fillId="5" borderId="32" xfId="0" applyNumberFormat="1" applyFont="1" applyFill="1" applyBorder="1" applyAlignment="1">
      <alignment horizontal="center" vertical="center"/>
    </xf>
    <xf numFmtId="164" fontId="24" fillId="5" borderId="102" xfId="0" applyNumberFormat="1" applyFont="1" applyFill="1" applyBorder="1" applyAlignment="1">
      <alignment horizontal="center" vertical="center"/>
    </xf>
    <xf numFmtId="164" fontId="24" fillId="5" borderId="35" xfId="0" applyNumberFormat="1" applyFont="1" applyFill="1" applyBorder="1" applyAlignment="1">
      <alignment horizontal="center" vertical="center"/>
    </xf>
    <xf numFmtId="0" fontId="26" fillId="22" borderId="0" xfId="2" applyFill="1" applyAlignment="1" applyProtection="1">
      <alignment horizontal="center" vertical="center" wrapText="1"/>
      <protection hidden="1"/>
    </xf>
    <xf numFmtId="0" fontId="17" fillId="0" borderId="0" xfId="2" applyFont="1" applyAlignment="1" applyProtection="1">
      <alignment horizontal="left" vertical="center" wrapText="1"/>
      <protection hidden="1"/>
    </xf>
    <xf numFmtId="0" fontId="26" fillId="0" borderId="0" xfId="2" applyAlignment="1" applyProtection="1">
      <alignment horizontal="left" vertical="center" wrapText="1"/>
      <protection hidden="1"/>
    </xf>
    <xf numFmtId="0" fontId="110" fillId="31" borderId="0" xfId="0" applyFont="1" applyFill="1" applyAlignment="1">
      <alignment vertical="center"/>
    </xf>
    <xf numFmtId="0" fontId="95" fillId="31" borderId="253" xfId="0" applyFont="1" applyFill="1" applyBorder="1" applyAlignment="1">
      <alignment horizontal="center" vertical="center"/>
    </xf>
    <xf numFmtId="0" fontId="95" fillId="31" borderId="73" xfId="0" applyFont="1" applyFill="1" applyBorder="1" applyAlignment="1">
      <alignment horizontal="center" vertical="center"/>
    </xf>
    <xf numFmtId="0" fontId="95" fillId="31" borderId="2" xfId="0" applyFont="1" applyFill="1" applyBorder="1" applyAlignment="1">
      <alignment horizontal="center" vertical="center"/>
    </xf>
    <xf numFmtId="0" fontId="95" fillId="31" borderId="3" xfId="0" applyFont="1" applyFill="1" applyBorder="1" applyAlignment="1">
      <alignment horizontal="center" vertical="center"/>
    </xf>
    <xf numFmtId="0" fontId="92" fillId="32" borderId="73" xfId="0" applyFont="1" applyFill="1" applyBorder="1" applyAlignment="1">
      <alignment horizontal="left" vertical="center" wrapText="1"/>
    </xf>
    <xf numFmtId="0" fontId="139" fillId="35" borderId="72" xfId="0" applyFont="1" applyFill="1" applyBorder="1" applyAlignment="1">
      <alignment horizontal="center" vertical="center"/>
    </xf>
    <xf numFmtId="0" fontId="92" fillId="32" borderId="72" xfId="0" applyFont="1" applyFill="1" applyBorder="1" applyAlignment="1">
      <alignment horizontal="left" vertical="center" wrapText="1"/>
    </xf>
    <xf numFmtId="0" fontId="92" fillId="32" borderId="288" xfId="0" applyFont="1" applyFill="1" applyBorder="1" applyAlignment="1">
      <alignment horizontal="left" vertical="center" wrapText="1"/>
    </xf>
    <xf numFmtId="0" fontId="139" fillId="35" borderId="57" xfId="0" applyFont="1" applyFill="1" applyBorder="1" applyAlignment="1">
      <alignment horizontal="center" vertical="center"/>
    </xf>
    <xf numFmtId="0" fontId="92" fillId="32" borderId="58" xfId="0" applyFont="1" applyFill="1" applyBorder="1" applyAlignment="1">
      <alignment horizontal="left" vertical="center" wrapText="1"/>
    </xf>
    <xf numFmtId="0" fontId="141" fillId="0" borderId="289" xfId="0" applyFont="1" applyBorder="1" applyAlignment="1">
      <alignment horizontal="center" vertical="center" wrapText="1"/>
    </xf>
    <xf numFmtId="0" fontId="141" fillId="0" borderId="6" xfId="0" applyFont="1" applyBorder="1" applyAlignment="1">
      <alignment horizontal="center" vertical="center" wrapText="1"/>
    </xf>
    <xf numFmtId="0" fontId="141" fillId="0" borderId="22" xfId="0" applyFont="1" applyBorder="1" applyAlignment="1">
      <alignment horizontal="center" vertical="center" wrapText="1"/>
    </xf>
    <xf numFmtId="0" fontId="141" fillId="0" borderId="3" xfId="0" applyFont="1" applyBorder="1" applyAlignment="1">
      <alignment horizontal="center" vertical="center"/>
    </xf>
    <xf numFmtId="0" fontId="141" fillId="0" borderId="74" xfId="0" applyFont="1" applyBorder="1" applyAlignment="1">
      <alignment horizontal="center" vertical="center"/>
    </xf>
    <xf numFmtId="0" fontId="121" fillId="33" borderId="290" xfId="0" applyFont="1" applyFill="1" applyBorder="1" applyAlignment="1">
      <alignment horizontal="left" vertical="center"/>
    </xf>
    <xf numFmtId="0" fontId="121" fillId="33" borderId="291" xfId="0" applyFont="1" applyFill="1" applyBorder="1" applyAlignment="1">
      <alignment horizontal="left" vertical="center"/>
    </xf>
    <xf numFmtId="0" fontId="121" fillId="33" borderId="292" xfId="0" applyFont="1" applyFill="1" applyBorder="1" applyAlignment="1">
      <alignment horizontal="center" vertical="center"/>
    </xf>
    <xf numFmtId="0" fontId="121" fillId="33" borderId="293" xfId="0" applyFont="1" applyFill="1" applyBorder="1" applyAlignment="1">
      <alignment horizontal="left" vertical="center"/>
    </xf>
    <xf numFmtId="0" fontId="121" fillId="33" borderId="294" xfId="0" applyFont="1" applyFill="1" applyBorder="1" applyAlignment="1">
      <alignment horizontal="left" vertical="center"/>
    </xf>
    <xf numFmtId="0" fontId="148" fillId="31" borderId="0" xfId="0" applyFont="1" applyFill="1" applyAlignment="1">
      <alignment vertical="center" wrapText="1"/>
    </xf>
    <xf numFmtId="0" fontId="149" fillId="31" borderId="0" xfId="0" applyFont="1" applyFill="1" applyAlignment="1" applyProtection="1">
      <alignment vertical="center"/>
      <protection locked="0"/>
    </xf>
    <xf numFmtId="0" fontId="131" fillId="31" borderId="0" xfId="0" applyFont="1" applyFill="1" applyAlignment="1">
      <alignment vertical="center" wrapText="1"/>
    </xf>
    <xf numFmtId="0" fontId="131" fillId="31" borderId="0" xfId="0" applyFont="1" applyFill="1" applyAlignment="1" applyProtection="1">
      <alignment vertical="center" wrapText="1"/>
      <protection locked="0"/>
    </xf>
    <xf numFmtId="0" fontId="124" fillId="31" borderId="0" xfId="0" applyFont="1" applyFill="1" applyAlignment="1" applyProtection="1">
      <alignment vertical="center" wrapText="1"/>
      <protection locked="0"/>
    </xf>
    <xf numFmtId="0" fontId="95" fillId="31" borderId="0" xfId="0" applyFont="1" applyFill="1" applyAlignment="1" applyProtection="1">
      <alignment vertical="center"/>
      <protection locked="0"/>
    </xf>
    <xf numFmtId="0" fontId="95" fillId="31" borderId="0" xfId="0" applyFont="1" applyFill="1" applyAlignment="1" applyProtection="1">
      <alignment vertical="center" wrapText="1"/>
      <protection locked="0"/>
    </xf>
    <xf numFmtId="0" fontId="110" fillId="31" borderId="0" xfId="0" applyFont="1" applyFill="1"/>
    <xf numFmtId="0" fontId="110" fillId="31" borderId="0" xfId="0" applyFont="1" applyFill="1" applyAlignment="1">
      <alignment horizontal="center" vertical="center"/>
    </xf>
    <xf numFmtId="0" fontId="110" fillId="31" borderId="0" xfId="0" applyFont="1" applyFill="1" applyAlignment="1">
      <alignment horizontal="center" vertical="center"/>
    </xf>
    <xf numFmtId="0" fontId="92" fillId="31" borderId="0" xfId="0" applyFont="1" applyFill="1" applyAlignment="1">
      <alignment vertical="top"/>
    </xf>
    <xf numFmtId="0" fontId="92" fillId="31" borderId="0" xfId="0" applyFont="1" applyFill="1" applyAlignment="1">
      <alignment horizontal="center" vertical="top"/>
    </xf>
    <xf numFmtId="0" fontId="143" fillId="0" borderId="98" xfId="0" applyFont="1" applyBorder="1" applyAlignment="1">
      <alignment horizontal="left" vertical="center"/>
    </xf>
    <xf numFmtId="0" fontId="143" fillId="0" borderId="0" xfId="0" applyFont="1" applyAlignment="1">
      <alignment horizontal="left" vertical="center"/>
    </xf>
    <xf numFmtId="165" fontId="0" fillId="0" borderId="13" xfId="0" applyNumberFormat="1" applyBorder="1" applyAlignment="1">
      <alignment horizontal="center" vertical="center"/>
    </xf>
    <xf numFmtId="10" fontId="0" fillId="0" borderId="216" xfId="0" applyNumberFormat="1" applyBorder="1" applyAlignment="1">
      <alignment horizontal="center" vertical="center"/>
    </xf>
    <xf numFmtId="10" fontId="0" fillId="0" borderId="118" xfId="0" applyNumberFormat="1" applyBorder="1" applyAlignment="1">
      <alignment horizontal="center" vertical="center"/>
    </xf>
    <xf numFmtId="10" fontId="0" fillId="0" borderId="218" xfId="0" applyNumberFormat="1" applyBorder="1" applyAlignment="1">
      <alignment horizontal="center" vertical="center"/>
    </xf>
    <xf numFmtId="10" fontId="0" fillId="0" borderId="221" xfId="0" applyNumberFormat="1"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0" fontId="66" fillId="21" borderId="72" xfId="0" applyFont="1" applyFill="1" applyBorder="1" applyAlignment="1">
      <alignment horizontal="center" vertical="center" wrapText="1"/>
    </xf>
    <xf numFmtId="0" fontId="150" fillId="0" borderId="4" xfId="0" applyFont="1" applyBorder="1" applyAlignment="1" applyProtection="1">
      <alignment horizontal="center" vertical="center" wrapText="1"/>
      <protection locked="0"/>
    </xf>
    <xf numFmtId="0" fontId="44" fillId="23" borderId="295" xfId="0" applyFont="1" applyFill="1" applyBorder="1" applyAlignment="1">
      <alignment horizontal="right" vertical="center" wrapText="1"/>
    </xf>
    <xf numFmtId="14" fontId="44" fillId="3" borderId="296" xfId="0" applyNumberFormat="1" applyFont="1" applyFill="1" applyBorder="1" applyAlignment="1" applyProtection="1">
      <alignment horizontal="center" vertical="center"/>
      <protection locked="0"/>
    </xf>
    <xf numFmtId="14" fontId="44" fillId="3" borderId="3" xfId="0" applyNumberFormat="1" applyFont="1" applyFill="1" applyBorder="1" applyAlignment="1" applyProtection="1">
      <alignment horizontal="center" vertical="center"/>
      <protection locked="0"/>
    </xf>
    <xf numFmtId="0" fontId="152" fillId="3" borderId="0" xfId="0" applyFont="1" applyFill="1" applyAlignment="1">
      <alignment horizontal="center" vertical="center" wrapText="1"/>
    </xf>
    <xf numFmtId="0" fontId="153" fillId="22" borderId="14" xfId="0" applyFont="1" applyFill="1" applyBorder="1" applyAlignment="1">
      <alignment horizontal="center" vertical="center" wrapText="1"/>
    </xf>
    <xf numFmtId="0" fontId="153" fillId="22" borderId="54" xfId="0" applyFont="1" applyFill="1" applyBorder="1" applyAlignment="1">
      <alignment horizontal="center" vertical="center" wrapText="1"/>
    </xf>
    <xf numFmtId="0" fontId="153" fillId="22" borderId="39" xfId="0" applyFont="1" applyFill="1" applyBorder="1" applyAlignment="1">
      <alignment horizontal="center" vertical="center" wrapText="1"/>
    </xf>
    <xf numFmtId="0" fontId="153" fillId="22" borderId="48" xfId="0" applyFont="1" applyFill="1" applyBorder="1" applyAlignment="1">
      <alignment horizontal="center" vertical="center" wrapText="1"/>
    </xf>
    <xf numFmtId="0" fontId="153" fillId="22" borderId="72" xfId="0" applyFont="1" applyFill="1" applyBorder="1" applyAlignment="1">
      <alignment horizontal="center" vertical="center" wrapText="1"/>
    </xf>
    <xf numFmtId="0" fontId="153" fillId="22" borderId="47" xfId="0" applyFont="1" applyFill="1" applyBorder="1" applyAlignment="1">
      <alignment horizontal="center" vertical="center" wrapText="1"/>
    </xf>
    <xf numFmtId="0" fontId="154" fillId="3" borderId="48" xfId="0" applyFont="1" applyFill="1" applyBorder="1" applyAlignment="1" applyProtection="1">
      <alignment horizontal="center" vertical="center" wrapText="1"/>
      <protection locked="0"/>
    </xf>
    <xf numFmtId="0" fontId="153" fillId="22" borderId="21" xfId="0" applyFont="1" applyFill="1" applyBorder="1" applyAlignment="1">
      <alignment horizontal="center" vertical="center" wrapText="1"/>
    </xf>
    <xf numFmtId="0" fontId="154" fillId="3" borderId="47" xfId="0" applyFont="1" applyFill="1" applyBorder="1" applyAlignment="1" applyProtection="1">
      <alignment horizontal="left" vertical="center" wrapText="1"/>
      <protection locked="0"/>
    </xf>
    <xf numFmtId="0" fontId="153" fillId="22" borderId="20" xfId="0" applyFont="1" applyFill="1" applyBorder="1" applyAlignment="1">
      <alignment horizontal="center" vertical="center" wrapText="1"/>
    </xf>
    <xf numFmtId="0" fontId="154" fillId="3" borderId="49" xfId="0" applyFont="1" applyFill="1" applyBorder="1" applyAlignment="1" applyProtection="1">
      <alignment horizontal="center" vertical="center" wrapText="1"/>
      <protection locked="0"/>
    </xf>
    <xf numFmtId="0" fontId="154" fillId="3" borderId="18" xfId="0" applyFont="1" applyFill="1" applyBorder="1" applyAlignment="1" applyProtection="1">
      <alignment horizontal="center" vertical="center" wrapText="1"/>
      <protection locked="0"/>
    </xf>
    <xf numFmtId="0" fontId="154" fillId="3" borderId="10" xfId="0" applyFont="1" applyFill="1" applyBorder="1" applyAlignment="1" applyProtection="1">
      <alignment horizontal="left" vertical="center" wrapText="1"/>
      <protection locked="0"/>
    </xf>
    <xf numFmtId="0" fontId="154" fillId="3" borderId="17" xfId="0" applyFont="1" applyFill="1" applyBorder="1" applyAlignment="1" applyProtection="1">
      <alignment horizontal="center" vertical="center" wrapText="1"/>
      <protection locked="0"/>
    </xf>
    <xf numFmtId="164" fontId="154" fillId="3" borderId="297" xfId="0" applyNumberFormat="1" applyFont="1" applyFill="1" applyBorder="1" applyAlignment="1" applyProtection="1">
      <alignment horizontal="center" vertical="center" wrapText="1"/>
      <protection locked="0"/>
    </xf>
    <xf numFmtId="0" fontId="154" fillId="3" borderId="41" xfId="0" applyFont="1" applyFill="1" applyBorder="1" applyAlignment="1" applyProtection="1">
      <alignment horizontal="left" vertical="center" wrapText="1"/>
      <protection locked="0"/>
    </xf>
    <xf numFmtId="0" fontId="154" fillId="3" borderId="19" xfId="0" applyFont="1" applyFill="1" applyBorder="1" applyAlignment="1" applyProtection="1">
      <alignment horizontal="center" vertical="center" wrapText="1"/>
      <protection locked="0"/>
    </xf>
    <xf numFmtId="0" fontId="154" fillId="3" borderId="0" xfId="0" applyFont="1" applyFill="1" applyAlignment="1">
      <alignment horizontal="center" vertical="center" wrapText="1"/>
    </xf>
    <xf numFmtId="0" fontId="64" fillId="3" borderId="0" xfId="0" applyFont="1" applyFill="1" applyAlignment="1">
      <alignment vertical="center" wrapText="1"/>
    </xf>
    <xf numFmtId="0" fontId="64" fillId="3" borderId="0" xfId="0" applyFont="1" applyFill="1" applyAlignment="1">
      <alignment horizontal="center" vertical="center"/>
    </xf>
    <xf numFmtId="0" fontId="64" fillId="3" borderId="0" xfId="0" applyFont="1" applyFill="1" applyAlignment="1">
      <alignment vertical="center"/>
    </xf>
    <xf numFmtId="0" fontId="65" fillId="22" borderId="23" xfId="0" applyFont="1" applyFill="1" applyBorder="1" applyAlignment="1">
      <alignment horizontal="left" vertical="center" wrapText="1"/>
    </xf>
    <xf numFmtId="0" fontId="65" fillId="22" borderId="31" xfId="0" applyFont="1" applyFill="1" applyBorder="1" applyAlignment="1">
      <alignment horizontal="center" vertical="center" wrapText="1"/>
    </xf>
    <xf numFmtId="0" fontId="65" fillId="22" borderId="39" xfId="0" applyFont="1" applyFill="1" applyBorder="1" applyAlignment="1">
      <alignment horizontal="center" vertical="center"/>
    </xf>
    <xf numFmtId="0" fontId="65" fillId="22" borderId="298" xfId="0" applyFont="1" applyFill="1" applyBorder="1" applyAlignment="1">
      <alignment horizontal="left" vertical="center" wrapText="1"/>
    </xf>
    <xf numFmtId="0" fontId="65" fillId="22" borderId="95" xfId="0" applyFont="1" applyFill="1" applyBorder="1" applyAlignment="1">
      <alignment horizontal="center" vertical="center" wrapText="1"/>
    </xf>
    <xf numFmtId="0" fontId="65" fillId="22" borderId="52" xfId="0" applyFont="1" applyFill="1" applyBorder="1" applyAlignment="1">
      <alignment horizontal="center" vertical="center"/>
    </xf>
    <xf numFmtId="0" fontId="53" fillId="3" borderId="79" xfId="0" applyFont="1" applyFill="1" applyBorder="1" applyAlignment="1">
      <alignment horizontal="justify" vertical="center" wrapText="1"/>
    </xf>
    <xf numFmtId="164" fontId="68" fillId="3" borderId="299" xfId="0" applyNumberFormat="1" applyFont="1" applyFill="1" applyBorder="1" applyAlignment="1" applyProtection="1">
      <alignment horizontal="center" vertical="center" wrapText="1"/>
      <protection locked="0"/>
    </xf>
    <xf numFmtId="0" fontId="65" fillId="3" borderId="300" xfId="0" applyFont="1" applyFill="1" applyBorder="1" applyAlignment="1" applyProtection="1">
      <alignment horizontal="left" vertical="center"/>
      <protection locked="0"/>
    </xf>
    <xf numFmtId="0" fontId="53" fillId="3" borderId="51" xfId="0" applyFont="1" applyFill="1" applyBorder="1" applyAlignment="1">
      <alignment horizontal="justify" vertical="center" wrapText="1"/>
    </xf>
    <xf numFmtId="0" fontId="64" fillId="3" borderId="52" xfId="0" applyFont="1" applyFill="1" applyBorder="1" applyAlignment="1" applyProtection="1">
      <alignment horizontal="left" vertical="center"/>
      <protection locked="0"/>
    </xf>
    <xf numFmtId="0" fontId="53" fillId="47" borderId="51" xfId="0" applyFont="1" applyFill="1" applyBorder="1" applyAlignment="1">
      <alignment vertical="center" wrapText="1"/>
    </xf>
    <xf numFmtId="0" fontId="53" fillId="0" borderId="79" xfId="0" applyFont="1" applyBorder="1" applyAlignment="1">
      <alignment vertical="center" wrapText="1"/>
    </xf>
    <xf numFmtId="0" fontId="64" fillId="3" borderId="41" xfId="0" applyFont="1" applyFill="1" applyBorder="1" applyAlignment="1" applyProtection="1">
      <alignment horizontal="left" vertical="center"/>
      <protection locked="0"/>
    </xf>
    <xf numFmtId="0" fontId="65" fillId="22" borderId="33" xfId="0" applyFont="1" applyFill="1" applyBorder="1" applyAlignment="1">
      <alignment horizontal="center" vertical="center"/>
    </xf>
    <xf numFmtId="0" fontId="65" fillId="22" borderId="44" xfId="0" applyFont="1" applyFill="1" applyBorder="1" applyAlignment="1">
      <alignment horizontal="center" vertical="center"/>
    </xf>
    <xf numFmtId="0" fontId="65" fillId="22" borderId="96" xfId="0" applyFont="1" applyFill="1" applyBorder="1" applyAlignment="1">
      <alignment horizontal="center" vertical="center"/>
    </xf>
    <xf numFmtId="0" fontId="65" fillId="22" borderId="53" xfId="0" applyFont="1" applyFill="1" applyBorder="1" applyAlignment="1">
      <alignment horizontal="center" vertical="center"/>
    </xf>
    <xf numFmtId="0" fontId="64" fillId="0" borderId="300" xfId="0" applyFont="1" applyBorder="1" applyAlignment="1" applyProtection="1">
      <alignment horizontal="left" vertical="center"/>
      <protection locked="0"/>
    </xf>
    <xf numFmtId="0" fontId="64" fillId="0" borderId="52" xfId="0" applyFont="1" applyBorder="1" applyAlignment="1" applyProtection="1">
      <alignment horizontal="left" vertical="center"/>
      <protection locked="0"/>
    </xf>
    <xf numFmtId="0" fontId="75" fillId="21" borderId="50" xfId="0" applyFont="1" applyFill="1" applyBorder="1" applyAlignment="1">
      <alignment horizontal="right" vertical="center" wrapText="1"/>
    </xf>
    <xf numFmtId="0" fontId="75" fillId="21" borderId="42" xfId="0" applyFont="1" applyFill="1" applyBorder="1" applyAlignment="1">
      <alignment horizontal="right" vertical="center" wrapText="1"/>
    </xf>
    <xf numFmtId="0" fontId="155" fillId="21" borderId="39" xfId="0" applyFont="1" applyFill="1" applyBorder="1" applyAlignment="1">
      <alignment horizontal="center" vertical="center" wrapText="1"/>
    </xf>
    <xf numFmtId="0" fontId="153" fillId="48" borderId="30" xfId="0" applyFont="1" applyFill="1" applyBorder="1" applyAlignment="1">
      <alignment horizontal="center" vertical="center" wrapText="1"/>
    </xf>
    <xf numFmtId="164" fontId="68" fillId="3" borderId="301" xfId="0" applyNumberFormat="1" applyFont="1" applyFill="1" applyBorder="1" applyAlignment="1" applyProtection="1">
      <alignment horizontal="center" vertical="center" wrapText="1"/>
      <protection locked="0"/>
    </xf>
    <xf numFmtId="0" fontId="64" fillId="0" borderId="302" xfId="0" applyFont="1" applyBorder="1" applyAlignment="1" applyProtection="1">
      <alignment horizontal="left" vertical="center"/>
      <protection locked="0"/>
    </xf>
    <xf numFmtId="0" fontId="156" fillId="0" borderId="0" xfId="0" applyFont="1"/>
    <xf numFmtId="0" fontId="156" fillId="0" borderId="0" xfId="0" quotePrefix="1" applyFont="1"/>
    <xf numFmtId="0" fontId="66" fillId="49" borderId="72" xfId="0" applyFont="1" applyFill="1" applyBorder="1" applyAlignment="1">
      <alignment horizontal="center" vertical="center" wrapText="1"/>
    </xf>
    <xf numFmtId="0" fontId="157" fillId="0" borderId="0" xfId="0" applyFont="1" applyAlignment="1">
      <alignment vertical="center" wrapText="1"/>
    </xf>
    <xf numFmtId="14" fontId="44" fillId="3" borderId="0" xfId="0" applyNumberFormat="1" applyFont="1" applyFill="1" applyAlignment="1" applyProtection="1">
      <alignment vertical="center"/>
      <protection locked="0"/>
    </xf>
    <xf numFmtId="0" fontId="153" fillId="22" borderId="303" xfId="0" applyFont="1" applyFill="1" applyBorder="1" applyAlignment="1">
      <alignment horizontal="center" vertical="center" wrapText="1"/>
    </xf>
    <xf numFmtId="0" fontId="68" fillId="22" borderId="42" xfId="0" applyFont="1" applyFill="1" applyBorder="1" applyAlignment="1">
      <alignment horizontal="center" vertical="center"/>
    </xf>
    <xf numFmtId="0" fontId="65" fillId="22" borderId="39" xfId="0" applyFont="1" applyFill="1" applyBorder="1" applyAlignment="1">
      <alignment horizontal="center" vertical="center"/>
    </xf>
    <xf numFmtId="0" fontId="153" fillId="22" borderId="50" xfId="0" applyFont="1" applyFill="1" applyBorder="1" applyAlignment="1">
      <alignment horizontal="center" vertical="center" wrapText="1"/>
    </xf>
    <xf numFmtId="0" fontId="68" fillId="22" borderId="15" xfId="0" applyFont="1" applyFill="1" applyBorder="1" applyAlignment="1">
      <alignment horizontal="center" vertical="center"/>
    </xf>
    <xf numFmtId="0" fontId="153" fillId="22" borderId="97" xfId="0" applyFont="1" applyFill="1" applyBorder="1" applyAlignment="1">
      <alignment horizontal="center" vertical="center" wrapText="1"/>
    </xf>
    <xf numFmtId="0" fontId="154" fillId="3" borderId="304" xfId="0" applyFont="1" applyFill="1" applyBorder="1" applyAlignment="1" applyProtection="1">
      <alignment horizontal="center" vertical="center"/>
      <protection locked="0"/>
    </xf>
    <xf numFmtId="0" fontId="65" fillId="3" borderId="41" xfId="0" applyFont="1" applyFill="1" applyBorder="1" applyAlignment="1" applyProtection="1">
      <alignment horizontal="left" vertical="center"/>
      <protection locked="0"/>
    </xf>
    <xf numFmtId="0" fontId="153" fillId="22" borderId="17" xfId="0" applyFont="1" applyFill="1" applyBorder="1" applyAlignment="1">
      <alignment horizontal="center" vertical="center" wrapText="1"/>
    </xf>
    <xf numFmtId="0" fontId="158" fillId="3" borderId="35" xfId="0" applyFont="1" applyFill="1" applyBorder="1" applyAlignment="1" applyProtection="1">
      <alignment horizontal="center" vertical="center"/>
      <protection locked="0"/>
    </xf>
    <xf numFmtId="0" fontId="154" fillId="3" borderId="35" xfId="0" applyFont="1" applyFill="1" applyBorder="1" applyAlignment="1" applyProtection="1">
      <alignment horizontal="center" vertical="center"/>
      <protection locked="0"/>
    </xf>
    <xf numFmtId="0" fontId="0" fillId="3" borderId="0" xfId="0" applyFill="1" applyAlignment="1">
      <alignment vertical="center" wrapText="1"/>
    </xf>
    <xf numFmtId="0" fontId="67" fillId="3" borderId="79" xfId="0" applyFont="1" applyFill="1" applyBorder="1" applyAlignment="1">
      <alignment horizontal="justify" vertical="center" wrapText="1"/>
    </xf>
    <xf numFmtId="0" fontId="65" fillId="3" borderId="300" xfId="0" applyFont="1" applyFill="1" applyBorder="1" applyAlignment="1" applyProtection="1">
      <alignment horizontal="center" vertical="center"/>
      <protection locked="0"/>
    </xf>
    <xf numFmtId="0" fontId="67" fillId="3" borderId="51" xfId="0" applyFont="1" applyFill="1" applyBorder="1" applyAlignment="1">
      <alignment horizontal="justify" vertical="center" wrapText="1"/>
    </xf>
    <xf numFmtId="0" fontId="64" fillId="3" borderId="52" xfId="0" applyFont="1" applyFill="1" applyBorder="1" applyAlignment="1" applyProtection="1">
      <alignment vertical="center"/>
      <protection locked="0"/>
    </xf>
    <xf numFmtId="0" fontId="67" fillId="3" borderId="51" xfId="0" applyFont="1" applyFill="1" applyBorder="1" applyAlignment="1">
      <alignment vertical="center" wrapText="1"/>
    </xf>
    <xf numFmtId="0" fontId="67" fillId="3" borderId="17" xfId="0" applyFont="1" applyFill="1" applyBorder="1" applyAlignment="1">
      <alignment vertical="center" wrapText="1"/>
    </xf>
    <xf numFmtId="0" fontId="64" fillId="3" borderId="300" xfId="0" applyFont="1" applyFill="1" applyBorder="1" applyAlignment="1" applyProtection="1">
      <alignment horizontal="left" vertical="center"/>
      <protection locked="0"/>
    </xf>
    <xf numFmtId="0" fontId="64" fillId="3" borderId="300" xfId="0" applyFont="1" applyFill="1" applyBorder="1" applyAlignment="1" applyProtection="1">
      <alignment vertical="center"/>
      <protection locked="0"/>
    </xf>
    <xf numFmtId="0" fontId="159" fillId="47" borderId="79" xfId="0" applyFont="1" applyFill="1" applyBorder="1" applyAlignment="1">
      <alignment vertical="center" wrapText="1"/>
    </xf>
    <xf numFmtId="0" fontId="64" fillId="3" borderId="41" xfId="0" applyFont="1" applyFill="1" applyBorder="1" applyAlignment="1" applyProtection="1">
      <alignment vertical="center"/>
      <protection locked="0"/>
    </xf>
    <xf numFmtId="0" fontId="75" fillId="49" borderId="50" xfId="0" applyFont="1" applyFill="1" applyBorder="1" applyAlignment="1">
      <alignment horizontal="right" vertical="center" wrapText="1"/>
    </xf>
    <xf numFmtId="0" fontId="75" fillId="49" borderId="42" xfId="0" applyFont="1" applyFill="1" applyBorder="1" applyAlignment="1">
      <alignment horizontal="right" vertical="center" wrapText="1"/>
    </xf>
    <xf numFmtId="0" fontId="155" fillId="49" borderId="39" xfId="0" applyFont="1" applyFill="1" applyBorder="1" applyAlignment="1">
      <alignment horizontal="center" vertical="center" wrapText="1"/>
    </xf>
    <xf numFmtId="0" fontId="13" fillId="21" borderId="2" xfId="0" applyFont="1" applyFill="1" applyBorder="1" applyAlignment="1">
      <alignment vertical="center"/>
    </xf>
    <xf numFmtId="0" fontId="0" fillId="2" borderId="3" xfId="0" applyFill="1" applyBorder="1"/>
    <xf numFmtId="0" fontId="161" fillId="0" borderId="45" xfId="0" applyFont="1" applyBorder="1" applyAlignment="1">
      <alignment horizontal="center" vertical="center"/>
    </xf>
    <xf numFmtId="0" fontId="161" fillId="0" borderId="46" xfId="0" applyFont="1" applyBorder="1" applyAlignment="1">
      <alignment horizontal="center" vertical="center"/>
    </xf>
    <xf numFmtId="0" fontId="161" fillId="0" borderId="27" xfId="0" applyFont="1" applyBorder="1" applyAlignment="1">
      <alignment horizontal="center" vertical="center"/>
    </xf>
    <xf numFmtId="0" fontId="161" fillId="0" borderId="29" xfId="0" applyFont="1" applyBorder="1" applyAlignment="1">
      <alignment horizontal="center" vertical="center"/>
    </xf>
    <xf numFmtId="0" fontId="13" fillId="33" borderId="11" xfId="0" applyFont="1" applyFill="1" applyBorder="1" applyAlignment="1">
      <alignment horizontal="center" vertical="center"/>
    </xf>
    <xf numFmtId="0" fontId="13" fillId="33" borderId="44" xfId="0" applyFont="1" applyFill="1" applyBorder="1" applyAlignment="1">
      <alignment horizontal="center" vertical="center"/>
    </xf>
    <xf numFmtId="0" fontId="24" fillId="5" borderId="74" xfId="0" applyFont="1" applyFill="1" applyBorder="1" applyAlignment="1">
      <alignment horizontal="center" vertical="center"/>
    </xf>
    <xf numFmtId="0" fontId="0" fillId="3" borderId="74" xfId="0" applyFill="1" applyBorder="1" applyAlignment="1">
      <alignment horizontal="center"/>
    </xf>
    <xf numFmtId="0" fontId="0" fillId="3" borderId="13" xfId="0" applyFill="1" applyBorder="1" applyAlignment="1">
      <alignment horizontal="center"/>
    </xf>
    <xf numFmtId="0" fontId="0" fillId="3" borderId="305" xfId="0" applyFill="1" applyBorder="1" applyAlignment="1">
      <alignment horizontal="center"/>
    </xf>
    <xf numFmtId="0" fontId="14" fillId="5" borderId="306" xfId="0" applyFont="1" applyFill="1" applyBorder="1" applyAlignment="1">
      <alignment horizontal="center" vertical="center"/>
    </xf>
    <xf numFmtId="0" fontId="14" fillId="5" borderId="13" xfId="0" applyFont="1" applyFill="1" applyBorder="1" applyAlignment="1">
      <alignment horizontal="center" vertical="center"/>
    </xf>
    <xf numFmtId="0" fontId="24" fillId="5" borderId="13" xfId="0" applyFont="1" applyFill="1" applyBorder="1" applyAlignment="1">
      <alignment horizontal="center" vertical="center"/>
    </xf>
    <xf numFmtId="0" fontId="104" fillId="3" borderId="270" xfId="0" applyFont="1" applyFill="1" applyBorder="1" applyAlignment="1"/>
    <xf numFmtId="0" fontId="104" fillId="31" borderId="72" xfId="0" applyFont="1" applyFill="1" applyBorder="1" applyAlignment="1">
      <alignment horizontal="center" vertical="top" wrapText="1"/>
    </xf>
    <xf numFmtId="0" fontId="104" fillId="31" borderId="73" xfId="0" applyFont="1" applyFill="1" applyBorder="1" applyAlignment="1">
      <alignment horizontal="center" vertical="top" wrapText="1"/>
    </xf>
    <xf numFmtId="0" fontId="104" fillId="31" borderId="74" xfId="0" applyFont="1" applyFill="1" applyBorder="1" applyAlignment="1">
      <alignment horizontal="center" vertical="top" wrapText="1"/>
    </xf>
    <xf numFmtId="0" fontId="104" fillId="31" borderId="21" xfId="0" applyFont="1" applyFill="1" applyBorder="1" applyAlignment="1">
      <alignment horizontal="center" vertical="top" wrapText="1"/>
    </xf>
    <xf numFmtId="0" fontId="104" fillId="31" borderId="75" xfId="0" applyFont="1" applyFill="1" applyBorder="1" applyAlignment="1">
      <alignment horizontal="center" vertical="top" wrapText="1"/>
    </xf>
    <xf numFmtId="0" fontId="92" fillId="0" borderId="3" xfId="0" applyFont="1" applyBorder="1" applyAlignment="1">
      <alignment vertical="center"/>
    </xf>
    <xf numFmtId="0" fontId="121" fillId="33" borderId="99" xfId="0" applyFont="1" applyFill="1" applyBorder="1" applyAlignment="1">
      <alignment horizontal="center" vertical="center"/>
    </xf>
    <xf numFmtId="0" fontId="92" fillId="9" borderId="253" xfId="0" applyFont="1" applyFill="1" applyBorder="1" applyAlignment="1">
      <alignment horizontal="center" vertical="center"/>
    </xf>
    <xf numFmtId="0" fontId="140" fillId="32" borderId="72" xfId="0" applyFont="1" applyFill="1" applyBorder="1" applyAlignment="1">
      <alignment horizontal="center" vertical="center"/>
    </xf>
    <xf numFmtId="0" fontId="140" fillId="32" borderId="288" xfId="0" applyFont="1" applyFill="1" applyBorder="1" applyAlignment="1">
      <alignment horizontal="center" vertical="center"/>
    </xf>
    <xf numFmtId="0" fontId="110" fillId="3" borderId="57" xfId="0" applyFont="1" applyFill="1" applyBorder="1" applyAlignment="1">
      <alignment horizontal="center" vertical="center"/>
    </xf>
    <xf numFmtId="0" fontId="110" fillId="3" borderId="7" xfId="0" applyFont="1" applyFill="1" applyBorder="1" applyAlignment="1">
      <alignment horizontal="center" vertical="center"/>
    </xf>
    <xf numFmtId="0" fontId="92" fillId="0" borderId="241" xfId="0" applyFont="1" applyBorder="1" applyAlignment="1">
      <alignment vertical="center"/>
    </xf>
    <xf numFmtId="0" fontId="92" fillId="0" borderId="259" xfId="0" applyFont="1" applyBorder="1" applyAlignment="1">
      <alignment vertical="center"/>
    </xf>
    <xf numFmtId="0" fontId="140" fillId="32" borderId="57" xfId="0" applyFont="1" applyFill="1" applyBorder="1" applyAlignment="1">
      <alignment horizontal="center" vertical="center"/>
    </xf>
    <xf numFmtId="0" fontId="140" fillId="32" borderId="58" xfId="0" applyFont="1" applyFill="1" applyBorder="1" applyAlignment="1">
      <alignment horizontal="center" vertical="center"/>
    </xf>
    <xf numFmtId="0" fontId="65" fillId="40" borderId="7" xfId="0" applyFont="1" applyFill="1" applyBorder="1" applyAlignment="1">
      <alignment horizontal="center" vertical="center" wrapText="1"/>
    </xf>
    <xf numFmtId="0" fontId="95" fillId="31" borderId="227" xfId="0" applyFont="1" applyFill="1" applyBorder="1" applyAlignment="1">
      <alignment horizontal="center" vertical="center"/>
    </xf>
    <xf numFmtId="0" fontId="95" fillId="31" borderId="288" xfId="0" applyFont="1" applyFill="1" applyBorder="1" applyAlignment="1">
      <alignment horizontal="center" vertical="center"/>
    </xf>
    <xf numFmtId="0" fontId="92" fillId="0" borderId="257" xfId="0" applyFont="1" applyBorder="1" applyAlignment="1">
      <alignment vertical="center"/>
    </xf>
    <xf numFmtId="0" fontId="95" fillId="31" borderId="308" xfId="0" applyFont="1" applyFill="1" applyBorder="1" applyAlignment="1">
      <alignment horizontal="center" vertical="center"/>
    </xf>
    <xf numFmtId="164" fontId="92" fillId="3" borderId="96" xfId="0" applyNumberFormat="1" applyFont="1" applyFill="1" applyBorder="1" applyAlignment="1">
      <alignment horizontal="center" vertical="center"/>
    </xf>
    <xf numFmtId="0" fontId="95" fillId="31" borderId="51" xfId="0" applyFont="1" applyFill="1" applyBorder="1" applyAlignment="1">
      <alignment horizontal="center" vertical="center"/>
    </xf>
    <xf numFmtId="164" fontId="92" fillId="3" borderId="47" xfId="0" applyNumberFormat="1" applyFont="1" applyFill="1" applyBorder="1" applyAlignment="1">
      <alignment horizontal="center" vertical="center"/>
    </xf>
    <xf numFmtId="0" fontId="95" fillId="31" borderId="79" xfId="0" applyFont="1" applyFill="1" applyBorder="1" applyAlignment="1">
      <alignment horizontal="center" vertical="center"/>
    </xf>
    <xf numFmtId="164" fontId="92" fillId="3" borderId="305" xfId="0" applyNumberFormat="1" applyFont="1" applyFill="1" applyBorder="1" applyAlignment="1">
      <alignment horizontal="center" vertical="center"/>
    </xf>
    <xf numFmtId="164" fontId="92" fillId="0" borderId="96" xfId="0" applyNumberFormat="1" applyFont="1" applyBorder="1" applyAlignment="1">
      <alignment horizontal="center" vertical="center"/>
    </xf>
    <xf numFmtId="164" fontId="92" fillId="0" borderId="47" xfId="0" applyNumberFormat="1" applyFont="1" applyBorder="1" applyAlignment="1">
      <alignment horizontal="center" vertical="center"/>
    </xf>
    <xf numFmtId="0" fontId="95" fillId="31" borderId="17" xfId="0" applyFont="1" applyFill="1" applyBorder="1" applyAlignment="1">
      <alignment horizontal="center" vertical="center"/>
    </xf>
    <xf numFmtId="0" fontId="92" fillId="0" borderId="310" xfId="0" applyFont="1" applyBorder="1" applyAlignment="1">
      <alignment vertical="center"/>
    </xf>
    <xf numFmtId="164" fontId="92" fillId="0" borderId="10" xfId="0" applyNumberFormat="1" applyFont="1" applyBorder="1" applyAlignment="1">
      <alignment horizontal="center" vertical="center"/>
    </xf>
    <xf numFmtId="0" fontId="140" fillId="32" borderId="11" xfId="0" applyFont="1" applyFill="1" applyBorder="1" applyAlignment="1">
      <alignment horizontal="center" vertical="center"/>
    </xf>
    <xf numFmtId="0" fontId="140" fillId="32" borderId="43" xfId="0" applyFont="1" applyFill="1" applyBorder="1" applyAlignment="1">
      <alignment horizontal="center" vertical="center"/>
    </xf>
    <xf numFmtId="0" fontId="140" fillId="32" borderId="311" xfId="0" applyFont="1" applyFill="1" applyBorder="1" applyAlignment="1">
      <alignment horizontal="center" vertical="center"/>
    </xf>
    <xf numFmtId="0" fontId="65" fillId="40" borderId="12" xfId="0" applyFont="1" applyFill="1" applyBorder="1" applyAlignment="1">
      <alignment horizontal="center" vertical="center" wrapText="1"/>
    </xf>
    <xf numFmtId="0" fontId="65" fillId="40" borderId="44" xfId="0" applyFont="1" applyFill="1" applyBorder="1" applyAlignment="1">
      <alignment horizontal="center" vertical="center" wrapText="1"/>
    </xf>
    <xf numFmtId="0" fontId="92" fillId="0" borderId="20" xfId="0" applyFont="1" applyBorder="1" applyAlignment="1">
      <alignment horizontal="center" vertical="center"/>
    </xf>
    <xf numFmtId="0" fontId="92" fillId="0" borderId="53" xfId="0" applyFont="1" applyBorder="1" applyAlignment="1">
      <alignment horizontal="center" vertical="center"/>
    </xf>
    <xf numFmtId="0" fontId="95" fillId="31" borderId="40" xfId="0" applyFont="1" applyFill="1" applyBorder="1" applyAlignment="1">
      <alignment horizontal="center" vertical="center"/>
    </xf>
    <xf numFmtId="0" fontId="95" fillId="31" borderId="18" xfId="0" applyFont="1" applyFill="1" applyBorder="1" applyAlignment="1">
      <alignment horizontal="center" vertical="center"/>
    </xf>
    <xf numFmtId="0" fontId="65" fillId="40" borderId="33" xfId="0" applyFont="1" applyFill="1" applyBorder="1" applyAlignment="1">
      <alignment horizontal="center" vertical="center" wrapText="1"/>
    </xf>
    <xf numFmtId="0" fontId="95" fillId="31" borderId="21" xfId="0" applyFont="1" applyFill="1" applyBorder="1" applyAlignment="1">
      <alignment horizontal="center" vertical="center"/>
    </xf>
    <xf numFmtId="0" fontId="92" fillId="0" borderId="96" xfId="0" applyFont="1" applyBorder="1" applyAlignment="1">
      <alignment horizontal="center" vertical="center"/>
    </xf>
    <xf numFmtId="0" fontId="95" fillId="31" borderId="75" xfId="0" applyFont="1" applyFill="1" applyBorder="1" applyAlignment="1">
      <alignment horizontal="center" vertical="center"/>
    </xf>
    <xf numFmtId="0" fontId="1" fillId="31" borderId="308" xfId="0" applyFont="1" applyFill="1" applyBorder="1" applyAlignment="1">
      <alignment horizontal="center" vertical="center"/>
    </xf>
    <xf numFmtId="0" fontId="1" fillId="31" borderId="227" xfId="0" applyFont="1" applyFill="1" applyBorder="1" applyAlignment="1">
      <alignment horizontal="center" vertical="center"/>
    </xf>
    <xf numFmtId="0" fontId="1" fillId="31" borderId="51" xfId="0" applyFont="1" applyFill="1" applyBorder="1" applyAlignment="1">
      <alignment horizontal="center" vertical="center"/>
    </xf>
    <xf numFmtId="0" fontId="1" fillId="31" borderId="253" xfId="0" applyFont="1" applyFill="1" applyBorder="1" applyAlignment="1">
      <alignment horizontal="center" vertical="center"/>
    </xf>
    <xf numFmtId="0" fontId="1" fillId="31" borderId="79" xfId="0" applyFont="1" applyFill="1" applyBorder="1" applyAlignment="1">
      <alignment horizontal="center" vertical="center"/>
    </xf>
    <xf numFmtId="0" fontId="1" fillId="31" borderId="288" xfId="0" applyFont="1" applyFill="1" applyBorder="1" applyAlignment="1">
      <alignment horizontal="center" vertical="center"/>
    </xf>
    <xf numFmtId="0" fontId="1" fillId="0" borderId="259" xfId="0" applyFont="1" applyBorder="1" applyAlignment="1">
      <alignment vertical="center"/>
    </xf>
    <xf numFmtId="0" fontId="1" fillId="0" borderId="241" xfId="0" applyFont="1" applyBorder="1" applyAlignment="1">
      <alignment vertical="center"/>
    </xf>
    <xf numFmtId="0" fontId="1" fillId="0" borderId="257" xfId="0" applyFont="1" applyBorder="1" applyAlignment="1">
      <alignment vertical="center"/>
    </xf>
    <xf numFmtId="0" fontId="1" fillId="31" borderId="17" xfId="0" applyFont="1" applyFill="1" applyBorder="1" applyAlignment="1">
      <alignment horizontal="center" vertical="center"/>
    </xf>
    <xf numFmtId="0" fontId="1" fillId="31" borderId="309" xfId="0" applyFont="1" applyFill="1" applyBorder="1" applyAlignment="1">
      <alignment horizontal="center" vertical="center"/>
    </xf>
    <xf numFmtId="0" fontId="1" fillId="0" borderId="310" xfId="0" applyFont="1" applyBorder="1" applyAlignment="1">
      <alignment vertical="center"/>
    </xf>
    <xf numFmtId="0" fontId="131" fillId="9" borderId="57" xfId="0" applyFont="1" applyFill="1" applyBorder="1" applyAlignment="1">
      <alignment horizontal="center" vertical="center"/>
    </xf>
    <xf numFmtId="0" fontId="131" fillId="9" borderId="289" xfId="0" applyFont="1" applyFill="1" applyBorder="1" applyAlignment="1">
      <alignment horizontal="center" vertical="center"/>
    </xf>
    <xf numFmtId="0" fontId="131" fillId="0" borderId="307" xfId="0" applyFont="1" applyBorder="1" applyAlignment="1">
      <alignment vertical="center"/>
    </xf>
    <xf numFmtId="164" fontId="131" fillId="0" borderId="7" xfId="0" applyNumberFormat="1" applyFont="1" applyBorder="1" applyAlignment="1">
      <alignment horizontal="center" vertical="center"/>
    </xf>
    <xf numFmtId="0" fontId="131" fillId="0" borderId="312" xfId="0" applyFont="1" applyBorder="1" applyAlignment="1">
      <alignment horizontal="left" vertical="center"/>
    </xf>
    <xf numFmtId="0" fontId="131" fillId="0" borderId="9" xfId="0" applyFont="1" applyBorder="1" applyAlignment="1">
      <alignment horizontal="left" vertical="center"/>
    </xf>
    <xf numFmtId="0" fontId="1" fillId="0" borderId="313" xfId="0" applyFont="1" applyBorder="1" applyAlignment="1">
      <alignment horizontal="left" vertical="center"/>
    </xf>
    <xf numFmtId="0" fontId="1" fillId="0" borderId="42" xfId="0" applyFont="1" applyBorder="1" applyAlignment="1">
      <alignment horizontal="left" vertical="center"/>
    </xf>
    <xf numFmtId="0" fontId="1" fillId="0" borderId="54" xfId="0" applyFont="1" applyBorder="1" applyAlignment="1">
      <alignment horizontal="center" vertical="center"/>
    </xf>
    <xf numFmtId="0" fontId="1" fillId="0" borderId="39" xfId="0" applyFont="1" applyBorder="1" applyAlignment="1">
      <alignment horizontal="center" vertical="center"/>
    </xf>
    <xf numFmtId="0" fontId="1" fillId="0" borderId="273"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52" xfId="0" applyFont="1" applyBorder="1" applyAlignment="1">
      <alignment horizontal="center" vertical="center"/>
    </xf>
    <xf numFmtId="0" fontId="1" fillId="0" borderId="314" xfId="0" applyFont="1" applyBorder="1" applyAlignment="1">
      <alignment horizontal="center" vertical="center"/>
    </xf>
    <xf numFmtId="0" fontId="1" fillId="0" borderId="18" xfId="0" applyFont="1" applyBorder="1" applyAlignment="1">
      <alignment horizontal="center" vertical="center"/>
    </xf>
    <xf numFmtId="0" fontId="1" fillId="0" borderId="36" xfId="0" applyFont="1" applyBorder="1" applyAlignment="1">
      <alignment horizontal="center" vertical="center"/>
    </xf>
    <xf numFmtId="0" fontId="1" fillId="0" borderId="41" xfId="0" applyFont="1" applyBorder="1" applyAlignment="1">
      <alignment horizontal="center" vertical="center"/>
    </xf>
    <xf numFmtId="0" fontId="1" fillId="0" borderId="313" xfId="0" applyFont="1" applyBorder="1" applyAlignment="1">
      <alignment horizontal="center" vertical="center"/>
    </xf>
    <xf numFmtId="0" fontId="1" fillId="0" borderId="42" xfId="0" applyFont="1" applyBorder="1" applyAlignment="1">
      <alignment horizontal="center" vertical="center"/>
    </xf>
    <xf numFmtId="0" fontId="110" fillId="0" borderId="312" xfId="0" applyFont="1" applyBorder="1" applyAlignment="1">
      <alignment horizontal="center" vertical="center"/>
    </xf>
    <xf numFmtId="0" fontId="110" fillId="0" borderId="9" xfId="0" applyFont="1" applyBorder="1" applyAlignment="1">
      <alignment horizontal="center" vertical="center"/>
    </xf>
    <xf numFmtId="0" fontId="110" fillId="0" borderId="289" xfId="0" applyFont="1" applyBorder="1" applyAlignment="1">
      <alignment horizontal="center" vertical="center"/>
    </xf>
    <xf numFmtId="0" fontId="110" fillId="0" borderId="22" xfId="0" applyFont="1" applyBorder="1" applyAlignment="1">
      <alignment horizontal="center" vertical="center"/>
    </xf>
    <xf numFmtId="0" fontId="131" fillId="9" borderId="5" xfId="0" applyFont="1" applyFill="1" applyBorder="1" applyAlignment="1">
      <alignment horizontal="center" vertical="center"/>
    </xf>
    <xf numFmtId="0" fontId="131" fillId="9" borderId="6" xfId="0" applyFont="1" applyFill="1" applyBorder="1" applyAlignment="1">
      <alignment horizontal="center" vertical="center"/>
    </xf>
    <xf numFmtId="0" fontId="110" fillId="0" borderId="307" xfId="0" applyFont="1" applyBorder="1" applyAlignment="1">
      <alignment vertical="center"/>
    </xf>
    <xf numFmtId="0" fontId="110" fillId="0" borderId="7" xfId="0" applyFont="1" applyBorder="1" applyAlignment="1">
      <alignment horizontal="center" vertical="center"/>
    </xf>
    <xf numFmtId="0" fontId="92" fillId="0" borderId="77" xfId="0" applyFont="1" applyBorder="1" applyAlignment="1">
      <alignment horizontal="center" vertical="center"/>
    </xf>
    <xf numFmtId="0" fontId="95" fillId="0" borderId="237" xfId="0" applyFont="1" applyBorder="1" applyAlignment="1">
      <alignment horizontal="center" vertical="center"/>
    </xf>
    <xf numFmtId="0" fontId="95" fillId="0" borderId="238" xfId="0" applyFont="1" applyBorder="1" applyAlignment="1">
      <alignment horizontal="center" vertical="center"/>
    </xf>
    <xf numFmtId="0" fontId="95" fillId="0" borderId="217" xfId="0" applyFont="1" applyBorder="1" applyAlignment="1">
      <alignment horizontal="center" vertical="center"/>
    </xf>
    <xf numFmtId="0" fontId="95" fillId="0" borderId="248" xfId="0" applyFont="1" applyBorder="1" applyAlignment="1">
      <alignment horizontal="center" vertical="center"/>
    </xf>
    <xf numFmtId="0" fontId="95" fillId="0" borderId="242" xfId="0" applyFont="1" applyBorder="1" applyAlignment="1">
      <alignment horizontal="center" vertical="center"/>
    </xf>
    <xf numFmtId="0" fontId="95" fillId="0" borderId="4" xfId="0" applyFont="1" applyBorder="1" applyAlignment="1">
      <alignment horizontal="center" vertical="center"/>
    </xf>
    <xf numFmtId="0" fontId="95" fillId="0" borderId="273" xfId="0" applyFont="1" applyBorder="1" applyAlignment="1">
      <alignment horizontal="center" vertical="center"/>
    </xf>
    <xf numFmtId="0" fontId="95" fillId="0" borderId="3" xfId="0" applyFont="1" applyBorder="1" applyAlignment="1">
      <alignment horizontal="center" vertical="center"/>
    </xf>
    <xf numFmtId="0" fontId="95" fillId="0" borderId="241" xfId="0" applyFont="1" applyBorder="1" applyAlignment="1">
      <alignment horizontal="center" vertical="center"/>
    </xf>
    <xf numFmtId="0" fontId="14" fillId="27" borderId="45" xfId="0" applyFont="1" applyFill="1" applyBorder="1" applyAlignment="1">
      <alignment horizontal="center"/>
    </xf>
    <xf numFmtId="0" fontId="14" fillId="27" borderId="0" xfId="0" applyFont="1" applyFill="1" applyAlignment="1">
      <alignment horizontal="center"/>
    </xf>
    <xf numFmtId="0" fontId="14" fillId="27" borderId="46" xfId="0" applyFont="1" applyFill="1" applyBorder="1" applyAlignment="1">
      <alignment horizontal="center"/>
    </xf>
    <xf numFmtId="0" fontId="0" fillId="29" borderId="45" xfId="0" applyFill="1" applyBorder="1" applyAlignment="1">
      <alignment horizontal="center"/>
    </xf>
    <xf numFmtId="0" fontId="0" fillId="29" borderId="0" xfId="0" applyFill="1" applyAlignment="1">
      <alignment horizontal="center"/>
    </xf>
    <xf numFmtId="0" fontId="0" fillId="30" borderId="0" xfId="0" applyFill="1" applyAlignment="1">
      <alignment horizontal="center"/>
    </xf>
    <xf numFmtId="0" fontId="0" fillId="30" borderId="46" xfId="0" applyFill="1" applyBorder="1" applyAlignment="1">
      <alignment horizontal="center"/>
    </xf>
    <xf numFmtId="0" fontId="0" fillId="29" borderId="51" xfId="0" applyFill="1" applyBorder="1" applyAlignment="1">
      <alignment horizontal="center"/>
    </xf>
    <xf numFmtId="0" fontId="0" fillId="29" borderId="2" xfId="0" applyFill="1" applyBorder="1" applyAlignment="1">
      <alignment horizontal="center"/>
    </xf>
    <xf numFmtId="0" fontId="0" fillId="30" borderId="2" xfId="0" applyFill="1" applyBorder="1" applyAlignment="1">
      <alignment horizontal="center"/>
    </xf>
    <xf numFmtId="0" fontId="0" fillId="30" borderId="52" xfId="0" applyFill="1" applyBorder="1" applyAlignment="1">
      <alignment horizontal="center"/>
    </xf>
    <xf numFmtId="0" fontId="92" fillId="31" borderId="0" xfId="0" applyFont="1" applyFill="1" applyBorder="1" applyAlignment="1">
      <alignment horizontal="center" vertical="top" wrapText="1"/>
    </xf>
    <xf numFmtId="0" fontId="92" fillId="31" borderId="72" xfId="0" applyFont="1" applyFill="1" applyBorder="1" applyAlignment="1">
      <alignment horizontal="center" vertical="top" wrapText="1"/>
    </xf>
    <xf numFmtId="0" fontId="92" fillId="31" borderId="73" xfId="0" applyFont="1" applyFill="1" applyBorder="1" applyAlignment="1">
      <alignment horizontal="center" vertical="top" wrapText="1"/>
    </xf>
    <xf numFmtId="0" fontId="92" fillId="31" borderId="74" xfId="0" applyFont="1" applyFill="1" applyBorder="1" applyAlignment="1">
      <alignment horizontal="center" vertical="top" wrapText="1"/>
    </xf>
    <xf numFmtId="0" fontId="92" fillId="31" borderId="98" xfId="0" applyFont="1" applyFill="1" applyBorder="1" applyAlignment="1">
      <alignment horizontal="center" vertical="top" wrapText="1"/>
    </xf>
    <xf numFmtId="0" fontId="92" fillId="31" borderId="99" xfId="0" applyFont="1" applyFill="1" applyBorder="1" applyAlignment="1">
      <alignment horizontal="center" vertical="top" wrapText="1"/>
    </xf>
    <xf numFmtId="0" fontId="92" fillId="31" borderId="20" xfId="0" applyFont="1" applyFill="1" applyBorder="1" applyAlignment="1">
      <alignment horizontal="center" vertical="top" wrapText="1"/>
    </xf>
    <xf numFmtId="0" fontId="92" fillId="31" borderId="21" xfId="0" applyFont="1" applyFill="1" applyBorder="1" applyAlignment="1">
      <alignment horizontal="center" vertical="top" wrapText="1"/>
    </xf>
    <xf numFmtId="0" fontId="92" fillId="31" borderId="75" xfId="0" applyFont="1" applyFill="1" applyBorder="1" applyAlignment="1">
      <alignment horizontal="center" vertical="top" wrapText="1"/>
    </xf>
    <xf numFmtId="0" fontId="125" fillId="32" borderId="72" xfId="0" applyFont="1" applyFill="1" applyBorder="1" applyAlignment="1">
      <alignment horizontal="center" vertical="center"/>
    </xf>
    <xf numFmtId="0" fontId="125" fillId="32" borderId="98" xfId="0" applyFont="1" applyFill="1" applyBorder="1" applyAlignment="1">
      <alignment horizontal="center" vertical="center"/>
    </xf>
    <xf numFmtId="0" fontId="125" fillId="32" borderId="0" xfId="0" applyFont="1" applyFill="1" applyBorder="1" applyAlignment="1">
      <alignment horizontal="center" vertical="center"/>
    </xf>
    <xf numFmtId="0" fontId="125" fillId="32" borderId="20" xfId="0" applyFont="1" applyFill="1" applyBorder="1" applyAlignment="1">
      <alignment horizontal="center" vertical="center"/>
    </xf>
    <xf numFmtId="0" fontId="124" fillId="0" borderId="289" xfId="0" applyFont="1" applyBorder="1" applyAlignment="1">
      <alignment horizontal="center" vertical="center"/>
    </xf>
    <xf numFmtId="0" fontId="124" fillId="0" borderId="22" xfId="0" applyFont="1" applyBorder="1" applyAlignment="1">
      <alignment horizontal="center" vertical="center"/>
    </xf>
    <xf numFmtId="0" fontId="92" fillId="0" borderId="101" xfId="0" applyFont="1" applyBorder="1" applyAlignment="1">
      <alignment horizontal="center" vertical="center"/>
    </xf>
    <xf numFmtId="0" fontId="92" fillId="0" borderId="29" xfId="0" applyFont="1" applyBorder="1" applyAlignment="1">
      <alignment horizontal="center" vertical="center"/>
    </xf>
    <xf numFmtId="0" fontId="101" fillId="0" borderId="96" xfId="0" applyFont="1" applyBorder="1" applyAlignment="1">
      <alignment horizontal="center" vertical="center"/>
    </xf>
    <xf numFmtId="0" fontId="131" fillId="0" borderId="7" xfId="0" applyFont="1" applyBorder="1" applyAlignment="1">
      <alignment horizontal="center" vertical="center"/>
    </xf>
  </cellXfs>
  <cellStyles count="8">
    <cellStyle name="Lien hypertexte" xfId="1" builtinId="8"/>
    <cellStyle name="Normal" xfId="0" builtinId="0"/>
    <cellStyle name="Normal 2" xfId="2" xr:uid="{00000000-0005-0000-0000-000002000000}"/>
    <cellStyle name="Normal 3" xfId="4" xr:uid="{00000000-0005-0000-0000-000003000000}"/>
    <cellStyle name="Normal 4" xfId="5" xr:uid="{00000000-0005-0000-0000-000004000000}"/>
    <cellStyle name="Normal 5" xfId="6" xr:uid="{00000000-0005-0000-0000-000005000000}"/>
    <cellStyle name="Normal 6" xfId="7" xr:uid="{A19F0B02-47E9-4D2C-B3F6-A8C99D86DDDE}"/>
    <cellStyle name="Pourcentage 2" xfId="3" xr:uid="{00000000-0005-0000-0000-000006000000}"/>
  </cellStyles>
  <dxfs count="920">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37FF91"/>
        </patternFill>
      </fill>
    </dxf>
    <dxf>
      <font>
        <b/>
        <i val="0"/>
      </font>
      <fill>
        <patternFill>
          <bgColor rgb="FFC0000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ill>
        <patternFill>
          <bgColor rgb="FFFF0000"/>
        </patternFill>
      </fill>
    </dxf>
    <dxf>
      <fill>
        <patternFill>
          <bgColor theme="0" tint="-4.9989318521683403E-2"/>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FB5B5B"/>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0000"/>
        </patternFill>
      </fill>
    </dxf>
    <dxf>
      <font>
        <b/>
        <i val="0"/>
        <color rgb="FF00B050"/>
      </font>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ill>
        <patternFill>
          <bgColor rgb="FFFF0000"/>
        </patternFill>
      </fill>
    </dxf>
    <dxf>
      <font>
        <b/>
        <i val="0"/>
        <color rgb="FF00B050"/>
      </font>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0"/>
        </patternFill>
      </fill>
      <border>
        <left style="hair">
          <color auto="1"/>
        </left>
        <right style="thin">
          <color auto="1"/>
        </right>
        <top style="thin">
          <color auto="1"/>
        </top>
        <bottom style="thin">
          <color auto="1"/>
        </bottom>
        <vertical/>
        <horizontal/>
      </border>
    </dxf>
    <dxf>
      <font>
        <color auto="1"/>
      </font>
      <border>
        <left style="hair">
          <color auto="1"/>
        </left>
        <right style="thin">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0"/>
        </patternFill>
      </fill>
      <border>
        <left style="hair">
          <color auto="1"/>
        </left>
        <right style="thin">
          <color auto="1"/>
        </right>
        <top style="thin">
          <color auto="1"/>
        </top>
        <bottom style="thin">
          <color auto="1"/>
        </bottom>
        <vertical/>
        <horizontal/>
      </border>
    </dxf>
    <dxf>
      <font>
        <color auto="1"/>
      </font>
      <border>
        <left style="hair">
          <color auto="1"/>
        </left>
        <right style="thin">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6B82A"/>
      <color rgb="FF002DE0"/>
      <color rgb="FF00E0B3"/>
      <color rgb="FF009DE0"/>
      <color rgb="FF009FE3"/>
      <color rgb="FF008080"/>
      <color rgb="FF00B0AC"/>
      <color rgb="FFFFFFB9"/>
      <color rgb="FF006699"/>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580598</xdr:colOff>
      <xdr:row>1</xdr:row>
      <xdr:rowOff>818278</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16933</xdr:colOff>
      <xdr:row>1</xdr:row>
      <xdr:rowOff>16933</xdr:rowOff>
    </xdr:from>
    <xdr:to>
      <xdr:col>3</xdr:col>
      <xdr:colOff>762000</xdr:colOff>
      <xdr:row>2</xdr:row>
      <xdr:rowOff>38822</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933" y="140758"/>
          <a:ext cx="1516592" cy="86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7938</xdr:colOff>
      <xdr:row>1</xdr:row>
      <xdr:rowOff>7939</xdr:rowOff>
    </xdr:from>
    <xdr:to>
      <xdr:col>3</xdr:col>
      <xdr:colOff>391349</xdr:colOff>
      <xdr:row>1</xdr:row>
      <xdr:rowOff>953559</xdr:rowOff>
    </xdr:to>
    <xdr:pic>
      <xdr:nvPicPr>
        <xdr:cNvPr id="2" name="Image 1" descr="Logo Les agences de l'eau ferr droite">
          <a:extLst>
            <a:ext uri="{FF2B5EF4-FFF2-40B4-BE49-F238E27FC236}">
              <a16:creationId xmlns:a16="http://schemas.microsoft.com/office/drawing/2014/main" id="{BCD0E1AB-D1C3-49A1-8429-A76BA8DBDB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338" y="7939"/>
          <a:ext cx="1381421" cy="944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44822</xdr:colOff>
      <xdr:row>6</xdr:row>
      <xdr:rowOff>89648</xdr:rowOff>
    </xdr:from>
    <xdr:to>
      <xdr:col>5</xdr:col>
      <xdr:colOff>246529</xdr:colOff>
      <xdr:row>22</xdr:row>
      <xdr:rowOff>22412</xdr:rowOff>
    </xdr:to>
    <xdr:sp macro="" textlink="">
      <xdr:nvSpPr>
        <xdr:cNvPr id="3" name="Rectangle à coins arrondis 2">
          <a:extLst>
            <a:ext uri="{FF2B5EF4-FFF2-40B4-BE49-F238E27FC236}">
              <a16:creationId xmlns:a16="http://schemas.microsoft.com/office/drawing/2014/main" id="{90017438-13B2-4B8E-A397-2CC8CD27FEBE}"/>
            </a:ext>
          </a:extLst>
        </xdr:cNvPr>
        <xdr:cNvSpPr/>
      </xdr:nvSpPr>
      <xdr:spPr>
        <a:xfrm>
          <a:off x="44822" y="2489948"/>
          <a:ext cx="3304740" cy="6998197"/>
        </a:xfrm>
        <a:prstGeom prst="roundRect">
          <a:avLst/>
        </a:prstGeom>
        <a:noFill/>
        <a:ln w="5715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dhuy\AppData\Roaming\Microsoft\AddIns\AutosurveillanceTemplates\Comparatif.xlsx" TargetMode="External"/><Relationship Id="rId1" Type="http://schemas.openxmlformats.org/officeDocument/2006/relationships/externalLinkPath" Target="AutosurveillanceTemplates/Compara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X controleurs"/>
      <sheetName val="SA_GRILLE_STEU"/>
      <sheetName val="SYNTHESE_SCL"/>
      <sheetName val="AnalysesComparatives_SCL"/>
      <sheetName val="SA_GRILLE_SCL"/>
      <sheetName val="AnalysesComparatives"/>
      <sheetName val="Controle_Pluvio_Thermo"/>
      <sheetName val="Comparatif"/>
      <sheetName val="LimitequantificationSDE"/>
      <sheetName val="SeuilsComparaison-EMT"/>
    </sheetNames>
    <sheetDataSet>
      <sheetData sheetId="0" refreshError="1"/>
      <sheetData sheetId="1">
        <row r="8">
          <cell r="A8">
            <v>0</v>
          </cell>
        </row>
        <row r="9">
          <cell r="A9">
            <v>1</v>
          </cell>
        </row>
        <row r="10">
          <cell r="A10">
            <v>2</v>
          </cell>
        </row>
        <row r="11">
          <cell r="A11">
            <v>3</v>
          </cell>
        </row>
        <row r="12">
          <cell r="A12">
            <v>4</v>
          </cell>
        </row>
        <row r="13">
          <cell r="A13">
            <v>5</v>
          </cell>
        </row>
        <row r="14">
          <cell r="A14">
            <v>6</v>
          </cell>
        </row>
        <row r="15">
          <cell r="A15">
            <v>7</v>
          </cell>
        </row>
        <row r="16">
          <cell r="A16">
            <v>8</v>
          </cell>
        </row>
        <row r="17">
          <cell r="A17">
            <v>9</v>
          </cell>
        </row>
        <row r="25">
          <cell r="A25">
            <v>0</v>
          </cell>
        </row>
        <row r="26">
          <cell r="A26">
            <v>1</v>
          </cell>
        </row>
        <row r="27">
          <cell r="A27">
            <v>2</v>
          </cell>
        </row>
        <row r="28">
          <cell r="A28">
            <v>3</v>
          </cell>
        </row>
        <row r="29">
          <cell r="A29">
            <v>4</v>
          </cell>
        </row>
        <row r="30">
          <cell r="A30">
            <v>5</v>
          </cell>
        </row>
        <row r="31">
          <cell r="A31">
            <v>6</v>
          </cell>
        </row>
        <row r="32">
          <cell r="A32">
            <v>7</v>
          </cell>
        </row>
        <row r="33">
          <cell r="A33">
            <v>8</v>
          </cell>
        </row>
        <row r="34">
          <cell r="A34">
            <v>9</v>
          </cell>
        </row>
      </sheetData>
      <sheetData sheetId="2"/>
      <sheetData sheetId="3">
        <row r="24">
          <cell r="F24" t="str">
            <v/>
          </cell>
          <cell r="P24" t="str">
            <v/>
          </cell>
        </row>
        <row r="25">
          <cell r="F25" t="str">
            <v/>
          </cell>
          <cell r="P25" t="str">
            <v/>
          </cell>
        </row>
        <row r="26">
          <cell r="F26" t="str">
            <v/>
          </cell>
          <cell r="P26" t="str">
            <v/>
          </cell>
        </row>
        <row r="27">
          <cell r="F27" t="str">
            <v/>
          </cell>
          <cell r="P27" t="str">
            <v/>
          </cell>
        </row>
        <row r="28">
          <cell r="F28" t="str">
            <v/>
          </cell>
          <cell r="P28" t="str">
            <v/>
          </cell>
        </row>
        <row r="29">
          <cell r="F29" t="str">
            <v/>
          </cell>
          <cell r="P29" t="str">
            <v/>
          </cell>
        </row>
      </sheetData>
      <sheetData sheetId="4">
        <row r="5">
          <cell r="A5" t="str">
            <v>Caisson</v>
          </cell>
        </row>
        <row r="19">
          <cell r="D19">
            <v>0</v>
          </cell>
          <cell r="I19" t="str">
            <v/>
          </cell>
          <cell r="S19" t="str">
            <v/>
          </cell>
          <cell r="X19" t="str">
            <v/>
          </cell>
          <cell r="AC19" t="str">
            <v/>
          </cell>
          <cell r="AH19" t="str">
            <v/>
          </cell>
          <cell r="AM19" t="str">
            <v/>
          </cell>
          <cell r="AR19" t="str">
            <v/>
          </cell>
          <cell r="AW19" t="str">
            <v/>
          </cell>
          <cell r="BB19" t="str">
            <v/>
          </cell>
          <cell r="BG19" t="str">
            <v/>
          </cell>
        </row>
        <row r="22">
          <cell r="A22" t="str">
            <v>Préleveur Automatique</v>
          </cell>
        </row>
        <row r="37">
          <cell r="D37">
            <v>0</v>
          </cell>
          <cell r="I37" t="str">
            <v/>
          </cell>
          <cell r="N37" t="str">
            <v/>
          </cell>
          <cell r="S37" t="str">
            <v/>
          </cell>
          <cell r="X37" t="str">
            <v/>
          </cell>
          <cell r="AC37" t="str">
            <v/>
          </cell>
          <cell r="AH37" t="str">
            <v/>
          </cell>
          <cell r="AM37" t="str">
            <v/>
          </cell>
          <cell r="AR37" t="str">
            <v/>
          </cell>
          <cell r="AW37" t="str">
            <v/>
          </cell>
          <cell r="BB37" t="str">
            <v/>
          </cell>
          <cell r="BG37" t="str">
            <v/>
          </cell>
        </row>
      </sheetData>
      <sheetData sheetId="5"/>
      <sheetData sheetId="6" refreshError="1"/>
      <sheetData sheetId="7" refreshError="1"/>
      <sheetData sheetId="8" refreshError="1"/>
      <sheetData sheetId="9"/>
    </sheetDataSet>
  </externalBook>
</externalLink>
</file>

<file path=xl/persons/person.xml><?xml version="1.0" encoding="utf-8"?>
<personList xmlns="http://schemas.microsoft.com/office/spreadsheetml/2018/threadedcomments" xmlns:x="http://schemas.openxmlformats.org/spreadsheetml/2006/main">
  <person displayName="ODOUL Patrick" id="{B4F875B1-694D-40BA-A3FA-6538D6EDB61E}" userId="S::patrick.odoul@eaurmc.fr::a257c166-9fda-420f-9989-c4df878a8877" providerId="AD"/>
  <person displayName="PELLETIER Clémentine" id="{5FA9D90E-9B90-4400-BDE0-D953E751ACC4}" userId="S::Clementine.PELLETIER@eau-loire-bretagne.fr::00f649e6-0a0a-4289-a39b-586495493301" providerId="AD"/>
</personList>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6" dT="2025-11-07T08:56:56.07" personId="{B4F875B1-694D-40BA-A3FA-6538D6EDB61E}" id="{EE12F811-E84D-4C92-8E0A-A7206D8CC7F4}">
    <text>Cette information n’a pas besoin de figurer au niveau du descriptif, elle est dans l’onglet Analytique</text>
  </threadedComment>
  <threadedComment ref="C8" dT="2025-10-31T16:21:54.40" personId="{B4F875B1-694D-40BA-A3FA-6538D6EDB61E}" id="{AA9503DB-4D1F-4D0D-BE2B-C481379003DF}">
    <text>Produire un fichier vierge de tout équipement réseau et station</text>
  </threadedComment>
  <threadedComment ref="O30" dT="2025-11-07T09:29:08.96" personId="{B4F875B1-694D-40BA-A3FA-6538D6EDB61E}" id="{7E077257-A2EF-4C9A-8D4C-D38302F5EEA0}">
    <text>On a 2 fois le même libellé de colonne O30 et M30 (ainsi que dans les Templates) ce qui prête à confusion, il vaudrait mieux parler de type d’équipement pour M30 et de type de matériel pour O30 (ainsi que dans les Templates)</text>
  </threadedComment>
  <threadedComment ref="J31" dT="2025-11-07T08:59:09.20" personId="{B4F875B1-694D-40BA-A3FA-6538D6EDB61E}" id="{C4F1626C-C343-4846-B744-A6D82428C19A}">
    <text>La formule pointe vers le libellé de l’équipement. Il y a un mélange entre Point de mesure / équipement et code / libellé</text>
  </threadedComment>
  <threadedComment ref="K31" dT="2025-11-07T08:59:48.35" personId="{B4F875B1-694D-40BA-A3FA-6538D6EDB61E}" id="{B04DBC6F-F822-4BF8-A1D9-625814CB1CFC}">
    <text>La formule pointe vers le libellé de l’équipement. Il y a un mélange entre Point de mesure / équipement et code / libellé</text>
  </threadedComment>
  <threadedComment ref="E39" dT="2025-11-07T09:04:43.47" personId="{B4F875B1-694D-40BA-A3FA-6538D6EDB61E}" id="{0FCBE9BA-9353-46EC-AA49-427A6F54FE78}">
    <text>On ne peut pas ajouter d’équipement sur la station s’il n’y en a aucun sur le système de collecte</text>
  </threadedComment>
  <threadedComment ref="C52" dT="2025-10-31T16:37:06.45" personId="{B4F875B1-694D-40BA-A3FA-6538D6EDB61E}" id="{4CDFD801-656E-4EBC-8E19-AF211D24C9AC}">
    <text>Supprimer ce paragraphe, ça fait doublon avec les onglets Qualité et Synthèse, qui plus est on à tendance à vouloir le remplir ce qui écrase les formules</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5-11-07T09:20:20.81" personId="{B4F875B1-694D-40BA-A3FA-6538D6EDB61E}" id="{839BD1FE-25C9-431E-B804-0B555A917F6F}">
    <text>Il faudrait ici la localisation du point de mesure</text>
  </threadedComment>
  <threadedComment ref="P3" dT="2025-11-07T09:31:52.40" personId="{B4F875B1-694D-40BA-A3FA-6538D6EDB61E}" id="{E7469063-EACA-4494-A98C-8B31BC8E088E}">
    <text>L’information ne remonte pas car la formule fait un test sur la cellule Descriptif!T3 qui n’a pas lieu d’être</text>
  </threadedComment>
  <threadedComment ref="H4" dT="2025-11-07T09:21:07.86" personId="{B4F875B1-694D-40BA-A3FA-6538D6EDB61E}" id="{4C29DD99-CBEC-45FA-9A2D-C419658E6FF0}">
    <text>Il faudrait ici le libellé du point de mesure</text>
  </threadedComment>
  <threadedComment ref="M4" dT="2025-11-07T09:34:37.49" personId="{B4F875B1-694D-40BA-A3FA-6538D6EDB61E}" id="{F96FFEC1-3AB8-42EF-BBC8-8DF78FD9FF93}">
    <text>Cette information ne figure pas dans l’onglet Descriptif ce qui oblige de devoir la saisir pour chaque matériel contrôlé. Merci de la rajouter dans l’onglet Descriptif et de la dupliquer dans chaque onglet des matériels</text>
  </threadedComment>
  <threadedComment ref="H5" dT="2025-11-07T09:29:48.89" personId="{B4F875B1-694D-40BA-A3FA-6538D6EDB61E}" id="{F21AB27E-8144-4403-89DA-29D23F23F412}">
    <text>Il faudrait ici le type d’équipement</text>
  </threadedComment>
  <threadedComment ref="H5" dT="2025-11-07T10:47:42.63" personId="{B4F875B1-694D-40BA-A3FA-6538D6EDB61E}" id="{61C20D54-2F45-47F9-96A0-9894C8BCC462}" parentId="{F21AB27E-8144-4403-89DA-29D23F23F412}">
    <text>Mettre un format de nombre avec une unité en mm</text>
  </threadedComment>
  <threadedComment ref="M5" dT="2025-11-07T09:35:16.52" personId="{B4F875B1-694D-40BA-A3FA-6538D6EDB61E}" id="{087BD5A6-ABE6-4078-ABF5-F36E30D056BF}">
    <text>Cette information ne figure pas dans l’onglet Descriptif ce qui oblige de devoir la saisir pour chaque matériel contrôlé. Merci de la rajouter dans l’onglet Descriptif et de la dupliquer dans chaque onglet des matériels</text>
  </threadedComment>
  <threadedComment ref="H6" dT="2025-11-07T09:30:11.11" personId="{B4F875B1-694D-40BA-A3FA-6538D6EDB61E}" id="{365FFB4C-1DDE-4FDA-9BED-EB7AC74C8882}">
    <text>Il faudrait ici le type de matériel</text>
  </threadedComment>
  <threadedComment ref="M6" dT="2025-11-07T09:35:30.11" personId="{B4F875B1-694D-40BA-A3FA-6538D6EDB61E}" id="{9EE8EC42-0573-4CAE-A334-79D9A22BAA45}">
    <text>Cette information ne figure pas dans l’onglet Descriptif ce qui oblige de devoir la saisir pour chaque matériel contrôlé. Merci de la rajouter dans l’onglet Descriptif et de la dupliquer dans chaque onglet des matériels</text>
  </threadedComment>
  <threadedComment ref="K12" dT="2025-11-07T10:36:24.41" personId="{B4F875B1-694D-40BA-A3FA-6538D6EDB61E}" id="{8C59FC6F-004A-410A-ABB1-867872B90356}">
    <text>Supprimer cette question, elle figure dans l’évaluation</text>
  </threadedComment>
  <threadedComment ref="K14" dT="2025-11-07T10:42:19.63" personId="{B4F875B1-694D-40BA-A3FA-6538D6EDB61E}" id="{F8867A5C-6E2C-4537-9492-CCB178A636DC}">
    <text>Supprimer cette question, elle figure dans l’évaluation</text>
  </threadedComment>
  <threadedComment ref="G15" dT="2025-11-07T10:34:17.37" personId="{B4F875B1-694D-40BA-A3FA-6538D6EDB61E}" id="{C60F4E7C-C197-4689-A41C-29AD7474E0A5}">
    <text>Il manque des éléments dans le menu déroulant pour les hauteurs/vitesse</text>
  </threadedComment>
  <threadedComment ref="N15" dT="2025-11-07T10:27:08.09" personId="{B4F875B1-694D-40BA-A3FA-6538D6EDB61E}" id="{49427EB1-3247-4799-A1A8-A623E98E8591}">
    <text>On pourrait mettre un menu déroulant Oui/Non</text>
  </threadedComment>
  <threadedComment ref="K16" dT="2025-11-07T10:35:09.67" personId="{B4F875B1-694D-40BA-A3FA-6538D6EDB61E}" id="{E21A2B2F-4E93-4378-9374-305C5EA8215F}">
    <text>Rajouter le type de dispositif de contrôle et la date du dernier contrôle</text>
  </threadedComment>
  <threadedComment ref="N16" dT="2025-11-07T10:43:47.65" personId="{B4F875B1-694D-40BA-A3FA-6538D6EDB61E}" id="{3C78993E-3170-47D0-B6EA-974390514B86}">
    <text>Rajouter la loi hydraulique utilisée et sa cohérence
Rajouter la plage horaire de mesure</text>
  </threadedComment>
  <threadedComment ref="J28" dT="2025-11-07T10:49:41.67" personId="{B4F875B1-694D-40BA-A3FA-6538D6EDB61E}" id="{D9A9686C-E30A-4BCA-B98B-D3D4C8E6C801}">
    <text>Inverser la formule pour arriver à -5 par rapport à la valeur contrôlée</text>
  </threadedComment>
  <threadedComment ref="N28" dT="2025-11-07T10:50:39.75" personId="{B4F875B1-694D-40BA-A3FA-6538D6EDB61E}" id="{E3BB4C13-F22F-4949-B29F-E95D6AEC968E}">
    <text>Inverser la formule pour calculer l’écart par rapport à la valeur contrôlée</text>
  </threadedComment>
  <threadedComment ref="P28" dT="2025-11-07T10:53:01.06" personId="{B4F875B1-694D-40BA-A3FA-6538D6EDB61E}" id="{CA5583B5-F82C-4124-B7A7-5DF6236A0EEC}">
    <text>Erreur dans la formule à voir ensemble</text>
  </threadedComment>
  <threadedComment ref="P42" dT="2025-11-07T10:57:20.04" personId="{B4F875B1-694D-40BA-A3FA-6538D6EDB61E}" id="{5788E2D3-B920-448E-875F-1D4FF738744F}">
    <text>Ce n’est pas la note qui s’affiche</text>
  </threadedComment>
  <threadedComment ref="P43" dT="2025-11-07T10:57:28.63" personId="{B4F875B1-694D-40BA-A3FA-6538D6EDB61E}" id="{2A8D723C-0C0A-43F0-8B26-82FC59DDD0EE}">
    <text>Idem</text>
  </threadedComment>
  <threadedComment ref="P44" dT="2025-11-07T10:57:35.22" personId="{B4F875B1-694D-40BA-A3FA-6538D6EDB61E}" id="{7630EF51-98E6-44CC-AE99-14CC6457A494}">
    <text>Idem</text>
  </threadedComment>
  <threadedComment ref="P45" dT="2025-11-07T10:57:45.40" personId="{B4F875B1-694D-40BA-A3FA-6538D6EDB61E}" id="{6E9C0D49-47E7-4333-B039-0F94410F9E7B}">
    <text>Idem</text>
  </threadedComment>
  <threadedComment ref="P46" dT="2025-11-07T10:57:54.04" personId="{B4F875B1-694D-40BA-A3FA-6538D6EDB61E}" id="{AC9E7841-2F9F-4F3D-BD22-BFBD03F8D1FB}">
    <text>Idem</text>
  </threadedComment>
  <threadedComment ref="P47" dT="2025-11-07T10:58:07.84" personId="{B4F875B1-694D-40BA-A3FA-6538D6EDB61E}" id="{E037C6FB-1B82-46A1-A564-28AFD2F8C182}">
    <text>Idem</text>
  </threadedComment>
</ThreadedComments>
</file>

<file path=xl/threadedComments/threadedComment3.xml><?xml version="1.0" encoding="utf-8"?>
<ThreadedComments xmlns="http://schemas.microsoft.com/office/spreadsheetml/2018/threadedcomments" xmlns:x="http://schemas.openxmlformats.org/spreadsheetml/2006/main">
  <threadedComment ref="D15" dT="2025-11-07T11:19:34.84" personId="{B4F875B1-694D-40BA-A3FA-6538D6EDB61E}" id="{55EC0C7B-D652-438C-9D7F-CF0B2B7B3BA0}">
    <text>Remplacer cette question par «Plage horaire de mesure»</text>
  </threadedComment>
  <threadedComment ref="L27" dT="2025-11-07T11:23:03.83" personId="{B4F875B1-694D-40BA-A3FA-6538D6EDB61E}" id="{9EC52686-19F5-487E-A31F-32ADDAF6F7FC}">
    <text>La formule n’est pas correcte, il faut calculer l’écart par rapport à la moyenne des 2 valeurs</text>
  </threadedComment>
  <threadedComment ref="M27" dT="2025-11-07T11:23:29.82" personId="{B4F875B1-694D-40BA-A3FA-6538D6EDB61E}" id="{FB012DDC-D6D7-40BB-9B19-EB98E6DECE36}">
    <text>La formule n’est pas correcte, il faut calculer l’écart en pourcentage par rapport à la moyenne des 2 valeurs</text>
  </threadedComment>
  <threadedComment ref="O27" dT="2025-11-07T11:23:42.43" personId="{B4F875B1-694D-40BA-A3FA-6538D6EDB61E}" id="{61298836-2552-44A0-BA73-275F11CF1719}">
    <text>La formule n’est pas correcte, il faut calculer l’écart par rapport à la moyenne des 2 valeurs</text>
  </threadedComment>
  <threadedComment ref="P27" dT="2025-11-07T11:24:00.73" personId="{B4F875B1-694D-40BA-A3FA-6538D6EDB61E}" id="{5426CC2F-9E79-4F08-B7DB-B39B3E091DCA}">
    <text>La formule n’est pas correcte, il faut calculer l’écart en pourcentage par rapport à la moyenne des 2 valeurs</text>
  </threadedComment>
  <threadedComment ref="P42" dT="2025-11-07T11:29:12.44" personId="{B4F875B1-694D-40BA-A3FA-6538D6EDB61E}" id="{DBB42850-5C2A-41CF-82EC-726596E9F4B3}">
    <text>La note ne remonte pas car le test est effectué sur un libellé qui n’est pas le bon</text>
  </threadedComment>
</ThreadedComments>
</file>

<file path=xl/threadedComments/threadedComment4.xml><?xml version="1.0" encoding="utf-8"?>
<ThreadedComments xmlns="http://schemas.microsoft.com/office/spreadsheetml/2018/threadedcomments" xmlns:x="http://schemas.openxmlformats.org/spreadsheetml/2006/main">
  <threadedComment ref="G14" dT="2025-11-07T11:31:45.20" personId="{B4F875B1-694D-40BA-A3FA-6538D6EDB61E}" id="{DF2FE21D-D688-4678-BAB4-943B5E1E882E}">
    <text>Rajouter un menu déroulant Oui/Non</text>
  </threadedComment>
  <threadedComment ref="I23" dT="2025-11-07T11:33:50.44" personId="{B4F875B1-694D-40BA-A3FA-6538D6EDB61E}" id="{A567D6D1-7888-4DF2-9163-16C72666A9D8}">
    <text>Réduire à 2 chiffres après la virgule</text>
  </threadedComment>
  <threadedComment ref="Q23" dT="2025-11-07T11:35:14.73" personId="{B4F875B1-694D-40BA-A3FA-6538D6EDB61E}" id="{65D916B9-5B7C-48C1-915B-6B8EB2C017C6}">
    <text>Ajouter une formule pour ramener la valeur saisie en G15</text>
  </threadedComment>
  <threadedComment ref="I24" dT="2025-11-07T11:34:07.78" personId="{B4F875B1-694D-40BA-A3FA-6538D6EDB61E}" id="{E96F3E31-7704-41DF-B333-E9B23C3DD5F4}">
    <text>Réduire à 2 chiffres après la virgule</text>
  </threadedComment>
  <threadedComment ref="L26" dT="2025-11-07T11:39:29.29" personId="{B4F875B1-694D-40BA-A3FA-6538D6EDB61E}" id="{0D6318EE-0475-4E29-A357-B91DF7D19A6B}">
    <text>Basculer sur des heures</text>
  </threadedComment>
  <threadedComment ref="Q28" dT="2025-11-07T11:39:54.78" personId="{B4F875B1-694D-40BA-A3FA-6538D6EDB61E}" id="{F89548C4-526E-4FA5-B6D3-608C892949C8}">
    <text>Arrondir à 0 chiffre après la virgule</text>
  </threadedComment>
  <threadedComment ref="H33" dT="2025-11-07T11:40:43.74" personId="{B4F875B1-694D-40BA-A3FA-6538D6EDB61E}" id="{0693A29B-84A7-4767-AF7A-64BD37C7C786}">
    <text>C’est normal</text>
  </threadedComment>
</ThreadedComments>
</file>

<file path=xl/threadedComments/threadedComment5.xml><?xml version="1.0" encoding="utf-8"?>
<ThreadedComments xmlns="http://schemas.microsoft.com/office/spreadsheetml/2018/threadedcomments" xmlns:x="http://schemas.openxmlformats.org/spreadsheetml/2006/main">
  <threadedComment ref="J26" dT="2025-11-07T13:14:17.92" personId="{B4F875B1-694D-40BA-A3FA-6538D6EDB61E}" id="{273975B7-F074-45DD-838B-5604993E2D47}">
    <text>Préciser que c’est un écart sur la hauteur</text>
  </threadedComment>
  <threadedComment ref="K26" dT="2025-11-07T13:14:54.40" personId="{B4F875B1-694D-40BA-A3FA-6538D6EDB61E}" id="{8AE7D6E8-5E73-4ECA-8074-D096DDFA31B4}">
    <text>Préciser que c’est un écart sur le débit</text>
  </threadedComment>
  <threadedComment ref="N26" dT="2025-11-07T13:14:35.69" personId="{B4F875B1-694D-40BA-A3FA-6538D6EDB61E}" id="{AF77A3F1-A714-409D-89E0-9FC8A0FE1A09}">
    <text>Préciser que c’est un écart sur la hauteur</text>
  </threadedComment>
  <threadedComment ref="O26" dT="2025-11-07T13:15:03.75" personId="{B4F875B1-694D-40BA-A3FA-6538D6EDB61E}" id="{A1A6C327-67EA-46C2-9545-4BB350F40624}">
    <text>Préciser que c’est un écart sur le débit</text>
  </threadedComment>
  <threadedComment ref="D27" dT="2025-11-07T13:02:32.41" personId="{B4F875B1-694D-40BA-A3FA-6538D6EDB61E}" id="{1CDED76B-C33E-40D0-A9E0-F9C82477EBAB}">
    <text>Mettre l’unité dans le format du nombre ou dans l’entête de la colonne</text>
  </threadedComment>
  <threadedComment ref="F27" dT="2025-11-07T12:57:45.67" personId="{B4F875B1-694D-40BA-A3FA-6538D6EDB61E}" id="{862318CD-C525-4B5F-894A-3380626C9E9B}">
    <text>Mettre l’unité dans le format du nombre ou dans l’entête de la colonne</text>
  </threadedComment>
  <threadedComment ref="N47" dT="2025-11-07T13:11:45.88" personId="{B4F875B1-694D-40BA-A3FA-6538D6EDB61E}" id="{D2E8D452-EDF5-476C-B97A-EC946C092A8B}">
    <text>Problème avec la formule qui ramène «Non contrôlé» pour les canaux Venturi</text>
  </threadedComment>
  <threadedComment ref="N48" dT="2025-11-07T13:17:24.66" personId="{B4F875B1-694D-40BA-A3FA-6538D6EDB61E}" id="{7DEF5218-A625-4A9E-AE08-530FCC8F9DF7}">
    <text>Il doit y avoir un problème dans la formule qui ramène «Non validé» dans cet exemple alors qu’on devrait avoir «Validé» du fait des écarts tous inférieurs à 10 mm</text>
  </threadedComment>
  <threadedComment ref="N53" dT="2025-11-07T13:20:24.41" personId="{B4F875B1-694D-40BA-A3FA-6538D6EDB61E}" id="{13FABDE3-AE58-4E7A-AD4C-5A363FD76B93}">
    <text>Rajouter une formule
Si score &gt;= 8 alors Validé
Si score &gt;= 7 et &lt; 8 alors Validé avec réserve
Si score &lt; 7 alors Non validé</text>
  </threadedComment>
</ThreadedComments>
</file>

<file path=xl/threadedComments/threadedComment6.xml><?xml version="1.0" encoding="utf-8"?>
<ThreadedComments xmlns="http://schemas.microsoft.com/office/spreadsheetml/2018/threadedcomments" xmlns:x="http://schemas.openxmlformats.org/spreadsheetml/2006/main">
  <threadedComment ref="N11" dT="2025-11-07T13:42:33.34" personId="{B4F875B1-694D-40BA-A3FA-6538D6EDB61E}" id="{D2733B0A-E088-480A-9B8A-888EFB3661BA}">
    <text>Renvoyer le texte à la ligne</text>
  </threadedComment>
  <threadedComment ref="D21" dT="2025-11-07T13:45:53.49" personId="{B4F875B1-694D-40BA-A3FA-6538D6EDB61E}" id="{F44AA3B9-96A9-4074-AAB7-F149288BC2D3}">
    <text>On pourrait mettre un menu déroulant «Ponctuelle;En continu»</text>
  </threadedComment>
  <threadedComment ref="N31" dT="2025-11-07T13:48:45.15" personId="{B4F875B1-694D-40BA-A3FA-6538D6EDB61E}" id="{7E36D60E-3D2C-40EC-BA6C-215C1F9A7D84}">
    <text>Préremplir la réponse avec une formule en fonction du résultat de la cellule L21</text>
  </threadedComment>
</ThreadedComments>
</file>

<file path=xl/threadedComments/threadedComment7.xml><?xml version="1.0" encoding="utf-8"?>
<ThreadedComments xmlns="http://schemas.microsoft.com/office/spreadsheetml/2018/threadedcomments" xmlns:x="http://schemas.openxmlformats.org/spreadsheetml/2006/main">
  <threadedComment ref="N30" dT="2025-11-07T13:54:15.25" personId="{B4F875B1-694D-40BA-A3FA-6538D6EDB61E}" id="{914CD5C8-F72B-4FE3-AEEA-168BA386EB80}">
    <text>Préremplir la réponse avec une formule en fonction du résultat des cellules D18 et D19</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5-11-07T14:08:50.32" personId="{B4F875B1-694D-40BA-A3FA-6538D6EDB61E}" id="{D4CCEFEA-B1D7-43A6-A8C8-EBB826D465A6}">
    <text>Il manque les questions suivantes :
Nom du(des) laboratoire(s) réalisant les analyses de la matrice eau ?
Nom du laboratoire réalisant l’analyse de la siccités des boues et des matières sèches ?
Le(s) laboratoire(s) est(sont)-il(s) agréé(s) au titre du code de l’environnement pour l’ensemble des paramètres de la matrice eau ?
A défaut, est ce que le laboratoire réalise un exercice concluant d’intercalibration avec un laboratoire agréé ?</text>
  </threadedComment>
  <threadedComment ref="J21" dT="2025-11-07T14:16:39.36" personId="{B4F875B1-694D-40BA-A3FA-6538D6EDB61E}" id="{523D3885-5460-48F3-BFB8-C3B8DA7A8B7D}">
    <text xml:space="preserve">Rajouter une formule pour remplir cette cellule en fonction des résultats aux 2 questions précédente (à rajouter). </text>
  </threadedComment>
  <threadedComment ref="C30" dT="2025-11-07T14:20:43.01" personId="{B4F875B1-694D-40BA-A3FA-6538D6EDB61E}" id="{FB9BA56C-9BB4-42CB-9B1F-330CFC72F3D9}">
    <text>Module non testé</text>
  </threadedComment>
  <threadedComment ref="D33" dT="2025-11-07T15:15:31.76" personId="{B4F875B1-694D-40BA-A3FA-6538D6EDB61E}" id="{712DB4BA-90E4-419F-B85B-5B6F5E63F79A}">
    <text>Voir l’intérêt de cette information</text>
  </threadedComment>
  <threadedComment ref="K33" dT="2025-11-07T15:15:41.07" personId="{B4F875B1-694D-40BA-A3FA-6538D6EDB61E}" id="{6C5B93C2-CFE8-49C4-B775-8A450B4F4F8C}">
    <text>Voir l’intérêt de cette information</text>
  </threadedComment>
  <threadedComment ref="D37" dT="2025-11-07T15:16:33.83" personId="{B4F875B1-694D-40BA-A3FA-6538D6EDB61E}" id="{270FE892-3A84-4948-9E4C-C650A0D050DB}">
    <text>Il convient de faire apparaître le point de prélèvement (Entrée station, Sortie station, Boues, etc …)</text>
  </threadedComment>
  <threadedComment ref="D38" dT="2025-11-07T15:18:34.84" personId="{B4F875B1-694D-40BA-A3FA-6538D6EDB61E}" id="{0734DA72-B4A5-416D-A1B5-2A7AC9025C45}">
    <text>Il manque le NGL, Métox, AOX et COT sont inutiles pour les collectivités</text>
  </threadedComment>
  <threadedComment ref="M39" dT="2025-11-07T15:25:25.71" personId="{B4F875B1-694D-40BA-A3FA-6538D6EDB61E}" id="{86A84E34-9762-45E3-90FD-C586B4E261EF}">
    <text>Le nombre d’analyses réalisées n’est pas à compter sur la colonne M mais sur la colonne G</text>
  </threadedComment>
  <threadedComment ref="O41" dT="2025-11-07T15:24:42.22" personId="{B4F875B1-694D-40BA-A3FA-6538D6EDB61E}" id="{6068CCF3-0DB9-4CE5-A320-C66FE45BBBB5}">
    <text>Ces cellules doivent se remplir «automatiquement» en fonction des EMT (Cf. le fichier des industriels).</text>
  </threadedComment>
</ThreadedComments>
</file>

<file path=xl/threadedComments/threadedComment9.xml><?xml version="1.0" encoding="utf-8"?>
<ThreadedComments xmlns="http://schemas.microsoft.com/office/spreadsheetml/2018/threadedcomments" xmlns:x="http://schemas.openxmlformats.org/spreadsheetml/2006/main">
  <threadedComment ref="E18" dT="2025-10-31T16:44:54.40" personId="{B4F875B1-694D-40BA-A3FA-6538D6EDB61E}" id="{D8175C3C-A09E-4F39-A30D-46145E61CB51}">
    <text>Pour les lignes 2 à 7 enlever (à jour, validé ou en cours d’expertise) à la fin des phrases</text>
  </threadedComment>
  <threadedComment ref="E33" dT="2025-10-31T16:52:11.21" personId="{B4F875B1-694D-40BA-A3FA-6538D6EDB61E}" id="{6E779EBC-A10C-4F4A-8D19-E0D67D1390DB}">
    <text>Enlever la fin de la phrase « et les résultats analytiques sont-ils déposés selon le scénario d’échange en vigueur »</text>
  </threadedComment>
  <threadedComment ref="L34" dT="2025-10-31T16:53:56.53" personId="{B4F875B1-694D-40BA-A3FA-6538D6EDB61E}" id="{2A80A92D-CA33-4F3A-8726-62F6EEB6A27E}">
    <text>Supprimer la ligne, ça fait doublon avec la ligne précédente</text>
  </threadedComment>
</ThreadedComments>
</file>

<file path=xl/threadedComments/threadedComment10.xml><?xml version="1.0" encoding="utf-8"?>
<ThreadedComments xmlns="http://schemas.microsoft.com/office/spreadsheetml/2018/threadedcomments" xmlns:x="http://schemas.openxmlformats.org/spreadsheetml/2006/main">
  <threadedComment ref="I12" dT="2025-11-07T08:45:32.58" personId="{B4F875B1-694D-40BA-A3FA-6538D6EDB61E}" id="{FBC7F5DD-5FA2-438C-A9B8-A26BE939FEF8}">
    <text>Verrouiller toutes les cellules avec des formules</text>
  </threadedComment>
  <threadedComment ref="G17" dT="2025-11-07T14:29:14.14" personId="{B4F875B1-694D-40BA-A3FA-6538D6EDB61E}" id="{C8DCE332-75DA-4DA2-89F8-2648339154DA}">
    <text>Rajouter à la fin de la phrase «ou en cours d’expertise»</text>
  </threadedComment>
  <threadedComment ref="K17" dT="2025-10-31T16:37:53.33" personId="{B4F875B1-694D-40BA-A3FA-6538D6EDB61E}" id="{F25581D5-1145-4727-9499-AAA8921C098A}">
    <text>Aller chercher l’information dans l’onglet Qualité</text>
  </threadedComment>
  <threadedComment ref="K18" dT="2025-10-31T16:38:04.94" personId="{B4F875B1-694D-40BA-A3FA-6538D6EDB61E}" id="{FE8E1DF2-1420-428A-AC48-8E3C1A2874CF}">
    <text>Idem</text>
  </threadedComment>
  <threadedComment ref="G22" dT="2025-11-07T14:39:47.30" personId="{B4F875B1-694D-40BA-A3FA-6538D6EDB61E}" id="{572509B3-59D2-4D23-8E1B-13D3C97207A8}">
    <text>Il manque une ligne sur les analyses à alimenter en fonction du score à la cellule Q21 de l’onglet «Analytique». Il manque également une conclusion globale en fonction du score à la cellule J24 de l’onglet «Analytique»</text>
  </threadedComment>
  <threadedComment ref="P22" dT="2025-11-07T14:41:25.40" personId="{B4F875B1-694D-40BA-A3FA-6538D6EDB61E}" id="{A63100E8-DF0B-403C-A538-A2E77565E6DB}">
    <text>A voir comment on alimente ce point, voire si on le conserve</text>
  </threadedComment>
  <threadedComment ref="G32" dT="2025-11-07T14:42:46.45" personId="{B4F875B1-694D-40BA-A3FA-6538D6EDB61E}" id="{ECD12205-531F-427D-8560-7B37AAED15FE}">
    <text>Les informations ne remontent pas des onglets TEMP</text>
  </threadedComment>
  <threadedComment ref="P32" dT="2025-11-07T14:43:14.62" personId="{B4F875B1-694D-40BA-A3FA-6538D6EDB61E}" id="{254127BD-21EC-4567-840C-CC90CD2C03AA}">
    <text>Les informations ne remontent pas des onglets PLUVIO</text>
  </threadedComment>
  <threadedComment ref="C46" dT="2025-11-07T14:45:35.02" personId="{B4F875B1-694D-40BA-A3FA-6538D6EDB61E}" id="{EE03F8C0-62EA-459F-9A41-6370D1CF9253}">
    <text>A voir en GT2 si l’on conserve cette présentation plus détaillée, mais les cellules commentaires risquent d’être trop petites</text>
  </threadedComment>
</ThreadedComments>
</file>

<file path=xl/threadedComments/threadedComment11.xml><?xml version="1.0" encoding="utf-8"?>
<ThreadedComments xmlns="http://schemas.microsoft.com/office/spreadsheetml/2018/threadedcomments" xmlns:x="http://schemas.openxmlformats.org/spreadsheetml/2006/main">
  <threadedComment ref="G3" dT="2025-11-07T09:09:29.99" personId="{B4F875B1-694D-40BA-A3FA-6538D6EDB61E}" id="{5720B396-A80E-4D57-9481-233DB1A10F0C}">
    <text>Supprimer cet onglet</text>
  </threadedComment>
</ThreadedComments>
</file>

<file path=xl/threadedComments/threadedComment12.xml><?xml version="1.0" encoding="utf-8"?>
<ThreadedComments xmlns="http://schemas.microsoft.com/office/spreadsheetml/2018/threadedcomments" xmlns:x="http://schemas.openxmlformats.org/spreadsheetml/2006/main">
  <threadedComment ref="J27" dT="2023-11-24T10:15:44.48" personId="{5FA9D90E-9B90-4400-BDE0-D953E751ACC4}" id="{B4132B75-E79F-4C91-84CF-E3DED874F9F6}">
    <text>En attente du retour de RMC si % ou mg/l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0.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8.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xml"/><Relationship Id="rId1" Type="http://schemas.openxmlformats.org/officeDocument/2006/relationships/printerSettings" Target="../printerSettings/printerSettings20.bin"/><Relationship Id="rId4" Type="http://schemas.openxmlformats.org/officeDocument/2006/relationships/comments" Target="../comments12.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 Id="rId4" Type="http://schemas.microsoft.com/office/2017/10/relationships/threadedComment" Target="../threadedComments/threadedComment12.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L96"/>
  <sheetViews>
    <sheetView showGridLines="0" zoomScale="90" zoomScaleNormal="90" workbookViewId="0">
      <pane ySplit="7" topLeftCell="A47" activePane="bottomLeft" state="frozen"/>
      <selection pane="bottomLeft" activeCell="AD13" sqref="AD13"/>
    </sheetView>
  </sheetViews>
  <sheetFormatPr baseColWidth="10" defaultColWidth="11.41015625" defaultRowHeight="20.100000000000001" customHeight="1" outlineLevelRow="1" x14ac:dyDescent="0.45"/>
  <cols>
    <col min="1" max="2" width="2.703125" style="456" customWidth="1"/>
    <col min="3" max="22" width="10.703125" style="456" customWidth="1"/>
    <col min="23" max="24" width="2.703125" style="456" customWidth="1"/>
    <col min="25" max="28" width="11.41015625" style="456"/>
    <col min="29" max="30" width="16.41015625" style="456" customWidth="1"/>
    <col min="31" max="31" width="18.1171875" style="456" customWidth="1"/>
    <col min="32" max="32" width="16.41015625" style="456" customWidth="1"/>
    <col min="33" max="35" width="12.703125" style="456" customWidth="1"/>
    <col min="36" max="36" width="12.703125" style="669" customWidth="1"/>
    <col min="37" max="38" width="11.41015625" style="669"/>
    <col min="39" max="16384" width="11.41015625" style="456"/>
  </cols>
  <sheetData>
    <row r="1" spans="1:36" ht="9.9499999999999993" customHeight="1" thickBot="1" x14ac:dyDescent="0.6">
      <c r="A1" s="453"/>
      <c r="B1" s="485"/>
      <c r="C1" s="486"/>
      <c r="D1" s="487"/>
      <c r="E1" s="487"/>
      <c r="F1" s="487"/>
      <c r="G1" s="487"/>
      <c r="H1" s="487"/>
      <c r="I1" s="487"/>
      <c r="J1" s="487"/>
      <c r="K1" s="487"/>
      <c r="L1" s="487"/>
      <c r="M1" s="487"/>
      <c r="N1" s="487"/>
      <c r="O1" s="487"/>
      <c r="P1" s="487"/>
      <c r="Q1" s="487"/>
      <c r="R1" s="487"/>
      <c r="S1" s="487"/>
      <c r="T1" s="487"/>
      <c r="U1" s="487"/>
      <c r="V1" s="487"/>
      <c r="W1" s="488"/>
      <c r="X1" s="455"/>
      <c r="Y1" s="1594"/>
      <c r="Z1" s="1594"/>
      <c r="AA1" s="1594"/>
      <c r="AB1" s="1594"/>
      <c r="AC1" s="1596" t="s">
        <v>406</v>
      </c>
      <c r="AD1" s="1596" t="s">
        <v>406</v>
      </c>
      <c r="AE1" s="1596" t="s">
        <v>406</v>
      </c>
      <c r="AF1" s="1596" t="s">
        <v>406</v>
      </c>
      <c r="AG1" s="1596" t="s">
        <v>406</v>
      </c>
      <c r="AH1" s="1596" t="s">
        <v>406</v>
      </c>
      <c r="AI1" s="1596" t="s">
        <v>406</v>
      </c>
      <c r="AJ1" s="668" t="s">
        <v>406</v>
      </c>
    </row>
    <row r="2" spans="1:36" ht="66.95" customHeight="1" thickTop="1" x14ac:dyDescent="0.45">
      <c r="A2" s="457"/>
      <c r="B2" s="489"/>
      <c r="C2" s="976" t="s">
        <v>487</v>
      </c>
      <c r="D2" s="977"/>
      <c r="E2" s="977"/>
      <c r="F2" s="977"/>
      <c r="G2" s="977"/>
      <c r="H2" s="977"/>
      <c r="I2" s="977"/>
      <c r="J2" s="977"/>
      <c r="K2" s="977"/>
      <c r="L2" s="977"/>
      <c r="M2" s="977"/>
      <c r="N2" s="977"/>
      <c r="O2" s="977"/>
      <c r="P2" s="977"/>
      <c r="Q2" s="977"/>
      <c r="R2" s="977"/>
      <c r="S2" s="977"/>
      <c r="T2" s="977"/>
      <c r="U2" s="977"/>
      <c r="V2" s="978"/>
      <c r="W2" s="490"/>
      <c r="X2" s="458"/>
      <c r="Y2" s="1595"/>
      <c r="Z2" s="1595"/>
      <c r="AA2" s="1595"/>
      <c r="AB2" s="1595"/>
      <c r="AC2" s="1599" t="s">
        <v>419</v>
      </c>
      <c r="AD2" s="1599">
        <f>ROW(E12)+1</f>
        <v>13</v>
      </c>
      <c r="AE2" s="1599" t="s">
        <v>421</v>
      </c>
      <c r="AF2" s="1599">
        <f>ROW(D15)-1</f>
        <v>14</v>
      </c>
      <c r="AG2" s="594" t="s">
        <v>820</v>
      </c>
      <c r="AH2" s="594">
        <f>ROW(E20)+1</f>
        <v>21</v>
      </c>
      <c r="AI2" s="594">
        <f>ROW(D23)-1</f>
        <v>22</v>
      </c>
      <c r="AJ2" s="586"/>
    </row>
    <row r="3" spans="1:36" ht="20.100000000000001" customHeight="1" x14ac:dyDescent="0.45">
      <c r="A3" s="460"/>
      <c r="B3" s="489"/>
      <c r="C3" s="956" t="s">
        <v>488</v>
      </c>
      <c r="D3" s="957"/>
      <c r="E3" s="957"/>
      <c r="F3" s="958"/>
      <c r="G3" s="959" t="s">
        <v>716</v>
      </c>
      <c r="H3" s="960"/>
      <c r="I3" s="960"/>
      <c r="J3" s="962"/>
      <c r="K3" s="947" t="s">
        <v>497</v>
      </c>
      <c r="L3" s="948"/>
      <c r="M3" s="949"/>
      <c r="N3" s="982" t="s">
        <v>716</v>
      </c>
      <c r="O3" s="980"/>
      <c r="P3" s="981"/>
      <c r="Q3" s="947" t="s">
        <v>494</v>
      </c>
      <c r="R3" s="948"/>
      <c r="S3" s="949"/>
      <c r="T3" s="959"/>
      <c r="U3" s="960"/>
      <c r="V3" s="961"/>
      <c r="W3" s="491"/>
      <c r="X3" s="459"/>
      <c r="Y3" s="1595"/>
      <c r="Z3" s="1596"/>
      <c r="AA3" s="1596"/>
      <c r="AB3" s="1597"/>
      <c r="AC3" s="1599" t="s">
        <v>420</v>
      </c>
      <c r="AD3" s="1599">
        <f>ROW(E32)+1</f>
        <v>33</v>
      </c>
      <c r="AE3" s="1600" t="s">
        <v>422</v>
      </c>
      <c r="AF3" s="1600">
        <f>ROW(D41)-1</f>
        <v>40</v>
      </c>
      <c r="AG3" s="594" t="s">
        <v>821</v>
      </c>
      <c r="AH3" s="594">
        <f>ROW(E46)+1</f>
        <v>47</v>
      </c>
      <c r="AI3" s="594">
        <f>ROW(D49)-1</f>
        <v>48</v>
      </c>
    </row>
    <row r="4" spans="1:36" ht="20.100000000000001" customHeight="1" x14ac:dyDescent="0.45">
      <c r="A4" s="460"/>
      <c r="B4" s="489"/>
      <c r="C4" s="956" t="s">
        <v>489</v>
      </c>
      <c r="D4" s="957"/>
      <c r="E4" s="957"/>
      <c r="F4" s="958"/>
      <c r="G4" s="959"/>
      <c r="H4" s="960"/>
      <c r="I4" s="960"/>
      <c r="J4" s="962"/>
      <c r="K4" s="947" t="s">
        <v>491</v>
      </c>
      <c r="L4" s="948"/>
      <c r="M4" s="949"/>
      <c r="N4" s="979" t="s">
        <v>719</v>
      </c>
      <c r="O4" s="980"/>
      <c r="P4" s="981"/>
      <c r="Q4" s="947" t="s">
        <v>495</v>
      </c>
      <c r="R4" s="948"/>
      <c r="S4" s="949"/>
      <c r="T4" s="959"/>
      <c r="U4" s="960"/>
      <c r="V4" s="961"/>
      <c r="W4" s="492"/>
      <c r="X4" s="461"/>
      <c r="Y4" s="1596"/>
      <c r="Z4" s="1596"/>
      <c r="AA4" s="1596"/>
      <c r="AB4" s="1597"/>
      <c r="AC4" s="1600"/>
      <c r="AD4" s="1600"/>
      <c r="AE4" s="1600"/>
      <c r="AF4" s="1600"/>
      <c r="AG4" s="594"/>
      <c r="AH4" s="594"/>
      <c r="AI4" s="594"/>
      <c r="AJ4" s="586"/>
    </row>
    <row r="5" spans="1:36" ht="20.100000000000001" customHeight="1" x14ac:dyDescent="0.45">
      <c r="A5" s="460"/>
      <c r="B5" s="489" t="s">
        <v>156</v>
      </c>
      <c r="C5" s="956" t="s">
        <v>490</v>
      </c>
      <c r="D5" s="957"/>
      <c r="E5" s="957"/>
      <c r="F5" s="958"/>
      <c r="G5" s="959" t="s">
        <v>717</v>
      </c>
      <c r="H5" s="960"/>
      <c r="I5" s="960"/>
      <c r="J5" s="962"/>
      <c r="K5" s="947" t="s">
        <v>492</v>
      </c>
      <c r="L5" s="948"/>
      <c r="M5" s="949"/>
      <c r="N5" s="950" t="s">
        <v>720</v>
      </c>
      <c r="O5" s="951"/>
      <c r="P5" s="952"/>
      <c r="Q5" s="947" t="s">
        <v>496</v>
      </c>
      <c r="R5" s="948"/>
      <c r="S5" s="949"/>
      <c r="T5" s="959"/>
      <c r="U5" s="960"/>
      <c r="V5" s="961"/>
      <c r="W5" s="492"/>
      <c r="X5" s="461"/>
      <c r="Y5" s="1596"/>
      <c r="Z5" s="1596"/>
      <c r="AA5" s="1596"/>
      <c r="AB5" s="1598"/>
      <c r="AC5" s="1600"/>
      <c r="AD5" s="1600"/>
      <c r="AE5" s="1600"/>
      <c r="AF5" s="1600"/>
    </row>
    <row r="6" spans="1:36" ht="20.100000000000001" customHeight="1" thickBot="1" x14ac:dyDescent="0.5">
      <c r="A6" s="460"/>
      <c r="B6" s="489"/>
      <c r="C6" s="964" t="s">
        <v>486</v>
      </c>
      <c r="D6" s="965"/>
      <c r="E6" s="965"/>
      <c r="F6" s="966"/>
      <c r="G6" s="944" t="s">
        <v>718</v>
      </c>
      <c r="H6" s="945"/>
      <c r="I6" s="945"/>
      <c r="J6" s="967"/>
      <c r="K6" s="968" t="s">
        <v>493</v>
      </c>
      <c r="L6" s="969"/>
      <c r="M6" s="970"/>
      <c r="N6" s="971" t="s">
        <v>721</v>
      </c>
      <c r="O6" s="972"/>
      <c r="P6" s="973"/>
      <c r="Q6" s="953" t="s">
        <v>779</v>
      </c>
      <c r="R6" s="954"/>
      <c r="S6" s="955"/>
      <c r="T6" s="944"/>
      <c r="U6" s="945"/>
      <c r="V6" s="946"/>
      <c r="W6" s="492"/>
      <c r="X6" s="461"/>
      <c r="Y6" s="1596"/>
      <c r="Z6" s="1596"/>
      <c r="AA6" s="1596"/>
      <c r="AB6" s="1598"/>
      <c r="AC6" s="1600"/>
      <c r="AD6" s="1600"/>
      <c r="AE6" s="1600"/>
      <c r="AF6" s="1600"/>
    </row>
    <row r="7" spans="1:36" ht="9.9499999999999993" customHeight="1" thickTop="1" thickBot="1" x14ac:dyDescent="0.5">
      <c r="A7" s="460"/>
      <c r="B7" s="489"/>
      <c r="C7" s="454"/>
      <c r="D7" s="963"/>
      <c r="E7" s="963"/>
      <c r="F7" s="974"/>
      <c r="G7" s="974"/>
      <c r="H7" s="963"/>
      <c r="I7" s="963"/>
      <c r="J7" s="975"/>
      <c r="K7" s="975"/>
      <c r="L7" s="462"/>
      <c r="M7" s="462"/>
      <c r="N7" s="463"/>
      <c r="O7" s="463"/>
      <c r="P7" s="463"/>
      <c r="Q7" s="463"/>
      <c r="R7" s="463"/>
      <c r="S7" s="463"/>
      <c r="T7" s="463"/>
      <c r="U7" s="463"/>
      <c r="V7" s="463"/>
      <c r="W7" s="492"/>
      <c r="X7" s="461"/>
      <c r="Y7" s="1596"/>
      <c r="Z7" s="1596"/>
      <c r="AA7" s="1596"/>
      <c r="AB7" s="1598"/>
      <c r="AC7" s="1600"/>
      <c r="AD7" s="1600"/>
      <c r="AE7" s="1600"/>
      <c r="AF7" s="1600"/>
    </row>
    <row r="8" spans="1:36" ht="20.100000000000001" customHeight="1" thickTop="1" thickBot="1" x14ac:dyDescent="0.5">
      <c r="B8" s="489"/>
      <c r="C8" s="924" t="s">
        <v>499</v>
      </c>
      <c r="D8" s="925"/>
      <c r="E8" s="925"/>
      <c r="F8" s="925"/>
      <c r="G8" s="925"/>
      <c r="H8" s="925"/>
      <c r="I8" s="925"/>
      <c r="J8" s="925"/>
      <c r="K8" s="925"/>
      <c r="L8" s="925"/>
      <c r="M8" s="925"/>
      <c r="N8" s="925"/>
      <c r="O8" s="925"/>
      <c r="P8" s="925"/>
      <c r="Q8" s="925"/>
      <c r="R8" s="925"/>
      <c r="S8" s="925"/>
      <c r="T8" s="925"/>
      <c r="U8" s="925"/>
      <c r="V8" s="926"/>
      <c r="W8" s="493"/>
      <c r="AC8" s="1601"/>
      <c r="AD8" s="1601"/>
      <c r="AE8" s="1601"/>
      <c r="AF8" s="1601"/>
    </row>
    <row r="9" spans="1:36" ht="20.100000000000001" customHeight="1" outlineLevel="1" thickTop="1" thickBot="1" x14ac:dyDescent="0.5">
      <c r="B9" s="489"/>
      <c r="C9" s="519"/>
      <c r="D9" s="464"/>
      <c r="E9" s="464"/>
      <c r="F9" s="464"/>
      <c r="G9" s="464"/>
      <c r="H9" s="464"/>
      <c r="I9" s="464"/>
      <c r="J9" s="464"/>
      <c r="K9" s="464"/>
      <c r="L9" s="464"/>
      <c r="M9" s="464"/>
      <c r="N9" s="464"/>
      <c r="O9" s="464"/>
      <c r="P9" s="464"/>
      <c r="Q9" s="464"/>
      <c r="R9" s="464"/>
      <c r="S9" s="464"/>
      <c r="T9" s="464"/>
      <c r="U9" s="464"/>
      <c r="V9" s="520"/>
      <c r="W9" s="493"/>
      <c r="AC9" s="1601"/>
      <c r="AD9" s="1601"/>
      <c r="AE9" s="1601"/>
      <c r="AF9" s="1601"/>
    </row>
    <row r="10" spans="1:36" ht="20.100000000000001" customHeight="1" outlineLevel="1" thickTop="1" thickBot="1" x14ac:dyDescent="0.5">
      <c r="B10" s="489"/>
      <c r="C10" s="519"/>
      <c r="D10" s="551" t="s">
        <v>257</v>
      </c>
      <c r="E10" s="552"/>
      <c r="F10" s="552"/>
      <c r="G10" s="552"/>
      <c r="H10" s="552"/>
      <c r="I10" s="552"/>
      <c r="J10" s="552"/>
      <c r="K10" s="552"/>
      <c r="L10" s="552"/>
      <c r="M10" s="552"/>
      <c r="N10" s="552"/>
      <c r="O10" s="552"/>
      <c r="P10" s="552"/>
      <c r="Q10" s="552"/>
      <c r="R10" s="552"/>
      <c r="S10" s="552"/>
      <c r="T10" s="552"/>
      <c r="U10" s="553"/>
      <c r="V10" s="520"/>
      <c r="W10" s="493"/>
      <c r="AC10" s="1601"/>
      <c r="AD10" s="1601"/>
      <c r="AE10" s="1601"/>
      <c r="AF10" s="1601"/>
    </row>
    <row r="11" spans="1:36" ht="20.100000000000001" customHeight="1" outlineLevel="1" thickTop="1" x14ac:dyDescent="0.45">
      <c r="B11" s="489"/>
      <c r="C11" s="519"/>
      <c r="D11" s="474"/>
      <c r="E11" s="464"/>
      <c r="F11" s="464"/>
      <c r="G11" s="464"/>
      <c r="H11" s="464"/>
      <c r="I11" s="464"/>
      <c r="J11" s="464"/>
      <c r="K11" s="464"/>
      <c r="L11" s="464"/>
      <c r="M11" s="503"/>
      <c r="N11" s="464"/>
      <c r="O11" s="464"/>
      <c r="P11" s="464"/>
      <c r="Q11" s="464"/>
      <c r="R11" s="464"/>
      <c r="S11" s="464"/>
      <c r="T11" s="464"/>
      <c r="U11" s="475"/>
      <c r="V11" s="520"/>
      <c r="W11" s="493"/>
    </row>
    <row r="12" spans="1:36" ht="30" customHeight="1" outlineLevel="1" x14ac:dyDescent="0.45">
      <c r="B12" s="489"/>
      <c r="C12" s="519"/>
      <c r="D12" s="476"/>
      <c r="E12" s="502" t="s">
        <v>259</v>
      </c>
      <c r="F12" s="927" t="s">
        <v>502</v>
      </c>
      <c r="G12" s="927"/>
      <c r="H12" s="527" t="s">
        <v>483</v>
      </c>
      <c r="I12" s="527" t="s">
        <v>500</v>
      </c>
      <c r="J12" s="527" t="s">
        <v>501</v>
      </c>
      <c r="K12" s="927" t="s">
        <v>55</v>
      </c>
      <c r="L12" s="927"/>
      <c r="M12" s="927" t="s">
        <v>653</v>
      </c>
      <c r="N12" s="927"/>
      <c r="O12" s="927" t="s">
        <v>780</v>
      </c>
      <c r="P12" s="927"/>
      <c r="Q12" s="927" t="s">
        <v>246</v>
      </c>
      <c r="R12" s="927"/>
      <c r="S12" s="472"/>
      <c r="T12" s="473"/>
      <c r="U12" s="477"/>
      <c r="V12" s="520"/>
      <c r="W12" s="493"/>
      <c r="AC12" s="1602" t="s">
        <v>415</v>
      </c>
      <c r="AD12" s="1602"/>
      <c r="AE12" s="1602" t="s">
        <v>416</v>
      </c>
      <c r="AF12" s="1602"/>
      <c r="AG12" s="1602" t="s">
        <v>485</v>
      </c>
      <c r="AH12" s="1602"/>
      <c r="AI12" s="933" t="s">
        <v>484</v>
      </c>
      <c r="AJ12" s="933"/>
    </row>
    <row r="13" spans="1:36" ht="30" customHeight="1" outlineLevel="1" x14ac:dyDescent="0.45">
      <c r="B13" s="489"/>
      <c r="C13" s="519"/>
      <c r="D13" s="476"/>
      <c r="E13" s="816" t="s">
        <v>124</v>
      </c>
      <c r="F13" s="940" t="s">
        <v>816</v>
      </c>
      <c r="G13" s="941"/>
      <c r="H13" s="817" t="s">
        <v>169</v>
      </c>
      <c r="I13" s="817" t="str">
        <f>IF(ISBLANK(A1_DO1_Q_Grav!J5), "", A1_DO1_Q_Grav!J5)</f>
        <v>A1</v>
      </c>
      <c r="J13" s="817" t="str">
        <f>IF(ISBLANK(A1_DO1_Q_Grav!J4), "", A1_DO1_Q_Grav!J4)</f>
        <v>DO1</v>
      </c>
      <c r="K13" s="942" t="str">
        <f>IF(ISBLANK(A1_DO1_Q_Grav!J3), "", A1_DO1_Q_Grav!J3)</f>
        <v>DO1</v>
      </c>
      <c r="L13" s="943"/>
      <c r="M13" s="942" t="s">
        <v>626</v>
      </c>
      <c r="N13" s="943"/>
      <c r="O13" s="942" t="str">
        <f>IF(ISBLANK(A1_DO1_Q_Grav!D40), "", A1_DO1_Q_Grav!D40)</f>
        <v>Seuil</v>
      </c>
      <c r="P13" s="943"/>
      <c r="Q13" s="942"/>
      <c r="R13" s="943"/>
      <c r="S13" s="987" t="s">
        <v>258</v>
      </c>
      <c r="T13" s="988"/>
      <c r="U13" s="477"/>
      <c r="V13" s="520"/>
      <c r="W13" s="493"/>
      <c r="AB13" s="456">
        <f>ROW(A13)- $AD$2 +1</f>
        <v>1</v>
      </c>
      <c r="AC13" s="1603" t="str">
        <f>IF(AND($E13="Oui",$M13="Préleveur"),$F13,"")</f>
        <v/>
      </c>
      <c r="AD13" s="1603" t="str" cm="1">
        <f t="array" aca="1" ref="AD13" ca="1">IFERROR(INDEX($AC$13:$AC$94,SMALL(IF($AC$13:$AC$94&lt;&gt;"",ROW($AC$13:$AC$94)-ROW(INDIRECT("$AC$13"))+1),ROW(INDIRECT("A" &amp; AB13 ) ))),"")</f>
        <v>A3_P102_PREL</v>
      </c>
      <c r="AE13" s="1603" t="str">
        <f>IF(AND($E13="Oui",LEFT($M13,10) ="Débitmètre"),$F13,"")</f>
        <v>A1_DO1_Q_Grav</v>
      </c>
      <c r="AF13" s="1603" t="str" cm="1">
        <f t="array" aca="1" ref="AF13" ca="1">IFERROR(INDEX($AE$13:$AE$94,SMALL(IF($AE$13:$AE$94&lt;&gt;"",ROW($AE$13:$AE$94)-ROW(INDIRECT("$AE$13"))+1),ROW(INDIRECT("A" &amp; AB13 ) ))),"")</f>
        <v>A1_DO1_Q_Grav</v>
      </c>
      <c r="AG13" s="1603" t="str">
        <f>IF(AND($E13="Oui",LEFT($M13,5) ="Sonde"),$F13,"")</f>
        <v/>
      </c>
      <c r="AH13" s="1603" t="str" cm="1">
        <f t="array" aca="1" ref="AH13" ca="1">IFERROR(INDEX($AG$13:$AG$94,SMALL(IF($AG$13:$AG$94&lt;&gt;"",ROW($AG$13:$AG$94)-ROW(INDIRECT("$AG$13"))+1),ROW(INDIRECT("A" &amp; AB13 ) ))),"")</f>
        <v>A4_P103_TEMP</v>
      </c>
      <c r="AI13" s="1603" t="str">
        <f>IF(AND($E13="Oui", $M13 &lt;&gt; "", $M13 = ""),$F13,"")</f>
        <v/>
      </c>
      <c r="AJ13" s="800" t="str" cm="1">
        <f t="array" aca="1" ref="AJ13" ca="1">IFERROR(INDEX($AI$13:$AI$94,SMALL(IF($AI$13:$AI$94&lt;&gt;"",ROW($AI$13:$AI$94)-ROW(INDIRECT("$AI$13"))+1),ROW(INDIRECT("A" &amp; AB13 ) ))),"")</f>
        <v>PLUVIO_SCL_ooo</v>
      </c>
    </row>
    <row r="14" spans="1:36" ht="20" customHeight="1" outlineLevel="1" x14ac:dyDescent="0.45">
      <c r="B14" s="489"/>
      <c r="C14" s="519"/>
      <c r="D14" s="478"/>
      <c r="E14" s="469"/>
      <c r="F14" s="469"/>
      <c r="G14" s="469"/>
      <c r="H14" s="469"/>
      <c r="I14" s="469"/>
      <c r="J14" s="469"/>
      <c r="K14" s="469"/>
      <c r="L14" s="470"/>
      <c r="M14" s="470"/>
      <c r="N14" s="469"/>
      <c r="O14" s="469"/>
      <c r="P14" s="469"/>
      <c r="Q14" s="469"/>
      <c r="R14" s="469"/>
      <c r="S14" s="469"/>
      <c r="T14" s="469"/>
      <c r="U14" s="477"/>
      <c r="V14" s="520"/>
      <c r="W14" s="493"/>
      <c r="AB14" s="456">
        <f>ROW(A14)- $AD$2 +1</f>
        <v>2</v>
      </c>
      <c r="AC14" s="1603" t="str">
        <f t="shared" ref="AC14:AC19" si="0">IF(AND($E14="Oui",$M14="Préleveur"),$F14,"")</f>
        <v/>
      </c>
      <c r="AD14" s="1603" t="str" cm="1">
        <f t="array" aca="1" ref="AD14" ca="1">IFERROR(INDEX($AC$13:$AC$94,SMALL(IF($AC$13:$AC$94&lt;&gt;"",ROW($AC$13:$AC$94)-ROW(INDIRECT("$AC$13"))+1),ROW(INDIRECT("A" &amp; AB14 ) ))),"")</f>
        <v>A4_P103_PREL</v>
      </c>
      <c r="AE14" s="1603" t="str">
        <f t="shared" ref="AE14:AE68" si="1">IF(AND($E14="Oui",LEFT($M14,10) ="Débitmètre"),$F14,"")</f>
        <v/>
      </c>
      <c r="AF14" s="1603" t="str" cm="1">
        <f t="array" aca="1" ref="AF14" ca="1">IFERROR(INDEX($AE$13:$AE$94,SMALL(IF($AE$13:$AE$94&lt;&gt;"",ROW($AE$13:$AE$94)-ROW(INDIRECT("$AE$13"))+1),ROW(INDIRECT("A" &amp; AB14 ) ))),"")</f>
        <v>A2_P100_Q_Grav</v>
      </c>
      <c r="AG14" s="1604" t="str">
        <f t="shared" ref="AG14:AG73" si="2">IF(AND($E14="Oui",LEFT($M14,5) ="Sonde"),$F14,"")</f>
        <v/>
      </c>
      <c r="AH14" s="1603" t="str" cm="1">
        <f t="array" aca="1" ref="AH14" ca="1">IFERROR(INDEX($AG$13:$AG$94,SMALL(IF($AG$13:$AG$94&lt;&gt;"",ROW($AG$13:$AG$94)-ROW(INDIRECT("$AG$13"))+1),ROW(INDIRECT("A" &amp; AB14 ) ))),"")</f>
        <v/>
      </c>
      <c r="AI14" s="1604" t="str">
        <f t="shared" ref="AI14:AI73" si="3">IF(AND($E14="Oui",$F14&lt;&gt;"",$M14=""),$F14,"")</f>
        <v/>
      </c>
      <c r="AJ14" s="670" t="str" cm="1">
        <f t="array" aca="1" ref="AJ14" ca="1">IFERROR(INDEX($AI$14:$AI$96,SMALL(IF($AI$14:$AI$96&lt;&gt;"",ROW($AI$14:$AI$96)-ROW(INDIRECT("$AI$13"))+1),ROW(INDIRECT("A" &amp; AB14 ) ))),"")</f>
        <v>PLUVIO_STEU_ee</v>
      </c>
    </row>
    <row r="15" spans="1:36" ht="20.100000000000001" customHeight="1" outlineLevel="1" x14ac:dyDescent="0.45">
      <c r="B15" s="489"/>
      <c r="C15" s="519"/>
      <c r="D15" s="478"/>
      <c r="E15" s="920" t="s">
        <v>260</v>
      </c>
      <c r="F15" s="921"/>
      <c r="G15" s="922"/>
      <c r="H15" s="471"/>
      <c r="I15" s="469"/>
      <c r="J15" s="471"/>
      <c r="K15" s="469"/>
      <c r="L15" s="505"/>
      <c r="M15" s="505"/>
      <c r="N15" s="469"/>
      <c r="O15" s="469"/>
      <c r="P15" s="469"/>
      <c r="Q15" s="469"/>
      <c r="R15" s="469"/>
      <c r="S15" s="469"/>
      <c r="T15" s="469"/>
      <c r="U15" s="477"/>
      <c r="V15" s="520"/>
      <c r="W15" s="493"/>
      <c r="AB15" s="456">
        <f t="shared" ref="AB15:AB74" si="4">ROW(A15)- $AD$2 +1</f>
        <v>3</v>
      </c>
      <c r="AC15" s="1603" t="str">
        <f t="shared" si="0"/>
        <v/>
      </c>
      <c r="AD15" s="1603" t="str" cm="1">
        <f t="array" aca="1" ref="AD15" ca="1">IFERROR(INDEX($AC$13:$AC$94,SMALL(IF($AC$13:$AC$94&lt;&gt;"",ROW($AC$13:$AC$94)-ROW(INDIRECT("$AC$13"))+1),ROW(INDIRECT("A" &amp; AB15 ) ))),"")</f>
        <v/>
      </c>
      <c r="AE15" s="1603" t="str">
        <f t="shared" si="1"/>
        <v/>
      </c>
      <c r="AF15" s="1603" t="str" cm="1">
        <f t="array" aca="1" ref="AF15" ca="1">IFERROR(INDEX($AE$13:$AE$94,SMALL(IF($AE$13:$AE$94&lt;&gt;"",ROW($AE$13:$AE$94)-ROW(INDIRECT("$AE$13"))+1),ROW(INDIRECT("A" &amp; AB15 ) ))),"")</f>
        <v>A3_P102_Q_DEM</v>
      </c>
      <c r="AG15" s="1604" t="str">
        <f t="shared" si="2"/>
        <v/>
      </c>
      <c r="AH15" s="1603" t="str" cm="1">
        <f t="array" aca="1" ref="AH15" ca="1">IFERROR(INDEX($AG$13:$AG$94,SMALL(IF($AG$13:$AG$94&lt;&gt;"",ROW($AG$13:$AG$94)-ROW(INDIRECT("$AG$13"))+1),ROW(INDIRECT("A" &amp; AB15 ) ))),"")</f>
        <v/>
      </c>
      <c r="AI15" s="1604" t="str">
        <f t="shared" si="3"/>
        <v/>
      </c>
      <c r="AJ15" s="670" t="str" cm="1">
        <f t="array" aca="1" ref="AJ15" ca="1">IFERROR(INDEX($AI$14:$AI$96,SMALL(IF($AI$14:$AI$96&lt;&gt;"",ROW($AI$14:$AI$96)-ROW(INDIRECT("$AI$13"))+1),ROW(INDIRECT("A" &amp; AB15 ) ))),"")</f>
        <v/>
      </c>
    </row>
    <row r="16" spans="1:36" ht="20.100000000000001" customHeight="1" outlineLevel="1" thickBot="1" x14ac:dyDescent="0.5">
      <c r="B16" s="489"/>
      <c r="C16" s="519"/>
      <c r="D16" s="479"/>
      <c r="E16" s="480"/>
      <c r="F16" s="481"/>
      <c r="G16" s="482"/>
      <c r="H16" s="482"/>
      <c r="I16" s="482"/>
      <c r="J16" s="482"/>
      <c r="K16" s="482"/>
      <c r="L16" s="482"/>
      <c r="M16" s="483"/>
      <c r="N16" s="482"/>
      <c r="O16" s="482"/>
      <c r="P16" s="482"/>
      <c r="Q16" s="482"/>
      <c r="R16" s="482"/>
      <c r="S16" s="482"/>
      <c r="T16" s="482"/>
      <c r="U16" s="484"/>
      <c r="V16" s="520"/>
      <c r="W16" s="493"/>
      <c r="AB16" s="456">
        <f t="shared" si="4"/>
        <v>4</v>
      </c>
      <c r="AC16" s="1603" t="str">
        <f t="shared" si="0"/>
        <v/>
      </c>
      <c r="AD16" s="1603" t="str" cm="1">
        <f t="array" aca="1" ref="AD16" ca="1">IFERROR(INDEX($AC$13:$AC$94,SMALL(IF($AC$13:$AC$94&lt;&gt;"",ROW($AC$13:$AC$94)-ROW(INDIRECT("$AC$13"))+1),ROW(INDIRECT("A" &amp; AB16 ) ))),"")</f>
        <v/>
      </c>
      <c r="AE16" s="1603" t="str">
        <f t="shared" si="1"/>
        <v/>
      </c>
      <c r="AF16" s="1603" t="str" cm="1">
        <f t="array" aca="1" ref="AF16" ca="1">IFERROR(INDEX($AE$13:$AE$94,SMALL(IF($AE$13:$AE$94&lt;&gt;"",ROW($AE$13:$AE$94)-ROW(INDIRECT("$AE$13"))+1),ROW(INDIRECT("A" &amp; AB16 ) ))),"")</f>
        <v>A4_P103_Q_Grav</v>
      </c>
      <c r="AG16" s="1604" t="str">
        <f t="shared" si="2"/>
        <v/>
      </c>
      <c r="AH16" s="1603" t="str" cm="1">
        <f t="array" aca="1" ref="AH16" ca="1">IFERROR(INDEX($AG$13:$AG$94,SMALL(IF($AG$13:$AG$94&lt;&gt;"",ROW($AG$13:$AG$94)-ROW(INDIRECT("$AG$13"))+1),ROW(INDIRECT("A" &amp; AB16 ) ))),"")</f>
        <v/>
      </c>
      <c r="AI16" s="1604" t="str">
        <f t="shared" si="3"/>
        <v/>
      </c>
      <c r="AJ16" s="670" t="str" cm="1">
        <f t="array" aca="1" ref="AJ16" ca="1">IFERROR(INDEX($AI$14:$AI$96,SMALL(IF($AI$14:$AI$96&lt;&gt;"",ROW($AI$14:$AI$96)-ROW(INDIRECT("$AI$13"))+1),ROW(INDIRECT("A" &amp; AB16 ) ))),"")</f>
        <v/>
      </c>
    </row>
    <row r="17" spans="2:36" ht="20.100000000000001" customHeight="1" outlineLevel="1" thickTop="1" thickBot="1" x14ac:dyDescent="0.5">
      <c r="B17" s="489"/>
      <c r="C17" s="519"/>
      <c r="D17" s="471"/>
      <c r="E17" s="504"/>
      <c r="F17" s="471"/>
      <c r="G17" s="469"/>
      <c r="H17" s="469"/>
      <c r="I17" s="469"/>
      <c r="J17" s="469"/>
      <c r="K17" s="469"/>
      <c r="L17" s="469"/>
      <c r="M17" s="505"/>
      <c r="N17" s="469"/>
      <c r="O17" s="469"/>
      <c r="P17" s="469"/>
      <c r="Q17" s="469"/>
      <c r="R17" s="469"/>
      <c r="S17" s="469"/>
      <c r="T17" s="469"/>
      <c r="U17" s="469"/>
      <c r="V17" s="520"/>
      <c r="W17" s="493"/>
      <c r="AB17" s="456">
        <f t="shared" si="4"/>
        <v>5</v>
      </c>
      <c r="AC17" s="1603" t="str">
        <f t="shared" si="0"/>
        <v/>
      </c>
      <c r="AD17" s="1603" t="str" cm="1">
        <f t="array" aca="1" ref="AD17" ca="1">IFERROR(INDEX($AC$13:$AC$94,SMALL(IF($AC$13:$AC$94&lt;&gt;"",ROW($AC$13:$AC$94)-ROW(INDIRECT("$AC$13"))+1),ROW(INDIRECT("A" &amp; AB17 ) ))),"")</f>
        <v/>
      </c>
      <c r="AE17" s="1603" t="str">
        <f t="shared" si="1"/>
        <v/>
      </c>
      <c r="AF17" s="1603" t="str" cm="1">
        <f t="array" aca="1" ref="AF17" ca="1">IFERROR(INDEX($AE$13:$AE$94,SMALL(IF($AE$13:$AE$94&lt;&gt;"",ROW($AE$13:$AE$94)-ROW(INDIRECT("$AE$13"))+1),ROW(INDIRECT("A" &amp; AB17 ) ))),"")</f>
        <v>A6_P104_Q_DEM</v>
      </c>
      <c r="AG17" s="1604" t="str">
        <f t="shared" si="2"/>
        <v/>
      </c>
      <c r="AH17" s="1603" t="str" cm="1">
        <f t="array" aca="1" ref="AH17" ca="1">IFERROR(INDEX($AG$13:$AG$94,SMALL(IF($AG$13:$AG$94&lt;&gt;"",ROW($AG$13:$AG$94)-ROW(INDIRECT("$AG$13"))+1),ROW(INDIRECT("A" &amp; AB17 ) ))),"")</f>
        <v/>
      </c>
      <c r="AI17" s="1604" t="str">
        <f t="shared" si="3"/>
        <v/>
      </c>
      <c r="AJ17" s="670" t="str" cm="1">
        <f t="array" aca="1" ref="AJ17" ca="1">IFERROR(INDEX($AI$14:$AI$96,SMALL(IF($AI$14:$AI$96&lt;&gt;"",ROW($AI$14:$AI$96)-ROW(INDIRECT("$AI$13"))+1),ROW(INDIRECT("A" &amp; AB17 ) ))),"")</f>
        <v/>
      </c>
    </row>
    <row r="18" spans="2:36" ht="20.100000000000001" customHeight="1" outlineLevel="1" thickTop="1" thickBot="1" x14ac:dyDescent="0.5">
      <c r="B18" s="489"/>
      <c r="C18" s="519"/>
      <c r="D18" s="551" t="s">
        <v>506</v>
      </c>
      <c r="E18" s="552"/>
      <c r="F18" s="552"/>
      <c r="G18" s="552"/>
      <c r="H18" s="552"/>
      <c r="I18" s="552"/>
      <c r="J18" s="552"/>
      <c r="K18" s="552"/>
      <c r="L18" s="552"/>
      <c r="M18" s="552"/>
      <c r="N18" s="552"/>
      <c r="O18" s="552"/>
      <c r="P18" s="552"/>
      <c r="Q18" s="552"/>
      <c r="R18" s="552"/>
      <c r="S18" s="552"/>
      <c r="T18" s="552"/>
      <c r="U18" s="553"/>
      <c r="V18" s="520"/>
      <c r="W18" s="493"/>
      <c r="AB18" s="456">
        <f t="shared" si="4"/>
        <v>6</v>
      </c>
      <c r="AC18" s="1603" t="str">
        <f t="shared" si="0"/>
        <v/>
      </c>
      <c r="AD18" s="1603" t="str" cm="1">
        <f t="array" aca="1" ref="AD18" ca="1">IFERROR(INDEX($AC$13:$AC$94,SMALL(IF($AC$13:$AC$94&lt;&gt;"",ROW($AC$13:$AC$94)-ROW(INDIRECT("$AC$13"))+1),ROW(INDIRECT("A" &amp; AB18 ) ))),"")</f>
        <v/>
      </c>
      <c r="AE18" s="1603" t="str">
        <f t="shared" si="1"/>
        <v/>
      </c>
      <c r="AF18" s="1604" t="str" cm="1">
        <f t="array" aca="1" ref="AF18" ca="1">IFERROR(INDEX($AE$14:$AE$96,SMALL(IF($AE$14:$AE$96&lt;&gt;"",ROW($AE$14:$AE$96)-ROW(INDIRECT("$AE$13"))+1),ROW(INDIRECT("A" &amp; AB18 ) ))),"")</f>
        <v/>
      </c>
      <c r="AG18" s="1604" t="str">
        <f t="shared" si="2"/>
        <v/>
      </c>
      <c r="AH18" s="1603" t="str" cm="1">
        <f t="array" aca="1" ref="AH18" ca="1">IFERROR(INDEX($AG$13:$AG$94,SMALL(IF($AG$13:$AG$94&lt;&gt;"",ROW($AG$13:$AG$94)-ROW(INDIRECT("$AG$13"))+1),ROW(INDIRECT("A" &amp; AB18 ) ))),"")</f>
        <v/>
      </c>
      <c r="AI18" s="1604" t="str">
        <f t="shared" si="3"/>
        <v/>
      </c>
      <c r="AJ18" s="670" t="str" cm="1">
        <f t="array" aca="1" ref="AJ18" ca="1">IFERROR(INDEX($AI$14:$AI$96,SMALL(IF($AI$14:$AI$96&lt;&gt;"",ROW($AI$14:$AI$96)-ROW(INDIRECT("$AI$13"))+1),ROW(INDIRECT("A" &amp; AB18 ) ))),"")</f>
        <v/>
      </c>
    </row>
    <row r="19" spans="2:36" ht="20.100000000000001" customHeight="1" outlineLevel="1" thickTop="1" x14ac:dyDescent="0.45">
      <c r="B19" s="489"/>
      <c r="C19" s="519"/>
      <c r="D19" s="510"/>
      <c r="E19" s="507"/>
      <c r="F19" s="507"/>
      <c r="G19" s="507"/>
      <c r="H19" s="507"/>
      <c r="I19" s="507"/>
      <c r="J19" s="507"/>
      <c r="K19" s="507"/>
      <c r="L19" s="507"/>
      <c r="M19" s="507"/>
      <c r="N19" s="507"/>
      <c r="O19" s="507"/>
      <c r="P19" s="507"/>
      <c r="Q19" s="507"/>
      <c r="R19" s="507"/>
      <c r="S19" s="507"/>
      <c r="T19" s="507"/>
      <c r="U19" s="511"/>
      <c r="V19" s="521"/>
      <c r="W19" s="493"/>
      <c r="AB19" s="456">
        <f t="shared" si="4"/>
        <v>7</v>
      </c>
      <c r="AC19" s="1603" t="str">
        <f t="shared" si="0"/>
        <v/>
      </c>
      <c r="AD19" s="1603" t="str" cm="1">
        <f t="array" aca="1" ref="AD19" ca="1">IFERROR(INDEX($AC$13:$AC$94,SMALL(IF($AC$13:$AC$94&lt;&gt;"",ROW($AC$13:$AC$94)-ROW(INDIRECT("$AC$13"))+1),ROW(INDIRECT("A" &amp; AB19 ) ))),"")</f>
        <v/>
      </c>
      <c r="AE19" s="1603" t="str">
        <f t="shared" si="1"/>
        <v/>
      </c>
      <c r="AF19" s="1604" t="str" cm="1">
        <f t="array" aca="1" ref="AF19" ca="1">IFERROR(INDEX($AE$14:$AE$96,SMALL(IF($AE$14:$AE$96&lt;&gt;"",ROW($AE$14:$AE$96)-ROW(INDIRECT("$AE$13"))+1),ROW(INDIRECT("A" &amp; AB19 ) ))),"")</f>
        <v/>
      </c>
      <c r="AG19" s="1604" t="str">
        <f t="shared" si="2"/>
        <v/>
      </c>
      <c r="AH19" s="1603" t="str" cm="1">
        <f t="array" aca="1" ref="AH19" ca="1">IFERROR(INDEX($AG$13:$AG$94,SMALL(IF($AG$13:$AG$94&lt;&gt;"",ROW($AG$13:$AG$94)-ROW(INDIRECT("$AG$13"))+1),ROW(INDIRECT("A" &amp; AB19 ) ))),"")</f>
        <v/>
      </c>
      <c r="AI19" s="1604" t="str">
        <f t="shared" si="3"/>
        <v/>
      </c>
      <c r="AJ19" s="670" t="str" cm="1">
        <f t="array" aca="1" ref="AJ19" ca="1">IFERROR(INDEX($AI$14:$AI$96,SMALL(IF($AI$14:$AI$96&lt;&gt;"",ROW($AI$14:$AI$96)-ROW(INDIRECT("$AI$13"))+1),ROW(INDIRECT("A" &amp; AB19 ) ))),"")</f>
        <v/>
      </c>
    </row>
    <row r="20" spans="2:36" ht="30" customHeight="1" outlineLevel="1" x14ac:dyDescent="0.45">
      <c r="B20" s="489"/>
      <c r="C20" s="519"/>
      <c r="D20" s="510"/>
      <c r="E20" s="502" t="s">
        <v>259</v>
      </c>
      <c r="F20" s="935" t="s">
        <v>502</v>
      </c>
      <c r="G20" s="936"/>
      <c r="H20" s="526"/>
      <c r="I20" s="509"/>
      <c r="J20" s="509"/>
      <c r="K20" s="507"/>
      <c r="L20" s="507"/>
      <c r="M20" s="507"/>
      <c r="N20" s="507"/>
      <c r="O20" s="507"/>
      <c r="P20" s="507"/>
      <c r="Q20" s="507"/>
      <c r="R20" s="507"/>
      <c r="S20" s="507"/>
      <c r="T20" s="507"/>
      <c r="U20" s="511"/>
      <c r="V20" s="521"/>
      <c r="W20" s="493"/>
      <c r="AB20" s="456">
        <f t="shared" si="4"/>
        <v>8</v>
      </c>
      <c r="AC20" s="1605" t="str">
        <f t="shared" ref="AC20:AC71" si="5">IF(AND($E20="Oui",$M20="Préleveur"),$F20,"")</f>
        <v/>
      </c>
      <c r="AD20" s="1603" t="str" cm="1">
        <f t="array" aca="1" ref="AD20" ca="1">IFERROR(INDEX($AC$13:$AC$94,SMALL(IF($AC$13:$AC$94&lt;&gt;"",ROW($AC$13:$AC$94)-ROW(INDIRECT("$AC$13"))+1),ROW(INDIRECT("A" &amp; AB20 ) ))),"")</f>
        <v/>
      </c>
      <c r="AE20" s="1603" t="str">
        <f t="shared" si="1"/>
        <v/>
      </c>
      <c r="AF20" s="1604" t="str" cm="1">
        <f t="array" aca="1" ref="AF20" ca="1">IFERROR(INDEX($AE$14:$AE$96,SMALL(IF($AE$14:$AE$96&lt;&gt;"",ROW($AE$14:$AE$96)-ROW(INDIRECT("$AE$13"))+1),ROW(INDIRECT("A" &amp; AB20 ) ))),"")</f>
        <v/>
      </c>
      <c r="AG20" s="1604" t="str">
        <f t="shared" si="2"/>
        <v/>
      </c>
      <c r="AH20" s="1604" t="str" cm="1">
        <f t="array" aca="1" ref="AH20" ca="1">IFERROR(INDEX($AG$14:$AG$96,SMALL(IF($AG$14:$AG$96&lt;&gt;"",ROW($AG$14:$AG$96)-ROW(INDIRECT("$AG$13"))+1),ROW(INDIRECT("A" &amp; AB20 ) ))),"")</f>
        <v/>
      </c>
      <c r="AI20" s="1604" t="str">
        <f t="shared" si="3"/>
        <v/>
      </c>
      <c r="AJ20" s="670" t="str" cm="1">
        <f t="array" aca="1" ref="AJ20" ca="1">IFERROR(INDEX($AI$14:$AI$96,SMALL(IF($AI$14:$AI$96&lt;&gt;"",ROW($AI$14:$AI$96)-ROW(INDIRECT("$AI$13"))+1),ROW(INDIRECT("A" &amp; AB20 ) ))),"")</f>
        <v/>
      </c>
    </row>
    <row r="21" spans="2:36" ht="30" customHeight="1" outlineLevel="1" x14ac:dyDescent="0.45">
      <c r="B21" s="489"/>
      <c r="C21" s="519"/>
      <c r="D21" s="510"/>
      <c r="E21" s="827" t="s">
        <v>124</v>
      </c>
      <c r="F21" s="985" t="s">
        <v>831</v>
      </c>
      <c r="G21" s="986"/>
      <c r="H21" s="983" t="s">
        <v>258</v>
      </c>
      <c r="I21" s="984"/>
      <c r="J21" s="509"/>
      <c r="K21" s="507"/>
      <c r="L21" s="507"/>
      <c r="M21" s="507"/>
      <c r="N21" s="507"/>
      <c r="O21" s="507"/>
      <c r="P21" s="507"/>
      <c r="Q21" s="507"/>
      <c r="R21" s="507"/>
      <c r="S21" s="507"/>
      <c r="T21" s="507"/>
      <c r="U21" s="511"/>
      <c r="V21" s="521"/>
      <c r="W21" s="493"/>
      <c r="AB21" s="456">
        <f t="shared" ref="AB21" si="6">ROW(A21)- $AD$2 +1</f>
        <v>9</v>
      </c>
      <c r="AC21" s="1605" t="str">
        <f t="shared" si="5"/>
        <v/>
      </c>
      <c r="AD21" s="1603" t="str" cm="1">
        <f t="array" aca="1" ref="AD21" ca="1">IFERROR(INDEX($AC$13:$AC$94,SMALL(IF($AC$13:$AC$94&lt;&gt;"",ROW($AC$13:$AC$94)-ROW(INDIRECT("$AC$13"))+1),ROW(INDIRECT("A" &amp; AB21 ) ))),"")</f>
        <v/>
      </c>
      <c r="AE21" s="1603" t="str">
        <f t="shared" si="1"/>
        <v/>
      </c>
      <c r="AF21" s="1604" t="str" cm="1">
        <f t="array" aca="1" ref="AF21" ca="1">IFERROR(INDEX($AE$14:$AE$96,SMALL(IF($AE$14:$AE$96&lt;&gt;"",ROW($AE$14:$AE$96)-ROW(INDIRECT("$AE$13"))+1),ROW(INDIRECT("A" &amp; AB21 ) ))),"")</f>
        <v/>
      </c>
      <c r="AG21" s="1604" t="str">
        <f t="shared" si="2"/>
        <v/>
      </c>
      <c r="AH21" s="1604" t="str" cm="1">
        <f t="array" aca="1" ref="AH21" ca="1">IFERROR(INDEX($AG$14:$AG$96,SMALL(IF($AG$14:$AG$96&lt;&gt;"",ROW($AG$14:$AG$96)-ROW(INDIRECT("$AG$13"))+1),ROW(INDIRECT("A" &amp; AB21 ) ))),"")</f>
        <v/>
      </c>
      <c r="AI21" s="1604" t="str">
        <f t="shared" si="3"/>
        <v>PLUVIO_SCL_ooo</v>
      </c>
      <c r="AJ21" s="670" t="str" cm="1">
        <f t="array" aca="1" ref="AJ21" ca="1">IFERROR(INDEX($AI$14:$AI$96,SMALL(IF($AI$14:$AI$96&lt;&gt;"",ROW($AI$14:$AI$96)-ROW(INDIRECT("$AI$13"))+1),ROW(INDIRECT("A" &amp; AB21 ) ))),"")</f>
        <v/>
      </c>
    </row>
    <row r="22" spans="2:36" ht="15.7" customHeight="1" outlineLevel="1" x14ac:dyDescent="0.45">
      <c r="B22" s="489"/>
      <c r="C22" s="519"/>
      <c r="D22" s="510"/>
      <c r="E22" s="507"/>
      <c r="F22" s="507"/>
      <c r="G22" s="507"/>
      <c r="H22" s="507"/>
      <c r="I22" s="507"/>
      <c r="J22" s="507"/>
      <c r="K22" s="507"/>
      <c r="L22" s="507"/>
      <c r="M22" s="507"/>
      <c r="N22" s="507"/>
      <c r="O22" s="507"/>
      <c r="P22" s="507"/>
      <c r="Q22" s="507"/>
      <c r="R22" s="507"/>
      <c r="S22" s="507"/>
      <c r="T22" s="507"/>
      <c r="U22" s="511"/>
      <c r="V22" s="521"/>
      <c r="W22" s="493"/>
      <c r="AC22" s="1605"/>
      <c r="AD22" s="1603"/>
      <c r="AE22" s="1603"/>
      <c r="AF22" s="1604"/>
      <c r="AG22" s="1604"/>
      <c r="AH22" s="1604"/>
      <c r="AI22" s="1604"/>
      <c r="AJ22" s="670"/>
    </row>
    <row r="23" spans="2:36" ht="20" customHeight="1" outlineLevel="1" x14ac:dyDescent="0.5">
      <c r="B23" s="489"/>
      <c r="C23" s="519"/>
      <c r="D23" s="513"/>
      <c r="E23" s="937" t="s">
        <v>382</v>
      </c>
      <c r="F23" s="938"/>
      <c r="G23" s="939"/>
      <c r="H23" s="470"/>
      <c r="I23" s="470"/>
      <c r="J23" s="470"/>
      <c r="K23" s="923" t="s">
        <v>503</v>
      </c>
      <c r="L23" s="923"/>
      <c r="M23" s="923"/>
      <c r="N23" s="923"/>
      <c r="O23" s="923"/>
      <c r="P23" s="923"/>
      <c r="Q23" s="923"/>
      <c r="R23" s="923"/>
      <c r="S23" s="923"/>
      <c r="T23" s="923"/>
      <c r="U23" s="512"/>
      <c r="V23" s="521"/>
      <c r="W23" s="493"/>
      <c r="AB23" s="456">
        <f t="shared" si="4"/>
        <v>11</v>
      </c>
      <c r="AC23" s="1605" t="str">
        <f t="shared" si="5"/>
        <v/>
      </c>
      <c r="AD23" s="1603" t="str" cm="1">
        <f t="array" aca="1" ref="AD23" ca="1">IFERROR(INDEX($AC$13:$AC$94,SMALL(IF($AC$13:$AC$94&lt;&gt;"",ROW($AC$13:$AC$94)-ROW(INDIRECT("$AC$13"))+1),ROW(INDIRECT("A" &amp; AB23 ) ))),"")</f>
        <v/>
      </c>
      <c r="AE23" s="1603" t="str">
        <f t="shared" si="1"/>
        <v/>
      </c>
      <c r="AF23" s="1604" t="str" cm="1">
        <f t="array" aca="1" ref="AF23" ca="1">IFERROR(INDEX($AE$14:$AE$96,SMALL(IF($AE$14:$AE$96&lt;&gt;"",ROW($AE$14:$AE$96)-ROW(INDIRECT("$AE$13"))+1),ROW(INDIRECT("A" &amp; AB23 ) ))),"")</f>
        <v/>
      </c>
      <c r="AG23" s="1604" t="str">
        <f t="shared" si="2"/>
        <v/>
      </c>
      <c r="AH23" s="1604" t="str" cm="1">
        <f t="array" aca="1" ref="AH23" ca="1">IFERROR(INDEX($AG$14:$AG$96,SMALL(IF($AG$14:$AG$96&lt;&gt;"",ROW($AG$14:$AG$96)-ROW(INDIRECT("$AG$13"))+1),ROW(INDIRECT("A" &amp; AB23 ) ))),"")</f>
        <v/>
      </c>
      <c r="AI23" s="1604" t="str">
        <f t="shared" si="3"/>
        <v/>
      </c>
      <c r="AJ23" s="670" t="str" cm="1">
        <f t="array" aca="1" ref="AJ23" ca="1">IFERROR(INDEX($AI$14:$AI$96,SMALL(IF($AI$14:$AI$96&lt;&gt;"",ROW($AI$14:$AI$96)-ROW(INDIRECT("$AI$13"))+1),ROW(INDIRECT("A" &amp; AB23 ) ))),"")</f>
        <v/>
      </c>
    </row>
    <row r="24" spans="2:36" ht="39.950000000000003" customHeight="1" outlineLevel="1" x14ac:dyDescent="0.45">
      <c r="B24" s="489"/>
      <c r="C24" s="519"/>
      <c r="D24" s="514"/>
      <c r="E24" s="505"/>
      <c r="F24" s="470"/>
      <c r="G24" s="506"/>
      <c r="H24" s="506"/>
      <c r="I24" s="506"/>
      <c r="J24" s="506"/>
      <c r="K24" s="910"/>
      <c r="L24" s="911"/>
      <c r="M24" s="911"/>
      <c r="N24" s="911"/>
      <c r="O24" s="911"/>
      <c r="P24" s="911"/>
      <c r="Q24" s="911"/>
      <c r="R24" s="911"/>
      <c r="S24" s="911"/>
      <c r="T24" s="912"/>
      <c r="U24" s="512"/>
      <c r="V24" s="521"/>
      <c r="W24" s="493"/>
      <c r="AB24" s="456">
        <f t="shared" si="4"/>
        <v>12</v>
      </c>
      <c r="AC24" s="1605" t="str">
        <f t="shared" si="5"/>
        <v/>
      </c>
      <c r="AD24" s="1604" t="str" cm="1">
        <f t="array" aca="1" ref="AD24" ca="1">IFERROR(INDEX($AC$14:$AC$96,SMALL(IF($AC$14:$AC$96&lt;&gt;"",ROW($AC$14:$AC$96)-ROW(INDIRECT("$AC$13"))+1),ROW(INDIRECT("A" &amp; AB24 ) ))),"")</f>
        <v/>
      </c>
      <c r="AE24" s="1603" t="str">
        <f t="shared" si="1"/>
        <v/>
      </c>
      <c r="AF24" s="1604" t="str" cm="1">
        <f t="array" aca="1" ref="AF24" ca="1">IFERROR(INDEX($AE$14:$AE$96,SMALL(IF($AE$14:$AE$96&lt;&gt;"",ROW($AE$14:$AE$96)-ROW(INDIRECT("$AE$13"))+1),ROW(INDIRECT("A" &amp; AB24 ) ))),"")</f>
        <v/>
      </c>
      <c r="AG24" s="1604" t="str">
        <f t="shared" si="2"/>
        <v/>
      </c>
      <c r="AH24" s="1604" t="str" cm="1">
        <f t="array" aca="1" ref="AH24" ca="1">IFERROR(INDEX($AG$14:$AG$96,SMALL(IF($AG$14:$AG$96&lt;&gt;"",ROW($AG$14:$AG$96)-ROW(INDIRECT("$AG$13"))+1),ROW(INDIRECT("A" &amp; AB24 ) ))),"")</f>
        <v/>
      </c>
      <c r="AI24" s="1604" t="str">
        <f t="shared" si="3"/>
        <v/>
      </c>
      <c r="AJ24" s="670" t="str" cm="1">
        <f t="array" aca="1" ref="AJ24" ca="1">IFERROR(INDEX($AI$14:$AI$96,SMALL(IF($AI$14:$AI$96&lt;&gt;"",ROW($AI$14:$AI$96)-ROW(INDIRECT("$AI$13"))+1),ROW(INDIRECT("A" &amp; AB24 ) ))),"")</f>
        <v/>
      </c>
    </row>
    <row r="25" spans="2:36" ht="20.100000000000001" customHeight="1" outlineLevel="1" thickBot="1" x14ac:dyDescent="0.5">
      <c r="B25" s="489"/>
      <c r="C25" s="519"/>
      <c r="D25" s="515"/>
      <c r="E25" s="516"/>
      <c r="F25" s="516"/>
      <c r="G25" s="517"/>
      <c r="H25" s="517"/>
      <c r="I25" s="517"/>
      <c r="J25" s="517"/>
      <c r="K25" s="516"/>
      <c r="L25" s="516"/>
      <c r="M25" s="483"/>
      <c r="N25" s="516"/>
      <c r="O25" s="516"/>
      <c r="P25" s="516"/>
      <c r="Q25" s="516"/>
      <c r="R25" s="516"/>
      <c r="S25" s="516"/>
      <c r="T25" s="516"/>
      <c r="U25" s="518"/>
      <c r="V25" s="521"/>
      <c r="W25" s="493"/>
      <c r="AB25" s="456">
        <f t="shared" si="4"/>
        <v>13</v>
      </c>
      <c r="AC25" s="1605" t="str">
        <f t="shared" si="5"/>
        <v/>
      </c>
      <c r="AD25" s="1604" t="str" cm="1">
        <f t="array" aca="1" ref="AD25" ca="1">IFERROR(INDEX($AC$14:$AC$96,SMALL(IF($AC$14:$AC$96&lt;&gt;"",ROW($AC$14:$AC$96)-ROW(INDIRECT("$AC$13"))+1),ROW(INDIRECT("A" &amp; AB25 ) ))),"")</f>
        <v/>
      </c>
      <c r="AE25" s="1603" t="str">
        <f t="shared" si="1"/>
        <v/>
      </c>
      <c r="AF25" s="1604" t="str" cm="1">
        <f t="array" aca="1" ref="AF25" ca="1">IFERROR(INDEX($AE$14:$AE$96,SMALL(IF($AE$14:$AE$96&lt;&gt;"",ROW($AE$14:$AE$96)-ROW(INDIRECT("$AE$13"))+1),ROW(INDIRECT("A" &amp; AB25 ) ))),"")</f>
        <v/>
      </c>
      <c r="AG25" s="1604" t="str">
        <f t="shared" si="2"/>
        <v/>
      </c>
      <c r="AH25" s="1604" t="str" cm="1">
        <f t="array" aca="1" ref="AH25" ca="1">IFERROR(INDEX($AG$14:$AG$96,SMALL(IF($AG$14:$AG$96&lt;&gt;"",ROW($AG$14:$AG$96)-ROW(INDIRECT("$AG$13"))+1),ROW(INDIRECT("A" &amp; AB25 ) ))),"")</f>
        <v/>
      </c>
      <c r="AI25" s="1604" t="str">
        <f t="shared" si="3"/>
        <v/>
      </c>
      <c r="AJ25" s="670" t="str" cm="1">
        <f t="array" aca="1" ref="AJ25" ca="1">IFERROR(INDEX($AI$14:$AI$96,SMALL(IF($AI$14:$AI$96&lt;&gt;"",ROW($AI$14:$AI$96)-ROW(INDIRECT("$AI$13"))+1),ROW(INDIRECT("A" &amp; AB25 ) ))),"")</f>
        <v/>
      </c>
    </row>
    <row r="26" spans="2:36" ht="20.100000000000001" customHeight="1" outlineLevel="1" thickTop="1" thickBot="1" x14ac:dyDescent="0.5">
      <c r="B26" s="489"/>
      <c r="C26" s="522"/>
      <c r="D26" s="523"/>
      <c r="E26" s="523"/>
      <c r="F26" s="523"/>
      <c r="G26" s="523"/>
      <c r="H26" s="523"/>
      <c r="I26" s="523"/>
      <c r="J26" s="523"/>
      <c r="K26" s="523"/>
      <c r="L26" s="523"/>
      <c r="M26" s="524"/>
      <c r="N26" s="523"/>
      <c r="O26" s="523"/>
      <c r="P26" s="523"/>
      <c r="Q26" s="523"/>
      <c r="R26" s="523"/>
      <c r="S26" s="523"/>
      <c r="T26" s="523"/>
      <c r="U26" s="523"/>
      <c r="V26" s="525"/>
      <c r="W26" s="493"/>
      <c r="AB26" s="456">
        <f t="shared" si="4"/>
        <v>14</v>
      </c>
      <c r="AC26" s="1605" t="str">
        <f t="shared" si="5"/>
        <v/>
      </c>
      <c r="AD26" s="1604" t="str" cm="1">
        <f t="array" aca="1" ref="AD26" ca="1">IFERROR(INDEX($AC$14:$AC$96,SMALL(IF($AC$14:$AC$96&lt;&gt;"",ROW($AC$14:$AC$96)-ROW(INDIRECT("$AC$13"))+1),ROW(INDIRECT("A" &amp; AB26 ) ))),"")</f>
        <v/>
      </c>
      <c r="AE26" s="1603" t="str">
        <f t="shared" si="1"/>
        <v/>
      </c>
      <c r="AF26" s="1604" t="str" cm="1">
        <f t="array" aca="1" ref="AF26" ca="1">IFERROR(INDEX($AE$14:$AE$96,SMALL(IF($AE$14:$AE$96&lt;&gt;"",ROW($AE$14:$AE$96)-ROW(INDIRECT("$AE$13"))+1),ROW(INDIRECT("A" &amp; AB26 ) ))),"")</f>
        <v/>
      </c>
      <c r="AG26" s="1604" t="str">
        <f t="shared" si="2"/>
        <v/>
      </c>
      <c r="AH26" s="1604" t="str" cm="1">
        <f t="array" aca="1" ref="AH26" ca="1">IFERROR(INDEX($AG$14:$AG$96,SMALL(IF($AG$14:$AG$96&lt;&gt;"",ROW($AG$14:$AG$96)-ROW(INDIRECT("$AG$13"))+1),ROW(INDIRECT("A" &amp; AB26 ) ))),"")</f>
        <v/>
      </c>
      <c r="AI26" s="1604" t="str">
        <f t="shared" si="3"/>
        <v/>
      </c>
      <c r="AJ26" s="670" t="str" cm="1">
        <f t="array" aca="1" ref="AJ26" ca="1">IFERROR(INDEX($AI$14:$AI$96,SMALL(IF($AI$14:$AI$96&lt;&gt;"",ROW($AI$14:$AI$96)-ROW(INDIRECT("$AI$13"))+1),ROW(INDIRECT("A" &amp; AB26 ) ))),"")</f>
        <v/>
      </c>
    </row>
    <row r="27" spans="2:36" ht="9.9499999999999993" customHeight="1" thickTop="1" thickBot="1" x14ac:dyDescent="0.5">
      <c r="B27" s="489"/>
      <c r="C27" s="464"/>
      <c r="D27" s="468"/>
      <c r="E27" s="468"/>
      <c r="F27" s="468"/>
      <c r="G27" s="468"/>
      <c r="H27" s="468"/>
      <c r="I27" s="468"/>
      <c r="J27" s="468"/>
      <c r="K27" s="468"/>
      <c r="L27" s="468"/>
      <c r="M27" s="468"/>
      <c r="N27" s="465"/>
      <c r="O27" s="465"/>
      <c r="P27" s="465"/>
      <c r="Q27" s="465"/>
      <c r="R27" s="465"/>
      <c r="S27" s="465"/>
      <c r="T27" s="465"/>
      <c r="U27" s="465"/>
      <c r="V27" s="508"/>
      <c r="W27" s="493"/>
      <c r="AB27" s="456">
        <f t="shared" si="4"/>
        <v>15</v>
      </c>
      <c r="AC27" s="1605" t="str">
        <f t="shared" si="5"/>
        <v/>
      </c>
      <c r="AD27" s="1604" t="str" cm="1">
        <f t="array" aca="1" ref="AD27" ca="1">IFERROR(INDEX($AC$14:$AC$96,SMALL(IF($AC$14:$AC$96&lt;&gt;"",ROW($AC$14:$AC$96)-ROW(INDIRECT("$AC$13"))+1),ROW(INDIRECT("A" &amp; AB27 ) ))),"")</f>
        <v/>
      </c>
      <c r="AE27" s="1603" t="str">
        <f t="shared" si="1"/>
        <v/>
      </c>
      <c r="AF27" s="1604" t="str" cm="1">
        <f t="array" aca="1" ref="AF27" ca="1">IFERROR(INDEX($AE$14:$AE$96,SMALL(IF($AE$14:$AE$96&lt;&gt;"",ROW($AE$14:$AE$96)-ROW(INDIRECT("$AE$13"))+1),ROW(INDIRECT("A" &amp; AB27 ) ))),"")</f>
        <v/>
      </c>
      <c r="AG27" s="1604" t="str">
        <f t="shared" si="2"/>
        <v/>
      </c>
      <c r="AH27" s="1604" t="str" cm="1">
        <f t="array" aca="1" ref="AH27" ca="1">IFERROR(INDEX($AG$14:$AG$96,SMALL(IF($AG$14:$AG$96&lt;&gt;"",ROW($AG$14:$AG$96)-ROW(INDIRECT("$AG$13"))+1),ROW(INDIRECT("A" &amp; AB27 ) ))),"")</f>
        <v/>
      </c>
      <c r="AI27" s="1604" t="str">
        <f t="shared" si="3"/>
        <v/>
      </c>
      <c r="AJ27" s="670" t="str" cm="1">
        <f t="array" aca="1" ref="AJ27" ca="1">IFERROR(INDEX($AI$14:$AI$96,SMALL(IF($AI$14:$AI$96&lt;&gt;"",ROW($AI$14:$AI$96)-ROW(INDIRECT("$AI$13"))+1),ROW(INDIRECT("A" &amp; AB27 ) ))),"")</f>
        <v/>
      </c>
    </row>
    <row r="28" spans="2:36" ht="20.100000000000001" customHeight="1" thickTop="1" thickBot="1" x14ac:dyDescent="0.5">
      <c r="B28" s="489"/>
      <c r="C28" s="924" t="s">
        <v>504</v>
      </c>
      <c r="D28" s="925"/>
      <c r="E28" s="925"/>
      <c r="F28" s="925"/>
      <c r="G28" s="925"/>
      <c r="H28" s="925"/>
      <c r="I28" s="925"/>
      <c r="J28" s="925"/>
      <c r="K28" s="925"/>
      <c r="L28" s="925"/>
      <c r="M28" s="925"/>
      <c r="N28" s="925"/>
      <c r="O28" s="925"/>
      <c r="P28" s="925"/>
      <c r="Q28" s="925"/>
      <c r="R28" s="925"/>
      <c r="S28" s="925"/>
      <c r="T28" s="925"/>
      <c r="U28" s="925"/>
      <c r="V28" s="926"/>
      <c r="W28" s="493"/>
      <c r="AB28" s="456">
        <f t="shared" si="4"/>
        <v>16</v>
      </c>
      <c r="AC28" s="1605" t="str">
        <f t="shared" si="5"/>
        <v/>
      </c>
      <c r="AD28" s="1604" t="str" cm="1">
        <f t="array" aca="1" ref="AD28" ca="1">IFERROR(INDEX($AC$14:$AC$96,SMALL(IF($AC$14:$AC$96&lt;&gt;"",ROW($AC$14:$AC$96)-ROW(INDIRECT("$AC$13"))+1),ROW(INDIRECT("A" &amp; AB28 ) ))),"")</f>
        <v/>
      </c>
      <c r="AE28" s="1603" t="str">
        <f t="shared" si="1"/>
        <v/>
      </c>
      <c r="AF28" s="1604" t="str" cm="1">
        <f t="array" aca="1" ref="AF28" ca="1">IFERROR(INDEX($AE$14:$AE$96,SMALL(IF($AE$14:$AE$96&lt;&gt;"",ROW($AE$14:$AE$96)-ROW(INDIRECT("$AE$13"))+1),ROW(INDIRECT("A" &amp; AB28 ) ))),"")</f>
        <v/>
      </c>
      <c r="AG28" s="1604" t="str">
        <f t="shared" si="2"/>
        <v/>
      </c>
      <c r="AH28" s="1604" t="str" cm="1">
        <f t="array" aca="1" ref="AH28" ca="1">IFERROR(INDEX($AG$14:$AG$96,SMALL(IF($AG$14:$AG$96&lt;&gt;"",ROW($AG$14:$AG$96)-ROW(INDIRECT("$AG$13"))+1),ROW(INDIRECT("A" &amp; AB28 ) ))),"")</f>
        <v/>
      </c>
      <c r="AI28" s="1604" t="str">
        <f t="shared" si="3"/>
        <v/>
      </c>
      <c r="AJ28" s="670" t="str" cm="1">
        <f t="array" aca="1" ref="AJ28" ca="1">IFERROR(INDEX($AI$14:$AI$96,SMALL(IF($AI$14:$AI$96&lt;&gt;"",ROW($AI$14:$AI$96)-ROW(INDIRECT("$AI$13"))+1),ROW(INDIRECT("A" &amp; AB28 ) ))),"")</f>
        <v/>
      </c>
    </row>
    <row r="29" spans="2:36" ht="20.100000000000001" customHeight="1" outlineLevel="1" thickTop="1" thickBot="1" x14ac:dyDescent="0.5">
      <c r="B29" s="489"/>
      <c r="C29" s="519"/>
      <c r="D29" s="465"/>
      <c r="E29" s="503"/>
      <c r="F29" s="503"/>
      <c r="G29" s="465"/>
      <c r="H29" s="465"/>
      <c r="I29" s="465"/>
      <c r="J29" s="465"/>
      <c r="K29" s="465"/>
      <c r="L29" s="465"/>
      <c r="M29" s="503"/>
      <c r="N29" s="465"/>
      <c r="O29" s="465"/>
      <c r="P29" s="465"/>
      <c r="Q29" s="465"/>
      <c r="R29" s="465"/>
      <c r="S29" s="465"/>
      <c r="T29" s="465"/>
      <c r="U29" s="465"/>
      <c r="V29" s="521"/>
      <c r="W29" s="493"/>
      <c r="AB29" s="456">
        <f t="shared" si="4"/>
        <v>17</v>
      </c>
      <c r="AC29" s="1605" t="str">
        <f t="shared" si="5"/>
        <v/>
      </c>
      <c r="AD29" s="1604" t="str" cm="1">
        <f t="array" aca="1" ref="AD29" ca="1">IFERROR(INDEX($AC$14:$AC$96,SMALL(IF($AC$14:$AC$96&lt;&gt;"",ROW($AC$14:$AC$96)-ROW(INDIRECT("$AC$13"))+1),ROW(INDIRECT("A" &amp; AB29 ) ))),"")</f>
        <v/>
      </c>
      <c r="AE29" s="1603" t="str">
        <f t="shared" si="1"/>
        <v/>
      </c>
      <c r="AF29" s="1604" t="str" cm="1">
        <f t="array" aca="1" ref="AF29" ca="1">IFERROR(INDEX($AE$14:$AE$96,SMALL(IF($AE$14:$AE$96&lt;&gt;"",ROW($AE$14:$AE$96)-ROW(INDIRECT("$AE$13"))+1),ROW(INDIRECT("A" &amp; AB29 ) ))),"")</f>
        <v/>
      </c>
      <c r="AG29" s="1604" t="str">
        <f t="shared" si="2"/>
        <v/>
      </c>
      <c r="AH29" s="1604" t="str" cm="1">
        <f t="array" aca="1" ref="AH29" ca="1">IFERROR(INDEX($AG$14:$AG$96,SMALL(IF($AG$14:$AG$96&lt;&gt;"",ROW($AG$14:$AG$96)-ROW(INDIRECT("$AG$13"))+1),ROW(INDIRECT("A" &amp; AB29 ) ))),"")</f>
        <v/>
      </c>
      <c r="AI29" s="1604" t="str">
        <f t="shared" si="3"/>
        <v/>
      </c>
      <c r="AJ29" s="670" t="str" cm="1">
        <f t="array" aca="1" ref="AJ29" ca="1">IFERROR(INDEX($AI$14:$AI$96,SMALL(IF($AI$14:$AI$96&lt;&gt;"",ROW($AI$14:$AI$96)-ROW(INDIRECT("$AI$13"))+1),ROW(INDIRECT("A" &amp; AB29 ) ))),"")</f>
        <v/>
      </c>
    </row>
    <row r="30" spans="2:36" ht="20.100000000000001" customHeight="1" outlineLevel="1" thickTop="1" thickBot="1" x14ac:dyDescent="0.5">
      <c r="B30" s="489"/>
      <c r="C30" s="519"/>
      <c r="D30" s="551" t="s">
        <v>247</v>
      </c>
      <c r="E30" s="552"/>
      <c r="F30" s="552"/>
      <c r="G30" s="552"/>
      <c r="H30" s="552"/>
      <c r="I30" s="552"/>
      <c r="J30" s="552"/>
      <c r="K30" s="552"/>
      <c r="L30" s="552"/>
      <c r="M30" s="552"/>
      <c r="N30" s="552"/>
      <c r="O30" s="552"/>
      <c r="P30" s="552"/>
      <c r="Q30" s="552"/>
      <c r="R30" s="552"/>
      <c r="S30" s="552"/>
      <c r="T30" s="552"/>
      <c r="U30" s="553"/>
      <c r="V30" s="521"/>
      <c r="W30" s="493"/>
      <c r="AB30" s="456">
        <f t="shared" si="4"/>
        <v>18</v>
      </c>
      <c r="AC30" s="1605" t="str">
        <f t="shared" si="5"/>
        <v/>
      </c>
      <c r="AD30" s="1604" t="str" cm="1">
        <f t="array" aca="1" ref="AD30" ca="1">IFERROR(INDEX($AC$14:$AC$96,SMALL(IF($AC$14:$AC$96&lt;&gt;"",ROW($AC$14:$AC$96)-ROW(INDIRECT("$AC$13"))+1),ROW(INDIRECT("A" &amp; AB30 ) ))),"")</f>
        <v/>
      </c>
      <c r="AE30" s="1603" t="str">
        <f t="shared" si="1"/>
        <v/>
      </c>
      <c r="AF30" s="1604" t="str" cm="1">
        <f t="array" aca="1" ref="AF30" ca="1">IFERROR(INDEX($AE$14:$AE$96,SMALL(IF($AE$14:$AE$96&lt;&gt;"",ROW($AE$14:$AE$96)-ROW(INDIRECT("$AE$13"))+1),ROW(INDIRECT("A" &amp; AB30 ) ))),"")</f>
        <v/>
      </c>
      <c r="AG30" s="1604" t="str">
        <f t="shared" si="2"/>
        <v/>
      </c>
      <c r="AH30" s="1604" t="str" cm="1">
        <f t="array" aca="1" ref="AH30" ca="1">IFERROR(INDEX($AG$14:$AG$96,SMALL(IF($AG$14:$AG$96&lt;&gt;"",ROW($AG$14:$AG$96)-ROW(INDIRECT("$AG$13"))+1),ROW(INDIRECT("A" &amp; AB30 ) ))),"")</f>
        <v/>
      </c>
      <c r="AI30" s="1604" t="str">
        <f t="shared" si="3"/>
        <v/>
      </c>
      <c r="AJ30" s="670" t="str" cm="1">
        <f t="array" aca="1" ref="AJ30" ca="1">IFERROR(INDEX($AI$14:$AI$96,SMALL(IF($AI$14:$AI$96&lt;&gt;"",ROW($AI$14:$AI$96)-ROW(INDIRECT("$AI$13"))+1),ROW(INDIRECT("A" &amp; AB30 ) ))),"")</f>
        <v/>
      </c>
    </row>
    <row r="31" spans="2:36" ht="20.100000000000001" customHeight="1" outlineLevel="1" thickTop="1" x14ac:dyDescent="0.45">
      <c r="B31" s="489"/>
      <c r="C31" s="519"/>
      <c r="D31" s="532"/>
      <c r="E31" s="503"/>
      <c r="F31" s="503"/>
      <c r="G31" s="465"/>
      <c r="H31" s="465"/>
      <c r="I31" s="465"/>
      <c r="J31" s="465"/>
      <c r="K31" s="830" t="s">
        <v>837</v>
      </c>
      <c r="L31" s="465"/>
      <c r="M31" s="503"/>
      <c r="N31" s="465"/>
      <c r="O31" s="465"/>
      <c r="P31" s="797" t="s">
        <v>779</v>
      </c>
      <c r="Q31" s="465"/>
      <c r="R31" s="465"/>
      <c r="S31" s="465"/>
      <c r="T31" s="465"/>
      <c r="U31" s="534"/>
      <c r="V31" s="521"/>
      <c r="W31" s="493"/>
      <c r="AB31" s="456">
        <f t="shared" si="4"/>
        <v>19</v>
      </c>
      <c r="AC31" s="1605" t="str">
        <f t="shared" si="5"/>
        <v/>
      </c>
      <c r="AD31" s="1604" t="str" cm="1">
        <f t="array" aca="1" ref="AD31" ca="1">IFERROR(INDEX($AC$14:$AC$96,SMALL(IF($AC$14:$AC$96&lt;&gt;"",ROW($AC$14:$AC$96)-ROW(INDIRECT("$AC$13"))+1),ROW(INDIRECT("A" &amp; AB31 ) ))),"")</f>
        <v/>
      </c>
      <c r="AE31" s="1603" t="str">
        <f t="shared" si="1"/>
        <v/>
      </c>
      <c r="AF31" s="1604" t="str" cm="1">
        <f t="array" aca="1" ref="AF31" ca="1">IFERROR(INDEX($AE$14:$AE$96,SMALL(IF($AE$14:$AE$96&lt;&gt;"",ROW($AE$14:$AE$96)-ROW(INDIRECT("$AE$13"))+1),ROW(INDIRECT("A" &amp; AB31 ) ))),"")</f>
        <v/>
      </c>
      <c r="AG31" s="1604" t="str">
        <f t="shared" si="2"/>
        <v/>
      </c>
      <c r="AH31" s="1604" t="str" cm="1">
        <f t="array" aca="1" ref="AH31" ca="1">IFERROR(INDEX($AG$14:$AG$96,SMALL(IF($AG$14:$AG$96&lt;&gt;"",ROW($AG$14:$AG$96)-ROW(INDIRECT("$AG$13"))+1),ROW(INDIRECT("A" &amp; AB31 ) ))),"")</f>
        <v/>
      </c>
      <c r="AI31" s="1604" t="str">
        <f t="shared" si="3"/>
        <v/>
      </c>
      <c r="AJ31" s="670" t="str" cm="1">
        <f t="array" aca="1" ref="AJ31" ca="1">IFERROR(INDEX($AI$14:$AI$96,SMALL(IF($AI$14:$AI$96&lt;&gt;"",ROW($AI$14:$AI$96)-ROW(INDIRECT("$AI$13"))+1),ROW(INDIRECT("A" &amp; AB31 ) ))),"")</f>
        <v/>
      </c>
    </row>
    <row r="32" spans="2:36" ht="30" customHeight="1" outlineLevel="1" x14ac:dyDescent="0.45">
      <c r="B32" s="489"/>
      <c r="C32" s="519"/>
      <c r="D32" s="476"/>
      <c r="E32" s="530" t="s">
        <v>259</v>
      </c>
      <c r="F32" s="934" t="s">
        <v>502</v>
      </c>
      <c r="G32" s="934"/>
      <c r="H32" s="531" t="s">
        <v>483</v>
      </c>
      <c r="I32" s="531" t="s">
        <v>482</v>
      </c>
      <c r="J32" s="531" t="s">
        <v>480</v>
      </c>
      <c r="K32" s="934" t="s">
        <v>55</v>
      </c>
      <c r="L32" s="934"/>
      <c r="M32" s="934" t="s">
        <v>653</v>
      </c>
      <c r="N32" s="934"/>
      <c r="O32" s="934" t="s">
        <v>780</v>
      </c>
      <c r="P32" s="934"/>
      <c r="Q32" s="934"/>
      <c r="R32" s="528"/>
      <c r="S32" s="529"/>
      <c r="T32" s="465"/>
      <c r="U32" s="534"/>
      <c r="V32" s="544"/>
      <c r="W32" s="494"/>
      <c r="X32" s="466"/>
      <c r="AB32" s="456">
        <f t="shared" si="4"/>
        <v>20</v>
      </c>
      <c r="AC32" s="1605" t="str">
        <f t="shared" si="5"/>
        <v/>
      </c>
      <c r="AD32" s="1604" t="str" cm="1">
        <f t="array" aca="1" ref="AD32" ca="1">IFERROR(INDEX($AC$14:$AC$96,SMALL(IF($AC$14:$AC$96&lt;&gt;"",ROW($AC$14:$AC$96)-ROW(INDIRECT("$AC$13"))+1),ROW(INDIRECT("A" &amp; AB32 ) ))),"")</f>
        <v/>
      </c>
      <c r="AE32" s="1603" t="str">
        <f t="shared" si="1"/>
        <v/>
      </c>
      <c r="AF32" s="1604" t="str" cm="1">
        <f t="array" aca="1" ref="AF32" ca="1">IFERROR(INDEX($AE$14:$AE$96,SMALL(IF($AE$14:$AE$96&lt;&gt;"",ROW($AE$14:$AE$96)-ROW(INDIRECT("$AE$13"))+1),ROW(INDIRECT("A" &amp; AB32 ) ))),"")</f>
        <v/>
      </c>
      <c r="AG32" s="1604" t="str">
        <f t="shared" si="2"/>
        <v/>
      </c>
      <c r="AH32" s="1604" t="str" cm="1">
        <f t="array" aca="1" ref="AH32" ca="1">IFERROR(INDEX($AG$14:$AG$96,SMALL(IF($AG$14:$AG$96&lt;&gt;"",ROW($AG$14:$AG$96)-ROW(INDIRECT("$AG$13"))+1),ROW(INDIRECT("A" &amp; AB32 ) ))),"")</f>
        <v/>
      </c>
      <c r="AI32" s="1604" t="str">
        <f t="shared" si="3"/>
        <v/>
      </c>
      <c r="AJ32" s="670" t="str" cm="1">
        <f t="array" aca="1" ref="AJ32" ca="1">IFERROR(INDEX($AI$14:$AI$96,SMALL(IF($AI$14:$AI$96&lt;&gt;"",ROW($AI$14:$AI$96)-ROW(INDIRECT("$AI$13"))+1),ROW(INDIRECT("A" &amp; AB32 ) ))),"")</f>
        <v/>
      </c>
    </row>
    <row r="33" spans="2:36" ht="20.100000000000001" customHeight="1" outlineLevel="1" x14ac:dyDescent="0.45">
      <c r="B33" s="489"/>
      <c r="C33" s="519"/>
      <c r="D33" s="476"/>
      <c r="E33" s="584" t="s">
        <v>124</v>
      </c>
      <c r="F33" s="913" t="s">
        <v>654</v>
      </c>
      <c r="G33" s="914"/>
      <c r="H33" s="585" t="s">
        <v>168</v>
      </c>
      <c r="I33" s="585" t="str">
        <f>IF(ISBLANK(A2_P100_Q_Grav!J5), "", A2_P100_Q_Grav!J5)</f>
        <v>A2</v>
      </c>
      <c r="J33" s="585" t="str">
        <f>IF(ISBLANK(A2_P100_Q_Grav!J4), "", A2_P100_Q_Grav!J4)</f>
        <v>P100</v>
      </c>
      <c r="K33" s="915" t="str">
        <f>IF(ISBLANK(A2_P100_Q_Grav!J3), "", A2_P100_Q_Grav!J3)</f>
        <v>test</v>
      </c>
      <c r="L33" s="916"/>
      <c r="M33" s="915" t="s">
        <v>626</v>
      </c>
      <c r="N33" s="916"/>
      <c r="O33" s="915" t="str">
        <f>IF(ISBLANK(A2_P100_Q_Grav!D40), "", A2_P100_Q_Grav!D40)</f>
        <v>Hauteur/Vitesse</v>
      </c>
      <c r="P33" s="917"/>
      <c r="Q33" s="916"/>
      <c r="R33" s="918" t="s">
        <v>258</v>
      </c>
      <c r="S33" s="919"/>
      <c r="T33" s="454"/>
      <c r="U33" s="534"/>
      <c r="V33" s="544"/>
      <c r="W33" s="494"/>
      <c r="X33" s="466"/>
      <c r="AB33" s="456">
        <f t="shared" ref="AB33:AB38" si="7">ROW(A33)- $AD$2 +1</f>
        <v>21</v>
      </c>
      <c r="AC33" s="1605" t="str">
        <f t="shared" ref="AC33:AC38" si="8">IF(AND($E33="Oui",$M33="Préleveur"),$F33,"")</f>
        <v/>
      </c>
      <c r="AD33" s="1604" t="str" cm="1">
        <f t="array" aca="1" ref="AD33" ca="1">IFERROR(INDEX($AC$14:$AC$93,SMALL(IF($AC$14:$AC$93&lt;&gt;"",ROW($AC$14:$AC$93)-ROW(INDIRECT("$AC$13"))+1),ROW(INDIRECT("A" &amp; AB33 ) ))),"")</f>
        <v/>
      </c>
      <c r="AE33" s="1603" t="str">
        <f t="shared" si="1"/>
        <v>A2_P100_Q_Grav</v>
      </c>
      <c r="AF33" s="1604" t="str" cm="1">
        <f t="array" aca="1" ref="AF33" ca="1">IFERROR(INDEX($AE$14:$AE$93,SMALL(IF($AE$14:$AE$93&lt;&gt;"",ROW($AE$14:$AE$93)-ROW(INDIRECT("$AE$13"))+1),ROW(INDIRECT("A" &amp; AB33 ) ))),"")</f>
        <v/>
      </c>
      <c r="AG33" s="1604" t="str">
        <f t="shared" ref="AG33:AG38" si="9">IF(AND($E33="Oui",LEFT($M33,5) ="Sonde"),$F33,"")</f>
        <v/>
      </c>
      <c r="AH33" s="1604" t="str" cm="1">
        <f t="array" aca="1" ref="AH33" ca="1">IFERROR(INDEX($AG$14:$AG$93,SMALL(IF($AG$14:$AG$93&lt;&gt;"",ROW($AG$14:$AG$93)-ROW(INDIRECT("$AG$13"))+1),ROW(INDIRECT("A" &amp; AB33 ) ))),"")</f>
        <v/>
      </c>
      <c r="AI33" s="1604" t="str">
        <f t="shared" ref="AI33:AI38" si="10">IF(AND($E33="Oui", $M33 &lt;&gt; "", $M33 = ""),$F33,"")</f>
        <v/>
      </c>
      <c r="AJ33" s="670" t="str" cm="1">
        <f t="array" aca="1" ref="AJ33" ca="1">IFERROR(INDEX($AI$14:$AI$93,SMALL(IF($AI$14:$AI$93&lt;&gt;"",ROW($AI$14:$AI$93)-ROW(INDIRECT("$AI$13"))+1),ROW(INDIRECT("A" &amp; AB33 ) ))),"")</f>
        <v/>
      </c>
    </row>
    <row r="34" spans="2:36" ht="20.100000000000001" customHeight="1" outlineLevel="1" x14ac:dyDescent="0.45">
      <c r="B34" s="489"/>
      <c r="C34" s="519"/>
      <c r="D34" s="476"/>
      <c r="E34" s="584" t="s">
        <v>124</v>
      </c>
      <c r="F34" s="913" t="s">
        <v>656</v>
      </c>
      <c r="G34" s="914"/>
      <c r="H34" s="585" t="s">
        <v>165</v>
      </c>
      <c r="I34" s="585" t="str">
        <f>IF(ISBLANK(A3_P102_Q_DEM!J5), "", A3_P102_Q_DEM!J5)</f>
        <v>A3</v>
      </c>
      <c r="J34" s="585" t="str">
        <f>IF(ISBLANK(A3_P102_Q_DEM!J4), "", A3_P102_Q_DEM!J4)</f>
        <v>P102</v>
      </c>
      <c r="K34" s="915" t="str">
        <f>IF(ISBLANK(A3_P102_Q_DEM!J3), "", A3_P102_Q_DEM!J3)</f>
        <v>P102</v>
      </c>
      <c r="L34" s="916"/>
      <c r="M34" s="915" t="s">
        <v>625</v>
      </c>
      <c r="N34" s="916"/>
      <c r="O34" s="915" t="str">
        <f>IF(ISBLANK(A3_P102_Q_DEM!D32), "", A3_P102_Q_DEM!D32)</f>
        <v>Débitmètre électromagnétique (eau)</v>
      </c>
      <c r="P34" s="917"/>
      <c r="Q34" s="916"/>
      <c r="R34" s="918" t="s">
        <v>258</v>
      </c>
      <c r="S34" s="919"/>
      <c r="T34" s="454"/>
      <c r="U34" s="534"/>
      <c r="V34" s="544"/>
      <c r="W34" s="494"/>
      <c r="X34" s="466"/>
      <c r="AB34" s="456">
        <f t="shared" si="7"/>
        <v>22</v>
      </c>
      <c r="AC34" s="1605" t="str">
        <f t="shared" si="8"/>
        <v/>
      </c>
      <c r="AD34" s="1604" t="str" cm="1">
        <f t="array" aca="1" ref="AD34" ca="1">IFERROR(INDEX($AC$14:$AC$95,SMALL(IF($AC$14:$AC$95&lt;&gt;"",ROW($AC$14:$AC$95)-ROW(INDIRECT("$AC$13"))+1),ROW(INDIRECT("A" &amp; AB34 ) ))),"")</f>
        <v/>
      </c>
      <c r="AE34" s="1603" t="str">
        <f t="shared" si="1"/>
        <v>A3_P102_Q_DEM</v>
      </c>
      <c r="AF34" s="1604" t="str" cm="1">
        <f t="array" aca="1" ref="AF34" ca="1">IFERROR(INDEX($AE$14:$AE$95,SMALL(IF($AE$14:$AE$95&lt;&gt;"",ROW($AE$14:$AE$95)-ROW(INDIRECT("$AE$13"))+1),ROW(INDIRECT("A" &amp; AB34 ) ))),"")</f>
        <v/>
      </c>
      <c r="AG34" s="1604" t="str">
        <f t="shared" si="9"/>
        <v/>
      </c>
      <c r="AH34" s="1604" t="str" cm="1">
        <f t="array" aca="1" ref="AH34" ca="1">IFERROR(INDEX($AG$14:$AG$95,SMALL(IF($AG$14:$AG$95&lt;&gt;"",ROW($AG$14:$AG$95)-ROW(INDIRECT("$AG$13"))+1),ROW(INDIRECT("A" &amp; AB34 ) ))),"")</f>
        <v/>
      </c>
      <c r="AI34" s="1604" t="str">
        <f t="shared" si="10"/>
        <v/>
      </c>
      <c r="AJ34" s="670" t="str" cm="1">
        <f t="array" aca="1" ref="AJ34" ca="1">IFERROR(INDEX($AI$14:$AI$95,SMALL(IF($AI$14:$AI$95&lt;&gt;"",ROW($AI$14:$AI$95)-ROW(INDIRECT("$AI$13"))+1),ROW(INDIRECT("A" &amp; AB34 ) ))),"")</f>
        <v/>
      </c>
    </row>
    <row r="35" spans="2:36" ht="20.100000000000001" customHeight="1" outlineLevel="1" x14ac:dyDescent="0.45">
      <c r="B35" s="489"/>
      <c r="C35" s="519"/>
      <c r="D35" s="476"/>
      <c r="E35" s="584" t="s">
        <v>124</v>
      </c>
      <c r="F35" s="913" t="s">
        <v>706</v>
      </c>
      <c r="G35" s="914"/>
      <c r="H35" s="585" t="s">
        <v>165</v>
      </c>
      <c r="I35" s="585" t="str">
        <f>IF(ISBLANK(A3_P102_PREL!J5), "", A3_P102_PREL!J5)</f>
        <v>A3</v>
      </c>
      <c r="J35" s="585" t="str">
        <f>IF(ISBLANK(A3_P102_PREL!J4), "", A3_P102_PREL!J4)</f>
        <v>P102</v>
      </c>
      <c r="K35" s="915" t="str">
        <f>IF(ISBLANK(A3_P102_PREL!J3), "", A3_P102_PREL!J3)</f>
        <v>P102</v>
      </c>
      <c r="L35" s="916"/>
      <c r="M35" s="915" t="s">
        <v>408</v>
      </c>
      <c r="N35" s="916"/>
      <c r="O35" s="915" t="str">
        <f>IF(ISBLANK(A3_P102_PREL!D37), "", A3_P102_PREL!D37)</f>
        <v>Préleveur Automatique</v>
      </c>
      <c r="P35" s="917"/>
      <c r="Q35" s="916"/>
      <c r="R35" s="918" t="s">
        <v>258</v>
      </c>
      <c r="S35" s="919"/>
      <c r="T35" s="454"/>
      <c r="U35" s="534"/>
      <c r="V35" s="544"/>
      <c r="W35" s="494"/>
      <c r="X35" s="466"/>
      <c r="AB35" s="456">
        <f t="shared" si="7"/>
        <v>23</v>
      </c>
      <c r="AC35" s="1605" t="str">
        <f t="shared" si="8"/>
        <v>A3_P102_PREL</v>
      </c>
      <c r="AD35" s="1604" t="str" cm="1">
        <f t="array" aca="1" ref="AD35" ca="1">IFERROR(INDEX($AC$14:$AC$98,SMALL(IF($AC$14:$AC$98&lt;&gt;"",ROW($AC$14:$AC$98)-ROW(INDIRECT("$AC$13"))+1),ROW(INDIRECT("A" &amp; AB35 ) ))),"")</f>
        <v/>
      </c>
      <c r="AE35" s="1603" t="str">
        <f t="shared" si="1"/>
        <v/>
      </c>
      <c r="AF35" s="1604" t="str" cm="1">
        <f t="array" aca="1" ref="AF35" ca="1">IFERROR(INDEX($AE$14:$AE$98,SMALL(IF($AE$14:$AE$98&lt;&gt;"",ROW($AE$14:$AE$98)-ROW(INDIRECT("$AE$13"))+1),ROW(INDIRECT("A" &amp; AB35 ) ))),"")</f>
        <v/>
      </c>
      <c r="AG35" s="1604" t="str">
        <f t="shared" si="9"/>
        <v/>
      </c>
      <c r="AH35" s="1604" t="str" cm="1">
        <f t="array" aca="1" ref="AH35" ca="1">IFERROR(INDEX($AG$14:$AG$98,SMALL(IF($AG$14:$AG$98&lt;&gt;"",ROW($AG$14:$AG$98)-ROW(INDIRECT("$AG$13"))+1),ROW(INDIRECT("A" &amp; AB35 ) ))),"")</f>
        <v/>
      </c>
      <c r="AI35" s="1604" t="str">
        <f t="shared" si="10"/>
        <v/>
      </c>
      <c r="AJ35" s="670" t="str" cm="1">
        <f t="array" aca="1" ref="AJ35" ca="1">IFERROR(INDEX($AI$14:$AI$98,SMALL(IF($AI$14:$AI$98&lt;&gt;"",ROW($AI$14:$AI$98)-ROW(INDIRECT("$AI$13"))+1),ROW(INDIRECT("A" &amp; AB35 ) ))),"")</f>
        <v/>
      </c>
    </row>
    <row r="36" spans="2:36" ht="20.100000000000001" customHeight="1" outlineLevel="1" x14ac:dyDescent="0.45">
      <c r="B36" s="489"/>
      <c r="C36" s="519"/>
      <c r="D36" s="476"/>
      <c r="E36" s="584" t="s">
        <v>124</v>
      </c>
      <c r="F36" s="913" t="s">
        <v>707</v>
      </c>
      <c r="G36" s="914"/>
      <c r="H36" s="585" t="s">
        <v>125</v>
      </c>
      <c r="I36" s="585" t="str">
        <f>IF(ISBLANK(A4_P103_Q_Grav!J5), "", A4_P103_Q_Grav!J5)</f>
        <v>A4</v>
      </c>
      <c r="J36" s="585" t="str">
        <f>IF(ISBLANK(A4_P103_Q_Grav!J4), "", A4_P103_Q_Grav!J4)</f>
        <v>P103</v>
      </c>
      <c r="K36" s="915" t="str">
        <f>IF(ISBLANK(A4_P103_Q_Grav!J3), "", A4_P103_Q_Grav!J3)</f>
        <v>P103</v>
      </c>
      <c r="L36" s="916"/>
      <c r="M36" s="915" t="s">
        <v>626</v>
      </c>
      <c r="N36" s="916"/>
      <c r="O36" s="915" t="str">
        <f>IF(ISBLANK(A4_P103_Q_Grav!D40), "", A4_P103_Q_Grav!D40)</f>
        <v>Canal Venturi</v>
      </c>
      <c r="P36" s="917"/>
      <c r="Q36" s="916"/>
      <c r="R36" s="918" t="s">
        <v>258</v>
      </c>
      <c r="S36" s="919"/>
      <c r="T36" s="454"/>
      <c r="U36" s="534"/>
      <c r="V36" s="544"/>
      <c r="W36" s="494"/>
      <c r="X36" s="466"/>
      <c r="AB36" s="456">
        <f t="shared" si="7"/>
        <v>24</v>
      </c>
      <c r="AC36" s="1605" t="str">
        <f t="shared" si="8"/>
        <v/>
      </c>
      <c r="AD36" s="1604" t="str" cm="1">
        <f t="array" aca="1" ref="AD36" ca="1">IFERROR(INDEX($AC$14:$AC$98,SMALL(IF($AC$14:$AC$98&lt;&gt;"",ROW($AC$14:$AC$98)-ROW(INDIRECT("$AC$13"))+1),ROW(INDIRECT("A" &amp; AB36 ) ))),"")</f>
        <v/>
      </c>
      <c r="AE36" s="1603" t="str">
        <f t="shared" si="1"/>
        <v>A4_P103_Q_Grav</v>
      </c>
      <c r="AF36" s="1604" t="str" cm="1">
        <f t="array" aca="1" ref="AF36" ca="1">IFERROR(INDEX($AE$14:$AE$98,SMALL(IF($AE$14:$AE$98&lt;&gt;"",ROW($AE$14:$AE$98)-ROW(INDIRECT("$AE$13"))+1),ROW(INDIRECT("A" &amp; AB36 ) ))),"")</f>
        <v/>
      </c>
      <c r="AG36" s="1604" t="str">
        <f t="shared" si="9"/>
        <v/>
      </c>
      <c r="AH36" s="1604" t="str" cm="1">
        <f t="array" aca="1" ref="AH36" ca="1">IFERROR(INDEX($AG$14:$AG$98,SMALL(IF($AG$14:$AG$98&lt;&gt;"",ROW($AG$14:$AG$98)-ROW(INDIRECT("$AG$13"))+1),ROW(INDIRECT("A" &amp; AB36 ) ))),"")</f>
        <v/>
      </c>
      <c r="AI36" s="1604" t="str">
        <f t="shared" si="10"/>
        <v/>
      </c>
      <c r="AJ36" s="670" t="str" cm="1">
        <f t="array" aca="1" ref="AJ36" ca="1">IFERROR(INDEX($AI$14:$AI$98,SMALL(IF($AI$14:$AI$98&lt;&gt;"",ROW($AI$14:$AI$98)-ROW(INDIRECT("$AI$13"))+1),ROW(INDIRECT("A" &amp; AB36 ) ))),"")</f>
        <v/>
      </c>
    </row>
    <row r="37" spans="2:36" ht="20.100000000000001" customHeight="1" outlineLevel="1" x14ac:dyDescent="0.45">
      <c r="B37" s="489"/>
      <c r="C37" s="519"/>
      <c r="D37" s="476"/>
      <c r="E37" s="584" t="s">
        <v>124</v>
      </c>
      <c r="F37" s="913" t="s">
        <v>709</v>
      </c>
      <c r="G37" s="914"/>
      <c r="H37" s="585" t="s">
        <v>125</v>
      </c>
      <c r="I37" s="585" t="str">
        <f>IF(ISBLANK(A4_P103_PREL!J5), "", A4_P103_PREL!J5)</f>
        <v>A4</v>
      </c>
      <c r="J37" s="585" t="str">
        <f>IF(ISBLANK(A4_P103_PREL!J4), "", A4_P103_PREL!J4)</f>
        <v>P103</v>
      </c>
      <c r="K37" s="915" t="str">
        <f>IF(ISBLANK(A4_P103_PREL!J3), "", A4_P103_PREL!J3)</f>
        <v>P103</v>
      </c>
      <c r="L37" s="916"/>
      <c r="M37" s="915" t="s">
        <v>408</v>
      </c>
      <c r="N37" s="916"/>
      <c r="O37" s="915" t="str">
        <f>IF(ISBLANK(A4_P103_PREL!D37), "", A4_P103_PREL!D37)</f>
        <v>Préleveur Automatique</v>
      </c>
      <c r="P37" s="917"/>
      <c r="Q37" s="916"/>
      <c r="R37" s="918" t="s">
        <v>258</v>
      </c>
      <c r="S37" s="919"/>
      <c r="T37" s="454"/>
      <c r="U37" s="534"/>
      <c r="V37" s="544"/>
      <c r="W37" s="494"/>
      <c r="X37" s="466"/>
      <c r="AB37" s="456">
        <f t="shared" si="7"/>
        <v>25</v>
      </c>
      <c r="AC37" s="1605" t="str">
        <f t="shared" si="8"/>
        <v>A4_P103_PREL</v>
      </c>
      <c r="AD37" s="1604" t="str" cm="1">
        <f t="array" aca="1" ref="AD37" ca="1">IFERROR(INDEX($AC$14:$AC$97,SMALL(IF($AC$14:$AC$97&lt;&gt;"",ROW($AC$14:$AC$97)-ROW(INDIRECT("$AC$13"))+1),ROW(INDIRECT("A" &amp; AB37 ) ))),"")</f>
        <v/>
      </c>
      <c r="AE37" s="1603" t="str">
        <f t="shared" si="1"/>
        <v/>
      </c>
      <c r="AF37" s="1604" t="str" cm="1">
        <f t="array" aca="1" ref="AF37" ca="1">IFERROR(INDEX($AE$14:$AE$97,SMALL(IF($AE$14:$AE$97&lt;&gt;"",ROW($AE$14:$AE$97)-ROW(INDIRECT("$AE$13"))+1),ROW(INDIRECT("A" &amp; AB37 ) ))),"")</f>
        <v/>
      </c>
      <c r="AG37" s="1604" t="str">
        <f t="shared" si="9"/>
        <v/>
      </c>
      <c r="AH37" s="1604" t="str" cm="1">
        <f t="array" aca="1" ref="AH37" ca="1">IFERROR(INDEX($AG$14:$AG$97,SMALL(IF($AG$14:$AG$97&lt;&gt;"",ROW($AG$14:$AG$97)-ROW(INDIRECT("$AG$13"))+1),ROW(INDIRECT("A" &amp; AB37 ) ))),"")</f>
        <v/>
      </c>
      <c r="AI37" s="1604" t="str">
        <f t="shared" si="10"/>
        <v/>
      </c>
      <c r="AJ37" s="670" t="str" cm="1">
        <f t="array" aca="1" ref="AJ37" ca="1">IFERROR(INDEX($AI$14:$AI$97,SMALL(IF($AI$14:$AI$97&lt;&gt;"",ROW($AI$14:$AI$97)-ROW(INDIRECT("$AI$13"))+1),ROW(INDIRECT("A" &amp; AB37 ) ))),"")</f>
        <v/>
      </c>
    </row>
    <row r="38" spans="2:36" ht="20.100000000000001" customHeight="1" outlineLevel="1" x14ac:dyDescent="0.45">
      <c r="B38" s="489"/>
      <c r="C38" s="519"/>
      <c r="D38" s="476"/>
      <c r="E38" s="584" t="s">
        <v>124</v>
      </c>
      <c r="F38" s="913" t="s">
        <v>710</v>
      </c>
      <c r="G38" s="914"/>
      <c r="H38" s="585" t="s">
        <v>180</v>
      </c>
      <c r="I38" s="585" t="str">
        <f>IF(ISBLANK(A6_P104_Q_DEM!J5), "", A6_P104_Q_DEM!J5)</f>
        <v>A6</v>
      </c>
      <c r="J38" s="585" t="str">
        <f>IF(ISBLANK(A6_P104_Q_DEM!J4), "", A6_P104_Q_DEM!J4)</f>
        <v>P104</v>
      </c>
      <c r="K38" s="915" t="str">
        <f>IF(ISBLANK(A6_P104_Q_DEM!J3), "", A6_P104_Q_DEM!J3)</f>
        <v>P104</v>
      </c>
      <c r="L38" s="916"/>
      <c r="M38" s="915" t="s">
        <v>625</v>
      </c>
      <c r="N38" s="916"/>
      <c r="O38" s="915" t="str">
        <f>IF(ISBLANK(A6_P104_Q_DEM!D32), "", A6_P104_Q_DEM!D32)</f>
        <v>Débitmètre électromagnétique (boue/MDV)</v>
      </c>
      <c r="P38" s="917"/>
      <c r="Q38" s="916"/>
      <c r="R38" s="918" t="s">
        <v>258</v>
      </c>
      <c r="S38" s="919"/>
      <c r="T38" s="454"/>
      <c r="U38" s="534"/>
      <c r="V38" s="544"/>
      <c r="W38" s="494"/>
      <c r="X38" s="466"/>
      <c r="AB38" s="456">
        <f t="shared" si="7"/>
        <v>26</v>
      </c>
      <c r="AC38" s="1605" t="str">
        <f t="shared" si="8"/>
        <v/>
      </c>
      <c r="AD38" s="1604" t="str" cm="1">
        <f t="array" aca="1" ref="AD38" ca="1">IFERROR(INDEX($AC$14:$AC$96,SMALL(IF($AC$14:$AC$96&lt;&gt;"",ROW($AC$14:$AC$96)-ROW(INDIRECT("$AC$13"))+1),ROW(INDIRECT("A" &amp; AB38 ) ))),"")</f>
        <v/>
      </c>
      <c r="AE38" s="1603" t="str">
        <f t="shared" si="1"/>
        <v>A6_P104_Q_DEM</v>
      </c>
      <c r="AF38" s="1604" t="str" cm="1">
        <f t="array" aca="1" ref="AF38" ca="1">IFERROR(INDEX($AE$14:$AE$96,SMALL(IF($AE$14:$AE$96&lt;&gt;"",ROW($AE$14:$AE$96)-ROW(INDIRECT("$AE$13"))+1),ROW(INDIRECT("A" &amp; AB38 ) ))),"")</f>
        <v/>
      </c>
      <c r="AG38" s="1604" t="str">
        <f t="shared" si="9"/>
        <v/>
      </c>
      <c r="AH38" s="1604" t="str" cm="1">
        <f t="array" aca="1" ref="AH38" ca="1">IFERROR(INDEX($AG$14:$AG$96,SMALL(IF($AG$14:$AG$96&lt;&gt;"",ROW($AG$14:$AG$96)-ROW(INDIRECT("$AG$13"))+1),ROW(INDIRECT("A" &amp; AB38 ) ))),"")</f>
        <v/>
      </c>
      <c r="AI38" s="1604" t="str">
        <f t="shared" si="10"/>
        <v/>
      </c>
      <c r="AJ38" s="670" t="str" cm="1">
        <f t="array" aca="1" ref="AJ38" ca="1">IFERROR(INDEX($AI$14:$AI$96,SMALL(IF($AI$14:$AI$96&lt;&gt;"",ROW($AI$14:$AI$96)-ROW(INDIRECT("$AI$13"))+1),ROW(INDIRECT("A" &amp; AB38 ) ))),"")</f>
        <v/>
      </c>
    </row>
    <row r="39" spans="2:36" ht="20.100000000000001" customHeight="1" outlineLevel="1" x14ac:dyDescent="0.45">
      <c r="B39" s="489"/>
      <c r="C39" s="519"/>
      <c r="D39" s="476"/>
      <c r="E39" s="584" t="s">
        <v>124</v>
      </c>
      <c r="F39" s="913" t="s">
        <v>768</v>
      </c>
      <c r="G39" s="914"/>
      <c r="H39" s="585" t="s">
        <v>125</v>
      </c>
      <c r="I39" s="585" t="str">
        <f>IF(ISBLANK(A4_P103_TEMP!J5), "", A4_P103_TEMP!J5)</f>
        <v>A4</v>
      </c>
      <c r="J39" s="585" t="str">
        <f>IF(ISBLANK(A4_P103_TEMP!J4), "", A4_P103_TEMP!J4)</f>
        <v>P103</v>
      </c>
      <c r="K39" s="915" t="str">
        <f>IF(ISBLANK(A4_P103_TEMP!J4), "", A4_P103_TEMP!J4)</f>
        <v>P103</v>
      </c>
      <c r="L39" s="916"/>
      <c r="M39" s="915" t="s">
        <v>389</v>
      </c>
      <c r="N39" s="916"/>
      <c r="O39" s="915"/>
      <c r="P39" s="917"/>
      <c r="Q39" s="916"/>
      <c r="R39" s="918" t="s">
        <v>258</v>
      </c>
      <c r="S39" s="919"/>
      <c r="T39" s="454"/>
      <c r="U39" s="534"/>
      <c r="V39" s="544"/>
      <c r="W39" s="494"/>
      <c r="X39" s="466"/>
      <c r="AB39" s="456">
        <f>ROW(A39)- $AD$2 +1</f>
        <v>27</v>
      </c>
      <c r="AC39" s="1605" t="str">
        <f>IF(AND($E39="Oui",$M39="Préleveur"),$F39,"")</f>
        <v/>
      </c>
      <c r="AD39" s="1604" t="str" cm="1">
        <f t="array" aca="1" ref="AD39" ca="1">IFERROR(INDEX($AC$14:$AC$95,SMALL(IF($AC$14:$AC$95&lt;&gt;"",ROW($AC$14:$AC$95)-ROW(INDIRECT("$AC$13"))+1),ROW(INDIRECT("A" &amp; AB39 ) ))),"")</f>
        <v/>
      </c>
      <c r="AE39" s="1603" t="str">
        <f t="shared" si="1"/>
        <v/>
      </c>
      <c r="AF39" s="1604" t="str" cm="1">
        <f t="array" aca="1" ref="AF39" ca="1">IFERROR(INDEX($AE$14:$AE$95,SMALL(IF($AE$14:$AE$95&lt;&gt;"",ROW($AE$14:$AE$95)-ROW(INDIRECT("$AE$13"))+1),ROW(INDIRECT("A" &amp; AB39 ) ))),"")</f>
        <v/>
      </c>
      <c r="AG39" s="1604" t="str">
        <f>IF(AND($E39="Oui",LEFT($M39,5) ="Sonde"),$F39,"")</f>
        <v>A4_P103_TEMP</v>
      </c>
      <c r="AH39" s="1604" t="str" cm="1">
        <f t="array" aca="1" ref="AH39" ca="1">IFERROR(INDEX($AG$14:$AG$95,SMALL(IF($AG$14:$AG$95&lt;&gt;"",ROW($AG$14:$AG$95)-ROW(INDIRECT("$AG$13"))+1),ROW(INDIRECT("A" &amp; AB39 ) ))),"")</f>
        <v/>
      </c>
      <c r="AI39" s="1604" t="str">
        <f>IF(AND($E39="Oui", $M39 &lt;&gt; "", $M39 = ""),$F39,"")</f>
        <v/>
      </c>
      <c r="AJ39" s="670" t="str" cm="1">
        <f t="array" aca="1" ref="AJ39" ca="1">IFERROR(INDEX($AI$14:$AI$95,SMALL(IF($AI$14:$AI$95&lt;&gt;"",ROW($AI$14:$AI$95)-ROW(INDIRECT("$AI$13"))+1),ROW(INDIRECT("A" &amp; AB39 ) ))),"")</f>
        <v/>
      </c>
    </row>
    <row r="40" spans="2:36" ht="20.100000000000001" customHeight="1" outlineLevel="1" x14ac:dyDescent="0.45">
      <c r="B40" s="489"/>
      <c r="C40" s="519"/>
      <c r="D40" s="532"/>
      <c r="E40" s="465"/>
      <c r="F40" s="465"/>
      <c r="G40" s="465"/>
      <c r="H40" s="465"/>
      <c r="I40" s="465"/>
      <c r="J40" s="797" t="s">
        <v>779</v>
      </c>
      <c r="K40" s="465"/>
      <c r="L40" s="797" t="s">
        <v>779</v>
      </c>
      <c r="M40" s="465"/>
      <c r="N40" s="465"/>
      <c r="O40" s="465"/>
      <c r="P40" s="465"/>
      <c r="Q40" s="465"/>
      <c r="R40" s="465"/>
      <c r="S40" s="465"/>
      <c r="T40" s="465"/>
      <c r="U40" s="534"/>
      <c r="V40" s="521"/>
      <c r="W40" s="493"/>
      <c r="AB40" s="456">
        <f t="shared" si="4"/>
        <v>28</v>
      </c>
      <c r="AC40" s="1605" t="str">
        <f t="shared" si="5"/>
        <v/>
      </c>
      <c r="AD40" s="1604" t="str" cm="1">
        <f t="array" aca="1" ref="AD40" ca="1">IFERROR(INDEX($AC$14:$AC$96,SMALL(IF($AC$14:$AC$96&lt;&gt;"",ROW($AC$14:$AC$96)-ROW(INDIRECT("$AC$13"))+1),ROW(INDIRECT("A" &amp; AB40 ) ))),"")</f>
        <v/>
      </c>
      <c r="AE40" s="1603" t="str">
        <f t="shared" si="1"/>
        <v/>
      </c>
      <c r="AF40" s="1604" t="str" cm="1">
        <f t="array" aca="1" ref="AF40" ca="1">IFERROR(INDEX($AE$14:$AE$96,SMALL(IF($AE$14:$AE$96&lt;&gt;"",ROW($AE$14:$AE$96)-ROW(INDIRECT("$AE$13"))+1),ROW(INDIRECT("A" &amp; AB40 ) ))),"")</f>
        <v/>
      </c>
      <c r="AG40" s="1604" t="str">
        <f t="shared" si="2"/>
        <v/>
      </c>
      <c r="AH40" s="1604" t="str" cm="1">
        <f t="array" aca="1" ref="AH40" ca="1">IFERROR(INDEX($AG$14:$AG$96,SMALL(IF($AG$14:$AG$96&lt;&gt;"",ROW($AG$14:$AG$96)-ROW(INDIRECT("$AG$13"))+1),ROW(INDIRECT("A" &amp; AB40 ) ))),"")</f>
        <v/>
      </c>
      <c r="AI40" s="1604" t="str">
        <f t="shared" si="3"/>
        <v/>
      </c>
      <c r="AJ40" s="670" t="str" cm="1">
        <f t="array" aca="1" ref="AJ40" ca="1">IFERROR(INDEX($AI$14:$AI$96,SMALL(IF($AI$14:$AI$96&lt;&gt;"",ROW($AI$14:$AI$96)-ROW(INDIRECT("$AI$13"))+1),ROW(INDIRECT("A" &amp; AB40 ) ))),"")</f>
        <v/>
      </c>
    </row>
    <row r="41" spans="2:36" ht="20.100000000000001" customHeight="1" outlineLevel="1" x14ac:dyDescent="0.45">
      <c r="B41" s="489"/>
      <c r="C41" s="519"/>
      <c r="D41" s="532"/>
      <c r="E41" s="920" t="s">
        <v>261</v>
      </c>
      <c r="F41" s="921"/>
      <c r="G41" s="922"/>
      <c r="H41" s="796" t="s">
        <v>779</v>
      </c>
      <c r="I41" s="465"/>
      <c r="J41" s="465"/>
      <c r="K41" s="465"/>
      <c r="L41" s="454"/>
      <c r="M41" s="454"/>
      <c r="N41" s="454"/>
      <c r="O41" s="454"/>
      <c r="P41" s="454"/>
      <c r="Q41" s="465"/>
      <c r="R41" s="465"/>
      <c r="S41" s="465"/>
      <c r="T41" s="465"/>
      <c r="U41" s="534"/>
      <c r="V41" s="544"/>
      <c r="W41" s="494"/>
      <c r="X41" s="466"/>
      <c r="AB41" s="456">
        <f t="shared" si="4"/>
        <v>29</v>
      </c>
      <c r="AC41" s="1605" t="str">
        <f t="shared" si="5"/>
        <v/>
      </c>
      <c r="AD41" s="1604" t="str" cm="1">
        <f t="array" aca="1" ref="AD41" ca="1">IFERROR(INDEX($AC$14:$AC$96,SMALL(IF($AC$14:$AC$96&lt;&gt;"",ROW($AC$14:$AC$96)-ROW(INDIRECT("$AC$13"))+1),ROW(INDIRECT("A" &amp; AB41 ) ))),"")</f>
        <v/>
      </c>
      <c r="AE41" s="1603" t="str">
        <f t="shared" si="1"/>
        <v/>
      </c>
      <c r="AF41" s="1604" t="str" cm="1">
        <f t="array" aca="1" ref="AF41" ca="1">IFERROR(INDEX($AE$14:$AE$96,SMALL(IF($AE$14:$AE$96&lt;&gt;"",ROW($AE$14:$AE$96)-ROW(INDIRECT("$AE$13"))+1),ROW(INDIRECT("A" &amp; AB41 ) ))),"")</f>
        <v/>
      </c>
      <c r="AG41" s="1604" t="str">
        <f t="shared" si="2"/>
        <v/>
      </c>
      <c r="AH41" s="1604" t="str" cm="1">
        <f t="array" aca="1" ref="AH41" ca="1">IFERROR(INDEX($AG$14:$AG$96,SMALL(IF($AG$14:$AG$96&lt;&gt;"",ROW($AG$14:$AG$96)-ROW(INDIRECT("$AG$13"))+1),ROW(INDIRECT("A" &amp; AB41 ) ))),"")</f>
        <v/>
      </c>
      <c r="AI41" s="1604" t="str">
        <f t="shared" si="3"/>
        <v/>
      </c>
      <c r="AJ41" s="670" t="str" cm="1">
        <f t="array" aca="1" ref="AJ41" ca="1">IFERROR(INDEX($AI$14:$AI$96,SMALL(IF($AI$14:$AI$96&lt;&gt;"",ROW($AI$14:$AI$96)-ROW(INDIRECT("$AI$13"))+1),ROW(INDIRECT("A" &amp; AB41 ) ))),"")</f>
        <v/>
      </c>
    </row>
    <row r="42" spans="2:36" ht="20.100000000000001" customHeight="1" outlineLevel="1" thickBot="1" x14ac:dyDescent="0.5">
      <c r="B42" s="489"/>
      <c r="C42" s="519"/>
      <c r="D42" s="540"/>
      <c r="E42" s="541"/>
      <c r="F42" s="541"/>
      <c r="G42" s="541"/>
      <c r="H42" s="542"/>
      <c r="I42" s="538"/>
      <c r="J42" s="538"/>
      <c r="K42" s="538"/>
      <c r="L42" s="543"/>
      <c r="M42" s="543"/>
      <c r="N42" s="543"/>
      <c r="O42" s="543"/>
      <c r="P42" s="543"/>
      <c r="Q42" s="538"/>
      <c r="R42" s="538"/>
      <c r="S42" s="538"/>
      <c r="T42" s="538"/>
      <c r="U42" s="539"/>
      <c r="V42" s="544"/>
      <c r="W42" s="494"/>
      <c r="X42" s="466"/>
      <c r="AB42" s="456">
        <f t="shared" si="4"/>
        <v>30</v>
      </c>
      <c r="AC42" s="1605" t="str">
        <f t="shared" si="5"/>
        <v/>
      </c>
      <c r="AD42" s="1604" t="str" cm="1">
        <f t="array" aca="1" ref="AD42" ca="1">IFERROR(INDEX($AC$14:$AC$96,SMALL(IF($AC$14:$AC$96&lt;&gt;"",ROW($AC$14:$AC$96)-ROW(INDIRECT("$AC$13"))+1),ROW(INDIRECT("A" &amp; AB42 ) ))),"")</f>
        <v/>
      </c>
      <c r="AE42" s="1603" t="str">
        <f t="shared" si="1"/>
        <v/>
      </c>
      <c r="AF42" s="1604" t="str" cm="1">
        <f t="array" aca="1" ref="AF42" ca="1">IFERROR(INDEX($AE$14:$AE$96,SMALL(IF($AE$14:$AE$96&lt;&gt;"",ROW($AE$14:$AE$96)-ROW(INDIRECT("$AE$13"))+1),ROW(INDIRECT("A" &amp; AB42 ) ))),"")</f>
        <v/>
      </c>
      <c r="AG42" s="1604" t="str">
        <f t="shared" si="2"/>
        <v/>
      </c>
      <c r="AH42" s="1604" t="str" cm="1">
        <f t="array" aca="1" ref="AH42" ca="1">IFERROR(INDEX($AG$14:$AG$96,SMALL(IF($AG$14:$AG$96&lt;&gt;"",ROW($AG$14:$AG$96)-ROW(INDIRECT("$AG$13"))+1),ROW(INDIRECT("A" &amp; AB42 ) ))),"")</f>
        <v/>
      </c>
      <c r="AI42" s="1604" t="str">
        <f t="shared" si="3"/>
        <v/>
      </c>
      <c r="AJ42" s="670" t="str" cm="1">
        <f t="array" aca="1" ref="AJ42" ca="1">IFERROR(INDEX($AI$14:$AI$96,SMALL(IF($AI$14:$AI$96&lt;&gt;"",ROW($AI$14:$AI$96)-ROW(INDIRECT("$AI$13"))+1),ROW(INDIRECT("A" &amp; AB42 ) ))),"")</f>
        <v/>
      </c>
    </row>
    <row r="43" spans="2:36" ht="20.100000000000001" customHeight="1" outlineLevel="1" thickTop="1" thickBot="1" x14ac:dyDescent="0.5">
      <c r="B43" s="489"/>
      <c r="C43" s="519"/>
      <c r="D43" s="465"/>
      <c r="E43" s="465"/>
      <c r="F43" s="465"/>
      <c r="G43" s="465"/>
      <c r="H43" s="465"/>
      <c r="I43" s="465"/>
      <c r="J43" s="465"/>
      <c r="K43" s="465"/>
      <c r="L43" s="454"/>
      <c r="M43" s="454"/>
      <c r="N43" s="454"/>
      <c r="O43" s="454"/>
      <c r="P43" s="454"/>
      <c r="Q43" s="503"/>
      <c r="R43" s="503"/>
      <c r="S43" s="503"/>
      <c r="T43" s="503"/>
      <c r="U43" s="503"/>
      <c r="V43" s="545"/>
      <c r="W43" s="495"/>
      <c r="X43" s="467"/>
      <c r="AB43" s="456">
        <f t="shared" si="4"/>
        <v>31</v>
      </c>
      <c r="AC43" s="1605" t="str">
        <f t="shared" si="5"/>
        <v/>
      </c>
      <c r="AD43" s="1604" t="str" cm="1">
        <f t="array" aca="1" ref="AD43" ca="1">IFERROR(INDEX($AC$14:$AC$96,SMALL(IF($AC$14:$AC$96&lt;&gt;"",ROW($AC$14:$AC$96)-ROW(INDIRECT("$AC$13"))+1),ROW(INDIRECT("A" &amp; AB43 ) ))),"")</f>
        <v/>
      </c>
      <c r="AE43" s="1603" t="str">
        <f t="shared" si="1"/>
        <v/>
      </c>
      <c r="AF43" s="1604" t="str" cm="1">
        <f t="array" aca="1" ref="AF43" ca="1">IFERROR(INDEX($AE$14:$AE$96,SMALL(IF($AE$14:$AE$96&lt;&gt;"",ROW($AE$14:$AE$96)-ROW(INDIRECT("$AE$13"))+1),ROW(INDIRECT("A" &amp; AB43 ) ))),"")</f>
        <v/>
      </c>
      <c r="AG43" s="1604" t="str">
        <f t="shared" si="2"/>
        <v/>
      </c>
      <c r="AH43" s="1604" t="str" cm="1">
        <f t="array" aca="1" ref="AH43" ca="1">IFERROR(INDEX($AG$14:$AG$96,SMALL(IF($AG$14:$AG$96&lt;&gt;"",ROW($AG$14:$AG$96)-ROW(INDIRECT("$AG$13"))+1),ROW(INDIRECT("A" &amp; AB43 ) ))),"")</f>
        <v/>
      </c>
      <c r="AI43" s="1604" t="str">
        <f t="shared" si="3"/>
        <v/>
      </c>
      <c r="AJ43" s="670" t="str" cm="1">
        <f t="array" aca="1" ref="AJ43" ca="1">IFERROR(INDEX($AI$14:$AI$96,SMALL(IF($AI$14:$AI$96&lt;&gt;"",ROW($AI$14:$AI$96)-ROW(INDIRECT("$AI$13"))+1),ROW(INDIRECT("A" &amp; AB43 ) ))),"")</f>
        <v/>
      </c>
    </row>
    <row r="44" spans="2:36" ht="20.100000000000001" customHeight="1" outlineLevel="1" thickTop="1" thickBot="1" x14ac:dyDescent="0.5">
      <c r="B44" s="489"/>
      <c r="C44" s="519"/>
      <c r="D44" s="551" t="s">
        <v>507</v>
      </c>
      <c r="E44" s="552"/>
      <c r="F44" s="552"/>
      <c r="G44" s="552"/>
      <c r="H44" s="552"/>
      <c r="I44" s="552"/>
      <c r="J44" s="552"/>
      <c r="K44" s="552"/>
      <c r="L44" s="552"/>
      <c r="M44" s="552"/>
      <c r="N44" s="552"/>
      <c r="O44" s="552"/>
      <c r="P44" s="552"/>
      <c r="Q44" s="552"/>
      <c r="R44" s="552"/>
      <c r="S44" s="552"/>
      <c r="T44" s="552"/>
      <c r="U44" s="553"/>
      <c r="V44" s="545"/>
      <c r="W44" s="495"/>
      <c r="X44" s="467"/>
      <c r="AB44" s="456">
        <f t="shared" si="4"/>
        <v>32</v>
      </c>
      <c r="AC44" s="1605" t="str">
        <f t="shared" si="5"/>
        <v/>
      </c>
      <c r="AD44" s="1604" t="str" cm="1">
        <f t="array" aca="1" ref="AD44" ca="1">IFERROR(INDEX($AC$14:$AC$96,SMALL(IF($AC$14:$AC$96&lt;&gt;"",ROW($AC$14:$AC$96)-ROW(INDIRECT("$AC$13"))+1),ROW(INDIRECT("A" &amp; AB44 ) ))),"")</f>
        <v/>
      </c>
      <c r="AE44" s="1603" t="str">
        <f t="shared" si="1"/>
        <v/>
      </c>
      <c r="AF44" s="1604" t="str" cm="1">
        <f t="array" aca="1" ref="AF44" ca="1">IFERROR(INDEX($AE$14:$AE$96,SMALL(IF($AE$14:$AE$96&lt;&gt;"",ROW($AE$14:$AE$96)-ROW(INDIRECT("$AE$13"))+1),ROW(INDIRECT("A" &amp; AB44 ) ))),"")</f>
        <v/>
      </c>
      <c r="AG44" s="1604" t="str">
        <f t="shared" si="2"/>
        <v/>
      </c>
      <c r="AH44" s="1604" t="str" cm="1">
        <f t="array" aca="1" ref="AH44" ca="1">IFERROR(INDEX($AG$14:$AG$96,SMALL(IF($AG$14:$AG$96&lt;&gt;"",ROW($AG$14:$AG$96)-ROW(INDIRECT("$AG$13"))+1),ROW(INDIRECT("A" &amp; AB44 ) ))),"")</f>
        <v/>
      </c>
      <c r="AI44" s="1604" t="str">
        <f t="shared" si="3"/>
        <v/>
      </c>
      <c r="AJ44" s="670" t="str" cm="1">
        <f t="array" aca="1" ref="AJ44" ca="1">IFERROR(INDEX($AI$14:$AI$96,SMALL(IF($AI$14:$AI$96&lt;&gt;"",ROW($AI$14:$AI$96)-ROW(INDIRECT("$AI$13"))+1),ROW(INDIRECT("A" &amp; AB44 ) ))),"")</f>
        <v/>
      </c>
    </row>
    <row r="45" spans="2:36" ht="20.100000000000001" customHeight="1" outlineLevel="1" thickTop="1" x14ac:dyDescent="0.45">
      <c r="B45" s="489"/>
      <c r="C45" s="519"/>
      <c r="D45" s="532"/>
      <c r="E45" s="465"/>
      <c r="F45" s="465"/>
      <c r="G45" s="465"/>
      <c r="H45" s="465"/>
      <c r="I45" s="465"/>
      <c r="J45" s="465"/>
      <c r="K45" s="465"/>
      <c r="L45" s="454"/>
      <c r="M45" s="454"/>
      <c r="N45" s="454"/>
      <c r="O45" s="454"/>
      <c r="P45" s="454"/>
      <c r="Q45" s="503"/>
      <c r="R45" s="503"/>
      <c r="S45" s="503"/>
      <c r="T45" s="503"/>
      <c r="U45" s="533"/>
      <c r="V45" s="545"/>
      <c r="W45" s="495"/>
      <c r="X45" s="467"/>
      <c r="AB45" s="456">
        <f t="shared" si="4"/>
        <v>33</v>
      </c>
      <c r="AC45" s="1605" t="str">
        <f t="shared" si="5"/>
        <v/>
      </c>
      <c r="AD45" s="1604" t="str" cm="1">
        <f t="array" aca="1" ref="AD45" ca="1">IFERROR(INDEX($AC$14:$AC$96,SMALL(IF($AC$14:$AC$96&lt;&gt;"",ROW($AC$14:$AC$96)-ROW(INDIRECT("$AC$13"))+1),ROW(INDIRECT("A" &amp; AB45 ) ))),"")</f>
        <v/>
      </c>
      <c r="AE45" s="1603" t="str">
        <f t="shared" si="1"/>
        <v/>
      </c>
      <c r="AF45" s="1604" t="str" cm="1">
        <f t="array" aca="1" ref="AF45" ca="1">IFERROR(INDEX($AE$14:$AE$96,SMALL(IF($AE$14:$AE$96&lt;&gt;"",ROW($AE$14:$AE$96)-ROW(INDIRECT("$AE$13"))+1),ROW(INDIRECT("A" &amp; AB45 ) ))),"")</f>
        <v/>
      </c>
      <c r="AG45" s="1604" t="str">
        <f t="shared" si="2"/>
        <v/>
      </c>
      <c r="AH45" s="1604" t="str" cm="1">
        <f t="array" aca="1" ref="AH45" ca="1">IFERROR(INDEX($AG$14:$AG$96,SMALL(IF($AG$14:$AG$96&lt;&gt;"",ROW($AG$14:$AG$96)-ROW(INDIRECT("$AG$13"))+1),ROW(INDIRECT("A" &amp; AB45 ) ))),"")</f>
        <v/>
      </c>
      <c r="AI45" s="1604" t="str">
        <f t="shared" si="3"/>
        <v/>
      </c>
      <c r="AJ45" s="670" t="str" cm="1">
        <f t="array" aca="1" ref="AJ45" ca="1">IFERROR(INDEX($AI$14:$AI$96,SMALL(IF($AI$14:$AI$96&lt;&gt;"",ROW($AI$14:$AI$96)-ROW(INDIRECT("$AI$13"))+1),ROW(INDIRECT("A" &amp; AB45 ) ))),"")</f>
        <v/>
      </c>
    </row>
    <row r="46" spans="2:36" ht="30" customHeight="1" outlineLevel="1" x14ac:dyDescent="0.45">
      <c r="B46" s="489"/>
      <c r="C46" s="519"/>
      <c r="D46" s="532"/>
      <c r="E46" s="502" t="s">
        <v>259</v>
      </c>
      <c r="F46" s="927" t="s">
        <v>502</v>
      </c>
      <c r="G46" s="927"/>
      <c r="H46" s="529"/>
      <c r="I46" s="529"/>
      <c r="J46" s="465"/>
      <c r="K46" s="465"/>
      <c r="L46" s="454"/>
      <c r="M46" s="454"/>
      <c r="N46" s="454"/>
      <c r="O46" s="454"/>
      <c r="P46" s="454"/>
      <c r="Q46" s="465"/>
      <c r="R46" s="465"/>
      <c r="S46" s="465"/>
      <c r="T46" s="465"/>
      <c r="U46" s="534"/>
      <c r="V46" s="521"/>
      <c r="W46" s="493"/>
      <c r="AB46" s="456">
        <f t="shared" si="4"/>
        <v>34</v>
      </c>
      <c r="AC46" s="1605" t="str">
        <f t="shared" si="5"/>
        <v/>
      </c>
      <c r="AD46" s="1604" t="str" cm="1">
        <f t="array" aca="1" ref="AD46" ca="1">IFERROR(INDEX($AC$14:$AC$96,SMALL(IF($AC$14:$AC$96&lt;&gt;"",ROW($AC$14:$AC$96)-ROW(INDIRECT("$AC$13"))+1),ROW(INDIRECT("A" &amp; AB46 ) ))),"")</f>
        <v/>
      </c>
      <c r="AE46" s="1603" t="str">
        <f t="shared" si="1"/>
        <v/>
      </c>
      <c r="AF46" s="1604" t="str" cm="1">
        <f t="array" aca="1" ref="AF46" ca="1">IFERROR(INDEX($AE$14:$AE$96,SMALL(IF($AE$14:$AE$96&lt;&gt;"",ROW($AE$14:$AE$96)-ROW(INDIRECT("$AE$13"))+1),ROW(INDIRECT("A" &amp; AB46 ) ))),"")</f>
        <v/>
      </c>
      <c r="AG46" s="1604" t="str">
        <f t="shared" si="2"/>
        <v/>
      </c>
      <c r="AH46" s="1604" t="str" cm="1">
        <f t="array" aca="1" ref="AH46" ca="1">IFERROR(INDEX($AG$14:$AG$96,SMALL(IF($AG$14:$AG$96&lt;&gt;"",ROW($AG$14:$AG$96)-ROW(INDIRECT("$AG$13"))+1),ROW(INDIRECT("A" &amp; AB46 ) ))),"")</f>
        <v/>
      </c>
      <c r="AI46" s="1604" t="str">
        <f t="shared" si="3"/>
        <v/>
      </c>
      <c r="AJ46" s="670" t="str" cm="1">
        <f t="array" aca="1" ref="AJ46" ca="1">IFERROR(INDEX($AI$14:$AI$96,SMALL(IF($AI$14:$AI$96&lt;&gt;"",ROW($AI$14:$AI$96)-ROW(INDIRECT("$AI$13"))+1),ROW(INDIRECT("A" &amp; AB46 ) ))),"")</f>
        <v/>
      </c>
    </row>
    <row r="47" spans="2:36" ht="20.100000000000001" customHeight="1" outlineLevel="1" x14ac:dyDescent="0.45">
      <c r="B47" s="489"/>
      <c r="C47" s="519"/>
      <c r="D47" s="476"/>
      <c r="E47" s="584" t="s">
        <v>124</v>
      </c>
      <c r="F47" s="930" t="s">
        <v>712</v>
      </c>
      <c r="G47" s="931"/>
      <c r="H47" s="928" t="s">
        <v>258</v>
      </c>
      <c r="I47" s="929"/>
      <c r="J47" s="465"/>
      <c r="K47" s="465"/>
      <c r="L47" s="454"/>
      <c r="M47" s="454"/>
      <c r="N47" s="454"/>
      <c r="O47" s="454"/>
      <c r="P47" s="454"/>
      <c r="Q47" s="465"/>
      <c r="R47" s="465"/>
      <c r="S47" s="465"/>
      <c r="T47" s="465"/>
      <c r="U47" s="534"/>
      <c r="V47" s="521"/>
      <c r="W47" s="493"/>
      <c r="AB47" s="456">
        <f t="shared" ref="AB47" si="11">ROW(A47)- $AD$2 +1</f>
        <v>35</v>
      </c>
      <c r="AC47" s="1605" t="str">
        <f t="shared" si="5"/>
        <v/>
      </c>
      <c r="AD47" s="1604" t="str" cm="1">
        <f t="array" aca="1" ref="AD47" ca="1">IFERROR(INDEX($AC$14:$AC$96,SMALL(IF($AC$14:$AC$96&lt;&gt;"",ROW($AC$14:$AC$96)-ROW(INDIRECT("$AC$13"))+1),ROW(INDIRECT("A" &amp; AB47 ) ))),"")</f>
        <v/>
      </c>
      <c r="AE47" s="1603" t="str">
        <f t="shared" si="1"/>
        <v/>
      </c>
      <c r="AF47" s="1604" t="str" cm="1">
        <f t="array" aca="1" ref="AF47" ca="1">IFERROR(INDEX($AE$14:$AE$96,SMALL(IF($AE$14:$AE$96&lt;&gt;"",ROW($AE$14:$AE$96)-ROW(INDIRECT("$AE$13"))+1),ROW(INDIRECT("A" &amp; AB47 ) ))),"")</f>
        <v/>
      </c>
      <c r="AG47" s="1604" t="str">
        <f t="shared" si="2"/>
        <v/>
      </c>
      <c r="AH47" s="1604" t="str" cm="1">
        <f t="array" aca="1" ref="AH47" ca="1">IFERROR(INDEX($AG$14:$AG$96,SMALL(IF($AG$14:$AG$96&lt;&gt;"",ROW($AG$14:$AG$96)-ROW(INDIRECT("$AG$13"))+1),ROW(INDIRECT("A" &amp; AB47 ) ))),"")</f>
        <v/>
      </c>
      <c r="AI47" s="1604" t="str">
        <f t="shared" si="3"/>
        <v>PLUVIO_STEU_P1</v>
      </c>
      <c r="AJ47" s="670" t="str" cm="1">
        <f t="array" aca="1" ref="AJ47" ca="1">IFERROR(INDEX($AI$14:$AI$96,SMALL(IF($AI$14:$AI$96&lt;&gt;"",ROW($AI$14:$AI$96)-ROW(INDIRECT("$AI$13"))+1),ROW(INDIRECT("A" &amp; AB47 ) ))),"")</f>
        <v/>
      </c>
    </row>
    <row r="48" spans="2:36" ht="20.100000000000001" customHeight="1" outlineLevel="1" x14ac:dyDescent="0.45">
      <c r="B48" s="489"/>
      <c r="C48" s="519"/>
      <c r="D48" s="476"/>
      <c r="E48" s="826" t="s">
        <v>124</v>
      </c>
      <c r="F48" s="930" t="s">
        <v>827</v>
      </c>
      <c r="G48" s="931"/>
      <c r="H48" s="928" t="s">
        <v>258</v>
      </c>
      <c r="I48" s="932"/>
      <c r="J48" s="465"/>
      <c r="K48" s="465"/>
      <c r="L48" s="454"/>
      <c r="M48" s="454"/>
      <c r="N48" s="454"/>
      <c r="O48" s="454"/>
      <c r="P48" s="454"/>
      <c r="Q48" s="465"/>
      <c r="R48" s="465"/>
      <c r="S48" s="465"/>
      <c r="T48" s="465"/>
      <c r="U48" s="534"/>
      <c r="V48" s="521"/>
      <c r="W48" s="493"/>
      <c r="AB48" s="456">
        <f t="shared" ref="AB48" si="12">ROW(A48)- $AD$2 +1</f>
        <v>36</v>
      </c>
      <c r="AC48" s="1605" t="str">
        <f t="shared" si="5"/>
        <v/>
      </c>
      <c r="AD48" s="1604" t="str" cm="1">
        <f t="array" aca="1" ref="AD48" ca="1">IFERROR(INDEX($AC$14:$AC$96,SMALL(IF($AC$14:$AC$96&lt;&gt;"",ROW($AC$14:$AC$96)-ROW(INDIRECT("$AC$13"))+1),ROW(INDIRECT("A" &amp; AB48 ) ))),"")</f>
        <v/>
      </c>
      <c r="AE48" s="1603" t="str">
        <f t="shared" si="1"/>
        <v/>
      </c>
      <c r="AF48" s="1604" t="str" cm="1">
        <f t="array" aca="1" ref="AF48" ca="1">IFERROR(INDEX($AE$14:$AE$96,SMALL(IF($AE$14:$AE$96&lt;&gt;"",ROW($AE$14:$AE$96)-ROW(INDIRECT("$AE$13"))+1),ROW(INDIRECT("A" &amp; AB48 ) ))),"")</f>
        <v/>
      </c>
      <c r="AG48" s="1604" t="str">
        <f t="shared" si="2"/>
        <v/>
      </c>
      <c r="AH48" s="1604" t="str" cm="1">
        <f t="array" aca="1" ref="AH48" ca="1">IFERROR(INDEX($AG$14:$AG$96,SMALL(IF($AG$14:$AG$96&lt;&gt;"",ROW($AG$14:$AG$96)-ROW(INDIRECT("$AG$13"))+1),ROW(INDIRECT("A" &amp; AB48 ) ))),"")</f>
        <v/>
      </c>
      <c r="AI48" s="1604" t="str">
        <f t="shared" si="3"/>
        <v>PLUVIO_STEU_ee</v>
      </c>
      <c r="AJ48" s="670" t="str" cm="1">
        <f t="array" aca="1" ref="AJ48" ca="1">IFERROR(INDEX($AI$14:$AI$96,SMALL(IF($AI$14:$AI$96&lt;&gt;"",ROW($AI$14:$AI$96)-ROW(INDIRECT("$AI$13"))+1),ROW(INDIRECT("A" &amp; AB48 ) ))),"")</f>
        <v/>
      </c>
    </row>
    <row r="49" spans="2:36" ht="20.100000000000001" customHeight="1" outlineLevel="1" x14ac:dyDescent="0.5">
      <c r="B49" s="489"/>
      <c r="C49" s="519"/>
      <c r="D49" s="476"/>
      <c r="E49" s="920" t="s">
        <v>481</v>
      </c>
      <c r="F49" s="921"/>
      <c r="G49" s="922"/>
      <c r="H49" s="465"/>
      <c r="I49" s="465"/>
      <c r="J49" s="465"/>
      <c r="K49" s="923" t="s">
        <v>503</v>
      </c>
      <c r="L49" s="923"/>
      <c r="M49" s="923"/>
      <c r="N49" s="923"/>
      <c r="O49" s="923"/>
      <c r="P49" s="923"/>
      <c r="Q49" s="923"/>
      <c r="R49" s="923"/>
      <c r="S49" s="923"/>
      <c r="T49" s="923"/>
      <c r="U49" s="534"/>
      <c r="V49" s="521"/>
      <c r="W49" s="493"/>
      <c r="AB49" s="456">
        <f t="shared" si="4"/>
        <v>37</v>
      </c>
      <c r="AC49" s="1605" t="str">
        <f t="shared" si="5"/>
        <v/>
      </c>
      <c r="AD49" s="1604" t="str" cm="1">
        <f t="array" aca="1" ref="AD49" ca="1">IFERROR(INDEX($AC$14:$AC$96,SMALL(IF($AC$14:$AC$96&lt;&gt;"",ROW($AC$14:$AC$96)-ROW(INDIRECT("$AC$13"))+1),ROW(INDIRECT("A" &amp; AB49 ) ))),"")</f>
        <v/>
      </c>
      <c r="AE49" s="1603" t="str">
        <f t="shared" si="1"/>
        <v/>
      </c>
      <c r="AF49" s="1604" t="str" cm="1">
        <f t="array" aca="1" ref="AF49" ca="1">IFERROR(INDEX($AE$14:$AE$96,SMALL(IF($AE$14:$AE$96&lt;&gt;"",ROW($AE$14:$AE$96)-ROW(INDIRECT("$AE$13"))+1),ROW(INDIRECT("A" &amp; AB49 ) ))),"")</f>
        <v/>
      </c>
      <c r="AG49" s="1604" t="str">
        <f t="shared" si="2"/>
        <v/>
      </c>
      <c r="AH49" s="1604" t="str" cm="1">
        <f t="array" aca="1" ref="AH49" ca="1">IFERROR(INDEX($AG$14:$AG$96,SMALL(IF($AG$14:$AG$96&lt;&gt;"",ROW($AG$14:$AG$96)-ROW(INDIRECT("$AG$13"))+1),ROW(INDIRECT("A" &amp; AB49 ) ))),"")</f>
        <v/>
      </c>
      <c r="AI49" s="1604" t="str">
        <f t="shared" si="3"/>
        <v/>
      </c>
      <c r="AJ49" s="670" t="str" cm="1">
        <f t="array" aca="1" ref="AJ49" ca="1">IFERROR(INDEX($AI$14:$AI$96,SMALL(IF($AI$14:$AI$96&lt;&gt;"",ROW($AI$14:$AI$96)-ROW(INDIRECT("$AI$13"))+1),ROW(INDIRECT("A" &amp; AB49 ) ))),"")</f>
        <v/>
      </c>
    </row>
    <row r="50" spans="2:36" ht="39.950000000000003" customHeight="1" outlineLevel="1" x14ac:dyDescent="0.45">
      <c r="B50" s="489"/>
      <c r="C50" s="519"/>
      <c r="D50" s="535"/>
      <c r="E50" s="465"/>
      <c r="F50" s="465"/>
      <c r="G50" s="465"/>
      <c r="H50" s="465"/>
      <c r="I50" s="465"/>
      <c r="J50" s="465"/>
      <c r="K50" s="910"/>
      <c r="L50" s="911"/>
      <c r="M50" s="911"/>
      <c r="N50" s="911"/>
      <c r="O50" s="911"/>
      <c r="P50" s="911"/>
      <c r="Q50" s="911"/>
      <c r="R50" s="911"/>
      <c r="S50" s="911"/>
      <c r="T50" s="912"/>
      <c r="U50" s="534"/>
      <c r="V50" s="521"/>
      <c r="W50" s="493"/>
      <c r="AB50" s="456">
        <f t="shared" si="4"/>
        <v>38</v>
      </c>
      <c r="AC50" s="1605" t="str">
        <f t="shared" si="5"/>
        <v/>
      </c>
      <c r="AD50" s="1604" t="str" cm="1">
        <f t="array" aca="1" ref="AD50" ca="1">IFERROR(INDEX($AC$14:$AC$96,SMALL(IF($AC$14:$AC$96&lt;&gt;"",ROW($AC$14:$AC$96)-ROW(INDIRECT("$AC$13"))+1),ROW(INDIRECT("A" &amp; AB50 ) ))),"")</f>
        <v/>
      </c>
      <c r="AE50" s="1603" t="str">
        <f t="shared" si="1"/>
        <v/>
      </c>
      <c r="AF50" s="1604" t="str" cm="1">
        <f t="array" aca="1" ref="AF50" ca="1">IFERROR(INDEX($AE$14:$AE$96,SMALL(IF($AE$14:$AE$96&lt;&gt;"",ROW($AE$14:$AE$96)-ROW(INDIRECT("$AE$13"))+1),ROW(INDIRECT("A" &amp; AB50 ) ))),"")</f>
        <v/>
      </c>
      <c r="AG50" s="1604" t="str">
        <f t="shared" si="2"/>
        <v/>
      </c>
      <c r="AH50" s="1604" t="str" cm="1">
        <f t="array" aca="1" ref="AH50" ca="1">IFERROR(INDEX($AG$14:$AG$96,SMALL(IF($AG$14:$AG$96&lt;&gt;"",ROW($AG$14:$AG$96)-ROW(INDIRECT("$AG$13"))+1),ROW(INDIRECT("A" &amp; AB50 ) ))),"")</f>
        <v/>
      </c>
      <c r="AI50" s="1604" t="str">
        <f t="shared" si="3"/>
        <v/>
      </c>
      <c r="AJ50" s="670" t="str" cm="1">
        <f t="array" aca="1" ref="AJ50" ca="1">IFERROR(INDEX($AI$14:$AI$96,SMALL(IF($AI$14:$AI$96&lt;&gt;"",ROW($AI$14:$AI$96)-ROW(INDIRECT("$AI$13"))+1),ROW(INDIRECT("A" &amp; AB50 ) ))),"")</f>
        <v/>
      </c>
    </row>
    <row r="51" spans="2:36" ht="20.100000000000001" customHeight="1" outlineLevel="1" thickBot="1" x14ac:dyDescent="0.5">
      <c r="B51" s="489"/>
      <c r="C51" s="519"/>
      <c r="D51" s="536"/>
      <c r="E51" s="537"/>
      <c r="F51" s="537"/>
      <c r="G51" s="537"/>
      <c r="H51" s="537"/>
      <c r="I51" s="538"/>
      <c r="J51" s="538"/>
      <c r="K51" s="538"/>
      <c r="L51" s="538"/>
      <c r="M51" s="538"/>
      <c r="N51" s="538"/>
      <c r="O51" s="538"/>
      <c r="P51" s="538"/>
      <c r="Q51" s="538"/>
      <c r="R51" s="538"/>
      <c r="S51" s="538"/>
      <c r="T51" s="538"/>
      <c r="U51" s="539"/>
      <c r="V51" s="521"/>
      <c r="W51" s="493"/>
      <c r="AB51" s="456">
        <f t="shared" si="4"/>
        <v>39</v>
      </c>
      <c r="AC51" s="1605" t="str">
        <f t="shared" si="5"/>
        <v/>
      </c>
      <c r="AD51" s="1604" t="str" cm="1">
        <f t="array" aca="1" ref="AD51" ca="1">IFERROR(INDEX($AC$14:$AC$96,SMALL(IF($AC$14:$AC$96&lt;&gt;"",ROW($AC$14:$AC$96)-ROW(INDIRECT("$AC$13"))+1),ROW(INDIRECT("A" &amp; AB51 ) ))),"")</f>
        <v/>
      </c>
      <c r="AE51" s="1603" t="str">
        <f t="shared" si="1"/>
        <v/>
      </c>
      <c r="AF51" s="1604" t="str" cm="1">
        <f t="array" aca="1" ref="AF51" ca="1">IFERROR(INDEX($AE$14:$AE$96,SMALL(IF($AE$14:$AE$96&lt;&gt;"",ROW($AE$14:$AE$96)-ROW(INDIRECT("$AE$13"))+1),ROW(INDIRECT("A" &amp; AB51 ) ))),"")</f>
        <v/>
      </c>
      <c r="AG51" s="1604" t="str">
        <f t="shared" si="2"/>
        <v/>
      </c>
      <c r="AH51" s="1604" t="str" cm="1">
        <f t="array" aca="1" ref="AH51" ca="1">IFERROR(INDEX($AG$14:$AG$96,SMALL(IF($AG$14:$AG$96&lt;&gt;"",ROW($AG$14:$AG$96)-ROW(INDIRECT("$AG$13"))+1),ROW(INDIRECT("A" &amp; AB51 ) ))),"")</f>
        <v/>
      </c>
      <c r="AI51" s="1604" t="str">
        <f t="shared" si="3"/>
        <v/>
      </c>
      <c r="AJ51" s="670" t="str" cm="1">
        <f t="array" aca="1" ref="AJ51" ca="1">IFERROR(INDEX($AI$14:$AI$96,SMALL(IF($AI$14:$AI$96&lt;&gt;"",ROW($AI$14:$AI$96)-ROW(INDIRECT("$AI$13"))+1),ROW(INDIRECT("A" &amp; AB51 ) ))),"")</f>
        <v/>
      </c>
    </row>
    <row r="52" spans="2:36" ht="20.100000000000001" customHeight="1" outlineLevel="1" thickTop="1" thickBot="1" x14ac:dyDescent="0.5">
      <c r="B52" s="489"/>
      <c r="C52" s="522"/>
      <c r="D52" s="546"/>
      <c r="E52" s="547"/>
      <c r="F52" s="547"/>
      <c r="G52" s="547"/>
      <c r="H52" s="547"/>
      <c r="I52" s="546"/>
      <c r="J52" s="546"/>
      <c r="K52" s="546"/>
      <c r="L52" s="546"/>
      <c r="M52" s="546"/>
      <c r="N52" s="546"/>
      <c r="O52" s="546"/>
      <c r="P52" s="546"/>
      <c r="Q52" s="546"/>
      <c r="R52" s="546"/>
      <c r="S52" s="546"/>
      <c r="T52" s="546"/>
      <c r="U52" s="546"/>
      <c r="V52" s="525"/>
      <c r="W52" s="493"/>
      <c r="AB52" s="456">
        <f t="shared" si="4"/>
        <v>40</v>
      </c>
      <c r="AC52" s="1605" t="str">
        <f t="shared" si="5"/>
        <v/>
      </c>
      <c r="AD52" s="1604" t="str" cm="1">
        <f t="array" aca="1" ref="AD52" ca="1">IFERROR(INDEX($AC$14:$AC$96,SMALL(IF($AC$14:$AC$96&lt;&gt;"",ROW($AC$14:$AC$96)-ROW(INDIRECT("$AC$13"))+1),ROW(INDIRECT("A" &amp; AB52 ) ))),"")</f>
        <v/>
      </c>
      <c r="AE52" s="1603" t="str">
        <f t="shared" si="1"/>
        <v/>
      </c>
      <c r="AF52" s="1604" t="str" cm="1">
        <f t="array" aca="1" ref="AF52" ca="1">IFERROR(INDEX($AE$14:$AE$96,SMALL(IF($AE$14:$AE$96&lt;&gt;"",ROW($AE$14:$AE$96)-ROW(INDIRECT("$AE$13"))+1),ROW(INDIRECT("A" &amp; AB52 ) ))),"")</f>
        <v/>
      </c>
      <c r="AG52" s="1604" t="str">
        <f t="shared" si="2"/>
        <v/>
      </c>
      <c r="AH52" s="1604" t="str" cm="1">
        <f t="array" aca="1" ref="AH52" ca="1">IFERROR(INDEX($AG$14:$AG$96,SMALL(IF($AG$14:$AG$96&lt;&gt;"",ROW($AG$14:$AG$96)-ROW(INDIRECT("$AG$13"))+1),ROW(INDIRECT("A" &amp; AB52 ) ))),"")</f>
        <v/>
      </c>
      <c r="AI52" s="1604" t="str">
        <f t="shared" si="3"/>
        <v/>
      </c>
      <c r="AJ52" s="670" t="str" cm="1">
        <f t="array" aca="1" ref="AJ52" ca="1">IFERROR(INDEX($AI$14:$AI$96,SMALL(IF($AI$14:$AI$96&lt;&gt;"",ROW($AI$14:$AI$96)-ROW(INDIRECT("$AI$13"))+1),ROW(INDIRECT("A" &amp; AB52 ) ))),"")</f>
        <v/>
      </c>
    </row>
    <row r="53" spans="2:36" ht="20.100000000000001" customHeight="1" thickTop="1" x14ac:dyDescent="0.45">
      <c r="B53" s="496"/>
      <c r="C53" s="497"/>
      <c r="D53" s="498"/>
      <c r="E53" s="499"/>
      <c r="F53" s="498"/>
      <c r="G53" s="498"/>
      <c r="H53" s="498"/>
      <c r="I53" s="498"/>
      <c r="J53" s="498"/>
      <c r="K53" s="498"/>
      <c r="L53" s="498"/>
      <c r="M53" s="500"/>
      <c r="N53" s="497"/>
      <c r="O53" s="497"/>
      <c r="P53" s="497"/>
      <c r="Q53" s="497"/>
      <c r="R53" s="497"/>
      <c r="S53" s="497"/>
      <c r="T53" s="497"/>
      <c r="U53" s="497"/>
      <c r="V53" s="497"/>
      <c r="W53" s="501"/>
      <c r="AB53" s="456">
        <f t="shared" si="4"/>
        <v>41</v>
      </c>
      <c r="AC53" s="1605" t="str">
        <f t="shared" si="5"/>
        <v/>
      </c>
      <c r="AD53" s="1604" t="str" cm="1">
        <f t="array" aca="1" ref="AD53" ca="1">IFERROR(INDEX($AC$14:$AC$96,SMALL(IF($AC$14:$AC$96&lt;&gt;"",ROW($AC$14:$AC$96)-ROW(INDIRECT("$AC$13"))+1),ROW(INDIRECT("A" &amp; AB53 ) ))),"")</f>
        <v/>
      </c>
      <c r="AE53" s="1603" t="str">
        <f t="shared" si="1"/>
        <v/>
      </c>
      <c r="AF53" s="1604" t="str" cm="1">
        <f t="array" aca="1" ref="AF53" ca="1">IFERROR(INDEX($AE$14:$AE$96,SMALL(IF($AE$14:$AE$96&lt;&gt;"",ROW($AE$14:$AE$96)-ROW(INDIRECT("$AE$13"))+1),ROW(INDIRECT("A" &amp; AB53 ) ))),"")</f>
        <v/>
      </c>
      <c r="AG53" s="1604" t="str">
        <f t="shared" si="2"/>
        <v/>
      </c>
      <c r="AH53" s="1604" t="str" cm="1">
        <f t="array" aca="1" ref="AH53" ca="1">IFERROR(INDEX($AG$14:$AG$96,SMALL(IF($AG$14:$AG$96&lt;&gt;"",ROW($AG$14:$AG$96)-ROW(INDIRECT("$AG$13"))+1),ROW(INDIRECT("A" &amp; AB53 ) ))),"")</f>
        <v/>
      </c>
      <c r="AI53" s="1604" t="str">
        <f t="shared" si="3"/>
        <v/>
      </c>
      <c r="AJ53" s="670" t="str" cm="1">
        <f t="array" aca="1" ref="AJ53" ca="1">IFERROR(INDEX($AI$14:$AI$96,SMALL(IF($AI$14:$AI$96&lt;&gt;"",ROW($AI$14:$AI$96)-ROW(INDIRECT("$AI$13"))+1),ROW(INDIRECT("A" &amp; AB53 ) ))),"")</f>
        <v/>
      </c>
    </row>
    <row r="54" spans="2:36" ht="20.100000000000001" customHeight="1" x14ac:dyDescent="0.45">
      <c r="AB54" s="456">
        <f t="shared" si="4"/>
        <v>42</v>
      </c>
      <c r="AC54" s="1605" t="str">
        <f t="shared" si="5"/>
        <v/>
      </c>
      <c r="AD54" s="1604" t="str" cm="1">
        <f t="array" aca="1" ref="AD54" ca="1">IFERROR(INDEX($AC$14:$AC$96,SMALL(IF($AC$14:$AC$96&lt;&gt;"",ROW($AC$14:$AC$96)-ROW(INDIRECT("$AC$13"))+1),ROW(INDIRECT("A" &amp; AB54 ) ))),"")</f>
        <v/>
      </c>
      <c r="AE54" s="1603" t="str">
        <f t="shared" si="1"/>
        <v/>
      </c>
      <c r="AF54" s="1604" t="str" cm="1">
        <f t="array" aca="1" ref="AF54" ca="1">IFERROR(INDEX($AE$14:$AE$96,SMALL(IF($AE$14:$AE$96&lt;&gt;"",ROW($AE$14:$AE$96)-ROW(INDIRECT("$AE$13"))+1),ROW(INDIRECT("A" &amp; AB54 ) ))),"")</f>
        <v/>
      </c>
      <c r="AG54" s="1604" t="str">
        <f t="shared" si="2"/>
        <v/>
      </c>
      <c r="AH54" s="1604" t="str" cm="1">
        <f t="array" aca="1" ref="AH54" ca="1">IFERROR(INDEX($AG$14:$AG$96,SMALL(IF($AG$14:$AG$96&lt;&gt;"",ROW($AG$14:$AG$96)-ROW(INDIRECT("$AG$13"))+1),ROW(INDIRECT("A" &amp; AB54 ) ))),"")</f>
        <v/>
      </c>
      <c r="AI54" s="1604" t="str">
        <f t="shared" si="3"/>
        <v/>
      </c>
      <c r="AJ54" s="670" t="str" cm="1">
        <f t="array" aca="1" ref="AJ54" ca="1">IFERROR(INDEX($AI$14:$AI$96,SMALL(IF($AI$14:$AI$96&lt;&gt;"",ROW($AI$14:$AI$96)-ROW(INDIRECT("$AI$13"))+1),ROW(INDIRECT("A" &amp; AB54 ) ))),"")</f>
        <v/>
      </c>
    </row>
    <row r="55" spans="2:36" ht="20.100000000000001" customHeight="1" x14ac:dyDescent="0.45">
      <c r="AB55" s="456">
        <f t="shared" si="4"/>
        <v>43</v>
      </c>
      <c r="AC55" s="1605" t="str">
        <f t="shared" si="5"/>
        <v/>
      </c>
      <c r="AD55" s="1604" t="str" cm="1">
        <f t="array" aca="1" ref="AD55" ca="1">IFERROR(INDEX($AC$14:$AC$96,SMALL(IF($AC$14:$AC$96&lt;&gt;"",ROW($AC$14:$AC$96)-ROW(INDIRECT("$AC$13"))+1),ROW(INDIRECT("A" &amp; AB55 ) ))),"")</f>
        <v/>
      </c>
      <c r="AE55" s="1603" t="str">
        <f t="shared" si="1"/>
        <v/>
      </c>
      <c r="AF55" s="1604" t="str" cm="1">
        <f t="array" aca="1" ref="AF55" ca="1">IFERROR(INDEX($AE$14:$AE$96,SMALL(IF($AE$14:$AE$96&lt;&gt;"",ROW($AE$14:$AE$96)-ROW(INDIRECT("$AE$13"))+1),ROW(INDIRECT("A" &amp; AB55 ) ))),"")</f>
        <v/>
      </c>
      <c r="AG55" s="1604" t="str">
        <f t="shared" si="2"/>
        <v/>
      </c>
      <c r="AH55" s="1604" t="str" cm="1">
        <f t="array" aca="1" ref="AH55" ca="1">IFERROR(INDEX($AG$14:$AG$96,SMALL(IF($AG$14:$AG$96&lt;&gt;"",ROW($AG$14:$AG$96)-ROW(INDIRECT("$AG$13"))+1),ROW(INDIRECT("A" &amp; AB55 ) ))),"")</f>
        <v/>
      </c>
      <c r="AI55" s="1604" t="str">
        <f t="shared" si="3"/>
        <v/>
      </c>
      <c r="AJ55" s="670" t="str" cm="1">
        <f t="array" aca="1" ref="AJ55" ca="1">IFERROR(INDEX($AI$14:$AI$96,SMALL(IF($AI$14:$AI$96&lt;&gt;"",ROW($AI$14:$AI$96)-ROW(INDIRECT("$AI$13"))+1),ROW(INDIRECT("A" &amp; AB55 ) ))),"")</f>
        <v/>
      </c>
    </row>
    <row r="56" spans="2:36" ht="20.100000000000001" customHeight="1" x14ac:dyDescent="0.45">
      <c r="AB56" s="456">
        <f t="shared" si="4"/>
        <v>44</v>
      </c>
      <c r="AC56" s="1605" t="str">
        <f t="shared" si="5"/>
        <v/>
      </c>
      <c r="AD56" s="1604" t="str" cm="1">
        <f t="array" aca="1" ref="AD56" ca="1">IFERROR(INDEX($AC$14:$AC$96,SMALL(IF($AC$14:$AC$96&lt;&gt;"",ROW($AC$14:$AC$96)-ROW(INDIRECT("$AC$13"))+1),ROW(INDIRECT("A" &amp; AB56 ) ))),"")</f>
        <v/>
      </c>
      <c r="AE56" s="1603" t="str">
        <f t="shared" si="1"/>
        <v/>
      </c>
      <c r="AF56" s="1604" t="str" cm="1">
        <f t="array" aca="1" ref="AF56" ca="1">IFERROR(INDEX($AE$14:$AE$96,SMALL(IF($AE$14:$AE$96&lt;&gt;"",ROW($AE$14:$AE$96)-ROW(INDIRECT("$AE$13"))+1),ROW(INDIRECT("A" &amp; AB56 ) ))),"")</f>
        <v/>
      </c>
      <c r="AG56" s="1604" t="str">
        <f t="shared" si="2"/>
        <v/>
      </c>
      <c r="AH56" s="1604" t="str" cm="1">
        <f t="array" aca="1" ref="AH56" ca="1">IFERROR(INDEX($AG$14:$AG$96,SMALL(IF($AG$14:$AG$96&lt;&gt;"",ROW($AG$14:$AG$96)-ROW(INDIRECT("$AG$13"))+1),ROW(INDIRECT("A" &amp; AB56 ) ))),"")</f>
        <v/>
      </c>
      <c r="AI56" s="1604" t="str">
        <f t="shared" si="3"/>
        <v/>
      </c>
      <c r="AJ56" s="670" t="str" cm="1">
        <f t="array" aca="1" ref="AJ56" ca="1">IFERROR(INDEX($AI$14:$AI$96,SMALL(IF($AI$14:$AI$96&lt;&gt;"",ROW($AI$14:$AI$96)-ROW(INDIRECT("$AI$13"))+1),ROW(INDIRECT("A" &amp; AB56 ) ))),"")</f>
        <v/>
      </c>
    </row>
    <row r="57" spans="2:36" ht="20.100000000000001" customHeight="1" x14ac:dyDescent="0.45">
      <c r="AB57" s="456">
        <f t="shared" si="4"/>
        <v>45</v>
      </c>
      <c r="AC57" s="1605" t="str">
        <f t="shared" si="5"/>
        <v/>
      </c>
      <c r="AD57" s="1604" t="str" cm="1">
        <f t="array" aca="1" ref="AD57" ca="1">IFERROR(INDEX($AC$14:$AC$96,SMALL(IF($AC$14:$AC$96&lt;&gt;"",ROW($AC$14:$AC$96)-ROW(INDIRECT("$AC$13"))+1),ROW(INDIRECT("A" &amp; AB57 ) ))),"")</f>
        <v/>
      </c>
      <c r="AE57" s="1603" t="str">
        <f t="shared" si="1"/>
        <v/>
      </c>
      <c r="AF57" s="1604" t="str" cm="1">
        <f t="array" aca="1" ref="AF57" ca="1">IFERROR(INDEX($AE$14:$AE$96,SMALL(IF($AE$14:$AE$96&lt;&gt;"",ROW($AE$14:$AE$96)-ROW(INDIRECT("$AE$13"))+1),ROW(INDIRECT("A" &amp; AB57 ) ))),"")</f>
        <v/>
      </c>
      <c r="AG57" s="1604" t="str">
        <f t="shared" si="2"/>
        <v/>
      </c>
      <c r="AH57" s="1604" t="str" cm="1">
        <f t="array" aca="1" ref="AH57" ca="1">IFERROR(INDEX($AG$14:$AG$96,SMALL(IF($AG$14:$AG$96&lt;&gt;"",ROW($AG$14:$AG$96)-ROW(INDIRECT("$AG$13"))+1),ROW(INDIRECT("A" &amp; AB57 ) ))),"")</f>
        <v/>
      </c>
      <c r="AI57" s="1604" t="str">
        <f t="shared" si="3"/>
        <v/>
      </c>
      <c r="AJ57" s="670" t="str" cm="1">
        <f t="array" aca="1" ref="AJ57" ca="1">IFERROR(INDEX($AI$14:$AI$96,SMALL(IF($AI$14:$AI$96&lt;&gt;"",ROW($AI$14:$AI$96)-ROW(INDIRECT("$AI$13"))+1),ROW(INDIRECT("A" &amp; AB57 ) ))),"")</f>
        <v/>
      </c>
    </row>
    <row r="58" spans="2:36" ht="20.100000000000001" customHeight="1" x14ac:dyDescent="0.45">
      <c r="AB58" s="456">
        <f t="shared" si="4"/>
        <v>46</v>
      </c>
      <c r="AC58" s="1605" t="str">
        <f t="shared" si="5"/>
        <v/>
      </c>
      <c r="AD58" s="1604" t="str" cm="1">
        <f t="array" aca="1" ref="AD58" ca="1">IFERROR(INDEX($AC$14:$AC$96,SMALL(IF($AC$14:$AC$96&lt;&gt;"",ROW($AC$14:$AC$96)-ROW(INDIRECT("$AC$13"))+1),ROW(INDIRECT("A" &amp; AB58 ) ))),"")</f>
        <v/>
      </c>
      <c r="AE58" s="1603" t="str">
        <f t="shared" si="1"/>
        <v/>
      </c>
      <c r="AF58" s="1604" t="str" cm="1">
        <f t="array" aca="1" ref="AF58" ca="1">IFERROR(INDEX($AE$14:$AE$96,SMALL(IF($AE$14:$AE$96&lt;&gt;"",ROW($AE$14:$AE$96)-ROW(INDIRECT("$AE$13"))+1),ROW(INDIRECT("A" &amp; AB58 ) ))),"")</f>
        <v/>
      </c>
      <c r="AG58" s="1604" t="str">
        <f t="shared" si="2"/>
        <v/>
      </c>
      <c r="AH58" s="1604" t="str" cm="1">
        <f t="array" aca="1" ref="AH58" ca="1">IFERROR(INDEX($AG$14:$AG$96,SMALL(IF($AG$14:$AG$96&lt;&gt;"",ROW($AG$14:$AG$96)-ROW(INDIRECT("$AG$13"))+1),ROW(INDIRECT("A" &amp; AB58 ) ))),"")</f>
        <v/>
      </c>
      <c r="AI58" s="1604" t="str">
        <f t="shared" si="3"/>
        <v/>
      </c>
      <c r="AJ58" s="670" t="str" cm="1">
        <f t="array" aca="1" ref="AJ58" ca="1">IFERROR(INDEX($AI$14:$AI$96,SMALL(IF($AI$14:$AI$96&lt;&gt;"",ROW($AI$14:$AI$96)-ROW(INDIRECT("$AI$13"))+1),ROW(INDIRECT("A" &amp; AB58 ) ))),"")</f>
        <v/>
      </c>
    </row>
    <row r="59" spans="2:36" ht="20.100000000000001" customHeight="1" x14ac:dyDescent="0.45">
      <c r="AB59" s="456">
        <f t="shared" si="4"/>
        <v>47</v>
      </c>
      <c r="AC59" s="1605" t="str">
        <f t="shared" si="5"/>
        <v/>
      </c>
      <c r="AD59" s="1604" t="str" cm="1">
        <f t="array" aca="1" ref="AD59" ca="1">IFERROR(INDEX($AC$14:$AC$96,SMALL(IF($AC$14:$AC$96&lt;&gt;"",ROW($AC$14:$AC$96)-ROW(INDIRECT("$AC$13"))+1),ROW(INDIRECT("A" &amp; AB59 ) ))),"")</f>
        <v/>
      </c>
      <c r="AE59" s="1603" t="str">
        <f t="shared" si="1"/>
        <v/>
      </c>
      <c r="AF59" s="1604" t="str" cm="1">
        <f t="array" aca="1" ref="AF59" ca="1">IFERROR(INDEX($AE$14:$AE$96,SMALL(IF($AE$14:$AE$96&lt;&gt;"",ROW($AE$14:$AE$96)-ROW(INDIRECT("$AE$13"))+1),ROW(INDIRECT("A" &amp; AB59 ) ))),"")</f>
        <v/>
      </c>
      <c r="AG59" s="1604" t="str">
        <f t="shared" si="2"/>
        <v/>
      </c>
      <c r="AH59" s="1604" t="str" cm="1">
        <f t="array" aca="1" ref="AH59" ca="1">IFERROR(INDEX($AG$14:$AG$96,SMALL(IF($AG$14:$AG$96&lt;&gt;"",ROW($AG$14:$AG$96)-ROW(INDIRECT("$AG$13"))+1),ROW(INDIRECT("A" &amp; AB59 ) ))),"")</f>
        <v/>
      </c>
      <c r="AI59" s="1604" t="str">
        <f t="shared" si="3"/>
        <v/>
      </c>
      <c r="AJ59" s="670" t="str" cm="1">
        <f t="array" aca="1" ref="AJ59" ca="1">IFERROR(INDEX($AI$14:$AI$96,SMALL(IF($AI$14:$AI$96&lt;&gt;"",ROW($AI$14:$AI$96)-ROW(INDIRECT("$AI$13"))+1),ROW(INDIRECT("A" &amp; AB59 ) ))),"")</f>
        <v/>
      </c>
    </row>
    <row r="60" spans="2:36" ht="20.100000000000001" customHeight="1" x14ac:dyDescent="0.45">
      <c r="AB60" s="456">
        <f t="shared" si="4"/>
        <v>48</v>
      </c>
      <c r="AC60" s="1605" t="str">
        <f t="shared" si="5"/>
        <v/>
      </c>
      <c r="AD60" s="1604" t="str" cm="1">
        <f t="array" aca="1" ref="AD60" ca="1">IFERROR(INDEX($AC$14:$AC$96,SMALL(IF($AC$14:$AC$96&lt;&gt;"",ROW($AC$14:$AC$96)-ROW(INDIRECT("$AC$13"))+1),ROW(INDIRECT("A" &amp; AB60 ) ))),"")</f>
        <v/>
      </c>
      <c r="AE60" s="1603" t="str">
        <f t="shared" si="1"/>
        <v/>
      </c>
      <c r="AF60" s="1604" t="str" cm="1">
        <f t="array" aca="1" ref="AF60" ca="1">IFERROR(INDEX($AE$14:$AE$96,SMALL(IF($AE$14:$AE$96&lt;&gt;"",ROW($AE$14:$AE$96)-ROW(INDIRECT("$AE$13"))+1),ROW(INDIRECT("A" &amp; AB60 ) ))),"")</f>
        <v/>
      </c>
      <c r="AG60" s="1604" t="str">
        <f t="shared" si="2"/>
        <v/>
      </c>
      <c r="AH60" s="1604" t="str" cm="1">
        <f t="array" aca="1" ref="AH60" ca="1">IFERROR(INDEX($AG$14:$AG$96,SMALL(IF($AG$14:$AG$96&lt;&gt;"",ROW($AG$14:$AG$96)-ROW(INDIRECT("$AG$13"))+1),ROW(INDIRECT("A" &amp; AB60 ) ))),"")</f>
        <v/>
      </c>
      <c r="AI60" s="1604" t="str">
        <f t="shared" si="3"/>
        <v/>
      </c>
      <c r="AJ60" s="670" t="str" cm="1">
        <f t="array" aca="1" ref="AJ60" ca="1">IFERROR(INDEX($AI$14:$AI$96,SMALL(IF($AI$14:$AI$96&lt;&gt;"",ROW($AI$14:$AI$96)-ROW(INDIRECT("$AI$13"))+1),ROW(INDIRECT("A" &amp; AB60 ) ))),"")</f>
        <v/>
      </c>
    </row>
    <row r="61" spans="2:36" ht="20.100000000000001" customHeight="1" x14ac:dyDescent="0.45">
      <c r="AB61" s="456">
        <f t="shared" si="4"/>
        <v>49</v>
      </c>
      <c r="AC61" s="1605" t="str">
        <f t="shared" si="5"/>
        <v/>
      </c>
      <c r="AD61" s="1604" t="str" cm="1">
        <f t="array" aca="1" ref="AD61" ca="1">IFERROR(INDEX($AC$14:$AC$96,SMALL(IF($AC$14:$AC$96&lt;&gt;"",ROW($AC$14:$AC$96)-ROW(INDIRECT("$AC$13"))+1),ROW(INDIRECT("A" &amp; AB61 ) ))),"")</f>
        <v/>
      </c>
      <c r="AE61" s="1603" t="str">
        <f t="shared" si="1"/>
        <v/>
      </c>
      <c r="AF61" s="1604" t="str" cm="1">
        <f t="array" aca="1" ref="AF61" ca="1">IFERROR(INDEX($AE$14:$AE$96,SMALL(IF($AE$14:$AE$96&lt;&gt;"",ROW($AE$14:$AE$96)-ROW(INDIRECT("$AE$13"))+1),ROW(INDIRECT("A" &amp; AB61 ) ))),"")</f>
        <v/>
      </c>
      <c r="AG61" s="1604" t="str">
        <f t="shared" si="2"/>
        <v/>
      </c>
      <c r="AH61" s="1604" t="str" cm="1">
        <f t="array" aca="1" ref="AH61" ca="1">IFERROR(INDEX($AG$14:$AG$96,SMALL(IF($AG$14:$AG$96&lt;&gt;"",ROW($AG$14:$AG$96)-ROW(INDIRECT("$AG$13"))+1),ROW(INDIRECT("A" &amp; AB61 ) ))),"")</f>
        <v/>
      </c>
      <c r="AI61" s="1604" t="str">
        <f t="shared" si="3"/>
        <v/>
      </c>
      <c r="AJ61" s="670" t="str" cm="1">
        <f t="array" aca="1" ref="AJ61" ca="1">IFERROR(INDEX($AI$14:$AI$96,SMALL(IF($AI$14:$AI$96&lt;&gt;"",ROW($AI$14:$AI$96)-ROW(INDIRECT("$AI$13"))+1),ROW(INDIRECT("A" &amp; AB61 ) ))),"")</f>
        <v/>
      </c>
    </row>
    <row r="62" spans="2:36" ht="20.100000000000001" customHeight="1" x14ac:dyDescent="0.45">
      <c r="AB62" s="456">
        <f t="shared" si="4"/>
        <v>50</v>
      </c>
      <c r="AC62" s="1605" t="str">
        <f t="shared" si="5"/>
        <v/>
      </c>
      <c r="AD62" s="1604" t="str" cm="1">
        <f t="array" aca="1" ref="AD62" ca="1">IFERROR(INDEX($AC$14:$AC$96,SMALL(IF($AC$14:$AC$96&lt;&gt;"",ROW($AC$14:$AC$96)-ROW(INDIRECT("$AC$13"))+1),ROW(INDIRECT("A" &amp; AB62 ) ))),"")</f>
        <v/>
      </c>
      <c r="AE62" s="1603" t="str">
        <f t="shared" si="1"/>
        <v/>
      </c>
      <c r="AF62" s="1604" t="str" cm="1">
        <f t="array" aca="1" ref="AF62" ca="1">IFERROR(INDEX($AE$14:$AE$96,SMALL(IF($AE$14:$AE$96&lt;&gt;"",ROW($AE$14:$AE$96)-ROW(INDIRECT("$AE$13"))+1),ROW(INDIRECT("A" &amp; AB62 ) ))),"")</f>
        <v/>
      </c>
      <c r="AG62" s="1604" t="str">
        <f t="shared" si="2"/>
        <v/>
      </c>
      <c r="AH62" s="1604" t="str" cm="1">
        <f t="array" aca="1" ref="AH62" ca="1">IFERROR(INDEX($AG$14:$AG$96,SMALL(IF($AG$14:$AG$96&lt;&gt;"",ROW($AG$14:$AG$96)-ROW(INDIRECT("$AG$13"))+1),ROW(INDIRECT("A" &amp; AB62 ) ))),"")</f>
        <v/>
      </c>
      <c r="AI62" s="1604" t="str">
        <f t="shared" si="3"/>
        <v/>
      </c>
      <c r="AJ62" s="670" t="str" cm="1">
        <f t="array" aca="1" ref="AJ62" ca="1">IFERROR(INDEX($AI$14:$AI$96,SMALL(IF($AI$14:$AI$96&lt;&gt;"",ROW($AI$14:$AI$96)-ROW(INDIRECT("$AI$13"))+1),ROW(INDIRECT("A" &amp; AB62 ) ))),"")</f>
        <v/>
      </c>
    </row>
    <row r="63" spans="2:36" ht="20.100000000000001" customHeight="1" x14ac:dyDescent="0.45">
      <c r="AB63" s="456">
        <f t="shared" si="4"/>
        <v>51</v>
      </c>
      <c r="AC63" s="1605" t="str">
        <f t="shared" si="5"/>
        <v/>
      </c>
      <c r="AD63" s="1604" t="str" cm="1">
        <f t="array" aca="1" ref="AD63" ca="1">IFERROR(INDEX($AC$14:$AC$96,SMALL(IF($AC$14:$AC$96&lt;&gt;"",ROW($AC$14:$AC$96)-ROW(INDIRECT("$AC$13"))+1),ROW(INDIRECT("A" &amp; AB63 ) ))),"")</f>
        <v/>
      </c>
      <c r="AE63" s="1603" t="str">
        <f t="shared" si="1"/>
        <v/>
      </c>
      <c r="AF63" s="1604" t="str" cm="1">
        <f t="array" aca="1" ref="AF63" ca="1">IFERROR(INDEX($AE$14:$AE$96,SMALL(IF($AE$14:$AE$96&lt;&gt;"",ROW($AE$14:$AE$96)-ROW(INDIRECT("$AE$13"))+1),ROW(INDIRECT("A" &amp; AB63 ) ))),"")</f>
        <v/>
      </c>
      <c r="AG63" s="1604" t="str">
        <f t="shared" si="2"/>
        <v/>
      </c>
      <c r="AH63" s="1604" t="str" cm="1">
        <f t="array" aca="1" ref="AH63" ca="1">IFERROR(INDEX($AG$14:$AG$96,SMALL(IF($AG$14:$AG$96&lt;&gt;"",ROW($AG$14:$AG$96)-ROW(INDIRECT("$AG$13"))+1),ROW(INDIRECT("A" &amp; AB63 ) ))),"")</f>
        <v/>
      </c>
      <c r="AI63" s="1604" t="str">
        <f t="shared" si="3"/>
        <v/>
      </c>
      <c r="AJ63" s="670" t="str" cm="1">
        <f t="array" aca="1" ref="AJ63" ca="1">IFERROR(INDEX($AI$14:$AI$96,SMALL(IF($AI$14:$AI$96&lt;&gt;"",ROW($AI$14:$AI$96)-ROW(INDIRECT("$AI$13"))+1),ROW(INDIRECT("A" &amp; AB63 ) ))),"")</f>
        <v/>
      </c>
    </row>
    <row r="64" spans="2:36" ht="20.100000000000001" customHeight="1" x14ac:dyDescent="0.45">
      <c r="AB64" s="456">
        <f t="shared" si="4"/>
        <v>52</v>
      </c>
      <c r="AC64" s="1605" t="str">
        <f t="shared" si="5"/>
        <v/>
      </c>
      <c r="AD64" s="1604" t="str" cm="1">
        <f t="array" aca="1" ref="AD64" ca="1">IFERROR(INDEX($AC$14:$AC$96,SMALL(IF($AC$14:$AC$96&lt;&gt;"",ROW($AC$14:$AC$96)-ROW(INDIRECT("$AC$13"))+1),ROW(INDIRECT("A" &amp; AB64 ) ))),"")</f>
        <v/>
      </c>
      <c r="AE64" s="1603" t="str">
        <f t="shared" si="1"/>
        <v/>
      </c>
      <c r="AF64" s="1604" t="str" cm="1">
        <f t="array" aca="1" ref="AF64" ca="1">IFERROR(INDEX($AE$14:$AE$96,SMALL(IF($AE$14:$AE$96&lt;&gt;"",ROW($AE$14:$AE$96)-ROW(INDIRECT("$AE$13"))+1),ROW(INDIRECT("A" &amp; AB64 ) ))),"")</f>
        <v/>
      </c>
      <c r="AG64" s="1604" t="str">
        <f t="shared" si="2"/>
        <v/>
      </c>
      <c r="AH64" s="1604" t="str" cm="1">
        <f t="array" aca="1" ref="AH64" ca="1">IFERROR(INDEX($AG$14:$AG$96,SMALL(IF($AG$14:$AG$96&lt;&gt;"",ROW($AG$14:$AG$96)-ROW(INDIRECT("$AG$13"))+1),ROW(INDIRECT("A" &amp; AB64 ) ))),"")</f>
        <v/>
      </c>
      <c r="AI64" s="1604" t="str">
        <f t="shared" si="3"/>
        <v/>
      </c>
      <c r="AJ64" s="670" t="str" cm="1">
        <f t="array" aca="1" ref="AJ64" ca="1">IFERROR(INDEX($AI$14:$AI$96,SMALL(IF($AI$14:$AI$96&lt;&gt;"",ROW($AI$14:$AI$96)-ROW(INDIRECT("$AI$13"))+1),ROW(INDIRECT("A" &amp; AB64 ) ))),"")</f>
        <v/>
      </c>
    </row>
    <row r="65" spans="28:36" ht="20.100000000000001" customHeight="1" x14ac:dyDescent="0.45">
      <c r="AB65" s="456">
        <f t="shared" si="4"/>
        <v>53</v>
      </c>
      <c r="AC65" s="1605" t="str">
        <f t="shared" si="5"/>
        <v/>
      </c>
      <c r="AD65" s="1604" t="str" cm="1">
        <f t="array" aca="1" ref="AD65" ca="1">IFERROR(INDEX($AC$14:$AC$96,SMALL(IF($AC$14:$AC$96&lt;&gt;"",ROW($AC$14:$AC$96)-ROW(INDIRECT("$AC$13"))+1),ROW(INDIRECT("A" &amp; AB65 ) ))),"")</f>
        <v/>
      </c>
      <c r="AE65" s="1603" t="str">
        <f t="shared" si="1"/>
        <v/>
      </c>
      <c r="AF65" s="1604" t="str" cm="1">
        <f t="array" aca="1" ref="AF65" ca="1">IFERROR(INDEX($AE$14:$AE$96,SMALL(IF($AE$14:$AE$96&lt;&gt;"",ROW($AE$14:$AE$96)-ROW(INDIRECT("$AE$13"))+1),ROW(INDIRECT("A" &amp; AB65 ) ))),"")</f>
        <v/>
      </c>
      <c r="AG65" s="1604" t="str">
        <f t="shared" si="2"/>
        <v/>
      </c>
      <c r="AH65" s="1604" t="str" cm="1">
        <f t="array" aca="1" ref="AH65" ca="1">IFERROR(INDEX($AG$14:$AG$96,SMALL(IF($AG$14:$AG$96&lt;&gt;"",ROW($AG$14:$AG$96)-ROW(INDIRECT("$AG$13"))+1),ROW(INDIRECT("A" &amp; AB65 ) ))),"")</f>
        <v/>
      </c>
      <c r="AI65" s="1604" t="str">
        <f t="shared" si="3"/>
        <v/>
      </c>
      <c r="AJ65" s="670" t="str" cm="1">
        <f t="array" aca="1" ref="AJ65" ca="1">IFERROR(INDEX($AI$14:$AI$96,SMALL(IF($AI$14:$AI$96&lt;&gt;"",ROW($AI$14:$AI$96)-ROW(INDIRECT("$AI$13"))+1),ROW(INDIRECT("A" &amp; AB65 ) ))),"")</f>
        <v/>
      </c>
    </row>
    <row r="66" spans="28:36" ht="20.100000000000001" customHeight="1" x14ac:dyDescent="0.45">
      <c r="AB66" s="456">
        <f t="shared" si="4"/>
        <v>54</v>
      </c>
      <c r="AC66" s="1605" t="str">
        <f t="shared" si="5"/>
        <v/>
      </c>
      <c r="AD66" s="1604" t="str" cm="1">
        <f t="array" aca="1" ref="AD66" ca="1">IFERROR(INDEX($AC$14:$AC$96,SMALL(IF($AC$14:$AC$96&lt;&gt;"",ROW($AC$14:$AC$96)-ROW(INDIRECT("$AC$13"))+1),ROW(INDIRECT("A" &amp; AB66 ) ))),"")</f>
        <v/>
      </c>
      <c r="AE66" s="1603" t="str">
        <f t="shared" si="1"/>
        <v/>
      </c>
      <c r="AF66" s="1604" t="str" cm="1">
        <f t="array" aca="1" ref="AF66" ca="1">IFERROR(INDEX($AE$14:$AE$96,SMALL(IF($AE$14:$AE$96&lt;&gt;"",ROW($AE$14:$AE$96)-ROW(INDIRECT("$AE$13"))+1),ROW(INDIRECT("A" &amp; AB66 ) ))),"")</f>
        <v/>
      </c>
      <c r="AG66" s="1604" t="str">
        <f t="shared" si="2"/>
        <v/>
      </c>
      <c r="AH66" s="1604" t="str" cm="1">
        <f t="array" aca="1" ref="AH66" ca="1">IFERROR(INDEX($AG$14:$AG$96,SMALL(IF($AG$14:$AG$96&lt;&gt;"",ROW($AG$14:$AG$96)-ROW(INDIRECT("$AG$13"))+1),ROW(INDIRECT("A" &amp; AB66 ) ))),"")</f>
        <v/>
      </c>
      <c r="AI66" s="1604" t="str">
        <f t="shared" si="3"/>
        <v/>
      </c>
      <c r="AJ66" s="670" t="str" cm="1">
        <f t="array" aca="1" ref="AJ66" ca="1">IFERROR(INDEX($AI$14:$AI$96,SMALL(IF($AI$14:$AI$96&lt;&gt;"",ROW($AI$14:$AI$96)-ROW(INDIRECT("$AI$13"))+1),ROW(INDIRECT("A" &amp; AB66 ) ))),"")</f>
        <v/>
      </c>
    </row>
    <row r="67" spans="28:36" ht="20.100000000000001" customHeight="1" x14ac:dyDescent="0.45">
      <c r="AB67" s="456">
        <f t="shared" si="4"/>
        <v>55</v>
      </c>
      <c r="AC67" s="1605" t="str">
        <f t="shared" si="5"/>
        <v/>
      </c>
      <c r="AD67" s="1604" t="str" cm="1">
        <f t="array" aca="1" ref="AD67" ca="1">IFERROR(INDEX($AC$14:$AC$96,SMALL(IF($AC$14:$AC$96&lt;&gt;"",ROW($AC$14:$AC$96)-ROW(INDIRECT("$AC$13"))+1),ROW(INDIRECT("A" &amp; AB67 ) ))),"")</f>
        <v/>
      </c>
      <c r="AE67" s="1603" t="str">
        <f t="shared" si="1"/>
        <v/>
      </c>
      <c r="AF67" s="1604" t="str" cm="1">
        <f t="array" aca="1" ref="AF67" ca="1">IFERROR(INDEX($AE$14:$AE$96,SMALL(IF($AE$14:$AE$96&lt;&gt;"",ROW($AE$14:$AE$96)-ROW(INDIRECT("$AE$13"))+1),ROW(INDIRECT("A" &amp; AB67 ) ))),"")</f>
        <v/>
      </c>
      <c r="AG67" s="1604" t="str">
        <f t="shared" si="2"/>
        <v/>
      </c>
      <c r="AH67" s="1604" t="str" cm="1">
        <f t="array" aca="1" ref="AH67" ca="1">IFERROR(INDEX($AG$14:$AG$96,SMALL(IF($AG$14:$AG$96&lt;&gt;"",ROW($AG$14:$AG$96)-ROW(INDIRECT("$AG$13"))+1),ROW(INDIRECT("A" &amp; AB67 ) ))),"")</f>
        <v/>
      </c>
      <c r="AI67" s="1604" t="str">
        <f t="shared" si="3"/>
        <v/>
      </c>
      <c r="AJ67" s="670" t="str" cm="1">
        <f t="array" aca="1" ref="AJ67" ca="1">IFERROR(INDEX($AI$14:$AI$96,SMALL(IF($AI$14:$AI$96&lt;&gt;"",ROW($AI$14:$AI$96)-ROW(INDIRECT("$AI$13"))+1),ROW(INDIRECT("A" &amp; AB67 ) ))),"")</f>
        <v/>
      </c>
    </row>
    <row r="68" spans="28:36" ht="20.100000000000001" customHeight="1" x14ac:dyDescent="0.45">
      <c r="AB68" s="456">
        <f t="shared" si="4"/>
        <v>56</v>
      </c>
      <c r="AC68" s="1605" t="str">
        <f t="shared" si="5"/>
        <v/>
      </c>
      <c r="AD68" s="1604" t="str" cm="1">
        <f t="array" aca="1" ref="AD68" ca="1">IFERROR(INDEX($AC$14:$AC$96,SMALL(IF($AC$14:$AC$96&lt;&gt;"",ROW($AC$14:$AC$96)-ROW(INDIRECT("$AC$13"))+1),ROW(INDIRECT("A" &amp; AB68 ) ))),"")</f>
        <v/>
      </c>
      <c r="AE68" s="1603" t="str">
        <f t="shared" si="1"/>
        <v/>
      </c>
      <c r="AF68" s="1604" t="str" cm="1">
        <f t="array" aca="1" ref="AF68" ca="1">IFERROR(INDEX($AE$14:$AE$96,SMALL(IF($AE$14:$AE$96&lt;&gt;"",ROW($AE$14:$AE$96)-ROW(INDIRECT("$AE$13"))+1),ROW(INDIRECT("A" &amp; AB68 ) ))),"")</f>
        <v/>
      </c>
      <c r="AG68" s="1604" t="str">
        <f t="shared" si="2"/>
        <v/>
      </c>
      <c r="AH68" s="1604" t="str" cm="1">
        <f t="array" aca="1" ref="AH68" ca="1">IFERROR(INDEX($AG$14:$AG$96,SMALL(IF($AG$14:$AG$96&lt;&gt;"",ROW($AG$14:$AG$96)-ROW(INDIRECT("$AG$13"))+1),ROW(INDIRECT("A" &amp; AB68 ) ))),"")</f>
        <v/>
      </c>
      <c r="AI68" s="1604" t="str">
        <f t="shared" si="3"/>
        <v/>
      </c>
      <c r="AJ68" s="670" t="str" cm="1">
        <f t="array" aca="1" ref="AJ68" ca="1">IFERROR(INDEX($AI$14:$AI$96,SMALL(IF($AI$14:$AI$96&lt;&gt;"",ROW($AI$14:$AI$96)-ROW(INDIRECT("$AI$13"))+1),ROW(INDIRECT("A" &amp; AB68 ) ))),"")</f>
        <v/>
      </c>
    </row>
    <row r="69" spans="28:36" ht="20.100000000000001" customHeight="1" x14ac:dyDescent="0.45">
      <c r="AB69" s="456">
        <f t="shared" si="4"/>
        <v>57</v>
      </c>
      <c r="AC69" s="1605" t="str">
        <f t="shared" si="5"/>
        <v/>
      </c>
      <c r="AD69" s="1604" t="str" cm="1">
        <f t="array" aca="1" ref="AD69" ca="1">IFERROR(INDEX($AC$14:$AC$96,SMALL(IF($AC$14:$AC$96&lt;&gt;"",ROW($AC$14:$AC$96)-ROW(INDIRECT("$AC$13"))+1),ROW(INDIRECT("A" &amp; AB69 ) ))),"")</f>
        <v/>
      </c>
      <c r="AE69" s="1603" t="str">
        <f t="shared" ref="AE69:AE96" si="13">IF(AND($E69="Oui",LEFT($M69,10) ="Débitmètre"),$F69,"")</f>
        <v/>
      </c>
      <c r="AF69" s="1604" t="str" cm="1">
        <f t="array" aca="1" ref="AF69" ca="1">IFERROR(INDEX($AE$14:$AE$96,SMALL(IF($AE$14:$AE$96&lt;&gt;"",ROW($AE$14:$AE$96)-ROW(INDIRECT("$AE$13"))+1),ROW(INDIRECT("A" &amp; AB69 ) ))),"")</f>
        <v/>
      </c>
      <c r="AG69" s="1604" t="str">
        <f t="shared" si="2"/>
        <v/>
      </c>
      <c r="AH69" s="1604" t="str" cm="1">
        <f t="array" aca="1" ref="AH69" ca="1">IFERROR(INDEX($AG$14:$AG$96,SMALL(IF($AG$14:$AG$96&lt;&gt;"",ROW($AG$14:$AG$96)-ROW(INDIRECT("$AG$13"))+1),ROW(INDIRECT("A" &amp; AB69 ) ))),"")</f>
        <v/>
      </c>
      <c r="AI69" s="1604" t="str">
        <f t="shared" si="3"/>
        <v/>
      </c>
      <c r="AJ69" s="670" t="str" cm="1">
        <f t="array" aca="1" ref="AJ69" ca="1">IFERROR(INDEX($AI$14:$AI$96,SMALL(IF($AI$14:$AI$96&lt;&gt;"",ROW($AI$14:$AI$96)-ROW(INDIRECT("$AI$13"))+1),ROW(INDIRECT("A" &amp; AB69 ) ))),"")</f>
        <v/>
      </c>
    </row>
    <row r="70" spans="28:36" ht="20.100000000000001" customHeight="1" x14ac:dyDescent="0.45">
      <c r="AB70" s="456">
        <f t="shared" si="4"/>
        <v>58</v>
      </c>
      <c r="AC70" s="1605" t="str">
        <f t="shared" si="5"/>
        <v/>
      </c>
      <c r="AD70" s="1604" t="str" cm="1">
        <f t="array" aca="1" ref="AD70" ca="1">IFERROR(INDEX($AC$14:$AC$96,SMALL(IF($AC$14:$AC$96&lt;&gt;"",ROW($AC$14:$AC$96)-ROW(INDIRECT("$AC$13"))+1),ROW(INDIRECT("A" &amp; AB70 ) ))),"")</f>
        <v/>
      </c>
      <c r="AE70" s="1603" t="str">
        <f t="shared" si="13"/>
        <v/>
      </c>
      <c r="AF70" s="1604" t="str" cm="1">
        <f t="array" aca="1" ref="AF70" ca="1">IFERROR(INDEX($AE$14:$AE$96,SMALL(IF($AE$14:$AE$96&lt;&gt;"",ROW($AE$14:$AE$96)-ROW(INDIRECT("$AE$13"))+1),ROW(INDIRECT("A" &amp; AB70 ) ))),"")</f>
        <v/>
      </c>
      <c r="AG70" s="1604" t="str">
        <f t="shared" si="2"/>
        <v/>
      </c>
      <c r="AH70" s="1604" t="str" cm="1">
        <f t="array" aca="1" ref="AH70" ca="1">IFERROR(INDEX($AG$14:$AG$96,SMALL(IF($AG$14:$AG$96&lt;&gt;"",ROW($AG$14:$AG$96)-ROW(INDIRECT("$AG$13"))+1),ROW(INDIRECT("A" &amp; AB70 ) ))),"")</f>
        <v/>
      </c>
      <c r="AI70" s="1604" t="str">
        <f t="shared" si="3"/>
        <v/>
      </c>
      <c r="AJ70" s="670" t="str" cm="1">
        <f t="array" aca="1" ref="AJ70" ca="1">IFERROR(INDEX($AI$14:$AI$96,SMALL(IF($AI$14:$AI$96&lt;&gt;"",ROW($AI$14:$AI$96)-ROW(INDIRECT("$AI$13"))+1),ROW(INDIRECT("A" &amp; AB70 ) ))),"")</f>
        <v/>
      </c>
    </row>
    <row r="71" spans="28:36" ht="20.100000000000001" customHeight="1" x14ac:dyDescent="0.45">
      <c r="AB71" s="456">
        <f t="shared" si="4"/>
        <v>59</v>
      </c>
      <c r="AC71" s="1605" t="str">
        <f t="shared" si="5"/>
        <v/>
      </c>
      <c r="AD71" s="1604" t="str" cm="1">
        <f t="array" aca="1" ref="AD71" ca="1">IFERROR(INDEX($AC$14:$AC$96,SMALL(IF($AC$14:$AC$96&lt;&gt;"",ROW($AC$14:$AC$96)-ROW(INDIRECT("$AC$13"))+1),ROW(INDIRECT("A" &amp; AB71 ) ))),"")</f>
        <v/>
      </c>
      <c r="AE71" s="1603" t="str">
        <f t="shared" si="13"/>
        <v/>
      </c>
      <c r="AF71" s="1604" t="str" cm="1">
        <f t="array" aca="1" ref="AF71" ca="1">IFERROR(INDEX($AE$14:$AE$96,SMALL(IF($AE$14:$AE$96&lt;&gt;"",ROW($AE$14:$AE$96)-ROW(INDIRECT("$AE$13"))+1),ROW(INDIRECT("A" &amp; AB71 ) ))),"")</f>
        <v/>
      </c>
      <c r="AG71" s="1604" t="str">
        <f t="shared" si="2"/>
        <v/>
      </c>
      <c r="AH71" s="1604" t="str" cm="1">
        <f t="array" aca="1" ref="AH71" ca="1">IFERROR(INDEX($AG$14:$AG$96,SMALL(IF($AG$14:$AG$96&lt;&gt;"",ROW($AG$14:$AG$96)-ROW(INDIRECT("$AG$13"))+1),ROW(INDIRECT("A" &amp; AB71 ) ))),"")</f>
        <v/>
      </c>
      <c r="AI71" s="1604" t="str">
        <f t="shared" si="3"/>
        <v/>
      </c>
      <c r="AJ71" s="670" t="str" cm="1">
        <f t="array" aca="1" ref="AJ71" ca="1">IFERROR(INDEX($AI$14:$AI$96,SMALL(IF($AI$14:$AI$96&lt;&gt;"",ROW($AI$14:$AI$96)-ROW(INDIRECT("$AI$13"))+1),ROW(INDIRECT("A" &amp; AB71 ) ))),"")</f>
        <v/>
      </c>
    </row>
    <row r="72" spans="28:36" ht="20.100000000000001" customHeight="1" x14ac:dyDescent="0.45">
      <c r="AB72" s="456">
        <f t="shared" si="4"/>
        <v>60</v>
      </c>
      <c r="AC72" s="1605" t="str">
        <f t="shared" ref="AC72:AC73" si="14">IF(AND($E72="Oui",$M72="Préleveur"),$F72,"")</f>
        <v/>
      </c>
      <c r="AD72" s="1604" t="str" cm="1">
        <f t="array" aca="1" ref="AD72" ca="1">IFERROR(INDEX($AC$14:$AC$96,SMALL(IF($AC$14:$AC$96&lt;&gt;"",ROW($AC$14:$AC$96)-ROW(INDIRECT("$AC$13"))+1),ROW(INDIRECT("A" &amp; AB72 ) ))),"")</f>
        <v/>
      </c>
      <c r="AE72" s="1603" t="str">
        <f t="shared" si="13"/>
        <v/>
      </c>
      <c r="AF72" s="1604" t="str" cm="1">
        <f t="array" aca="1" ref="AF72" ca="1">IFERROR(INDEX($AE$14:$AE$96,SMALL(IF($AE$14:$AE$96&lt;&gt;"",ROW($AE$14:$AE$96)-ROW(INDIRECT("$AE$13"))+1),ROW(INDIRECT("A" &amp; AB72 ) ))),"")</f>
        <v/>
      </c>
      <c r="AG72" s="1604" t="str">
        <f t="shared" si="2"/>
        <v/>
      </c>
      <c r="AH72" s="1604" t="str" cm="1">
        <f t="array" aca="1" ref="AH72" ca="1">IFERROR(INDEX($AG$14:$AG$96,SMALL(IF($AG$14:$AG$96&lt;&gt;"",ROW($AG$14:$AG$96)-ROW(INDIRECT("$AG$13"))+1),ROW(INDIRECT("A" &amp; AB72 ) ))),"")</f>
        <v/>
      </c>
      <c r="AI72" s="1604" t="str">
        <f t="shared" si="3"/>
        <v/>
      </c>
      <c r="AJ72" s="670" t="str" cm="1">
        <f t="array" aca="1" ref="AJ72" ca="1">IFERROR(INDEX($AI$14:$AI$96,SMALL(IF($AI$14:$AI$96&lt;&gt;"",ROW($AI$14:$AI$96)-ROW(INDIRECT("$AI$13"))+1),ROW(INDIRECT("A" &amp; AB72 ) ))),"")</f>
        <v/>
      </c>
    </row>
    <row r="73" spans="28:36" ht="20.100000000000001" customHeight="1" x14ac:dyDescent="0.45">
      <c r="AB73" s="456">
        <f t="shared" si="4"/>
        <v>61</v>
      </c>
      <c r="AC73" s="1605" t="str">
        <f t="shared" si="14"/>
        <v/>
      </c>
      <c r="AD73" s="1604" t="str" cm="1">
        <f t="array" aca="1" ref="AD73" ca="1">IFERROR(INDEX($AC$14:$AC$96,SMALL(IF($AC$14:$AC$96&lt;&gt;"",ROW($AC$14:$AC$96)-ROW(INDIRECT("$AC$13"))+1),ROW(INDIRECT("A" &amp; AB73 ) ))),"")</f>
        <v/>
      </c>
      <c r="AE73" s="1603" t="str">
        <f t="shared" si="13"/>
        <v/>
      </c>
      <c r="AF73" s="1604" t="str" cm="1">
        <f t="array" aca="1" ref="AF73" ca="1">IFERROR(INDEX($AE$14:$AE$96,SMALL(IF($AE$14:$AE$96&lt;&gt;"",ROW($AE$14:$AE$96)-ROW(INDIRECT("$AE$13"))+1),ROW(INDIRECT("A" &amp; AB73 ) ))),"")</f>
        <v/>
      </c>
      <c r="AG73" s="1604" t="str">
        <f t="shared" si="2"/>
        <v/>
      </c>
      <c r="AH73" s="1604" t="str" cm="1">
        <f t="array" aca="1" ref="AH73" ca="1">IFERROR(INDEX($AG$14:$AG$96,SMALL(IF($AG$14:$AG$96&lt;&gt;"",ROW($AG$14:$AG$96)-ROW(INDIRECT("$AG$13"))+1),ROW(INDIRECT("A" &amp; AB73 ) ))),"")</f>
        <v/>
      </c>
      <c r="AI73" s="1604" t="str">
        <f t="shared" si="3"/>
        <v/>
      </c>
      <c r="AJ73" s="670" t="str" cm="1">
        <f t="array" aca="1" ref="AJ73" ca="1">IFERROR(INDEX($AI$14:$AI$96,SMALL(IF($AI$14:$AI$96&lt;&gt;"",ROW($AI$14:$AI$96)-ROW(INDIRECT("$AI$13"))+1),ROW(INDIRECT("A" &amp; AB73 ) ))),"")</f>
        <v/>
      </c>
    </row>
    <row r="74" spans="28:36" ht="20.100000000000001" customHeight="1" x14ac:dyDescent="0.45">
      <c r="AB74" s="456">
        <f t="shared" si="4"/>
        <v>62</v>
      </c>
      <c r="AC74" s="1605" t="str">
        <f t="shared" ref="AC74:AC96" si="15">IF(AND($E74="Oui",$M74="Préleveur"),$F74,"")</f>
        <v/>
      </c>
      <c r="AD74" s="1604" t="str" cm="1">
        <f t="array" aca="1" ref="AD74" ca="1">IFERROR(INDEX($AC$14:$AC$96,SMALL(IF($AC$14:$AC$96&lt;&gt;"",ROW($AC$14:$AC$96)-ROW(INDIRECT("$AC$13"))+1),ROW(INDIRECT("A" &amp; AB74 ) ))),"")</f>
        <v/>
      </c>
      <c r="AE74" s="1603" t="str">
        <f t="shared" si="13"/>
        <v/>
      </c>
      <c r="AF74" s="1604" t="str" cm="1">
        <f t="array" aca="1" ref="AF74" ca="1">IFERROR(INDEX($AE$14:$AE$96,SMALL(IF($AE$14:$AE$96&lt;&gt;"",ROW($AE$14:$AE$96)-ROW(INDIRECT("$AE$13"))+1),ROW(INDIRECT("A" &amp; AB74 ) ))),"")</f>
        <v/>
      </c>
      <c r="AG74" s="1604" t="str">
        <f t="shared" ref="AG74:AG96" si="16">IF(AND($E74="Oui",LEFT($M74,5) ="Sonde"),$F74,"")</f>
        <v/>
      </c>
      <c r="AH74" s="1604" t="str" cm="1">
        <f t="array" aca="1" ref="AH74" ca="1">IFERROR(INDEX($AG$14:$AG$96,SMALL(IF($AG$14:$AG$96&lt;&gt;"",ROW($AG$14:$AG$96)-ROW(INDIRECT("$AG$13"))+1),ROW(INDIRECT("A" &amp; AB74 ) ))),"")</f>
        <v/>
      </c>
      <c r="AI74" s="1604" t="str">
        <f t="shared" ref="AI74:AI96" si="17">IF(AND($E74="Oui",$F74&lt;&gt;"",$M74=""),$F74,"")</f>
        <v/>
      </c>
      <c r="AJ74" s="670" t="str" cm="1">
        <f t="array" aca="1" ref="AJ74" ca="1">IFERROR(INDEX($AI$14:$AI$96,SMALL(IF($AI$14:$AI$96&lt;&gt;"",ROW($AI$14:$AI$96)-ROW(INDIRECT("$AI$13"))+1),ROW(INDIRECT("A" &amp; AB74 ) ))),"")</f>
        <v/>
      </c>
    </row>
    <row r="75" spans="28:36" ht="20.100000000000001" customHeight="1" x14ac:dyDescent="0.45">
      <c r="AB75" s="456">
        <f t="shared" ref="AB75:AB96" si="18">ROW(A75)- $AD$2 +1</f>
        <v>63</v>
      </c>
      <c r="AC75" s="1605" t="str">
        <f t="shared" si="15"/>
        <v/>
      </c>
      <c r="AD75" s="1604" t="str" cm="1">
        <f t="array" aca="1" ref="AD75" ca="1">IFERROR(INDEX($AC$14:$AC$96,SMALL(IF($AC$14:$AC$96&lt;&gt;"",ROW($AC$14:$AC$96)-ROW(INDIRECT("$AC$13"))+1),ROW(INDIRECT("A" &amp; AB75 ) ))),"")</f>
        <v/>
      </c>
      <c r="AE75" s="1603" t="str">
        <f t="shared" si="13"/>
        <v/>
      </c>
      <c r="AF75" s="1604" t="str" cm="1">
        <f t="array" aca="1" ref="AF75" ca="1">IFERROR(INDEX($AE$14:$AE$96,SMALL(IF($AE$14:$AE$96&lt;&gt;"",ROW($AE$14:$AE$96)-ROW(INDIRECT("$AE$13"))+1),ROW(INDIRECT("A" &amp; AB75 ) ))),"")</f>
        <v/>
      </c>
      <c r="AG75" s="1604" t="str">
        <f t="shared" si="16"/>
        <v/>
      </c>
      <c r="AH75" s="1604" t="str" cm="1">
        <f t="array" aca="1" ref="AH75" ca="1">IFERROR(INDEX($AG$14:$AG$96,SMALL(IF($AG$14:$AG$96&lt;&gt;"",ROW($AG$14:$AG$96)-ROW(INDIRECT("$AG$13"))+1),ROW(INDIRECT("A" &amp; AB75 ) ))),"")</f>
        <v/>
      </c>
      <c r="AI75" s="1604" t="str">
        <f t="shared" si="17"/>
        <v/>
      </c>
      <c r="AJ75" s="670" t="str" cm="1">
        <f t="array" aca="1" ref="AJ75" ca="1">IFERROR(INDEX($AI$14:$AI$96,SMALL(IF($AI$14:$AI$96&lt;&gt;"",ROW($AI$14:$AI$96)-ROW(INDIRECT("$AI$13"))+1),ROW(INDIRECT("A" &amp; AB75 ) ))),"")</f>
        <v/>
      </c>
    </row>
    <row r="76" spans="28:36" ht="20.100000000000001" customHeight="1" x14ac:dyDescent="0.45">
      <c r="AB76" s="456">
        <f t="shared" si="18"/>
        <v>64</v>
      </c>
      <c r="AC76" s="1605" t="str">
        <f t="shared" si="15"/>
        <v/>
      </c>
      <c r="AD76" s="1604" t="str" cm="1">
        <f t="array" aca="1" ref="AD76" ca="1">IFERROR(INDEX($AC$14:$AC$96,SMALL(IF($AC$14:$AC$96&lt;&gt;"",ROW($AC$14:$AC$96)-ROW(INDIRECT("$AC$13"))+1),ROW(INDIRECT("A" &amp; AB76 ) ))),"")</f>
        <v/>
      </c>
      <c r="AE76" s="1603" t="str">
        <f t="shared" si="13"/>
        <v/>
      </c>
      <c r="AF76" s="1604" t="str" cm="1">
        <f t="array" aca="1" ref="AF76" ca="1">IFERROR(INDEX($AE$14:$AE$96,SMALL(IF($AE$14:$AE$96&lt;&gt;"",ROW($AE$14:$AE$96)-ROW(INDIRECT("$AE$13"))+1),ROW(INDIRECT("A" &amp; AB76 ) ))),"")</f>
        <v/>
      </c>
      <c r="AG76" s="1604" t="str">
        <f t="shared" si="16"/>
        <v/>
      </c>
      <c r="AH76" s="1604" t="str" cm="1">
        <f t="array" aca="1" ref="AH76" ca="1">IFERROR(INDEX($AG$14:$AG$96,SMALL(IF($AG$14:$AG$96&lt;&gt;"",ROW($AG$14:$AG$96)-ROW(INDIRECT("$AG$13"))+1),ROW(INDIRECT("A" &amp; AB76 ) ))),"")</f>
        <v/>
      </c>
      <c r="AI76" s="1604" t="str">
        <f t="shared" si="17"/>
        <v/>
      </c>
      <c r="AJ76" s="670" t="str" cm="1">
        <f t="array" aca="1" ref="AJ76" ca="1">IFERROR(INDEX($AI$14:$AI$96,SMALL(IF($AI$14:$AI$96&lt;&gt;"",ROW($AI$14:$AI$96)-ROW(INDIRECT("$AI$13"))+1),ROW(INDIRECT("A" &amp; AB76 ) ))),"")</f>
        <v/>
      </c>
    </row>
    <row r="77" spans="28:36" ht="20.100000000000001" customHeight="1" x14ac:dyDescent="0.45">
      <c r="AB77" s="456">
        <f t="shared" si="18"/>
        <v>65</v>
      </c>
      <c r="AC77" s="1605" t="str">
        <f t="shared" si="15"/>
        <v/>
      </c>
      <c r="AD77" s="1604" t="str" cm="1">
        <f t="array" aca="1" ref="AD77" ca="1">IFERROR(INDEX($AC$14:$AC$96,SMALL(IF($AC$14:$AC$96&lt;&gt;"",ROW($AC$14:$AC$96)-ROW(INDIRECT("$AC$13"))+1),ROW(INDIRECT("A" &amp; AB77 ) ))),"")</f>
        <v/>
      </c>
      <c r="AE77" s="1603" t="str">
        <f t="shared" si="13"/>
        <v/>
      </c>
      <c r="AF77" s="1604" t="str" cm="1">
        <f t="array" aca="1" ref="AF77" ca="1">IFERROR(INDEX($AE$14:$AE$96,SMALL(IF($AE$14:$AE$96&lt;&gt;"",ROW($AE$14:$AE$96)-ROW(INDIRECT("$AE$13"))+1),ROW(INDIRECT("A" &amp; AB77 ) ))),"")</f>
        <v/>
      </c>
      <c r="AG77" s="1604" t="str">
        <f t="shared" si="16"/>
        <v/>
      </c>
      <c r="AH77" s="1604" t="str" cm="1">
        <f t="array" aca="1" ref="AH77" ca="1">IFERROR(INDEX($AG$14:$AG$96,SMALL(IF($AG$14:$AG$96&lt;&gt;"",ROW($AG$14:$AG$96)-ROW(INDIRECT("$AG$13"))+1),ROW(INDIRECT("A" &amp; AB77 ) ))),"")</f>
        <v/>
      </c>
      <c r="AI77" s="1604" t="str">
        <f t="shared" si="17"/>
        <v/>
      </c>
      <c r="AJ77" s="670" t="str" cm="1">
        <f t="array" aca="1" ref="AJ77" ca="1">IFERROR(INDEX($AI$14:$AI$96,SMALL(IF($AI$14:$AI$96&lt;&gt;"",ROW($AI$14:$AI$96)-ROW(INDIRECT("$AI$13"))+1),ROW(INDIRECT("A" &amp; AB77 ) ))),"")</f>
        <v/>
      </c>
    </row>
    <row r="78" spans="28:36" ht="20.100000000000001" customHeight="1" x14ac:dyDescent="0.45">
      <c r="AB78" s="456">
        <f t="shared" si="18"/>
        <v>66</v>
      </c>
      <c r="AC78" s="1605" t="str">
        <f t="shared" si="15"/>
        <v/>
      </c>
      <c r="AD78" s="1604" t="str" cm="1">
        <f t="array" aca="1" ref="AD78" ca="1">IFERROR(INDEX($AC$14:$AC$96,SMALL(IF($AC$14:$AC$96&lt;&gt;"",ROW($AC$14:$AC$96)-ROW(INDIRECT("$AC$13"))+1),ROW(INDIRECT("A" &amp; AB78 ) ))),"")</f>
        <v/>
      </c>
      <c r="AE78" s="1603" t="str">
        <f t="shared" si="13"/>
        <v/>
      </c>
      <c r="AF78" s="1604" t="str" cm="1">
        <f t="array" aca="1" ref="AF78" ca="1">IFERROR(INDEX($AE$14:$AE$96,SMALL(IF($AE$14:$AE$96&lt;&gt;"",ROW($AE$14:$AE$96)-ROW(INDIRECT("$AE$13"))+1),ROW(INDIRECT("A" &amp; AB78 ) ))),"")</f>
        <v/>
      </c>
      <c r="AG78" s="1604" t="str">
        <f t="shared" si="16"/>
        <v/>
      </c>
      <c r="AH78" s="1604" t="str" cm="1">
        <f t="array" aca="1" ref="AH78" ca="1">IFERROR(INDEX($AG$14:$AG$96,SMALL(IF($AG$14:$AG$96&lt;&gt;"",ROW($AG$14:$AG$96)-ROW(INDIRECT("$AG$13"))+1),ROW(INDIRECT("A" &amp; AB78 ) ))),"")</f>
        <v/>
      </c>
      <c r="AI78" s="1604" t="str">
        <f t="shared" si="17"/>
        <v/>
      </c>
      <c r="AJ78" s="670" t="str" cm="1">
        <f t="array" aca="1" ref="AJ78" ca="1">IFERROR(INDEX($AI$14:$AI$96,SMALL(IF($AI$14:$AI$96&lt;&gt;"",ROW($AI$14:$AI$96)-ROW(INDIRECT("$AI$13"))+1),ROW(INDIRECT("A" &amp; AB78 ) ))),"")</f>
        <v/>
      </c>
    </row>
    <row r="79" spans="28:36" ht="20.100000000000001" customHeight="1" x14ac:dyDescent="0.45">
      <c r="AB79" s="456">
        <f t="shared" si="18"/>
        <v>67</v>
      </c>
      <c r="AC79" s="1605" t="str">
        <f t="shared" si="15"/>
        <v/>
      </c>
      <c r="AD79" s="1604" t="str" cm="1">
        <f t="array" aca="1" ref="AD79" ca="1">IFERROR(INDEX($AC$14:$AC$96,SMALL(IF($AC$14:$AC$96&lt;&gt;"",ROW($AC$14:$AC$96)-ROW(INDIRECT("$AC$13"))+1),ROW(INDIRECT("A" &amp; AB79 ) ))),"")</f>
        <v/>
      </c>
      <c r="AE79" s="1603" t="str">
        <f t="shared" si="13"/>
        <v/>
      </c>
      <c r="AF79" s="1604" t="str" cm="1">
        <f t="array" aca="1" ref="AF79" ca="1">IFERROR(INDEX($AE$14:$AE$96,SMALL(IF($AE$14:$AE$96&lt;&gt;"",ROW($AE$14:$AE$96)-ROW(INDIRECT("$AE$13"))+1),ROW(INDIRECT("A" &amp; AB79 ) ))),"")</f>
        <v/>
      </c>
      <c r="AG79" s="1604" t="str">
        <f t="shared" si="16"/>
        <v/>
      </c>
      <c r="AH79" s="1604" t="str" cm="1">
        <f t="array" aca="1" ref="AH79" ca="1">IFERROR(INDEX($AG$14:$AG$96,SMALL(IF($AG$14:$AG$96&lt;&gt;"",ROW($AG$14:$AG$96)-ROW(INDIRECT("$AG$13"))+1),ROW(INDIRECT("A" &amp; AB79 ) ))),"")</f>
        <v/>
      </c>
      <c r="AI79" s="1604" t="str">
        <f t="shared" si="17"/>
        <v/>
      </c>
      <c r="AJ79" s="670" t="str" cm="1">
        <f t="array" aca="1" ref="AJ79" ca="1">IFERROR(INDEX($AI$14:$AI$96,SMALL(IF($AI$14:$AI$96&lt;&gt;"",ROW($AI$14:$AI$96)-ROW(INDIRECT("$AI$13"))+1),ROW(INDIRECT("A" &amp; AB79 ) ))),"")</f>
        <v/>
      </c>
    </row>
    <row r="80" spans="28:36" ht="20.100000000000001" customHeight="1" x14ac:dyDescent="0.45">
      <c r="AB80" s="456">
        <f t="shared" si="18"/>
        <v>68</v>
      </c>
      <c r="AC80" s="1605" t="str">
        <f t="shared" si="15"/>
        <v/>
      </c>
      <c r="AD80" s="1604" t="str" cm="1">
        <f t="array" aca="1" ref="AD80" ca="1">IFERROR(INDEX($AC$14:$AC$96,SMALL(IF($AC$14:$AC$96&lt;&gt;"",ROW($AC$14:$AC$96)-ROW(INDIRECT("$AC$13"))+1),ROW(INDIRECT("A" &amp; AB80 ) ))),"")</f>
        <v/>
      </c>
      <c r="AE80" s="1603" t="str">
        <f t="shared" si="13"/>
        <v/>
      </c>
      <c r="AF80" s="1604" t="str" cm="1">
        <f t="array" aca="1" ref="AF80" ca="1">IFERROR(INDEX($AE$14:$AE$96,SMALL(IF($AE$14:$AE$96&lt;&gt;"",ROW($AE$14:$AE$96)-ROW(INDIRECT("$AE$13"))+1),ROW(INDIRECT("A" &amp; AB80 ) ))),"")</f>
        <v/>
      </c>
      <c r="AG80" s="1604" t="str">
        <f t="shared" si="16"/>
        <v/>
      </c>
      <c r="AH80" s="1604" t="str" cm="1">
        <f t="array" aca="1" ref="AH80" ca="1">IFERROR(INDEX($AG$14:$AG$96,SMALL(IF($AG$14:$AG$96&lt;&gt;"",ROW($AG$14:$AG$96)-ROW(INDIRECT("$AG$13"))+1),ROW(INDIRECT("A" &amp; AB80 ) ))),"")</f>
        <v/>
      </c>
      <c r="AI80" s="1604" t="str">
        <f t="shared" si="17"/>
        <v/>
      </c>
      <c r="AJ80" s="670" t="str" cm="1">
        <f t="array" aca="1" ref="AJ80" ca="1">IFERROR(INDEX($AI$14:$AI$96,SMALL(IF($AI$14:$AI$96&lt;&gt;"",ROW($AI$14:$AI$96)-ROW(INDIRECT("$AI$13"))+1),ROW(INDIRECT("A" &amp; AB80 ) ))),"")</f>
        <v/>
      </c>
    </row>
    <row r="81" spans="28:36" ht="20.100000000000001" customHeight="1" x14ac:dyDescent="0.45">
      <c r="AB81" s="456">
        <f t="shared" si="18"/>
        <v>69</v>
      </c>
      <c r="AC81" s="1605" t="str">
        <f t="shared" si="15"/>
        <v/>
      </c>
      <c r="AD81" s="1604" t="str" cm="1">
        <f t="array" aca="1" ref="AD81" ca="1">IFERROR(INDEX($AC$14:$AC$96,SMALL(IF($AC$14:$AC$96&lt;&gt;"",ROW($AC$14:$AC$96)-ROW(INDIRECT("$AC$13"))+1),ROW(INDIRECT("A" &amp; AB81 ) ))),"")</f>
        <v/>
      </c>
      <c r="AE81" s="1603" t="str">
        <f t="shared" si="13"/>
        <v/>
      </c>
      <c r="AF81" s="1604" t="str" cm="1">
        <f t="array" aca="1" ref="AF81" ca="1">IFERROR(INDEX($AE$14:$AE$96,SMALL(IF($AE$14:$AE$96&lt;&gt;"",ROW($AE$14:$AE$96)-ROW(INDIRECT("$AE$13"))+1),ROW(INDIRECT("A" &amp; AB81 ) ))),"")</f>
        <v/>
      </c>
      <c r="AG81" s="1604" t="str">
        <f t="shared" si="16"/>
        <v/>
      </c>
      <c r="AH81" s="1604" t="str" cm="1">
        <f t="array" aca="1" ref="AH81" ca="1">IFERROR(INDEX($AG$14:$AG$96,SMALL(IF($AG$14:$AG$96&lt;&gt;"",ROW($AG$14:$AG$96)-ROW(INDIRECT("$AG$13"))+1),ROW(INDIRECT("A" &amp; AB81 ) ))),"")</f>
        <v/>
      </c>
      <c r="AI81" s="1604" t="str">
        <f t="shared" si="17"/>
        <v/>
      </c>
      <c r="AJ81" s="670" t="str" cm="1">
        <f t="array" aca="1" ref="AJ81" ca="1">IFERROR(INDEX($AI$14:$AI$96,SMALL(IF($AI$14:$AI$96&lt;&gt;"",ROW($AI$14:$AI$96)-ROW(INDIRECT("$AI$13"))+1),ROW(INDIRECT("A" &amp; AB81 ) ))),"")</f>
        <v/>
      </c>
    </row>
    <row r="82" spans="28:36" ht="20.100000000000001" customHeight="1" x14ac:dyDescent="0.45">
      <c r="AB82" s="456">
        <f t="shared" si="18"/>
        <v>70</v>
      </c>
      <c r="AC82" s="1605" t="str">
        <f t="shared" si="15"/>
        <v/>
      </c>
      <c r="AD82" s="1604" t="str" cm="1">
        <f t="array" aca="1" ref="AD82" ca="1">IFERROR(INDEX($AC$14:$AC$96,SMALL(IF($AC$14:$AC$96&lt;&gt;"",ROW($AC$14:$AC$96)-ROW(INDIRECT("$AC$13"))+1),ROW(INDIRECT("A" &amp; AB82 ) ))),"")</f>
        <v/>
      </c>
      <c r="AE82" s="1603" t="str">
        <f t="shared" si="13"/>
        <v/>
      </c>
      <c r="AF82" s="1604" t="str" cm="1">
        <f t="array" aca="1" ref="AF82" ca="1">IFERROR(INDEX($AE$14:$AE$96,SMALL(IF($AE$14:$AE$96&lt;&gt;"",ROW($AE$14:$AE$96)-ROW(INDIRECT("$AE$13"))+1),ROW(INDIRECT("A" &amp; AB82 ) ))),"")</f>
        <v/>
      </c>
      <c r="AG82" s="1604" t="str">
        <f t="shared" si="16"/>
        <v/>
      </c>
      <c r="AH82" s="1604" t="str" cm="1">
        <f t="array" aca="1" ref="AH82" ca="1">IFERROR(INDEX($AG$14:$AG$96,SMALL(IF($AG$14:$AG$96&lt;&gt;"",ROW($AG$14:$AG$96)-ROW(INDIRECT("$AG$13"))+1),ROW(INDIRECT("A" &amp; AB82 ) ))),"")</f>
        <v/>
      </c>
      <c r="AI82" s="1604" t="str">
        <f t="shared" si="17"/>
        <v/>
      </c>
      <c r="AJ82" s="670" t="str" cm="1">
        <f t="array" aca="1" ref="AJ82" ca="1">IFERROR(INDEX($AI$14:$AI$96,SMALL(IF($AI$14:$AI$96&lt;&gt;"",ROW($AI$14:$AI$96)-ROW(INDIRECT("$AI$13"))+1),ROW(INDIRECT("A" &amp; AB82 ) ))),"")</f>
        <v/>
      </c>
    </row>
    <row r="83" spans="28:36" ht="20.100000000000001" customHeight="1" x14ac:dyDescent="0.45">
      <c r="AB83" s="456">
        <f t="shared" si="18"/>
        <v>71</v>
      </c>
      <c r="AC83" s="1605" t="str">
        <f t="shared" si="15"/>
        <v/>
      </c>
      <c r="AD83" s="1604" t="str" cm="1">
        <f t="array" aca="1" ref="AD83" ca="1">IFERROR(INDEX($AC$14:$AC$96,SMALL(IF($AC$14:$AC$96&lt;&gt;"",ROW($AC$14:$AC$96)-ROW(INDIRECT("$AC$13"))+1),ROW(INDIRECT("A" &amp; AB83 ) ))),"")</f>
        <v/>
      </c>
      <c r="AE83" s="1603" t="str">
        <f t="shared" si="13"/>
        <v/>
      </c>
      <c r="AF83" s="1604" t="str" cm="1">
        <f t="array" aca="1" ref="AF83" ca="1">IFERROR(INDEX($AE$14:$AE$96,SMALL(IF($AE$14:$AE$96&lt;&gt;"",ROW($AE$14:$AE$96)-ROW(INDIRECT("$AE$13"))+1),ROW(INDIRECT("A" &amp; AB83 ) ))),"")</f>
        <v/>
      </c>
      <c r="AG83" s="1604" t="str">
        <f t="shared" si="16"/>
        <v/>
      </c>
      <c r="AH83" s="1604" t="str" cm="1">
        <f t="array" aca="1" ref="AH83" ca="1">IFERROR(INDEX($AG$14:$AG$96,SMALL(IF($AG$14:$AG$96&lt;&gt;"",ROW($AG$14:$AG$96)-ROW(INDIRECT("$AG$13"))+1),ROW(INDIRECT("A" &amp; AB83 ) ))),"")</f>
        <v/>
      </c>
      <c r="AI83" s="1604" t="str">
        <f t="shared" si="17"/>
        <v/>
      </c>
      <c r="AJ83" s="670" t="str" cm="1">
        <f t="array" aca="1" ref="AJ83" ca="1">IFERROR(INDEX($AI$14:$AI$96,SMALL(IF($AI$14:$AI$96&lt;&gt;"",ROW($AI$14:$AI$96)-ROW(INDIRECT("$AI$13"))+1),ROW(INDIRECT("A" &amp; AB83 ) ))),"")</f>
        <v/>
      </c>
    </row>
    <row r="84" spans="28:36" ht="20.100000000000001" customHeight="1" x14ac:dyDescent="0.45">
      <c r="AB84" s="456">
        <f t="shared" si="18"/>
        <v>72</v>
      </c>
      <c r="AC84" s="1605" t="str">
        <f t="shared" si="15"/>
        <v/>
      </c>
      <c r="AD84" s="1604" t="str" cm="1">
        <f t="array" aca="1" ref="AD84" ca="1">IFERROR(INDEX($AC$14:$AC$96,SMALL(IF($AC$14:$AC$96&lt;&gt;"",ROW($AC$14:$AC$96)-ROW(INDIRECT("$AC$13"))+1),ROW(INDIRECT("A" &amp; AB84 ) ))),"")</f>
        <v/>
      </c>
      <c r="AE84" s="1603" t="str">
        <f t="shared" si="13"/>
        <v/>
      </c>
      <c r="AF84" s="1604" t="str" cm="1">
        <f t="array" aca="1" ref="AF84" ca="1">IFERROR(INDEX($AE$14:$AE$96,SMALL(IF($AE$14:$AE$96&lt;&gt;"",ROW($AE$14:$AE$96)-ROW(INDIRECT("$AE$13"))+1),ROW(INDIRECT("A" &amp; AB84 ) ))),"")</f>
        <v/>
      </c>
      <c r="AG84" s="1604" t="str">
        <f t="shared" si="16"/>
        <v/>
      </c>
      <c r="AH84" s="1604" t="str" cm="1">
        <f t="array" aca="1" ref="AH84" ca="1">IFERROR(INDEX($AG$14:$AG$96,SMALL(IF($AG$14:$AG$96&lt;&gt;"",ROW($AG$14:$AG$96)-ROW(INDIRECT("$AG$13"))+1),ROW(INDIRECT("A" &amp; AB84 ) ))),"")</f>
        <v/>
      </c>
      <c r="AI84" s="1604" t="str">
        <f t="shared" si="17"/>
        <v/>
      </c>
      <c r="AJ84" s="670" t="str" cm="1">
        <f t="array" aca="1" ref="AJ84" ca="1">IFERROR(INDEX($AI$14:$AI$96,SMALL(IF($AI$14:$AI$96&lt;&gt;"",ROW($AI$14:$AI$96)-ROW(INDIRECT("$AI$13"))+1),ROW(INDIRECT("A" &amp; AB84 ) ))),"")</f>
        <v/>
      </c>
    </row>
    <row r="85" spans="28:36" ht="20.100000000000001" customHeight="1" x14ac:dyDescent="0.45">
      <c r="AB85" s="456">
        <f t="shared" si="18"/>
        <v>73</v>
      </c>
      <c r="AC85" s="1605" t="str">
        <f t="shared" si="15"/>
        <v/>
      </c>
      <c r="AD85" s="1604" t="str" cm="1">
        <f t="array" aca="1" ref="AD85" ca="1">IFERROR(INDEX($AC$14:$AC$96,SMALL(IF($AC$14:$AC$96&lt;&gt;"",ROW($AC$14:$AC$96)-ROW(INDIRECT("$AC$13"))+1),ROW(INDIRECT("A" &amp; AB85 ) ))),"")</f>
        <v/>
      </c>
      <c r="AE85" s="1603" t="str">
        <f t="shared" si="13"/>
        <v/>
      </c>
      <c r="AF85" s="1604" t="str" cm="1">
        <f t="array" aca="1" ref="AF85" ca="1">IFERROR(INDEX($AE$14:$AE$96,SMALL(IF($AE$14:$AE$96&lt;&gt;"",ROW($AE$14:$AE$96)-ROW(INDIRECT("$AE$13"))+1),ROW(INDIRECT("A" &amp; AB85 ) ))),"")</f>
        <v/>
      </c>
      <c r="AG85" s="1604" t="str">
        <f t="shared" si="16"/>
        <v/>
      </c>
      <c r="AH85" s="1604" t="str" cm="1">
        <f t="array" aca="1" ref="AH85" ca="1">IFERROR(INDEX($AG$14:$AG$96,SMALL(IF($AG$14:$AG$96&lt;&gt;"",ROW($AG$14:$AG$96)-ROW(INDIRECT("$AG$13"))+1),ROW(INDIRECT("A" &amp; AB85 ) ))),"")</f>
        <v/>
      </c>
      <c r="AI85" s="1604" t="str">
        <f t="shared" si="17"/>
        <v/>
      </c>
      <c r="AJ85" s="670" t="str" cm="1">
        <f t="array" aca="1" ref="AJ85" ca="1">IFERROR(INDEX($AI$14:$AI$96,SMALL(IF($AI$14:$AI$96&lt;&gt;"",ROW($AI$14:$AI$96)-ROW(INDIRECT("$AI$13"))+1),ROW(INDIRECT("A" &amp; AB85 ) ))),"")</f>
        <v/>
      </c>
    </row>
    <row r="86" spans="28:36" ht="20.100000000000001" customHeight="1" x14ac:dyDescent="0.45">
      <c r="AB86" s="456">
        <f t="shared" si="18"/>
        <v>74</v>
      </c>
      <c r="AC86" s="1605" t="str">
        <f t="shared" si="15"/>
        <v/>
      </c>
      <c r="AD86" s="1604" t="str" cm="1">
        <f t="array" aca="1" ref="AD86" ca="1">IFERROR(INDEX($AC$14:$AC$96,SMALL(IF($AC$14:$AC$96&lt;&gt;"",ROW($AC$14:$AC$96)-ROW(INDIRECT("$AC$13"))+1),ROW(INDIRECT("A" &amp; AB86 ) ))),"")</f>
        <v/>
      </c>
      <c r="AE86" s="1603" t="str">
        <f t="shared" si="13"/>
        <v/>
      </c>
      <c r="AF86" s="1604" t="str" cm="1">
        <f t="array" aca="1" ref="AF86" ca="1">IFERROR(INDEX($AE$14:$AE$96,SMALL(IF($AE$14:$AE$96&lt;&gt;"",ROW($AE$14:$AE$96)-ROW(INDIRECT("$AE$13"))+1),ROW(INDIRECT("A" &amp; AB86 ) ))),"")</f>
        <v/>
      </c>
      <c r="AG86" s="1604" t="str">
        <f t="shared" si="16"/>
        <v/>
      </c>
      <c r="AH86" s="1604" t="str" cm="1">
        <f t="array" aca="1" ref="AH86" ca="1">IFERROR(INDEX($AG$14:$AG$96,SMALL(IF($AG$14:$AG$96&lt;&gt;"",ROW($AG$14:$AG$96)-ROW(INDIRECT("$AG$13"))+1),ROW(INDIRECT("A" &amp; AB86 ) ))),"")</f>
        <v/>
      </c>
      <c r="AI86" s="1604" t="str">
        <f t="shared" si="17"/>
        <v/>
      </c>
      <c r="AJ86" s="670" t="str" cm="1">
        <f t="array" aca="1" ref="AJ86" ca="1">IFERROR(INDEX($AI$14:$AI$96,SMALL(IF($AI$14:$AI$96&lt;&gt;"",ROW($AI$14:$AI$96)-ROW(INDIRECT("$AI$13"))+1),ROW(INDIRECT("A" &amp; AB86 ) ))),"")</f>
        <v/>
      </c>
    </row>
    <row r="87" spans="28:36" ht="20.100000000000001" customHeight="1" x14ac:dyDescent="0.45">
      <c r="AB87" s="456">
        <f t="shared" si="18"/>
        <v>75</v>
      </c>
      <c r="AC87" s="1605" t="str">
        <f t="shared" si="15"/>
        <v/>
      </c>
      <c r="AD87" s="1604" t="str" cm="1">
        <f t="array" aca="1" ref="AD87" ca="1">IFERROR(INDEX($AC$14:$AC$96,SMALL(IF($AC$14:$AC$96&lt;&gt;"",ROW($AC$14:$AC$96)-ROW(INDIRECT("$AC$13"))+1),ROW(INDIRECT("A" &amp; AB87 ) ))),"")</f>
        <v/>
      </c>
      <c r="AE87" s="1603" t="str">
        <f t="shared" si="13"/>
        <v/>
      </c>
      <c r="AF87" s="1604" t="str" cm="1">
        <f t="array" aca="1" ref="AF87" ca="1">IFERROR(INDEX($AE$14:$AE$96,SMALL(IF($AE$14:$AE$96&lt;&gt;"",ROW($AE$14:$AE$96)-ROW(INDIRECT("$AE$13"))+1),ROW(INDIRECT("A" &amp; AB87 ) ))),"")</f>
        <v/>
      </c>
      <c r="AG87" s="1604" t="str">
        <f t="shared" si="16"/>
        <v/>
      </c>
      <c r="AH87" s="1604" t="str" cm="1">
        <f t="array" aca="1" ref="AH87" ca="1">IFERROR(INDEX($AG$14:$AG$96,SMALL(IF($AG$14:$AG$96&lt;&gt;"",ROW($AG$14:$AG$96)-ROW(INDIRECT("$AG$13"))+1),ROW(INDIRECT("A" &amp; AB87 ) ))),"")</f>
        <v/>
      </c>
      <c r="AI87" s="1604" t="str">
        <f t="shared" si="17"/>
        <v/>
      </c>
      <c r="AJ87" s="670" t="str" cm="1">
        <f t="array" aca="1" ref="AJ87" ca="1">IFERROR(INDEX($AI$14:$AI$96,SMALL(IF($AI$14:$AI$96&lt;&gt;"",ROW($AI$14:$AI$96)-ROW(INDIRECT("$AI$13"))+1),ROW(INDIRECT("A" &amp; AB87 ) ))),"")</f>
        <v/>
      </c>
    </row>
    <row r="88" spans="28:36" ht="20.100000000000001" customHeight="1" x14ac:dyDescent="0.45">
      <c r="AB88" s="456">
        <f t="shared" si="18"/>
        <v>76</v>
      </c>
      <c r="AC88" s="1605" t="str">
        <f t="shared" si="15"/>
        <v/>
      </c>
      <c r="AD88" s="1604" t="str" cm="1">
        <f t="array" aca="1" ref="AD88" ca="1">IFERROR(INDEX($AC$14:$AC$96,SMALL(IF($AC$14:$AC$96&lt;&gt;"",ROW($AC$14:$AC$96)-ROW(INDIRECT("$AC$13"))+1),ROW(INDIRECT("A" &amp; AB88 ) ))),"")</f>
        <v/>
      </c>
      <c r="AE88" s="1603" t="str">
        <f t="shared" si="13"/>
        <v/>
      </c>
      <c r="AF88" s="1604" t="str" cm="1">
        <f t="array" aca="1" ref="AF88" ca="1">IFERROR(INDEX($AE$14:$AE$96,SMALL(IF($AE$14:$AE$96&lt;&gt;"",ROW($AE$14:$AE$96)-ROW(INDIRECT("$AE$13"))+1),ROW(INDIRECT("A" &amp; AB88 ) ))),"")</f>
        <v/>
      </c>
      <c r="AG88" s="1604" t="str">
        <f t="shared" si="16"/>
        <v/>
      </c>
      <c r="AH88" s="1604" t="str" cm="1">
        <f t="array" aca="1" ref="AH88" ca="1">IFERROR(INDEX($AG$14:$AG$96,SMALL(IF($AG$14:$AG$96&lt;&gt;"",ROW($AG$14:$AG$96)-ROW(INDIRECT("$AG$13"))+1),ROW(INDIRECT("A" &amp; AB88 ) ))),"")</f>
        <v/>
      </c>
      <c r="AI88" s="1604" t="str">
        <f t="shared" si="17"/>
        <v/>
      </c>
      <c r="AJ88" s="670" t="str" cm="1">
        <f t="array" aca="1" ref="AJ88" ca="1">IFERROR(INDEX($AI$14:$AI$96,SMALL(IF($AI$14:$AI$96&lt;&gt;"",ROW($AI$14:$AI$96)-ROW(INDIRECT("$AI$13"))+1),ROW(INDIRECT("A" &amp; AB88 ) ))),"")</f>
        <v/>
      </c>
    </row>
    <row r="89" spans="28:36" ht="20.100000000000001" customHeight="1" x14ac:dyDescent="0.45">
      <c r="AB89" s="456">
        <f t="shared" si="18"/>
        <v>77</v>
      </c>
      <c r="AC89" s="1605" t="str">
        <f t="shared" si="15"/>
        <v/>
      </c>
      <c r="AD89" s="1604" t="str" cm="1">
        <f t="array" aca="1" ref="AD89" ca="1">IFERROR(INDEX($AC$14:$AC$96,SMALL(IF($AC$14:$AC$96&lt;&gt;"",ROW($AC$14:$AC$96)-ROW(INDIRECT("$AC$13"))+1),ROW(INDIRECT("A" &amp; AB89 ) ))),"")</f>
        <v/>
      </c>
      <c r="AE89" s="1603" t="str">
        <f t="shared" si="13"/>
        <v/>
      </c>
      <c r="AF89" s="1604" t="str" cm="1">
        <f t="array" aca="1" ref="AF89" ca="1">IFERROR(INDEX($AE$14:$AE$96,SMALL(IF($AE$14:$AE$96&lt;&gt;"",ROW($AE$14:$AE$96)-ROW(INDIRECT("$AE$13"))+1),ROW(INDIRECT("A" &amp; AB89 ) ))),"")</f>
        <v/>
      </c>
      <c r="AG89" s="1604" t="str">
        <f t="shared" si="16"/>
        <v/>
      </c>
      <c r="AH89" s="1604" t="str" cm="1">
        <f t="array" aca="1" ref="AH89" ca="1">IFERROR(INDEX($AG$14:$AG$96,SMALL(IF($AG$14:$AG$96&lt;&gt;"",ROW($AG$14:$AG$96)-ROW(INDIRECT("$AG$13"))+1),ROW(INDIRECT("A" &amp; AB89 ) ))),"")</f>
        <v/>
      </c>
      <c r="AI89" s="1604" t="str">
        <f t="shared" si="17"/>
        <v/>
      </c>
      <c r="AJ89" s="670" t="str" cm="1">
        <f t="array" aca="1" ref="AJ89" ca="1">IFERROR(INDEX($AI$14:$AI$96,SMALL(IF($AI$14:$AI$96&lt;&gt;"",ROW($AI$14:$AI$96)-ROW(INDIRECT("$AI$13"))+1),ROW(INDIRECT("A" &amp; AB89 ) ))),"")</f>
        <v/>
      </c>
    </row>
    <row r="90" spans="28:36" ht="20.100000000000001" customHeight="1" x14ac:dyDescent="0.45">
      <c r="AB90" s="456">
        <f t="shared" si="18"/>
        <v>78</v>
      </c>
      <c r="AC90" s="1605" t="str">
        <f t="shared" si="15"/>
        <v/>
      </c>
      <c r="AD90" s="1604" t="str" cm="1">
        <f t="array" aca="1" ref="AD90" ca="1">IFERROR(INDEX($AC$14:$AC$96,SMALL(IF($AC$14:$AC$96&lt;&gt;"",ROW($AC$14:$AC$96)-ROW(INDIRECT("$AC$13"))+1),ROW(INDIRECT("A" &amp; AB90 ) ))),"")</f>
        <v/>
      </c>
      <c r="AE90" s="1603" t="str">
        <f t="shared" si="13"/>
        <v/>
      </c>
      <c r="AF90" s="1604" t="str" cm="1">
        <f t="array" aca="1" ref="AF90" ca="1">IFERROR(INDEX($AE$14:$AE$96,SMALL(IF($AE$14:$AE$96&lt;&gt;"",ROW($AE$14:$AE$96)-ROW(INDIRECT("$AE$13"))+1),ROW(INDIRECT("A" &amp; AB90 ) ))),"")</f>
        <v/>
      </c>
      <c r="AG90" s="1604" t="str">
        <f t="shared" si="16"/>
        <v/>
      </c>
      <c r="AH90" s="1604" t="str" cm="1">
        <f t="array" aca="1" ref="AH90" ca="1">IFERROR(INDEX($AG$14:$AG$96,SMALL(IF($AG$14:$AG$96&lt;&gt;"",ROW($AG$14:$AG$96)-ROW(INDIRECT("$AG$13"))+1),ROW(INDIRECT("A" &amp; AB90 ) ))),"")</f>
        <v/>
      </c>
      <c r="AI90" s="1604" t="str">
        <f t="shared" si="17"/>
        <v/>
      </c>
      <c r="AJ90" s="670" t="str" cm="1">
        <f t="array" aca="1" ref="AJ90" ca="1">IFERROR(INDEX($AI$14:$AI$96,SMALL(IF($AI$14:$AI$96&lt;&gt;"",ROW($AI$14:$AI$96)-ROW(INDIRECT("$AI$13"))+1),ROW(INDIRECT("A" &amp; AB90 ) ))),"")</f>
        <v/>
      </c>
    </row>
    <row r="91" spans="28:36" ht="20.100000000000001" customHeight="1" x14ac:dyDescent="0.45">
      <c r="AB91" s="456">
        <f t="shared" si="18"/>
        <v>79</v>
      </c>
      <c r="AC91" s="1605" t="str">
        <f t="shared" si="15"/>
        <v/>
      </c>
      <c r="AD91" s="1604" t="str" cm="1">
        <f t="array" aca="1" ref="AD91" ca="1">IFERROR(INDEX($AC$14:$AC$96,SMALL(IF($AC$14:$AC$96&lt;&gt;"",ROW($AC$14:$AC$96)-ROW(INDIRECT("$AC$13"))+1),ROW(INDIRECT("A" &amp; AB91 ) ))),"")</f>
        <v/>
      </c>
      <c r="AE91" s="1603" t="str">
        <f t="shared" si="13"/>
        <v/>
      </c>
      <c r="AF91" s="1604" t="str" cm="1">
        <f t="array" aca="1" ref="AF91" ca="1">IFERROR(INDEX($AE$14:$AE$96,SMALL(IF($AE$14:$AE$96&lt;&gt;"",ROW($AE$14:$AE$96)-ROW(INDIRECT("$AE$13"))+1),ROW(INDIRECT("A" &amp; AB91 ) ))),"")</f>
        <v/>
      </c>
      <c r="AG91" s="1604" t="str">
        <f t="shared" si="16"/>
        <v/>
      </c>
      <c r="AH91" s="1604" t="str" cm="1">
        <f t="array" aca="1" ref="AH91" ca="1">IFERROR(INDEX($AG$14:$AG$96,SMALL(IF($AG$14:$AG$96&lt;&gt;"",ROW($AG$14:$AG$96)-ROW(INDIRECT("$AG$13"))+1),ROW(INDIRECT("A" &amp; AB91 ) ))),"")</f>
        <v/>
      </c>
      <c r="AI91" s="1604" t="str">
        <f t="shared" si="17"/>
        <v/>
      </c>
      <c r="AJ91" s="670" t="str" cm="1">
        <f t="array" aca="1" ref="AJ91" ca="1">IFERROR(INDEX($AI$14:$AI$96,SMALL(IF($AI$14:$AI$96&lt;&gt;"",ROW($AI$14:$AI$96)-ROW(INDIRECT("$AI$13"))+1),ROW(INDIRECT("A" &amp; AB91 ) ))),"")</f>
        <v/>
      </c>
    </row>
    <row r="92" spans="28:36" ht="20.100000000000001" customHeight="1" x14ac:dyDescent="0.45">
      <c r="AB92" s="456">
        <f t="shared" si="18"/>
        <v>80</v>
      </c>
      <c r="AC92" s="1605" t="str">
        <f t="shared" si="15"/>
        <v/>
      </c>
      <c r="AD92" s="1604" t="str" cm="1">
        <f t="array" aca="1" ref="AD92" ca="1">IFERROR(INDEX($AC$14:$AC$96,SMALL(IF($AC$14:$AC$96&lt;&gt;"",ROW($AC$14:$AC$96)-ROW(INDIRECT("$AC$13"))+1),ROW(INDIRECT("A" &amp; AB92 ) ))),"")</f>
        <v/>
      </c>
      <c r="AE92" s="1603" t="str">
        <f t="shared" si="13"/>
        <v/>
      </c>
      <c r="AF92" s="1604" t="str" cm="1">
        <f t="array" aca="1" ref="AF92" ca="1">IFERROR(INDEX($AE$14:$AE$96,SMALL(IF($AE$14:$AE$96&lt;&gt;"",ROW($AE$14:$AE$96)-ROW(INDIRECT("$AE$13"))+1),ROW(INDIRECT("A" &amp; AB92 ) ))),"")</f>
        <v/>
      </c>
      <c r="AG92" s="1604" t="str">
        <f t="shared" si="16"/>
        <v/>
      </c>
      <c r="AH92" s="1604" t="str" cm="1">
        <f t="array" aca="1" ref="AH92" ca="1">IFERROR(INDEX($AG$14:$AG$96,SMALL(IF($AG$14:$AG$96&lt;&gt;"",ROW($AG$14:$AG$96)-ROW(INDIRECT("$AG$13"))+1),ROW(INDIRECT("A" &amp; AB92 ) ))),"")</f>
        <v/>
      </c>
      <c r="AI92" s="1604" t="str">
        <f t="shared" si="17"/>
        <v/>
      </c>
      <c r="AJ92" s="670" t="str" cm="1">
        <f t="array" aca="1" ref="AJ92" ca="1">IFERROR(INDEX($AI$14:$AI$96,SMALL(IF($AI$14:$AI$96&lt;&gt;"",ROW($AI$14:$AI$96)-ROW(INDIRECT("$AI$13"))+1),ROW(INDIRECT("A" &amp; AB92 ) ))),"")</f>
        <v/>
      </c>
    </row>
    <row r="93" spans="28:36" ht="20.100000000000001" customHeight="1" x14ac:dyDescent="0.45">
      <c r="AB93" s="456">
        <f t="shared" si="18"/>
        <v>81</v>
      </c>
      <c r="AC93" s="1605" t="str">
        <f t="shared" si="15"/>
        <v/>
      </c>
      <c r="AD93" s="1604" t="str" cm="1">
        <f t="array" aca="1" ref="AD93" ca="1">IFERROR(INDEX($AC$14:$AC$96,SMALL(IF($AC$14:$AC$96&lt;&gt;"",ROW($AC$14:$AC$96)-ROW(INDIRECT("$AC$13"))+1),ROW(INDIRECT("A" &amp; AB93 ) ))),"")</f>
        <v/>
      </c>
      <c r="AE93" s="1603" t="str">
        <f t="shared" si="13"/>
        <v/>
      </c>
      <c r="AF93" s="1604" t="str" cm="1">
        <f t="array" aca="1" ref="AF93" ca="1">IFERROR(INDEX($AE$14:$AE$96,SMALL(IF($AE$14:$AE$96&lt;&gt;"",ROW($AE$14:$AE$96)-ROW(INDIRECT("$AE$13"))+1),ROW(INDIRECT("A" &amp; AB93 ) ))),"")</f>
        <v/>
      </c>
      <c r="AG93" s="1604" t="str">
        <f t="shared" si="16"/>
        <v/>
      </c>
      <c r="AH93" s="1604" t="str" cm="1">
        <f t="array" aca="1" ref="AH93" ca="1">IFERROR(INDEX($AG$14:$AG$96,SMALL(IF($AG$14:$AG$96&lt;&gt;"",ROW($AG$14:$AG$96)-ROW(INDIRECT("$AG$13"))+1),ROW(INDIRECT("A" &amp; AB93 ) ))),"")</f>
        <v/>
      </c>
      <c r="AI93" s="1604" t="str">
        <f t="shared" si="17"/>
        <v/>
      </c>
      <c r="AJ93" s="670" t="str" cm="1">
        <f t="array" aca="1" ref="AJ93" ca="1">IFERROR(INDEX($AI$14:$AI$96,SMALL(IF($AI$14:$AI$96&lt;&gt;"",ROW($AI$14:$AI$96)-ROW(INDIRECT("$AI$13"))+1),ROW(INDIRECT("A" &amp; AB93 ) ))),"")</f>
        <v/>
      </c>
    </row>
    <row r="94" spans="28:36" ht="20.100000000000001" customHeight="1" x14ac:dyDescent="0.45">
      <c r="AB94" s="456">
        <f t="shared" si="18"/>
        <v>82</v>
      </c>
      <c r="AC94" s="1605" t="str">
        <f t="shared" si="15"/>
        <v/>
      </c>
      <c r="AD94" s="1604" t="str" cm="1">
        <f t="array" aca="1" ref="AD94" ca="1">IFERROR(INDEX($AC$14:$AC$96,SMALL(IF($AC$14:$AC$96&lt;&gt;"",ROW($AC$14:$AC$96)-ROW(INDIRECT("$AC$13"))+1),ROW(INDIRECT("A" &amp; AB94 ) ))),"")</f>
        <v/>
      </c>
      <c r="AE94" s="1603" t="str">
        <f t="shared" si="13"/>
        <v/>
      </c>
      <c r="AF94" s="1604" t="str" cm="1">
        <f t="array" aca="1" ref="AF94" ca="1">IFERROR(INDEX($AE$14:$AE$96,SMALL(IF($AE$14:$AE$96&lt;&gt;"",ROW($AE$14:$AE$96)-ROW(INDIRECT("$AE$13"))+1),ROW(INDIRECT("A" &amp; AB94 ) ))),"")</f>
        <v/>
      </c>
      <c r="AG94" s="1604" t="str">
        <f t="shared" si="16"/>
        <v/>
      </c>
      <c r="AH94" s="1604" t="str" cm="1">
        <f t="array" aca="1" ref="AH94" ca="1">IFERROR(INDEX($AG$14:$AG$96,SMALL(IF($AG$14:$AG$96&lt;&gt;"",ROW($AG$14:$AG$96)-ROW(INDIRECT("$AG$13"))+1),ROW(INDIRECT("A" &amp; AB94 ) ))),"")</f>
        <v/>
      </c>
      <c r="AI94" s="1604" t="str">
        <f t="shared" si="17"/>
        <v/>
      </c>
      <c r="AJ94" s="670" t="str" cm="1">
        <f t="array" aca="1" ref="AJ94" ca="1">IFERROR(INDEX($AI$14:$AI$96,SMALL(IF($AI$14:$AI$96&lt;&gt;"",ROW($AI$14:$AI$96)-ROW(INDIRECT("$AI$13"))+1),ROW(INDIRECT("A" &amp; AB94 ) ))),"")</f>
        <v/>
      </c>
    </row>
    <row r="95" spans="28:36" ht="20.100000000000001" customHeight="1" x14ac:dyDescent="0.45">
      <c r="AB95" s="456">
        <f t="shared" si="18"/>
        <v>83</v>
      </c>
      <c r="AC95" s="1605" t="str">
        <f t="shared" si="15"/>
        <v/>
      </c>
      <c r="AD95" s="1604" t="str" cm="1">
        <f t="array" aca="1" ref="AD95" ca="1">IFERROR(INDEX($AC$14:$AC$96,SMALL(IF($AC$14:$AC$96&lt;&gt;"",ROW($AC$14:$AC$96)-ROW(INDIRECT("$AC$13"))+1),ROW(INDIRECT("A" &amp; AB95 ) ))),"")</f>
        <v/>
      </c>
      <c r="AE95" s="1603" t="str">
        <f t="shared" si="13"/>
        <v/>
      </c>
      <c r="AF95" s="1604" t="str" cm="1">
        <f t="array" aca="1" ref="AF95" ca="1">IFERROR(INDEX($AE$14:$AE$96,SMALL(IF($AE$14:$AE$96&lt;&gt;"",ROW($AE$14:$AE$96)-ROW(INDIRECT("$AE$13"))+1),ROW(INDIRECT("A" &amp; AB95 ) ))),"")</f>
        <v/>
      </c>
      <c r="AG95" s="1604" t="str">
        <f t="shared" si="16"/>
        <v/>
      </c>
      <c r="AH95" s="1604" t="str" cm="1">
        <f t="array" aca="1" ref="AH95" ca="1">IFERROR(INDEX($AG$14:$AG$96,SMALL(IF($AG$14:$AG$96&lt;&gt;"",ROW($AG$14:$AG$96)-ROW(INDIRECT("$AG$13"))+1),ROW(INDIRECT("A" &amp; AB95 ) ))),"")</f>
        <v/>
      </c>
      <c r="AI95" s="1604" t="str">
        <f t="shared" si="17"/>
        <v/>
      </c>
      <c r="AJ95" s="670" t="str" cm="1">
        <f t="array" aca="1" ref="AJ95" ca="1">IFERROR(INDEX($AI$14:$AI$96,SMALL(IF($AI$14:$AI$96&lt;&gt;"",ROW($AI$14:$AI$96)-ROW(INDIRECT("$AI$13"))+1),ROW(INDIRECT("A" &amp; AB95 ) ))),"")</f>
        <v/>
      </c>
    </row>
    <row r="96" spans="28:36" ht="20.100000000000001" customHeight="1" x14ac:dyDescent="0.45">
      <c r="AB96" s="456">
        <f t="shared" si="18"/>
        <v>84</v>
      </c>
      <c r="AC96" s="1605" t="str">
        <f t="shared" si="15"/>
        <v/>
      </c>
      <c r="AD96" s="1604" t="str" cm="1">
        <f t="array" aca="1" ref="AD96" ca="1">IFERROR(INDEX($AC$14:$AC$96,SMALL(IF($AC$14:$AC$96&lt;&gt;"",ROW($AC$14:$AC$96)-ROW(INDIRECT("$AC$13"))+1),ROW(INDIRECT("A" &amp; AB96 ) ))),"")</f>
        <v/>
      </c>
      <c r="AE96" s="1603" t="str">
        <f t="shared" si="13"/>
        <v/>
      </c>
      <c r="AF96" s="1604" t="str" cm="1">
        <f t="array" aca="1" ref="AF96" ca="1">IFERROR(INDEX($AE$14:$AE$96,SMALL(IF($AE$14:$AE$96&lt;&gt;"",ROW($AE$14:$AE$96)-ROW(INDIRECT("$AE$13"))+1),ROW(INDIRECT("A" &amp; AB96 ) ))),"")</f>
        <v/>
      </c>
      <c r="AG96" s="1604" t="str">
        <f t="shared" si="16"/>
        <v/>
      </c>
      <c r="AH96" s="1604" t="str" cm="1">
        <f t="array" aca="1" ref="AH96" ca="1">IFERROR(INDEX($AG$14:$AG$96,SMALL(IF($AG$14:$AG$96&lt;&gt;"",ROW($AG$14:$AG$96)-ROW(INDIRECT("$AG$13"))+1),ROW(INDIRECT("A" &amp; AB96 ) ))),"")</f>
        <v/>
      </c>
      <c r="AI96" s="1604" t="str">
        <f t="shared" si="17"/>
        <v/>
      </c>
      <c r="AJ96" s="670" t="str" cm="1">
        <f t="array" aca="1" ref="AJ96" ca="1">IFERROR(INDEX($AI$14:$AI$96,SMALL(IF($AI$14:$AI$96&lt;&gt;"",ROW($AI$14:$AI$96)-ROW(INDIRECT("$AI$13"))+1),ROW(INDIRECT("A" &amp; AB96 ) ))),"")</f>
        <v/>
      </c>
    </row>
  </sheetData>
  <autoFilter ref="E32:Q32" xr:uid="{00000000-0009-0000-0000-000007000000}">
    <filterColumn colId="1" showButton="0"/>
    <filterColumn colId="6" showButton="0"/>
    <filterColumn colId="8" showButton="0"/>
    <filterColumn colId="10" showButton="0"/>
    <filterColumn colId="11" showButton="0"/>
  </autoFilter>
  <mergeCells count="101">
    <mergeCell ref="S13:T13"/>
    <mergeCell ref="F39:G39"/>
    <mergeCell ref="K39:L39"/>
    <mergeCell ref="M39:N39"/>
    <mergeCell ref="O39:Q39"/>
    <mergeCell ref="R39:S39"/>
    <mergeCell ref="F37:G37"/>
    <mergeCell ref="K37:L37"/>
    <mergeCell ref="M37:N37"/>
    <mergeCell ref="O37:Q37"/>
    <mergeCell ref="R37:S37"/>
    <mergeCell ref="F38:G38"/>
    <mergeCell ref="K38:L38"/>
    <mergeCell ref="M38:N38"/>
    <mergeCell ref="O38:Q38"/>
    <mergeCell ref="R38:S38"/>
    <mergeCell ref="M35:N35"/>
    <mergeCell ref="O35:Q35"/>
    <mergeCell ref="R35:S35"/>
    <mergeCell ref="F36:G36"/>
    <mergeCell ref="K36:L36"/>
    <mergeCell ref="M36:N36"/>
    <mergeCell ref="O36:Q36"/>
    <mergeCell ref="R36:S36"/>
    <mergeCell ref="H21:I21"/>
    <mergeCell ref="F21:G21"/>
    <mergeCell ref="C2:V2"/>
    <mergeCell ref="T3:V3"/>
    <mergeCell ref="C4:F4"/>
    <mergeCell ref="G4:J4"/>
    <mergeCell ref="K4:M4"/>
    <mergeCell ref="N4:P4"/>
    <mergeCell ref="Q4:S4"/>
    <mergeCell ref="T4:V4"/>
    <mergeCell ref="C3:F3"/>
    <mergeCell ref="G3:J3"/>
    <mergeCell ref="K3:M3"/>
    <mergeCell ref="N3:P3"/>
    <mergeCell ref="Q3:S3"/>
    <mergeCell ref="T6:V6"/>
    <mergeCell ref="AC12:AD12"/>
    <mergeCell ref="K5:M5"/>
    <mergeCell ref="N5:P5"/>
    <mergeCell ref="Q5:S5"/>
    <mergeCell ref="M12:N12"/>
    <mergeCell ref="O12:P12"/>
    <mergeCell ref="Q6:S6"/>
    <mergeCell ref="C8:V8"/>
    <mergeCell ref="K12:L12"/>
    <mergeCell ref="C5:F5"/>
    <mergeCell ref="T5:V5"/>
    <mergeCell ref="G5:J5"/>
    <mergeCell ref="H7:I7"/>
    <mergeCell ref="C6:F6"/>
    <mergeCell ref="G6:J6"/>
    <mergeCell ref="K6:M6"/>
    <mergeCell ref="N6:P6"/>
    <mergeCell ref="D7:E7"/>
    <mergeCell ref="F7:G7"/>
    <mergeCell ref="J7:K7"/>
    <mergeCell ref="F12:G12"/>
    <mergeCell ref="F47:G47"/>
    <mergeCell ref="F48:G48"/>
    <mergeCell ref="H48:I48"/>
    <mergeCell ref="AG12:AH12"/>
    <mergeCell ref="AI12:AJ12"/>
    <mergeCell ref="AE12:AF12"/>
    <mergeCell ref="Q12:R12"/>
    <mergeCell ref="E15:G15"/>
    <mergeCell ref="F32:G32"/>
    <mergeCell ref="K32:L32"/>
    <mergeCell ref="C28:V28"/>
    <mergeCell ref="F20:G20"/>
    <mergeCell ref="K23:T23"/>
    <mergeCell ref="K24:T24"/>
    <mergeCell ref="E23:G23"/>
    <mergeCell ref="O32:Q32"/>
    <mergeCell ref="M32:N32"/>
    <mergeCell ref="F13:G13"/>
    <mergeCell ref="K13:L13"/>
    <mergeCell ref="M13:N13"/>
    <mergeCell ref="O13:P13"/>
    <mergeCell ref="Q13:R13"/>
    <mergeCell ref="F35:G35"/>
    <mergeCell ref="K35:L35"/>
    <mergeCell ref="F33:G33"/>
    <mergeCell ref="K33:L33"/>
    <mergeCell ref="M33:N33"/>
    <mergeCell ref="O33:Q33"/>
    <mergeCell ref="R33:S33"/>
    <mergeCell ref="F34:G34"/>
    <mergeCell ref="K34:L34"/>
    <mergeCell ref="M34:N34"/>
    <mergeCell ref="O34:Q34"/>
    <mergeCell ref="R34:S34"/>
    <mergeCell ref="E49:G49"/>
    <mergeCell ref="K49:T49"/>
    <mergeCell ref="K50:T50"/>
    <mergeCell ref="E41:G41"/>
    <mergeCell ref="F46:G46"/>
    <mergeCell ref="H47:I47"/>
  </mergeCells>
  <phoneticPr fontId="20" type="noConversion"/>
  <conditionalFormatting sqref="E13">
    <cfRule type="cellIs" dxfId="919" priority="75" stopIfTrue="1" operator="equal">
      <formula>"Non"</formula>
    </cfRule>
    <cfRule type="cellIs" dxfId="918" priority="76" stopIfTrue="1" operator="equal">
      <formula>"Oui"</formula>
    </cfRule>
  </conditionalFormatting>
  <conditionalFormatting sqref="E16:E19 D27 D50:F50 D51:E51">
    <cfRule type="cellIs" dxfId="917" priority="37" operator="equal">
      <formula>"Non"</formula>
    </cfRule>
    <cfRule type="cellIs" dxfId="916" priority="38" operator="equal">
      <formula>"Oui"</formula>
    </cfRule>
  </conditionalFormatting>
  <conditionalFormatting sqref="E20:E21">
    <cfRule type="cellIs" dxfId="915" priority="85" stopIfTrue="1" operator="equal">
      <formula>"Non"</formula>
    </cfRule>
    <cfRule type="cellIs" dxfId="914" priority="86" stopIfTrue="1" operator="equal">
      <formula>"Oui"</formula>
    </cfRule>
  </conditionalFormatting>
  <conditionalFormatting sqref="E23">
    <cfRule type="cellIs" dxfId="913" priority="83" stopIfTrue="1" operator="equal">
      <formula>"Non"</formula>
    </cfRule>
    <cfRule type="cellIs" dxfId="912" priority="84" stopIfTrue="1" operator="equal">
      <formula>"Oui"</formula>
    </cfRule>
  </conditionalFormatting>
  <conditionalFormatting sqref="E33:E39">
    <cfRule type="cellIs" dxfId="911" priority="61" stopIfTrue="1" operator="equal">
      <formula>"Non"</formula>
    </cfRule>
    <cfRule type="cellIs" dxfId="910" priority="62" stopIfTrue="1" operator="equal">
      <formula>"Oui"</formula>
    </cfRule>
  </conditionalFormatting>
  <conditionalFormatting sqref="E47:E48">
    <cfRule type="cellIs" dxfId="909" priority="77" stopIfTrue="1" operator="equal">
      <formula>"Non"</formula>
    </cfRule>
    <cfRule type="cellIs" dxfId="908" priority="78" stopIfTrue="1" operator="equal">
      <formula>"Oui"</formula>
    </cfRule>
  </conditionalFormatting>
  <dataValidations disablePrompts="1" count="6">
    <dataValidation type="list" allowBlank="1" showInputMessage="1" showErrorMessage="1" sqref="K53 E13 E33:E39 E47:E48 E21" xr:uid="{00000000-0002-0000-0700-000000000000}">
      <formula1>LISTE_1</formula1>
    </dataValidation>
    <dataValidation type="list" allowBlank="1" showInputMessage="1" showErrorMessage="1" sqref="M6" xr:uid="{00000000-0002-0000-0700-000001000000}">
      <formula1>conditions_meteo</formula1>
    </dataValidation>
    <dataValidation allowBlank="1" showInputMessage="1" showErrorMessage="1" promptTitle="Double click" prompt="Pour utiliser cette fonction, faites un double click sur la cellule" sqref="E41:E42 E15 E24 E49 S13 R33:R39 H47:H48 H21" xr:uid="{00000000-0002-0000-0700-000002000000}"/>
    <dataValidation type="list" allowBlank="1" showInputMessage="1" showErrorMessage="1" sqref="M33:M39 M13" xr:uid="{00000000-0002-0000-0700-000003000000}">
      <formula1>Type_equipement</formula1>
    </dataValidation>
    <dataValidation allowBlank="1" showInputMessage="1" showErrorMessage="1" promptTitle="Conseil de saisie" prompt="Vous pouvez modifier cette valeur dans l'onglet de description de l'équipement" sqref="O33:O39" xr:uid="{00000000-0002-0000-0700-000005000000}"/>
    <dataValidation type="list" allowBlank="1" showInputMessage="1" showErrorMessage="1" sqref="Q13" xr:uid="{5294A96B-9AE9-443A-A4B3-EA3C3A89CBD4}">
      <formula1>listePluviometres</formula1>
    </dataValidation>
  </dataValidations>
  <hyperlinks>
    <hyperlink ref="F33" location="'A2_P100_Q_Grav'!A1" tooltip="Accéder au descriptif complet de l'équipement" display="A2_P100_Q_Grav" xr:uid="{2942D013-1ADE-482E-A432-7B105F2AE475}"/>
    <hyperlink ref="F34" location="'A3_P102_Q_DEM'!A1" tooltip="Accéder au descriptif complet de l'équipement" display="A3_P102_Q_DEM" xr:uid="{8B3096B6-B443-49A4-920A-9849C504359E}"/>
    <hyperlink ref="F35" location="'A3_P102_PREL'!A1" tooltip="Accéder au descriptif complet de l'équipement" display="A3_P102_PREL" xr:uid="{008E091E-C9A3-407C-9332-BA66497592C8}"/>
    <hyperlink ref="F36" location="'A4_P103_Q_Grav'!A1" tooltip="Accéder au descriptif complet de l'équipement" display="A4_P103_Q_Grav" xr:uid="{6CCC1E3D-6AC8-4944-958A-669F52C8DCA5}"/>
    <hyperlink ref="F37" location="'A4_P103_PREL'!A1" tooltip="Accéder au descriptif complet de l'équipement" display="A4_P103_PREL" xr:uid="{9B6066CE-17B7-4F2B-B527-310A2717A964}"/>
    <hyperlink ref="F38" location="'A6_P104_Q_DEM'!A1" tooltip="Accéder au descriptif complet de l'équipement" display="A6_P104_Q_DEM" xr:uid="{249A780C-9FFB-4DC2-A559-E0A25B6262EA}"/>
    <hyperlink ref="F47" location="'PLUVIO_STEU_P1'!A1" tooltip="Accéder au descriptif complet du pluviomètre P1" display="PLUVIO_STEU_P1" xr:uid="{4DF0B4A1-C1AB-4100-AEAF-15D320433C33}"/>
    <hyperlink ref="F39" location="'A4_P103_TEMP'!A1" tooltip="Accéder au descriptif complet de l'équipement" display="A4_P103_TEMP" xr:uid="{342F0D98-A91C-4996-819D-B444D3FEE696}"/>
    <hyperlink ref="F13" location="'A1_DO1_Q_Grav'!A1" tooltip="Accéder au descriptif complet de l'équipement" display="A1_DO1_Q_Grav" xr:uid="{ED9A7137-9149-413F-B2A9-C8E6A60C4AB4}"/>
    <hyperlink ref="F48" location="'PLUVIO_STEU_ee'!A1" tooltip="Accéder au descriptif complet du pluviomètre ee" display="PLUVIO_STEU_ee" xr:uid="{8FB11BD3-8E42-4A1F-865C-3836ADFFA59D}"/>
    <hyperlink ref="F21" location="'PLUVIO_SCL_ooo'!A1" tooltip="Accéder au descriptif complet du pluviomètre ooo" display="PLUVIO_SCL_ooo" xr:uid="{1BA441A2-A4F9-47B0-8A61-1692507A1986}"/>
  </hyperlinks>
  <pageMargins left="0.7" right="0.7" top="0.75" bottom="0.75" header="0.3" footer="0.3"/>
  <pageSetup paperSize="9" orientation="portrait" horizontalDpi="4294967293"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B69"/>
  <sheetViews>
    <sheetView tabSelected="1" zoomScaleNormal="100" workbookViewId="0">
      <selection activeCell="I12" sqref="I12"/>
    </sheetView>
  </sheetViews>
  <sheetFormatPr baseColWidth="10" defaultColWidth="11.41015625" defaultRowHeight="20.100000000000001" customHeight="1" outlineLevelRow="1" x14ac:dyDescent="0.4"/>
  <cols>
    <col min="1" max="2" width="2.703125" style="594" customWidth="1"/>
    <col min="3" max="9" width="10.703125" style="594" customWidth="1"/>
    <col min="10" max="10" width="23.29296875" style="594" customWidth="1"/>
    <col min="11" max="13" width="10.703125" style="594" customWidth="1"/>
    <col min="14" max="23" width="5.703125" style="594" customWidth="1"/>
    <col min="24" max="27" width="10.703125" style="594" customWidth="1"/>
    <col min="28" max="29" width="2.703125" style="594" customWidth="1"/>
    <col min="30" max="33" width="11.41015625" style="594"/>
    <col min="34" max="35" width="16.41015625" style="594" customWidth="1"/>
    <col min="36" max="36" width="18.1171875" style="594" customWidth="1"/>
    <col min="37" max="37" width="16.41015625" style="594" customWidth="1"/>
    <col min="38" max="41" width="12.703125" style="594" customWidth="1"/>
    <col min="42" max="16384" width="11.41015625" style="594"/>
  </cols>
  <sheetData>
    <row r="1" spans="2:28" ht="9.9499999999999993" customHeight="1" thickBot="1" x14ac:dyDescent="0.45">
      <c r="B1" s="682"/>
      <c r="C1" s="683"/>
      <c r="D1" s="683"/>
      <c r="E1" s="683"/>
      <c r="F1" s="683"/>
      <c r="G1" s="683"/>
      <c r="H1" s="683"/>
      <c r="I1" s="683"/>
      <c r="J1" s="683"/>
      <c r="K1" s="683"/>
      <c r="L1" s="683"/>
      <c r="M1" s="683"/>
      <c r="N1" s="683"/>
      <c r="O1" s="683"/>
      <c r="P1" s="683"/>
      <c r="Q1" s="683"/>
      <c r="R1" s="683"/>
      <c r="S1" s="683"/>
      <c r="T1" s="683"/>
      <c r="U1" s="683"/>
      <c r="V1" s="683"/>
      <c r="W1" s="683"/>
      <c r="X1" s="683"/>
      <c r="Y1" s="683"/>
      <c r="Z1" s="683"/>
      <c r="AA1" s="683"/>
      <c r="AB1" s="684"/>
    </row>
    <row r="2" spans="2:28" ht="66.95" customHeight="1" thickTop="1" x14ac:dyDescent="0.4">
      <c r="B2" s="685"/>
      <c r="C2" s="976" t="s">
        <v>487</v>
      </c>
      <c r="D2" s="977"/>
      <c r="E2" s="977"/>
      <c r="F2" s="977"/>
      <c r="G2" s="977"/>
      <c r="H2" s="977"/>
      <c r="I2" s="977"/>
      <c r="J2" s="977"/>
      <c r="K2" s="977"/>
      <c r="L2" s="977"/>
      <c r="M2" s="977"/>
      <c r="N2" s="977"/>
      <c r="O2" s="977"/>
      <c r="P2" s="977"/>
      <c r="Q2" s="977"/>
      <c r="R2" s="977"/>
      <c r="S2" s="977"/>
      <c r="T2" s="977"/>
      <c r="U2" s="977"/>
      <c r="V2" s="977"/>
      <c r="W2" s="977"/>
      <c r="X2" s="977"/>
      <c r="Y2" s="977"/>
      <c r="Z2" s="977"/>
      <c r="AA2" s="978"/>
      <c r="AB2" s="680"/>
    </row>
    <row r="3" spans="2:28" ht="20.100000000000001" customHeight="1" x14ac:dyDescent="0.4">
      <c r="B3" s="685"/>
      <c r="C3" s="956" t="s">
        <v>488</v>
      </c>
      <c r="D3" s="957"/>
      <c r="E3" s="957"/>
      <c r="F3" s="958"/>
      <c r="G3" s="959" t="str">
        <f>IF(ISBLANK(Descriptif!G3),"",Descriptif!G3)</f>
        <v>BARJAC (30)</v>
      </c>
      <c r="H3" s="960"/>
      <c r="I3" s="960"/>
      <c r="J3" s="962"/>
      <c r="K3" s="947" t="s">
        <v>497</v>
      </c>
      <c r="L3" s="948"/>
      <c r="M3" s="949"/>
      <c r="N3" s="1069" t="str">
        <f>IF(ISBLANK(Descriptif!N3),"",Descriptif!N3)</f>
        <v>BARJAC (30)</v>
      </c>
      <c r="O3" s="1070"/>
      <c r="P3" s="1070"/>
      <c r="Q3" s="1070"/>
      <c r="R3" s="1070"/>
      <c r="S3" s="1071"/>
      <c r="T3" s="947" t="s">
        <v>494</v>
      </c>
      <c r="U3" s="948"/>
      <c r="V3" s="948"/>
      <c r="W3" s="948"/>
      <c r="X3" s="949"/>
      <c r="Y3" s="959" t="str">
        <f>IF(ISBLANK(Descriptif!T3),"",Descriptif!T3)</f>
        <v/>
      </c>
      <c r="Z3" s="960"/>
      <c r="AA3" s="961"/>
      <c r="AB3" s="680"/>
    </row>
    <row r="4" spans="2:28" ht="20.100000000000001" customHeight="1" x14ac:dyDescent="0.4">
      <c r="B4" s="685"/>
      <c r="C4" s="956" t="s">
        <v>489</v>
      </c>
      <c r="D4" s="957"/>
      <c r="E4" s="957"/>
      <c r="F4" s="958"/>
      <c r="G4" s="959" t="str">
        <f>IF(ISBLANK(Descriptif!G4),"",Descriptif!G4)</f>
        <v/>
      </c>
      <c r="H4" s="960"/>
      <c r="I4" s="960"/>
      <c r="J4" s="962"/>
      <c r="K4" s="947" t="s">
        <v>491</v>
      </c>
      <c r="L4" s="948"/>
      <c r="M4" s="949"/>
      <c r="N4" s="1069" t="str">
        <f>IF(ISBLANK(Descriptif!N4),"",Descriptif!N4)</f>
        <v>060930290002</v>
      </c>
      <c r="O4" s="1070"/>
      <c r="P4" s="1070"/>
      <c r="Q4" s="1070"/>
      <c r="R4" s="1070"/>
      <c r="S4" s="1071"/>
      <c r="T4" s="947" t="s">
        <v>495</v>
      </c>
      <c r="U4" s="948"/>
      <c r="V4" s="948"/>
      <c r="W4" s="948"/>
      <c r="X4" s="949"/>
      <c r="Y4" s="959" t="str">
        <f>IF(ISBLANK(Descriptif!T4),"",Descriptif!T4)</f>
        <v/>
      </c>
      <c r="Z4" s="960"/>
      <c r="AA4" s="961"/>
      <c r="AB4" s="680"/>
    </row>
    <row r="5" spans="2:28" ht="20.100000000000001" customHeight="1" x14ac:dyDescent="0.4">
      <c r="B5" s="685"/>
      <c r="C5" s="956" t="s">
        <v>490</v>
      </c>
      <c r="D5" s="957"/>
      <c r="E5" s="957"/>
      <c r="F5" s="958"/>
      <c r="G5" s="959" t="str">
        <f>IF(ISBLANK(Descriptif!G5),"",Descriptif!G5)</f>
        <v>Commune de Barjac</v>
      </c>
      <c r="H5" s="960"/>
      <c r="I5" s="960"/>
      <c r="J5" s="962"/>
      <c r="K5" s="947" t="s">
        <v>492</v>
      </c>
      <c r="L5" s="948"/>
      <c r="M5" s="949"/>
      <c r="N5" s="1069" t="str">
        <f>IF(ISBLANK(Descriptif!N5),"",Descriptif!N5)</f>
        <v>5 000 EH</v>
      </c>
      <c r="O5" s="1070"/>
      <c r="P5" s="1070"/>
      <c r="Q5" s="1070"/>
      <c r="R5" s="1070"/>
      <c r="S5" s="1071"/>
      <c r="T5" s="947" t="s">
        <v>496</v>
      </c>
      <c r="U5" s="948"/>
      <c r="V5" s="948"/>
      <c r="W5" s="948"/>
      <c r="X5" s="949"/>
      <c r="Y5" s="959" t="str">
        <f>IF(ISBLANK(Descriptif!T5),"",Descriptif!T5)</f>
        <v/>
      </c>
      <c r="Z5" s="960"/>
      <c r="AA5" s="961"/>
      <c r="AB5" s="680"/>
    </row>
    <row r="6" spans="2:28" ht="20.100000000000001" customHeight="1" thickBot="1" x14ac:dyDescent="0.45">
      <c r="B6" s="685"/>
      <c r="C6" s="964" t="s">
        <v>486</v>
      </c>
      <c r="D6" s="965"/>
      <c r="E6" s="965"/>
      <c r="F6" s="966"/>
      <c r="G6" s="944" t="str">
        <f>IF(ISBLANK(Descriptif!G6),"",Descriptif!G6)</f>
        <v>CEREG Ingénierie</v>
      </c>
      <c r="H6" s="945"/>
      <c r="I6" s="945"/>
      <c r="J6" s="967"/>
      <c r="K6" s="968" t="s">
        <v>493</v>
      </c>
      <c r="L6" s="969"/>
      <c r="M6" s="970"/>
      <c r="N6" s="1066" t="str">
        <f>IF(ISBLANK(Descriptif!N6),"",Descriptif!N6)</f>
        <v>Régie</v>
      </c>
      <c r="O6" s="1067"/>
      <c r="P6" s="1067"/>
      <c r="Q6" s="1067"/>
      <c r="R6" s="1067"/>
      <c r="S6" s="1068"/>
      <c r="T6" s="968" t="s">
        <v>498</v>
      </c>
      <c r="U6" s="969"/>
      <c r="V6" s="969"/>
      <c r="W6" s="969"/>
      <c r="X6" s="970"/>
      <c r="Y6" s="944" t="str">
        <f>IF(ISBLANK(Analytique!O3),"",Analytique!O3)</f>
        <v>test labo</v>
      </c>
      <c r="Z6" s="945"/>
      <c r="AA6" s="946"/>
      <c r="AB6" s="680"/>
    </row>
    <row r="7" spans="2:28" ht="20.100000000000001" customHeight="1" thickTop="1" thickBot="1" x14ac:dyDescent="0.45">
      <c r="B7" s="685"/>
      <c r="C7" s="686"/>
      <c r="D7" s="686"/>
      <c r="E7" s="686"/>
      <c r="F7" s="686"/>
      <c r="G7" s="686"/>
      <c r="H7" s="686"/>
      <c r="I7" s="686"/>
      <c r="J7" s="686"/>
      <c r="K7" s="686"/>
      <c r="L7" s="686"/>
      <c r="M7" s="686"/>
      <c r="N7" s="686"/>
      <c r="O7" s="686"/>
      <c r="P7" s="686"/>
      <c r="Q7" s="686"/>
      <c r="R7" s="686"/>
      <c r="S7" s="686"/>
      <c r="T7" s="686"/>
      <c r="U7" s="686"/>
      <c r="V7" s="686"/>
      <c r="W7" s="686"/>
      <c r="X7" s="686"/>
      <c r="Y7" s="686"/>
      <c r="Z7" s="686"/>
      <c r="AA7" s="686"/>
      <c r="AB7" s="680"/>
    </row>
    <row r="8" spans="2:28" ht="20.100000000000001" customHeight="1" thickTop="1" thickBot="1" x14ac:dyDescent="0.45">
      <c r="B8" s="685"/>
      <c r="C8" s="924" t="s">
        <v>641</v>
      </c>
      <c r="D8" s="925"/>
      <c r="E8" s="925"/>
      <c r="F8" s="925"/>
      <c r="G8" s="925"/>
      <c r="H8" s="925"/>
      <c r="I8" s="925"/>
      <c r="J8" s="925"/>
      <c r="K8" s="925"/>
      <c r="L8" s="925"/>
      <c r="M8" s="925"/>
      <c r="N8" s="925"/>
      <c r="O8" s="925"/>
      <c r="P8" s="925"/>
      <c r="Q8" s="925"/>
      <c r="R8" s="925"/>
      <c r="S8" s="925"/>
      <c r="T8" s="925"/>
      <c r="U8" s="925"/>
      <c r="V8" s="925"/>
      <c r="W8" s="925"/>
      <c r="X8" s="925"/>
      <c r="Y8" s="925"/>
      <c r="Z8" s="925"/>
      <c r="AA8" s="926"/>
      <c r="AB8" s="673"/>
    </row>
    <row r="9" spans="2:28" ht="20.100000000000001" customHeight="1" outlineLevel="1" thickTop="1" thickBot="1" x14ac:dyDescent="0.45">
      <c r="B9" s="685"/>
      <c r="C9" s="726"/>
      <c r="D9" s="686"/>
      <c r="E9" s="686"/>
      <c r="F9" s="686"/>
      <c r="G9" s="686"/>
      <c r="H9" s="686"/>
      <c r="I9" s="686"/>
      <c r="J9" s="686"/>
      <c r="K9" s="686"/>
      <c r="L9" s="686"/>
      <c r="M9" s="686"/>
      <c r="N9" s="686"/>
      <c r="O9" s="686"/>
      <c r="P9" s="686"/>
      <c r="Q9" s="686"/>
      <c r="R9" s="686"/>
      <c r="S9" s="686"/>
      <c r="T9" s="686"/>
      <c r="U9" s="686"/>
      <c r="V9" s="686"/>
      <c r="W9" s="686"/>
      <c r="X9" s="686"/>
      <c r="Y9" s="686"/>
      <c r="Z9" s="686"/>
      <c r="AA9" s="727"/>
      <c r="AB9" s="680"/>
    </row>
    <row r="10" spans="2:28" ht="20.100000000000001" customHeight="1" outlineLevel="1" thickBot="1" x14ac:dyDescent="0.45">
      <c r="B10" s="685"/>
      <c r="C10" s="726"/>
      <c r="D10" s="1015" t="s">
        <v>642</v>
      </c>
      <c r="E10" s="1016"/>
      <c r="F10" s="733"/>
      <c r="G10" s="733"/>
      <c r="H10" s="733"/>
      <c r="I10" s="733"/>
      <c r="J10" s="733"/>
      <c r="K10" s="733"/>
      <c r="L10" s="733"/>
      <c r="M10" s="733"/>
      <c r="N10" s="733"/>
      <c r="O10" s="733"/>
      <c r="P10" s="733"/>
      <c r="Q10" s="733"/>
      <c r="R10" s="733"/>
      <c r="S10" s="733"/>
      <c r="T10" s="733"/>
      <c r="U10" s="733"/>
      <c r="V10" s="733"/>
      <c r="W10" s="733"/>
      <c r="X10" s="733"/>
      <c r="Y10" s="709"/>
      <c r="Z10" s="729"/>
      <c r="AA10" s="727"/>
      <c r="AB10" s="673"/>
    </row>
    <row r="11" spans="2:28" ht="20.100000000000001" customHeight="1" outlineLevel="1" thickBot="1" x14ac:dyDescent="0.45">
      <c r="B11" s="685"/>
      <c r="C11" s="726"/>
      <c r="D11" s="1017"/>
      <c r="E11" s="1018"/>
      <c r="F11" s="686"/>
      <c r="G11" s="1728" t="s">
        <v>13</v>
      </c>
      <c r="H11" s="1729"/>
      <c r="I11" s="1729"/>
      <c r="J11" s="1730" t="s">
        <v>64</v>
      </c>
      <c r="K11" s="734"/>
      <c r="L11" s="1745" t="s">
        <v>24</v>
      </c>
      <c r="M11" s="1746"/>
      <c r="N11" s="1746"/>
      <c r="O11" s="1747"/>
      <c r="P11" s="1748" t="s">
        <v>64</v>
      </c>
      <c r="Q11" s="1749"/>
      <c r="R11" s="734"/>
      <c r="S11" s="734"/>
      <c r="T11" s="1745" t="s">
        <v>32</v>
      </c>
      <c r="U11" s="1746"/>
      <c r="V11" s="1746"/>
      <c r="W11" s="1746"/>
      <c r="X11" s="1746"/>
      <c r="Y11" s="1754" t="s">
        <v>64</v>
      </c>
      <c r="Z11" s="730"/>
      <c r="AA11" s="727"/>
      <c r="AB11" s="680"/>
    </row>
    <row r="12" spans="2:28" ht="20.100000000000001" customHeight="1" outlineLevel="1" thickBot="1" x14ac:dyDescent="0.45">
      <c r="B12" s="685"/>
      <c r="C12" s="726"/>
      <c r="D12" s="1017"/>
      <c r="E12" s="1018"/>
      <c r="F12" s="686"/>
      <c r="G12" s="1770" t="s">
        <v>16</v>
      </c>
      <c r="H12" s="1771"/>
      <c r="I12" s="1772" t="str">
        <f ca="1">IF(Recap_equipements!E115&lt;&gt;"",Recap_equipements!E115,"")</f>
        <v>Non validé</v>
      </c>
      <c r="J12" s="1773">
        <f ca="1">Recap_equipements!E62</f>
        <v>78.333333333333329</v>
      </c>
      <c r="K12" s="735"/>
      <c r="L12" s="1770" t="s">
        <v>27</v>
      </c>
      <c r="M12" s="1771"/>
      <c r="N12" s="1774" t="str">
        <f ca="1">IF(Recap_equipements!E127&lt;&gt;"",Recap_equipements!E127,"")</f>
        <v>Validé avec réserve</v>
      </c>
      <c r="O12" s="1775"/>
      <c r="P12" s="1832">
        <f ca="1">Recap_equipements!E74</f>
        <v>80</v>
      </c>
      <c r="Q12" s="1833"/>
      <c r="R12" s="735"/>
      <c r="S12" s="735"/>
      <c r="T12" s="1794" t="s">
        <v>33</v>
      </c>
      <c r="U12" s="1795"/>
      <c r="V12" s="1795"/>
      <c r="W12" s="1795"/>
      <c r="X12" s="1772" t="str">
        <f ca="1">IF(Recap_equipements!E139&lt;&gt;"",Recap_equipements!E139,"")</f>
        <v>Non validé</v>
      </c>
      <c r="Y12" s="1837">
        <f ca="1">Recap_equipements!E86</f>
        <v>40</v>
      </c>
      <c r="Z12" s="730"/>
      <c r="AA12" s="727"/>
      <c r="AB12" s="680"/>
    </row>
    <row r="13" spans="2:28" ht="20.100000000000001" customHeight="1" outlineLevel="1" x14ac:dyDescent="0.4">
      <c r="B13" s="685"/>
      <c r="C13" s="726"/>
      <c r="D13" s="1017"/>
      <c r="E13" s="1018"/>
      <c r="F13" s="686"/>
      <c r="G13" s="1758" t="s">
        <v>846</v>
      </c>
      <c r="H13" s="1759"/>
      <c r="I13" s="1764" t="str">
        <f ca="1">IF(Recap_equipements!F117&lt;&gt;"",Recap_equipements!F117,"")</f>
        <v>Non validé</v>
      </c>
      <c r="J13" s="1735">
        <f ca="1">IF(Recap_equipements!F64&lt;&gt;"",Recap_equipements!F64,"")</f>
        <v>60</v>
      </c>
      <c r="K13" s="735"/>
      <c r="L13" s="1758" t="s">
        <v>846</v>
      </c>
      <c r="M13" s="1759"/>
      <c r="N13" s="1776" t="str">
        <f ca="1">IF(Recap_equipements!F129&lt;&gt;"",Recap_equipements!F129,"")</f>
        <v>Validé avec réserve</v>
      </c>
      <c r="O13" s="1777"/>
      <c r="P13" s="1778">
        <f ca="1">Recap_equipements!F76</f>
        <v>80</v>
      </c>
      <c r="Q13" s="1779"/>
      <c r="R13" s="735"/>
      <c r="S13" s="735"/>
      <c r="T13" s="1734" t="s">
        <v>846</v>
      </c>
      <c r="U13" s="1755"/>
      <c r="V13" s="1755"/>
      <c r="W13" s="1731"/>
      <c r="X13" s="1727" t="str">
        <f ca="1">IF(Recap_equipements!F141&lt;&gt;"",Recap_equipements!F141,"")</f>
        <v>Non validé</v>
      </c>
      <c r="Y13" s="1836">
        <f ca="1">Recap_equipements!F88</f>
        <v>40</v>
      </c>
      <c r="Z13" s="730"/>
      <c r="AA13" s="727"/>
      <c r="AB13" s="680"/>
    </row>
    <row r="14" spans="2:28" ht="20.100000000000001" customHeight="1" outlineLevel="1" x14ac:dyDescent="0.4">
      <c r="B14" s="685"/>
      <c r="C14" s="726"/>
      <c r="D14" s="1017"/>
      <c r="E14" s="1018"/>
      <c r="F14" s="686"/>
      <c r="G14" s="1760" t="s">
        <v>408</v>
      </c>
      <c r="H14" s="1761"/>
      <c r="I14" s="1765" t="str">
        <f ca="1">IF(Recap_equipements!F118&lt;&gt;"",Recap_equipements!F118,"")</f>
        <v>Validé</v>
      </c>
      <c r="J14" s="1737">
        <f ca="1">IF(Recap_equipements!F65&lt;&gt;"",Recap_equipements!F65,"")</f>
        <v>85</v>
      </c>
      <c r="K14" s="735"/>
      <c r="L14" s="1760" t="s">
        <v>408</v>
      </c>
      <c r="M14" s="1761"/>
      <c r="N14" s="1780" t="str">
        <f ca="1">IF(Recap_equipements!F130&lt;&gt;"",Recap_equipements!F130,"")</f>
        <v/>
      </c>
      <c r="O14" s="1781"/>
      <c r="P14" s="1782" t="str">
        <f ca="1">Recap_equipements!F77</f>
        <v/>
      </c>
      <c r="Q14" s="1783"/>
      <c r="R14" s="735"/>
      <c r="S14" s="735"/>
      <c r="T14" s="1736" t="s">
        <v>408</v>
      </c>
      <c r="U14" s="1576"/>
      <c r="V14" s="1576"/>
      <c r="W14" s="1574"/>
      <c r="X14" s="1726" t="str">
        <f ca="1">IF(Recap_equipements!F142&lt;&gt;"",Recap_equipements!F142,"")</f>
        <v/>
      </c>
      <c r="Y14" s="1836" t="str">
        <f ca="1">Recap_equipements!F89</f>
        <v/>
      </c>
      <c r="Z14" s="730"/>
      <c r="AA14" s="727"/>
      <c r="AB14" s="680"/>
    </row>
    <row r="15" spans="2:28" ht="20.100000000000001" customHeight="1" outlineLevel="1" thickBot="1" x14ac:dyDescent="0.45">
      <c r="B15" s="685"/>
      <c r="C15" s="726"/>
      <c r="D15" s="1017"/>
      <c r="E15" s="1018"/>
      <c r="F15" s="686"/>
      <c r="G15" s="1762" t="s">
        <v>783</v>
      </c>
      <c r="H15" s="1763"/>
      <c r="I15" s="1766" t="str">
        <f ca="1">IF(Recap_equipements!F119&lt;&gt;"",Recap_equipements!F119,"")</f>
        <v>Validé</v>
      </c>
      <c r="J15" s="1739">
        <f ca="1">IF(Recap_equipements!F66&lt;&gt;"",Recap_equipements!F66,"")</f>
        <v>90</v>
      </c>
      <c r="K15" s="735"/>
      <c r="L15" s="1762" t="s">
        <v>783</v>
      </c>
      <c r="M15" s="1763"/>
      <c r="N15" s="1784" t="str">
        <f ca="1">IF(Recap_equipements!F131&lt;&gt;"",Recap_equipements!F131,"")</f>
        <v/>
      </c>
      <c r="O15" s="1785"/>
      <c r="P15" s="1786" t="str">
        <f ca="1">Recap_equipements!F78</f>
        <v/>
      </c>
      <c r="Q15" s="1787"/>
      <c r="R15" s="735"/>
      <c r="S15" s="735"/>
      <c r="T15" s="1738" t="s">
        <v>783</v>
      </c>
      <c r="U15" s="1575"/>
      <c r="V15" s="1575"/>
      <c r="W15" s="1732"/>
      <c r="X15" s="1733" t="str">
        <f ca="1">IF(Recap_equipements!F143&lt;&gt;"",Recap_equipements!F143,"")</f>
        <v/>
      </c>
      <c r="Y15" s="1836" t="str">
        <f>Recap_equipements!F90</f>
        <v/>
      </c>
      <c r="Z15" s="730"/>
      <c r="AA15" s="727"/>
      <c r="AB15" s="680"/>
    </row>
    <row r="16" spans="2:28" ht="20.100000000000001" customHeight="1" outlineLevel="1" thickBot="1" x14ac:dyDescent="0.45">
      <c r="B16" s="685"/>
      <c r="C16" s="726"/>
      <c r="D16" s="1017"/>
      <c r="E16" s="1018"/>
      <c r="F16" s="686"/>
      <c r="G16" s="1770" t="s">
        <v>18</v>
      </c>
      <c r="H16" s="1771"/>
      <c r="I16" s="1772" t="str">
        <f ca="1">IF(Recap_equipements!E121&lt;&gt;"",Recap_equipements!E121,"")</f>
        <v>Non validé</v>
      </c>
      <c r="J16" s="1773">
        <f ca="1">Recap_equipements!E68</f>
        <v>63.333333333333336</v>
      </c>
      <c r="K16" s="735"/>
      <c r="L16" s="1770" t="s">
        <v>28</v>
      </c>
      <c r="M16" s="1771"/>
      <c r="N16" s="1790" t="str">
        <f ca="1">IF(Recap_equipements!E133&lt;&gt;"",Recap_equipements!E133,"")</f>
        <v/>
      </c>
      <c r="O16" s="1791"/>
      <c r="P16" s="1792" t="str">
        <f ca="1">Recap_equipements!E80</f>
        <v/>
      </c>
      <c r="Q16" s="1793"/>
      <c r="R16" s="735"/>
      <c r="S16" s="735"/>
      <c r="T16" s="1794" t="s">
        <v>34</v>
      </c>
      <c r="U16" s="1795"/>
      <c r="V16" s="1795"/>
      <c r="W16" s="1795"/>
      <c r="X16" s="1796" t="str">
        <f ca="1">IF(Recap_equipements!E145&lt;&gt;"",Recap_equipements!E145,"")</f>
        <v/>
      </c>
      <c r="Y16" s="1797" t="str">
        <f ca="1">Recap_equipements!E92</f>
        <v/>
      </c>
      <c r="Z16" s="730"/>
      <c r="AA16" s="727"/>
      <c r="AB16" s="680"/>
    </row>
    <row r="17" spans="2:28" ht="20.100000000000001" customHeight="1" outlineLevel="1" x14ac:dyDescent="0.4">
      <c r="B17" s="685"/>
      <c r="C17" s="726"/>
      <c r="D17" s="1017"/>
      <c r="E17" s="1018"/>
      <c r="F17" s="686"/>
      <c r="G17" s="1758" t="s">
        <v>846</v>
      </c>
      <c r="H17" s="1759"/>
      <c r="I17" s="1764" t="str">
        <f ca="1">IF(Recap_equipements!F123&lt;&gt;"",Recap_equipements!F123,"")</f>
        <v>Non validé</v>
      </c>
      <c r="J17" s="1740">
        <f ca="1">IF(Recap_equipements!F70&lt;&gt;"",Recap_equipements!F70,"")</f>
        <v>0</v>
      </c>
      <c r="K17" s="735"/>
      <c r="L17" s="1758" t="s">
        <v>846</v>
      </c>
      <c r="M17" s="1759"/>
      <c r="N17" s="1788" t="str">
        <f ca="1">IF(Recap_equipements!F135&lt;&gt;"",Recap_equipements!F135,"")</f>
        <v/>
      </c>
      <c r="O17" s="1789"/>
      <c r="P17" s="1750" t="str">
        <f ca="1">Recap_equipements!F82</f>
        <v/>
      </c>
      <c r="Q17" s="1751"/>
      <c r="R17" s="735"/>
      <c r="S17" s="735"/>
      <c r="T17" s="1734" t="s">
        <v>846</v>
      </c>
      <c r="U17" s="1755"/>
      <c r="V17" s="1755"/>
      <c r="W17" s="1757"/>
      <c r="X17" s="1727" t="str">
        <f ca="1">IF(Recap_equipements!F147&lt;&gt;"",Recap_equipements!F147,"")</f>
        <v/>
      </c>
      <c r="Y17" s="1756" t="str">
        <f ca="1">Recap_equipements!F94</f>
        <v/>
      </c>
      <c r="Z17" s="730"/>
      <c r="AA17" s="727"/>
      <c r="AB17" s="680"/>
    </row>
    <row r="18" spans="2:28" ht="20.100000000000001" customHeight="1" outlineLevel="1" x14ac:dyDescent="0.4">
      <c r="B18" s="685"/>
      <c r="C18" s="726"/>
      <c r="D18" s="1017"/>
      <c r="E18" s="1018"/>
      <c r="F18" s="686"/>
      <c r="G18" s="1760" t="s">
        <v>408</v>
      </c>
      <c r="H18" s="1761"/>
      <c r="I18" s="1765" t="str">
        <f ca="1">IF(Recap_equipements!F124&lt;&gt;"",Recap_equipements!F124,"")</f>
        <v>Validé</v>
      </c>
      <c r="J18" s="1741">
        <f ca="1">IF(Recap_equipements!F71&lt;&gt;"",Recap_equipements!F71,"")</f>
        <v>100</v>
      </c>
      <c r="K18" s="735"/>
      <c r="L18" s="1760" t="s">
        <v>408</v>
      </c>
      <c r="M18" s="1761"/>
      <c r="N18" s="1780" t="str">
        <f ca="1">IF(Recap_equipements!F136&lt;&gt;"",Recap_equipements!F136,"")</f>
        <v/>
      </c>
      <c r="O18" s="1781"/>
      <c r="P18" s="1750" t="str">
        <f ca="1">Recap_equipements!F83</f>
        <v/>
      </c>
      <c r="Q18" s="1751"/>
      <c r="R18" s="735"/>
      <c r="S18" s="735"/>
      <c r="T18" s="1736" t="s">
        <v>408</v>
      </c>
      <c r="U18" s="1576"/>
      <c r="V18" s="1576"/>
      <c r="W18" s="1577"/>
      <c r="X18" s="1726" t="str">
        <f ca="1">IF(Recap_equipements!F148&lt;&gt;"",Recap_equipements!F148,"")</f>
        <v/>
      </c>
      <c r="Y18" s="1756" t="str">
        <f ca="1">Recap_equipements!F95</f>
        <v/>
      </c>
      <c r="Z18" s="730"/>
      <c r="AA18" s="727"/>
      <c r="AB18" s="680"/>
    </row>
    <row r="19" spans="2:28" ht="20.100000000000001" customHeight="1" outlineLevel="1" thickBot="1" x14ac:dyDescent="0.45">
      <c r="B19" s="685"/>
      <c r="C19" s="726"/>
      <c r="D19" s="1017"/>
      <c r="E19" s="1018"/>
      <c r="F19" s="686"/>
      <c r="G19" s="1767" t="s">
        <v>783</v>
      </c>
      <c r="H19" s="1768"/>
      <c r="I19" s="1769" t="str">
        <f ca="1">IF(Recap_equipements!F125&lt;&gt;"",Recap_equipements!F125,"")</f>
        <v>Validé</v>
      </c>
      <c r="J19" s="1744">
        <f ca="1">IF(Recap_equipements!F72&lt;&gt;"",Recap_equipements!F72,"")</f>
        <v>90</v>
      </c>
      <c r="K19" s="735"/>
      <c r="L19" s="1767" t="s">
        <v>783</v>
      </c>
      <c r="M19" s="1768"/>
      <c r="N19" s="1784" t="str">
        <f ca="1">IF(Recap_equipements!F137&lt;&gt;"",Recap_equipements!F137,"")</f>
        <v/>
      </c>
      <c r="O19" s="1785"/>
      <c r="P19" s="1834" t="str">
        <f ca="1">Recap_equipements!F84</f>
        <v/>
      </c>
      <c r="Q19" s="1835"/>
      <c r="R19" s="735"/>
      <c r="S19" s="735"/>
      <c r="T19" s="1742" t="s">
        <v>783</v>
      </c>
      <c r="U19" s="1752"/>
      <c r="V19" s="1752"/>
      <c r="W19" s="1753"/>
      <c r="X19" s="1743" t="str">
        <f ca="1">IF(Recap_equipements!F149&lt;&gt;"",Recap_equipements!F149,"")</f>
        <v/>
      </c>
      <c r="Y19" s="1798" t="str">
        <f ca="1">Recap_equipements!F96</f>
        <v/>
      </c>
      <c r="Z19" s="730"/>
      <c r="AA19" s="727"/>
      <c r="AB19" s="680"/>
    </row>
    <row r="20" spans="2:28" ht="20.100000000000001" customHeight="1" outlineLevel="1" thickBot="1" x14ac:dyDescent="0.45">
      <c r="B20" s="685"/>
      <c r="C20" s="726"/>
      <c r="D20" s="1019"/>
      <c r="E20" s="1020"/>
      <c r="F20" s="732"/>
      <c r="G20" s="732"/>
      <c r="H20" s="732"/>
      <c r="I20" s="732"/>
      <c r="J20" s="732"/>
      <c r="K20" s="732"/>
      <c r="L20" s="732"/>
      <c r="M20" s="732"/>
      <c r="N20" s="732"/>
      <c r="O20" s="732"/>
      <c r="P20" s="732"/>
      <c r="Q20" s="732"/>
      <c r="R20" s="732"/>
      <c r="S20" s="732"/>
      <c r="T20" s="732"/>
      <c r="U20" s="732"/>
      <c r="V20" s="732"/>
      <c r="W20" s="732"/>
      <c r="X20" s="732"/>
      <c r="Y20" s="732"/>
      <c r="Z20" s="731"/>
      <c r="AA20" s="727"/>
      <c r="AB20" s="680"/>
    </row>
    <row r="21" spans="2:28" ht="20.100000000000001" customHeight="1" outlineLevel="1" thickBot="1" x14ac:dyDescent="0.45">
      <c r="B21" s="685"/>
      <c r="C21" s="726"/>
      <c r="D21" s="686"/>
      <c r="E21" s="686"/>
      <c r="F21" s="686"/>
      <c r="G21" s="686"/>
      <c r="H21" s="686"/>
      <c r="I21" s="686"/>
      <c r="J21" s="686"/>
      <c r="K21" s="686"/>
      <c r="L21" s="686"/>
      <c r="M21" s="686"/>
      <c r="N21" s="686"/>
      <c r="O21" s="686"/>
      <c r="P21" s="686"/>
      <c r="Q21" s="686"/>
      <c r="R21" s="686"/>
      <c r="S21" s="686"/>
      <c r="T21" s="686"/>
      <c r="U21" s="686"/>
      <c r="V21" s="686"/>
      <c r="W21" s="686"/>
      <c r="X21" s="686"/>
      <c r="Y21" s="686"/>
      <c r="Z21" s="686"/>
      <c r="AA21" s="727"/>
      <c r="AB21" s="680"/>
    </row>
    <row r="22" spans="2:28" ht="20.100000000000001" customHeight="1" outlineLevel="1" x14ac:dyDescent="0.5">
      <c r="B22" s="685"/>
      <c r="C22" s="726"/>
      <c r="D22" s="1015" t="s">
        <v>10</v>
      </c>
      <c r="E22" s="1016"/>
      <c r="F22" s="733"/>
      <c r="G22" s="733"/>
      <c r="H22" s="733"/>
      <c r="I22" s="733"/>
      <c r="J22" s="733"/>
      <c r="K22" s="733"/>
      <c r="L22" s="733"/>
      <c r="M22" s="733"/>
      <c r="N22" s="733"/>
      <c r="O22" s="1713" t="s">
        <v>643</v>
      </c>
      <c r="P22" s="1713"/>
      <c r="Q22" s="1713"/>
      <c r="R22" s="733"/>
      <c r="S22" s="733"/>
      <c r="T22" s="733"/>
      <c r="U22" s="733"/>
      <c r="V22" s="733"/>
      <c r="W22" s="733"/>
      <c r="X22" s="733"/>
      <c r="Y22" s="733"/>
      <c r="Z22" s="729"/>
      <c r="AA22" s="727"/>
      <c r="AB22" s="680"/>
    </row>
    <row r="23" spans="2:28" ht="20.100000000000001" customHeight="1" outlineLevel="1" thickBot="1" x14ac:dyDescent="0.45">
      <c r="B23" s="685"/>
      <c r="C23" s="726"/>
      <c r="D23" s="1017"/>
      <c r="E23" s="1018"/>
      <c r="F23" s="789" t="s">
        <v>779</v>
      </c>
      <c r="G23" s="1061" t="s">
        <v>778</v>
      </c>
      <c r="H23" s="1062"/>
      <c r="I23" s="1062"/>
      <c r="J23" s="1062"/>
      <c r="K23" s="1805" t="str">
        <f>IF(Qualité!L10&lt;&gt;"",Qualité!L10,"Non contrôlé")</f>
        <v>Validé</v>
      </c>
      <c r="L23" s="1806"/>
      <c r="M23" s="1722" t="s">
        <v>887</v>
      </c>
      <c r="N23" s="1723"/>
      <c r="O23" s="1714" t="str">
        <f>IF(Qualité!D29&lt;&gt;"",Qualité!D29,"")</f>
        <v>Le système Qualité mis en œuvre est performant.</v>
      </c>
      <c r="P23" s="1715"/>
      <c r="Q23" s="1715"/>
      <c r="R23" s="1715"/>
      <c r="S23" s="1715"/>
      <c r="T23" s="1715"/>
      <c r="U23" s="1715"/>
      <c r="V23" s="1715"/>
      <c r="W23" s="1715"/>
      <c r="X23" s="1715"/>
      <c r="Y23" s="1716"/>
      <c r="Z23" s="730"/>
      <c r="AA23" s="727"/>
      <c r="AB23" s="680"/>
    </row>
    <row r="24" spans="2:28" ht="20.100000000000001" customHeight="1" outlineLevel="1" thickBot="1" x14ac:dyDescent="0.45">
      <c r="B24" s="685"/>
      <c r="C24" s="726"/>
      <c r="D24" s="1017"/>
      <c r="E24" s="1018"/>
      <c r="F24" s="686"/>
      <c r="G24" s="1061" t="s">
        <v>17</v>
      </c>
      <c r="H24" s="1062"/>
      <c r="I24" s="1062"/>
      <c r="J24" s="1062"/>
      <c r="K24" s="1807" t="str">
        <f>IF(Qualité!L26&lt;&gt;"",Qualité!L26,"Non contrôlé")</f>
        <v>Validé</v>
      </c>
      <c r="L24" s="1805"/>
      <c r="M24" s="1724">
        <f>IF(Qualité!L26="Non validé",0.9,1)</f>
        <v>1</v>
      </c>
      <c r="N24" s="1725"/>
      <c r="O24" s="1717"/>
      <c r="P24" s="1717"/>
      <c r="Q24" s="1717"/>
      <c r="R24" s="1717"/>
      <c r="S24" s="1717"/>
      <c r="T24" s="1717"/>
      <c r="U24" s="1717"/>
      <c r="V24" s="1717"/>
      <c r="W24" s="1717"/>
      <c r="X24" s="1717"/>
      <c r="Y24" s="1718"/>
      <c r="Z24" s="730"/>
      <c r="AA24" s="727"/>
      <c r="AB24" s="680"/>
    </row>
    <row r="25" spans="2:28" ht="20.100000000000001" customHeight="1" outlineLevel="1" thickBot="1" x14ac:dyDescent="0.45">
      <c r="B25" s="685"/>
      <c r="C25" s="726"/>
      <c r="D25" s="1019"/>
      <c r="E25" s="1020"/>
      <c r="F25" s="732"/>
      <c r="G25" s="732"/>
      <c r="H25" s="732"/>
      <c r="I25" s="732"/>
      <c r="J25" s="732"/>
      <c r="K25" s="732"/>
      <c r="L25" s="732"/>
      <c r="M25" s="732"/>
      <c r="N25" s="732"/>
      <c r="O25" s="732"/>
      <c r="P25" s="732"/>
      <c r="Q25" s="732"/>
      <c r="R25" s="732"/>
      <c r="S25" s="732"/>
      <c r="T25" s="732"/>
      <c r="U25" s="732"/>
      <c r="V25" s="732"/>
      <c r="W25" s="732"/>
      <c r="X25" s="732"/>
      <c r="Y25" s="732"/>
      <c r="Z25" s="731"/>
      <c r="AA25" s="727"/>
      <c r="AB25" s="680"/>
    </row>
    <row r="26" spans="2:28" ht="20.100000000000001" customHeight="1" outlineLevel="1" thickBot="1" x14ac:dyDescent="0.45">
      <c r="B26" s="685"/>
      <c r="C26" s="726"/>
      <c r="D26" s="686"/>
      <c r="E26" s="686"/>
      <c r="F26" s="686"/>
      <c r="G26" s="686"/>
      <c r="H26" s="686"/>
      <c r="I26" s="686"/>
      <c r="J26" s="686"/>
      <c r="K26" s="686"/>
      <c r="L26" s="686"/>
      <c r="M26" s="686"/>
      <c r="N26" s="686"/>
      <c r="O26" s="686"/>
      <c r="P26" s="686"/>
      <c r="Q26" s="686"/>
      <c r="R26" s="686"/>
      <c r="S26" s="686"/>
      <c r="T26" s="686"/>
      <c r="U26" s="686"/>
      <c r="V26" s="686"/>
      <c r="W26" s="686"/>
      <c r="X26" s="686"/>
      <c r="Y26" s="686"/>
      <c r="Z26" s="686"/>
      <c r="AA26" s="727"/>
      <c r="AB26" s="680"/>
    </row>
    <row r="27" spans="2:28" ht="20.100000000000001" customHeight="1" outlineLevel="1" x14ac:dyDescent="0.5">
      <c r="B27" s="685"/>
      <c r="C27" s="726"/>
      <c r="D27" s="1015" t="s">
        <v>20</v>
      </c>
      <c r="E27" s="1016"/>
      <c r="F27" s="733"/>
      <c r="G27" s="733"/>
      <c r="H27" s="733"/>
      <c r="I27" s="733"/>
      <c r="J27" s="733"/>
      <c r="K27" s="733"/>
      <c r="L27" s="733"/>
      <c r="M27" s="733"/>
      <c r="N27" s="1713" t="s">
        <v>643</v>
      </c>
      <c r="O27" s="733"/>
      <c r="P27" s="733"/>
      <c r="Q27" s="733"/>
      <c r="R27" s="733"/>
      <c r="S27" s="733"/>
      <c r="T27" s="733"/>
      <c r="U27" s="733"/>
      <c r="V27" s="733"/>
      <c r="W27" s="733"/>
      <c r="X27" s="733"/>
      <c r="Y27" s="733"/>
      <c r="Z27" s="729"/>
      <c r="AA27" s="727"/>
      <c r="AB27" s="680"/>
    </row>
    <row r="28" spans="2:28" ht="20.100000000000001" customHeight="1" outlineLevel="1" x14ac:dyDescent="0.4">
      <c r="B28" s="685"/>
      <c r="C28" s="726"/>
      <c r="D28" s="1017"/>
      <c r="E28" s="1018"/>
      <c r="F28" s="686"/>
      <c r="G28" s="1828" t="s">
        <v>644</v>
      </c>
      <c r="H28" s="995"/>
      <c r="I28" s="1040" t="s">
        <v>645</v>
      </c>
      <c r="J28" s="1041"/>
      <c r="K28" s="1799" t="str">
        <f>Analytique!L12</f>
        <v>Validé</v>
      </c>
      <c r="L28" s="1800"/>
      <c r="M28" s="686"/>
      <c r="N28" s="1820" t="str">
        <f>IF(Analytique!D31&lt;&gt;"",Analytique!D31,"")</f>
        <v/>
      </c>
      <c r="O28" s="1821"/>
      <c r="P28" s="1821"/>
      <c r="Q28" s="1821"/>
      <c r="R28" s="1821"/>
      <c r="S28" s="1821"/>
      <c r="T28" s="1821"/>
      <c r="U28" s="1821"/>
      <c r="V28" s="1821"/>
      <c r="W28" s="1821"/>
      <c r="X28" s="1821"/>
      <c r="Y28" s="1822"/>
      <c r="Z28" s="730"/>
      <c r="AA28" s="727"/>
      <c r="AB28" s="680"/>
    </row>
    <row r="29" spans="2:28" ht="20.100000000000001" customHeight="1" outlineLevel="1" x14ac:dyDescent="0.4">
      <c r="B29" s="685"/>
      <c r="C29" s="726"/>
      <c r="D29" s="1017"/>
      <c r="E29" s="1018"/>
      <c r="F29" s="686"/>
      <c r="G29" s="1829"/>
      <c r="H29" s="1830"/>
      <c r="I29" s="1058" t="s">
        <v>646</v>
      </c>
      <c r="J29" s="1059"/>
      <c r="K29" s="1801" t="str">
        <f>Analytique!L13</f>
        <v>Validé</v>
      </c>
      <c r="L29" s="1802"/>
      <c r="M29" s="686"/>
      <c r="N29" s="1823"/>
      <c r="O29" s="1819"/>
      <c r="P29" s="1819"/>
      <c r="Q29" s="1819"/>
      <c r="R29" s="1819"/>
      <c r="S29" s="1819"/>
      <c r="T29" s="1819"/>
      <c r="U29" s="1819"/>
      <c r="V29" s="1819"/>
      <c r="W29" s="1819"/>
      <c r="X29" s="1819"/>
      <c r="Y29" s="1824"/>
      <c r="Z29" s="730"/>
      <c r="AA29" s="727"/>
      <c r="AB29" s="680"/>
    </row>
    <row r="30" spans="2:28" ht="20.100000000000001" customHeight="1" outlineLevel="1" x14ac:dyDescent="0.4">
      <c r="B30" s="685"/>
      <c r="C30" s="726"/>
      <c r="D30" s="1017"/>
      <c r="E30" s="1018"/>
      <c r="F30" s="686"/>
      <c r="G30" s="1829"/>
      <c r="H30" s="1830"/>
      <c r="I30" s="1058" t="s">
        <v>647</v>
      </c>
      <c r="J30" s="1059"/>
      <c r="K30" s="1801" t="str">
        <f>Analytique!L14</f>
        <v>Validé</v>
      </c>
      <c r="L30" s="1802"/>
      <c r="M30" s="686"/>
      <c r="N30" s="1823"/>
      <c r="O30" s="1819"/>
      <c r="P30" s="1819"/>
      <c r="Q30" s="1819"/>
      <c r="R30" s="1819"/>
      <c r="S30" s="1819"/>
      <c r="T30" s="1819"/>
      <c r="U30" s="1819"/>
      <c r="V30" s="1819"/>
      <c r="W30" s="1819"/>
      <c r="X30" s="1819"/>
      <c r="Y30" s="1824"/>
      <c r="Z30" s="730"/>
      <c r="AA30" s="727"/>
      <c r="AB30" s="680"/>
    </row>
    <row r="31" spans="2:28" ht="20.100000000000001" customHeight="1" outlineLevel="1" x14ac:dyDescent="0.4">
      <c r="B31" s="685"/>
      <c r="C31" s="726"/>
      <c r="D31" s="1017"/>
      <c r="E31" s="1018"/>
      <c r="F31" s="686"/>
      <c r="G31" s="1829"/>
      <c r="H31" s="1830"/>
      <c r="I31" s="1058" t="s">
        <v>783</v>
      </c>
      <c r="J31" s="1059"/>
      <c r="K31" s="1801" t="str">
        <f>IF(Analytique!Q27&lt;&gt;"",Analytique!Q27,"")</f>
        <v>Validé</v>
      </c>
      <c r="L31" s="1802"/>
      <c r="M31" s="686"/>
      <c r="N31" s="1823"/>
      <c r="O31" s="1819"/>
      <c r="P31" s="1819"/>
      <c r="Q31" s="1819"/>
      <c r="R31" s="1819"/>
      <c r="S31" s="1819"/>
      <c r="T31" s="1819"/>
      <c r="U31" s="1819"/>
      <c r="V31" s="1819"/>
      <c r="W31" s="1819"/>
      <c r="X31" s="1819"/>
      <c r="Y31" s="1824"/>
      <c r="Z31" s="730"/>
      <c r="AA31" s="727"/>
      <c r="AB31" s="680"/>
    </row>
    <row r="32" spans="2:28" ht="20.100000000000001" customHeight="1" outlineLevel="1" x14ac:dyDescent="0.4">
      <c r="B32" s="685"/>
      <c r="C32" s="726"/>
      <c r="D32" s="1017"/>
      <c r="E32" s="1018"/>
      <c r="F32" s="686"/>
      <c r="G32" s="1831"/>
      <c r="H32" s="996"/>
      <c r="I32" s="1058" t="s">
        <v>784</v>
      </c>
      <c r="J32" s="1059"/>
      <c r="K32" s="1801" t="str">
        <f>IF(Analytique!J29&lt;&gt;"",Analytique!J29,"")</f>
        <v>Validé</v>
      </c>
      <c r="L32" s="1802"/>
      <c r="M32" s="686"/>
      <c r="N32" s="1823"/>
      <c r="O32" s="1819"/>
      <c r="P32" s="1819"/>
      <c r="Q32" s="1819"/>
      <c r="R32" s="1819"/>
      <c r="S32" s="1819"/>
      <c r="T32" s="1819"/>
      <c r="U32" s="1819"/>
      <c r="V32" s="1819"/>
      <c r="W32" s="1819"/>
      <c r="X32" s="1819"/>
      <c r="Y32" s="1824"/>
      <c r="Z32" s="730"/>
      <c r="AA32" s="727"/>
      <c r="AB32" s="680"/>
    </row>
    <row r="33" spans="2:28" ht="20.100000000000001" customHeight="1" outlineLevel="1" x14ac:dyDescent="0.4">
      <c r="B33" s="685"/>
      <c r="C33" s="726"/>
      <c r="D33" s="1017"/>
      <c r="E33" s="1018"/>
      <c r="F33" s="686"/>
      <c r="G33" s="989" t="s">
        <v>26</v>
      </c>
      <c r="H33" s="990"/>
      <c r="I33" s="991" t="s">
        <v>648</v>
      </c>
      <c r="J33" s="992"/>
      <c r="K33" s="1803" t="str">
        <f>Analytique!L11</f>
        <v>Non validé</v>
      </c>
      <c r="L33" s="1804"/>
      <c r="M33" s="686"/>
      <c r="N33" s="1825"/>
      <c r="O33" s="1826"/>
      <c r="P33" s="1826"/>
      <c r="Q33" s="1826"/>
      <c r="R33" s="1826"/>
      <c r="S33" s="1826"/>
      <c r="T33" s="1826"/>
      <c r="U33" s="1826"/>
      <c r="V33" s="1826"/>
      <c r="W33" s="1826"/>
      <c r="X33" s="1826"/>
      <c r="Y33" s="1827"/>
      <c r="Z33" s="730"/>
      <c r="AA33" s="727"/>
      <c r="AB33" s="680"/>
    </row>
    <row r="34" spans="2:28" ht="20.100000000000001" customHeight="1" outlineLevel="1" thickBot="1" x14ac:dyDescent="0.45">
      <c r="B34" s="685"/>
      <c r="C34" s="726"/>
      <c r="D34" s="1019"/>
      <c r="E34" s="1020"/>
      <c r="F34" s="732"/>
      <c r="G34" s="732"/>
      <c r="H34" s="732"/>
      <c r="I34" s="732"/>
      <c r="J34" s="732"/>
      <c r="K34" s="732"/>
      <c r="L34" s="732"/>
      <c r="M34" s="732"/>
      <c r="N34" s="732"/>
      <c r="O34" s="732"/>
      <c r="P34" s="732"/>
      <c r="Q34" s="732"/>
      <c r="R34" s="732"/>
      <c r="S34" s="732"/>
      <c r="T34" s="732"/>
      <c r="U34" s="732"/>
      <c r="V34" s="732"/>
      <c r="W34" s="732"/>
      <c r="X34" s="732"/>
      <c r="Y34" s="710"/>
      <c r="Z34" s="731"/>
      <c r="AA34" s="727"/>
      <c r="AB34" s="680"/>
    </row>
    <row r="35" spans="2:28" ht="20.100000000000001" customHeight="1" outlineLevel="1" thickBot="1" x14ac:dyDescent="0.45">
      <c r="B35" s="685"/>
      <c r="C35" s="726"/>
      <c r="D35" s="686"/>
      <c r="E35" s="686"/>
      <c r="F35" s="686"/>
      <c r="G35" s="686"/>
      <c r="H35" s="686"/>
      <c r="I35" s="686"/>
      <c r="J35" s="686"/>
      <c r="K35" s="686"/>
      <c r="L35" s="686"/>
      <c r="M35" s="686"/>
      <c r="N35" s="686"/>
      <c r="O35" s="686"/>
      <c r="P35" s="686"/>
      <c r="Q35" s="686"/>
      <c r="R35" s="686"/>
      <c r="S35" s="686"/>
      <c r="T35" s="686"/>
      <c r="U35" s="686"/>
      <c r="V35" s="686"/>
      <c r="W35" s="686"/>
      <c r="X35" s="686"/>
      <c r="Y35" s="587"/>
      <c r="Z35" s="686"/>
      <c r="AA35" s="727"/>
      <c r="AB35" s="680"/>
    </row>
    <row r="36" spans="2:28" ht="20.100000000000001" customHeight="1" outlineLevel="1" x14ac:dyDescent="0.4">
      <c r="B36" s="685"/>
      <c r="C36" s="726"/>
      <c r="D36" s="1015" t="s">
        <v>35</v>
      </c>
      <c r="E36" s="1016"/>
      <c r="F36" s="733"/>
      <c r="G36" s="733"/>
      <c r="H36" s="733"/>
      <c r="I36" s="733"/>
      <c r="J36" s="733"/>
      <c r="K36" s="733"/>
      <c r="L36" s="733"/>
      <c r="M36" s="733"/>
      <c r="N36" s="733"/>
      <c r="O36" s="733"/>
      <c r="P36" s="733"/>
      <c r="Q36" s="733"/>
      <c r="R36" s="733"/>
      <c r="S36" s="733"/>
      <c r="T36" s="733"/>
      <c r="U36" s="733"/>
      <c r="V36" s="733"/>
      <c r="W36" s="733"/>
      <c r="X36" s="733"/>
      <c r="Y36" s="709"/>
      <c r="Z36" s="729"/>
      <c r="AA36" s="727"/>
      <c r="AB36" s="680"/>
    </row>
    <row r="37" spans="2:28" ht="20.100000000000001" customHeight="1" outlineLevel="1" x14ac:dyDescent="0.4">
      <c r="B37" s="685"/>
      <c r="C37" s="726"/>
      <c r="D37" s="1017"/>
      <c r="E37" s="1018"/>
      <c r="F37" s="686"/>
      <c r="G37" s="1038" t="s">
        <v>36</v>
      </c>
      <c r="H37" s="1039"/>
      <c r="I37" s="1040" t="str" cm="1">
        <f t="array" aca="1" ref="I37" ca="1">IFERROR(INDEX(Equipements!$K$16:$K$72,SMALL(IF(Equipements!$I$16:$I$72="Sonde de température",ROW(Equipements!$I$16:$I$72)-ROW(Equipements!$I$16)+1),ROW(1:1))),"")</f>
        <v>A4_P103_TEMP</v>
      </c>
      <c r="J37" s="1041"/>
      <c r="K37" s="1042" t="str" cm="1">
        <f t="array" aca="1" ref="K37" ca="1">IFERROR(INDEX(Equipements!$P$16:$P$72,SMALL(IF(Equipements!$I$16:$I$72="Sonde de température",ROW(Equipements!$I$16:$I$72)-ROW(Equipements!$I$16)+1),ROW(1:1))),"")</f>
        <v>Validé avec réserve</v>
      </c>
      <c r="L37" s="1043"/>
      <c r="M37" s="789"/>
      <c r="N37" s="686"/>
      <c r="O37" s="686"/>
      <c r="P37" s="1044" t="s">
        <v>37</v>
      </c>
      <c r="Q37" s="1045"/>
      <c r="R37" s="1045"/>
      <c r="S37" s="1045"/>
      <c r="T37" s="1050" t="str" cm="1">
        <f t="array" aca="1" ref="T37" ca="1">IFERROR(INDEX(Equipements!$K$16:$K$72,SMALL(IF(Equipements!$I$16:$I$72="Pluviomètre",ROW(Equipements!$I$16:$I$72)-ROW(Equipements!$I$16)+1),ROW(1:1))),"")</f>
        <v>PLUVIO_SCL_ooo</v>
      </c>
      <c r="U37" s="1050"/>
      <c r="V37" s="1050"/>
      <c r="W37" s="1050"/>
      <c r="X37" s="1051" t="str" cm="1">
        <f t="array" aca="1" ref="X37" ca="1">IFERROR(INDEX(Equipements!$P$16:$P$72,SMALL(IF(Equipements!$I$16:$I$72="Pluviomètre",ROW(Equipements!$I$16:$I$72)-ROW(Equipements!$I$16)+1),ROW(1:1))),"")</f>
        <v/>
      </c>
      <c r="Y37" s="1042"/>
      <c r="Z37" s="789"/>
      <c r="AA37" s="727"/>
      <c r="AB37" s="680"/>
    </row>
    <row r="38" spans="2:28" ht="20.100000000000001" customHeight="1" outlineLevel="1" x14ac:dyDescent="0.4">
      <c r="B38" s="685"/>
      <c r="C38" s="726"/>
      <c r="D38" s="1017"/>
      <c r="E38" s="1018"/>
      <c r="F38" s="686"/>
      <c r="G38" s="1038"/>
      <c r="H38" s="1039"/>
      <c r="I38" s="1040" t="str" cm="1">
        <f t="array" aca="1" ref="I38" ca="1">IFERROR(INDEX(Equipements!$K$16:$K$72,SMALL(IF(Equipements!$I$16:$I$72="Sonde de température",ROW(Equipements!$I$16:$I$72)-ROW(Equipements!$I$16)+1),ROW(2:2))),"")</f>
        <v/>
      </c>
      <c r="J38" s="1041"/>
      <c r="K38" s="1042" t="str" cm="1">
        <f t="array" aca="1" ref="K38" ca="1">IFERROR(INDEX(Equipements!$P$16:$P$72,SMALL(IF(Equipements!$I$16:$I$72="Sonde de température",ROW(Equipements!$I$16:$I$72)-ROW(Equipements!$I$16)+1),ROW(2:2))),"")</f>
        <v/>
      </c>
      <c r="L38" s="1043"/>
      <c r="M38" s="789" t="s">
        <v>826</v>
      </c>
      <c r="N38" s="686"/>
      <c r="O38" s="686"/>
      <c r="P38" s="1046"/>
      <c r="Q38" s="1047"/>
      <c r="R38" s="1047"/>
      <c r="S38" s="1047"/>
      <c r="T38" s="1050" t="str" cm="1">
        <f t="array" aca="1" ref="T38" ca="1">IFERROR(INDEX(Equipements!$K$16:$K$72,SMALL(IF(Equipements!$I$16:$I$72="Pluviomètre",ROW(Equipements!$I$16:$I$72)-ROW(Equipements!$I$16)+1),ROW(2:2))),"")</f>
        <v>PLUVIO_STEU_P1</v>
      </c>
      <c r="U38" s="1050"/>
      <c r="V38" s="1050"/>
      <c r="W38" s="1050"/>
      <c r="X38" s="1051" t="str" cm="1">
        <f t="array" aca="1" ref="X38" ca="1">IFERROR(INDEX(Equipements!$P$16:$P$72,SMALL(IF(Equipements!$I$16:$I$72="Pluviomètre",ROW(Equipements!$I$16:$I$72)-ROW(Equipements!$I$16)+1),ROW(2:2))),"")</f>
        <v>Validé avec réserve</v>
      </c>
      <c r="Y38" s="1042"/>
      <c r="Z38" s="789" t="s">
        <v>826</v>
      </c>
      <c r="AA38" s="727"/>
      <c r="AB38" s="680"/>
    </row>
    <row r="39" spans="2:28" ht="20.100000000000001" customHeight="1" outlineLevel="1" thickBot="1" x14ac:dyDescent="0.45">
      <c r="B39" s="685"/>
      <c r="C39" s="726"/>
      <c r="D39" s="1017"/>
      <c r="E39" s="1018"/>
      <c r="F39" s="686"/>
      <c r="G39" s="1038"/>
      <c r="H39" s="1039"/>
      <c r="I39" s="1040" t="str" cm="1">
        <f t="array" aca="1" ref="I39" ca="1">IFERROR(INDEX(Equipements!$K$16:$K$72,SMALL(IF(Equipements!$I$16:$I$72="Sonde de température",ROW(Equipements!$I$16:$I$72)-ROW(Equipements!$I$16)+1),ROW(3:3))),"")</f>
        <v/>
      </c>
      <c r="J39" s="1041"/>
      <c r="K39" s="1042" t="str" cm="1">
        <f t="array" aca="1" ref="K39" ca="1">IFERROR(INDEX(Equipements!$P$16:$P$72,SMALL(IF(Equipements!$I$16:$I$72="Sonde de température",ROW(Equipements!$I$16:$I$72)-ROW(Equipements!$I$16)+1),ROW(3:3))),"")</f>
        <v/>
      </c>
      <c r="L39" s="1043"/>
      <c r="M39" s="789"/>
      <c r="N39" s="686"/>
      <c r="O39" s="686"/>
      <c r="P39" s="1048"/>
      <c r="Q39" s="1049"/>
      <c r="R39" s="1049"/>
      <c r="S39" s="1049"/>
      <c r="T39" s="1050" t="str" cm="1">
        <f t="array" aca="1" ref="T39" ca="1">IFERROR(INDEX(Equipements!$K$16:$K$72,SMALL(IF(Equipements!$I$16:$I$72="Pluviomètre",ROW(Equipements!$I$16:$I$72)-ROW(Equipements!$I$16)+1),ROW(3:3))),"")</f>
        <v/>
      </c>
      <c r="U39" s="1050"/>
      <c r="V39" s="1050"/>
      <c r="W39" s="1050"/>
      <c r="X39" s="1051" t="str" cm="1">
        <f t="array" aca="1" ref="X39" ca="1">IFERROR(INDEX(Equipements!$P$16:$P$72,SMALL(IF(Equipements!$I$16:$I$72="Pluviomètre",ROW(Equipements!$I$16:$I$72)-ROW(Equipements!$I$16)+1),ROW(3:3))),"")</f>
        <v/>
      </c>
      <c r="Y39" s="1042"/>
      <c r="Z39" s="789"/>
      <c r="AA39" s="727"/>
      <c r="AB39" s="680"/>
    </row>
    <row r="40" spans="2:28" ht="20.100000000000001" customHeight="1" outlineLevel="1" x14ac:dyDescent="0.5">
      <c r="B40" s="685"/>
      <c r="C40" s="726"/>
      <c r="D40" s="1017"/>
      <c r="E40" s="1018"/>
      <c r="F40" s="686"/>
      <c r="G40" s="923" t="s">
        <v>643</v>
      </c>
      <c r="H40" s="923"/>
      <c r="I40" s="923"/>
      <c r="J40" s="923"/>
      <c r="K40" s="923"/>
      <c r="L40" s="923"/>
      <c r="M40" s="733"/>
      <c r="N40" s="686"/>
      <c r="O40" s="686"/>
      <c r="P40" s="736"/>
      <c r="Q40" s="736"/>
      <c r="R40" s="736"/>
      <c r="S40" s="736"/>
      <c r="T40" s="737"/>
      <c r="U40" s="737"/>
      <c r="V40" s="737"/>
      <c r="W40" s="737"/>
      <c r="X40" s="735"/>
      <c r="Y40" s="735"/>
      <c r="Z40" s="730"/>
      <c r="AA40" s="727"/>
      <c r="AB40" s="680"/>
    </row>
    <row r="41" spans="2:28" ht="20.100000000000001" customHeight="1" outlineLevel="1" x14ac:dyDescent="0.4">
      <c r="B41" s="685"/>
      <c r="C41" s="726"/>
      <c r="D41" s="1017"/>
      <c r="E41" s="1018"/>
      <c r="F41" s="686"/>
      <c r="G41" s="1052"/>
      <c r="H41" s="1053"/>
      <c r="I41" s="1053"/>
      <c r="J41" s="1053"/>
      <c r="K41" s="1053"/>
      <c r="L41" s="1053"/>
      <c r="M41" s="1053"/>
      <c r="N41" s="1053"/>
      <c r="O41" s="1053"/>
      <c r="P41" s="1053"/>
      <c r="Q41" s="1053"/>
      <c r="R41" s="1053"/>
      <c r="S41" s="1053"/>
      <c r="T41" s="1053"/>
      <c r="U41" s="1053"/>
      <c r="V41" s="1053"/>
      <c r="W41" s="1053"/>
      <c r="X41" s="1053"/>
      <c r="Y41" s="1054"/>
      <c r="Z41" s="730"/>
      <c r="AA41" s="727"/>
      <c r="AB41" s="680"/>
    </row>
    <row r="42" spans="2:28" ht="20.100000000000001" customHeight="1" outlineLevel="1" x14ac:dyDescent="0.4">
      <c r="B42" s="685"/>
      <c r="C42" s="726"/>
      <c r="D42" s="1017"/>
      <c r="E42" s="1018"/>
      <c r="F42" s="686"/>
      <c r="G42" s="1055"/>
      <c r="H42" s="1056"/>
      <c r="I42" s="1056"/>
      <c r="J42" s="1056"/>
      <c r="K42" s="1056"/>
      <c r="L42" s="1056"/>
      <c r="M42" s="1056"/>
      <c r="N42" s="1056"/>
      <c r="O42" s="1056"/>
      <c r="P42" s="1056"/>
      <c r="Q42" s="1056"/>
      <c r="R42" s="1056"/>
      <c r="S42" s="1056"/>
      <c r="T42" s="1056"/>
      <c r="U42" s="1056"/>
      <c r="V42" s="1056"/>
      <c r="W42" s="1056"/>
      <c r="X42" s="1056"/>
      <c r="Y42" s="1057"/>
      <c r="Z42" s="730"/>
      <c r="AA42" s="727"/>
      <c r="AB42" s="680"/>
    </row>
    <row r="43" spans="2:28" ht="20.100000000000001" customHeight="1" outlineLevel="1" thickBot="1" x14ac:dyDescent="0.45">
      <c r="B43" s="685"/>
      <c r="C43" s="726"/>
      <c r="D43" s="1019"/>
      <c r="E43" s="1020"/>
      <c r="F43" s="732"/>
      <c r="G43" s="732"/>
      <c r="H43" s="732"/>
      <c r="I43" s="732"/>
      <c r="J43" s="732"/>
      <c r="K43" s="732"/>
      <c r="L43" s="732"/>
      <c r="M43" s="732"/>
      <c r="N43" s="732"/>
      <c r="O43" s="732"/>
      <c r="P43" s="732"/>
      <c r="Q43" s="732"/>
      <c r="R43" s="732"/>
      <c r="S43" s="732"/>
      <c r="T43" s="732"/>
      <c r="U43" s="732"/>
      <c r="V43" s="732"/>
      <c r="W43" s="732"/>
      <c r="X43" s="732"/>
      <c r="Y43" s="732"/>
      <c r="Z43" s="731"/>
      <c r="AA43" s="727"/>
      <c r="AB43" s="680"/>
    </row>
    <row r="44" spans="2:28" ht="20.100000000000001" customHeight="1" outlineLevel="1" thickBot="1" x14ac:dyDescent="0.45">
      <c r="B44" s="685"/>
      <c r="C44" s="726"/>
      <c r="D44" s="738"/>
      <c r="E44" s="738"/>
      <c r="F44" s="686"/>
      <c r="G44" s="686"/>
      <c r="H44" s="686"/>
      <c r="I44" s="686"/>
      <c r="J44" s="686"/>
      <c r="K44" s="686"/>
      <c r="L44" s="686"/>
      <c r="M44" s="686"/>
      <c r="N44" s="686"/>
      <c r="O44" s="686"/>
      <c r="P44" s="686"/>
      <c r="Q44" s="686"/>
      <c r="R44" s="686"/>
      <c r="S44" s="686"/>
      <c r="T44" s="686"/>
      <c r="U44" s="686"/>
      <c r="V44" s="686"/>
      <c r="W44" s="686"/>
      <c r="X44" s="686"/>
      <c r="Y44" s="686"/>
      <c r="Z44" s="686"/>
      <c r="AA44" s="727"/>
      <c r="AB44" s="680"/>
    </row>
    <row r="45" spans="2:28" ht="20.100000000000001" customHeight="1" outlineLevel="1" x14ac:dyDescent="0.4">
      <c r="B45" s="685"/>
      <c r="C45" s="726"/>
      <c r="D45" s="1015" t="s">
        <v>38</v>
      </c>
      <c r="E45" s="1016"/>
      <c r="F45" s="1021"/>
      <c r="G45" s="1022"/>
      <c r="H45" s="1022"/>
      <c r="I45" s="1022"/>
      <c r="J45" s="1022"/>
      <c r="K45" s="1022"/>
      <c r="L45" s="1022"/>
      <c r="M45" s="1022"/>
      <c r="N45" s="1022"/>
      <c r="O45" s="1022"/>
      <c r="P45" s="1022"/>
      <c r="Q45" s="1022"/>
      <c r="R45" s="1022"/>
      <c r="S45" s="1022"/>
      <c r="T45" s="1022"/>
      <c r="U45" s="1022"/>
      <c r="V45" s="1022"/>
      <c r="W45" s="1022"/>
      <c r="X45" s="1022"/>
      <c r="Y45" s="1022"/>
      <c r="Z45" s="1023"/>
      <c r="AA45" s="708"/>
      <c r="AB45" s="680"/>
    </row>
    <row r="46" spans="2:28" ht="20.100000000000001" customHeight="1" outlineLevel="1" x14ac:dyDescent="0.4">
      <c r="B46" s="685"/>
      <c r="C46" s="726"/>
      <c r="D46" s="1017"/>
      <c r="E46" s="1018"/>
      <c r="F46" s="1024"/>
      <c r="G46" s="1025"/>
      <c r="H46" s="1025"/>
      <c r="I46" s="1025"/>
      <c r="J46" s="1025"/>
      <c r="K46" s="1025"/>
      <c r="L46" s="1025"/>
      <c r="M46" s="1025"/>
      <c r="N46" s="1025"/>
      <c r="O46" s="1025"/>
      <c r="P46" s="1025"/>
      <c r="Q46" s="1025"/>
      <c r="R46" s="1025"/>
      <c r="S46" s="1025"/>
      <c r="T46" s="1025"/>
      <c r="U46" s="1025"/>
      <c r="V46" s="1025"/>
      <c r="W46" s="1025"/>
      <c r="X46" s="1025"/>
      <c r="Y46" s="1025"/>
      <c r="Z46" s="1026"/>
      <c r="AA46" s="727"/>
      <c r="AB46" s="680"/>
    </row>
    <row r="47" spans="2:28" ht="20.100000000000001" customHeight="1" outlineLevel="1" x14ac:dyDescent="0.4">
      <c r="B47" s="685"/>
      <c r="C47" s="726"/>
      <c r="D47" s="1017"/>
      <c r="E47" s="1018"/>
      <c r="F47" s="1024"/>
      <c r="G47" s="1025"/>
      <c r="H47" s="1025"/>
      <c r="I47" s="1025"/>
      <c r="J47" s="1025"/>
      <c r="K47" s="1025"/>
      <c r="L47" s="1025"/>
      <c r="M47" s="1025"/>
      <c r="N47" s="1025"/>
      <c r="O47" s="1025"/>
      <c r="P47" s="1025"/>
      <c r="Q47" s="1025"/>
      <c r="R47" s="1025"/>
      <c r="S47" s="1025"/>
      <c r="T47" s="1025"/>
      <c r="U47" s="1025"/>
      <c r="V47" s="1025"/>
      <c r="W47" s="1025"/>
      <c r="X47" s="1025"/>
      <c r="Y47" s="1025"/>
      <c r="Z47" s="1026"/>
      <c r="AA47" s="727"/>
      <c r="AB47" s="680"/>
    </row>
    <row r="48" spans="2:28" ht="20.100000000000001" customHeight="1" outlineLevel="1" thickBot="1" x14ac:dyDescent="0.45">
      <c r="B48" s="685"/>
      <c r="C48" s="707"/>
      <c r="D48" s="1019"/>
      <c r="E48" s="1020"/>
      <c r="F48" s="1027"/>
      <c r="G48" s="1028"/>
      <c r="H48" s="1028"/>
      <c r="I48" s="1028"/>
      <c r="J48" s="1028"/>
      <c r="K48" s="1028"/>
      <c r="L48" s="1028"/>
      <c r="M48" s="1028"/>
      <c r="N48" s="1028"/>
      <c r="O48" s="1028"/>
      <c r="P48" s="1028"/>
      <c r="Q48" s="1028"/>
      <c r="R48" s="1028"/>
      <c r="S48" s="1028"/>
      <c r="T48" s="1028"/>
      <c r="U48" s="1028"/>
      <c r="V48" s="1028"/>
      <c r="W48" s="1028"/>
      <c r="X48" s="1028"/>
      <c r="Y48" s="1028"/>
      <c r="Z48" s="1029"/>
      <c r="AA48" s="727"/>
      <c r="AB48" s="680"/>
    </row>
    <row r="49" spans="2:28" ht="20.100000000000001" customHeight="1" outlineLevel="1" thickBot="1" x14ac:dyDescent="0.45">
      <c r="B49" s="685"/>
      <c r="C49" s="723"/>
      <c r="D49" s="728"/>
      <c r="E49" s="728"/>
      <c r="F49" s="728"/>
      <c r="G49" s="728"/>
      <c r="H49" s="728"/>
      <c r="I49" s="728"/>
      <c r="J49" s="728"/>
      <c r="K49" s="728"/>
      <c r="L49" s="728"/>
      <c r="M49" s="728"/>
      <c r="N49" s="728"/>
      <c r="O49" s="728"/>
      <c r="P49" s="728"/>
      <c r="Q49" s="728"/>
      <c r="R49" s="728"/>
      <c r="S49" s="728"/>
      <c r="T49" s="728"/>
      <c r="U49" s="728"/>
      <c r="V49" s="728"/>
      <c r="W49" s="728"/>
      <c r="X49" s="728"/>
      <c r="Y49" s="728"/>
      <c r="Z49" s="728"/>
      <c r="AA49" s="725"/>
      <c r="AB49" s="680"/>
    </row>
    <row r="50" spans="2:28" ht="9.9499999999999993" customHeight="1" thickTop="1" thickBot="1" x14ac:dyDescent="0.45">
      <c r="B50" s="685"/>
      <c r="C50" s="686"/>
      <c r="D50" s="686"/>
      <c r="E50" s="686"/>
      <c r="F50" s="686"/>
      <c r="G50" s="686"/>
      <c r="H50" s="686"/>
      <c r="I50" s="686"/>
      <c r="J50" s="686"/>
      <c r="K50" s="686"/>
      <c r="L50" s="686"/>
      <c r="M50" s="686"/>
      <c r="N50" s="686"/>
      <c r="O50" s="686"/>
      <c r="P50" s="686"/>
      <c r="Q50" s="686"/>
      <c r="R50" s="686"/>
      <c r="S50" s="686"/>
      <c r="T50" s="686"/>
      <c r="U50" s="686"/>
      <c r="V50" s="686"/>
      <c r="W50" s="686"/>
      <c r="X50" s="686"/>
      <c r="Y50" s="686"/>
      <c r="Z50" s="686"/>
      <c r="AA50" s="686"/>
      <c r="AB50" s="680"/>
    </row>
    <row r="51" spans="2:28" ht="20.100000000000001" customHeight="1" thickTop="1" thickBot="1" x14ac:dyDescent="0.45">
      <c r="B51" s="706"/>
      <c r="C51" s="924" t="s">
        <v>649</v>
      </c>
      <c r="D51" s="925"/>
      <c r="E51" s="925"/>
      <c r="F51" s="925"/>
      <c r="G51" s="925"/>
      <c r="H51" s="925"/>
      <c r="I51" s="925"/>
      <c r="J51" s="925"/>
      <c r="K51" s="925"/>
      <c r="L51" s="925"/>
      <c r="M51" s="925"/>
      <c r="N51" s="925"/>
      <c r="O51" s="925"/>
      <c r="P51" s="925"/>
      <c r="Q51" s="925"/>
      <c r="R51" s="925"/>
      <c r="S51" s="925"/>
      <c r="T51" s="925"/>
      <c r="U51" s="925"/>
      <c r="V51" s="925"/>
      <c r="W51" s="925"/>
      <c r="X51" s="925"/>
      <c r="Y51" s="925"/>
      <c r="Z51" s="925"/>
      <c r="AA51" s="926"/>
      <c r="AB51" s="673"/>
    </row>
    <row r="52" spans="2:28" ht="20.100000000000001" customHeight="1" outlineLevel="1" thickTop="1" x14ac:dyDescent="0.4">
      <c r="B52" s="685"/>
      <c r="C52" s="726"/>
      <c r="D52" s="686"/>
      <c r="E52" s="686"/>
      <c r="F52" s="686"/>
      <c r="G52" s="686"/>
      <c r="H52" s="686"/>
      <c r="I52" s="686"/>
      <c r="J52" s="686"/>
      <c r="K52" s="686"/>
      <c r="L52" s="686"/>
      <c r="M52" s="686"/>
      <c r="N52" s="686"/>
      <c r="O52" s="686"/>
      <c r="P52" s="686"/>
      <c r="Q52" s="686"/>
      <c r="R52" s="686"/>
      <c r="S52" s="686"/>
      <c r="T52" s="686"/>
      <c r="U52" s="686"/>
      <c r="V52" s="686"/>
      <c r="W52" s="686"/>
      <c r="X52" s="686"/>
      <c r="Y52" s="686"/>
      <c r="Z52" s="686"/>
      <c r="AA52" s="727"/>
      <c r="AB52" s="680"/>
    </row>
    <row r="53" spans="2:28" ht="20.100000000000001" customHeight="1" outlineLevel="1" x14ac:dyDescent="0.4">
      <c r="B53" s="685"/>
      <c r="C53" s="726"/>
      <c r="D53" s="1030" t="s">
        <v>39</v>
      </c>
      <c r="E53" s="1031"/>
      <c r="F53" s="1031"/>
      <c r="G53" s="1031"/>
      <c r="H53" s="1031"/>
      <c r="I53" s="1031"/>
      <c r="J53" s="1031"/>
      <c r="K53" s="1031"/>
      <c r="L53" s="1032"/>
      <c r="M53" s="1033" t="s">
        <v>650</v>
      </c>
      <c r="N53" s="1035" t="s">
        <v>376</v>
      </c>
      <c r="O53" s="1035"/>
      <c r="P53" s="1035"/>
      <c r="Q53" s="1035"/>
      <c r="R53" s="1035"/>
      <c r="S53" s="1035"/>
      <c r="T53" s="1035"/>
      <c r="U53" s="1035"/>
      <c r="V53" s="1035"/>
      <c r="W53" s="1035"/>
      <c r="X53" s="1036" t="s">
        <v>651</v>
      </c>
      <c r="Y53" s="1036"/>
      <c r="Z53" s="1036"/>
      <c r="AA53" s="727"/>
      <c r="AB53" s="680"/>
    </row>
    <row r="54" spans="2:28" ht="20.100000000000001" customHeight="1" outlineLevel="1" x14ac:dyDescent="0.4">
      <c r="B54" s="685"/>
      <c r="C54" s="726"/>
      <c r="D54" s="1037" t="s">
        <v>43</v>
      </c>
      <c r="E54" s="1009"/>
      <c r="F54" s="715" t="s">
        <v>652</v>
      </c>
      <c r="G54" s="1009" t="s">
        <v>245</v>
      </c>
      <c r="H54" s="1009"/>
      <c r="I54" s="1009" t="s">
        <v>653</v>
      </c>
      <c r="J54" s="1009"/>
      <c r="K54" s="1009" t="s">
        <v>11</v>
      </c>
      <c r="L54" s="1010"/>
      <c r="M54" s="1034"/>
      <c r="N54" s="714">
        <v>1</v>
      </c>
      <c r="O54" s="715">
        <v>2</v>
      </c>
      <c r="P54" s="715">
        <v>3</v>
      </c>
      <c r="Q54" s="715">
        <v>4</v>
      </c>
      <c r="R54" s="715">
        <v>5</v>
      </c>
      <c r="S54" s="715">
        <v>6</v>
      </c>
      <c r="T54" s="715">
        <v>7</v>
      </c>
      <c r="U54" s="715">
        <v>8</v>
      </c>
      <c r="V54" s="715">
        <v>9</v>
      </c>
      <c r="W54" s="716">
        <v>10</v>
      </c>
      <c r="X54" s="1035"/>
      <c r="Y54" s="1035"/>
      <c r="Z54" s="1035"/>
      <c r="AA54" s="727"/>
      <c r="AB54" s="680"/>
    </row>
    <row r="55" spans="2:28" ht="20.100000000000001" customHeight="1" outlineLevel="1" x14ac:dyDescent="0.4">
      <c r="B55" s="685"/>
      <c r="C55" s="726"/>
      <c r="D55" s="1011" t="str">
        <f ca="1">Equipements!G16</f>
        <v>A1_DO1_Q_Grav</v>
      </c>
      <c r="E55" s="1012"/>
      <c r="F55" s="712" t="str">
        <f ca="1">Equipements!H16</f>
        <v>A1</v>
      </c>
      <c r="G55" s="1013" t="str">
        <f ca="1">Equipements!I16</f>
        <v>Débitmètre gravitaire</v>
      </c>
      <c r="H55" s="1013"/>
      <c r="I55" s="1013" t="str">
        <f ca="1">Equipements!J16</f>
        <v>Seuil</v>
      </c>
      <c r="J55" s="1013"/>
      <c r="K55" s="1013" t="str">
        <f ca="1">Equipements!P16</f>
        <v>Validé</v>
      </c>
      <c r="L55" s="1014"/>
      <c r="M55" s="711">
        <f ca="1">Equipements!N16</f>
        <v>100</v>
      </c>
      <c r="N55" s="717" t="str">
        <f ca="1">Equipements!W16</f>
        <v>Validé</v>
      </c>
      <c r="O55" s="718" t="str">
        <f ca="1">Equipements!X16</f>
        <v>Validé</v>
      </c>
      <c r="P55" s="718" t="str">
        <f ca="1">Equipements!Y16</f>
        <v>Validé</v>
      </c>
      <c r="Q55" s="718" t="str">
        <f ca="1">Equipements!Z16</f>
        <v>Validé</v>
      </c>
      <c r="R55" s="718" t="str">
        <f ca="1">Equipements!AA16</f>
        <v>Validé</v>
      </c>
      <c r="S55" s="718" t="str">
        <f ca="1">Equipements!AB16</f>
        <v>Validé</v>
      </c>
      <c r="T55" s="718" t="str">
        <f ca="1">Equipements!AC16</f>
        <v>Validé</v>
      </c>
      <c r="U55" s="718" t="str">
        <f ca="1">Equipements!AD16</f>
        <v>Validé</v>
      </c>
      <c r="V55" s="718" t="str">
        <f ca="1">Equipements!AE16</f>
        <v>Validé</v>
      </c>
      <c r="W55" s="719" t="str">
        <f ca="1">Equipements!AF16</f>
        <v>Oui</v>
      </c>
      <c r="X55" s="1003" t="str">
        <f ca="1">IF(Equipements!R16&lt;&gt;"",Equipements!R16,"")</f>
        <v>aaaaaaaa</v>
      </c>
      <c r="Y55" s="1003"/>
      <c r="Z55" s="1003"/>
      <c r="AA55" s="727"/>
      <c r="AB55" s="680"/>
    </row>
    <row r="56" spans="2:28" ht="20.100000000000001" customHeight="1" outlineLevel="1" x14ac:dyDescent="0.4">
      <c r="B56" s="685"/>
      <c r="C56" s="726"/>
      <c r="D56" s="998" t="str">
        <f ca="1">Equipements!G17</f>
        <v>PLUVIO_SCL_ooo</v>
      </c>
      <c r="E56" s="999"/>
      <c r="F56" s="712" t="str">
        <f ca="1">Equipements!H17</f>
        <v>A1</v>
      </c>
      <c r="G56" s="1000" t="str">
        <f ca="1">Equipements!I17</f>
        <v>Pluviomètre</v>
      </c>
      <c r="H56" s="1001"/>
      <c r="I56" s="1000" t="str">
        <f ca="1">Equipements!J17</f>
        <v>Pluviomètre</v>
      </c>
      <c r="J56" s="1001"/>
      <c r="K56" s="1000" t="str">
        <f ca="1">Equipements!P17</f>
        <v/>
      </c>
      <c r="L56" s="1002"/>
      <c r="M56" s="711">
        <f ca="1">Equipements!N17</f>
        <v>0</v>
      </c>
      <c r="N56" s="717" t="str">
        <f ca="1">Equipements!W17</f>
        <v/>
      </c>
      <c r="O56" s="718" t="str">
        <f ca="1">Equipements!X17</f>
        <v>Non contrôlé</v>
      </c>
      <c r="P56" s="718" t="str">
        <f ca="1">Equipements!Y17</f>
        <v/>
      </c>
      <c r="Q56" s="718" t="str">
        <f ca="1">Equipements!Z17</f>
        <v/>
      </c>
      <c r="R56" s="718" t="str">
        <f ca="1">Equipements!AA17</f>
        <v>Non contrôlé</v>
      </c>
      <c r="S56" s="718" t="str">
        <f ca="1">Equipements!AB17</f>
        <v>Evaluation finale</v>
      </c>
      <c r="T56" s="718" t="str">
        <f ca="1">Equipements!AC17</f>
        <v/>
      </c>
      <c r="U56" s="718" t="str">
        <f ca="1">Equipements!AD17</f>
        <v/>
      </c>
      <c r="V56" s="718" t="str">
        <f ca="1">Equipements!AE17</f>
        <v/>
      </c>
      <c r="W56" s="719" t="str">
        <f ca="1">Equipements!AF17</f>
        <v/>
      </c>
      <c r="X56" s="1003" t="str">
        <f ca="1">IF(Equipements!R17&lt;&gt;"",Equipements!R17,"")</f>
        <v/>
      </c>
      <c r="Y56" s="1003"/>
      <c r="Z56" s="1003"/>
      <c r="AA56" s="727"/>
      <c r="AB56" s="680"/>
    </row>
    <row r="57" spans="2:28" ht="20.100000000000001" customHeight="1" outlineLevel="1" x14ac:dyDescent="0.4">
      <c r="B57" s="685"/>
      <c r="C57" s="726"/>
      <c r="D57" s="998" t="str">
        <f ca="1">Equipements!G18</f>
        <v>A2_P100_Q_Grav</v>
      </c>
      <c r="E57" s="999"/>
      <c r="F57" s="712" t="str">
        <f ca="1">Equipements!H18</f>
        <v>A2</v>
      </c>
      <c r="G57" s="1000" t="str">
        <f ca="1">Equipements!I18</f>
        <v>Débitmètre gravitaire</v>
      </c>
      <c r="H57" s="1001"/>
      <c r="I57" s="1000" t="str">
        <f ca="1">Equipements!J18</f>
        <v>Hauteur/Vitesse</v>
      </c>
      <c r="J57" s="1001"/>
      <c r="K57" s="1000" t="str">
        <f ca="1">Equipements!P18</f>
        <v>Validé avec réserve</v>
      </c>
      <c r="L57" s="1002"/>
      <c r="M57" s="711">
        <f ca="1">Equipements!N18</f>
        <v>80</v>
      </c>
      <c r="N57" s="717" t="str">
        <f ca="1">Equipements!W18</f>
        <v>Validé</v>
      </c>
      <c r="O57" s="718" t="str">
        <f ca="1">Equipements!X18</f>
        <v>Validé</v>
      </c>
      <c r="P57" s="718" t="str">
        <f ca="1">Equipements!Y18</f>
        <v>Validé</v>
      </c>
      <c r="Q57" s="718" t="str">
        <f ca="1">Equipements!Z18</f>
        <v>Validé</v>
      </c>
      <c r="R57" s="718" t="str">
        <f ca="1">Equipements!AA18</f>
        <v>Validé</v>
      </c>
      <c r="S57" s="718" t="str">
        <f ca="1">Equipements!AB18</f>
        <v>Validé</v>
      </c>
      <c r="T57" s="718" t="str">
        <f ca="1">Equipements!AC18</f>
        <v>Non contrôlé</v>
      </c>
      <c r="U57" s="718" t="str">
        <f ca="1">Equipements!AD18</f>
        <v>Non contrôlé</v>
      </c>
      <c r="V57" s="718" t="str">
        <f ca="1">Equipements!AE18</f>
        <v>Non validé</v>
      </c>
      <c r="W57" s="719" t="str">
        <f ca="1">Equipements!AF18</f>
        <v>Oui</v>
      </c>
      <c r="X57" s="1003" t="str">
        <f ca="1">IF(Equipements!R18&lt;&gt;"",Equipements!R18,"")</f>
        <v/>
      </c>
      <c r="Y57" s="1003"/>
      <c r="Z57" s="1003"/>
      <c r="AA57" s="727"/>
      <c r="AB57" s="680"/>
    </row>
    <row r="58" spans="2:28" ht="20.100000000000001" customHeight="1" outlineLevel="1" x14ac:dyDescent="0.4">
      <c r="B58" s="685"/>
      <c r="C58" s="726"/>
      <c r="D58" s="998" t="str">
        <f ca="1">Equipements!G19</f>
        <v>A3_P102_Q_DEM</v>
      </c>
      <c r="E58" s="999"/>
      <c r="F58" s="712" t="str">
        <f ca="1">Equipements!H19</f>
        <v>A3</v>
      </c>
      <c r="G58" s="1000" t="str">
        <f ca="1">Equipements!I19</f>
        <v>Débitmètre en charge</v>
      </c>
      <c r="H58" s="1001"/>
      <c r="I58" s="1000" t="str">
        <f ca="1">Equipements!J19</f>
        <v>Débitmètre électromagnétique (eau)</v>
      </c>
      <c r="J58" s="1001"/>
      <c r="K58" s="1000" t="str">
        <f ca="1">Equipements!P19</f>
        <v>Non Validé</v>
      </c>
      <c r="L58" s="1002"/>
      <c r="M58" s="711">
        <f ca="1">Equipements!N19</f>
        <v>60</v>
      </c>
      <c r="N58" s="717" t="str">
        <f ca="1">Equipements!W19</f>
        <v>Validé</v>
      </c>
      <c r="O58" s="718" t="str">
        <f ca="1">Equipements!X19</f>
        <v>Validé</v>
      </c>
      <c r="P58" s="718" t="str">
        <f ca="1">Equipements!Y19</f>
        <v>Validé</v>
      </c>
      <c r="Q58" s="718" t="str">
        <f ca="1">Equipements!Z19</f>
        <v>Non validé (&gt;10%)</v>
      </c>
      <c r="R58" s="718" t="str">
        <f ca="1">Equipements!AA19</f>
        <v>Non validé</v>
      </c>
      <c r="S58" s="718" t="str">
        <f ca="1">Equipements!AB19</f>
        <v>Non validé</v>
      </c>
      <c r="T58" s="718" t="str">
        <f ca="1">Equipements!AC19</f>
        <v>Non validé</v>
      </c>
      <c r="U58" s="718" t="str">
        <f ca="1">Equipements!AD19</f>
        <v>Validé</v>
      </c>
      <c r="V58" s="718" t="str">
        <f ca="1">Equipements!AE19</f>
        <v>Oui</v>
      </c>
      <c r="W58" s="719" t="str">
        <f ca="1">Equipements!AF19</f>
        <v/>
      </c>
      <c r="X58" s="1003" t="str">
        <f ca="1">IF(Equipements!R19&lt;&gt;"",Equipements!R19,"")</f>
        <v xml:space="preserve">Le dispositif en place </v>
      </c>
      <c r="Y58" s="1003"/>
      <c r="Z58" s="1003"/>
      <c r="AA58" s="727"/>
      <c r="AB58" s="680"/>
    </row>
    <row r="59" spans="2:28" ht="20.100000000000001" customHeight="1" outlineLevel="1" x14ac:dyDescent="0.4">
      <c r="B59" s="685"/>
      <c r="C59" s="726"/>
      <c r="D59" s="998" t="str">
        <f ca="1">Equipements!G20</f>
        <v>A3_P102_PREL</v>
      </c>
      <c r="E59" s="999"/>
      <c r="F59" s="712" t="str">
        <f ca="1">Equipements!H20</f>
        <v>A3</v>
      </c>
      <c r="G59" s="1000" t="str">
        <f ca="1">Equipements!I20</f>
        <v>Préleveur</v>
      </c>
      <c r="H59" s="1001"/>
      <c r="I59" s="1000" t="str">
        <f ca="1">Equipements!J20</f>
        <v>Préleveur Automatique</v>
      </c>
      <c r="J59" s="1001"/>
      <c r="K59" s="1000" t="str">
        <f ca="1">Equipements!P20</f>
        <v>Validé</v>
      </c>
      <c r="L59" s="1002"/>
      <c r="M59" s="711">
        <f ca="1">Equipements!N20</f>
        <v>85</v>
      </c>
      <c r="N59" s="717" t="str">
        <f ca="1">Equipements!W20</f>
        <v>Validé</v>
      </c>
      <c r="O59" s="718" t="str">
        <f ca="1">Equipements!X20</f>
        <v>Non validé</v>
      </c>
      <c r="P59" s="718" t="str">
        <f ca="1">Equipements!Y20</f>
        <v>Validé</v>
      </c>
      <c r="Q59" s="718" t="str">
        <f ca="1">Equipements!Z20</f>
        <v>Validé</v>
      </c>
      <c r="R59" s="718" t="str">
        <f ca="1">Equipements!AA20</f>
        <v>Validé</v>
      </c>
      <c r="S59" s="718" t="str">
        <f ca="1">Equipements!AB20</f>
        <v>Validé</v>
      </c>
      <c r="T59" s="718" t="str">
        <f ca="1">Equipements!AC20</f>
        <v>Validé</v>
      </c>
      <c r="U59" s="718" t="str">
        <f ca="1">Equipements!AD20</f>
        <v>Validé</v>
      </c>
      <c r="V59" s="718" t="str">
        <f ca="1">Equipements!AE20</f>
        <v>Validé</v>
      </c>
      <c r="W59" s="719" t="str">
        <f ca="1">Equipements!AF20</f>
        <v>Validé</v>
      </c>
      <c r="X59" s="1003" t="str">
        <f ca="1">IF(Equipements!R20&lt;&gt;"",Equipements!R20,"")</f>
        <v>Pb de positionnement</v>
      </c>
      <c r="Y59" s="1003"/>
      <c r="Z59" s="1003"/>
      <c r="AA59" s="727"/>
      <c r="AB59" s="680"/>
    </row>
    <row r="60" spans="2:28" ht="20.100000000000001" customHeight="1" outlineLevel="1" x14ac:dyDescent="0.4">
      <c r="B60" s="685"/>
      <c r="C60" s="726"/>
      <c r="D60" s="998" t="str">
        <f ca="1">Equipements!G21</f>
        <v>A4_P103_Q_Grav</v>
      </c>
      <c r="E60" s="999"/>
      <c r="F60" s="712" t="str">
        <f ca="1">Equipements!H21</f>
        <v>A4</v>
      </c>
      <c r="G60" s="1000" t="str">
        <f ca="1">Equipements!I21</f>
        <v>Débitmètre gravitaire</v>
      </c>
      <c r="H60" s="1001"/>
      <c r="I60" s="1000" t="str">
        <f ca="1">Equipements!J21</f>
        <v>Canal Venturi</v>
      </c>
      <c r="J60" s="1001"/>
      <c r="K60" s="1000" t="str">
        <f ca="1">Equipements!P21</f>
        <v>Non validé</v>
      </c>
      <c r="L60" s="1002"/>
      <c r="M60" s="711">
        <f ca="1">Equipements!N21</f>
        <v>0</v>
      </c>
      <c r="N60" s="717" t="str">
        <f ca="1">Equipements!W21</f>
        <v>Validé</v>
      </c>
      <c r="O60" s="718" t="str">
        <f ca="1">Equipements!X21</f>
        <v>Validé</v>
      </c>
      <c r="P60" s="718" t="str">
        <f ca="1">Equipements!Y21</f>
        <v>Validé</v>
      </c>
      <c r="Q60" s="718" t="str">
        <f ca="1">Equipements!Z21</f>
        <v>Validé</v>
      </c>
      <c r="R60" s="718" t="str">
        <f ca="1">Equipements!AA21</f>
        <v>Validé</v>
      </c>
      <c r="S60" s="718" t="str">
        <f ca="1">Equipements!AB21</f>
        <v>Non contrôlé</v>
      </c>
      <c r="T60" s="718" t="str">
        <f ca="1">Equipements!AC21</f>
        <v>Validé</v>
      </c>
      <c r="U60" s="718" t="str">
        <f ca="1">Equipements!AD21</f>
        <v>Non validé</v>
      </c>
      <c r="V60" s="718" t="str">
        <f ca="1">Equipements!AE21</f>
        <v>Validé</v>
      </c>
      <c r="W60" s="719" t="str">
        <f ca="1">Equipements!AF21</f>
        <v>Oui</v>
      </c>
      <c r="X60" s="1003" t="str">
        <f ca="1">IF(Equipements!R21&lt;&gt;"",Equipements!R21,"")</f>
        <v/>
      </c>
      <c r="Y60" s="1003"/>
      <c r="Z60" s="1003"/>
      <c r="AA60" s="727"/>
      <c r="AB60" s="680"/>
    </row>
    <row r="61" spans="2:28" ht="20.100000000000001" customHeight="1" outlineLevel="1" x14ac:dyDescent="0.4">
      <c r="B61" s="685"/>
      <c r="C61" s="726"/>
      <c r="D61" s="998" t="str">
        <f ca="1">Equipements!G22</f>
        <v>A4_P103_PREL</v>
      </c>
      <c r="E61" s="999"/>
      <c r="F61" s="712" t="str">
        <f ca="1">Equipements!H22</f>
        <v>A4</v>
      </c>
      <c r="G61" s="1000" t="str">
        <f ca="1">Equipements!I22</f>
        <v>Préleveur</v>
      </c>
      <c r="H61" s="1001"/>
      <c r="I61" s="1000" t="str">
        <f ca="1">Equipements!J22</f>
        <v>Préleveur Automatique</v>
      </c>
      <c r="J61" s="1001"/>
      <c r="K61" s="1000" t="str">
        <f ca="1">Equipements!P22</f>
        <v>Validé</v>
      </c>
      <c r="L61" s="1002"/>
      <c r="M61" s="711">
        <f ca="1">Equipements!N22</f>
        <v>100</v>
      </c>
      <c r="N61" s="717" t="str">
        <f ca="1">Equipements!W22</f>
        <v>Validé</v>
      </c>
      <c r="O61" s="718" t="str">
        <f ca="1">Equipements!X22</f>
        <v>Validé</v>
      </c>
      <c r="P61" s="718" t="str">
        <f ca="1">Equipements!Y22</f>
        <v>Validé</v>
      </c>
      <c r="Q61" s="718" t="str">
        <f ca="1">Equipements!Z22</f>
        <v>Validé</v>
      </c>
      <c r="R61" s="718" t="str">
        <f ca="1">Equipements!AA22</f>
        <v>Validé</v>
      </c>
      <c r="S61" s="718" t="str">
        <f ca="1">Equipements!AB22</f>
        <v>Validé</v>
      </c>
      <c r="T61" s="718" t="str">
        <f ca="1">Equipements!AC22</f>
        <v>Validé</v>
      </c>
      <c r="U61" s="718" t="str">
        <f ca="1">Equipements!AD22</f>
        <v>Validé</v>
      </c>
      <c r="V61" s="718" t="str">
        <f ca="1">Equipements!AE22</f>
        <v>Validé</v>
      </c>
      <c r="W61" s="719" t="str">
        <f ca="1">Equipements!AF22</f>
        <v>Validé</v>
      </c>
      <c r="X61" s="1003" t="str">
        <f ca="1">IF(Equipements!R22&lt;&gt;"",Equipements!R22,"")</f>
        <v/>
      </c>
      <c r="Y61" s="1003"/>
      <c r="Z61" s="1003"/>
      <c r="AA61" s="727"/>
      <c r="AB61" s="680"/>
    </row>
    <row r="62" spans="2:28" ht="20.100000000000001" customHeight="1" outlineLevel="1" x14ac:dyDescent="0.4">
      <c r="B62" s="685"/>
      <c r="C62" s="726"/>
      <c r="D62" s="998" t="str">
        <f ca="1">Equipements!G23</f>
        <v>A6_P104_Q_DEM</v>
      </c>
      <c r="E62" s="999"/>
      <c r="F62" s="712" t="str">
        <f ca="1">Equipements!H23</f>
        <v>A6</v>
      </c>
      <c r="G62" s="1000" t="str">
        <f ca="1">Equipements!I23</f>
        <v>Débitmètre en charge</v>
      </c>
      <c r="H62" s="1001"/>
      <c r="I62" s="1000" t="str">
        <f ca="1">Equipements!J23</f>
        <v>Débitmètre électromagnétique (boue/MDV)</v>
      </c>
      <c r="J62" s="1001"/>
      <c r="K62" s="1000" t="str">
        <f ca="1">Equipements!P23</f>
        <v>Non validé</v>
      </c>
      <c r="L62" s="1002"/>
      <c r="M62" s="711">
        <f ca="1">Equipements!N23</f>
        <v>40</v>
      </c>
      <c r="N62" s="717" t="str">
        <f ca="1">Equipements!W23</f>
        <v>Validé</v>
      </c>
      <c r="O62" s="718" t="str">
        <f ca="1">Equipements!X23</f>
        <v>Validé</v>
      </c>
      <c r="P62" s="718" t="str">
        <f ca="1">Equipements!Y23</f>
        <v>Validé</v>
      </c>
      <c r="Q62" s="718" t="str">
        <f ca="1">Equipements!Z23</f>
        <v>Non validé (&gt;10%)</v>
      </c>
      <c r="R62" s="718" t="str">
        <f ca="1">Equipements!AA23</f>
        <v/>
      </c>
      <c r="S62" s="718" t="str">
        <f ca="1">Equipements!AB23</f>
        <v/>
      </c>
      <c r="T62" s="718" t="str">
        <f ca="1">Equipements!AC23</f>
        <v/>
      </c>
      <c r="U62" s="718" t="str">
        <f ca="1">Equipements!AD23</f>
        <v>Validé</v>
      </c>
      <c r="V62" s="718" t="str">
        <f ca="1">Equipements!AE23</f>
        <v>Oui</v>
      </c>
      <c r="W62" s="719" t="str">
        <f ca="1">Equipements!AF23</f>
        <v/>
      </c>
      <c r="X62" s="1003" t="str">
        <f ca="1">IF(Equipements!R23&lt;&gt;"",Equipements!R23,"")</f>
        <v/>
      </c>
      <c r="Y62" s="1003"/>
      <c r="Z62" s="1003"/>
      <c r="AA62" s="727"/>
      <c r="AB62" s="680"/>
    </row>
    <row r="63" spans="2:28" ht="20.100000000000001" customHeight="1" outlineLevel="1" x14ac:dyDescent="0.4">
      <c r="B63" s="685"/>
      <c r="C63" s="726"/>
      <c r="D63" s="998" t="str">
        <f ca="1">Equipements!G24</f>
        <v>A4_P103_TEMP</v>
      </c>
      <c r="E63" s="999"/>
      <c r="F63" s="712" t="str">
        <f ca="1">Equipements!H24</f>
        <v>A4</v>
      </c>
      <c r="G63" s="1000" t="str">
        <f ca="1">Equipements!I24</f>
        <v>Sonde de température</v>
      </c>
      <c r="H63" s="1001"/>
      <c r="I63" s="1000">
        <f ca="1">Equipements!J24</f>
        <v>0</v>
      </c>
      <c r="J63" s="1001"/>
      <c r="K63" s="1000" t="str">
        <f ca="1">Equipements!P24</f>
        <v>Validé avec réserve</v>
      </c>
      <c r="L63" s="1002"/>
      <c r="M63" s="711">
        <f ca="1">Equipements!N24</f>
        <v>100</v>
      </c>
      <c r="N63" s="717" t="str">
        <f ca="1">Equipements!W24</f>
        <v>Validé</v>
      </c>
      <c r="O63" s="718" t="str">
        <f ca="1">Equipements!X24</f>
        <v>Validé</v>
      </c>
      <c r="P63" s="718" t="str">
        <f ca="1">Equipements!Y24</f>
        <v>Validé</v>
      </c>
      <c r="Q63" s="718" t="str">
        <f ca="1">Equipements!Z24</f>
        <v>Validé</v>
      </c>
      <c r="R63" s="718" t="str">
        <f ca="1">Equipements!AA24</f>
        <v>Evaluation finale</v>
      </c>
      <c r="S63" s="718" t="str">
        <f ca="1">Equipements!AB24</f>
        <v>Validé avec réserve</v>
      </c>
      <c r="T63" s="718" t="str">
        <f ca="1">Equipements!AC24</f>
        <v/>
      </c>
      <c r="U63" s="718" t="str">
        <f ca="1">Equipements!AD24</f>
        <v/>
      </c>
      <c r="V63" s="718" t="str">
        <f ca="1">Equipements!AE24</f>
        <v/>
      </c>
      <c r="W63" s="719" t="str">
        <f ca="1">Equipements!AF24</f>
        <v/>
      </c>
      <c r="X63" s="1003" t="str">
        <f ca="1">IF(Equipements!R24&lt;&gt;"",Equipements!R24,"")</f>
        <v/>
      </c>
      <c r="Y63" s="1003"/>
      <c r="Z63" s="1003"/>
      <c r="AA63" s="727"/>
      <c r="AB63" s="680"/>
    </row>
    <row r="64" spans="2:28" ht="20.100000000000001" customHeight="1" outlineLevel="1" x14ac:dyDescent="0.4">
      <c r="B64" s="685"/>
      <c r="C64" s="726"/>
      <c r="D64" s="998" t="str">
        <f ca="1">Equipements!G25</f>
        <v>PLUVIO_STEU_P1</v>
      </c>
      <c r="E64" s="999"/>
      <c r="F64" s="712" t="str">
        <f ca="1">Equipements!H25</f>
        <v>A3</v>
      </c>
      <c r="G64" s="1000" t="str">
        <f ca="1">Equipements!I25</f>
        <v>Pluviomètre</v>
      </c>
      <c r="H64" s="1001"/>
      <c r="I64" s="1000" t="str">
        <f ca="1">Equipements!J25</f>
        <v>Pluviomètre</v>
      </c>
      <c r="J64" s="1001"/>
      <c r="K64" s="1000" t="str">
        <f ca="1">Equipements!P25</f>
        <v>Validé avec réserve</v>
      </c>
      <c r="L64" s="1002"/>
      <c r="M64" s="711">
        <f ca="1">Equipements!N25</f>
        <v>70</v>
      </c>
      <c r="N64" s="717" t="str">
        <f ca="1">Equipements!W25</f>
        <v>Validé</v>
      </c>
      <c r="O64" s="718" t="str">
        <f ca="1">Equipements!X25</f>
        <v>Validé</v>
      </c>
      <c r="P64" s="718" t="str">
        <f ca="1">Equipements!Y25</f>
        <v>Validé</v>
      </c>
      <c r="Q64" s="718" t="str">
        <f ca="1">Equipements!Z25</f>
        <v>Validé</v>
      </c>
      <c r="R64" s="718" t="str">
        <f ca="1">Equipements!AA25</f>
        <v>Non contrôlé</v>
      </c>
      <c r="S64" s="718" t="str">
        <f ca="1">Equipements!AB25</f>
        <v>Evaluation finale</v>
      </c>
      <c r="T64" s="718" t="str">
        <f ca="1">Equipements!AC25</f>
        <v>Validé avec réserve</v>
      </c>
      <c r="U64" s="718" t="str">
        <f ca="1">Equipements!AD25</f>
        <v/>
      </c>
      <c r="V64" s="718" t="str">
        <f ca="1">Equipements!AE25</f>
        <v/>
      </c>
      <c r="W64" s="719" t="str">
        <f ca="1">Equipements!AF25</f>
        <v/>
      </c>
      <c r="X64" s="1003" t="str">
        <f ca="1">IF(Equipements!R25&lt;&gt;"",Equipements!R25,"")</f>
        <v/>
      </c>
      <c r="Y64" s="1003"/>
      <c r="Z64" s="1003"/>
      <c r="AA64" s="727"/>
      <c r="AB64" s="680"/>
    </row>
    <row r="65" spans="2:28" ht="20.100000000000001" customHeight="1" outlineLevel="1" x14ac:dyDescent="0.4">
      <c r="B65" s="685"/>
      <c r="C65" s="726"/>
      <c r="D65" s="998" t="str">
        <f ca="1">Equipements!G26</f>
        <v/>
      </c>
      <c r="E65" s="999"/>
      <c r="F65" s="712" t="str">
        <f ca="1">Equipements!H26</f>
        <v/>
      </c>
      <c r="G65" s="1000" t="str">
        <f ca="1">Equipements!I26</f>
        <v/>
      </c>
      <c r="H65" s="1001"/>
      <c r="I65" s="1000" t="str">
        <f ca="1">Equipements!J26</f>
        <v/>
      </c>
      <c r="J65" s="1001"/>
      <c r="K65" s="1000" t="str">
        <f ca="1">Equipements!P26</f>
        <v/>
      </c>
      <c r="L65" s="1002"/>
      <c r="M65" s="711" t="str">
        <f ca="1">Equipements!N26</f>
        <v/>
      </c>
      <c r="N65" s="717" t="str">
        <f ca="1">Equipements!W26</f>
        <v/>
      </c>
      <c r="O65" s="718" t="str">
        <f ca="1">Equipements!X26</f>
        <v/>
      </c>
      <c r="P65" s="718" t="str">
        <f ca="1">Equipements!Y26</f>
        <v/>
      </c>
      <c r="Q65" s="718" t="str">
        <f ca="1">Equipements!Z26</f>
        <v/>
      </c>
      <c r="R65" s="718" t="str">
        <f ca="1">Equipements!AA26</f>
        <v/>
      </c>
      <c r="S65" s="718" t="str">
        <f ca="1">Equipements!AB26</f>
        <v/>
      </c>
      <c r="T65" s="718" t="str">
        <f ca="1">Equipements!AC26</f>
        <v/>
      </c>
      <c r="U65" s="718" t="str">
        <f ca="1">Equipements!AD26</f>
        <v/>
      </c>
      <c r="V65" s="718" t="str">
        <f ca="1">Equipements!AE26</f>
        <v/>
      </c>
      <c r="W65" s="719" t="str">
        <f ca="1">Equipements!AF26</f>
        <v/>
      </c>
      <c r="X65" s="1003" t="str">
        <f ca="1">IF(Equipements!R26&lt;&gt;"",Equipements!R26,"")</f>
        <v/>
      </c>
      <c r="Y65" s="1003"/>
      <c r="Z65" s="1003"/>
      <c r="AA65" s="727"/>
      <c r="AB65" s="680"/>
    </row>
    <row r="66" spans="2:28" ht="20.100000000000001" customHeight="1" outlineLevel="1" x14ac:dyDescent="0.4">
      <c r="B66" s="685"/>
      <c r="C66" s="726"/>
      <c r="D66" s="998" t="str">
        <f ca="1">Equipements!G27</f>
        <v/>
      </c>
      <c r="E66" s="999"/>
      <c r="F66" s="712" t="str">
        <f ca="1">Equipements!H27</f>
        <v/>
      </c>
      <c r="G66" s="1000" t="str">
        <f ca="1">Equipements!I27</f>
        <v/>
      </c>
      <c r="H66" s="1001"/>
      <c r="I66" s="1000" t="str">
        <f ca="1">Equipements!J27</f>
        <v/>
      </c>
      <c r="J66" s="1001"/>
      <c r="K66" s="1000" t="str">
        <f ca="1">Equipements!P27</f>
        <v/>
      </c>
      <c r="L66" s="1002"/>
      <c r="M66" s="711" t="str">
        <f ca="1">Equipements!N27</f>
        <v/>
      </c>
      <c r="N66" s="717" t="str">
        <f ca="1">Equipements!W27</f>
        <v/>
      </c>
      <c r="O66" s="718" t="str">
        <f ca="1">Equipements!X27</f>
        <v/>
      </c>
      <c r="P66" s="718" t="str">
        <f ca="1">Equipements!Y27</f>
        <v/>
      </c>
      <c r="Q66" s="718" t="str">
        <f ca="1">Equipements!Z27</f>
        <v/>
      </c>
      <c r="R66" s="718" t="str">
        <f ca="1">Equipements!AA27</f>
        <v/>
      </c>
      <c r="S66" s="718" t="str">
        <f ca="1">Equipements!AB27</f>
        <v/>
      </c>
      <c r="T66" s="718" t="str">
        <f ca="1">Equipements!AC27</f>
        <v/>
      </c>
      <c r="U66" s="718" t="str">
        <f ca="1">Equipements!AD27</f>
        <v/>
      </c>
      <c r="V66" s="718" t="str">
        <f ca="1">Equipements!AE27</f>
        <v/>
      </c>
      <c r="W66" s="719" t="str">
        <f ca="1">Equipements!AF27</f>
        <v/>
      </c>
      <c r="X66" s="1003" t="str">
        <f ca="1">IF(Equipements!R27&lt;&gt;"",Equipements!R27,"")</f>
        <v/>
      </c>
      <c r="Y66" s="1003"/>
      <c r="Z66" s="1003"/>
      <c r="AA66" s="727"/>
      <c r="AB66" s="680"/>
    </row>
    <row r="67" spans="2:28" ht="20.100000000000001" customHeight="1" outlineLevel="1" x14ac:dyDescent="0.4">
      <c r="B67" s="685"/>
      <c r="C67" s="726"/>
      <c r="D67" s="1004" t="str">
        <f ca="1">Equipements!G28</f>
        <v/>
      </c>
      <c r="E67" s="1005"/>
      <c r="F67" s="713" t="str">
        <f ca="1">Equipements!H28</f>
        <v/>
      </c>
      <c r="G67" s="1006" t="str">
        <f ca="1">Equipements!I28</f>
        <v/>
      </c>
      <c r="H67" s="1007"/>
      <c r="I67" s="1006" t="str">
        <f ca="1">Equipements!J28</f>
        <v/>
      </c>
      <c r="J67" s="1007"/>
      <c r="K67" s="1006" t="str">
        <f ca="1">Equipements!P28</f>
        <v/>
      </c>
      <c r="L67" s="1008"/>
      <c r="M67" s="705" t="str">
        <f ca="1">Equipements!N28</f>
        <v/>
      </c>
      <c r="N67" s="720" t="str">
        <f ca="1">Equipements!W28</f>
        <v/>
      </c>
      <c r="O67" s="721" t="str">
        <f ca="1">Equipements!X28</f>
        <v/>
      </c>
      <c r="P67" s="721" t="str">
        <f ca="1">Equipements!Y28</f>
        <v/>
      </c>
      <c r="Q67" s="721" t="str">
        <f ca="1">Equipements!Z28</f>
        <v/>
      </c>
      <c r="R67" s="721" t="str">
        <f ca="1">Equipements!AA28</f>
        <v/>
      </c>
      <c r="S67" s="721" t="str">
        <f ca="1">Equipements!AB28</f>
        <v/>
      </c>
      <c r="T67" s="721" t="str">
        <f ca="1">Equipements!AC28</f>
        <v/>
      </c>
      <c r="U67" s="721" t="str">
        <f ca="1">Equipements!AD28</f>
        <v/>
      </c>
      <c r="V67" s="721" t="str">
        <f ca="1">Equipements!AE28</f>
        <v/>
      </c>
      <c r="W67" s="722" t="str">
        <f ca="1">Equipements!AF28</f>
        <v/>
      </c>
      <c r="X67" s="1003" t="str">
        <f ca="1">IF(Equipements!R28&lt;&gt;"",Equipements!R28,"")</f>
        <v/>
      </c>
      <c r="Y67" s="1003"/>
      <c r="Z67" s="1003"/>
      <c r="AA67" s="727"/>
      <c r="AB67" s="680"/>
    </row>
    <row r="68" spans="2:28" ht="20.100000000000001" customHeight="1" outlineLevel="1" thickBot="1" x14ac:dyDescent="0.45">
      <c r="B68" s="685"/>
      <c r="C68" s="723"/>
      <c r="D68" s="724"/>
      <c r="E68" s="724"/>
      <c r="F68" s="724"/>
      <c r="G68" s="724"/>
      <c r="H68" s="724"/>
      <c r="I68" s="724"/>
      <c r="J68" s="724"/>
      <c r="K68" s="724"/>
      <c r="L68" s="724"/>
      <c r="M68" s="724"/>
      <c r="N68" s="724"/>
      <c r="O68" s="724"/>
      <c r="P68" s="724"/>
      <c r="Q68" s="724"/>
      <c r="R68" s="724"/>
      <c r="S68" s="724"/>
      <c r="T68" s="724"/>
      <c r="U68" s="724"/>
      <c r="V68" s="724"/>
      <c r="W68" s="724"/>
      <c r="X68" s="997"/>
      <c r="Y68" s="997"/>
      <c r="Z68" s="997"/>
      <c r="AA68" s="725"/>
      <c r="AB68" s="680"/>
    </row>
    <row r="69" spans="2:28" ht="9.9499999999999993" customHeight="1" thickTop="1" x14ac:dyDescent="0.4">
      <c r="B69" s="676"/>
      <c r="C69" s="677"/>
      <c r="D69" s="677"/>
      <c r="E69" s="677"/>
      <c r="F69" s="677"/>
      <c r="G69" s="677"/>
      <c r="H69" s="677"/>
      <c r="I69" s="677"/>
      <c r="J69" s="677"/>
      <c r="K69" s="677"/>
      <c r="L69" s="677"/>
      <c r="M69" s="677"/>
      <c r="N69" s="677"/>
      <c r="O69" s="677"/>
      <c r="P69" s="677"/>
      <c r="Q69" s="677"/>
      <c r="R69" s="677"/>
      <c r="S69" s="677"/>
      <c r="T69" s="677"/>
      <c r="U69" s="677"/>
      <c r="V69" s="677"/>
      <c r="W69" s="677"/>
      <c r="X69" s="677"/>
      <c r="Y69" s="677"/>
      <c r="Z69" s="677"/>
      <c r="AA69" s="677"/>
      <c r="AB69" s="678"/>
    </row>
  </sheetData>
  <mergeCells count="189">
    <mergeCell ref="P15:Q15"/>
    <mergeCell ref="N28:Y33"/>
    <mergeCell ref="D27:E34"/>
    <mergeCell ref="N19:O19"/>
    <mergeCell ref="N13:O13"/>
    <mergeCell ref="N14:O14"/>
    <mergeCell ref="N15:O15"/>
    <mergeCell ref="N16:O16"/>
    <mergeCell ref="O23:Y24"/>
    <mergeCell ref="M24:N24"/>
    <mergeCell ref="M23:N23"/>
    <mergeCell ref="T13:W13"/>
    <mergeCell ref="T14:W14"/>
    <mergeCell ref="T15:W15"/>
    <mergeCell ref="T18:W18"/>
    <mergeCell ref="P13:Q13"/>
    <mergeCell ref="P14:Q14"/>
    <mergeCell ref="C4:F4"/>
    <mergeCell ref="G4:J4"/>
    <mergeCell ref="K4:M4"/>
    <mergeCell ref="N4:S4"/>
    <mergeCell ref="T4:X4"/>
    <mergeCell ref="Y4:AA4"/>
    <mergeCell ref="C2:AA2"/>
    <mergeCell ref="C3:F3"/>
    <mergeCell ref="G3:J3"/>
    <mergeCell ref="K3:M3"/>
    <mergeCell ref="N3:S3"/>
    <mergeCell ref="T3:X3"/>
    <mergeCell ref="Y3:AA3"/>
    <mergeCell ref="C6:F6"/>
    <mergeCell ref="G6:J6"/>
    <mergeCell ref="K6:M6"/>
    <mergeCell ref="N6:S6"/>
    <mergeCell ref="T6:X6"/>
    <mergeCell ref="Y6:AA6"/>
    <mergeCell ref="C5:F5"/>
    <mergeCell ref="G5:J5"/>
    <mergeCell ref="K5:M5"/>
    <mergeCell ref="N5:S5"/>
    <mergeCell ref="T5:X5"/>
    <mergeCell ref="Y5:AA5"/>
    <mergeCell ref="C8:AA8"/>
    <mergeCell ref="D10:E20"/>
    <mergeCell ref="G11:I11"/>
    <mergeCell ref="L11:O11"/>
    <mergeCell ref="P11:Q11"/>
    <mergeCell ref="T11:X11"/>
    <mergeCell ref="G12:H12"/>
    <mergeCell ref="L12:M12"/>
    <mergeCell ref="N12:O12"/>
    <mergeCell ref="P12:Q12"/>
    <mergeCell ref="G13:H13"/>
    <mergeCell ref="G14:H14"/>
    <mergeCell ref="G15:H15"/>
    <mergeCell ref="G17:H17"/>
    <mergeCell ref="G19:H19"/>
    <mergeCell ref="L17:M17"/>
    <mergeCell ref="L19:M19"/>
    <mergeCell ref="L13:M13"/>
    <mergeCell ref="L14:M14"/>
    <mergeCell ref="L15:M15"/>
    <mergeCell ref="D22:E25"/>
    <mergeCell ref="G23:J23"/>
    <mergeCell ref="K23:L23"/>
    <mergeCell ref="G24:J24"/>
    <mergeCell ref="K24:L24"/>
    <mergeCell ref="T12:W12"/>
    <mergeCell ref="G16:H16"/>
    <mergeCell ref="L16:M16"/>
    <mergeCell ref="P16:Q16"/>
    <mergeCell ref="T16:W16"/>
    <mergeCell ref="T17:W17"/>
    <mergeCell ref="T19:W19"/>
    <mergeCell ref="G18:H18"/>
    <mergeCell ref="L18:M18"/>
    <mergeCell ref="P17:Q17"/>
    <mergeCell ref="P18:Q18"/>
    <mergeCell ref="P19:Q19"/>
    <mergeCell ref="N17:O17"/>
    <mergeCell ref="N18:O18"/>
    <mergeCell ref="K29:L29"/>
    <mergeCell ref="I30:J30"/>
    <mergeCell ref="K30:L30"/>
    <mergeCell ref="I28:J28"/>
    <mergeCell ref="K28:L28"/>
    <mergeCell ref="I31:J31"/>
    <mergeCell ref="K31:L31"/>
    <mergeCell ref="D36:E43"/>
    <mergeCell ref="G37:H39"/>
    <mergeCell ref="I37:J37"/>
    <mergeCell ref="K37:L37"/>
    <mergeCell ref="P37:S39"/>
    <mergeCell ref="I39:J39"/>
    <mergeCell ref="K39:L39"/>
    <mergeCell ref="T39:W39"/>
    <mergeCell ref="X39:Y39"/>
    <mergeCell ref="G40:L40"/>
    <mergeCell ref="G41:Y42"/>
    <mergeCell ref="T37:W37"/>
    <mergeCell ref="X37:Y37"/>
    <mergeCell ref="I38:J38"/>
    <mergeCell ref="K38:L38"/>
    <mergeCell ref="T38:W38"/>
    <mergeCell ref="X38:Y38"/>
    <mergeCell ref="I29:J29"/>
    <mergeCell ref="K54:L54"/>
    <mergeCell ref="D55:E55"/>
    <mergeCell ref="G55:H55"/>
    <mergeCell ref="I55:J55"/>
    <mergeCell ref="K55:L55"/>
    <mergeCell ref="X55:Z55"/>
    <mergeCell ref="D45:E48"/>
    <mergeCell ref="F45:Z48"/>
    <mergeCell ref="C51:AA51"/>
    <mergeCell ref="D53:L53"/>
    <mergeCell ref="M53:M54"/>
    <mergeCell ref="N53:W53"/>
    <mergeCell ref="X53:Z54"/>
    <mergeCell ref="D54:E54"/>
    <mergeCell ref="G54:H54"/>
    <mergeCell ref="I54:J54"/>
    <mergeCell ref="D56:E56"/>
    <mergeCell ref="G56:H56"/>
    <mergeCell ref="I56:J56"/>
    <mergeCell ref="K56:L56"/>
    <mergeCell ref="X56:Z56"/>
    <mergeCell ref="D57:E57"/>
    <mergeCell ref="G57:H57"/>
    <mergeCell ref="I57:J57"/>
    <mergeCell ref="K57:L57"/>
    <mergeCell ref="X57:Z57"/>
    <mergeCell ref="D58:E58"/>
    <mergeCell ref="G58:H58"/>
    <mergeCell ref="I58:J58"/>
    <mergeCell ref="K58:L58"/>
    <mergeCell ref="X58:Z58"/>
    <mergeCell ref="D59:E59"/>
    <mergeCell ref="G59:H59"/>
    <mergeCell ref="I59:J59"/>
    <mergeCell ref="K59:L59"/>
    <mergeCell ref="X59:Z59"/>
    <mergeCell ref="D60:E60"/>
    <mergeCell ref="G60:H60"/>
    <mergeCell ref="I60:J60"/>
    <mergeCell ref="K60:L60"/>
    <mergeCell ref="X60:Z60"/>
    <mergeCell ref="D61:E61"/>
    <mergeCell ref="G61:H61"/>
    <mergeCell ref="I61:J61"/>
    <mergeCell ref="K61:L61"/>
    <mergeCell ref="X61:Z61"/>
    <mergeCell ref="I65:J65"/>
    <mergeCell ref="K65:L65"/>
    <mergeCell ref="X65:Z65"/>
    <mergeCell ref="D62:E62"/>
    <mergeCell ref="G62:H62"/>
    <mergeCell ref="I62:J62"/>
    <mergeCell ref="K62:L62"/>
    <mergeCell ref="X62:Z62"/>
    <mergeCell ref="D63:E63"/>
    <mergeCell ref="G63:H63"/>
    <mergeCell ref="I63:J63"/>
    <mergeCell ref="K63:L63"/>
    <mergeCell ref="X63:Z63"/>
    <mergeCell ref="G33:H33"/>
    <mergeCell ref="I33:J33"/>
    <mergeCell ref="K33:L33"/>
    <mergeCell ref="G28:H32"/>
    <mergeCell ref="K32:L32"/>
    <mergeCell ref="I32:J32"/>
    <mergeCell ref="X68:Z68"/>
    <mergeCell ref="D66:E66"/>
    <mergeCell ref="G66:H66"/>
    <mergeCell ref="I66:J66"/>
    <mergeCell ref="K66:L66"/>
    <mergeCell ref="X66:Z66"/>
    <mergeCell ref="D67:E67"/>
    <mergeCell ref="G67:H67"/>
    <mergeCell ref="I67:J67"/>
    <mergeCell ref="K67:L67"/>
    <mergeCell ref="X67:Z67"/>
    <mergeCell ref="D64:E64"/>
    <mergeCell ref="G64:H64"/>
    <mergeCell ref="I64:J64"/>
    <mergeCell ref="K64:L64"/>
    <mergeCell ref="X64:Z64"/>
    <mergeCell ref="D65:E65"/>
    <mergeCell ref="G65:H65"/>
  </mergeCells>
  <conditionalFormatting sqref="J12:J19 P12:Q12 P17:P19 Y12:Y19 P16:Q16 P13:P15">
    <cfRule type="cellIs" dxfId="907" priority="17" operator="between">
      <formula>80</formula>
      <formula>100</formula>
    </cfRule>
    <cfRule type="cellIs" dxfId="906" priority="18" operator="between">
      <formula>70</formula>
      <formula>79</formula>
    </cfRule>
    <cfRule type="cellIs" dxfId="905" priority="19" operator="lessThan">
      <formula>70</formula>
    </cfRule>
  </conditionalFormatting>
  <conditionalFormatting sqref="K24:L24 N55:W67 K37:L39 X37:Y39 K28:L33 K23">
    <cfRule type="containsText" dxfId="904" priority="13" operator="containsText" text="contrôlé">
      <formula>NOT(ISERROR(SEARCH("contrôlé",K23)))</formula>
    </cfRule>
    <cfRule type="containsText" dxfId="903" priority="14" operator="containsText" text="Réserve">
      <formula>NOT(ISERROR(SEARCH("Réserve",K23)))</formula>
    </cfRule>
    <cfRule type="containsText" dxfId="902" priority="15" operator="containsText" text="Non validé">
      <formula>NOT(ISERROR(SEARCH("Non validé",K23)))</formula>
    </cfRule>
    <cfRule type="containsText" dxfId="901" priority="16" operator="containsText" text="Validé">
      <formula>NOT(ISERROR(SEARCH("Validé",K23)))</formula>
    </cfRule>
  </conditionalFormatting>
  <conditionalFormatting sqref="I12:I19">
    <cfRule type="containsText" dxfId="900" priority="9" operator="containsText" text="contrôlé">
      <formula>NOT(ISERROR(SEARCH("contrôlé",I12)))</formula>
    </cfRule>
    <cfRule type="containsText" dxfId="899" priority="10" operator="containsText" text="Réserve">
      <formula>NOT(ISERROR(SEARCH("Réserve",I12)))</formula>
    </cfRule>
    <cfRule type="containsText" dxfId="898" priority="11" operator="containsText" text="Non validé">
      <formula>NOT(ISERROR(SEARCH("Non validé",I12)))</formula>
    </cfRule>
    <cfRule type="containsText" dxfId="897" priority="12" operator="containsText" text="Validé">
      <formula>NOT(ISERROR(SEARCH("Validé",I12)))</formula>
    </cfRule>
  </conditionalFormatting>
  <conditionalFormatting sqref="N12:N19">
    <cfRule type="containsText" dxfId="896" priority="5" operator="containsText" text="contrôlé">
      <formula>NOT(ISERROR(SEARCH("contrôlé",N12)))</formula>
    </cfRule>
    <cfRule type="containsText" dxfId="895" priority="6" operator="containsText" text="Réserve">
      <formula>NOT(ISERROR(SEARCH("Réserve",N12)))</formula>
    </cfRule>
    <cfRule type="containsText" dxfId="894" priority="7" operator="containsText" text="Non validé">
      <formula>NOT(ISERROR(SEARCH("Non validé",N12)))</formula>
    </cfRule>
    <cfRule type="containsText" dxfId="893" priority="8" operator="containsText" text="Validé">
      <formula>NOT(ISERROR(SEARCH("Validé",N12)))</formula>
    </cfRule>
  </conditionalFormatting>
  <conditionalFormatting sqref="X12:X19">
    <cfRule type="containsText" dxfId="892" priority="1" operator="containsText" text="contrôlé">
      <formula>NOT(ISERROR(SEARCH("contrôlé",X12)))</formula>
    </cfRule>
    <cfRule type="containsText" dxfId="891" priority="2" operator="containsText" text="Réserve">
      <formula>NOT(ISERROR(SEARCH("Réserve",X12)))</formula>
    </cfRule>
    <cfRule type="containsText" dxfId="890" priority="3" operator="containsText" text="Non validé">
      <formula>NOT(ISERROR(SEARCH("Non validé",X12)))</formula>
    </cfRule>
    <cfRule type="containsText" dxfId="889" priority="4" operator="containsText" text="Validé">
      <formula>NOT(ISERROR(SEARCH("Validé",X12)))</formula>
    </cfRule>
  </conditionalFormatting>
  <dataValidations disablePrompts="1" count="3">
    <dataValidation type="list" allowBlank="1" showInputMessage="1" showErrorMessage="1" sqref="K24:L24" xr:uid="{89175763-9742-48D1-A2DC-B6142B4032EA}">
      <formula1>LISTE_2</formula1>
    </dataValidation>
    <dataValidation type="list" allowBlank="1" showInputMessage="1" showErrorMessage="1" sqref="K23" xr:uid="{2B3B9AA5-3086-42DB-8B8E-55F739614E6C}">
      <formula1>LISTE_3</formula1>
    </dataValidation>
    <dataValidation type="list" allowBlank="1" showInputMessage="1" showErrorMessage="1" sqref="M6" xr:uid="{C00888B6-23DD-4094-A4C2-BED7885ED8D8}">
      <formula1>conditions_meteo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3:J58"/>
  <sheetViews>
    <sheetView showGridLines="0" zoomScaleNormal="100" workbookViewId="0">
      <selection activeCell="B55" sqref="B55:B56"/>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363" t="s">
        <v>162</v>
      </c>
      <c r="B3" s="363" t="s">
        <v>163</v>
      </c>
      <c r="C3" s="363" t="s">
        <v>245</v>
      </c>
      <c r="D3" s="364" t="s">
        <v>164</v>
      </c>
      <c r="E3" s="363" t="s">
        <v>42</v>
      </c>
      <c r="F3" s="363" t="s">
        <v>42</v>
      </c>
      <c r="G3" s="364" t="s">
        <v>164</v>
      </c>
      <c r="H3" s="364" t="s">
        <v>164</v>
      </c>
      <c r="I3" s="363" t="s">
        <v>42</v>
      </c>
    </row>
    <row r="4" spans="1:10" x14ac:dyDescent="0.4">
      <c r="A4" t="s">
        <v>130</v>
      </c>
      <c r="B4" t="s">
        <v>139</v>
      </c>
      <c r="C4" t="s">
        <v>625</v>
      </c>
      <c r="D4" s="6" t="s">
        <v>167</v>
      </c>
      <c r="E4" s="2" t="s">
        <v>168</v>
      </c>
      <c r="F4" s="5" t="s">
        <v>169</v>
      </c>
      <c r="G4" s="2" t="s">
        <v>124</v>
      </c>
      <c r="H4" t="s">
        <v>170</v>
      </c>
      <c r="I4" s="2" t="s">
        <v>168</v>
      </c>
      <c r="J4" s="2"/>
    </row>
    <row r="5" spans="1:10" x14ac:dyDescent="0.4">
      <c r="A5" t="s">
        <v>131</v>
      </c>
      <c r="B5" t="s">
        <v>140</v>
      </c>
      <c r="C5" t="s">
        <v>626</v>
      </c>
      <c r="D5" s="4" t="s">
        <v>128</v>
      </c>
      <c r="E5" s="2" t="s">
        <v>165</v>
      </c>
      <c r="F5" s="5" t="s">
        <v>171</v>
      </c>
      <c r="G5" s="2" t="s">
        <v>172</v>
      </c>
      <c r="H5" t="s">
        <v>173</v>
      </c>
      <c r="I5" s="2" t="s">
        <v>165</v>
      </c>
      <c r="J5" s="2"/>
    </row>
    <row r="6" spans="1:10" x14ac:dyDescent="0.4">
      <c r="A6" t="s">
        <v>132</v>
      </c>
      <c r="B6" t="s">
        <v>141</v>
      </c>
      <c r="C6" t="s">
        <v>408</v>
      </c>
      <c r="D6" s="365" t="s">
        <v>127</v>
      </c>
      <c r="E6" s="2" t="s">
        <v>125</v>
      </c>
      <c r="F6" s="5" t="s">
        <v>174</v>
      </c>
      <c r="I6" s="2" t="s">
        <v>125</v>
      </c>
      <c r="J6" s="2"/>
    </row>
    <row r="7" spans="1:10" x14ac:dyDescent="0.4">
      <c r="A7" t="s">
        <v>133</v>
      </c>
      <c r="C7" t="s">
        <v>389</v>
      </c>
      <c r="D7" s="11" t="s">
        <v>176</v>
      </c>
      <c r="E7" s="2" t="s">
        <v>177</v>
      </c>
      <c r="F7" s="5" t="s">
        <v>178</v>
      </c>
      <c r="I7" s="2" t="s">
        <v>177</v>
      </c>
      <c r="J7" s="2"/>
    </row>
    <row r="8" spans="1:10" x14ac:dyDescent="0.4">
      <c r="A8" t="s">
        <v>57</v>
      </c>
      <c r="D8" s="4" t="s">
        <v>179</v>
      </c>
      <c r="E8" s="2" t="s">
        <v>180</v>
      </c>
      <c r="F8" s="7"/>
      <c r="I8" s="2" t="s">
        <v>180</v>
      </c>
      <c r="J8" s="2"/>
    </row>
    <row r="9" spans="1:10" x14ac:dyDescent="0.4">
      <c r="A9" t="s">
        <v>134</v>
      </c>
      <c r="D9" s="4" t="s">
        <v>181</v>
      </c>
      <c r="E9" s="2" t="s">
        <v>182</v>
      </c>
      <c r="F9" s="7"/>
      <c r="I9" s="2" t="s">
        <v>182</v>
      </c>
      <c r="J9" s="2"/>
    </row>
    <row r="10" spans="1:10" x14ac:dyDescent="0.4">
      <c r="A10" t="s">
        <v>136</v>
      </c>
      <c r="E10" s="2" t="s">
        <v>184</v>
      </c>
      <c r="F10" s="2"/>
      <c r="I10" s="2" t="s">
        <v>184</v>
      </c>
      <c r="J10" s="2"/>
    </row>
    <row r="11" spans="1:10" x14ac:dyDescent="0.4">
      <c r="A11" t="s">
        <v>58</v>
      </c>
      <c r="E11" s="2" t="s">
        <v>166</v>
      </c>
      <c r="I11" s="2" t="s">
        <v>166</v>
      </c>
      <c r="J11" s="2"/>
    </row>
    <row r="12" spans="1:10" x14ac:dyDescent="0.4">
      <c r="A12" t="s">
        <v>138</v>
      </c>
      <c r="E12" s="2" t="s">
        <v>175</v>
      </c>
      <c r="I12" s="2" t="s">
        <v>175</v>
      </c>
      <c r="J12" s="2"/>
    </row>
    <row r="13" spans="1:10" x14ac:dyDescent="0.4">
      <c r="A13" t="s">
        <v>135</v>
      </c>
      <c r="E13" s="2" t="s">
        <v>185</v>
      </c>
      <c r="I13" s="2" t="s">
        <v>185</v>
      </c>
      <c r="J13" s="2"/>
    </row>
    <row r="14" spans="1:10" x14ac:dyDescent="0.4">
      <c r="A14" t="s">
        <v>137</v>
      </c>
      <c r="E14" s="2" t="s">
        <v>188</v>
      </c>
      <c r="I14" s="2" t="s">
        <v>188</v>
      </c>
      <c r="J14" s="2"/>
    </row>
    <row r="15" spans="1:10" x14ac:dyDescent="0.4">
      <c r="A15" t="s">
        <v>189</v>
      </c>
      <c r="E15" s="2" t="s">
        <v>186</v>
      </c>
      <c r="I15" s="2" t="s">
        <v>186</v>
      </c>
      <c r="J15" s="2"/>
    </row>
    <row r="16" spans="1:10" x14ac:dyDescent="0.4">
      <c r="E16" s="2" t="s">
        <v>187</v>
      </c>
      <c r="I16" s="2" t="s">
        <v>187</v>
      </c>
      <c r="J16" s="2"/>
    </row>
    <row r="17" spans="1:10" x14ac:dyDescent="0.4">
      <c r="E17" s="2" t="s">
        <v>190</v>
      </c>
      <c r="I17" s="2" t="s">
        <v>190</v>
      </c>
      <c r="J17" s="2"/>
    </row>
    <row r="18" spans="1:10" x14ac:dyDescent="0.4">
      <c r="E18" s="2" t="s">
        <v>183</v>
      </c>
      <c r="I18" s="2" t="s">
        <v>183</v>
      </c>
      <c r="J18" s="2"/>
    </row>
    <row r="19" spans="1:10" x14ac:dyDescent="0.4">
      <c r="E19" s="2" t="s">
        <v>191</v>
      </c>
      <c r="I19" s="2" t="s">
        <v>191</v>
      </c>
      <c r="J19" s="2"/>
    </row>
    <row r="20" spans="1:10" x14ac:dyDescent="0.4">
      <c r="A20" s="363" t="s">
        <v>158</v>
      </c>
      <c r="B20" s="363" t="s">
        <v>160</v>
      </c>
      <c r="C20" s="363" t="s">
        <v>159</v>
      </c>
      <c r="D20" s="363" t="s">
        <v>192</v>
      </c>
      <c r="E20" s="363"/>
      <c r="F20" s="363" t="s">
        <v>161</v>
      </c>
      <c r="H20" s="2"/>
    </row>
    <row r="21" spans="1:10" x14ac:dyDescent="0.4">
      <c r="A21" s="2" t="s">
        <v>124</v>
      </c>
      <c r="B21" s="2" t="s">
        <v>167</v>
      </c>
      <c r="C21" s="2" t="s">
        <v>167</v>
      </c>
      <c r="D21" s="2" t="s">
        <v>167</v>
      </c>
      <c r="F21" s="2" t="s">
        <v>167</v>
      </c>
      <c r="H21" s="2"/>
    </row>
    <row r="22" spans="1:10" x14ac:dyDescent="0.4">
      <c r="A22" s="2" t="s">
        <v>172</v>
      </c>
      <c r="B22" s="2" t="s">
        <v>128</v>
      </c>
      <c r="C22" s="2" t="s">
        <v>128</v>
      </c>
      <c r="D22" s="2" t="s">
        <v>128</v>
      </c>
      <c r="F22" s="2" t="s">
        <v>193</v>
      </c>
      <c r="H22" s="2"/>
    </row>
    <row r="23" spans="1:10" x14ac:dyDescent="0.4">
      <c r="A23" s="2"/>
      <c r="B23" s="2" t="s">
        <v>127</v>
      </c>
      <c r="C23" s="2" t="s">
        <v>127</v>
      </c>
      <c r="D23" s="2" t="s">
        <v>127</v>
      </c>
      <c r="F23" s="2" t="s">
        <v>194</v>
      </c>
      <c r="H23" s="2"/>
    </row>
    <row r="24" spans="1:10" x14ac:dyDescent="0.4">
      <c r="C24" s="2" t="s">
        <v>176</v>
      </c>
      <c r="D24" s="2" t="s">
        <v>176</v>
      </c>
      <c r="F24" s="2" t="s">
        <v>127</v>
      </c>
      <c r="H24" s="2"/>
    </row>
    <row r="25" spans="1:10" ht="14.25" customHeight="1" x14ac:dyDescent="0.4">
      <c r="D25" s="2" t="s">
        <v>179</v>
      </c>
    </row>
    <row r="26" spans="1:10" x14ac:dyDescent="0.4">
      <c r="D26" s="2" t="s">
        <v>181</v>
      </c>
    </row>
    <row r="28" spans="1:10" x14ac:dyDescent="0.4">
      <c r="A28" s="363" t="s">
        <v>268</v>
      </c>
      <c r="B28" s="363"/>
      <c r="C28" s="363"/>
    </row>
    <row r="29" spans="1:10" x14ac:dyDescent="0.4">
      <c r="A29" s="366" t="s">
        <v>263</v>
      </c>
      <c r="B29" s="366" t="s">
        <v>267</v>
      </c>
      <c r="C29" s="366" t="s">
        <v>410</v>
      </c>
    </row>
    <row r="30" spans="1:10" x14ac:dyDescent="0.4">
      <c r="A30" s="162" t="s">
        <v>131</v>
      </c>
      <c r="B30" s="163" t="s">
        <v>130</v>
      </c>
      <c r="C30" t="s">
        <v>251</v>
      </c>
    </row>
    <row r="31" spans="1:10" x14ac:dyDescent="0.4">
      <c r="A31" s="162" t="s">
        <v>132</v>
      </c>
      <c r="B31" s="163" t="s">
        <v>133</v>
      </c>
      <c r="C31" t="s">
        <v>411</v>
      </c>
    </row>
    <row r="32" spans="1:10" x14ac:dyDescent="0.4">
      <c r="A32" s="162" t="s">
        <v>262</v>
      </c>
      <c r="B32" s="163" t="s">
        <v>57</v>
      </c>
      <c r="C32" t="s">
        <v>412</v>
      </c>
    </row>
    <row r="33" spans="1:7" x14ac:dyDescent="0.4">
      <c r="A33" s="162" t="s">
        <v>264</v>
      </c>
      <c r="B33" s="163" t="s">
        <v>134</v>
      </c>
    </row>
    <row r="34" spans="1:7" x14ac:dyDescent="0.4">
      <c r="A34" s="162" t="s">
        <v>135</v>
      </c>
      <c r="B34" s="163" t="s">
        <v>136</v>
      </c>
    </row>
    <row r="35" spans="1:7" x14ac:dyDescent="0.4">
      <c r="A35" s="162" t="s">
        <v>265</v>
      </c>
      <c r="B35" s="163" t="s">
        <v>58</v>
      </c>
    </row>
    <row r="36" spans="1:7" x14ac:dyDescent="0.4">
      <c r="A36" s="162" t="s">
        <v>189</v>
      </c>
      <c r="B36" s="163" t="s">
        <v>138</v>
      </c>
    </row>
    <row r="37" spans="1:7" x14ac:dyDescent="0.4">
      <c r="B37" s="163" t="s">
        <v>135</v>
      </c>
    </row>
    <row r="38" spans="1:7" x14ac:dyDescent="0.4">
      <c r="B38" s="163" t="s">
        <v>137</v>
      </c>
    </row>
    <row r="39" spans="1:7" x14ac:dyDescent="0.4">
      <c r="B39" s="163" t="s">
        <v>189</v>
      </c>
    </row>
    <row r="42" spans="1:7" x14ac:dyDescent="0.4">
      <c r="A42" s="363" t="s">
        <v>269</v>
      </c>
      <c r="B42" s="363"/>
      <c r="C42" s="363"/>
      <c r="D42" s="363"/>
      <c r="E42" s="363"/>
      <c r="F42" s="363"/>
      <c r="G42" s="363"/>
    </row>
    <row r="43" spans="1:7" x14ac:dyDescent="0.4">
      <c r="A43" s="366" t="s">
        <v>271</v>
      </c>
      <c r="B43" s="366" t="s">
        <v>92</v>
      </c>
      <c r="C43" s="366" t="s">
        <v>276</v>
      </c>
      <c r="D43" s="366" t="s">
        <v>283</v>
      </c>
      <c r="E43" s="366" t="s">
        <v>282</v>
      </c>
      <c r="F43" s="366" t="s">
        <v>266</v>
      </c>
      <c r="G43" s="367" t="s">
        <v>378</v>
      </c>
    </row>
    <row r="44" spans="1:7" x14ac:dyDescent="0.4">
      <c r="A44" t="s">
        <v>243</v>
      </c>
      <c r="B44" t="s">
        <v>244</v>
      </c>
      <c r="C44" t="s">
        <v>275</v>
      </c>
      <c r="D44" t="s">
        <v>252</v>
      </c>
      <c r="E44" t="s">
        <v>284</v>
      </c>
      <c r="F44" t="s">
        <v>374</v>
      </c>
      <c r="G44" t="s">
        <v>508</v>
      </c>
    </row>
    <row r="45" spans="1:7" x14ac:dyDescent="0.4">
      <c r="A45" t="s">
        <v>270</v>
      </c>
      <c r="B45" t="s">
        <v>423</v>
      </c>
      <c r="C45" t="s">
        <v>277</v>
      </c>
      <c r="D45" t="s">
        <v>281</v>
      </c>
      <c r="E45" t="s">
        <v>288</v>
      </c>
      <c r="F45" t="s">
        <v>375</v>
      </c>
      <c r="G45" t="s">
        <v>249</v>
      </c>
    </row>
    <row r="46" spans="1:7" x14ac:dyDescent="0.4">
      <c r="A46" t="s">
        <v>289</v>
      </c>
      <c r="B46" t="s">
        <v>272</v>
      </c>
      <c r="C46" t="s">
        <v>278</v>
      </c>
      <c r="D46" t="s">
        <v>273</v>
      </c>
      <c r="E46" t="s">
        <v>253</v>
      </c>
      <c r="F46" t="s">
        <v>373</v>
      </c>
      <c r="G46" t="s">
        <v>379</v>
      </c>
    </row>
    <row r="47" spans="1:7" x14ac:dyDescent="0.4">
      <c r="B47" t="s">
        <v>273</v>
      </c>
      <c r="C47" t="s">
        <v>279</v>
      </c>
      <c r="E47" t="s">
        <v>285</v>
      </c>
      <c r="G47" t="s">
        <v>509</v>
      </c>
    </row>
    <row r="48" spans="1:7" x14ac:dyDescent="0.4">
      <c r="B48" t="s">
        <v>274</v>
      </c>
      <c r="C48" t="s">
        <v>280</v>
      </c>
      <c r="E48" t="s">
        <v>286</v>
      </c>
    </row>
    <row r="49" spans="1:5" x14ac:dyDescent="0.4">
      <c r="E49" t="s">
        <v>287</v>
      </c>
    </row>
    <row r="50" spans="1:5" x14ac:dyDescent="0.4">
      <c r="E50" t="s">
        <v>248</v>
      </c>
    </row>
    <row r="51" spans="1:5" x14ac:dyDescent="0.4">
      <c r="E51" t="s">
        <v>280</v>
      </c>
    </row>
    <row r="53" spans="1:5" x14ac:dyDescent="0.4">
      <c r="A53" s="548" t="s">
        <v>510</v>
      </c>
    </row>
    <row r="54" spans="1:5" x14ac:dyDescent="0.4">
      <c r="A54" s="549" t="s">
        <v>511</v>
      </c>
      <c r="B54" s="366" t="s">
        <v>766</v>
      </c>
    </row>
    <row r="55" spans="1:5" x14ac:dyDescent="0.4">
      <c r="A55" s="550" t="s">
        <v>512</v>
      </c>
      <c r="B55" t="s">
        <v>770</v>
      </c>
    </row>
    <row r="56" spans="1:5" x14ac:dyDescent="0.4">
      <c r="A56" t="s">
        <v>513</v>
      </c>
      <c r="B56" t="s">
        <v>791</v>
      </c>
    </row>
    <row r="57" spans="1:5" x14ac:dyDescent="0.4">
      <c r="A57" t="s">
        <v>514</v>
      </c>
    </row>
    <row r="58" spans="1:5" x14ac:dyDescent="0.4">
      <c r="A58" t="s">
        <v>515</v>
      </c>
    </row>
  </sheetData>
  <sortState xmlns:xlrd2="http://schemas.microsoft.com/office/spreadsheetml/2017/richdata2" ref="H21:H27">
    <sortCondition ref="H21:H27"/>
  </sortState>
  <phoneticPr fontId="20" type="noConversion"/>
  <conditionalFormatting sqref="D4:D9">
    <cfRule type="expression" priority="10">
      <formula>IF($B$3="Industrie",1,0)</formula>
    </cfRule>
  </conditionalFormatting>
  <conditionalFormatting sqref="E4:E13 E15 E17:E19">
    <cfRule type="expression" priority="1">
      <formula>IF($B$3="Industrie",1,0)</formula>
    </cfRule>
  </conditionalFormatting>
  <conditionalFormatting sqref="F4:G12">
    <cfRule type="expression" priority="83">
      <formula>IF($B$3="Industrie",1,0)</formula>
    </cfRule>
  </conditionalFormatting>
  <conditionalFormatting sqref="I4:J13 I15:J15 I17:J19 A21:A23">
    <cfRule type="expression" priority="9">
      <formula>IF($B$3="Industrie",1,0)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62"/>
  <sheetViews>
    <sheetView topLeftCell="A58" zoomScale="85" zoomScaleNormal="85" workbookViewId="0">
      <selection activeCell="F94" sqref="F94"/>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387" customFormat="1" ht="28.35" customHeight="1" x14ac:dyDescent="0.4">
      <c r="B1" s="388" t="s">
        <v>442</v>
      </c>
    </row>
    <row r="2" spans="2:19" s="385" customFormat="1" ht="23.45" customHeight="1" x14ac:dyDescent="0.4">
      <c r="B2" s="386" t="s">
        <v>440</v>
      </c>
    </row>
    <row r="3" spans="2:19" ht="13" thickBot="1" x14ac:dyDescent="0.45"/>
    <row r="4" spans="2:19" s="30" customFormat="1" ht="17.45" customHeight="1" x14ac:dyDescent="0.4">
      <c r="B4" s="1704" t="s">
        <v>884</v>
      </c>
      <c r="C4" s="1705"/>
      <c r="D4" s="1698" t="s">
        <v>431</v>
      </c>
      <c r="E4" s="1546" t="s">
        <v>245</v>
      </c>
      <c r="F4" s="1546"/>
      <c r="G4" s="1546"/>
      <c r="H4" s="1546"/>
      <c r="I4" s="1546"/>
    </row>
    <row r="5" spans="2:19" x14ac:dyDescent="0.4">
      <c r="B5" s="1700">
        <f>IF(Qualité!L26="Non validé",0.9,1)</f>
        <v>1</v>
      </c>
      <c r="C5" s="1701"/>
      <c r="D5" s="1699"/>
      <c r="E5" s="383" t="s">
        <v>432</v>
      </c>
      <c r="F5" s="383" t="s">
        <v>430</v>
      </c>
      <c r="G5" s="383" t="s">
        <v>445</v>
      </c>
      <c r="H5" s="383" t="s">
        <v>434</v>
      </c>
      <c r="I5" s="383" t="s">
        <v>435</v>
      </c>
    </row>
    <row r="6" spans="2:19" x14ac:dyDescent="0.4">
      <c r="B6" s="1700"/>
      <c r="C6" s="1701"/>
      <c r="D6" s="1699" t="s">
        <v>37</v>
      </c>
      <c r="E6" s="384" t="s">
        <v>516</v>
      </c>
      <c r="F6" s="384" t="s">
        <v>517</v>
      </c>
      <c r="G6" s="384" t="s">
        <v>518</v>
      </c>
      <c r="H6" s="384" t="s">
        <v>519</v>
      </c>
      <c r="I6" s="384" t="s">
        <v>520</v>
      </c>
    </row>
    <row r="7" spans="2:19" ht="13" thickBot="1" x14ac:dyDescent="0.45">
      <c r="B7" s="1702"/>
      <c r="C7" s="1703"/>
      <c r="D7" s="1699" t="str">
        <f>PARAM!$C4</f>
        <v>Débitmètre en charge</v>
      </c>
      <c r="E7" s="382" t="s">
        <v>519</v>
      </c>
      <c r="F7" s="382" t="s">
        <v>530</v>
      </c>
      <c r="G7" s="382" t="s">
        <v>531</v>
      </c>
      <c r="H7" s="382" t="s">
        <v>532</v>
      </c>
      <c r="I7" s="382" t="s">
        <v>533</v>
      </c>
    </row>
    <row r="8" spans="2:19" x14ac:dyDescent="0.4">
      <c r="D8" s="383" t="str">
        <f>PARAM!$C5</f>
        <v>Débitmètre gravitaire</v>
      </c>
      <c r="E8" s="382" t="s">
        <v>534</v>
      </c>
      <c r="F8" s="382" t="s">
        <v>535</v>
      </c>
      <c r="G8" s="382" t="s">
        <v>536</v>
      </c>
      <c r="H8" s="382" t="s">
        <v>433</v>
      </c>
      <c r="I8" s="382" t="s">
        <v>537</v>
      </c>
    </row>
    <row r="9" spans="2:19" x14ac:dyDescent="0.4">
      <c r="D9" s="383" t="str">
        <f>PARAM!$C6</f>
        <v>Préleveur</v>
      </c>
      <c r="E9" s="382" t="s">
        <v>525</v>
      </c>
      <c r="F9" s="382" t="s">
        <v>526</v>
      </c>
      <c r="G9" s="382" t="s">
        <v>527</v>
      </c>
      <c r="H9" s="382" t="s">
        <v>528</v>
      </c>
      <c r="I9" s="382" t="s">
        <v>529</v>
      </c>
    </row>
    <row r="10" spans="2:19" x14ac:dyDescent="0.4">
      <c r="D10" s="383" t="str">
        <f>PARAM!$C7</f>
        <v>Sonde de température</v>
      </c>
      <c r="E10" s="382" t="s">
        <v>521</v>
      </c>
      <c r="F10" s="382" t="s">
        <v>522</v>
      </c>
      <c r="G10" s="382" t="s">
        <v>523</v>
      </c>
      <c r="H10" s="382" t="s">
        <v>436</v>
      </c>
      <c r="I10" s="382" t="s">
        <v>524</v>
      </c>
    </row>
    <row r="12" spans="2:19" s="30" customFormat="1" ht="17.45" customHeight="1" x14ac:dyDescent="0.4">
      <c r="D12" s="402" t="s">
        <v>449</v>
      </c>
      <c r="E12" s="1556" t="s">
        <v>448</v>
      </c>
      <c r="F12" s="1546"/>
      <c r="G12" s="1546"/>
      <c r="H12" s="1546"/>
      <c r="I12" s="1546"/>
      <c r="J12" s="1546"/>
      <c r="K12" s="1546"/>
      <c r="L12" s="1546"/>
      <c r="M12" s="1546"/>
      <c r="N12" s="1546"/>
      <c r="O12" s="1546"/>
      <c r="P12" s="1546"/>
      <c r="Q12" s="1546"/>
      <c r="R12" s="1546"/>
      <c r="S12" s="1557"/>
    </row>
    <row r="13" spans="2:19" x14ac:dyDescent="0.4">
      <c r="D13" s="400" t="s">
        <v>446</v>
      </c>
      <c r="E13" s="401">
        <f>Descriptif!$AD$3</f>
        <v>33</v>
      </c>
      <c r="F13" s="401">
        <f>E13+1</f>
        <v>34</v>
      </c>
      <c r="G13" s="401">
        <f t="shared" ref="G13:P14" si="0">F13+1</f>
        <v>35</v>
      </c>
      <c r="H13" s="401">
        <f t="shared" si="0"/>
        <v>36</v>
      </c>
      <c r="I13" s="401">
        <f t="shared" si="0"/>
        <v>37</v>
      </c>
      <c r="J13" s="401">
        <f t="shared" si="0"/>
        <v>38</v>
      </c>
      <c r="K13" s="401">
        <f t="shared" si="0"/>
        <v>39</v>
      </c>
      <c r="L13" s="401">
        <f t="shared" si="0"/>
        <v>40</v>
      </c>
      <c r="M13" s="401">
        <f t="shared" si="0"/>
        <v>41</v>
      </c>
      <c r="N13" s="401">
        <f t="shared" si="0"/>
        <v>42</v>
      </c>
      <c r="O13" s="401">
        <f t="shared" si="0"/>
        <v>43</v>
      </c>
      <c r="P13" s="401">
        <f t="shared" si="0"/>
        <v>44</v>
      </c>
      <c r="Q13" s="401">
        <f t="shared" ref="Q13:Q14" si="1">P13+1</f>
        <v>45</v>
      </c>
      <c r="R13" s="401">
        <f t="shared" ref="R13:R14" si="2">Q13+1</f>
        <v>46</v>
      </c>
      <c r="S13" s="401">
        <f t="shared" ref="S13:S14" si="3">R13+1</f>
        <v>47</v>
      </c>
    </row>
    <row r="14" spans="2:19" x14ac:dyDescent="0.4">
      <c r="D14" s="400" t="s">
        <v>447</v>
      </c>
      <c r="E14" s="401">
        <f>Descriptif!$AD$2</f>
        <v>13</v>
      </c>
      <c r="F14" s="401">
        <f>E14+1</f>
        <v>14</v>
      </c>
      <c r="G14" s="401">
        <f t="shared" si="0"/>
        <v>15</v>
      </c>
      <c r="H14" s="401">
        <f t="shared" si="0"/>
        <v>16</v>
      </c>
      <c r="I14" s="401">
        <f t="shared" si="0"/>
        <v>17</v>
      </c>
      <c r="J14" s="401">
        <f t="shared" si="0"/>
        <v>18</v>
      </c>
      <c r="K14" s="401">
        <f t="shared" si="0"/>
        <v>19</v>
      </c>
      <c r="L14" s="401">
        <f t="shared" si="0"/>
        <v>20</v>
      </c>
      <c r="M14" s="401">
        <f t="shared" si="0"/>
        <v>21</v>
      </c>
      <c r="N14" s="401">
        <f t="shared" si="0"/>
        <v>22</v>
      </c>
      <c r="O14" s="401">
        <f t="shared" si="0"/>
        <v>23</v>
      </c>
      <c r="P14" s="401">
        <f t="shared" si="0"/>
        <v>24</v>
      </c>
      <c r="Q14" s="401">
        <f t="shared" si="1"/>
        <v>25</v>
      </c>
      <c r="R14" s="401">
        <f t="shared" si="2"/>
        <v>26</v>
      </c>
      <c r="S14" s="401">
        <f t="shared" si="3"/>
        <v>27</v>
      </c>
    </row>
    <row r="16" spans="2:19" s="385" customFormat="1" ht="23.1" customHeight="1" x14ac:dyDescent="0.4">
      <c r="B16" s="386" t="s">
        <v>441</v>
      </c>
    </row>
    <row r="17" spans="2:20" s="30" customFormat="1" ht="18" customHeight="1" thickBot="1" x14ac:dyDescent="0.45"/>
    <row r="18" spans="2:20" s="30" customFormat="1" ht="15.95" customHeight="1" thickBot="1" x14ac:dyDescent="0.45">
      <c r="B18" s="404" t="s">
        <v>443</v>
      </c>
      <c r="C18" s="405" t="s">
        <v>444</v>
      </c>
      <c r="D18" s="406"/>
      <c r="E18" s="407"/>
      <c r="F18" s="408" t="s">
        <v>29</v>
      </c>
      <c r="G18" s="408" t="s">
        <v>30</v>
      </c>
      <c r="H18" s="408" t="s">
        <v>31</v>
      </c>
      <c r="I18" s="408" t="s">
        <v>46</v>
      </c>
      <c r="J18" s="408" t="s">
        <v>47</v>
      </c>
      <c r="K18" s="408" t="s">
        <v>48</v>
      </c>
      <c r="L18" s="408" t="s">
        <v>49</v>
      </c>
      <c r="M18" s="408" t="s">
        <v>50</v>
      </c>
      <c r="N18" s="408" t="s">
        <v>51</v>
      </c>
      <c r="O18" s="408" t="s">
        <v>52</v>
      </c>
      <c r="P18" s="408" t="s">
        <v>53</v>
      </c>
      <c r="Q18" s="409" t="s">
        <v>54</v>
      </c>
      <c r="R18" s="409" t="s">
        <v>437</v>
      </c>
      <c r="S18" s="409" t="s">
        <v>438</v>
      </c>
      <c r="T18" s="409" t="s">
        <v>439</v>
      </c>
    </row>
    <row r="19" spans="2:20" x14ac:dyDescent="0.4">
      <c r="B19" s="1550" t="s">
        <v>165</v>
      </c>
      <c r="C19" s="1553" t="s">
        <v>166</v>
      </c>
      <c r="D19" s="390" t="str">
        <f>$D$7</f>
        <v>Débitmètre en charge</v>
      </c>
      <c r="E19" s="390"/>
      <c r="F19" s="391" t="str">
        <f ca="1">IF(AND(OR(INDIRECT("Descriptif!I"&amp;E$13)=Recap_equipements!$B19,INDIRECT("Descriptif!I"&amp;E$13)=Recap_equipements!$C19),INDIRECT("Descriptif!M"&amp;E$13)=$D19),INDIRECT("Descriptif!F"&amp;E$13),"")</f>
        <v/>
      </c>
      <c r="G19" s="391" t="str">
        <f ca="1">IF(AND(OR(INDIRECT("Descriptif!I"&amp;F$13)=Recap_equipements!$B19,INDIRECT("Descriptif!I"&amp;F$13)=Recap_equipements!$C19),INDIRECT("Descriptif!M"&amp;F$13)=$D19),INDIRECT("Descriptif!F"&amp;F$13),"")</f>
        <v>A3_P102_Q_DEM</v>
      </c>
      <c r="H19" s="391" t="str">
        <f ca="1">IF(AND(OR(INDIRECT("Descriptif!I"&amp;G$13)=Recap_equipements!$B19,INDIRECT("Descriptif!I"&amp;G$13)=Recap_equipements!$C19),INDIRECT("Descriptif!M"&amp;G$13)=$D19),INDIRECT("Descriptif!F"&amp;G$13),"")</f>
        <v/>
      </c>
      <c r="I19" s="391" t="str">
        <f ca="1">IF(AND(OR(INDIRECT("Descriptif!I"&amp;H$13)=Recap_equipements!$B19,INDIRECT("Descriptif!I"&amp;H$13)=Recap_equipements!$C19),INDIRECT("Descriptif!M"&amp;H$13)=$D19),INDIRECT("Descriptif!F"&amp;H$13),"")</f>
        <v/>
      </c>
      <c r="J19" s="391" t="str">
        <f ca="1">IF(AND(OR(INDIRECT("Descriptif!I"&amp;I$13)=Recap_equipements!$B19,INDIRECT("Descriptif!I"&amp;I$13)=Recap_equipements!$C19),INDIRECT("Descriptif!M"&amp;I$13)=$D19),INDIRECT("Descriptif!F"&amp;I$13),"")</f>
        <v/>
      </c>
      <c r="K19" s="391" t="str">
        <f ca="1">IF(AND(OR(INDIRECT("Descriptif!I"&amp;J$13)=Recap_equipements!$B19,INDIRECT("Descriptif!I"&amp;J$13)=Recap_equipements!$C19),INDIRECT("Descriptif!M"&amp;J$13)=$D19),INDIRECT("Descriptif!F"&amp;J$13),"")</f>
        <v/>
      </c>
      <c r="L19" s="391" t="str">
        <f ca="1">IF(AND(OR(INDIRECT("Descriptif!I"&amp;K$13)=Recap_equipements!$B19,INDIRECT("Descriptif!I"&amp;K$13)=Recap_equipements!$C19),INDIRECT("Descriptif!M"&amp;K$13)=$D19),INDIRECT("Descriptif!F"&amp;K$13),"")</f>
        <v/>
      </c>
      <c r="M19" s="391" t="str">
        <f ca="1">IF(AND(OR(INDIRECT("Descriptif!I"&amp;L$13)=Recap_equipements!$B19,INDIRECT("Descriptif!I"&amp;L$13)=Recap_equipements!$C19),INDIRECT("Descriptif!M"&amp;L$13)=$D19),INDIRECT("Descriptif!F"&amp;L$13),"")</f>
        <v/>
      </c>
      <c r="N19" s="391" t="str">
        <f ca="1">IF(AND(OR(INDIRECT("Descriptif!I"&amp;M$13)=Recap_equipements!$B19,INDIRECT("Descriptif!I"&amp;M$13)=Recap_equipements!$C19),INDIRECT("Descriptif!M"&amp;M$13)=$D19),INDIRECT("Descriptif!F"&amp;M$13),"")</f>
        <v/>
      </c>
      <c r="O19" s="391" t="str">
        <f ca="1">IF(AND(OR(INDIRECT("Descriptif!I"&amp;N$13)=Recap_equipements!$B19,INDIRECT("Descriptif!I"&amp;N$13)=Recap_equipements!$C19),INDIRECT("Descriptif!M"&amp;N$13)=$D19),INDIRECT("Descriptif!F"&amp;N$13),"")</f>
        <v/>
      </c>
      <c r="P19" s="391" t="str">
        <f ca="1">IF(AND(OR(INDIRECT("Descriptif!I"&amp;O$13)=Recap_equipements!$B19,INDIRECT("Descriptif!I"&amp;O$13)=Recap_equipements!$C19),INDIRECT("Descriptif!M"&amp;O$13)=$D19),INDIRECT("Descriptif!F"&amp;O$13),"")</f>
        <v/>
      </c>
      <c r="Q19" s="391" t="str">
        <f ca="1">IF(AND(OR(INDIRECT("Descriptif!I"&amp;P$13)=Recap_equipements!$B19,INDIRECT("Descriptif!I"&amp;P$13)=Recap_equipements!$C19),INDIRECT("Descriptif!M"&amp;P$13)=$D19),INDIRECT("Descriptif!F"&amp;P$13),"")</f>
        <v/>
      </c>
      <c r="R19" s="391" t="str">
        <f ca="1">IF(AND(OR(INDIRECT("Descriptif!I"&amp;Q$13)=Recap_equipements!$B19,INDIRECT("Descriptif!I"&amp;Q$13)=Recap_equipements!$C19),INDIRECT("Descriptif!M"&amp;Q$13)=$D19),INDIRECT("Descriptif!F"&amp;Q$13),"")</f>
        <v/>
      </c>
      <c r="S19" s="391" t="str">
        <f ca="1">IF(AND(OR(INDIRECT("Descriptif!I"&amp;R$13)=Recap_equipements!$B19,INDIRECT("Descriptif!I"&amp;R$13)=Recap_equipements!$C19),INDIRECT("Descriptif!M"&amp;R$13)=$D19),INDIRECT("Descriptif!F"&amp;R$13),"")</f>
        <v/>
      </c>
      <c r="T19" s="392" t="str">
        <f ca="1">IF(AND(OR(INDIRECT("Descriptif!I"&amp;S$13)=Recap_equipements!$B19,INDIRECT("Descriptif!I"&amp;S$13)=Recap_equipements!$C19),INDIRECT("Descriptif!M"&amp;S$13)=$D19),INDIRECT("Descriptif!F"&amp;S$13),"")</f>
        <v/>
      </c>
    </row>
    <row r="20" spans="2:20" x14ac:dyDescent="0.4">
      <c r="B20" s="1551"/>
      <c r="C20" s="1554"/>
      <c r="D20" s="389" t="str">
        <f>$D$8</f>
        <v>Débitmètre gravitaire</v>
      </c>
      <c r="E20" s="389"/>
      <c r="F20" s="161" t="str">
        <f ca="1">IF(AND(OR(INDIRECT("Descriptif!I"&amp;E$13)=Recap_equipements!$B19,INDIRECT("Descriptif!I"&amp;E$13)=Recap_equipements!$C19),INDIRECT("Descriptif!M"&amp;E$13)=$D20),INDIRECT("Descriptif!F"&amp;E$13),"")</f>
        <v/>
      </c>
      <c r="G20" s="161" t="str">
        <f ca="1">IF(AND(OR(INDIRECT("Descriptif!I"&amp;F$13)=Recap_equipements!$B19,INDIRECT("Descriptif!I"&amp;F$13)=Recap_equipements!$C19),INDIRECT("Descriptif!M"&amp;F$13)=$D20),INDIRECT("Descriptif!F"&amp;F$13),"")</f>
        <v/>
      </c>
      <c r="H20" s="161" t="str">
        <f ca="1">IF(AND(OR(INDIRECT("Descriptif!I"&amp;G$13)=Recap_equipements!$B19,INDIRECT("Descriptif!I"&amp;G$13)=Recap_equipements!$C19),INDIRECT("Descriptif!M"&amp;G$13)=$D20),INDIRECT("Descriptif!F"&amp;G$13),"")</f>
        <v/>
      </c>
      <c r="I20" s="161" t="str">
        <f ca="1">IF(AND(OR(INDIRECT("Descriptif!I"&amp;H$13)=Recap_equipements!$B19,INDIRECT("Descriptif!I"&amp;H$13)=Recap_equipements!$C19),INDIRECT("Descriptif!M"&amp;H$13)=$D20),INDIRECT("Descriptif!F"&amp;H$13),"")</f>
        <v/>
      </c>
      <c r="J20" s="161" t="str">
        <f ca="1">IF(AND(OR(INDIRECT("Descriptif!I"&amp;I$13)=Recap_equipements!$B19,INDIRECT("Descriptif!I"&amp;I$13)=Recap_equipements!$C19),INDIRECT("Descriptif!M"&amp;I$13)=$D20),INDIRECT("Descriptif!F"&amp;I$13),"")</f>
        <v/>
      </c>
      <c r="K20" s="161" t="str">
        <f ca="1">IF(AND(OR(INDIRECT("Descriptif!I"&amp;J$13)=Recap_equipements!$B19,INDIRECT("Descriptif!I"&amp;J$13)=Recap_equipements!$C19),INDIRECT("Descriptif!M"&amp;J$13)=$D20),INDIRECT("Descriptif!F"&amp;J$13),"")</f>
        <v/>
      </c>
      <c r="L20" s="161" t="str">
        <f ca="1">IF(AND(OR(INDIRECT("Descriptif!I"&amp;K$13)=Recap_equipements!$B19,INDIRECT("Descriptif!I"&amp;K$13)=Recap_equipements!$C19),INDIRECT("Descriptif!M"&amp;K$13)=$D20),INDIRECT("Descriptif!F"&amp;K$13),"")</f>
        <v/>
      </c>
      <c r="M20" s="161" t="str">
        <f ca="1">IF(AND(OR(INDIRECT("Descriptif!I"&amp;L$13)=Recap_equipements!$B19,INDIRECT("Descriptif!I"&amp;L$13)=Recap_equipements!$C19),INDIRECT("Descriptif!M"&amp;L$13)=$D20),INDIRECT("Descriptif!F"&amp;L$13),"")</f>
        <v/>
      </c>
      <c r="N20" s="161" t="str">
        <f ca="1">IF(AND(OR(INDIRECT("Descriptif!I"&amp;M$13)=Recap_equipements!$B19,INDIRECT("Descriptif!I"&amp;M$13)=Recap_equipements!$C19),INDIRECT("Descriptif!M"&amp;M$13)=$D20),INDIRECT("Descriptif!F"&amp;M$13),"")</f>
        <v/>
      </c>
      <c r="O20" s="161" t="str">
        <f ca="1">IF(AND(OR(INDIRECT("Descriptif!I"&amp;N$13)=Recap_equipements!$B19,INDIRECT("Descriptif!I"&amp;N$13)=Recap_equipements!$C19),INDIRECT("Descriptif!M"&amp;N$13)=$D20),INDIRECT("Descriptif!F"&amp;N$13),"")</f>
        <v/>
      </c>
      <c r="P20" s="161" t="str">
        <f ca="1">IF(AND(OR(INDIRECT("Descriptif!I"&amp;O$13)=Recap_equipements!$B19,INDIRECT("Descriptif!I"&amp;O$13)=Recap_equipements!$C19),INDIRECT("Descriptif!M"&amp;O$13)=$D20),INDIRECT("Descriptif!F"&amp;O$13),"")</f>
        <v/>
      </c>
      <c r="Q20" s="161" t="str">
        <f ca="1">IF(AND(OR(INDIRECT("Descriptif!I"&amp;P$13)=Recap_equipements!$B19,INDIRECT("Descriptif!I"&amp;P$13)=Recap_equipements!$C19),INDIRECT("Descriptif!M"&amp;P$13)=$D20),INDIRECT("Descriptif!F"&amp;P$13),"")</f>
        <v/>
      </c>
      <c r="R20" s="161" t="str">
        <f ca="1">IF(AND(OR(INDIRECT("Descriptif!I"&amp;Q$13)=Recap_equipements!$B19,INDIRECT("Descriptif!I"&amp;Q$13)=Recap_equipements!$C19),INDIRECT("Descriptif!M"&amp;Q$13)=$D20),INDIRECT("Descriptif!F"&amp;Q$13),"")</f>
        <v/>
      </c>
      <c r="S20" s="161" t="str">
        <f ca="1">IF(AND(OR(INDIRECT("Descriptif!I"&amp;R$13)=Recap_equipements!$B19,INDIRECT("Descriptif!I"&amp;R$13)=Recap_equipements!$C19),INDIRECT("Descriptif!M"&amp;R$13)=$D20),INDIRECT("Descriptif!F"&amp;R$13),"")</f>
        <v/>
      </c>
      <c r="T20" s="393" t="str">
        <f ca="1">IF(AND(OR(INDIRECT("Descriptif!I"&amp;S$13)=Recap_equipements!$B19,INDIRECT("Descriptif!I"&amp;S$13)=Recap_equipements!$C19),INDIRECT("Descriptif!M"&amp;S$13)=$D20),INDIRECT("Descriptif!F"&amp;S$13),"")</f>
        <v/>
      </c>
    </row>
    <row r="21" spans="2:20" x14ac:dyDescent="0.4">
      <c r="B21" s="1551"/>
      <c r="C21" s="1554"/>
      <c r="D21" s="389" t="str">
        <f>$D$9</f>
        <v>Préleveur</v>
      </c>
      <c r="E21" s="389"/>
      <c r="F21" s="161" t="str">
        <f ca="1">IF(AND(OR(INDIRECT("Descriptif!I"&amp;E$13)=Recap_equipements!$B19,INDIRECT("Descriptif!I"&amp;E$13)=Recap_equipements!$C19),INDIRECT("Descriptif!M"&amp;E$13)=$D21),INDIRECT("Descriptif!F"&amp;E$13),"")</f>
        <v/>
      </c>
      <c r="G21" s="161" t="str">
        <f ca="1">IF(AND(OR(INDIRECT("Descriptif!I"&amp;F$13)=Recap_equipements!$B19,INDIRECT("Descriptif!I"&amp;F$13)=Recap_equipements!$C19),INDIRECT("Descriptif!M"&amp;F$13)=$D21),INDIRECT("Descriptif!F"&amp;F$13),"")</f>
        <v/>
      </c>
      <c r="H21" s="161" t="str">
        <f ca="1">IF(AND(OR(INDIRECT("Descriptif!I"&amp;G$13)=Recap_equipements!$B19,INDIRECT("Descriptif!I"&amp;G$13)=Recap_equipements!$C19),INDIRECT("Descriptif!M"&amp;G$13)=$D21),INDIRECT("Descriptif!F"&amp;G$13),"")</f>
        <v>A3_P102_PREL</v>
      </c>
      <c r="I21" s="161" t="str">
        <f ca="1">IF(AND(OR(INDIRECT("Descriptif!I"&amp;H$13)=Recap_equipements!$B19,INDIRECT("Descriptif!I"&amp;H$13)=Recap_equipements!$C19),INDIRECT("Descriptif!M"&amp;H$13)=$D21),INDIRECT("Descriptif!F"&amp;H$13),"")</f>
        <v/>
      </c>
      <c r="J21" s="161" t="str">
        <f ca="1">IF(AND(OR(INDIRECT("Descriptif!I"&amp;I$13)=Recap_equipements!$B19,INDIRECT("Descriptif!I"&amp;I$13)=Recap_equipements!$C19),INDIRECT("Descriptif!M"&amp;I$13)=$D21),INDIRECT("Descriptif!F"&amp;I$13),"")</f>
        <v/>
      </c>
      <c r="K21" s="161" t="str">
        <f ca="1">IF(AND(OR(INDIRECT("Descriptif!I"&amp;J$13)=Recap_equipements!$B19,INDIRECT("Descriptif!I"&amp;J$13)=Recap_equipements!$C19),INDIRECT("Descriptif!M"&amp;J$13)=$D21),INDIRECT("Descriptif!F"&amp;J$13),"")</f>
        <v/>
      </c>
      <c r="L21" s="161" t="str">
        <f ca="1">IF(AND(OR(INDIRECT("Descriptif!I"&amp;K$13)=Recap_equipements!$B19,INDIRECT("Descriptif!I"&amp;K$13)=Recap_equipements!$C19),INDIRECT("Descriptif!M"&amp;K$13)=$D21),INDIRECT("Descriptif!F"&amp;K$13),"")</f>
        <v/>
      </c>
      <c r="M21" s="161" t="str">
        <f ca="1">IF(AND(OR(INDIRECT("Descriptif!I"&amp;L$13)=Recap_equipements!$B19,INDIRECT("Descriptif!I"&amp;L$13)=Recap_equipements!$C19),INDIRECT("Descriptif!M"&amp;L$13)=$D21),INDIRECT("Descriptif!F"&amp;L$13),"")</f>
        <v/>
      </c>
      <c r="N21" s="161" t="str">
        <f ca="1">IF(AND(OR(INDIRECT("Descriptif!I"&amp;M$13)=Recap_equipements!$B19,INDIRECT("Descriptif!I"&amp;M$13)=Recap_equipements!$C19),INDIRECT("Descriptif!M"&amp;M$13)=$D21),INDIRECT("Descriptif!F"&amp;M$13),"")</f>
        <v/>
      </c>
      <c r="O21" s="161" t="str">
        <f ca="1">IF(AND(OR(INDIRECT("Descriptif!I"&amp;N$13)=Recap_equipements!$B19,INDIRECT("Descriptif!I"&amp;N$13)=Recap_equipements!$C19),INDIRECT("Descriptif!M"&amp;N$13)=$D21),INDIRECT("Descriptif!F"&amp;N$13),"")</f>
        <v/>
      </c>
      <c r="P21" s="161" t="str">
        <f ca="1">IF(AND(OR(INDIRECT("Descriptif!I"&amp;O$13)=Recap_equipements!$B19,INDIRECT("Descriptif!I"&amp;O$13)=Recap_equipements!$C19),INDIRECT("Descriptif!M"&amp;O$13)=$D21),INDIRECT("Descriptif!F"&amp;O$13),"")</f>
        <v/>
      </c>
      <c r="Q21" s="161" t="str">
        <f ca="1">IF(AND(OR(INDIRECT("Descriptif!I"&amp;P$13)=Recap_equipements!$B19,INDIRECT("Descriptif!I"&amp;P$13)=Recap_equipements!$C19),INDIRECT("Descriptif!M"&amp;P$13)=$D21),INDIRECT("Descriptif!F"&amp;P$13),"")</f>
        <v/>
      </c>
      <c r="R21" s="161" t="str">
        <f ca="1">IF(AND(OR(INDIRECT("Descriptif!I"&amp;Q$13)=Recap_equipements!$B19,INDIRECT("Descriptif!I"&amp;Q$13)=Recap_equipements!$C19),INDIRECT("Descriptif!M"&amp;Q$13)=$D21),INDIRECT("Descriptif!F"&amp;Q$13),"")</f>
        <v/>
      </c>
      <c r="S21" s="161" t="str">
        <f ca="1">IF(AND(OR(INDIRECT("Descriptif!I"&amp;R$13)=Recap_equipements!$B19,INDIRECT("Descriptif!I"&amp;R$13)=Recap_equipements!$C19),INDIRECT("Descriptif!M"&amp;R$13)=$D21),INDIRECT("Descriptif!F"&amp;R$13),"")</f>
        <v/>
      </c>
      <c r="T21" s="393" t="str">
        <f ca="1">IF(AND(OR(INDIRECT("Descriptif!I"&amp;S$13)=Recap_equipements!$B19,INDIRECT("Descriptif!I"&amp;S$13)=Recap_equipements!$C19),INDIRECT("Descriptif!M"&amp;S$13)=$D21),INDIRECT("Descriptif!F"&amp;S$13),"")</f>
        <v/>
      </c>
    </row>
    <row r="22" spans="2:20" x14ac:dyDescent="0.4">
      <c r="B22" s="1551"/>
      <c r="C22" s="1554"/>
      <c r="D22" s="1706" t="s">
        <v>783</v>
      </c>
      <c r="E22" s="1706"/>
      <c r="F22" s="1708" t="str">
        <f ca="1">IF(F21&lt;&gt;"",VLOOKUP(F21,Analytique!$X$3:$AD$33,1,FALSE),"")</f>
        <v/>
      </c>
      <c r="G22" s="1708" t="str">
        <f ca="1">IF(G21&lt;&gt;"",VLOOKUP(G21,Analytique!$X$3:$AD$33,1,FALSE),"")</f>
        <v/>
      </c>
      <c r="H22" s="1708" t="str">
        <f ca="1">IF(H21&lt;&gt;"",VLOOKUP(H21,Analytique!$X$3:$AD$33,1,FALSE),"")</f>
        <v>A3_P102_PREL</v>
      </c>
      <c r="I22" s="1708" t="str">
        <f ca="1">IF(I21&lt;&gt;"",VLOOKUP(I21,Analytique!$X$3:$AD$33,1,FALSE),"")</f>
        <v/>
      </c>
      <c r="J22" s="1708" t="str">
        <f ca="1">IF(J21&lt;&gt;"",VLOOKUP(J21,Analytique!$X$3:$AD$33,1,FALSE),"")</f>
        <v/>
      </c>
      <c r="K22" s="1708" t="str">
        <f ca="1">IF(K21&lt;&gt;"",VLOOKUP(K21,Analytique!$X$3:$AD$33,1,FALSE),"")</f>
        <v/>
      </c>
      <c r="L22" s="1708" t="str">
        <f ca="1">IF(L21&lt;&gt;"",VLOOKUP(L21,Analytique!$X$3:$AD$33,1,FALSE),"")</f>
        <v/>
      </c>
      <c r="M22" s="1708" t="str">
        <f ca="1">IF(M21&lt;&gt;"",VLOOKUP(M21,Analytique!$X$3:$AD$33,1,FALSE),"")</f>
        <v/>
      </c>
      <c r="N22" s="1708" t="str">
        <f ca="1">IF(N21&lt;&gt;"",VLOOKUP(N21,Analytique!$X$3:$AD$33,1,FALSE),"")</f>
        <v/>
      </c>
      <c r="O22" s="1708" t="str">
        <f ca="1">IF(O21&lt;&gt;"",VLOOKUP(O21,Analytique!$X$3:$AD$33,1,FALSE),"")</f>
        <v/>
      </c>
      <c r="P22" s="1708" t="str">
        <f ca="1">IF(P21&lt;&gt;"",VLOOKUP(P21,Analytique!$X$3:$AD$33,1,FALSE),"")</f>
        <v/>
      </c>
      <c r="Q22" s="1708" t="str">
        <f ca="1">IF(Q21&lt;&gt;"",VLOOKUP(Q21,Analytique!$X$3:$AD$33,1,FALSE),"")</f>
        <v/>
      </c>
      <c r="R22" s="1708" t="str">
        <f ca="1">IF(R21&lt;&gt;"",VLOOKUP(R21,Analytique!$X$3:$AD$33,1,FALSE),"")</f>
        <v/>
      </c>
      <c r="S22" s="1708" t="str">
        <f ca="1">IF(S21&lt;&gt;"",VLOOKUP(S21,Analytique!$X$3:$AD$33,1,FALSE),"")</f>
        <v/>
      </c>
      <c r="T22" s="1709" t="str">
        <f ca="1">IF(T21&lt;&gt;"",VLOOKUP(T21,Analytique!$X$3:$AD$33,1,FALSE),"")</f>
        <v/>
      </c>
    </row>
    <row r="23" spans="2:20" ht="13" thickBot="1" x14ac:dyDescent="0.45">
      <c r="B23" s="1552"/>
      <c r="C23" s="1555"/>
      <c r="D23" s="394" t="str">
        <f>$D$10</f>
        <v>Sonde de température</v>
      </c>
      <c r="E23" s="394"/>
      <c r="F23" s="395" t="str">
        <f ca="1">IF(AND(OR(INDIRECT("Descriptif!I"&amp;E$13)=Recap_equipements!$B19,INDIRECT("Descriptif!I"&amp;E$13)=Recap_equipements!$C19),INDIRECT("Descriptif!M"&amp;E$13)=$D23),INDIRECT("Descriptif!F"&amp;E$13),"")</f>
        <v/>
      </c>
      <c r="G23" s="395" t="str">
        <f ca="1">IF(AND(OR(INDIRECT("Descriptif!I"&amp;F$13)=Recap_equipements!$B19,INDIRECT("Descriptif!I"&amp;F$13)=Recap_equipements!$C19),INDIRECT("Descriptif!M"&amp;F$13)=$D23),INDIRECT("Descriptif!F"&amp;F$13),"")</f>
        <v/>
      </c>
      <c r="H23" s="395" t="str">
        <f ca="1">IF(AND(OR(INDIRECT("Descriptif!I"&amp;G$13)=Recap_equipements!$B19,INDIRECT("Descriptif!I"&amp;G$13)=Recap_equipements!$C19),INDIRECT("Descriptif!M"&amp;G$13)=$D23),INDIRECT("Descriptif!F"&amp;G$13),"")</f>
        <v/>
      </c>
      <c r="I23" s="395" t="str">
        <f ca="1">IF(AND(OR(INDIRECT("Descriptif!I"&amp;H$13)=Recap_equipements!$B19,INDIRECT("Descriptif!I"&amp;H$13)=Recap_equipements!$C19),INDIRECT("Descriptif!M"&amp;H$13)=$D23),INDIRECT("Descriptif!F"&amp;H$13),"")</f>
        <v/>
      </c>
      <c r="J23" s="395" t="str">
        <f ca="1">IF(AND(OR(INDIRECT("Descriptif!I"&amp;I$13)=Recap_equipements!$B19,INDIRECT("Descriptif!I"&amp;I$13)=Recap_equipements!$C19),INDIRECT("Descriptif!M"&amp;I$13)=$D23),INDIRECT("Descriptif!F"&amp;I$13),"")</f>
        <v/>
      </c>
      <c r="K23" s="395" t="str">
        <f ca="1">IF(AND(OR(INDIRECT("Descriptif!I"&amp;J$13)=Recap_equipements!$B19,INDIRECT("Descriptif!I"&amp;J$13)=Recap_equipements!$C19),INDIRECT("Descriptif!M"&amp;J$13)=$D23),INDIRECT("Descriptif!F"&amp;J$13),"")</f>
        <v/>
      </c>
      <c r="L23" s="395" t="str">
        <f ca="1">IF(AND(OR(INDIRECT("Descriptif!I"&amp;K$13)=Recap_equipements!$B19,INDIRECT("Descriptif!I"&amp;K$13)=Recap_equipements!$C19),INDIRECT("Descriptif!M"&amp;K$13)=$D23),INDIRECT("Descriptif!F"&amp;K$13),"")</f>
        <v/>
      </c>
      <c r="M23" s="395" t="str">
        <f ca="1">IF(AND(OR(INDIRECT("Descriptif!I"&amp;L$13)=Recap_equipements!$B19,INDIRECT("Descriptif!I"&amp;L$13)=Recap_equipements!$C19),INDIRECT("Descriptif!M"&amp;L$13)=$D23),INDIRECT("Descriptif!F"&amp;L$13),"")</f>
        <v/>
      </c>
      <c r="N23" s="395" t="str">
        <f ca="1">IF(AND(OR(INDIRECT("Descriptif!I"&amp;M$13)=Recap_equipements!$B19,INDIRECT("Descriptif!I"&amp;M$13)=Recap_equipements!$C19),INDIRECT("Descriptif!M"&amp;M$13)=$D23),INDIRECT("Descriptif!F"&amp;M$13),"")</f>
        <v/>
      </c>
      <c r="O23" s="395" t="str">
        <f ca="1">IF(AND(OR(INDIRECT("Descriptif!I"&amp;N$13)=Recap_equipements!$B19,INDIRECT("Descriptif!I"&amp;N$13)=Recap_equipements!$C19),INDIRECT("Descriptif!M"&amp;N$13)=$D23),INDIRECT("Descriptif!F"&amp;N$13),"")</f>
        <v/>
      </c>
      <c r="P23" s="395" t="str">
        <f ca="1">IF(AND(OR(INDIRECT("Descriptif!I"&amp;O$13)=Recap_equipements!$B19,INDIRECT("Descriptif!I"&amp;O$13)=Recap_equipements!$C19),INDIRECT("Descriptif!M"&amp;O$13)=$D23),INDIRECT("Descriptif!F"&amp;O$13),"")</f>
        <v/>
      </c>
      <c r="Q23" s="395" t="str">
        <f ca="1">IF(AND(OR(INDIRECT("Descriptif!I"&amp;P$13)=Recap_equipements!$B19,INDIRECT("Descriptif!I"&amp;P$13)=Recap_equipements!$C19),INDIRECT("Descriptif!M"&amp;P$13)=$D23),INDIRECT("Descriptif!F"&amp;P$13),"")</f>
        <v/>
      </c>
      <c r="R23" s="395" t="str">
        <f ca="1">IF(AND(OR(INDIRECT("Descriptif!I"&amp;Q$13)=Recap_equipements!$B19,INDIRECT("Descriptif!I"&amp;Q$13)=Recap_equipements!$C19),INDIRECT("Descriptif!M"&amp;Q$13)=$D23),INDIRECT("Descriptif!F"&amp;Q$13),"")</f>
        <v/>
      </c>
      <c r="S23" s="395" t="str">
        <f ca="1">IF(AND(OR(INDIRECT("Descriptif!I"&amp;R$13)=Recap_equipements!$B19,INDIRECT("Descriptif!I"&amp;R$13)=Recap_equipements!$C19),INDIRECT("Descriptif!M"&amp;R$13)=$D23),INDIRECT("Descriptif!F"&amp;R$13),"")</f>
        <v/>
      </c>
      <c r="T23" s="396" t="str">
        <f ca="1">IF(AND(OR(INDIRECT("Descriptif!I"&amp;S$13)=Recap_equipements!$B19,INDIRECT("Descriptif!I"&amp;S$13)=Recap_equipements!$C19),INDIRECT("Descriptif!M"&amp;S$13)=$D23),INDIRECT("Descriptif!F"&amp;S$13),"")</f>
        <v/>
      </c>
    </row>
    <row r="24" spans="2:20" x14ac:dyDescent="0.4">
      <c r="B24" s="1550" t="s">
        <v>125</v>
      </c>
      <c r="C24" s="1553" t="s">
        <v>175</v>
      </c>
      <c r="D24" s="390" t="str">
        <f>$D$7</f>
        <v>Débitmètre en charge</v>
      </c>
      <c r="E24" s="390"/>
      <c r="F24" s="391" t="str">
        <f ca="1">IF(AND(OR(INDIRECT("Descriptif!I"&amp;E$13)=Recap_equipements!$B24,INDIRECT("Descriptif!I"&amp;E$13)=Recap_equipements!$C24),INDIRECT("Descriptif!M"&amp;E$13)=$D24),INDIRECT("Descriptif!F"&amp;E$13),"")</f>
        <v/>
      </c>
      <c r="G24" s="391" t="str">
        <f ca="1">IF(AND(OR(INDIRECT("Descriptif!I"&amp;F$13)=Recap_equipements!$B24,INDIRECT("Descriptif!I"&amp;F$13)=Recap_equipements!$C24),INDIRECT("Descriptif!M"&amp;F$13)=$D24),INDIRECT("Descriptif!F"&amp;F$13),"")</f>
        <v/>
      </c>
      <c r="H24" s="391" t="str">
        <f ca="1">IF(AND(OR(INDIRECT("Descriptif!I"&amp;G$13)=Recap_equipements!$B24,INDIRECT("Descriptif!I"&amp;G$13)=Recap_equipements!$C24),INDIRECT("Descriptif!M"&amp;G$13)=$D24),INDIRECT("Descriptif!F"&amp;G$13),"")</f>
        <v/>
      </c>
      <c r="I24" s="391" t="str">
        <f ca="1">IF(AND(OR(INDIRECT("Descriptif!I"&amp;H$13)=Recap_equipements!$B24,INDIRECT("Descriptif!I"&amp;H$13)=Recap_equipements!$C24),INDIRECT("Descriptif!M"&amp;H$13)=$D24),INDIRECT("Descriptif!F"&amp;H$13),"")</f>
        <v/>
      </c>
      <c r="J24" s="391" t="str">
        <f ca="1">IF(AND(OR(INDIRECT("Descriptif!I"&amp;I$13)=Recap_equipements!$B24,INDIRECT("Descriptif!I"&amp;I$13)=Recap_equipements!$C24),INDIRECT("Descriptif!M"&amp;I$13)=$D24),INDIRECT("Descriptif!F"&amp;I$13),"")</f>
        <v/>
      </c>
      <c r="K24" s="391" t="str">
        <f ca="1">IF(AND(OR(INDIRECT("Descriptif!I"&amp;J$13)=Recap_equipements!$B24,INDIRECT("Descriptif!I"&amp;J$13)=Recap_equipements!$C24),INDIRECT("Descriptif!M"&amp;J$13)=$D24),INDIRECT("Descriptif!F"&amp;J$13),"")</f>
        <v/>
      </c>
      <c r="L24" s="391" t="str">
        <f ca="1">IF(AND(OR(INDIRECT("Descriptif!I"&amp;K$13)=Recap_equipements!$B24,INDIRECT("Descriptif!I"&amp;K$13)=Recap_equipements!$C24),INDIRECT("Descriptif!M"&amp;K$13)=$D24),INDIRECT("Descriptif!F"&amp;K$13),"")</f>
        <v/>
      </c>
      <c r="M24" s="391" t="str">
        <f ca="1">IF(AND(OR(INDIRECT("Descriptif!I"&amp;L$13)=Recap_equipements!$B24,INDIRECT("Descriptif!I"&amp;L$13)=Recap_equipements!$C24),INDIRECT("Descriptif!M"&amp;L$13)=$D24),INDIRECT("Descriptif!F"&amp;L$13),"")</f>
        <v/>
      </c>
      <c r="N24" s="391" t="str">
        <f ca="1">IF(AND(OR(INDIRECT("Descriptif!I"&amp;M$13)=Recap_equipements!$B24,INDIRECT("Descriptif!I"&amp;M$13)=Recap_equipements!$C24),INDIRECT("Descriptif!M"&amp;M$13)=$D24),INDIRECT("Descriptif!F"&amp;M$13),"")</f>
        <v/>
      </c>
      <c r="O24" s="391" t="str">
        <f ca="1">IF(AND(OR(INDIRECT("Descriptif!I"&amp;N$13)=Recap_equipements!$B24,INDIRECT("Descriptif!I"&amp;N$13)=Recap_equipements!$C24),INDIRECT("Descriptif!M"&amp;N$13)=$D24),INDIRECT("Descriptif!F"&amp;N$13),"")</f>
        <v/>
      </c>
      <c r="P24" s="391" t="str">
        <f ca="1">IF(AND(OR(INDIRECT("Descriptif!I"&amp;O$13)=Recap_equipements!$B24,INDIRECT("Descriptif!I"&amp;O$13)=Recap_equipements!$C24),INDIRECT("Descriptif!M"&amp;O$13)=$D24),INDIRECT("Descriptif!F"&amp;O$13),"")</f>
        <v/>
      </c>
      <c r="Q24" s="391" t="str">
        <f ca="1">IF(AND(OR(INDIRECT("Descriptif!I"&amp;P$13)=Recap_equipements!$B24,INDIRECT("Descriptif!I"&amp;P$13)=Recap_equipements!$C24),INDIRECT("Descriptif!M"&amp;P$13)=$D24),INDIRECT("Descriptif!F"&amp;P$13),"")</f>
        <v/>
      </c>
      <c r="R24" s="391" t="str">
        <f ca="1">IF(AND(OR(INDIRECT("Descriptif!I"&amp;Q$13)=Recap_equipements!$B24,INDIRECT("Descriptif!I"&amp;Q$13)=Recap_equipements!$C24),INDIRECT("Descriptif!M"&amp;Q$13)=$D24),INDIRECT("Descriptif!F"&amp;Q$13),"")</f>
        <v/>
      </c>
      <c r="S24" s="391" t="str">
        <f ca="1">IF(AND(OR(INDIRECT("Descriptif!I"&amp;R$13)=Recap_equipements!$B24,INDIRECT("Descriptif!I"&amp;R$13)=Recap_equipements!$C24),INDIRECT("Descriptif!M"&amp;R$13)=$D24),INDIRECT("Descriptif!F"&amp;R$13),"")</f>
        <v/>
      </c>
      <c r="T24" s="392" t="str">
        <f ca="1">IF(AND(OR(INDIRECT("Descriptif!I"&amp;S$13)=Recap_equipements!$B24,INDIRECT("Descriptif!I"&amp;S$13)=Recap_equipements!$C24),INDIRECT("Descriptif!M"&amp;S$13)=$D24),INDIRECT("Descriptif!F"&amp;S$13),"")</f>
        <v/>
      </c>
    </row>
    <row r="25" spans="2:20" x14ac:dyDescent="0.4">
      <c r="B25" s="1551"/>
      <c r="C25" s="1554"/>
      <c r="D25" s="389" t="str">
        <f>$D$8</f>
        <v>Débitmètre gravitaire</v>
      </c>
      <c r="E25" s="389"/>
      <c r="F25" s="161" t="str">
        <f ca="1">IF(AND(OR(INDIRECT("Descriptif!I"&amp;E$13)=Recap_equipements!$B24,INDIRECT("Descriptif!I"&amp;E$13)=Recap_equipements!$C24),INDIRECT("Descriptif!M"&amp;E$13)=$D25),INDIRECT("Descriptif!F"&amp;E$13),"")</f>
        <v/>
      </c>
      <c r="G25" s="161" t="str">
        <f ca="1">IF(AND(OR(INDIRECT("Descriptif!I"&amp;F$13)=Recap_equipements!$B24,INDIRECT("Descriptif!I"&amp;F$13)=Recap_equipements!$C24),INDIRECT("Descriptif!M"&amp;F$13)=$D25),INDIRECT("Descriptif!F"&amp;F$13),"")</f>
        <v/>
      </c>
      <c r="H25" s="161" t="str">
        <f ca="1">IF(AND(OR(INDIRECT("Descriptif!I"&amp;G$13)=Recap_equipements!$B24,INDIRECT("Descriptif!I"&amp;G$13)=Recap_equipements!$C24),INDIRECT("Descriptif!M"&amp;G$13)=$D25),INDIRECT("Descriptif!F"&amp;G$13),"")</f>
        <v/>
      </c>
      <c r="I25" s="161" t="str">
        <f ca="1">IF(AND(OR(INDIRECT("Descriptif!I"&amp;H$13)=Recap_equipements!$B24,INDIRECT("Descriptif!I"&amp;H$13)=Recap_equipements!$C24),INDIRECT("Descriptif!M"&amp;H$13)=$D25),INDIRECT("Descriptif!F"&amp;H$13),"")</f>
        <v>A4_P103_Q_Grav</v>
      </c>
      <c r="J25" s="161" t="str">
        <f ca="1">IF(AND(OR(INDIRECT("Descriptif!I"&amp;I$13)=Recap_equipements!$B24,INDIRECT("Descriptif!I"&amp;I$13)=Recap_equipements!$C24),INDIRECT("Descriptif!M"&amp;I$13)=$D25),INDIRECT("Descriptif!F"&amp;I$13),"")</f>
        <v/>
      </c>
      <c r="K25" s="161" t="str">
        <f ca="1">IF(AND(OR(INDIRECT("Descriptif!I"&amp;J$13)=Recap_equipements!$B24,INDIRECT("Descriptif!I"&amp;J$13)=Recap_equipements!$C24),INDIRECT("Descriptif!M"&amp;J$13)=$D25),INDIRECT("Descriptif!F"&amp;J$13),"")</f>
        <v/>
      </c>
      <c r="L25" s="161" t="str">
        <f ca="1">IF(AND(OR(INDIRECT("Descriptif!I"&amp;K$13)=Recap_equipements!$B24,INDIRECT("Descriptif!I"&amp;K$13)=Recap_equipements!$C24),INDIRECT("Descriptif!M"&amp;K$13)=$D25),INDIRECT("Descriptif!F"&amp;K$13),"")</f>
        <v/>
      </c>
      <c r="M25" s="161" t="str">
        <f ca="1">IF(AND(OR(INDIRECT("Descriptif!I"&amp;L$13)=Recap_equipements!$B24,INDIRECT("Descriptif!I"&amp;L$13)=Recap_equipements!$C24),INDIRECT("Descriptif!M"&amp;L$13)=$D25),INDIRECT("Descriptif!F"&amp;L$13),"")</f>
        <v/>
      </c>
      <c r="N25" s="161" t="str">
        <f ca="1">IF(AND(OR(INDIRECT("Descriptif!I"&amp;M$13)=Recap_equipements!$B24,INDIRECT("Descriptif!I"&amp;M$13)=Recap_equipements!$C24),INDIRECT("Descriptif!M"&amp;M$13)=$D25),INDIRECT("Descriptif!F"&amp;M$13),"")</f>
        <v/>
      </c>
      <c r="O25" s="161" t="str">
        <f ca="1">IF(AND(OR(INDIRECT("Descriptif!I"&amp;N$13)=Recap_equipements!$B24,INDIRECT("Descriptif!I"&amp;N$13)=Recap_equipements!$C24),INDIRECT("Descriptif!M"&amp;N$13)=$D25),INDIRECT("Descriptif!F"&amp;N$13),"")</f>
        <v/>
      </c>
      <c r="P25" s="161" t="str">
        <f ca="1">IF(AND(OR(INDIRECT("Descriptif!I"&amp;O$13)=Recap_equipements!$B24,INDIRECT("Descriptif!I"&amp;O$13)=Recap_equipements!$C24),INDIRECT("Descriptif!M"&amp;O$13)=$D25),INDIRECT("Descriptif!F"&amp;O$13),"")</f>
        <v/>
      </c>
      <c r="Q25" s="161" t="str">
        <f ca="1">IF(AND(OR(INDIRECT("Descriptif!I"&amp;P$13)=Recap_equipements!$B24,INDIRECT("Descriptif!I"&amp;P$13)=Recap_equipements!$C24),INDIRECT("Descriptif!M"&amp;P$13)=$D25),INDIRECT("Descriptif!F"&amp;P$13),"")</f>
        <v/>
      </c>
      <c r="R25" s="161" t="str">
        <f ca="1">IF(AND(OR(INDIRECT("Descriptif!I"&amp;Q$13)=Recap_equipements!$B24,INDIRECT("Descriptif!I"&amp;Q$13)=Recap_equipements!$C24),INDIRECT("Descriptif!M"&amp;Q$13)=$D25),INDIRECT("Descriptif!F"&amp;Q$13),"")</f>
        <v/>
      </c>
      <c r="S25" s="161" t="str">
        <f ca="1">IF(AND(OR(INDIRECT("Descriptif!I"&amp;R$13)=Recap_equipements!$B24,INDIRECT("Descriptif!I"&amp;R$13)=Recap_equipements!$C24),INDIRECT("Descriptif!M"&amp;R$13)=$D25),INDIRECT("Descriptif!F"&amp;R$13),"")</f>
        <v/>
      </c>
      <c r="T25" s="393" t="str">
        <f ca="1">IF(AND(OR(INDIRECT("Descriptif!I"&amp;S$13)=Recap_equipements!$B24,INDIRECT("Descriptif!I"&amp;S$13)=Recap_equipements!$C24),INDIRECT("Descriptif!M"&amp;S$13)=$D25),INDIRECT("Descriptif!F"&amp;S$13),"")</f>
        <v/>
      </c>
    </row>
    <row r="26" spans="2:20" x14ac:dyDescent="0.4">
      <c r="B26" s="1551"/>
      <c r="C26" s="1554"/>
      <c r="D26" s="389" t="str">
        <f>$D$9</f>
        <v>Préleveur</v>
      </c>
      <c r="E26" s="389"/>
      <c r="F26" s="161" t="str">
        <f ca="1">IF(AND(OR(INDIRECT("Descriptif!I"&amp;E$13)=Recap_equipements!$B24,INDIRECT("Descriptif!I"&amp;E$13)=Recap_equipements!$C24),INDIRECT("Descriptif!M"&amp;E$13)=$D26),INDIRECT("Descriptif!F"&amp;E$13),"")</f>
        <v/>
      </c>
      <c r="G26" s="161" t="str">
        <f ca="1">IF(AND(OR(INDIRECT("Descriptif!I"&amp;F$13)=Recap_equipements!$B24,INDIRECT("Descriptif!I"&amp;F$13)=Recap_equipements!$C24),INDIRECT("Descriptif!M"&amp;F$13)=$D26),INDIRECT("Descriptif!F"&amp;F$13),"")</f>
        <v/>
      </c>
      <c r="H26" s="161" t="str">
        <f ca="1">IF(AND(OR(INDIRECT("Descriptif!I"&amp;G$13)=Recap_equipements!$B24,INDIRECT("Descriptif!I"&amp;G$13)=Recap_equipements!$C24),INDIRECT("Descriptif!M"&amp;G$13)=$D26),INDIRECT("Descriptif!F"&amp;G$13),"")</f>
        <v/>
      </c>
      <c r="I26" s="161" t="str">
        <f ca="1">IF(AND(OR(INDIRECT("Descriptif!I"&amp;H$13)=Recap_equipements!$B24,INDIRECT("Descriptif!I"&amp;H$13)=Recap_equipements!$C24),INDIRECT("Descriptif!M"&amp;H$13)=$D26),INDIRECT("Descriptif!F"&amp;H$13),"")</f>
        <v/>
      </c>
      <c r="J26" s="161" t="str">
        <f ca="1">IF(AND(OR(INDIRECT("Descriptif!I"&amp;I$13)=Recap_equipements!$B24,INDIRECT("Descriptif!I"&amp;I$13)=Recap_equipements!$C24),INDIRECT("Descriptif!M"&amp;I$13)=$D26),INDIRECT("Descriptif!F"&amp;I$13),"")</f>
        <v>A4_P103_PREL</v>
      </c>
      <c r="K26" s="161" t="str">
        <f ca="1">IF(AND(OR(INDIRECT("Descriptif!I"&amp;J$13)=Recap_equipements!$B24,INDIRECT("Descriptif!I"&amp;J$13)=Recap_equipements!$C24),INDIRECT("Descriptif!M"&amp;J$13)=$D26),INDIRECT("Descriptif!F"&amp;J$13),"")</f>
        <v/>
      </c>
      <c r="L26" s="161" t="str">
        <f ca="1">IF(AND(OR(INDIRECT("Descriptif!I"&amp;K$13)=Recap_equipements!$B24,INDIRECT("Descriptif!I"&amp;K$13)=Recap_equipements!$C24),INDIRECT("Descriptif!M"&amp;K$13)=$D26),INDIRECT("Descriptif!F"&amp;K$13),"")</f>
        <v/>
      </c>
      <c r="M26" s="161" t="str">
        <f ca="1">IF(AND(OR(INDIRECT("Descriptif!I"&amp;L$13)=Recap_equipements!$B24,INDIRECT("Descriptif!I"&amp;L$13)=Recap_equipements!$C24),INDIRECT("Descriptif!M"&amp;L$13)=$D26),INDIRECT("Descriptif!F"&amp;L$13),"")</f>
        <v/>
      </c>
      <c r="N26" s="161" t="str">
        <f ca="1">IF(AND(OR(INDIRECT("Descriptif!I"&amp;M$13)=Recap_equipements!$B24,INDIRECT("Descriptif!I"&amp;M$13)=Recap_equipements!$C24),INDIRECT("Descriptif!M"&amp;M$13)=$D26),INDIRECT("Descriptif!F"&amp;M$13),"")</f>
        <v/>
      </c>
      <c r="O26" s="161" t="str">
        <f ca="1">IF(AND(OR(INDIRECT("Descriptif!I"&amp;N$13)=Recap_equipements!$B24,INDIRECT("Descriptif!I"&amp;N$13)=Recap_equipements!$C24),INDIRECT("Descriptif!M"&amp;N$13)=$D26),INDIRECT("Descriptif!F"&amp;N$13),"")</f>
        <v/>
      </c>
      <c r="P26" s="161" t="str">
        <f ca="1">IF(AND(OR(INDIRECT("Descriptif!I"&amp;O$13)=Recap_equipements!$B24,INDIRECT("Descriptif!I"&amp;O$13)=Recap_equipements!$C24),INDIRECT("Descriptif!M"&amp;O$13)=$D26),INDIRECT("Descriptif!F"&amp;O$13),"")</f>
        <v/>
      </c>
      <c r="Q26" s="161" t="str">
        <f ca="1">IF(AND(OR(INDIRECT("Descriptif!I"&amp;P$13)=Recap_equipements!$B24,INDIRECT("Descriptif!I"&amp;P$13)=Recap_equipements!$C24),INDIRECT("Descriptif!M"&amp;P$13)=$D26),INDIRECT("Descriptif!F"&amp;P$13),"")</f>
        <v/>
      </c>
      <c r="R26" s="161" t="str">
        <f ca="1">IF(AND(OR(INDIRECT("Descriptif!I"&amp;Q$13)=Recap_equipements!$B24,INDIRECT("Descriptif!I"&amp;Q$13)=Recap_equipements!$C24),INDIRECT("Descriptif!M"&amp;Q$13)=$D26),INDIRECT("Descriptif!F"&amp;Q$13),"")</f>
        <v/>
      </c>
      <c r="S26" s="161" t="str">
        <f ca="1">IF(AND(OR(INDIRECT("Descriptif!I"&amp;R$13)=Recap_equipements!$B24,INDIRECT("Descriptif!I"&amp;R$13)=Recap_equipements!$C24),INDIRECT("Descriptif!M"&amp;R$13)=$D26),INDIRECT("Descriptif!F"&amp;R$13),"")</f>
        <v/>
      </c>
      <c r="T26" s="393" t="str">
        <f ca="1">IF(AND(OR(INDIRECT("Descriptif!I"&amp;S$13)=Recap_equipements!$B24,INDIRECT("Descriptif!I"&amp;S$13)=Recap_equipements!$C24),INDIRECT("Descriptif!M"&amp;S$13)=$D26),INDIRECT("Descriptif!F"&amp;S$13),"")</f>
        <v/>
      </c>
    </row>
    <row r="27" spans="2:20" x14ac:dyDescent="0.4">
      <c r="B27" s="1551"/>
      <c r="C27" s="1554"/>
      <c r="D27" s="1706" t="s">
        <v>783</v>
      </c>
      <c r="E27" s="1706"/>
      <c r="F27" s="1708" t="str">
        <f ca="1">IF(F26&lt;&gt;"",VLOOKUP(F26,Analytique!$X$3:$AD$33,1,FALSE),"")</f>
        <v/>
      </c>
      <c r="G27" s="1708" t="str">
        <f ca="1">IF(G26&lt;&gt;"",VLOOKUP(G26,Analytique!$X$3:$AD$33,1,FALSE),"")</f>
        <v/>
      </c>
      <c r="H27" s="1708" t="str">
        <f ca="1">IF(H26&lt;&gt;"",VLOOKUP(H26,Analytique!$X$3:$AD$33,1,FALSE),"")</f>
        <v/>
      </c>
      <c r="I27" s="1708" t="str">
        <f ca="1">IF(I26&lt;&gt;"",VLOOKUP(I26,Analytique!$X$3:$AD$33,1,FALSE),"")</f>
        <v/>
      </c>
      <c r="J27" s="1708" t="str">
        <f ca="1">IF(J26&lt;&gt;"",VLOOKUP(J26,Analytique!$X$3:$AD$33,1,FALSE),"")</f>
        <v>A4_P103_PREL</v>
      </c>
      <c r="K27" s="1708" t="str">
        <f ca="1">IF(K26&lt;&gt;"",VLOOKUP(K26,Analytique!$X$3:$AD$33,1,FALSE),"")</f>
        <v/>
      </c>
      <c r="L27" s="1708" t="str">
        <f ca="1">IF(L26&lt;&gt;"",VLOOKUP(L26,Analytique!$X$3:$AD$33,1,FALSE),"")</f>
        <v/>
      </c>
      <c r="M27" s="1708" t="str">
        <f ca="1">IF(M26&lt;&gt;"",VLOOKUP(M26,Analytique!$X$3:$AD$33,1,FALSE),"")</f>
        <v/>
      </c>
      <c r="N27" s="1708" t="str">
        <f ca="1">IF(N26&lt;&gt;"",VLOOKUP(N26,Analytique!$X$3:$AD$33,1,FALSE),"")</f>
        <v/>
      </c>
      <c r="O27" s="1708" t="str">
        <f ca="1">IF(O26&lt;&gt;"",VLOOKUP(O26,Analytique!$X$3:$AD$33,1,FALSE),"")</f>
        <v/>
      </c>
      <c r="P27" s="1708" t="str">
        <f ca="1">IF(P26&lt;&gt;"",VLOOKUP(P26,Analytique!$X$3:$AD$33,1,FALSE),"")</f>
        <v/>
      </c>
      <c r="Q27" s="1708" t="str">
        <f ca="1">IF(Q26&lt;&gt;"",VLOOKUP(Q26,Analytique!$X$3:$AD$33,1,FALSE),"")</f>
        <v/>
      </c>
      <c r="R27" s="1708" t="str">
        <f ca="1">IF(R26&lt;&gt;"",VLOOKUP(R26,Analytique!$X$3:$AD$33,1,FALSE),"")</f>
        <v/>
      </c>
      <c r="S27" s="1708" t="str">
        <f ca="1">IF(S26&lt;&gt;"",VLOOKUP(S26,Analytique!$X$3:$AD$33,1,FALSE),"")</f>
        <v/>
      </c>
      <c r="T27" s="1709" t="str">
        <f ca="1">IF(T26&lt;&gt;"",VLOOKUP(T26,Analytique!$X$3:$AD$33,1,FALSE),"")</f>
        <v/>
      </c>
    </row>
    <row r="28" spans="2:20" ht="13" thickBot="1" x14ac:dyDescent="0.45">
      <c r="B28" s="1552"/>
      <c r="C28" s="1555"/>
      <c r="D28" s="394" t="str">
        <f>$D$10</f>
        <v>Sonde de température</v>
      </c>
      <c r="E28" s="394"/>
      <c r="F28" s="395" t="str">
        <f ca="1">IF(AND(OR(INDIRECT("Descriptif!I"&amp;E$13)=Recap_equipements!$B24,INDIRECT("Descriptif!I"&amp;E$13)=Recap_equipements!$C24),INDIRECT("Descriptif!M"&amp;E$13)=$D28),INDIRECT("Descriptif!F"&amp;E$13),"")</f>
        <v/>
      </c>
      <c r="G28" s="395" t="str">
        <f ca="1">IF(AND(OR(INDIRECT("Descriptif!I"&amp;F$13)=Recap_equipements!$B24,INDIRECT("Descriptif!I"&amp;F$13)=Recap_equipements!$C24),INDIRECT("Descriptif!M"&amp;F$13)=$D28),INDIRECT("Descriptif!F"&amp;F$13),"")</f>
        <v/>
      </c>
      <c r="H28" s="395" t="str">
        <f ca="1">IF(AND(OR(INDIRECT("Descriptif!I"&amp;G$13)=Recap_equipements!$B24,INDIRECT("Descriptif!I"&amp;G$13)=Recap_equipements!$C24),INDIRECT("Descriptif!M"&amp;G$13)=$D28),INDIRECT("Descriptif!F"&amp;G$13),"")</f>
        <v/>
      </c>
      <c r="I28" s="395" t="str">
        <f ca="1">IF(AND(OR(INDIRECT("Descriptif!I"&amp;H$13)=Recap_equipements!$B24,INDIRECT("Descriptif!I"&amp;H$13)=Recap_equipements!$C24),INDIRECT("Descriptif!M"&amp;H$13)=$D28),INDIRECT("Descriptif!F"&amp;H$13),"")</f>
        <v/>
      </c>
      <c r="J28" s="395" t="str">
        <f ca="1">IF(AND(OR(INDIRECT("Descriptif!I"&amp;I$13)=Recap_equipements!$B24,INDIRECT("Descriptif!I"&amp;I$13)=Recap_equipements!$C24),INDIRECT("Descriptif!M"&amp;I$13)=$D28),INDIRECT("Descriptif!F"&amp;I$13),"")</f>
        <v/>
      </c>
      <c r="K28" s="395" t="str">
        <f ca="1">IF(AND(OR(INDIRECT("Descriptif!I"&amp;J$13)=Recap_equipements!$B24,INDIRECT("Descriptif!I"&amp;J$13)=Recap_equipements!$C24),INDIRECT("Descriptif!M"&amp;J$13)=$D28),INDIRECT("Descriptif!F"&amp;J$13),"")</f>
        <v/>
      </c>
      <c r="L28" s="395" t="str">
        <f ca="1">IF(AND(OR(INDIRECT("Descriptif!I"&amp;K$13)=Recap_equipements!$B24,INDIRECT("Descriptif!I"&amp;K$13)=Recap_equipements!$C24),INDIRECT("Descriptif!M"&amp;K$13)=$D28),INDIRECT("Descriptif!F"&amp;K$13),"")</f>
        <v>A4_P103_TEMP</v>
      </c>
      <c r="M28" s="395" t="str">
        <f ca="1">IF(AND(OR(INDIRECT("Descriptif!I"&amp;L$13)=Recap_equipements!$B24,INDIRECT("Descriptif!I"&amp;L$13)=Recap_equipements!$C24),INDIRECT("Descriptif!M"&amp;L$13)=$D28),INDIRECT("Descriptif!F"&amp;L$13),"")</f>
        <v/>
      </c>
      <c r="N28" s="395" t="str">
        <f ca="1">IF(AND(OR(INDIRECT("Descriptif!I"&amp;M$13)=Recap_equipements!$B24,INDIRECT("Descriptif!I"&amp;M$13)=Recap_equipements!$C24),INDIRECT("Descriptif!M"&amp;M$13)=$D28),INDIRECT("Descriptif!F"&amp;M$13),"")</f>
        <v/>
      </c>
      <c r="O28" s="395" t="str">
        <f ca="1">IF(AND(OR(INDIRECT("Descriptif!I"&amp;N$13)=Recap_equipements!$B24,INDIRECT("Descriptif!I"&amp;N$13)=Recap_equipements!$C24),INDIRECT("Descriptif!M"&amp;N$13)=$D28),INDIRECT("Descriptif!F"&amp;N$13),"")</f>
        <v/>
      </c>
      <c r="P28" s="395" t="str">
        <f ca="1">IF(AND(OR(INDIRECT("Descriptif!I"&amp;O$13)=Recap_equipements!$B24,INDIRECT("Descriptif!I"&amp;O$13)=Recap_equipements!$C24),INDIRECT("Descriptif!M"&amp;O$13)=$D28),INDIRECT("Descriptif!F"&amp;O$13),"")</f>
        <v/>
      </c>
      <c r="Q28" s="395" t="str">
        <f ca="1">IF(AND(OR(INDIRECT("Descriptif!I"&amp;P$13)=Recap_equipements!$B24,INDIRECT("Descriptif!I"&amp;P$13)=Recap_equipements!$C24),INDIRECT("Descriptif!M"&amp;P$13)=$D28),INDIRECT("Descriptif!F"&amp;P$13),"")</f>
        <v/>
      </c>
      <c r="R28" s="395" t="str">
        <f ca="1">IF(AND(OR(INDIRECT("Descriptif!I"&amp;Q$13)=Recap_equipements!$B24,INDIRECT("Descriptif!I"&amp;Q$13)=Recap_equipements!$C24),INDIRECT("Descriptif!M"&amp;Q$13)=$D28),INDIRECT("Descriptif!F"&amp;Q$13),"")</f>
        <v/>
      </c>
      <c r="S28" s="395" t="str">
        <f ca="1">IF(AND(OR(INDIRECT("Descriptif!I"&amp;R$13)=Recap_equipements!$B24,INDIRECT("Descriptif!I"&amp;R$13)=Recap_equipements!$C24),INDIRECT("Descriptif!M"&amp;R$13)=$D28),INDIRECT("Descriptif!F"&amp;R$13),"")</f>
        <v/>
      </c>
      <c r="T28" s="396" t="str">
        <f ca="1">IF(AND(OR(INDIRECT("Descriptif!I"&amp;S$13)=Recap_equipements!$B24,INDIRECT("Descriptif!I"&amp;S$13)=Recap_equipements!$C24),INDIRECT("Descriptif!M"&amp;S$13)=$D28),INDIRECT("Descriptif!F"&amp;S$13),"")</f>
        <v/>
      </c>
    </row>
    <row r="29" spans="2:20" x14ac:dyDescent="0.4">
      <c r="B29" s="1550" t="s">
        <v>168</v>
      </c>
      <c r="C29" s="1553" t="s">
        <v>183</v>
      </c>
      <c r="D29" s="390" t="str">
        <f>$D$7</f>
        <v>Débitmètre en charge</v>
      </c>
      <c r="E29" s="390"/>
      <c r="F29" s="391" t="str">
        <f ca="1">IF(AND(OR(INDIRECT("Descriptif!I"&amp;E$13)=Recap_equipements!$B29,INDIRECT("Descriptif!I"&amp;E$13)=Recap_equipements!$C29),INDIRECT("Descriptif!M"&amp;E$13)=$D29),INDIRECT("Descriptif!F"&amp;E$13),"")</f>
        <v/>
      </c>
      <c r="G29" s="391" t="str">
        <f ca="1">IF(AND(OR(INDIRECT("Descriptif!I"&amp;F$13)=Recap_equipements!$B29,INDIRECT("Descriptif!I"&amp;F$13)=Recap_equipements!$C29),INDIRECT("Descriptif!M"&amp;F$13)=$D29),INDIRECT("Descriptif!F"&amp;F$13),"")</f>
        <v/>
      </c>
      <c r="H29" s="391" t="str">
        <f ca="1">IF(AND(OR(INDIRECT("Descriptif!I"&amp;G$13)=Recap_equipements!$B29,INDIRECT("Descriptif!I"&amp;G$13)=Recap_equipements!$C29),INDIRECT("Descriptif!M"&amp;G$13)=$D29),INDIRECT("Descriptif!F"&amp;G$13),"")</f>
        <v/>
      </c>
      <c r="I29" s="391" t="str">
        <f ca="1">IF(AND(OR(INDIRECT("Descriptif!I"&amp;H$13)=Recap_equipements!$B29,INDIRECT("Descriptif!I"&amp;H$13)=Recap_equipements!$C29),INDIRECT("Descriptif!M"&amp;H$13)=$D29),INDIRECT("Descriptif!F"&amp;H$13),"")</f>
        <v/>
      </c>
      <c r="J29" s="391" t="str">
        <f ca="1">IF(AND(OR(INDIRECT("Descriptif!I"&amp;I$13)=Recap_equipements!$B29,INDIRECT("Descriptif!I"&amp;I$13)=Recap_equipements!$C29),INDIRECT("Descriptif!M"&amp;I$13)=$D29),INDIRECT("Descriptif!F"&amp;I$13),"")</f>
        <v/>
      </c>
      <c r="K29" s="391" t="str">
        <f ca="1">IF(AND(OR(INDIRECT("Descriptif!I"&amp;J$13)=Recap_equipements!$B29,INDIRECT("Descriptif!I"&amp;J$13)=Recap_equipements!$C29),INDIRECT("Descriptif!M"&amp;J$13)=$D29),INDIRECT("Descriptif!F"&amp;J$13),"")</f>
        <v/>
      </c>
      <c r="L29" s="391" t="str">
        <f ca="1">IF(AND(OR(INDIRECT("Descriptif!I"&amp;K$13)=Recap_equipements!$B29,INDIRECT("Descriptif!I"&amp;K$13)=Recap_equipements!$C29),INDIRECT("Descriptif!M"&amp;K$13)=$D29),INDIRECT("Descriptif!F"&amp;K$13),"")</f>
        <v/>
      </c>
      <c r="M29" s="391" t="str">
        <f ca="1">IF(AND(OR(INDIRECT("Descriptif!I"&amp;L$13)=Recap_equipements!$B29,INDIRECT("Descriptif!I"&amp;L$13)=Recap_equipements!$C29),INDIRECT("Descriptif!M"&amp;L$13)=$D29),INDIRECT("Descriptif!F"&amp;L$13),"")</f>
        <v/>
      </c>
      <c r="N29" s="391" t="str">
        <f ca="1">IF(AND(OR(INDIRECT("Descriptif!I"&amp;M$13)=Recap_equipements!$B29,INDIRECT("Descriptif!I"&amp;M$13)=Recap_equipements!$C29),INDIRECT("Descriptif!M"&amp;M$13)=$D29),INDIRECT("Descriptif!F"&amp;M$13),"")</f>
        <v/>
      </c>
      <c r="O29" s="391" t="str">
        <f ca="1">IF(AND(OR(INDIRECT("Descriptif!I"&amp;N$13)=Recap_equipements!$B29,INDIRECT("Descriptif!I"&amp;N$13)=Recap_equipements!$C29),INDIRECT("Descriptif!M"&amp;N$13)=$D29),INDIRECT("Descriptif!F"&amp;N$13),"")</f>
        <v/>
      </c>
      <c r="P29" s="391" t="str">
        <f ca="1">IF(AND(OR(INDIRECT("Descriptif!I"&amp;O$13)=Recap_equipements!$B29,INDIRECT("Descriptif!I"&amp;O$13)=Recap_equipements!$C29),INDIRECT("Descriptif!M"&amp;O$13)=$D29),INDIRECT("Descriptif!F"&amp;O$13),"")</f>
        <v/>
      </c>
      <c r="Q29" s="391" t="str">
        <f ca="1">IF(AND(OR(INDIRECT("Descriptif!I"&amp;P$13)=Recap_equipements!$B29,INDIRECT("Descriptif!I"&amp;P$13)=Recap_equipements!$C29),INDIRECT("Descriptif!M"&amp;P$13)=$D29),INDIRECT("Descriptif!F"&amp;P$13),"")</f>
        <v/>
      </c>
      <c r="R29" s="391" t="str">
        <f ca="1">IF(AND(OR(INDIRECT("Descriptif!I"&amp;Q$13)=Recap_equipements!$B29,INDIRECT("Descriptif!I"&amp;Q$13)=Recap_equipements!$C29),INDIRECT("Descriptif!M"&amp;Q$13)=$D29),INDIRECT("Descriptif!F"&amp;Q$13),"")</f>
        <v/>
      </c>
      <c r="S29" s="391" t="str">
        <f ca="1">IF(AND(OR(INDIRECT("Descriptif!I"&amp;R$13)=Recap_equipements!$B29,INDIRECT("Descriptif!I"&amp;R$13)=Recap_equipements!$C29),INDIRECT("Descriptif!M"&amp;R$13)=$D29),INDIRECT("Descriptif!F"&amp;R$13),"")</f>
        <v/>
      </c>
      <c r="T29" s="392" t="str">
        <f ca="1">IF(AND(OR(INDIRECT("Descriptif!I"&amp;S$13)=Recap_equipements!$B29,INDIRECT("Descriptif!I"&amp;S$13)=Recap_equipements!$C29),INDIRECT("Descriptif!M"&amp;S$13)=$D29),INDIRECT("Descriptif!F"&amp;S$13),"")</f>
        <v/>
      </c>
    </row>
    <row r="30" spans="2:20" x14ac:dyDescent="0.4">
      <c r="B30" s="1551"/>
      <c r="C30" s="1554"/>
      <c r="D30" s="389" t="str">
        <f>$D$8</f>
        <v>Débitmètre gravitaire</v>
      </c>
      <c r="E30" s="389"/>
      <c r="F30" s="161" t="str">
        <f ca="1">IF(AND(OR(INDIRECT("Descriptif!I"&amp;E$13)=Recap_equipements!$B29,INDIRECT("Descriptif!I"&amp;E$13)=Recap_equipements!$C29),INDIRECT("Descriptif!M"&amp;E$13)=$D30),INDIRECT("Descriptif!F"&amp;E$13),"")</f>
        <v>A2_P100_Q_Grav</v>
      </c>
      <c r="G30" s="161" t="str">
        <f ca="1">IF(AND(OR(INDIRECT("Descriptif!I"&amp;F$13)=Recap_equipements!$B29,INDIRECT("Descriptif!I"&amp;F$13)=Recap_equipements!$C29),INDIRECT("Descriptif!M"&amp;F$13)=$D30),INDIRECT("Descriptif!F"&amp;F$13),"")</f>
        <v/>
      </c>
      <c r="H30" s="161" t="str">
        <f ca="1">IF(AND(OR(INDIRECT("Descriptif!I"&amp;G$13)=Recap_equipements!$B29,INDIRECT("Descriptif!I"&amp;G$13)=Recap_equipements!$C29),INDIRECT("Descriptif!M"&amp;G$13)=$D30),INDIRECT("Descriptif!F"&amp;G$13),"")</f>
        <v/>
      </c>
      <c r="I30" s="161" t="str">
        <f ca="1">IF(AND(OR(INDIRECT("Descriptif!I"&amp;H$13)=Recap_equipements!$B29,INDIRECT("Descriptif!I"&amp;H$13)=Recap_equipements!$C29),INDIRECT("Descriptif!M"&amp;H$13)=$D30),INDIRECT("Descriptif!F"&amp;H$13),"")</f>
        <v/>
      </c>
      <c r="J30" s="161" t="str">
        <f ca="1">IF(AND(OR(INDIRECT("Descriptif!I"&amp;I$13)=Recap_equipements!$B29,INDIRECT("Descriptif!I"&amp;I$13)=Recap_equipements!$C29),INDIRECT("Descriptif!M"&amp;I$13)=$D30),INDIRECT("Descriptif!F"&amp;I$13),"")</f>
        <v/>
      </c>
      <c r="K30" s="161" t="str">
        <f ca="1">IF(AND(OR(INDIRECT("Descriptif!I"&amp;J$13)=Recap_equipements!$B29,INDIRECT("Descriptif!I"&amp;J$13)=Recap_equipements!$C29),INDIRECT("Descriptif!M"&amp;J$13)=$D30),INDIRECT("Descriptif!F"&amp;J$13),"")</f>
        <v/>
      </c>
      <c r="L30" s="161" t="str">
        <f ca="1">IF(AND(OR(INDIRECT("Descriptif!I"&amp;K$13)=Recap_equipements!$B29,INDIRECT("Descriptif!I"&amp;K$13)=Recap_equipements!$C29),INDIRECT("Descriptif!M"&amp;K$13)=$D30),INDIRECT("Descriptif!F"&amp;K$13),"")</f>
        <v/>
      </c>
      <c r="M30" s="161" t="str">
        <f ca="1">IF(AND(OR(INDIRECT("Descriptif!I"&amp;L$13)=Recap_equipements!$B29,INDIRECT("Descriptif!I"&amp;L$13)=Recap_equipements!$C29),INDIRECT("Descriptif!M"&amp;L$13)=$D30),INDIRECT("Descriptif!F"&amp;L$13),"")</f>
        <v/>
      </c>
      <c r="N30" s="161" t="str">
        <f ca="1">IF(AND(OR(INDIRECT("Descriptif!I"&amp;M$13)=Recap_equipements!$B29,INDIRECT("Descriptif!I"&amp;M$13)=Recap_equipements!$C29),INDIRECT("Descriptif!M"&amp;M$13)=$D30),INDIRECT("Descriptif!F"&amp;M$13),"")</f>
        <v/>
      </c>
      <c r="O30" s="161" t="str">
        <f ca="1">IF(AND(OR(INDIRECT("Descriptif!I"&amp;N$13)=Recap_equipements!$B29,INDIRECT("Descriptif!I"&amp;N$13)=Recap_equipements!$C29),INDIRECT("Descriptif!M"&amp;N$13)=$D30),INDIRECT("Descriptif!F"&amp;N$13),"")</f>
        <v/>
      </c>
      <c r="P30" s="161" t="str">
        <f ca="1">IF(AND(OR(INDIRECT("Descriptif!I"&amp;O$13)=Recap_equipements!$B29,INDIRECT("Descriptif!I"&amp;O$13)=Recap_equipements!$C29),INDIRECT("Descriptif!M"&amp;O$13)=$D30),INDIRECT("Descriptif!F"&amp;O$13),"")</f>
        <v/>
      </c>
      <c r="Q30" s="161" t="str">
        <f ca="1">IF(AND(OR(INDIRECT("Descriptif!I"&amp;P$13)=Recap_equipements!$B29,INDIRECT("Descriptif!I"&amp;P$13)=Recap_equipements!$C29),INDIRECT("Descriptif!M"&amp;P$13)=$D30),INDIRECT("Descriptif!F"&amp;P$13),"")</f>
        <v/>
      </c>
      <c r="R30" s="161" t="str">
        <f ca="1">IF(AND(OR(INDIRECT("Descriptif!I"&amp;Q$13)=Recap_equipements!$B29,INDIRECT("Descriptif!I"&amp;Q$13)=Recap_equipements!$C29),INDIRECT("Descriptif!M"&amp;Q$13)=$D30),INDIRECT("Descriptif!F"&amp;Q$13),"")</f>
        <v/>
      </c>
      <c r="S30" s="161" t="str">
        <f ca="1">IF(AND(OR(INDIRECT("Descriptif!I"&amp;R$13)=Recap_equipements!$B29,INDIRECT("Descriptif!I"&amp;R$13)=Recap_equipements!$C29),INDIRECT("Descriptif!M"&amp;R$13)=$D30),INDIRECT("Descriptif!F"&amp;R$13),"")</f>
        <v/>
      </c>
      <c r="T30" s="393" t="str">
        <f ca="1">IF(AND(OR(INDIRECT("Descriptif!I"&amp;S$13)=Recap_equipements!$B29,INDIRECT("Descriptif!I"&amp;S$13)=Recap_equipements!$C29),INDIRECT("Descriptif!M"&amp;S$13)=$D30),INDIRECT("Descriptif!F"&amp;S$13),"")</f>
        <v/>
      </c>
    </row>
    <row r="31" spans="2:20" x14ac:dyDescent="0.4">
      <c r="B31" s="1551"/>
      <c r="C31" s="1554"/>
      <c r="D31" s="389" t="str">
        <f>$D$9</f>
        <v>Préleveur</v>
      </c>
      <c r="E31" s="389"/>
      <c r="F31" s="161" t="str">
        <f ca="1">IF(AND(OR(INDIRECT("Descriptif!I"&amp;E$13)=Recap_equipements!$B29,INDIRECT("Descriptif!I"&amp;E$13)=Recap_equipements!$C29),INDIRECT("Descriptif!M"&amp;E$13)=$D31),INDIRECT("Descriptif!F"&amp;E$13),"")</f>
        <v/>
      </c>
      <c r="G31" s="161" t="str">
        <f ca="1">IF(AND(OR(INDIRECT("Descriptif!I"&amp;F$13)=Recap_equipements!$B29,INDIRECT("Descriptif!I"&amp;F$13)=Recap_equipements!$C29),INDIRECT("Descriptif!M"&amp;F$13)=$D31),INDIRECT("Descriptif!F"&amp;F$13),"")</f>
        <v/>
      </c>
      <c r="H31" s="161" t="str">
        <f ca="1">IF(AND(OR(INDIRECT("Descriptif!I"&amp;G$13)=Recap_equipements!$B29,INDIRECT("Descriptif!I"&amp;G$13)=Recap_equipements!$C29),INDIRECT("Descriptif!M"&amp;G$13)=$D31),INDIRECT("Descriptif!F"&amp;G$13),"")</f>
        <v/>
      </c>
      <c r="I31" s="161" t="str">
        <f ca="1">IF(AND(OR(INDIRECT("Descriptif!I"&amp;H$13)=Recap_equipements!$B29,INDIRECT("Descriptif!I"&amp;H$13)=Recap_equipements!$C29),INDIRECT("Descriptif!M"&amp;H$13)=$D31),INDIRECT("Descriptif!F"&amp;H$13),"")</f>
        <v/>
      </c>
      <c r="J31" s="161" t="str">
        <f ca="1">IF(AND(OR(INDIRECT("Descriptif!I"&amp;I$13)=Recap_equipements!$B29,INDIRECT("Descriptif!I"&amp;I$13)=Recap_equipements!$C29),INDIRECT("Descriptif!M"&amp;I$13)=$D31),INDIRECT("Descriptif!F"&amp;I$13),"")</f>
        <v/>
      </c>
      <c r="K31" s="161" t="str">
        <f ca="1">IF(AND(OR(INDIRECT("Descriptif!I"&amp;J$13)=Recap_equipements!$B29,INDIRECT("Descriptif!I"&amp;J$13)=Recap_equipements!$C29),INDIRECT("Descriptif!M"&amp;J$13)=$D31),INDIRECT("Descriptif!F"&amp;J$13),"")</f>
        <v/>
      </c>
      <c r="L31" s="161" t="str">
        <f ca="1">IF(AND(OR(INDIRECT("Descriptif!I"&amp;K$13)=Recap_equipements!$B29,INDIRECT("Descriptif!I"&amp;K$13)=Recap_equipements!$C29),INDIRECT("Descriptif!M"&amp;K$13)=$D31),INDIRECT("Descriptif!F"&amp;K$13),"")</f>
        <v/>
      </c>
      <c r="M31" s="161" t="str">
        <f ca="1">IF(AND(OR(INDIRECT("Descriptif!I"&amp;L$13)=Recap_equipements!$B29,INDIRECT("Descriptif!I"&amp;L$13)=Recap_equipements!$C29),INDIRECT("Descriptif!M"&amp;L$13)=$D31),INDIRECT("Descriptif!F"&amp;L$13),"")</f>
        <v/>
      </c>
      <c r="N31" s="161" t="str">
        <f ca="1">IF(AND(OR(INDIRECT("Descriptif!I"&amp;M$13)=Recap_equipements!$B29,INDIRECT("Descriptif!I"&amp;M$13)=Recap_equipements!$C29),INDIRECT("Descriptif!M"&amp;M$13)=$D31),INDIRECT("Descriptif!F"&amp;M$13),"")</f>
        <v/>
      </c>
      <c r="O31" s="161" t="str">
        <f ca="1">IF(AND(OR(INDIRECT("Descriptif!I"&amp;N$13)=Recap_equipements!$B29,INDIRECT("Descriptif!I"&amp;N$13)=Recap_equipements!$C29),INDIRECT("Descriptif!M"&amp;N$13)=$D31),INDIRECT("Descriptif!F"&amp;N$13),"")</f>
        <v/>
      </c>
      <c r="P31" s="161" t="str">
        <f ca="1">IF(AND(OR(INDIRECT("Descriptif!I"&amp;O$13)=Recap_equipements!$B29,INDIRECT("Descriptif!I"&amp;O$13)=Recap_equipements!$C29),INDIRECT("Descriptif!M"&amp;O$13)=$D31),INDIRECT("Descriptif!F"&amp;O$13),"")</f>
        <v/>
      </c>
      <c r="Q31" s="161" t="str">
        <f ca="1">IF(AND(OR(INDIRECT("Descriptif!I"&amp;P$13)=Recap_equipements!$B29,INDIRECT("Descriptif!I"&amp;P$13)=Recap_equipements!$C29),INDIRECT("Descriptif!M"&amp;P$13)=$D31),INDIRECT("Descriptif!F"&amp;P$13),"")</f>
        <v/>
      </c>
      <c r="R31" s="161" t="str">
        <f ca="1">IF(AND(OR(INDIRECT("Descriptif!I"&amp;Q$13)=Recap_equipements!$B29,INDIRECT("Descriptif!I"&amp;Q$13)=Recap_equipements!$C29),INDIRECT("Descriptif!M"&amp;Q$13)=$D31),INDIRECT("Descriptif!F"&amp;Q$13),"")</f>
        <v/>
      </c>
      <c r="S31" s="161" t="str">
        <f ca="1">IF(AND(OR(INDIRECT("Descriptif!I"&amp;R$13)=Recap_equipements!$B29,INDIRECT("Descriptif!I"&amp;R$13)=Recap_equipements!$C29),INDIRECT("Descriptif!M"&amp;R$13)=$D31),INDIRECT("Descriptif!F"&amp;R$13),"")</f>
        <v/>
      </c>
      <c r="T31" s="393" t="str">
        <f ca="1">IF(AND(OR(INDIRECT("Descriptif!I"&amp;S$13)=Recap_equipements!$B29,INDIRECT("Descriptif!I"&amp;S$13)=Recap_equipements!$C29),INDIRECT("Descriptif!M"&amp;S$13)=$D31),INDIRECT("Descriptif!F"&amp;S$13),"")</f>
        <v/>
      </c>
    </row>
    <row r="32" spans="2:20" x14ac:dyDescent="0.4">
      <c r="B32" s="1551"/>
      <c r="C32" s="1554"/>
      <c r="D32" s="1706" t="s">
        <v>783</v>
      </c>
      <c r="E32" s="1706"/>
      <c r="F32" s="1708" t="str">
        <f ca="1">IF(F31&lt;&gt;"",VLOOKUP(F31,Analytique!$X$3:$AD$33,1,FALSE),"")</f>
        <v/>
      </c>
      <c r="G32" s="1708" t="str">
        <f ca="1">IF(G31&lt;&gt;"",VLOOKUP(G31,Analytique!$X$3:$AD$33,1,FALSE),"")</f>
        <v/>
      </c>
      <c r="H32" s="1708" t="str">
        <f ca="1">IF(H31&lt;&gt;"",VLOOKUP(H31,Analytique!$X$3:$AD$33,1,FALSE),"")</f>
        <v/>
      </c>
      <c r="I32" s="1708" t="str">
        <f ca="1">IF(I31&lt;&gt;"",VLOOKUP(I31,Analytique!$X$3:$AD$33,1,FALSE),"")</f>
        <v/>
      </c>
      <c r="J32" s="1708" t="str">
        <f ca="1">IF(J31&lt;&gt;"",VLOOKUP(J31,Analytique!$X$3:$AD$33,1,FALSE),"")</f>
        <v/>
      </c>
      <c r="K32" s="1708" t="str">
        <f ca="1">IF(K31&lt;&gt;"",VLOOKUP(K31,Analytique!$X$3:$AD$33,1,FALSE),"")</f>
        <v/>
      </c>
      <c r="L32" s="1708" t="str">
        <f ca="1">IF(L31&lt;&gt;"",VLOOKUP(L31,Analytique!$X$3:$AD$33,1,FALSE),"")</f>
        <v/>
      </c>
      <c r="M32" s="1708" t="str">
        <f ca="1">IF(M31&lt;&gt;"",VLOOKUP(M31,Analytique!$X$3:$AD$33,1,FALSE),"")</f>
        <v/>
      </c>
      <c r="N32" s="1708" t="str">
        <f ca="1">IF(N31&lt;&gt;"",VLOOKUP(N31,Analytique!$X$3:$AD$33,1,FALSE),"")</f>
        <v/>
      </c>
      <c r="O32" s="1708" t="str">
        <f ca="1">IF(O31&lt;&gt;"",VLOOKUP(O31,Analytique!$X$3:$AD$33,1,FALSE),"")</f>
        <v/>
      </c>
      <c r="P32" s="1708" t="str">
        <f ca="1">IF(P31&lt;&gt;"",VLOOKUP(P31,Analytique!$X$3:$AD$33,1,FALSE),"")</f>
        <v/>
      </c>
      <c r="Q32" s="1708" t="str">
        <f ca="1">IF(Q31&lt;&gt;"",VLOOKUP(Q31,Analytique!$X$3:$AD$33,1,FALSE),"")</f>
        <v/>
      </c>
      <c r="R32" s="1708" t="str">
        <f ca="1">IF(R31&lt;&gt;"",VLOOKUP(R31,Analytique!$X$3:$AD$33,1,FALSE),"")</f>
        <v/>
      </c>
      <c r="S32" s="1708" t="str">
        <f ca="1">IF(S31&lt;&gt;"",VLOOKUP(S31,Analytique!$X$3:$AD$33,1,FALSE),"")</f>
        <v/>
      </c>
      <c r="T32" s="1709" t="str">
        <f ca="1">IF(T31&lt;&gt;"",VLOOKUP(T31,Analytique!$X$3:$AD$33,1,FALSE),"")</f>
        <v/>
      </c>
    </row>
    <row r="33" spans="2:20" ht="13" thickBot="1" x14ac:dyDescent="0.45">
      <c r="B33" s="1552"/>
      <c r="C33" s="1555"/>
      <c r="D33" s="394" t="str">
        <f>$D$10</f>
        <v>Sonde de température</v>
      </c>
      <c r="E33" s="394"/>
      <c r="F33" s="395" t="str">
        <f ca="1">IF(AND(OR(INDIRECT("Descriptif!I"&amp;E$13)=Recap_equipements!$B29,INDIRECT("Descriptif!I"&amp;E$13)=Recap_equipements!$C29),INDIRECT("Descriptif!M"&amp;E$13)=$D33),INDIRECT("Descriptif!F"&amp;E$13),"")</f>
        <v/>
      </c>
      <c r="G33" s="395" t="str">
        <f ca="1">IF(AND(OR(INDIRECT("Descriptif!I"&amp;F$13)=Recap_equipements!$B29,INDIRECT("Descriptif!I"&amp;F$13)=Recap_equipements!$C29),INDIRECT("Descriptif!M"&amp;F$13)=$D33),INDIRECT("Descriptif!F"&amp;F$13),"")</f>
        <v/>
      </c>
      <c r="H33" s="395" t="str">
        <f ca="1">IF(AND(OR(INDIRECT("Descriptif!I"&amp;G$13)=Recap_equipements!$B29,INDIRECT("Descriptif!I"&amp;G$13)=Recap_equipements!$C29),INDIRECT("Descriptif!M"&amp;G$13)=$D33),INDIRECT("Descriptif!F"&amp;G$13),"")</f>
        <v/>
      </c>
      <c r="I33" s="395" t="str">
        <f ca="1">IF(AND(OR(INDIRECT("Descriptif!I"&amp;H$13)=Recap_equipements!$B29,INDIRECT("Descriptif!I"&amp;H$13)=Recap_equipements!$C29),INDIRECT("Descriptif!M"&amp;H$13)=$D33),INDIRECT("Descriptif!F"&amp;H$13),"")</f>
        <v/>
      </c>
      <c r="J33" s="395" t="str">
        <f ca="1">IF(AND(OR(INDIRECT("Descriptif!I"&amp;I$13)=Recap_equipements!$B29,INDIRECT("Descriptif!I"&amp;I$13)=Recap_equipements!$C29),INDIRECT("Descriptif!M"&amp;I$13)=$D33),INDIRECT("Descriptif!F"&amp;I$13),"")</f>
        <v/>
      </c>
      <c r="K33" s="395" t="str">
        <f ca="1">IF(AND(OR(INDIRECT("Descriptif!I"&amp;J$13)=Recap_equipements!$B29,INDIRECT("Descriptif!I"&amp;J$13)=Recap_equipements!$C29),INDIRECT("Descriptif!M"&amp;J$13)=$D33),INDIRECT("Descriptif!F"&amp;J$13),"")</f>
        <v/>
      </c>
      <c r="L33" s="395" t="str">
        <f ca="1">IF(AND(OR(INDIRECT("Descriptif!I"&amp;K$13)=Recap_equipements!$B29,INDIRECT("Descriptif!I"&amp;K$13)=Recap_equipements!$C29),INDIRECT("Descriptif!M"&amp;K$13)=$D33),INDIRECT("Descriptif!F"&amp;K$13),"")</f>
        <v/>
      </c>
      <c r="M33" s="395" t="str">
        <f ca="1">IF(AND(OR(INDIRECT("Descriptif!I"&amp;L$13)=Recap_equipements!$B29,INDIRECT("Descriptif!I"&amp;L$13)=Recap_equipements!$C29),INDIRECT("Descriptif!M"&amp;L$13)=$D33),INDIRECT("Descriptif!F"&amp;L$13),"")</f>
        <v/>
      </c>
      <c r="N33" s="395" t="str">
        <f ca="1">IF(AND(OR(INDIRECT("Descriptif!I"&amp;M$13)=Recap_equipements!$B29,INDIRECT("Descriptif!I"&amp;M$13)=Recap_equipements!$C29),INDIRECT("Descriptif!M"&amp;M$13)=$D33),INDIRECT("Descriptif!F"&amp;M$13),"")</f>
        <v/>
      </c>
      <c r="O33" s="395" t="str">
        <f ca="1">IF(AND(OR(INDIRECT("Descriptif!I"&amp;N$13)=Recap_equipements!$B29,INDIRECT("Descriptif!I"&amp;N$13)=Recap_equipements!$C29),INDIRECT("Descriptif!M"&amp;N$13)=$D33),INDIRECT("Descriptif!F"&amp;N$13),"")</f>
        <v/>
      </c>
      <c r="P33" s="395" t="str">
        <f ca="1">IF(AND(OR(INDIRECT("Descriptif!I"&amp;O$13)=Recap_equipements!$B29,INDIRECT("Descriptif!I"&amp;O$13)=Recap_equipements!$C29),INDIRECT("Descriptif!M"&amp;O$13)=$D33),INDIRECT("Descriptif!F"&amp;O$13),"")</f>
        <v/>
      </c>
      <c r="Q33" s="395" t="str">
        <f ca="1">IF(AND(OR(INDIRECT("Descriptif!I"&amp;P$13)=Recap_equipements!$B29,INDIRECT("Descriptif!I"&amp;P$13)=Recap_equipements!$C29),INDIRECT("Descriptif!M"&amp;P$13)=$D33),INDIRECT("Descriptif!F"&amp;P$13),"")</f>
        <v/>
      </c>
      <c r="R33" s="395" t="str">
        <f ca="1">IF(AND(OR(INDIRECT("Descriptif!I"&amp;Q$13)=Recap_equipements!$B29,INDIRECT("Descriptif!I"&amp;Q$13)=Recap_equipements!$C29),INDIRECT("Descriptif!M"&amp;Q$13)=$D33),INDIRECT("Descriptif!F"&amp;Q$13),"")</f>
        <v/>
      </c>
      <c r="S33" s="395" t="str">
        <f ca="1">IF(AND(OR(INDIRECT("Descriptif!I"&amp;R$13)=Recap_equipements!$B29,INDIRECT("Descriptif!I"&amp;R$13)=Recap_equipements!$C29),INDIRECT("Descriptif!M"&amp;R$13)=$D33),INDIRECT("Descriptif!F"&amp;R$13),"")</f>
        <v/>
      </c>
      <c r="T33" s="396" t="str">
        <f ca="1">IF(AND(OR(INDIRECT("Descriptif!I"&amp;S$13)=Recap_equipements!$B29,INDIRECT("Descriptif!I"&amp;S$13)=Recap_equipements!$C29),INDIRECT("Descriptif!M"&amp;S$13)=$D33),INDIRECT("Descriptif!F"&amp;S$13),"")</f>
        <v/>
      </c>
    </row>
    <row r="34" spans="2:20" x14ac:dyDescent="0.4">
      <c r="B34" s="1550" t="s">
        <v>177</v>
      </c>
      <c r="C34" s="1553" t="s">
        <v>185</v>
      </c>
      <c r="D34" s="390" t="str">
        <f>$D$7</f>
        <v>Débitmètre en charge</v>
      </c>
      <c r="E34" s="390"/>
      <c r="F34" s="391" t="str">
        <f ca="1">IF(AND(OR(INDIRECT("Descriptif!I"&amp;E$13)=Recap_equipements!$B34,INDIRECT("Descriptif!I"&amp;E$13)=Recap_equipements!$C34),INDIRECT("Descriptif!M"&amp;E$13)=$D34),INDIRECT("Descriptif!F"&amp;E$13),"")</f>
        <v/>
      </c>
      <c r="G34" s="391" t="str">
        <f ca="1">IF(AND(OR(INDIRECT("Descriptif!I"&amp;F$13)=Recap_equipements!$B34,INDIRECT("Descriptif!I"&amp;F$13)=Recap_equipements!$C34),INDIRECT("Descriptif!M"&amp;F$13)=$D34),INDIRECT("Descriptif!F"&amp;F$13),"")</f>
        <v/>
      </c>
      <c r="H34" s="391" t="str">
        <f ca="1">IF(AND(OR(INDIRECT("Descriptif!I"&amp;G$13)=Recap_equipements!$B34,INDIRECT("Descriptif!I"&amp;G$13)=Recap_equipements!$C34),INDIRECT("Descriptif!M"&amp;G$13)=$D34),INDIRECT("Descriptif!F"&amp;G$13),"")</f>
        <v/>
      </c>
      <c r="I34" s="391" t="str">
        <f ca="1">IF(AND(OR(INDIRECT("Descriptif!I"&amp;H$13)=Recap_equipements!$B34,INDIRECT("Descriptif!I"&amp;H$13)=Recap_equipements!$C34),INDIRECT("Descriptif!M"&amp;H$13)=$D34),INDIRECT("Descriptif!F"&amp;H$13),"")</f>
        <v/>
      </c>
      <c r="J34" s="391" t="str">
        <f ca="1">IF(AND(OR(INDIRECT("Descriptif!I"&amp;I$13)=Recap_equipements!$B34,INDIRECT("Descriptif!I"&amp;I$13)=Recap_equipements!$C34),INDIRECT("Descriptif!M"&amp;I$13)=$D34),INDIRECT("Descriptif!F"&amp;I$13),"")</f>
        <v/>
      </c>
      <c r="K34" s="391" t="str">
        <f ca="1">IF(AND(OR(INDIRECT("Descriptif!I"&amp;J$13)=Recap_equipements!$B34,INDIRECT("Descriptif!I"&amp;J$13)=Recap_equipements!$C34),INDIRECT("Descriptif!M"&amp;J$13)=$D34),INDIRECT("Descriptif!F"&amp;J$13),"")</f>
        <v/>
      </c>
      <c r="L34" s="391" t="str">
        <f ca="1">IF(AND(OR(INDIRECT("Descriptif!I"&amp;K$13)=Recap_equipements!$B34,INDIRECT("Descriptif!I"&amp;K$13)=Recap_equipements!$C34),INDIRECT("Descriptif!M"&amp;K$13)=$D34),INDIRECT("Descriptif!F"&amp;K$13),"")</f>
        <v/>
      </c>
      <c r="M34" s="391" t="str">
        <f ca="1">IF(AND(OR(INDIRECT("Descriptif!I"&amp;L$13)=Recap_equipements!$B34,INDIRECT("Descriptif!I"&amp;L$13)=Recap_equipements!$C34),INDIRECT("Descriptif!M"&amp;L$13)=$D34),INDIRECT("Descriptif!F"&amp;L$13),"")</f>
        <v/>
      </c>
      <c r="N34" s="391" t="str">
        <f ca="1">IF(AND(OR(INDIRECT("Descriptif!I"&amp;M$13)=Recap_equipements!$B34,INDIRECT("Descriptif!I"&amp;M$13)=Recap_equipements!$C34),INDIRECT("Descriptif!M"&amp;M$13)=$D34),INDIRECT("Descriptif!F"&amp;M$13),"")</f>
        <v/>
      </c>
      <c r="O34" s="391" t="str">
        <f ca="1">IF(AND(OR(INDIRECT("Descriptif!I"&amp;N$13)=Recap_equipements!$B34,INDIRECT("Descriptif!I"&amp;N$13)=Recap_equipements!$C34),INDIRECT("Descriptif!M"&amp;N$13)=$D34),INDIRECT("Descriptif!F"&amp;N$13),"")</f>
        <v/>
      </c>
      <c r="P34" s="391" t="str">
        <f ca="1">IF(AND(OR(INDIRECT("Descriptif!I"&amp;O$13)=Recap_equipements!$B34,INDIRECT("Descriptif!I"&amp;O$13)=Recap_equipements!$C34),INDIRECT("Descriptif!M"&amp;O$13)=$D34),INDIRECT("Descriptif!F"&amp;O$13),"")</f>
        <v/>
      </c>
      <c r="Q34" s="391" t="str">
        <f ca="1">IF(AND(OR(INDIRECT("Descriptif!I"&amp;P$13)=Recap_equipements!$B34,INDIRECT("Descriptif!I"&amp;P$13)=Recap_equipements!$C34),INDIRECT("Descriptif!M"&amp;P$13)=$D34),INDIRECT("Descriptif!F"&amp;P$13),"")</f>
        <v/>
      </c>
      <c r="R34" s="391" t="str">
        <f ca="1">IF(AND(OR(INDIRECT("Descriptif!I"&amp;Q$13)=Recap_equipements!$B34,INDIRECT("Descriptif!I"&amp;Q$13)=Recap_equipements!$C34),INDIRECT("Descriptif!M"&amp;Q$13)=$D34),INDIRECT("Descriptif!F"&amp;Q$13),"")</f>
        <v/>
      </c>
      <c r="S34" s="391" t="str">
        <f ca="1">IF(AND(OR(INDIRECT("Descriptif!I"&amp;R$13)=Recap_equipements!$B34,INDIRECT("Descriptif!I"&amp;R$13)=Recap_equipements!$C34),INDIRECT("Descriptif!M"&amp;R$13)=$D34),INDIRECT("Descriptif!F"&amp;R$13),"")</f>
        <v/>
      </c>
      <c r="T34" s="392" t="str">
        <f ca="1">IF(AND(OR(INDIRECT("Descriptif!I"&amp;S$13)=Recap_equipements!$B34,INDIRECT("Descriptif!I"&amp;S$13)=Recap_equipements!$C34),INDIRECT("Descriptif!M"&amp;S$13)=$D34),INDIRECT("Descriptif!F"&amp;S$13),"")</f>
        <v/>
      </c>
    </row>
    <row r="35" spans="2:20" x14ac:dyDescent="0.4">
      <c r="B35" s="1551"/>
      <c r="C35" s="1554"/>
      <c r="D35" s="389" t="str">
        <f>$D$8</f>
        <v>Débitmètre gravitaire</v>
      </c>
      <c r="E35" s="389"/>
      <c r="F35" s="161" t="str">
        <f ca="1">IF(AND(OR(INDIRECT("Descriptif!I"&amp;E$13)=Recap_equipements!$B34,INDIRECT("Descriptif!I"&amp;E$13)=Recap_equipements!$C34),INDIRECT("Descriptif!M"&amp;E$13)=$D35),INDIRECT("Descriptif!F"&amp;E$13),"")</f>
        <v/>
      </c>
      <c r="G35" s="161" t="str">
        <f ca="1">IF(AND(OR(INDIRECT("Descriptif!I"&amp;F$13)=Recap_equipements!$B34,INDIRECT("Descriptif!I"&amp;F$13)=Recap_equipements!$C34),INDIRECT("Descriptif!M"&amp;F$13)=$D35),INDIRECT("Descriptif!F"&amp;F$13),"")</f>
        <v/>
      </c>
      <c r="H35" s="161" t="str">
        <f ca="1">IF(AND(OR(INDIRECT("Descriptif!I"&amp;G$13)=Recap_equipements!$B34,INDIRECT("Descriptif!I"&amp;G$13)=Recap_equipements!$C34),INDIRECT("Descriptif!M"&amp;G$13)=$D35),INDIRECT("Descriptif!F"&amp;G$13),"")</f>
        <v/>
      </c>
      <c r="I35" s="161" t="str">
        <f ca="1">IF(AND(OR(INDIRECT("Descriptif!I"&amp;H$13)=Recap_equipements!$B34,INDIRECT("Descriptif!I"&amp;H$13)=Recap_equipements!$C34),INDIRECT("Descriptif!M"&amp;H$13)=$D35),INDIRECT("Descriptif!F"&amp;H$13),"")</f>
        <v/>
      </c>
      <c r="J35" s="161" t="str">
        <f ca="1">IF(AND(OR(INDIRECT("Descriptif!I"&amp;I$13)=Recap_equipements!$B34,INDIRECT("Descriptif!I"&amp;I$13)=Recap_equipements!$C34),INDIRECT("Descriptif!M"&amp;I$13)=$D35),INDIRECT("Descriptif!F"&amp;I$13),"")</f>
        <v/>
      </c>
      <c r="K35" s="161" t="str">
        <f ca="1">IF(AND(OR(INDIRECT("Descriptif!I"&amp;J$13)=Recap_equipements!$B34,INDIRECT("Descriptif!I"&amp;J$13)=Recap_equipements!$C34),INDIRECT("Descriptif!M"&amp;J$13)=$D35),INDIRECT("Descriptif!F"&amp;J$13),"")</f>
        <v/>
      </c>
      <c r="L35" s="161" t="str">
        <f ca="1">IF(AND(OR(INDIRECT("Descriptif!I"&amp;K$13)=Recap_equipements!$B34,INDIRECT("Descriptif!I"&amp;K$13)=Recap_equipements!$C34),INDIRECT("Descriptif!M"&amp;K$13)=$D35),INDIRECT("Descriptif!F"&amp;K$13),"")</f>
        <v/>
      </c>
      <c r="M35" s="161" t="str">
        <f ca="1">IF(AND(OR(INDIRECT("Descriptif!I"&amp;L$13)=Recap_equipements!$B34,INDIRECT("Descriptif!I"&amp;L$13)=Recap_equipements!$C34),INDIRECT("Descriptif!M"&amp;L$13)=$D35),INDIRECT("Descriptif!F"&amp;L$13),"")</f>
        <v/>
      </c>
      <c r="N35" s="161" t="str">
        <f ca="1">IF(AND(OR(INDIRECT("Descriptif!I"&amp;M$13)=Recap_equipements!$B34,INDIRECT("Descriptif!I"&amp;M$13)=Recap_equipements!$C34),INDIRECT("Descriptif!M"&amp;M$13)=$D35),INDIRECT("Descriptif!F"&amp;M$13),"")</f>
        <v/>
      </c>
      <c r="O35" s="161" t="str">
        <f ca="1">IF(AND(OR(INDIRECT("Descriptif!I"&amp;N$13)=Recap_equipements!$B34,INDIRECT("Descriptif!I"&amp;N$13)=Recap_equipements!$C34),INDIRECT("Descriptif!M"&amp;N$13)=$D35),INDIRECT("Descriptif!F"&amp;N$13),"")</f>
        <v/>
      </c>
      <c r="P35" s="161" t="str">
        <f ca="1">IF(AND(OR(INDIRECT("Descriptif!I"&amp;O$13)=Recap_equipements!$B34,INDIRECT("Descriptif!I"&amp;O$13)=Recap_equipements!$C34),INDIRECT("Descriptif!M"&amp;O$13)=$D35),INDIRECT("Descriptif!F"&amp;O$13),"")</f>
        <v/>
      </c>
      <c r="Q35" s="161" t="str">
        <f ca="1">IF(AND(OR(INDIRECT("Descriptif!I"&amp;P$13)=Recap_equipements!$B34,INDIRECT("Descriptif!I"&amp;P$13)=Recap_equipements!$C34),INDIRECT("Descriptif!M"&amp;P$13)=$D35),INDIRECT("Descriptif!F"&amp;P$13),"")</f>
        <v/>
      </c>
      <c r="R35" s="161" t="str">
        <f ca="1">IF(AND(OR(INDIRECT("Descriptif!I"&amp;Q$13)=Recap_equipements!$B34,INDIRECT("Descriptif!I"&amp;Q$13)=Recap_equipements!$C34),INDIRECT("Descriptif!M"&amp;Q$13)=$D35),INDIRECT("Descriptif!F"&amp;Q$13),"")</f>
        <v/>
      </c>
      <c r="S35" s="161" t="str">
        <f ca="1">IF(AND(OR(INDIRECT("Descriptif!I"&amp;R$13)=Recap_equipements!$B34,INDIRECT("Descriptif!I"&amp;R$13)=Recap_equipements!$C34),INDIRECT("Descriptif!M"&amp;R$13)=$D35),INDIRECT("Descriptif!F"&amp;R$13),"")</f>
        <v/>
      </c>
      <c r="T35" s="393" t="str">
        <f ca="1">IF(AND(OR(INDIRECT("Descriptif!I"&amp;S$13)=Recap_equipements!$B34,INDIRECT("Descriptif!I"&amp;S$13)=Recap_equipements!$C34),INDIRECT("Descriptif!M"&amp;S$13)=$D35),INDIRECT("Descriptif!F"&amp;S$13),"")</f>
        <v/>
      </c>
    </row>
    <row r="36" spans="2:20" x14ac:dyDescent="0.4">
      <c r="B36" s="1551"/>
      <c r="C36" s="1554"/>
      <c r="D36" s="389" t="str">
        <f>$D$9</f>
        <v>Préleveur</v>
      </c>
      <c r="E36" s="389"/>
      <c r="F36" s="161" t="str">
        <f ca="1">IF(AND(OR(INDIRECT("Descriptif!I"&amp;E$13)=Recap_equipements!$B34,INDIRECT("Descriptif!I"&amp;E$13)=Recap_equipements!$C34),INDIRECT("Descriptif!M"&amp;E$13)=$D36),INDIRECT("Descriptif!F"&amp;E$13),"")</f>
        <v/>
      </c>
      <c r="G36" s="161" t="str">
        <f ca="1">IF(AND(OR(INDIRECT("Descriptif!I"&amp;F$13)=Recap_equipements!$B34,INDIRECT("Descriptif!I"&amp;F$13)=Recap_equipements!$C34),INDIRECT("Descriptif!M"&amp;F$13)=$D36),INDIRECT("Descriptif!F"&amp;F$13),"")</f>
        <v/>
      </c>
      <c r="H36" s="161" t="str">
        <f ca="1">IF(AND(OR(INDIRECT("Descriptif!I"&amp;G$13)=Recap_equipements!$B34,INDIRECT("Descriptif!I"&amp;G$13)=Recap_equipements!$C34),INDIRECT("Descriptif!M"&amp;G$13)=$D36),INDIRECT("Descriptif!F"&amp;G$13),"")</f>
        <v/>
      </c>
      <c r="I36" s="161" t="str">
        <f ca="1">IF(AND(OR(INDIRECT("Descriptif!I"&amp;H$13)=Recap_equipements!$B34,INDIRECT("Descriptif!I"&amp;H$13)=Recap_equipements!$C34),INDIRECT("Descriptif!M"&amp;H$13)=$D36),INDIRECT("Descriptif!F"&amp;H$13),"")</f>
        <v/>
      </c>
      <c r="J36" s="161" t="str">
        <f ca="1">IF(AND(OR(INDIRECT("Descriptif!I"&amp;I$13)=Recap_equipements!$B34,INDIRECT("Descriptif!I"&amp;I$13)=Recap_equipements!$C34),INDIRECT("Descriptif!M"&amp;I$13)=$D36),INDIRECT("Descriptif!F"&amp;I$13),"")</f>
        <v/>
      </c>
      <c r="K36" s="161" t="str">
        <f ca="1">IF(AND(OR(INDIRECT("Descriptif!I"&amp;J$13)=Recap_equipements!$B34,INDIRECT("Descriptif!I"&amp;J$13)=Recap_equipements!$C34),INDIRECT("Descriptif!M"&amp;J$13)=$D36),INDIRECT("Descriptif!F"&amp;J$13),"")</f>
        <v/>
      </c>
      <c r="L36" s="161" t="str">
        <f ca="1">IF(AND(OR(INDIRECT("Descriptif!I"&amp;K$13)=Recap_equipements!$B34,INDIRECT("Descriptif!I"&amp;K$13)=Recap_equipements!$C34),INDIRECT("Descriptif!M"&amp;K$13)=$D36),INDIRECT("Descriptif!F"&amp;K$13),"")</f>
        <v/>
      </c>
      <c r="M36" s="161" t="str">
        <f ca="1">IF(AND(OR(INDIRECT("Descriptif!I"&amp;L$13)=Recap_equipements!$B34,INDIRECT("Descriptif!I"&amp;L$13)=Recap_equipements!$C34),INDIRECT("Descriptif!M"&amp;L$13)=$D36),INDIRECT("Descriptif!F"&amp;L$13),"")</f>
        <v/>
      </c>
      <c r="N36" s="161" t="str">
        <f ca="1">IF(AND(OR(INDIRECT("Descriptif!I"&amp;M$13)=Recap_equipements!$B34,INDIRECT("Descriptif!I"&amp;M$13)=Recap_equipements!$C34),INDIRECT("Descriptif!M"&amp;M$13)=$D36),INDIRECT("Descriptif!F"&amp;M$13),"")</f>
        <v/>
      </c>
      <c r="O36" s="161" t="str">
        <f ca="1">IF(AND(OR(INDIRECT("Descriptif!I"&amp;N$13)=Recap_equipements!$B34,INDIRECT("Descriptif!I"&amp;N$13)=Recap_equipements!$C34),INDIRECT("Descriptif!M"&amp;N$13)=$D36),INDIRECT("Descriptif!F"&amp;N$13),"")</f>
        <v/>
      </c>
      <c r="P36" s="161" t="str">
        <f ca="1">IF(AND(OR(INDIRECT("Descriptif!I"&amp;O$13)=Recap_equipements!$B34,INDIRECT("Descriptif!I"&amp;O$13)=Recap_equipements!$C34),INDIRECT("Descriptif!M"&amp;O$13)=$D36),INDIRECT("Descriptif!F"&amp;O$13),"")</f>
        <v/>
      </c>
      <c r="Q36" s="161" t="str">
        <f ca="1">IF(AND(OR(INDIRECT("Descriptif!I"&amp;P$13)=Recap_equipements!$B34,INDIRECT("Descriptif!I"&amp;P$13)=Recap_equipements!$C34),INDIRECT("Descriptif!M"&amp;P$13)=$D36),INDIRECT("Descriptif!F"&amp;P$13),"")</f>
        <v/>
      </c>
      <c r="R36" s="161" t="str">
        <f ca="1">IF(AND(OR(INDIRECT("Descriptif!I"&amp;Q$13)=Recap_equipements!$B34,INDIRECT("Descriptif!I"&amp;Q$13)=Recap_equipements!$C34),INDIRECT("Descriptif!M"&amp;Q$13)=$D36),INDIRECT("Descriptif!F"&amp;Q$13),"")</f>
        <v/>
      </c>
      <c r="S36" s="161" t="str">
        <f ca="1">IF(AND(OR(INDIRECT("Descriptif!I"&amp;R$13)=Recap_equipements!$B34,INDIRECT("Descriptif!I"&amp;R$13)=Recap_equipements!$C34),INDIRECT("Descriptif!M"&amp;R$13)=$D36),INDIRECT("Descriptif!F"&amp;R$13),"")</f>
        <v/>
      </c>
      <c r="T36" s="393" t="str">
        <f ca="1">IF(AND(OR(INDIRECT("Descriptif!I"&amp;S$13)=Recap_equipements!$B34,INDIRECT("Descriptif!I"&amp;S$13)=Recap_equipements!$C34),INDIRECT("Descriptif!M"&amp;S$13)=$D36),INDIRECT("Descriptif!F"&amp;S$13),"")</f>
        <v/>
      </c>
    </row>
    <row r="37" spans="2:20" ht="13" thickBot="1" x14ac:dyDescent="0.45">
      <c r="B37" s="1552"/>
      <c r="C37" s="1555"/>
      <c r="D37" s="394" t="str">
        <f>$D$10</f>
        <v>Sonde de température</v>
      </c>
      <c r="E37" s="394"/>
      <c r="F37" s="395" t="str">
        <f ca="1">IF(AND(OR(INDIRECT("Descriptif!I"&amp;E$13)=Recap_equipements!$B34,INDIRECT("Descriptif!I"&amp;E$13)=Recap_equipements!$C34),INDIRECT("Descriptif!M"&amp;E$13)=$D37),INDIRECT("Descriptif!F"&amp;E$13),"")</f>
        <v/>
      </c>
      <c r="G37" s="395" t="str">
        <f ca="1">IF(AND(OR(INDIRECT("Descriptif!I"&amp;F$13)=Recap_equipements!$B34,INDIRECT("Descriptif!I"&amp;F$13)=Recap_equipements!$C34),INDIRECT("Descriptif!M"&amp;F$13)=$D37),INDIRECT("Descriptif!F"&amp;F$13),"")</f>
        <v/>
      </c>
      <c r="H37" s="395" t="str">
        <f ca="1">IF(AND(OR(INDIRECT("Descriptif!I"&amp;G$13)=Recap_equipements!$B34,INDIRECT("Descriptif!I"&amp;G$13)=Recap_equipements!$C34),INDIRECT("Descriptif!M"&amp;G$13)=$D37),INDIRECT("Descriptif!F"&amp;G$13),"")</f>
        <v/>
      </c>
      <c r="I37" s="395" t="str">
        <f ca="1">IF(AND(OR(INDIRECT("Descriptif!I"&amp;H$13)=Recap_equipements!$B34,INDIRECT("Descriptif!I"&amp;H$13)=Recap_equipements!$C34),INDIRECT("Descriptif!M"&amp;H$13)=$D37),INDIRECT("Descriptif!F"&amp;H$13),"")</f>
        <v/>
      </c>
      <c r="J37" s="395" t="str">
        <f ca="1">IF(AND(OR(INDIRECT("Descriptif!I"&amp;I$13)=Recap_equipements!$B34,INDIRECT("Descriptif!I"&amp;I$13)=Recap_equipements!$C34),INDIRECT("Descriptif!M"&amp;I$13)=$D37),INDIRECT("Descriptif!F"&amp;I$13),"")</f>
        <v/>
      </c>
      <c r="K37" s="395" t="str">
        <f ca="1">IF(AND(OR(INDIRECT("Descriptif!I"&amp;J$13)=Recap_equipements!$B34,INDIRECT("Descriptif!I"&amp;J$13)=Recap_equipements!$C34),INDIRECT("Descriptif!M"&amp;J$13)=$D37),INDIRECT("Descriptif!F"&amp;J$13),"")</f>
        <v/>
      </c>
      <c r="L37" s="395" t="str">
        <f ca="1">IF(AND(OR(INDIRECT("Descriptif!I"&amp;K$13)=Recap_equipements!$B34,INDIRECT("Descriptif!I"&amp;K$13)=Recap_equipements!$C34),INDIRECT("Descriptif!M"&amp;K$13)=$D37),INDIRECT("Descriptif!F"&amp;K$13),"")</f>
        <v/>
      </c>
      <c r="M37" s="395" t="str">
        <f ca="1">IF(AND(OR(INDIRECT("Descriptif!I"&amp;L$13)=Recap_equipements!$B34,INDIRECT("Descriptif!I"&amp;L$13)=Recap_equipements!$C34),INDIRECT("Descriptif!M"&amp;L$13)=$D37),INDIRECT("Descriptif!F"&amp;L$13),"")</f>
        <v/>
      </c>
      <c r="N37" s="395" t="str">
        <f ca="1">IF(AND(OR(INDIRECT("Descriptif!I"&amp;M$13)=Recap_equipements!$B34,INDIRECT("Descriptif!I"&amp;M$13)=Recap_equipements!$C34),INDIRECT("Descriptif!M"&amp;M$13)=$D37),INDIRECT("Descriptif!F"&amp;M$13),"")</f>
        <v/>
      </c>
      <c r="O37" s="395" t="str">
        <f ca="1">IF(AND(OR(INDIRECT("Descriptif!I"&amp;N$13)=Recap_equipements!$B34,INDIRECT("Descriptif!I"&amp;N$13)=Recap_equipements!$C34),INDIRECT("Descriptif!M"&amp;N$13)=$D37),INDIRECT("Descriptif!F"&amp;N$13),"")</f>
        <v/>
      </c>
      <c r="P37" s="395" t="str">
        <f ca="1">IF(AND(OR(INDIRECT("Descriptif!I"&amp;O$13)=Recap_equipements!$B34,INDIRECT("Descriptif!I"&amp;O$13)=Recap_equipements!$C34),INDIRECT("Descriptif!M"&amp;O$13)=$D37),INDIRECT("Descriptif!F"&amp;O$13),"")</f>
        <v/>
      </c>
      <c r="Q37" s="395" t="str">
        <f ca="1">IF(AND(OR(INDIRECT("Descriptif!I"&amp;P$13)=Recap_equipements!$B34,INDIRECT("Descriptif!I"&amp;P$13)=Recap_equipements!$C34),INDIRECT("Descriptif!M"&amp;P$13)=$D37),INDIRECT("Descriptif!F"&amp;P$13),"")</f>
        <v/>
      </c>
      <c r="R37" s="395" t="str">
        <f ca="1">IF(AND(OR(INDIRECT("Descriptif!I"&amp;Q$13)=Recap_equipements!$B34,INDIRECT("Descriptif!I"&amp;Q$13)=Recap_equipements!$C34),INDIRECT("Descriptif!M"&amp;Q$13)=$D37),INDIRECT("Descriptif!F"&amp;Q$13),"")</f>
        <v/>
      </c>
      <c r="S37" s="395" t="str">
        <f ca="1">IF(AND(OR(INDIRECT("Descriptif!I"&amp;R$13)=Recap_equipements!$B34,INDIRECT("Descriptif!I"&amp;R$13)=Recap_equipements!$C34),INDIRECT("Descriptif!M"&amp;R$13)=$D37),INDIRECT("Descriptif!F"&amp;R$13),"")</f>
        <v/>
      </c>
      <c r="T37" s="396" t="str">
        <f ca="1">IF(AND(OR(INDIRECT("Descriptif!I"&amp;S$13)=Recap_equipements!$B34,INDIRECT("Descriptif!I"&amp;S$13)=Recap_equipements!$C34),INDIRECT("Descriptif!M"&amp;S$13)=$D37),INDIRECT("Descriptif!F"&amp;S$13),"")</f>
        <v/>
      </c>
    </row>
    <row r="38" spans="2:20" x14ac:dyDescent="0.4">
      <c r="B38" s="1550" t="s">
        <v>180</v>
      </c>
      <c r="C38" s="1553" t="s">
        <v>188</v>
      </c>
      <c r="D38" s="390" t="str">
        <f>$D$7</f>
        <v>Débitmètre en charge</v>
      </c>
      <c r="E38" s="390"/>
      <c r="F38" s="391" t="str">
        <f ca="1">IF(AND(OR(INDIRECT("Descriptif!I"&amp;E$13)=Recap_equipements!$B38,INDIRECT("Descriptif!I"&amp;E$13)=Recap_equipements!$C38),INDIRECT("Descriptif!M"&amp;E$13)=$D38),INDIRECT("Descriptif!F"&amp;E$13),"")</f>
        <v/>
      </c>
      <c r="G38" s="391" t="str">
        <f ca="1">IF(AND(OR(INDIRECT("Descriptif!I"&amp;F$13)=Recap_equipements!$B38,INDIRECT("Descriptif!I"&amp;F$13)=Recap_equipements!$C38),INDIRECT("Descriptif!M"&amp;F$13)=$D38),INDIRECT("Descriptif!F"&amp;F$13),"")</f>
        <v/>
      </c>
      <c r="H38" s="391" t="str">
        <f ca="1">IF(AND(OR(INDIRECT("Descriptif!I"&amp;G$13)=Recap_equipements!$B38,INDIRECT("Descriptif!I"&amp;G$13)=Recap_equipements!$C38),INDIRECT("Descriptif!M"&amp;G$13)=$D38),INDIRECT("Descriptif!F"&amp;G$13),"")</f>
        <v/>
      </c>
      <c r="I38" s="391" t="str">
        <f ca="1">IF(AND(OR(INDIRECT("Descriptif!I"&amp;H$13)=Recap_equipements!$B38,INDIRECT("Descriptif!I"&amp;H$13)=Recap_equipements!$C38),INDIRECT("Descriptif!M"&amp;H$13)=$D38),INDIRECT("Descriptif!F"&amp;H$13),"")</f>
        <v/>
      </c>
      <c r="J38" s="391" t="str">
        <f ca="1">IF(AND(OR(INDIRECT("Descriptif!I"&amp;I$13)=Recap_equipements!$B38,INDIRECT("Descriptif!I"&amp;I$13)=Recap_equipements!$C38),INDIRECT("Descriptif!M"&amp;I$13)=$D38),INDIRECT("Descriptif!F"&amp;I$13),"")</f>
        <v/>
      </c>
      <c r="K38" s="391" t="str">
        <f ca="1">IF(AND(OR(INDIRECT("Descriptif!I"&amp;J$13)=Recap_equipements!$B38,INDIRECT("Descriptif!I"&amp;J$13)=Recap_equipements!$C38),INDIRECT("Descriptif!M"&amp;J$13)=$D38),INDIRECT("Descriptif!F"&amp;J$13),"")</f>
        <v>A6_P104_Q_DEM</v>
      </c>
      <c r="L38" s="391" t="str">
        <f ca="1">IF(AND(OR(INDIRECT("Descriptif!I"&amp;K$13)=Recap_equipements!$B38,INDIRECT("Descriptif!I"&amp;K$13)=Recap_equipements!$C38),INDIRECT("Descriptif!M"&amp;K$13)=$D38),INDIRECT("Descriptif!F"&amp;K$13),"")</f>
        <v/>
      </c>
      <c r="M38" s="391" t="str">
        <f ca="1">IF(AND(OR(INDIRECT("Descriptif!I"&amp;L$13)=Recap_equipements!$B38,INDIRECT("Descriptif!I"&amp;L$13)=Recap_equipements!$C38),INDIRECT("Descriptif!M"&amp;L$13)=$D38),INDIRECT("Descriptif!F"&amp;L$13),"")</f>
        <v/>
      </c>
      <c r="N38" s="391" t="str">
        <f ca="1">IF(AND(OR(INDIRECT("Descriptif!I"&amp;M$13)=Recap_equipements!$B38,INDIRECT("Descriptif!I"&amp;M$13)=Recap_equipements!$C38),INDIRECT("Descriptif!M"&amp;M$13)=$D38),INDIRECT("Descriptif!F"&amp;M$13),"")</f>
        <v/>
      </c>
      <c r="O38" s="391" t="str">
        <f ca="1">IF(AND(OR(INDIRECT("Descriptif!I"&amp;N$13)=Recap_equipements!$B38,INDIRECT("Descriptif!I"&amp;N$13)=Recap_equipements!$C38),INDIRECT("Descriptif!M"&amp;N$13)=$D38),INDIRECT("Descriptif!F"&amp;N$13),"")</f>
        <v/>
      </c>
      <c r="P38" s="391" t="str">
        <f ca="1">IF(AND(OR(INDIRECT("Descriptif!I"&amp;O$13)=Recap_equipements!$B38,INDIRECT("Descriptif!I"&amp;O$13)=Recap_equipements!$C38),INDIRECT("Descriptif!M"&amp;O$13)=$D38),INDIRECT("Descriptif!F"&amp;O$13),"")</f>
        <v/>
      </c>
      <c r="Q38" s="391" t="str">
        <f ca="1">IF(AND(OR(INDIRECT("Descriptif!I"&amp;P$13)=Recap_equipements!$B38,INDIRECT("Descriptif!I"&amp;P$13)=Recap_equipements!$C38),INDIRECT("Descriptif!M"&amp;P$13)=$D38),INDIRECT("Descriptif!F"&amp;P$13),"")</f>
        <v/>
      </c>
      <c r="R38" s="391" t="str">
        <f ca="1">IF(AND(OR(INDIRECT("Descriptif!I"&amp;Q$13)=Recap_equipements!$B38,INDIRECT("Descriptif!I"&amp;Q$13)=Recap_equipements!$C38),INDIRECT("Descriptif!M"&amp;Q$13)=$D38),INDIRECT("Descriptif!F"&amp;Q$13),"")</f>
        <v/>
      </c>
      <c r="S38" s="391" t="str">
        <f ca="1">IF(AND(OR(INDIRECT("Descriptif!I"&amp;R$13)=Recap_equipements!$B38,INDIRECT("Descriptif!I"&amp;R$13)=Recap_equipements!$C38),INDIRECT("Descriptif!M"&amp;R$13)=$D38),INDIRECT("Descriptif!F"&amp;R$13),"")</f>
        <v/>
      </c>
      <c r="T38" s="392" t="str">
        <f ca="1">IF(AND(OR(INDIRECT("Descriptif!I"&amp;S$13)=Recap_equipements!$B38,INDIRECT("Descriptif!I"&amp;S$13)=Recap_equipements!$C38),INDIRECT("Descriptif!M"&amp;S$13)=$D38),INDIRECT("Descriptif!F"&amp;S$13),"")</f>
        <v/>
      </c>
    </row>
    <row r="39" spans="2:20" x14ac:dyDescent="0.4">
      <c r="B39" s="1551"/>
      <c r="C39" s="1554"/>
      <c r="D39" s="389" t="str">
        <f>$D$8</f>
        <v>Débitmètre gravitaire</v>
      </c>
      <c r="E39" s="389"/>
      <c r="F39" s="161" t="str">
        <f ca="1">IF(AND(OR(INDIRECT("Descriptif!I"&amp;E$13)=Recap_equipements!$B38,INDIRECT("Descriptif!I"&amp;E$13)=Recap_equipements!$C38),INDIRECT("Descriptif!M"&amp;E$13)=$D39),INDIRECT("Descriptif!F"&amp;E$13),"")</f>
        <v/>
      </c>
      <c r="G39" s="161" t="str">
        <f ca="1">IF(AND(OR(INDIRECT("Descriptif!I"&amp;F$13)=Recap_equipements!$B38,INDIRECT("Descriptif!I"&amp;F$13)=Recap_equipements!$C38),INDIRECT("Descriptif!M"&amp;F$13)=$D39),INDIRECT("Descriptif!F"&amp;F$13),"")</f>
        <v/>
      </c>
      <c r="H39" s="161" t="str">
        <f ca="1">IF(AND(OR(INDIRECT("Descriptif!I"&amp;G$13)=Recap_equipements!$B38,INDIRECT("Descriptif!I"&amp;G$13)=Recap_equipements!$C38),INDIRECT("Descriptif!M"&amp;G$13)=$D39),INDIRECT("Descriptif!F"&amp;G$13),"")</f>
        <v/>
      </c>
      <c r="I39" s="161" t="str">
        <f ca="1">IF(AND(OR(INDIRECT("Descriptif!I"&amp;H$13)=Recap_equipements!$B38,INDIRECT("Descriptif!I"&amp;H$13)=Recap_equipements!$C38),INDIRECT("Descriptif!M"&amp;H$13)=$D39),INDIRECT("Descriptif!F"&amp;H$13),"")</f>
        <v/>
      </c>
      <c r="J39" s="161" t="str">
        <f ca="1">IF(AND(OR(INDIRECT("Descriptif!I"&amp;I$13)=Recap_equipements!$B38,INDIRECT("Descriptif!I"&amp;I$13)=Recap_equipements!$C38),INDIRECT("Descriptif!M"&amp;I$13)=$D39),INDIRECT("Descriptif!F"&amp;I$13),"")</f>
        <v/>
      </c>
      <c r="K39" s="161" t="str">
        <f ca="1">IF(AND(OR(INDIRECT("Descriptif!I"&amp;J$13)=Recap_equipements!$B38,INDIRECT("Descriptif!I"&amp;J$13)=Recap_equipements!$C38),INDIRECT("Descriptif!M"&amp;J$13)=$D39),INDIRECT("Descriptif!F"&amp;J$13),"")</f>
        <v/>
      </c>
      <c r="L39" s="161" t="str">
        <f ca="1">IF(AND(OR(INDIRECT("Descriptif!I"&amp;K$13)=Recap_equipements!$B38,INDIRECT("Descriptif!I"&amp;K$13)=Recap_equipements!$C38),INDIRECT("Descriptif!M"&amp;K$13)=$D39),INDIRECT("Descriptif!F"&amp;K$13),"")</f>
        <v/>
      </c>
      <c r="M39" s="161" t="str">
        <f ca="1">IF(AND(OR(INDIRECT("Descriptif!I"&amp;L$13)=Recap_equipements!$B38,INDIRECT("Descriptif!I"&amp;L$13)=Recap_equipements!$C38),INDIRECT("Descriptif!M"&amp;L$13)=$D39),INDIRECT("Descriptif!F"&amp;L$13),"")</f>
        <v/>
      </c>
      <c r="N39" s="161" t="str">
        <f ca="1">IF(AND(OR(INDIRECT("Descriptif!I"&amp;M$13)=Recap_equipements!$B38,INDIRECT("Descriptif!I"&amp;M$13)=Recap_equipements!$C38),INDIRECT("Descriptif!M"&amp;M$13)=$D39),INDIRECT("Descriptif!F"&amp;M$13),"")</f>
        <v/>
      </c>
      <c r="O39" s="161" t="str">
        <f ca="1">IF(AND(OR(INDIRECT("Descriptif!I"&amp;N$13)=Recap_equipements!$B38,INDIRECT("Descriptif!I"&amp;N$13)=Recap_equipements!$C38),INDIRECT("Descriptif!M"&amp;N$13)=$D39),INDIRECT("Descriptif!F"&amp;N$13),"")</f>
        <v/>
      </c>
      <c r="P39" s="161" t="str">
        <f ca="1">IF(AND(OR(INDIRECT("Descriptif!I"&amp;O$13)=Recap_equipements!$B38,INDIRECT("Descriptif!I"&amp;O$13)=Recap_equipements!$C38),INDIRECT("Descriptif!M"&amp;O$13)=$D39),INDIRECT("Descriptif!F"&amp;O$13),"")</f>
        <v/>
      </c>
      <c r="Q39" s="161" t="str">
        <f ca="1">IF(AND(OR(INDIRECT("Descriptif!I"&amp;P$13)=Recap_equipements!$B38,INDIRECT("Descriptif!I"&amp;P$13)=Recap_equipements!$C38),INDIRECT("Descriptif!M"&amp;P$13)=$D39),INDIRECT("Descriptif!F"&amp;P$13),"")</f>
        <v/>
      </c>
      <c r="R39" s="161" t="str">
        <f ca="1">IF(AND(OR(INDIRECT("Descriptif!I"&amp;Q$13)=Recap_equipements!$B38,INDIRECT("Descriptif!I"&amp;Q$13)=Recap_equipements!$C38),INDIRECT("Descriptif!M"&amp;Q$13)=$D39),INDIRECT("Descriptif!F"&amp;Q$13),"")</f>
        <v/>
      </c>
      <c r="S39" s="161" t="str">
        <f ca="1">IF(AND(OR(INDIRECT("Descriptif!I"&amp;R$13)=Recap_equipements!$B38,INDIRECT("Descriptif!I"&amp;R$13)=Recap_equipements!$C38),INDIRECT("Descriptif!M"&amp;R$13)=$D39),INDIRECT("Descriptif!F"&amp;R$13),"")</f>
        <v/>
      </c>
      <c r="T39" s="393" t="str">
        <f ca="1">IF(AND(OR(INDIRECT("Descriptif!I"&amp;S$13)=Recap_equipements!$B38,INDIRECT("Descriptif!I"&amp;S$13)=Recap_equipements!$C38),INDIRECT("Descriptif!M"&amp;S$13)=$D39),INDIRECT("Descriptif!F"&amp;S$13),"")</f>
        <v/>
      </c>
    </row>
    <row r="40" spans="2:20" x14ac:dyDescent="0.4">
      <c r="B40" s="1551"/>
      <c r="C40" s="1554"/>
      <c r="D40" s="389" t="str">
        <f>$D$9</f>
        <v>Préleveur</v>
      </c>
      <c r="E40" s="389"/>
      <c r="F40" s="161" t="str">
        <f ca="1">IF(AND(OR(INDIRECT("Descriptif!I"&amp;E$13)=Recap_equipements!$B38,INDIRECT("Descriptif!I"&amp;E$13)=Recap_equipements!$C38),INDIRECT("Descriptif!M"&amp;E$13)=$D40),INDIRECT("Descriptif!F"&amp;E$13),"")</f>
        <v/>
      </c>
      <c r="G40" s="161" t="str">
        <f ca="1">IF(AND(OR(INDIRECT("Descriptif!I"&amp;F$13)=Recap_equipements!$B38,INDIRECT("Descriptif!I"&amp;F$13)=Recap_equipements!$C38),INDIRECT("Descriptif!M"&amp;F$13)=$D40),INDIRECT("Descriptif!F"&amp;F$13),"")</f>
        <v/>
      </c>
      <c r="H40" s="161" t="str">
        <f ca="1">IF(AND(OR(INDIRECT("Descriptif!I"&amp;G$13)=Recap_equipements!$B38,INDIRECT("Descriptif!I"&amp;G$13)=Recap_equipements!$C38),INDIRECT("Descriptif!M"&amp;G$13)=$D40),INDIRECT("Descriptif!F"&amp;G$13),"")</f>
        <v/>
      </c>
      <c r="I40" s="161" t="str">
        <f ca="1">IF(AND(OR(INDIRECT("Descriptif!I"&amp;H$13)=Recap_equipements!$B38,INDIRECT("Descriptif!I"&amp;H$13)=Recap_equipements!$C38),INDIRECT("Descriptif!M"&amp;H$13)=$D40),INDIRECT("Descriptif!F"&amp;H$13),"")</f>
        <v/>
      </c>
      <c r="J40" s="161" t="str">
        <f ca="1">IF(AND(OR(INDIRECT("Descriptif!I"&amp;I$13)=Recap_equipements!$B38,INDIRECT("Descriptif!I"&amp;I$13)=Recap_equipements!$C38),INDIRECT("Descriptif!M"&amp;I$13)=$D40),INDIRECT("Descriptif!F"&amp;I$13),"")</f>
        <v/>
      </c>
      <c r="K40" s="161" t="str">
        <f ca="1">IF(AND(OR(INDIRECT("Descriptif!I"&amp;J$13)=Recap_equipements!$B38,INDIRECT("Descriptif!I"&amp;J$13)=Recap_equipements!$C38),INDIRECT("Descriptif!M"&amp;J$13)=$D40),INDIRECT("Descriptif!F"&amp;J$13),"")</f>
        <v/>
      </c>
      <c r="L40" s="161" t="str">
        <f ca="1">IF(AND(OR(INDIRECT("Descriptif!I"&amp;K$13)=Recap_equipements!$B38,INDIRECT("Descriptif!I"&amp;K$13)=Recap_equipements!$C38),INDIRECT("Descriptif!M"&amp;K$13)=$D40),INDIRECT("Descriptif!F"&amp;K$13),"")</f>
        <v/>
      </c>
      <c r="M40" s="161" t="str">
        <f ca="1">IF(AND(OR(INDIRECT("Descriptif!I"&amp;L$13)=Recap_equipements!$B38,INDIRECT("Descriptif!I"&amp;L$13)=Recap_equipements!$C38),INDIRECT("Descriptif!M"&amp;L$13)=$D40),INDIRECT("Descriptif!F"&amp;L$13),"")</f>
        <v/>
      </c>
      <c r="N40" s="161" t="str">
        <f ca="1">IF(AND(OR(INDIRECT("Descriptif!I"&amp;M$13)=Recap_equipements!$B38,INDIRECT("Descriptif!I"&amp;M$13)=Recap_equipements!$C38),INDIRECT("Descriptif!M"&amp;M$13)=$D40),INDIRECT("Descriptif!F"&amp;M$13),"")</f>
        <v/>
      </c>
      <c r="O40" s="161" t="str">
        <f ca="1">IF(AND(OR(INDIRECT("Descriptif!I"&amp;N$13)=Recap_equipements!$B38,INDIRECT("Descriptif!I"&amp;N$13)=Recap_equipements!$C38),INDIRECT("Descriptif!M"&amp;N$13)=$D40),INDIRECT("Descriptif!F"&amp;N$13),"")</f>
        <v/>
      </c>
      <c r="P40" s="161" t="str">
        <f ca="1">IF(AND(OR(INDIRECT("Descriptif!I"&amp;O$13)=Recap_equipements!$B38,INDIRECT("Descriptif!I"&amp;O$13)=Recap_equipements!$C38),INDIRECT("Descriptif!M"&amp;O$13)=$D40),INDIRECT("Descriptif!F"&amp;O$13),"")</f>
        <v/>
      </c>
      <c r="Q40" s="161" t="str">
        <f ca="1">IF(AND(OR(INDIRECT("Descriptif!I"&amp;P$13)=Recap_equipements!$B38,INDIRECT("Descriptif!I"&amp;P$13)=Recap_equipements!$C38),INDIRECT("Descriptif!M"&amp;P$13)=$D40),INDIRECT("Descriptif!F"&amp;P$13),"")</f>
        <v/>
      </c>
      <c r="R40" s="161" t="str">
        <f ca="1">IF(AND(OR(INDIRECT("Descriptif!I"&amp;Q$13)=Recap_equipements!$B38,INDIRECT("Descriptif!I"&amp;Q$13)=Recap_equipements!$C38),INDIRECT("Descriptif!M"&amp;Q$13)=$D40),INDIRECT("Descriptif!F"&amp;Q$13),"")</f>
        <v/>
      </c>
      <c r="S40" s="161" t="str">
        <f ca="1">IF(AND(OR(INDIRECT("Descriptif!I"&amp;R$13)=Recap_equipements!$B38,INDIRECT("Descriptif!I"&amp;R$13)=Recap_equipements!$C38),INDIRECT("Descriptif!M"&amp;R$13)=$D40),INDIRECT("Descriptif!F"&amp;R$13),"")</f>
        <v/>
      </c>
      <c r="T40" s="393" t="str">
        <f ca="1">IF(AND(OR(INDIRECT("Descriptif!I"&amp;S$13)=Recap_equipements!$B38,INDIRECT("Descriptif!I"&amp;S$13)=Recap_equipements!$C38),INDIRECT("Descriptif!M"&amp;S$13)=$D40),INDIRECT("Descriptif!F"&amp;S$13),"")</f>
        <v/>
      </c>
    </row>
    <row r="41" spans="2:20" x14ac:dyDescent="0.4">
      <c r="B41" s="1551"/>
      <c r="C41" s="1554"/>
      <c r="D41" s="1706" t="s">
        <v>783</v>
      </c>
      <c r="E41" s="1706"/>
      <c r="F41" s="1708" t="str">
        <f ca="1">IF(F40&lt;&gt;"",VLOOKUP(F40,Analytique!$X$3:$AD$33,1,FALSE),"")</f>
        <v/>
      </c>
      <c r="G41" s="1708" t="str">
        <f ca="1">IF(G40&lt;&gt;"",VLOOKUP(G40,Analytique!$X$3:$AD$33,1,FALSE),"")</f>
        <v/>
      </c>
      <c r="H41" s="1708" t="str">
        <f ca="1">IF(H40&lt;&gt;"",VLOOKUP(H40,Analytique!$X$3:$AD$33,1,FALSE),"")</f>
        <v/>
      </c>
      <c r="I41" s="1708" t="str">
        <f ca="1">IF(I40&lt;&gt;"",VLOOKUP(I40,Analytique!$X$3:$AD$33,1,FALSE),"")</f>
        <v/>
      </c>
      <c r="J41" s="1708" t="str">
        <f ca="1">IF(J40&lt;&gt;"",VLOOKUP(J40,Analytique!$X$3:$AD$33,1,FALSE),"")</f>
        <v/>
      </c>
      <c r="K41" s="1708" t="str">
        <f ca="1">IF(K40&lt;&gt;"",VLOOKUP(K40,Analytique!$X$3:$AD$33,1,FALSE),"")</f>
        <v/>
      </c>
      <c r="L41" s="1708" t="str">
        <f ca="1">IF(L40&lt;&gt;"",VLOOKUP(L40,Analytique!$X$3:$AD$33,1,FALSE),"")</f>
        <v/>
      </c>
      <c r="M41" s="1708" t="str">
        <f ca="1">IF(M40&lt;&gt;"",VLOOKUP(M40,Analytique!$X$3:$AD$33,1,FALSE),"")</f>
        <v/>
      </c>
      <c r="N41" s="1708" t="str">
        <f ca="1">IF(N40&lt;&gt;"",VLOOKUP(N40,Analytique!$X$3:$AD$33,1,FALSE),"")</f>
        <v/>
      </c>
      <c r="O41" s="1708" t="str">
        <f ca="1">IF(O40&lt;&gt;"",VLOOKUP(O40,Analytique!$X$3:$AD$33,1,FALSE),"")</f>
        <v/>
      </c>
      <c r="P41" s="1708" t="str">
        <f ca="1">IF(P40&lt;&gt;"",VLOOKUP(P40,Analytique!$X$3:$AD$33,1,FALSE),"")</f>
        <v/>
      </c>
      <c r="Q41" s="1708" t="str">
        <f ca="1">IF(Q40&lt;&gt;"",VLOOKUP(Q40,Analytique!$X$3:$AD$33,1,FALSE),"")</f>
        <v/>
      </c>
      <c r="R41" s="1708" t="str">
        <f ca="1">IF(R40&lt;&gt;"",VLOOKUP(R40,Analytique!$X$3:$AD$33,1,FALSE),"")</f>
        <v/>
      </c>
      <c r="S41" s="1708" t="str">
        <f ca="1">IF(S40&lt;&gt;"",VLOOKUP(S40,Analytique!$X$3:$AD$33,1,FALSE),"")</f>
        <v/>
      </c>
      <c r="T41" s="1709" t="str">
        <f ca="1">IF(T40&lt;&gt;"",VLOOKUP(T40,Analytique!$X$3:$AD$33,1,FALSE),"")</f>
        <v/>
      </c>
    </row>
    <row r="42" spans="2:20" ht="13" thickBot="1" x14ac:dyDescent="0.45">
      <c r="B42" s="1552"/>
      <c r="C42" s="1555"/>
      <c r="D42" s="394" t="str">
        <f>$D$10</f>
        <v>Sonde de température</v>
      </c>
      <c r="E42" s="394"/>
      <c r="F42" s="395" t="str">
        <f ca="1">IF(AND(OR(INDIRECT("Descriptif!I"&amp;E$13)=Recap_equipements!$B38,INDIRECT("Descriptif!I"&amp;E$13)=Recap_equipements!$C38),INDIRECT("Descriptif!M"&amp;E$13)=$D42),INDIRECT("Descriptif!F"&amp;E$13),"")</f>
        <v/>
      </c>
      <c r="G42" s="395" t="str">
        <f ca="1">IF(AND(OR(INDIRECT("Descriptif!I"&amp;F$13)=Recap_equipements!$B38,INDIRECT("Descriptif!I"&amp;F$13)=Recap_equipements!$C38),INDIRECT("Descriptif!M"&amp;F$13)=$D42),INDIRECT("Descriptif!F"&amp;F$13),"")</f>
        <v/>
      </c>
      <c r="H42" s="395" t="str">
        <f ca="1">IF(AND(OR(INDIRECT("Descriptif!I"&amp;G$13)=Recap_equipements!$B38,INDIRECT("Descriptif!I"&amp;G$13)=Recap_equipements!$C38),INDIRECT("Descriptif!M"&amp;G$13)=$D42),INDIRECT("Descriptif!F"&amp;G$13),"")</f>
        <v/>
      </c>
      <c r="I42" s="395" t="str">
        <f ca="1">IF(AND(OR(INDIRECT("Descriptif!I"&amp;H$13)=Recap_equipements!$B38,INDIRECT("Descriptif!I"&amp;H$13)=Recap_equipements!$C38),INDIRECT("Descriptif!M"&amp;H$13)=$D42),INDIRECT("Descriptif!F"&amp;H$13),"")</f>
        <v/>
      </c>
      <c r="J42" s="395" t="str">
        <f ca="1">IF(AND(OR(INDIRECT("Descriptif!I"&amp;I$13)=Recap_equipements!$B38,INDIRECT("Descriptif!I"&amp;I$13)=Recap_equipements!$C38),INDIRECT("Descriptif!M"&amp;I$13)=$D42),INDIRECT("Descriptif!F"&amp;I$13),"")</f>
        <v/>
      </c>
      <c r="K42" s="395" t="str">
        <f ca="1">IF(AND(OR(INDIRECT("Descriptif!I"&amp;J$13)=Recap_equipements!$B38,INDIRECT("Descriptif!I"&amp;J$13)=Recap_equipements!$C38),INDIRECT("Descriptif!M"&amp;J$13)=$D42),INDIRECT("Descriptif!F"&amp;J$13),"")</f>
        <v/>
      </c>
      <c r="L42" s="395" t="str">
        <f ca="1">IF(AND(OR(INDIRECT("Descriptif!I"&amp;K$13)=Recap_equipements!$B38,INDIRECT("Descriptif!I"&amp;K$13)=Recap_equipements!$C38),INDIRECT("Descriptif!M"&amp;K$13)=$D42),INDIRECT("Descriptif!F"&amp;K$13),"")</f>
        <v/>
      </c>
      <c r="M42" s="395" t="str">
        <f ca="1">IF(AND(OR(INDIRECT("Descriptif!I"&amp;L$13)=Recap_equipements!$B38,INDIRECT("Descriptif!I"&amp;L$13)=Recap_equipements!$C38),INDIRECT("Descriptif!M"&amp;L$13)=$D42),INDIRECT("Descriptif!F"&amp;L$13),"")</f>
        <v/>
      </c>
      <c r="N42" s="395" t="str">
        <f ca="1">IF(AND(OR(INDIRECT("Descriptif!I"&amp;M$13)=Recap_equipements!$B38,INDIRECT("Descriptif!I"&amp;M$13)=Recap_equipements!$C38),INDIRECT("Descriptif!M"&amp;M$13)=$D42),INDIRECT("Descriptif!F"&amp;M$13),"")</f>
        <v/>
      </c>
      <c r="O42" s="395" t="str">
        <f ca="1">IF(AND(OR(INDIRECT("Descriptif!I"&amp;N$13)=Recap_equipements!$B38,INDIRECT("Descriptif!I"&amp;N$13)=Recap_equipements!$C38),INDIRECT("Descriptif!M"&amp;N$13)=$D42),INDIRECT("Descriptif!F"&amp;N$13),"")</f>
        <v/>
      </c>
      <c r="P42" s="395" t="str">
        <f ca="1">IF(AND(OR(INDIRECT("Descriptif!I"&amp;O$13)=Recap_equipements!$B38,INDIRECT("Descriptif!I"&amp;O$13)=Recap_equipements!$C38),INDIRECT("Descriptif!M"&amp;O$13)=$D42),INDIRECT("Descriptif!F"&amp;O$13),"")</f>
        <v/>
      </c>
      <c r="Q42" s="395" t="str">
        <f ca="1">IF(AND(OR(INDIRECT("Descriptif!I"&amp;P$13)=Recap_equipements!$B38,INDIRECT("Descriptif!I"&amp;P$13)=Recap_equipements!$C38),INDIRECT("Descriptif!M"&amp;P$13)=$D42),INDIRECT("Descriptif!F"&amp;P$13),"")</f>
        <v/>
      </c>
      <c r="R42" s="395" t="str">
        <f ca="1">IF(AND(OR(INDIRECT("Descriptif!I"&amp;Q$13)=Recap_equipements!$B38,INDIRECT("Descriptif!I"&amp;Q$13)=Recap_equipements!$C38),INDIRECT("Descriptif!M"&amp;Q$13)=$D42),INDIRECT("Descriptif!F"&amp;Q$13),"")</f>
        <v/>
      </c>
      <c r="S42" s="395" t="str">
        <f ca="1">IF(AND(OR(INDIRECT("Descriptif!I"&amp;R$13)=Recap_equipements!$B38,INDIRECT("Descriptif!I"&amp;R$13)=Recap_equipements!$C38),INDIRECT("Descriptif!M"&amp;R$13)=$D42),INDIRECT("Descriptif!F"&amp;R$13),"")</f>
        <v/>
      </c>
      <c r="T42" s="396" t="str">
        <f ca="1">IF(AND(OR(INDIRECT("Descriptif!I"&amp;S$13)=Recap_equipements!$B38,INDIRECT("Descriptif!I"&amp;S$13)=Recap_equipements!$C38),INDIRECT("Descriptif!M"&amp;S$13)=$D42),INDIRECT("Descriptif!F"&amp;S$13),"")</f>
        <v/>
      </c>
    </row>
    <row r="43" spans="2:20" x14ac:dyDescent="0.4">
      <c r="B43" s="1550" t="s">
        <v>182</v>
      </c>
      <c r="C43" s="1553" t="s">
        <v>187</v>
      </c>
      <c r="D43" s="390" t="str">
        <f>$D$7</f>
        <v>Débitmètre en charge</v>
      </c>
      <c r="E43" s="390"/>
      <c r="F43" s="391" t="str">
        <f ca="1">IF(AND(OR(INDIRECT("Descriptif!I"&amp;E$13)=Recap_equipements!$B43,INDIRECT("Descriptif!I"&amp;E$13)=Recap_equipements!$C43),INDIRECT("Descriptif!M"&amp;E$13)=$D43),INDIRECT("Descriptif!F"&amp;E$13),"")</f>
        <v/>
      </c>
      <c r="G43" s="391" t="str">
        <f ca="1">IF(AND(OR(INDIRECT("Descriptif!I"&amp;F$13)=Recap_equipements!$B43,INDIRECT("Descriptif!I"&amp;F$13)=Recap_equipements!$C43),INDIRECT("Descriptif!M"&amp;F$13)=$D43),INDIRECT("Descriptif!F"&amp;F$13),"")</f>
        <v/>
      </c>
      <c r="H43" s="391" t="str">
        <f ca="1">IF(AND(OR(INDIRECT("Descriptif!I"&amp;G$13)=Recap_equipements!$B43,INDIRECT("Descriptif!I"&amp;G$13)=Recap_equipements!$C43),INDIRECT("Descriptif!M"&amp;G$13)=$D43),INDIRECT("Descriptif!F"&amp;G$13),"")</f>
        <v/>
      </c>
      <c r="I43" s="391" t="str">
        <f ca="1">IF(AND(OR(INDIRECT("Descriptif!I"&amp;H$13)=Recap_equipements!$B43,INDIRECT("Descriptif!I"&amp;H$13)=Recap_equipements!$C43),INDIRECT("Descriptif!M"&amp;H$13)=$D43),INDIRECT("Descriptif!F"&amp;H$13),"")</f>
        <v/>
      </c>
      <c r="J43" s="391" t="str">
        <f ca="1">IF(AND(OR(INDIRECT("Descriptif!I"&amp;I$13)=Recap_equipements!$B43,INDIRECT("Descriptif!I"&amp;I$13)=Recap_equipements!$C43),INDIRECT("Descriptif!M"&amp;I$13)=$D43),INDIRECT("Descriptif!F"&amp;I$13),"")</f>
        <v/>
      </c>
      <c r="K43" s="391" t="str">
        <f ca="1">IF(AND(OR(INDIRECT("Descriptif!I"&amp;J$13)=Recap_equipements!$B43,INDIRECT("Descriptif!I"&amp;J$13)=Recap_equipements!$C43),INDIRECT("Descriptif!M"&amp;J$13)=$D43),INDIRECT("Descriptif!F"&amp;J$13),"")</f>
        <v/>
      </c>
      <c r="L43" s="391" t="str">
        <f ca="1">IF(AND(OR(INDIRECT("Descriptif!I"&amp;K$13)=Recap_equipements!$B43,INDIRECT("Descriptif!I"&amp;K$13)=Recap_equipements!$C43),INDIRECT("Descriptif!M"&amp;K$13)=$D43),INDIRECT("Descriptif!F"&amp;K$13),"")</f>
        <v/>
      </c>
      <c r="M43" s="391" t="str">
        <f ca="1">IF(AND(OR(INDIRECT("Descriptif!I"&amp;L$13)=Recap_equipements!$B43,INDIRECT("Descriptif!I"&amp;L$13)=Recap_equipements!$C43),INDIRECT("Descriptif!M"&amp;L$13)=$D43),INDIRECT("Descriptif!F"&amp;L$13),"")</f>
        <v/>
      </c>
      <c r="N43" s="391" t="str">
        <f ca="1">IF(AND(OR(INDIRECT("Descriptif!I"&amp;M$13)=Recap_equipements!$B43,INDIRECT("Descriptif!I"&amp;M$13)=Recap_equipements!$C43),INDIRECT("Descriptif!M"&amp;M$13)=$D43),INDIRECT("Descriptif!F"&amp;M$13),"")</f>
        <v/>
      </c>
      <c r="O43" s="391" t="str">
        <f ca="1">IF(AND(OR(INDIRECT("Descriptif!I"&amp;N$13)=Recap_equipements!$B43,INDIRECT("Descriptif!I"&amp;N$13)=Recap_equipements!$C43),INDIRECT("Descriptif!M"&amp;N$13)=$D43),INDIRECT("Descriptif!F"&amp;N$13),"")</f>
        <v/>
      </c>
      <c r="P43" s="391" t="str">
        <f ca="1">IF(AND(OR(INDIRECT("Descriptif!I"&amp;O$13)=Recap_equipements!$B43,INDIRECT("Descriptif!I"&amp;O$13)=Recap_equipements!$C43),INDIRECT("Descriptif!M"&amp;O$13)=$D43),INDIRECT("Descriptif!F"&amp;O$13),"")</f>
        <v/>
      </c>
      <c r="Q43" s="391" t="str">
        <f ca="1">IF(AND(OR(INDIRECT("Descriptif!I"&amp;P$13)=Recap_equipements!$B43,INDIRECT("Descriptif!I"&amp;P$13)=Recap_equipements!$C43),INDIRECT("Descriptif!M"&amp;P$13)=$D43),INDIRECT("Descriptif!F"&amp;P$13),"")</f>
        <v/>
      </c>
      <c r="R43" s="391" t="str">
        <f ca="1">IF(AND(OR(INDIRECT("Descriptif!I"&amp;Q$13)=Recap_equipements!$B43,INDIRECT("Descriptif!I"&amp;Q$13)=Recap_equipements!$C43),INDIRECT("Descriptif!M"&amp;Q$13)=$D43),INDIRECT("Descriptif!F"&amp;Q$13),"")</f>
        <v/>
      </c>
      <c r="S43" s="391" t="str">
        <f ca="1">IF(AND(OR(INDIRECT("Descriptif!I"&amp;R$13)=Recap_equipements!$B43,INDIRECT("Descriptif!I"&amp;R$13)=Recap_equipements!$C43),INDIRECT("Descriptif!M"&amp;R$13)=$D43),INDIRECT("Descriptif!F"&amp;R$13),"")</f>
        <v/>
      </c>
      <c r="T43" s="392" t="str">
        <f ca="1">IF(AND(OR(INDIRECT("Descriptif!I"&amp;S$13)=Recap_equipements!$B43,INDIRECT("Descriptif!I"&amp;S$13)=Recap_equipements!$C43),INDIRECT("Descriptif!M"&amp;S$13)=$D43),INDIRECT("Descriptif!F"&amp;S$13),"")</f>
        <v/>
      </c>
    </row>
    <row r="44" spans="2:20" x14ac:dyDescent="0.4">
      <c r="B44" s="1551"/>
      <c r="C44" s="1554"/>
      <c r="D44" s="389" t="str">
        <f>$D$8</f>
        <v>Débitmètre gravitaire</v>
      </c>
      <c r="E44" s="389"/>
      <c r="F44" s="161" t="str">
        <f ca="1">IF(AND(OR(INDIRECT("Descriptif!I"&amp;E$13)=Recap_equipements!$B43,INDIRECT("Descriptif!I"&amp;E$13)=Recap_equipements!$C43),INDIRECT("Descriptif!M"&amp;E$13)=$D44),INDIRECT("Descriptif!F"&amp;E$13),"")</f>
        <v/>
      </c>
      <c r="G44" s="161" t="str">
        <f ca="1">IF(AND(OR(INDIRECT("Descriptif!I"&amp;F$13)=Recap_equipements!$B43,INDIRECT("Descriptif!I"&amp;F$13)=Recap_equipements!$C43),INDIRECT("Descriptif!M"&amp;F$13)=$D44),INDIRECT("Descriptif!F"&amp;F$13),"")</f>
        <v/>
      </c>
      <c r="H44" s="161" t="str">
        <f ca="1">IF(AND(OR(INDIRECT("Descriptif!I"&amp;G$13)=Recap_equipements!$B43,INDIRECT("Descriptif!I"&amp;G$13)=Recap_equipements!$C43),INDIRECT("Descriptif!M"&amp;G$13)=$D44),INDIRECT("Descriptif!F"&amp;G$13),"")</f>
        <v/>
      </c>
      <c r="I44" s="161" t="str">
        <f ca="1">IF(AND(OR(INDIRECT("Descriptif!I"&amp;H$13)=Recap_equipements!$B43,INDIRECT("Descriptif!I"&amp;H$13)=Recap_equipements!$C43),INDIRECT("Descriptif!M"&amp;H$13)=$D44),INDIRECT("Descriptif!F"&amp;H$13),"")</f>
        <v/>
      </c>
      <c r="J44" s="161" t="str">
        <f ca="1">IF(AND(OR(INDIRECT("Descriptif!I"&amp;I$13)=Recap_equipements!$B43,INDIRECT("Descriptif!I"&amp;I$13)=Recap_equipements!$C43),INDIRECT("Descriptif!M"&amp;I$13)=$D44),INDIRECT("Descriptif!F"&amp;I$13),"")</f>
        <v/>
      </c>
      <c r="K44" s="161" t="str">
        <f ca="1">IF(AND(OR(INDIRECT("Descriptif!I"&amp;J$13)=Recap_equipements!$B43,INDIRECT("Descriptif!I"&amp;J$13)=Recap_equipements!$C43),INDIRECT("Descriptif!M"&amp;J$13)=$D44),INDIRECT("Descriptif!F"&amp;J$13),"")</f>
        <v/>
      </c>
      <c r="L44" s="161" t="str">
        <f ca="1">IF(AND(OR(INDIRECT("Descriptif!I"&amp;K$13)=Recap_equipements!$B43,INDIRECT("Descriptif!I"&amp;K$13)=Recap_equipements!$C43),INDIRECT("Descriptif!M"&amp;K$13)=$D44),INDIRECT("Descriptif!F"&amp;K$13),"")</f>
        <v/>
      </c>
      <c r="M44" s="161" t="str">
        <f ca="1">IF(AND(OR(INDIRECT("Descriptif!I"&amp;L$13)=Recap_equipements!$B43,INDIRECT("Descriptif!I"&amp;L$13)=Recap_equipements!$C43),INDIRECT("Descriptif!M"&amp;L$13)=$D44),INDIRECT("Descriptif!F"&amp;L$13),"")</f>
        <v/>
      </c>
      <c r="N44" s="161" t="str">
        <f ca="1">IF(AND(OR(INDIRECT("Descriptif!I"&amp;M$13)=Recap_equipements!$B43,INDIRECT("Descriptif!I"&amp;M$13)=Recap_equipements!$C43),INDIRECT("Descriptif!M"&amp;M$13)=$D44),INDIRECT("Descriptif!F"&amp;M$13),"")</f>
        <v/>
      </c>
      <c r="O44" s="161" t="str">
        <f ca="1">IF(AND(OR(INDIRECT("Descriptif!I"&amp;N$13)=Recap_equipements!$B43,INDIRECT("Descriptif!I"&amp;N$13)=Recap_equipements!$C43),INDIRECT("Descriptif!M"&amp;N$13)=$D44),INDIRECT("Descriptif!F"&amp;N$13),"")</f>
        <v/>
      </c>
      <c r="P44" s="161" t="str">
        <f ca="1">IF(AND(OR(INDIRECT("Descriptif!I"&amp;O$13)=Recap_equipements!$B43,INDIRECT("Descriptif!I"&amp;O$13)=Recap_equipements!$C43),INDIRECT("Descriptif!M"&amp;O$13)=$D44),INDIRECT("Descriptif!F"&amp;O$13),"")</f>
        <v/>
      </c>
      <c r="Q44" s="161" t="str">
        <f ca="1">IF(AND(OR(INDIRECT("Descriptif!I"&amp;P$13)=Recap_equipements!$B43,INDIRECT("Descriptif!I"&amp;P$13)=Recap_equipements!$C43),INDIRECT("Descriptif!M"&amp;P$13)=$D44),INDIRECT("Descriptif!F"&amp;P$13),"")</f>
        <v/>
      </c>
      <c r="R44" s="161" t="str">
        <f ca="1">IF(AND(OR(INDIRECT("Descriptif!I"&amp;Q$13)=Recap_equipements!$B43,INDIRECT("Descriptif!I"&amp;Q$13)=Recap_equipements!$C43),INDIRECT("Descriptif!M"&amp;Q$13)=$D44),INDIRECT("Descriptif!F"&amp;Q$13),"")</f>
        <v/>
      </c>
      <c r="S44" s="161" t="str">
        <f ca="1">IF(AND(OR(INDIRECT("Descriptif!I"&amp;R$13)=Recap_equipements!$B43,INDIRECT("Descriptif!I"&amp;R$13)=Recap_equipements!$C43),INDIRECT("Descriptif!M"&amp;R$13)=$D44),INDIRECT("Descriptif!F"&amp;R$13),"")</f>
        <v/>
      </c>
      <c r="T44" s="393" t="str">
        <f ca="1">IF(AND(OR(INDIRECT("Descriptif!I"&amp;S$13)=Recap_equipements!$B43,INDIRECT("Descriptif!I"&amp;S$13)=Recap_equipements!$C43),INDIRECT("Descriptif!M"&amp;S$13)=$D44),INDIRECT("Descriptif!F"&amp;S$13),"")</f>
        <v/>
      </c>
    </row>
    <row r="45" spans="2:20" x14ac:dyDescent="0.4">
      <c r="B45" s="1551"/>
      <c r="C45" s="1554"/>
      <c r="D45" s="389" t="str">
        <f>$D$9</f>
        <v>Préleveur</v>
      </c>
      <c r="E45" s="389"/>
      <c r="F45" s="161" t="str">
        <f ca="1">IF(AND(OR(INDIRECT("Descriptif!I"&amp;E$13)=Recap_equipements!$B43,INDIRECT("Descriptif!I"&amp;E$13)=Recap_equipements!$C43),INDIRECT("Descriptif!M"&amp;E$13)=$D45),INDIRECT("Descriptif!F"&amp;E$13),"")</f>
        <v/>
      </c>
      <c r="G45" s="161" t="str">
        <f ca="1">IF(AND(OR(INDIRECT("Descriptif!I"&amp;F$13)=Recap_equipements!$B43,INDIRECT("Descriptif!I"&amp;F$13)=Recap_equipements!$C43),INDIRECT("Descriptif!M"&amp;F$13)=$D45),INDIRECT("Descriptif!F"&amp;F$13),"")</f>
        <v/>
      </c>
      <c r="H45" s="161" t="str">
        <f ca="1">IF(AND(OR(INDIRECT("Descriptif!I"&amp;G$13)=Recap_equipements!$B43,INDIRECT("Descriptif!I"&amp;G$13)=Recap_equipements!$C43),INDIRECT("Descriptif!M"&amp;G$13)=$D45),INDIRECT("Descriptif!F"&amp;G$13),"")</f>
        <v/>
      </c>
      <c r="I45" s="161" t="str">
        <f ca="1">IF(AND(OR(INDIRECT("Descriptif!I"&amp;H$13)=Recap_equipements!$B43,INDIRECT("Descriptif!I"&amp;H$13)=Recap_equipements!$C43),INDIRECT("Descriptif!M"&amp;H$13)=$D45),INDIRECT("Descriptif!F"&amp;H$13),"")</f>
        <v/>
      </c>
      <c r="J45" s="161" t="str">
        <f ca="1">IF(AND(OR(INDIRECT("Descriptif!I"&amp;I$13)=Recap_equipements!$B43,INDIRECT("Descriptif!I"&amp;I$13)=Recap_equipements!$C43),INDIRECT("Descriptif!M"&amp;I$13)=$D45),INDIRECT("Descriptif!F"&amp;I$13),"")</f>
        <v/>
      </c>
      <c r="K45" s="161" t="str">
        <f ca="1">IF(AND(OR(INDIRECT("Descriptif!I"&amp;J$13)=Recap_equipements!$B43,INDIRECT("Descriptif!I"&amp;J$13)=Recap_equipements!$C43),INDIRECT("Descriptif!M"&amp;J$13)=$D45),INDIRECT("Descriptif!F"&amp;J$13),"")</f>
        <v/>
      </c>
      <c r="L45" s="161" t="str">
        <f ca="1">IF(AND(OR(INDIRECT("Descriptif!I"&amp;K$13)=Recap_equipements!$B43,INDIRECT("Descriptif!I"&amp;K$13)=Recap_equipements!$C43),INDIRECT("Descriptif!M"&amp;K$13)=$D45),INDIRECT("Descriptif!F"&amp;K$13),"")</f>
        <v/>
      </c>
      <c r="M45" s="161" t="str">
        <f ca="1">IF(AND(OR(INDIRECT("Descriptif!I"&amp;L$13)=Recap_equipements!$B43,INDIRECT("Descriptif!I"&amp;L$13)=Recap_equipements!$C43),INDIRECT("Descriptif!M"&amp;L$13)=$D45),INDIRECT("Descriptif!F"&amp;L$13),"")</f>
        <v/>
      </c>
      <c r="N45" s="161" t="str">
        <f ca="1">IF(AND(OR(INDIRECT("Descriptif!I"&amp;M$13)=Recap_equipements!$B43,INDIRECT("Descriptif!I"&amp;M$13)=Recap_equipements!$C43),INDIRECT("Descriptif!M"&amp;M$13)=$D45),INDIRECT("Descriptif!F"&amp;M$13),"")</f>
        <v/>
      </c>
      <c r="O45" s="161" t="str">
        <f ca="1">IF(AND(OR(INDIRECT("Descriptif!I"&amp;N$13)=Recap_equipements!$B43,INDIRECT("Descriptif!I"&amp;N$13)=Recap_equipements!$C43),INDIRECT("Descriptif!M"&amp;N$13)=$D45),INDIRECT("Descriptif!F"&amp;N$13),"")</f>
        <v/>
      </c>
      <c r="P45" s="161" t="str">
        <f ca="1">IF(AND(OR(INDIRECT("Descriptif!I"&amp;O$13)=Recap_equipements!$B43,INDIRECT("Descriptif!I"&amp;O$13)=Recap_equipements!$C43),INDIRECT("Descriptif!M"&amp;O$13)=$D45),INDIRECT("Descriptif!F"&amp;O$13),"")</f>
        <v/>
      </c>
      <c r="Q45" s="161" t="str">
        <f ca="1">IF(AND(OR(INDIRECT("Descriptif!I"&amp;P$13)=Recap_equipements!$B43,INDIRECT("Descriptif!I"&amp;P$13)=Recap_equipements!$C43),INDIRECT("Descriptif!M"&amp;P$13)=$D45),INDIRECT("Descriptif!F"&amp;P$13),"")</f>
        <v/>
      </c>
      <c r="R45" s="161" t="str">
        <f ca="1">IF(AND(OR(INDIRECT("Descriptif!I"&amp;Q$13)=Recap_equipements!$B43,INDIRECT("Descriptif!I"&amp;Q$13)=Recap_equipements!$C43),INDIRECT("Descriptif!M"&amp;Q$13)=$D45),INDIRECT("Descriptif!F"&amp;Q$13),"")</f>
        <v/>
      </c>
      <c r="S45" s="161" t="str">
        <f ca="1">IF(AND(OR(INDIRECT("Descriptif!I"&amp;R$13)=Recap_equipements!$B43,INDIRECT("Descriptif!I"&amp;R$13)=Recap_equipements!$C43),INDIRECT("Descriptif!M"&amp;R$13)=$D45),INDIRECT("Descriptif!F"&amp;R$13),"")</f>
        <v/>
      </c>
      <c r="T45" s="393" t="str">
        <f ca="1">IF(AND(OR(INDIRECT("Descriptif!I"&amp;S$13)=Recap_equipements!$B43,INDIRECT("Descriptif!I"&amp;S$13)=Recap_equipements!$C43),INDIRECT("Descriptif!M"&amp;S$13)=$D45),INDIRECT("Descriptif!F"&amp;S$13),"")</f>
        <v/>
      </c>
    </row>
    <row r="46" spans="2:20" x14ac:dyDescent="0.4">
      <c r="B46" s="1551"/>
      <c r="C46" s="1554"/>
      <c r="D46" s="1706" t="s">
        <v>783</v>
      </c>
      <c r="E46" s="1706"/>
      <c r="F46" s="1708" t="str">
        <f ca="1">IF(F45&lt;&gt;"",VLOOKUP(F45,Analytique!$X$3:$AD$33,1,FALSE),"")</f>
        <v/>
      </c>
      <c r="G46" s="1708" t="str">
        <f ca="1">IF(G45&lt;&gt;"",VLOOKUP(G45,Analytique!$X$3:$AD$33,1,FALSE),"")</f>
        <v/>
      </c>
      <c r="H46" s="1708" t="str">
        <f ca="1">IF(H45&lt;&gt;"",VLOOKUP(H45,Analytique!$X$3:$AD$33,1,FALSE),"")</f>
        <v/>
      </c>
      <c r="I46" s="1708" t="str">
        <f ca="1">IF(I45&lt;&gt;"",VLOOKUP(I45,Analytique!$X$3:$AD$33,1,FALSE),"")</f>
        <v/>
      </c>
      <c r="J46" s="1708" t="str">
        <f ca="1">IF(J45&lt;&gt;"",VLOOKUP(J45,Analytique!$X$3:$AD$33,1,FALSE),"")</f>
        <v/>
      </c>
      <c r="K46" s="1708" t="str">
        <f ca="1">IF(K45&lt;&gt;"",VLOOKUP(K45,Analytique!$X$3:$AD$33,1,FALSE),"")</f>
        <v/>
      </c>
      <c r="L46" s="1708" t="str">
        <f ca="1">IF(L45&lt;&gt;"",VLOOKUP(L45,Analytique!$X$3:$AD$33,1,FALSE),"")</f>
        <v/>
      </c>
      <c r="M46" s="1708" t="str">
        <f ca="1">IF(M45&lt;&gt;"",VLOOKUP(M45,Analytique!$X$3:$AD$33,1,FALSE),"")</f>
        <v/>
      </c>
      <c r="N46" s="1708" t="str">
        <f ca="1">IF(N45&lt;&gt;"",VLOOKUP(N45,Analytique!$X$3:$AD$33,1,FALSE),"")</f>
        <v/>
      </c>
      <c r="O46" s="1708" t="str">
        <f ca="1">IF(O45&lt;&gt;"",VLOOKUP(O45,Analytique!$X$3:$AD$33,1,FALSE),"")</f>
        <v/>
      </c>
      <c r="P46" s="1708" t="str">
        <f ca="1">IF(P45&lt;&gt;"",VLOOKUP(P45,Analytique!$X$3:$AD$33,1,FALSE),"")</f>
        <v/>
      </c>
      <c r="Q46" s="1708" t="str">
        <f ca="1">IF(Q45&lt;&gt;"",VLOOKUP(Q45,Analytique!$X$3:$AD$33,1,FALSE),"")</f>
        <v/>
      </c>
      <c r="R46" s="1708" t="str">
        <f ca="1">IF(R45&lt;&gt;"",VLOOKUP(R45,Analytique!$X$3:$AD$33,1,FALSE),"")</f>
        <v/>
      </c>
      <c r="S46" s="1708" t="str">
        <f ca="1">IF(S45&lt;&gt;"",VLOOKUP(S45,Analytique!$X$3:$AD$33,1,FALSE),"")</f>
        <v/>
      </c>
      <c r="T46" s="1709" t="str">
        <f ca="1">IF(T45&lt;&gt;"",VLOOKUP(T45,Analytique!$X$3:$AD$33,1,FALSE),"")</f>
        <v/>
      </c>
    </row>
    <row r="47" spans="2:20" ht="13" thickBot="1" x14ac:dyDescent="0.45">
      <c r="B47" s="1552"/>
      <c r="C47" s="1555"/>
      <c r="D47" s="394" t="str">
        <f>$D$10</f>
        <v>Sonde de température</v>
      </c>
      <c r="E47" s="394"/>
      <c r="F47" s="395" t="str">
        <f ca="1">IF(AND(OR(INDIRECT("Descriptif!I"&amp;E$13)=Recap_equipements!$B43,INDIRECT("Descriptif!I"&amp;E$13)=Recap_equipements!$C43),INDIRECT("Descriptif!M"&amp;E$13)=$D47),INDIRECT("Descriptif!F"&amp;E$13),"")</f>
        <v/>
      </c>
      <c r="G47" s="395" t="str">
        <f ca="1">IF(AND(OR(INDIRECT("Descriptif!I"&amp;F$13)=Recap_equipements!$B43,INDIRECT("Descriptif!I"&amp;F$13)=Recap_equipements!$C43),INDIRECT("Descriptif!M"&amp;F$13)=$D47),INDIRECT("Descriptif!F"&amp;F$13),"")</f>
        <v/>
      </c>
      <c r="H47" s="395" t="str">
        <f ca="1">IF(AND(OR(INDIRECT("Descriptif!I"&amp;G$13)=Recap_equipements!$B43,INDIRECT("Descriptif!I"&amp;G$13)=Recap_equipements!$C43),INDIRECT("Descriptif!M"&amp;G$13)=$D47),INDIRECT("Descriptif!F"&amp;G$13),"")</f>
        <v/>
      </c>
      <c r="I47" s="395" t="str">
        <f ca="1">IF(AND(OR(INDIRECT("Descriptif!I"&amp;H$13)=Recap_equipements!$B43,INDIRECT("Descriptif!I"&amp;H$13)=Recap_equipements!$C43),INDIRECT("Descriptif!M"&amp;H$13)=$D47),INDIRECT("Descriptif!F"&amp;H$13),"")</f>
        <v/>
      </c>
      <c r="J47" s="395" t="str">
        <f ca="1">IF(AND(OR(INDIRECT("Descriptif!I"&amp;I$13)=Recap_equipements!$B43,INDIRECT("Descriptif!I"&amp;I$13)=Recap_equipements!$C43),INDIRECT("Descriptif!M"&amp;I$13)=$D47),INDIRECT("Descriptif!F"&amp;I$13),"")</f>
        <v/>
      </c>
      <c r="K47" s="395" t="str">
        <f ca="1">IF(AND(OR(INDIRECT("Descriptif!I"&amp;J$13)=Recap_equipements!$B43,INDIRECT("Descriptif!I"&amp;J$13)=Recap_equipements!$C43),INDIRECT("Descriptif!M"&amp;J$13)=$D47),INDIRECT("Descriptif!F"&amp;J$13),"")</f>
        <v/>
      </c>
      <c r="L47" s="395" t="str">
        <f ca="1">IF(AND(OR(INDIRECT("Descriptif!I"&amp;K$13)=Recap_equipements!$B43,INDIRECT("Descriptif!I"&amp;K$13)=Recap_equipements!$C43),INDIRECT("Descriptif!M"&amp;K$13)=$D47),INDIRECT("Descriptif!F"&amp;K$13),"")</f>
        <v/>
      </c>
      <c r="M47" s="395" t="str">
        <f ca="1">IF(AND(OR(INDIRECT("Descriptif!I"&amp;L$13)=Recap_equipements!$B43,INDIRECT("Descriptif!I"&amp;L$13)=Recap_equipements!$C43),INDIRECT("Descriptif!M"&amp;L$13)=$D47),INDIRECT("Descriptif!F"&amp;L$13),"")</f>
        <v/>
      </c>
      <c r="N47" s="395" t="str">
        <f ca="1">IF(AND(OR(INDIRECT("Descriptif!I"&amp;M$13)=Recap_equipements!$B43,INDIRECT("Descriptif!I"&amp;M$13)=Recap_equipements!$C43),INDIRECT("Descriptif!M"&amp;M$13)=$D47),INDIRECT("Descriptif!F"&amp;M$13),"")</f>
        <v/>
      </c>
      <c r="O47" s="395" t="str">
        <f ca="1">IF(AND(OR(INDIRECT("Descriptif!I"&amp;N$13)=Recap_equipements!$B43,INDIRECT("Descriptif!I"&amp;N$13)=Recap_equipements!$C43),INDIRECT("Descriptif!M"&amp;N$13)=$D47),INDIRECT("Descriptif!F"&amp;N$13),"")</f>
        <v/>
      </c>
      <c r="P47" s="395" t="str">
        <f ca="1">IF(AND(OR(INDIRECT("Descriptif!I"&amp;O$13)=Recap_equipements!$B43,INDIRECT("Descriptif!I"&amp;O$13)=Recap_equipements!$C43),INDIRECT("Descriptif!M"&amp;O$13)=$D47),INDIRECT("Descriptif!F"&amp;O$13),"")</f>
        <v/>
      </c>
      <c r="Q47" s="395" t="str">
        <f ca="1">IF(AND(OR(INDIRECT("Descriptif!I"&amp;P$13)=Recap_equipements!$B43,INDIRECT("Descriptif!I"&amp;P$13)=Recap_equipements!$C43),INDIRECT("Descriptif!M"&amp;P$13)=$D47),INDIRECT("Descriptif!F"&amp;P$13),"")</f>
        <v/>
      </c>
      <c r="R47" s="395" t="str">
        <f ca="1">IF(AND(OR(INDIRECT("Descriptif!I"&amp;Q$13)=Recap_equipements!$B43,INDIRECT("Descriptif!I"&amp;Q$13)=Recap_equipements!$C43),INDIRECT("Descriptif!M"&amp;Q$13)=$D47),INDIRECT("Descriptif!F"&amp;Q$13),"")</f>
        <v/>
      </c>
      <c r="S47" s="395" t="str">
        <f ca="1">IF(AND(OR(INDIRECT("Descriptif!I"&amp;R$13)=Recap_equipements!$B43,INDIRECT("Descriptif!I"&amp;R$13)=Recap_equipements!$C43),INDIRECT("Descriptif!M"&amp;R$13)=$D47),INDIRECT("Descriptif!F"&amp;R$13),"")</f>
        <v/>
      </c>
      <c r="T47" s="396" t="str">
        <f ca="1">IF(AND(OR(INDIRECT("Descriptif!I"&amp;S$13)=Recap_equipements!$B43,INDIRECT("Descriptif!I"&amp;S$13)=Recap_equipements!$C43),INDIRECT("Descriptif!M"&amp;S$13)=$D47),INDIRECT("Descriptif!F"&amp;S$13),"")</f>
        <v/>
      </c>
    </row>
    <row r="48" spans="2:20" x14ac:dyDescent="0.4">
      <c r="B48" s="1550" t="s">
        <v>169</v>
      </c>
      <c r="C48" s="1553" t="s">
        <v>171</v>
      </c>
      <c r="D48" s="390" t="str">
        <f>$D$7</f>
        <v>Débitmètre en charge</v>
      </c>
      <c r="E48" s="390"/>
      <c r="F48" s="391" t="str">
        <f ca="1">IF(AND(OR(INDIRECT("Descriptif!I"&amp;E$14)=Recap_equipements!$B48,INDIRECT("Descriptif!I"&amp;E$14)=Recap_equipements!$C48),INDIRECT("Descriptif!M"&amp;E$14)=$D48),INDIRECT("Descriptif!F"&amp;E$14),"")</f>
        <v/>
      </c>
      <c r="G48" s="391" t="str">
        <f ca="1">IF(AND(OR(INDIRECT("Descriptif!I"&amp;F$14)=Recap_equipements!$B48,INDIRECT("Descriptif!I"&amp;F$14)=Recap_equipements!$C48),INDIRECT("Descriptif!M"&amp;F$14)=$D48),INDIRECT("Descriptif!F"&amp;F$14),"")</f>
        <v/>
      </c>
      <c r="H48" s="391" t="str">
        <f ca="1">IF(AND(OR(INDIRECT("Descriptif!I"&amp;G$14)=Recap_equipements!$B48,INDIRECT("Descriptif!I"&amp;G$14)=Recap_equipements!$C48),INDIRECT("Descriptif!M"&amp;G$14)=$D48),INDIRECT("Descriptif!F"&amp;G$14),"")</f>
        <v/>
      </c>
      <c r="I48" s="391" t="str">
        <f ca="1">IF(AND(OR(INDIRECT("Descriptif!I"&amp;H$14)=Recap_equipements!$B48,INDIRECT("Descriptif!I"&amp;H$14)=Recap_equipements!$C48),INDIRECT("Descriptif!M"&amp;H$14)=$D48),INDIRECT("Descriptif!F"&amp;H$14),"")</f>
        <v/>
      </c>
      <c r="J48" s="391" t="str">
        <f ca="1">IF(AND(OR(INDIRECT("Descriptif!I"&amp;I$14)=Recap_equipements!$B48,INDIRECT("Descriptif!I"&amp;I$14)=Recap_equipements!$C48),INDIRECT("Descriptif!M"&amp;I$14)=$D48),INDIRECT("Descriptif!F"&amp;I$14),"")</f>
        <v/>
      </c>
      <c r="K48" s="391" t="str">
        <f ca="1">IF(AND(OR(INDIRECT("Descriptif!I"&amp;J$14)=Recap_equipements!$B48,INDIRECT("Descriptif!I"&amp;J$14)=Recap_equipements!$C48),INDIRECT("Descriptif!M"&amp;J$14)=$D48),INDIRECT("Descriptif!F"&amp;J$14),"")</f>
        <v/>
      </c>
      <c r="L48" s="391" t="str">
        <f ca="1">IF(AND(OR(INDIRECT("Descriptif!I"&amp;K$14)=Recap_equipements!$B48,INDIRECT("Descriptif!I"&amp;K$14)=Recap_equipements!$C48),INDIRECT("Descriptif!M"&amp;K$14)=$D48),INDIRECT("Descriptif!F"&amp;K$14),"")</f>
        <v/>
      </c>
      <c r="M48" s="391" t="str">
        <f ca="1">IF(AND(OR(INDIRECT("Descriptif!I"&amp;L$14)=Recap_equipements!$B48,INDIRECT("Descriptif!I"&amp;L$14)=Recap_equipements!$C48),INDIRECT("Descriptif!M"&amp;L$14)=$D48),INDIRECT("Descriptif!F"&amp;L$14),"")</f>
        <v/>
      </c>
      <c r="N48" s="391" t="str">
        <f ca="1">IF(AND(OR(INDIRECT("Descriptif!I"&amp;M$14)=Recap_equipements!$B48,INDIRECT("Descriptif!I"&amp;M$14)=Recap_equipements!$C48),INDIRECT("Descriptif!M"&amp;M$14)=$D48),INDIRECT("Descriptif!F"&amp;M$14),"")</f>
        <v/>
      </c>
      <c r="O48" s="391" t="str">
        <f ca="1">IF(AND(OR(INDIRECT("Descriptif!I"&amp;N$14)=Recap_equipements!$B48,INDIRECT("Descriptif!I"&amp;N$14)=Recap_equipements!$C48),INDIRECT("Descriptif!M"&amp;N$14)=$D48),INDIRECT("Descriptif!F"&amp;N$14),"")</f>
        <v/>
      </c>
      <c r="P48" s="391" t="str">
        <f ca="1">IF(AND(OR(INDIRECT("Descriptif!I"&amp;O$14)=Recap_equipements!$B48,INDIRECT("Descriptif!I"&amp;O$14)=Recap_equipements!$C48),INDIRECT("Descriptif!M"&amp;O$14)=$D48),INDIRECT("Descriptif!F"&amp;O$14),"")</f>
        <v/>
      </c>
      <c r="Q48" s="391" t="str">
        <f ca="1">IF(AND(OR(INDIRECT("Descriptif!I"&amp;P$14)=Recap_equipements!$B48,INDIRECT("Descriptif!I"&amp;P$14)=Recap_equipements!$C48),INDIRECT("Descriptif!M"&amp;P$14)=$D48),INDIRECT("Descriptif!F"&amp;P$14),"")</f>
        <v/>
      </c>
      <c r="R48" s="391" t="str">
        <f ca="1">IF(AND(OR(INDIRECT("Descriptif!I"&amp;Q$14)=Recap_equipements!$B48,INDIRECT("Descriptif!I"&amp;Q$14)=Recap_equipements!$C48),INDIRECT("Descriptif!M"&amp;Q$14)=$D48),INDIRECT("Descriptif!F"&amp;Q$14),"")</f>
        <v/>
      </c>
      <c r="S48" s="391" t="str">
        <f ca="1">IF(AND(OR(INDIRECT("Descriptif!I"&amp;R$14)=Recap_equipements!$B48,INDIRECT("Descriptif!I"&amp;R$14)=Recap_equipements!$C48),INDIRECT("Descriptif!M"&amp;R$14)=$D48),INDIRECT("Descriptif!F"&amp;R$14),"")</f>
        <v/>
      </c>
      <c r="T48" s="392" t="str">
        <f ca="1">IF(AND(OR(INDIRECT("Descriptif!I"&amp;S$14)=Recap_equipements!$B48,INDIRECT("Descriptif!I"&amp;S$14)=Recap_equipements!$C48),INDIRECT("Descriptif!M"&amp;S$14)=$D48),INDIRECT("Descriptif!F"&amp;S$14),"")</f>
        <v/>
      </c>
    </row>
    <row r="49" spans="2:21" x14ac:dyDescent="0.4">
      <c r="B49" s="1551"/>
      <c r="C49" s="1554"/>
      <c r="D49" s="389" t="str">
        <f>$D$8</f>
        <v>Débitmètre gravitaire</v>
      </c>
      <c r="E49" s="389"/>
      <c r="F49" s="161" t="str">
        <f ca="1">IF(AND(OR(INDIRECT("Descriptif!I"&amp;E$14)=Recap_equipements!$B48,INDIRECT("Descriptif!I"&amp;E$14)=Recap_equipements!$C48),INDIRECT("Descriptif!M"&amp;E$14)=$D49),INDIRECT("Descriptif!F"&amp;E$14),"")</f>
        <v>A1_DO1_Q_Grav</v>
      </c>
      <c r="G49" s="161" t="str">
        <f ca="1">IF(AND(OR(INDIRECT("Descriptif!I"&amp;F$14)=Recap_equipements!$B48,INDIRECT("Descriptif!I"&amp;F$14)=Recap_equipements!$C48),INDIRECT("Descriptif!M"&amp;F$14)=$D49),INDIRECT("Descriptif!F"&amp;F$14),"")</f>
        <v/>
      </c>
      <c r="H49" s="161" t="str">
        <f ca="1">IF(AND(OR(INDIRECT("Descriptif!I"&amp;G$14)=Recap_equipements!$B48,INDIRECT("Descriptif!I"&amp;G$14)=Recap_equipements!$C48),INDIRECT("Descriptif!M"&amp;G$14)=$D49),INDIRECT("Descriptif!F"&amp;G$14),"")</f>
        <v/>
      </c>
      <c r="I49" s="161" t="str">
        <f ca="1">IF(AND(OR(INDIRECT("Descriptif!I"&amp;H$14)=Recap_equipements!$B48,INDIRECT("Descriptif!I"&amp;H$14)=Recap_equipements!$C48),INDIRECT("Descriptif!M"&amp;H$14)=$D49),INDIRECT("Descriptif!F"&amp;H$14),"")</f>
        <v/>
      </c>
      <c r="J49" s="161" t="str">
        <f ca="1">IF(AND(OR(INDIRECT("Descriptif!I"&amp;I$14)=Recap_equipements!$B48,INDIRECT("Descriptif!I"&amp;I$14)=Recap_equipements!$C48),INDIRECT("Descriptif!M"&amp;I$14)=$D49),INDIRECT("Descriptif!F"&amp;I$14),"")</f>
        <v/>
      </c>
      <c r="K49" s="161" t="str">
        <f ca="1">IF(AND(OR(INDIRECT("Descriptif!I"&amp;J$14)=Recap_equipements!$B48,INDIRECT("Descriptif!I"&amp;J$14)=Recap_equipements!$C48),INDIRECT("Descriptif!M"&amp;J$14)=$D49),INDIRECT("Descriptif!F"&amp;J$14),"")</f>
        <v/>
      </c>
      <c r="L49" s="161" t="str">
        <f ca="1">IF(AND(OR(INDIRECT("Descriptif!I"&amp;K$14)=Recap_equipements!$B48,INDIRECT("Descriptif!I"&amp;K$14)=Recap_equipements!$C48),INDIRECT("Descriptif!M"&amp;K$14)=$D49),INDIRECT("Descriptif!F"&amp;K$14),"")</f>
        <v/>
      </c>
      <c r="M49" s="161" t="str">
        <f ca="1">IF(AND(OR(INDIRECT("Descriptif!I"&amp;L$14)=Recap_equipements!$B48,INDIRECT("Descriptif!I"&amp;L$14)=Recap_equipements!$C48),INDIRECT("Descriptif!M"&amp;L$14)=$D49),INDIRECT("Descriptif!F"&amp;L$14),"")</f>
        <v/>
      </c>
      <c r="N49" s="161" t="str">
        <f ca="1">IF(AND(OR(INDIRECT("Descriptif!I"&amp;M$14)=Recap_equipements!$B48,INDIRECT("Descriptif!I"&amp;M$14)=Recap_equipements!$C48),INDIRECT("Descriptif!M"&amp;M$14)=$D49),INDIRECT("Descriptif!F"&amp;M$14),"")</f>
        <v/>
      </c>
      <c r="O49" s="161" t="str">
        <f ca="1">IF(AND(OR(INDIRECT("Descriptif!I"&amp;N$14)=Recap_equipements!$B48,INDIRECT("Descriptif!I"&amp;N$14)=Recap_equipements!$C48),INDIRECT("Descriptif!M"&amp;N$14)=$D49),INDIRECT("Descriptif!F"&amp;N$14),"")</f>
        <v/>
      </c>
      <c r="P49" s="161" t="str">
        <f ca="1">IF(AND(OR(INDIRECT("Descriptif!I"&amp;O$14)=Recap_equipements!$B48,INDIRECT("Descriptif!I"&amp;O$14)=Recap_equipements!$C48),INDIRECT("Descriptif!M"&amp;O$14)=$D49),INDIRECT("Descriptif!F"&amp;O$14),"")</f>
        <v/>
      </c>
      <c r="Q49" s="161" t="str">
        <f ca="1">IF(AND(OR(INDIRECT("Descriptif!I"&amp;P$14)=Recap_equipements!$B48,INDIRECT("Descriptif!I"&amp;P$14)=Recap_equipements!$C48),INDIRECT("Descriptif!M"&amp;P$14)=$D49),INDIRECT("Descriptif!F"&amp;P$14),"")</f>
        <v/>
      </c>
      <c r="R49" s="161" t="str">
        <f ca="1">IF(AND(OR(INDIRECT("Descriptif!I"&amp;Q$14)=Recap_equipements!$B48,INDIRECT("Descriptif!I"&amp;Q$14)=Recap_equipements!$C48),INDIRECT("Descriptif!M"&amp;Q$14)=$D49),INDIRECT("Descriptif!F"&amp;Q$14),"")</f>
        <v/>
      </c>
      <c r="S49" s="161" t="str">
        <f ca="1">IF(AND(OR(INDIRECT("Descriptif!I"&amp;R$14)=Recap_equipements!$B48,INDIRECT("Descriptif!I"&amp;R$14)=Recap_equipements!$C48),INDIRECT("Descriptif!M"&amp;R$14)=$D49),INDIRECT("Descriptif!F"&amp;R$14),"")</f>
        <v/>
      </c>
      <c r="T49" s="393" t="str">
        <f ca="1">IF(AND(OR(INDIRECT("Descriptif!I"&amp;S$14)=Recap_equipements!$B48,INDIRECT("Descriptif!I"&amp;S$14)=Recap_equipements!$C48),INDIRECT("Descriptif!M"&amp;S$14)=$D49),INDIRECT("Descriptif!F"&amp;S$14),"")</f>
        <v/>
      </c>
    </row>
    <row r="50" spans="2:21" x14ac:dyDescent="0.4">
      <c r="B50" s="1551"/>
      <c r="C50" s="1554"/>
      <c r="D50" s="389" t="str">
        <f>$D$9</f>
        <v>Préleveur</v>
      </c>
      <c r="E50" s="389"/>
      <c r="F50" s="161" t="str">
        <f ca="1">IF(AND(OR(INDIRECT("Descriptif!I"&amp;E$14)=Recap_equipements!$B48,INDIRECT("Descriptif!I"&amp;E$14)=Recap_equipements!$C48),INDIRECT("Descriptif!M"&amp;E$14)=$D50),INDIRECT("Descriptif!F"&amp;E$14),"")</f>
        <v/>
      </c>
      <c r="G50" s="161" t="str">
        <f ca="1">IF(AND(OR(INDIRECT("Descriptif!I"&amp;F$14)=Recap_equipements!$B48,INDIRECT("Descriptif!I"&amp;F$14)=Recap_equipements!$C48),INDIRECT("Descriptif!M"&amp;F$14)=$D50),INDIRECT("Descriptif!F"&amp;F$14),"")</f>
        <v/>
      </c>
      <c r="H50" s="161" t="str">
        <f ca="1">IF(AND(OR(INDIRECT("Descriptif!I"&amp;G$14)=Recap_equipements!$B48,INDIRECT("Descriptif!I"&amp;G$14)=Recap_equipements!$C48),INDIRECT("Descriptif!M"&amp;G$14)=$D50),INDIRECT("Descriptif!F"&amp;G$14),"")</f>
        <v/>
      </c>
      <c r="I50" s="161" t="str">
        <f ca="1">IF(AND(OR(INDIRECT("Descriptif!I"&amp;H$14)=Recap_equipements!$B48,INDIRECT("Descriptif!I"&amp;H$14)=Recap_equipements!$C48),INDIRECT("Descriptif!M"&amp;H$14)=$D50),INDIRECT("Descriptif!F"&amp;H$14),"")</f>
        <v/>
      </c>
      <c r="J50" s="161" t="str">
        <f ca="1">IF(AND(OR(INDIRECT("Descriptif!I"&amp;I$14)=Recap_equipements!$B48,INDIRECT("Descriptif!I"&amp;I$14)=Recap_equipements!$C48),INDIRECT("Descriptif!M"&amp;I$14)=$D50),INDIRECT("Descriptif!F"&amp;I$14),"")</f>
        <v/>
      </c>
      <c r="K50" s="161" t="str">
        <f ca="1">IF(AND(OR(INDIRECT("Descriptif!I"&amp;J$14)=Recap_equipements!$B48,INDIRECT("Descriptif!I"&amp;J$14)=Recap_equipements!$C48),INDIRECT("Descriptif!M"&amp;J$14)=$D50),INDIRECT("Descriptif!F"&amp;J$14),"")</f>
        <v/>
      </c>
      <c r="L50" s="161" t="str">
        <f ca="1">IF(AND(OR(INDIRECT("Descriptif!I"&amp;K$14)=Recap_equipements!$B48,INDIRECT("Descriptif!I"&amp;K$14)=Recap_equipements!$C48),INDIRECT("Descriptif!M"&amp;K$14)=$D50),INDIRECT("Descriptif!F"&amp;K$14),"")</f>
        <v/>
      </c>
      <c r="M50" s="161" t="str">
        <f ca="1">IF(AND(OR(INDIRECT("Descriptif!I"&amp;L$14)=Recap_equipements!$B48,INDIRECT("Descriptif!I"&amp;L$14)=Recap_equipements!$C48),INDIRECT("Descriptif!M"&amp;L$14)=$D50),INDIRECT("Descriptif!F"&amp;L$14),"")</f>
        <v/>
      </c>
      <c r="N50" s="161" t="str">
        <f ca="1">IF(AND(OR(INDIRECT("Descriptif!I"&amp;M$14)=Recap_equipements!$B48,INDIRECT("Descriptif!I"&amp;M$14)=Recap_equipements!$C48),INDIRECT("Descriptif!M"&amp;M$14)=$D50),INDIRECT("Descriptif!F"&amp;M$14),"")</f>
        <v/>
      </c>
      <c r="O50" s="161" t="str">
        <f ca="1">IF(AND(OR(INDIRECT("Descriptif!I"&amp;N$14)=Recap_equipements!$B48,INDIRECT("Descriptif!I"&amp;N$14)=Recap_equipements!$C48),INDIRECT("Descriptif!M"&amp;N$14)=$D50),INDIRECT("Descriptif!F"&amp;N$14),"")</f>
        <v/>
      </c>
      <c r="P50" s="161" t="str">
        <f ca="1">IF(AND(OR(INDIRECT("Descriptif!I"&amp;O$14)=Recap_equipements!$B48,INDIRECT("Descriptif!I"&amp;O$14)=Recap_equipements!$C48),INDIRECT("Descriptif!M"&amp;O$14)=$D50),INDIRECT("Descriptif!F"&amp;O$14),"")</f>
        <v/>
      </c>
      <c r="Q50" s="161" t="str">
        <f ca="1">IF(AND(OR(INDIRECT("Descriptif!I"&amp;P$14)=Recap_equipements!$B48,INDIRECT("Descriptif!I"&amp;P$14)=Recap_equipements!$C48),INDIRECT("Descriptif!M"&amp;P$14)=$D50),INDIRECT("Descriptif!F"&amp;P$14),"")</f>
        <v/>
      </c>
      <c r="R50" s="161" t="str">
        <f ca="1">IF(AND(OR(INDIRECT("Descriptif!I"&amp;Q$14)=Recap_equipements!$B48,INDIRECT("Descriptif!I"&amp;Q$14)=Recap_equipements!$C48),INDIRECT("Descriptif!M"&amp;Q$14)=$D50),INDIRECT("Descriptif!F"&amp;Q$14),"")</f>
        <v/>
      </c>
      <c r="S50" s="161" t="str">
        <f ca="1">IF(AND(OR(INDIRECT("Descriptif!I"&amp;R$14)=Recap_equipements!$B48,INDIRECT("Descriptif!I"&amp;R$14)=Recap_equipements!$C48),INDIRECT("Descriptif!M"&amp;R$14)=$D50),INDIRECT("Descriptif!F"&amp;R$14),"")</f>
        <v/>
      </c>
      <c r="T50" s="393" t="str">
        <f ca="1">IF(AND(OR(INDIRECT("Descriptif!I"&amp;S$14)=Recap_equipements!$B48,INDIRECT("Descriptif!I"&amp;S$14)=Recap_equipements!$C48),INDIRECT("Descriptif!M"&amp;S$14)=$D50),INDIRECT("Descriptif!F"&amp;S$14),"")</f>
        <v/>
      </c>
    </row>
    <row r="51" spans="2:21" x14ac:dyDescent="0.4">
      <c r="B51" s="1551"/>
      <c r="C51" s="1554"/>
      <c r="D51" s="1706" t="s">
        <v>783</v>
      </c>
      <c r="E51" s="1706"/>
      <c r="F51" s="1708" t="str">
        <f ca="1">IF(F50&lt;&gt;"",VLOOKUP(F50,Analytique!$X$3:$AD$33,1,FALSE),"")</f>
        <v/>
      </c>
      <c r="G51" s="1708" t="str">
        <f ca="1">IF(G50&lt;&gt;"",VLOOKUP(G50,Analytique!$X$3:$AD$33,1,FALSE),"")</f>
        <v/>
      </c>
      <c r="H51" s="1708" t="str">
        <f ca="1">IF(H50&lt;&gt;"",VLOOKUP(H50,Analytique!$X$3:$AD$33,1,FALSE),"")</f>
        <v/>
      </c>
      <c r="I51" s="1708" t="str">
        <f ca="1">IF(I50&lt;&gt;"",VLOOKUP(I50,Analytique!$X$3:$AD$33,1,FALSE),"")</f>
        <v/>
      </c>
      <c r="J51" s="1708" t="str">
        <f ca="1">IF(J50&lt;&gt;"",VLOOKUP(J50,Analytique!$X$3:$AD$33,1,FALSE),"")</f>
        <v/>
      </c>
      <c r="K51" s="1708" t="str">
        <f ca="1">IF(K50&lt;&gt;"",VLOOKUP(K50,Analytique!$X$3:$AD$33,1,FALSE),"")</f>
        <v/>
      </c>
      <c r="L51" s="1708" t="str">
        <f ca="1">IF(L50&lt;&gt;"",VLOOKUP(L50,Analytique!$X$3:$AD$33,1,FALSE),"")</f>
        <v/>
      </c>
      <c r="M51" s="1708" t="str">
        <f ca="1">IF(M50&lt;&gt;"",VLOOKUP(M50,Analytique!$X$3:$AD$33,1,FALSE),"")</f>
        <v/>
      </c>
      <c r="N51" s="1708" t="str">
        <f ca="1">IF(N50&lt;&gt;"",VLOOKUP(N50,Analytique!$X$3:$AD$33,1,FALSE),"")</f>
        <v/>
      </c>
      <c r="O51" s="1708" t="str">
        <f ca="1">IF(O50&lt;&gt;"",VLOOKUP(O50,Analytique!$X$3:$AD$33,1,FALSE),"")</f>
        <v/>
      </c>
      <c r="P51" s="1708" t="str">
        <f ca="1">IF(P50&lt;&gt;"",VLOOKUP(P50,Analytique!$X$3:$AD$33,1,FALSE),"")</f>
        <v/>
      </c>
      <c r="Q51" s="1708" t="str">
        <f ca="1">IF(Q50&lt;&gt;"",VLOOKUP(Q50,Analytique!$X$3:$AD$33,1,FALSE),"")</f>
        <v/>
      </c>
      <c r="R51" s="1708" t="str">
        <f ca="1">IF(R50&lt;&gt;"",VLOOKUP(R50,Analytique!$X$3:$AD$33,1,FALSE),"")</f>
        <v/>
      </c>
      <c r="S51" s="1708" t="str">
        <f ca="1">IF(S50&lt;&gt;"",VLOOKUP(S50,Analytique!$X$3:$AD$33,1,FALSE),"")</f>
        <v/>
      </c>
      <c r="T51" s="1709" t="str">
        <f ca="1">IF(T50&lt;&gt;"",VLOOKUP(T50,Analytique!$X$3:$AD$33,1,FALSE),"")</f>
        <v/>
      </c>
    </row>
    <row r="52" spans="2:21" ht="13" thickBot="1" x14ac:dyDescent="0.45">
      <c r="B52" s="1552"/>
      <c r="C52" s="1555"/>
      <c r="D52" s="394" t="str">
        <f>$D$10</f>
        <v>Sonde de température</v>
      </c>
      <c r="E52" s="394"/>
      <c r="F52" s="395" t="str">
        <f ca="1">IF(AND(OR(INDIRECT("Descriptif!I"&amp;E$14)=Recap_equipements!$B48,INDIRECT("Descriptif!I"&amp;E$14)=Recap_equipements!$C48),INDIRECT("Descriptif!M"&amp;E$14)=$D52),INDIRECT("Descriptif!F"&amp;E$14),"")</f>
        <v/>
      </c>
      <c r="G52" s="395" t="str">
        <f ca="1">IF(AND(OR(INDIRECT("Descriptif!I"&amp;F$14)=Recap_equipements!$B48,INDIRECT("Descriptif!I"&amp;F$14)=Recap_equipements!$C48),INDIRECT("Descriptif!M"&amp;F$14)=$D52),INDIRECT("Descriptif!F"&amp;F$14),"")</f>
        <v/>
      </c>
      <c r="H52" s="395" t="str">
        <f ca="1">IF(AND(OR(INDIRECT("Descriptif!I"&amp;G$14)=Recap_equipements!$B48,INDIRECT("Descriptif!I"&amp;G$14)=Recap_equipements!$C48),INDIRECT("Descriptif!M"&amp;G$14)=$D52),INDIRECT("Descriptif!F"&amp;G$14),"")</f>
        <v/>
      </c>
      <c r="I52" s="395" t="str">
        <f ca="1">IF(AND(OR(INDIRECT("Descriptif!I"&amp;H$14)=Recap_equipements!$B48,INDIRECT("Descriptif!I"&amp;H$14)=Recap_equipements!$C48),INDIRECT("Descriptif!M"&amp;H$14)=$D52),INDIRECT("Descriptif!F"&amp;H$14),"")</f>
        <v/>
      </c>
      <c r="J52" s="395" t="str">
        <f ca="1">IF(AND(OR(INDIRECT("Descriptif!I"&amp;I$14)=Recap_equipements!$B48,INDIRECT("Descriptif!I"&amp;I$14)=Recap_equipements!$C48),INDIRECT("Descriptif!M"&amp;I$14)=$D52),INDIRECT("Descriptif!F"&amp;I$14),"")</f>
        <v/>
      </c>
      <c r="K52" s="395" t="str">
        <f ca="1">IF(AND(OR(INDIRECT("Descriptif!I"&amp;J$14)=Recap_equipements!$B48,INDIRECT("Descriptif!I"&amp;J$14)=Recap_equipements!$C48),INDIRECT("Descriptif!M"&amp;J$14)=$D52),INDIRECT("Descriptif!F"&amp;J$14),"")</f>
        <v/>
      </c>
      <c r="L52" s="395" t="str">
        <f ca="1">IF(AND(OR(INDIRECT("Descriptif!I"&amp;K$14)=Recap_equipements!$B48,INDIRECT("Descriptif!I"&amp;K$14)=Recap_equipements!$C48),INDIRECT("Descriptif!M"&amp;K$14)=$D52),INDIRECT("Descriptif!F"&amp;K$14),"")</f>
        <v/>
      </c>
      <c r="M52" s="395" t="str">
        <f ca="1">IF(AND(OR(INDIRECT("Descriptif!I"&amp;L$14)=Recap_equipements!$B48,INDIRECT("Descriptif!I"&amp;L$14)=Recap_equipements!$C48),INDIRECT("Descriptif!M"&amp;L$14)=$D52),INDIRECT("Descriptif!F"&amp;L$14),"")</f>
        <v/>
      </c>
      <c r="N52" s="395" t="str">
        <f ca="1">IF(AND(OR(INDIRECT("Descriptif!I"&amp;M$14)=Recap_equipements!$B48,INDIRECT("Descriptif!I"&amp;M$14)=Recap_equipements!$C48),INDIRECT("Descriptif!M"&amp;M$14)=$D52),INDIRECT("Descriptif!F"&amp;M$14),"")</f>
        <v/>
      </c>
      <c r="O52" s="395" t="str">
        <f ca="1">IF(AND(OR(INDIRECT("Descriptif!I"&amp;N$14)=Recap_equipements!$B48,INDIRECT("Descriptif!I"&amp;N$14)=Recap_equipements!$C48),INDIRECT("Descriptif!M"&amp;N$14)=$D52),INDIRECT("Descriptif!F"&amp;N$14),"")</f>
        <v/>
      </c>
      <c r="P52" s="395" t="str">
        <f ca="1">IF(AND(OR(INDIRECT("Descriptif!I"&amp;O$14)=Recap_equipements!$B48,INDIRECT("Descriptif!I"&amp;O$14)=Recap_equipements!$C48),INDIRECT("Descriptif!M"&amp;O$14)=$D52),INDIRECT("Descriptif!F"&amp;O$14),"")</f>
        <v/>
      </c>
      <c r="Q52" s="395" t="str">
        <f ca="1">IF(AND(OR(INDIRECT("Descriptif!I"&amp;P$14)=Recap_equipements!$B48,INDIRECT("Descriptif!I"&amp;P$14)=Recap_equipements!$C48),INDIRECT("Descriptif!M"&amp;P$14)=$D52),INDIRECT("Descriptif!F"&amp;P$14),"")</f>
        <v/>
      </c>
      <c r="R52" s="395" t="str">
        <f ca="1">IF(AND(OR(INDIRECT("Descriptif!I"&amp;Q$14)=Recap_equipements!$B48,INDIRECT("Descriptif!I"&amp;Q$14)=Recap_equipements!$C48),INDIRECT("Descriptif!M"&amp;Q$14)=$D52),INDIRECT("Descriptif!F"&amp;Q$14),"")</f>
        <v/>
      </c>
      <c r="S52" s="395" t="str">
        <f ca="1">IF(AND(OR(INDIRECT("Descriptif!I"&amp;R$14)=Recap_equipements!$B48,INDIRECT("Descriptif!I"&amp;R$14)=Recap_equipements!$C48),INDIRECT("Descriptif!M"&amp;R$14)=$D52),INDIRECT("Descriptif!F"&amp;R$14),"")</f>
        <v/>
      </c>
      <c r="T52" s="396" t="str">
        <f ca="1">IF(AND(OR(INDIRECT("Descriptif!I"&amp;S$14)=Recap_equipements!$B48,INDIRECT("Descriptif!I"&amp;S$14)=Recap_equipements!$C48),INDIRECT("Descriptif!M"&amp;S$14)=$D52),INDIRECT("Descriptif!F"&amp;S$14),"")</f>
        <v/>
      </c>
    </row>
    <row r="53" spans="2:21" x14ac:dyDescent="0.4">
      <c r="B53" s="1550" t="s">
        <v>184</v>
      </c>
      <c r="C53" s="1553" t="s">
        <v>191</v>
      </c>
      <c r="D53" s="390" t="str">
        <f>$D$7</f>
        <v>Débitmètre en charge</v>
      </c>
      <c r="E53" s="390"/>
      <c r="F53" s="391" t="str">
        <f ca="1">IF(AND(OR(INDIRECT("Descriptif!I"&amp;E$13)=Recap_equipements!$B53,INDIRECT("Descriptif!I"&amp;E$13)=Recap_equipements!$C53),INDIRECT("Descriptif!M"&amp;E$13)=$D53),INDIRECT("Descriptif!F"&amp;E$13),"")</f>
        <v/>
      </c>
      <c r="G53" s="391" t="str">
        <f ca="1">IF(AND(OR(INDIRECT("Descriptif!I"&amp;F$13)=Recap_equipements!$B53,INDIRECT("Descriptif!I"&amp;F$13)=Recap_equipements!$C53),INDIRECT("Descriptif!M"&amp;F$13)=$D53),INDIRECT("Descriptif!F"&amp;F$13),"")</f>
        <v/>
      </c>
      <c r="H53" s="391" t="str">
        <f ca="1">IF(AND(OR(INDIRECT("Descriptif!I"&amp;G$13)=Recap_equipements!$B53,INDIRECT("Descriptif!I"&amp;G$13)=Recap_equipements!$C53),INDIRECT("Descriptif!M"&amp;G$13)=$D53),INDIRECT("Descriptif!F"&amp;G$13),"")</f>
        <v/>
      </c>
      <c r="I53" s="391" t="str">
        <f ca="1">IF(AND(OR(INDIRECT("Descriptif!I"&amp;H$13)=Recap_equipements!$B53,INDIRECT("Descriptif!I"&amp;H$13)=Recap_equipements!$C53),INDIRECT("Descriptif!M"&amp;H$13)=$D53),INDIRECT("Descriptif!F"&amp;H$13),"")</f>
        <v/>
      </c>
      <c r="J53" s="391" t="str">
        <f ca="1">IF(AND(OR(INDIRECT("Descriptif!I"&amp;I$13)=Recap_equipements!$B53,INDIRECT("Descriptif!I"&amp;I$13)=Recap_equipements!$C53),INDIRECT("Descriptif!M"&amp;I$13)=$D53),INDIRECT("Descriptif!F"&amp;I$13),"")</f>
        <v/>
      </c>
      <c r="K53" s="391" t="str">
        <f ca="1">IF(AND(OR(INDIRECT("Descriptif!I"&amp;J$13)=Recap_equipements!$B53,INDIRECT("Descriptif!I"&amp;J$13)=Recap_equipements!$C53),INDIRECT("Descriptif!M"&amp;J$13)=$D53),INDIRECT("Descriptif!F"&amp;J$13),"")</f>
        <v/>
      </c>
      <c r="L53" s="391" t="str">
        <f ca="1">IF(AND(OR(INDIRECT("Descriptif!I"&amp;K$13)=Recap_equipements!$B53,INDIRECT("Descriptif!I"&amp;K$13)=Recap_equipements!$C53),INDIRECT("Descriptif!M"&amp;K$13)=$D53),INDIRECT("Descriptif!F"&amp;K$13),"")</f>
        <v/>
      </c>
      <c r="M53" s="391" t="str">
        <f ca="1">IF(AND(OR(INDIRECT("Descriptif!I"&amp;L$13)=Recap_equipements!$B53,INDIRECT("Descriptif!I"&amp;L$13)=Recap_equipements!$C53),INDIRECT("Descriptif!M"&amp;L$13)=$D53),INDIRECT("Descriptif!F"&amp;L$13),"")</f>
        <v/>
      </c>
      <c r="N53" s="391" t="str">
        <f ca="1">IF(AND(OR(INDIRECT("Descriptif!I"&amp;M$13)=Recap_equipements!$B53,INDIRECT("Descriptif!I"&amp;M$13)=Recap_equipements!$C53),INDIRECT("Descriptif!M"&amp;M$13)=$D53),INDIRECT("Descriptif!F"&amp;M$13),"")</f>
        <v/>
      </c>
      <c r="O53" s="391" t="str">
        <f ca="1">IF(AND(OR(INDIRECT("Descriptif!I"&amp;N$13)=Recap_equipements!$B53,INDIRECT("Descriptif!I"&amp;N$13)=Recap_equipements!$C53),INDIRECT("Descriptif!M"&amp;N$13)=$D53),INDIRECT("Descriptif!F"&amp;N$13),"")</f>
        <v/>
      </c>
      <c r="P53" s="391" t="str">
        <f ca="1">IF(AND(OR(INDIRECT("Descriptif!I"&amp;O$13)=Recap_equipements!$B53,INDIRECT("Descriptif!I"&amp;O$13)=Recap_equipements!$C53),INDIRECT("Descriptif!M"&amp;O$13)=$D53),INDIRECT("Descriptif!F"&amp;O$13),"")</f>
        <v/>
      </c>
      <c r="Q53" s="391" t="str">
        <f ca="1">IF(AND(OR(INDIRECT("Descriptif!I"&amp;P$13)=Recap_equipements!$B53,INDIRECT("Descriptif!I"&amp;P$13)=Recap_equipements!$C53),INDIRECT("Descriptif!M"&amp;P$13)=$D53),INDIRECT("Descriptif!F"&amp;P$13),"")</f>
        <v/>
      </c>
      <c r="R53" s="391" t="str">
        <f ca="1">IF(AND(OR(INDIRECT("Descriptif!I"&amp;Q$13)=Recap_equipements!$B53,INDIRECT("Descriptif!I"&amp;Q$13)=Recap_equipements!$C53),INDIRECT("Descriptif!M"&amp;Q$13)=$D53),INDIRECT("Descriptif!F"&amp;Q$13),"")</f>
        <v/>
      </c>
      <c r="S53" s="391" t="str">
        <f ca="1">IF(AND(OR(INDIRECT("Descriptif!I"&amp;R$13)=Recap_equipements!$B53,INDIRECT("Descriptif!I"&amp;R$13)=Recap_equipements!$C53),INDIRECT("Descriptif!M"&amp;R$13)=$D53),INDIRECT("Descriptif!F"&amp;R$13),"")</f>
        <v/>
      </c>
      <c r="T53" s="392" t="str">
        <f ca="1">IF(AND(OR(INDIRECT("Descriptif!I"&amp;S$13)=Recap_equipements!$B53,INDIRECT("Descriptif!I"&amp;S$13)=Recap_equipements!$C53),INDIRECT("Descriptif!M"&amp;S$13)=$D53),INDIRECT("Descriptif!F"&amp;S$13),"")</f>
        <v/>
      </c>
    </row>
    <row r="54" spans="2:21" x14ac:dyDescent="0.4">
      <c r="B54" s="1551"/>
      <c r="C54" s="1554"/>
      <c r="D54" s="389" t="str">
        <f>$D$8</f>
        <v>Débitmètre gravitaire</v>
      </c>
      <c r="E54" s="389"/>
      <c r="F54" s="161" t="str">
        <f ca="1">IF(AND(OR(INDIRECT("Descriptif!I"&amp;E$13)=Recap_equipements!$B53,INDIRECT("Descriptif!I"&amp;E$13)=Recap_equipements!$C53),INDIRECT("Descriptif!M"&amp;E$13)=$D54),INDIRECT("Descriptif!F"&amp;E$13),"")</f>
        <v/>
      </c>
      <c r="G54" s="161" t="str">
        <f ca="1">IF(AND(OR(INDIRECT("Descriptif!I"&amp;F$13)=Recap_equipements!$B53,INDIRECT("Descriptif!I"&amp;F$13)=Recap_equipements!$C53),INDIRECT("Descriptif!M"&amp;F$13)=$D54),INDIRECT("Descriptif!F"&amp;F$13),"")</f>
        <v/>
      </c>
      <c r="H54" s="161" t="str">
        <f ca="1">IF(AND(OR(INDIRECT("Descriptif!I"&amp;G$13)=Recap_equipements!$B53,INDIRECT("Descriptif!I"&amp;G$13)=Recap_equipements!$C53),INDIRECT("Descriptif!M"&amp;G$13)=$D54),INDIRECT("Descriptif!F"&amp;G$13),"")</f>
        <v/>
      </c>
      <c r="I54" s="161" t="str">
        <f ca="1">IF(AND(OR(INDIRECT("Descriptif!I"&amp;H$13)=Recap_equipements!$B53,INDIRECT("Descriptif!I"&amp;H$13)=Recap_equipements!$C53),INDIRECT("Descriptif!M"&amp;H$13)=$D54),INDIRECT("Descriptif!F"&amp;H$13),"")</f>
        <v/>
      </c>
      <c r="J54" s="161" t="str">
        <f ca="1">IF(AND(OR(INDIRECT("Descriptif!I"&amp;I$13)=Recap_equipements!$B53,INDIRECT("Descriptif!I"&amp;I$13)=Recap_equipements!$C53),INDIRECT("Descriptif!M"&amp;I$13)=$D54),INDIRECT("Descriptif!F"&amp;I$13),"")</f>
        <v/>
      </c>
      <c r="K54" s="161" t="str">
        <f ca="1">IF(AND(OR(INDIRECT("Descriptif!I"&amp;J$13)=Recap_equipements!$B53,INDIRECT("Descriptif!I"&amp;J$13)=Recap_equipements!$C53),INDIRECT("Descriptif!M"&amp;J$13)=$D54),INDIRECT("Descriptif!F"&amp;J$13),"")</f>
        <v/>
      </c>
      <c r="L54" s="161" t="str">
        <f ca="1">IF(AND(OR(INDIRECT("Descriptif!I"&amp;K$13)=Recap_equipements!$B53,INDIRECT("Descriptif!I"&amp;K$13)=Recap_equipements!$C53),INDIRECT("Descriptif!M"&amp;K$13)=$D54),INDIRECT("Descriptif!F"&amp;K$13),"")</f>
        <v/>
      </c>
      <c r="M54" s="161" t="str">
        <f ca="1">IF(AND(OR(INDIRECT("Descriptif!I"&amp;L$13)=Recap_equipements!$B53,INDIRECT("Descriptif!I"&amp;L$13)=Recap_equipements!$C53),INDIRECT("Descriptif!M"&amp;L$13)=$D54),INDIRECT("Descriptif!F"&amp;L$13),"")</f>
        <v/>
      </c>
      <c r="N54" s="161" t="str">
        <f ca="1">IF(AND(OR(INDIRECT("Descriptif!I"&amp;M$13)=Recap_equipements!$B53,INDIRECT("Descriptif!I"&amp;M$13)=Recap_equipements!$C53),INDIRECT("Descriptif!M"&amp;M$13)=$D54),INDIRECT("Descriptif!F"&amp;M$13),"")</f>
        <v/>
      </c>
      <c r="O54" s="161" t="str">
        <f ca="1">IF(AND(OR(INDIRECT("Descriptif!I"&amp;N$13)=Recap_equipements!$B53,INDIRECT("Descriptif!I"&amp;N$13)=Recap_equipements!$C53),INDIRECT("Descriptif!M"&amp;N$13)=$D54),INDIRECT("Descriptif!F"&amp;N$13),"")</f>
        <v/>
      </c>
      <c r="P54" s="161" t="str">
        <f ca="1">IF(AND(OR(INDIRECT("Descriptif!I"&amp;O$13)=Recap_equipements!$B53,INDIRECT("Descriptif!I"&amp;O$13)=Recap_equipements!$C53),INDIRECT("Descriptif!M"&amp;O$13)=$D54),INDIRECT("Descriptif!F"&amp;O$13),"")</f>
        <v/>
      </c>
      <c r="Q54" s="161" t="str">
        <f ca="1">IF(AND(OR(INDIRECT("Descriptif!I"&amp;P$13)=Recap_equipements!$B53,INDIRECT("Descriptif!I"&amp;P$13)=Recap_equipements!$C53),INDIRECT("Descriptif!M"&amp;P$13)=$D54),INDIRECT("Descriptif!F"&amp;P$13),"")</f>
        <v/>
      </c>
      <c r="R54" s="161" t="str">
        <f ca="1">IF(AND(OR(INDIRECT("Descriptif!I"&amp;Q$13)=Recap_equipements!$B53,INDIRECT("Descriptif!I"&amp;Q$13)=Recap_equipements!$C53),INDIRECT("Descriptif!M"&amp;Q$13)=$D54),INDIRECT("Descriptif!F"&amp;Q$13),"")</f>
        <v/>
      </c>
      <c r="S54" s="161" t="str">
        <f ca="1">IF(AND(OR(INDIRECT("Descriptif!I"&amp;R$13)=Recap_equipements!$B53,INDIRECT("Descriptif!I"&amp;R$13)=Recap_equipements!$C53),INDIRECT("Descriptif!M"&amp;R$13)=$D54),INDIRECT("Descriptif!F"&amp;R$13),"")</f>
        <v/>
      </c>
      <c r="T54" s="393" t="str">
        <f ca="1">IF(AND(OR(INDIRECT("Descriptif!I"&amp;S$13)=Recap_equipements!$B53,INDIRECT("Descriptif!I"&amp;S$13)=Recap_equipements!$C53),INDIRECT("Descriptif!M"&amp;S$13)=$D54),INDIRECT("Descriptif!F"&amp;S$13),"")</f>
        <v/>
      </c>
    </row>
    <row r="55" spans="2:21" x14ac:dyDescent="0.4">
      <c r="B55" s="1551"/>
      <c r="C55" s="1554"/>
      <c r="D55" s="389" t="str">
        <f>$D$9</f>
        <v>Préleveur</v>
      </c>
      <c r="E55" s="389"/>
      <c r="F55" s="161" t="str">
        <f ca="1">IF(AND(OR(INDIRECT("Descriptif!I"&amp;E$13)=Recap_equipements!$B53,INDIRECT("Descriptif!I"&amp;E$13)=Recap_equipements!$C53),INDIRECT("Descriptif!M"&amp;E$13)=$D55),INDIRECT("Descriptif!F"&amp;E$13),"")</f>
        <v/>
      </c>
      <c r="G55" s="161" t="str">
        <f ca="1">IF(AND(OR(INDIRECT("Descriptif!I"&amp;F$13)=Recap_equipements!$B53,INDIRECT("Descriptif!I"&amp;F$13)=Recap_equipements!$C53),INDIRECT("Descriptif!M"&amp;F$13)=$D55),INDIRECT("Descriptif!F"&amp;F$13),"")</f>
        <v/>
      </c>
      <c r="H55" s="161" t="str">
        <f ca="1">IF(AND(OR(INDIRECT("Descriptif!I"&amp;G$13)=Recap_equipements!$B53,INDIRECT("Descriptif!I"&amp;G$13)=Recap_equipements!$C53),INDIRECT("Descriptif!M"&amp;G$13)=$D55),INDIRECT("Descriptif!F"&amp;G$13),"")</f>
        <v/>
      </c>
      <c r="I55" s="161" t="str">
        <f ca="1">IF(AND(OR(INDIRECT("Descriptif!I"&amp;H$13)=Recap_equipements!$B53,INDIRECT("Descriptif!I"&amp;H$13)=Recap_equipements!$C53),INDIRECT("Descriptif!M"&amp;H$13)=$D55),INDIRECT("Descriptif!F"&amp;H$13),"")</f>
        <v/>
      </c>
      <c r="J55" s="161" t="str">
        <f ca="1">IF(AND(OR(INDIRECT("Descriptif!I"&amp;I$13)=Recap_equipements!$B53,INDIRECT("Descriptif!I"&amp;I$13)=Recap_equipements!$C53),INDIRECT("Descriptif!M"&amp;I$13)=$D55),INDIRECT("Descriptif!F"&amp;I$13),"")</f>
        <v/>
      </c>
      <c r="K55" s="161" t="str">
        <f ca="1">IF(AND(OR(INDIRECT("Descriptif!I"&amp;J$13)=Recap_equipements!$B53,INDIRECT("Descriptif!I"&amp;J$13)=Recap_equipements!$C53),INDIRECT("Descriptif!M"&amp;J$13)=$D55),INDIRECT("Descriptif!F"&amp;J$13),"")</f>
        <v/>
      </c>
      <c r="L55" s="161" t="str">
        <f ca="1">IF(AND(OR(INDIRECT("Descriptif!I"&amp;K$13)=Recap_equipements!$B53,INDIRECT("Descriptif!I"&amp;K$13)=Recap_equipements!$C53),INDIRECT("Descriptif!M"&amp;K$13)=$D55),INDIRECT("Descriptif!F"&amp;K$13),"")</f>
        <v/>
      </c>
      <c r="M55" s="161" t="str">
        <f ca="1">IF(AND(OR(INDIRECT("Descriptif!I"&amp;L$13)=Recap_equipements!$B53,INDIRECT("Descriptif!I"&amp;L$13)=Recap_equipements!$C53),INDIRECT("Descriptif!M"&amp;L$13)=$D55),INDIRECT("Descriptif!F"&amp;L$13),"")</f>
        <v/>
      </c>
      <c r="N55" s="161" t="str">
        <f ca="1">IF(AND(OR(INDIRECT("Descriptif!I"&amp;M$13)=Recap_equipements!$B53,INDIRECT("Descriptif!I"&amp;M$13)=Recap_equipements!$C53),INDIRECT("Descriptif!M"&amp;M$13)=$D55),INDIRECT("Descriptif!F"&amp;M$13),"")</f>
        <v/>
      </c>
      <c r="O55" s="161" t="str">
        <f ca="1">IF(AND(OR(INDIRECT("Descriptif!I"&amp;N$13)=Recap_equipements!$B53,INDIRECT("Descriptif!I"&amp;N$13)=Recap_equipements!$C53),INDIRECT("Descriptif!M"&amp;N$13)=$D55),INDIRECT("Descriptif!F"&amp;N$13),"")</f>
        <v/>
      </c>
      <c r="P55" s="161" t="str">
        <f ca="1">IF(AND(OR(INDIRECT("Descriptif!I"&amp;O$13)=Recap_equipements!$B53,INDIRECT("Descriptif!I"&amp;O$13)=Recap_equipements!$C53),INDIRECT("Descriptif!M"&amp;O$13)=$D55),INDIRECT("Descriptif!F"&amp;O$13),"")</f>
        <v/>
      </c>
      <c r="Q55" s="161" t="str">
        <f ca="1">IF(AND(OR(INDIRECT("Descriptif!I"&amp;P$13)=Recap_equipements!$B53,INDIRECT("Descriptif!I"&amp;P$13)=Recap_equipements!$C53),INDIRECT("Descriptif!M"&amp;P$13)=$D55),INDIRECT("Descriptif!F"&amp;P$13),"")</f>
        <v/>
      </c>
      <c r="R55" s="161" t="str">
        <f ca="1">IF(AND(OR(INDIRECT("Descriptif!I"&amp;Q$13)=Recap_equipements!$B53,INDIRECT("Descriptif!I"&amp;Q$13)=Recap_equipements!$C53),INDIRECT("Descriptif!M"&amp;Q$13)=$D55),INDIRECT("Descriptif!F"&amp;Q$13),"")</f>
        <v/>
      </c>
      <c r="S55" s="161" t="str">
        <f ca="1">IF(AND(OR(INDIRECT("Descriptif!I"&amp;R$13)=Recap_equipements!$B53,INDIRECT("Descriptif!I"&amp;R$13)=Recap_equipements!$C53),INDIRECT("Descriptif!M"&amp;R$13)=$D55),INDIRECT("Descriptif!F"&amp;R$13),"")</f>
        <v/>
      </c>
      <c r="T55" s="393" t="str">
        <f ca="1">IF(AND(OR(INDIRECT("Descriptif!I"&amp;S$13)=Recap_equipements!$B53,INDIRECT("Descriptif!I"&amp;S$13)=Recap_equipements!$C53),INDIRECT("Descriptif!M"&amp;S$13)=$D55),INDIRECT("Descriptif!F"&amp;S$13),"")</f>
        <v/>
      </c>
    </row>
    <row r="56" spans="2:21" x14ac:dyDescent="0.4">
      <c r="B56" s="1551"/>
      <c r="C56" s="1554"/>
      <c r="D56" s="1706" t="s">
        <v>783</v>
      </c>
      <c r="E56" s="1706"/>
      <c r="F56" s="1708" t="str">
        <f ca="1">IF(F55&lt;&gt;"",VLOOKUP(F55,Analytique!$X$3:$AD$33,1,FALSE),"")</f>
        <v/>
      </c>
      <c r="G56" s="1708" t="str">
        <f ca="1">IF(G55&lt;&gt;"",VLOOKUP(G55,Analytique!$X$3:$AD$33,1,FALSE),"")</f>
        <v/>
      </c>
      <c r="H56" s="1708" t="str">
        <f ca="1">IF(H55&lt;&gt;"",VLOOKUP(H55,Analytique!$X$3:$AD$33,1,FALSE),"")</f>
        <v/>
      </c>
      <c r="I56" s="1708" t="str">
        <f ca="1">IF(I55&lt;&gt;"",VLOOKUP(I55,Analytique!$X$3:$AD$33,1,FALSE),"")</f>
        <v/>
      </c>
      <c r="J56" s="1708" t="str">
        <f ca="1">IF(J55&lt;&gt;"",VLOOKUP(J55,Analytique!$X$3:$AD$33,1,FALSE),"")</f>
        <v/>
      </c>
      <c r="K56" s="1708" t="str">
        <f ca="1">IF(K55&lt;&gt;"",VLOOKUP(K55,Analytique!$X$3:$AD$33,1,FALSE),"")</f>
        <v/>
      </c>
      <c r="L56" s="1708" t="str">
        <f ca="1">IF(L55&lt;&gt;"",VLOOKUP(L55,Analytique!$X$3:$AD$33,1,FALSE),"")</f>
        <v/>
      </c>
      <c r="M56" s="1708" t="str">
        <f ca="1">IF(M55&lt;&gt;"",VLOOKUP(M55,Analytique!$X$3:$AD$33,1,FALSE),"")</f>
        <v/>
      </c>
      <c r="N56" s="1708" t="str">
        <f ca="1">IF(N55&lt;&gt;"",VLOOKUP(N55,Analytique!$X$3:$AD$33,1,FALSE),"")</f>
        <v/>
      </c>
      <c r="O56" s="1708" t="str">
        <f ca="1">IF(O55&lt;&gt;"",VLOOKUP(O55,Analytique!$X$3:$AD$33,1,FALSE),"")</f>
        <v/>
      </c>
      <c r="P56" s="1708" t="str">
        <f ca="1">IF(P55&lt;&gt;"",VLOOKUP(P55,Analytique!$X$3:$AD$33,1,FALSE),"")</f>
        <v/>
      </c>
      <c r="Q56" s="1708" t="str">
        <f ca="1">IF(Q55&lt;&gt;"",VLOOKUP(Q55,Analytique!$X$3:$AD$33,1,FALSE),"")</f>
        <v/>
      </c>
      <c r="R56" s="1708" t="str">
        <f ca="1">IF(R55&lt;&gt;"",VLOOKUP(R55,Analytique!$X$3:$AD$33,1,FALSE),"")</f>
        <v/>
      </c>
      <c r="S56" s="1708" t="str">
        <f ca="1">IF(S55&lt;&gt;"",VLOOKUP(S55,Analytique!$X$3:$AD$33,1,FALSE),"")</f>
        <v/>
      </c>
      <c r="T56" s="1709" t="str">
        <f ca="1">IF(T55&lt;&gt;"",VLOOKUP(T55,Analytique!$X$3:$AD$33,1,FALSE),"")</f>
        <v/>
      </c>
    </row>
    <row r="57" spans="2:21" ht="13" thickBot="1" x14ac:dyDescent="0.45">
      <c r="B57" s="1552"/>
      <c r="C57" s="1555"/>
      <c r="D57" s="394" t="str">
        <f>$D$10</f>
        <v>Sonde de température</v>
      </c>
      <c r="E57" s="394"/>
      <c r="F57" s="395" t="str">
        <f ca="1">IF(AND(OR(INDIRECT("Descriptif!I"&amp;E$13)=Recap_equipements!$B53,INDIRECT("Descriptif!I"&amp;E$13)=Recap_equipements!$C53),INDIRECT("Descriptif!M"&amp;E$13)=$D57),INDIRECT("Descriptif!F"&amp;E$13),"")</f>
        <v/>
      </c>
      <c r="G57" s="395" t="str">
        <f ca="1">IF(AND(OR(INDIRECT("Descriptif!I"&amp;F$13)=Recap_equipements!$B53,INDIRECT("Descriptif!I"&amp;F$13)=Recap_equipements!$C53),INDIRECT("Descriptif!M"&amp;F$13)=$D57),INDIRECT("Descriptif!F"&amp;F$13),"")</f>
        <v/>
      </c>
      <c r="H57" s="395" t="str">
        <f ca="1">IF(AND(OR(INDIRECT("Descriptif!I"&amp;G$13)=Recap_equipements!$B53,INDIRECT("Descriptif!I"&amp;G$13)=Recap_equipements!$C53),INDIRECT("Descriptif!M"&amp;G$13)=$D57),INDIRECT("Descriptif!F"&amp;G$13),"")</f>
        <v/>
      </c>
      <c r="I57" s="395" t="str">
        <f ca="1">IF(AND(OR(INDIRECT("Descriptif!I"&amp;H$13)=Recap_equipements!$B53,INDIRECT("Descriptif!I"&amp;H$13)=Recap_equipements!$C53),INDIRECT("Descriptif!M"&amp;H$13)=$D57),INDIRECT("Descriptif!F"&amp;H$13),"")</f>
        <v/>
      </c>
      <c r="J57" s="395" t="str">
        <f ca="1">IF(AND(OR(INDIRECT("Descriptif!I"&amp;I$13)=Recap_equipements!$B53,INDIRECT("Descriptif!I"&amp;I$13)=Recap_equipements!$C53),INDIRECT("Descriptif!M"&amp;I$13)=$D57),INDIRECT("Descriptif!F"&amp;I$13),"")</f>
        <v/>
      </c>
      <c r="K57" s="395" t="str">
        <f ca="1">IF(AND(OR(INDIRECT("Descriptif!I"&amp;J$13)=Recap_equipements!$B53,INDIRECT("Descriptif!I"&amp;J$13)=Recap_equipements!$C53),INDIRECT("Descriptif!M"&amp;J$13)=$D57),INDIRECT("Descriptif!F"&amp;J$13),"")</f>
        <v/>
      </c>
      <c r="L57" s="395" t="str">
        <f ca="1">IF(AND(OR(INDIRECT("Descriptif!I"&amp;K$13)=Recap_equipements!$B53,INDIRECT("Descriptif!I"&amp;K$13)=Recap_equipements!$C53),INDIRECT("Descriptif!M"&amp;K$13)=$D57),INDIRECT("Descriptif!F"&amp;K$13),"")</f>
        <v/>
      </c>
      <c r="M57" s="395" t="str">
        <f ca="1">IF(AND(OR(INDIRECT("Descriptif!I"&amp;L$13)=Recap_equipements!$B53,INDIRECT("Descriptif!I"&amp;L$13)=Recap_equipements!$C53),INDIRECT("Descriptif!M"&amp;L$13)=$D57),INDIRECT("Descriptif!F"&amp;L$13),"")</f>
        <v/>
      </c>
      <c r="N57" s="395" t="str">
        <f ca="1">IF(AND(OR(INDIRECT("Descriptif!I"&amp;M$13)=Recap_equipements!$B53,INDIRECT("Descriptif!I"&amp;M$13)=Recap_equipements!$C53),INDIRECT("Descriptif!M"&amp;M$13)=$D57),INDIRECT("Descriptif!F"&amp;M$13),"")</f>
        <v/>
      </c>
      <c r="O57" s="395" t="str">
        <f ca="1">IF(AND(OR(INDIRECT("Descriptif!I"&amp;N$13)=Recap_equipements!$B53,INDIRECT("Descriptif!I"&amp;N$13)=Recap_equipements!$C53),INDIRECT("Descriptif!M"&amp;N$13)=$D57),INDIRECT("Descriptif!F"&amp;N$13),"")</f>
        <v/>
      </c>
      <c r="P57" s="395" t="str">
        <f ca="1">IF(AND(OR(INDIRECT("Descriptif!I"&amp;O$13)=Recap_equipements!$B53,INDIRECT("Descriptif!I"&amp;O$13)=Recap_equipements!$C53),INDIRECT("Descriptif!M"&amp;O$13)=$D57),INDIRECT("Descriptif!F"&amp;O$13),"")</f>
        <v/>
      </c>
      <c r="Q57" s="395" t="str">
        <f ca="1">IF(AND(OR(INDIRECT("Descriptif!I"&amp;P$13)=Recap_equipements!$B53,INDIRECT("Descriptif!I"&amp;P$13)=Recap_equipements!$C53),INDIRECT("Descriptif!M"&amp;P$13)=$D57),INDIRECT("Descriptif!F"&amp;P$13),"")</f>
        <v/>
      </c>
      <c r="R57" s="395" t="str">
        <f ca="1">IF(AND(OR(INDIRECT("Descriptif!I"&amp;Q$13)=Recap_equipements!$B53,INDIRECT("Descriptif!I"&amp;Q$13)=Recap_equipements!$C53),INDIRECT("Descriptif!M"&amp;Q$13)=$D57),INDIRECT("Descriptif!F"&amp;Q$13),"")</f>
        <v/>
      </c>
      <c r="S57" s="395" t="str">
        <f ca="1">IF(AND(OR(INDIRECT("Descriptif!I"&amp;R$13)=Recap_equipements!$B53,INDIRECT("Descriptif!I"&amp;R$13)=Recap_equipements!$C53),INDIRECT("Descriptif!M"&amp;R$13)=$D57),INDIRECT("Descriptif!F"&amp;R$13),"")</f>
        <v/>
      </c>
      <c r="T57" s="396" t="str">
        <f ca="1">IF(AND(OR(INDIRECT("Descriptif!I"&amp;S$13)=Recap_equipements!$B53,INDIRECT("Descriptif!I"&amp;S$13)=Recap_equipements!$C53),INDIRECT("Descriptif!M"&amp;S$13)=$D57),INDIRECT("Descriptif!F"&amp;S$13),"")</f>
        <v/>
      </c>
    </row>
    <row r="59" spans="2:21" s="385" customFormat="1" ht="23.1" customHeight="1" x14ac:dyDescent="0.4">
      <c r="B59" s="386" t="s">
        <v>450</v>
      </c>
    </row>
    <row r="60" spans="2:21" ht="13" thickBot="1" x14ac:dyDescent="0.45">
      <c r="B60" t="s">
        <v>885</v>
      </c>
    </row>
    <row r="61" spans="2:21" s="30" customFormat="1" ht="27.95" customHeight="1" thickBot="1" x14ac:dyDescent="0.45">
      <c r="B61" s="410" t="s">
        <v>443</v>
      </c>
      <c r="C61" s="411" t="s">
        <v>444</v>
      </c>
      <c r="D61" s="416"/>
      <c r="E61" s="429" t="s">
        <v>452</v>
      </c>
      <c r="F61" s="417" t="s">
        <v>451</v>
      </c>
      <c r="G61" s="408" t="s">
        <v>29</v>
      </c>
      <c r="H61" s="408" t="s">
        <v>30</v>
      </c>
      <c r="I61" s="408" t="s">
        <v>31</v>
      </c>
      <c r="J61" s="408" t="s">
        <v>46</v>
      </c>
      <c r="K61" s="408" t="s">
        <v>47</v>
      </c>
      <c r="L61" s="408" t="s">
        <v>48</v>
      </c>
      <c r="M61" s="408" t="s">
        <v>49</v>
      </c>
      <c r="N61" s="408" t="s">
        <v>50</v>
      </c>
      <c r="O61" s="408" t="s">
        <v>51</v>
      </c>
      <c r="P61" s="408" t="s">
        <v>52</v>
      </c>
      <c r="Q61" s="408" t="s">
        <v>53</v>
      </c>
      <c r="R61" s="409" t="s">
        <v>54</v>
      </c>
      <c r="S61" s="409" t="s">
        <v>437</v>
      </c>
      <c r="T61" s="409" t="s">
        <v>438</v>
      </c>
      <c r="U61" s="409" t="s">
        <v>439</v>
      </c>
    </row>
    <row r="62" spans="2:21" x14ac:dyDescent="0.4">
      <c r="B62" s="1550" t="s">
        <v>165</v>
      </c>
      <c r="C62" s="1553" t="s">
        <v>166</v>
      </c>
      <c r="D62" s="390" t="str">
        <f>$D$7</f>
        <v>Débitmètre en charge</v>
      </c>
      <c r="E62" s="1558">
        <f ca="1">IFERROR(AVERAGE(F64:F66)*$B$5,"")</f>
        <v>78.333333333333329</v>
      </c>
      <c r="F62" s="426">
        <f ca="1">IFERROR(AVERAGE(G62:U62),"")</f>
        <v>60</v>
      </c>
      <c r="G62" s="421" t="str">
        <f t="shared" ref="G62:U62" ca="1" si="4">IF(F19&lt;&gt;"",_xlfn.SINGLE(INDIRECT(F19&amp;"!"&amp;$F$7)),"")</f>
        <v/>
      </c>
      <c r="H62" s="391">
        <f t="shared" ca="1" si="4"/>
        <v>60</v>
      </c>
      <c r="I62" s="391" t="str">
        <f t="shared" ca="1" si="4"/>
        <v/>
      </c>
      <c r="J62" s="391" t="str">
        <f t="shared" ca="1" si="4"/>
        <v/>
      </c>
      <c r="K62" s="391" t="str">
        <f t="shared" ca="1" si="4"/>
        <v/>
      </c>
      <c r="L62" s="391" t="str">
        <f t="shared" ca="1" si="4"/>
        <v/>
      </c>
      <c r="M62" s="391" t="str">
        <f t="shared" ca="1" si="4"/>
        <v/>
      </c>
      <c r="N62" s="391" t="str">
        <f t="shared" ca="1" si="4"/>
        <v/>
      </c>
      <c r="O62" s="391" t="str">
        <f t="shared" ca="1" si="4"/>
        <v/>
      </c>
      <c r="P62" s="391" t="str">
        <f t="shared" ca="1" si="4"/>
        <v/>
      </c>
      <c r="Q62" s="391" t="str">
        <f t="shared" ca="1" si="4"/>
        <v/>
      </c>
      <c r="R62" s="391" t="str">
        <f t="shared" ca="1" si="4"/>
        <v/>
      </c>
      <c r="S62" s="391" t="str">
        <f t="shared" ca="1" si="4"/>
        <v/>
      </c>
      <c r="T62" s="391" t="str">
        <f t="shared" ca="1" si="4"/>
        <v/>
      </c>
      <c r="U62" s="392" t="str">
        <f t="shared" ca="1" si="4"/>
        <v/>
      </c>
    </row>
    <row r="63" spans="2:21" x14ac:dyDescent="0.4">
      <c r="B63" s="1551"/>
      <c r="C63" s="1554"/>
      <c r="D63" s="389" t="str">
        <f>$D$8</f>
        <v>Débitmètre gravitaire</v>
      </c>
      <c r="E63" s="1559"/>
      <c r="F63" s="427" t="str">
        <f t="shared" ref="F63:F109" ca="1" si="5">IFERROR(AVERAGE(G63:U63),"")</f>
        <v/>
      </c>
      <c r="G63" s="422" t="str">
        <f t="shared" ref="G63:U63" ca="1" si="6">IF(F20&lt;&gt;"",_xlfn.SINGLE(INDIRECT(F20&amp;"!"&amp;$F$8)),"")</f>
        <v/>
      </c>
      <c r="H63" s="161" t="str">
        <f t="shared" ca="1" si="6"/>
        <v/>
      </c>
      <c r="I63" s="161" t="str">
        <f t="shared" ca="1" si="6"/>
        <v/>
      </c>
      <c r="J63" s="161" t="str">
        <f t="shared" ca="1" si="6"/>
        <v/>
      </c>
      <c r="K63" s="161" t="str">
        <f t="shared" ca="1" si="6"/>
        <v/>
      </c>
      <c r="L63" s="161" t="str">
        <f t="shared" ca="1" si="6"/>
        <v/>
      </c>
      <c r="M63" s="161" t="str">
        <f t="shared" ca="1" si="6"/>
        <v/>
      </c>
      <c r="N63" s="161" t="str">
        <f t="shared" ca="1" si="6"/>
        <v/>
      </c>
      <c r="O63" s="161" t="str">
        <f t="shared" ca="1" si="6"/>
        <v/>
      </c>
      <c r="P63" s="161" t="str">
        <f t="shared" ca="1" si="6"/>
        <v/>
      </c>
      <c r="Q63" s="161" t="str">
        <f t="shared" ca="1" si="6"/>
        <v/>
      </c>
      <c r="R63" s="161" t="str">
        <f t="shared" ca="1" si="6"/>
        <v/>
      </c>
      <c r="S63" s="161" t="str">
        <f t="shared" ca="1" si="6"/>
        <v/>
      </c>
      <c r="T63" s="161" t="str">
        <f t="shared" ca="1" si="6"/>
        <v/>
      </c>
      <c r="U63" s="393" t="str">
        <f t="shared" ca="1" si="6"/>
        <v/>
      </c>
    </row>
    <row r="64" spans="2:21" x14ac:dyDescent="0.4">
      <c r="B64" s="1551"/>
      <c r="C64" s="1554"/>
      <c r="D64" s="389" t="s">
        <v>846</v>
      </c>
      <c r="E64" s="1559"/>
      <c r="F64" s="427">
        <f t="shared" ca="1" si="5"/>
        <v>60</v>
      </c>
      <c r="G64" s="423" t="str">
        <f ca="1">IF(COUNT(G62:G63)&gt;0,SUM(G62:G63),"")</f>
        <v/>
      </c>
      <c r="H64" s="412">
        <f t="shared" ref="H64:U64" ca="1" si="7">IF(COUNT(H62:H63)&gt;0,SUM(H62:H63),"")</f>
        <v>60</v>
      </c>
      <c r="I64" s="412" t="str">
        <f t="shared" ca="1" si="7"/>
        <v/>
      </c>
      <c r="J64" s="412" t="str">
        <f t="shared" ca="1" si="7"/>
        <v/>
      </c>
      <c r="K64" s="412" t="str">
        <f t="shared" ca="1" si="7"/>
        <v/>
      </c>
      <c r="L64" s="412" t="str">
        <f t="shared" ca="1" si="7"/>
        <v/>
      </c>
      <c r="M64" s="412" t="str">
        <f t="shared" ca="1" si="7"/>
        <v/>
      </c>
      <c r="N64" s="412" t="str">
        <f t="shared" ca="1" si="7"/>
        <v/>
      </c>
      <c r="O64" s="412" t="str">
        <f t="shared" ca="1" si="7"/>
        <v/>
      </c>
      <c r="P64" s="412" t="str">
        <f t="shared" ca="1" si="7"/>
        <v/>
      </c>
      <c r="Q64" s="412" t="str">
        <f t="shared" ca="1" si="7"/>
        <v/>
      </c>
      <c r="R64" s="412" t="str">
        <f t="shared" ca="1" si="7"/>
        <v/>
      </c>
      <c r="S64" s="412" t="str">
        <f t="shared" ca="1" si="7"/>
        <v/>
      </c>
      <c r="T64" s="412" t="str">
        <f t="shared" ca="1" si="7"/>
        <v/>
      </c>
      <c r="U64" s="413" t="str">
        <f t="shared" ca="1" si="7"/>
        <v/>
      </c>
    </row>
    <row r="65" spans="2:21" x14ac:dyDescent="0.4">
      <c r="B65" s="1551"/>
      <c r="C65" s="1554"/>
      <c r="D65" s="389" t="str">
        <f>$D$9</f>
        <v>Préleveur</v>
      </c>
      <c r="E65" s="1559"/>
      <c r="F65" s="427">
        <f t="shared" ca="1" si="5"/>
        <v>85</v>
      </c>
      <c r="G65" s="422" t="str">
        <f t="shared" ref="G65:U65" ca="1" si="8">IF(F21&lt;&gt;"",_xlfn.SINGLE(INDIRECT(F21&amp;"!"&amp;$F$9)),"")</f>
        <v/>
      </c>
      <c r="H65" s="161" t="str">
        <f t="shared" ca="1" si="8"/>
        <v/>
      </c>
      <c r="I65" s="161">
        <f t="shared" ca="1" si="8"/>
        <v>85</v>
      </c>
      <c r="J65" s="161" t="str">
        <f t="shared" ca="1" si="8"/>
        <v/>
      </c>
      <c r="K65" s="161" t="str">
        <f t="shared" ca="1" si="8"/>
        <v/>
      </c>
      <c r="L65" s="161" t="str">
        <f t="shared" ca="1" si="8"/>
        <v/>
      </c>
      <c r="M65" s="161" t="str">
        <f t="shared" ca="1" si="8"/>
        <v/>
      </c>
      <c r="N65" s="161" t="str">
        <f t="shared" ca="1" si="8"/>
        <v/>
      </c>
      <c r="O65" s="161" t="str">
        <f t="shared" ca="1" si="8"/>
        <v/>
      </c>
      <c r="P65" s="161" t="str">
        <f t="shared" ca="1" si="8"/>
        <v/>
      </c>
      <c r="Q65" s="161" t="str">
        <f t="shared" ca="1" si="8"/>
        <v/>
      </c>
      <c r="R65" s="161" t="str">
        <f t="shared" ca="1" si="8"/>
        <v/>
      </c>
      <c r="S65" s="161" t="str">
        <f t="shared" ca="1" si="8"/>
        <v/>
      </c>
      <c r="T65" s="161" t="str">
        <f t="shared" ca="1" si="8"/>
        <v/>
      </c>
      <c r="U65" s="393" t="str">
        <f t="shared" ca="1" si="8"/>
        <v/>
      </c>
    </row>
    <row r="66" spans="2:21" x14ac:dyDescent="0.4">
      <c r="B66" s="1551"/>
      <c r="C66" s="1554"/>
      <c r="D66" s="1706" t="s">
        <v>783</v>
      </c>
      <c r="E66" s="1559"/>
      <c r="F66" s="427">
        <f t="shared" ca="1" si="5"/>
        <v>90</v>
      </c>
      <c r="G66" s="1708" t="str">
        <f ca="1">IF(F21&lt;&gt;"",VLOOKUP(F21,Analytique!$X$3:$AD$33,6,FALSE),"")</f>
        <v/>
      </c>
      <c r="H66" s="1708" t="str">
        <f ca="1">IF(G21&lt;&gt;"",VLOOKUP(G21,Analytique!$X$3:$AD$33,6,FALSE),"")</f>
        <v/>
      </c>
      <c r="I66" s="1708">
        <f ca="1">IF(H21&lt;&gt;"",VLOOKUP(H21,Analytique!$X$3:$AD$33,6,FALSE),"")</f>
        <v>90</v>
      </c>
      <c r="J66" s="1708" t="str">
        <f ca="1">IF(I21&lt;&gt;"",VLOOKUP(I21,Analytique!$X$3:$AD$33,6,FALSE),"")</f>
        <v/>
      </c>
      <c r="K66" s="1708" t="str">
        <f ca="1">IF(J21&lt;&gt;"",VLOOKUP(J21,Analytique!$X$3:$AD$33,6,FALSE),"")</f>
        <v/>
      </c>
      <c r="L66" s="1708" t="str">
        <f ca="1">IF(K21&lt;&gt;"",VLOOKUP(K21,Analytique!$X$3:$AD$33,6,FALSE),"")</f>
        <v/>
      </c>
      <c r="M66" s="1708" t="str">
        <f ca="1">IF(L21&lt;&gt;"",VLOOKUP(L21,Analytique!$X$3:$AD$33,6,FALSE),"")</f>
        <v/>
      </c>
      <c r="N66" s="1708" t="str">
        <f ca="1">IF(M21&lt;&gt;"",VLOOKUP(M21,Analytique!$X$3:$AD$33,6,FALSE),"")</f>
        <v/>
      </c>
      <c r="O66" s="1708" t="str">
        <f ca="1">IF(N21&lt;&gt;"",VLOOKUP(N21,Analytique!$X$3:$AD$33,6,FALSE),"")</f>
        <v/>
      </c>
      <c r="P66" s="1708" t="str">
        <f ca="1">IF(O21&lt;&gt;"",VLOOKUP(O21,Analytique!$X$3:$AD$33,6,FALSE),"")</f>
        <v/>
      </c>
      <c r="Q66" s="1708" t="str">
        <f ca="1">IF(P21&lt;&gt;"",VLOOKUP(P21,Analytique!$X$3:$AD$33,6,FALSE),"")</f>
        <v/>
      </c>
      <c r="R66" s="1708" t="str">
        <f ca="1">IF(Q21&lt;&gt;"",VLOOKUP(Q21,Analytique!$X$3:$AD$33,6,FALSE),"")</f>
        <v/>
      </c>
      <c r="S66" s="1708" t="str">
        <f ca="1">IF(R21&lt;&gt;"",VLOOKUP(R21,Analytique!$X$3:$AD$33,6,FALSE),"")</f>
        <v/>
      </c>
      <c r="T66" s="1708" t="str">
        <f ca="1">IF(S21&lt;&gt;"",VLOOKUP(S21,Analytique!$X$3:$AD$33,6,FALSE),"")</f>
        <v/>
      </c>
      <c r="U66" s="1709" t="str">
        <f ca="1">IF(T21&lt;&gt;"",VLOOKUP(T21,Analytique!$X$3:$AD$33,6,FALSE),"")</f>
        <v/>
      </c>
    </row>
    <row r="67" spans="2:21" ht="13" thickBot="1" x14ac:dyDescent="0.45">
      <c r="B67" s="1552"/>
      <c r="C67" s="1555"/>
      <c r="D67" s="394" t="str">
        <f>$D$10</f>
        <v>Sonde de température</v>
      </c>
      <c r="E67" s="1560"/>
      <c r="F67" s="428" t="str">
        <f t="shared" ca="1" si="5"/>
        <v/>
      </c>
      <c r="G67" s="424" t="str">
        <f t="shared" ref="G67:U67" ca="1" si="9">IF(F23&lt;&gt;"",_xlfn.SINGLE(INDIRECT(F23&amp;"!"&amp;$F$10)),"")</f>
        <v/>
      </c>
      <c r="H67" s="397" t="str">
        <f t="shared" ca="1" si="9"/>
        <v/>
      </c>
      <c r="I67" s="397" t="str">
        <f t="shared" ca="1" si="9"/>
        <v/>
      </c>
      <c r="J67" s="397" t="str">
        <f t="shared" ca="1" si="9"/>
        <v/>
      </c>
      <c r="K67" s="397" t="str">
        <f t="shared" ca="1" si="9"/>
        <v/>
      </c>
      <c r="L67" s="397" t="str">
        <f t="shared" ca="1" si="9"/>
        <v/>
      </c>
      <c r="M67" s="397" t="str">
        <f t="shared" ca="1" si="9"/>
        <v/>
      </c>
      <c r="N67" s="397" t="str">
        <f t="shared" ca="1" si="9"/>
        <v/>
      </c>
      <c r="O67" s="397" t="str">
        <f t="shared" ca="1" si="9"/>
        <v/>
      </c>
      <c r="P67" s="397" t="str">
        <f t="shared" ca="1" si="9"/>
        <v/>
      </c>
      <c r="Q67" s="397" t="str">
        <f t="shared" ca="1" si="9"/>
        <v/>
      </c>
      <c r="R67" s="397" t="str">
        <f t="shared" ca="1" si="9"/>
        <v/>
      </c>
      <c r="S67" s="397" t="str">
        <f t="shared" ca="1" si="9"/>
        <v/>
      </c>
      <c r="T67" s="397" t="str">
        <f t="shared" ca="1" si="9"/>
        <v/>
      </c>
      <c r="U67" s="398" t="str">
        <f t="shared" ca="1" si="9"/>
        <v/>
      </c>
    </row>
    <row r="68" spans="2:21" x14ac:dyDescent="0.4">
      <c r="B68" s="1550" t="s">
        <v>125</v>
      </c>
      <c r="C68" s="1553" t="s">
        <v>175</v>
      </c>
      <c r="D68" s="390" t="str">
        <f>$D$7</f>
        <v>Débitmètre en charge</v>
      </c>
      <c r="E68" s="1567">
        <f ca="1">IFERROR(AVERAGE(F70:F72)*$B$5,"")</f>
        <v>63.333333333333336</v>
      </c>
      <c r="F68" s="426" t="str">
        <f t="shared" ca="1" si="5"/>
        <v/>
      </c>
      <c r="G68" s="421" t="str">
        <f t="shared" ref="G68:U68" ca="1" si="10">IF(F24&lt;&gt;"",_xlfn.SINGLE(INDIRECT(F24&amp;"!"&amp;$F$7)),"")</f>
        <v/>
      </c>
      <c r="H68" s="391" t="str">
        <f t="shared" ca="1" si="10"/>
        <v/>
      </c>
      <c r="I68" s="391" t="str">
        <f t="shared" ca="1" si="10"/>
        <v/>
      </c>
      <c r="J68" s="391" t="str">
        <f t="shared" ca="1" si="10"/>
        <v/>
      </c>
      <c r="K68" s="391" t="str">
        <f t="shared" ca="1" si="10"/>
        <v/>
      </c>
      <c r="L68" s="391" t="str">
        <f t="shared" ca="1" si="10"/>
        <v/>
      </c>
      <c r="M68" s="391" t="str">
        <f t="shared" ca="1" si="10"/>
        <v/>
      </c>
      <c r="N68" s="391" t="str">
        <f t="shared" ca="1" si="10"/>
        <v/>
      </c>
      <c r="O68" s="391" t="str">
        <f t="shared" ca="1" si="10"/>
        <v/>
      </c>
      <c r="P68" s="391" t="str">
        <f t="shared" ca="1" si="10"/>
        <v/>
      </c>
      <c r="Q68" s="391" t="str">
        <f t="shared" ca="1" si="10"/>
        <v/>
      </c>
      <c r="R68" s="391" t="str">
        <f t="shared" ca="1" si="10"/>
        <v/>
      </c>
      <c r="S68" s="391" t="str">
        <f t="shared" ca="1" si="10"/>
        <v/>
      </c>
      <c r="T68" s="391" t="str">
        <f t="shared" ca="1" si="10"/>
        <v/>
      </c>
      <c r="U68" s="392" t="str">
        <f t="shared" ca="1" si="10"/>
        <v/>
      </c>
    </row>
    <row r="69" spans="2:21" x14ac:dyDescent="0.4">
      <c r="B69" s="1551"/>
      <c r="C69" s="1554"/>
      <c r="D69" s="389" t="str">
        <f>$D$8</f>
        <v>Débitmètre gravitaire</v>
      </c>
      <c r="E69" s="1568"/>
      <c r="F69" s="427">
        <f t="shared" ca="1" si="5"/>
        <v>0</v>
      </c>
      <c r="G69" s="422" t="str">
        <f t="shared" ref="G69:U69" ca="1" si="11">IF(F25&lt;&gt;"",_xlfn.SINGLE(INDIRECT(F25&amp;"!"&amp;$F$8)),"")</f>
        <v/>
      </c>
      <c r="H69" s="161" t="str">
        <f t="shared" ca="1" si="11"/>
        <v/>
      </c>
      <c r="I69" s="161" t="str">
        <f t="shared" ca="1" si="11"/>
        <v/>
      </c>
      <c r="J69" s="161">
        <f t="shared" ca="1" si="11"/>
        <v>0</v>
      </c>
      <c r="K69" s="161" t="str">
        <f t="shared" ca="1" si="11"/>
        <v/>
      </c>
      <c r="L69" s="161" t="str">
        <f t="shared" ca="1" si="11"/>
        <v/>
      </c>
      <c r="M69" s="161" t="str">
        <f t="shared" ca="1" si="11"/>
        <v/>
      </c>
      <c r="N69" s="161" t="str">
        <f t="shared" ca="1" si="11"/>
        <v/>
      </c>
      <c r="O69" s="161" t="str">
        <f t="shared" ca="1" si="11"/>
        <v/>
      </c>
      <c r="P69" s="161" t="str">
        <f t="shared" ca="1" si="11"/>
        <v/>
      </c>
      <c r="Q69" s="161" t="str">
        <f t="shared" ca="1" si="11"/>
        <v/>
      </c>
      <c r="R69" s="161" t="str">
        <f t="shared" ca="1" si="11"/>
        <v/>
      </c>
      <c r="S69" s="161" t="str">
        <f t="shared" ca="1" si="11"/>
        <v/>
      </c>
      <c r="T69" s="161" t="str">
        <f t="shared" ca="1" si="11"/>
        <v/>
      </c>
      <c r="U69" s="393" t="str">
        <f t="shared" ca="1" si="11"/>
        <v/>
      </c>
    </row>
    <row r="70" spans="2:21" x14ac:dyDescent="0.4">
      <c r="B70" s="1551"/>
      <c r="C70" s="1554"/>
      <c r="D70" s="389" t="s">
        <v>846</v>
      </c>
      <c r="E70" s="1568"/>
      <c r="F70" s="427">
        <f t="shared" ref="F70" ca="1" si="12">IFERROR(AVERAGE(G70:U70),"")</f>
        <v>0</v>
      </c>
      <c r="G70" s="423" t="str">
        <f ca="1">IF(COUNT(G68:G69)&gt;0,SUM(G68:G69),"")</f>
        <v/>
      </c>
      <c r="H70" s="412" t="str">
        <f t="shared" ref="H70" ca="1" si="13">IF(COUNT(H68:H69)&gt;0,SUM(H68:H69),"")</f>
        <v/>
      </c>
      <c r="I70" s="412" t="str">
        <f t="shared" ref="I70" ca="1" si="14">IF(COUNT(I68:I69)&gt;0,SUM(I68:I69),"")</f>
        <v/>
      </c>
      <c r="J70" s="412">
        <f t="shared" ref="J70" ca="1" si="15">IF(COUNT(J68:J69)&gt;0,SUM(J68:J69),"")</f>
        <v>0</v>
      </c>
      <c r="K70" s="412" t="str">
        <f t="shared" ref="K70" ca="1" si="16">IF(COUNT(K68:K69)&gt;0,SUM(K68:K69),"")</f>
        <v/>
      </c>
      <c r="L70" s="412" t="str">
        <f t="shared" ref="L70" ca="1" si="17">IF(COUNT(L68:L69)&gt;0,SUM(L68:L69),"")</f>
        <v/>
      </c>
      <c r="M70" s="412" t="str">
        <f t="shared" ref="M70" ca="1" si="18">IF(COUNT(M68:M69)&gt;0,SUM(M68:M69),"")</f>
        <v/>
      </c>
      <c r="N70" s="412" t="str">
        <f t="shared" ref="N70" ca="1" si="19">IF(COUNT(N68:N69)&gt;0,SUM(N68:N69),"")</f>
        <v/>
      </c>
      <c r="O70" s="412" t="str">
        <f t="shared" ref="O70" ca="1" si="20">IF(COUNT(O68:O69)&gt;0,SUM(O68:O69),"")</f>
        <v/>
      </c>
      <c r="P70" s="412" t="str">
        <f t="shared" ref="P70" ca="1" si="21">IF(COUNT(P68:P69)&gt;0,SUM(P68:P69),"")</f>
        <v/>
      </c>
      <c r="Q70" s="412" t="str">
        <f t="shared" ref="Q70" ca="1" si="22">IF(COUNT(Q68:Q69)&gt;0,SUM(Q68:Q69),"")</f>
        <v/>
      </c>
      <c r="R70" s="412" t="str">
        <f t="shared" ref="R70" ca="1" si="23">IF(COUNT(R68:R69)&gt;0,SUM(R68:R69),"")</f>
        <v/>
      </c>
      <c r="S70" s="412" t="str">
        <f t="shared" ref="S70" ca="1" si="24">IF(COUNT(S68:S69)&gt;0,SUM(S68:S69),"")</f>
        <v/>
      </c>
      <c r="T70" s="412" t="str">
        <f t="shared" ref="T70" ca="1" si="25">IF(COUNT(T68:T69)&gt;0,SUM(T68:T69),"")</f>
        <v/>
      </c>
      <c r="U70" s="413" t="str">
        <f t="shared" ref="U70" ca="1" si="26">IF(COUNT(U68:U69)&gt;0,SUM(U68:U69),"")</f>
        <v/>
      </c>
    </row>
    <row r="71" spans="2:21" x14ac:dyDescent="0.4">
      <c r="B71" s="1551"/>
      <c r="C71" s="1554"/>
      <c r="D71" s="389" t="str">
        <f>$D$9</f>
        <v>Préleveur</v>
      </c>
      <c r="E71" s="1568"/>
      <c r="F71" s="427">
        <f t="shared" ca="1" si="5"/>
        <v>100</v>
      </c>
      <c r="G71" s="422" t="str">
        <f t="shared" ref="G71:U71" ca="1" si="27">IF(F26&lt;&gt;"",_xlfn.SINGLE(INDIRECT(F26&amp;"!"&amp;$F$9)),"")</f>
        <v/>
      </c>
      <c r="H71" s="161" t="str">
        <f t="shared" ca="1" si="27"/>
        <v/>
      </c>
      <c r="I71" s="161" t="str">
        <f t="shared" ca="1" si="27"/>
        <v/>
      </c>
      <c r="J71" s="161" t="str">
        <f t="shared" ca="1" si="27"/>
        <v/>
      </c>
      <c r="K71" s="161">
        <f t="shared" ca="1" si="27"/>
        <v>100</v>
      </c>
      <c r="L71" s="161" t="str">
        <f t="shared" ca="1" si="27"/>
        <v/>
      </c>
      <c r="M71" s="161" t="str">
        <f t="shared" ca="1" si="27"/>
        <v/>
      </c>
      <c r="N71" s="161" t="str">
        <f t="shared" ca="1" si="27"/>
        <v/>
      </c>
      <c r="O71" s="161" t="str">
        <f t="shared" ca="1" si="27"/>
        <v/>
      </c>
      <c r="P71" s="161" t="str">
        <f t="shared" ca="1" si="27"/>
        <v/>
      </c>
      <c r="Q71" s="161" t="str">
        <f t="shared" ca="1" si="27"/>
        <v/>
      </c>
      <c r="R71" s="161" t="str">
        <f t="shared" ca="1" si="27"/>
        <v/>
      </c>
      <c r="S71" s="161" t="str">
        <f t="shared" ca="1" si="27"/>
        <v/>
      </c>
      <c r="T71" s="161" t="str">
        <f t="shared" ca="1" si="27"/>
        <v/>
      </c>
      <c r="U71" s="393" t="str">
        <f t="shared" ca="1" si="27"/>
        <v/>
      </c>
    </row>
    <row r="72" spans="2:21" x14ac:dyDescent="0.4">
      <c r="B72" s="1551"/>
      <c r="C72" s="1554"/>
      <c r="D72" s="1706" t="s">
        <v>783</v>
      </c>
      <c r="E72" s="1568"/>
      <c r="F72" s="427">
        <f t="shared" ca="1" si="5"/>
        <v>90</v>
      </c>
      <c r="G72" s="1708" t="str">
        <f ca="1">IF(F27&lt;&gt;"",VLOOKUP(F27,Analytique!$X$3:$AD$33,6,FALSE),"")</f>
        <v/>
      </c>
      <c r="H72" s="1708" t="str">
        <f ca="1">IF(G27&lt;&gt;"",VLOOKUP(G27,Analytique!$X$3:$AD$33,6,FALSE),"")</f>
        <v/>
      </c>
      <c r="I72" s="1708" t="str">
        <f ca="1">IF(H27&lt;&gt;"",VLOOKUP(H27,Analytique!$X$3:$AD$33,6,FALSE),"")</f>
        <v/>
      </c>
      <c r="J72" s="1708" t="str">
        <f ca="1">IF(I27&lt;&gt;"",VLOOKUP(I27,Analytique!$X$3:$AD$33,6,FALSE),"")</f>
        <v/>
      </c>
      <c r="K72" s="1708">
        <f ca="1">IF(J27&lt;&gt;"",VLOOKUP(J27,Analytique!$X$3:$AD$33,6,FALSE),"")</f>
        <v>90</v>
      </c>
      <c r="L72" s="1708" t="str">
        <f ca="1">IF(K27&lt;&gt;"",VLOOKUP(K27,Analytique!$X$3:$AD$33,6,FALSE),"")</f>
        <v/>
      </c>
      <c r="M72" s="1708" t="str">
        <f ca="1">IF(L27&lt;&gt;"",VLOOKUP(L27,Analytique!$X$3:$AD$33,6,FALSE),"")</f>
        <v/>
      </c>
      <c r="N72" s="1708" t="str">
        <f ca="1">IF(M27&lt;&gt;"",VLOOKUP(M27,Analytique!$X$3:$AD$33,6,FALSE),"")</f>
        <v/>
      </c>
      <c r="O72" s="1708" t="str">
        <f ca="1">IF(N27&lt;&gt;"",VLOOKUP(N27,Analytique!$X$3:$AD$33,6,FALSE),"")</f>
        <v/>
      </c>
      <c r="P72" s="1708" t="str">
        <f ca="1">IF(O27&lt;&gt;"",VLOOKUP(O27,Analytique!$X$3:$AD$33,6,FALSE),"")</f>
        <v/>
      </c>
      <c r="Q72" s="1708" t="str">
        <f ca="1">IF(P27&lt;&gt;"",VLOOKUP(P27,Analytique!$X$3:$AD$33,6,FALSE),"")</f>
        <v/>
      </c>
      <c r="R72" s="1708" t="str">
        <f ca="1">IF(Q27&lt;&gt;"",VLOOKUP(Q27,Analytique!$X$3:$AD$33,6,FALSE),"")</f>
        <v/>
      </c>
      <c r="S72" s="1708" t="str">
        <f ca="1">IF(R27&lt;&gt;"",VLOOKUP(R27,Analytique!$X$3:$AD$33,6,FALSE),"")</f>
        <v/>
      </c>
      <c r="T72" s="1708" t="str">
        <f ca="1">IF(S27&lt;&gt;"",VLOOKUP(S27,Analytique!$X$3:$AD$33,6,FALSE),"")</f>
        <v/>
      </c>
      <c r="U72" s="1709" t="str">
        <f ca="1">IF(T27&lt;&gt;"",VLOOKUP(T27,Analytique!$X$3:$AD$33,6,FALSE),"")</f>
        <v/>
      </c>
    </row>
    <row r="73" spans="2:21" ht="13" thickBot="1" x14ac:dyDescent="0.45">
      <c r="B73" s="1552"/>
      <c r="C73" s="1555"/>
      <c r="D73" s="394" t="str">
        <f>$D$10</f>
        <v>Sonde de température</v>
      </c>
      <c r="E73" s="1569"/>
      <c r="F73" s="428">
        <f t="shared" ca="1" si="5"/>
        <v>100</v>
      </c>
      <c r="G73" s="424" t="str">
        <f t="shared" ref="G73:U73" ca="1" si="28">IF(F28&lt;&gt;"",_xlfn.SINGLE(INDIRECT(F28&amp;"!"&amp;$F$10)),"")</f>
        <v/>
      </c>
      <c r="H73" s="397" t="str">
        <f t="shared" ca="1" si="28"/>
        <v/>
      </c>
      <c r="I73" s="397" t="str">
        <f t="shared" ca="1" si="28"/>
        <v/>
      </c>
      <c r="J73" s="397" t="str">
        <f t="shared" ca="1" si="28"/>
        <v/>
      </c>
      <c r="K73" s="397" t="str">
        <f t="shared" ca="1" si="28"/>
        <v/>
      </c>
      <c r="L73" s="397" t="str">
        <f t="shared" ca="1" si="28"/>
        <v/>
      </c>
      <c r="M73" s="397">
        <f t="shared" ca="1" si="28"/>
        <v>100</v>
      </c>
      <c r="N73" s="397" t="str">
        <f t="shared" ca="1" si="28"/>
        <v/>
      </c>
      <c r="O73" s="397" t="str">
        <f t="shared" ca="1" si="28"/>
        <v/>
      </c>
      <c r="P73" s="397" t="str">
        <f t="shared" ca="1" si="28"/>
        <v/>
      </c>
      <c r="Q73" s="397" t="str">
        <f t="shared" ca="1" si="28"/>
        <v/>
      </c>
      <c r="R73" s="397" t="str">
        <f t="shared" ca="1" si="28"/>
        <v/>
      </c>
      <c r="S73" s="397" t="str">
        <f t="shared" ca="1" si="28"/>
        <v/>
      </c>
      <c r="T73" s="397" t="str">
        <f t="shared" ca="1" si="28"/>
        <v/>
      </c>
      <c r="U73" s="398" t="str">
        <f t="shared" ca="1" si="28"/>
        <v/>
      </c>
    </row>
    <row r="74" spans="2:21" x14ac:dyDescent="0.4">
      <c r="B74" s="1550" t="s">
        <v>168</v>
      </c>
      <c r="C74" s="1553" t="s">
        <v>183</v>
      </c>
      <c r="D74" s="390" t="str">
        <f>$D$7</f>
        <v>Débitmètre en charge</v>
      </c>
      <c r="E74" s="1558">
        <f ca="1">IFERROR(AVERAGE(F76:F78)*$B$5,"")</f>
        <v>80</v>
      </c>
      <c r="F74" s="426" t="str">
        <f t="shared" ca="1" si="5"/>
        <v/>
      </c>
      <c r="G74" s="421" t="str">
        <f t="shared" ref="G74:U74" ca="1" si="29">IF(F29&lt;&gt;"",_xlfn.SINGLE(INDIRECT(F29&amp;"!"&amp;$F$7)),"")</f>
        <v/>
      </c>
      <c r="H74" s="391" t="str">
        <f t="shared" ca="1" si="29"/>
        <v/>
      </c>
      <c r="I74" s="391" t="str">
        <f t="shared" ca="1" si="29"/>
        <v/>
      </c>
      <c r="J74" s="391" t="str">
        <f t="shared" ca="1" si="29"/>
        <v/>
      </c>
      <c r="K74" s="391" t="str">
        <f t="shared" ca="1" si="29"/>
        <v/>
      </c>
      <c r="L74" s="391" t="str">
        <f t="shared" ca="1" si="29"/>
        <v/>
      </c>
      <c r="M74" s="391" t="str">
        <f t="shared" ca="1" si="29"/>
        <v/>
      </c>
      <c r="N74" s="391" t="str">
        <f t="shared" ca="1" si="29"/>
        <v/>
      </c>
      <c r="O74" s="391" t="str">
        <f t="shared" ca="1" si="29"/>
        <v/>
      </c>
      <c r="P74" s="391" t="str">
        <f t="shared" ca="1" si="29"/>
        <v/>
      </c>
      <c r="Q74" s="391" t="str">
        <f t="shared" ca="1" si="29"/>
        <v/>
      </c>
      <c r="R74" s="391" t="str">
        <f t="shared" ca="1" si="29"/>
        <v/>
      </c>
      <c r="S74" s="391" t="str">
        <f t="shared" ca="1" si="29"/>
        <v/>
      </c>
      <c r="T74" s="391" t="str">
        <f t="shared" ca="1" si="29"/>
        <v/>
      </c>
      <c r="U74" s="392" t="str">
        <f t="shared" ca="1" si="29"/>
        <v/>
      </c>
    </row>
    <row r="75" spans="2:21" x14ac:dyDescent="0.4">
      <c r="B75" s="1551"/>
      <c r="C75" s="1554"/>
      <c r="D75" s="389" t="str">
        <f>$D$8</f>
        <v>Débitmètre gravitaire</v>
      </c>
      <c r="E75" s="1559"/>
      <c r="F75" s="427">
        <f t="shared" ca="1" si="5"/>
        <v>80</v>
      </c>
      <c r="G75" s="422">
        <f t="shared" ref="G75:U75" ca="1" si="30">IF(F30&lt;&gt;"",_xlfn.SINGLE(INDIRECT(F30&amp;"!"&amp;$F$8)),"")</f>
        <v>80</v>
      </c>
      <c r="H75" s="161" t="str">
        <f t="shared" ca="1" si="30"/>
        <v/>
      </c>
      <c r="I75" s="161" t="str">
        <f t="shared" ca="1" si="30"/>
        <v/>
      </c>
      <c r="J75" s="161" t="str">
        <f t="shared" ca="1" si="30"/>
        <v/>
      </c>
      <c r="K75" s="161" t="str">
        <f t="shared" ca="1" si="30"/>
        <v/>
      </c>
      <c r="L75" s="161" t="str">
        <f t="shared" ca="1" si="30"/>
        <v/>
      </c>
      <c r="M75" s="161" t="str">
        <f t="shared" ca="1" si="30"/>
        <v/>
      </c>
      <c r="N75" s="161" t="str">
        <f t="shared" ca="1" si="30"/>
        <v/>
      </c>
      <c r="O75" s="161" t="str">
        <f t="shared" ca="1" si="30"/>
        <v/>
      </c>
      <c r="P75" s="161" t="str">
        <f t="shared" ca="1" si="30"/>
        <v/>
      </c>
      <c r="Q75" s="161" t="str">
        <f t="shared" ca="1" si="30"/>
        <v/>
      </c>
      <c r="R75" s="161" t="str">
        <f t="shared" ca="1" si="30"/>
        <v/>
      </c>
      <c r="S75" s="161" t="str">
        <f t="shared" ca="1" si="30"/>
        <v/>
      </c>
      <c r="T75" s="161" t="str">
        <f t="shared" ca="1" si="30"/>
        <v/>
      </c>
      <c r="U75" s="393" t="str">
        <f t="shared" ca="1" si="30"/>
        <v/>
      </c>
    </row>
    <row r="76" spans="2:21" x14ac:dyDescent="0.4">
      <c r="B76" s="1551"/>
      <c r="C76" s="1554"/>
      <c r="D76" s="389" t="s">
        <v>846</v>
      </c>
      <c r="E76" s="1559"/>
      <c r="F76" s="427">
        <f t="shared" ref="F76" ca="1" si="31">IFERROR(AVERAGE(G76:U76),"")</f>
        <v>80</v>
      </c>
      <c r="G76" s="423">
        <f ca="1">IF(COUNT(G74:G75)&gt;0,SUM(G74:G75),"")</f>
        <v>80</v>
      </c>
      <c r="H76" s="412" t="str">
        <f t="shared" ref="H76" ca="1" si="32">IF(COUNT(H74:H75)&gt;0,SUM(H74:H75),"")</f>
        <v/>
      </c>
      <c r="I76" s="412" t="str">
        <f t="shared" ref="I76" ca="1" si="33">IF(COUNT(I74:I75)&gt;0,SUM(I74:I75),"")</f>
        <v/>
      </c>
      <c r="J76" s="412" t="str">
        <f t="shared" ref="J76" ca="1" si="34">IF(COUNT(J74:J75)&gt;0,SUM(J74:J75),"")</f>
        <v/>
      </c>
      <c r="K76" s="412" t="str">
        <f t="shared" ref="K76" ca="1" si="35">IF(COUNT(K74:K75)&gt;0,SUM(K74:K75),"")</f>
        <v/>
      </c>
      <c r="L76" s="412" t="str">
        <f t="shared" ref="L76" ca="1" si="36">IF(COUNT(L74:L75)&gt;0,SUM(L74:L75),"")</f>
        <v/>
      </c>
      <c r="M76" s="412" t="str">
        <f t="shared" ref="M76" ca="1" si="37">IF(COUNT(M74:M75)&gt;0,SUM(M74:M75),"")</f>
        <v/>
      </c>
      <c r="N76" s="412" t="str">
        <f t="shared" ref="N76" ca="1" si="38">IF(COUNT(N74:N75)&gt;0,SUM(N74:N75),"")</f>
        <v/>
      </c>
      <c r="O76" s="412" t="str">
        <f t="shared" ref="O76" ca="1" si="39">IF(COUNT(O74:O75)&gt;0,SUM(O74:O75),"")</f>
        <v/>
      </c>
      <c r="P76" s="412" t="str">
        <f t="shared" ref="P76" ca="1" si="40">IF(COUNT(P74:P75)&gt;0,SUM(P74:P75),"")</f>
        <v/>
      </c>
      <c r="Q76" s="412" t="str">
        <f t="shared" ref="Q76" ca="1" si="41">IF(COUNT(Q74:Q75)&gt;0,SUM(Q74:Q75),"")</f>
        <v/>
      </c>
      <c r="R76" s="412" t="str">
        <f t="shared" ref="R76" ca="1" si="42">IF(COUNT(R74:R75)&gt;0,SUM(R74:R75),"")</f>
        <v/>
      </c>
      <c r="S76" s="412" t="str">
        <f t="shared" ref="S76" ca="1" si="43">IF(COUNT(S74:S75)&gt;0,SUM(S74:S75),"")</f>
        <v/>
      </c>
      <c r="T76" s="412" t="str">
        <f t="shared" ref="T76" ca="1" si="44">IF(COUNT(T74:T75)&gt;0,SUM(T74:T75),"")</f>
        <v/>
      </c>
      <c r="U76" s="413" t="str">
        <f t="shared" ref="U76" ca="1" si="45">IF(COUNT(U74:U75)&gt;0,SUM(U74:U75),"")</f>
        <v/>
      </c>
    </row>
    <row r="77" spans="2:21" x14ac:dyDescent="0.4">
      <c r="B77" s="1551"/>
      <c r="C77" s="1554"/>
      <c r="D77" s="389" t="str">
        <f>$D$9</f>
        <v>Préleveur</v>
      </c>
      <c r="E77" s="1559"/>
      <c r="F77" s="427" t="str">
        <f t="shared" ca="1" si="5"/>
        <v/>
      </c>
      <c r="G77" s="422" t="str">
        <f t="shared" ref="G77:U77" ca="1" si="46">IF(F31&lt;&gt;"",_xlfn.SINGLE(INDIRECT(F31&amp;"!"&amp;$F$9)),"")</f>
        <v/>
      </c>
      <c r="H77" s="161" t="str">
        <f t="shared" ca="1" si="46"/>
        <v/>
      </c>
      <c r="I77" s="161" t="str">
        <f t="shared" ca="1" si="46"/>
        <v/>
      </c>
      <c r="J77" s="161" t="str">
        <f t="shared" ca="1" si="46"/>
        <v/>
      </c>
      <c r="K77" s="161" t="str">
        <f t="shared" ca="1" si="46"/>
        <v/>
      </c>
      <c r="L77" s="161" t="str">
        <f t="shared" ca="1" si="46"/>
        <v/>
      </c>
      <c r="M77" s="161" t="str">
        <f t="shared" ca="1" si="46"/>
        <v/>
      </c>
      <c r="N77" s="161" t="str">
        <f t="shared" ca="1" si="46"/>
        <v/>
      </c>
      <c r="O77" s="161" t="str">
        <f t="shared" ca="1" si="46"/>
        <v/>
      </c>
      <c r="P77" s="161" t="str">
        <f t="shared" ca="1" si="46"/>
        <v/>
      </c>
      <c r="Q77" s="161" t="str">
        <f t="shared" ca="1" si="46"/>
        <v/>
      </c>
      <c r="R77" s="161" t="str">
        <f t="shared" ca="1" si="46"/>
        <v/>
      </c>
      <c r="S77" s="161" t="str">
        <f t="shared" ca="1" si="46"/>
        <v/>
      </c>
      <c r="T77" s="161" t="str">
        <f t="shared" ca="1" si="46"/>
        <v/>
      </c>
      <c r="U77" s="393" t="str">
        <f t="shared" ca="1" si="46"/>
        <v/>
      </c>
    </row>
    <row r="78" spans="2:21" x14ac:dyDescent="0.4">
      <c r="B78" s="1551"/>
      <c r="C78" s="1554"/>
      <c r="D78" s="1706" t="s">
        <v>783</v>
      </c>
      <c r="E78" s="1559"/>
      <c r="F78" s="427" t="str">
        <f t="shared" ca="1" si="5"/>
        <v/>
      </c>
      <c r="G78" s="1708" t="str">
        <f ca="1">IF(F33&lt;&gt;"",VLOOKUP(F33,Analytique!$X$3:$AD$33,6,FALSE),"")</f>
        <v/>
      </c>
      <c r="H78" s="1708" t="str">
        <f ca="1">IF(G33&lt;&gt;"",VLOOKUP(G33,Analytique!$X$3:$AD$33,6,FALSE),"")</f>
        <v/>
      </c>
      <c r="I78" s="1708" t="str">
        <f ca="1">IF(H33&lt;&gt;"",VLOOKUP(H33,Analytique!$X$3:$AD$33,6,FALSE),"")</f>
        <v/>
      </c>
      <c r="J78" s="1708" t="str">
        <f ca="1">IF(I33&lt;&gt;"",VLOOKUP(I33,Analytique!$X$3:$AD$33,6,FALSE),"")</f>
        <v/>
      </c>
      <c r="K78" s="1708" t="str">
        <f ca="1">IF(J33&lt;&gt;"",VLOOKUP(J33,Analytique!$X$3:$AD$33,6,FALSE),"")</f>
        <v/>
      </c>
      <c r="L78" s="1708" t="str">
        <f ca="1">IF(K33&lt;&gt;"",VLOOKUP(K33,Analytique!$X$3:$AD$33,6,FALSE),"")</f>
        <v/>
      </c>
      <c r="M78" s="1708" t="str">
        <f ca="1">IF(L33&lt;&gt;"",VLOOKUP(L33,Analytique!$X$3:$AD$33,6,FALSE),"")</f>
        <v/>
      </c>
      <c r="N78" s="1708" t="str">
        <f ca="1">IF(M33&lt;&gt;"",VLOOKUP(M33,Analytique!$X$3:$AD$33,6,FALSE),"")</f>
        <v/>
      </c>
      <c r="O78" s="1708" t="str">
        <f ca="1">IF(N33&lt;&gt;"",VLOOKUP(N33,Analytique!$X$3:$AD$33,6,FALSE),"")</f>
        <v/>
      </c>
      <c r="P78" s="1708" t="str">
        <f ca="1">IF(O33&lt;&gt;"",VLOOKUP(O33,Analytique!$X$3:$AD$33,6,FALSE),"")</f>
        <v/>
      </c>
      <c r="Q78" s="1708" t="str">
        <f ca="1">IF(P33&lt;&gt;"",VLOOKUP(P33,Analytique!$X$3:$AD$33,6,FALSE),"")</f>
        <v/>
      </c>
      <c r="R78" s="1708" t="str">
        <f ca="1">IF(Q33&lt;&gt;"",VLOOKUP(Q33,Analytique!$X$3:$AD$33,6,FALSE),"")</f>
        <v/>
      </c>
      <c r="S78" s="1708" t="str">
        <f ca="1">IF(R33&lt;&gt;"",VLOOKUP(R33,Analytique!$X$3:$AD$33,6,FALSE),"")</f>
        <v/>
      </c>
      <c r="T78" s="1708" t="str">
        <f ca="1">IF(S33&lt;&gt;"",VLOOKUP(S33,Analytique!$X$3:$AD$33,6,FALSE),"")</f>
        <v/>
      </c>
      <c r="U78" s="1709" t="str">
        <f ca="1">IF(T33&lt;&gt;"",VLOOKUP(T33,Analytique!$X$3:$AD$33,6,FALSE),"")</f>
        <v/>
      </c>
    </row>
    <row r="79" spans="2:21" ht="13" thickBot="1" x14ac:dyDescent="0.45">
      <c r="B79" s="1552"/>
      <c r="C79" s="1555"/>
      <c r="D79" s="394" t="str">
        <f>$D$10</f>
        <v>Sonde de température</v>
      </c>
      <c r="E79" s="1560"/>
      <c r="F79" s="428" t="str">
        <f t="shared" ca="1" si="5"/>
        <v/>
      </c>
      <c r="G79" s="424" t="str">
        <f t="shared" ref="G79:U79" ca="1" si="47">IF(F33&lt;&gt;"",_xlfn.SINGLE(INDIRECT(F33&amp;"!"&amp;$F$10)),"")</f>
        <v/>
      </c>
      <c r="H79" s="397" t="str">
        <f t="shared" ca="1" si="47"/>
        <v/>
      </c>
      <c r="I79" s="397" t="str">
        <f t="shared" ca="1" si="47"/>
        <v/>
      </c>
      <c r="J79" s="397" t="str">
        <f t="shared" ca="1" si="47"/>
        <v/>
      </c>
      <c r="K79" s="397" t="str">
        <f t="shared" ca="1" si="47"/>
        <v/>
      </c>
      <c r="L79" s="397" t="str">
        <f t="shared" ca="1" si="47"/>
        <v/>
      </c>
      <c r="M79" s="397" t="str">
        <f t="shared" ca="1" si="47"/>
        <v/>
      </c>
      <c r="N79" s="397" t="str">
        <f t="shared" ca="1" si="47"/>
        <v/>
      </c>
      <c r="O79" s="397" t="str">
        <f t="shared" ca="1" si="47"/>
        <v/>
      </c>
      <c r="P79" s="397" t="str">
        <f t="shared" ca="1" si="47"/>
        <v/>
      </c>
      <c r="Q79" s="397" t="str">
        <f t="shared" ca="1" si="47"/>
        <v/>
      </c>
      <c r="R79" s="397" t="str">
        <f t="shared" ca="1" si="47"/>
        <v/>
      </c>
      <c r="S79" s="397" t="str">
        <f t="shared" ca="1" si="47"/>
        <v/>
      </c>
      <c r="T79" s="397" t="str">
        <f t="shared" ca="1" si="47"/>
        <v/>
      </c>
      <c r="U79" s="398" t="str">
        <f t="shared" ca="1" si="47"/>
        <v/>
      </c>
    </row>
    <row r="80" spans="2:21" x14ac:dyDescent="0.4">
      <c r="B80" s="1550" t="s">
        <v>177</v>
      </c>
      <c r="C80" s="1553" t="s">
        <v>185</v>
      </c>
      <c r="D80" s="390" t="str">
        <f>$D$7</f>
        <v>Débitmètre en charge</v>
      </c>
      <c r="E80" s="1558" t="str">
        <f ca="1">IFERROR(AVERAGE(F82:F84)*$B$5,"")</f>
        <v/>
      </c>
      <c r="F80" s="426" t="str">
        <f t="shared" ca="1" si="5"/>
        <v/>
      </c>
      <c r="G80" s="421" t="str">
        <f t="shared" ref="G80:U80" ca="1" si="48">IF(F34&lt;&gt;"",_xlfn.SINGLE(INDIRECT(F34&amp;"!"&amp;$F$7)),"")</f>
        <v/>
      </c>
      <c r="H80" s="391" t="str">
        <f t="shared" ca="1" si="48"/>
        <v/>
      </c>
      <c r="I80" s="391" t="str">
        <f t="shared" ca="1" si="48"/>
        <v/>
      </c>
      <c r="J80" s="391" t="str">
        <f t="shared" ca="1" si="48"/>
        <v/>
      </c>
      <c r="K80" s="391" t="str">
        <f t="shared" ca="1" si="48"/>
        <v/>
      </c>
      <c r="L80" s="391" t="str">
        <f t="shared" ca="1" si="48"/>
        <v/>
      </c>
      <c r="M80" s="391" t="str">
        <f t="shared" ca="1" si="48"/>
        <v/>
      </c>
      <c r="N80" s="391" t="str">
        <f t="shared" ca="1" si="48"/>
        <v/>
      </c>
      <c r="O80" s="391" t="str">
        <f t="shared" ca="1" si="48"/>
        <v/>
      </c>
      <c r="P80" s="391" t="str">
        <f t="shared" ca="1" si="48"/>
        <v/>
      </c>
      <c r="Q80" s="391" t="str">
        <f t="shared" ca="1" si="48"/>
        <v/>
      </c>
      <c r="R80" s="391" t="str">
        <f t="shared" ca="1" si="48"/>
        <v/>
      </c>
      <c r="S80" s="391" t="str">
        <f t="shared" ca="1" si="48"/>
        <v/>
      </c>
      <c r="T80" s="391" t="str">
        <f t="shared" ca="1" si="48"/>
        <v/>
      </c>
      <c r="U80" s="392" t="str">
        <f t="shared" ca="1" si="48"/>
        <v/>
      </c>
    </row>
    <row r="81" spans="2:21" x14ac:dyDescent="0.4">
      <c r="B81" s="1551"/>
      <c r="C81" s="1554"/>
      <c r="D81" s="389" t="str">
        <f>$D$8</f>
        <v>Débitmètre gravitaire</v>
      </c>
      <c r="E81" s="1559"/>
      <c r="F81" s="427" t="str">
        <f t="shared" ca="1" si="5"/>
        <v/>
      </c>
      <c r="G81" s="422" t="str">
        <f t="shared" ref="G81:U81" ca="1" si="49">IF(F35&lt;&gt;"",_xlfn.SINGLE(INDIRECT(F35&amp;"!"&amp;$F$8)),"")</f>
        <v/>
      </c>
      <c r="H81" s="161" t="str">
        <f t="shared" ca="1" si="49"/>
        <v/>
      </c>
      <c r="I81" s="161" t="str">
        <f t="shared" ca="1" si="49"/>
        <v/>
      </c>
      <c r="J81" s="161" t="str">
        <f t="shared" ca="1" si="49"/>
        <v/>
      </c>
      <c r="K81" s="161" t="str">
        <f t="shared" ca="1" si="49"/>
        <v/>
      </c>
      <c r="L81" s="161" t="str">
        <f t="shared" ca="1" si="49"/>
        <v/>
      </c>
      <c r="M81" s="161" t="str">
        <f t="shared" ca="1" si="49"/>
        <v/>
      </c>
      <c r="N81" s="161" t="str">
        <f t="shared" ca="1" si="49"/>
        <v/>
      </c>
      <c r="O81" s="161" t="str">
        <f t="shared" ca="1" si="49"/>
        <v/>
      </c>
      <c r="P81" s="161" t="str">
        <f t="shared" ca="1" si="49"/>
        <v/>
      </c>
      <c r="Q81" s="161" t="str">
        <f t="shared" ca="1" si="49"/>
        <v/>
      </c>
      <c r="R81" s="161" t="str">
        <f t="shared" ca="1" si="49"/>
        <v/>
      </c>
      <c r="S81" s="161" t="str">
        <f t="shared" ca="1" si="49"/>
        <v/>
      </c>
      <c r="T81" s="161" t="str">
        <f t="shared" ca="1" si="49"/>
        <v/>
      </c>
      <c r="U81" s="393" t="str">
        <f t="shared" ca="1" si="49"/>
        <v/>
      </c>
    </row>
    <row r="82" spans="2:21" x14ac:dyDescent="0.4">
      <c r="B82" s="1551"/>
      <c r="C82" s="1554"/>
      <c r="D82" s="389" t="s">
        <v>846</v>
      </c>
      <c r="E82" s="1559"/>
      <c r="F82" s="427" t="str">
        <f t="shared" ref="F82" ca="1" si="50">IFERROR(AVERAGE(G82:U82),"")</f>
        <v/>
      </c>
      <c r="G82" s="423" t="str">
        <f ca="1">IF(COUNT(G80:G81)&gt;0,SUM(G80:G81),"")</f>
        <v/>
      </c>
      <c r="H82" s="412" t="str">
        <f t="shared" ref="H82" ca="1" si="51">IF(COUNT(H80:H81)&gt;0,SUM(H80:H81),"")</f>
        <v/>
      </c>
      <c r="I82" s="412" t="str">
        <f t="shared" ref="I82" ca="1" si="52">IF(COUNT(I80:I81)&gt;0,SUM(I80:I81),"")</f>
        <v/>
      </c>
      <c r="J82" s="412" t="str">
        <f t="shared" ref="J82" ca="1" si="53">IF(COUNT(J80:J81)&gt;0,SUM(J80:J81),"")</f>
        <v/>
      </c>
      <c r="K82" s="412" t="str">
        <f t="shared" ref="K82" ca="1" si="54">IF(COUNT(K80:K81)&gt;0,SUM(K80:K81),"")</f>
        <v/>
      </c>
      <c r="L82" s="412" t="str">
        <f t="shared" ref="L82" ca="1" si="55">IF(COUNT(L80:L81)&gt;0,SUM(L80:L81),"")</f>
        <v/>
      </c>
      <c r="M82" s="412" t="str">
        <f t="shared" ref="M82" ca="1" si="56">IF(COUNT(M80:M81)&gt;0,SUM(M80:M81),"")</f>
        <v/>
      </c>
      <c r="N82" s="412" t="str">
        <f t="shared" ref="N82" ca="1" si="57">IF(COUNT(N80:N81)&gt;0,SUM(N80:N81),"")</f>
        <v/>
      </c>
      <c r="O82" s="412" t="str">
        <f t="shared" ref="O82" ca="1" si="58">IF(COUNT(O80:O81)&gt;0,SUM(O80:O81),"")</f>
        <v/>
      </c>
      <c r="P82" s="412" t="str">
        <f t="shared" ref="P82" ca="1" si="59">IF(COUNT(P80:P81)&gt;0,SUM(P80:P81),"")</f>
        <v/>
      </c>
      <c r="Q82" s="412" t="str">
        <f t="shared" ref="Q82" ca="1" si="60">IF(COUNT(Q80:Q81)&gt;0,SUM(Q80:Q81),"")</f>
        <v/>
      </c>
      <c r="R82" s="412" t="str">
        <f t="shared" ref="R82" ca="1" si="61">IF(COUNT(R80:R81)&gt;0,SUM(R80:R81),"")</f>
        <v/>
      </c>
      <c r="S82" s="412" t="str">
        <f t="shared" ref="S82" ca="1" si="62">IF(COUNT(S80:S81)&gt;0,SUM(S80:S81),"")</f>
        <v/>
      </c>
      <c r="T82" s="412" t="str">
        <f t="shared" ref="T82" ca="1" si="63">IF(COUNT(T80:T81)&gt;0,SUM(T80:T81),"")</f>
        <v/>
      </c>
      <c r="U82" s="413" t="str">
        <f t="shared" ref="U82" ca="1" si="64">IF(COUNT(U80:U81)&gt;0,SUM(U80:U81),"")</f>
        <v/>
      </c>
    </row>
    <row r="83" spans="2:21" x14ac:dyDescent="0.4">
      <c r="B83" s="1551"/>
      <c r="C83" s="1554"/>
      <c r="D83" s="389" t="str">
        <f>$D$9</f>
        <v>Préleveur</v>
      </c>
      <c r="E83" s="1559"/>
      <c r="F83" s="427" t="str">
        <f t="shared" ca="1" si="5"/>
        <v/>
      </c>
      <c r="G83" s="422" t="str">
        <f t="shared" ref="G83:U83" ca="1" si="65">IF(F36&lt;&gt;"",_xlfn.SINGLE(INDIRECT(F36&amp;"!"&amp;$F$9)),"")</f>
        <v/>
      </c>
      <c r="H83" s="161" t="str">
        <f t="shared" ca="1" si="65"/>
        <v/>
      </c>
      <c r="I83" s="161" t="str">
        <f t="shared" ca="1" si="65"/>
        <v/>
      </c>
      <c r="J83" s="161" t="str">
        <f t="shared" ca="1" si="65"/>
        <v/>
      </c>
      <c r="K83" s="161" t="str">
        <f t="shared" ca="1" si="65"/>
        <v/>
      </c>
      <c r="L83" s="161" t="str">
        <f t="shared" ca="1" si="65"/>
        <v/>
      </c>
      <c r="M83" s="161" t="str">
        <f t="shared" ca="1" si="65"/>
        <v/>
      </c>
      <c r="N83" s="161" t="str">
        <f t="shared" ca="1" si="65"/>
        <v/>
      </c>
      <c r="O83" s="161" t="str">
        <f t="shared" ca="1" si="65"/>
        <v/>
      </c>
      <c r="P83" s="161" t="str">
        <f t="shared" ca="1" si="65"/>
        <v/>
      </c>
      <c r="Q83" s="161" t="str">
        <f t="shared" ca="1" si="65"/>
        <v/>
      </c>
      <c r="R83" s="161" t="str">
        <f t="shared" ca="1" si="65"/>
        <v/>
      </c>
      <c r="S83" s="161" t="str">
        <f t="shared" ca="1" si="65"/>
        <v/>
      </c>
      <c r="T83" s="161" t="str">
        <f t="shared" ca="1" si="65"/>
        <v/>
      </c>
      <c r="U83" s="393" t="str">
        <f t="shared" ca="1" si="65"/>
        <v/>
      </c>
    </row>
    <row r="84" spans="2:21" x14ac:dyDescent="0.4">
      <c r="B84" s="1551"/>
      <c r="C84" s="1554"/>
      <c r="D84" s="1706" t="s">
        <v>783</v>
      </c>
      <c r="E84" s="1559"/>
      <c r="F84" s="427" t="str">
        <f t="shared" ca="1" si="5"/>
        <v/>
      </c>
      <c r="G84" s="1708" t="str">
        <f ca="1">IF(F39&lt;&gt;"",VLOOKUP(F39,Analytique!$X$3:$AD$33,6,FALSE),"")</f>
        <v/>
      </c>
      <c r="H84" s="1708" t="str">
        <f ca="1">IF(G39&lt;&gt;"",VLOOKUP(G39,Analytique!$X$3:$AD$33,6,FALSE),"")</f>
        <v/>
      </c>
      <c r="I84" s="1708" t="str">
        <f ca="1">IF(H39&lt;&gt;"",VLOOKUP(H39,Analytique!$X$3:$AD$33,6,FALSE),"")</f>
        <v/>
      </c>
      <c r="J84" s="1708" t="str">
        <f ca="1">IF(I39&lt;&gt;"",VLOOKUP(I39,Analytique!$X$3:$AD$33,6,FALSE),"")</f>
        <v/>
      </c>
      <c r="K84" s="1708" t="str">
        <f ca="1">IF(J39&lt;&gt;"",VLOOKUP(J39,Analytique!$X$3:$AD$33,6,FALSE),"")</f>
        <v/>
      </c>
      <c r="L84" s="1708" t="str">
        <f ca="1">IF(K39&lt;&gt;"",VLOOKUP(K39,Analytique!$X$3:$AD$33,6,FALSE),"")</f>
        <v/>
      </c>
      <c r="M84" s="1708" t="str">
        <f ca="1">IF(L39&lt;&gt;"",VLOOKUP(L39,Analytique!$X$3:$AD$33,6,FALSE),"")</f>
        <v/>
      </c>
      <c r="N84" s="1708" t="str">
        <f ca="1">IF(M39&lt;&gt;"",VLOOKUP(M39,Analytique!$X$3:$AD$33,6,FALSE),"")</f>
        <v/>
      </c>
      <c r="O84" s="1708" t="str">
        <f ca="1">IF(N39&lt;&gt;"",VLOOKUP(N39,Analytique!$X$3:$AD$33,6,FALSE),"")</f>
        <v/>
      </c>
      <c r="P84" s="1708" t="str">
        <f ca="1">IF(O39&lt;&gt;"",VLOOKUP(O39,Analytique!$X$3:$AD$33,6,FALSE),"")</f>
        <v/>
      </c>
      <c r="Q84" s="1708" t="str">
        <f ca="1">IF(P39&lt;&gt;"",VLOOKUP(P39,Analytique!$X$3:$AD$33,6,FALSE),"")</f>
        <v/>
      </c>
      <c r="R84" s="1708" t="str">
        <f ca="1">IF(Q39&lt;&gt;"",VLOOKUP(Q39,Analytique!$X$3:$AD$33,6,FALSE),"")</f>
        <v/>
      </c>
      <c r="S84" s="1708" t="str">
        <f ca="1">IF(R39&lt;&gt;"",VLOOKUP(R39,Analytique!$X$3:$AD$33,6,FALSE),"")</f>
        <v/>
      </c>
      <c r="T84" s="1708" t="str">
        <f ca="1">IF(S39&lt;&gt;"",VLOOKUP(S39,Analytique!$X$3:$AD$33,6,FALSE),"")</f>
        <v/>
      </c>
      <c r="U84" s="1709" t="str">
        <f ca="1">IF(T39&lt;&gt;"",VLOOKUP(T39,Analytique!$X$3:$AD$33,6,FALSE),"")</f>
        <v/>
      </c>
    </row>
    <row r="85" spans="2:21" ht="13" thickBot="1" x14ac:dyDescent="0.45">
      <c r="B85" s="1552"/>
      <c r="C85" s="1555"/>
      <c r="D85" s="394" t="str">
        <f>$D$10</f>
        <v>Sonde de température</v>
      </c>
      <c r="E85" s="1560"/>
      <c r="F85" s="428" t="str">
        <f t="shared" ca="1" si="5"/>
        <v/>
      </c>
      <c r="G85" s="424" t="str">
        <f t="shared" ref="G85:U85" ca="1" si="66">IF(F37&lt;&gt;"",_xlfn.SINGLE(INDIRECT(F37&amp;"!"&amp;$F$10)),"")</f>
        <v/>
      </c>
      <c r="H85" s="397" t="str">
        <f t="shared" ca="1" si="66"/>
        <v/>
      </c>
      <c r="I85" s="397" t="str">
        <f t="shared" ca="1" si="66"/>
        <v/>
      </c>
      <c r="J85" s="397" t="str">
        <f t="shared" ca="1" si="66"/>
        <v/>
      </c>
      <c r="K85" s="397" t="str">
        <f t="shared" ca="1" si="66"/>
        <v/>
      </c>
      <c r="L85" s="397" t="str">
        <f t="shared" ca="1" si="66"/>
        <v/>
      </c>
      <c r="M85" s="397" t="str">
        <f t="shared" ca="1" si="66"/>
        <v/>
      </c>
      <c r="N85" s="397" t="str">
        <f t="shared" ca="1" si="66"/>
        <v/>
      </c>
      <c r="O85" s="397" t="str">
        <f t="shared" ca="1" si="66"/>
        <v/>
      </c>
      <c r="P85" s="397" t="str">
        <f t="shared" ca="1" si="66"/>
        <v/>
      </c>
      <c r="Q85" s="397" t="str">
        <f t="shared" ca="1" si="66"/>
        <v/>
      </c>
      <c r="R85" s="397" t="str">
        <f t="shared" ca="1" si="66"/>
        <v/>
      </c>
      <c r="S85" s="397" t="str">
        <f t="shared" ca="1" si="66"/>
        <v/>
      </c>
      <c r="T85" s="397" t="str">
        <f t="shared" ca="1" si="66"/>
        <v/>
      </c>
      <c r="U85" s="398" t="str">
        <f t="shared" ca="1" si="66"/>
        <v/>
      </c>
    </row>
    <row r="86" spans="2:21" x14ac:dyDescent="0.4">
      <c r="B86" s="1550" t="s">
        <v>180</v>
      </c>
      <c r="C86" s="1553" t="s">
        <v>188</v>
      </c>
      <c r="D86" s="390" t="str">
        <f>$D$7</f>
        <v>Débitmètre en charge</v>
      </c>
      <c r="E86" s="1558">
        <f ca="1">IFERROR(AVERAGE(F88:F90)*$B$5,"")</f>
        <v>40</v>
      </c>
      <c r="F86" s="426">
        <f t="shared" ca="1" si="5"/>
        <v>40</v>
      </c>
      <c r="G86" s="421" t="str">
        <f t="shared" ref="G86:U86" ca="1" si="67">IF(F38&lt;&gt;"",_xlfn.SINGLE(INDIRECT(F38&amp;"!"&amp;$F$7)),"")</f>
        <v/>
      </c>
      <c r="H86" s="391" t="str">
        <f t="shared" ca="1" si="67"/>
        <v/>
      </c>
      <c r="I86" s="391" t="str">
        <f t="shared" ca="1" si="67"/>
        <v/>
      </c>
      <c r="J86" s="391" t="str">
        <f t="shared" ca="1" si="67"/>
        <v/>
      </c>
      <c r="K86" s="391" t="str">
        <f t="shared" ca="1" si="67"/>
        <v/>
      </c>
      <c r="L86" s="391">
        <f t="shared" ca="1" si="67"/>
        <v>40</v>
      </c>
      <c r="M86" s="391" t="str">
        <f t="shared" ca="1" si="67"/>
        <v/>
      </c>
      <c r="N86" s="391" t="str">
        <f t="shared" ca="1" si="67"/>
        <v/>
      </c>
      <c r="O86" s="391" t="str">
        <f t="shared" ca="1" si="67"/>
        <v/>
      </c>
      <c r="P86" s="391" t="str">
        <f t="shared" ca="1" si="67"/>
        <v/>
      </c>
      <c r="Q86" s="391" t="str">
        <f t="shared" ca="1" si="67"/>
        <v/>
      </c>
      <c r="R86" s="391" t="str">
        <f t="shared" ca="1" si="67"/>
        <v/>
      </c>
      <c r="S86" s="391" t="str">
        <f t="shared" ca="1" si="67"/>
        <v/>
      </c>
      <c r="T86" s="391" t="str">
        <f t="shared" ca="1" si="67"/>
        <v/>
      </c>
      <c r="U86" s="392" t="str">
        <f t="shared" ca="1" si="67"/>
        <v/>
      </c>
    </row>
    <row r="87" spans="2:21" x14ac:dyDescent="0.4">
      <c r="B87" s="1551"/>
      <c r="C87" s="1554"/>
      <c r="D87" s="389" t="str">
        <f>$D$8</f>
        <v>Débitmètre gravitaire</v>
      </c>
      <c r="E87" s="1559"/>
      <c r="F87" s="427" t="str">
        <f t="shared" ca="1" si="5"/>
        <v/>
      </c>
      <c r="G87" s="422" t="str">
        <f t="shared" ref="G87:U87" ca="1" si="68">IF(F39&lt;&gt;"",_xlfn.SINGLE(INDIRECT(F39&amp;"!"&amp;$F$8)),"")</f>
        <v/>
      </c>
      <c r="H87" s="161" t="str">
        <f t="shared" ca="1" si="68"/>
        <v/>
      </c>
      <c r="I87" s="161" t="str">
        <f t="shared" ca="1" si="68"/>
        <v/>
      </c>
      <c r="J87" s="161" t="str">
        <f t="shared" ca="1" si="68"/>
        <v/>
      </c>
      <c r="K87" s="161" t="str">
        <f t="shared" ca="1" si="68"/>
        <v/>
      </c>
      <c r="L87" s="161" t="str">
        <f t="shared" ca="1" si="68"/>
        <v/>
      </c>
      <c r="M87" s="161" t="str">
        <f t="shared" ca="1" si="68"/>
        <v/>
      </c>
      <c r="N87" s="161" t="str">
        <f t="shared" ca="1" si="68"/>
        <v/>
      </c>
      <c r="O87" s="161" t="str">
        <f t="shared" ca="1" si="68"/>
        <v/>
      </c>
      <c r="P87" s="161" t="str">
        <f t="shared" ca="1" si="68"/>
        <v/>
      </c>
      <c r="Q87" s="161" t="str">
        <f t="shared" ca="1" si="68"/>
        <v/>
      </c>
      <c r="R87" s="161" t="str">
        <f t="shared" ca="1" si="68"/>
        <v/>
      </c>
      <c r="S87" s="161" t="str">
        <f t="shared" ca="1" si="68"/>
        <v/>
      </c>
      <c r="T87" s="161" t="str">
        <f t="shared" ca="1" si="68"/>
        <v/>
      </c>
      <c r="U87" s="393" t="str">
        <f t="shared" ca="1" si="68"/>
        <v/>
      </c>
    </row>
    <row r="88" spans="2:21" x14ac:dyDescent="0.4">
      <c r="B88" s="1551"/>
      <c r="C88" s="1554"/>
      <c r="D88" s="389" t="s">
        <v>846</v>
      </c>
      <c r="E88" s="1559"/>
      <c r="F88" s="427">
        <f t="shared" ref="F88" ca="1" si="69">IFERROR(AVERAGE(G88:U88),"")</f>
        <v>40</v>
      </c>
      <c r="G88" s="423" t="str">
        <f ca="1">IF(COUNT(G86:G87)&gt;0,SUM(G86:G87),"")</f>
        <v/>
      </c>
      <c r="H88" s="412" t="str">
        <f t="shared" ref="H88" ca="1" si="70">IF(COUNT(H86:H87)&gt;0,SUM(H86:H87),"")</f>
        <v/>
      </c>
      <c r="I88" s="412" t="str">
        <f t="shared" ref="I88" ca="1" si="71">IF(COUNT(I86:I87)&gt;0,SUM(I86:I87),"")</f>
        <v/>
      </c>
      <c r="J88" s="412" t="str">
        <f t="shared" ref="J88" ca="1" si="72">IF(COUNT(J86:J87)&gt;0,SUM(J86:J87),"")</f>
        <v/>
      </c>
      <c r="K88" s="412" t="str">
        <f t="shared" ref="K88" ca="1" si="73">IF(COUNT(K86:K87)&gt;0,SUM(K86:K87),"")</f>
        <v/>
      </c>
      <c r="L88" s="412">
        <f t="shared" ref="L88" ca="1" si="74">IF(COUNT(L86:L87)&gt;0,SUM(L86:L87),"")</f>
        <v>40</v>
      </c>
      <c r="M88" s="412" t="str">
        <f t="shared" ref="M88" ca="1" si="75">IF(COUNT(M86:M87)&gt;0,SUM(M86:M87),"")</f>
        <v/>
      </c>
      <c r="N88" s="412" t="str">
        <f t="shared" ref="N88" ca="1" si="76">IF(COUNT(N86:N87)&gt;0,SUM(N86:N87),"")</f>
        <v/>
      </c>
      <c r="O88" s="412" t="str">
        <f t="shared" ref="O88" ca="1" si="77">IF(COUNT(O86:O87)&gt;0,SUM(O86:O87),"")</f>
        <v/>
      </c>
      <c r="P88" s="412" t="str">
        <f t="shared" ref="P88" ca="1" si="78">IF(COUNT(P86:P87)&gt;0,SUM(P86:P87),"")</f>
        <v/>
      </c>
      <c r="Q88" s="412" t="str">
        <f t="shared" ref="Q88" ca="1" si="79">IF(COUNT(Q86:Q87)&gt;0,SUM(Q86:Q87),"")</f>
        <v/>
      </c>
      <c r="R88" s="412" t="str">
        <f t="shared" ref="R88" ca="1" si="80">IF(COUNT(R86:R87)&gt;0,SUM(R86:R87),"")</f>
        <v/>
      </c>
      <c r="S88" s="412" t="str">
        <f t="shared" ref="S88" ca="1" si="81">IF(COUNT(S86:S87)&gt;0,SUM(S86:S87),"")</f>
        <v/>
      </c>
      <c r="T88" s="412" t="str">
        <f t="shared" ref="T88" ca="1" si="82">IF(COUNT(T86:T87)&gt;0,SUM(T86:T87),"")</f>
        <v/>
      </c>
      <c r="U88" s="413" t="str">
        <f t="shared" ref="U88" ca="1" si="83">IF(COUNT(U86:U87)&gt;0,SUM(U86:U87),"")</f>
        <v/>
      </c>
    </row>
    <row r="89" spans="2:21" x14ac:dyDescent="0.4">
      <c r="B89" s="1551"/>
      <c r="C89" s="1554"/>
      <c r="D89" s="389" t="str">
        <f>$D$9</f>
        <v>Préleveur</v>
      </c>
      <c r="E89" s="1559"/>
      <c r="F89" s="427" t="str">
        <f t="shared" ca="1" si="5"/>
        <v/>
      </c>
      <c r="G89" s="422" t="str">
        <f t="shared" ref="G89:U89" ca="1" si="84">IF(F40&lt;&gt;"",_xlfn.SINGLE(INDIRECT(F40&amp;"!"&amp;$F$9)),"")</f>
        <v/>
      </c>
      <c r="H89" s="161" t="str">
        <f t="shared" ca="1" si="84"/>
        <v/>
      </c>
      <c r="I89" s="161" t="str">
        <f t="shared" ca="1" si="84"/>
        <v/>
      </c>
      <c r="J89" s="161" t="str">
        <f t="shared" ca="1" si="84"/>
        <v/>
      </c>
      <c r="K89" s="161" t="str">
        <f t="shared" ca="1" si="84"/>
        <v/>
      </c>
      <c r="L89" s="161" t="str">
        <f t="shared" ca="1" si="84"/>
        <v/>
      </c>
      <c r="M89" s="161" t="str">
        <f t="shared" ca="1" si="84"/>
        <v/>
      </c>
      <c r="N89" s="161" t="str">
        <f t="shared" ca="1" si="84"/>
        <v/>
      </c>
      <c r="O89" s="161" t="str">
        <f t="shared" ca="1" si="84"/>
        <v/>
      </c>
      <c r="P89" s="161" t="str">
        <f t="shared" ca="1" si="84"/>
        <v/>
      </c>
      <c r="Q89" s="161" t="str">
        <f t="shared" ca="1" si="84"/>
        <v/>
      </c>
      <c r="R89" s="161" t="str">
        <f t="shared" ca="1" si="84"/>
        <v/>
      </c>
      <c r="S89" s="161" t="str">
        <f t="shared" ca="1" si="84"/>
        <v/>
      </c>
      <c r="T89" s="161" t="str">
        <f t="shared" ca="1" si="84"/>
        <v/>
      </c>
      <c r="U89" s="393" t="str">
        <f t="shared" ca="1" si="84"/>
        <v/>
      </c>
    </row>
    <row r="90" spans="2:21" x14ac:dyDescent="0.4">
      <c r="B90" s="1551"/>
      <c r="C90" s="1554"/>
      <c r="D90" s="1706" t="s">
        <v>783</v>
      </c>
      <c r="E90" s="1559"/>
      <c r="F90" s="427" t="str">
        <f t="shared" si="5"/>
        <v/>
      </c>
      <c r="G90" s="1707"/>
      <c r="H90" s="1708"/>
      <c r="I90" s="1708"/>
      <c r="J90" s="1708"/>
      <c r="K90" s="1708"/>
      <c r="L90" s="1708"/>
      <c r="M90" s="1708"/>
      <c r="N90" s="1708"/>
      <c r="O90" s="1708"/>
      <c r="P90" s="1708"/>
      <c r="Q90" s="1708"/>
      <c r="R90" s="1708"/>
      <c r="S90" s="1708"/>
      <c r="T90" s="1708"/>
      <c r="U90" s="1709"/>
    </row>
    <row r="91" spans="2:21" ht="13" thickBot="1" x14ac:dyDescent="0.45">
      <c r="B91" s="1552"/>
      <c r="C91" s="1555"/>
      <c r="D91" s="394" t="str">
        <f>$D$10</f>
        <v>Sonde de température</v>
      </c>
      <c r="E91" s="1560"/>
      <c r="F91" s="428" t="str">
        <f t="shared" ca="1" si="5"/>
        <v/>
      </c>
      <c r="G91" s="424" t="str">
        <f t="shared" ref="G91:U91" ca="1" si="85">IF(F42&lt;&gt;"",_xlfn.SINGLE(INDIRECT(F42&amp;"!"&amp;$F$10)),"")</f>
        <v/>
      </c>
      <c r="H91" s="397" t="str">
        <f t="shared" ca="1" si="85"/>
        <v/>
      </c>
      <c r="I91" s="397" t="str">
        <f t="shared" ca="1" si="85"/>
        <v/>
      </c>
      <c r="J91" s="397" t="str">
        <f t="shared" ca="1" si="85"/>
        <v/>
      </c>
      <c r="K91" s="397" t="str">
        <f t="shared" ca="1" si="85"/>
        <v/>
      </c>
      <c r="L91" s="397" t="str">
        <f t="shared" ca="1" si="85"/>
        <v/>
      </c>
      <c r="M91" s="397" t="str">
        <f t="shared" ca="1" si="85"/>
        <v/>
      </c>
      <c r="N91" s="397" t="str">
        <f t="shared" ca="1" si="85"/>
        <v/>
      </c>
      <c r="O91" s="397" t="str">
        <f t="shared" ca="1" si="85"/>
        <v/>
      </c>
      <c r="P91" s="397" t="str">
        <f t="shared" ca="1" si="85"/>
        <v/>
      </c>
      <c r="Q91" s="397" t="str">
        <f t="shared" ca="1" si="85"/>
        <v/>
      </c>
      <c r="R91" s="397" t="str">
        <f t="shared" ca="1" si="85"/>
        <v/>
      </c>
      <c r="S91" s="397" t="str">
        <f t="shared" ca="1" si="85"/>
        <v/>
      </c>
      <c r="T91" s="397" t="str">
        <f t="shared" ca="1" si="85"/>
        <v/>
      </c>
      <c r="U91" s="398" t="str">
        <f t="shared" ca="1" si="85"/>
        <v/>
      </c>
    </row>
    <row r="92" spans="2:21" x14ac:dyDescent="0.4">
      <c r="B92" s="1550" t="s">
        <v>182</v>
      </c>
      <c r="C92" s="1553" t="s">
        <v>187</v>
      </c>
      <c r="D92" s="390" t="str">
        <f>$D$7</f>
        <v>Débitmètre en charge</v>
      </c>
      <c r="E92" s="1558" t="str">
        <f ca="1">IFERROR(AVERAGE(F94:F96)*$B$5,"")</f>
        <v/>
      </c>
      <c r="F92" s="426" t="str">
        <f t="shared" ca="1" si="5"/>
        <v/>
      </c>
      <c r="G92" s="421" t="str">
        <f t="shared" ref="G92:U92" ca="1" si="86">IF(F43&lt;&gt;"",_xlfn.SINGLE(INDIRECT(F43&amp;"!"&amp;$F$7)),"")</f>
        <v/>
      </c>
      <c r="H92" s="391" t="str">
        <f t="shared" ca="1" si="86"/>
        <v/>
      </c>
      <c r="I92" s="391" t="str">
        <f t="shared" ca="1" si="86"/>
        <v/>
      </c>
      <c r="J92" s="391" t="str">
        <f t="shared" ca="1" si="86"/>
        <v/>
      </c>
      <c r="K92" s="391" t="str">
        <f t="shared" ca="1" si="86"/>
        <v/>
      </c>
      <c r="L92" s="391" t="str">
        <f t="shared" ca="1" si="86"/>
        <v/>
      </c>
      <c r="M92" s="391" t="str">
        <f t="shared" ca="1" si="86"/>
        <v/>
      </c>
      <c r="N92" s="391" t="str">
        <f t="shared" ca="1" si="86"/>
        <v/>
      </c>
      <c r="O92" s="391" t="str">
        <f t="shared" ca="1" si="86"/>
        <v/>
      </c>
      <c r="P92" s="391" t="str">
        <f t="shared" ca="1" si="86"/>
        <v/>
      </c>
      <c r="Q92" s="391" t="str">
        <f t="shared" ca="1" si="86"/>
        <v/>
      </c>
      <c r="R92" s="391" t="str">
        <f t="shared" ca="1" si="86"/>
        <v/>
      </c>
      <c r="S92" s="391" t="str">
        <f t="shared" ca="1" si="86"/>
        <v/>
      </c>
      <c r="T92" s="391" t="str">
        <f t="shared" ca="1" si="86"/>
        <v/>
      </c>
      <c r="U92" s="392" t="str">
        <f t="shared" ca="1" si="86"/>
        <v/>
      </c>
    </row>
    <row r="93" spans="2:21" x14ac:dyDescent="0.4">
      <c r="B93" s="1551"/>
      <c r="C93" s="1554"/>
      <c r="D93" s="389" t="str">
        <f>$D$8</f>
        <v>Débitmètre gravitaire</v>
      </c>
      <c r="E93" s="1559"/>
      <c r="F93" s="427" t="str">
        <f t="shared" ca="1" si="5"/>
        <v/>
      </c>
      <c r="G93" s="422" t="str">
        <f t="shared" ref="G93:U93" ca="1" si="87">IF(F44&lt;&gt;"",_xlfn.SINGLE(INDIRECT(F44&amp;"!"&amp;$F$8)),"")</f>
        <v/>
      </c>
      <c r="H93" s="161" t="str">
        <f t="shared" ca="1" si="87"/>
        <v/>
      </c>
      <c r="I93" s="161" t="str">
        <f t="shared" ca="1" si="87"/>
        <v/>
      </c>
      <c r="J93" s="161" t="str">
        <f t="shared" ca="1" si="87"/>
        <v/>
      </c>
      <c r="K93" s="161" t="str">
        <f t="shared" ca="1" si="87"/>
        <v/>
      </c>
      <c r="L93" s="161" t="str">
        <f t="shared" ca="1" si="87"/>
        <v/>
      </c>
      <c r="M93" s="161" t="str">
        <f t="shared" ca="1" si="87"/>
        <v/>
      </c>
      <c r="N93" s="161" t="str">
        <f t="shared" ca="1" si="87"/>
        <v/>
      </c>
      <c r="O93" s="161" t="str">
        <f t="shared" ca="1" si="87"/>
        <v/>
      </c>
      <c r="P93" s="161" t="str">
        <f t="shared" ca="1" si="87"/>
        <v/>
      </c>
      <c r="Q93" s="161" t="str">
        <f t="shared" ca="1" si="87"/>
        <v/>
      </c>
      <c r="R93" s="161" t="str">
        <f t="shared" ca="1" si="87"/>
        <v/>
      </c>
      <c r="S93" s="161" t="str">
        <f t="shared" ca="1" si="87"/>
        <v/>
      </c>
      <c r="T93" s="161" t="str">
        <f t="shared" ca="1" si="87"/>
        <v/>
      </c>
      <c r="U93" s="393" t="str">
        <f t="shared" ca="1" si="87"/>
        <v/>
      </c>
    </row>
    <row r="94" spans="2:21" x14ac:dyDescent="0.4">
      <c r="B94" s="1551"/>
      <c r="C94" s="1554"/>
      <c r="D94" s="389" t="s">
        <v>846</v>
      </c>
      <c r="E94" s="1559"/>
      <c r="F94" s="427" t="str">
        <f t="shared" ref="F94" ca="1" si="88">IFERROR(AVERAGE(G94:U94),"")</f>
        <v/>
      </c>
      <c r="G94" s="423" t="str">
        <f ca="1">IF(COUNT(G92:G93)&gt;0,SUM(G92:G93),"")</f>
        <v/>
      </c>
      <c r="H94" s="412" t="str">
        <f t="shared" ref="H94" ca="1" si="89">IF(COUNT(H92:H93)&gt;0,SUM(H92:H93),"")</f>
        <v/>
      </c>
      <c r="I94" s="412" t="str">
        <f t="shared" ref="I94" ca="1" si="90">IF(COUNT(I92:I93)&gt;0,SUM(I92:I93),"")</f>
        <v/>
      </c>
      <c r="J94" s="412" t="str">
        <f t="shared" ref="J94" ca="1" si="91">IF(COUNT(J92:J93)&gt;0,SUM(J92:J93),"")</f>
        <v/>
      </c>
      <c r="K94" s="412" t="str">
        <f t="shared" ref="K94" ca="1" si="92">IF(COUNT(K92:K93)&gt;0,SUM(K92:K93),"")</f>
        <v/>
      </c>
      <c r="L94" s="412" t="str">
        <f t="shared" ref="L94" ca="1" si="93">IF(COUNT(L92:L93)&gt;0,SUM(L92:L93),"")</f>
        <v/>
      </c>
      <c r="M94" s="412" t="str">
        <f t="shared" ref="M94" ca="1" si="94">IF(COUNT(M92:M93)&gt;0,SUM(M92:M93),"")</f>
        <v/>
      </c>
      <c r="N94" s="412" t="str">
        <f t="shared" ref="N94" ca="1" si="95">IF(COUNT(N92:N93)&gt;0,SUM(N92:N93),"")</f>
        <v/>
      </c>
      <c r="O94" s="412" t="str">
        <f t="shared" ref="O94" ca="1" si="96">IF(COUNT(O92:O93)&gt;0,SUM(O92:O93),"")</f>
        <v/>
      </c>
      <c r="P94" s="412" t="str">
        <f t="shared" ref="P94" ca="1" si="97">IF(COUNT(P92:P93)&gt;0,SUM(P92:P93),"")</f>
        <v/>
      </c>
      <c r="Q94" s="412" t="str">
        <f t="shared" ref="Q94" ca="1" si="98">IF(COUNT(Q92:Q93)&gt;0,SUM(Q92:Q93),"")</f>
        <v/>
      </c>
      <c r="R94" s="412" t="str">
        <f t="shared" ref="R94" ca="1" si="99">IF(COUNT(R92:R93)&gt;0,SUM(R92:R93),"")</f>
        <v/>
      </c>
      <c r="S94" s="412" t="str">
        <f t="shared" ref="S94" ca="1" si="100">IF(COUNT(S92:S93)&gt;0,SUM(S92:S93),"")</f>
        <v/>
      </c>
      <c r="T94" s="412" t="str">
        <f t="shared" ref="T94" ca="1" si="101">IF(COUNT(T92:T93)&gt;0,SUM(T92:T93),"")</f>
        <v/>
      </c>
      <c r="U94" s="413" t="str">
        <f t="shared" ref="U94" ca="1" si="102">IF(COUNT(U92:U93)&gt;0,SUM(U92:U93),"")</f>
        <v/>
      </c>
    </row>
    <row r="95" spans="2:21" x14ac:dyDescent="0.4">
      <c r="B95" s="1551"/>
      <c r="C95" s="1554"/>
      <c r="D95" s="389" t="str">
        <f>$D$9</f>
        <v>Préleveur</v>
      </c>
      <c r="E95" s="1559"/>
      <c r="F95" s="427" t="str">
        <f t="shared" ca="1" si="5"/>
        <v/>
      </c>
      <c r="G95" s="422" t="str">
        <f t="shared" ref="G95:U95" ca="1" si="103">IF(F45&lt;&gt;"",_xlfn.SINGLE(INDIRECT(F45&amp;"!"&amp;$F$9)),"")</f>
        <v/>
      </c>
      <c r="H95" s="161" t="str">
        <f t="shared" ca="1" si="103"/>
        <v/>
      </c>
      <c r="I95" s="161" t="str">
        <f t="shared" ca="1" si="103"/>
        <v/>
      </c>
      <c r="J95" s="161" t="str">
        <f t="shared" ca="1" si="103"/>
        <v/>
      </c>
      <c r="K95" s="161" t="str">
        <f t="shared" ca="1" si="103"/>
        <v/>
      </c>
      <c r="L95" s="161" t="str">
        <f t="shared" ca="1" si="103"/>
        <v/>
      </c>
      <c r="M95" s="161" t="str">
        <f t="shared" ca="1" si="103"/>
        <v/>
      </c>
      <c r="N95" s="161" t="str">
        <f t="shared" ca="1" si="103"/>
        <v/>
      </c>
      <c r="O95" s="161" t="str">
        <f t="shared" ca="1" si="103"/>
        <v/>
      </c>
      <c r="P95" s="161" t="str">
        <f t="shared" ca="1" si="103"/>
        <v/>
      </c>
      <c r="Q95" s="161" t="str">
        <f t="shared" ca="1" si="103"/>
        <v/>
      </c>
      <c r="R95" s="161" t="str">
        <f t="shared" ca="1" si="103"/>
        <v/>
      </c>
      <c r="S95" s="161" t="str">
        <f t="shared" ca="1" si="103"/>
        <v/>
      </c>
      <c r="T95" s="161" t="str">
        <f t="shared" ca="1" si="103"/>
        <v/>
      </c>
      <c r="U95" s="393" t="str">
        <f t="shared" ca="1" si="103"/>
        <v/>
      </c>
    </row>
    <row r="96" spans="2:21" x14ac:dyDescent="0.4">
      <c r="B96" s="1551"/>
      <c r="C96" s="1554"/>
      <c r="D96" s="1706" t="s">
        <v>783</v>
      </c>
      <c r="E96" s="1559"/>
      <c r="F96" s="427" t="str">
        <f t="shared" ca="1" si="5"/>
        <v/>
      </c>
      <c r="G96" s="1708" t="str">
        <f ca="1">IF(F51&lt;&gt;"",VLOOKUP(F51,Analytique!$X$3:$AD$33,6,FALSE),"")</f>
        <v/>
      </c>
      <c r="H96" s="1708" t="str">
        <f ca="1">IF(G51&lt;&gt;"",VLOOKUP(G51,Analytique!$X$3:$AD$33,6,FALSE),"")</f>
        <v/>
      </c>
      <c r="I96" s="1708" t="str">
        <f ca="1">IF(H51&lt;&gt;"",VLOOKUP(H51,Analytique!$X$3:$AD$33,6,FALSE),"")</f>
        <v/>
      </c>
      <c r="J96" s="1708" t="str">
        <f ca="1">IF(I51&lt;&gt;"",VLOOKUP(I51,Analytique!$X$3:$AD$33,6,FALSE),"")</f>
        <v/>
      </c>
      <c r="K96" s="1708" t="str">
        <f ca="1">IF(J51&lt;&gt;"",VLOOKUP(J51,Analytique!$X$3:$AD$33,6,FALSE),"")</f>
        <v/>
      </c>
      <c r="L96" s="1708" t="str">
        <f ca="1">IF(K51&lt;&gt;"",VLOOKUP(K51,Analytique!$X$3:$AD$33,6,FALSE),"")</f>
        <v/>
      </c>
      <c r="M96" s="1708" t="str">
        <f ca="1">IF(L51&lt;&gt;"",VLOOKUP(L51,Analytique!$X$3:$AD$33,6,FALSE),"")</f>
        <v/>
      </c>
      <c r="N96" s="1708" t="str">
        <f ca="1">IF(M51&lt;&gt;"",VLOOKUP(M51,Analytique!$X$3:$AD$33,6,FALSE),"")</f>
        <v/>
      </c>
      <c r="O96" s="1708" t="str">
        <f ca="1">IF(N51&lt;&gt;"",VLOOKUP(N51,Analytique!$X$3:$AD$33,6,FALSE),"")</f>
        <v/>
      </c>
      <c r="P96" s="1708" t="str">
        <f ca="1">IF(O51&lt;&gt;"",VLOOKUP(O51,Analytique!$X$3:$AD$33,6,FALSE),"")</f>
        <v/>
      </c>
      <c r="Q96" s="1708" t="str">
        <f ca="1">IF(P51&lt;&gt;"",VLOOKUP(P51,Analytique!$X$3:$AD$33,6,FALSE),"")</f>
        <v/>
      </c>
      <c r="R96" s="1708" t="str">
        <f ca="1">IF(Q51&lt;&gt;"",VLOOKUP(Q51,Analytique!$X$3:$AD$33,6,FALSE),"")</f>
        <v/>
      </c>
      <c r="S96" s="1708" t="str">
        <f ca="1">IF(R51&lt;&gt;"",VLOOKUP(R51,Analytique!$X$3:$AD$33,6,FALSE),"")</f>
        <v/>
      </c>
      <c r="T96" s="1708" t="str">
        <f ca="1">IF(S51&lt;&gt;"",VLOOKUP(S51,Analytique!$X$3:$AD$33,6,FALSE),"")</f>
        <v/>
      </c>
      <c r="U96" s="1709" t="str">
        <f ca="1">IF(T51&lt;&gt;"",VLOOKUP(T51,Analytique!$X$3:$AD$33,6,FALSE),"")</f>
        <v/>
      </c>
    </row>
    <row r="97" spans="2:21" ht="13" thickBot="1" x14ac:dyDescent="0.45">
      <c r="B97" s="1552"/>
      <c r="C97" s="1555"/>
      <c r="D97" s="394" t="str">
        <f>$D$10</f>
        <v>Sonde de température</v>
      </c>
      <c r="E97" s="1560"/>
      <c r="F97" s="428" t="str">
        <f t="shared" ca="1" si="5"/>
        <v/>
      </c>
      <c r="G97" s="424" t="str">
        <f t="shared" ref="G97:U97" ca="1" si="104">IF(F47&lt;&gt;"",_xlfn.SINGLE(INDIRECT(F47&amp;"!"&amp;$F$10)),"")</f>
        <v/>
      </c>
      <c r="H97" s="397" t="str">
        <f t="shared" ca="1" si="104"/>
        <v/>
      </c>
      <c r="I97" s="397" t="str">
        <f t="shared" ca="1" si="104"/>
        <v/>
      </c>
      <c r="J97" s="397" t="str">
        <f t="shared" ca="1" si="104"/>
        <v/>
      </c>
      <c r="K97" s="397" t="str">
        <f t="shared" ca="1" si="104"/>
        <v/>
      </c>
      <c r="L97" s="397" t="str">
        <f t="shared" ca="1" si="104"/>
        <v/>
      </c>
      <c r="M97" s="397" t="str">
        <f t="shared" ca="1" si="104"/>
        <v/>
      </c>
      <c r="N97" s="397" t="str">
        <f t="shared" ca="1" si="104"/>
        <v/>
      </c>
      <c r="O97" s="397" t="str">
        <f t="shared" ca="1" si="104"/>
        <v/>
      </c>
      <c r="P97" s="397" t="str">
        <f t="shared" ca="1" si="104"/>
        <v/>
      </c>
      <c r="Q97" s="397" t="str">
        <f t="shared" ca="1" si="104"/>
        <v/>
      </c>
      <c r="R97" s="397" t="str">
        <f t="shared" ca="1" si="104"/>
        <v/>
      </c>
      <c r="S97" s="397" t="str">
        <f t="shared" ca="1" si="104"/>
        <v/>
      </c>
      <c r="T97" s="397" t="str">
        <f t="shared" ca="1" si="104"/>
        <v/>
      </c>
      <c r="U97" s="398" t="str">
        <f t="shared" ca="1" si="104"/>
        <v/>
      </c>
    </row>
    <row r="98" spans="2:21" x14ac:dyDescent="0.4">
      <c r="B98" s="1550" t="s">
        <v>169</v>
      </c>
      <c r="C98" s="1553" t="s">
        <v>171</v>
      </c>
      <c r="D98" s="390" t="str">
        <f>$D$7</f>
        <v>Débitmètre en charge</v>
      </c>
      <c r="E98" s="1558">
        <f ca="1">IFERROR(AVERAGE(F100:F102)*$B$5,"")</f>
        <v>100</v>
      </c>
      <c r="F98" s="426" t="str">
        <f t="shared" ca="1" si="5"/>
        <v/>
      </c>
      <c r="G98" s="421" t="str">
        <f t="shared" ref="G98:U98" ca="1" si="105">IF(F48&lt;&gt;"",_xlfn.SINGLE(INDIRECT(F48&amp;"!"&amp;$F$7)),"")</f>
        <v/>
      </c>
      <c r="H98" s="391" t="str">
        <f t="shared" ca="1" si="105"/>
        <v/>
      </c>
      <c r="I98" s="391" t="str">
        <f t="shared" ca="1" si="105"/>
        <v/>
      </c>
      <c r="J98" s="391" t="str">
        <f t="shared" ca="1" si="105"/>
        <v/>
      </c>
      <c r="K98" s="391" t="str">
        <f t="shared" ca="1" si="105"/>
        <v/>
      </c>
      <c r="L98" s="391" t="str">
        <f t="shared" ca="1" si="105"/>
        <v/>
      </c>
      <c r="M98" s="391" t="str">
        <f t="shared" ca="1" si="105"/>
        <v/>
      </c>
      <c r="N98" s="391" t="str">
        <f t="shared" ca="1" si="105"/>
        <v/>
      </c>
      <c r="O98" s="391" t="str">
        <f t="shared" ca="1" si="105"/>
        <v/>
      </c>
      <c r="P98" s="391" t="str">
        <f t="shared" ca="1" si="105"/>
        <v/>
      </c>
      <c r="Q98" s="391" t="str">
        <f t="shared" ca="1" si="105"/>
        <v/>
      </c>
      <c r="R98" s="391" t="str">
        <f t="shared" ca="1" si="105"/>
        <v/>
      </c>
      <c r="S98" s="391" t="str">
        <f t="shared" ca="1" si="105"/>
        <v/>
      </c>
      <c r="T98" s="391" t="str">
        <f t="shared" ca="1" si="105"/>
        <v/>
      </c>
      <c r="U98" s="392" t="str">
        <f t="shared" ca="1" si="105"/>
        <v/>
      </c>
    </row>
    <row r="99" spans="2:21" x14ac:dyDescent="0.4">
      <c r="B99" s="1551"/>
      <c r="C99" s="1554"/>
      <c r="D99" s="389" t="str">
        <f>$D$8</f>
        <v>Débitmètre gravitaire</v>
      </c>
      <c r="E99" s="1559"/>
      <c r="F99" s="427">
        <f t="shared" ca="1" si="5"/>
        <v>100</v>
      </c>
      <c r="G99" s="422">
        <f t="shared" ref="G99:U99" ca="1" si="106">IF(F49&lt;&gt;"",_xlfn.SINGLE(INDIRECT(F49&amp;"!"&amp;$F$8)),"")</f>
        <v>100</v>
      </c>
      <c r="H99" s="161" t="str">
        <f t="shared" ca="1" si="106"/>
        <v/>
      </c>
      <c r="I99" s="161" t="str">
        <f t="shared" ca="1" si="106"/>
        <v/>
      </c>
      <c r="J99" s="161" t="str">
        <f t="shared" ca="1" si="106"/>
        <v/>
      </c>
      <c r="K99" s="161" t="str">
        <f t="shared" ca="1" si="106"/>
        <v/>
      </c>
      <c r="L99" s="161" t="str">
        <f t="shared" ca="1" si="106"/>
        <v/>
      </c>
      <c r="M99" s="161" t="str">
        <f t="shared" ca="1" si="106"/>
        <v/>
      </c>
      <c r="N99" s="161" t="str">
        <f t="shared" ca="1" si="106"/>
        <v/>
      </c>
      <c r="O99" s="161" t="str">
        <f t="shared" ca="1" si="106"/>
        <v/>
      </c>
      <c r="P99" s="161" t="str">
        <f t="shared" ca="1" si="106"/>
        <v/>
      </c>
      <c r="Q99" s="161" t="str">
        <f t="shared" ca="1" si="106"/>
        <v/>
      </c>
      <c r="R99" s="161" t="str">
        <f t="shared" ca="1" si="106"/>
        <v/>
      </c>
      <c r="S99" s="161" t="str">
        <f t="shared" ca="1" si="106"/>
        <v/>
      </c>
      <c r="T99" s="161" t="str">
        <f t="shared" ca="1" si="106"/>
        <v/>
      </c>
      <c r="U99" s="393" t="str">
        <f t="shared" ca="1" si="106"/>
        <v/>
      </c>
    </row>
    <row r="100" spans="2:21" x14ac:dyDescent="0.4">
      <c r="B100" s="1551"/>
      <c r="C100" s="1554"/>
      <c r="D100" s="389" t="s">
        <v>846</v>
      </c>
      <c r="E100" s="1559"/>
      <c r="F100" s="427">
        <f t="shared" ref="F100" ca="1" si="107">IFERROR(AVERAGE(G100:U100),"")</f>
        <v>100</v>
      </c>
      <c r="G100" s="423">
        <f ca="1">IF(COUNT(G98:G99)&gt;0,SUM(G98:G99),"")</f>
        <v>100</v>
      </c>
      <c r="H100" s="412" t="str">
        <f t="shared" ref="H100" ca="1" si="108">IF(COUNT(H98:H99)&gt;0,SUM(H98:H99),"")</f>
        <v/>
      </c>
      <c r="I100" s="412" t="str">
        <f t="shared" ref="I100" ca="1" si="109">IF(COUNT(I98:I99)&gt;0,SUM(I98:I99),"")</f>
        <v/>
      </c>
      <c r="J100" s="412" t="str">
        <f t="shared" ref="J100" ca="1" si="110">IF(COUNT(J98:J99)&gt;0,SUM(J98:J99),"")</f>
        <v/>
      </c>
      <c r="K100" s="412" t="str">
        <f t="shared" ref="K100" ca="1" si="111">IF(COUNT(K98:K99)&gt;0,SUM(K98:K99),"")</f>
        <v/>
      </c>
      <c r="L100" s="412" t="str">
        <f t="shared" ref="L100" ca="1" si="112">IF(COUNT(L98:L99)&gt;0,SUM(L98:L99),"")</f>
        <v/>
      </c>
      <c r="M100" s="412" t="str">
        <f t="shared" ref="M100" ca="1" si="113">IF(COUNT(M98:M99)&gt;0,SUM(M98:M99),"")</f>
        <v/>
      </c>
      <c r="N100" s="412" t="str">
        <f t="shared" ref="N100" ca="1" si="114">IF(COUNT(N98:N99)&gt;0,SUM(N98:N99),"")</f>
        <v/>
      </c>
      <c r="O100" s="412" t="str">
        <f t="shared" ref="O100" ca="1" si="115">IF(COUNT(O98:O99)&gt;0,SUM(O98:O99),"")</f>
        <v/>
      </c>
      <c r="P100" s="412" t="str">
        <f t="shared" ref="P100" ca="1" si="116">IF(COUNT(P98:P99)&gt;0,SUM(P98:P99),"")</f>
        <v/>
      </c>
      <c r="Q100" s="412" t="str">
        <f t="shared" ref="Q100" ca="1" si="117">IF(COUNT(Q98:Q99)&gt;0,SUM(Q98:Q99),"")</f>
        <v/>
      </c>
      <c r="R100" s="412" t="str">
        <f t="shared" ref="R100" ca="1" si="118">IF(COUNT(R98:R99)&gt;0,SUM(R98:R99),"")</f>
        <v/>
      </c>
      <c r="S100" s="412" t="str">
        <f t="shared" ref="S100" ca="1" si="119">IF(COUNT(S98:S99)&gt;0,SUM(S98:S99),"")</f>
        <v/>
      </c>
      <c r="T100" s="412" t="str">
        <f t="shared" ref="T100" ca="1" si="120">IF(COUNT(T98:T99)&gt;0,SUM(T98:T99),"")</f>
        <v/>
      </c>
      <c r="U100" s="413" t="str">
        <f t="shared" ref="U100" ca="1" si="121">IF(COUNT(U98:U99)&gt;0,SUM(U98:U99),"")</f>
        <v/>
      </c>
    </row>
    <row r="101" spans="2:21" x14ac:dyDescent="0.4">
      <c r="B101" s="1551"/>
      <c r="C101" s="1554"/>
      <c r="D101" s="389" t="str">
        <f>$D$9</f>
        <v>Préleveur</v>
      </c>
      <c r="E101" s="1559"/>
      <c r="F101" s="427" t="str">
        <f t="shared" ca="1" si="5"/>
        <v/>
      </c>
      <c r="G101" s="422" t="str">
        <f t="shared" ref="G101:U101" ca="1" si="122">IF(F50&lt;&gt;"",_xlfn.SINGLE(INDIRECT(F50&amp;"!"&amp;$F$9)),"")</f>
        <v/>
      </c>
      <c r="H101" s="161" t="str">
        <f t="shared" ca="1" si="122"/>
        <v/>
      </c>
      <c r="I101" s="161" t="str">
        <f t="shared" ca="1" si="122"/>
        <v/>
      </c>
      <c r="J101" s="161" t="str">
        <f t="shared" ca="1" si="122"/>
        <v/>
      </c>
      <c r="K101" s="161" t="str">
        <f t="shared" ca="1" si="122"/>
        <v/>
      </c>
      <c r="L101" s="161" t="str">
        <f t="shared" ca="1" si="122"/>
        <v/>
      </c>
      <c r="M101" s="161" t="str">
        <f t="shared" ca="1" si="122"/>
        <v/>
      </c>
      <c r="N101" s="161" t="str">
        <f t="shared" ca="1" si="122"/>
        <v/>
      </c>
      <c r="O101" s="161" t="str">
        <f t="shared" ca="1" si="122"/>
        <v/>
      </c>
      <c r="P101" s="161" t="str">
        <f t="shared" ca="1" si="122"/>
        <v/>
      </c>
      <c r="Q101" s="161" t="str">
        <f t="shared" ca="1" si="122"/>
        <v/>
      </c>
      <c r="R101" s="161" t="str">
        <f t="shared" ca="1" si="122"/>
        <v/>
      </c>
      <c r="S101" s="161" t="str">
        <f t="shared" ca="1" si="122"/>
        <v/>
      </c>
      <c r="T101" s="161" t="str">
        <f t="shared" ca="1" si="122"/>
        <v/>
      </c>
      <c r="U101" s="393" t="str">
        <f t="shared" ca="1" si="122"/>
        <v/>
      </c>
    </row>
    <row r="102" spans="2:21" x14ac:dyDescent="0.4">
      <c r="B102" s="1551"/>
      <c r="C102" s="1554"/>
      <c r="D102" s="1706" t="s">
        <v>783</v>
      </c>
      <c r="E102" s="1559"/>
      <c r="F102" s="427" t="str">
        <f t="shared" ca="1" si="5"/>
        <v/>
      </c>
      <c r="G102" s="1708" t="str">
        <f ca="1">IF(F57&lt;&gt;"",VLOOKUP(F57,Analytique!$X$3:$AD$33,6,FALSE),"")</f>
        <v/>
      </c>
      <c r="H102" s="1708" t="str">
        <f ca="1">IF(G57&lt;&gt;"",VLOOKUP(G57,Analytique!$X$3:$AD$33,6,FALSE),"")</f>
        <v/>
      </c>
      <c r="I102" s="1708" t="str">
        <f ca="1">IF(H57&lt;&gt;"",VLOOKUP(H57,Analytique!$X$3:$AD$33,6,FALSE),"")</f>
        <v/>
      </c>
      <c r="J102" s="1708" t="str">
        <f ca="1">IF(I57&lt;&gt;"",VLOOKUP(I57,Analytique!$X$3:$AD$33,6,FALSE),"")</f>
        <v/>
      </c>
      <c r="K102" s="1708" t="str">
        <f ca="1">IF(J57&lt;&gt;"",VLOOKUP(J57,Analytique!$X$3:$AD$33,6,FALSE),"")</f>
        <v/>
      </c>
      <c r="L102" s="1708" t="str">
        <f ca="1">IF(K57&lt;&gt;"",VLOOKUP(K57,Analytique!$X$3:$AD$33,6,FALSE),"")</f>
        <v/>
      </c>
      <c r="M102" s="1708" t="str">
        <f ca="1">IF(L57&lt;&gt;"",VLOOKUP(L57,Analytique!$X$3:$AD$33,6,FALSE),"")</f>
        <v/>
      </c>
      <c r="N102" s="1708" t="str">
        <f ca="1">IF(M57&lt;&gt;"",VLOOKUP(M57,Analytique!$X$3:$AD$33,6,FALSE),"")</f>
        <v/>
      </c>
      <c r="O102" s="1708" t="str">
        <f ca="1">IF(N57&lt;&gt;"",VLOOKUP(N57,Analytique!$X$3:$AD$33,6,FALSE),"")</f>
        <v/>
      </c>
      <c r="P102" s="1708" t="str">
        <f ca="1">IF(O57&lt;&gt;"",VLOOKUP(O57,Analytique!$X$3:$AD$33,6,FALSE),"")</f>
        <v/>
      </c>
      <c r="Q102" s="1708" t="str">
        <f ca="1">IF(P57&lt;&gt;"",VLOOKUP(P57,Analytique!$X$3:$AD$33,6,FALSE),"")</f>
        <v/>
      </c>
      <c r="R102" s="1708" t="str">
        <f ca="1">IF(Q57&lt;&gt;"",VLOOKUP(Q57,Analytique!$X$3:$AD$33,6,FALSE),"")</f>
        <v/>
      </c>
      <c r="S102" s="1708" t="str">
        <f ca="1">IF(R57&lt;&gt;"",VLOOKUP(R57,Analytique!$X$3:$AD$33,6,FALSE),"")</f>
        <v/>
      </c>
      <c r="T102" s="1708" t="str">
        <f ca="1">IF(S57&lt;&gt;"",VLOOKUP(S57,Analytique!$X$3:$AD$33,6,FALSE),"")</f>
        <v/>
      </c>
      <c r="U102" s="1709" t="str">
        <f ca="1">IF(T57&lt;&gt;"",VLOOKUP(T57,Analytique!$X$3:$AD$33,6,FALSE),"")</f>
        <v/>
      </c>
    </row>
    <row r="103" spans="2:21" ht="13" thickBot="1" x14ac:dyDescent="0.45">
      <c r="B103" s="1552"/>
      <c r="C103" s="1555"/>
      <c r="D103" s="394" t="str">
        <f>$D$10</f>
        <v>Sonde de température</v>
      </c>
      <c r="E103" s="1560"/>
      <c r="F103" s="428" t="str">
        <f t="shared" ca="1" si="5"/>
        <v/>
      </c>
      <c r="G103" s="424" t="str">
        <f t="shared" ref="G103:U103" ca="1" si="123">IF(F52&lt;&gt;"",_xlfn.SINGLE(INDIRECT(F52&amp;"!"&amp;$F$10)),"")</f>
        <v/>
      </c>
      <c r="H103" s="397" t="str">
        <f t="shared" ca="1" si="123"/>
        <v/>
      </c>
      <c r="I103" s="397" t="str">
        <f t="shared" ca="1" si="123"/>
        <v/>
      </c>
      <c r="J103" s="397" t="str">
        <f t="shared" ca="1" si="123"/>
        <v/>
      </c>
      <c r="K103" s="397" t="str">
        <f t="shared" ca="1" si="123"/>
        <v/>
      </c>
      <c r="L103" s="397" t="str">
        <f t="shared" ca="1" si="123"/>
        <v/>
      </c>
      <c r="M103" s="397" t="str">
        <f t="shared" ca="1" si="123"/>
        <v/>
      </c>
      <c r="N103" s="397" t="str">
        <f t="shared" ca="1" si="123"/>
        <v/>
      </c>
      <c r="O103" s="397" t="str">
        <f t="shared" ca="1" si="123"/>
        <v/>
      </c>
      <c r="P103" s="397" t="str">
        <f t="shared" ca="1" si="123"/>
        <v/>
      </c>
      <c r="Q103" s="397" t="str">
        <f t="shared" ca="1" si="123"/>
        <v/>
      </c>
      <c r="R103" s="397" t="str">
        <f t="shared" ca="1" si="123"/>
        <v/>
      </c>
      <c r="S103" s="397" t="str">
        <f t="shared" ca="1" si="123"/>
        <v/>
      </c>
      <c r="T103" s="397" t="str">
        <f t="shared" ca="1" si="123"/>
        <v/>
      </c>
      <c r="U103" s="398" t="str">
        <f t="shared" ca="1" si="123"/>
        <v/>
      </c>
    </row>
    <row r="104" spans="2:21" x14ac:dyDescent="0.4">
      <c r="B104" s="1550" t="s">
        <v>184</v>
      </c>
      <c r="C104" s="1553" t="s">
        <v>191</v>
      </c>
      <c r="D104" s="390" t="str">
        <f>$D$7</f>
        <v>Débitmètre en charge</v>
      </c>
      <c r="E104" s="1558" t="str">
        <f ca="1">IFERROR(AVERAGE(F106:F108)*$B$5,"")</f>
        <v/>
      </c>
      <c r="F104" s="426" t="str">
        <f t="shared" ca="1" si="5"/>
        <v/>
      </c>
      <c r="G104" s="421" t="str">
        <f t="shared" ref="G104:U104" ca="1" si="124">IF(F53&lt;&gt;"",_xlfn.SINGLE(INDIRECT(F53&amp;"!"&amp;$F$7)),"")</f>
        <v/>
      </c>
      <c r="H104" s="391" t="str">
        <f t="shared" ca="1" si="124"/>
        <v/>
      </c>
      <c r="I104" s="391" t="str">
        <f t="shared" ca="1" si="124"/>
        <v/>
      </c>
      <c r="J104" s="391" t="str">
        <f t="shared" ca="1" si="124"/>
        <v/>
      </c>
      <c r="K104" s="391" t="str">
        <f t="shared" ca="1" si="124"/>
        <v/>
      </c>
      <c r="L104" s="391" t="str">
        <f t="shared" ca="1" si="124"/>
        <v/>
      </c>
      <c r="M104" s="391" t="str">
        <f t="shared" ca="1" si="124"/>
        <v/>
      </c>
      <c r="N104" s="391" t="str">
        <f t="shared" ca="1" si="124"/>
        <v/>
      </c>
      <c r="O104" s="391" t="str">
        <f t="shared" ca="1" si="124"/>
        <v/>
      </c>
      <c r="P104" s="391" t="str">
        <f t="shared" ca="1" si="124"/>
        <v/>
      </c>
      <c r="Q104" s="391" t="str">
        <f t="shared" ca="1" si="124"/>
        <v/>
      </c>
      <c r="R104" s="391" t="str">
        <f t="shared" ca="1" si="124"/>
        <v/>
      </c>
      <c r="S104" s="391" t="str">
        <f t="shared" ca="1" si="124"/>
        <v/>
      </c>
      <c r="T104" s="391" t="str">
        <f t="shared" ca="1" si="124"/>
        <v/>
      </c>
      <c r="U104" s="392" t="str">
        <f t="shared" ca="1" si="124"/>
        <v/>
      </c>
    </row>
    <row r="105" spans="2:21" x14ac:dyDescent="0.4">
      <c r="B105" s="1551"/>
      <c r="C105" s="1554"/>
      <c r="D105" s="389" t="str">
        <f>$D$8</f>
        <v>Débitmètre gravitaire</v>
      </c>
      <c r="E105" s="1559"/>
      <c r="F105" s="427" t="str">
        <f t="shared" ca="1" si="5"/>
        <v/>
      </c>
      <c r="G105" s="422" t="str">
        <f t="shared" ref="G105:U105" ca="1" si="125">IF(F54&lt;&gt;"",_xlfn.SINGLE(INDIRECT(F54&amp;"!"&amp;$F$8)),"")</f>
        <v/>
      </c>
      <c r="H105" s="161" t="str">
        <f t="shared" ca="1" si="125"/>
        <v/>
      </c>
      <c r="I105" s="161" t="str">
        <f t="shared" ca="1" si="125"/>
        <v/>
      </c>
      <c r="J105" s="161" t="str">
        <f t="shared" ca="1" si="125"/>
        <v/>
      </c>
      <c r="K105" s="161" t="str">
        <f t="shared" ca="1" si="125"/>
        <v/>
      </c>
      <c r="L105" s="161" t="str">
        <f t="shared" ca="1" si="125"/>
        <v/>
      </c>
      <c r="M105" s="161" t="str">
        <f t="shared" ca="1" si="125"/>
        <v/>
      </c>
      <c r="N105" s="161" t="str">
        <f t="shared" ca="1" si="125"/>
        <v/>
      </c>
      <c r="O105" s="161" t="str">
        <f t="shared" ca="1" si="125"/>
        <v/>
      </c>
      <c r="P105" s="161" t="str">
        <f t="shared" ca="1" si="125"/>
        <v/>
      </c>
      <c r="Q105" s="161" t="str">
        <f t="shared" ca="1" si="125"/>
        <v/>
      </c>
      <c r="R105" s="161" t="str">
        <f t="shared" ca="1" si="125"/>
        <v/>
      </c>
      <c r="S105" s="161" t="str">
        <f t="shared" ca="1" si="125"/>
        <v/>
      </c>
      <c r="T105" s="161" t="str">
        <f t="shared" ca="1" si="125"/>
        <v/>
      </c>
      <c r="U105" s="393" t="str">
        <f t="shared" ca="1" si="125"/>
        <v/>
      </c>
    </row>
    <row r="106" spans="2:21" x14ac:dyDescent="0.4">
      <c r="B106" s="1551"/>
      <c r="C106" s="1554"/>
      <c r="D106" s="389" t="s">
        <v>846</v>
      </c>
      <c r="E106" s="1559"/>
      <c r="F106" s="427" t="str">
        <f t="shared" ref="F106" ca="1" si="126">IFERROR(AVERAGE(G106:U106),"")</f>
        <v/>
      </c>
      <c r="G106" s="423" t="str">
        <f ca="1">IF(COUNT(G104:G105)&gt;0,SUM(G104:G105),"")</f>
        <v/>
      </c>
      <c r="H106" s="412" t="str">
        <f t="shared" ref="H106" ca="1" si="127">IF(COUNT(H104:H105)&gt;0,SUM(H104:H105),"")</f>
        <v/>
      </c>
      <c r="I106" s="412" t="str">
        <f t="shared" ref="I106" ca="1" si="128">IF(COUNT(I104:I105)&gt;0,SUM(I104:I105),"")</f>
        <v/>
      </c>
      <c r="J106" s="412" t="str">
        <f t="shared" ref="J106" ca="1" si="129">IF(COUNT(J104:J105)&gt;0,SUM(J104:J105),"")</f>
        <v/>
      </c>
      <c r="K106" s="412" t="str">
        <f t="shared" ref="K106" ca="1" si="130">IF(COUNT(K104:K105)&gt;0,SUM(K104:K105),"")</f>
        <v/>
      </c>
      <c r="L106" s="412" t="str">
        <f t="shared" ref="L106" ca="1" si="131">IF(COUNT(L104:L105)&gt;0,SUM(L104:L105),"")</f>
        <v/>
      </c>
      <c r="M106" s="412" t="str">
        <f t="shared" ref="M106" ca="1" si="132">IF(COUNT(M104:M105)&gt;0,SUM(M104:M105),"")</f>
        <v/>
      </c>
      <c r="N106" s="412" t="str">
        <f t="shared" ref="N106" ca="1" si="133">IF(COUNT(N104:N105)&gt;0,SUM(N104:N105),"")</f>
        <v/>
      </c>
      <c r="O106" s="412" t="str">
        <f t="shared" ref="O106" ca="1" si="134">IF(COUNT(O104:O105)&gt;0,SUM(O104:O105),"")</f>
        <v/>
      </c>
      <c r="P106" s="412" t="str">
        <f t="shared" ref="P106" ca="1" si="135">IF(COUNT(P104:P105)&gt;0,SUM(P104:P105),"")</f>
        <v/>
      </c>
      <c r="Q106" s="412" t="str">
        <f t="shared" ref="Q106" ca="1" si="136">IF(COUNT(Q104:Q105)&gt;0,SUM(Q104:Q105),"")</f>
        <v/>
      </c>
      <c r="R106" s="412" t="str">
        <f t="shared" ref="R106" ca="1" si="137">IF(COUNT(R104:R105)&gt;0,SUM(R104:R105),"")</f>
        <v/>
      </c>
      <c r="S106" s="412" t="str">
        <f t="shared" ref="S106" ca="1" si="138">IF(COUNT(S104:S105)&gt;0,SUM(S104:S105),"")</f>
        <v/>
      </c>
      <c r="T106" s="412" t="str">
        <f t="shared" ref="T106" ca="1" si="139">IF(COUNT(T104:T105)&gt;0,SUM(T104:T105),"")</f>
        <v/>
      </c>
      <c r="U106" s="413" t="str">
        <f t="shared" ref="U106" ca="1" si="140">IF(COUNT(U104:U105)&gt;0,SUM(U104:U105),"")</f>
        <v/>
      </c>
    </row>
    <row r="107" spans="2:21" x14ac:dyDescent="0.4">
      <c r="B107" s="1551"/>
      <c r="C107" s="1554"/>
      <c r="D107" s="389" t="str">
        <f>$D$9</f>
        <v>Préleveur</v>
      </c>
      <c r="E107" s="1559"/>
      <c r="F107" s="427" t="str">
        <f t="shared" ca="1" si="5"/>
        <v/>
      </c>
      <c r="G107" s="422" t="str">
        <f t="shared" ref="G107:U107" ca="1" si="141">IF(F55&lt;&gt;"",_xlfn.SINGLE(INDIRECT(F55&amp;"!"&amp;$F$9)),"")</f>
        <v/>
      </c>
      <c r="H107" s="161" t="str">
        <f t="shared" ca="1" si="141"/>
        <v/>
      </c>
      <c r="I107" s="161" t="str">
        <f t="shared" ca="1" si="141"/>
        <v/>
      </c>
      <c r="J107" s="161" t="str">
        <f t="shared" ca="1" si="141"/>
        <v/>
      </c>
      <c r="K107" s="161" t="str">
        <f t="shared" ca="1" si="141"/>
        <v/>
      </c>
      <c r="L107" s="161" t="str">
        <f t="shared" ca="1" si="141"/>
        <v/>
      </c>
      <c r="M107" s="161" t="str">
        <f t="shared" ca="1" si="141"/>
        <v/>
      </c>
      <c r="N107" s="161" t="str">
        <f t="shared" ca="1" si="141"/>
        <v/>
      </c>
      <c r="O107" s="161" t="str">
        <f t="shared" ca="1" si="141"/>
        <v/>
      </c>
      <c r="P107" s="161" t="str">
        <f t="shared" ca="1" si="141"/>
        <v/>
      </c>
      <c r="Q107" s="161" t="str">
        <f t="shared" ca="1" si="141"/>
        <v/>
      </c>
      <c r="R107" s="161" t="str">
        <f t="shared" ca="1" si="141"/>
        <v/>
      </c>
      <c r="S107" s="161" t="str">
        <f t="shared" ca="1" si="141"/>
        <v/>
      </c>
      <c r="T107" s="161" t="str">
        <f t="shared" ca="1" si="141"/>
        <v/>
      </c>
      <c r="U107" s="393" t="str">
        <f t="shared" ca="1" si="141"/>
        <v/>
      </c>
    </row>
    <row r="108" spans="2:21" x14ac:dyDescent="0.4">
      <c r="B108" s="1551"/>
      <c r="C108" s="1554"/>
      <c r="D108" s="1706" t="s">
        <v>783</v>
      </c>
      <c r="E108" s="1559"/>
      <c r="F108" s="427" t="str">
        <f t="shared" ca="1" si="5"/>
        <v/>
      </c>
      <c r="G108" s="1708" t="str">
        <f ca="1">IF(F63&lt;&gt;"",VLOOKUP(F63,Analytique!$X$3:$AD$33,6,FALSE),"")</f>
        <v/>
      </c>
      <c r="H108" s="1708" t="str">
        <f ca="1">IF(G63&lt;&gt;"",VLOOKUP(G63,Analytique!$X$3:$AD$33,6,FALSE),"")</f>
        <v/>
      </c>
      <c r="I108" s="1708" t="str">
        <f ca="1">IF(H63&lt;&gt;"",VLOOKUP(H63,Analytique!$X$3:$AD$33,6,FALSE),"")</f>
        <v/>
      </c>
      <c r="J108" s="1708" t="str">
        <f ca="1">IF(I63&lt;&gt;"",VLOOKUP(I63,Analytique!$X$3:$AD$33,6,FALSE),"")</f>
        <v/>
      </c>
      <c r="K108" s="1708" t="str">
        <f ca="1">IF(J63&lt;&gt;"",VLOOKUP(J63,Analytique!$X$3:$AD$33,6,FALSE),"")</f>
        <v/>
      </c>
      <c r="L108" s="1708" t="str">
        <f ca="1">IF(K63&lt;&gt;"",VLOOKUP(K63,Analytique!$X$3:$AD$33,6,FALSE),"")</f>
        <v/>
      </c>
      <c r="M108" s="1708" t="str">
        <f ca="1">IF(L63&lt;&gt;"",VLOOKUP(L63,Analytique!$X$3:$AD$33,6,FALSE),"")</f>
        <v/>
      </c>
      <c r="N108" s="1708" t="str">
        <f ca="1">IF(M63&lt;&gt;"",VLOOKUP(M63,Analytique!$X$3:$AD$33,6,FALSE),"")</f>
        <v/>
      </c>
      <c r="O108" s="1708" t="str">
        <f ca="1">IF(N63&lt;&gt;"",VLOOKUP(N63,Analytique!$X$3:$AD$33,6,FALSE),"")</f>
        <v/>
      </c>
      <c r="P108" s="1708" t="str">
        <f ca="1">IF(O63&lt;&gt;"",VLOOKUP(O63,Analytique!$X$3:$AD$33,6,FALSE),"")</f>
        <v/>
      </c>
      <c r="Q108" s="1708" t="str">
        <f ca="1">IF(P63&lt;&gt;"",VLOOKUP(P63,Analytique!$X$3:$AD$33,6,FALSE),"")</f>
        <v/>
      </c>
      <c r="R108" s="1708" t="str">
        <f ca="1">IF(Q63&lt;&gt;"",VLOOKUP(Q63,Analytique!$X$3:$AD$33,6,FALSE),"")</f>
        <v/>
      </c>
      <c r="S108" s="1708" t="str">
        <f ca="1">IF(R63&lt;&gt;"",VLOOKUP(R63,Analytique!$X$3:$AD$33,6,FALSE),"")</f>
        <v/>
      </c>
      <c r="T108" s="1708" t="str">
        <f ca="1">IF(S63&lt;&gt;"",VLOOKUP(S63,Analytique!$X$3:$AD$33,6,FALSE),"")</f>
        <v/>
      </c>
      <c r="U108" s="1709" t="str">
        <f ca="1">IF(T63&lt;&gt;"",VLOOKUP(T63,Analytique!$X$3:$AD$33,6,FALSE),"")</f>
        <v/>
      </c>
    </row>
    <row r="109" spans="2:21" ht="13" thickBot="1" x14ac:dyDescent="0.45">
      <c r="B109" s="1552"/>
      <c r="C109" s="1555"/>
      <c r="D109" s="394" t="str">
        <f>$D$10</f>
        <v>Sonde de température</v>
      </c>
      <c r="E109" s="1560"/>
      <c r="F109" s="428" t="str">
        <f t="shared" ca="1" si="5"/>
        <v/>
      </c>
      <c r="G109" s="424" t="str">
        <f t="shared" ref="G109:U109" ca="1" si="142">IF(F57&lt;&gt;"",_xlfn.SINGLE(INDIRECT(F57&amp;"!"&amp;$F$10)),"")</f>
        <v/>
      </c>
      <c r="H109" s="397" t="str">
        <f t="shared" ca="1" si="142"/>
        <v/>
      </c>
      <c r="I109" s="397" t="str">
        <f t="shared" ca="1" si="142"/>
        <v/>
      </c>
      <c r="J109" s="397" t="str">
        <f t="shared" ca="1" si="142"/>
        <v/>
      </c>
      <c r="K109" s="397" t="str">
        <f t="shared" ca="1" si="142"/>
        <v/>
      </c>
      <c r="L109" s="397" t="str">
        <f t="shared" ca="1" si="142"/>
        <v/>
      </c>
      <c r="M109" s="397" t="str">
        <f t="shared" ca="1" si="142"/>
        <v/>
      </c>
      <c r="N109" s="397" t="str">
        <f t="shared" ca="1" si="142"/>
        <v/>
      </c>
      <c r="O109" s="397" t="str">
        <f t="shared" ca="1" si="142"/>
        <v/>
      </c>
      <c r="P109" s="397" t="str">
        <f t="shared" ca="1" si="142"/>
        <v/>
      </c>
      <c r="Q109" s="397" t="str">
        <f t="shared" ca="1" si="142"/>
        <v/>
      </c>
      <c r="R109" s="397" t="str">
        <f t="shared" ca="1" si="142"/>
        <v/>
      </c>
      <c r="S109" s="397" t="str">
        <f t="shared" ca="1" si="142"/>
        <v/>
      </c>
      <c r="T109" s="397" t="str">
        <f t="shared" ca="1" si="142"/>
        <v/>
      </c>
      <c r="U109" s="398" t="str">
        <f t="shared" ca="1" si="142"/>
        <v/>
      </c>
    </row>
    <row r="112" spans="2:21" s="385" customFormat="1" ht="23.1" customHeight="1" x14ac:dyDescent="0.4">
      <c r="B112" s="386" t="s">
        <v>63</v>
      </c>
    </row>
    <row r="113" spans="2:21" ht="13" thickBot="1" x14ac:dyDescent="0.45">
      <c r="B113" t="s">
        <v>885</v>
      </c>
    </row>
    <row r="114" spans="2:21" s="30" customFormat="1" ht="15.95" customHeight="1" thickBot="1" x14ac:dyDescent="0.45">
      <c r="B114" s="410" t="s">
        <v>443</v>
      </c>
      <c r="C114" s="411" t="s">
        <v>444</v>
      </c>
      <c r="D114" s="416"/>
      <c r="E114" s="425" t="s">
        <v>454</v>
      </c>
      <c r="F114" s="417" t="s">
        <v>453</v>
      </c>
      <c r="G114" s="414" t="s">
        <v>29</v>
      </c>
      <c r="H114" s="414" t="s">
        <v>30</v>
      </c>
      <c r="I114" s="414" t="s">
        <v>31</v>
      </c>
      <c r="J114" s="414" t="s">
        <v>46</v>
      </c>
      <c r="K114" s="414" t="s">
        <v>47</v>
      </c>
      <c r="L114" s="414" t="s">
        <v>48</v>
      </c>
      <c r="M114" s="414" t="s">
        <v>49</v>
      </c>
      <c r="N114" s="414" t="s">
        <v>50</v>
      </c>
      <c r="O114" s="414" t="s">
        <v>51</v>
      </c>
      <c r="P114" s="414" t="s">
        <v>52</v>
      </c>
      <c r="Q114" s="414" t="s">
        <v>53</v>
      </c>
      <c r="R114" s="415" t="s">
        <v>54</v>
      </c>
      <c r="S114" s="415" t="s">
        <v>437</v>
      </c>
      <c r="T114" s="415" t="s">
        <v>438</v>
      </c>
      <c r="U114" s="415" t="s">
        <v>439</v>
      </c>
    </row>
    <row r="115" spans="2:21" ht="13" thickBot="1" x14ac:dyDescent="0.45">
      <c r="B115" s="1561" t="s">
        <v>165</v>
      </c>
      <c r="C115" s="1564" t="s">
        <v>166</v>
      </c>
      <c r="D115" s="419" t="str">
        <f>$D$7</f>
        <v>Débitmètre en charge</v>
      </c>
      <c r="E115" s="1558" t="str" cm="1">
        <f t="array" aca="1" ref="E115" ca="1">IFERROR(LOOKUP(MIN(IF(LEFT(F115:F119,10)="Non validé",1,IF(F115:F119="Validé avec réserve",2,IF(F115:F119="Validé",3)))),{1,2,3},{"Non validé","Validé avec réserve","Validé"}),"")</f>
        <v>Non validé</v>
      </c>
      <c r="F115" s="419" t="str" cm="1">
        <f t="array" aca="1" ref="F115" ca="1">IFERROR(LOOKUP(MIN(IF(LEFT(G115:U115,10)="Non validé",1,IF(G115:U115="Validé avec réserve",2,IF(G115:U115="Validé",3)))),{1,2,3},{"Non validé","Validé avec réserve","Validé"}),"")</f>
        <v>Non validé</v>
      </c>
      <c r="G115" s="391" t="str">
        <f ca="1">IF(F19&lt;&gt;"",_xlfn.SINGLE(INDIRECT(F19&amp;"!"&amp;$G$7)),"")</f>
        <v/>
      </c>
      <c r="H115" s="391" t="str">
        <f ca="1">IF(G19&lt;&gt;"",_xlfn.SINGLE(INDIRECT(G19&amp;"!"&amp;$G$7)),"")</f>
        <v>Non Validé</v>
      </c>
      <c r="I115" s="391" t="str">
        <f ca="1">IF(H19&lt;&gt;"",_xlfn.SINGLE(INDIRECT(H19&amp;"!"&amp;$G$7)),"")</f>
        <v/>
      </c>
      <c r="J115" s="391" t="str">
        <f t="shared" ref="J115:U115" ca="1" si="143">IF(I19&lt;&gt;"",_xlfn.SINGLE(INDIRECT(I19&amp;"!"&amp;$G$7)),"")</f>
        <v/>
      </c>
      <c r="K115" s="391" t="str">
        <f t="shared" ca="1" si="143"/>
        <v/>
      </c>
      <c r="L115" s="391" t="str">
        <f t="shared" ca="1" si="143"/>
        <v/>
      </c>
      <c r="M115" s="391" t="str">
        <f t="shared" ca="1" si="143"/>
        <v/>
      </c>
      <c r="N115" s="391" t="str">
        <f t="shared" ca="1" si="143"/>
        <v/>
      </c>
      <c r="O115" s="391" t="str">
        <f t="shared" ca="1" si="143"/>
        <v/>
      </c>
      <c r="P115" s="391" t="str">
        <f t="shared" ca="1" si="143"/>
        <v/>
      </c>
      <c r="Q115" s="391" t="str">
        <f t="shared" ca="1" si="143"/>
        <v/>
      </c>
      <c r="R115" s="391" t="str">
        <f t="shared" ca="1" si="143"/>
        <v/>
      </c>
      <c r="S115" s="391" t="str">
        <f t="shared" ca="1" si="143"/>
        <v/>
      </c>
      <c r="T115" s="391" t="str">
        <f t="shared" ca="1" si="143"/>
        <v/>
      </c>
      <c r="U115" s="391" t="str">
        <f t="shared" ca="1" si="143"/>
        <v/>
      </c>
    </row>
    <row r="116" spans="2:21" ht="13" thickBot="1" x14ac:dyDescent="0.45">
      <c r="B116" s="1562"/>
      <c r="C116" s="1565"/>
      <c r="D116" s="418" t="str">
        <f>$D$8</f>
        <v>Débitmètre gravitaire</v>
      </c>
      <c r="E116" s="1559"/>
      <c r="F116" s="419" t="str" cm="1">
        <f t="array" aca="1" ref="F116" ca="1">IFERROR(LOOKUP(MIN(IF(LEFT(G116:U116,10)="Non validé",1,IF(G116:U116="Validé avec réserve",2,IF(G116:U116="Validé",3)))),{1,2,3},{"Non validé","Validé avec réserve","Validé"}),"")</f>
        <v/>
      </c>
      <c r="G116" s="161" t="str">
        <f t="shared" ref="G116:U116" ca="1" si="144">IF(F20&lt;&gt;"",_xlfn.SINGLE(INDIRECT(F20&amp;"!"&amp;$G$8)),"")</f>
        <v/>
      </c>
      <c r="H116" s="161" t="str">
        <f t="shared" ca="1" si="144"/>
        <v/>
      </c>
      <c r="I116" s="161" t="str">
        <f t="shared" ca="1" si="144"/>
        <v/>
      </c>
      <c r="J116" s="161" t="str">
        <f t="shared" ca="1" si="144"/>
        <v/>
      </c>
      <c r="K116" s="161" t="str">
        <f t="shared" ca="1" si="144"/>
        <v/>
      </c>
      <c r="L116" s="161" t="str">
        <f t="shared" ca="1" si="144"/>
        <v/>
      </c>
      <c r="M116" s="161" t="str">
        <f t="shared" ca="1" si="144"/>
        <v/>
      </c>
      <c r="N116" s="161" t="str">
        <f t="shared" ca="1" si="144"/>
        <v/>
      </c>
      <c r="O116" s="161" t="str">
        <f t="shared" ca="1" si="144"/>
        <v/>
      </c>
      <c r="P116" s="161" t="str">
        <f t="shared" ca="1" si="144"/>
        <v/>
      </c>
      <c r="Q116" s="161" t="str">
        <f t="shared" ca="1" si="144"/>
        <v/>
      </c>
      <c r="R116" s="161" t="str">
        <f t="shared" ca="1" si="144"/>
        <v/>
      </c>
      <c r="S116" s="161" t="str">
        <f t="shared" ca="1" si="144"/>
        <v/>
      </c>
      <c r="T116" s="161" t="str">
        <f t="shared" ca="1" si="144"/>
        <v/>
      </c>
      <c r="U116" s="161" t="str">
        <f t="shared" ca="1" si="144"/>
        <v/>
      </c>
    </row>
    <row r="117" spans="2:21" ht="13" thickBot="1" x14ac:dyDescent="0.45">
      <c r="B117" s="1562"/>
      <c r="C117" s="1565"/>
      <c r="D117" s="418" t="s">
        <v>846</v>
      </c>
      <c r="E117" s="1559"/>
      <c r="F117" s="419" t="str" cm="1">
        <f t="array" aca="1" ref="F117" ca="1">IFERROR(LOOKUP(MIN(IF(LEFT(G117:U117,10)="Non validé",1,IF(G117:U117="Validé avec réserve",2,IF(G117:U117="Validé",3)))),{1,2,3},{"Non validé","Validé avec réserve","Validé"}),"")</f>
        <v>Non validé</v>
      </c>
      <c r="G117" s="412" t="str">
        <f ca="1">G115 &amp; G116</f>
        <v/>
      </c>
      <c r="H117" s="412" t="str">
        <f t="shared" ref="H117:U117" ca="1" si="145">H115 &amp; H116</f>
        <v>Non Validé</v>
      </c>
      <c r="I117" s="412" t="str">
        <f t="shared" ca="1" si="145"/>
        <v/>
      </c>
      <c r="J117" s="412" t="str">
        <f t="shared" ca="1" si="145"/>
        <v/>
      </c>
      <c r="K117" s="412" t="str">
        <f t="shared" ca="1" si="145"/>
        <v/>
      </c>
      <c r="L117" s="412" t="str">
        <f t="shared" ca="1" si="145"/>
        <v/>
      </c>
      <c r="M117" s="412" t="str">
        <f t="shared" ca="1" si="145"/>
        <v/>
      </c>
      <c r="N117" s="412" t="str">
        <f t="shared" ca="1" si="145"/>
        <v/>
      </c>
      <c r="O117" s="412" t="str">
        <f t="shared" ca="1" si="145"/>
        <v/>
      </c>
      <c r="P117" s="412" t="str">
        <f t="shared" ca="1" si="145"/>
        <v/>
      </c>
      <c r="Q117" s="412" t="str">
        <f t="shared" ca="1" si="145"/>
        <v/>
      </c>
      <c r="R117" s="412" t="str">
        <f t="shared" ca="1" si="145"/>
        <v/>
      </c>
      <c r="S117" s="412" t="str">
        <f t="shared" ca="1" si="145"/>
        <v/>
      </c>
      <c r="T117" s="412" t="str">
        <f t="shared" ca="1" si="145"/>
        <v/>
      </c>
      <c r="U117" s="412" t="str">
        <f t="shared" ca="1" si="145"/>
        <v/>
      </c>
    </row>
    <row r="118" spans="2:21" ht="13" thickBot="1" x14ac:dyDescent="0.45">
      <c r="B118" s="1562"/>
      <c r="C118" s="1565"/>
      <c r="D118" s="418" t="str">
        <f>$D$9</f>
        <v>Préleveur</v>
      </c>
      <c r="E118" s="1559"/>
      <c r="F118" s="419" t="str" cm="1">
        <f t="array" aca="1" ref="F118" ca="1">IFERROR(LOOKUP(MIN(IF(LEFT(G118:U118,10)="Non validé",1,IF(G118:U118="Validé avec réserve",2,IF(G118:U118="Validé",3)))),{1,2,3},{"Non validé","Validé avec réserve","Validé"}),"")</f>
        <v>Validé</v>
      </c>
      <c r="G118" s="161" t="str">
        <f t="shared" ref="G118:U118" ca="1" si="146">IF(F21&lt;&gt;"",_xlfn.SINGLE(INDIRECT(F21&amp;"!"&amp;$G$9)),"")</f>
        <v/>
      </c>
      <c r="H118" s="161" t="str">
        <f t="shared" ca="1" si="146"/>
        <v/>
      </c>
      <c r="I118" s="161" t="str">
        <f t="shared" ca="1" si="146"/>
        <v>Validé</v>
      </c>
      <c r="J118" s="161" t="str">
        <f t="shared" ca="1" si="146"/>
        <v/>
      </c>
      <c r="K118" s="161" t="str">
        <f t="shared" ca="1" si="146"/>
        <v/>
      </c>
      <c r="L118" s="161" t="str">
        <f t="shared" ca="1" si="146"/>
        <v/>
      </c>
      <c r="M118" s="161" t="str">
        <f t="shared" ca="1" si="146"/>
        <v/>
      </c>
      <c r="N118" s="161" t="str">
        <f t="shared" ca="1" si="146"/>
        <v/>
      </c>
      <c r="O118" s="161" t="str">
        <f t="shared" ca="1" si="146"/>
        <v/>
      </c>
      <c r="P118" s="161" t="str">
        <f t="shared" ca="1" si="146"/>
        <v/>
      </c>
      <c r="Q118" s="161" t="str">
        <f t="shared" ca="1" si="146"/>
        <v/>
      </c>
      <c r="R118" s="161" t="str">
        <f t="shared" ca="1" si="146"/>
        <v/>
      </c>
      <c r="S118" s="161" t="str">
        <f t="shared" ca="1" si="146"/>
        <v/>
      </c>
      <c r="T118" s="161" t="str">
        <f t="shared" ca="1" si="146"/>
        <v/>
      </c>
      <c r="U118" s="161" t="str">
        <f t="shared" ca="1" si="146"/>
        <v/>
      </c>
    </row>
    <row r="119" spans="2:21" ht="13" thickBot="1" x14ac:dyDescent="0.45">
      <c r="B119" s="1710"/>
      <c r="C119" s="1711"/>
      <c r="D119" s="1712" t="s">
        <v>783</v>
      </c>
      <c r="E119" s="1559"/>
      <c r="F119" s="419" t="str" cm="1">
        <f t="array" aca="1" ref="F119" ca="1">IFERROR(LOOKUP(MIN(IF(LEFT(G119:U119,10)="Non validé",1,IF(G119:U119="Validé avec réserve",2,IF(G119:U119="Validé",3)))),{1,2,3},{"Non validé","Validé avec réserve","Validé"}),"")</f>
        <v>Validé</v>
      </c>
      <c r="G119" s="1708" t="str">
        <f ca="1">IF(F21&lt;&gt;"",VLOOKUP(F21,Analytique!$X$3:$AD$33,7,FALSE),"")</f>
        <v/>
      </c>
      <c r="H119" s="1708" t="str">
        <f ca="1">IF(G21&lt;&gt;"",VLOOKUP(G21,Analytique!$X$3:$AD$33,7,FALSE),"")</f>
        <v/>
      </c>
      <c r="I119" s="1708" t="str">
        <f ca="1">IF(H21&lt;&gt;"",VLOOKUP(H21,Analytique!$X$3:$AD$33,7,FALSE),"")</f>
        <v>Validé</v>
      </c>
      <c r="J119" s="1708" t="str">
        <f ca="1">IF(I21&lt;&gt;"",VLOOKUP(I21,Analytique!$X$3:$AD$33,7,FALSE),"")</f>
        <v/>
      </c>
      <c r="K119" s="1708" t="str">
        <f ca="1">IF(J21&lt;&gt;"",VLOOKUP(J21,Analytique!$X$3:$AD$33,7,FALSE),"")</f>
        <v/>
      </c>
      <c r="L119" s="1708" t="str">
        <f ca="1">IF(K21&lt;&gt;"",VLOOKUP(K21,Analytique!$X$3:$AD$33,7,FALSE),"")</f>
        <v/>
      </c>
      <c r="M119" s="1708" t="str">
        <f ca="1">IF(L21&lt;&gt;"",VLOOKUP(L21,Analytique!$X$3:$AD$33,7,FALSE),"")</f>
        <v/>
      </c>
      <c r="N119" s="1708" t="str">
        <f ca="1">IF(M21&lt;&gt;"",VLOOKUP(M21,Analytique!$X$3:$AD$33,7,FALSE),"")</f>
        <v/>
      </c>
      <c r="O119" s="1708" t="str">
        <f ca="1">IF(N21&lt;&gt;"",VLOOKUP(N21,Analytique!$X$3:$AD$33,7,FALSE),"")</f>
        <v/>
      </c>
      <c r="P119" s="1708" t="str">
        <f ca="1">IF(O21&lt;&gt;"",VLOOKUP(O21,Analytique!$X$3:$AD$33,7,FALSE),"")</f>
        <v/>
      </c>
      <c r="Q119" s="1708" t="str">
        <f ca="1">IF(P21&lt;&gt;"",VLOOKUP(P21,Analytique!$X$3:$AD$33,7,FALSE),"")</f>
        <v/>
      </c>
      <c r="R119" s="1708" t="str">
        <f ca="1">IF(Q21&lt;&gt;"",VLOOKUP(Q21,Analytique!$X$3:$AD$33,7,FALSE),"")</f>
        <v/>
      </c>
      <c r="S119" s="1708" t="str">
        <f ca="1">IF(R21&lt;&gt;"",VLOOKUP(R21,Analytique!$X$3:$AD$33,7,FALSE),"")</f>
        <v/>
      </c>
      <c r="T119" s="1708" t="str">
        <f ca="1">IF(S21&lt;&gt;"",VLOOKUP(S21,Analytique!$X$3:$AD$33,7,FALSE),"")</f>
        <v/>
      </c>
      <c r="U119" s="1708" t="str">
        <f ca="1">IF(T21&lt;&gt;"",VLOOKUP(T21,Analytique!$X$3:$AD$33,7,FALSE),"")</f>
        <v/>
      </c>
    </row>
    <row r="120" spans="2:21" ht="13" thickBot="1" x14ac:dyDescent="0.45">
      <c r="B120" s="1563"/>
      <c r="C120" s="1566"/>
      <c r="D120" s="420" t="str">
        <f>$D$10</f>
        <v>Sonde de température</v>
      </c>
      <c r="E120" s="1560"/>
      <c r="F120" s="419" t="str" cm="1">
        <f t="array" aca="1" ref="F120" ca="1">IFERROR(LOOKUP(MIN(IF(LEFT(G120:U120,10)="Non validé",1,IF(G120:U120="Validé avec réserve",2,IF(G120:U120="Validé",3)))),{1,2,3},{"Non validé","Validé avec réserve","Validé"}),"")</f>
        <v/>
      </c>
      <c r="G120" s="397" t="str">
        <f t="shared" ref="G120:U120" ca="1" si="147">IF(F23&lt;&gt;"",_xlfn.SINGLE(INDIRECT(F23&amp;"!"&amp;$G$10)),"")</f>
        <v/>
      </c>
      <c r="H120" s="397" t="str">
        <f t="shared" ca="1" si="147"/>
        <v/>
      </c>
      <c r="I120" s="397" t="str">
        <f t="shared" ca="1" si="147"/>
        <v/>
      </c>
      <c r="J120" s="397" t="str">
        <f t="shared" ca="1" si="147"/>
        <v/>
      </c>
      <c r="K120" s="397" t="str">
        <f t="shared" ca="1" si="147"/>
        <v/>
      </c>
      <c r="L120" s="397" t="str">
        <f t="shared" ca="1" si="147"/>
        <v/>
      </c>
      <c r="M120" s="397" t="str">
        <f t="shared" ca="1" si="147"/>
        <v/>
      </c>
      <c r="N120" s="397" t="str">
        <f t="shared" ca="1" si="147"/>
        <v/>
      </c>
      <c r="O120" s="397" t="str">
        <f t="shared" ca="1" si="147"/>
        <v/>
      </c>
      <c r="P120" s="397" t="str">
        <f t="shared" ca="1" si="147"/>
        <v/>
      </c>
      <c r="Q120" s="397" t="str">
        <f t="shared" ca="1" si="147"/>
        <v/>
      </c>
      <c r="R120" s="397" t="str">
        <f t="shared" ca="1" si="147"/>
        <v/>
      </c>
      <c r="S120" s="397" t="str">
        <f t="shared" ca="1" si="147"/>
        <v/>
      </c>
      <c r="T120" s="397" t="str">
        <f t="shared" ca="1" si="147"/>
        <v/>
      </c>
      <c r="U120" s="397" t="str">
        <f t="shared" ca="1" si="147"/>
        <v/>
      </c>
    </row>
    <row r="121" spans="2:21" ht="13" thickBot="1" x14ac:dyDescent="0.45">
      <c r="B121" s="1561" t="s">
        <v>125</v>
      </c>
      <c r="C121" s="1564" t="s">
        <v>175</v>
      </c>
      <c r="D121" s="419" t="str">
        <f>$D$7</f>
        <v>Débitmètre en charge</v>
      </c>
      <c r="E121" s="1558" t="str" cm="1">
        <f t="array" aca="1" ref="E121" ca="1">IFERROR(LOOKUP(MIN(IF(LEFT(F121:F125,10)="Non validé",1,IF(F121:F125="Validé avec réserve",2,IF(F121:F125="Validé",3)))),{1,2,3},{"Non validé","Validé avec réserve","Validé"}),"")</f>
        <v>Non validé</v>
      </c>
      <c r="F121" s="419" t="str" cm="1">
        <f t="array" aca="1" ref="F121" ca="1">IFERROR(LOOKUP(MIN(IF(LEFT(G121:U121,10)="Non validé",1,IF(G121:U121="Validé avec réserve",2,IF(G121:U121="Validé",3)))),{1,2,3},{"Non validé","Validé avec réserve","Validé"}),"")</f>
        <v/>
      </c>
      <c r="G121" s="391" t="str">
        <f t="shared" ref="G121:U121" ca="1" si="148">IF(F24&lt;&gt;"",_xlfn.SINGLE(INDIRECT(F24&amp;"!"&amp;$G$7)),"")</f>
        <v/>
      </c>
      <c r="H121" s="391" t="str">
        <f t="shared" ca="1" si="148"/>
        <v/>
      </c>
      <c r="I121" s="391" t="str">
        <f t="shared" ca="1" si="148"/>
        <v/>
      </c>
      <c r="J121" s="391" t="str">
        <f t="shared" ca="1" si="148"/>
        <v/>
      </c>
      <c r="K121" s="391" t="str">
        <f t="shared" ca="1" si="148"/>
        <v/>
      </c>
      <c r="L121" s="391" t="str">
        <f t="shared" ca="1" si="148"/>
        <v/>
      </c>
      <c r="M121" s="391" t="str">
        <f t="shared" ca="1" si="148"/>
        <v/>
      </c>
      <c r="N121" s="391" t="str">
        <f t="shared" ca="1" si="148"/>
        <v/>
      </c>
      <c r="O121" s="391" t="str">
        <f t="shared" ca="1" si="148"/>
        <v/>
      </c>
      <c r="P121" s="391" t="str">
        <f t="shared" ca="1" si="148"/>
        <v/>
      </c>
      <c r="Q121" s="391" t="str">
        <f t="shared" ca="1" si="148"/>
        <v/>
      </c>
      <c r="R121" s="391" t="str">
        <f t="shared" ca="1" si="148"/>
        <v/>
      </c>
      <c r="S121" s="391" t="str">
        <f t="shared" ca="1" si="148"/>
        <v/>
      </c>
      <c r="T121" s="391" t="str">
        <f t="shared" ca="1" si="148"/>
        <v/>
      </c>
      <c r="U121" s="391" t="str">
        <f t="shared" ca="1" si="148"/>
        <v/>
      </c>
    </row>
    <row r="122" spans="2:21" ht="13" thickBot="1" x14ac:dyDescent="0.45">
      <c r="B122" s="1562"/>
      <c r="C122" s="1565"/>
      <c r="D122" s="418" t="str">
        <f>$D$8</f>
        <v>Débitmètre gravitaire</v>
      </c>
      <c r="E122" s="1559"/>
      <c r="F122" s="419" t="str" cm="1">
        <f t="array" aca="1" ref="F122" ca="1">IFERROR(LOOKUP(MIN(IF(LEFT(G122:U122,10)="Non validé",1,IF(G122:U122="Validé avec réserve",2,IF(G122:U122="Validé",3)))),{1,2,3},{"Non validé","Validé avec réserve","Validé"}),"")</f>
        <v>Non validé</v>
      </c>
      <c r="G122" s="161" t="str">
        <f t="shared" ref="G122:U122" ca="1" si="149">IF(F25&lt;&gt;"",_xlfn.SINGLE(INDIRECT(F25&amp;"!"&amp;$G$8)),"")</f>
        <v/>
      </c>
      <c r="H122" s="161" t="str">
        <f t="shared" ca="1" si="149"/>
        <v/>
      </c>
      <c r="I122" s="161" t="str">
        <f t="shared" ca="1" si="149"/>
        <v/>
      </c>
      <c r="J122" s="161" t="str">
        <f t="shared" ca="1" si="149"/>
        <v>Non validé</v>
      </c>
      <c r="K122" s="161" t="str">
        <f t="shared" ca="1" si="149"/>
        <v/>
      </c>
      <c r="L122" s="161" t="str">
        <f t="shared" ca="1" si="149"/>
        <v/>
      </c>
      <c r="M122" s="161" t="str">
        <f t="shared" ca="1" si="149"/>
        <v/>
      </c>
      <c r="N122" s="161" t="str">
        <f t="shared" ca="1" si="149"/>
        <v/>
      </c>
      <c r="O122" s="161" t="str">
        <f t="shared" ca="1" si="149"/>
        <v/>
      </c>
      <c r="P122" s="161" t="str">
        <f t="shared" ca="1" si="149"/>
        <v/>
      </c>
      <c r="Q122" s="161" t="str">
        <f t="shared" ca="1" si="149"/>
        <v/>
      </c>
      <c r="R122" s="161" t="str">
        <f t="shared" ca="1" si="149"/>
        <v/>
      </c>
      <c r="S122" s="161" t="str">
        <f t="shared" ca="1" si="149"/>
        <v/>
      </c>
      <c r="T122" s="161" t="str">
        <f t="shared" ca="1" si="149"/>
        <v/>
      </c>
      <c r="U122" s="161" t="str">
        <f t="shared" ca="1" si="149"/>
        <v/>
      </c>
    </row>
    <row r="123" spans="2:21" ht="13" thickBot="1" x14ac:dyDescent="0.45">
      <c r="B123" s="1562"/>
      <c r="C123" s="1565"/>
      <c r="D123" s="418" t="s">
        <v>846</v>
      </c>
      <c r="E123" s="1559"/>
      <c r="F123" s="419" t="str" cm="1">
        <f t="array" aca="1" ref="F123" ca="1">IFERROR(LOOKUP(MIN(IF(LEFT(G123:U123,10)="Non validé",1,IF(G123:U123="Validé avec réserve",2,IF(G123:U123="Validé",3)))),{1,2,3},{"Non validé","Validé avec réserve","Validé"}),"")</f>
        <v>Non validé</v>
      </c>
      <c r="G123" s="412" t="str">
        <f ca="1">G121 &amp; G122</f>
        <v/>
      </c>
      <c r="H123" s="412" t="str">
        <f t="shared" ref="H123:U123" ca="1" si="150">H121 &amp; H122</f>
        <v/>
      </c>
      <c r="I123" s="412" t="str">
        <f t="shared" ca="1" si="150"/>
        <v/>
      </c>
      <c r="J123" s="412" t="str">
        <f t="shared" ca="1" si="150"/>
        <v>Non validé</v>
      </c>
      <c r="K123" s="412" t="str">
        <f t="shared" ca="1" si="150"/>
        <v/>
      </c>
      <c r="L123" s="412" t="str">
        <f t="shared" ca="1" si="150"/>
        <v/>
      </c>
      <c r="M123" s="412" t="str">
        <f t="shared" ca="1" si="150"/>
        <v/>
      </c>
      <c r="N123" s="412" t="str">
        <f t="shared" ca="1" si="150"/>
        <v/>
      </c>
      <c r="O123" s="412" t="str">
        <f t="shared" ca="1" si="150"/>
        <v/>
      </c>
      <c r="P123" s="412" t="str">
        <f t="shared" ca="1" si="150"/>
        <v/>
      </c>
      <c r="Q123" s="412" t="str">
        <f t="shared" ca="1" si="150"/>
        <v/>
      </c>
      <c r="R123" s="412" t="str">
        <f t="shared" ca="1" si="150"/>
        <v/>
      </c>
      <c r="S123" s="412" t="str">
        <f t="shared" ca="1" si="150"/>
        <v/>
      </c>
      <c r="T123" s="412" t="str">
        <f t="shared" ca="1" si="150"/>
        <v/>
      </c>
      <c r="U123" s="412" t="str">
        <f t="shared" ca="1" si="150"/>
        <v/>
      </c>
    </row>
    <row r="124" spans="2:21" ht="13" thickBot="1" x14ac:dyDescent="0.45">
      <c r="B124" s="1562"/>
      <c r="C124" s="1565"/>
      <c r="D124" s="418" t="str">
        <f>$D$9</f>
        <v>Préleveur</v>
      </c>
      <c r="E124" s="1559"/>
      <c r="F124" s="419" t="str" cm="1">
        <f t="array" aca="1" ref="F124" ca="1">IFERROR(LOOKUP(MIN(IF(LEFT(G124:U124,10)="Non validé",1,IF(G124:U124="Validé avec réserve",2,IF(G124:U124="Validé",3)))),{1,2,3},{"Non validé","Validé avec réserve","Validé"}),"")</f>
        <v>Validé</v>
      </c>
      <c r="G124" s="161" t="str">
        <f t="shared" ref="G124:U124" ca="1" si="151">IF(F26&lt;&gt;"",_xlfn.SINGLE(INDIRECT(F26&amp;"!"&amp;$G$9)),"")</f>
        <v/>
      </c>
      <c r="H124" s="161" t="str">
        <f t="shared" ca="1" si="151"/>
        <v/>
      </c>
      <c r="I124" s="161" t="str">
        <f t="shared" ca="1" si="151"/>
        <v/>
      </c>
      <c r="J124" s="161" t="str">
        <f t="shared" ca="1" si="151"/>
        <v/>
      </c>
      <c r="K124" s="161" t="str">
        <f t="shared" ca="1" si="151"/>
        <v>Validé</v>
      </c>
      <c r="L124" s="161" t="str">
        <f t="shared" ca="1" si="151"/>
        <v/>
      </c>
      <c r="M124" s="161" t="str">
        <f t="shared" ca="1" si="151"/>
        <v/>
      </c>
      <c r="N124" s="161" t="str">
        <f t="shared" ca="1" si="151"/>
        <v/>
      </c>
      <c r="O124" s="161" t="str">
        <f t="shared" ca="1" si="151"/>
        <v/>
      </c>
      <c r="P124" s="161" t="str">
        <f t="shared" ca="1" si="151"/>
        <v/>
      </c>
      <c r="Q124" s="161" t="str">
        <f t="shared" ca="1" si="151"/>
        <v/>
      </c>
      <c r="R124" s="161" t="str">
        <f t="shared" ca="1" si="151"/>
        <v/>
      </c>
      <c r="S124" s="161" t="str">
        <f t="shared" ca="1" si="151"/>
        <v/>
      </c>
      <c r="T124" s="161" t="str">
        <f t="shared" ca="1" si="151"/>
        <v/>
      </c>
      <c r="U124" s="161" t="str">
        <f t="shared" ca="1" si="151"/>
        <v/>
      </c>
    </row>
    <row r="125" spans="2:21" ht="13" thickBot="1" x14ac:dyDescent="0.45">
      <c r="B125" s="1710"/>
      <c r="C125" s="1711"/>
      <c r="D125" s="1712" t="s">
        <v>783</v>
      </c>
      <c r="E125" s="1559"/>
      <c r="F125" s="419" t="str" cm="1">
        <f t="array" aca="1" ref="F125" ca="1">IFERROR(LOOKUP(MIN(IF(LEFT(G125:U125,10)="Non validé",1,IF(G125:U125="Validé avec réserve",2,IF(G125:U125="Validé",3)))),{1,2,3},{"Non validé","Validé avec réserve","Validé"}),"")</f>
        <v>Validé</v>
      </c>
      <c r="G125" s="1708" t="str">
        <f ca="1">IF(F27&lt;&gt;"",VLOOKUP(F27,Analytique!$X$3:$AD$33,7,FALSE),"")</f>
        <v/>
      </c>
      <c r="H125" s="1708" t="str">
        <f ca="1">IF(G27&lt;&gt;"",VLOOKUP(G27,Analytique!$X$3:$AD$33,7,FALSE),"")</f>
        <v/>
      </c>
      <c r="I125" s="1708" t="str">
        <f ca="1">IF(H27&lt;&gt;"",VLOOKUP(H27,Analytique!$X$3:$AD$33,7,FALSE),"")</f>
        <v/>
      </c>
      <c r="J125" s="1708" t="str">
        <f ca="1">IF(I27&lt;&gt;"",VLOOKUP(I27,Analytique!$X$3:$AD$33,7,FALSE),"")</f>
        <v/>
      </c>
      <c r="K125" s="1708" t="str">
        <f ca="1">IF(J27&lt;&gt;"",VLOOKUP(J27,Analytique!$X$3:$AD$33,7,FALSE),"")</f>
        <v>Validé</v>
      </c>
      <c r="L125" s="1708" t="str">
        <f ca="1">IF(K27&lt;&gt;"",VLOOKUP(K27,Analytique!$X$3:$AD$33,7,FALSE),"")</f>
        <v/>
      </c>
      <c r="M125" s="1708" t="str">
        <f ca="1">IF(L27&lt;&gt;"",VLOOKUP(L27,Analytique!$X$3:$AD$33,7,FALSE),"")</f>
        <v/>
      </c>
      <c r="N125" s="1708" t="str">
        <f ca="1">IF(M27&lt;&gt;"",VLOOKUP(M27,Analytique!$X$3:$AD$33,7,FALSE),"")</f>
        <v/>
      </c>
      <c r="O125" s="1708" t="str">
        <f ca="1">IF(N27&lt;&gt;"",VLOOKUP(N27,Analytique!$X$3:$AD$33,7,FALSE),"")</f>
        <v/>
      </c>
      <c r="P125" s="1708" t="str">
        <f ca="1">IF(O27&lt;&gt;"",VLOOKUP(O27,Analytique!$X$3:$AD$33,7,FALSE),"")</f>
        <v/>
      </c>
      <c r="Q125" s="1708" t="str">
        <f ca="1">IF(P27&lt;&gt;"",VLOOKUP(P27,Analytique!$X$3:$AD$33,7,FALSE),"")</f>
        <v/>
      </c>
      <c r="R125" s="1708" t="str">
        <f ca="1">IF(Q27&lt;&gt;"",VLOOKUP(Q27,Analytique!$X$3:$AD$33,7,FALSE),"")</f>
        <v/>
      </c>
      <c r="S125" s="1708" t="str">
        <f ca="1">IF(R27&lt;&gt;"",VLOOKUP(R27,Analytique!$X$3:$AD$33,7,FALSE),"")</f>
        <v/>
      </c>
      <c r="T125" s="1708" t="str">
        <f ca="1">IF(S27&lt;&gt;"",VLOOKUP(S27,Analytique!$X$3:$AD$33,7,FALSE),"")</f>
        <v/>
      </c>
      <c r="U125" s="1708" t="str">
        <f ca="1">IF(T27&lt;&gt;"",VLOOKUP(T27,Analytique!$X$3:$AD$33,7,FALSE),"")</f>
        <v/>
      </c>
    </row>
    <row r="126" spans="2:21" ht="13" thickBot="1" x14ac:dyDescent="0.45">
      <c r="B126" s="1563"/>
      <c r="C126" s="1566"/>
      <c r="D126" s="420" t="str">
        <f>$D$10</f>
        <v>Sonde de température</v>
      </c>
      <c r="E126" s="1560"/>
      <c r="F126" s="419" t="str" cm="1">
        <f t="array" aca="1" ref="F126" ca="1">IFERROR(LOOKUP(MIN(IF(LEFT(G126:U126,10)="Non validé",1,IF(G126:U126="Validé avec réserve",2,IF(G126:U126="Validé",3)))),{1,2,3},{"Non validé","Validé avec réserve","Validé"}),"")</f>
        <v>Validé avec réserve</v>
      </c>
      <c r="G126" s="397" t="str">
        <f t="shared" ref="G126:U126" ca="1" si="152">IF(F28&lt;&gt;"",_xlfn.SINGLE(INDIRECT(F28&amp;"!"&amp;$G$10)),"")</f>
        <v/>
      </c>
      <c r="H126" s="397" t="str">
        <f t="shared" ca="1" si="152"/>
        <v/>
      </c>
      <c r="I126" s="397" t="str">
        <f t="shared" ca="1" si="152"/>
        <v/>
      </c>
      <c r="J126" s="397" t="str">
        <f t="shared" ca="1" si="152"/>
        <v/>
      </c>
      <c r="K126" s="397" t="str">
        <f t="shared" ca="1" si="152"/>
        <v/>
      </c>
      <c r="L126" s="397" t="str">
        <f t="shared" ca="1" si="152"/>
        <v/>
      </c>
      <c r="M126" s="397" t="str">
        <f t="shared" ca="1" si="152"/>
        <v>Validé avec réserve</v>
      </c>
      <c r="N126" s="397" t="str">
        <f t="shared" ca="1" si="152"/>
        <v/>
      </c>
      <c r="O126" s="397" t="str">
        <f t="shared" ca="1" si="152"/>
        <v/>
      </c>
      <c r="P126" s="397" t="str">
        <f t="shared" ca="1" si="152"/>
        <v/>
      </c>
      <c r="Q126" s="397" t="str">
        <f t="shared" ca="1" si="152"/>
        <v/>
      </c>
      <c r="R126" s="397" t="str">
        <f t="shared" ca="1" si="152"/>
        <v/>
      </c>
      <c r="S126" s="397" t="str">
        <f t="shared" ca="1" si="152"/>
        <v/>
      </c>
      <c r="T126" s="397" t="str">
        <f t="shared" ca="1" si="152"/>
        <v/>
      </c>
      <c r="U126" s="397" t="str">
        <f t="shared" ca="1" si="152"/>
        <v/>
      </c>
    </row>
    <row r="127" spans="2:21" ht="13" thickBot="1" x14ac:dyDescent="0.45">
      <c r="B127" s="1561" t="s">
        <v>168</v>
      </c>
      <c r="C127" s="1564" t="s">
        <v>183</v>
      </c>
      <c r="D127" s="419" t="str">
        <f>$D$7</f>
        <v>Débitmètre en charge</v>
      </c>
      <c r="E127" s="1558" t="str" cm="1">
        <f t="array" aca="1" ref="E127" ca="1">IFERROR(LOOKUP(MIN(IF(LEFT(F127:F131,10)="Non validé",1,IF(F127:F131="Validé avec réserve",2,IF(F127:F131="Validé",3)))),{1,2,3},{"Non validé","Validé avec réserve","Validé"}),"")</f>
        <v>Validé avec réserve</v>
      </c>
      <c r="F127" s="419" t="str" cm="1">
        <f t="array" aca="1" ref="F127" ca="1">IFERROR(LOOKUP(MIN(IF(LEFT(G127:U127,10)="Non validé",1,IF(G127:U127="Validé avec réserve",2,IF(G127:U127="Validé",3)))),{1,2,3},{"Non validé","Validé avec réserve","Validé"}),"")</f>
        <v/>
      </c>
      <c r="G127" s="391" t="str">
        <f t="shared" ref="G127:U127" ca="1" si="153">IF(F29&lt;&gt;"",_xlfn.SINGLE(INDIRECT(F29&amp;"!"&amp;$G$7)),"")</f>
        <v/>
      </c>
      <c r="H127" s="391" t="str">
        <f t="shared" ca="1" si="153"/>
        <v/>
      </c>
      <c r="I127" s="391" t="str">
        <f t="shared" ca="1" si="153"/>
        <v/>
      </c>
      <c r="J127" s="391" t="str">
        <f t="shared" ca="1" si="153"/>
        <v/>
      </c>
      <c r="K127" s="391" t="str">
        <f t="shared" ca="1" si="153"/>
        <v/>
      </c>
      <c r="L127" s="391" t="str">
        <f t="shared" ca="1" si="153"/>
        <v/>
      </c>
      <c r="M127" s="391" t="str">
        <f t="shared" ca="1" si="153"/>
        <v/>
      </c>
      <c r="N127" s="391" t="str">
        <f t="shared" ca="1" si="153"/>
        <v/>
      </c>
      <c r="O127" s="391" t="str">
        <f t="shared" ca="1" si="153"/>
        <v/>
      </c>
      <c r="P127" s="391" t="str">
        <f t="shared" ca="1" si="153"/>
        <v/>
      </c>
      <c r="Q127" s="391" t="str">
        <f t="shared" ca="1" si="153"/>
        <v/>
      </c>
      <c r="R127" s="391" t="str">
        <f t="shared" ca="1" si="153"/>
        <v/>
      </c>
      <c r="S127" s="391" t="str">
        <f t="shared" ca="1" si="153"/>
        <v/>
      </c>
      <c r="T127" s="391" t="str">
        <f t="shared" ca="1" si="153"/>
        <v/>
      </c>
      <c r="U127" s="391" t="str">
        <f t="shared" ca="1" si="153"/>
        <v/>
      </c>
    </row>
    <row r="128" spans="2:21" ht="13" thickBot="1" x14ac:dyDescent="0.45">
      <c r="B128" s="1562"/>
      <c r="C128" s="1565"/>
      <c r="D128" s="418" t="str">
        <f>$D$8</f>
        <v>Débitmètre gravitaire</v>
      </c>
      <c r="E128" s="1559"/>
      <c r="F128" s="419" t="str" cm="1">
        <f t="array" aca="1" ref="F128" ca="1">IFERROR(LOOKUP(MIN(IF(LEFT(G128:U128,10)="Non validé",1,IF(G128:U128="Validé avec réserve",2,IF(G128:U128="Validé",3)))),{1,2,3},{"Non validé","Validé avec réserve","Validé"}),"")</f>
        <v>Validé avec réserve</v>
      </c>
      <c r="G128" s="161" t="str">
        <f t="shared" ref="G128:U128" ca="1" si="154">IF(F30&lt;&gt;"",_xlfn.SINGLE(INDIRECT(F30&amp;"!"&amp;$G$8)),"")</f>
        <v>Validé avec réserve</v>
      </c>
      <c r="H128" s="161" t="str">
        <f t="shared" ca="1" si="154"/>
        <v/>
      </c>
      <c r="I128" s="161" t="str">
        <f t="shared" ca="1" si="154"/>
        <v/>
      </c>
      <c r="J128" s="161" t="str">
        <f t="shared" ca="1" si="154"/>
        <v/>
      </c>
      <c r="K128" s="161" t="str">
        <f t="shared" ca="1" si="154"/>
        <v/>
      </c>
      <c r="L128" s="161" t="str">
        <f t="shared" ca="1" si="154"/>
        <v/>
      </c>
      <c r="M128" s="161" t="str">
        <f t="shared" ca="1" si="154"/>
        <v/>
      </c>
      <c r="N128" s="161" t="str">
        <f t="shared" ca="1" si="154"/>
        <v/>
      </c>
      <c r="O128" s="161" t="str">
        <f t="shared" ca="1" si="154"/>
        <v/>
      </c>
      <c r="P128" s="161" t="str">
        <f t="shared" ca="1" si="154"/>
        <v/>
      </c>
      <c r="Q128" s="161" t="str">
        <f t="shared" ca="1" si="154"/>
        <v/>
      </c>
      <c r="R128" s="161" t="str">
        <f t="shared" ca="1" si="154"/>
        <v/>
      </c>
      <c r="S128" s="161" t="str">
        <f t="shared" ca="1" si="154"/>
        <v/>
      </c>
      <c r="T128" s="161" t="str">
        <f t="shared" ca="1" si="154"/>
        <v/>
      </c>
      <c r="U128" s="161" t="str">
        <f t="shared" ca="1" si="154"/>
        <v/>
      </c>
    </row>
    <row r="129" spans="2:21" ht="13" thickBot="1" x14ac:dyDescent="0.45">
      <c r="B129" s="1562"/>
      <c r="C129" s="1565"/>
      <c r="D129" s="418" t="s">
        <v>846</v>
      </c>
      <c r="E129" s="1559"/>
      <c r="F129" s="419" t="str" cm="1">
        <f t="array" aca="1" ref="F129" ca="1">IFERROR(LOOKUP(MIN(IF(LEFT(G129:U129,10)="Non validé",1,IF(G129:U129="Validé avec réserve",2,IF(G129:U129="Validé",3)))),{1,2,3},{"Non validé","Validé avec réserve","Validé"}),"")</f>
        <v>Validé avec réserve</v>
      </c>
      <c r="G129" s="412" t="str">
        <f ca="1">G127 &amp; G128</f>
        <v>Validé avec réserve</v>
      </c>
      <c r="H129" s="412" t="str">
        <f t="shared" ref="H129:U129" ca="1" si="155">H127 &amp; H128</f>
        <v/>
      </c>
      <c r="I129" s="412" t="str">
        <f t="shared" ca="1" si="155"/>
        <v/>
      </c>
      <c r="J129" s="412" t="str">
        <f t="shared" ca="1" si="155"/>
        <v/>
      </c>
      <c r="K129" s="412" t="str">
        <f t="shared" ca="1" si="155"/>
        <v/>
      </c>
      <c r="L129" s="412" t="str">
        <f t="shared" ca="1" si="155"/>
        <v/>
      </c>
      <c r="M129" s="412" t="str">
        <f t="shared" ca="1" si="155"/>
        <v/>
      </c>
      <c r="N129" s="412" t="str">
        <f t="shared" ca="1" si="155"/>
        <v/>
      </c>
      <c r="O129" s="412" t="str">
        <f t="shared" ca="1" si="155"/>
        <v/>
      </c>
      <c r="P129" s="412" t="str">
        <f t="shared" ca="1" si="155"/>
        <v/>
      </c>
      <c r="Q129" s="412" t="str">
        <f t="shared" ca="1" si="155"/>
        <v/>
      </c>
      <c r="R129" s="412" t="str">
        <f t="shared" ca="1" si="155"/>
        <v/>
      </c>
      <c r="S129" s="412" t="str">
        <f t="shared" ca="1" si="155"/>
        <v/>
      </c>
      <c r="T129" s="412" t="str">
        <f t="shared" ca="1" si="155"/>
        <v/>
      </c>
      <c r="U129" s="412" t="str">
        <f t="shared" ca="1" si="155"/>
        <v/>
      </c>
    </row>
    <row r="130" spans="2:21" ht="13" thickBot="1" x14ac:dyDescent="0.45">
      <c r="B130" s="1562"/>
      <c r="C130" s="1565"/>
      <c r="D130" s="418" t="str">
        <f>$D$9</f>
        <v>Préleveur</v>
      </c>
      <c r="E130" s="1559"/>
      <c r="F130" s="419" t="str" cm="1">
        <f t="array" aca="1" ref="F130" ca="1">IFERROR(LOOKUP(MIN(IF(LEFT(G130:U130,10)="Non validé",1,IF(G130:U130="Validé avec réserve",2,IF(G130:U130="Validé",3)))),{1,2,3},{"Non validé","Validé avec réserve","Validé"}),"")</f>
        <v/>
      </c>
      <c r="G130" s="161" t="str">
        <f t="shared" ref="G130:U130" ca="1" si="156">IF(F31&lt;&gt;"",_xlfn.SINGLE(INDIRECT(F31&amp;"!"&amp;$G$9)),"")</f>
        <v/>
      </c>
      <c r="H130" s="161" t="str">
        <f t="shared" ca="1" si="156"/>
        <v/>
      </c>
      <c r="I130" s="161" t="str">
        <f t="shared" ca="1" si="156"/>
        <v/>
      </c>
      <c r="J130" s="161" t="str">
        <f t="shared" ca="1" si="156"/>
        <v/>
      </c>
      <c r="K130" s="161" t="str">
        <f t="shared" ca="1" si="156"/>
        <v/>
      </c>
      <c r="L130" s="161" t="str">
        <f t="shared" ca="1" si="156"/>
        <v/>
      </c>
      <c r="M130" s="161" t="str">
        <f t="shared" ca="1" si="156"/>
        <v/>
      </c>
      <c r="N130" s="161" t="str">
        <f t="shared" ca="1" si="156"/>
        <v/>
      </c>
      <c r="O130" s="161" t="str">
        <f t="shared" ca="1" si="156"/>
        <v/>
      </c>
      <c r="P130" s="161" t="str">
        <f t="shared" ca="1" si="156"/>
        <v/>
      </c>
      <c r="Q130" s="161" t="str">
        <f t="shared" ca="1" si="156"/>
        <v/>
      </c>
      <c r="R130" s="161" t="str">
        <f t="shared" ca="1" si="156"/>
        <v/>
      </c>
      <c r="S130" s="161" t="str">
        <f t="shared" ca="1" si="156"/>
        <v/>
      </c>
      <c r="T130" s="161" t="str">
        <f t="shared" ca="1" si="156"/>
        <v/>
      </c>
      <c r="U130" s="161" t="str">
        <f t="shared" ca="1" si="156"/>
        <v/>
      </c>
    </row>
    <row r="131" spans="2:21" ht="13" thickBot="1" x14ac:dyDescent="0.45">
      <c r="B131" s="1710"/>
      <c r="C131" s="1711"/>
      <c r="D131" s="1712" t="s">
        <v>783</v>
      </c>
      <c r="E131" s="1559"/>
      <c r="F131" s="419" t="str" cm="1">
        <f t="array" aca="1" ref="F131" ca="1">IFERROR(LOOKUP(MIN(IF(LEFT(G131:U131,10)="Non validé",1,IF(G131:U131="Validé avec réserve",2,IF(G131:U131="Validé",3)))),{1,2,3},{"Non validé","Validé avec réserve","Validé"}),"")</f>
        <v/>
      </c>
      <c r="G131" s="1708" t="str">
        <f ca="1">IF(F33&lt;&gt;"",VLOOKUP(F33,Analytique!$X$3:$AD$33,7,FALSE),"")</f>
        <v/>
      </c>
      <c r="H131" s="1708" t="str">
        <f ca="1">IF(G33&lt;&gt;"",VLOOKUP(G33,Analytique!$X$3:$AD$33,7,FALSE),"")</f>
        <v/>
      </c>
      <c r="I131" s="1708" t="str">
        <f ca="1">IF(H33&lt;&gt;"",VLOOKUP(H33,Analytique!$X$3:$AD$33,7,FALSE),"")</f>
        <v/>
      </c>
      <c r="J131" s="1708" t="str">
        <f ca="1">IF(I33&lt;&gt;"",VLOOKUP(I33,Analytique!$X$3:$AD$33,7,FALSE),"")</f>
        <v/>
      </c>
      <c r="K131" s="1708" t="str">
        <f ca="1">IF(J33&lt;&gt;"",VLOOKUP(J33,Analytique!$X$3:$AD$33,7,FALSE),"")</f>
        <v/>
      </c>
      <c r="L131" s="1708" t="str">
        <f ca="1">IF(K33&lt;&gt;"",VLOOKUP(K33,Analytique!$X$3:$AD$33,7,FALSE),"")</f>
        <v/>
      </c>
      <c r="M131" s="1708" t="str">
        <f ca="1">IF(L33&lt;&gt;"",VLOOKUP(L33,Analytique!$X$3:$AD$33,7,FALSE),"")</f>
        <v/>
      </c>
      <c r="N131" s="1708" t="str">
        <f ca="1">IF(M33&lt;&gt;"",VLOOKUP(M33,Analytique!$X$3:$AD$33,7,FALSE),"")</f>
        <v/>
      </c>
      <c r="O131" s="1708" t="str">
        <f ca="1">IF(N33&lt;&gt;"",VLOOKUP(N33,Analytique!$X$3:$AD$33,7,FALSE),"")</f>
        <v/>
      </c>
      <c r="P131" s="1708" t="str">
        <f ca="1">IF(O33&lt;&gt;"",VLOOKUP(O33,Analytique!$X$3:$AD$33,7,FALSE),"")</f>
        <v/>
      </c>
      <c r="Q131" s="1708" t="str">
        <f ca="1">IF(P33&lt;&gt;"",VLOOKUP(P33,Analytique!$X$3:$AD$33,7,FALSE),"")</f>
        <v/>
      </c>
      <c r="R131" s="1708" t="str">
        <f ca="1">IF(Q33&lt;&gt;"",VLOOKUP(Q33,Analytique!$X$3:$AD$33,7,FALSE),"")</f>
        <v/>
      </c>
      <c r="S131" s="1708" t="str">
        <f ca="1">IF(R33&lt;&gt;"",VLOOKUP(R33,Analytique!$X$3:$AD$33,7,FALSE),"")</f>
        <v/>
      </c>
      <c r="T131" s="1708" t="str">
        <f ca="1">IF(S33&lt;&gt;"",VLOOKUP(S33,Analytique!$X$3:$AD$33,7,FALSE),"")</f>
        <v/>
      </c>
      <c r="U131" s="1708" t="str">
        <f ca="1">IF(T33&lt;&gt;"",VLOOKUP(T33,Analytique!$X$3:$AD$33,7,FALSE),"")</f>
        <v/>
      </c>
    </row>
    <row r="132" spans="2:21" ht="13" thickBot="1" x14ac:dyDescent="0.45">
      <c r="B132" s="1563"/>
      <c r="C132" s="1566"/>
      <c r="D132" s="420" t="str">
        <f>$D$10</f>
        <v>Sonde de température</v>
      </c>
      <c r="E132" s="1560"/>
      <c r="F132" s="419" t="str" cm="1">
        <f t="array" aca="1" ref="F132" ca="1">IFERROR(LOOKUP(MIN(IF(LEFT(G132:U132,10)="Non validé",1,IF(G132:U132="Validé avec réserve",2,IF(G132:U132="Validé",3)))),{1,2,3},{"Non validé","Validé avec réserve","Validé"}),"")</f>
        <v/>
      </c>
      <c r="G132" s="397" t="str">
        <f t="shared" ref="G132:U132" ca="1" si="157">IF(F33&lt;&gt;"",_xlfn.SINGLE(INDIRECT(F33&amp;"!"&amp;$G$10)),"")</f>
        <v/>
      </c>
      <c r="H132" s="397" t="str">
        <f t="shared" ca="1" si="157"/>
        <v/>
      </c>
      <c r="I132" s="397" t="str">
        <f t="shared" ca="1" si="157"/>
        <v/>
      </c>
      <c r="J132" s="397" t="str">
        <f t="shared" ca="1" si="157"/>
        <v/>
      </c>
      <c r="K132" s="397" t="str">
        <f t="shared" ca="1" si="157"/>
        <v/>
      </c>
      <c r="L132" s="397" t="str">
        <f t="shared" ca="1" si="157"/>
        <v/>
      </c>
      <c r="M132" s="397" t="str">
        <f t="shared" ca="1" si="157"/>
        <v/>
      </c>
      <c r="N132" s="397" t="str">
        <f t="shared" ca="1" si="157"/>
        <v/>
      </c>
      <c r="O132" s="397" t="str">
        <f t="shared" ca="1" si="157"/>
        <v/>
      </c>
      <c r="P132" s="397" t="str">
        <f t="shared" ca="1" si="157"/>
        <v/>
      </c>
      <c r="Q132" s="397" t="str">
        <f t="shared" ca="1" si="157"/>
        <v/>
      </c>
      <c r="R132" s="397" t="str">
        <f t="shared" ca="1" si="157"/>
        <v/>
      </c>
      <c r="S132" s="397" t="str">
        <f t="shared" ca="1" si="157"/>
        <v/>
      </c>
      <c r="T132" s="397" t="str">
        <f t="shared" ca="1" si="157"/>
        <v/>
      </c>
      <c r="U132" s="397" t="str">
        <f t="shared" ca="1" si="157"/>
        <v/>
      </c>
    </row>
    <row r="133" spans="2:21" ht="13" thickBot="1" x14ac:dyDescent="0.45">
      <c r="B133" s="1561" t="s">
        <v>177</v>
      </c>
      <c r="C133" s="1564" t="s">
        <v>185</v>
      </c>
      <c r="D133" s="419" t="str">
        <f>$D$7</f>
        <v>Débitmètre en charge</v>
      </c>
      <c r="E133" s="1558" t="str" cm="1">
        <f t="array" aca="1" ref="E133" ca="1">IFERROR(LOOKUP(MIN(IF(LEFT(F133:F137,10)="Non validé",1,IF(F133:F137="Validé avec réserve",2,IF(F133:F137="Validé",3)))),{1,2,3},{"Non validé","Validé avec réserve","Validé"}),"")</f>
        <v/>
      </c>
      <c r="F133" s="419" t="str" cm="1">
        <f t="array" aca="1" ref="F133" ca="1">IFERROR(LOOKUP(MIN(IF(LEFT(G133:U133,10)="Non validé",1,IF(G133:U133="Validé avec réserve",2,IF(G133:U133="Validé",3)))),{1,2,3},{"Non validé","Validé avec réserve","Validé"}),"")</f>
        <v/>
      </c>
      <c r="G133" s="391" t="str">
        <f t="shared" ref="G133:U133" ca="1" si="158">IF(F34&lt;&gt;"",_xlfn.SINGLE(INDIRECT(F34&amp;"!"&amp;$G$7)),"")</f>
        <v/>
      </c>
      <c r="H133" s="391" t="str">
        <f t="shared" ca="1" si="158"/>
        <v/>
      </c>
      <c r="I133" s="391" t="str">
        <f t="shared" ca="1" si="158"/>
        <v/>
      </c>
      <c r="J133" s="391" t="str">
        <f t="shared" ca="1" si="158"/>
        <v/>
      </c>
      <c r="K133" s="391" t="str">
        <f t="shared" ca="1" si="158"/>
        <v/>
      </c>
      <c r="L133" s="391" t="str">
        <f t="shared" ca="1" si="158"/>
        <v/>
      </c>
      <c r="M133" s="391" t="str">
        <f t="shared" ca="1" si="158"/>
        <v/>
      </c>
      <c r="N133" s="391" t="str">
        <f t="shared" ca="1" si="158"/>
        <v/>
      </c>
      <c r="O133" s="391" t="str">
        <f t="shared" ca="1" si="158"/>
        <v/>
      </c>
      <c r="P133" s="391" t="str">
        <f t="shared" ca="1" si="158"/>
        <v/>
      </c>
      <c r="Q133" s="391" t="str">
        <f t="shared" ca="1" si="158"/>
        <v/>
      </c>
      <c r="R133" s="391" t="str">
        <f t="shared" ca="1" si="158"/>
        <v/>
      </c>
      <c r="S133" s="391" t="str">
        <f t="shared" ca="1" si="158"/>
        <v/>
      </c>
      <c r="T133" s="391" t="str">
        <f t="shared" ca="1" si="158"/>
        <v/>
      </c>
      <c r="U133" s="391" t="str">
        <f t="shared" ca="1" si="158"/>
        <v/>
      </c>
    </row>
    <row r="134" spans="2:21" ht="13" thickBot="1" x14ac:dyDescent="0.45">
      <c r="B134" s="1562"/>
      <c r="C134" s="1565"/>
      <c r="D134" s="418" t="str">
        <f>$D$8</f>
        <v>Débitmètre gravitaire</v>
      </c>
      <c r="E134" s="1559"/>
      <c r="F134" s="419" t="str" cm="1">
        <f t="array" aca="1" ref="F134" ca="1">IFERROR(LOOKUP(MIN(IF(LEFT(G134:U134,10)="Non validé",1,IF(G134:U134="Validé avec réserve",2,IF(G134:U134="Validé",3)))),{1,2,3},{"Non validé","Validé avec réserve","Validé"}),"")</f>
        <v/>
      </c>
      <c r="G134" s="161" t="str">
        <f t="shared" ref="G134:U134" ca="1" si="159">IF(F35&lt;&gt;"",_xlfn.SINGLE(INDIRECT(F35&amp;"!"&amp;$G$8)),"")</f>
        <v/>
      </c>
      <c r="H134" s="161" t="str">
        <f t="shared" ca="1" si="159"/>
        <v/>
      </c>
      <c r="I134" s="161" t="str">
        <f t="shared" ca="1" si="159"/>
        <v/>
      </c>
      <c r="J134" s="161" t="str">
        <f t="shared" ca="1" si="159"/>
        <v/>
      </c>
      <c r="K134" s="161" t="str">
        <f t="shared" ca="1" si="159"/>
        <v/>
      </c>
      <c r="L134" s="161" t="str">
        <f t="shared" ca="1" si="159"/>
        <v/>
      </c>
      <c r="M134" s="161" t="str">
        <f t="shared" ca="1" si="159"/>
        <v/>
      </c>
      <c r="N134" s="161" t="str">
        <f t="shared" ca="1" si="159"/>
        <v/>
      </c>
      <c r="O134" s="161" t="str">
        <f t="shared" ca="1" si="159"/>
        <v/>
      </c>
      <c r="P134" s="161" t="str">
        <f t="shared" ca="1" si="159"/>
        <v/>
      </c>
      <c r="Q134" s="161" t="str">
        <f t="shared" ca="1" si="159"/>
        <v/>
      </c>
      <c r="R134" s="161" t="str">
        <f t="shared" ca="1" si="159"/>
        <v/>
      </c>
      <c r="S134" s="161" t="str">
        <f t="shared" ca="1" si="159"/>
        <v/>
      </c>
      <c r="T134" s="161" t="str">
        <f t="shared" ca="1" si="159"/>
        <v/>
      </c>
      <c r="U134" s="161" t="str">
        <f t="shared" ca="1" si="159"/>
        <v/>
      </c>
    </row>
    <row r="135" spans="2:21" ht="13" thickBot="1" x14ac:dyDescent="0.45">
      <c r="B135" s="1562"/>
      <c r="C135" s="1565"/>
      <c r="D135" s="418" t="s">
        <v>846</v>
      </c>
      <c r="E135" s="1559"/>
      <c r="F135" s="419" t="str" cm="1">
        <f t="array" aca="1" ref="F135" ca="1">IFERROR(LOOKUP(MIN(IF(LEFT(G135:U135,10)="Non validé",1,IF(G135:U135="Validé avec réserve",2,IF(G135:U135="Validé",3)))),{1,2,3},{"Non validé","Validé avec réserve","Validé"}),"")</f>
        <v/>
      </c>
      <c r="G135" s="412" t="str">
        <f ca="1">G133 &amp; G134</f>
        <v/>
      </c>
      <c r="H135" s="412" t="str">
        <f t="shared" ref="H135:U135" ca="1" si="160">H133 &amp; H134</f>
        <v/>
      </c>
      <c r="I135" s="412" t="str">
        <f t="shared" ca="1" si="160"/>
        <v/>
      </c>
      <c r="J135" s="412" t="str">
        <f t="shared" ca="1" si="160"/>
        <v/>
      </c>
      <c r="K135" s="412" t="str">
        <f t="shared" ca="1" si="160"/>
        <v/>
      </c>
      <c r="L135" s="412" t="str">
        <f t="shared" ca="1" si="160"/>
        <v/>
      </c>
      <c r="M135" s="412" t="str">
        <f t="shared" ca="1" si="160"/>
        <v/>
      </c>
      <c r="N135" s="412" t="str">
        <f t="shared" ca="1" si="160"/>
        <v/>
      </c>
      <c r="O135" s="412" t="str">
        <f t="shared" ca="1" si="160"/>
        <v/>
      </c>
      <c r="P135" s="412" t="str">
        <f t="shared" ca="1" si="160"/>
        <v/>
      </c>
      <c r="Q135" s="412" t="str">
        <f t="shared" ca="1" si="160"/>
        <v/>
      </c>
      <c r="R135" s="412" t="str">
        <f t="shared" ca="1" si="160"/>
        <v/>
      </c>
      <c r="S135" s="412" t="str">
        <f t="shared" ca="1" si="160"/>
        <v/>
      </c>
      <c r="T135" s="412" t="str">
        <f t="shared" ca="1" si="160"/>
        <v/>
      </c>
      <c r="U135" s="412" t="str">
        <f t="shared" ca="1" si="160"/>
        <v/>
      </c>
    </row>
    <row r="136" spans="2:21" ht="13" thickBot="1" x14ac:dyDescent="0.45">
      <c r="B136" s="1562"/>
      <c r="C136" s="1565"/>
      <c r="D136" s="418" t="str">
        <f>$D$9</f>
        <v>Préleveur</v>
      </c>
      <c r="E136" s="1559"/>
      <c r="F136" s="419" t="str" cm="1">
        <f t="array" aca="1" ref="F136" ca="1">IFERROR(LOOKUP(MIN(IF(LEFT(G136:U136,10)="Non validé",1,IF(G136:U136="Validé avec réserve",2,IF(G136:U136="Validé",3)))),{1,2,3},{"Non validé","Validé avec réserve","Validé"}),"")</f>
        <v/>
      </c>
      <c r="G136" s="161" t="str">
        <f t="shared" ref="G136:U136" ca="1" si="161">IF(F36&lt;&gt;"",_xlfn.SINGLE(INDIRECT(F36&amp;"!"&amp;$G$9)),"")</f>
        <v/>
      </c>
      <c r="H136" s="161" t="str">
        <f t="shared" ca="1" si="161"/>
        <v/>
      </c>
      <c r="I136" s="161" t="str">
        <f t="shared" ca="1" si="161"/>
        <v/>
      </c>
      <c r="J136" s="161" t="str">
        <f t="shared" ca="1" si="161"/>
        <v/>
      </c>
      <c r="K136" s="161" t="str">
        <f t="shared" ca="1" si="161"/>
        <v/>
      </c>
      <c r="L136" s="161" t="str">
        <f t="shared" ca="1" si="161"/>
        <v/>
      </c>
      <c r="M136" s="161" t="str">
        <f t="shared" ca="1" si="161"/>
        <v/>
      </c>
      <c r="N136" s="161" t="str">
        <f t="shared" ca="1" si="161"/>
        <v/>
      </c>
      <c r="O136" s="161" t="str">
        <f t="shared" ca="1" si="161"/>
        <v/>
      </c>
      <c r="P136" s="161" t="str">
        <f t="shared" ca="1" si="161"/>
        <v/>
      </c>
      <c r="Q136" s="161" t="str">
        <f t="shared" ca="1" si="161"/>
        <v/>
      </c>
      <c r="R136" s="161" t="str">
        <f t="shared" ca="1" si="161"/>
        <v/>
      </c>
      <c r="S136" s="161" t="str">
        <f t="shared" ca="1" si="161"/>
        <v/>
      </c>
      <c r="T136" s="161" t="str">
        <f t="shared" ca="1" si="161"/>
        <v/>
      </c>
      <c r="U136" s="161" t="str">
        <f t="shared" ca="1" si="161"/>
        <v/>
      </c>
    </row>
    <row r="137" spans="2:21" ht="13" thickBot="1" x14ac:dyDescent="0.45">
      <c r="B137" s="1710"/>
      <c r="C137" s="1711"/>
      <c r="D137" s="1712" t="s">
        <v>783</v>
      </c>
      <c r="E137" s="1559"/>
      <c r="F137" s="419" t="str" cm="1">
        <f t="array" aca="1" ref="F137" ca="1">IFERROR(LOOKUP(MIN(IF(LEFT(G137:U137,10)="Non validé",1,IF(G137:U137="Validé avec réserve",2,IF(G137:U137="Validé",3)))),{1,2,3},{"Non validé","Validé avec réserve","Validé"}),"")</f>
        <v/>
      </c>
      <c r="G137" s="1708" t="str">
        <f ca="1">IF(F39&lt;&gt;"",VLOOKUP(F39,Analytique!$X$3:$AD$33,7,FALSE),"")</f>
        <v/>
      </c>
      <c r="H137" s="1708" t="str">
        <f ca="1">IF(G39&lt;&gt;"",VLOOKUP(G39,Analytique!$X$3:$AD$33,7,FALSE),"")</f>
        <v/>
      </c>
      <c r="I137" s="1708" t="str">
        <f ca="1">IF(H39&lt;&gt;"",VLOOKUP(H39,Analytique!$X$3:$AD$33,7,FALSE),"")</f>
        <v/>
      </c>
      <c r="J137" s="1708" t="str">
        <f ca="1">IF(I39&lt;&gt;"",VLOOKUP(I39,Analytique!$X$3:$AD$33,7,FALSE),"")</f>
        <v/>
      </c>
      <c r="K137" s="1708" t="str">
        <f ca="1">IF(J39&lt;&gt;"",VLOOKUP(J39,Analytique!$X$3:$AD$33,7,FALSE),"")</f>
        <v/>
      </c>
      <c r="L137" s="1708" t="str">
        <f ca="1">IF(K39&lt;&gt;"",VLOOKUP(K39,Analytique!$X$3:$AD$33,7,FALSE),"")</f>
        <v/>
      </c>
      <c r="M137" s="1708" t="str">
        <f ca="1">IF(L39&lt;&gt;"",VLOOKUP(L39,Analytique!$X$3:$AD$33,7,FALSE),"")</f>
        <v/>
      </c>
      <c r="N137" s="1708" t="str">
        <f ca="1">IF(M39&lt;&gt;"",VLOOKUP(M39,Analytique!$X$3:$AD$33,7,FALSE),"")</f>
        <v/>
      </c>
      <c r="O137" s="1708" t="str">
        <f ca="1">IF(N39&lt;&gt;"",VLOOKUP(N39,Analytique!$X$3:$AD$33,7,FALSE),"")</f>
        <v/>
      </c>
      <c r="P137" s="1708" t="str">
        <f ca="1">IF(O39&lt;&gt;"",VLOOKUP(O39,Analytique!$X$3:$AD$33,7,FALSE),"")</f>
        <v/>
      </c>
      <c r="Q137" s="1708" t="str">
        <f ca="1">IF(P39&lt;&gt;"",VLOOKUP(P39,Analytique!$X$3:$AD$33,7,FALSE),"")</f>
        <v/>
      </c>
      <c r="R137" s="1708" t="str">
        <f ca="1">IF(Q39&lt;&gt;"",VLOOKUP(Q39,Analytique!$X$3:$AD$33,7,FALSE),"")</f>
        <v/>
      </c>
      <c r="S137" s="1708" t="str">
        <f ca="1">IF(R39&lt;&gt;"",VLOOKUP(R39,Analytique!$X$3:$AD$33,7,FALSE),"")</f>
        <v/>
      </c>
      <c r="T137" s="1708" t="str">
        <f ca="1">IF(S39&lt;&gt;"",VLOOKUP(S39,Analytique!$X$3:$AD$33,7,FALSE),"")</f>
        <v/>
      </c>
      <c r="U137" s="1708" t="str">
        <f ca="1">IF(T39&lt;&gt;"",VLOOKUP(T39,Analytique!$X$3:$AD$33,7,FALSE),"")</f>
        <v/>
      </c>
    </row>
    <row r="138" spans="2:21" ht="13" thickBot="1" x14ac:dyDescent="0.45">
      <c r="B138" s="1563"/>
      <c r="C138" s="1566"/>
      <c r="D138" s="420" t="str">
        <f>$D$10</f>
        <v>Sonde de température</v>
      </c>
      <c r="E138" s="1560"/>
      <c r="F138" s="419" t="str" cm="1">
        <f t="array" aca="1" ref="F138" ca="1">IFERROR(LOOKUP(MIN(IF(LEFT(G138:U138,10)="Non validé",1,IF(G138:U138="Validé avec réserve",2,IF(G138:U138="Validé",3)))),{1,2,3},{"Non validé","Validé avec réserve","Validé"}),"")</f>
        <v/>
      </c>
      <c r="G138" s="397" t="str">
        <f t="shared" ref="G138:U138" ca="1" si="162">IF(F37&lt;&gt;"",_xlfn.SINGLE(INDIRECT(F37&amp;"!"&amp;$G$10)),"")</f>
        <v/>
      </c>
      <c r="H138" s="397" t="str">
        <f t="shared" ca="1" si="162"/>
        <v/>
      </c>
      <c r="I138" s="397" t="str">
        <f t="shared" ca="1" si="162"/>
        <v/>
      </c>
      <c r="J138" s="397" t="str">
        <f t="shared" ca="1" si="162"/>
        <v/>
      </c>
      <c r="K138" s="397" t="str">
        <f t="shared" ca="1" si="162"/>
        <v/>
      </c>
      <c r="L138" s="397" t="str">
        <f t="shared" ca="1" si="162"/>
        <v/>
      </c>
      <c r="M138" s="397" t="str">
        <f t="shared" ca="1" si="162"/>
        <v/>
      </c>
      <c r="N138" s="397" t="str">
        <f t="shared" ca="1" si="162"/>
        <v/>
      </c>
      <c r="O138" s="397" t="str">
        <f t="shared" ca="1" si="162"/>
        <v/>
      </c>
      <c r="P138" s="397" t="str">
        <f t="shared" ca="1" si="162"/>
        <v/>
      </c>
      <c r="Q138" s="397" t="str">
        <f t="shared" ca="1" si="162"/>
        <v/>
      </c>
      <c r="R138" s="397" t="str">
        <f t="shared" ca="1" si="162"/>
        <v/>
      </c>
      <c r="S138" s="397" t="str">
        <f t="shared" ca="1" si="162"/>
        <v/>
      </c>
      <c r="T138" s="397" t="str">
        <f t="shared" ca="1" si="162"/>
        <v/>
      </c>
      <c r="U138" s="397" t="str">
        <f t="shared" ca="1" si="162"/>
        <v/>
      </c>
    </row>
    <row r="139" spans="2:21" ht="13" thickBot="1" x14ac:dyDescent="0.45">
      <c r="B139" s="1561" t="s">
        <v>180</v>
      </c>
      <c r="C139" s="1564" t="s">
        <v>188</v>
      </c>
      <c r="D139" s="419" t="str">
        <f>$D$7</f>
        <v>Débitmètre en charge</v>
      </c>
      <c r="E139" s="1558" t="str" cm="1">
        <f t="array" aca="1" ref="E139" ca="1">IFERROR(LOOKUP(MIN(IF(LEFT(F139:F143,10)="Non validé",1,IF(F139:F143="Validé avec réserve",2,IF(F139:F143="Validé",3)))),{1,2,3},{"Non validé","Validé avec réserve","Validé"}),"")</f>
        <v>Non validé</v>
      </c>
      <c r="F139" s="419" t="str" cm="1">
        <f t="array" aca="1" ref="F139" ca="1">IFERROR(LOOKUP(MIN(IF(LEFT(G139:U139,10)="Non validé",1,IF(G139:U139="Validé avec réserve",2,IF(G139:U139="Validé",3)))),{1,2,3},{"Non validé","Validé avec réserve","Validé"}),"")</f>
        <v>Non validé</v>
      </c>
      <c r="G139" s="391" t="str">
        <f t="shared" ref="G139:U139" ca="1" si="163">IF(F38&lt;&gt;"",_xlfn.SINGLE(INDIRECT(F38&amp;"!"&amp;$G$7)),"")</f>
        <v/>
      </c>
      <c r="H139" s="391" t="str">
        <f t="shared" ca="1" si="163"/>
        <v/>
      </c>
      <c r="I139" s="391" t="str">
        <f t="shared" ca="1" si="163"/>
        <v/>
      </c>
      <c r="J139" s="391" t="str">
        <f t="shared" ca="1" si="163"/>
        <v/>
      </c>
      <c r="K139" s="391" t="str">
        <f t="shared" ca="1" si="163"/>
        <v/>
      </c>
      <c r="L139" s="391" t="str">
        <f t="shared" ca="1" si="163"/>
        <v>Non validé</v>
      </c>
      <c r="M139" s="391" t="str">
        <f t="shared" ca="1" si="163"/>
        <v/>
      </c>
      <c r="N139" s="391" t="str">
        <f t="shared" ca="1" si="163"/>
        <v/>
      </c>
      <c r="O139" s="391" t="str">
        <f t="shared" ca="1" si="163"/>
        <v/>
      </c>
      <c r="P139" s="391" t="str">
        <f t="shared" ca="1" si="163"/>
        <v/>
      </c>
      <c r="Q139" s="391" t="str">
        <f t="shared" ca="1" si="163"/>
        <v/>
      </c>
      <c r="R139" s="391" t="str">
        <f t="shared" ca="1" si="163"/>
        <v/>
      </c>
      <c r="S139" s="391" t="str">
        <f t="shared" ca="1" si="163"/>
        <v/>
      </c>
      <c r="T139" s="391" t="str">
        <f t="shared" ca="1" si="163"/>
        <v/>
      </c>
      <c r="U139" s="391" t="str">
        <f t="shared" ca="1" si="163"/>
        <v/>
      </c>
    </row>
    <row r="140" spans="2:21" ht="13" thickBot="1" x14ac:dyDescent="0.45">
      <c r="B140" s="1562"/>
      <c r="C140" s="1565"/>
      <c r="D140" s="418" t="str">
        <f>$D$8</f>
        <v>Débitmètre gravitaire</v>
      </c>
      <c r="E140" s="1559"/>
      <c r="F140" s="419" t="str" cm="1">
        <f t="array" aca="1" ref="F140" ca="1">IFERROR(LOOKUP(MIN(IF(LEFT(G140:U140,10)="Non validé",1,IF(G140:U140="Validé avec réserve",2,IF(G140:U140="Validé",3)))),{1,2,3},{"Non validé","Validé avec réserve","Validé"}),"")</f>
        <v/>
      </c>
      <c r="G140" s="161" t="str">
        <f t="shared" ref="G140:U140" ca="1" si="164">IF(F39&lt;&gt;"",_xlfn.SINGLE(INDIRECT(F39&amp;"!"&amp;$G$8)),"")</f>
        <v/>
      </c>
      <c r="H140" s="161" t="str">
        <f t="shared" ca="1" si="164"/>
        <v/>
      </c>
      <c r="I140" s="161" t="str">
        <f t="shared" ca="1" si="164"/>
        <v/>
      </c>
      <c r="J140" s="161" t="str">
        <f t="shared" ca="1" si="164"/>
        <v/>
      </c>
      <c r="K140" s="161" t="str">
        <f t="shared" ca="1" si="164"/>
        <v/>
      </c>
      <c r="L140" s="161" t="str">
        <f t="shared" ca="1" si="164"/>
        <v/>
      </c>
      <c r="M140" s="161" t="str">
        <f t="shared" ca="1" si="164"/>
        <v/>
      </c>
      <c r="N140" s="161" t="str">
        <f t="shared" ca="1" si="164"/>
        <v/>
      </c>
      <c r="O140" s="161" t="str">
        <f t="shared" ca="1" si="164"/>
        <v/>
      </c>
      <c r="P140" s="161" t="str">
        <f t="shared" ca="1" si="164"/>
        <v/>
      </c>
      <c r="Q140" s="161" t="str">
        <f t="shared" ca="1" si="164"/>
        <v/>
      </c>
      <c r="R140" s="161" t="str">
        <f t="shared" ca="1" si="164"/>
        <v/>
      </c>
      <c r="S140" s="161" t="str">
        <f t="shared" ca="1" si="164"/>
        <v/>
      </c>
      <c r="T140" s="161" t="str">
        <f t="shared" ca="1" si="164"/>
        <v/>
      </c>
      <c r="U140" s="161" t="str">
        <f t="shared" ca="1" si="164"/>
        <v/>
      </c>
    </row>
    <row r="141" spans="2:21" ht="13" thickBot="1" x14ac:dyDescent="0.45">
      <c r="B141" s="1562"/>
      <c r="C141" s="1565"/>
      <c r="D141" s="418" t="s">
        <v>846</v>
      </c>
      <c r="E141" s="1559"/>
      <c r="F141" s="419" t="str" cm="1">
        <f t="array" aca="1" ref="F141" ca="1">IFERROR(LOOKUP(MIN(IF(LEFT(G141:U141,10)="Non validé",1,IF(G141:U141="Validé avec réserve",2,IF(G141:U141="Validé",3)))),{1,2,3},{"Non validé","Validé avec réserve","Validé"}),"")</f>
        <v>Non validé</v>
      </c>
      <c r="G141" s="412" t="str">
        <f ca="1">G139 &amp; G140</f>
        <v/>
      </c>
      <c r="H141" s="412" t="str">
        <f t="shared" ref="H141:U141" ca="1" si="165">H139 &amp; H140</f>
        <v/>
      </c>
      <c r="I141" s="412" t="str">
        <f t="shared" ca="1" si="165"/>
        <v/>
      </c>
      <c r="J141" s="412" t="str">
        <f t="shared" ca="1" si="165"/>
        <v/>
      </c>
      <c r="K141" s="412" t="str">
        <f t="shared" ca="1" si="165"/>
        <v/>
      </c>
      <c r="L141" s="412" t="str">
        <f t="shared" ca="1" si="165"/>
        <v>Non validé</v>
      </c>
      <c r="M141" s="412" t="str">
        <f t="shared" ca="1" si="165"/>
        <v/>
      </c>
      <c r="N141" s="412" t="str">
        <f t="shared" ca="1" si="165"/>
        <v/>
      </c>
      <c r="O141" s="412" t="str">
        <f t="shared" ca="1" si="165"/>
        <v/>
      </c>
      <c r="P141" s="412" t="str">
        <f t="shared" ca="1" si="165"/>
        <v/>
      </c>
      <c r="Q141" s="412" t="str">
        <f t="shared" ca="1" si="165"/>
        <v/>
      </c>
      <c r="R141" s="412" t="str">
        <f t="shared" ca="1" si="165"/>
        <v/>
      </c>
      <c r="S141" s="412" t="str">
        <f t="shared" ca="1" si="165"/>
        <v/>
      </c>
      <c r="T141" s="412" t="str">
        <f t="shared" ca="1" si="165"/>
        <v/>
      </c>
      <c r="U141" s="412" t="str">
        <f t="shared" ca="1" si="165"/>
        <v/>
      </c>
    </row>
    <row r="142" spans="2:21" ht="13" thickBot="1" x14ac:dyDescent="0.45">
      <c r="B142" s="1562"/>
      <c r="C142" s="1565"/>
      <c r="D142" s="418" t="str">
        <f>$D$9</f>
        <v>Préleveur</v>
      </c>
      <c r="E142" s="1559"/>
      <c r="F142" s="419" t="str" cm="1">
        <f t="array" aca="1" ref="F142" ca="1">IFERROR(LOOKUP(MIN(IF(LEFT(G142:U142,10)="Non validé",1,IF(G142:U142="Validé avec réserve",2,IF(G142:U142="Validé",3)))),{1,2,3},{"Non validé","Validé avec réserve","Validé"}),"")</f>
        <v/>
      </c>
      <c r="G142" s="161" t="str">
        <f t="shared" ref="G142:U142" ca="1" si="166">IF(F40&lt;&gt;"",_xlfn.SINGLE(INDIRECT(F40&amp;"!"&amp;$G$9)),"")</f>
        <v/>
      </c>
      <c r="H142" s="161" t="str">
        <f t="shared" ca="1" si="166"/>
        <v/>
      </c>
      <c r="I142" s="161" t="str">
        <f t="shared" ca="1" si="166"/>
        <v/>
      </c>
      <c r="J142" s="161" t="str">
        <f t="shared" ca="1" si="166"/>
        <v/>
      </c>
      <c r="K142" s="161" t="str">
        <f t="shared" ca="1" si="166"/>
        <v/>
      </c>
      <c r="L142" s="161" t="str">
        <f t="shared" ca="1" si="166"/>
        <v/>
      </c>
      <c r="M142" s="161" t="str">
        <f t="shared" ca="1" si="166"/>
        <v/>
      </c>
      <c r="N142" s="161" t="str">
        <f t="shared" ca="1" si="166"/>
        <v/>
      </c>
      <c r="O142" s="161" t="str">
        <f t="shared" ca="1" si="166"/>
        <v/>
      </c>
      <c r="P142" s="161" t="str">
        <f t="shared" ca="1" si="166"/>
        <v/>
      </c>
      <c r="Q142" s="161" t="str">
        <f t="shared" ca="1" si="166"/>
        <v/>
      </c>
      <c r="R142" s="161" t="str">
        <f t="shared" ca="1" si="166"/>
        <v/>
      </c>
      <c r="S142" s="161" t="str">
        <f t="shared" ca="1" si="166"/>
        <v/>
      </c>
      <c r="T142" s="161" t="str">
        <f t="shared" ca="1" si="166"/>
        <v/>
      </c>
      <c r="U142" s="161" t="str">
        <f t="shared" ca="1" si="166"/>
        <v/>
      </c>
    </row>
    <row r="143" spans="2:21" ht="13" thickBot="1" x14ac:dyDescent="0.45">
      <c r="B143" s="1710"/>
      <c r="C143" s="1711"/>
      <c r="D143" s="1712" t="s">
        <v>783</v>
      </c>
      <c r="E143" s="1559"/>
      <c r="F143" s="419" t="str" cm="1">
        <f t="array" aca="1" ref="F143" ca="1">IFERROR(LOOKUP(MIN(IF(LEFT(G143:U143,10)="Non validé",1,IF(G143:U143="Validé avec réserve",2,IF(G143:U143="Validé",3)))),{1,2,3},{"Non validé","Validé avec réserve","Validé"}),"")</f>
        <v/>
      </c>
      <c r="G143" s="1708" t="str">
        <f ca="1">IF(F45&lt;&gt;"",VLOOKUP(F45,Analytique!$X$3:$AD$33,7,FALSE),"")</f>
        <v/>
      </c>
      <c r="H143" s="1708" t="str">
        <f ca="1">IF(G45&lt;&gt;"",VLOOKUP(G45,Analytique!$X$3:$AD$33,7,FALSE),"")</f>
        <v/>
      </c>
      <c r="I143" s="1708" t="str">
        <f ca="1">IF(H45&lt;&gt;"",VLOOKUP(H45,Analytique!$X$3:$AD$33,7,FALSE),"")</f>
        <v/>
      </c>
      <c r="J143" s="1708" t="str">
        <f ca="1">IF(I45&lt;&gt;"",VLOOKUP(I45,Analytique!$X$3:$AD$33,7,FALSE),"")</f>
        <v/>
      </c>
      <c r="K143" s="1708" t="str">
        <f ca="1">IF(J45&lt;&gt;"",VLOOKUP(J45,Analytique!$X$3:$AD$33,7,FALSE),"")</f>
        <v/>
      </c>
      <c r="L143" s="1708" t="str">
        <f ca="1">IF(K45&lt;&gt;"",VLOOKUP(K45,Analytique!$X$3:$AD$33,7,FALSE),"")</f>
        <v/>
      </c>
      <c r="M143" s="1708" t="str">
        <f ca="1">IF(L45&lt;&gt;"",VLOOKUP(L45,Analytique!$X$3:$AD$33,7,FALSE),"")</f>
        <v/>
      </c>
      <c r="N143" s="1708" t="str">
        <f ca="1">IF(M45&lt;&gt;"",VLOOKUP(M45,Analytique!$X$3:$AD$33,7,FALSE),"")</f>
        <v/>
      </c>
      <c r="O143" s="1708" t="str">
        <f ca="1">IF(N45&lt;&gt;"",VLOOKUP(N45,Analytique!$X$3:$AD$33,7,FALSE),"")</f>
        <v/>
      </c>
      <c r="P143" s="1708" t="str">
        <f ca="1">IF(O45&lt;&gt;"",VLOOKUP(O45,Analytique!$X$3:$AD$33,7,FALSE),"")</f>
        <v/>
      </c>
      <c r="Q143" s="1708" t="str">
        <f ca="1">IF(P45&lt;&gt;"",VLOOKUP(P45,Analytique!$X$3:$AD$33,7,FALSE),"")</f>
        <v/>
      </c>
      <c r="R143" s="1708" t="str">
        <f ca="1">IF(Q45&lt;&gt;"",VLOOKUP(Q45,Analytique!$X$3:$AD$33,7,FALSE),"")</f>
        <v/>
      </c>
      <c r="S143" s="1708" t="str">
        <f ca="1">IF(R45&lt;&gt;"",VLOOKUP(R45,Analytique!$X$3:$AD$33,7,FALSE),"")</f>
        <v/>
      </c>
      <c r="T143" s="1708" t="str">
        <f ca="1">IF(S45&lt;&gt;"",VLOOKUP(S45,Analytique!$X$3:$AD$33,7,FALSE),"")</f>
        <v/>
      </c>
      <c r="U143" s="1708" t="str">
        <f ca="1">IF(T45&lt;&gt;"",VLOOKUP(T45,Analytique!$X$3:$AD$33,7,FALSE),"")</f>
        <v/>
      </c>
    </row>
    <row r="144" spans="2:21" ht="13" thickBot="1" x14ac:dyDescent="0.45">
      <c r="B144" s="1563"/>
      <c r="C144" s="1566"/>
      <c r="D144" s="420" t="str">
        <f>$D$10</f>
        <v>Sonde de température</v>
      </c>
      <c r="E144" s="1560"/>
      <c r="F144" s="419" t="str" cm="1">
        <f t="array" aca="1" ref="F144" ca="1">IFERROR(LOOKUP(MIN(IF(LEFT(G144:U144,10)="Non validé",1,IF(G144:U144="Validé avec réserve",2,IF(G144:U144="Validé",3)))),{1,2,3},{"Non validé","Validé avec réserve","Validé"}),"")</f>
        <v/>
      </c>
      <c r="G144" s="397" t="str">
        <f t="shared" ref="G144:U144" ca="1" si="167">IF(F42&lt;&gt;"",_xlfn.SINGLE(INDIRECT(F42&amp;"!"&amp;$G$10)),"")</f>
        <v/>
      </c>
      <c r="H144" s="397" t="str">
        <f t="shared" ca="1" si="167"/>
        <v/>
      </c>
      <c r="I144" s="397" t="str">
        <f t="shared" ca="1" si="167"/>
        <v/>
      </c>
      <c r="J144" s="397" t="str">
        <f t="shared" ca="1" si="167"/>
        <v/>
      </c>
      <c r="K144" s="397" t="str">
        <f t="shared" ca="1" si="167"/>
        <v/>
      </c>
      <c r="L144" s="397" t="str">
        <f t="shared" ca="1" si="167"/>
        <v/>
      </c>
      <c r="M144" s="397" t="str">
        <f t="shared" ca="1" si="167"/>
        <v/>
      </c>
      <c r="N144" s="397" t="str">
        <f t="shared" ca="1" si="167"/>
        <v/>
      </c>
      <c r="O144" s="397" t="str">
        <f t="shared" ca="1" si="167"/>
        <v/>
      </c>
      <c r="P144" s="397" t="str">
        <f t="shared" ca="1" si="167"/>
        <v/>
      </c>
      <c r="Q144" s="397" t="str">
        <f t="shared" ca="1" si="167"/>
        <v/>
      </c>
      <c r="R144" s="397" t="str">
        <f t="shared" ca="1" si="167"/>
        <v/>
      </c>
      <c r="S144" s="397" t="str">
        <f t="shared" ca="1" si="167"/>
        <v/>
      </c>
      <c r="T144" s="397" t="str">
        <f t="shared" ca="1" si="167"/>
        <v/>
      </c>
      <c r="U144" s="397" t="str">
        <f t="shared" ca="1" si="167"/>
        <v/>
      </c>
    </row>
    <row r="145" spans="2:21" ht="13" thickBot="1" x14ac:dyDescent="0.45">
      <c r="B145" s="1561" t="s">
        <v>182</v>
      </c>
      <c r="C145" s="1564" t="s">
        <v>187</v>
      </c>
      <c r="D145" s="419" t="str">
        <f>$D$7</f>
        <v>Débitmètre en charge</v>
      </c>
      <c r="E145" s="1558" t="str" cm="1">
        <f t="array" aca="1" ref="E145" ca="1">IFERROR(LOOKUP(MIN(IF(LEFT(F145:F149,10)="Non validé",1,IF(F145:F149="Validé avec réserve",2,IF(F145:F149="Validé",3)))),{1,2,3},{"Non validé","Validé avec réserve","Validé"}),"")</f>
        <v/>
      </c>
      <c r="F145" s="419" t="str" cm="1">
        <f t="array" aca="1" ref="F145" ca="1">IFERROR(LOOKUP(MIN(IF(LEFT(G145:U145,10)="Non validé",1,IF(G145:U145="Validé avec réserve",2,IF(G145:U145="Validé",3)))),{1,2,3},{"Non validé","Validé avec réserve","Validé"}),"")</f>
        <v/>
      </c>
      <c r="G145" s="391" t="str">
        <f t="shared" ref="G145:U145" ca="1" si="168">IF(F43&lt;&gt;"",_xlfn.SINGLE(INDIRECT(F43&amp;"!"&amp;$G$7)),"")</f>
        <v/>
      </c>
      <c r="H145" s="391" t="str">
        <f t="shared" ca="1" si="168"/>
        <v/>
      </c>
      <c r="I145" s="391" t="str">
        <f t="shared" ca="1" si="168"/>
        <v/>
      </c>
      <c r="J145" s="391" t="str">
        <f t="shared" ca="1" si="168"/>
        <v/>
      </c>
      <c r="K145" s="391" t="str">
        <f t="shared" ca="1" si="168"/>
        <v/>
      </c>
      <c r="L145" s="391" t="str">
        <f t="shared" ca="1" si="168"/>
        <v/>
      </c>
      <c r="M145" s="391" t="str">
        <f t="shared" ca="1" si="168"/>
        <v/>
      </c>
      <c r="N145" s="391" t="str">
        <f t="shared" ca="1" si="168"/>
        <v/>
      </c>
      <c r="O145" s="391" t="str">
        <f t="shared" ca="1" si="168"/>
        <v/>
      </c>
      <c r="P145" s="391" t="str">
        <f t="shared" ca="1" si="168"/>
        <v/>
      </c>
      <c r="Q145" s="391" t="str">
        <f t="shared" ca="1" si="168"/>
        <v/>
      </c>
      <c r="R145" s="391" t="str">
        <f t="shared" ca="1" si="168"/>
        <v/>
      </c>
      <c r="S145" s="391" t="str">
        <f t="shared" ca="1" si="168"/>
        <v/>
      </c>
      <c r="T145" s="391" t="str">
        <f t="shared" ca="1" si="168"/>
        <v/>
      </c>
      <c r="U145" s="391" t="str">
        <f t="shared" ca="1" si="168"/>
        <v/>
      </c>
    </row>
    <row r="146" spans="2:21" ht="13" thickBot="1" x14ac:dyDescent="0.45">
      <c r="B146" s="1562"/>
      <c r="C146" s="1565"/>
      <c r="D146" s="418" t="str">
        <f>$D$8</f>
        <v>Débitmètre gravitaire</v>
      </c>
      <c r="E146" s="1559"/>
      <c r="F146" s="419" t="str" cm="1">
        <f t="array" aca="1" ref="F146" ca="1">IFERROR(LOOKUP(MIN(IF(LEFT(G146:U146,10)="Non validé",1,IF(G146:U146="Validé avec réserve",2,IF(G146:U146="Validé",3)))),{1,2,3},{"Non validé","Validé avec réserve","Validé"}),"")</f>
        <v/>
      </c>
      <c r="G146" s="161" t="str">
        <f t="shared" ref="G146:U146" ca="1" si="169">IF(F44&lt;&gt;"",_xlfn.SINGLE(INDIRECT(F44&amp;"!"&amp;$G$8)),"")</f>
        <v/>
      </c>
      <c r="H146" s="161" t="str">
        <f t="shared" ca="1" si="169"/>
        <v/>
      </c>
      <c r="I146" s="161" t="str">
        <f t="shared" ca="1" si="169"/>
        <v/>
      </c>
      <c r="J146" s="161" t="str">
        <f t="shared" ca="1" si="169"/>
        <v/>
      </c>
      <c r="K146" s="161" t="str">
        <f t="shared" ca="1" si="169"/>
        <v/>
      </c>
      <c r="L146" s="161" t="str">
        <f t="shared" ca="1" si="169"/>
        <v/>
      </c>
      <c r="M146" s="161" t="str">
        <f t="shared" ca="1" si="169"/>
        <v/>
      </c>
      <c r="N146" s="161" t="str">
        <f t="shared" ca="1" si="169"/>
        <v/>
      </c>
      <c r="O146" s="161" t="str">
        <f t="shared" ca="1" si="169"/>
        <v/>
      </c>
      <c r="P146" s="161" t="str">
        <f t="shared" ca="1" si="169"/>
        <v/>
      </c>
      <c r="Q146" s="161" t="str">
        <f t="shared" ca="1" si="169"/>
        <v/>
      </c>
      <c r="R146" s="161" t="str">
        <f t="shared" ca="1" si="169"/>
        <v/>
      </c>
      <c r="S146" s="161" t="str">
        <f t="shared" ca="1" si="169"/>
        <v/>
      </c>
      <c r="T146" s="161" t="str">
        <f t="shared" ca="1" si="169"/>
        <v/>
      </c>
      <c r="U146" s="161" t="str">
        <f t="shared" ca="1" si="169"/>
        <v/>
      </c>
    </row>
    <row r="147" spans="2:21" ht="13" thickBot="1" x14ac:dyDescent="0.45">
      <c r="B147" s="1562"/>
      <c r="C147" s="1565"/>
      <c r="D147" s="418" t="s">
        <v>846</v>
      </c>
      <c r="E147" s="1559"/>
      <c r="F147" s="419" t="str" cm="1">
        <f t="array" aca="1" ref="F147" ca="1">IFERROR(LOOKUP(MIN(IF(LEFT(G147:U147,10)="Non validé",1,IF(G147:U147="Validé avec réserve",2,IF(G147:U147="Validé",3)))),{1,2,3},{"Non validé","Validé avec réserve","Validé"}),"")</f>
        <v/>
      </c>
      <c r="G147" s="412" t="str">
        <f ca="1">G145 &amp; G146</f>
        <v/>
      </c>
      <c r="H147" s="412" t="str">
        <f t="shared" ref="H147:U147" ca="1" si="170">H145 &amp; H146</f>
        <v/>
      </c>
      <c r="I147" s="412" t="str">
        <f t="shared" ca="1" si="170"/>
        <v/>
      </c>
      <c r="J147" s="412" t="str">
        <f t="shared" ca="1" si="170"/>
        <v/>
      </c>
      <c r="K147" s="412" t="str">
        <f t="shared" ca="1" si="170"/>
        <v/>
      </c>
      <c r="L147" s="412" t="str">
        <f t="shared" ca="1" si="170"/>
        <v/>
      </c>
      <c r="M147" s="412" t="str">
        <f t="shared" ca="1" si="170"/>
        <v/>
      </c>
      <c r="N147" s="412" t="str">
        <f t="shared" ca="1" si="170"/>
        <v/>
      </c>
      <c r="O147" s="412" t="str">
        <f t="shared" ca="1" si="170"/>
        <v/>
      </c>
      <c r="P147" s="412" t="str">
        <f t="shared" ca="1" si="170"/>
        <v/>
      </c>
      <c r="Q147" s="412" t="str">
        <f t="shared" ca="1" si="170"/>
        <v/>
      </c>
      <c r="R147" s="412" t="str">
        <f t="shared" ca="1" si="170"/>
        <v/>
      </c>
      <c r="S147" s="412" t="str">
        <f t="shared" ca="1" si="170"/>
        <v/>
      </c>
      <c r="T147" s="412" t="str">
        <f t="shared" ca="1" si="170"/>
        <v/>
      </c>
      <c r="U147" s="412" t="str">
        <f t="shared" ca="1" si="170"/>
        <v/>
      </c>
    </row>
    <row r="148" spans="2:21" ht="13" thickBot="1" x14ac:dyDescent="0.45">
      <c r="B148" s="1562"/>
      <c r="C148" s="1565"/>
      <c r="D148" s="418" t="str">
        <f>$D$9</f>
        <v>Préleveur</v>
      </c>
      <c r="E148" s="1559"/>
      <c r="F148" s="419" t="str" cm="1">
        <f t="array" aca="1" ref="F148" ca="1">IFERROR(LOOKUP(MIN(IF(LEFT(G148:U148,10)="Non validé",1,IF(G148:U148="Validé avec réserve",2,IF(G148:U148="Validé",3)))),{1,2,3},{"Non validé","Validé avec réserve","Validé"}),"")</f>
        <v/>
      </c>
      <c r="G148" s="161" t="str">
        <f t="shared" ref="G148:U148" ca="1" si="171">IF(F45&lt;&gt;"",_xlfn.SINGLE(INDIRECT(F45&amp;"!"&amp;$G$9)),"")</f>
        <v/>
      </c>
      <c r="H148" s="161" t="str">
        <f t="shared" ca="1" si="171"/>
        <v/>
      </c>
      <c r="I148" s="161" t="str">
        <f t="shared" ca="1" si="171"/>
        <v/>
      </c>
      <c r="J148" s="161" t="str">
        <f t="shared" ca="1" si="171"/>
        <v/>
      </c>
      <c r="K148" s="161" t="str">
        <f t="shared" ca="1" si="171"/>
        <v/>
      </c>
      <c r="L148" s="161" t="str">
        <f t="shared" ca="1" si="171"/>
        <v/>
      </c>
      <c r="M148" s="161" t="str">
        <f t="shared" ca="1" si="171"/>
        <v/>
      </c>
      <c r="N148" s="161" t="str">
        <f t="shared" ca="1" si="171"/>
        <v/>
      </c>
      <c r="O148" s="161" t="str">
        <f t="shared" ca="1" si="171"/>
        <v/>
      </c>
      <c r="P148" s="161" t="str">
        <f t="shared" ca="1" si="171"/>
        <v/>
      </c>
      <c r="Q148" s="161" t="str">
        <f t="shared" ca="1" si="171"/>
        <v/>
      </c>
      <c r="R148" s="161" t="str">
        <f t="shared" ca="1" si="171"/>
        <v/>
      </c>
      <c r="S148" s="161" t="str">
        <f t="shared" ca="1" si="171"/>
        <v/>
      </c>
      <c r="T148" s="161" t="str">
        <f t="shared" ca="1" si="171"/>
        <v/>
      </c>
      <c r="U148" s="161" t="str">
        <f t="shared" ca="1" si="171"/>
        <v/>
      </c>
    </row>
    <row r="149" spans="2:21" ht="13" thickBot="1" x14ac:dyDescent="0.45">
      <c r="B149" s="1710"/>
      <c r="C149" s="1711"/>
      <c r="D149" s="1712" t="s">
        <v>783</v>
      </c>
      <c r="E149" s="1559"/>
      <c r="F149" s="419" t="str" cm="1">
        <f t="array" aca="1" ref="F149" ca="1">IFERROR(LOOKUP(MIN(IF(LEFT(G149:U149,10)="Non validé",1,IF(G149:U149="Validé avec réserve",2,IF(G149:U149="Validé",3)))),{1,2,3},{"Non validé","Validé avec réserve","Validé"}),"")</f>
        <v/>
      </c>
      <c r="G149" s="1708" t="str">
        <f ca="1">IF(F51&lt;&gt;"",VLOOKUP(F51,Analytique!$X$3:$AD$33,7,FALSE),"")</f>
        <v/>
      </c>
      <c r="H149" s="1708" t="str">
        <f ca="1">IF(G51&lt;&gt;"",VLOOKUP(G51,Analytique!$X$3:$AD$33,7,FALSE),"")</f>
        <v/>
      </c>
      <c r="I149" s="1708" t="str">
        <f ca="1">IF(H51&lt;&gt;"",VLOOKUP(H51,Analytique!$X$3:$AD$33,7,FALSE),"")</f>
        <v/>
      </c>
      <c r="J149" s="1708" t="str">
        <f ca="1">IF(I51&lt;&gt;"",VLOOKUP(I51,Analytique!$X$3:$AD$33,7,FALSE),"")</f>
        <v/>
      </c>
      <c r="K149" s="1708" t="str">
        <f ca="1">IF(J51&lt;&gt;"",VLOOKUP(J51,Analytique!$X$3:$AD$33,7,FALSE),"")</f>
        <v/>
      </c>
      <c r="L149" s="1708" t="str">
        <f ca="1">IF(K51&lt;&gt;"",VLOOKUP(K51,Analytique!$X$3:$AD$33,7,FALSE),"")</f>
        <v/>
      </c>
      <c r="M149" s="1708" t="str">
        <f ca="1">IF(L51&lt;&gt;"",VLOOKUP(L51,Analytique!$X$3:$AD$33,7,FALSE),"")</f>
        <v/>
      </c>
      <c r="N149" s="1708" t="str">
        <f ca="1">IF(M51&lt;&gt;"",VLOOKUP(M51,Analytique!$X$3:$AD$33,7,FALSE),"")</f>
        <v/>
      </c>
      <c r="O149" s="1708" t="str">
        <f ca="1">IF(N51&lt;&gt;"",VLOOKUP(N51,Analytique!$X$3:$AD$33,7,FALSE),"")</f>
        <v/>
      </c>
      <c r="P149" s="1708" t="str">
        <f ca="1">IF(O51&lt;&gt;"",VLOOKUP(O51,Analytique!$X$3:$AD$33,7,FALSE),"")</f>
        <v/>
      </c>
      <c r="Q149" s="1708" t="str">
        <f ca="1">IF(P51&lt;&gt;"",VLOOKUP(P51,Analytique!$X$3:$AD$33,7,FALSE),"")</f>
        <v/>
      </c>
      <c r="R149" s="1708" t="str">
        <f ca="1">IF(Q51&lt;&gt;"",VLOOKUP(Q51,Analytique!$X$3:$AD$33,7,FALSE),"")</f>
        <v/>
      </c>
      <c r="S149" s="1708" t="str">
        <f ca="1">IF(R51&lt;&gt;"",VLOOKUP(R51,Analytique!$X$3:$AD$33,7,FALSE),"")</f>
        <v/>
      </c>
      <c r="T149" s="1708" t="str">
        <f ca="1">IF(S51&lt;&gt;"",VLOOKUP(S51,Analytique!$X$3:$AD$33,7,FALSE),"")</f>
        <v/>
      </c>
      <c r="U149" s="1708" t="str">
        <f ca="1">IF(T51&lt;&gt;"",VLOOKUP(T51,Analytique!$X$3:$AD$33,7,FALSE),"")</f>
        <v/>
      </c>
    </row>
    <row r="150" spans="2:21" ht="13" thickBot="1" x14ac:dyDescent="0.45">
      <c r="B150" s="1563"/>
      <c r="C150" s="1566"/>
      <c r="D150" s="420" t="str">
        <f>$D$10</f>
        <v>Sonde de température</v>
      </c>
      <c r="E150" s="1560"/>
      <c r="F150" s="419" t="str" cm="1">
        <f t="array" aca="1" ref="F150" ca="1">IFERROR(LOOKUP(MIN(IF(LEFT(G150:U150,10)="Non validé",1,IF(G150:U150="Validé avec réserve",2,IF(G150:U150="Validé",3)))),{1,2,3},{"Non validé","Validé avec réserve","Validé"}),"")</f>
        <v/>
      </c>
      <c r="G150" s="397" t="str">
        <f t="shared" ref="G150:U150" ca="1" si="172">IF(F47&lt;&gt;"",_xlfn.SINGLE(INDIRECT(F47&amp;"!"&amp;$G$10)),"")</f>
        <v/>
      </c>
      <c r="H150" s="397" t="str">
        <f t="shared" ca="1" si="172"/>
        <v/>
      </c>
      <c r="I150" s="397" t="str">
        <f t="shared" ca="1" si="172"/>
        <v/>
      </c>
      <c r="J150" s="397" t="str">
        <f t="shared" ca="1" si="172"/>
        <v/>
      </c>
      <c r="K150" s="397" t="str">
        <f t="shared" ca="1" si="172"/>
        <v/>
      </c>
      <c r="L150" s="397" t="str">
        <f t="shared" ca="1" si="172"/>
        <v/>
      </c>
      <c r="M150" s="397" t="str">
        <f t="shared" ca="1" si="172"/>
        <v/>
      </c>
      <c r="N150" s="397" t="str">
        <f t="shared" ca="1" si="172"/>
        <v/>
      </c>
      <c r="O150" s="397" t="str">
        <f t="shared" ca="1" si="172"/>
        <v/>
      </c>
      <c r="P150" s="397" t="str">
        <f t="shared" ca="1" si="172"/>
        <v/>
      </c>
      <c r="Q150" s="397" t="str">
        <f t="shared" ca="1" si="172"/>
        <v/>
      </c>
      <c r="R150" s="397" t="str">
        <f t="shared" ca="1" si="172"/>
        <v/>
      </c>
      <c r="S150" s="397" t="str">
        <f t="shared" ca="1" si="172"/>
        <v/>
      </c>
      <c r="T150" s="397" t="str">
        <f t="shared" ca="1" si="172"/>
        <v/>
      </c>
      <c r="U150" s="397" t="str">
        <f t="shared" ca="1" si="172"/>
        <v/>
      </c>
    </row>
    <row r="151" spans="2:21" ht="13" thickBot="1" x14ac:dyDescent="0.45">
      <c r="B151" s="1561" t="s">
        <v>169</v>
      </c>
      <c r="C151" s="1564" t="s">
        <v>171</v>
      </c>
      <c r="D151" s="419" t="str">
        <f>$D$7</f>
        <v>Débitmètre en charge</v>
      </c>
      <c r="E151" s="1558" t="str" cm="1">
        <f t="array" aca="1" ref="E151" ca="1">IFERROR(LOOKUP(MIN(IF(LEFT(F151:F155,10)="Non validé",1,IF(F151:F155="Validé avec réserve",2,IF(F151:F155="Validé",3)))),{1,2,3},{"Non validé","Validé avec réserve","Validé"}),"")</f>
        <v>Validé</v>
      </c>
      <c r="F151" s="419" t="str" cm="1">
        <f t="array" aca="1" ref="F151" ca="1">IFERROR(LOOKUP(MIN(IF(LEFT(G151:U151,10)="Non validé",1,IF(G151:U151="Validé avec réserve",2,IF(G151:U151="Validé",3)))),{1,2,3},{"Non validé","Validé avec réserve","Validé"}),"")</f>
        <v/>
      </c>
      <c r="G151" s="391" t="str">
        <f t="shared" ref="G151:U151" ca="1" si="173">IF(F48&lt;&gt;"",_xlfn.SINGLE(INDIRECT(F48&amp;"!"&amp;$G$7)),"")</f>
        <v/>
      </c>
      <c r="H151" s="391" t="str">
        <f t="shared" ca="1" si="173"/>
        <v/>
      </c>
      <c r="I151" s="391" t="str">
        <f t="shared" ca="1" si="173"/>
        <v/>
      </c>
      <c r="J151" s="391" t="str">
        <f t="shared" ca="1" si="173"/>
        <v/>
      </c>
      <c r="K151" s="391" t="str">
        <f t="shared" ca="1" si="173"/>
        <v/>
      </c>
      <c r="L151" s="391" t="str">
        <f t="shared" ca="1" si="173"/>
        <v/>
      </c>
      <c r="M151" s="391" t="str">
        <f t="shared" ca="1" si="173"/>
        <v/>
      </c>
      <c r="N151" s="391" t="str">
        <f t="shared" ca="1" si="173"/>
        <v/>
      </c>
      <c r="O151" s="391" t="str">
        <f t="shared" ca="1" si="173"/>
        <v/>
      </c>
      <c r="P151" s="391" t="str">
        <f t="shared" ca="1" si="173"/>
        <v/>
      </c>
      <c r="Q151" s="391" t="str">
        <f t="shared" ca="1" si="173"/>
        <v/>
      </c>
      <c r="R151" s="391" t="str">
        <f t="shared" ca="1" si="173"/>
        <v/>
      </c>
      <c r="S151" s="391" t="str">
        <f t="shared" ca="1" si="173"/>
        <v/>
      </c>
      <c r="T151" s="391" t="str">
        <f t="shared" ca="1" si="173"/>
        <v/>
      </c>
      <c r="U151" s="391" t="str">
        <f t="shared" ca="1" si="173"/>
        <v/>
      </c>
    </row>
    <row r="152" spans="2:21" ht="13" thickBot="1" x14ac:dyDescent="0.45">
      <c r="B152" s="1562"/>
      <c r="C152" s="1565"/>
      <c r="D152" s="418" t="str">
        <f>$D$8</f>
        <v>Débitmètre gravitaire</v>
      </c>
      <c r="E152" s="1559"/>
      <c r="F152" s="419" t="str" cm="1">
        <f t="array" aca="1" ref="F152" ca="1">IFERROR(LOOKUP(MIN(IF(LEFT(G152:U152,10)="Non validé",1,IF(G152:U152="Validé avec réserve",2,IF(G152:U152="Validé",3)))),{1,2,3},{"Non validé","Validé avec réserve","Validé"}),"")</f>
        <v>Validé</v>
      </c>
      <c r="G152" s="161" t="str">
        <f t="shared" ref="G152:U152" ca="1" si="174">IF(F49&lt;&gt;"",_xlfn.SINGLE(INDIRECT(F49&amp;"!"&amp;$G$8)),"")</f>
        <v>Validé</v>
      </c>
      <c r="H152" s="161" t="str">
        <f t="shared" ca="1" si="174"/>
        <v/>
      </c>
      <c r="I152" s="161" t="str">
        <f t="shared" ca="1" si="174"/>
        <v/>
      </c>
      <c r="J152" s="161" t="str">
        <f t="shared" ca="1" si="174"/>
        <v/>
      </c>
      <c r="K152" s="161" t="str">
        <f t="shared" ca="1" si="174"/>
        <v/>
      </c>
      <c r="L152" s="161" t="str">
        <f t="shared" ca="1" si="174"/>
        <v/>
      </c>
      <c r="M152" s="161" t="str">
        <f t="shared" ca="1" si="174"/>
        <v/>
      </c>
      <c r="N152" s="161" t="str">
        <f t="shared" ca="1" si="174"/>
        <v/>
      </c>
      <c r="O152" s="161" t="str">
        <f t="shared" ca="1" si="174"/>
        <v/>
      </c>
      <c r="P152" s="161" t="str">
        <f t="shared" ca="1" si="174"/>
        <v/>
      </c>
      <c r="Q152" s="161" t="str">
        <f t="shared" ca="1" si="174"/>
        <v/>
      </c>
      <c r="R152" s="161" t="str">
        <f t="shared" ca="1" si="174"/>
        <v/>
      </c>
      <c r="S152" s="161" t="str">
        <f t="shared" ca="1" si="174"/>
        <v/>
      </c>
      <c r="T152" s="161" t="str">
        <f t="shared" ca="1" si="174"/>
        <v/>
      </c>
      <c r="U152" s="161" t="str">
        <f t="shared" ca="1" si="174"/>
        <v/>
      </c>
    </row>
    <row r="153" spans="2:21" ht="13" thickBot="1" x14ac:dyDescent="0.45">
      <c r="B153" s="1562"/>
      <c r="C153" s="1565"/>
      <c r="D153" s="418" t="s">
        <v>846</v>
      </c>
      <c r="E153" s="1559"/>
      <c r="F153" s="419" t="str" cm="1">
        <f t="array" aca="1" ref="F153" ca="1">IFERROR(LOOKUP(MIN(IF(LEFT(G153:U153,10)="Non validé",1,IF(G153:U153="Validé avec réserve",2,IF(G153:U153="Validé",3)))),{1,2,3},{"Non validé","Validé avec réserve","Validé"}),"")</f>
        <v>Validé</v>
      </c>
      <c r="G153" s="412" t="str">
        <f ca="1">G151 &amp; G152</f>
        <v>Validé</v>
      </c>
      <c r="H153" s="412" t="str">
        <f t="shared" ref="H153:U153" ca="1" si="175">H151 &amp; H152</f>
        <v/>
      </c>
      <c r="I153" s="412" t="str">
        <f t="shared" ca="1" si="175"/>
        <v/>
      </c>
      <c r="J153" s="412" t="str">
        <f t="shared" ca="1" si="175"/>
        <v/>
      </c>
      <c r="K153" s="412" t="str">
        <f t="shared" ca="1" si="175"/>
        <v/>
      </c>
      <c r="L153" s="412" t="str">
        <f t="shared" ca="1" si="175"/>
        <v/>
      </c>
      <c r="M153" s="412" t="str">
        <f t="shared" ca="1" si="175"/>
        <v/>
      </c>
      <c r="N153" s="412" t="str">
        <f t="shared" ca="1" si="175"/>
        <v/>
      </c>
      <c r="O153" s="412" t="str">
        <f t="shared" ca="1" si="175"/>
        <v/>
      </c>
      <c r="P153" s="412" t="str">
        <f t="shared" ca="1" si="175"/>
        <v/>
      </c>
      <c r="Q153" s="412" t="str">
        <f t="shared" ca="1" si="175"/>
        <v/>
      </c>
      <c r="R153" s="412" t="str">
        <f t="shared" ca="1" si="175"/>
        <v/>
      </c>
      <c r="S153" s="412" t="str">
        <f t="shared" ca="1" si="175"/>
        <v/>
      </c>
      <c r="T153" s="412" t="str">
        <f t="shared" ca="1" si="175"/>
        <v/>
      </c>
      <c r="U153" s="412" t="str">
        <f t="shared" ca="1" si="175"/>
        <v/>
      </c>
    </row>
    <row r="154" spans="2:21" ht="13" thickBot="1" x14ac:dyDescent="0.45">
      <c r="B154" s="1562"/>
      <c r="C154" s="1565"/>
      <c r="D154" s="418" t="str">
        <f>$D$9</f>
        <v>Préleveur</v>
      </c>
      <c r="E154" s="1559"/>
      <c r="F154" s="419" t="str" cm="1">
        <f t="array" aca="1" ref="F154" ca="1">IFERROR(LOOKUP(MIN(IF(LEFT(G154:U154,10)="Non validé",1,IF(G154:U154="Validé avec réserve",2,IF(G154:U154="Validé",3)))),{1,2,3},{"Non validé","Validé avec réserve","Validé"}),"")</f>
        <v/>
      </c>
      <c r="G154" s="161" t="str">
        <f t="shared" ref="G154:U154" ca="1" si="176">IF(F50&lt;&gt;"",_xlfn.SINGLE(INDIRECT(F50&amp;"!"&amp;$G$9)),"")</f>
        <v/>
      </c>
      <c r="H154" s="161" t="str">
        <f t="shared" ca="1" si="176"/>
        <v/>
      </c>
      <c r="I154" s="161" t="str">
        <f t="shared" ca="1" si="176"/>
        <v/>
      </c>
      <c r="J154" s="161" t="str">
        <f t="shared" ca="1" si="176"/>
        <v/>
      </c>
      <c r="K154" s="161" t="str">
        <f t="shared" ca="1" si="176"/>
        <v/>
      </c>
      <c r="L154" s="161" t="str">
        <f t="shared" ca="1" si="176"/>
        <v/>
      </c>
      <c r="M154" s="161" t="str">
        <f t="shared" ca="1" si="176"/>
        <v/>
      </c>
      <c r="N154" s="161" t="str">
        <f t="shared" ca="1" si="176"/>
        <v/>
      </c>
      <c r="O154" s="161" t="str">
        <f t="shared" ca="1" si="176"/>
        <v/>
      </c>
      <c r="P154" s="161" t="str">
        <f t="shared" ca="1" si="176"/>
        <v/>
      </c>
      <c r="Q154" s="161" t="str">
        <f t="shared" ca="1" si="176"/>
        <v/>
      </c>
      <c r="R154" s="161" t="str">
        <f t="shared" ca="1" si="176"/>
        <v/>
      </c>
      <c r="S154" s="161" t="str">
        <f t="shared" ca="1" si="176"/>
        <v/>
      </c>
      <c r="T154" s="161" t="str">
        <f t="shared" ca="1" si="176"/>
        <v/>
      </c>
      <c r="U154" s="161" t="str">
        <f t="shared" ca="1" si="176"/>
        <v/>
      </c>
    </row>
    <row r="155" spans="2:21" ht="13" thickBot="1" x14ac:dyDescent="0.45">
      <c r="B155" s="1710"/>
      <c r="C155" s="1711"/>
      <c r="D155" s="1712" t="s">
        <v>783</v>
      </c>
      <c r="E155" s="1559"/>
      <c r="F155" s="419" t="str" cm="1">
        <f t="array" aca="1" ref="F155" ca="1">IFERROR(LOOKUP(MIN(IF(LEFT(G155:U155,10)="Non validé",1,IF(G155:U155="Validé avec réserve",2,IF(G155:U155="Validé",3)))),{1,2,3},{"Non validé","Validé avec réserve","Validé"}),"")</f>
        <v/>
      </c>
      <c r="G155" s="1708" t="str">
        <f ca="1">IF(F57&lt;&gt;"",VLOOKUP(F57,Analytique!$X$3:$AD$33,7,FALSE),"")</f>
        <v/>
      </c>
      <c r="H155" s="1708" t="str">
        <f ca="1">IF(G57&lt;&gt;"",VLOOKUP(G57,Analytique!$X$3:$AD$33,7,FALSE),"")</f>
        <v/>
      </c>
      <c r="I155" s="1708" t="str">
        <f ca="1">IF(H57&lt;&gt;"",VLOOKUP(H57,Analytique!$X$3:$AD$33,7,FALSE),"")</f>
        <v/>
      </c>
      <c r="J155" s="1708" t="str">
        <f ca="1">IF(I57&lt;&gt;"",VLOOKUP(I57,Analytique!$X$3:$AD$33,7,FALSE),"")</f>
        <v/>
      </c>
      <c r="K155" s="1708" t="str">
        <f ca="1">IF(J57&lt;&gt;"",VLOOKUP(J57,Analytique!$X$3:$AD$33,7,FALSE),"")</f>
        <v/>
      </c>
      <c r="L155" s="1708" t="str">
        <f ca="1">IF(K57&lt;&gt;"",VLOOKUP(K57,Analytique!$X$3:$AD$33,7,FALSE),"")</f>
        <v/>
      </c>
      <c r="M155" s="1708" t="str">
        <f ca="1">IF(L57&lt;&gt;"",VLOOKUP(L57,Analytique!$X$3:$AD$33,7,FALSE),"")</f>
        <v/>
      </c>
      <c r="N155" s="1708" t="str">
        <f ca="1">IF(M57&lt;&gt;"",VLOOKUP(M57,Analytique!$X$3:$AD$33,7,FALSE),"")</f>
        <v/>
      </c>
      <c r="O155" s="1708" t="str">
        <f ca="1">IF(N57&lt;&gt;"",VLOOKUP(N57,Analytique!$X$3:$AD$33,7,FALSE),"")</f>
        <v/>
      </c>
      <c r="P155" s="1708" t="str">
        <f ca="1">IF(O57&lt;&gt;"",VLOOKUP(O57,Analytique!$X$3:$AD$33,7,FALSE),"")</f>
        <v/>
      </c>
      <c r="Q155" s="1708" t="str">
        <f ca="1">IF(P57&lt;&gt;"",VLOOKUP(P57,Analytique!$X$3:$AD$33,7,FALSE),"")</f>
        <v/>
      </c>
      <c r="R155" s="1708" t="str">
        <f ca="1">IF(Q57&lt;&gt;"",VLOOKUP(Q57,Analytique!$X$3:$AD$33,7,FALSE),"")</f>
        <v/>
      </c>
      <c r="S155" s="1708" t="str">
        <f ca="1">IF(R57&lt;&gt;"",VLOOKUP(R57,Analytique!$X$3:$AD$33,7,FALSE),"")</f>
        <v/>
      </c>
      <c r="T155" s="1708" t="str">
        <f ca="1">IF(S57&lt;&gt;"",VLOOKUP(S57,Analytique!$X$3:$AD$33,7,FALSE),"")</f>
        <v/>
      </c>
      <c r="U155" s="1708" t="str">
        <f ca="1">IF(T57&lt;&gt;"",VLOOKUP(T57,Analytique!$X$3:$AD$33,7,FALSE),"")</f>
        <v/>
      </c>
    </row>
    <row r="156" spans="2:21" ht="13" thickBot="1" x14ac:dyDescent="0.45">
      <c r="B156" s="1563"/>
      <c r="C156" s="1566"/>
      <c r="D156" s="420" t="str">
        <f>$D$10</f>
        <v>Sonde de température</v>
      </c>
      <c r="E156" s="1560"/>
      <c r="F156" s="419" t="str" cm="1">
        <f t="array" aca="1" ref="F156" ca="1">IFERROR(LOOKUP(MIN(IF(LEFT(G156:U156,10)="Non validé",1,IF(G156:U156="Validé avec réserve",2,IF(G156:U156="Validé",3)))),{1,2,3},{"Non validé","Validé avec réserve","Validé"}),"")</f>
        <v/>
      </c>
      <c r="G156" s="397" t="str">
        <f t="shared" ref="G156:U156" ca="1" si="177">IF(F52&lt;&gt;"",_xlfn.SINGLE(INDIRECT(F52&amp;"!"&amp;$G$10)),"")</f>
        <v/>
      </c>
      <c r="H156" s="397" t="str">
        <f t="shared" ca="1" si="177"/>
        <v/>
      </c>
      <c r="I156" s="397" t="str">
        <f t="shared" ca="1" si="177"/>
        <v/>
      </c>
      <c r="J156" s="397" t="str">
        <f t="shared" ca="1" si="177"/>
        <v/>
      </c>
      <c r="K156" s="397" t="str">
        <f t="shared" ca="1" si="177"/>
        <v/>
      </c>
      <c r="L156" s="397" t="str">
        <f t="shared" ca="1" si="177"/>
        <v/>
      </c>
      <c r="M156" s="397" t="str">
        <f t="shared" ca="1" si="177"/>
        <v/>
      </c>
      <c r="N156" s="397" t="str">
        <f t="shared" ca="1" si="177"/>
        <v/>
      </c>
      <c r="O156" s="397" t="str">
        <f t="shared" ca="1" si="177"/>
        <v/>
      </c>
      <c r="P156" s="397" t="str">
        <f t="shared" ca="1" si="177"/>
        <v/>
      </c>
      <c r="Q156" s="397" t="str">
        <f t="shared" ca="1" si="177"/>
        <v/>
      </c>
      <c r="R156" s="397" t="str">
        <f t="shared" ca="1" si="177"/>
        <v/>
      </c>
      <c r="S156" s="397" t="str">
        <f t="shared" ca="1" si="177"/>
        <v/>
      </c>
      <c r="T156" s="397" t="str">
        <f t="shared" ca="1" si="177"/>
        <v/>
      </c>
      <c r="U156" s="397" t="str">
        <f t="shared" ca="1" si="177"/>
        <v/>
      </c>
    </row>
    <row r="157" spans="2:21" ht="13" thickBot="1" x14ac:dyDescent="0.45">
      <c r="B157" s="1561" t="s">
        <v>184</v>
      </c>
      <c r="C157" s="1564" t="s">
        <v>191</v>
      </c>
      <c r="D157" s="419" t="str">
        <f>$D$7</f>
        <v>Débitmètre en charge</v>
      </c>
      <c r="E157" s="1558" t="str" cm="1">
        <f t="array" aca="1" ref="E157" ca="1">IFERROR(LOOKUP(MIN(IF(LEFT(F157:F161,10)="Non validé",1,IF(F157:F161="Validé avec réserve",2,IF(F157:F161="Validé",3)))),{1,2,3},{"Non validé","Validé avec réserve","Validé"}),"")</f>
        <v/>
      </c>
      <c r="F157" s="419" t="str" cm="1">
        <f t="array" aca="1" ref="F157" ca="1">IFERROR(LOOKUP(MIN(IF(LEFT(G157:U157,10)="Non validé",1,IF(G157:U157="Validé avec réserve",2,IF(G157:U157="Validé",3)))),{1,2,3},{"Non validé","Validé avec réserve","Validé"}),"")</f>
        <v/>
      </c>
      <c r="G157" s="391" t="str">
        <f t="shared" ref="G157:U157" ca="1" si="178">IF(F53&lt;&gt;"",_xlfn.SINGLE(INDIRECT(F53&amp;"!"&amp;$G$7)),"")</f>
        <v/>
      </c>
      <c r="H157" s="391" t="str">
        <f t="shared" ca="1" si="178"/>
        <v/>
      </c>
      <c r="I157" s="391" t="str">
        <f t="shared" ca="1" si="178"/>
        <v/>
      </c>
      <c r="J157" s="391" t="str">
        <f t="shared" ca="1" si="178"/>
        <v/>
      </c>
      <c r="K157" s="391" t="str">
        <f t="shared" ca="1" si="178"/>
        <v/>
      </c>
      <c r="L157" s="391" t="str">
        <f t="shared" ca="1" si="178"/>
        <v/>
      </c>
      <c r="M157" s="391" t="str">
        <f t="shared" ca="1" si="178"/>
        <v/>
      </c>
      <c r="N157" s="391" t="str">
        <f t="shared" ca="1" si="178"/>
        <v/>
      </c>
      <c r="O157" s="391" t="str">
        <f t="shared" ca="1" si="178"/>
        <v/>
      </c>
      <c r="P157" s="391" t="str">
        <f t="shared" ca="1" si="178"/>
        <v/>
      </c>
      <c r="Q157" s="391" t="str">
        <f t="shared" ca="1" si="178"/>
        <v/>
      </c>
      <c r="R157" s="391" t="str">
        <f t="shared" ca="1" si="178"/>
        <v/>
      </c>
      <c r="S157" s="391" t="str">
        <f t="shared" ca="1" si="178"/>
        <v/>
      </c>
      <c r="T157" s="391" t="str">
        <f t="shared" ca="1" si="178"/>
        <v/>
      </c>
      <c r="U157" s="391" t="str">
        <f t="shared" ca="1" si="178"/>
        <v/>
      </c>
    </row>
    <row r="158" spans="2:21" ht="13" thickBot="1" x14ac:dyDescent="0.45">
      <c r="B158" s="1562"/>
      <c r="C158" s="1565"/>
      <c r="D158" s="418" t="str">
        <f>$D$8</f>
        <v>Débitmètre gravitaire</v>
      </c>
      <c r="E158" s="1559"/>
      <c r="F158" s="419" t="str" cm="1">
        <f t="array" aca="1" ref="F158" ca="1">IFERROR(LOOKUP(MIN(IF(LEFT(G158:U158,10)="Non validé",1,IF(G158:U158="Validé avec réserve",2,IF(G158:U158="Validé",3)))),{1,2,3},{"Non validé","Validé avec réserve","Validé"}),"")</f>
        <v/>
      </c>
      <c r="G158" s="161" t="str">
        <f t="shared" ref="G158:U158" ca="1" si="179">IF(F54&lt;&gt;"",_xlfn.SINGLE(INDIRECT(F54&amp;"!"&amp;$G$8)),"")</f>
        <v/>
      </c>
      <c r="H158" s="161" t="str">
        <f t="shared" ca="1" si="179"/>
        <v/>
      </c>
      <c r="I158" s="161" t="str">
        <f t="shared" ca="1" si="179"/>
        <v/>
      </c>
      <c r="J158" s="161" t="str">
        <f t="shared" ca="1" si="179"/>
        <v/>
      </c>
      <c r="K158" s="161" t="str">
        <f t="shared" ca="1" si="179"/>
        <v/>
      </c>
      <c r="L158" s="161" t="str">
        <f t="shared" ca="1" si="179"/>
        <v/>
      </c>
      <c r="M158" s="161" t="str">
        <f t="shared" ca="1" si="179"/>
        <v/>
      </c>
      <c r="N158" s="161" t="str">
        <f t="shared" ca="1" si="179"/>
        <v/>
      </c>
      <c r="O158" s="161" t="str">
        <f t="shared" ca="1" si="179"/>
        <v/>
      </c>
      <c r="P158" s="161" t="str">
        <f t="shared" ca="1" si="179"/>
        <v/>
      </c>
      <c r="Q158" s="161" t="str">
        <f t="shared" ca="1" si="179"/>
        <v/>
      </c>
      <c r="R158" s="161" t="str">
        <f t="shared" ca="1" si="179"/>
        <v/>
      </c>
      <c r="S158" s="161" t="str">
        <f t="shared" ca="1" si="179"/>
        <v/>
      </c>
      <c r="T158" s="161" t="str">
        <f t="shared" ca="1" si="179"/>
        <v/>
      </c>
      <c r="U158" s="161" t="str">
        <f t="shared" ca="1" si="179"/>
        <v/>
      </c>
    </row>
    <row r="159" spans="2:21" ht="13" thickBot="1" x14ac:dyDescent="0.45">
      <c r="B159" s="1562"/>
      <c r="C159" s="1565"/>
      <c r="D159" s="418" t="s">
        <v>846</v>
      </c>
      <c r="E159" s="1559"/>
      <c r="F159" s="419" t="str" cm="1">
        <f t="array" aca="1" ref="F159" ca="1">IFERROR(LOOKUP(MIN(IF(LEFT(G159:U159,10)="Non validé",1,IF(G159:U159="Validé avec réserve",2,IF(G159:U159="Validé",3)))),{1,2,3},{"Non validé","Validé avec réserve","Validé"}),"")</f>
        <v/>
      </c>
      <c r="G159" s="412" t="str">
        <f ca="1">G157 &amp; G158</f>
        <v/>
      </c>
      <c r="H159" s="412" t="str">
        <f t="shared" ref="H159:U159" ca="1" si="180">H157 &amp; H158</f>
        <v/>
      </c>
      <c r="I159" s="412" t="str">
        <f t="shared" ca="1" si="180"/>
        <v/>
      </c>
      <c r="J159" s="412" t="str">
        <f t="shared" ca="1" si="180"/>
        <v/>
      </c>
      <c r="K159" s="412" t="str">
        <f t="shared" ca="1" si="180"/>
        <v/>
      </c>
      <c r="L159" s="412" t="str">
        <f t="shared" ca="1" si="180"/>
        <v/>
      </c>
      <c r="M159" s="412" t="str">
        <f t="shared" ca="1" si="180"/>
        <v/>
      </c>
      <c r="N159" s="412" t="str">
        <f t="shared" ca="1" si="180"/>
        <v/>
      </c>
      <c r="O159" s="412" t="str">
        <f t="shared" ca="1" si="180"/>
        <v/>
      </c>
      <c r="P159" s="412" t="str">
        <f t="shared" ca="1" si="180"/>
        <v/>
      </c>
      <c r="Q159" s="412" t="str">
        <f t="shared" ca="1" si="180"/>
        <v/>
      </c>
      <c r="R159" s="412" t="str">
        <f t="shared" ca="1" si="180"/>
        <v/>
      </c>
      <c r="S159" s="412" t="str">
        <f t="shared" ca="1" si="180"/>
        <v/>
      </c>
      <c r="T159" s="412" t="str">
        <f t="shared" ca="1" si="180"/>
        <v/>
      </c>
      <c r="U159" s="412" t="str">
        <f t="shared" ca="1" si="180"/>
        <v/>
      </c>
    </row>
    <row r="160" spans="2:21" ht="13" thickBot="1" x14ac:dyDescent="0.45">
      <c r="B160" s="1562"/>
      <c r="C160" s="1565"/>
      <c r="D160" s="418" t="str">
        <f>$D$9</f>
        <v>Préleveur</v>
      </c>
      <c r="E160" s="1559"/>
      <c r="F160" s="419" t="str" cm="1">
        <f t="array" aca="1" ref="F160" ca="1">IFERROR(LOOKUP(MIN(IF(LEFT(G160:U160,10)="Non validé",1,IF(G160:U160="Validé avec réserve",2,IF(G160:U160="Validé",3)))),{1,2,3},{"Non validé","Validé avec réserve","Validé"}),"")</f>
        <v/>
      </c>
      <c r="G160" s="161" t="str">
        <f t="shared" ref="G160:U160" ca="1" si="181">IF(F55&lt;&gt;"",_xlfn.SINGLE(INDIRECT(F55&amp;"!"&amp;$G$9)),"")</f>
        <v/>
      </c>
      <c r="H160" s="161" t="str">
        <f t="shared" ca="1" si="181"/>
        <v/>
      </c>
      <c r="I160" s="161" t="str">
        <f t="shared" ca="1" si="181"/>
        <v/>
      </c>
      <c r="J160" s="161" t="str">
        <f t="shared" ca="1" si="181"/>
        <v/>
      </c>
      <c r="K160" s="161" t="str">
        <f t="shared" ca="1" si="181"/>
        <v/>
      </c>
      <c r="L160" s="161" t="str">
        <f t="shared" ca="1" si="181"/>
        <v/>
      </c>
      <c r="M160" s="161" t="str">
        <f t="shared" ca="1" si="181"/>
        <v/>
      </c>
      <c r="N160" s="161" t="str">
        <f t="shared" ca="1" si="181"/>
        <v/>
      </c>
      <c r="O160" s="161" t="str">
        <f t="shared" ca="1" si="181"/>
        <v/>
      </c>
      <c r="P160" s="161" t="str">
        <f t="shared" ca="1" si="181"/>
        <v/>
      </c>
      <c r="Q160" s="161" t="str">
        <f t="shared" ca="1" si="181"/>
        <v/>
      </c>
      <c r="R160" s="161" t="str">
        <f t="shared" ca="1" si="181"/>
        <v/>
      </c>
      <c r="S160" s="161" t="str">
        <f t="shared" ca="1" si="181"/>
        <v/>
      </c>
      <c r="T160" s="161" t="str">
        <f t="shared" ca="1" si="181"/>
        <v/>
      </c>
      <c r="U160" s="161" t="str">
        <f t="shared" ca="1" si="181"/>
        <v/>
      </c>
    </row>
    <row r="161" spans="2:21" ht="13" thickBot="1" x14ac:dyDescent="0.45">
      <c r="B161" s="1710"/>
      <c r="C161" s="1711"/>
      <c r="D161" s="1712" t="s">
        <v>783</v>
      </c>
      <c r="E161" s="1559"/>
      <c r="F161" s="419" t="str" cm="1">
        <f t="array" aca="1" ref="F161" ca="1">IFERROR(LOOKUP(MIN(IF(LEFT(G161:U161,10)="Non validé",1,IF(G161:U161="Validé avec réserve",2,IF(G161:U161="Validé",3)))),{1,2,3},{"Non validé","Validé avec réserve","Validé"}),"")</f>
        <v/>
      </c>
      <c r="G161" s="1708" t="str">
        <f ca="1">IF(F63&lt;&gt;"",VLOOKUP(F63,Analytique!$X$3:$AD$33,7,FALSE),"")</f>
        <v/>
      </c>
      <c r="H161" s="1708" t="str">
        <f ca="1">IF(G63&lt;&gt;"",VLOOKUP(G63,Analytique!$X$3:$AD$33,7,FALSE),"")</f>
        <v/>
      </c>
      <c r="I161" s="1708" t="str">
        <f ca="1">IF(H63&lt;&gt;"",VLOOKUP(H63,Analytique!$X$3:$AD$33,7,FALSE),"")</f>
        <v/>
      </c>
      <c r="J161" s="1708" t="str">
        <f ca="1">IF(I63&lt;&gt;"",VLOOKUP(I63,Analytique!$X$3:$AD$33,7,FALSE),"")</f>
        <v/>
      </c>
      <c r="K161" s="1708" t="str">
        <f ca="1">IF(J63&lt;&gt;"",VLOOKUP(J63,Analytique!$X$3:$AD$33,7,FALSE),"")</f>
        <v/>
      </c>
      <c r="L161" s="1708" t="str">
        <f ca="1">IF(K63&lt;&gt;"",VLOOKUP(K63,Analytique!$X$3:$AD$33,7,FALSE),"")</f>
        <v/>
      </c>
      <c r="M161" s="1708" t="str">
        <f ca="1">IF(L63&lt;&gt;"",VLOOKUP(L63,Analytique!$X$3:$AD$33,7,FALSE),"")</f>
        <v/>
      </c>
      <c r="N161" s="1708" t="str">
        <f ca="1">IF(M63&lt;&gt;"",VLOOKUP(M63,Analytique!$X$3:$AD$33,7,FALSE),"")</f>
        <v/>
      </c>
      <c r="O161" s="1708" t="str">
        <f ca="1">IF(N63&lt;&gt;"",VLOOKUP(N63,Analytique!$X$3:$AD$33,7,FALSE),"")</f>
        <v/>
      </c>
      <c r="P161" s="1708" t="str">
        <f ca="1">IF(O63&lt;&gt;"",VLOOKUP(O63,Analytique!$X$3:$AD$33,7,FALSE),"")</f>
        <v/>
      </c>
      <c r="Q161" s="1708" t="str">
        <f ca="1">IF(P63&lt;&gt;"",VLOOKUP(P63,Analytique!$X$3:$AD$33,7,FALSE),"")</f>
        <v/>
      </c>
      <c r="R161" s="1708" t="str">
        <f ca="1">IF(Q63&lt;&gt;"",VLOOKUP(Q63,Analytique!$X$3:$AD$33,7,FALSE),"")</f>
        <v/>
      </c>
      <c r="S161" s="1708" t="str">
        <f ca="1">IF(R63&lt;&gt;"",VLOOKUP(R63,Analytique!$X$3:$AD$33,7,FALSE),"")</f>
        <v/>
      </c>
      <c r="T161" s="1708" t="str">
        <f ca="1">IF(S63&lt;&gt;"",VLOOKUP(S63,Analytique!$X$3:$AD$33,7,FALSE),"")</f>
        <v/>
      </c>
      <c r="U161" s="1708" t="str">
        <f ca="1">IF(T63&lt;&gt;"",VLOOKUP(T63,Analytique!$X$3:$AD$33,7,FALSE),"")</f>
        <v/>
      </c>
    </row>
    <row r="162" spans="2:21" ht="13" thickBot="1" x14ac:dyDescent="0.45">
      <c r="B162" s="1563"/>
      <c r="C162" s="1566"/>
      <c r="D162" s="420" t="str">
        <f>$D$10</f>
        <v>Sonde de température</v>
      </c>
      <c r="E162" s="1560"/>
      <c r="F162" s="419" t="str" cm="1">
        <f t="array" aca="1" ref="F162" ca="1">IFERROR(LOOKUP(MIN(IF(LEFT(G162:U162,10)="Non validé",1,IF(G162:U162="Validé avec réserve",2,IF(G162:U162="Validé",3)))),{1,2,3},{"Non validé","Validé avec réserve","Validé"}),"")</f>
        <v/>
      </c>
      <c r="G162" s="397" t="str">
        <f t="shared" ref="G162:U162" ca="1" si="182">IF(F57&lt;&gt;"",_xlfn.SINGLE(INDIRECT(F57&amp;"!"&amp;$G$10)),"")</f>
        <v/>
      </c>
      <c r="H162" s="397" t="str">
        <f t="shared" ca="1" si="182"/>
        <v/>
      </c>
      <c r="I162" s="397" t="str">
        <f t="shared" ca="1" si="182"/>
        <v/>
      </c>
      <c r="J162" s="397" t="str">
        <f t="shared" ca="1" si="182"/>
        <v/>
      </c>
      <c r="K162" s="397" t="str">
        <f t="shared" ca="1" si="182"/>
        <v/>
      </c>
      <c r="L162" s="397" t="str">
        <f t="shared" ca="1" si="182"/>
        <v/>
      </c>
      <c r="M162" s="397" t="str">
        <f t="shared" ca="1" si="182"/>
        <v/>
      </c>
      <c r="N162" s="397" t="str">
        <f t="shared" ca="1" si="182"/>
        <v/>
      </c>
      <c r="O162" s="397" t="str">
        <f t="shared" ca="1" si="182"/>
        <v/>
      </c>
      <c r="P162" s="397" t="str">
        <f t="shared" ca="1" si="182"/>
        <v/>
      </c>
      <c r="Q162" s="397" t="str">
        <f t="shared" ca="1" si="182"/>
        <v/>
      </c>
      <c r="R162" s="397" t="str">
        <f t="shared" ca="1" si="182"/>
        <v/>
      </c>
      <c r="S162" s="397" t="str">
        <f t="shared" ca="1" si="182"/>
        <v/>
      </c>
      <c r="T162" s="397" t="str">
        <f t="shared" ca="1" si="182"/>
        <v/>
      </c>
      <c r="U162" s="397" t="str">
        <f t="shared" ca="1" si="182"/>
        <v/>
      </c>
    </row>
  </sheetData>
  <mergeCells count="68">
    <mergeCell ref="B4:C4"/>
    <mergeCell ref="B5:C7"/>
    <mergeCell ref="E151:E156"/>
    <mergeCell ref="E157:E162"/>
    <mergeCell ref="E115:E120"/>
    <mergeCell ref="E121:E126"/>
    <mergeCell ref="E127:E132"/>
    <mergeCell ref="E133:E138"/>
    <mergeCell ref="E139:E144"/>
    <mergeCell ref="E145:E150"/>
    <mergeCell ref="B151:B156"/>
    <mergeCell ref="C151:C156"/>
    <mergeCell ref="B157:B162"/>
    <mergeCell ref="C157:C162"/>
    <mergeCell ref="E62:E67"/>
    <mergeCell ref="E68:E73"/>
    <mergeCell ref="E74:E79"/>
    <mergeCell ref="E80:E85"/>
    <mergeCell ref="E86:E91"/>
    <mergeCell ref="E92:E97"/>
    <mergeCell ref="B133:B138"/>
    <mergeCell ref="C133:C138"/>
    <mergeCell ref="B139:B144"/>
    <mergeCell ref="C139:C144"/>
    <mergeCell ref="B145:B150"/>
    <mergeCell ref="C145:C150"/>
    <mergeCell ref="B115:B120"/>
    <mergeCell ref="C115:C120"/>
    <mergeCell ref="B121:B126"/>
    <mergeCell ref="C121:C126"/>
    <mergeCell ref="B127:B132"/>
    <mergeCell ref="C127:C132"/>
    <mergeCell ref="B98:B103"/>
    <mergeCell ref="C98:C103"/>
    <mergeCell ref="B104:B109"/>
    <mergeCell ref="C104:C109"/>
    <mergeCell ref="E4:I4"/>
    <mergeCell ref="E12:S12"/>
    <mergeCell ref="E98:E103"/>
    <mergeCell ref="E104:E109"/>
    <mergeCell ref="B80:B85"/>
    <mergeCell ref="C80:C85"/>
    <mergeCell ref="B86:B91"/>
    <mergeCell ref="C86:C91"/>
    <mergeCell ref="B92:B97"/>
    <mergeCell ref="C92:C97"/>
    <mergeCell ref="C53:C57"/>
    <mergeCell ref="B62:B67"/>
    <mergeCell ref="C62:C67"/>
    <mergeCell ref="B68:B73"/>
    <mergeCell ref="C68:C73"/>
    <mergeCell ref="B74:B79"/>
    <mergeCell ref="C74:C79"/>
    <mergeCell ref="B38:B42"/>
    <mergeCell ref="B43:B47"/>
    <mergeCell ref="B48:B52"/>
    <mergeCell ref="B53:B57"/>
    <mergeCell ref="C24:C28"/>
    <mergeCell ref="C29:C33"/>
    <mergeCell ref="C34:C37"/>
    <mergeCell ref="C38:C42"/>
    <mergeCell ref="C43:C47"/>
    <mergeCell ref="C48:C52"/>
    <mergeCell ref="B19:B23"/>
    <mergeCell ref="C19:C23"/>
    <mergeCell ref="B24:B28"/>
    <mergeCell ref="B29:B33"/>
    <mergeCell ref="B34:B37"/>
  </mergeCells>
  <phoneticPr fontId="20" type="noConversion"/>
  <conditionalFormatting sqref="B19:C19">
    <cfRule type="expression" priority="23">
      <formula>IF($C$19="Industrie",1,0)</formula>
    </cfRule>
  </conditionalFormatting>
  <conditionalFormatting sqref="B24:C24">
    <cfRule type="expression" priority="22">
      <formula>IF($C$19="Industrie",1,0)</formula>
    </cfRule>
  </conditionalFormatting>
  <conditionalFormatting sqref="B29:C29">
    <cfRule type="expression" priority="21">
      <formula>IF($C$19="Industrie",1,0)</formula>
    </cfRule>
  </conditionalFormatting>
  <conditionalFormatting sqref="B34:C34">
    <cfRule type="expression" priority="26">
      <formula>IF($C$19="Industrie",1,0)</formula>
    </cfRule>
  </conditionalFormatting>
  <conditionalFormatting sqref="B38:C38">
    <cfRule type="expression" priority="25">
      <formula>IF($C$19="Industrie",1,0)</formula>
    </cfRule>
  </conditionalFormatting>
  <conditionalFormatting sqref="B43:C43">
    <cfRule type="expression" priority="24">
      <formula>IF($C$19="Industrie",1,0)</formula>
    </cfRule>
  </conditionalFormatting>
  <conditionalFormatting sqref="B48:C48">
    <cfRule type="expression" priority="20">
      <formula>IF($C$19="Industrie",1,0)</formula>
    </cfRule>
  </conditionalFormatting>
  <conditionalFormatting sqref="B53:C53">
    <cfRule type="expression" priority="18">
      <formula>IF($C$19="Industrie",1,0)</formula>
    </cfRule>
  </conditionalFormatting>
  <conditionalFormatting sqref="B62:C62">
    <cfRule type="expression" priority="13">
      <formula>IF($C$19="Industrie",1,0)</formula>
    </cfRule>
  </conditionalFormatting>
  <conditionalFormatting sqref="B68:C68">
    <cfRule type="expression" priority="12">
      <formula>IF($C$19="Industrie",1,0)</formula>
    </cfRule>
  </conditionalFormatting>
  <conditionalFormatting sqref="B74:C74">
    <cfRule type="expression" priority="11">
      <formula>IF($C$19="Industrie",1,0)</formula>
    </cfRule>
  </conditionalFormatting>
  <conditionalFormatting sqref="B80:C80">
    <cfRule type="expression" priority="16">
      <formula>IF($C$19="Industrie",1,0)</formula>
    </cfRule>
  </conditionalFormatting>
  <conditionalFormatting sqref="B86:C86">
    <cfRule type="expression" priority="15">
      <formula>IF($C$19="Industrie",1,0)</formula>
    </cfRule>
  </conditionalFormatting>
  <conditionalFormatting sqref="B92:C92">
    <cfRule type="expression" priority="14">
      <formula>IF($C$19="Industrie",1,0)</formula>
    </cfRule>
  </conditionalFormatting>
  <conditionalFormatting sqref="B98:C98">
    <cfRule type="expression" priority="10">
      <formula>IF($C$19="Industrie",1,0)</formula>
    </cfRule>
  </conditionalFormatting>
  <conditionalFormatting sqref="B104:C104">
    <cfRule type="expression" priority="9">
      <formula>IF($C$19="Industrie",1,0)</formula>
    </cfRule>
  </conditionalFormatting>
  <conditionalFormatting sqref="B115:C115">
    <cfRule type="expression" priority="5">
      <formula>IF($C$19="Industrie",1,0)</formula>
    </cfRule>
  </conditionalFormatting>
  <conditionalFormatting sqref="B121:C121">
    <cfRule type="expression" priority="4">
      <formula>IF($C$19="Industrie",1,0)</formula>
    </cfRule>
  </conditionalFormatting>
  <conditionalFormatting sqref="B127:C127">
    <cfRule type="expression" priority="3">
      <formula>IF($C$19="Industrie",1,0)</formula>
    </cfRule>
  </conditionalFormatting>
  <conditionalFormatting sqref="B133:C133">
    <cfRule type="expression" priority="8">
      <formula>IF($C$19="Industrie",1,0)</formula>
    </cfRule>
  </conditionalFormatting>
  <conditionalFormatting sqref="B139:C139">
    <cfRule type="expression" priority="7">
      <formula>IF($C$19="Industrie",1,0)</formula>
    </cfRule>
  </conditionalFormatting>
  <conditionalFormatting sqref="B145:C145">
    <cfRule type="expression" priority="6">
      <formula>IF($C$19="Industrie",1,0)</formula>
    </cfRule>
  </conditionalFormatting>
  <conditionalFormatting sqref="B151:C151">
    <cfRule type="expression" priority="2">
      <formula>IF($C$19="Industrie",1,0)</formula>
    </cfRule>
  </conditionalFormatting>
  <conditionalFormatting sqref="B157:C157">
    <cfRule type="expression" priority="1">
      <formula>IF($C$19="Industrie",1,0)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F72"/>
  <sheetViews>
    <sheetView topLeftCell="C1" workbookViewId="0">
      <selection activeCell="R16" sqref="R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6" width="12.29296875" customWidth="1"/>
    <col min="7" max="7" width="19.5859375" customWidth="1"/>
    <col min="8" max="8" width="6.703125" customWidth="1"/>
    <col min="9" max="9" width="19.1171875" customWidth="1"/>
    <col min="10" max="12" width="16" customWidth="1"/>
  </cols>
  <sheetData>
    <row r="1" spans="1:32" x14ac:dyDescent="0.4">
      <c r="A1" s="430" t="s">
        <v>457</v>
      </c>
      <c r="B1" s="1">
        <f>Descriptif!$AD$2</f>
        <v>13</v>
      </c>
      <c r="C1" s="1">
        <f>Descriptif!$AF$2</f>
        <v>14</v>
      </c>
      <c r="D1" s="430" t="s">
        <v>458</v>
      </c>
      <c r="E1" s="1">
        <f>Descriptif!$AD$3</f>
        <v>33</v>
      </c>
      <c r="F1" s="1">
        <f>Descriptif!$AF$3</f>
        <v>40</v>
      </c>
    </row>
    <row r="2" spans="1:32" x14ac:dyDescent="0.4">
      <c r="A2" t="s">
        <v>822</v>
      </c>
      <c r="B2" s="1">
        <f>Descriptif!$AH$2</f>
        <v>21</v>
      </c>
      <c r="C2" s="1">
        <f>Descriptif!$AI$2</f>
        <v>22</v>
      </c>
      <c r="D2" t="s">
        <v>823</v>
      </c>
      <c r="E2" s="1">
        <f>Descriptif!$AH$3</f>
        <v>47</v>
      </c>
      <c r="F2" s="1">
        <f>Descriptif!$AI$3</f>
        <v>48</v>
      </c>
    </row>
    <row r="3" spans="1:32" x14ac:dyDescent="0.4">
      <c r="A3" s="403" t="s">
        <v>431</v>
      </c>
      <c r="B3" s="1546" t="s">
        <v>245</v>
      </c>
      <c r="C3" s="1546"/>
      <c r="D3" s="1546"/>
      <c r="E3" s="1546"/>
      <c r="F3" s="1546"/>
    </row>
    <row r="4" spans="1:32" x14ac:dyDescent="0.4">
      <c r="A4" s="383"/>
      <c r="B4" s="383" t="s">
        <v>432</v>
      </c>
      <c r="C4" s="383" t="s">
        <v>471</v>
      </c>
      <c r="D4" s="383" t="s">
        <v>472</v>
      </c>
      <c r="E4" s="383" t="s">
        <v>434</v>
      </c>
      <c r="F4" s="383" t="s">
        <v>435</v>
      </c>
    </row>
    <row r="5" spans="1:32" x14ac:dyDescent="0.4">
      <c r="A5" s="383" t="s">
        <v>37</v>
      </c>
      <c r="B5" s="384" t="s">
        <v>516</v>
      </c>
      <c r="C5" s="384" t="s">
        <v>517</v>
      </c>
      <c r="D5" s="384" t="s">
        <v>518</v>
      </c>
      <c r="E5" s="384" t="s">
        <v>519</v>
      </c>
      <c r="F5" s="384" t="s">
        <v>520</v>
      </c>
    </row>
    <row r="6" spans="1:32" x14ac:dyDescent="0.4">
      <c r="A6" s="383" t="str">
        <f>PARAM!$C4</f>
        <v>Débitmètre en charge</v>
      </c>
      <c r="B6" s="382" t="s">
        <v>519</v>
      </c>
      <c r="C6" s="382" t="s">
        <v>530</v>
      </c>
      <c r="D6" s="382" t="s">
        <v>531</v>
      </c>
      <c r="E6" s="382" t="s">
        <v>532</v>
      </c>
      <c r="F6" s="382" t="s">
        <v>533</v>
      </c>
    </row>
    <row r="7" spans="1:32" x14ac:dyDescent="0.4">
      <c r="A7" s="383" t="str">
        <f>PARAM!$C5</f>
        <v>Débitmètre gravitaire</v>
      </c>
      <c r="B7" s="382" t="s">
        <v>534</v>
      </c>
      <c r="C7" s="382" t="s">
        <v>535</v>
      </c>
      <c r="D7" s="382" t="s">
        <v>536</v>
      </c>
      <c r="E7" s="382" t="s">
        <v>433</v>
      </c>
      <c r="F7" s="382" t="s">
        <v>537</v>
      </c>
    </row>
    <row r="8" spans="1:32" x14ac:dyDescent="0.4">
      <c r="A8" s="383" t="str">
        <f>PARAM!$C6</f>
        <v>Préleveur</v>
      </c>
      <c r="B8" s="382" t="s">
        <v>525</v>
      </c>
      <c r="C8" s="382" t="s">
        <v>526</v>
      </c>
      <c r="D8" s="382" t="s">
        <v>527</v>
      </c>
      <c r="E8" s="382" t="s">
        <v>528</v>
      </c>
      <c r="F8" s="382" t="s">
        <v>529</v>
      </c>
    </row>
    <row r="9" spans="1:32" x14ac:dyDescent="0.4">
      <c r="A9" s="383" t="str">
        <f>PARAM!$C7</f>
        <v>Sonde de température</v>
      </c>
      <c r="B9" s="382" t="s">
        <v>521</v>
      </c>
      <c r="C9" s="382" t="s">
        <v>522</v>
      </c>
      <c r="D9" s="382" t="s">
        <v>523</v>
      </c>
      <c r="E9" s="382" t="s">
        <v>436</v>
      </c>
      <c r="F9" s="382" t="s">
        <v>524</v>
      </c>
    </row>
    <row r="10" spans="1:32" x14ac:dyDescent="0.4">
      <c r="C10" s="399"/>
    </row>
    <row r="11" spans="1:32" x14ac:dyDescent="0.4">
      <c r="C11" s="399"/>
    </row>
    <row r="12" spans="1:32" x14ac:dyDescent="0.4">
      <c r="B12">
        <f>$B$2+A42-1</f>
        <v>47</v>
      </c>
      <c r="C12" s="399"/>
    </row>
    <row r="13" spans="1:32" s="433" customFormat="1" ht="13" thickBot="1" x14ac:dyDescent="0.45">
      <c r="A13" s="432" t="s">
        <v>455</v>
      </c>
      <c r="C13" s="434"/>
    </row>
    <row r="14" spans="1:32" s="385" customFormat="1" ht="17.45" customHeight="1" x14ac:dyDescent="0.4">
      <c r="A14" s="1547" t="s">
        <v>448</v>
      </c>
      <c r="B14" s="1548"/>
      <c r="C14" s="1547" t="s">
        <v>465</v>
      </c>
      <c r="D14" s="1549"/>
      <c r="E14" s="1549"/>
      <c r="F14" s="1548"/>
      <c r="G14" s="1547" t="s">
        <v>466</v>
      </c>
      <c r="H14" s="1549"/>
      <c r="I14" s="1549"/>
      <c r="J14" s="1549"/>
      <c r="K14" s="801"/>
      <c r="L14" s="436" t="s">
        <v>475</v>
      </c>
      <c r="M14" s="1543" t="s">
        <v>64</v>
      </c>
      <c r="N14" s="1543"/>
      <c r="O14" s="1543" t="s">
        <v>242</v>
      </c>
      <c r="P14" s="1543"/>
      <c r="Q14" s="1543" t="s">
        <v>467</v>
      </c>
      <c r="R14" s="1543"/>
      <c r="S14" s="1543" t="s">
        <v>470</v>
      </c>
      <c r="T14" s="1544"/>
      <c r="U14" s="1545" t="s">
        <v>476</v>
      </c>
      <c r="V14" s="1543"/>
      <c r="W14" s="1543"/>
      <c r="X14" s="1543"/>
      <c r="Y14" s="1543"/>
      <c r="Z14" s="1543"/>
      <c r="AA14" s="1543"/>
      <c r="AB14" s="1543"/>
      <c r="AC14" s="1543"/>
      <c r="AD14" s="1543"/>
      <c r="AE14" s="1543"/>
      <c r="AF14" s="1544"/>
    </row>
    <row r="15" spans="1:32" s="430" customFormat="1" x14ac:dyDescent="0.4">
      <c r="A15" s="437" t="s">
        <v>463</v>
      </c>
      <c r="B15" s="438" t="s">
        <v>464</v>
      </c>
      <c r="C15" s="439" t="s">
        <v>538</v>
      </c>
      <c r="D15" s="431" t="s">
        <v>456</v>
      </c>
      <c r="E15" s="431" t="s">
        <v>579</v>
      </c>
      <c r="F15" s="596" t="s">
        <v>580</v>
      </c>
      <c r="G15" s="439" t="s">
        <v>459</v>
      </c>
      <c r="H15" s="431" t="s">
        <v>460</v>
      </c>
      <c r="I15" s="431" t="s">
        <v>461</v>
      </c>
      <c r="J15" s="431" t="s">
        <v>462</v>
      </c>
      <c r="K15" s="431" t="s">
        <v>825</v>
      </c>
      <c r="L15" s="444" t="s">
        <v>468</v>
      </c>
      <c r="M15" s="443" t="s">
        <v>468</v>
      </c>
      <c r="N15" s="443" t="s">
        <v>469</v>
      </c>
      <c r="O15" s="443" t="s">
        <v>468</v>
      </c>
      <c r="P15" s="443" t="s">
        <v>469</v>
      </c>
      <c r="Q15" s="443" t="s">
        <v>468</v>
      </c>
      <c r="R15" s="443" t="s">
        <v>469</v>
      </c>
      <c r="S15" s="443" t="s">
        <v>468</v>
      </c>
      <c r="T15" s="445" t="s">
        <v>469</v>
      </c>
      <c r="U15" s="1808" t="s">
        <v>473</v>
      </c>
      <c r="V15" s="1809" t="s">
        <v>474</v>
      </c>
      <c r="W15" s="1809">
        <v>1</v>
      </c>
      <c r="X15" s="1809">
        <v>2</v>
      </c>
      <c r="Y15" s="1809">
        <v>3</v>
      </c>
      <c r="Z15" s="1809">
        <v>4</v>
      </c>
      <c r="AA15" s="1809">
        <v>5</v>
      </c>
      <c r="AB15" s="1809">
        <v>6</v>
      </c>
      <c r="AC15" s="1809">
        <v>7</v>
      </c>
      <c r="AD15" s="1809">
        <v>8</v>
      </c>
      <c r="AE15" s="1809">
        <v>9</v>
      </c>
      <c r="AF15" s="1810">
        <v>10</v>
      </c>
    </row>
    <row r="16" spans="1:32" x14ac:dyDescent="0.4">
      <c r="A16" s="381">
        <v>1</v>
      </c>
      <c r="B16" s="435" t="b">
        <f>IF(OR(AND(($B$1+A16-1)&gt;=$B$1,($B$1+A16-1)&lt;$C$1),AND(($B$1+A16-1)&gt;=$E$1,($B$1+A16-1)&lt;$F$1),AND(($B$1+A16-1)&gt;=$B$2,($B$1+A16-1)&lt;$C$2),AND(($B$1+A16-1)&gt;=$E$2,($B$1+A16-1)&lt;$F$2)),TRUE,FALSE)</f>
        <v>1</v>
      </c>
      <c r="C16" s="440" t="str">
        <f ca="1">IF(
    AND(
        $B16,
        OR(
            _xlfn.SINGLE(INDIRECT("Descriptif!$M"&amp;($B$1+$A16-1)))="Préleveur",
            LEFT(_xlfn.SINGLE(INDIRECT("Descriptif!$M"&amp;($B$1+$A16-1))),5)="Sonde",
            LEFT(_xlfn.SINGLE(INDIRECT("Descriptif!$M"&amp;($B$1+$A16-1))),10)="Débitmètre",
            LEFT(_xlfn.SINGLE(INDIRECT("Descriptif!$F"&amp;($B$1+$A16-1))),6)="PLUVIO"
        )
    ),
    _xlfn.SINGLE(INDIRECT("Descriptif!$"&amp;C$15&amp;($B$1 +$A16 -1))),
    ""
)</f>
        <v>A1_DO1_Q_Grav</v>
      </c>
      <c r="D16" s="818" t="str">
        <f ca="1">IF(
    AND(
        $B16,
        OR(
            _xlfn.SINGLE(INDIRECT("Descriptif!$M"&amp;($B$1+$A16-1)))="Préleveur",
            LEFT(_xlfn.SINGLE(INDIRECT("Descriptif!$M"&amp;($B$1+$A16-1))),5)="Sonde",
            LEFT(_xlfn.SINGLE(INDIRECT("Descriptif!$M"&amp;($B$1+$A16-1))),10)="Débitmètre",
            LEFT(_xlfn.SINGLE(INDIRECT("Descriptif!$F"&amp;($B$1+$A16-1))),6)="PLUVIO"
        )
    ),
    IF(
        LEFT(_xlfn.SINGLE(INDIRECT("Descriptif!$F"&amp;($B$1+$A16-1))),11)="PLUVIO_STEU",
        "A3",
        IF(
            LEFT(_xlfn.SINGLE(INDIRECT("Descriptif!$F"&amp;($B$1+$A16-1))),10)="PLUVIO_SCL",
            "A1",
            _xlfn.SINGLE(INDIRECT("Descriptif!$"&amp;D$15&amp;($B$1 +$A16 -1))
        ))
    ),
    ""
)</f>
        <v>A1</v>
      </c>
      <c r="E16" s="818"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IF(LEFT(_xlfn.SINGLE(INDIRECT("Descriptif!$F"&amp;($B$1+$A16-1))),6)="PLUVIO","Pluviomètre",_xlfn.SINGLE(INDIRECT("Descriptif!$"&amp;E$15&amp;($B$1 +$A16 -1)))),
    ""
)</f>
        <v>Débitmètre gravitaire</v>
      </c>
      <c r="F16" s="210"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IF(LEFT(_xlfn.SINGLE(INDIRECT("Descriptif!$F"&amp;($B$1+$A16-1))),6)="PLUVIO","Pluviomètre",_xlfn.SINGLE(INDIRECT("Descriptif!$"&amp;F$15&amp;($B$1 +$A16 -1)))),
    ""
)</f>
        <v>Seuil</v>
      </c>
      <c r="G16" s="442" t="str" cm="1">
        <f t="array" aca="1" ref="G16" ca="1">IFERROR(INDEX($C$16:$C$116,SMALL(IF($C$16:$C$116&lt;&gt;"",ROW($C$16:$C$116)-ROW($C$16)+1),ROW(A1))),"")</f>
        <v>A1_DO1_Q_Grav</v>
      </c>
      <c r="H16" s="441" t="str" cm="1">
        <f t="array" aca="1" ref="H16" ca="1">IFERROR(INDEX($D$16:$D$116,SMALL(IF($D$16:$D$116&lt;&gt;"",ROW($D$16:$D$116)-ROW($D$16)+1),ROW(A1))),"")</f>
        <v>A1</v>
      </c>
      <c r="I16" s="441" t="str" cm="1">
        <f t="array" aca="1" ref="I16" ca="1">IFERROR(INDEX($E$16:$E$116,SMALL(IF($E$16:$E$116&lt;&gt;"",ROW($E$16:$E$116)-ROW($E$16)+1),ROW(A1))),"")</f>
        <v>Débitmètre gravitaire</v>
      </c>
      <c r="J16" s="441" t="str" cm="1">
        <f t="array" aca="1" ref="J16" ca="1">IFERROR(INDEX($F$16:$F$116,SMALL(IF($F$16:$F$116&lt;&gt;"",ROW($F$16:$F$116)-ROW($F$16)+1),ROW(A1))),"")</f>
        <v>Seuil</v>
      </c>
      <c r="K16" s="441" t="str">
        <f ca="1">G16</f>
        <v>A1_DO1_Q_Grav</v>
      </c>
      <c r="L16" s="446" t="str">
        <f ca="1">IF($I16&lt;&gt;"",VLOOKUP($I16,$A$5:$F$9,2,FALSE),"")</f>
        <v>D40</v>
      </c>
      <c r="M16" s="447" t="str">
        <f ca="1">IF($I16&lt;&gt;"",VLOOKUP($I16,$A$5:$F$9,3,FALSE),"")</f>
        <v>P53</v>
      </c>
      <c r="N16" s="447">
        <f t="shared" ref="N16:N72" ca="1" si="0">IF($I16&lt;&gt;"",IF(_xlfn.SINGLE(INDIRECT($G16&amp;"!"&amp;$M16))&lt;&gt;"",_xlfn.SINGLE(INDIRECT($G16&amp;"!"&amp;$M16)),""),"")</f>
        <v>100</v>
      </c>
      <c r="O16" s="447" t="str">
        <f ca="1">IF($I16&lt;&gt;"",VLOOKUP($I16,$A$5:$F$9,4,FALSE),"")</f>
        <v>N53</v>
      </c>
      <c r="P16" s="447" t="str">
        <f t="shared" ref="P16:P72" ca="1" si="1">IF($I16&lt;&gt;"",IF(_xlfn.SINGLE(INDIRECT($G16&amp;"!"&amp;$O16))&lt;&gt;"",_xlfn.SINGLE(INDIRECT($G16&amp;"!"&amp;$O16)),""),"")</f>
        <v>Validé</v>
      </c>
      <c r="Q16" s="447" t="str">
        <f ca="1">IF($I16&lt;&gt;"",VLOOKUP($I16,$A$5:$F$9,5,FALSE),"")</f>
        <v>D53</v>
      </c>
      <c r="R16" s="447" t="str">
        <f t="shared" ref="R16:R72" ca="1" si="2">IF($I16&lt;&gt;"",IF(_xlfn.SINGLE(INDIRECT($G16&amp;"!"&amp;$Q16))&lt;&gt;"",_xlfn.SINGLE(INDIRECT($G16&amp;"!"&amp;$Q16)),""),"")</f>
        <v>aaaaaaaa</v>
      </c>
      <c r="S16" s="447" t="str">
        <f ca="1">IF($I16&lt;&gt;"",VLOOKUP($I16,$A$5:$F$9,6,FALSE),"")</f>
        <v>C57</v>
      </c>
      <c r="T16" s="448" t="str">
        <f t="shared" ref="T16:T72" ca="1" si="3">IF($I16&lt;&gt;"",IF(_xlfn.SINGLE(INDIRECT($G16&amp;"!"&amp;$S16))&lt;&gt;"",_xlfn.SINGLE(INDIRECT($G16&amp;"!"&amp;$S16)),""),"")</f>
        <v xml:space="preserve">
</v>
      </c>
      <c r="U16" s="1811" t="str">
        <f ca="1">LEFT($O16,1)</f>
        <v>N</v>
      </c>
      <c r="V16" s="1812" t="str">
        <f ca="1">RIGHT($L16,2)</f>
        <v>40</v>
      </c>
      <c r="W16" s="1813" t="str">
        <f ca="1">IF($G16&lt;&gt;"",IF(_xlfn.SINGLE(INDIRECT($G16&amp;"!"&amp;$U16&amp;($V16+W$15+1)))&lt;&gt;"",_xlfn.SINGLE(INDIRECT($G16&amp;"!"&amp;$U16&amp;($V16+W$15+1))),""),"")</f>
        <v>Validé</v>
      </c>
      <c r="X16" s="1813" t="str">
        <f t="shared" ref="X16:AF31" ca="1" si="4">IF($G16&lt;&gt;"",IF(_xlfn.SINGLE(INDIRECT($G16&amp;"!"&amp;$U16&amp;($V16+X$15+1)))&lt;&gt;"",_xlfn.SINGLE(INDIRECT($G16&amp;"!"&amp;$U16&amp;($V16+X$15+1))),""),"")</f>
        <v>Validé</v>
      </c>
      <c r="Y16" s="1813" t="str">
        <f t="shared" ca="1" si="4"/>
        <v>Validé</v>
      </c>
      <c r="Z16" s="1813" t="str">
        <f t="shared" ca="1" si="4"/>
        <v>Validé</v>
      </c>
      <c r="AA16" s="1813" t="str">
        <f t="shared" ca="1" si="4"/>
        <v>Validé</v>
      </c>
      <c r="AB16" s="1813" t="str">
        <f t="shared" ca="1" si="4"/>
        <v>Validé</v>
      </c>
      <c r="AC16" s="1813" t="str">
        <f t="shared" ca="1" si="4"/>
        <v>Validé</v>
      </c>
      <c r="AD16" s="1813" t="str">
        <f t="shared" ca="1" si="4"/>
        <v>Validé</v>
      </c>
      <c r="AE16" s="1813" t="str">
        <f t="shared" ca="1" si="4"/>
        <v>Validé</v>
      </c>
      <c r="AF16" s="1814" t="str">
        <f t="shared" ca="1" si="4"/>
        <v>Oui</v>
      </c>
    </row>
    <row r="17" spans="1:32" x14ac:dyDescent="0.4">
      <c r="A17" s="381">
        <v>2</v>
      </c>
      <c r="B17" s="435" t="b">
        <f t="shared" ref="B17:B72" si="5">IF(OR(AND(($B$1+A17-1)&gt;=$B$1,($B$1+A17-1)&lt;$C$1),AND(($B$1+A17-1)&gt;=$E$1,($B$1+A17-1)&lt;$F$1),AND(($B$1+A17-1)&gt;=$B$2,($B$1+A17-1)&lt;$C$2),AND(($B$1+A17-1)&gt;=$E$2,($B$1+A17-1)&lt;$F$2)),TRUE,FALSE)</f>
        <v>0</v>
      </c>
      <c r="C17" s="440" t="str">
        <f t="shared" ref="C17:C72" ca="1" si="6">IF(
    AND(
        $B17,
        OR(
            _xlfn.SINGLE(INDIRECT("Descriptif!$M"&amp;($B$1+$A17-1)))="Préleveur",
            LEFT(_xlfn.SINGLE(INDIRECT("Descriptif!$M"&amp;($B$1+$A17-1))),5)="Sonde",
            LEFT(_xlfn.SINGLE(INDIRECT("Descriptif!$M"&amp;($B$1+$A17-1))),10)="Débitmètre",
            LEFT(_xlfn.SINGLE(INDIRECT("Descriptif!$F"&amp;($B$1+$A17-1))),6)="PLUVIO"
        )
    ),
    _xlfn.SINGLE(INDIRECT("Descriptif!$"&amp;C$15&amp;($B$1 +$A17 -1))),
    ""
)</f>
        <v/>
      </c>
      <c r="D17" s="818" t="str">
        <f t="shared" ref="D17:D72" ca="1" si="7">IF(
    AND(
        $B17,
        OR(
            _xlfn.SINGLE(INDIRECT("Descriptif!$M"&amp;($B$1+$A17-1)))="Préleveur",
            LEFT(_xlfn.SINGLE(INDIRECT("Descriptif!$M"&amp;($B$1+$A17-1))),5)="Sonde",
            LEFT(_xlfn.SINGLE(INDIRECT("Descriptif!$M"&amp;($B$1+$A17-1))),10)="Débitmètre",
            LEFT(_xlfn.SINGLE(INDIRECT("Descriptif!$F"&amp;($B$1+$A17-1))),6)="PLUVIO"
        )
    ),
    IF(
        LEFT(_xlfn.SINGLE(INDIRECT("Descriptif!$F"&amp;($B$1+$A17-1))),11)="PLUVIO_STEU",
        "A3",
        IF(
            LEFT(_xlfn.SINGLE(INDIRECT("Descriptif!$F"&amp;($B$1+$A17-1))),10)="PLUVIO_SCL",
            "A1",
            _xlfn.SINGLE(INDIRECT("Descriptif!$"&amp;D$15&amp;($B$1 +$A17 -1))
        ))
    ),
    ""
)</f>
        <v/>
      </c>
      <c r="E17" s="818" t="str">
        <f t="shared" ref="E17:E72" ca="1" si="8">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IF(LEFT(_xlfn.SINGLE(INDIRECT("Descriptif!$F"&amp;($B$1+$A17-1))),6)="PLUVIO","Pluviomètre",_xlfn.SINGLE(INDIRECT("Descriptif!$"&amp;E$15&amp;($B$1 +$A17 -1)))),
    ""
)</f>
        <v/>
      </c>
      <c r="F17" s="210" t="str">
        <f t="shared" ref="F17:F72" ca="1" si="9">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IF(LEFT(_xlfn.SINGLE(INDIRECT("Descriptif!$F"&amp;($B$1+$A17-1))),6)="PLUVIO","Pluviomètre",_xlfn.SINGLE(INDIRECT("Descriptif!$"&amp;F$15&amp;($B$1 +$A17 -1)))),
    ""
)</f>
        <v/>
      </c>
      <c r="G17" s="442" t="str" cm="1">
        <f t="array" aca="1" ref="G17" ca="1">IFERROR(INDEX($C$16:$C$116,SMALL(IF($C$16:$C$116&lt;&gt;"",ROW($C$16:$C$116)-ROW($C$16)+1),ROW(A2))),"")</f>
        <v>PLUVIO_SCL_ooo</v>
      </c>
      <c r="H17" s="441" t="str" cm="1">
        <f t="array" aca="1" ref="H17" ca="1">IFERROR(INDEX($D$16:$D$116,SMALL(IF($D$16:$D$116&lt;&gt;"",ROW($D$16:$D$116)-ROW($D$16)+1),ROW(A2))),"")</f>
        <v>A1</v>
      </c>
      <c r="I17" s="441" t="str" cm="1">
        <f t="array" aca="1" ref="I17" ca="1">IFERROR(INDEX($E$16:$E$116,SMALL(IF($E$16:$E$116&lt;&gt;"",ROW($E$16:$E$116)-ROW($E$16)+1),ROW(A2))),"")</f>
        <v>Pluviomètre</v>
      </c>
      <c r="J17" s="441" t="str" cm="1">
        <f t="array" aca="1" ref="J17" ca="1">IFERROR(INDEX($F$16:$F$116,SMALL(IF($F$16:$F$116&lt;&gt;"",ROW($F$16:$F$116)-ROW($F$16)+1),ROW(A2))),"")</f>
        <v>Pluviomètre</v>
      </c>
      <c r="K17" s="441" t="str">
        <f t="shared" ref="K17:K72" ca="1" si="10">G17</f>
        <v>PLUVIO_SCL_ooo</v>
      </c>
      <c r="L17" s="446" t="str">
        <f t="shared" ref="L17:L72" ca="1" si="11">IF($I17&lt;&gt;"",VLOOKUP($I17,$A$5:$F$9,2,FALSE),"")</f>
        <v>D24</v>
      </c>
      <c r="M17" s="447" t="str">
        <f t="shared" ref="M17:M72" ca="1" si="12">IF($I17&lt;&gt;"",VLOOKUP($I17,$A$5:$F$9,3,FALSE),"")</f>
        <v>P32</v>
      </c>
      <c r="N17" s="447">
        <f t="shared" ca="1" si="0"/>
        <v>0</v>
      </c>
      <c r="O17" s="447" t="str">
        <f t="shared" ref="O17:O72" ca="1" si="13">IF($I17&lt;&gt;"",VLOOKUP($I17,$A$5:$F$9,4,FALSE),"")</f>
        <v>N32</v>
      </c>
      <c r="P17" s="447" t="str">
        <f t="shared" ca="1" si="1"/>
        <v/>
      </c>
      <c r="Q17" s="447" t="str">
        <f t="shared" ref="Q17:Q72" ca="1" si="14">IF($I17&lt;&gt;"",VLOOKUP($I17,$A$5:$F$9,5,FALSE),"")</f>
        <v>D32</v>
      </c>
      <c r="R17" s="447" t="str">
        <f t="shared" ca="1" si="2"/>
        <v/>
      </c>
      <c r="S17" s="447" t="str">
        <f t="shared" ref="S17:S72" ca="1" si="15">IF($I17&lt;&gt;"",VLOOKUP($I17,$A$5:$F$9,6,FALSE),"")</f>
        <v>C36</v>
      </c>
      <c r="T17" s="448" t="str">
        <f t="shared" ca="1" si="3"/>
        <v/>
      </c>
      <c r="U17" s="1811" t="str">
        <f t="shared" ref="U17:U72" ca="1" si="16">LEFT($O17,1)</f>
        <v>N</v>
      </c>
      <c r="V17" s="1812" t="str">
        <f t="shared" ref="V17:V72" ca="1" si="17">RIGHT($L17,2)</f>
        <v>24</v>
      </c>
      <c r="W17" s="1813" t="str">
        <f t="shared" ref="W17:AF53" ca="1" si="18">IF($G17&lt;&gt;"",IF(_xlfn.SINGLE(INDIRECT($G17&amp;"!"&amp;$U17&amp;($V17+W$15+1)))&lt;&gt;"",_xlfn.SINGLE(INDIRECT($G17&amp;"!"&amp;$U17&amp;($V17+W$15+1))),""),"")</f>
        <v/>
      </c>
      <c r="X17" s="1813" t="str">
        <f t="shared" ca="1" si="4"/>
        <v>Non contrôlé</v>
      </c>
      <c r="Y17" s="1813" t="str">
        <f t="shared" ca="1" si="4"/>
        <v/>
      </c>
      <c r="Z17" s="1813" t="str">
        <f t="shared" ca="1" si="4"/>
        <v/>
      </c>
      <c r="AA17" s="1813" t="str">
        <f t="shared" ca="1" si="4"/>
        <v>Non contrôlé</v>
      </c>
      <c r="AB17" s="1813" t="str">
        <f t="shared" ca="1" si="4"/>
        <v>Evaluation finale</v>
      </c>
      <c r="AC17" s="1813" t="str">
        <f t="shared" ca="1" si="4"/>
        <v/>
      </c>
      <c r="AD17" s="1813" t="str">
        <f t="shared" ca="1" si="4"/>
        <v/>
      </c>
      <c r="AE17" s="1813" t="str">
        <f t="shared" ca="1" si="4"/>
        <v/>
      </c>
      <c r="AF17" s="1814" t="str">
        <f t="shared" ca="1" si="4"/>
        <v/>
      </c>
    </row>
    <row r="18" spans="1:32" x14ac:dyDescent="0.4">
      <c r="A18" s="381">
        <v>3</v>
      </c>
      <c r="B18" s="435" t="b">
        <f t="shared" si="5"/>
        <v>0</v>
      </c>
      <c r="C18" s="440" t="str">
        <f t="shared" ca="1" si="6"/>
        <v/>
      </c>
      <c r="D18" s="818" t="str">
        <f t="shared" ca="1" si="7"/>
        <v/>
      </c>
      <c r="E18" s="818" t="str">
        <f t="shared" ca="1" si="8"/>
        <v/>
      </c>
      <c r="F18" s="210" t="str">
        <f t="shared" ca="1" si="9"/>
        <v/>
      </c>
      <c r="G18" s="442" t="str" cm="1">
        <f t="array" aca="1" ref="G18" ca="1">IFERROR(INDEX($C$16:$C$116,SMALL(IF($C$16:$C$116&lt;&gt;"",ROW($C$16:$C$116)-ROW($C$16)+1),ROW(A3))),"")</f>
        <v>A2_P100_Q_Grav</v>
      </c>
      <c r="H18" s="441" t="str" cm="1">
        <f t="array" aca="1" ref="H18" ca="1">IFERROR(INDEX($D$16:$D$116,SMALL(IF($D$16:$D$116&lt;&gt;"",ROW($D$16:$D$116)-ROW($D$16)+1),ROW(A3))),"")</f>
        <v>A2</v>
      </c>
      <c r="I18" s="441" t="str" cm="1">
        <f t="array" aca="1" ref="I18" ca="1">IFERROR(INDEX($E$16:$E$116,SMALL(IF($E$16:$E$116&lt;&gt;"",ROW($E$16:$E$116)-ROW($E$16)+1),ROW(A3))),"")</f>
        <v>Débitmètre gravitaire</v>
      </c>
      <c r="J18" s="441" t="str" cm="1">
        <f t="array" aca="1" ref="J18" ca="1">IFERROR(INDEX($F$16:$F$116,SMALL(IF($F$16:$F$116&lt;&gt;"",ROW($F$16:$F$116)-ROW($F$16)+1),ROW(A3))),"")</f>
        <v>Hauteur/Vitesse</v>
      </c>
      <c r="K18" s="441" t="str">
        <f t="shared" ca="1" si="10"/>
        <v>A2_P100_Q_Grav</v>
      </c>
      <c r="L18" s="446" t="str">
        <f t="shared" ca="1" si="11"/>
        <v>D40</v>
      </c>
      <c r="M18" s="447" t="str">
        <f t="shared" ca="1" si="12"/>
        <v>P53</v>
      </c>
      <c r="N18" s="447">
        <f t="shared" ca="1" si="0"/>
        <v>80</v>
      </c>
      <c r="O18" s="447" t="str">
        <f t="shared" ca="1" si="13"/>
        <v>N53</v>
      </c>
      <c r="P18" s="447" t="str">
        <f t="shared" ca="1" si="1"/>
        <v>Validé avec réserve</v>
      </c>
      <c r="Q18" s="447" t="str">
        <f t="shared" ca="1" si="14"/>
        <v>D53</v>
      </c>
      <c r="R18" s="447" t="str">
        <f t="shared" ca="1" si="2"/>
        <v/>
      </c>
      <c r="S18" s="447" t="str">
        <f t="shared" ca="1" si="15"/>
        <v>C57</v>
      </c>
      <c r="T18" s="448" t="str">
        <f t="shared" ca="1" si="3"/>
        <v xml:space="preserve">En l'absence
</v>
      </c>
      <c r="U18" s="1811" t="str">
        <f t="shared" ca="1" si="16"/>
        <v>N</v>
      </c>
      <c r="V18" s="1812" t="str">
        <f t="shared" ca="1" si="17"/>
        <v>40</v>
      </c>
      <c r="W18" s="1813" t="str">
        <f t="shared" ca="1" si="18"/>
        <v>Validé</v>
      </c>
      <c r="X18" s="1813" t="str">
        <f t="shared" ca="1" si="4"/>
        <v>Validé</v>
      </c>
      <c r="Y18" s="1813" t="str">
        <f t="shared" ca="1" si="4"/>
        <v>Validé</v>
      </c>
      <c r="Z18" s="1813" t="str">
        <f t="shared" ca="1" si="4"/>
        <v>Validé</v>
      </c>
      <c r="AA18" s="1813" t="str">
        <f t="shared" ca="1" si="4"/>
        <v>Validé</v>
      </c>
      <c r="AB18" s="1813" t="str">
        <f t="shared" ca="1" si="4"/>
        <v>Validé</v>
      </c>
      <c r="AC18" s="1813" t="str">
        <f t="shared" ca="1" si="4"/>
        <v>Non contrôlé</v>
      </c>
      <c r="AD18" s="1813" t="str">
        <f t="shared" ca="1" si="4"/>
        <v>Non contrôlé</v>
      </c>
      <c r="AE18" s="1813" t="str">
        <f t="shared" ca="1" si="4"/>
        <v>Non validé</v>
      </c>
      <c r="AF18" s="1814" t="str">
        <f t="shared" ca="1" si="4"/>
        <v>Oui</v>
      </c>
    </row>
    <row r="19" spans="1:32" x14ac:dyDescent="0.4">
      <c r="A19" s="381">
        <v>4</v>
      </c>
      <c r="B19" s="435" t="b">
        <f t="shared" si="5"/>
        <v>0</v>
      </c>
      <c r="C19" s="440" t="str">
        <f t="shared" ca="1" si="6"/>
        <v/>
      </c>
      <c r="D19" s="818" t="str">
        <f t="shared" ca="1" si="7"/>
        <v/>
      </c>
      <c r="E19" s="818" t="str">
        <f t="shared" ca="1" si="8"/>
        <v/>
      </c>
      <c r="F19" s="210" t="str">
        <f t="shared" ca="1" si="9"/>
        <v/>
      </c>
      <c r="G19" s="442" t="str" cm="1">
        <f t="array" aca="1" ref="G19" ca="1">IFERROR(INDEX($C$16:$C$116,SMALL(IF($C$16:$C$116&lt;&gt;"",ROW($C$16:$C$116)-ROW($C$16)+1),ROW(A4))),"")</f>
        <v>A3_P102_Q_DEM</v>
      </c>
      <c r="H19" s="441" t="str" cm="1">
        <f t="array" aca="1" ref="H19" ca="1">IFERROR(INDEX($D$16:$D$116,SMALL(IF($D$16:$D$116&lt;&gt;"",ROW($D$16:$D$116)-ROW($D$16)+1),ROW(A4))),"")</f>
        <v>A3</v>
      </c>
      <c r="I19" s="441" t="str" cm="1">
        <f t="array" aca="1" ref="I19" ca="1">IFERROR(INDEX($E$16:$E$116,SMALL(IF($E$16:$E$116&lt;&gt;"",ROW($E$16:$E$116)-ROW($E$16)+1),ROW(A4))),"")</f>
        <v>Débitmètre en charge</v>
      </c>
      <c r="J19" s="441" t="str" cm="1">
        <f t="array" aca="1" ref="J19" ca="1">IFERROR(INDEX($F$16:$F$116,SMALL(IF($F$16:$F$116&lt;&gt;"",ROW($F$16:$F$116)-ROW($F$16)+1),ROW(A4))),"")</f>
        <v>Débitmètre électromagnétique (eau)</v>
      </c>
      <c r="K19" s="441" t="str">
        <f t="shared" ca="1" si="10"/>
        <v>A3_P102_Q_DEM</v>
      </c>
      <c r="L19" s="446" t="str">
        <f t="shared" ca="1" si="11"/>
        <v>D32</v>
      </c>
      <c r="M19" s="447" t="str">
        <f t="shared" ca="1" si="12"/>
        <v>P45</v>
      </c>
      <c r="N19" s="447">
        <f t="shared" ca="1" si="0"/>
        <v>60</v>
      </c>
      <c r="O19" s="447" t="str">
        <f t="shared" ca="1" si="13"/>
        <v>N45</v>
      </c>
      <c r="P19" s="447" t="str">
        <f t="shared" ca="1" si="1"/>
        <v>Non Validé</v>
      </c>
      <c r="Q19" s="447" t="str">
        <f t="shared" ca="1" si="14"/>
        <v>D45</v>
      </c>
      <c r="R19" s="447" t="str">
        <f t="shared" ca="1" si="2"/>
        <v xml:space="preserve">Le dispositif en place </v>
      </c>
      <c r="S19" s="447" t="str">
        <f t="shared" ca="1" si="15"/>
        <v>C49</v>
      </c>
      <c r="T19" s="448" t="str">
        <f t="shared" ca="1" si="3"/>
        <v xml:space="preserve">
</v>
      </c>
      <c r="U19" s="1811" t="str">
        <f t="shared" ca="1" si="16"/>
        <v>N</v>
      </c>
      <c r="V19" s="1812" t="str">
        <f t="shared" ca="1" si="17"/>
        <v>32</v>
      </c>
      <c r="W19" s="1813" t="str">
        <f t="shared" ca="1" si="18"/>
        <v>Validé</v>
      </c>
      <c r="X19" s="1813" t="str">
        <f t="shared" ca="1" si="4"/>
        <v>Validé</v>
      </c>
      <c r="Y19" s="1813" t="str">
        <f t="shared" ca="1" si="4"/>
        <v>Validé</v>
      </c>
      <c r="Z19" s="1813" t="str">
        <f t="shared" ca="1" si="4"/>
        <v>Non validé (&gt;10%)</v>
      </c>
      <c r="AA19" s="1813" t="str">
        <f t="shared" ca="1" si="4"/>
        <v>Non validé</v>
      </c>
      <c r="AB19" s="1813" t="str">
        <f t="shared" ca="1" si="4"/>
        <v>Non validé</v>
      </c>
      <c r="AC19" s="1813" t="str">
        <f t="shared" ca="1" si="4"/>
        <v>Non validé</v>
      </c>
      <c r="AD19" s="1813" t="str">
        <f t="shared" ca="1" si="4"/>
        <v>Validé</v>
      </c>
      <c r="AE19" s="1813" t="str">
        <f t="shared" ca="1" si="4"/>
        <v>Oui</v>
      </c>
      <c r="AF19" s="1814" t="str">
        <f t="shared" ca="1" si="4"/>
        <v/>
      </c>
    </row>
    <row r="20" spans="1:32" x14ac:dyDescent="0.4">
      <c r="A20" s="381">
        <v>5</v>
      </c>
      <c r="B20" s="435" t="b">
        <f t="shared" si="5"/>
        <v>0</v>
      </c>
      <c r="C20" s="440" t="str">
        <f t="shared" ca="1" si="6"/>
        <v/>
      </c>
      <c r="D20" s="818" t="str">
        <f t="shared" ca="1" si="7"/>
        <v/>
      </c>
      <c r="E20" s="818" t="str">
        <f t="shared" ca="1" si="8"/>
        <v/>
      </c>
      <c r="F20" s="210" t="str">
        <f t="shared" ca="1" si="9"/>
        <v/>
      </c>
      <c r="G20" s="442" t="str" cm="1">
        <f t="array" aca="1" ref="G20" ca="1">IFERROR(INDEX($C$16:$C$116,SMALL(IF($C$16:$C$116&lt;&gt;"",ROW($C$16:$C$116)-ROW($C$16)+1),ROW(A5))),"")</f>
        <v>A3_P102_PREL</v>
      </c>
      <c r="H20" s="441" t="str" cm="1">
        <f t="array" aca="1" ref="H20" ca="1">IFERROR(INDEX($D$16:$D$116,SMALL(IF($D$16:$D$116&lt;&gt;"",ROW($D$16:$D$116)-ROW($D$16)+1),ROW(A5))),"")</f>
        <v>A3</v>
      </c>
      <c r="I20" s="441" t="str" cm="1">
        <f t="array" aca="1" ref="I20" ca="1">IFERROR(INDEX($E$16:$E$116,SMALL(IF($E$16:$E$116&lt;&gt;"",ROW($E$16:$E$116)-ROW($E$16)+1),ROW(A5))),"")</f>
        <v>Préleveur</v>
      </c>
      <c r="J20" s="441" t="str" cm="1">
        <f t="array" aca="1" ref="J20" ca="1">IFERROR(INDEX($F$16:$F$116,SMALL(IF($F$16:$F$116&lt;&gt;"",ROW($F$16:$F$116)-ROW($F$16)+1),ROW(A5))),"")</f>
        <v>Préleveur Automatique</v>
      </c>
      <c r="K20" s="441" t="str">
        <f t="shared" ca="1" si="10"/>
        <v>A3_P102_PREL</v>
      </c>
      <c r="L20" s="446" t="str">
        <f t="shared" ca="1" si="11"/>
        <v>D37</v>
      </c>
      <c r="M20" s="447" t="str">
        <f t="shared" ca="1" si="12"/>
        <v>P50</v>
      </c>
      <c r="N20" s="447">
        <f t="shared" ca="1" si="0"/>
        <v>85</v>
      </c>
      <c r="O20" s="447" t="str">
        <f t="shared" ca="1" si="13"/>
        <v>N50</v>
      </c>
      <c r="P20" s="447" t="str">
        <f t="shared" ca="1" si="1"/>
        <v>Validé</v>
      </c>
      <c r="Q20" s="447" t="str">
        <f t="shared" ca="1" si="14"/>
        <v>D50</v>
      </c>
      <c r="R20" s="447" t="str">
        <f t="shared" ca="1" si="2"/>
        <v>Pb de positionnement</v>
      </c>
      <c r="S20" s="447" t="str">
        <f t="shared" ca="1" si="15"/>
        <v>C54</v>
      </c>
      <c r="T20" s="448" t="str">
        <f t="shared" ca="1" si="3"/>
        <v xml:space="preserve">
</v>
      </c>
      <c r="U20" s="1811" t="str">
        <f t="shared" ca="1" si="16"/>
        <v>N</v>
      </c>
      <c r="V20" s="1812" t="str">
        <f t="shared" ca="1" si="17"/>
        <v>37</v>
      </c>
      <c r="W20" s="1813" t="str">
        <f t="shared" ca="1" si="18"/>
        <v>Validé</v>
      </c>
      <c r="X20" s="1813" t="str">
        <f t="shared" ca="1" si="4"/>
        <v>Non validé</v>
      </c>
      <c r="Y20" s="1813" t="str">
        <f t="shared" ca="1" si="4"/>
        <v>Validé</v>
      </c>
      <c r="Z20" s="1813" t="str">
        <f t="shared" ca="1" si="4"/>
        <v>Validé</v>
      </c>
      <c r="AA20" s="1813" t="str">
        <f t="shared" ca="1" si="4"/>
        <v>Validé</v>
      </c>
      <c r="AB20" s="1813" t="str">
        <f t="shared" ca="1" si="4"/>
        <v>Validé</v>
      </c>
      <c r="AC20" s="1813" t="str">
        <f t="shared" ca="1" si="4"/>
        <v>Validé</v>
      </c>
      <c r="AD20" s="1813" t="str">
        <f t="shared" ca="1" si="4"/>
        <v>Validé</v>
      </c>
      <c r="AE20" s="1813" t="str">
        <f t="shared" ca="1" si="4"/>
        <v>Validé</v>
      </c>
      <c r="AF20" s="1814" t="str">
        <f t="shared" ca="1" si="4"/>
        <v>Validé</v>
      </c>
    </row>
    <row r="21" spans="1:32" x14ac:dyDescent="0.4">
      <c r="A21" s="381">
        <v>6</v>
      </c>
      <c r="B21" s="435" t="b">
        <f t="shared" si="5"/>
        <v>0</v>
      </c>
      <c r="C21" s="440" t="str">
        <f t="shared" ca="1" si="6"/>
        <v/>
      </c>
      <c r="D21" s="818" t="str">
        <f t="shared" ca="1" si="7"/>
        <v/>
      </c>
      <c r="E21" s="818" t="str">
        <f t="shared" ca="1" si="8"/>
        <v/>
      </c>
      <c r="F21" s="210" t="str">
        <f t="shared" ca="1" si="9"/>
        <v/>
      </c>
      <c r="G21" s="442" t="str" cm="1">
        <f t="array" aca="1" ref="G21" ca="1">IFERROR(INDEX($C$16:$C$116,SMALL(IF($C$16:$C$116&lt;&gt;"",ROW($C$16:$C$116)-ROW($C$16)+1),ROW(A6))),"")</f>
        <v>A4_P103_Q_Grav</v>
      </c>
      <c r="H21" s="441" t="str" cm="1">
        <f t="array" aca="1" ref="H21" ca="1">IFERROR(INDEX($D$16:$D$116,SMALL(IF($D$16:$D$116&lt;&gt;"",ROW($D$16:$D$116)-ROW($D$16)+1),ROW(A6))),"")</f>
        <v>A4</v>
      </c>
      <c r="I21" s="441" t="str" cm="1">
        <f t="array" aca="1" ref="I21" ca="1">IFERROR(INDEX($E$16:$E$116,SMALL(IF($E$16:$E$116&lt;&gt;"",ROW($E$16:$E$116)-ROW($E$16)+1),ROW(A6))),"")</f>
        <v>Débitmètre gravitaire</v>
      </c>
      <c r="J21" s="441" t="str" cm="1">
        <f t="array" aca="1" ref="J21" ca="1">IFERROR(INDEX($F$16:$F$116,SMALL(IF($F$16:$F$116&lt;&gt;"",ROW($F$16:$F$116)-ROW($F$16)+1),ROW(A6))),"")</f>
        <v>Canal Venturi</v>
      </c>
      <c r="K21" s="441" t="str">
        <f t="shared" ca="1" si="10"/>
        <v>A4_P103_Q_Grav</v>
      </c>
      <c r="L21" s="446" t="str">
        <f t="shared" ca="1" si="11"/>
        <v>D40</v>
      </c>
      <c r="M21" s="447" t="str">
        <f t="shared" ca="1" si="12"/>
        <v>P53</v>
      </c>
      <c r="N21" s="447">
        <f t="shared" ca="1" si="0"/>
        <v>0</v>
      </c>
      <c r="O21" s="447" t="str">
        <f t="shared" ca="1" si="13"/>
        <v>N53</v>
      </c>
      <c r="P21" s="447" t="str">
        <f t="shared" ca="1" si="1"/>
        <v>Non validé</v>
      </c>
      <c r="Q21" s="447" t="str">
        <f t="shared" ca="1" si="14"/>
        <v>D53</v>
      </c>
      <c r="R21" s="447" t="str">
        <f t="shared" ca="1" si="2"/>
        <v/>
      </c>
      <c r="S21" s="447" t="str">
        <f t="shared" ca="1" si="15"/>
        <v>C57</v>
      </c>
      <c r="T21" s="448" t="str">
        <f t="shared" ca="1" si="3"/>
        <v xml:space="preserve">
</v>
      </c>
      <c r="U21" s="1811" t="str">
        <f t="shared" ca="1" si="16"/>
        <v>N</v>
      </c>
      <c r="V21" s="1812" t="str">
        <f t="shared" ca="1" si="17"/>
        <v>40</v>
      </c>
      <c r="W21" s="1813" t="str">
        <f t="shared" ca="1" si="18"/>
        <v>Validé</v>
      </c>
      <c r="X21" s="1813" t="str">
        <f t="shared" ca="1" si="4"/>
        <v>Validé</v>
      </c>
      <c r="Y21" s="1813" t="str">
        <f t="shared" ca="1" si="4"/>
        <v>Validé</v>
      </c>
      <c r="Z21" s="1813" t="str">
        <f t="shared" ca="1" si="4"/>
        <v>Validé</v>
      </c>
      <c r="AA21" s="1813" t="str">
        <f t="shared" ca="1" si="4"/>
        <v>Validé</v>
      </c>
      <c r="AB21" s="1813" t="str">
        <f t="shared" ca="1" si="4"/>
        <v>Non contrôlé</v>
      </c>
      <c r="AC21" s="1813" t="str">
        <f t="shared" ca="1" si="4"/>
        <v>Validé</v>
      </c>
      <c r="AD21" s="1813" t="str">
        <f t="shared" ca="1" si="4"/>
        <v>Non validé</v>
      </c>
      <c r="AE21" s="1813" t="str">
        <f t="shared" ca="1" si="4"/>
        <v>Validé</v>
      </c>
      <c r="AF21" s="1814" t="str">
        <f t="shared" ca="1" si="4"/>
        <v>Oui</v>
      </c>
    </row>
    <row r="22" spans="1:32" x14ac:dyDescent="0.4">
      <c r="A22" s="381">
        <v>7</v>
      </c>
      <c r="B22" s="435" t="b">
        <f t="shared" si="5"/>
        <v>0</v>
      </c>
      <c r="C22" s="440" t="str">
        <f t="shared" ca="1" si="6"/>
        <v/>
      </c>
      <c r="D22" s="818" t="str">
        <f t="shared" ca="1" si="7"/>
        <v/>
      </c>
      <c r="E22" s="818" t="str">
        <f t="shared" ca="1" si="8"/>
        <v/>
      </c>
      <c r="F22" s="210" t="str">
        <f t="shared" ca="1" si="9"/>
        <v/>
      </c>
      <c r="G22" s="442" t="str" cm="1">
        <f t="array" aca="1" ref="G22" ca="1">IFERROR(INDEX($C$16:$C$116,SMALL(IF($C$16:$C$116&lt;&gt;"",ROW($C$16:$C$116)-ROW($C$16)+1),ROW(A7))),"")</f>
        <v>A4_P103_PREL</v>
      </c>
      <c r="H22" s="441" t="str" cm="1">
        <f t="array" aca="1" ref="H22" ca="1">IFERROR(INDEX($D$16:$D$116,SMALL(IF($D$16:$D$116&lt;&gt;"",ROW($D$16:$D$116)-ROW($D$16)+1),ROW(A7))),"")</f>
        <v>A4</v>
      </c>
      <c r="I22" s="441" t="str" cm="1">
        <f t="array" aca="1" ref="I22" ca="1">IFERROR(INDEX($E$16:$E$116,SMALL(IF($E$16:$E$116&lt;&gt;"",ROW($E$16:$E$116)-ROW($E$16)+1),ROW(A7))),"")</f>
        <v>Préleveur</v>
      </c>
      <c r="J22" s="441" t="str" cm="1">
        <f t="array" aca="1" ref="J22" ca="1">IFERROR(INDEX($F$16:$F$116,SMALL(IF($F$16:$F$116&lt;&gt;"",ROW($F$16:$F$116)-ROW($F$16)+1),ROW(A7))),"")</f>
        <v>Préleveur Automatique</v>
      </c>
      <c r="K22" s="441" t="str">
        <f t="shared" ca="1" si="10"/>
        <v>A4_P103_PREL</v>
      </c>
      <c r="L22" s="446" t="str">
        <f t="shared" ca="1" si="11"/>
        <v>D37</v>
      </c>
      <c r="M22" s="447" t="str">
        <f t="shared" ca="1" si="12"/>
        <v>P50</v>
      </c>
      <c r="N22" s="447">
        <f t="shared" ca="1" si="0"/>
        <v>100</v>
      </c>
      <c r="O22" s="447" t="str">
        <f t="shared" ca="1" si="13"/>
        <v>N50</v>
      </c>
      <c r="P22" s="447" t="str">
        <f t="shared" ca="1" si="1"/>
        <v>Validé</v>
      </c>
      <c r="Q22" s="447" t="str">
        <f t="shared" ca="1" si="14"/>
        <v>D50</v>
      </c>
      <c r="R22" s="447" t="str">
        <f t="shared" ca="1" si="2"/>
        <v/>
      </c>
      <c r="S22" s="447" t="str">
        <f t="shared" ca="1" si="15"/>
        <v>C54</v>
      </c>
      <c r="T22" s="448" t="str">
        <f t="shared" ca="1" si="3"/>
        <v xml:space="preserve">
</v>
      </c>
      <c r="U22" s="1811" t="str">
        <f t="shared" ca="1" si="16"/>
        <v>N</v>
      </c>
      <c r="V22" s="1812" t="str">
        <f t="shared" ca="1" si="17"/>
        <v>37</v>
      </c>
      <c r="W22" s="1813" t="str">
        <f t="shared" ca="1" si="18"/>
        <v>Validé</v>
      </c>
      <c r="X22" s="1813" t="str">
        <f t="shared" ca="1" si="4"/>
        <v>Validé</v>
      </c>
      <c r="Y22" s="1813" t="str">
        <f t="shared" ca="1" si="4"/>
        <v>Validé</v>
      </c>
      <c r="Z22" s="1813" t="str">
        <f t="shared" ca="1" si="4"/>
        <v>Validé</v>
      </c>
      <c r="AA22" s="1813" t="str">
        <f t="shared" ca="1" si="4"/>
        <v>Validé</v>
      </c>
      <c r="AB22" s="1813" t="str">
        <f t="shared" ca="1" si="4"/>
        <v>Validé</v>
      </c>
      <c r="AC22" s="1813" t="str">
        <f t="shared" ca="1" si="4"/>
        <v>Validé</v>
      </c>
      <c r="AD22" s="1813" t="str">
        <f t="shared" ca="1" si="4"/>
        <v>Validé</v>
      </c>
      <c r="AE22" s="1813" t="str">
        <f t="shared" ca="1" si="4"/>
        <v>Validé</v>
      </c>
      <c r="AF22" s="1814" t="str">
        <f t="shared" ca="1" si="4"/>
        <v>Validé</v>
      </c>
    </row>
    <row r="23" spans="1:32" x14ac:dyDescent="0.4">
      <c r="A23" s="381">
        <v>8</v>
      </c>
      <c r="B23" s="435" t="b">
        <f t="shared" si="5"/>
        <v>0</v>
      </c>
      <c r="C23" s="440" t="str">
        <f t="shared" ca="1" si="6"/>
        <v/>
      </c>
      <c r="D23" s="818" t="str">
        <f t="shared" ca="1" si="7"/>
        <v/>
      </c>
      <c r="E23" s="818" t="str">
        <f t="shared" ca="1" si="8"/>
        <v/>
      </c>
      <c r="F23" s="210" t="str">
        <f t="shared" ca="1" si="9"/>
        <v/>
      </c>
      <c r="G23" s="442" t="str" cm="1">
        <f t="array" aca="1" ref="G23" ca="1">IFERROR(INDEX($C$16:$C$116,SMALL(IF($C$16:$C$116&lt;&gt;"",ROW($C$16:$C$116)-ROW($C$16)+1),ROW(A8))),"")</f>
        <v>A6_P104_Q_DEM</v>
      </c>
      <c r="H23" s="441" t="str" cm="1">
        <f t="array" aca="1" ref="H23" ca="1">IFERROR(INDEX($D$16:$D$116,SMALL(IF($D$16:$D$116&lt;&gt;"",ROW($D$16:$D$116)-ROW($D$16)+1),ROW(A8))),"")</f>
        <v>A6</v>
      </c>
      <c r="I23" s="441" t="str" cm="1">
        <f t="array" aca="1" ref="I23" ca="1">IFERROR(INDEX($E$16:$E$116,SMALL(IF($E$16:$E$116&lt;&gt;"",ROW($E$16:$E$116)-ROW($E$16)+1),ROW(A8))),"")</f>
        <v>Débitmètre en charge</v>
      </c>
      <c r="J23" s="441" t="str" cm="1">
        <f t="array" aca="1" ref="J23" ca="1">IFERROR(INDEX($F$16:$F$116,SMALL(IF($F$16:$F$116&lt;&gt;"",ROW($F$16:$F$116)-ROW($F$16)+1),ROW(A8))),"")</f>
        <v>Débitmètre électromagnétique (boue/MDV)</v>
      </c>
      <c r="K23" s="441" t="str">
        <f t="shared" ca="1" si="10"/>
        <v>A6_P104_Q_DEM</v>
      </c>
      <c r="L23" s="446" t="str">
        <f t="shared" ca="1" si="11"/>
        <v>D32</v>
      </c>
      <c r="M23" s="447" t="str">
        <f t="shared" ca="1" si="12"/>
        <v>P45</v>
      </c>
      <c r="N23" s="447">
        <f t="shared" ca="1" si="0"/>
        <v>40</v>
      </c>
      <c r="O23" s="447" t="str">
        <f t="shared" ca="1" si="13"/>
        <v>N45</v>
      </c>
      <c r="P23" s="447" t="str">
        <f t="shared" ca="1" si="1"/>
        <v>Non validé</v>
      </c>
      <c r="Q23" s="447" t="str">
        <f t="shared" ca="1" si="14"/>
        <v>D45</v>
      </c>
      <c r="R23" s="447" t="str">
        <f t="shared" ca="1" si="2"/>
        <v/>
      </c>
      <c r="S23" s="447" t="str">
        <f t="shared" ca="1" si="15"/>
        <v>C49</v>
      </c>
      <c r="T23" s="448" t="str">
        <f t="shared" ca="1" si="3"/>
        <v xml:space="preserve">
</v>
      </c>
      <c r="U23" s="1811" t="str">
        <f t="shared" ca="1" si="16"/>
        <v>N</v>
      </c>
      <c r="V23" s="1812" t="str">
        <f t="shared" ca="1" si="17"/>
        <v>32</v>
      </c>
      <c r="W23" s="1813" t="str">
        <f t="shared" ca="1" si="18"/>
        <v>Validé</v>
      </c>
      <c r="X23" s="1813" t="str">
        <f t="shared" ca="1" si="4"/>
        <v>Validé</v>
      </c>
      <c r="Y23" s="1813" t="str">
        <f t="shared" ca="1" si="4"/>
        <v>Validé</v>
      </c>
      <c r="Z23" s="1813" t="str">
        <f t="shared" ca="1" si="4"/>
        <v>Non validé (&gt;10%)</v>
      </c>
      <c r="AA23" s="1813" t="str">
        <f t="shared" ca="1" si="4"/>
        <v/>
      </c>
      <c r="AB23" s="1813" t="str">
        <f t="shared" ca="1" si="4"/>
        <v/>
      </c>
      <c r="AC23" s="1813" t="str">
        <f t="shared" ca="1" si="4"/>
        <v/>
      </c>
      <c r="AD23" s="1813" t="str">
        <f t="shared" ca="1" si="4"/>
        <v>Validé</v>
      </c>
      <c r="AE23" s="1813" t="str">
        <f t="shared" ca="1" si="4"/>
        <v>Oui</v>
      </c>
      <c r="AF23" s="1814" t="str">
        <f t="shared" ca="1" si="4"/>
        <v/>
      </c>
    </row>
    <row r="24" spans="1:32" x14ac:dyDescent="0.4">
      <c r="A24" s="381">
        <v>9</v>
      </c>
      <c r="B24" s="435" t="b">
        <f t="shared" si="5"/>
        <v>1</v>
      </c>
      <c r="C24" s="440" t="str">
        <f t="shared" ca="1" si="6"/>
        <v>PLUVIO_SCL_ooo</v>
      </c>
      <c r="D24" s="818" t="str">
        <f t="shared" ca="1" si="7"/>
        <v>A1</v>
      </c>
      <c r="E24" s="818" t="str">
        <f t="shared" ca="1" si="8"/>
        <v>Pluviomètre</v>
      </c>
      <c r="F24" s="210" t="str">
        <f t="shared" ca="1" si="9"/>
        <v>Pluviomètre</v>
      </c>
      <c r="G24" s="442" t="str" cm="1">
        <f t="array" aca="1" ref="G24" ca="1">IFERROR(INDEX($C$16:$C$116,SMALL(IF($C$16:$C$116&lt;&gt;"",ROW($C$16:$C$116)-ROW($C$16)+1),ROW(A9))),"")</f>
        <v>A4_P103_TEMP</v>
      </c>
      <c r="H24" s="441" t="str" cm="1">
        <f t="array" aca="1" ref="H24" ca="1">IFERROR(INDEX($D$16:$D$116,SMALL(IF($D$16:$D$116&lt;&gt;"",ROW($D$16:$D$116)-ROW($D$16)+1),ROW(A9))),"")</f>
        <v>A4</v>
      </c>
      <c r="I24" s="441" t="str" cm="1">
        <f t="array" aca="1" ref="I24" ca="1">IFERROR(INDEX($E$16:$E$116,SMALL(IF($E$16:$E$116&lt;&gt;"",ROW($E$16:$E$116)-ROW($E$16)+1),ROW(A9))),"")</f>
        <v>Sonde de température</v>
      </c>
      <c r="J24" s="441" cm="1">
        <f t="array" aca="1" ref="J24" ca="1">IFERROR(INDEX($F$16:$F$116,SMALL(IF($F$16:$F$116&lt;&gt;"",ROW($F$16:$F$116)-ROW($F$16)+1),ROW(A9))),"")</f>
        <v>0</v>
      </c>
      <c r="K24" s="441" t="str">
        <f t="shared" ca="1" si="10"/>
        <v>A4_P103_TEMP</v>
      </c>
      <c r="L24" s="446" t="str">
        <f t="shared" ca="1" si="11"/>
        <v>D26</v>
      </c>
      <c r="M24" s="447" t="str">
        <f t="shared" ca="1" si="12"/>
        <v>P33</v>
      </c>
      <c r="N24" s="447">
        <f t="shared" ca="1" si="0"/>
        <v>100</v>
      </c>
      <c r="O24" s="447" t="str">
        <f t="shared" ca="1" si="13"/>
        <v>N33</v>
      </c>
      <c r="P24" s="447" t="str">
        <f t="shared" ca="1" si="1"/>
        <v>Validé avec réserve</v>
      </c>
      <c r="Q24" s="447" t="str">
        <f t="shared" ca="1" si="14"/>
        <v>D33</v>
      </c>
      <c r="R24" s="447" t="str">
        <f t="shared" ca="1" si="2"/>
        <v/>
      </c>
      <c r="S24" s="447" t="str">
        <f t="shared" ca="1" si="15"/>
        <v>C37</v>
      </c>
      <c r="T24" s="448" t="str">
        <f t="shared" ca="1" si="3"/>
        <v/>
      </c>
      <c r="U24" s="1811" t="str">
        <f t="shared" ca="1" si="16"/>
        <v>N</v>
      </c>
      <c r="V24" s="1812" t="str">
        <f t="shared" ca="1" si="17"/>
        <v>26</v>
      </c>
      <c r="W24" s="1813" t="str">
        <f t="shared" ca="1" si="18"/>
        <v>Validé</v>
      </c>
      <c r="X24" s="1813" t="str">
        <f t="shared" ca="1" si="4"/>
        <v>Validé</v>
      </c>
      <c r="Y24" s="1813" t="str">
        <f t="shared" ca="1" si="4"/>
        <v>Validé</v>
      </c>
      <c r="Z24" s="1813" t="str">
        <f t="shared" ca="1" si="4"/>
        <v>Validé</v>
      </c>
      <c r="AA24" s="1813" t="str">
        <f t="shared" ca="1" si="4"/>
        <v>Evaluation finale</v>
      </c>
      <c r="AB24" s="1813" t="str">
        <f t="shared" ca="1" si="4"/>
        <v>Validé avec réserve</v>
      </c>
      <c r="AC24" s="1813" t="str">
        <f t="shared" ca="1" si="4"/>
        <v/>
      </c>
      <c r="AD24" s="1813" t="str">
        <f t="shared" ca="1" si="4"/>
        <v/>
      </c>
      <c r="AE24" s="1813" t="str">
        <f t="shared" ca="1" si="4"/>
        <v/>
      </c>
      <c r="AF24" s="1814" t="str">
        <f t="shared" ca="1" si="4"/>
        <v/>
      </c>
    </row>
    <row r="25" spans="1:32" x14ac:dyDescent="0.4">
      <c r="A25" s="381">
        <v>10</v>
      </c>
      <c r="B25" s="435" t="b">
        <f t="shared" si="5"/>
        <v>0</v>
      </c>
      <c r="C25" s="440" t="str">
        <f t="shared" ca="1" si="6"/>
        <v/>
      </c>
      <c r="D25" s="818" t="str">
        <f t="shared" ca="1" si="7"/>
        <v/>
      </c>
      <c r="E25" s="818" t="str">
        <f t="shared" ca="1" si="8"/>
        <v/>
      </c>
      <c r="F25" s="210" t="str">
        <f t="shared" ca="1" si="9"/>
        <v/>
      </c>
      <c r="G25" s="442" t="str" cm="1">
        <f t="array" aca="1" ref="G25" ca="1">IFERROR(INDEX($C$16:$C$116,SMALL(IF($C$16:$C$116&lt;&gt;"",ROW($C$16:$C$116)-ROW($C$16)+1),ROW(A10))),"")</f>
        <v>PLUVIO_STEU_P1</v>
      </c>
      <c r="H25" s="441" t="str" cm="1">
        <f t="array" aca="1" ref="H25" ca="1">IFERROR(INDEX($D$16:$D$116,SMALL(IF($D$16:$D$116&lt;&gt;"",ROW($D$16:$D$116)-ROW($D$16)+1),ROW(A10))),"")</f>
        <v>A3</v>
      </c>
      <c r="I25" s="441" t="str" cm="1">
        <f t="array" aca="1" ref="I25" ca="1">IFERROR(INDEX($E$16:$E$116,SMALL(IF($E$16:$E$116&lt;&gt;"",ROW($E$16:$E$116)-ROW($E$16)+1),ROW(A10))),"")</f>
        <v>Pluviomètre</v>
      </c>
      <c r="J25" s="441" t="str" cm="1">
        <f t="array" aca="1" ref="J25" ca="1">IFERROR(INDEX($F$16:$F$116,SMALL(IF($F$16:$F$116&lt;&gt;"",ROW($F$16:$F$116)-ROW($F$16)+1),ROW(A10))),"")</f>
        <v>Pluviomètre</v>
      </c>
      <c r="K25" s="441" t="str">
        <f t="shared" ca="1" si="10"/>
        <v>PLUVIO_STEU_P1</v>
      </c>
      <c r="L25" s="446" t="str">
        <f t="shared" ca="1" si="11"/>
        <v>D24</v>
      </c>
      <c r="M25" s="447" t="str">
        <f t="shared" ca="1" si="12"/>
        <v>P32</v>
      </c>
      <c r="N25" s="447">
        <f t="shared" ca="1" si="0"/>
        <v>70</v>
      </c>
      <c r="O25" s="447" t="str">
        <f t="shared" ca="1" si="13"/>
        <v>N32</v>
      </c>
      <c r="P25" s="447" t="str">
        <f t="shared" ca="1" si="1"/>
        <v>Validé avec réserve</v>
      </c>
      <c r="Q25" s="447" t="str">
        <f t="shared" ca="1" si="14"/>
        <v>D32</v>
      </c>
      <c r="R25" s="447" t="str">
        <f t="shared" ca="1" si="2"/>
        <v/>
      </c>
      <c r="S25" s="447" t="str">
        <f t="shared" ca="1" si="15"/>
        <v>C36</v>
      </c>
      <c r="T25" s="448" t="str">
        <f t="shared" ca="1" si="3"/>
        <v/>
      </c>
      <c r="U25" s="1811" t="str">
        <f t="shared" ca="1" si="16"/>
        <v>N</v>
      </c>
      <c r="V25" s="1812" t="str">
        <f t="shared" ca="1" si="17"/>
        <v>24</v>
      </c>
      <c r="W25" s="1813" t="str">
        <f t="shared" ca="1" si="18"/>
        <v>Validé</v>
      </c>
      <c r="X25" s="1813" t="str">
        <f t="shared" ca="1" si="4"/>
        <v>Validé</v>
      </c>
      <c r="Y25" s="1813" t="str">
        <f t="shared" ca="1" si="4"/>
        <v>Validé</v>
      </c>
      <c r="Z25" s="1813" t="str">
        <f t="shared" ca="1" si="4"/>
        <v>Validé</v>
      </c>
      <c r="AA25" s="1813" t="str">
        <f t="shared" ca="1" si="4"/>
        <v>Non contrôlé</v>
      </c>
      <c r="AB25" s="1813" t="str">
        <f t="shared" ca="1" si="4"/>
        <v>Evaluation finale</v>
      </c>
      <c r="AC25" s="1813" t="str">
        <f t="shared" ca="1" si="4"/>
        <v>Validé avec réserve</v>
      </c>
      <c r="AD25" s="1813" t="str">
        <f t="shared" ca="1" si="4"/>
        <v/>
      </c>
      <c r="AE25" s="1813" t="str">
        <f t="shared" ca="1" si="4"/>
        <v/>
      </c>
      <c r="AF25" s="1814" t="str">
        <f t="shared" ca="1" si="4"/>
        <v/>
      </c>
    </row>
    <row r="26" spans="1:32" x14ac:dyDescent="0.4">
      <c r="A26" s="381">
        <v>11</v>
      </c>
      <c r="B26" s="435" t="b">
        <f t="shared" si="5"/>
        <v>0</v>
      </c>
      <c r="C26" s="440" t="str">
        <f t="shared" ca="1" si="6"/>
        <v/>
      </c>
      <c r="D26" s="818" t="str">
        <f t="shared" ca="1" si="7"/>
        <v/>
      </c>
      <c r="E26" s="818" t="str">
        <f t="shared" ca="1" si="8"/>
        <v/>
      </c>
      <c r="F26" s="210" t="str">
        <f t="shared" ca="1" si="9"/>
        <v/>
      </c>
      <c r="G26" s="442" t="str" cm="1">
        <f t="array" aca="1" ref="G26" ca="1">IFERROR(INDEX($C$16:$C$116,SMALL(IF($C$16:$C$116&lt;&gt;"",ROW($C$16:$C$116)-ROW($C$16)+1),ROW(A11))),"")</f>
        <v/>
      </c>
      <c r="H26" s="441" t="str" cm="1">
        <f t="array" aca="1" ref="H26" ca="1">IFERROR(INDEX($D$16:$D$116,SMALL(IF($D$16:$D$116&lt;&gt;"",ROW($D$16:$D$116)-ROW($D$16)+1),ROW(A11))),"")</f>
        <v/>
      </c>
      <c r="I26" s="441" t="str" cm="1">
        <f t="array" aca="1" ref="I26" ca="1">IFERROR(INDEX($E$16:$E$116,SMALL(IF($E$16:$E$116&lt;&gt;"",ROW($E$16:$E$116)-ROW($E$16)+1),ROW(A11))),"")</f>
        <v/>
      </c>
      <c r="J26" s="441" t="str" cm="1">
        <f t="array" aca="1" ref="J26" ca="1">IFERROR(INDEX($F$16:$F$116,SMALL(IF($F$16:$F$116&lt;&gt;"",ROW($F$16:$F$116)-ROW($F$16)+1),ROW(A11))),"")</f>
        <v/>
      </c>
      <c r="K26" s="441" t="str">
        <f t="shared" ca="1" si="10"/>
        <v/>
      </c>
      <c r="L26" s="446" t="str">
        <f t="shared" ca="1" si="11"/>
        <v/>
      </c>
      <c r="M26" s="447" t="str">
        <f t="shared" ca="1" si="12"/>
        <v/>
      </c>
      <c r="N26" s="447" t="str">
        <f t="shared" ca="1" si="0"/>
        <v/>
      </c>
      <c r="O26" s="447" t="str">
        <f t="shared" ca="1" si="13"/>
        <v/>
      </c>
      <c r="P26" s="447" t="str">
        <f t="shared" ca="1" si="1"/>
        <v/>
      </c>
      <c r="Q26" s="447" t="str">
        <f t="shared" ca="1" si="14"/>
        <v/>
      </c>
      <c r="R26" s="447" t="str">
        <f t="shared" ca="1" si="2"/>
        <v/>
      </c>
      <c r="S26" s="447" t="str">
        <f t="shared" ca="1" si="15"/>
        <v/>
      </c>
      <c r="T26" s="448" t="str">
        <f t="shared" ca="1" si="3"/>
        <v/>
      </c>
      <c r="U26" s="1811" t="str">
        <f t="shared" ca="1" si="16"/>
        <v/>
      </c>
      <c r="V26" s="1812" t="str">
        <f t="shared" ca="1" si="17"/>
        <v/>
      </c>
      <c r="W26" s="1813" t="str">
        <f t="shared" ca="1" si="18"/>
        <v/>
      </c>
      <c r="X26" s="1813" t="str">
        <f t="shared" ca="1" si="4"/>
        <v/>
      </c>
      <c r="Y26" s="1813" t="str">
        <f t="shared" ca="1" si="4"/>
        <v/>
      </c>
      <c r="Z26" s="1813" t="str">
        <f t="shared" ca="1" si="4"/>
        <v/>
      </c>
      <c r="AA26" s="1813" t="str">
        <f t="shared" ca="1" si="4"/>
        <v/>
      </c>
      <c r="AB26" s="1813" t="str">
        <f t="shared" ca="1" si="4"/>
        <v/>
      </c>
      <c r="AC26" s="1813" t="str">
        <f t="shared" ca="1" si="4"/>
        <v/>
      </c>
      <c r="AD26" s="1813" t="str">
        <f t="shared" ca="1" si="4"/>
        <v/>
      </c>
      <c r="AE26" s="1813" t="str">
        <f t="shared" ca="1" si="4"/>
        <v/>
      </c>
      <c r="AF26" s="1814" t="str">
        <f t="shared" ca="1" si="4"/>
        <v/>
      </c>
    </row>
    <row r="27" spans="1:32" x14ac:dyDescent="0.4">
      <c r="A27" s="381">
        <v>12</v>
      </c>
      <c r="B27" s="435" t="b">
        <f t="shared" si="5"/>
        <v>0</v>
      </c>
      <c r="C27" s="440" t="str">
        <f t="shared" ca="1" si="6"/>
        <v/>
      </c>
      <c r="D27" s="818" t="str">
        <f t="shared" ca="1" si="7"/>
        <v/>
      </c>
      <c r="E27" s="818" t="str">
        <f t="shared" ca="1" si="8"/>
        <v/>
      </c>
      <c r="F27" s="210" t="str">
        <f t="shared" ca="1" si="9"/>
        <v/>
      </c>
      <c r="G27" s="442" t="str" cm="1">
        <f t="array" aca="1" ref="G27" ca="1">IFERROR(INDEX($C$16:$C$116,SMALL(IF($C$16:$C$116&lt;&gt;"",ROW($C$16:$C$116)-ROW($C$16)+1),ROW(A12))),"")</f>
        <v/>
      </c>
      <c r="H27" s="441" t="str" cm="1">
        <f t="array" aca="1" ref="H27" ca="1">IFERROR(INDEX($D$16:$D$116,SMALL(IF($D$16:$D$116&lt;&gt;"",ROW($D$16:$D$116)-ROW($D$16)+1),ROW(A12))),"")</f>
        <v/>
      </c>
      <c r="I27" s="441" t="str" cm="1">
        <f t="array" aca="1" ref="I27" ca="1">IFERROR(INDEX($E$16:$E$116,SMALL(IF($E$16:$E$116&lt;&gt;"",ROW($E$16:$E$116)-ROW($E$16)+1),ROW(A12))),"")</f>
        <v/>
      </c>
      <c r="J27" s="441" t="str" cm="1">
        <f t="array" aca="1" ref="J27" ca="1">IFERROR(INDEX($F$16:$F$116,SMALL(IF($F$16:$F$116&lt;&gt;"",ROW($F$16:$F$116)-ROW($F$16)+1),ROW(A12))),"")</f>
        <v/>
      </c>
      <c r="K27" s="441" t="str">
        <f t="shared" ca="1" si="10"/>
        <v/>
      </c>
      <c r="L27" s="446" t="str">
        <f t="shared" ca="1" si="11"/>
        <v/>
      </c>
      <c r="M27" s="447" t="str">
        <f t="shared" ca="1" si="12"/>
        <v/>
      </c>
      <c r="N27" s="447" t="str">
        <f t="shared" ca="1" si="0"/>
        <v/>
      </c>
      <c r="O27" s="447" t="str">
        <f t="shared" ca="1" si="13"/>
        <v/>
      </c>
      <c r="P27" s="447" t="str">
        <f t="shared" ca="1" si="1"/>
        <v/>
      </c>
      <c r="Q27" s="447" t="str">
        <f t="shared" ca="1" si="14"/>
        <v/>
      </c>
      <c r="R27" s="447" t="str">
        <f t="shared" ca="1" si="2"/>
        <v/>
      </c>
      <c r="S27" s="447" t="str">
        <f t="shared" ca="1" si="15"/>
        <v/>
      </c>
      <c r="T27" s="448" t="str">
        <f t="shared" ca="1" si="3"/>
        <v/>
      </c>
      <c r="U27" s="1811" t="str">
        <f t="shared" ca="1" si="16"/>
        <v/>
      </c>
      <c r="V27" s="1812" t="str">
        <f t="shared" ca="1" si="17"/>
        <v/>
      </c>
      <c r="W27" s="1813" t="str">
        <f t="shared" ca="1" si="18"/>
        <v/>
      </c>
      <c r="X27" s="1813" t="str">
        <f t="shared" ca="1" si="4"/>
        <v/>
      </c>
      <c r="Y27" s="1813" t="str">
        <f t="shared" ca="1" si="4"/>
        <v/>
      </c>
      <c r="Z27" s="1813" t="str">
        <f t="shared" ca="1" si="4"/>
        <v/>
      </c>
      <c r="AA27" s="1813" t="str">
        <f t="shared" ca="1" si="4"/>
        <v/>
      </c>
      <c r="AB27" s="1813" t="str">
        <f t="shared" ca="1" si="4"/>
        <v/>
      </c>
      <c r="AC27" s="1813" t="str">
        <f t="shared" ca="1" si="4"/>
        <v/>
      </c>
      <c r="AD27" s="1813" t="str">
        <f t="shared" ca="1" si="4"/>
        <v/>
      </c>
      <c r="AE27" s="1813" t="str">
        <f t="shared" ca="1" si="4"/>
        <v/>
      </c>
      <c r="AF27" s="1814" t="str">
        <f t="shared" ca="1" si="4"/>
        <v/>
      </c>
    </row>
    <row r="28" spans="1:32" x14ac:dyDescent="0.4">
      <c r="A28" s="381">
        <v>13</v>
      </c>
      <c r="B28" s="435" t="b">
        <f t="shared" si="5"/>
        <v>0</v>
      </c>
      <c r="C28" s="440" t="str">
        <f t="shared" ca="1" si="6"/>
        <v/>
      </c>
      <c r="D28" s="818" t="str">
        <f t="shared" ca="1" si="7"/>
        <v/>
      </c>
      <c r="E28" s="818" t="str">
        <f t="shared" ca="1" si="8"/>
        <v/>
      </c>
      <c r="F28" s="210" t="str">
        <f t="shared" ca="1" si="9"/>
        <v/>
      </c>
      <c r="G28" s="442" t="str" cm="1">
        <f t="array" aca="1" ref="G28" ca="1">IFERROR(INDEX($C$16:$C$116,SMALL(IF($C$16:$C$116&lt;&gt;"",ROW($C$16:$C$116)-ROW($C$16)+1),ROW(A13))),"")</f>
        <v/>
      </c>
      <c r="H28" s="441" t="str" cm="1">
        <f t="array" aca="1" ref="H28" ca="1">IFERROR(INDEX($D$16:$D$116,SMALL(IF($D$16:$D$116&lt;&gt;"",ROW($D$16:$D$116)-ROW($D$16)+1),ROW(A13))),"")</f>
        <v/>
      </c>
      <c r="I28" s="441" t="str" cm="1">
        <f t="array" aca="1" ref="I28" ca="1">IFERROR(INDEX($E$16:$E$116,SMALL(IF($E$16:$E$116&lt;&gt;"",ROW($E$16:$E$116)-ROW($E$16)+1),ROW(A13))),"")</f>
        <v/>
      </c>
      <c r="J28" s="441" t="str" cm="1">
        <f t="array" aca="1" ref="J28" ca="1">IFERROR(INDEX($F$16:$F$116,SMALL(IF($F$16:$F$116&lt;&gt;"",ROW($F$16:$F$116)-ROW($F$16)+1),ROW(A13))),"")</f>
        <v/>
      </c>
      <c r="K28" s="441" t="str">
        <f t="shared" ca="1" si="10"/>
        <v/>
      </c>
      <c r="L28" s="446" t="str">
        <f t="shared" ca="1" si="11"/>
        <v/>
      </c>
      <c r="M28" s="447" t="str">
        <f t="shared" ca="1" si="12"/>
        <v/>
      </c>
      <c r="N28" s="447" t="str">
        <f t="shared" ca="1" si="0"/>
        <v/>
      </c>
      <c r="O28" s="447" t="str">
        <f t="shared" ca="1" si="13"/>
        <v/>
      </c>
      <c r="P28" s="447" t="str">
        <f t="shared" ca="1" si="1"/>
        <v/>
      </c>
      <c r="Q28" s="447" t="str">
        <f t="shared" ca="1" si="14"/>
        <v/>
      </c>
      <c r="R28" s="447" t="str">
        <f t="shared" ca="1" si="2"/>
        <v/>
      </c>
      <c r="S28" s="447" t="str">
        <f t="shared" ca="1" si="15"/>
        <v/>
      </c>
      <c r="T28" s="448" t="str">
        <f t="shared" ca="1" si="3"/>
        <v/>
      </c>
      <c r="U28" s="1811" t="str">
        <f t="shared" ca="1" si="16"/>
        <v/>
      </c>
      <c r="V28" s="1812" t="str">
        <f t="shared" ca="1" si="17"/>
        <v/>
      </c>
      <c r="W28" s="1813" t="str">
        <f t="shared" ca="1" si="18"/>
        <v/>
      </c>
      <c r="X28" s="1813" t="str">
        <f t="shared" ca="1" si="4"/>
        <v/>
      </c>
      <c r="Y28" s="1813" t="str">
        <f t="shared" ca="1" si="4"/>
        <v/>
      </c>
      <c r="Z28" s="1813" t="str">
        <f t="shared" ca="1" si="4"/>
        <v/>
      </c>
      <c r="AA28" s="1813" t="str">
        <f t="shared" ca="1" si="4"/>
        <v/>
      </c>
      <c r="AB28" s="1813" t="str">
        <f t="shared" ca="1" si="4"/>
        <v/>
      </c>
      <c r="AC28" s="1813" t="str">
        <f t="shared" ca="1" si="4"/>
        <v/>
      </c>
      <c r="AD28" s="1813" t="str">
        <f t="shared" ca="1" si="4"/>
        <v/>
      </c>
      <c r="AE28" s="1813" t="str">
        <f t="shared" ca="1" si="4"/>
        <v/>
      </c>
      <c r="AF28" s="1814" t="str">
        <f t="shared" ca="1" si="4"/>
        <v/>
      </c>
    </row>
    <row r="29" spans="1:32" x14ac:dyDescent="0.4">
      <c r="A29" s="381">
        <v>14</v>
      </c>
      <c r="B29" s="435" t="b">
        <f t="shared" si="5"/>
        <v>0</v>
      </c>
      <c r="C29" s="440" t="str">
        <f t="shared" ca="1" si="6"/>
        <v/>
      </c>
      <c r="D29" s="818" t="str">
        <f t="shared" ca="1" si="7"/>
        <v/>
      </c>
      <c r="E29" s="818" t="str">
        <f t="shared" ca="1" si="8"/>
        <v/>
      </c>
      <c r="F29" s="210" t="str">
        <f t="shared" ca="1" si="9"/>
        <v/>
      </c>
      <c r="G29" s="442" t="str" cm="1">
        <f t="array" aca="1" ref="G29" ca="1">IFERROR(INDEX($C$16:$C$116,SMALL(IF($C$16:$C$116&lt;&gt;"",ROW($C$16:$C$116)-ROW($C$16)+1),ROW(A14))),"")</f>
        <v/>
      </c>
      <c r="H29" s="441" t="str" cm="1">
        <f t="array" aca="1" ref="H29" ca="1">IFERROR(INDEX($D$16:$D$116,SMALL(IF($D$16:$D$116&lt;&gt;"",ROW($D$16:$D$116)-ROW($D$16)+1),ROW(A14))),"")</f>
        <v/>
      </c>
      <c r="I29" s="441" t="str" cm="1">
        <f t="array" aca="1" ref="I29" ca="1">IFERROR(INDEX($E$16:$E$116,SMALL(IF($E$16:$E$116&lt;&gt;"",ROW($E$16:$E$116)-ROW($E$16)+1),ROW(A14))),"")</f>
        <v/>
      </c>
      <c r="J29" s="441" t="str" cm="1">
        <f t="array" aca="1" ref="J29" ca="1">IFERROR(INDEX($F$16:$F$116,SMALL(IF($F$16:$F$116&lt;&gt;"",ROW($F$16:$F$116)-ROW($F$16)+1),ROW(A14))),"")</f>
        <v/>
      </c>
      <c r="K29" s="441" t="str">
        <f t="shared" ca="1" si="10"/>
        <v/>
      </c>
      <c r="L29" s="446" t="str">
        <f t="shared" ca="1" si="11"/>
        <v/>
      </c>
      <c r="M29" s="447" t="str">
        <f t="shared" ca="1" si="12"/>
        <v/>
      </c>
      <c r="N29" s="447" t="str">
        <f t="shared" ca="1" si="0"/>
        <v/>
      </c>
      <c r="O29" s="447" t="str">
        <f t="shared" ca="1" si="13"/>
        <v/>
      </c>
      <c r="P29" s="447" t="str">
        <f t="shared" ca="1" si="1"/>
        <v/>
      </c>
      <c r="Q29" s="447" t="str">
        <f t="shared" ca="1" si="14"/>
        <v/>
      </c>
      <c r="R29" s="447" t="str">
        <f t="shared" ca="1" si="2"/>
        <v/>
      </c>
      <c r="S29" s="447" t="str">
        <f t="shared" ca="1" si="15"/>
        <v/>
      </c>
      <c r="T29" s="448" t="str">
        <f t="shared" ca="1" si="3"/>
        <v/>
      </c>
      <c r="U29" s="1811" t="str">
        <f t="shared" ca="1" si="16"/>
        <v/>
      </c>
      <c r="V29" s="1812" t="str">
        <f t="shared" ca="1" si="17"/>
        <v/>
      </c>
      <c r="W29" s="1813" t="str">
        <f t="shared" ca="1" si="18"/>
        <v/>
      </c>
      <c r="X29" s="1813" t="str">
        <f t="shared" ca="1" si="4"/>
        <v/>
      </c>
      <c r="Y29" s="1813" t="str">
        <f t="shared" ca="1" si="4"/>
        <v/>
      </c>
      <c r="Z29" s="1813" t="str">
        <f t="shared" ca="1" si="4"/>
        <v/>
      </c>
      <c r="AA29" s="1813" t="str">
        <f t="shared" ca="1" si="4"/>
        <v/>
      </c>
      <c r="AB29" s="1813" t="str">
        <f t="shared" ca="1" si="4"/>
        <v/>
      </c>
      <c r="AC29" s="1813" t="str">
        <f t="shared" ca="1" si="4"/>
        <v/>
      </c>
      <c r="AD29" s="1813" t="str">
        <f t="shared" ca="1" si="4"/>
        <v/>
      </c>
      <c r="AE29" s="1813" t="str">
        <f t="shared" ca="1" si="4"/>
        <v/>
      </c>
      <c r="AF29" s="1814" t="str">
        <f t="shared" ca="1" si="4"/>
        <v/>
      </c>
    </row>
    <row r="30" spans="1:32" x14ac:dyDescent="0.4">
      <c r="A30" s="381">
        <v>15</v>
      </c>
      <c r="B30" s="435" t="b">
        <f t="shared" si="5"/>
        <v>0</v>
      </c>
      <c r="C30" s="440" t="str">
        <f t="shared" ca="1" si="6"/>
        <v/>
      </c>
      <c r="D30" s="818" t="str">
        <f t="shared" ca="1" si="7"/>
        <v/>
      </c>
      <c r="E30" s="818" t="str">
        <f t="shared" ca="1" si="8"/>
        <v/>
      </c>
      <c r="F30" s="210" t="str">
        <f t="shared" ca="1" si="9"/>
        <v/>
      </c>
      <c r="G30" s="442" t="str" cm="1">
        <f t="array" aca="1" ref="G30" ca="1">IFERROR(INDEX($C$16:$C$116,SMALL(IF($C$16:$C$116&lt;&gt;"",ROW($C$16:$C$116)-ROW($C$16)+1),ROW(A15))),"")</f>
        <v/>
      </c>
      <c r="H30" s="441" t="str" cm="1">
        <f t="array" aca="1" ref="H30" ca="1">IFERROR(INDEX($D$16:$D$116,SMALL(IF($D$16:$D$116&lt;&gt;"",ROW($D$16:$D$116)-ROW($D$16)+1),ROW(A15))),"")</f>
        <v/>
      </c>
      <c r="I30" s="441" t="str" cm="1">
        <f t="array" aca="1" ref="I30" ca="1">IFERROR(INDEX($E$16:$E$116,SMALL(IF($E$16:$E$116&lt;&gt;"",ROW($E$16:$E$116)-ROW($E$16)+1),ROW(A15))),"")</f>
        <v/>
      </c>
      <c r="J30" s="441" t="str" cm="1">
        <f t="array" aca="1" ref="J30" ca="1">IFERROR(INDEX($F$16:$F$116,SMALL(IF($F$16:$F$116&lt;&gt;"",ROW($F$16:$F$116)-ROW($F$16)+1),ROW(A15))),"")</f>
        <v/>
      </c>
      <c r="K30" s="441" t="str">
        <f t="shared" ca="1" si="10"/>
        <v/>
      </c>
      <c r="L30" s="446" t="str">
        <f t="shared" ca="1" si="11"/>
        <v/>
      </c>
      <c r="M30" s="447" t="str">
        <f t="shared" ca="1" si="12"/>
        <v/>
      </c>
      <c r="N30" s="447" t="str">
        <f t="shared" ca="1" si="0"/>
        <v/>
      </c>
      <c r="O30" s="447" t="str">
        <f t="shared" ca="1" si="13"/>
        <v/>
      </c>
      <c r="P30" s="447" t="str">
        <f t="shared" ca="1" si="1"/>
        <v/>
      </c>
      <c r="Q30" s="447" t="str">
        <f t="shared" ca="1" si="14"/>
        <v/>
      </c>
      <c r="R30" s="447" t="str">
        <f t="shared" ca="1" si="2"/>
        <v/>
      </c>
      <c r="S30" s="447" t="str">
        <f t="shared" ca="1" si="15"/>
        <v/>
      </c>
      <c r="T30" s="448" t="str">
        <f t="shared" ca="1" si="3"/>
        <v/>
      </c>
      <c r="U30" s="1811" t="str">
        <f t="shared" ca="1" si="16"/>
        <v/>
      </c>
      <c r="V30" s="1812" t="str">
        <f t="shared" ca="1" si="17"/>
        <v/>
      </c>
      <c r="W30" s="1813" t="str">
        <f t="shared" ca="1" si="18"/>
        <v/>
      </c>
      <c r="X30" s="1813" t="str">
        <f t="shared" ca="1" si="4"/>
        <v/>
      </c>
      <c r="Y30" s="1813" t="str">
        <f t="shared" ca="1" si="4"/>
        <v/>
      </c>
      <c r="Z30" s="1813" t="str">
        <f t="shared" ca="1" si="4"/>
        <v/>
      </c>
      <c r="AA30" s="1813" t="str">
        <f t="shared" ca="1" si="4"/>
        <v/>
      </c>
      <c r="AB30" s="1813" t="str">
        <f t="shared" ca="1" si="4"/>
        <v/>
      </c>
      <c r="AC30" s="1813" t="str">
        <f t="shared" ca="1" si="4"/>
        <v/>
      </c>
      <c r="AD30" s="1813" t="str">
        <f t="shared" ca="1" si="4"/>
        <v/>
      </c>
      <c r="AE30" s="1813" t="str">
        <f t="shared" ca="1" si="4"/>
        <v/>
      </c>
      <c r="AF30" s="1814" t="str">
        <f t="shared" ca="1" si="4"/>
        <v/>
      </c>
    </row>
    <row r="31" spans="1:32" x14ac:dyDescent="0.4">
      <c r="A31" s="381">
        <v>16</v>
      </c>
      <c r="B31" s="435" t="b">
        <f t="shared" si="5"/>
        <v>0</v>
      </c>
      <c r="C31" s="440" t="str">
        <f t="shared" ca="1" si="6"/>
        <v/>
      </c>
      <c r="D31" s="818" t="str">
        <f t="shared" ca="1" si="7"/>
        <v/>
      </c>
      <c r="E31" s="818" t="str">
        <f t="shared" ca="1" si="8"/>
        <v/>
      </c>
      <c r="F31" s="210" t="str">
        <f t="shared" ca="1" si="9"/>
        <v/>
      </c>
      <c r="G31" s="442" t="str" cm="1">
        <f t="array" aca="1" ref="G31" ca="1">IFERROR(INDEX($C$16:$C$116,SMALL(IF($C$16:$C$116&lt;&gt;"",ROW($C$16:$C$116)-ROW($C$16)+1),ROW(A16))),"")</f>
        <v/>
      </c>
      <c r="H31" s="441" t="str" cm="1">
        <f t="array" aca="1" ref="H31" ca="1">IFERROR(INDEX($D$16:$D$116,SMALL(IF($D$16:$D$116&lt;&gt;"",ROW($D$16:$D$116)-ROW($D$16)+1),ROW(A16))),"")</f>
        <v/>
      </c>
      <c r="I31" s="441" t="str" cm="1">
        <f t="array" aca="1" ref="I31" ca="1">IFERROR(INDEX($E$16:$E$116,SMALL(IF($E$16:$E$116&lt;&gt;"",ROW($E$16:$E$116)-ROW($E$16)+1),ROW(A16))),"")</f>
        <v/>
      </c>
      <c r="J31" s="441" t="str" cm="1">
        <f t="array" aca="1" ref="J31" ca="1">IFERROR(INDEX($F$16:$F$116,SMALL(IF($F$16:$F$116&lt;&gt;"",ROW($F$16:$F$116)-ROW($F$16)+1),ROW(A16))),"")</f>
        <v/>
      </c>
      <c r="K31" s="441" t="str">
        <f t="shared" ca="1" si="10"/>
        <v/>
      </c>
      <c r="L31" s="446" t="str">
        <f t="shared" ca="1" si="11"/>
        <v/>
      </c>
      <c r="M31" s="447" t="str">
        <f t="shared" ca="1" si="12"/>
        <v/>
      </c>
      <c r="N31" s="447" t="str">
        <f t="shared" ca="1" si="0"/>
        <v/>
      </c>
      <c r="O31" s="447" t="str">
        <f t="shared" ca="1" si="13"/>
        <v/>
      </c>
      <c r="P31" s="447" t="str">
        <f t="shared" ca="1" si="1"/>
        <v/>
      </c>
      <c r="Q31" s="447" t="str">
        <f t="shared" ca="1" si="14"/>
        <v/>
      </c>
      <c r="R31" s="447" t="str">
        <f t="shared" ca="1" si="2"/>
        <v/>
      </c>
      <c r="S31" s="447" t="str">
        <f t="shared" ca="1" si="15"/>
        <v/>
      </c>
      <c r="T31" s="448" t="str">
        <f t="shared" ca="1" si="3"/>
        <v/>
      </c>
      <c r="U31" s="1811" t="str">
        <f t="shared" ca="1" si="16"/>
        <v/>
      </c>
      <c r="V31" s="1812" t="str">
        <f t="shared" ca="1" si="17"/>
        <v/>
      </c>
      <c r="W31" s="1813" t="str">
        <f t="shared" ca="1" si="18"/>
        <v/>
      </c>
      <c r="X31" s="1813" t="str">
        <f t="shared" ca="1" si="4"/>
        <v/>
      </c>
      <c r="Y31" s="1813" t="str">
        <f t="shared" ca="1" si="4"/>
        <v/>
      </c>
      <c r="Z31" s="1813" t="str">
        <f t="shared" ca="1" si="4"/>
        <v/>
      </c>
      <c r="AA31" s="1813" t="str">
        <f t="shared" ca="1" si="4"/>
        <v/>
      </c>
      <c r="AB31" s="1813" t="str">
        <f t="shared" ca="1" si="4"/>
        <v/>
      </c>
      <c r="AC31" s="1813" t="str">
        <f t="shared" ca="1" si="4"/>
        <v/>
      </c>
      <c r="AD31" s="1813" t="str">
        <f t="shared" ca="1" si="4"/>
        <v/>
      </c>
      <c r="AE31" s="1813" t="str">
        <f t="shared" ca="1" si="4"/>
        <v/>
      </c>
      <c r="AF31" s="1814" t="str">
        <f t="shared" ca="1" si="4"/>
        <v/>
      </c>
    </row>
    <row r="32" spans="1:32" x14ac:dyDescent="0.4">
      <c r="A32" s="381">
        <v>17</v>
      </c>
      <c r="B32" s="435" t="b">
        <f t="shared" si="5"/>
        <v>0</v>
      </c>
      <c r="C32" s="440" t="str">
        <f t="shared" ca="1" si="6"/>
        <v/>
      </c>
      <c r="D32" s="818" t="str">
        <f t="shared" ca="1" si="7"/>
        <v/>
      </c>
      <c r="E32" s="818" t="str">
        <f t="shared" ca="1" si="8"/>
        <v/>
      </c>
      <c r="F32" s="210" t="str">
        <f t="shared" ca="1" si="9"/>
        <v/>
      </c>
      <c r="G32" s="442" t="str" cm="1">
        <f t="array" aca="1" ref="G32" ca="1">IFERROR(INDEX($C$16:$C$116,SMALL(IF($C$16:$C$116&lt;&gt;"",ROW($C$16:$C$116)-ROW($C$16)+1),ROW(A17))),"")</f>
        <v/>
      </c>
      <c r="H32" s="441" t="str" cm="1">
        <f t="array" aca="1" ref="H32" ca="1">IFERROR(INDEX($D$16:$D$116,SMALL(IF($D$16:$D$116&lt;&gt;"",ROW($D$16:$D$116)-ROW($D$16)+1),ROW(A17))),"")</f>
        <v/>
      </c>
      <c r="I32" s="441" t="str" cm="1">
        <f t="array" aca="1" ref="I32" ca="1">IFERROR(INDEX($E$16:$E$116,SMALL(IF($E$16:$E$116&lt;&gt;"",ROW($E$16:$E$116)-ROW($E$16)+1),ROW(A17))),"")</f>
        <v/>
      </c>
      <c r="J32" s="441" t="str" cm="1">
        <f t="array" aca="1" ref="J32" ca="1">IFERROR(INDEX($F$16:$F$116,SMALL(IF($F$16:$F$116&lt;&gt;"",ROW($F$16:$F$116)-ROW($F$16)+1),ROW(A17))),"")</f>
        <v/>
      </c>
      <c r="K32" s="441" t="str">
        <f t="shared" ca="1" si="10"/>
        <v/>
      </c>
      <c r="L32" s="446" t="str">
        <f t="shared" ca="1" si="11"/>
        <v/>
      </c>
      <c r="M32" s="447" t="str">
        <f t="shared" ca="1" si="12"/>
        <v/>
      </c>
      <c r="N32" s="447" t="str">
        <f t="shared" ca="1" si="0"/>
        <v/>
      </c>
      <c r="O32" s="447" t="str">
        <f t="shared" ca="1" si="13"/>
        <v/>
      </c>
      <c r="P32" s="447" t="str">
        <f t="shared" ca="1" si="1"/>
        <v/>
      </c>
      <c r="Q32" s="447" t="str">
        <f t="shared" ca="1" si="14"/>
        <v/>
      </c>
      <c r="R32" s="447" t="str">
        <f t="shared" ca="1" si="2"/>
        <v/>
      </c>
      <c r="S32" s="447" t="str">
        <f t="shared" ca="1" si="15"/>
        <v/>
      </c>
      <c r="T32" s="448" t="str">
        <f t="shared" ca="1" si="3"/>
        <v/>
      </c>
      <c r="U32" s="1811" t="str">
        <f t="shared" ca="1" si="16"/>
        <v/>
      </c>
      <c r="V32" s="1812" t="str">
        <f t="shared" ca="1" si="17"/>
        <v/>
      </c>
      <c r="W32" s="1813" t="str">
        <f t="shared" ca="1" si="18"/>
        <v/>
      </c>
      <c r="X32" s="1813" t="str">
        <f t="shared" ca="1" si="18"/>
        <v/>
      </c>
      <c r="Y32" s="1813" t="str">
        <f t="shared" ca="1" si="18"/>
        <v/>
      </c>
      <c r="Z32" s="1813" t="str">
        <f t="shared" ca="1" si="18"/>
        <v/>
      </c>
      <c r="AA32" s="1813" t="str">
        <f t="shared" ca="1" si="18"/>
        <v/>
      </c>
      <c r="AB32" s="1813" t="str">
        <f t="shared" ca="1" si="18"/>
        <v/>
      </c>
      <c r="AC32" s="1813" t="str">
        <f t="shared" ca="1" si="18"/>
        <v/>
      </c>
      <c r="AD32" s="1813" t="str">
        <f t="shared" ca="1" si="18"/>
        <v/>
      </c>
      <c r="AE32" s="1813" t="str">
        <f t="shared" ca="1" si="18"/>
        <v/>
      </c>
      <c r="AF32" s="1814" t="str">
        <f t="shared" ca="1" si="18"/>
        <v/>
      </c>
    </row>
    <row r="33" spans="1:32" x14ac:dyDescent="0.4">
      <c r="A33" s="381">
        <v>18</v>
      </c>
      <c r="B33" s="435" t="b">
        <f t="shared" si="5"/>
        <v>0</v>
      </c>
      <c r="C33" s="440" t="str">
        <f t="shared" ca="1" si="6"/>
        <v/>
      </c>
      <c r="D33" s="818" t="str">
        <f t="shared" ca="1" si="7"/>
        <v/>
      </c>
      <c r="E33" s="818" t="str">
        <f t="shared" ca="1" si="8"/>
        <v/>
      </c>
      <c r="F33" s="210" t="str">
        <f t="shared" ca="1" si="9"/>
        <v/>
      </c>
      <c r="G33" s="442" t="str" cm="1">
        <f t="array" aca="1" ref="G33" ca="1">IFERROR(INDEX($C$16:$C$116,SMALL(IF($C$16:$C$116&lt;&gt;"",ROW($C$16:$C$116)-ROW($C$16)+1),ROW(A18))),"")</f>
        <v/>
      </c>
      <c r="H33" s="441" t="str" cm="1">
        <f t="array" aca="1" ref="H33" ca="1">IFERROR(INDEX($D$16:$D$116,SMALL(IF($D$16:$D$116&lt;&gt;"",ROW($D$16:$D$116)-ROW($D$16)+1),ROW(A18))),"")</f>
        <v/>
      </c>
      <c r="I33" s="441" t="str" cm="1">
        <f t="array" aca="1" ref="I33" ca="1">IFERROR(INDEX($E$16:$E$116,SMALL(IF($E$16:$E$116&lt;&gt;"",ROW($E$16:$E$116)-ROW($E$16)+1),ROW(A18))),"")</f>
        <v/>
      </c>
      <c r="J33" s="441" t="str" cm="1">
        <f t="array" aca="1" ref="J33" ca="1">IFERROR(INDEX($F$16:$F$116,SMALL(IF($F$16:$F$116&lt;&gt;"",ROW($F$16:$F$116)-ROW($F$16)+1),ROW(A18))),"")</f>
        <v/>
      </c>
      <c r="K33" s="441" t="str">
        <f t="shared" ca="1" si="10"/>
        <v/>
      </c>
      <c r="L33" s="446" t="str">
        <f t="shared" ca="1" si="11"/>
        <v/>
      </c>
      <c r="M33" s="447" t="str">
        <f t="shared" ca="1" si="12"/>
        <v/>
      </c>
      <c r="N33" s="447" t="str">
        <f t="shared" ca="1" si="0"/>
        <v/>
      </c>
      <c r="O33" s="447" t="str">
        <f t="shared" ca="1" si="13"/>
        <v/>
      </c>
      <c r="P33" s="447" t="str">
        <f t="shared" ca="1" si="1"/>
        <v/>
      </c>
      <c r="Q33" s="447" t="str">
        <f t="shared" ca="1" si="14"/>
        <v/>
      </c>
      <c r="R33" s="447" t="str">
        <f t="shared" ca="1" si="2"/>
        <v/>
      </c>
      <c r="S33" s="447" t="str">
        <f t="shared" ca="1" si="15"/>
        <v/>
      </c>
      <c r="T33" s="448" t="str">
        <f t="shared" ca="1" si="3"/>
        <v/>
      </c>
      <c r="U33" s="1811" t="str">
        <f t="shared" ca="1" si="16"/>
        <v/>
      </c>
      <c r="V33" s="1812" t="str">
        <f t="shared" ca="1" si="17"/>
        <v/>
      </c>
      <c r="W33" s="1813" t="str">
        <f t="shared" ca="1" si="18"/>
        <v/>
      </c>
      <c r="X33" s="1813" t="str">
        <f t="shared" ca="1" si="18"/>
        <v/>
      </c>
      <c r="Y33" s="1813" t="str">
        <f t="shared" ca="1" si="18"/>
        <v/>
      </c>
      <c r="Z33" s="1813" t="str">
        <f t="shared" ca="1" si="18"/>
        <v/>
      </c>
      <c r="AA33" s="1813" t="str">
        <f t="shared" ca="1" si="18"/>
        <v/>
      </c>
      <c r="AB33" s="1813" t="str">
        <f t="shared" ca="1" si="18"/>
        <v/>
      </c>
      <c r="AC33" s="1813" t="str">
        <f t="shared" ca="1" si="18"/>
        <v/>
      </c>
      <c r="AD33" s="1813" t="str">
        <f t="shared" ca="1" si="18"/>
        <v/>
      </c>
      <c r="AE33" s="1813" t="str">
        <f t="shared" ca="1" si="18"/>
        <v/>
      </c>
      <c r="AF33" s="1814" t="str">
        <f t="shared" ca="1" si="18"/>
        <v/>
      </c>
    </row>
    <row r="34" spans="1:32" x14ac:dyDescent="0.4">
      <c r="A34" s="381">
        <v>19</v>
      </c>
      <c r="B34" s="435" t="b">
        <f t="shared" si="5"/>
        <v>0</v>
      </c>
      <c r="C34" s="440" t="str">
        <f t="shared" ca="1" si="6"/>
        <v/>
      </c>
      <c r="D34" s="818" t="str">
        <f t="shared" ca="1" si="7"/>
        <v/>
      </c>
      <c r="E34" s="818" t="str">
        <f t="shared" ca="1" si="8"/>
        <v/>
      </c>
      <c r="F34" s="210" t="str">
        <f t="shared" ca="1" si="9"/>
        <v/>
      </c>
      <c r="G34" s="442" t="str" cm="1">
        <f t="array" aca="1" ref="G34" ca="1">IFERROR(INDEX($C$16:$C$116,SMALL(IF($C$16:$C$116&lt;&gt;"",ROW($C$16:$C$116)-ROW($C$16)+1),ROW(A19))),"")</f>
        <v/>
      </c>
      <c r="H34" s="441" t="str" cm="1">
        <f t="array" aca="1" ref="H34" ca="1">IFERROR(INDEX($D$16:$D$116,SMALL(IF($D$16:$D$116&lt;&gt;"",ROW($D$16:$D$116)-ROW($D$16)+1),ROW(A19))),"")</f>
        <v/>
      </c>
      <c r="I34" s="441" t="str" cm="1">
        <f t="array" aca="1" ref="I34" ca="1">IFERROR(INDEX($E$16:$E$116,SMALL(IF($E$16:$E$116&lt;&gt;"",ROW($E$16:$E$116)-ROW($E$16)+1),ROW(A19))),"")</f>
        <v/>
      </c>
      <c r="J34" s="441" t="str" cm="1">
        <f t="array" aca="1" ref="J34" ca="1">IFERROR(INDEX($F$16:$F$116,SMALL(IF($F$16:$F$116&lt;&gt;"",ROW($F$16:$F$116)-ROW($F$16)+1),ROW(A19))),"")</f>
        <v/>
      </c>
      <c r="K34" s="441" t="str">
        <f t="shared" ca="1" si="10"/>
        <v/>
      </c>
      <c r="L34" s="446" t="str">
        <f t="shared" ca="1" si="11"/>
        <v/>
      </c>
      <c r="M34" s="447" t="str">
        <f t="shared" ca="1" si="12"/>
        <v/>
      </c>
      <c r="N34" s="447" t="str">
        <f t="shared" ca="1" si="0"/>
        <v/>
      </c>
      <c r="O34" s="447" t="str">
        <f t="shared" ca="1" si="13"/>
        <v/>
      </c>
      <c r="P34" s="447" t="str">
        <f t="shared" ca="1" si="1"/>
        <v/>
      </c>
      <c r="Q34" s="447" t="str">
        <f t="shared" ca="1" si="14"/>
        <v/>
      </c>
      <c r="R34" s="447" t="str">
        <f t="shared" ca="1" si="2"/>
        <v/>
      </c>
      <c r="S34" s="447" t="str">
        <f t="shared" ca="1" si="15"/>
        <v/>
      </c>
      <c r="T34" s="448" t="str">
        <f t="shared" ca="1" si="3"/>
        <v/>
      </c>
      <c r="U34" s="1811" t="str">
        <f t="shared" ca="1" si="16"/>
        <v/>
      </c>
      <c r="V34" s="1812" t="str">
        <f t="shared" ca="1" si="17"/>
        <v/>
      </c>
      <c r="W34" s="1813" t="str">
        <f t="shared" ca="1" si="18"/>
        <v/>
      </c>
      <c r="X34" s="1813" t="str">
        <f t="shared" ca="1" si="18"/>
        <v/>
      </c>
      <c r="Y34" s="1813" t="str">
        <f t="shared" ca="1" si="18"/>
        <v/>
      </c>
      <c r="Z34" s="1813" t="str">
        <f t="shared" ca="1" si="18"/>
        <v/>
      </c>
      <c r="AA34" s="1813" t="str">
        <f t="shared" ca="1" si="18"/>
        <v/>
      </c>
      <c r="AB34" s="1813" t="str">
        <f t="shared" ca="1" si="18"/>
        <v/>
      </c>
      <c r="AC34" s="1813" t="str">
        <f t="shared" ca="1" si="18"/>
        <v/>
      </c>
      <c r="AD34" s="1813" t="str">
        <f t="shared" ca="1" si="18"/>
        <v/>
      </c>
      <c r="AE34" s="1813" t="str">
        <f t="shared" ca="1" si="18"/>
        <v/>
      </c>
      <c r="AF34" s="1814" t="str">
        <f t="shared" ca="1" si="18"/>
        <v/>
      </c>
    </row>
    <row r="35" spans="1:32" x14ac:dyDescent="0.4">
      <c r="A35" s="381">
        <v>20</v>
      </c>
      <c r="B35" s="435" t="b">
        <f t="shared" si="5"/>
        <v>0</v>
      </c>
      <c r="C35" s="440" t="str">
        <f t="shared" ca="1" si="6"/>
        <v/>
      </c>
      <c r="D35" s="818" t="str">
        <f t="shared" ca="1" si="7"/>
        <v/>
      </c>
      <c r="E35" s="818" t="str">
        <f t="shared" ca="1" si="8"/>
        <v/>
      </c>
      <c r="F35" s="210" t="str">
        <f t="shared" ca="1" si="9"/>
        <v/>
      </c>
      <c r="G35" s="442" t="str" cm="1">
        <f t="array" aca="1" ref="G35" ca="1">IFERROR(INDEX($C$16:$C$116,SMALL(IF($C$16:$C$116&lt;&gt;"",ROW($C$16:$C$116)-ROW($C$16)+1),ROW(A20))),"")</f>
        <v/>
      </c>
      <c r="H35" s="441" t="str" cm="1">
        <f t="array" aca="1" ref="H35" ca="1">IFERROR(INDEX($D$16:$D$116,SMALL(IF($D$16:$D$116&lt;&gt;"",ROW($D$16:$D$116)-ROW($D$16)+1),ROW(A20))),"")</f>
        <v/>
      </c>
      <c r="I35" s="441" t="str" cm="1">
        <f t="array" aca="1" ref="I35" ca="1">IFERROR(INDEX($E$16:$E$116,SMALL(IF($E$16:$E$116&lt;&gt;"",ROW($E$16:$E$116)-ROW($E$16)+1),ROW(A20))),"")</f>
        <v/>
      </c>
      <c r="J35" s="441" t="str" cm="1">
        <f t="array" aca="1" ref="J35" ca="1">IFERROR(INDEX($F$16:$F$116,SMALL(IF($F$16:$F$116&lt;&gt;"",ROW($F$16:$F$116)-ROW($F$16)+1),ROW(A20))),"")</f>
        <v/>
      </c>
      <c r="K35" s="441" t="str">
        <f t="shared" ca="1" si="10"/>
        <v/>
      </c>
      <c r="L35" s="446" t="str">
        <f t="shared" ca="1" si="11"/>
        <v/>
      </c>
      <c r="M35" s="447" t="str">
        <f t="shared" ca="1" si="12"/>
        <v/>
      </c>
      <c r="N35" s="447" t="str">
        <f t="shared" ca="1" si="0"/>
        <v/>
      </c>
      <c r="O35" s="447" t="str">
        <f t="shared" ca="1" si="13"/>
        <v/>
      </c>
      <c r="P35" s="447" t="str">
        <f t="shared" ca="1" si="1"/>
        <v/>
      </c>
      <c r="Q35" s="447" t="str">
        <f t="shared" ca="1" si="14"/>
        <v/>
      </c>
      <c r="R35" s="447" t="str">
        <f t="shared" ca="1" si="2"/>
        <v/>
      </c>
      <c r="S35" s="447" t="str">
        <f t="shared" ca="1" si="15"/>
        <v/>
      </c>
      <c r="T35" s="448" t="str">
        <f t="shared" ca="1" si="3"/>
        <v/>
      </c>
      <c r="U35" s="1811" t="str">
        <f t="shared" ca="1" si="16"/>
        <v/>
      </c>
      <c r="V35" s="1812" t="str">
        <f t="shared" ca="1" si="17"/>
        <v/>
      </c>
      <c r="W35" s="1813" t="str">
        <f t="shared" ca="1" si="18"/>
        <v/>
      </c>
      <c r="X35" s="1813" t="str">
        <f t="shared" ca="1" si="18"/>
        <v/>
      </c>
      <c r="Y35" s="1813" t="str">
        <f t="shared" ca="1" si="18"/>
        <v/>
      </c>
      <c r="Z35" s="1813" t="str">
        <f t="shared" ca="1" si="18"/>
        <v/>
      </c>
      <c r="AA35" s="1813" t="str">
        <f t="shared" ca="1" si="18"/>
        <v/>
      </c>
      <c r="AB35" s="1813" t="str">
        <f t="shared" ca="1" si="18"/>
        <v/>
      </c>
      <c r="AC35" s="1813" t="str">
        <f t="shared" ca="1" si="18"/>
        <v/>
      </c>
      <c r="AD35" s="1813" t="str">
        <f t="shared" ca="1" si="18"/>
        <v/>
      </c>
      <c r="AE35" s="1813" t="str">
        <f t="shared" ca="1" si="18"/>
        <v/>
      </c>
      <c r="AF35" s="1814" t="str">
        <f t="shared" ca="1" si="18"/>
        <v/>
      </c>
    </row>
    <row r="36" spans="1:32" x14ac:dyDescent="0.4">
      <c r="A36" s="381">
        <v>21</v>
      </c>
      <c r="B36" s="435" t="b">
        <f t="shared" si="5"/>
        <v>1</v>
      </c>
      <c r="C36" s="440" t="str">
        <f t="shared" ca="1" si="6"/>
        <v>A2_P100_Q_Grav</v>
      </c>
      <c r="D36" s="818" t="str">
        <f t="shared" ca="1" si="7"/>
        <v>A2</v>
      </c>
      <c r="E36" s="818" t="str">
        <f t="shared" ca="1" si="8"/>
        <v>Débitmètre gravitaire</v>
      </c>
      <c r="F36" s="210" t="str">
        <f t="shared" ca="1" si="9"/>
        <v>Hauteur/Vitesse</v>
      </c>
      <c r="G36" s="442" t="str" cm="1">
        <f t="array" aca="1" ref="G36" ca="1">IFERROR(INDEX($C$16:$C$116,SMALL(IF($C$16:$C$116&lt;&gt;"",ROW($C$16:$C$116)-ROW($C$16)+1),ROW(A21))),"")</f>
        <v/>
      </c>
      <c r="H36" s="441" t="str" cm="1">
        <f t="array" aca="1" ref="H36" ca="1">IFERROR(INDEX($D$16:$D$116,SMALL(IF($D$16:$D$116&lt;&gt;"",ROW($D$16:$D$116)-ROW($D$16)+1),ROW(A21))),"")</f>
        <v/>
      </c>
      <c r="I36" s="441" t="str" cm="1">
        <f t="array" aca="1" ref="I36" ca="1">IFERROR(INDEX($E$16:$E$116,SMALL(IF($E$16:$E$116&lt;&gt;"",ROW($E$16:$E$116)-ROW($E$16)+1),ROW(A21))),"")</f>
        <v/>
      </c>
      <c r="J36" s="441" t="str" cm="1">
        <f t="array" aca="1" ref="J36" ca="1">IFERROR(INDEX($F$16:$F$116,SMALL(IF($F$16:$F$116&lt;&gt;"",ROW($F$16:$F$116)-ROW($F$16)+1),ROW(A21))),"")</f>
        <v/>
      </c>
      <c r="K36" s="441" t="str">
        <f t="shared" ca="1" si="10"/>
        <v/>
      </c>
      <c r="L36" s="446" t="str">
        <f t="shared" ca="1" si="11"/>
        <v/>
      </c>
      <c r="M36" s="447" t="str">
        <f t="shared" ca="1" si="12"/>
        <v/>
      </c>
      <c r="N36" s="447" t="str">
        <f t="shared" ca="1" si="0"/>
        <v/>
      </c>
      <c r="O36" s="447" t="str">
        <f t="shared" ca="1" si="13"/>
        <v/>
      </c>
      <c r="P36" s="447" t="str">
        <f t="shared" ca="1" si="1"/>
        <v/>
      </c>
      <c r="Q36" s="447" t="str">
        <f t="shared" ca="1" si="14"/>
        <v/>
      </c>
      <c r="R36" s="447" t="str">
        <f t="shared" ca="1" si="2"/>
        <v/>
      </c>
      <c r="S36" s="447" t="str">
        <f t="shared" ca="1" si="15"/>
        <v/>
      </c>
      <c r="T36" s="448" t="str">
        <f t="shared" ca="1" si="3"/>
        <v/>
      </c>
      <c r="U36" s="1811" t="str">
        <f t="shared" ca="1" si="16"/>
        <v/>
      </c>
      <c r="V36" s="1812" t="str">
        <f t="shared" ca="1" si="17"/>
        <v/>
      </c>
      <c r="W36" s="1813" t="str">
        <f t="shared" ca="1" si="18"/>
        <v/>
      </c>
      <c r="X36" s="1813" t="str">
        <f t="shared" ca="1" si="18"/>
        <v/>
      </c>
      <c r="Y36" s="1813" t="str">
        <f t="shared" ca="1" si="18"/>
        <v/>
      </c>
      <c r="Z36" s="1813" t="str">
        <f t="shared" ca="1" si="18"/>
        <v/>
      </c>
      <c r="AA36" s="1813" t="str">
        <f t="shared" ca="1" si="18"/>
        <v/>
      </c>
      <c r="AB36" s="1813" t="str">
        <f t="shared" ca="1" si="18"/>
        <v/>
      </c>
      <c r="AC36" s="1813" t="str">
        <f t="shared" ca="1" si="18"/>
        <v/>
      </c>
      <c r="AD36" s="1813" t="str">
        <f t="shared" ca="1" si="18"/>
        <v/>
      </c>
      <c r="AE36" s="1813" t="str">
        <f t="shared" ca="1" si="18"/>
        <v/>
      </c>
      <c r="AF36" s="1814" t="str">
        <f t="shared" ca="1" si="18"/>
        <v/>
      </c>
    </row>
    <row r="37" spans="1:32" x14ac:dyDescent="0.4">
      <c r="A37" s="381">
        <v>22</v>
      </c>
      <c r="B37" s="435" t="b">
        <f t="shared" si="5"/>
        <v>1</v>
      </c>
      <c r="C37" s="440" t="str">
        <f t="shared" ca="1" si="6"/>
        <v>A3_P102_Q_DEM</v>
      </c>
      <c r="D37" s="818" t="str">
        <f t="shared" ca="1" si="7"/>
        <v>A3</v>
      </c>
      <c r="E37" s="818" t="str">
        <f t="shared" ca="1" si="8"/>
        <v>Débitmètre en charge</v>
      </c>
      <c r="F37" s="210" t="str">
        <f t="shared" ca="1" si="9"/>
        <v>Débitmètre électromagnétique (eau)</v>
      </c>
      <c r="G37" s="442" t="str" cm="1">
        <f t="array" aca="1" ref="G37" ca="1">IFERROR(INDEX($C$16:$C$116,SMALL(IF($C$16:$C$116&lt;&gt;"",ROW($C$16:$C$116)-ROW($C$16)+1),ROW(A22))),"")</f>
        <v/>
      </c>
      <c r="H37" s="441" t="str" cm="1">
        <f t="array" aca="1" ref="H37" ca="1">IFERROR(INDEX($D$16:$D$116,SMALL(IF($D$16:$D$116&lt;&gt;"",ROW($D$16:$D$116)-ROW($D$16)+1),ROW(A22))),"")</f>
        <v/>
      </c>
      <c r="I37" s="441" t="str" cm="1">
        <f t="array" aca="1" ref="I37" ca="1">IFERROR(INDEX($E$16:$E$116,SMALL(IF($E$16:$E$116&lt;&gt;"",ROW($E$16:$E$116)-ROW($E$16)+1),ROW(A22))),"")</f>
        <v/>
      </c>
      <c r="J37" s="441" t="str" cm="1">
        <f t="array" aca="1" ref="J37" ca="1">IFERROR(INDEX($F$16:$F$116,SMALL(IF($F$16:$F$116&lt;&gt;"",ROW($F$16:$F$116)-ROW($F$16)+1),ROW(A22))),"")</f>
        <v/>
      </c>
      <c r="K37" s="441" t="str">
        <f t="shared" ca="1" si="10"/>
        <v/>
      </c>
      <c r="L37" s="446" t="str">
        <f t="shared" ca="1" si="11"/>
        <v/>
      </c>
      <c r="M37" s="447" t="str">
        <f t="shared" ca="1" si="12"/>
        <v/>
      </c>
      <c r="N37" s="447" t="str">
        <f t="shared" ca="1" si="0"/>
        <v/>
      </c>
      <c r="O37" s="447" t="str">
        <f t="shared" ca="1" si="13"/>
        <v/>
      </c>
      <c r="P37" s="447" t="str">
        <f t="shared" ca="1" si="1"/>
        <v/>
      </c>
      <c r="Q37" s="447" t="str">
        <f t="shared" ca="1" si="14"/>
        <v/>
      </c>
      <c r="R37" s="447" t="str">
        <f t="shared" ca="1" si="2"/>
        <v/>
      </c>
      <c r="S37" s="447" t="str">
        <f t="shared" ca="1" si="15"/>
        <v/>
      </c>
      <c r="T37" s="448" t="str">
        <f t="shared" ca="1" si="3"/>
        <v/>
      </c>
      <c r="U37" s="1811" t="str">
        <f t="shared" ca="1" si="16"/>
        <v/>
      </c>
      <c r="V37" s="1812" t="str">
        <f t="shared" ca="1" si="17"/>
        <v/>
      </c>
      <c r="W37" s="1813" t="str">
        <f t="shared" ca="1" si="18"/>
        <v/>
      </c>
      <c r="X37" s="1813" t="str">
        <f t="shared" ca="1" si="18"/>
        <v/>
      </c>
      <c r="Y37" s="1813" t="str">
        <f t="shared" ca="1" si="18"/>
        <v/>
      </c>
      <c r="Z37" s="1813" t="str">
        <f t="shared" ca="1" si="18"/>
        <v/>
      </c>
      <c r="AA37" s="1813" t="str">
        <f t="shared" ca="1" si="18"/>
        <v/>
      </c>
      <c r="AB37" s="1813" t="str">
        <f t="shared" ca="1" si="18"/>
        <v/>
      </c>
      <c r="AC37" s="1813" t="str">
        <f t="shared" ca="1" si="18"/>
        <v/>
      </c>
      <c r="AD37" s="1813" t="str">
        <f t="shared" ca="1" si="18"/>
        <v/>
      </c>
      <c r="AE37" s="1813" t="str">
        <f t="shared" ca="1" si="18"/>
        <v/>
      </c>
      <c r="AF37" s="1814" t="str">
        <f t="shared" ca="1" si="18"/>
        <v/>
      </c>
    </row>
    <row r="38" spans="1:32" x14ac:dyDescent="0.4">
      <c r="A38" s="381">
        <v>23</v>
      </c>
      <c r="B38" s="435" t="b">
        <f t="shared" si="5"/>
        <v>1</v>
      </c>
      <c r="C38" s="440" t="str">
        <f t="shared" ca="1" si="6"/>
        <v>A3_P102_PREL</v>
      </c>
      <c r="D38" s="818" t="str">
        <f t="shared" ca="1" si="7"/>
        <v>A3</v>
      </c>
      <c r="E38" s="818" t="str">
        <f t="shared" ca="1" si="8"/>
        <v>Préleveur</v>
      </c>
      <c r="F38" s="210" t="str">
        <f t="shared" ca="1" si="9"/>
        <v>Préleveur Automatique</v>
      </c>
      <c r="G38" s="442" t="str" cm="1">
        <f t="array" aca="1" ref="G38" ca="1">IFERROR(INDEX($C$16:$C$116,SMALL(IF($C$16:$C$116&lt;&gt;"",ROW($C$16:$C$116)-ROW($C$16)+1),ROW(A23))),"")</f>
        <v/>
      </c>
      <c r="H38" s="441" t="str" cm="1">
        <f t="array" aca="1" ref="H38" ca="1">IFERROR(INDEX($D$16:$D$116,SMALL(IF($D$16:$D$116&lt;&gt;"",ROW($D$16:$D$116)-ROW($D$16)+1),ROW(A23))),"")</f>
        <v/>
      </c>
      <c r="I38" s="441" t="str" cm="1">
        <f t="array" aca="1" ref="I38" ca="1">IFERROR(INDEX($E$16:$E$116,SMALL(IF($E$16:$E$116&lt;&gt;"",ROW($E$16:$E$116)-ROW($E$16)+1),ROW(A23))),"")</f>
        <v/>
      </c>
      <c r="J38" s="441" t="str" cm="1">
        <f t="array" aca="1" ref="J38" ca="1">IFERROR(INDEX($F$16:$F$116,SMALL(IF($F$16:$F$116&lt;&gt;"",ROW($F$16:$F$116)-ROW($F$16)+1),ROW(A23))),"")</f>
        <v/>
      </c>
      <c r="K38" s="441" t="str">
        <f t="shared" ca="1" si="10"/>
        <v/>
      </c>
      <c r="L38" s="446" t="str">
        <f t="shared" ca="1" si="11"/>
        <v/>
      </c>
      <c r="M38" s="447" t="str">
        <f t="shared" ca="1" si="12"/>
        <v/>
      </c>
      <c r="N38" s="447" t="str">
        <f t="shared" ca="1" si="0"/>
        <v/>
      </c>
      <c r="O38" s="447" t="str">
        <f t="shared" ca="1" si="13"/>
        <v/>
      </c>
      <c r="P38" s="447" t="str">
        <f t="shared" ca="1" si="1"/>
        <v/>
      </c>
      <c r="Q38" s="447" t="str">
        <f t="shared" ca="1" si="14"/>
        <v/>
      </c>
      <c r="R38" s="447" t="str">
        <f t="shared" ca="1" si="2"/>
        <v/>
      </c>
      <c r="S38" s="447" t="str">
        <f t="shared" ca="1" si="15"/>
        <v/>
      </c>
      <c r="T38" s="448" t="str">
        <f t="shared" ca="1" si="3"/>
        <v/>
      </c>
      <c r="U38" s="1811" t="str">
        <f t="shared" ca="1" si="16"/>
        <v/>
      </c>
      <c r="V38" s="1812" t="str">
        <f t="shared" ca="1" si="17"/>
        <v/>
      </c>
      <c r="W38" s="1813" t="str">
        <f t="shared" ca="1" si="18"/>
        <v/>
      </c>
      <c r="X38" s="1813" t="str">
        <f t="shared" ca="1" si="18"/>
        <v/>
      </c>
      <c r="Y38" s="1813" t="str">
        <f t="shared" ca="1" si="18"/>
        <v/>
      </c>
      <c r="Z38" s="1813" t="str">
        <f t="shared" ca="1" si="18"/>
        <v/>
      </c>
      <c r="AA38" s="1813" t="str">
        <f t="shared" ca="1" si="18"/>
        <v/>
      </c>
      <c r="AB38" s="1813" t="str">
        <f t="shared" ca="1" si="18"/>
        <v/>
      </c>
      <c r="AC38" s="1813" t="str">
        <f t="shared" ca="1" si="18"/>
        <v/>
      </c>
      <c r="AD38" s="1813" t="str">
        <f t="shared" ca="1" si="18"/>
        <v/>
      </c>
      <c r="AE38" s="1813" t="str">
        <f t="shared" ca="1" si="18"/>
        <v/>
      </c>
      <c r="AF38" s="1814" t="str">
        <f t="shared" ca="1" si="18"/>
        <v/>
      </c>
    </row>
    <row r="39" spans="1:32" x14ac:dyDescent="0.4">
      <c r="A39" s="381">
        <v>24</v>
      </c>
      <c r="B39" s="435" t="b">
        <f t="shared" si="5"/>
        <v>1</v>
      </c>
      <c r="C39" s="440" t="str">
        <f t="shared" ca="1" si="6"/>
        <v>A4_P103_Q_Grav</v>
      </c>
      <c r="D39" s="818" t="str">
        <f t="shared" ca="1" si="7"/>
        <v>A4</v>
      </c>
      <c r="E39" s="818" t="str">
        <f t="shared" ca="1" si="8"/>
        <v>Débitmètre gravitaire</v>
      </c>
      <c r="F39" s="210" t="str">
        <f t="shared" ca="1" si="9"/>
        <v>Canal Venturi</v>
      </c>
      <c r="G39" s="442" t="str" cm="1">
        <f t="array" aca="1" ref="G39" ca="1">IFERROR(INDEX($C$16:$C$116,SMALL(IF($C$16:$C$116&lt;&gt;"",ROW($C$16:$C$116)-ROW($C$16)+1),ROW(A24))),"")</f>
        <v/>
      </c>
      <c r="H39" s="441" t="str" cm="1">
        <f t="array" aca="1" ref="H39" ca="1">IFERROR(INDEX($D$16:$D$116,SMALL(IF($D$16:$D$116&lt;&gt;"",ROW($D$16:$D$116)-ROW($D$16)+1),ROW(A24))),"")</f>
        <v/>
      </c>
      <c r="I39" s="441" t="str" cm="1">
        <f t="array" aca="1" ref="I39" ca="1">IFERROR(INDEX($E$16:$E$116,SMALL(IF($E$16:$E$116&lt;&gt;"",ROW($E$16:$E$116)-ROW($E$16)+1),ROW(A24))),"")</f>
        <v/>
      </c>
      <c r="J39" s="441" t="str" cm="1">
        <f t="array" aca="1" ref="J39" ca="1">IFERROR(INDEX($F$16:$F$116,SMALL(IF($F$16:$F$116&lt;&gt;"",ROW($F$16:$F$116)-ROW($F$16)+1),ROW(A24))),"")</f>
        <v/>
      </c>
      <c r="K39" s="441" t="str">
        <f t="shared" ca="1" si="10"/>
        <v/>
      </c>
      <c r="L39" s="446" t="str">
        <f t="shared" ca="1" si="11"/>
        <v/>
      </c>
      <c r="M39" s="447" t="str">
        <f t="shared" ca="1" si="12"/>
        <v/>
      </c>
      <c r="N39" s="447" t="str">
        <f t="shared" ca="1" si="0"/>
        <v/>
      </c>
      <c r="O39" s="447" t="str">
        <f t="shared" ca="1" si="13"/>
        <v/>
      </c>
      <c r="P39" s="447" t="str">
        <f t="shared" ca="1" si="1"/>
        <v/>
      </c>
      <c r="Q39" s="447" t="str">
        <f t="shared" ca="1" si="14"/>
        <v/>
      </c>
      <c r="R39" s="447" t="str">
        <f t="shared" ca="1" si="2"/>
        <v/>
      </c>
      <c r="S39" s="447" t="str">
        <f t="shared" ca="1" si="15"/>
        <v/>
      </c>
      <c r="T39" s="448" t="str">
        <f t="shared" ca="1" si="3"/>
        <v/>
      </c>
      <c r="U39" s="1811" t="str">
        <f t="shared" ca="1" si="16"/>
        <v/>
      </c>
      <c r="V39" s="1812" t="str">
        <f t="shared" ca="1" si="17"/>
        <v/>
      </c>
      <c r="W39" s="1813" t="str">
        <f t="shared" ca="1" si="18"/>
        <v/>
      </c>
      <c r="X39" s="1813" t="str">
        <f t="shared" ca="1" si="18"/>
        <v/>
      </c>
      <c r="Y39" s="1813" t="str">
        <f t="shared" ca="1" si="18"/>
        <v/>
      </c>
      <c r="Z39" s="1813" t="str">
        <f t="shared" ca="1" si="18"/>
        <v/>
      </c>
      <c r="AA39" s="1813" t="str">
        <f t="shared" ca="1" si="18"/>
        <v/>
      </c>
      <c r="AB39" s="1813" t="str">
        <f t="shared" ca="1" si="18"/>
        <v/>
      </c>
      <c r="AC39" s="1813" t="str">
        <f t="shared" ca="1" si="18"/>
        <v/>
      </c>
      <c r="AD39" s="1813" t="str">
        <f t="shared" ca="1" si="18"/>
        <v/>
      </c>
      <c r="AE39" s="1813" t="str">
        <f t="shared" ca="1" si="18"/>
        <v/>
      </c>
      <c r="AF39" s="1814" t="str">
        <f t="shared" ca="1" si="18"/>
        <v/>
      </c>
    </row>
    <row r="40" spans="1:32" x14ac:dyDescent="0.4">
      <c r="A40" s="381">
        <v>25</v>
      </c>
      <c r="B40" s="435" t="b">
        <f t="shared" si="5"/>
        <v>1</v>
      </c>
      <c r="C40" s="440" t="str">
        <f t="shared" ca="1" si="6"/>
        <v>A4_P103_PREL</v>
      </c>
      <c r="D40" s="818" t="str">
        <f t="shared" ca="1" si="7"/>
        <v>A4</v>
      </c>
      <c r="E40" s="818" t="str">
        <f t="shared" ca="1" si="8"/>
        <v>Préleveur</v>
      </c>
      <c r="F40" s="210" t="str">
        <f t="shared" ca="1" si="9"/>
        <v>Préleveur Automatique</v>
      </c>
      <c r="G40" s="442" t="str" cm="1">
        <f t="array" aca="1" ref="G40" ca="1">IFERROR(INDEX($C$16:$C$116,SMALL(IF($C$16:$C$116&lt;&gt;"",ROW($C$16:$C$116)-ROW($C$16)+1),ROW(A25))),"")</f>
        <v/>
      </c>
      <c r="H40" s="441" t="str" cm="1">
        <f t="array" aca="1" ref="H40" ca="1">IFERROR(INDEX($D$16:$D$116,SMALL(IF($D$16:$D$116&lt;&gt;"",ROW($D$16:$D$116)-ROW($D$16)+1),ROW(A25))),"")</f>
        <v/>
      </c>
      <c r="I40" s="441" t="str" cm="1">
        <f t="array" aca="1" ref="I40" ca="1">IFERROR(INDEX($E$16:$E$116,SMALL(IF($E$16:$E$116&lt;&gt;"",ROW($E$16:$E$116)-ROW($E$16)+1),ROW(A25))),"")</f>
        <v/>
      </c>
      <c r="J40" s="441" t="str" cm="1">
        <f t="array" aca="1" ref="J40" ca="1">IFERROR(INDEX($F$16:$F$116,SMALL(IF($F$16:$F$116&lt;&gt;"",ROW($F$16:$F$116)-ROW($F$16)+1),ROW(A25))),"")</f>
        <v/>
      </c>
      <c r="K40" s="441" t="str">
        <f t="shared" ca="1" si="10"/>
        <v/>
      </c>
      <c r="L40" s="446" t="str">
        <f t="shared" ca="1" si="11"/>
        <v/>
      </c>
      <c r="M40" s="447" t="str">
        <f t="shared" ca="1" si="12"/>
        <v/>
      </c>
      <c r="N40" s="447" t="str">
        <f t="shared" ca="1" si="0"/>
        <v/>
      </c>
      <c r="O40" s="447" t="str">
        <f t="shared" ca="1" si="13"/>
        <v/>
      </c>
      <c r="P40" s="447" t="str">
        <f t="shared" ca="1" si="1"/>
        <v/>
      </c>
      <c r="Q40" s="447" t="str">
        <f t="shared" ca="1" si="14"/>
        <v/>
      </c>
      <c r="R40" s="447" t="str">
        <f t="shared" ca="1" si="2"/>
        <v/>
      </c>
      <c r="S40" s="447" t="str">
        <f t="shared" ca="1" si="15"/>
        <v/>
      </c>
      <c r="T40" s="448" t="str">
        <f t="shared" ca="1" si="3"/>
        <v/>
      </c>
      <c r="U40" s="1811" t="str">
        <f t="shared" ca="1" si="16"/>
        <v/>
      </c>
      <c r="V40" s="1812" t="str">
        <f t="shared" ca="1" si="17"/>
        <v/>
      </c>
      <c r="W40" s="1813" t="str">
        <f t="shared" ca="1" si="18"/>
        <v/>
      </c>
      <c r="X40" s="1813" t="str">
        <f t="shared" ca="1" si="18"/>
        <v/>
      </c>
      <c r="Y40" s="1813" t="str">
        <f t="shared" ca="1" si="18"/>
        <v/>
      </c>
      <c r="Z40" s="1813" t="str">
        <f t="shared" ca="1" si="18"/>
        <v/>
      </c>
      <c r="AA40" s="1813" t="str">
        <f t="shared" ca="1" si="18"/>
        <v/>
      </c>
      <c r="AB40" s="1813" t="str">
        <f t="shared" ca="1" si="18"/>
        <v/>
      </c>
      <c r="AC40" s="1813" t="str">
        <f t="shared" ca="1" si="18"/>
        <v/>
      </c>
      <c r="AD40" s="1813" t="str">
        <f t="shared" ca="1" si="18"/>
        <v/>
      </c>
      <c r="AE40" s="1813" t="str">
        <f t="shared" ca="1" si="18"/>
        <v/>
      </c>
      <c r="AF40" s="1814" t="str">
        <f t="shared" ca="1" si="18"/>
        <v/>
      </c>
    </row>
    <row r="41" spans="1:32" x14ac:dyDescent="0.4">
      <c r="A41" s="381">
        <v>26</v>
      </c>
      <c r="B41" s="435" t="b">
        <f t="shared" si="5"/>
        <v>1</v>
      </c>
      <c r="C41" s="440" t="str">
        <f t="shared" ca="1" si="6"/>
        <v>A6_P104_Q_DEM</v>
      </c>
      <c r="D41" s="818" t="str">
        <f t="shared" ca="1" si="7"/>
        <v>A6</v>
      </c>
      <c r="E41" s="818" t="str">
        <f t="shared" ca="1" si="8"/>
        <v>Débitmètre en charge</v>
      </c>
      <c r="F41" s="210" t="str">
        <f t="shared" ca="1" si="9"/>
        <v>Débitmètre électromagnétique (boue/MDV)</v>
      </c>
      <c r="G41" s="442" t="str" cm="1">
        <f t="array" aca="1" ref="G41" ca="1">IFERROR(INDEX($C$16:$C$116,SMALL(IF($C$16:$C$116&lt;&gt;"",ROW($C$16:$C$116)-ROW($C$16)+1),ROW(A26))),"")</f>
        <v/>
      </c>
      <c r="H41" s="441" t="str" cm="1">
        <f t="array" aca="1" ref="H41" ca="1">IFERROR(INDEX($D$16:$D$116,SMALL(IF($D$16:$D$116&lt;&gt;"",ROW($D$16:$D$116)-ROW($D$16)+1),ROW(A26))),"")</f>
        <v/>
      </c>
      <c r="I41" s="441" t="str" cm="1">
        <f t="array" aca="1" ref="I41" ca="1">IFERROR(INDEX($E$16:$E$116,SMALL(IF($E$16:$E$116&lt;&gt;"",ROW($E$16:$E$116)-ROW($E$16)+1),ROW(A26))),"")</f>
        <v/>
      </c>
      <c r="J41" s="441" t="str" cm="1">
        <f t="array" aca="1" ref="J41" ca="1">IFERROR(INDEX($F$16:$F$116,SMALL(IF($F$16:$F$116&lt;&gt;"",ROW($F$16:$F$116)-ROW($F$16)+1),ROW(A26))),"")</f>
        <v/>
      </c>
      <c r="K41" s="441" t="str">
        <f t="shared" ca="1" si="10"/>
        <v/>
      </c>
      <c r="L41" s="446" t="str">
        <f t="shared" ca="1" si="11"/>
        <v/>
      </c>
      <c r="M41" s="447" t="str">
        <f t="shared" ca="1" si="12"/>
        <v/>
      </c>
      <c r="N41" s="447" t="str">
        <f t="shared" ca="1" si="0"/>
        <v/>
      </c>
      <c r="O41" s="447" t="str">
        <f t="shared" ca="1" si="13"/>
        <v/>
      </c>
      <c r="P41" s="447" t="str">
        <f t="shared" ca="1" si="1"/>
        <v/>
      </c>
      <c r="Q41" s="447" t="str">
        <f t="shared" ca="1" si="14"/>
        <v/>
      </c>
      <c r="R41" s="447" t="str">
        <f t="shared" ca="1" si="2"/>
        <v/>
      </c>
      <c r="S41" s="447" t="str">
        <f t="shared" ca="1" si="15"/>
        <v/>
      </c>
      <c r="T41" s="448" t="str">
        <f t="shared" ca="1" si="3"/>
        <v/>
      </c>
      <c r="U41" s="1811" t="str">
        <f t="shared" ca="1" si="16"/>
        <v/>
      </c>
      <c r="V41" s="1812" t="str">
        <f t="shared" ca="1" si="17"/>
        <v/>
      </c>
      <c r="W41" s="1813" t="str">
        <f t="shared" ca="1" si="18"/>
        <v/>
      </c>
      <c r="X41" s="1813" t="str">
        <f t="shared" ca="1" si="18"/>
        <v/>
      </c>
      <c r="Y41" s="1813" t="str">
        <f t="shared" ca="1" si="18"/>
        <v/>
      </c>
      <c r="Z41" s="1813" t="str">
        <f t="shared" ca="1" si="18"/>
        <v/>
      </c>
      <c r="AA41" s="1813" t="str">
        <f t="shared" ca="1" si="18"/>
        <v/>
      </c>
      <c r="AB41" s="1813" t="str">
        <f t="shared" ca="1" si="18"/>
        <v/>
      </c>
      <c r="AC41" s="1813" t="str">
        <f t="shared" ca="1" si="18"/>
        <v/>
      </c>
      <c r="AD41" s="1813" t="str">
        <f t="shared" ca="1" si="18"/>
        <v/>
      </c>
      <c r="AE41" s="1813" t="str">
        <f t="shared" ca="1" si="18"/>
        <v/>
      </c>
      <c r="AF41" s="1814" t="str">
        <f t="shared" ca="1" si="18"/>
        <v/>
      </c>
    </row>
    <row r="42" spans="1:32" x14ac:dyDescent="0.4">
      <c r="A42" s="381">
        <v>27</v>
      </c>
      <c r="B42" s="435" t="b">
        <f t="shared" si="5"/>
        <v>1</v>
      </c>
      <c r="C42" s="440" t="str">
        <f t="shared" ca="1" si="6"/>
        <v>A4_P103_TEMP</v>
      </c>
      <c r="D42" s="818" t="str">
        <f t="shared" ca="1" si="7"/>
        <v>A4</v>
      </c>
      <c r="E42" s="818" t="str">
        <f t="shared" ca="1" si="8"/>
        <v>Sonde de température</v>
      </c>
      <c r="F42" s="210">
        <f t="shared" ca="1" si="9"/>
        <v>0</v>
      </c>
      <c r="G42" s="442" t="str" cm="1">
        <f t="array" aca="1" ref="G42" ca="1">IFERROR(INDEX($C$16:$C$116,SMALL(IF($C$16:$C$116&lt;&gt;"",ROW($C$16:$C$116)-ROW($C$16)+1),ROW(A27))),"")</f>
        <v/>
      </c>
      <c r="H42" s="441" t="str" cm="1">
        <f t="array" aca="1" ref="H42" ca="1">IFERROR(INDEX($D$16:$D$116,SMALL(IF($D$16:$D$116&lt;&gt;"",ROW($D$16:$D$116)-ROW($D$16)+1),ROW(A27))),"")</f>
        <v/>
      </c>
      <c r="I42" s="441" t="str" cm="1">
        <f t="array" aca="1" ref="I42" ca="1">IFERROR(INDEX($E$16:$E$116,SMALL(IF($E$16:$E$116&lt;&gt;"",ROW($E$16:$E$116)-ROW($E$16)+1),ROW(A27))),"")</f>
        <v/>
      </c>
      <c r="J42" s="441" t="str" cm="1">
        <f t="array" aca="1" ref="J42" ca="1">IFERROR(INDEX($F$16:$F$116,SMALL(IF($F$16:$F$116&lt;&gt;"",ROW($F$16:$F$116)-ROW($F$16)+1),ROW(A27))),"")</f>
        <v/>
      </c>
      <c r="K42" s="441" t="str">
        <f t="shared" ca="1" si="10"/>
        <v/>
      </c>
      <c r="L42" s="446" t="str">
        <f t="shared" ca="1" si="11"/>
        <v/>
      </c>
      <c r="M42" s="447" t="str">
        <f t="shared" ca="1" si="12"/>
        <v/>
      </c>
      <c r="N42" s="447" t="str">
        <f t="shared" ca="1" si="0"/>
        <v/>
      </c>
      <c r="O42" s="447" t="str">
        <f t="shared" ca="1" si="13"/>
        <v/>
      </c>
      <c r="P42" s="447" t="str">
        <f t="shared" ca="1" si="1"/>
        <v/>
      </c>
      <c r="Q42" s="447" t="str">
        <f t="shared" ca="1" si="14"/>
        <v/>
      </c>
      <c r="R42" s="447" t="str">
        <f t="shared" ca="1" si="2"/>
        <v/>
      </c>
      <c r="S42" s="447" t="str">
        <f t="shared" ca="1" si="15"/>
        <v/>
      </c>
      <c r="T42" s="448" t="str">
        <f t="shared" ca="1" si="3"/>
        <v/>
      </c>
      <c r="U42" s="1811" t="str">
        <f t="shared" ca="1" si="16"/>
        <v/>
      </c>
      <c r="V42" s="1812" t="str">
        <f t="shared" ca="1" si="17"/>
        <v/>
      </c>
      <c r="W42" s="1813" t="str">
        <f t="shared" ca="1" si="18"/>
        <v/>
      </c>
      <c r="X42" s="1813" t="str">
        <f t="shared" ca="1" si="18"/>
        <v/>
      </c>
      <c r="Y42" s="1813" t="str">
        <f t="shared" ca="1" si="18"/>
        <v/>
      </c>
      <c r="Z42" s="1813" t="str">
        <f t="shared" ca="1" si="18"/>
        <v/>
      </c>
      <c r="AA42" s="1813" t="str">
        <f t="shared" ca="1" si="18"/>
        <v/>
      </c>
      <c r="AB42" s="1813" t="str">
        <f t="shared" ca="1" si="18"/>
        <v/>
      </c>
      <c r="AC42" s="1813" t="str">
        <f t="shared" ca="1" si="18"/>
        <v/>
      </c>
      <c r="AD42" s="1813" t="str">
        <f t="shared" ca="1" si="18"/>
        <v/>
      </c>
      <c r="AE42" s="1813" t="str">
        <f t="shared" ca="1" si="18"/>
        <v/>
      </c>
      <c r="AF42" s="1814" t="str">
        <f t="shared" ca="1" si="18"/>
        <v/>
      </c>
    </row>
    <row r="43" spans="1:32" x14ac:dyDescent="0.4">
      <c r="A43" s="381">
        <v>28</v>
      </c>
      <c r="B43" s="435" t="b">
        <f t="shared" si="5"/>
        <v>0</v>
      </c>
      <c r="C43" s="440" t="str">
        <f t="shared" ca="1" si="6"/>
        <v/>
      </c>
      <c r="D43" s="818" t="str">
        <f t="shared" ca="1" si="7"/>
        <v/>
      </c>
      <c r="E43" s="818" t="str">
        <f t="shared" ca="1" si="8"/>
        <v/>
      </c>
      <c r="F43" s="210" t="str">
        <f t="shared" ca="1" si="9"/>
        <v/>
      </c>
      <c r="G43" s="442" t="str" cm="1">
        <f t="array" aca="1" ref="G43" ca="1">IFERROR(INDEX($C$16:$C$116,SMALL(IF($C$16:$C$116&lt;&gt;"",ROW($C$16:$C$116)-ROW($C$16)+1),ROW(A28))),"")</f>
        <v/>
      </c>
      <c r="H43" s="441" t="str" cm="1">
        <f t="array" aca="1" ref="H43" ca="1">IFERROR(INDEX($D$16:$D$116,SMALL(IF($D$16:$D$116&lt;&gt;"",ROW($D$16:$D$116)-ROW($D$16)+1),ROW(A28))),"")</f>
        <v/>
      </c>
      <c r="I43" s="441" t="str" cm="1">
        <f t="array" aca="1" ref="I43" ca="1">IFERROR(INDEX($E$16:$E$116,SMALL(IF($E$16:$E$116&lt;&gt;"",ROW($E$16:$E$116)-ROW($E$16)+1),ROW(A28))),"")</f>
        <v/>
      </c>
      <c r="J43" s="441" t="str" cm="1">
        <f t="array" aca="1" ref="J43" ca="1">IFERROR(INDEX($F$16:$F$116,SMALL(IF($F$16:$F$116&lt;&gt;"",ROW($F$16:$F$116)-ROW($F$16)+1),ROW(A28))),"")</f>
        <v/>
      </c>
      <c r="K43" s="441" t="str">
        <f t="shared" ca="1" si="10"/>
        <v/>
      </c>
      <c r="L43" s="446" t="str">
        <f t="shared" ca="1" si="11"/>
        <v/>
      </c>
      <c r="M43" s="447" t="str">
        <f t="shared" ca="1" si="12"/>
        <v/>
      </c>
      <c r="N43" s="447" t="str">
        <f t="shared" ca="1" si="0"/>
        <v/>
      </c>
      <c r="O43" s="447" t="str">
        <f t="shared" ca="1" si="13"/>
        <v/>
      </c>
      <c r="P43" s="447" t="str">
        <f t="shared" ca="1" si="1"/>
        <v/>
      </c>
      <c r="Q43" s="447" t="str">
        <f t="shared" ca="1" si="14"/>
        <v/>
      </c>
      <c r="R43" s="447" t="str">
        <f t="shared" ca="1" si="2"/>
        <v/>
      </c>
      <c r="S43" s="447" t="str">
        <f t="shared" ca="1" si="15"/>
        <v/>
      </c>
      <c r="T43" s="448" t="str">
        <f t="shared" ca="1" si="3"/>
        <v/>
      </c>
      <c r="U43" s="1811" t="str">
        <f t="shared" ca="1" si="16"/>
        <v/>
      </c>
      <c r="V43" s="1812" t="str">
        <f t="shared" ca="1" si="17"/>
        <v/>
      </c>
      <c r="W43" s="1813" t="str">
        <f t="shared" ca="1" si="18"/>
        <v/>
      </c>
      <c r="X43" s="1813" t="str">
        <f t="shared" ca="1" si="18"/>
        <v/>
      </c>
      <c r="Y43" s="1813" t="str">
        <f t="shared" ca="1" si="18"/>
        <v/>
      </c>
      <c r="Z43" s="1813" t="str">
        <f t="shared" ca="1" si="18"/>
        <v/>
      </c>
      <c r="AA43" s="1813" t="str">
        <f t="shared" ca="1" si="18"/>
        <v/>
      </c>
      <c r="AB43" s="1813" t="str">
        <f t="shared" ca="1" si="18"/>
        <v/>
      </c>
      <c r="AC43" s="1813" t="str">
        <f t="shared" ca="1" si="18"/>
        <v/>
      </c>
      <c r="AD43" s="1813" t="str">
        <f t="shared" ca="1" si="18"/>
        <v/>
      </c>
      <c r="AE43" s="1813" t="str">
        <f t="shared" ca="1" si="18"/>
        <v/>
      </c>
      <c r="AF43" s="1814" t="str">
        <f t="shared" ca="1" si="18"/>
        <v/>
      </c>
    </row>
    <row r="44" spans="1:32" x14ac:dyDescent="0.4">
      <c r="A44" s="381">
        <v>29</v>
      </c>
      <c r="B44" s="435" t="b">
        <f t="shared" si="5"/>
        <v>0</v>
      </c>
      <c r="C44" s="440" t="str">
        <f t="shared" ca="1" si="6"/>
        <v/>
      </c>
      <c r="D44" s="818" t="str">
        <f t="shared" ca="1" si="7"/>
        <v/>
      </c>
      <c r="E44" s="818" t="str">
        <f t="shared" ca="1" si="8"/>
        <v/>
      </c>
      <c r="F44" s="210" t="str">
        <f t="shared" ca="1" si="9"/>
        <v/>
      </c>
      <c r="G44" s="442" t="str" cm="1">
        <f t="array" aca="1" ref="G44" ca="1">IFERROR(INDEX($C$16:$C$116,SMALL(IF($C$16:$C$116&lt;&gt;"",ROW($C$16:$C$116)-ROW($C$16)+1),ROW(A29))),"")</f>
        <v/>
      </c>
      <c r="H44" s="441" t="str" cm="1">
        <f t="array" aca="1" ref="H44" ca="1">IFERROR(INDEX($D$16:$D$116,SMALL(IF($D$16:$D$116&lt;&gt;"",ROW($D$16:$D$116)-ROW($D$16)+1),ROW(A29))),"")</f>
        <v/>
      </c>
      <c r="I44" s="441" t="str" cm="1">
        <f t="array" aca="1" ref="I44" ca="1">IFERROR(INDEX($E$16:$E$116,SMALL(IF($E$16:$E$116&lt;&gt;"",ROW($E$16:$E$116)-ROW($E$16)+1),ROW(A29))),"")</f>
        <v/>
      </c>
      <c r="J44" s="441" t="str" cm="1">
        <f t="array" aca="1" ref="J44" ca="1">IFERROR(INDEX($F$16:$F$116,SMALL(IF($F$16:$F$116&lt;&gt;"",ROW($F$16:$F$116)-ROW($F$16)+1),ROW(A29))),"")</f>
        <v/>
      </c>
      <c r="K44" s="441" t="str">
        <f t="shared" ca="1" si="10"/>
        <v/>
      </c>
      <c r="L44" s="446" t="str">
        <f t="shared" ca="1" si="11"/>
        <v/>
      </c>
      <c r="M44" s="447" t="str">
        <f t="shared" ca="1" si="12"/>
        <v/>
      </c>
      <c r="N44" s="447" t="str">
        <f t="shared" ca="1" si="0"/>
        <v/>
      </c>
      <c r="O44" s="447" t="str">
        <f t="shared" ca="1" si="13"/>
        <v/>
      </c>
      <c r="P44" s="447" t="str">
        <f t="shared" ca="1" si="1"/>
        <v/>
      </c>
      <c r="Q44" s="447" t="str">
        <f t="shared" ca="1" si="14"/>
        <v/>
      </c>
      <c r="R44" s="447" t="str">
        <f t="shared" ca="1" si="2"/>
        <v/>
      </c>
      <c r="S44" s="447" t="str">
        <f t="shared" ca="1" si="15"/>
        <v/>
      </c>
      <c r="T44" s="448" t="str">
        <f t="shared" ca="1" si="3"/>
        <v/>
      </c>
      <c r="U44" s="1811" t="str">
        <f t="shared" ca="1" si="16"/>
        <v/>
      </c>
      <c r="V44" s="1812" t="str">
        <f t="shared" ca="1" si="17"/>
        <v/>
      </c>
      <c r="W44" s="1813" t="str">
        <f t="shared" ca="1" si="18"/>
        <v/>
      </c>
      <c r="X44" s="1813" t="str">
        <f t="shared" ca="1" si="18"/>
        <v/>
      </c>
      <c r="Y44" s="1813" t="str">
        <f t="shared" ca="1" si="18"/>
        <v/>
      </c>
      <c r="Z44" s="1813" t="str">
        <f t="shared" ca="1" si="18"/>
        <v/>
      </c>
      <c r="AA44" s="1813" t="str">
        <f t="shared" ca="1" si="18"/>
        <v/>
      </c>
      <c r="AB44" s="1813" t="str">
        <f t="shared" ca="1" si="18"/>
        <v/>
      </c>
      <c r="AC44" s="1813" t="str">
        <f t="shared" ca="1" si="18"/>
        <v/>
      </c>
      <c r="AD44" s="1813" t="str">
        <f t="shared" ca="1" si="18"/>
        <v/>
      </c>
      <c r="AE44" s="1813" t="str">
        <f t="shared" ca="1" si="18"/>
        <v/>
      </c>
      <c r="AF44" s="1814" t="str">
        <f t="shared" ca="1" si="18"/>
        <v/>
      </c>
    </row>
    <row r="45" spans="1:32" x14ac:dyDescent="0.4">
      <c r="A45" s="381">
        <v>30</v>
      </c>
      <c r="B45" s="435" t="b">
        <f t="shared" si="5"/>
        <v>0</v>
      </c>
      <c r="C45" s="440" t="str">
        <f t="shared" ca="1" si="6"/>
        <v/>
      </c>
      <c r="D45" s="818" t="str">
        <f t="shared" ca="1" si="7"/>
        <v/>
      </c>
      <c r="E45" s="818" t="str">
        <f t="shared" ca="1" si="8"/>
        <v/>
      </c>
      <c r="F45" s="210" t="str">
        <f t="shared" ca="1" si="9"/>
        <v/>
      </c>
      <c r="G45" s="442" t="str" cm="1">
        <f t="array" aca="1" ref="G45" ca="1">IFERROR(INDEX($C$16:$C$116,SMALL(IF($C$16:$C$116&lt;&gt;"",ROW($C$16:$C$116)-ROW($C$16)+1),ROW(A30))),"")</f>
        <v/>
      </c>
      <c r="H45" s="441" t="str" cm="1">
        <f t="array" aca="1" ref="H45" ca="1">IFERROR(INDEX($D$16:$D$116,SMALL(IF($D$16:$D$116&lt;&gt;"",ROW($D$16:$D$116)-ROW($D$16)+1),ROW(A30))),"")</f>
        <v/>
      </c>
      <c r="I45" s="441" t="str" cm="1">
        <f t="array" aca="1" ref="I45" ca="1">IFERROR(INDEX($E$16:$E$116,SMALL(IF($E$16:$E$116&lt;&gt;"",ROW($E$16:$E$116)-ROW($E$16)+1),ROW(A30))),"")</f>
        <v/>
      </c>
      <c r="J45" s="441" t="str" cm="1">
        <f t="array" aca="1" ref="J45" ca="1">IFERROR(INDEX($F$16:$F$116,SMALL(IF($F$16:$F$116&lt;&gt;"",ROW($F$16:$F$116)-ROW($F$16)+1),ROW(A30))),"")</f>
        <v/>
      </c>
      <c r="K45" s="441" t="str">
        <f t="shared" ca="1" si="10"/>
        <v/>
      </c>
      <c r="L45" s="446" t="str">
        <f t="shared" ca="1" si="11"/>
        <v/>
      </c>
      <c r="M45" s="447" t="str">
        <f t="shared" ca="1" si="12"/>
        <v/>
      </c>
      <c r="N45" s="447" t="str">
        <f t="shared" ca="1" si="0"/>
        <v/>
      </c>
      <c r="O45" s="447" t="str">
        <f t="shared" ca="1" si="13"/>
        <v/>
      </c>
      <c r="P45" s="447" t="str">
        <f t="shared" ca="1" si="1"/>
        <v/>
      </c>
      <c r="Q45" s="447" t="str">
        <f t="shared" ca="1" si="14"/>
        <v/>
      </c>
      <c r="R45" s="447" t="str">
        <f t="shared" ca="1" si="2"/>
        <v/>
      </c>
      <c r="S45" s="447" t="str">
        <f t="shared" ca="1" si="15"/>
        <v/>
      </c>
      <c r="T45" s="448" t="str">
        <f t="shared" ca="1" si="3"/>
        <v/>
      </c>
      <c r="U45" s="1811" t="str">
        <f t="shared" ca="1" si="16"/>
        <v/>
      </c>
      <c r="V45" s="1812" t="str">
        <f t="shared" ca="1" si="17"/>
        <v/>
      </c>
      <c r="W45" s="1813" t="str">
        <f t="shared" ca="1" si="18"/>
        <v/>
      </c>
      <c r="X45" s="1813" t="str">
        <f t="shared" ca="1" si="18"/>
        <v/>
      </c>
      <c r="Y45" s="1813" t="str">
        <f t="shared" ca="1" si="18"/>
        <v/>
      </c>
      <c r="Z45" s="1813" t="str">
        <f t="shared" ca="1" si="18"/>
        <v/>
      </c>
      <c r="AA45" s="1813" t="str">
        <f t="shared" ca="1" si="18"/>
        <v/>
      </c>
      <c r="AB45" s="1813" t="str">
        <f t="shared" ca="1" si="18"/>
        <v/>
      </c>
      <c r="AC45" s="1813" t="str">
        <f t="shared" ca="1" si="18"/>
        <v/>
      </c>
      <c r="AD45" s="1813" t="str">
        <f t="shared" ca="1" si="18"/>
        <v/>
      </c>
      <c r="AE45" s="1813" t="str">
        <f t="shared" ca="1" si="18"/>
        <v/>
      </c>
      <c r="AF45" s="1814" t="str">
        <f t="shared" ca="1" si="18"/>
        <v/>
      </c>
    </row>
    <row r="46" spans="1:32" x14ac:dyDescent="0.4">
      <c r="A46" s="381">
        <v>31</v>
      </c>
      <c r="B46" s="435" t="b">
        <f t="shared" si="5"/>
        <v>0</v>
      </c>
      <c r="C46" s="440" t="str">
        <f t="shared" ca="1" si="6"/>
        <v/>
      </c>
      <c r="D46" s="818" t="str">
        <f t="shared" ca="1" si="7"/>
        <v/>
      </c>
      <c r="E46" s="818" t="str">
        <f t="shared" ca="1" si="8"/>
        <v/>
      </c>
      <c r="F46" s="210" t="str">
        <f t="shared" ca="1" si="9"/>
        <v/>
      </c>
      <c r="G46" s="442" t="str" cm="1">
        <f t="array" aca="1" ref="G46" ca="1">IFERROR(INDEX($C$16:$C$116,SMALL(IF($C$16:$C$116&lt;&gt;"",ROW($C$16:$C$116)-ROW($C$16)+1),ROW(A31))),"")</f>
        <v/>
      </c>
      <c r="H46" s="441" t="str" cm="1">
        <f t="array" aca="1" ref="H46" ca="1">IFERROR(INDEX($D$16:$D$116,SMALL(IF($D$16:$D$116&lt;&gt;"",ROW($D$16:$D$116)-ROW($D$16)+1),ROW(A31))),"")</f>
        <v/>
      </c>
      <c r="I46" s="441" t="str" cm="1">
        <f t="array" aca="1" ref="I46" ca="1">IFERROR(INDEX($E$16:$E$116,SMALL(IF($E$16:$E$116&lt;&gt;"",ROW($E$16:$E$116)-ROW($E$16)+1),ROW(A31))),"")</f>
        <v/>
      </c>
      <c r="J46" s="441" t="str" cm="1">
        <f t="array" aca="1" ref="J46" ca="1">IFERROR(INDEX($F$16:$F$116,SMALL(IF($F$16:$F$116&lt;&gt;"",ROW($F$16:$F$116)-ROW($F$16)+1),ROW(A31))),"")</f>
        <v/>
      </c>
      <c r="K46" s="441" t="str">
        <f t="shared" ca="1" si="10"/>
        <v/>
      </c>
      <c r="L46" s="446" t="str">
        <f t="shared" ca="1" si="11"/>
        <v/>
      </c>
      <c r="M46" s="447" t="str">
        <f t="shared" ca="1" si="12"/>
        <v/>
      </c>
      <c r="N46" s="447" t="str">
        <f t="shared" ca="1" si="0"/>
        <v/>
      </c>
      <c r="O46" s="447" t="str">
        <f t="shared" ca="1" si="13"/>
        <v/>
      </c>
      <c r="P46" s="447" t="str">
        <f t="shared" ca="1" si="1"/>
        <v/>
      </c>
      <c r="Q46" s="447" t="str">
        <f t="shared" ca="1" si="14"/>
        <v/>
      </c>
      <c r="R46" s="447" t="str">
        <f t="shared" ca="1" si="2"/>
        <v/>
      </c>
      <c r="S46" s="447" t="str">
        <f t="shared" ca="1" si="15"/>
        <v/>
      </c>
      <c r="T46" s="448" t="str">
        <f t="shared" ca="1" si="3"/>
        <v/>
      </c>
      <c r="U46" s="1811" t="str">
        <f t="shared" ca="1" si="16"/>
        <v/>
      </c>
      <c r="V46" s="1812" t="str">
        <f t="shared" ca="1" si="17"/>
        <v/>
      </c>
      <c r="W46" s="1813" t="str">
        <f t="shared" ca="1" si="18"/>
        <v/>
      </c>
      <c r="X46" s="1813" t="str">
        <f t="shared" ca="1" si="18"/>
        <v/>
      </c>
      <c r="Y46" s="1813" t="str">
        <f t="shared" ca="1" si="18"/>
        <v/>
      </c>
      <c r="Z46" s="1813" t="str">
        <f t="shared" ca="1" si="18"/>
        <v/>
      </c>
      <c r="AA46" s="1813" t="str">
        <f t="shared" ca="1" si="18"/>
        <v/>
      </c>
      <c r="AB46" s="1813" t="str">
        <f t="shared" ca="1" si="18"/>
        <v/>
      </c>
      <c r="AC46" s="1813" t="str">
        <f t="shared" ca="1" si="18"/>
        <v/>
      </c>
      <c r="AD46" s="1813" t="str">
        <f t="shared" ca="1" si="18"/>
        <v/>
      </c>
      <c r="AE46" s="1813" t="str">
        <f t="shared" ca="1" si="18"/>
        <v/>
      </c>
      <c r="AF46" s="1814" t="str">
        <f t="shared" ca="1" si="18"/>
        <v/>
      </c>
    </row>
    <row r="47" spans="1:32" x14ac:dyDescent="0.4">
      <c r="A47" s="381">
        <v>32</v>
      </c>
      <c r="B47" s="435" t="b">
        <f t="shared" si="5"/>
        <v>0</v>
      </c>
      <c r="C47" s="440" t="str">
        <f t="shared" ca="1" si="6"/>
        <v/>
      </c>
      <c r="D47" s="818" t="str">
        <f t="shared" ca="1" si="7"/>
        <v/>
      </c>
      <c r="E47" s="818" t="str">
        <f t="shared" ca="1" si="8"/>
        <v/>
      </c>
      <c r="F47" s="210" t="str">
        <f t="shared" ca="1" si="9"/>
        <v/>
      </c>
      <c r="G47" s="442" t="str" cm="1">
        <f t="array" aca="1" ref="G47" ca="1">IFERROR(INDEX($C$16:$C$116,SMALL(IF($C$16:$C$116&lt;&gt;"",ROW($C$16:$C$116)-ROW($C$16)+1),ROW(A32))),"")</f>
        <v/>
      </c>
      <c r="H47" s="441" t="str" cm="1">
        <f t="array" aca="1" ref="H47" ca="1">IFERROR(INDEX($D$16:$D$116,SMALL(IF($D$16:$D$116&lt;&gt;"",ROW($D$16:$D$116)-ROW($D$16)+1),ROW(A32))),"")</f>
        <v/>
      </c>
      <c r="I47" s="441" t="str" cm="1">
        <f t="array" aca="1" ref="I47" ca="1">IFERROR(INDEX($E$16:$E$116,SMALL(IF($E$16:$E$116&lt;&gt;"",ROW($E$16:$E$116)-ROW($E$16)+1),ROW(A32))),"")</f>
        <v/>
      </c>
      <c r="J47" s="441" t="str" cm="1">
        <f t="array" aca="1" ref="J47" ca="1">IFERROR(INDEX($F$16:$F$116,SMALL(IF($F$16:$F$116&lt;&gt;"",ROW($F$16:$F$116)-ROW($F$16)+1),ROW(A32))),"")</f>
        <v/>
      </c>
      <c r="K47" s="441" t="str">
        <f t="shared" ca="1" si="10"/>
        <v/>
      </c>
      <c r="L47" s="446" t="str">
        <f t="shared" ca="1" si="11"/>
        <v/>
      </c>
      <c r="M47" s="447" t="str">
        <f t="shared" ca="1" si="12"/>
        <v/>
      </c>
      <c r="N47" s="447" t="str">
        <f t="shared" ca="1" si="0"/>
        <v/>
      </c>
      <c r="O47" s="447" t="str">
        <f t="shared" ca="1" si="13"/>
        <v/>
      </c>
      <c r="P47" s="447" t="str">
        <f t="shared" ca="1" si="1"/>
        <v/>
      </c>
      <c r="Q47" s="447" t="str">
        <f t="shared" ca="1" si="14"/>
        <v/>
      </c>
      <c r="R47" s="447" t="str">
        <f t="shared" ca="1" si="2"/>
        <v/>
      </c>
      <c r="S47" s="447" t="str">
        <f t="shared" ca="1" si="15"/>
        <v/>
      </c>
      <c r="T47" s="448" t="str">
        <f t="shared" ca="1" si="3"/>
        <v/>
      </c>
      <c r="U47" s="1811" t="str">
        <f t="shared" ca="1" si="16"/>
        <v/>
      </c>
      <c r="V47" s="1812" t="str">
        <f t="shared" ca="1" si="17"/>
        <v/>
      </c>
      <c r="W47" s="1813" t="str">
        <f t="shared" ca="1" si="18"/>
        <v/>
      </c>
      <c r="X47" s="1813" t="str">
        <f t="shared" ca="1" si="18"/>
        <v/>
      </c>
      <c r="Y47" s="1813" t="str">
        <f t="shared" ca="1" si="18"/>
        <v/>
      </c>
      <c r="Z47" s="1813" t="str">
        <f t="shared" ca="1" si="18"/>
        <v/>
      </c>
      <c r="AA47" s="1813" t="str">
        <f t="shared" ca="1" si="18"/>
        <v/>
      </c>
      <c r="AB47" s="1813" t="str">
        <f t="shared" ca="1" si="18"/>
        <v/>
      </c>
      <c r="AC47" s="1813" t="str">
        <f t="shared" ca="1" si="18"/>
        <v/>
      </c>
      <c r="AD47" s="1813" t="str">
        <f t="shared" ca="1" si="18"/>
        <v/>
      </c>
      <c r="AE47" s="1813" t="str">
        <f t="shared" ca="1" si="18"/>
        <v/>
      </c>
      <c r="AF47" s="1814" t="str">
        <f t="shared" ca="1" si="18"/>
        <v/>
      </c>
    </row>
    <row r="48" spans="1:32" x14ac:dyDescent="0.4">
      <c r="A48" s="381">
        <v>33</v>
      </c>
      <c r="B48" s="435" t="b">
        <f t="shared" si="5"/>
        <v>0</v>
      </c>
      <c r="C48" s="440" t="str">
        <f t="shared" ca="1" si="6"/>
        <v/>
      </c>
      <c r="D48" s="818" t="str">
        <f t="shared" ca="1" si="7"/>
        <v/>
      </c>
      <c r="E48" s="818" t="str">
        <f t="shared" ca="1" si="8"/>
        <v/>
      </c>
      <c r="F48" s="210" t="str">
        <f t="shared" ca="1" si="9"/>
        <v/>
      </c>
      <c r="G48" s="442" t="str" cm="1">
        <f t="array" aca="1" ref="G48" ca="1">IFERROR(INDEX($C$16:$C$116,SMALL(IF($C$16:$C$116&lt;&gt;"",ROW($C$16:$C$116)-ROW($C$16)+1),ROW(A33))),"")</f>
        <v/>
      </c>
      <c r="H48" s="441" t="str" cm="1">
        <f t="array" aca="1" ref="H48" ca="1">IFERROR(INDEX($D$16:$D$116,SMALL(IF($D$16:$D$116&lt;&gt;"",ROW($D$16:$D$116)-ROW($D$16)+1),ROW(A33))),"")</f>
        <v/>
      </c>
      <c r="I48" s="441" t="str" cm="1">
        <f t="array" aca="1" ref="I48" ca="1">IFERROR(INDEX($E$16:$E$116,SMALL(IF($E$16:$E$116&lt;&gt;"",ROW($E$16:$E$116)-ROW($E$16)+1),ROW(A33))),"")</f>
        <v/>
      </c>
      <c r="J48" s="441" t="str" cm="1">
        <f t="array" aca="1" ref="J48" ca="1">IFERROR(INDEX($F$16:$F$116,SMALL(IF($F$16:$F$116&lt;&gt;"",ROW($F$16:$F$116)-ROW($F$16)+1),ROW(A33))),"")</f>
        <v/>
      </c>
      <c r="K48" s="441" t="str">
        <f t="shared" ca="1" si="10"/>
        <v/>
      </c>
      <c r="L48" s="446" t="str">
        <f t="shared" ca="1" si="11"/>
        <v/>
      </c>
      <c r="M48" s="447" t="str">
        <f t="shared" ca="1" si="12"/>
        <v/>
      </c>
      <c r="N48" s="447" t="str">
        <f t="shared" ca="1" si="0"/>
        <v/>
      </c>
      <c r="O48" s="447" t="str">
        <f t="shared" ca="1" si="13"/>
        <v/>
      </c>
      <c r="P48" s="447" t="str">
        <f t="shared" ca="1" si="1"/>
        <v/>
      </c>
      <c r="Q48" s="447" t="str">
        <f t="shared" ca="1" si="14"/>
        <v/>
      </c>
      <c r="R48" s="447" t="str">
        <f t="shared" ca="1" si="2"/>
        <v/>
      </c>
      <c r="S48" s="447" t="str">
        <f t="shared" ca="1" si="15"/>
        <v/>
      </c>
      <c r="T48" s="448" t="str">
        <f t="shared" ca="1" si="3"/>
        <v/>
      </c>
      <c r="U48" s="1811" t="str">
        <f t="shared" ca="1" si="16"/>
        <v/>
      </c>
      <c r="V48" s="1812" t="str">
        <f t="shared" ca="1" si="17"/>
        <v/>
      </c>
      <c r="W48" s="1813" t="str">
        <f t="shared" ca="1" si="18"/>
        <v/>
      </c>
      <c r="X48" s="1813" t="str">
        <f t="shared" ca="1" si="18"/>
        <v/>
      </c>
      <c r="Y48" s="1813" t="str">
        <f t="shared" ca="1" si="18"/>
        <v/>
      </c>
      <c r="Z48" s="1813" t="str">
        <f t="shared" ca="1" si="18"/>
        <v/>
      </c>
      <c r="AA48" s="1813" t="str">
        <f t="shared" ca="1" si="18"/>
        <v/>
      </c>
      <c r="AB48" s="1813" t="str">
        <f t="shared" ca="1" si="18"/>
        <v/>
      </c>
      <c r="AC48" s="1813" t="str">
        <f t="shared" ca="1" si="18"/>
        <v/>
      </c>
      <c r="AD48" s="1813" t="str">
        <f t="shared" ca="1" si="18"/>
        <v/>
      </c>
      <c r="AE48" s="1813" t="str">
        <f t="shared" ca="1" si="18"/>
        <v/>
      </c>
      <c r="AF48" s="1814" t="str">
        <f t="shared" ca="1" si="18"/>
        <v/>
      </c>
    </row>
    <row r="49" spans="1:32" s="825" customFormat="1" x14ac:dyDescent="0.4">
      <c r="A49" s="819">
        <v>34</v>
      </c>
      <c r="B49" s="435" t="b">
        <f t="shared" si="5"/>
        <v>0</v>
      </c>
      <c r="C49" s="440" t="str">
        <f t="shared" ca="1" si="6"/>
        <v/>
      </c>
      <c r="D49" s="818" t="str">
        <f t="shared" ca="1" si="7"/>
        <v/>
      </c>
      <c r="E49" s="818" t="str">
        <f t="shared" ca="1" si="8"/>
        <v/>
      </c>
      <c r="F49" s="210" t="str">
        <f t="shared" ca="1" si="9"/>
        <v/>
      </c>
      <c r="G49" s="820" t="str" cm="1">
        <f t="array" aca="1" ref="G49" ca="1">IFERROR(INDEX($C$16:$C$116,SMALL(IF($C$16:$C$116&lt;&gt;"",ROW($C$16:$C$116)-ROW($C$16)+1),ROW(A34))),"")</f>
        <v/>
      </c>
      <c r="H49" s="821" t="str" cm="1">
        <f t="array" aca="1" ref="H49" ca="1">IFERROR(INDEX($D$16:$D$116,SMALL(IF($D$16:$D$116&lt;&gt;"",ROW($D$16:$D$116)-ROW($D$16)+1),ROW(A34))),"")</f>
        <v/>
      </c>
      <c r="I49" s="821" t="str" cm="1">
        <f t="array" aca="1" ref="I49" ca="1">IFERROR(INDEX($E$16:$E$116,SMALL(IF($E$16:$E$116&lt;&gt;"",ROW($E$16:$E$116)-ROW($E$16)+1),ROW(A34))),"")</f>
        <v/>
      </c>
      <c r="J49" s="821" t="str" cm="1">
        <f t="array" aca="1" ref="J49" ca="1">IFERROR(INDEX($F$16:$F$116,SMALL(IF($F$16:$F$116&lt;&gt;"",ROW($F$16:$F$116)-ROW($F$16)+1),ROW(A34))),"")</f>
        <v/>
      </c>
      <c r="K49" s="441" t="str">
        <f t="shared" ca="1" si="10"/>
        <v/>
      </c>
      <c r="L49" s="822" t="str">
        <f t="shared" ca="1" si="11"/>
        <v/>
      </c>
      <c r="M49" s="823" t="str">
        <f t="shared" ca="1" si="12"/>
        <v/>
      </c>
      <c r="N49" s="823" t="str">
        <f t="shared" ca="1" si="0"/>
        <v/>
      </c>
      <c r="O49" s="823" t="str">
        <f t="shared" ca="1" si="13"/>
        <v/>
      </c>
      <c r="P49" s="823" t="str">
        <f t="shared" ca="1" si="1"/>
        <v/>
      </c>
      <c r="Q49" s="823" t="str">
        <f t="shared" ca="1" si="14"/>
        <v/>
      </c>
      <c r="R49" s="823" t="str">
        <f t="shared" ca="1" si="2"/>
        <v/>
      </c>
      <c r="S49" s="823" t="str">
        <f t="shared" ca="1" si="15"/>
        <v/>
      </c>
      <c r="T49" s="824" t="str">
        <f t="shared" ca="1" si="3"/>
        <v/>
      </c>
      <c r="U49" s="1815" t="str">
        <f t="shared" ca="1" si="16"/>
        <v/>
      </c>
      <c r="V49" s="1816" t="str">
        <f t="shared" ca="1" si="17"/>
        <v/>
      </c>
      <c r="W49" s="1817" t="str">
        <f t="shared" ca="1" si="18"/>
        <v/>
      </c>
      <c r="X49" s="1817" t="str">
        <f t="shared" ca="1" si="18"/>
        <v/>
      </c>
      <c r="Y49" s="1817" t="str">
        <f t="shared" ca="1" si="18"/>
        <v/>
      </c>
      <c r="Z49" s="1817" t="str">
        <f t="shared" ca="1" si="18"/>
        <v/>
      </c>
      <c r="AA49" s="1817" t="str">
        <f t="shared" ca="1" si="18"/>
        <v/>
      </c>
      <c r="AB49" s="1817" t="str">
        <f t="shared" ca="1" si="18"/>
        <v/>
      </c>
      <c r="AC49" s="1817" t="str">
        <f t="shared" ca="1" si="18"/>
        <v/>
      </c>
      <c r="AD49" s="1817" t="str">
        <f t="shared" ca="1" si="18"/>
        <v/>
      </c>
      <c r="AE49" s="1817" t="str">
        <f t="shared" ca="1" si="18"/>
        <v/>
      </c>
      <c r="AF49" s="1818" t="str">
        <f t="shared" ca="1" si="18"/>
        <v/>
      </c>
    </row>
    <row r="50" spans="1:32" x14ac:dyDescent="0.4">
      <c r="A50" s="381">
        <v>35</v>
      </c>
      <c r="B50" s="435" t="b">
        <f t="shared" si="5"/>
        <v>1</v>
      </c>
      <c r="C50" s="440" t="str">
        <f t="shared" ca="1" si="6"/>
        <v>PLUVIO_STEU_P1</v>
      </c>
      <c r="D50" s="818" t="str">
        <f t="shared" ca="1" si="7"/>
        <v>A3</v>
      </c>
      <c r="E50" s="818" t="str">
        <f t="shared" ca="1" si="8"/>
        <v>Pluviomètre</v>
      </c>
      <c r="F50" s="210" t="str">
        <f t="shared" ca="1" si="9"/>
        <v>Pluviomètre</v>
      </c>
      <c r="G50" s="442" t="str" cm="1">
        <f t="array" aca="1" ref="G50" ca="1">IFERROR(INDEX($C$16:$C$116,SMALL(IF($C$16:$C$116&lt;&gt;"",ROW($C$16:$C$116)-ROW($C$16)+1),ROW(A35))),"")</f>
        <v/>
      </c>
      <c r="H50" s="441" t="str" cm="1">
        <f t="array" aca="1" ref="H50" ca="1">IFERROR(INDEX($D$16:$D$116,SMALL(IF($D$16:$D$116&lt;&gt;"",ROW($D$16:$D$116)-ROW($D$16)+1),ROW(A35))),"")</f>
        <v/>
      </c>
      <c r="I50" s="441" t="str" cm="1">
        <f t="array" aca="1" ref="I50" ca="1">IFERROR(INDEX($E$16:$E$116,SMALL(IF($E$16:$E$116&lt;&gt;"",ROW($E$16:$E$116)-ROW($E$16)+1),ROW(A35))),"")</f>
        <v/>
      </c>
      <c r="J50" s="441" t="str" cm="1">
        <f t="array" aca="1" ref="J50" ca="1">IFERROR(INDEX($F$16:$F$116,SMALL(IF($F$16:$F$116&lt;&gt;"",ROW($F$16:$F$116)-ROW($F$16)+1),ROW(A35))),"")</f>
        <v/>
      </c>
      <c r="K50" s="441" t="str">
        <f t="shared" ca="1" si="10"/>
        <v/>
      </c>
      <c r="L50" s="446" t="str">
        <f t="shared" ca="1" si="11"/>
        <v/>
      </c>
      <c r="M50" s="447" t="str">
        <f t="shared" ca="1" si="12"/>
        <v/>
      </c>
      <c r="N50" s="447" t="str">
        <f t="shared" ca="1" si="0"/>
        <v/>
      </c>
      <c r="O50" s="447" t="str">
        <f t="shared" ca="1" si="13"/>
        <v/>
      </c>
      <c r="P50" s="447" t="str">
        <f t="shared" ca="1" si="1"/>
        <v/>
      </c>
      <c r="Q50" s="447" t="str">
        <f t="shared" ca="1" si="14"/>
        <v/>
      </c>
      <c r="R50" s="447" t="str">
        <f t="shared" ca="1" si="2"/>
        <v/>
      </c>
      <c r="S50" s="447" t="str">
        <f t="shared" ca="1" si="15"/>
        <v/>
      </c>
      <c r="T50" s="448" t="str">
        <f t="shared" ca="1" si="3"/>
        <v/>
      </c>
      <c r="U50" s="1811" t="str">
        <f t="shared" ca="1" si="16"/>
        <v/>
      </c>
      <c r="V50" s="1812" t="str">
        <f t="shared" ca="1" si="17"/>
        <v/>
      </c>
      <c r="W50" s="1813" t="str">
        <f t="shared" ca="1" si="18"/>
        <v/>
      </c>
      <c r="X50" s="1813" t="str">
        <f t="shared" ca="1" si="18"/>
        <v/>
      </c>
      <c r="Y50" s="1813" t="str">
        <f t="shared" ca="1" si="18"/>
        <v/>
      </c>
      <c r="Z50" s="1813" t="str">
        <f t="shared" ca="1" si="18"/>
        <v/>
      </c>
      <c r="AA50" s="1813" t="str">
        <f t="shared" ca="1" si="18"/>
        <v/>
      </c>
      <c r="AB50" s="1813" t="str">
        <f t="shared" ca="1" si="18"/>
        <v/>
      </c>
      <c r="AC50" s="1813" t="str">
        <f t="shared" ca="1" si="18"/>
        <v/>
      </c>
      <c r="AD50" s="1813" t="str">
        <f t="shared" ca="1" si="18"/>
        <v/>
      </c>
      <c r="AE50" s="1813" t="str">
        <f t="shared" ca="1" si="18"/>
        <v/>
      </c>
      <c r="AF50" s="1814" t="str">
        <f t="shared" ca="1" si="18"/>
        <v/>
      </c>
    </row>
    <row r="51" spans="1:32" x14ac:dyDescent="0.4">
      <c r="A51" s="381">
        <v>36</v>
      </c>
      <c r="B51" s="435" t="b">
        <f t="shared" si="5"/>
        <v>0</v>
      </c>
      <c r="C51" s="440" t="str">
        <f t="shared" ca="1" si="6"/>
        <v/>
      </c>
      <c r="D51" s="818" t="str">
        <f t="shared" ca="1" si="7"/>
        <v/>
      </c>
      <c r="E51" s="818" t="str">
        <f t="shared" ca="1" si="8"/>
        <v/>
      </c>
      <c r="F51" s="210" t="str">
        <f t="shared" ca="1" si="9"/>
        <v/>
      </c>
      <c r="G51" s="442" t="str" cm="1">
        <f t="array" aca="1" ref="G51" ca="1">IFERROR(INDEX($C$16:$C$116,SMALL(IF($C$16:$C$116&lt;&gt;"",ROW($C$16:$C$116)-ROW($C$16)+1),ROW(A36))),"")</f>
        <v/>
      </c>
      <c r="H51" s="441" t="str" cm="1">
        <f t="array" aca="1" ref="H51" ca="1">IFERROR(INDEX($D$16:$D$116,SMALL(IF($D$16:$D$116&lt;&gt;"",ROW($D$16:$D$116)-ROW($D$16)+1),ROW(A36))),"")</f>
        <v/>
      </c>
      <c r="I51" s="441" t="str" cm="1">
        <f t="array" aca="1" ref="I51" ca="1">IFERROR(INDEX($E$16:$E$116,SMALL(IF($E$16:$E$116&lt;&gt;"",ROW($E$16:$E$116)-ROW($E$16)+1),ROW(A36))),"")</f>
        <v/>
      </c>
      <c r="J51" s="441" t="str" cm="1">
        <f t="array" aca="1" ref="J51" ca="1">IFERROR(INDEX($F$16:$F$116,SMALL(IF($F$16:$F$116&lt;&gt;"",ROW($F$16:$F$116)-ROW($F$16)+1),ROW(A36))),"")</f>
        <v/>
      </c>
      <c r="K51" s="441" t="str">
        <f t="shared" ca="1" si="10"/>
        <v/>
      </c>
      <c r="L51" s="446" t="str">
        <f t="shared" ca="1" si="11"/>
        <v/>
      </c>
      <c r="M51" s="447" t="str">
        <f t="shared" ca="1" si="12"/>
        <v/>
      </c>
      <c r="N51" s="447" t="str">
        <f t="shared" ca="1" si="0"/>
        <v/>
      </c>
      <c r="O51" s="447" t="str">
        <f t="shared" ca="1" si="13"/>
        <v/>
      </c>
      <c r="P51" s="447" t="str">
        <f t="shared" ca="1" si="1"/>
        <v/>
      </c>
      <c r="Q51" s="447" t="str">
        <f t="shared" ca="1" si="14"/>
        <v/>
      </c>
      <c r="R51" s="447" t="str">
        <f t="shared" ca="1" si="2"/>
        <v/>
      </c>
      <c r="S51" s="447" t="str">
        <f t="shared" ca="1" si="15"/>
        <v/>
      </c>
      <c r="T51" s="448" t="str">
        <f t="shared" ca="1" si="3"/>
        <v/>
      </c>
      <c r="U51" s="1811" t="str">
        <f t="shared" ca="1" si="16"/>
        <v/>
      </c>
      <c r="V51" s="1812" t="str">
        <f t="shared" ca="1" si="17"/>
        <v/>
      </c>
      <c r="W51" s="1813" t="str">
        <f t="shared" ca="1" si="18"/>
        <v/>
      </c>
      <c r="X51" s="1813" t="str">
        <f t="shared" ca="1" si="18"/>
        <v/>
      </c>
      <c r="Y51" s="1813" t="str">
        <f t="shared" ca="1" si="18"/>
        <v/>
      </c>
      <c r="Z51" s="1813" t="str">
        <f t="shared" ca="1" si="18"/>
        <v/>
      </c>
      <c r="AA51" s="1813" t="str">
        <f t="shared" ca="1" si="18"/>
        <v/>
      </c>
      <c r="AB51" s="1813" t="str">
        <f t="shared" ca="1" si="18"/>
        <v/>
      </c>
      <c r="AC51" s="1813" t="str">
        <f t="shared" ca="1" si="18"/>
        <v/>
      </c>
      <c r="AD51" s="1813" t="str">
        <f t="shared" ca="1" si="18"/>
        <v/>
      </c>
      <c r="AE51" s="1813" t="str">
        <f t="shared" ca="1" si="18"/>
        <v/>
      </c>
      <c r="AF51" s="1814" t="str">
        <f t="shared" ca="1" si="18"/>
        <v/>
      </c>
    </row>
    <row r="52" spans="1:32" x14ac:dyDescent="0.4">
      <c r="A52" s="381">
        <v>37</v>
      </c>
      <c r="B52" s="435" t="b">
        <f t="shared" si="5"/>
        <v>0</v>
      </c>
      <c r="C52" s="440" t="str">
        <f t="shared" ca="1" si="6"/>
        <v/>
      </c>
      <c r="D52" s="818" t="str">
        <f t="shared" ca="1" si="7"/>
        <v/>
      </c>
      <c r="E52" s="818" t="str">
        <f t="shared" ca="1" si="8"/>
        <v/>
      </c>
      <c r="F52" s="210" t="str">
        <f t="shared" ca="1" si="9"/>
        <v/>
      </c>
      <c r="G52" s="442" t="str" cm="1">
        <f t="array" aca="1" ref="G52" ca="1">IFERROR(INDEX($C$16:$C$116,SMALL(IF($C$16:$C$116&lt;&gt;"",ROW($C$16:$C$116)-ROW($C$16)+1),ROW(A37))),"")</f>
        <v/>
      </c>
      <c r="H52" s="441" t="str" cm="1">
        <f t="array" aca="1" ref="H52" ca="1">IFERROR(INDEX($D$16:$D$116,SMALL(IF($D$16:$D$116&lt;&gt;"",ROW($D$16:$D$116)-ROW($D$16)+1),ROW(A37))),"")</f>
        <v/>
      </c>
      <c r="I52" s="441" t="str" cm="1">
        <f t="array" aca="1" ref="I52" ca="1">IFERROR(INDEX($E$16:$E$116,SMALL(IF($E$16:$E$116&lt;&gt;"",ROW($E$16:$E$116)-ROW($E$16)+1),ROW(A37))),"")</f>
        <v/>
      </c>
      <c r="J52" s="441" t="str" cm="1">
        <f t="array" aca="1" ref="J52" ca="1">IFERROR(INDEX($F$16:$F$116,SMALL(IF($F$16:$F$116&lt;&gt;"",ROW($F$16:$F$116)-ROW($F$16)+1),ROW(A37))),"")</f>
        <v/>
      </c>
      <c r="K52" s="441" t="str">
        <f t="shared" ca="1" si="10"/>
        <v/>
      </c>
      <c r="L52" s="446" t="str">
        <f t="shared" ca="1" si="11"/>
        <v/>
      </c>
      <c r="M52" s="447" t="str">
        <f t="shared" ca="1" si="12"/>
        <v/>
      </c>
      <c r="N52" s="447" t="str">
        <f t="shared" ca="1" si="0"/>
        <v/>
      </c>
      <c r="O52" s="447" t="str">
        <f t="shared" ca="1" si="13"/>
        <v/>
      </c>
      <c r="P52" s="447" t="str">
        <f t="shared" ca="1" si="1"/>
        <v/>
      </c>
      <c r="Q52" s="447" t="str">
        <f t="shared" ca="1" si="14"/>
        <v/>
      </c>
      <c r="R52" s="447" t="str">
        <f t="shared" ca="1" si="2"/>
        <v/>
      </c>
      <c r="S52" s="447" t="str">
        <f t="shared" ca="1" si="15"/>
        <v/>
      </c>
      <c r="T52" s="448" t="str">
        <f t="shared" ca="1" si="3"/>
        <v/>
      </c>
      <c r="U52" s="1811" t="str">
        <f t="shared" ca="1" si="16"/>
        <v/>
      </c>
      <c r="V52" s="1812" t="str">
        <f t="shared" ca="1" si="17"/>
        <v/>
      </c>
      <c r="W52" s="1813" t="str">
        <f t="shared" ca="1" si="18"/>
        <v/>
      </c>
      <c r="X52" s="1813" t="str">
        <f t="shared" ca="1" si="18"/>
        <v/>
      </c>
      <c r="Y52" s="1813" t="str">
        <f t="shared" ca="1" si="18"/>
        <v/>
      </c>
      <c r="Z52" s="1813" t="str">
        <f t="shared" ca="1" si="18"/>
        <v/>
      </c>
      <c r="AA52" s="1813" t="str">
        <f t="shared" ca="1" si="18"/>
        <v/>
      </c>
      <c r="AB52" s="1813" t="str">
        <f t="shared" ca="1" si="18"/>
        <v/>
      </c>
      <c r="AC52" s="1813" t="str">
        <f t="shared" ca="1" si="18"/>
        <v/>
      </c>
      <c r="AD52" s="1813" t="str">
        <f t="shared" ca="1" si="18"/>
        <v/>
      </c>
      <c r="AE52" s="1813" t="str">
        <f t="shared" ca="1" si="18"/>
        <v/>
      </c>
      <c r="AF52" s="1814" t="str">
        <f t="shared" ca="1" si="18"/>
        <v/>
      </c>
    </row>
    <row r="53" spans="1:32" x14ac:dyDescent="0.4">
      <c r="A53" s="381">
        <v>38</v>
      </c>
      <c r="B53" s="435" t="b">
        <f t="shared" si="5"/>
        <v>0</v>
      </c>
      <c r="C53" s="440" t="str">
        <f t="shared" ca="1" si="6"/>
        <v/>
      </c>
      <c r="D53" s="818" t="str">
        <f t="shared" ca="1" si="7"/>
        <v/>
      </c>
      <c r="E53" s="818" t="str">
        <f t="shared" ca="1" si="8"/>
        <v/>
      </c>
      <c r="F53" s="210" t="str">
        <f t="shared" ca="1" si="9"/>
        <v/>
      </c>
      <c r="G53" s="442" t="str" cm="1">
        <f t="array" aca="1" ref="G53" ca="1">IFERROR(INDEX($C$16:$C$116,SMALL(IF($C$16:$C$116&lt;&gt;"",ROW($C$16:$C$116)-ROW($C$16)+1),ROW(A38))),"")</f>
        <v/>
      </c>
      <c r="H53" s="441" t="str" cm="1">
        <f t="array" aca="1" ref="H53" ca="1">IFERROR(INDEX($D$16:$D$116,SMALL(IF($D$16:$D$116&lt;&gt;"",ROW($D$16:$D$116)-ROW($D$16)+1),ROW(A38))),"")</f>
        <v/>
      </c>
      <c r="I53" s="441" t="str" cm="1">
        <f t="array" aca="1" ref="I53" ca="1">IFERROR(INDEX($E$16:$E$116,SMALL(IF($E$16:$E$116&lt;&gt;"",ROW($E$16:$E$116)-ROW($E$16)+1),ROW(A38))),"")</f>
        <v/>
      </c>
      <c r="J53" s="441" t="str" cm="1">
        <f t="array" aca="1" ref="J53" ca="1">IFERROR(INDEX($F$16:$F$116,SMALL(IF($F$16:$F$116&lt;&gt;"",ROW($F$16:$F$116)-ROW($F$16)+1),ROW(A38))),"")</f>
        <v/>
      </c>
      <c r="K53" s="441" t="str">
        <f t="shared" ca="1" si="10"/>
        <v/>
      </c>
      <c r="L53" s="446" t="str">
        <f t="shared" ca="1" si="11"/>
        <v/>
      </c>
      <c r="M53" s="447" t="str">
        <f t="shared" ca="1" si="12"/>
        <v/>
      </c>
      <c r="N53" s="447" t="str">
        <f t="shared" ca="1" si="0"/>
        <v/>
      </c>
      <c r="O53" s="447" t="str">
        <f t="shared" ca="1" si="13"/>
        <v/>
      </c>
      <c r="P53" s="447" t="str">
        <f t="shared" ca="1" si="1"/>
        <v/>
      </c>
      <c r="Q53" s="447" t="str">
        <f t="shared" ca="1" si="14"/>
        <v/>
      </c>
      <c r="R53" s="447" t="str">
        <f t="shared" ca="1" si="2"/>
        <v/>
      </c>
      <c r="S53" s="447" t="str">
        <f t="shared" ca="1" si="15"/>
        <v/>
      </c>
      <c r="T53" s="448" t="str">
        <f t="shared" ca="1" si="3"/>
        <v/>
      </c>
      <c r="U53" s="1811" t="str">
        <f t="shared" ca="1" si="16"/>
        <v/>
      </c>
      <c r="V53" s="1812" t="str">
        <f t="shared" ca="1" si="17"/>
        <v/>
      </c>
      <c r="W53" s="1813" t="str">
        <f t="shared" ca="1" si="18"/>
        <v/>
      </c>
      <c r="X53" s="1813" t="str">
        <f t="shared" ca="1" si="18"/>
        <v/>
      </c>
      <c r="Y53" s="1813" t="str">
        <f t="shared" ca="1" si="18"/>
        <v/>
      </c>
      <c r="Z53" s="1813" t="str">
        <f t="shared" ca="1" si="18"/>
        <v/>
      </c>
      <c r="AA53" s="1813" t="str">
        <f t="shared" ca="1" si="18"/>
        <v/>
      </c>
      <c r="AB53" s="1813" t="str">
        <f t="shared" ca="1" si="18"/>
        <v/>
      </c>
      <c r="AC53" s="1813" t="str">
        <f t="shared" ca="1" si="18"/>
        <v/>
      </c>
      <c r="AD53" s="1813" t="str">
        <f t="shared" ca="1" si="18"/>
        <v/>
      </c>
      <c r="AE53" s="1813" t="str">
        <f t="shared" ca="1" si="18"/>
        <v/>
      </c>
      <c r="AF53" s="1814" t="str">
        <f t="shared" ca="1" si="18"/>
        <v/>
      </c>
    </row>
    <row r="54" spans="1:32" x14ac:dyDescent="0.4">
      <c r="A54" s="381">
        <v>39</v>
      </c>
      <c r="B54" s="435" t="b">
        <f t="shared" si="5"/>
        <v>0</v>
      </c>
      <c r="C54" s="440" t="str">
        <f t="shared" ca="1" si="6"/>
        <v/>
      </c>
      <c r="D54" s="818" t="str">
        <f t="shared" ca="1" si="7"/>
        <v/>
      </c>
      <c r="E54" s="818" t="str">
        <f t="shared" ca="1" si="8"/>
        <v/>
      </c>
      <c r="F54" s="210" t="str">
        <f t="shared" ca="1" si="9"/>
        <v/>
      </c>
      <c r="G54" s="442" t="str" cm="1">
        <f t="array" aca="1" ref="G54" ca="1">IFERROR(INDEX($C$16:$C$116,SMALL(IF($C$16:$C$116&lt;&gt;"",ROW($C$16:$C$116)-ROW($C$16)+1),ROW(A39))),"")</f>
        <v/>
      </c>
      <c r="H54" s="441" t="str" cm="1">
        <f t="array" aca="1" ref="H54" ca="1">IFERROR(INDEX($D$16:$D$116,SMALL(IF($D$16:$D$116&lt;&gt;"",ROW($D$16:$D$116)-ROW($D$16)+1),ROW(A39))),"")</f>
        <v/>
      </c>
      <c r="I54" s="441" t="str" cm="1">
        <f t="array" aca="1" ref="I54" ca="1">IFERROR(INDEX($E$16:$E$116,SMALL(IF($E$16:$E$116&lt;&gt;"",ROW($E$16:$E$116)-ROW($E$16)+1),ROW(A39))),"")</f>
        <v/>
      </c>
      <c r="J54" s="441" t="str" cm="1">
        <f t="array" aca="1" ref="J54" ca="1">IFERROR(INDEX($F$16:$F$116,SMALL(IF($F$16:$F$116&lt;&gt;"",ROW($F$16:$F$116)-ROW($F$16)+1),ROW(A39))),"")</f>
        <v/>
      </c>
      <c r="K54" s="441" t="str">
        <f t="shared" ca="1" si="10"/>
        <v/>
      </c>
      <c r="L54" s="446" t="str">
        <f t="shared" ca="1" si="11"/>
        <v/>
      </c>
      <c r="M54" s="447" t="str">
        <f t="shared" ca="1" si="12"/>
        <v/>
      </c>
      <c r="N54" s="447" t="str">
        <f t="shared" ca="1" si="0"/>
        <v/>
      </c>
      <c r="O54" s="447" t="str">
        <f t="shared" ca="1" si="13"/>
        <v/>
      </c>
      <c r="P54" s="447" t="str">
        <f t="shared" ca="1" si="1"/>
        <v/>
      </c>
      <c r="Q54" s="447" t="str">
        <f t="shared" ca="1" si="14"/>
        <v/>
      </c>
      <c r="R54" s="447" t="str">
        <f t="shared" ca="1" si="2"/>
        <v/>
      </c>
      <c r="S54" s="447" t="str">
        <f t="shared" ca="1" si="15"/>
        <v/>
      </c>
      <c r="T54" s="448" t="str">
        <f t="shared" ca="1" si="3"/>
        <v/>
      </c>
      <c r="U54" s="1811" t="str">
        <f t="shared" ca="1" si="16"/>
        <v/>
      </c>
      <c r="V54" s="1812" t="str">
        <f t="shared" ca="1" si="17"/>
        <v/>
      </c>
      <c r="W54" s="1813" t="str">
        <f t="shared" ref="W54:AF72" ca="1" si="19">IF($G54&lt;&gt;"",IF(_xlfn.SINGLE(INDIRECT($G54&amp;"!"&amp;$U54&amp;($V54+W$15+1)))&lt;&gt;"",_xlfn.SINGLE(INDIRECT($G54&amp;"!"&amp;$U54&amp;($V54+W$15+1))),""),"")</f>
        <v/>
      </c>
      <c r="X54" s="1813" t="str">
        <f t="shared" ca="1" si="19"/>
        <v/>
      </c>
      <c r="Y54" s="1813" t="str">
        <f t="shared" ca="1" si="19"/>
        <v/>
      </c>
      <c r="Z54" s="1813" t="str">
        <f t="shared" ca="1" si="19"/>
        <v/>
      </c>
      <c r="AA54" s="1813" t="str">
        <f t="shared" ca="1" si="19"/>
        <v/>
      </c>
      <c r="AB54" s="1813" t="str">
        <f t="shared" ca="1" si="19"/>
        <v/>
      </c>
      <c r="AC54" s="1813" t="str">
        <f t="shared" ca="1" si="19"/>
        <v/>
      </c>
      <c r="AD54" s="1813" t="str">
        <f t="shared" ca="1" si="19"/>
        <v/>
      </c>
      <c r="AE54" s="1813" t="str">
        <f t="shared" ca="1" si="19"/>
        <v/>
      </c>
      <c r="AF54" s="1814" t="str">
        <f t="shared" ca="1" si="19"/>
        <v/>
      </c>
    </row>
    <row r="55" spans="1:32" x14ac:dyDescent="0.4">
      <c r="A55" s="381">
        <v>40</v>
      </c>
      <c r="B55" s="435" t="b">
        <f t="shared" si="5"/>
        <v>0</v>
      </c>
      <c r="C55" s="440" t="str">
        <f t="shared" ca="1" si="6"/>
        <v/>
      </c>
      <c r="D55" s="818" t="str">
        <f t="shared" ca="1" si="7"/>
        <v/>
      </c>
      <c r="E55" s="818" t="str">
        <f t="shared" ca="1" si="8"/>
        <v/>
      </c>
      <c r="F55" s="210" t="str">
        <f t="shared" ca="1" si="9"/>
        <v/>
      </c>
      <c r="G55" s="442" t="str" cm="1">
        <f t="array" aca="1" ref="G55" ca="1">IFERROR(INDEX($C$16:$C$116,SMALL(IF($C$16:$C$116&lt;&gt;"",ROW($C$16:$C$116)-ROW($C$16)+1),ROW(A40))),"")</f>
        <v/>
      </c>
      <c r="H55" s="441" t="str" cm="1">
        <f t="array" aca="1" ref="H55" ca="1">IFERROR(INDEX($D$16:$D$116,SMALL(IF($D$16:$D$116&lt;&gt;"",ROW($D$16:$D$116)-ROW($D$16)+1),ROW(A40))),"")</f>
        <v/>
      </c>
      <c r="I55" s="441" t="str" cm="1">
        <f t="array" aca="1" ref="I55" ca="1">IFERROR(INDEX($E$16:$E$116,SMALL(IF($E$16:$E$116&lt;&gt;"",ROW($E$16:$E$116)-ROW($E$16)+1),ROW(A40))),"")</f>
        <v/>
      </c>
      <c r="J55" s="441" t="str" cm="1">
        <f t="array" aca="1" ref="J55" ca="1">IFERROR(INDEX($F$16:$F$116,SMALL(IF($F$16:$F$116&lt;&gt;"",ROW($F$16:$F$116)-ROW($F$16)+1),ROW(A40))),"")</f>
        <v/>
      </c>
      <c r="K55" s="441" t="str">
        <f t="shared" ca="1" si="10"/>
        <v/>
      </c>
      <c r="L55" s="446" t="str">
        <f t="shared" ca="1" si="11"/>
        <v/>
      </c>
      <c r="M55" s="447" t="str">
        <f t="shared" ca="1" si="12"/>
        <v/>
      </c>
      <c r="N55" s="447" t="str">
        <f t="shared" ca="1" si="0"/>
        <v/>
      </c>
      <c r="O55" s="447" t="str">
        <f t="shared" ca="1" si="13"/>
        <v/>
      </c>
      <c r="P55" s="447" t="str">
        <f t="shared" ca="1" si="1"/>
        <v/>
      </c>
      <c r="Q55" s="447" t="str">
        <f t="shared" ca="1" si="14"/>
        <v/>
      </c>
      <c r="R55" s="447" t="str">
        <f t="shared" ca="1" si="2"/>
        <v/>
      </c>
      <c r="S55" s="447" t="str">
        <f t="shared" ca="1" si="15"/>
        <v/>
      </c>
      <c r="T55" s="448" t="str">
        <f t="shared" ca="1" si="3"/>
        <v/>
      </c>
      <c r="U55" s="1811" t="str">
        <f t="shared" ca="1" si="16"/>
        <v/>
      </c>
      <c r="V55" s="1812" t="str">
        <f t="shared" ca="1" si="17"/>
        <v/>
      </c>
      <c r="W55" s="1813" t="str">
        <f t="shared" ca="1" si="19"/>
        <v/>
      </c>
      <c r="X55" s="1813" t="str">
        <f t="shared" ca="1" si="19"/>
        <v/>
      </c>
      <c r="Y55" s="1813" t="str">
        <f t="shared" ca="1" si="19"/>
        <v/>
      </c>
      <c r="Z55" s="1813" t="str">
        <f t="shared" ca="1" si="19"/>
        <v/>
      </c>
      <c r="AA55" s="1813" t="str">
        <f t="shared" ca="1" si="19"/>
        <v/>
      </c>
      <c r="AB55" s="1813" t="str">
        <f t="shared" ca="1" si="19"/>
        <v/>
      </c>
      <c r="AC55" s="1813" t="str">
        <f t="shared" ca="1" si="19"/>
        <v/>
      </c>
      <c r="AD55" s="1813" t="str">
        <f t="shared" ca="1" si="19"/>
        <v/>
      </c>
      <c r="AE55" s="1813" t="str">
        <f t="shared" ca="1" si="19"/>
        <v/>
      </c>
      <c r="AF55" s="1814" t="str">
        <f t="shared" ca="1" si="19"/>
        <v/>
      </c>
    </row>
    <row r="56" spans="1:32" x14ac:dyDescent="0.4">
      <c r="A56" s="381">
        <v>41</v>
      </c>
      <c r="B56" s="435" t="b">
        <f t="shared" si="5"/>
        <v>0</v>
      </c>
      <c r="C56" s="440" t="str">
        <f t="shared" ca="1" si="6"/>
        <v/>
      </c>
      <c r="D56" s="818" t="str">
        <f t="shared" ca="1" si="7"/>
        <v/>
      </c>
      <c r="E56" s="818" t="str">
        <f t="shared" ca="1" si="8"/>
        <v/>
      </c>
      <c r="F56" s="210" t="str">
        <f t="shared" ca="1" si="9"/>
        <v/>
      </c>
      <c r="G56" s="442" t="str" cm="1">
        <f t="array" aca="1" ref="G56" ca="1">IFERROR(INDEX($C$16:$C$116,SMALL(IF($C$16:$C$116&lt;&gt;"",ROW($C$16:$C$116)-ROW($C$16)+1),ROW(A41))),"")</f>
        <v/>
      </c>
      <c r="H56" s="441" t="str" cm="1">
        <f t="array" aca="1" ref="H56" ca="1">IFERROR(INDEX($D$16:$D$116,SMALL(IF($D$16:$D$116&lt;&gt;"",ROW($D$16:$D$116)-ROW($D$16)+1),ROW(A41))),"")</f>
        <v/>
      </c>
      <c r="I56" s="441" t="str" cm="1">
        <f t="array" aca="1" ref="I56" ca="1">IFERROR(INDEX($E$16:$E$116,SMALL(IF($E$16:$E$116&lt;&gt;"",ROW($E$16:$E$116)-ROW($E$16)+1),ROW(A41))),"")</f>
        <v/>
      </c>
      <c r="J56" s="441" t="str" cm="1">
        <f t="array" aca="1" ref="J56" ca="1">IFERROR(INDEX($F$16:$F$116,SMALL(IF($F$16:$F$116&lt;&gt;"",ROW($F$16:$F$116)-ROW($F$16)+1),ROW(A41))),"")</f>
        <v/>
      </c>
      <c r="K56" s="441" t="str">
        <f t="shared" ca="1" si="10"/>
        <v/>
      </c>
      <c r="L56" s="446" t="str">
        <f t="shared" ca="1" si="11"/>
        <v/>
      </c>
      <c r="M56" s="447" t="str">
        <f t="shared" ca="1" si="12"/>
        <v/>
      </c>
      <c r="N56" s="447" t="str">
        <f t="shared" ca="1" si="0"/>
        <v/>
      </c>
      <c r="O56" s="447" t="str">
        <f t="shared" ca="1" si="13"/>
        <v/>
      </c>
      <c r="P56" s="447" t="str">
        <f t="shared" ca="1" si="1"/>
        <v/>
      </c>
      <c r="Q56" s="447" t="str">
        <f t="shared" ca="1" si="14"/>
        <v/>
      </c>
      <c r="R56" s="447" t="str">
        <f t="shared" ca="1" si="2"/>
        <v/>
      </c>
      <c r="S56" s="447" t="str">
        <f t="shared" ca="1" si="15"/>
        <v/>
      </c>
      <c r="T56" s="448" t="str">
        <f t="shared" ca="1" si="3"/>
        <v/>
      </c>
      <c r="U56" s="1811" t="str">
        <f t="shared" ca="1" si="16"/>
        <v/>
      </c>
      <c r="V56" s="1812" t="str">
        <f t="shared" ca="1" si="17"/>
        <v/>
      </c>
      <c r="W56" s="1813" t="str">
        <f t="shared" ca="1" si="19"/>
        <v/>
      </c>
      <c r="X56" s="1813" t="str">
        <f t="shared" ca="1" si="19"/>
        <v/>
      </c>
      <c r="Y56" s="1813" t="str">
        <f t="shared" ca="1" si="19"/>
        <v/>
      </c>
      <c r="Z56" s="1813" t="str">
        <f t="shared" ca="1" si="19"/>
        <v/>
      </c>
      <c r="AA56" s="1813" t="str">
        <f t="shared" ca="1" si="19"/>
        <v/>
      </c>
      <c r="AB56" s="1813" t="str">
        <f t="shared" ca="1" si="19"/>
        <v/>
      </c>
      <c r="AC56" s="1813" t="str">
        <f t="shared" ca="1" si="19"/>
        <v/>
      </c>
      <c r="AD56" s="1813" t="str">
        <f t="shared" ca="1" si="19"/>
        <v/>
      </c>
      <c r="AE56" s="1813" t="str">
        <f t="shared" ca="1" si="19"/>
        <v/>
      </c>
      <c r="AF56" s="1814" t="str">
        <f t="shared" ca="1" si="19"/>
        <v/>
      </c>
    </row>
    <row r="57" spans="1:32" x14ac:dyDescent="0.4">
      <c r="A57" s="381">
        <v>42</v>
      </c>
      <c r="B57" s="435" t="b">
        <f t="shared" si="5"/>
        <v>0</v>
      </c>
      <c r="C57" s="440" t="str">
        <f t="shared" ca="1" si="6"/>
        <v/>
      </c>
      <c r="D57" s="818" t="str">
        <f t="shared" ca="1" si="7"/>
        <v/>
      </c>
      <c r="E57" s="818" t="str">
        <f t="shared" ca="1" si="8"/>
        <v/>
      </c>
      <c r="F57" s="210" t="str">
        <f t="shared" ca="1" si="9"/>
        <v/>
      </c>
      <c r="G57" s="442" t="str" cm="1">
        <f t="array" aca="1" ref="G57" ca="1">IFERROR(INDEX($C$16:$C$116,SMALL(IF($C$16:$C$116&lt;&gt;"",ROW($C$16:$C$116)-ROW($C$16)+1),ROW(A42))),"")</f>
        <v/>
      </c>
      <c r="H57" s="441" t="str" cm="1">
        <f t="array" aca="1" ref="H57" ca="1">IFERROR(INDEX($D$16:$D$116,SMALL(IF($D$16:$D$116&lt;&gt;"",ROW($D$16:$D$116)-ROW($D$16)+1),ROW(A42))),"")</f>
        <v/>
      </c>
      <c r="I57" s="441" t="str" cm="1">
        <f t="array" aca="1" ref="I57" ca="1">IFERROR(INDEX($E$16:$E$116,SMALL(IF($E$16:$E$116&lt;&gt;"",ROW($E$16:$E$116)-ROW($E$16)+1),ROW(A42))),"")</f>
        <v/>
      </c>
      <c r="J57" s="441" t="str" cm="1">
        <f t="array" aca="1" ref="J57" ca="1">IFERROR(INDEX($F$16:$F$116,SMALL(IF($F$16:$F$116&lt;&gt;"",ROW($F$16:$F$116)-ROW($F$16)+1),ROW(A42))),"")</f>
        <v/>
      </c>
      <c r="K57" s="441" t="str">
        <f t="shared" ca="1" si="10"/>
        <v/>
      </c>
      <c r="L57" s="446" t="str">
        <f t="shared" ca="1" si="11"/>
        <v/>
      </c>
      <c r="M57" s="447" t="str">
        <f t="shared" ca="1" si="12"/>
        <v/>
      </c>
      <c r="N57" s="447" t="str">
        <f t="shared" ca="1" si="0"/>
        <v/>
      </c>
      <c r="O57" s="447" t="str">
        <f t="shared" ca="1" si="13"/>
        <v/>
      </c>
      <c r="P57" s="447" t="str">
        <f t="shared" ca="1" si="1"/>
        <v/>
      </c>
      <c r="Q57" s="447" t="str">
        <f t="shared" ca="1" si="14"/>
        <v/>
      </c>
      <c r="R57" s="447" t="str">
        <f t="shared" ca="1" si="2"/>
        <v/>
      </c>
      <c r="S57" s="447" t="str">
        <f t="shared" ca="1" si="15"/>
        <v/>
      </c>
      <c r="T57" s="448" t="str">
        <f t="shared" ca="1" si="3"/>
        <v/>
      </c>
      <c r="U57" s="1811" t="str">
        <f t="shared" ca="1" si="16"/>
        <v/>
      </c>
      <c r="V57" s="1812" t="str">
        <f t="shared" ca="1" si="17"/>
        <v/>
      </c>
      <c r="W57" s="1813" t="str">
        <f t="shared" ca="1" si="19"/>
        <v/>
      </c>
      <c r="X57" s="1813" t="str">
        <f t="shared" ca="1" si="19"/>
        <v/>
      </c>
      <c r="Y57" s="1813" t="str">
        <f t="shared" ca="1" si="19"/>
        <v/>
      </c>
      <c r="Z57" s="1813" t="str">
        <f t="shared" ca="1" si="19"/>
        <v/>
      </c>
      <c r="AA57" s="1813" t="str">
        <f t="shared" ca="1" si="19"/>
        <v/>
      </c>
      <c r="AB57" s="1813" t="str">
        <f t="shared" ca="1" si="19"/>
        <v/>
      </c>
      <c r="AC57" s="1813" t="str">
        <f t="shared" ca="1" si="19"/>
        <v/>
      </c>
      <c r="AD57" s="1813" t="str">
        <f t="shared" ca="1" si="19"/>
        <v/>
      </c>
      <c r="AE57" s="1813" t="str">
        <f t="shared" ca="1" si="19"/>
        <v/>
      </c>
      <c r="AF57" s="1814" t="str">
        <f t="shared" ca="1" si="19"/>
        <v/>
      </c>
    </row>
    <row r="58" spans="1:32" x14ac:dyDescent="0.4">
      <c r="A58" s="381">
        <v>43</v>
      </c>
      <c r="B58" s="435" t="b">
        <f t="shared" si="5"/>
        <v>0</v>
      </c>
      <c r="C58" s="440" t="str">
        <f t="shared" ca="1" si="6"/>
        <v/>
      </c>
      <c r="D58" s="818" t="str">
        <f t="shared" ca="1" si="7"/>
        <v/>
      </c>
      <c r="E58" s="818" t="str">
        <f t="shared" ca="1" si="8"/>
        <v/>
      </c>
      <c r="F58" s="210" t="str">
        <f t="shared" ca="1" si="9"/>
        <v/>
      </c>
      <c r="G58" s="442" t="str" cm="1">
        <f t="array" aca="1" ref="G58" ca="1">IFERROR(INDEX($C$16:$C$116,SMALL(IF($C$16:$C$116&lt;&gt;"",ROW($C$16:$C$116)-ROW($C$16)+1),ROW(A43))),"")</f>
        <v/>
      </c>
      <c r="H58" s="441" t="str" cm="1">
        <f t="array" aca="1" ref="H58" ca="1">IFERROR(INDEX($D$16:$D$116,SMALL(IF($D$16:$D$116&lt;&gt;"",ROW($D$16:$D$116)-ROW($D$16)+1),ROW(A43))),"")</f>
        <v/>
      </c>
      <c r="I58" s="441" t="str" cm="1">
        <f t="array" aca="1" ref="I58" ca="1">IFERROR(INDEX($E$16:$E$116,SMALL(IF($E$16:$E$116&lt;&gt;"",ROW($E$16:$E$116)-ROW($E$16)+1),ROW(A43))),"")</f>
        <v/>
      </c>
      <c r="J58" s="441" t="str" cm="1">
        <f t="array" aca="1" ref="J58" ca="1">IFERROR(INDEX($F$16:$F$116,SMALL(IF($F$16:$F$116&lt;&gt;"",ROW($F$16:$F$116)-ROW($F$16)+1),ROW(A43))),"")</f>
        <v/>
      </c>
      <c r="K58" s="441" t="str">
        <f t="shared" ca="1" si="10"/>
        <v/>
      </c>
      <c r="L58" s="446" t="str">
        <f t="shared" ca="1" si="11"/>
        <v/>
      </c>
      <c r="M58" s="447" t="str">
        <f t="shared" ca="1" si="12"/>
        <v/>
      </c>
      <c r="N58" s="447" t="str">
        <f t="shared" ca="1" si="0"/>
        <v/>
      </c>
      <c r="O58" s="447" t="str">
        <f t="shared" ca="1" si="13"/>
        <v/>
      </c>
      <c r="P58" s="447" t="str">
        <f t="shared" ca="1" si="1"/>
        <v/>
      </c>
      <c r="Q58" s="447" t="str">
        <f t="shared" ca="1" si="14"/>
        <v/>
      </c>
      <c r="R58" s="447" t="str">
        <f t="shared" ca="1" si="2"/>
        <v/>
      </c>
      <c r="S58" s="447" t="str">
        <f t="shared" ca="1" si="15"/>
        <v/>
      </c>
      <c r="T58" s="448" t="str">
        <f t="shared" ca="1" si="3"/>
        <v/>
      </c>
      <c r="U58" s="1811" t="str">
        <f t="shared" ca="1" si="16"/>
        <v/>
      </c>
      <c r="V58" s="1812" t="str">
        <f t="shared" ca="1" si="17"/>
        <v/>
      </c>
      <c r="W58" s="1813" t="str">
        <f t="shared" ca="1" si="19"/>
        <v/>
      </c>
      <c r="X58" s="1813" t="str">
        <f t="shared" ca="1" si="19"/>
        <v/>
      </c>
      <c r="Y58" s="1813" t="str">
        <f t="shared" ca="1" si="19"/>
        <v/>
      </c>
      <c r="Z58" s="1813" t="str">
        <f t="shared" ca="1" si="19"/>
        <v/>
      </c>
      <c r="AA58" s="1813" t="str">
        <f t="shared" ca="1" si="19"/>
        <v/>
      </c>
      <c r="AB58" s="1813" t="str">
        <f t="shared" ca="1" si="19"/>
        <v/>
      </c>
      <c r="AC58" s="1813" t="str">
        <f t="shared" ca="1" si="19"/>
        <v/>
      </c>
      <c r="AD58" s="1813" t="str">
        <f t="shared" ca="1" si="19"/>
        <v/>
      </c>
      <c r="AE58" s="1813" t="str">
        <f t="shared" ca="1" si="19"/>
        <v/>
      </c>
      <c r="AF58" s="1814" t="str">
        <f t="shared" ca="1" si="19"/>
        <v/>
      </c>
    </row>
    <row r="59" spans="1:32" x14ac:dyDescent="0.4">
      <c r="A59" s="381">
        <v>44</v>
      </c>
      <c r="B59" s="435" t="b">
        <f t="shared" si="5"/>
        <v>0</v>
      </c>
      <c r="C59" s="440" t="str">
        <f t="shared" ca="1" si="6"/>
        <v/>
      </c>
      <c r="D59" s="818" t="str">
        <f t="shared" ca="1" si="7"/>
        <v/>
      </c>
      <c r="E59" s="818" t="str">
        <f t="shared" ca="1" si="8"/>
        <v/>
      </c>
      <c r="F59" s="210" t="str">
        <f t="shared" ca="1" si="9"/>
        <v/>
      </c>
      <c r="G59" s="442" t="str" cm="1">
        <f t="array" aca="1" ref="G59" ca="1">IFERROR(INDEX($C$16:$C$116,SMALL(IF($C$16:$C$116&lt;&gt;"",ROW($C$16:$C$116)-ROW($C$16)+1),ROW(A44))),"")</f>
        <v/>
      </c>
      <c r="H59" s="441" t="str" cm="1">
        <f t="array" aca="1" ref="H59" ca="1">IFERROR(INDEX($D$16:$D$116,SMALL(IF($D$16:$D$116&lt;&gt;"",ROW($D$16:$D$116)-ROW($D$16)+1),ROW(A44))),"")</f>
        <v/>
      </c>
      <c r="I59" s="441" t="str" cm="1">
        <f t="array" aca="1" ref="I59" ca="1">IFERROR(INDEX($E$16:$E$116,SMALL(IF($E$16:$E$116&lt;&gt;"",ROW($E$16:$E$116)-ROW($E$16)+1),ROW(A44))),"")</f>
        <v/>
      </c>
      <c r="J59" s="441" t="str" cm="1">
        <f t="array" aca="1" ref="J59" ca="1">IFERROR(INDEX($F$16:$F$116,SMALL(IF($F$16:$F$116&lt;&gt;"",ROW($F$16:$F$116)-ROW($F$16)+1),ROW(A44))),"")</f>
        <v/>
      </c>
      <c r="K59" s="441" t="str">
        <f t="shared" ca="1" si="10"/>
        <v/>
      </c>
      <c r="L59" s="446" t="str">
        <f t="shared" ca="1" si="11"/>
        <v/>
      </c>
      <c r="M59" s="447" t="str">
        <f t="shared" ca="1" si="12"/>
        <v/>
      </c>
      <c r="N59" s="447" t="str">
        <f t="shared" ca="1" si="0"/>
        <v/>
      </c>
      <c r="O59" s="447" t="str">
        <f t="shared" ca="1" si="13"/>
        <v/>
      </c>
      <c r="P59" s="447" t="str">
        <f t="shared" ca="1" si="1"/>
        <v/>
      </c>
      <c r="Q59" s="447" t="str">
        <f t="shared" ca="1" si="14"/>
        <v/>
      </c>
      <c r="R59" s="447" t="str">
        <f t="shared" ca="1" si="2"/>
        <v/>
      </c>
      <c r="S59" s="447" t="str">
        <f t="shared" ca="1" si="15"/>
        <v/>
      </c>
      <c r="T59" s="448" t="str">
        <f t="shared" ca="1" si="3"/>
        <v/>
      </c>
      <c r="U59" s="1811" t="str">
        <f t="shared" ca="1" si="16"/>
        <v/>
      </c>
      <c r="V59" s="1812" t="str">
        <f t="shared" ca="1" si="17"/>
        <v/>
      </c>
      <c r="W59" s="1813" t="str">
        <f t="shared" ca="1" si="19"/>
        <v/>
      </c>
      <c r="X59" s="1813" t="str">
        <f t="shared" ca="1" si="19"/>
        <v/>
      </c>
      <c r="Y59" s="1813" t="str">
        <f t="shared" ca="1" si="19"/>
        <v/>
      </c>
      <c r="Z59" s="1813" t="str">
        <f t="shared" ca="1" si="19"/>
        <v/>
      </c>
      <c r="AA59" s="1813" t="str">
        <f t="shared" ca="1" si="19"/>
        <v/>
      </c>
      <c r="AB59" s="1813" t="str">
        <f t="shared" ca="1" si="19"/>
        <v/>
      </c>
      <c r="AC59" s="1813" t="str">
        <f t="shared" ca="1" si="19"/>
        <v/>
      </c>
      <c r="AD59" s="1813" t="str">
        <f t="shared" ca="1" si="19"/>
        <v/>
      </c>
      <c r="AE59" s="1813" t="str">
        <f t="shared" ca="1" si="19"/>
        <v/>
      </c>
      <c r="AF59" s="1814" t="str">
        <f t="shared" ca="1" si="19"/>
        <v/>
      </c>
    </row>
    <row r="60" spans="1:32" x14ac:dyDescent="0.4">
      <c r="A60" s="381">
        <v>45</v>
      </c>
      <c r="B60" s="435" t="b">
        <f t="shared" si="5"/>
        <v>0</v>
      </c>
      <c r="C60" s="440" t="str">
        <f t="shared" ca="1" si="6"/>
        <v/>
      </c>
      <c r="D60" s="818" t="str">
        <f t="shared" ca="1" si="7"/>
        <v/>
      </c>
      <c r="E60" s="818" t="str">
        <f t="shared" ca="1" si="8"/>
        <v/>
      </c>
      <c r="F60" s="210" t="str">
        <f t="shared" ca="1" si="9"/>
        <v/>
      </c>
      <c r="G60" s="442" t="str" cm="1">
        <f t="array" aca="1" ref="G60" ca="1">IFERROR(INDEX($C$16:$C$116,SMALL(IF($C$16:$C$116&lt;&gt;"",ROW($C$16:$C$116)-ROW($C$16)+1),ROW(A45))),"")</f>
        <v/>
      </c>
      <c r="H60" s="441" t="str" cm="1">
        <f t="array" aca="1" ref="H60" ca="1">IFERROR(INDEX($D$16:$D$116,SMALL(IF($D$16:$D$116&lt;&gt;"",ROW($D$16:$D$116)-ROW($D$16)+1),ROW(A45))),"")</f>
        <v/>
      </c>
      <c r="I60" s="441" t="str" cm="1">
        <f t="array" aca="1" ref="I60" ca="1">IFERROR(INDEX($E$16:$E$116,SMALL(IF($E$16:$E$116&lt;&gt;"",ROW($E$16:$E$116)-ROW($E$16)+1),ROW(A45))),"")</f>
        <v/>
      </c>
      <c r="J60" s="441" t="str" cm="1">
        <f t="array" aca="1" ref="J60" ca="1">IFERROR(INDEX($F$16:$F$116,SMALL(IF($F$16:$F$116&lt;&gt;"",ROW($F$16:$F$116)-ROW($F$16)+1),ROW(A45))),"")</f>
        <v/>
      </c>
      <c r="K60" s="441" t="str">
        <f t="shared" ca="1" si="10"/>
        <v/>
      </c>
      <c r="L60" s="446" t="str">
        <f t="shared" ca="1" si="11"/>
        <v/>
      </c>
      <c r="M60" s="447" t="str">
        <f t="shared" ca="1" si="12"/>
        <v/>
      </c>
      <c r="N60" s="447" t="str">
        <f t="shared" ca="1" si="0"/>
        <v/>
      </c>
      <c r="O60" s="447" t="str">
        <f t="shared" ca="1" si="13"/>
        <v/>
      </c>
      <c r="P60" s="447" t="str">
        <f t="shared" ca="1" si="1"/>
        <v/>
      </c>
      <c r="Q60" s="447" t="str">
        <f t="shared" ca="1" si="14"/>
        <v/>
      </c>
      <c r="R60" s="447" t="str">
        <f t="shared" ca="1" si="2"/>
        <v/>
      </c>
      <c r="S60" s="447" t="str">
        <f t="shared" ca="1" si="15"/>
        <v/>
      </c>
      <c r="T60" s="448" t="str">
        <f t="shared" ca="1" si="3"/>
        <v/>
      </c>
      <c r="U60" s="1811" t="str">
        <f t="shared" ca="1" si="16"/>
        <v/>
      </c>
      <c r="V60" s="1812" t="str">
        <f t="shared" ca="1" si="17"/>
        <v/>
      </c>
      <c r="W60" s="1813" t="str">
        <f t="shared" ca="1" si="19"/>
        <v/>
      </c>
      <c r="X60" s="1813" t="str">
        <f t="shared" ca="1" si="19"/>
        <v/>
      </c>
      <c r="Y60" s="1813" t="str">
        <f t="shared" ca="1" si="19"/>
        <v/>
      </c>
      <c r="Z60" s="1813" t="str">
        <f t="shared" ca="1" si="19"/>
        <v/>
      </c>
      <c r="AA60" s="1813" t="str">
        <f t="shared" ca="1" si="19"/>
        <v/>
      </c>
      <c r="AB60" s="1813" t="str">
        <f t="shared" ca="1" si="19"/>
        <v/>
      </c>
      <c r="AC60" s="1813" t="str">
        <f t="shared" ca="1" si="19"/>
        <v/>
      </c>
      <c r="AD60" s="1813" t="str">
        <f t="shared" ca="1" si="19"/>
        <v/>
      </c>
      <c r="AE60" s="1813" t="str">
        <f t="shared" ca="1" si="19"/>
        <v/>
      </c>
      <c r="AF60" s="1814" t="str">
        <f t="shared" ca="1" si="19"/>
        <v/>
      </c>
    </row>
    <row r="61" spans="1:32" x14ac:dyDescent="0.4">
      <c r="A61" s="381">
        <v>46</v>
      </c>
      <c r="B61" s="435" t="b">
        <f t="shared" si="5"/>
        <v>0</v>
      </c>
      <c r="C61" s="440" t="str">
        <f t="shared" ca="1" si="6"/>
        <v/>
      </c>
      <c r="D61" s="818" t="str">
        <f t="shared" ca="1" si="7"/>
        <v/>
      </c>
      <c r="E61" s="818" t="str">
        <f t="shared" ca="1" si="8"/>
        <v/>
      </c>
      <c r="F61" s="210" t="str">
        <f t="shared" ca="1" si="9"/>
        <v/>
      </c>
      <c r="G61" s="442" t="str" cm="1">
        <f t="array" aca="1" ref="G61" ca="1">IFERROR(INDEX($C$16:$C$116,SMALL(IF($C$16:$C$116&lt;&gt;"",ROW($C$16:$C$116)-ROW($C$16)+1),ROW(A46))),"")</f>
        <v/>
      </c>
      <c r="H61" s="441" t="str" cm="1">
        <f t="array" aca="1" ref="H61" ca="1">IFERROR(INDEX($D$16:$D$116,SMALL(IF($D$16:$D$116&lt;&gt;"",ROW($D$16:$D$116)-ROW($D$16)+1),ROW(A46))),"")</f>
        <v/>
      </c>
      <c r="I61" s="441" t="str" cm="1">
        <f t="array" aca="1" ref="I61" ca="1">IFERROR(INDEX($E$16:$E$116,SMALL(IF($E$16:$E$116&lt;&gt;"",ROW($E$16:$E$116)-ROW($E$16)+1),ROW(A46))),"")</f>
        <v/>
      </c>
      <c r="J61" s="441" t="str" cm="1">
        <f t="array" aca="1" ref="J61" ca="1">IFERROR(INDEX($F$16:$F$116,SMALL(IF($F$16:$F$116&lt;&gt;"",ROW($F$16:$F$116)-ROW($F$16)+1),ROW(A46))),"")</f>
        <v/>
      </c>
      <c r="K61" s="441" t="str">
        <f t="shared" ca="1" si="10"/>
        <v/>
      </c>
      <c r="L61" s="446" t="str">
        <f t="shared" ca="1" si="11"/>
        <v/>
      </c>
      <c r="M61" s="447" t="str">
        <f t="shared" ca="1" si="12"/>
        <v/>
      </c>
      <c r="N61" s="447" t="str">
        <f t="shared" ca="1" si="0"/>
        <v/>
      </c>
      <c r="O61" s="447" t="str">
        <f t="shared" ca="1" si="13"/>
        <v/>
      </c>
      <c r="P61" s="447" t="str">
        <f t="shared" ca="1" si="1"/>
        <v/>
      </c>
      <c r="Q61" s="447" t="str">
        <f t="shared" ca="1" si="14"/>
        <v/>
      </c>
      <c r="R61" s="447" t="str">
        <f t="shared" ca="1" si="2"/>
        <v/>
      </c>
      <c r="S61" s="447" t="str">
        <f t="shared" ca="1" si="15"/>
        <v/>
      </c>
      <c r="T61" s="448" t="str">
        <f t="shared" ca="1" si="3"/>
        <v/>
      </c>
      <c r="U61" s="1811" t="str">
        <f t="shared" ca="1" si="16"/>
        <v/>
      </c>
      <c r="V61" s="1812" t="str">
        <f t="shared" ca="1" si="17"/>
        <v/>
      </c>
      <c r="W61" s="1813" t="str">
        <f t="shared" ca="1" si="19"/>
        <v/>
      </c>
      <c r="X61" s="1813" t="str">
        <f t="shared" ca="1" si="19"/>
        <v/>
      </c>
      <c r="Y61" s="1813" t="str">
        <f t="shared" ca="1" si="19"/>
        <v/>
      </c>
      <c r="Z61" s="1813" t="str">
        <f t="shared" ca="1" si="19"/>
        <v/>
      </c>
      <c r="AA61" s="1813" t="str">
        <f t="shared" ca="1" si="19"/>
        <v/>
      </c>
      <c r="AB61" s="1813" t="str">
        <f t="shared" ca="1" si="19"/>
        <v/>
      </c>
      <c r="AC61" s="1813" t="str">
        <f t="shared" ca="1" si="19"/>
        <v/>
      </c>
      <c r="AD61" s="1813" t="str">
        <f t="shared" ca="1" si="19"/>
        <v/>
      </c>
      <c r="AE61" s="1813" t="str">
        <f t="shared" ca="1" si="19"/>
        <v/>
      </c>
      <c r="AF61" s="1814" t="str">
        <f t="shared" ca="1" si="19"/>
        <v/>
      </c>
    </row>
    <row r="62" spans="1:32" x14ac:dyDescent="0.4">
      <c r="A62" s="381">
        <v>47</v>
      </c>
      <c r="B62" s="435" t="b">
        <f t="shared" si="5"/>
        <v>0</v>
      </c>
      <c r="C62" s="440" t="str">
        <f t="shared" ca="1" si="6"/>
        <v/>
      </c>
      <c r="D62" s="818" t="str">
        <f t="shared" ca="1" si="7"/>
        <v/>
      </c>
      <c r="E62" s="818" t="str">
        <f t="shared" ca="1" si="8"/>
        <v/>
      </c>
      <c r="F62" s="210" t="str">
        <f t="shared" ca="1" si="9"/>
        <v/>
      </c>
      <c r="G62" s="442" t="str" cm="1">
        <f t="array" aca="1" ref="G62" ca="1">IFERROR(INDEX($C$16:$C$116,SMALL(IF($C$16:$C$116&lt;&gt;"",ROW($C$16:$C$116)-ROW($C$16)+1),ROW(A47))),"")</f>
        <v/>
      </c>
      <c r="H62" s="441" t="str" cm="1">
        <f t="array" aca="1" ref="H62" ca="1">IFERROR(INDEX($D$16:$D$116,SMALL(IF($D$16:$D$116&lt;&gt;"",ROW($D$16:$D$116)-ROW($D$16)+1),ROW(A47))),"")</f>
        <v/>
      </c>
      <c r="I62" s="441" t="str" cm="1">
        <f t="array" aca="1" ref="I62" ca="1">IFERROR(INDEX($E$16:$E$116,SMALL(IF($E$16:$E$116&lt;&gt;"",ROW($E$16:$E$116)-ROW($E$16)+1),ROW(A47))),"")</f>
        <v/>
      </c>
      <c r="J62" s="441" t="str" cm="1">
        <f t="array" aca="1" ref="J62" ca="1">IFERROR(INDEX($F$16:$F$116,SMALL(IF($F$16:$F$116&lt;&gt;"",ROW($F$16:$F$116)-ROW($F$16)+1),ROW(A47))),"")</f>
        <v/>
      </c>
      <c r="K62" s="441" t="str">
        <f t="shared" ca="1" si="10"/>
        <v/>
      </c>
      <c r="L62" s="446" t="str">
        <f t="shared" ca="1" si="11"/>
        <v/>
      </c>
      <c r="M62" s="447" t="str">
        <f t="shared" ca="1" si="12"/>
        <v/>
      </c>
      <c r="N62" s="447" t="str">
        <f t="shared" ca="1" si="0"/>
        <v/>
      </c>
      <c r="O62" s="447" t="str">
        <f t="shared" ca="1" si="13"/>
        <v/>
      </c>
      <c r="P62" s="447" t="str">
        <f t="shared" ca="1" si="1"/>
        <v/>
      </c>
      <c r="Q62" s="447" t="str">
        <f t="shared" ca="1" si="14"/>
        <v/>
      </c>
      <c r="R62" s="447" t="str">
        <f t="shared" ca="1" si="2"/>
        <v/>
      </c>
      <c r="S62" s="447" t="str">
        <f t="shared" ca="1" si="15"/>
        <v/>
      </c>
      <c r="T62" s="448" t="str">
        <f t="shared" ca="1" si="3"/>
        <v/>
      </c>
      <c r="U62" s="1811" t="str">
        <f t="shared" ca="1" si="16"/>
        <v/>
      </c>
      <c r="V62" s="1812" t="str">
        <f t="shared" ca="1" si="17"/>
        <v/>
      </c>
      <c r="W62" s="1813" t="str">
        <f t="shared" ca="1" si="19"/>
        <v/>
      </c>
      <c r="X62" s="1813" t="str">
        <f t="shared" ca="1" si="19"/>
        <v/>
      </c>
      <c r="Y62" s="1813" t="str">
        <f t="shared" ca="1" si="19"/>
        <v/>
      </c>
      <c r="Z62" s="1813" t="str">
        <f t="shared" ca="1" si="19"/>
        <v/>
      </c>
      <c r="AA62" s="1813" t="str">
        <f t="shared" ca="1" si="19"/>
        <v/>
      </c>
      <c r="AB62" s="1813" t="str">
        <f t="shared" ca="1" si="19"/>
        <v/>
      </c>
      <c r="AC62" s="1813" t="str">
        <f t="shared" ca="1" si="19"/>
        <v/>
      </c>
      <c r="AD62" s="1813" t="str">
        <f t="shared" ca="1" si="19"/>
        <v/>
      </c>
      <c r="AE62" s="1813" t="str">
        <f t="shared" ca="1" si="19"/>
        <v/>
      </c>
      <c r="AF62" s="1814" t="str">
        <f t="shared" ca="1" si="19"/>
        <v/>
      </c>
    </row>
    <row r="63" spans="1:32" x14ac:dyDescent="0.4">
      <c r="A63" s="381">
        <v>48</v>
      </c>
      <c r="B63" s="435" t="b">
        <f t="shared" si="5"/>
        <v>0</v>
      </c>
      <c r="C63" s="440" t="str">
        <f t="shared" ca="1" si="6"/>
        <v/>
      </c>
      <c r="D63" s="818" t="str">
        <f t="shared" ca="1" si="7"/>
        <v/>
      </c>
      <c r="E63" s="818" t="str">
        <f t="shared" ca="1" si="8"/>
        <v/>
      </c>
      <c r="F63" s="210" t="str">
        <f t="shared" ca="1" si="9"/>
        <v/>
      </c>
      <c r="G63" s="442" t="str" cm="1">
        <f t="array" aca="1" ref="G63" ca="1">IFERROR(INDEX($C$16:$C$116,SMALL(IF($C$16:$C$116&lt;&gt;"",ROW($C$16:$C$116)-ROW($C$16)+1),ROW(A48))),"")</f>
        <v/>
      </c>
      <c r="H63" s="441" t="str" cm="1">
        <f t="array" aca="1" ref="H63" ca="1">IFERROR(INDEX($D$16:$D$116,SMALL(IF($D$16:$D$116&lt;&gt;"",ROW($D$16:$D$116)-ROW($D$16)+1),ROW(A48))),"")</f>
        <v/>
      </c>
      <c r="I63" s="441" t="str" cm="1">
        <f t="array" aca="1" ref="I63" ca="1">IFERROR(INDEX($E$16:$E$116,SMALL(IF($E$16:$E$116&lt;&gt;"",ROW($E$16:$E$116)-ROW($E$16)+1),ROW(A48))),"")</f>
        <v/>
      </c>
      <c r="J63" s="441" t="str" cm="1">
        <f t="array" aca="1" ref="J63" ca="1">IFERROR(INDEX($F$16:$F$116,SMALL(IF($F$16:$F$116&lt;&gt;"",ROW($F$16:$F$116)-ROW($F$16)+1),ROW(A48))),"")</f>
        <v/>
      </c>
      <c r="K63" s="441" t="str">
        <f t="shared" ca="1" si="10"/>
        <v/>
      </c>
      <c r="L63" s="446" t="str">
        <f t="shared" ca="1" si="11"/>
        <v/>
      </c>
      <c r="M63" s="447" t="str">
        <f t="shared" ca="1" si="12"/>
        <v/>
      </c>
      <c r="N63" s="447" t="str">
        <f t="shared" ca="1" si="0"/>
        <v/>
      </c>
      <c r="O63" s="447" t="str">
        <f t="shared" ca="1" si="13"/>
        <v/>
      </c>
      <c r="P63" s="447" t="str">
        <f t="shared" ca="1" si="1"/>
        <v/>
      </c>
      <c r="Q63" s="447" t="str">
        <f t="shared" ca="1" si="14"/>
        <v/>
      </c>
      <c r="R63" s="447" t="str">
        <f t="shared" ca="1" si="2"/>
        <v/>
      </c>
      <c r="S63" s="447" t="str">
        <f t="shared" ca="1" si="15"/>
        <v/>
      </c>
      <c r="T63" s="448" t="str">
        <f t="shared" ca="1" si="3"/>
        <v/>
      </c>
      <c r="U63" s="1811" t="str">
        <f t="shared" ca="1" si="16"/>
        <v/>
      </c>
      <c r="V63" s="1812" t="str">
        <f t="shared" ca="1" si="17"/>
        <v/>
      </c>
      <c r="W63" s="1813" t="str">
        <f t="shared" ca="1" si="19"/>
        <v/>
      </c>
      <c r="X63" s="1813" t="str">
        <f t="shared" ca="1" si="19"/>
        <v/>
      </c>
      <c r="Y63" s="1813" t="str">
        <f t="shared" ca="1" si="19"/>
        <v/>
      </c>
      <c r="Z63" s="1813" t="str">
        <f t="shared" ca="1" si="19"/>
        <v/>
      </c>
      <c r="AA63" s="1813" t="str">
        <f t="shared" ca="1" si="19"/>
        <v/>
      </c>
      <c r="AB63" s="1813" t="str">
        <f t="shared" ca="1" si="19"/>
        <v/>
      </c>
      <c r="AC63" s="1813" t="str">
        <f t="shared" ca="1" si="19"/>
        <v/>
      </c>
      <c r="AD63" s="1813" t="str">
        <f t="shared" ca="1" si="19"/>
        <v/>
      </c>
      <c r="AE63" s="1813" t="str">
        <f t="shared" ca="1" si="19"/>
        <v/>
      </c>
      <c r="AF63" s="1814" t="str">
        <f t="shared" ca="1" si="19"/>
        <v/>
      </c>
    </row>
    <row r="64" spans="1:32" x14ac:dyDescent="0.4">
      <c r="A64" s="381">
        <v>49</v>
      </c>
      <c r="B64" s="435" t="b">
        <f t="shared" si="5"/>
        <v>0</v>
      </c>
      <c r="C64" s="440" t="str">
        <f t="shared" ca="1" si="6"/>
        <v/>
      </c>
      <c r="D64" s="818" t="str">
        <f t="shared" ca="1" si="7"/>
        <v/>
      </c>
      <c r="E64" s="818" t="str">
        <f t="shared" ca="1" si="8"/>
        <v/>
      </c>
      <c r="F64" s="210" t="str">
        <f t="shared" ca="1" si="9"/>
        <v/>
      </c>
      <c r="G64" s="442" t="str" cm="1">
        <f t="array" aca="1" ref="G64" ca="1">IFERROR(INDEX($C$16:$C$116,SMALL(IF($C$16:$C$116&lt;&gt;"",ROW($C$16:$C$116)-ROW($C$16)+1),ROW(A49))),"")</f>
        <v/>
      </c>
      <c r="H64" s="441" t="str" cm="1">
        <f t="array" aca="1" ref="H64" ca="1">IFERROR(INDEX($D$16:$D$116,SMALL(IF($D$16:$D$116&lt;&gt;"",ROW($D$16:$D$116)-ROW($D$16)+1),ROW(A49))),"")</f>
        <v/>
      </c>
      <c r="I64" s="441" t="str" cm="1">
        <f t="array" aca="1" ref="I64" ca="1">IFERROR(INDEX($E$16:$E$116,SMALL(IF($E$16:$E$116&lt;&gt;"",ROW($E$16:$E$116)-ROW($E$16)+1),ROW(A49))),"")</f>
        <v/>
      </c>
      <c r="J64" s="441" t="str" cm="1">
        <f t="array" aca="1" ref="J64" ca="1">IFERROR(INDEX($F$16:$F$116,SMALL(IF($F$16:$F$116&lt;&gt;"",ROW($F$16:$F$116)-ROW($F$16)+1),ROW(A49))),"")</f>
        <v/>
      </c>
      <c r="K64" s="441" t="str">
        <f t="shared" ca="1" si="10"/>
        <v/>
      </c>
      <c r="L64" s="446" t="str">
        <f t="shared" ca="1" si="11"/>
        <v/>
      </c>
      <c r="M64" s="447" t="str">
        <f t="shared" ca="1" si="12"/>
        <v/>
      </c>
      <c r="N64" s="447" t="str">
        <f t="shared" ca="1" si="0"/>
        <v/>
      </c>
      <c r="O64" s="447" t="str">
        <f t="shared" ca="1" si="13"/>
        <v/>
      </c>
      <c r="P64" s="447" t="str">
        <f t="shared" ca="1" si="1"/>
        <v/>
      </c>
      <c r="Q64" s="447" t="str">
        <f t="shared" ca="1" si="14"/>
        <v/>
      </c>
      <c r="R64" s="447" t="str">
        <f t="shared" ca="1" si="2"/>
        <v/>
      </c>
      <c r="S64" s="447" t="str">
        <f t="shared" ca="1" si="15"/>
        <v/>
      </c>
      <c r="T64" s="448" t="str">
        <f t="shared" ca="1" si="3"/>
        <v/>
      </c>
      <c r="U64" s="1811" t="str">
        <f t="shared" ca="1" si="16"/>
        <v/>
      </c>
      <c r="V64" s="1812" t="str">
        <f t="shared" ca="1" si="17"/>
        <v/>
      </c>
      <c r="W64" s="1813" t="str">
        <f t="shared" ca="1" si="19"/>
        <v/>
      </c>
      <c r="X64" s="1813" t="str">
        <f t="shared" ca="1" si="19"/>
        <v/>
      </c>
      <c r="Y64" s="1813" t="str">
        <f t="shared" ca="1" si="19"/>
        <v/>
      </c>
      <c r="Z64" s="1813" t="str">
        <f t="shared" ca="1" si="19"/>
        <v/>
      </c>
      <c r="AA64" s="1813" t="str">
        <f t="shared" ca="1" si="19"/>
        <v/>
      </c>
      <c r="AB64" s="1813" t="str">
        <f t="shared" ca="1" si="19"/>
        <v/>
      </c>
      <c r="AC64" s="1813" t="str">
        <f t="shared" ca="1" si="19"/>
        <v/>
      </c>
      <c r="AD64" s="1813" t="str">
        <f t="shared" ca="1" si="19"/>
        <v/>
      </c>
      <c r="AE64" s="1813" t="str">
        <f t="shared" ca="1" si="19"/>
        <v/>
      </c>
      <c r="AF64" s="1814" t="str">
        <f t="shared" ca="1" si="19"/>
        <v/>
      </c>
    </row>
    <row r="65" spans="1:32" x14ac:dyDescent="0.4">
      <c r="A65" s="381">
        <v>50</v>
      </c>
      <c r="B65" s="435" t="b">
        <f t="shared" si="5"/>
        <v>0</v>
      </c>
      <c r="C65" s="440" t="str">
        <f t="shared" ca="1" si="6"/>
        <v/>
      </c>
      <c r="D65" s="818" t="str">
        <f t="shared" ca="1" si="7"/>
        <v/>
      </c>
      <c r="E65" s="818" t="str">
        <f t="shared" ca="1" si="8"/>
        <v/>
      </c>
      <c r="F65" s="210" t="str">
        <f t="shared" ca="1" si="9"/>
        <v/>
      </c>
      <c r="G65" s="442" t="str" cm="1">
        <f t="array" aca="1" ref="G65" ca="1">IFERROR(INDEX($C$16:$C$116,SMALL(IF($C$16:$C$116&lt;&gt;"",ROW($C$16:$C$116)-ROW($C$16)+1),ROW(A50))),"")</f>
        <v/>
      </c>
      <c r="H65" s="441" t="str" cm="1">
        <f t="array" aca="1" ref="H65" ca="1">IFERROR(INDEX($D$16:$D$116,SMALL(IF($D$16:$D$116&lt;&gt;"",ROW($D$16:$D$116)-ROW($D$16)+1),ROW(A50))),"")</f>
        <v/>
      </c>
      <c r="I65" s="441" t="str" cm="1">
        <f t="array" aca="1" ref="I65" ca="1">IFERROR(INDEX($E$16:$E$116,SMALL(IF($E$16:$E$116&lt;&gt;"",ROW($E$16:$E$116)-ROW($E$16)+1),ROW(A50))),"")</f>
        <v/>
      </c>
      <c r="J65" s="441" t="str" cm="1">
        <f t="array" aca="1" ref="J65" ca="1">IFERROR(INDEX($F$16:$F$116,SMALL(IF($F$16:$F$116&lt;&gt;"",ROW($F$16:$F$116)-ROW($F$16)+1),ROW(A50))),"")</f>
        <v/>
      </c>
      <c r="K65" s="441" t="str">
        <f t="shared" ca="1" si="10"/>
        <v/>
      </c>
      <c r="L65" s="446" t="str">
        <f t="shared" ca="1" si="11"/>
        <v/>
      </c>
      <c r="M65" s="447" t="str">
        <f t="shared" ca="1" si="12"/>
        <v/>
      </c>
      <c r="N65" s="447" t="str">
        <f t="shared" ca="1" si="0"/>
        <v/>
      </c>
      <c r="O65" s="447" t="str">
        <f t="shared" ca="1" si="13"/>
        <v/>
      </c>
      <c r="P65" s="447" t="str">
        <f t="shared" ca="1" si="1"/>
        <v/>
      </c>
      <c r="Q65" s="447" t="str">
        <f t="shared" ca="1" si="14"/>
        <v/>
      </c>
      <c r="R65" s="447" t="str">
        <f t="shared" ca="1" si="2"/>
        <v/>
      </c>
      <c r="S65" s="447" t="str">
        <f t="shared" ca="1" si="15"/>
        <v/>
      </c>
      <c r="T65" s="448" t="str">
        <f t="shared" ca="1" si="3"/>
        <v/>
      </c>
      <c r="U65" s="1811" t="str">
        <f t="shared" ca="1" si="16"/>
        <v/>
      </c>
      <c r="V65" s="1812" t="str">
        <f t="shared" ca="1" si="17"/>
        <v/>
      </c>
      <c r="W65" s="1813" t="str">
        <f t="shared" ca="1" si="19"/>
        <v/>
      </c>
      <c r="X65" s="1813" t="str">
        <f t="shared" ca="1" si="19"/>
        <v/>
      </c>
      <c r="Y65" s="1813" t="str">
        <f t="shared" ca="1" si="19"/>
        <v/>
      </c>
      <c r="Z65" s="1813" t="str">
        <f t="shared" ca="1" si="19"/>
        <v/>
      </c>
      <c r="AA65" s="1813" t="str">
        <f t="shared" ca="1" si="19"/>
        <v/>
      </c>
      <c r="AB65" s="1813" t="str">
        <f t="shared" ca="1" si="19"/>
        <v/>
      </c>
      <c r="AC65" s="1813" t="str">
        <f t="shared" ca="1" si="19"/>
        <v/>
      </c>
      <c r="AD65" s="1813" t="str">
        <f t="shared" ca="1" si="19"/>
        <v/>
      </c>
      <c r="AE65" s="1813" t="str">
        <f t="shared" ca="1" si="19"/>
        <v/>
      </c>
      <c r="AF65" s="1814" t="str">
        <f t="shared" ca="1" si="19"/>
        <v/>
      </c>
    </row>
    <row r="66" spans="1:32" x14ac:dyDescent="0.4">
      <c r="A66" s="381">
        <v>51</v>
      </c>
      <c r="B66" s="435" t="b">
        <f t="shared" si="5"/>
        <v>0</v>
      </c>
      <c r="C66" s="440" t="str">
        <f t="shared" ca="1" si="6"/>
        <v/>
      </c>
      <c r="D66" s="818" t="str">
        <f t="shared" ca="1" si="7"/>
        <v/>
      </c>
      <c r="E66" s="818" t="str">
        <f t="shared" ca="1" si="8"/>
        <v/>
      </c>
      <c r="F66" s="210" t="str">
        <f t="shared" ca="1" si="9"/>
        <v/>
      </c>
      <c r="G66" s="442" t="str" cm="1">
        <f t="array" aca="1" ref="G66" ca="1">IFERROR(INDEX($C$16:$C$116,SMALL(IF($C$16:$C$116&lt;&gt;"",ROW($C$16:$C$116)-ROW($C$16)+1),ROW(A51))),"")</f>
        <v/>
      </c>
      <c r="H66" s="441" t="str" cm="1">
        <f t="array" aca="1" ref="H66" ca="1">IFERROR(INDEX($D$16:$D$116,SMALL(IF($D$16:$D$116&lt;&gt;"",ROW($D$16:$D$116)-ROW($D$16)+1),ROW(A51))),"")</f>
        <v/>
      </c>
      <c r="I66" s="441" t="str" cm="1">
        <f t="array" aca="1" ref="I66" ca="1">IFERROR(INDEX($E$16:$E$116,SMALL(IF($E$16:$E$116&lt;&gt;"",ROW($E$16:$E$116)-ROW($E$16)+1),ROW(A51))),"")</f>
        <v/>
      </c>
      <c r="J66" s="441" t="str" cm="1">
        <f t="array" aca="1" ref="J66" ca="1">IFERROR(INDEX($F$16:$F$116,SMALL(IF($F$16:$F$116&lt;&gt;"",ROW($F$16:$F$116)-ROW($F$16)+1),ROW(A51))),"")</f>
        <v/>
      </c>
      <c r="K66" s="441" t="str">
        <f t="shared" ca="1" si="10"/>
        <v/>
      </c>
      <c r="L66" s="446" t="str">
        <f t="shared" ca="1" si="11"/>
        <v/>
      </c>
      <c r="M66" s="447" t="str">
        <f t="shared" ca="1" si="12"/>
        <v/>
      </c>
      <c r="N66" s="447" t="str">
        <f t="shared" ca="1" si="0"/>
        <v/>
      </c>
      <c r="O66" s="447" t="str">
        <f t="shared" ca="1" si="13"/>
        <v/>
      </c>
      <c r="P66" s="447" t="str">
        <f t="shared" ca="1" si="1"/>
        <v/>
      </c>
      <c r="Q66" s="447" t="str">
        <f t="shared" ca="1" si="14"/>
        <v/>
      </c>
      <c r="R66" s="447" t="str">
        <f t="shared" ca="1" si="2"/>
        <v/>
      </c>
      <c r="S66" s="447" t="str">
        <f t="shared" ca="1" si="15"/>
        <v/>
      </c>
      <c r="T66" s="448" t="str">
        <f t="shared" ca="1" si="3"/>
        <v/>
      </c>
      <c r="U66" s="1811" t="str">
        <f t="shared" ca="1" si="16"/>
        <v/>
      </c>
      <c r="V66" s="1812" t="str">
        <f t="shared" ca="1" si="17"/>
        <v/>
      </c>
      <c r="W66" s="1813" t="str">
        <f t="shared" ca="1" si="19"/>
        <v/>
      </c>
      <c r="X66" s="1813" t="str">
        <f t="shared" ca="1" si="19"/>
        <v/>
      </c>
      <c r="Y66" s="1813" t="str">
        <f t="shared" ca="1" si="19"/>
        <v/>
      </c>
      <c r="Z66" s="1813" t="str">
        <f t="shared" ca="1" si="19"/>
        <v/>
      </c>
      <c r="AA66" s="1813" t="str">
        <f t="shared" ca="1" si="19"/>
        <v/>
      </c>
      <c r="AB66" s="1813" t="str">
        <f t="shared" ca="1" si="19"/>
        <v/>
      </c>
      <c r="AC66" s="1813" t="str">
        <f t="shared" ca="1" si="19"/>
        <v/>
      </c>
      <c r="AD66" s="1813" t="str">
        <f t="shared" ca="1" si="19"/>
        <v/>
      </c>
      <c r="AE66" s="1813" t="str">
        <f t="shared" ca="1" si="19"/>
        <v/>
      </c>
      <c r="AF66" s="1814" t="str">
        <f t="shared" ca="1" si="19"/>
        <v/>
      </c>
    </row>
    <row r="67" spans="1:32" x14ac:dyDescent="0.4">
      <c r="A67" s="381">
        <v>52</v>
      </c>
      <c r="B67" s="435" t="b">
        <f t="shared" si="5"/>
        <v>0</v>
      </c>
      <c r="C67" s="440" t="str">
        <f t="shared" ca="1" si="6"/>
        <v/>
      </c>
      <c r="D67" s="818" t="str">
        <f t="shared" ca="1" si="7"/>
        <v/>
      </c>
      <c r="E67" s="818" t="str">
        <f t="shared" ca="1" si="8"/>
        <v/>
      </c>
      <c r="F67" s="210" t="str">
        <f t="shared" ca="1" si="9"/>
        <v/>
      </c>
      <c r="G67" s="442" t="str" cm="1">
        <f t="array" aca="1" ref="G67" ca="1">IFERROR(INDEX($C$16:$C$116,SMALL(IF($C$16:$C$116&lt;&gt;"",ROW($C$16:$C$116)-ROW($C$16)+1),ROW(A52))),"")</f>
        <v/>
      </c>
      <c r="H67" s="441" t="str" cm="1">
        <f t="array" aca="1" ref="H67" ca="1">IFERROR(INDEX($D$16:$D$116,SMALL(IF($D$16:$D$116&lt;&gt;"",ROW($D$16:$D$116)-ROW($D$16)+1),ROW(A52))),"")</f>
        <v/>
      </c>
      <c r="I67" s="441" t="str" cm="1">
        <f t="array" aca="1" ref="I67" ca="1">IFERROR(INDEX($E$16:$E$116,SMALL(IF($E$16:$E$116&lt;&gt;"",ROW($E$16:$E$116)-ROW($E$16)+1),ROW(A52))),"")</f>
        <v/>
      </c>
      <c r="J67" s="441" t="str" cm="1">
        <f t="array" aca="1" ref="J67" ca="1">IFERROR(INDEX($F$16:$F$116,SMALL(IF($F$16:$F$116&lt;&gt;"",ROW($F$16:$F$116)-ROW($F$16)+1),ROW(A52))),"")</f>
        <v/>
      </c>
      <c r="K67" s="441" t="str">
        <f t="shared" ca="1" si="10"/>
        <v/>
      </c>
      <c r="L67" s="446" t="str">
        <f t="shared" ca="1" si="11"/>
        <v/>
      </c>
      <c r="M67" s="447" t="str">
        <f t="shared" ca="1" si="12"/>
        <v/>
      </c>
      <c r="N67" s="447" t="str">
        <f t="shared" ca="1" si="0"/>
        <v/>
      </c>
      <c r="O67" s="447" t="str">
        <f t="shared" ca="1" si="13"/>
        <v/>
      </c>
      <c r="P67" s="447" t="str">
        <f t="shared" ca="1" si="1"/>
        <v/>
      </c>
      <c r="Q67" s="447" t="str">
        <f t="shared" ca="1" si="14"/>
        <v/>
      </c>
      <c r="R67" s="447" t="str">
        <f t="shared" ca="1" si="2"/>
        <v/>
      </c>
      <c r="S67" s="447" t="str">
        <f t="shared" ca="1" si="15"/>
        <v/>
      </c>
      <c r="T67" s="448" t="str">
        <f t="shared" ca="1" si="3"/>
        <v/>
      </c>
      <c r="U67" s="1811" t="str">
        <f t="shared" ca="1" si="16"/>
        <v/>
      </c>
      <c r="V67" s="1812" t="str">
        <f t="shared" ca="1" si="17"/>
        <v/>
      </c>
      <c r="W67" s="1813" t="str">
        <f t="shared" ca="1" si="19"/>
        <v/>
      </c>
      <c r="X67" s="1813" t="str">
        <f t="shared" ca="1" si="19"/>
        <v/>
      </c>
      <c r="Y67" s="1813" t="str">
        <f t="shared" ca="1" si="19"/>
        <v/>
      </c>
      <c r="Z67" s="1813" t="str">
        <f t="shared" ca="1" si="19"/>
        <v/>
      </c>
      <c r="AA67" s="1813" t="str">
        <f t="shared" ca="1" si="19"/>
        <v/>
      </c>
      <c r="AB67" s="1813" t="str">
        <f t="shared" ca="1" si="19"/>
        <v/>
      </c>
      <c r="AC67" s="1813" t="str">
        <f t="shared" ca="1" si="19"/>
        <v/>
      </c>
      <c r="AD67" s="1813" t="str">
        <f t="shared" ca="1" si="19"/>
        <v/>
      </c>
      <c r="AE67" s="1813" t="str">
        <f t="shared" ca="1" si="19"/>
        <v/>
      </c>
      <c r="AF67" s="1814" t="str">
        <f t="shared" ca="1" si="19"/>
        <v/>
      </c>
    </row>
    <row r="68" spans="1:32" x14ac:dyDescent="0.4">
      <c r="A68" s="381">
        <v>53</v>
      </c>
      <c r="B68" s="435" t="b">
        <f t="shared" si="5"/>
        <v>0</v>
      </c>
      <c r="C68" s="440" t="str">
        <f t="shared" ca="1" si="6"/>
        <v/>
      </c>
      <c r="D68" s="818" t="str">
        <f t="shared" ca="1" si="7"/>
        <v/>
      </c>
      <c r="E68" s="818" t="str">
        <f t="shared" ca="1" si="8"/>
        <v/>
      </c>
      <c r="F68" s="210" t="str">
        <f t="shared" ca="1" si="9"/>
        <v/>
      </c>
      <c r="G68" s="442" t="str" cm="1">
        <f t="array" aca="1" ref="G68" ca="1">IFERROR(INDEX($C$16:$C$116,SMALL(IF($C$16:$C$116&lt;&gt;"",ROW($C$16:$C$116)-ROW($C$16)+1),ROW(A53))),"")</f>
        <v/>
      </c>
      <c r="H68" s="441" t="str" cm="1">
        <f t="array" aca="1" ref="H68" ca="1">IFERROR(INDEX($D$16:$D$116,SMALL(IF($D$16:$D$116&lt;&gt;"",ROW($D$16:$D$116)-ROW($D$16)+1),ROW(A53))),"")</f>
        <v/>
      </c>
      <c r="I68" s="441" t="str" cm="1">
        <f t="array" aca="1" ref="I68" ca="1">IFERROR(INDEX($E$16:$E$116,SMALL(IF($E$16:$E$116&lt;&gt;"",ROW($E$16:$E$116)-ROW($E$16)+1),ROW(A53))),"")</f>
        <v/>
      </c>
      <c r="J68" s="441" t="str" cm="1">
        <f t="array" aca="1" ref="J68" ca="1">IFERROR(INDEX($F$16:$F$116,SMALL(IF($F$16:$F$116&lt;&gt;"",ROW($F$16:$F$116)-ROW($F$16)+1),ROW(A53))),"")</f>
        <v/>
      </c>
      <c r="K68" s="441" t="str">
        <f t="shared" ca="1" si="10"/>
        <v/>
      </c>
      <c r="L68" s="446" t="str">
        <f t="shared" ca="1" si="11"/>
        <v/>
      </c>
      <c r="M68" s="447" t="str">
        <f t="shared" ca="1" si="12"/>
        <v/>
      </c>
      <c r="N68" s="447" t="str">
        <f t="shared" ca="1" si="0"/>
        <v/>
      </c>
      <c r="O68" s="447" t="str">
        <f t="shared" ca="1" si="13"/>
        <v/>
      </c>
      <c r="P68" s="447" t="str">
        <f t="shared" ca="1" si="1"/>
        <v/>
      </c>
      <c r="Q68" s="447" t="str">
        <f t="shared" ca="1" si="14"/>
        <v/>
      </c>
      <c r="R68" s="447" t="str">
        <f t="shared" ca="1" si="2"/>
        <v/>
      </c>
      <c r="S68" s="447" t="str">
        <f t="shared" ca="1" si="15"/>
        <v/>
      </c>
      <c r="T68" s="448" t="str">
        <f t="shared" ca="1" si="3"/>
        <v/>
      </c>
      <c r="U68" s="1811" t="str">
        <f t="shared" ca="1" si="16"/>
        <v/>
      </c>
      <c r="V68" s="1812" t="str">
        <f t="shared" ca="1" si="17"/>
        <v/>
      </c>
      <c r="W68" s="1813" t="str">
        <f t="shared" ca="1" si="19"/>
        <v/>
      </c>
      <c r="X68" s="1813" t="str">
        <f t="shared" ca="1" si="19"/>
        <v/>
      </c>
      <c r="Y68" s="1813" t="str">
        <f t="shared" ca="1" si="19"/>
        <v/>
      </c>
      <c r="Z68" s="1813" t="str">
        <f t="shared" ca="1" si="19"/>
        <v/>
      </c>
      <c r="AA68" s="1813" t="str">
        <f t="shared" ca="1" si="19"/>
        <v/>
      </c>
      <c r="AB68" s="1813" t="str">
        <f t="shared" ca="1" si="19"/>
        <v/>
      </c>
      <c r="AC68" s="1813" t="str">
        <f t="shared" ca="1" si="19"/>
        <v/>
      </c>
      <c r="AD68" s="1813" t="str">
        <f t="shared" ca="1" si="19"/>
        <v/>
      </c>
      <c r="AE68" s="1813" t="str">
        <f t="shared" ca="1" si="19"/>
        <v/>
      </c>
      <c r="AF68" s="1814" t="str">
        <f t="shared" ca="1" si="19"/>
        <v/>
      </c>
    </row>
    <row r="69" spans="1:32" x14ac:dyDescent="0.4">
      <c r="A69" s="381">
        <v>54</v>
      </c>
      <c r="B69" s="435" t="b">
        <f t="shared" si="5"/>
        <v>0</v>
      </c>
      <c r="C69" s="440" t="str">
        <f t="shared" ca="1" si="6"/>
        <v/>
      </c>
      <c r="D69" s="818" t="str">
        <f t="shared" ca="1" si="7"/>
        <v/>
      </c>
      <c r="E69" s="818" t="str">
        <f t="shared" ca="1" si="8"/>
        <v/>
      </c>
      <c r="F69" s="210" t="str">
        <f t="shared" ca="1" si="9"/>
        <v/>
      </c>
      <c r="G69" s="442" t="str" cm="1">
        <f t="array" aca="1" ref="G69" ca="1">IFERROR(INDEX($C$16:$C$116,SMALL(IF($C$16:$C$116&lt;&gt;"",ROW($C$16:$C$116)-ROW($C$16)+1),ROW(A54))),"")</f>
        <v/>
      </c>
      <c r="H69" s="441" t="str" cm="1">
        <f t="array" aca="1" ref="H69" ca="1">IFERROR(INDEX($D$16:$D$116,SMALL(IF($D$16:$D$116&lt;&gt;"",ROW($D$16:$D$116)-ROW($D$16)+1),ROW(A54))),"")</f>
        <v/>
      </c>
      <c r="I69" s="441" t="str" cm="1">
        <f t="array" aca="1" ref="I69" ca="1">IFERROR(INDEX($E$16:$E$116,SMALL(IF($E$16:$E$116&lt;&gt;"",ROW($E$16:$E$116)-ROW($E$16)+1),ROW(A54))),"")</f>
        <v/>
      </c>
      <c r="J69" s="441" t="str" cm="1">
        <f t="array" aca="1" ref="J69" ca="1">IFERROR(INDEX($F$16:$F$116,SMALL(IF($F$16:$F$116&lt;&gt;"",ROW($F$16:$F$116)-ROW($F$16)+1),ROW(A54))),"")</f>
        <v/>
      </c>
      <c r="K69" s="441" t="str">
        <f t="shared" ca="1" si="10"/>
        <v/>
      </c>
      <c r="L69" s="446" t="str">
        <f t="shared" ca="1" si="11"/>
        <v/>
      </c>
      <c r="M69" s="447" t="str">
        <f t="shared" ca="1" si="12"/>
        <v/>
      </c>
      <c r="N69" s="447" t="str">
        <f t="shared" ca="1" si="0"/>
        <v/>
      </c>
      <c r="O69" s="447" t="str">
        <f t="shared" ca="1" si="13"/>
        <v/>
      </c>
      <c r="P69" s="447" t="str">
        <f t="shared" ca="1" si="1"/>
        <v/>
      </c>
      <c r="Q69" s="447" t="str">
        <f t="shared" ca="1" si="14"/>
        <v/>
      </c>
      <c r="R69" s="447" t="str">
        <f t="shared" ca="1" si="2"/>
        <v/>
      </c>
      <c r="S69" s="447" t="str">
        <f t="shared" ca="1" si="15"/>
        <v/>
      </c>
      <c r="T69" s="448" t="str">
        <f t="shared" ca="1" si="3"/>
        <v/>
      </c>
      <c r="U69" s="449" t="str">
        <f t="shared" ca="1" si="16"/>
        <v/>
      </c>
      <c r="V69" s="450" t="str">
        <f t="shared" ca="1" si="17"/>
        <v/>
      </c>
      <c r="W69" s="451" t="str">
        <f t="shared" ca="1" si="19"/>
        <v/>
      </c>
      <c r="X69" s="451" t="str">
        <f t="shared" ca="1" si="19"/>
        <v/>
      </c>
      <c r="Y69" s="451" t="str">
        <f t="shared" ca="1" si="19"/>
        <v/>
      </c>
      <c r="Z69" s="451" t="str">
        <f t="shared" ca="1" si="19"/>
        <v/>
      </c>
      <c r="AA69" s="451" t="str">
        <f t="shared" ca="1" si="19"/>
        <v/>
      </c>
      <c r="AB69" s="451" t="str">
        <f t="shared" ca="1" si="19"/>
        <v/>
      </c>
      <c r="AC69" s="451" t="str">
        <f t="shared" ca="1" si="19"/>
        <v/>
      </c>
      <c r="AD69" s="451" t="str">
        <f t="shared" ca="1" si="19"/>
        <v/>
      </c>
      <c r="AE69" s="451" t="str">
        <f t="shared" ca="1" si="19"/>
        <v/>
      </c>
      <c r="AF69" s="452" t="str">
        <f t="shared" ca="1" si="19"/>
        <v/>
      </c>
    </row>
    <row r="70" spans="1:32" x14ac:dyDescent="0.4">
      <c r="A70" s="381">
        <v>55</v>
      </c>
      <c r="B70" s="435" t="b">
        <f t="shared" si="5"/>
        <v>0</v>
      </c>
      <c r="C70" s="440" t="str">
        <f t="shared" ca="1" si="6"/>
        <v/>
      </c>
      <c r="D70" s="818" t="str">
        <f t="shared" ca="1" si="7"/>
        <v/>
      </c>
      <c r="E70" s="818" t="str">
        <f t="shared" ca="1" si="8"/>
        <v/>
      </c>
      <c r="F70" s="210" t="str">
        <f t="shared" ca="1" si="9"/>
        <v/>
      </c>
      <c r="G70" s="442" t="str" cm="1">
        <f t="array" aca="1" ref="G70" ca="1">IFERROR(INDEX($C$16:$C$116,SMALL(IF($C$16:$C$116&lt;&gt;"",ROW($C$16:$C$116)-ROW($C$16)+1),ROW(A55))),"")</f>
        <v/>
      </c>
      <c r="H70" s="441" t="str" cm="1">
        <f t="array" aca="1" ref="H70" ca="1">IFERROR(INDEX($D$16:$D$116,SMALL(IF($D$16:$D$116&lt;&gt;"",ROW($D$16:$D$116)-ROW($D$16)+1),ROW(A55))),"")</f>
        <v/>
      </c>
      <c r="I70" s="441" t="str" cm="1">
        <f t="array" aca="1" ref="I70" ca="1">IFERROR(INDEX($E$16:$E$116,SMALL(IF($E$16:$E$116&lt;&gt;"",ROW($E$16:$E$116)-ROW($E$16)+1),ROW(A55))),"")</f>
        <v/>
      </c>
      <c r="J70" s="441" t="str" cm="1">
        <f t="array" aca="1" ref="J70" ca="1">IFERROR(INDEX($F$16:$F$116,SMALL(IF($F$16:$F$116&lt;&gt;"",ROW($F$16:$F$116)-ROW($F$16)+1),ROW(A55))),"")</f>
        <v/>
      </c>
      <c r="K70" s="441" t="str">
        <f t="shared" ca="1" si="10"/>
        <v/>
      </c>
      <c r="L70" s="446" t="str">
        <f t="shared" ca="1" si="11"/>
        <v/>
      </c>
      <c r="M70" s="447" t="str">
        <f t="shared" ca="1" si="12"/>
        <v/>
      </c>
      <c r="N70" s="447" t="str">
        <f t="shared" ca="1" si="0"/>
        <v/>
      </c>
      <c r="O70" s="447" t="str">
        <f t="shared" ca="1" si="13"/>
        <v/>
      </c>
      <c r="P70" s="447" t="str">
        <f t="shared" ca="1" si="1"/>
        <v/>
      </c>
      <c r="Q70" s="447" t="str">
        <f t="shared" ca="1" si="14"/>
        <v/>
      </c>
      <c r="R70" s="447" t="str">
        <f t="shared" ca="1" si="2"/>
        <v/>
      </c>
      <c r="S70" s="447" t="str">
        <f t="shared" ca="1" si="15"/>
        <v/>
      </c>
      <c r="T70" s="448" t="str">
        <f t="shared" ca="1" si="3"/>
        <v/>
      </c>
      <c r="U70" s="449" t="str">
        <f t="shared" ca="1" si="16"/>
        <v/>
      </c>
      <c r="V70" s="450" t="str">
        <f t="shared" ca="1" si="17"/>
        <v/>
      </c>
      <c r="W70" s="451" t="str">
        <f t="shared" ca="1" si="19"/>
        <v/>
      </c>
      <c r="X70" s="451" t="str">
        <f t="shared" ca="1" si="19"/>
        <v/>
      </c>
      <c r="Y70" s="451" t="str">
        <f t="shared" ca="1" si="19"/>
        <v/>
      </c>
      <c r="Z70" s="451" t="str">
        <f t="shared" ca="1" si="19"/>
        <v/>
      </c>
      <c r="AA70" s="451" t="str">
        <f t="shared" ca="1" si="19"/>
        <v/>
      </c>
      <c r="AB70" s="451" t="str">
        <f t="shared" ca="1" si="19"/>
        <v/>
      </c>
      <c r="AC70" s="451" t="str">
        <f t="shared" ca="1" si="19"/>
        <v/>
      </c>
      <c r="AD70" s="451" t="str">
        <f t="shared" ca="1" si="19"/>
        <v/>
      </c>
      <c r="AE70" s="451" t="str">
        <f t="shared" ca="1" si="19"/>
        <v/>
      </c>
      <c r="AF70" s="452" t="str">
        <f t="shared" ca="1" si="19"/>
        <v/>
      </c>
    </row>
    <row r="71" spans="1:32" x14ac:dyDescent="0.4">
      <c r="A71" s="381">
        <v>56</v>
      </c>
      <c r="B71" s="435" t="b">
        <f t="shared" si="5"/>
        <v>0</v>
      </c>
      <c r="C71" s="440" t="str">
        <f t="shared" ca="1" si="6"/>
        <v/>
      </c>
      <c r="D71" s="818" t="str">
        <f t="shared" ca="1" si="7"/>
        <v/>
      </c>
      <c r="E71" s="818" t="str">
        <f t="shared" ca="1" si="8"/>
        <v/>
      </c>
      <c r="F71" s="210" t="str">
        <f t="shared" ca="1" si="9"/>
        <v/>
      </c>
      <c r="G71" s="442" t="str" cm="1">
        <f t="array" aca="1" ref="G71" ca="1">IFERROR(INDEX($C$16:$C$116,SMALL(IF($C$16:$C$116&lt;&gt;"",ROW($C$16:$C$116)-ROW($C$16)+1),ROW(A56))),"")</f>
        <v/>
      </c>
      <c r="H71" s="441" t="str" cm="1">
        <f t="array" aca="1" ref="H71" ca="1">IFERROR(INDEX($D$16:$D$116,SMALL(IF($D$16:$D$116&lt;&gt;"",ROW($D$16:$D$116)-ROW($D$16)+1),ROW(A56))),"")</f>
        <v/>
      </c>
      <c r="I71" s="441" t="str" cm="1">
        <f t="array" aca="1" ref="I71" ca="1">IFERROR(INDEX($E$16:$E$116,SMALL(IF($E$16:$E$116&lt;&gt;"",ROW($E$16:$E$116)-ROW($E$16)+1),ROW(A56))),"")</f>
        <v/>
      </c>
      <c r="J71" s="441" t="str" cm="1">
        <f t="array" aca="1" ref="J71" ca="1">IFERROR(INDEX($F$16:$F$116,SMALL(IF($F$16:$F$116&lt;&gt;"",ROW($F$16:$F$116)-ROW($F$16)+1),ROW(A56))),"")</f>
        <v/>
      </c>
      <c r="K71" s="441" t="str">
        <f t="shared" ca="1" si="10"/>
        <v/>
      </c>
      <c r="L71" s="446" t="str">
        <f t="shared" ca="1" si="11"/>
        <v/>
      </c>
      <c r="M71" s="447" t="str">
        <f t="shared" ca="1" si="12"/>
        <v/>
      </c>
      <c r="N71" s="447" t="str">
        <f t="shared" ca="1" si="0"/>
        <v/>
      </c>
      <c r="O71" s="447" t="str">
        <f t="shared" ca="1" si="13"/>
        <v/>
      </c>
      <c r="P71" s="447" t="str">
        <f t="shared" ca="1" si="1"/>
        <v/>
      </c>
      <c r="Q71" s="447" t="str">
        <f t="shared" ca="1" si="14"/>
        <v/>
      </c>
      <c r="R71" s="447" t="str">
        <f t="shared" ca="1" si="2"/>
        <v/>
      </c>
      <c r="S71" s="447" t="str">
        <f t="shared" ca="1" si="15"/>
        <v/>
      </c>
      <c r="T71" s="448" t="str">
        <f t="shared" ca="1" si="3"/>
        <v/>
      </c>
      <c r="U71" s="449" t="str">
        <f t="shared" ca="1" si="16"/>
        <v/>
      </c>
      <c r="V71" s="450" t="str">
        <f t="shared" ca="1" si="17"/>
        <v/>
      </c>
      <c r="W71" s="451" t="str">
        <f t="shared" ca="1" si="19"/>
        <v/>
      </c>
      <c r="X71" s="451" t="str">
        <f t="shared" ca="1" si="19"/>
        <v/>
      </c>
      <c r="Y71" s="451" t="str">
        <f t="shared" ca="1" si="19"/>
        <v/>
      </c>
      <c r="Z71" s="451" t="str">
        <f t="shared" ca="1" si="19"/>
        <v/>
      </c>
      <c r="AA71" s="451" t="str">
        <f t="shared" ca="1" si="19"/>
        <v/>
      </c>
      <c r="AB71" s="451" t="str">
        <f t="shared" ca="1" si="19"/>
        <v/>
      </c>
      <c r="AC71" s="451" t="str">
        <f t="shared" ca="1" si="19"/>
        <v/>
      </c>
      <c r="AD71" s="451" t="str">
        <f t="shared" ca="1" si="19"/>
        <v/>
      </c>
      <c r="AE71" s="451" t="str">
        <f t="shared" ca="1" si="19"/>
        <v/>
      </c>
      <c r="AF71" s="452" t="str">
        <f t="shared" ca="1" si="19"/>
        <v/>
      </c>
    </row>
    <row r="72" spans="1:32" x14ac:dyDescent="0.4">
      <c r="A72" s="381">
        <v>57</v>
      </c>
      <c r="B72" s="435" t="b">
        <f t="shared" si="5"/>
        <v>0</v>
      </c>
      <c r="C72" s="440" t="str">
        <f t="shared" ca="1" si="6"/>
        <v/>
      </c>
      <c r="D72" s="818" t="str">
        <f t="shared" ca="1" si="7"/>
        <v/>
      </c>
      <c r="E72" s="818" t="str">
        <f t="shared" ca="1" si="8"/>
        <v/>
      </c>
      <c r="F72" s="210" t="str">
        <f t="shared" ca="1" si="9"/>
        <v/>
      </c>
      <c r="G72" s="442" t="str" cm="1">
        <f t="array" aca="1" ref="G72" ca="1">IFERROR(INDEX($C$16:$C$116,SMALL(IF($C$16:$C$116&lt;&gt;"",ROW($C$16:$C$116)-ROW($C$16)+1),ROW(A57))),"")</f>
        <v/>
      </c>
      <c r="H72" s="441" t="str" cm="1">
        <f t="array" aca="1" ref="H72" ca="1">IFERROR(INDEX($D$16:$D$116,SMALL(IF($D$16:$D$116&lt;&gt;"",ROW($D$16:$D$116)-ROW($D$16)+1),ROW(A57))),"")</f>
        <v/>
      </c>
      <c r="I72" s="441" t="str" cm="1">
        <f t="array" aca="1" ref="I72" ca="1">IFERROR(INDEX($E$16:$E$116,SMALL(IF($E$16:$E$116&lt;&gt;"",ROW($E$16:$E$116)-ROW($E$16)+1),ROW(A57))),"")</f>
        <v/>
      </c>
      <c r="J72" s="441" t="str" cm="1">
        <f t="array" aca="1" ref="J72" ca="1">IFERROR(INDEX($F$16:$F$116,SMALL(IF($F$16:$F$116&lt;&gt;"",ROW($F$16:$F$116)-ROW($F$16)+1),ROW(A57))),"")</f>
        <v/>
      </c>
      <c r="K72" s="441" t="str">
        <f t="shared" ca="1" si="10"/>
        <v/>
      </c>
      <c r="L72" s="446" t="str">
        <f t="shared" ca="1" si="11"/>
        <v/>
      </c>
      <c r="M72" s="447" t="str">
        <f t="shared" ca="1" si="12"/>
        <v/>
      </c>
      <c r="N72" s="447" t="str">
        <f t="shared" ca="1" si="0"/>
        <v/>
      </c>
      <c r="O72" s="447" t="str">
        <f t="shared" ca="1" si="13"/>
        <v/>
      </c>
      <c r="P72" s="447" t="str">
        <f t="shared" ca="1" si="1"/>
        <v/>
      </c>
      <c r="Q72" s="447" t="str">
        <f t="shared" ca="1" si="14"/>
        <v/>
      </c>
      <c r="R72" s="447" t="str">
        <f t="shared" ca="1" si="2"/>
        <v/>
      </c>
      <c r="S72" s="447" t="str">
        <f t="shared" ca="1" si="15"/>
        <v/>
      </c>
      <c r="T72" s="448" t="str">
        <f t="shared" ca="1" si="3"/>
        <v/>
      </c>
      <c r="U72" s="449" t="str">
        <f t="shared" ca="1" si="16"/>
        <v/>
      </c>
      <c r="V72" s="450" t="str">
        <f t="shared" ca="1" si="17"/>
        <v/>
      </c>
      <c r="W72" s="451" t="str">
        <f t="shared" ca="1" si="19"/>
        <v/>
      </c>
      <c r="X72" s="451" t="str">
        <f t="shared" ca="1" si="19"/>
        <v/>
      </c>
      <c r="Y72" s="451" t="str">
        <f t="shared" ca="1" si="19"/>
        <v/>
      </c>
      <c r="Z72" s="451" t="str">
        <f t="shared" ca="1" si="19"/>
        <v/>
      </c>
      <c r="AA72" s="451" t="str">
        <f t="shared" ca="1" si="19"/>
        <v/>
      </c>
      <c r="AB72" s="451" t="str">
        <f t="shared" ca="1" si="19"/>
        <v/>
      </c>
      <c r="AC72" s="451" t="str">
        <f t="shared" ca="1" si="19"/>
        <v/>
      </c>
      <c r="AD72" s="451" t="str">
        <f t="shared" ca="1" si="19"/>
        <v/>
      </c>
      <c r="AE72" s="451" t="str">
        <f t="shared" ca="1" si="19"/>
        <v/>
      </c>
      <c r="AF72" s="452" t="str">
        <f t="shared" ca="1" si="19"/>
        <v/>
      </c>
    </row>
  </sheetData>
  <mergeCells count="9">
    <mergeCell ref="S14:T14"/>
    <mergeCell ref="Q14:R14"/>
    <mergeCell ref="U14:AF14"/>
    <mergeCell ref="B3:F3"/>
    <mergeCell ref="A14:B14"/>
    <mergeCell ref="C14:F14"/>
    <mergeCell ref="G14:J14"/>
    <mergeCell ref="M14:N14"/>
    <mergeCell ref="O14:P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D95"/>
  <sheetViews>
    <sheetView topLeftCell="A4" zoomScale="85" zoomScaleNormal="85" workbookViewId="0">
      <selection activeCell="Q27" sqref="Q27"/>
    </sheetView>
  </sheetViews>
  <sheetFormatPr baseColWidth="10" defaultColWidth="10.703125" defaultRowHeight="13" outlineLevelRow="1" x14ac:dyDescent="0.4"/>
  <cols>
    <col min="1" max="2" width="2.703125" style="594" customWidth="1"/>
    <col min="3" max="18" width="10.703125" style="594"/>
    <col min="19" max="20" width="2.703125" style="594" customWidth="1"/>
    <col min="21" max="22" width="10.703125" style="594" customWidth="1"/>
    <col min="23" max="16384" width="10.703125" style="594"/>
  </cols>
  <sheetData>
    <row r="1" spans="2:30" ht="9.9499999999999993" customHeight="1" thickBot="1" x14ac:dyDescent="0.45">
      <c r="B1" s="682"/>
      <c r="C1" s="683"/>
      <c r="D1" s="683"/>
      <c r="E1" s="683"/>
      <c r="F1" s="683"/>
      <c r="G1" s="683"/>
      <c r="H1" s="683"/>
      <c r="I1" s="683"/>
      <c r="J1" s="683"/>
      <c r="K1" s="683"/>
      <c r="L1" s="683"/>
      <c r="M1" s="683"/>
      <c r="N1" s="683"/>
      <c r="O1" s="683"/>
      <c r="P1" s="683"/>
      <c r="Q1" s="683"/>
      <c r="R1" s="683"/>
      <c r="S1" s="684"/>
      <c r="U1" s="1573" t="s">
        <v>406</v>
      </c>
      <c r="V1" s="1573" t="s">
        <v>406</v>
      </c>
      <c r="W1" s="1573" t="s">
        <v>406</v>
      </c>
      <c r="X1" s="1573" t="s">
        <v>406</v>
      </c>
      <c r="Y1" s="1573" t="s">
        <v>406</v>
      </c>
      <c r="Z1" s="1573" t="s">
        <v>406</v>
      </c>
    </row>
    <row r="2" spans="2:30" ht="30" customHeight="1" thickTop="1" x14ac:dyDescent="0.4">
      <c r="B2" s="685"/>
      <c r="C2" s="1157" t="s">
        <v>539</v>
      </c>
      <c r="D2" s="977"/>
      <c r="E2" s="977"/>
      <c r="F2" s="977"/>
      <c r="G2" s="977"/>
      <c r="H2" s="977"/>
      <c r="I2" s="977"/>
      <c r="J2" s="977"/>
      <c r="K2" s="977"/>
      <c r="L2" s="977"/>
      <c r="M2" s="977"/>
      <c r="N2" s="977"/>
      <c r="O2" s="977"/>
      <c r="P2" s="977"/>
      <c r="Q2" s="977"/>
      <c r="R2" s="978"/>
      <c r="S2" s="680"/>
      <c r="X2" s="1573" t="s">
        <v>878</v>
      </c>
      <c r="Y2" s="1573" t="s">
        <v>879</v>
      </c>
      <c r="Z2" s="1573" t="s">
        <v>880</v>
      </c>
      <c r="AA2" s="1603" t="s">
        <v>881</v>
      </c>
      <c r="AB2" s="1603" t="s">
        <v>883</v>
      </c>
      <c r="AC2" s="1603" t="s">
        <v>64</v>
      </c>
      <c r="AD2" s="1573" t="s">
        <v>242</v>
      </c>
    </row>
    <row r="3" spans="2:30" ht="20.100000000000001" customHeight="1" x14ac:dyDescent="0.4">
      <c r="B3" s="685"/>
      <c r="C3" s="1158" t="s">
        <v>632</v>
      </c>
      <c r="D3" s="1159"/>
      <c r="E3" s="1159"/>
      <c r="F3" s="1160"/>
      <c r="G3" s="1161" t="str">
        <f>IF(ISBLANK(Descriptif!N3), "", Descriptif!N3)</f>
        <v>BARJAC (30)</v>
      </c>
      <c r="H3" s="1162"/>
      <c r="I3" s="1162"/>
      <c r="J3" s="1163"/>
      <c r="K3" s="1164" t="s">
        <v>498</v>
      </c>
      <c r="L3" s="1165"/>
      <c r="M3" s="1165"/>
      <c r="N3" s="1166"/>
      <c r="O3" s="1069" t="s">
        <v>782</v>
      </c>
      <c r="P3" s="1070"/>
      <c r="Q3" s="1070"/>
      <c r="R3" s="1167"/>
      <c r="S3" s="680"/>
      <c r="X3" s="594" t="str" cm="1">
        <f t="array" ref="X3">IFERROR(INDEX($T$34:$T$1028,SMALL(IF($T$34:$T$1028&lt;&gt;"",ROW($T$34:$T$1028)-ROW($T$34)+1),ROW(1:1))),"")</f>
        <v>A3_P102_PREL</v>
      </c>
      <c r="Y3" s="594" cm="1">
        <f t="array" ref="Y3">IFERROR(INDEX($U$34:$U$1028,SMALL(IF($T$34:$T$1028&lt;&gt;"",ROW($T$34:$T$1028)-ROW($T$34)+1),ROW(1:1))),"")</f>
        <v>10</v>
      </c>
      <c r="Z3" s="594" cm="1">
        <f t="array" ref="Z3">IFERROR(INDEX($V$34:$V$1028,SMALL(IF($T$34:$T$1028&lt;&gt;"",ROW($T$34:$T$1028)-ROW($T$34)+1),ROW(1:1))),"")</f>
        <v>9</v>
      </c>
      <c r="AA3" s="594" cm="1">
        <f t="array" ref="AA3">IFERROR(INDEX($W$34:$W$1028,SMALL(IF($T$34:$T$1028&lt;&gt;"",ROW($T$34:$T$1028)-ROW($T$34)+1),ROW(1:1))),"")</f>
        <v>0.9</v>
      </c>
      <c r="AB3" s="594">
        <f>IF(X3&lt;&gt;"",IF($J$25="Oui",100,AA3),"")</f>
        <v>100</v>
      </c>
      <c r="AC3" s="594">
        <f>IF(X3&lt;&gt;"",(AB3/100  * (1-$Q$15)*100),"")</f>
        <v>90</v>
      </c>
      <c r="AD3" s="594" t="str">
        <f>IF(X3&lt;&gt;"",IF(AC3&lt;&gt;"",IF(AC3&gt;80,"Validé",IF(AC3&lt;70,"Non Validé","Validé avec réserve")),"Non contrôlé"),"")</f>
        <v>Validé</v>
      </c>
    </row>
    <row r="4" spans="2:30" ht="20.100000000000001" customHeight="1" x14ac:dyDescent="0.4">
      <c r="B4" s="685"/>
      <c r="C4" s="1158" t="s">
        <v>541</v>
      </c>
      <c r="D4" s="1159"/>
      <c r="E4" s="1159"/>
      <c r="F4" s="1160"/>
      <c r="G4" s="1161" t="str">
        <f>IF(ISBLANK(Descriptif!N4), "", Descriptif!N4)</f>
        <v>060930290002</v>
      </c>
      <c r="H4" s="1162"/>
      <c r="I4" s="1162"/>
      <c r="J4" s="1163"/>
      <c r="K4" s="1164" t="s">
        <v>633</v>
      </c>
      <c r="L4" s="1165"/>
      <c r="M4" s="1165"/>
      <c r="N4" s="1166"/>
      <c r="O4" s="1069"/>
      <c r="P4" s="1070"/>
      <c r="Q4" s="1070"/>
      <c r="R4" s="1167"/>
      <c r="S4" s="680"/>
      <c r="X4" s="594" t="str" cm="1">
        <f t="array" ref="X4">IFERROR(INDEX($T$34:$T$1028,SMALL(IF($T$34:$T$1028&lt;&gt;"",ROW($T$34:$T$1028)-ROW($T$34)+1),ROW(2:2))),"")</f>
        <v>A4_P103_PREL</v>
      </c>
      <c r="Y4" s="594" cm="1">
        <f t="array" ref="Y4">IFERROR(INDEX($U$34:$U$1028,SMALL(IF($T$34:$T$1028&lt;&gt;"",ROW($T$34:$T$1028)-ROW($T$34)+1),ROW(2:2))),"")</f>
        <v>1</v>
      </c>
      <c r="Z4" s="594" cm="1">
        <f t="array" ref="Z4">IFERROR(INDEX($V$34:$V$1028,SMALL(IF($T$34:$T$1028&lt;&gt;"",ROW($T$34:$T$1028)-ROW($T$34)+1),ROW(2:2))),"")</f>
        <v>1</v>
      </c>
      <c r="AA4" s="594" cm="1">
        <f t="array" ref="AA4">IFERROR(INDEX($W$34:$W$1028,SMALL(IF($T$34:$T$1028&lt;&gt;"",ROW($T$34:$T$1028)-ROW($T$34)+1),ROW(2:2))),"")</f>
        <v>1</v>
      </c>
      <c r="AB4" s="594">
        <f t="shared" ref="AB4:AB32" si="0">IF(X4&lt;&gt;"",IF($J$25="Oui",100,AA4),"")</f>
        <v>100</v>
      </c>
      <c r="AC4" s="594">
        <f t="shared" ref="AC4:AC32" si="1">IF(X4&lt;&gt;"",(AB4/100  * (1-$Q$15)*100),"")</f>
        <v>90</v>
      </c>
      <c r="AD4" s="594" t="str">
        <f t="shared" ref="AD4:AD32" si="2">IF(X4&lt;&gt;"",IF(AC4&lt;&gt;"",IF(AC4&gt;80,"Validé",IF(AC4&lt;70,"Non Validé","Validé avec réserve")),"Non contrôlé"),"")</f>
        <v>Validé</v>
      </c>
    </row>
    <row r="5" spans="2:30" ht="20.100000000000001" customHeight="1" x14ac:dyDescent="0.4">
      <c r="B5" s="685"/>
      <c r="C5" s="1158" t="s">
        <v>544</v>
      </c>
      <c r="D5" s="1159"/>
      <c r="E5" s="1159"/>
      <c r="F5" s="1160"/>
      <c r="G5" s="1161" t="str">
        <f>IF(ISBLANK(Descriptif!G5), "", Descriptif!G5)</f>
        <v>Commune de Barjac</v>
      </c>
      <c r="H5" s="1162"/>
      <c r="I5" s="1162"/>
      <c r="J5" s="1163"/>
      <c r="K5" s="1170" t="s">
        <v>486</v>
      </c>
      <c r="L5" s="1171"/>
      <c r="M5" s="1171"/>
      <c r="N5" s="1172"/>
      <c r="O5" s="1069" t="str">
        <f>IF(ISBLANK(Descriptif!G6), "", Descriptif!G6)</f>
        <v>CEREG Ingénierie</v>
      </c>
      <c r="P5" s="1070"/>
      <c r="Q5" s="1070"/>
      <c r="R5" s="1167"/>
      <c r="S5" s="680"/>
      <c r="X5" s="594" t="str" cm="1">
        <f t="array" ref="X5">IFERROR(INDEX($T$34:$T$1028,SMALL(IF($T$34:$T$1028&lt;&gt;"",ROW($T$34:$T$1028)-ROW($T$34)+1),ROW(3:3))),"")</f>
        <v/>
      </c>
      <c r="Y5" s="594" t="str" cm="1">
        <f t="array" ref="Y5">IFERROR(INDEX($U$34:$U$1028,SMALL(IF($T$34:$T$1028&lt;&gt;"",ROW($T$34:$T$1028)-ROW($T$34)+1),ROW(3:3))),"")</f>
        <v/>
      </c>
      <c r="Z5" s="594" t="str" cm="1">
        <f t="array" ref="Z5">IFERROR(INDEX($V$34:$V$1028,SMALL(IF($T$34:$T$1028&lt;&gt;"",ROW($T$34:$T$1028)-ROW($T$34)+1),ROW(3:3))),"")</f>
        <v/>
      </c>
      <c r="AA5" s="594" t="str" cm="1">
        <f t="array" ref="AA5">IFERROR(INDEX($W$34:$W$1028,SMALL(IF($T$34:$T$1028&lt;&gt;"",ROW($T$34:$T$1028)-ROW($T$34)+1),ROW(3:3))),"")</f>
        <v/>
      </c>
      <c r="AB5" s="594" t="str">
        <f t="shared" si="0"/>
        <v/>
      </c>
      <c r="AC5" s="594" t="str">
        <f t="shared" si="1"/>
        <v/>
      </c>
      <c r="AD5" s="594" t="str">
        <f t="shared" si="2"/>
        <v/>
      </c>
    </row>
    <row r="6" spans="2:30" ht="20.100000000000001" customHeight="1" thickBot="1" x14ac:dyDescent="0.45">
      <c r="B6" s="685"/>
      <c r="C6" s="1173" t="s">
        <v>547</v>
      </c>
      <c r="D6" s="1174"/>
      <c r="E6" s="1174"/>
      <c r="F6" s="1175"/>
      <c r="G6" s="1176" t="str">
        <f>IF(ISBLANK(Descriptif!N6), "", Descriptif!N6)</f>
        <v>Régie</v>
      </c>
      <c r="H6" s="1177"/>
      <c r="I6" s="1177"/>
      <c r="J6" s="1178"/>
      <c r="K6" s="1179" t="s">
        <v>543</v>
      </c>
      <c r="L6" s="1180"/>
      <c r="M6" s="1180"/>
      <c r="N6" s="1181"/>
      <c r="O6" s="1066"/>
      <c r="P6" s="1067"/>
      <c r="Q6" s="1067"/>
      <c r="R6" s="1182"/>
      <c r="S6" s="680"/>
      <c r="X6" s="594" t="str" cm="1">
        <f t="array" ref="X6">IFERROR(INDEX($T$34:$T$1028,SMALL(IF($T$34:$T$1028&lt;&gt;"",ROW($T$34:$T$1028)-ROW($T$34)+1),ROW(4:4))),"")</f>
        <v/>
      </c>
      <c r="Y6" s="594" t="str" cm="1">
        <f t="array" ref="Y6">IFERROR(INDEX($U$34:$U$1028,SMALL(IF($T$34:$T$1028&lt;&gt;"",ROW($T$34:$T$1028)-ROW($T$34)+1),ROW(4:4))),"")</f>
        <v/>
      </c>
      <c r="Z6" s="594" t="str" cm="1">
        <f t="array" ref="Z6">IFERROR(INDEX($V$34:$V$1028,SMALL(IF($T$34:$T$1028&lt;&gt;"",ROW($T$34:$T$1028)-ROW($T$34)+1),ROW(4:4))),"")</f>
        <v/>
      </c>
      <c r="AA6" s="594" t="str" cm="1">
        <f t="array" ref="AA6">IFERROR(INDEX($W$34:$W$1028,SMALL(IF($T$34:$T$1028&lt;&gt;"",ROW($T$34:$T$1028)-ROW($T$34)+1),ROW(4:4))),"")</f>
        <v/>
      </c>
      <c r="AB6" s="594" t="str">
        <f t="shared" si="0"/>
        <v/>
      </c>
      <c r="AC6" s="594" t="str">
        <f t="shared" si="1"/>
        <v/>
      </c>
      <c r="AD6" s="594" t="str">
        <f t="shared" si="2"/>
        <v/>
      </c>
    </row>
    <row r="7" spans="2:30" ht="9.9499999999999993" customHeight="1" thickTop="1" thickBot="1" x14ac:dyDescent="0.45">
      <c r="B7" s="685"/>
      <c r="C7" s="686"/>
      <c r="D7" s="686"/>
      <c r="E7" s="686"/>
      <c r="F7" s="686"/>
      <c r="G7" s="686"/>
      <c r="H7" s="686"/>
      <c r="I7" s="686"/>
      <c r="J7" s="686"/>
      <c r="K7" s="686"/>
      <c r="L7" s="686"/>
      <c r="M7" s="686"/>
      <c r="N7" s="686"/>
      <c r="O7" s="686"/>
      <c r="P7" s="686"/>
      <c r="Q7" s="686"/>
      <c r="R7" s="686"/>
      <c r="S7" s="680"/>
      <c r="X7" s="594" t="str" cm="1">
        <f t="array" ref="X7">IFERROR(INDEX($T$34:$T$1028,SMALL(IF($T$34:$T$1028&lt;&gt;"",ROW($T$34:$T$1028)-ROW($T$34)+1),ROW(5:5))),"")</f>
        <v/>
      </c>
      <c r="Y7" s="594" t="str" cm="1">
        <f t="array" ref="Y7">IFERROR(INDEX($U$34:$U$1028,SMALL(IF($T$34:$T$1028&lt;&gt;"",ROW($T$34:$T$1028)-ROW($T$34)+1),ROW(5:5))),"")</f>
        <v/>
      </c>
      <c r="Z7" s="594" t="str" cm="1">
        <f t="array" ref="Z7">IFERROR(INDEX($V$34:$V$1028,SMALL(IF($T$34:$T$1028&lt;&gt;"",ROW($T$34:$T$1028)-ROW($T$34)+1),ROW(5:5))),"")</f>
        <v/>
      </c>
      <c r="AA7" s="594" t="str" cm="1">
        <f t="array" ref="AA7">IFERROR(INDEX($W$34:$W$1028,SMALL(IF($T$34:$T$1028&lt;&gt;"",ROW($T$34:$T$1028)-ROW($T$34)+1),ROW(5:5))),"")</f>
        <v/>
      </c>
      <c r="AB7" s="594" t="str">
        <f t="shared" si="0"/>
        <v/>
      </c>
      <c r="AC7" s="594" t="str">
        <f t="shared" si="1"/>
        <v/>
      </c>
      <c r="AD7" s="594" t="str">
        <f t="shared" si="2"/>
        <v/>
      </c>
    </row>
    <row r="8" spans="2:30" ht="20.100000000000001" customHeight="1" thickTop="1" thickBot="1" x14ac:dyDescent="0.45">
      <c r="B8" s="685"/>
      <c r="C8" s="1119" t="s">
        <v>634</v>
      </c>
      <c r="D8" s="1120"/>
      <c r="E8" s="1120"/>
      <c r="F8" s="1120"/>
      <c r="G8" s="1120"/>
      <c r="H8" s="1120"/>
      <c r="I8" s="1120"/>
      <c r="J8" s="1120"/>
      <c r="K8" s="1120"/>
      <c r="L8" s="1120"/>
      <c r="M8" s="1120"/>
      <c r="N8" s="1120"/>
      <c r="O8" s="1120"/>
      <c r="P8" s="1120"/>
      <c r="Q8" s="1120"/>
      <c r="R8" s="1141"/>
      <c r="S8" s="680"/>
      <c r="X8" s="594" t="str" cm="1">
        <f t="array" ref="X8">IFERROR(INDEX($T$34:$T$1028,SMALL(IF($T$34:$T$1028&lt;&gt;"",ROW($T$34:$T$1028)-ROW($T$34)+1),ROW(6:6))),"")</f>
        <v/>
      </c>
      <c r="Y8" s="594" t="str" cm="1">
        <f t="array" ref="Y8">IFERROR(INDEX($U$34:$U$1028,SMALL(IF($T$34:$T$1028&lt;&gt;"",ROW($T$34:$T$1028)-ROW($T$34)+1),ROW(6:6))),"")</f>
        <v/>
      </c>
      <c r="Z8" s="594" t="str" cm="1">
        <f t="array" ref="Z8">IFERROR(INDEX($V$34:$V$1028,SMALL(IF($T$34:$T$1028&lt;&gt;"",ROW($T$34:$T$1028)-ROW($T$34)+1),ROW(6:6))),"")</f>
        <v/>
      </c>
      <c r="AA8" s="594" t="str" cm="1">
        <f t="array" ref="AA8">IFERROR(INDEX($W$34:$W$1028,SMALL(IF($T$34:$T$1028&lt;&gt;"",ROW($T$34:$T$1028)-ROW($T$34)+1),ROW(6:6))),"")</f>
        <v/>
      </c>
      <c r="AB8" s="594" t="str">
        <f t="shared" si="0"/>
        <v/>
      </c>
      <c r="AC8" s="594" t="str">
        <f t="shared" si="1"/>
        <v/>
      </c>
      <c r="AD8" s="594" t="str">
        <f t="shared" si="2"/>
        <v/>
      </c>
    </row>
    <row r="9" spans="2:30" ht="20.100000000000001" customHeight="1" outlineLevel="1" thickTop="1" x14ac:dyDescent="0.4">
      <c r="B9" s="685"/>
      <c r="C9" s="687"/>
      <c r="D9" s="686"/>
      <c r="E9" s="686"/>
      <c r="F9" s="686"/>
      <c r="G9" s="686"/>
      <c r="H9" s="686"/>
      <c r="I9" s="686"/>
      <c r="J9" s="686"/>
      <c r="K9" s="686"/>
      <c r="L9" s="686"/>
      <c r="M9" s="686"/>
      <c r="N9" s="686"/>
      <c r="O9" s="686"/>
      <c r="P9" s="686"/>
      <c r="Q9" s="686"/>
      <c r="R9" s="679"/>
      <c r="S9" s="680"/>
      <c r="X9" s="594" t="str" cm="1">
        <f t="array" ref="X9">IFERROR(INDEX($T$34:$T$1028,SMALL(IF($T$34:$T$1028&lt;&gt;"",ROW($T$34:$T$1028)-ROW($T$34)+1),ROW(7:7))),"")</f>
        <v/>
      </c>
      <c r="Y9" s="594" t="str" cm="1">
        <f t="array" ref="Y9">IFERROR(INDEX($U$34:$U$1028,SMALL(IF($T$34:$T$1028&lt;&gt;"",ROW($T$34:$T$1028)-ROW($T$34)+1),ROW(7:7))),"")</f>
        <v/>
      </c>
      <c r="Z9" s="594" t="str" cm="1">
        <f t="array" ref="Z9">IFERROR(INDEX($V$34:$V$1028,SMALL(IF($T$34:$T$1028&lt;&gt;"",ROW($T$34:$T$1028)-ROW($T$34)+1),ROW(7:7))),"")</f>
        <v/>
      </c>
      <c r="AA9" s="594" t="str" cm="1">
        <f t="array" ref="AA9">IFERROR(INDEX($W$34:$W$1028,SMALL(IF($T$34:$T$1028&lt;&gt;"",ROW($T$34:$T$1028)-ROW($T$34)+1),ROW(7:7))),"")</f>
        <v/>
      </c>
      <c r="AB9" s="594" t="str">
        <f t="shared" si="0"/>
        <v/>
      </c>
      <c r="AC9" s="594" t="str">
        <f t="shared" si="1"/>
        <v/>
      </c>
      <c r="AD9" s="594" t="str">
        <f t="shared" si="2"/>
        <v/>
      </c>
    </row>
    <row r="10" spans="2:30" ht="20.100000000000001" customHeight="1" outlineLevel="1" x14ac:dyDescent="0.4">
      <c r="B10" s="685"/>
      <c r="C10" s="687"/>
      <c r="D10" s="1183" t="s">
        <v>255</v>
      </c>
      <c r="E10" s="1184"/>
      <c r="F10" s="1184"/>
      <c r="G10" s="1184"/>
      <c r="H10" s="1184"/>
      <c r="I10" s="1184"/>
      <c r="J10" s="1184"/>
      <c r="K10" s="1184"/>
      <c r="L10" s="1184"/>
      <c r="M10" s="1185"/>
      <c r="N10" s="686"/>
      <c r="O10" s="1065" t="s">
        <v>477</v>
      </c>
      <c r="P10" s="1065"/>
      <c r="Q10" s="1065"/>
      <c r="R10" s="679"/>
      <c r="S10" s="680"/>
      <c r="X10" s="594" t="str" cm="1">
        <f t="array" ref="X10">IFERROR(INDEX($T$34:$T$1028,SMALL(IF($T$34:$T$1028&lt;&gt;"",ROW($T$34:$T$1028)-ROW($T$34)+1),ROW(8:8))),"")</f>
        <v/>
      </c>
      <c r="Y10" s="594" t="str" cm="1">
        <f t="array" ref="Y10">IFERROR(INDEX($U$34:$U$1028,SMALL(IF($T$34:$T$1028&lt;&gt;"",ROW($T$34:$T$1028)-ROW($T$34)+1),ROW(8:8))),"")</f>
        <v/>
      </c>
      <c r="Z10" s="594" t="str" cm="1">
        <f t="array" ref="Z10">IFERROR(INDEX($V$34:$V$1028,SMALL(IF($T$34:$T$1028&lt;&gt;"",ROW($T$34:$T$1028)-ROW($T$34)+1),ROW(8:8))),"")</f>
        <v/>
      </c>
      <c r="AA10" s="594" t="str" cm="1">
        <f t="array" ref="AA10">IFERROR(INDEX($W$34:$W$1028,SMALL(IF($T$34:$T$1028&lt;&gt;"",ROW($T$34:$T$1028)-ROW($T$34)+1),ROW(8:8))),"")</f>
        <v/>
      </c>
      <c r="AB10" s="594" t="str">
        <f t="shared" si="0"/>
        <v/>
      </c>
      <c r="AC10" s="594" t="str">
        <f t="shared" si="1"/>
        <v/>
      </c>
      <c r="AD10" s="594" t="str">
        <f t="shared" si="2"/>
        <v/>
      </c>
    </row>
    <row r="11" spans="2:30" ht="20.100000000000001" customHeight="1" outlineLevel="1" x14ac:dyDescent="0.4">
      <c r="B11" s="685"/>
      <c r="C11" s="687"/>
      <c r="D11" s="1124" t="s">
        <v>400</v>
      </c>
      <c r="E11" s="1125"/>
      <c r="F11" s="1125"/>
      <c r="G11" s="1125"/>
      <c r="H11" s="1125"/>
      <c r="I11" s="1125"/>
      <c r="J11" s="1125"/>
      <c r="K11" s="1125"/>
      <c r="L11" s="1137" t="s">
        <v>128</v>
      </c>
      <c r="M11" s="1138"/>
      <c r="N11" s="700"/>
      <c r="O11" s="1128">
        <f>IF(L11="","",IF(L11="Non validé",0.1,0))</f>
        <v>0.1</v>
      </c>
      <c r="P11" s="1128"/>
      <c r="Q11" s="1128"/>
      <c r="R11" s="679"/>
      <c r="S11" s="680"/>
      <c r="X11" s="594" t="str" cm="1">
        <f t="array" ref="X11">IFERROR(INDEX($T$34:$T$1028,SMALL(IF($T$34:$T$1028&lt;&gt;"",ROW($T$34:$T$1028)-ROW($T$34)+1),ROW(9:9))),"")</f>
        <v/>
      </c>
      <c r="Y11" s="594" t="str" cm="1">
        <f t="array" ref="Y11">IFERROR(INDEX($U$34:$U$1028,SMALL(IF($T$34:$T$1028&lt;&gt;"",ROW($T$34:$T$1028)-ROW($T$34)+1),ROW(9:9))),"")</f>
        <v/>
      </c>
      <c r="Z11" s="594" t="str" cm="1">
        <f t="array" ref="Z11">IFERROR(INDEX($V$34:$V$1028,SMALL(IF($T$34:$T$1028&lt;&gt;"",ROW($T$34:$T$1028)-ROW($T$34)+1),ROW(9:9))),"")</f>
        <v/>
      </c>
      <c r="AA11" s="594" t="str" cm="1">
        <f t="array" ref="AA11">IFERROR(INDEX($W$34:$W$1028,SMALL(IF($T$34:$T$1028&lt;&gt;"",ROW($T$34:$T$1028)-ROW($T$34)+1),ROW(9:9))),"")</f>
        <v/>
      </c>
      <c r="AB11" s="594" t="str">
        <f t="shared" si="0"/>
        <v/>
      </c>
      <c r="AC11" s="594" t="str">
        <f t="shared" si="1"/>
        <v/>
      </c>
      <c r="AD11" s="594" t="str">
        <f t="shared" si="2"/>
        <v/>
      </c>
    </row>
    <row r="12" spans="2:30" ht="20.100000000000001" customHeight="1" outlineLevel="1" x14ac:dyDescent="0.4">
      <c r="B12" s="685"/>
      <c r="C12" s="687"/>
      <c r="D12" s="1124" t="s">
        <v>401</v>
      </c>
      <c r="E12" s="1125"/>
      <c r="F12" s="1125"/>
      <c r="G12" s="1125"/>
      <c r="H12" s="1125"/>
      <c r="I12" s="1125"/>
      <c r="J12" s="1125"/>
      <c r="K12" s="1125"/>
      <c r="L12" s="1137" t="s">
        <v>167</v>
      </c>
      <c r="M12" s="1138"/>
      <c r="N12" s="700"/>
      <c r="O12" s="1128">
        <f t="shared" ref="O12:O14" si="3">IF(L12="","",IF(L12="Non validé",0.1,0))</f>
        <v>0</v>
      </c>
      <c r="P12" s="1128"/>
      <c r="Q12" s="1128"/>
      <c r="R12" s="679"/>
      <c r="S12" s="680"/>
      <c r="X12" s="594" t="str" cm="1">
        <f t="array" ref="X12">IFERROR(INDEX($T$34:$T$1028,SMALL(IF($T$34:$T$1028&lt;&gt;"",ROW($T$34:$T$1028)-ROW($T$34)+1),ROW(10:10))),"")</f>
        <v/>
      </c>
      <c r="Y12" s="594" t="str" cm="1">
        <f t="array" ref="Y12">IFERROR(INDEX($U$34:$U$1028,SMALL(IF($T$34:$T$1028&lt;&gt;"",ROW($T$34:$T$1028)-ROW($T$34)+1),ROW(10:10))),"")</f>
        <v/>
      </c>
      <c r="Z12" s="594" t="str" cm="1">
        <f t="array" ref="Z12">IFERROR(INDEX($V$34:$V$1028,SMALL(IF($T$34:$T$1028&lt;&gt;"",ROW($T$34:$T$1028)-ROW($T$34)+1),ROW(10:10))),"")</f>
        <v/>
      </c>
      <c r="AA12" s="594" t="str" cm="1">
        <f t="array" ref="AA12">IFERROR(INDEX($W$34:$W$1028,SMALL(IF($T$34:$T$1028&lt;&gt;"",ROW($T$34:$T$1028)-ROW($T$34)+1),ROW(10:10))),"")</f>
        <v/>
      </c>
      <c r="AB12" s="594" t="str">
        <f t="shared" si="0"/>
        <v/>
      </c>
      <c r="AC12" s="594" t="str">
        <f t="shared" si="1"/>
        <v/>
      </c>
      <c r="AD12" s="594" t="str">
        <f t="shared" si="2"/>
        <v/>
      </c>
    </row>
    <row r="13" spans="2:30" ht="20.100000000000001" customHeight="1" outlineLevel="1" x14ac:dyDescent="0.4">
      <c r="B13" s="685"/>
      <c r="C13" s="687"/>
      <c r="D13" s="1124" t="s">
        <v>402</v>
      </c>
      <c r="E13" s="1125"/>
      <c r="F13" s="1125"/>
      <c r="G13" s="1125"/>
      <c r="H13" s="1125"/>
      <c r="I13" s="1125"/>
      <c r="J13" s="1125"/>
      <c r="K13" s="1125"/>
      <c r="L13" s="1137" t="s">
        <v>167</v>
      </c>
      <c r="M13" s="1138"/>
      <c r="N13" s="700"/>
      <c r="O13" s="1128">
        <f t="shared" si="3"/>
        <v>0</v>
      </c>
      <c r="P13" s="1128"/>
      <c r="Q13" s="1128"/>
      <c r="R13" s="679"/>
      <c r="S13" s="680"/>
      <c r="X13" s="594" t="str" cm="1">
        <f t="array" ref="X13">IFERROR(INDEX($T$34:$T$1028,SMALL(IF($T$34:$T$1028&lt;&gt;"",ROW($T$34:$T$1028)-ROW($T$34)+1),ROW(11:11))),"")</f>
        <v/>
      </c>
      <c r="Y13" s="594" t="str" cm="1">
        <f t="array" ref="Y13">IFERROR(INDEX($U$34:$U$1028,SMALL(IF($T$34:$T$1028&lt;&gt;"",ROW($T$34:$T$1028)-ROW($T$34)+1),ROW(11:11))),"")</f>
        <v/>
      </c>
      <c r="Z13" s="594" t="str" cm="1">
        <f t="array" ref="Z13">IFERROR(INDEX($V$34:$V$1028,SMALL(IF($T$34:$T$1028&lt;&gt;"",ROW($T$34:$T$1028)-ROW($T$34)+1),ROW(11:11))),"")</f>
        <v/>
      </c>
      <c r="AA13" s="594" t="str" cm="1">
        <f t="array" ref="AA13">IFERROR(INDEX($W$34:$W$1028,SMALL(IF($T$34:$T$1028&lt;&gt;"",ROW($T$34:$T$1028)-ROW($T$34)+1),ROW(11:11))),"")</f>
        <v/>
      </c>
      <c r="AB13" s="594" t="str">
        <f t="shared" si="0"/>
        <v/>
      </c>
      <c r="AC13" s="594" t="str">
        <f t="shared" si="1"/>
        <v/>
      </c>
      <c r="AD13" s="594" t="str">
        <f t="shared" si="2"/>
        <v/>
      </c>
    </row>
    <row r="14" spans="2:30" ht="20.100000000000001" customHeight="1" outlineLevel="1" x14ac:dyDescent="0.4">
      <c r="B14" s="685"/>
      <c r="C14" s="687"/>
      <c r="D14" s="1124" t="s">
        <v>635</v>
      </c>
      <c r="E14" s="1125"/>
      <c r="F14" s="1125"/>
      <c r="G14" s="1125"/>
      <c r="H14" s="1125"/>
      <c r="I14" s="1125"/>
      <c r="J14" s="1125"/>
      <c r="K14" s="1125"/>
      <c r="L14" s="1137" t="s">
        <v>167</v>
      </c>
      <c r="M14" s="1138"/>
      <c r="N14" s="700"/>
      <c r="O14" s="1128">
        <f t="shared" si="3"/>
        <v>0</v>
      </c>
      <c r="P14" s="1128"/>
      <c r="Q14" s="1128"/>
      <c r="R14" s="679"/>
      <c r="S14" s="680"/>
      <c r="X14" s="594" t="str" cm="1">
        <f t="array" ref="X14">IFERROR(INDEX($T$34:$T$1028,SMALL(IF($T$34:$T$1028&lt;&gt;"",ROW($T$34:$T$1028)-ROW($T$34)+1),ROW(12:12))),"")</f>
        <v/>
      </c>
      <c r="Y14" s="594" t="str" cm="1">
        <f t="array" ref="Y14">IFERROR(INDEX($U$34:$U$1028,SMALL(IF($T$34:$T$1028&lt;&gt;"",ROW($T$34:$T$1028)-ROW($T$34)+1),ROW(12:12))),"")</f>
        <v/>
      </c>
      <c r="Z14" s="594" t="str" cm="1">
        <f t="array" ref="Z14">IFERROR(INDEX($V$34:$V$1028,SMALL(IF($T$34:$T$1028&lt;&gt;"",ROW($T$34:$T$1028)-ROW($T$34)+1),ROW(12:12))),"")</f>
        <v/>
      </c>
      <c r="AA14" s="594" t="str" cm="1">
        <f t="array" ref="AA14">IFERROR(INDEX($W$34:$W$1028,SMALL(IF($T$34:$T$1028&lt;&gt;"",ROW($T$34:$T$1028)-ROW($T$34)+1),ROW(12:12))),"")</f>
        <v/>
      </c>
      <c r="AB14" s="594" t="str">
        <f t="shared" si="0"/>
        <v/>
      </c>
      <c r="AC14" s="594" t="str">
        <f t="shared" si="1"/>
        <v/>
      </c>
      <c r="AD14" s="594" t="str">
        <f t="shared" si="2"/>
        <v/>
      </c>
    </row>
    <row r="15" spans="2:30" ht="20.100000000000001" customHeight="1" outlineLevel="1" x14ac:dyDescent="0.4">
      <c r="B15" s="685"/>
      <c r="C15" s="687"/>
      <c r="D15" s="686"/>
      <c r="E15" s="686"/>
      <c r="F15" s="686"/>
      <c r="G15" s="686"/>
      <c r="H15" s="686"/>
      <c r="I15" s="686"/>
      <c r="J15" s="686"/>
      <c r="K15" s="686"/>
      <c r="L15" s="686"/>
      <c r="M15" s="686"/>
      <c r="N15" s="686"/>
      <c r="O15" s="1139" t="s">
        <v>636</v>
      </c>
      <c r="P15" s="1140"/>
      <c r="Q15" s="691">
        <f>SUM(O11:Q14)</f>
        <v>0.1</v>
      </c>
      <c r="R15" s="589"/>
      <c r="S15" s="680"/>
      <c r="X15" s="594" t="str" cm="1">
        <f t="array" ref="X15">IFERROR(INDEX($T$34:$T$1028,SMALL(IF($T$34:$T$1028&lt;&gt;"",ROW($T$34:$T$1028)-ROW($T$34)+1),ROW(13:13))),"")</f>
        <v/>
      </c>
      <c r="Y15" s="594" t="str" cm="1">
        <f t="array" ref="Y15">IFERROR(INDEX($U$34:$U$1028,SMALL(IF($T$34:$T$1028&lt;&gt;"",ROW($T$34:$T$1028)-ROW($T$34)+1),ROW(13:13))),"")</f>
        <v/>
      </c>
      <c r="Z15" s="594" t="str" cm="1">
        <f t="array" ref="Z15">IFERROR(INDEX($V$34:$V$1028,SMALL(IF($T$34:$T$1028&lt;&gt;"",ROW($T$34:$T$1028)-ROW($T$34)+1),ROW(13:13))),"")</f>
        <v/>
      </c>
      <c r="AA15" s="594" t="str" cm="1">
        <f t="array" ref="AA15">IFERROR(INDEX($W$34:$W$1028,SMALL(IF($T$34:$T$1028&lt;&gt;"",ROW($T$34:$T$1028)-ROW($T$34)+1),ROW(13:13))),"")</f>
        <v/>
      </c>
      <c r="AB15" s="594" t="str">
        <f t="shared" si="0"/>
        <v/>
      </c>
      <c r="AC15" s="594" t="str">
        <f t="shared" si="1"/>
        <v/>
      </c>
      <c r="AD15" s="594" t="str">
        <f t="shared" si="2"/>
        <v/>
      </c>
    </row>
    <row r="16" spans="2:30" ht="20.100000000000001" customHeight="1" outlineLevel="1" thickBot="1" x14ac:dyDescent="0.45">
      <c r="B16" s="685"/>
      <c r="C16" s="689"/>
      <c r="D16" s="690"/>
      <c r="E16" s="690"/>
      <c r="F16" s="690"/>
      <c r="G16" s="690"/>
      <c r="H16" s="690"/>
      <c r="I16" s="690"/>
      <c r="J16" s="690"/>
      <c r="K16" s="690"/>
      <c r="L16" s="690"/>
      <c r="M16" s="690"/>
      <c r="N16" s="690"/>
      <c r="O16" s="690"/>
      <c r="P16" s="690"/>
      <c r="Q16" s="690"/>
      <c r="R16" s="681"/>
      <c r="S16" s="680"/>
      <c r="X16" s="594" t="str" cm="1">
        <f t="array" ref="X16">IFERROR(INDEX($T$34:$T$1028,SMALL(IF($T$34:$T$1028&lt;&gt;"",ROW($T$34:$T$1028)-ROW($T$34)+1),ROW(14:14))),"")</f>
        <v/>
      </c>
      <c r="Y16" s="594" t="str" cm="1">
        <f t="array" ref="Y16">IFERROR(INDEX($U$34:$U$1028,SMALL(IF($T$34:$T$1028&lt;&gt;"",ROW($T$34:$T$1028)-ROW($T$34)+1),ROW(14:14))),"")</f>
        <v/>
      </c>
      <c r="Z16" s="594" t="str" cm="1">
        <f t="array" ref="Z16">IFERROR(INDEX($V$34:$V$1028,SMALL(IF($T$34:$T$1028&lt;&gt;"",ROW($T$34:$T$1028)-ROW($T$34)+1),ROW(14:14))),"")</f>
        <v/>
      </c>
      <c r="AA16" s="594" t="str" cm="1">
        <f t="array" ref="AA16">IFERROR(INDEX($W$34:$W$1028,SMALL(IF($T$34:$T$1028&lt;&gt;"",ROW($T$34:$T$1028)-ROW($T$34)+1),ROW(14:14))),"")</f>
        <v/>
      </c>
      <c r="AB16" s="594" t="str">
        <f t="shared" si="0"/>
        <v/>
      </c>
      <c r="AC16" s="594" t="str">
        <f t="shared" si="1"/>
        <v/>
      </c>
      <c r="AD16" s="594" t="str">
        <f t="shared" si="2"/>
        <v/>
      </c>
    </row>
    <row r="17" spans="2:30" ht="20.100000000000001" customHeight="1" thickTop="1" thickBot="1" x14ac:dyDescent="0.45">
      <c r="B17" s="685"/>
      <c r="C17" s="686"/>
      <c r="D17" s="686"/>
      <c r="E17" s="686"/>
      <c r="F17" s="686"/>
      <c r="G17" s="686"/>
      <c r="H17" s="686"/>
      <c r="I17" s="686"/>
      <c r="J17" s="686"/>
      <c r="K17" s="686"/>
      <c r="L17" s="686"/>
      <c r="M17" s="686"/>
      <c r="N17" s="686"/>
      <c r="O17" s="686"/>
      <c r="P17" s="686"/>
      <c r="Q17" s="686"/>
      <c r="R17" s="686"/>
      <c r="S17" s="680"/>
      <c r="X17" s="594" t="str" cm="1">
        <f t="array" ref="X17">IFERROR(INDEX($T$34:$T$1028,SMALL(IF($T$34:$T$1028&lt;&gt;"",ROW($T$34:$T$1028)-ROW($T$34)+1),ROW(15:15))),"")</f>
        <v/>
      </c>
      <c r="Y17" s="594" t="str" cm="1">
        <f t="array" ref="Y17">IFERROR(INDEX($U$34:$U$1028,SMALL(IF($T$34:$T$1028&lt;&gt;"",ROW($T$34:$T$1028)-ROW($T$34)+1),ROW(15:15))),"")</f>
        <v/>
      </c>
      <c r="Z17" s="594" t="str" cm="1">
        <f t="array" ref="Z17">IFERROR(INDEX($V$34:$V$1028,SMALL(IF($T$34:$T$1028&lt;&gt;"",ROW($T$34:$T$1028)-ROW($T$34)+1),ROW(15:15))),"")</f>
        <v/>
      </c>
      <c r="AA17" s="594" t="str" cm="1">
        <f t="array" ref="AA17">IFERROR(INDEX($W$34:$W$1028,SMALL(IF($T$34:$T$1028&lt;&gt;"",ROW($T$34:$T$1028)-ROW($T$34)+1),ROW(15:15))),"")</f>
        <v/>
      </c>
      <c r="AB17" s="594" t="str">
        <f t="shared" si="0"/>
        <v/>
      </c>
      <c r="AC17" s="594" t="str">
        <f t="shared" si="1"/>
        <v/>
      </c>
      <c r="AD17" s="594" t="str">
        <f t="shared" si="2"/>
        <v/>
      </c>
    </row>
    <row r="18" spans="2:30" ht="20.100000000000001" customHeight="1" thickTop="1" thickBot="1" x14ac:dyDescent="0.45">
      <c r="B18" s="685"/>
      <c r="C18" s="1119" t="s">
        <v>637</v>
      </c>
      <c r="D18" s="1120"/>
      <c r="E18" s="1120"/>
      <c r="F18" s="1120"/>
      <c r="G18" s="1120"/>
      <c r="H18" s="1120"/>
      <c r="I18" s="1120"/>
      <c r="J18" s="1120"/>
      <c r="K18" s="1120"/>
      <c r="L18" s="1120"/>
      <c r="M18" s="1120"/>
      <c r="N18" s="1120"/>
      <c r="O18" s="1120"/>
      <c r="P18" s="1120"/>
      <c r="Q18" s="1120"/>
      <c r="R18" s="1141"/>
      <c r="S18" s="680"/>
      <c r="X18" s="594" t="str" cm="1">
        <f t="array" ref="X18">IFERROR(INDEX($T$34:$T$1028,SMALL(IF($T$34:$T$1028&lt;&gt;"",ROW($T$34:$T$1028)-ROW($T$34)+1),ROW(16:16))),"")</f>
        <v/>
      </c>
      <c r="Y18" s="594" t="str" cm="1">
        <f t="array" ref="Y18">IFERROR(INDEX($U$34:$U$1028,SMALL(IF($T$34:$T$1028&lt;&gt;"",ROW($T$34:$T$1028)-ROW($T$34)+1),ROW(16:16))),"")</f>
        <v/>
      </c>
      <c r="Z18" s="594" t="str" cm="1">
        <f t="array" ref="Z18">IFERROR(INDEX($V$34:$V$1028,SMALL(IF($T$34:$T$1028&lt;&gt;"",ROW($T$34:$T$1028)-ROW($T$34)+1),ROW(16:16))),"")</f>
        <v/>
      </c>
      <c r="AA18" s="594" t="str" cm="1">
        <f t="array" ref="AA18">IFERROR(INDEX($W$34:$W$1028,SMALL(IF($T$34:$T$1028&lt;&gt;"",ROW($T$34:$T$1028)-ROW($T$34)+1),ROW(16:16))),"")</f>
        <v/>
      </c>
      <c r="AB18" s="594" t="str">
        <f t="shared" si="0"/>
        <v/>
      </c>
      <c r="AC18" s="594" t="str">
        <f t="shared" si="1"/>
        <v/>
      </c>
      <c r="AD18" s="594" t="str">
        <f t="shared" si="2"/>
        <v/>
      </c>
    </row>
    <row r="19" spans="2:30" ht="20.100000000000001" customHeight="1" outlineLevel="1" thickTop="1" x14ac:dyDescent="0.4">
      <c r="B19" s="685"/>
      <c r="C19" s="687"/>
      <c r="D19" s="686"/>
      <c r="E19" s="686"/>
      <c r="F19" s="686"/>
      <c r="G19" s="686"/>
      <c r="H19" s="686"/>
      <c r="I19" s="686"/>
      <c r="J19" s="686"/>
      <c r="K19" s="686"/>
      <c r="L19" s="686"/>
      <c r="M19" s="686"/>
      <c r="N19" s="686"/>
      <c r="O19" s="686"/>
      <c r="P19" s="686"/>
      <c r="Q19" s="686"/>
      <c r="R19" s="679"/>
      <c r="S19" s="680"/>
      <c r="X19" s="594" t="str" cm="1">
        <f t="array" ref="X19">IFERROR(INDEX($T$34:$T$1028,SMALL(IF($T$34:$T$1028&lt;&gt;"",ROW($T$34:$T$1028)-ROW($T$34)+1),ROW(17:17))),"")</f>
        <v/>
      </c>
      <c r="Y19" s="594" t="str" cm="1">
        <f t="array" ref="Y19">IFERROR(INDEX($U$34:$U$1028,SMALL(IF($T$34:$T$1028&lt;&gt;"",ROW($T$34:$T$1028)-ROW($T$34)+1),ROW(17:17))),"")</f>
        <v/>
      </c>
      <c r="Z19" s="594" t="str" cm="1">
        <f t="array" ref="Z19">IFERROR(INDEX($V$34:$V$1028,SMALL(IF($T$34:$T$1028&lt;&gt;"",ROW($T$34:$T$1028)-ROW($T$34)+1),ROW(17:17))),"")</f>
        <v/>
      </c>
      <c r="AA19" s="594" t="str" cm="1">
        <f t="array" ref="AA19">IFERROR(INDEX($W$34:$W$1028,SMALL(IF($T$34:$T$1028&lt;&gt;"",ROW($T$34:$T$1028)-ROW($T$34)+1),ROW(17:17))),"")</f>
        <v/>
      </c>
      <c r="AB19" s="594" t="str">
        <f t="shared" si="0"/>
        <v/>
      </c>
      <c r="AC19" s="594" t="str">
        <f t="shared" si="1"/>
        <v/>
      </c>
      <c r="AD19" s="594" t="str">
        <f t="shared" si="2"/>
        <v/>
      </c>
    </row>
    <row r="20" spans="2:30" ht="20.100000000000001" customHeight="1" outlineLevel="1" x14ac:dyDescent="0.4">
      <c r="B20" s="685"/>
      <c r="C20" s="687"/>
      <c r="D20" s="1142" t="s">
        <v>383</v>
      </c>
      <c r="E20" s="1142"/>
      <c r="F20" s="1142"/>
      <c r="G20" s="1142"/>
      <c r="H20" s="1142"/>
      <c r="I20" s="1142"/>
      <c r="J20" s="1142"/>
      <c r="K20" s="1142"/>
      <c r="L20" s="1142"/>
      <c r="M20" s="1142"/>
      <c r="N20" s="1142"/>
      <c r="O20" s="1142"/>
      <c r="P20" s="1142"/>
      <c r="Q20" s="1142"/>
      <c r="R20" s="791"/>
      <c r="S20" s="680"/>
      <c r="X20" s="594" t="str" cm="1">
        <f t="array" ref="X20">IFERROR(INDEX($T$34:$T$1028,SMALL(IF($T$34:$T$1028&lt;&gt;"",ROW($T$34:$T$1028)-ROW($T$34)+1),ROW(18:18))),"")</f>
        <v/>
      </c>
      <c r="Y20" s="594" t="str" cm="1">
        <f t="array" ref="Y20">IFERROR(INDEX($U$34:$U$1028,SMALL(IF($T$34:$T$1028&lt;&gt;"",ROW($T$34:$T$1028)-ROW($T$34)+1),ROW(18:18))),"")</f>
        <v/>
      </c>
      <c r="Z20" s="594" t="str" cm="1">
        <f t="array" ref="Z20">IFERROR(INDEX($V$34:$V$1028,SMALL(IF($T$34:$T$1028&lt;&gt;"",ROW($T$34:$T$1028)-ROW($T$34)+1),ROW(18:18))),"")</f>
        <v/>
      </c>
      <c r="AA20" s="594" t="str" cm="1">
        <f t="array" ref="AA20">IFERROR(INDEX($W$34:$W$1028,SMALL(IF($T$34:$T$1028&lt;&gt;"",ROW($T$34:$T$1028)-ROW($T$34)+1),ROW(18:18))),"")</f>
        <v/>
      </c>
      <c r="AB20" s="594" t="str">
        <f t="shared" si="0"/>
        <v/>
      </c>
      <c r="AC20" s="594" t="str">
        <f t="shared" si="1"/>
        <v/>
      </c>
      <c r="AD20" s="594" t="str">
        <f t="shared" si="2"/>
        <v/>
      </c>
    </row>
    <row r="21" spans="2:30" ht="20.100000000000001" customHeight="1" outlineLevel="1" x14ac:dyDescent="0.4">
      <c r="B21" s="685"/>
      <c r="C21" s="687"/>
      <c r="D21" s="1143" t="s">
        <v>785</v>
      </c>
      <c r="E21" s="1144"/>
      <c r="F21" s="1144"/>
      <c r="G21" s="1144"/>
      <c r="H21" s="1144"/>
      <c r="I21" s="1144"/>
      <c r="J21" s="1145"/>
      <c r="K21" s="1146"/>
      <c r="L21" s="1147"/>
      <c r="M21" s="1147"/>
      <c r="N21" s="1147"/>
      <c r="O21" s="1147"/>
      <c r="P21" s="1147"/>
      <c r="Q21" s="1148"/>
      <c r="R21" s="791" t="s">
        <v>779</v>
      </c>
      <c r="S21" s="680"/>
      <c r="X21" s="594" t="str" cm="1">
        <f t="array" ref="X21">IFERROR(INDEX($T$34:$T$1028,SMALL(IF($T$34:$T$1028&lt;&gt;"",ROW($T$34:$T$1028)-ROW($T$34)+1),ROW(19:19))),"")</f>
        <v/>
      </c>
      <c r="Y21" s="594" t="str" cm="1">
        <f t="array" ref="Y21">IFERROR(INDEX($U$34:$U$1028,SMALL(IF($T$34:$T$1028&lt;&gt;"",ROW($T$34:$T$1028)-ROW($T$34)+1),ROW(19:19))),"")</f>
        <v/>
      </c>
      <c r="Z21" s="594" t="str" cm="1">
        <f t="array" ref="Z21">IFERROR(INDEX($V$34:$V$1028,SMALL(IF($T$34:$T$1028&lt;&gt;"",ROW($T$34:$T$1028)-ROW($T$34)+1),ROW(19:19))),"")</f>
        <v/>
      </c>
      <c r="AA21" s="594" t="str" cm="1">
        <f t="array" ref="AA21">IFERROR(INDEX($W$34:$W$1028,SMALL(IF($T$34:$T$1028&lt;&gt;"",ROW($T$34:$T$1028)-ROW($T$34)+1),ROW(19:19))),"")</f>
        <v/>
      </c>
      <c r="AB21" s="594" t="str">
        <f t="shared" si="0"/>
        <v/>
      </c>
      <c r="AC21" s="594" t="str">
        <f t="shared" si="1"/>
        <v/>
      </c>
      <c r="AD21" s="594" t="str">
        <f t="shared" si="2"/>
        <v/>
      </c>
    </row>
    <row r="22" spans="2:30" ht="20.100000000000001" customHeight="1" outlineLevel="1" x14ac:dyDescent="0.4">
      <c r="B22" s="685"/>
      <c r="C22" s="687"/>
      <c r="D22" s="1143" t="s">
        <v>786</v>
      </c>
      <c r="E22" s="1144"/>
      <c r="F22" s="1144"/>
      <c r="G22" s="1144"/>
      <c r="H22" s="1144"/>
      <c r="I22" s="1144"/>
      <c r="J22" s="1145"/>
      <c r="K22" s="1146"/>
      <c r="L22" s="1147"/>
      <c r="M22" s="1147"/>
      <c r="N22" s="1147"/>
      <c r="O22" s="1147"/>
      <c r="P22" s="1147"/>
      <c r="Q22" s="1148"/>
      <c r="R22" s="791" t="s">
        <v>779</v>
      </c>
      <c r="S22" s="680"/>
      <c r="X22" s="594" t="str" cm="1">
        <f t="array" ref="X22">IFERROR(INDEX($T$34:$T$1028,SMALL(IF($T$34:$T$1028&lt;&gt;"",ROW($T$34:$T$1028)-ROW($T$34)+1),ROW(20:20))),"")</f>
        <v/>
      </c>
      <c r="Y22" s="594" t="str" cm="1">
        <f t="array" ref="Y22">IFERROR(INDEX($U$34:$U$1028,SMALL(IF($T$34:$T$1028&lt;&gt;"",ROW($T$34:$T$1028)-ROW($T$34)+1),ROW(20:20))),"")</f>
        <v/>
      </c>
      <c r="Z22" s="594" t="str" cm="1">
        <f t="array" ref="Z22">IFERROR(INDEX($V$34:$V$1028,SMALL(IF($T$34:$T$1028&lt;&gt;"",ROW($T$34:$T$1028)-ROW($T$34)+1),ROW(20:20))),"")</f>
        <v/>
      </c>
      <c r="AA22" s="594" t="str" cm="1">
        <f t="array" ref="AA22">IFERROR(INDEX($W$34:$W$1028,SMALL(IF($T$34:$T$1028&lt;&gt;"",ROW($T$34:$T$1028)-ROW($T$34)+1),ROW(20:20))),"")</f>
        <v/>
      </c>
      <c r="AB22" s="594" t="str">
        <f t="shared" si="0"/>
        <v/>
      </c>
      <c r="AC22" s="594" t="str">
        <f t="shared" si="1"/>
        <v/>
      </c>
      <c r="AD22" s="594" t="str">
        <f t="shared" si="2"/>
        <v/>
      </c>
    </row>
    <row r="23" spans="2:30" ht="32.700000000000003" customHeight="1" outlineLevel="1" x14ac:dyDescent="0.4">
      <c r="B23" s="685"/>
      <c r="C23" s="687"/>
      <c r="D23" s="1149" t="s">
        <v>787</v>
      </c>
      <c r="E23" s="1150"/>
      <c r="F23" s="1150"/>
      <c r="G23" s="1150"/>
      <c r="H23" s="1150"/>
      <c r="I23" s="1151"/>
      <c r="J23" s="788" t="s">
        <v>124</v>
      </c>
      <c r="K23" s="989"/>
      <c r="L23" s="1155"/>
      <c r="M23" s="1155"/>
      <c r="N23" s="1155"/>
      <c r="O23" s="1155"/>
      <c r="P23" s="1155"/>
      <c r="Q23" s="1156"/>
      <c r="R23" s="791" t="s">
        <v>779</v>
      </c>
      <c r="S23" s="680"/>
      <c r="X23" s="594" t="str" cm="1">
        <f t="array" ref="X23">IFERROR(INDEX($T$34:$T$1028,SMALL(IF($T$34:$T$1028&lt;&gt;"",ROW($T$34:$T$1028)-ROW($T$34)+1),ROW(21:21))),"")</f>
        <v/>
      </c>
      <c r="Y23" s="594" t="str" cm="1">
        <f t="array" ref="Y23">IFERROR(INDEX($U$34:$U$1028,SMALL(IF($T$34:$T$1028&lt;&gt;"",ROW($T$34:$T$1028)-ROW($T$34)+1),ROW(21:21))),"")</f>
        <v/>
      </c>
      <c r="Z23" s="594" t="str" cm="1">
        <f t="array" ref="Z23">IFERROR(INDEX($V$34:$V$1028,SMALL(IF($T$34:$T$1028&lt;&gt;"",ROW($T$34:$T$1028)-ROW($T$34)+1),ROW(21:21))),"")</f>
        <v/>
      </c>
      <c r="AA23" s="594" t="str" cm="1">
        <f t="array" ref="AA23">IFERROR(INDEX($W$34:$W$1028,SMALL(IF($T$34:$T$1028&lt;&gt;"",ROW($T$34:$T$1028)-ROW($T$34)+1),ROW(21:21))),"")</f>
        <v/>
      </c>
      <c r="AB23" s="594" t="str">
        <f t="shared" si="0"/>
        <v/>
      </c>
      <c r="AC23" s="594" t="str">
        <f t="shared" si="1"/>
        <v/>
      </c>
      <c r="AD23" s="594" t="str">
        <f t="shared" si="2"/>
        <v/>
      </c>
    </row>
    <row r="24" spans="2:30" ht="32.700000000000003" customHeight="1" outlineLevel="1" x14ac:dyDescent="0.4">
      <c r="B24" s="685"/>
      <c r="C24" s="687"/>
      <c r="D24" s="1152" t="s">
        <v>788</v>
      </c>
      <c r="E24" s="1153"/>
      <c r="F24" s="1153"/>
      <c r="G24" s="1153"/>
      <c r="H24" s="1153"/>
      <c r="I24" s="1154"/>
      <c r="J24" s="788" t="s">
        <v>124</v>
      </c>
      <c r="K24" s="989"/>
      <c r="L24" s="1155"/>
      <c r="M24" s="1155"/>
      <c r="N24" s="1155"/>
      <c r="O24" s="1155"/>
      <c r="P24" s="1155"/>
      <c r="Q24" s="1156"/>
      <c r="R24" s="791" t="s">
        <v>779</v>
      </c>
      <c r="S24" s="680"/>
      <c r="X24" s="594" t="str" cm="1">
        <f t="array" ref="X24">IFERROR(INDEX($T$34:$T$1028,SMALL(IF($T$34:$T$1028&lt;&gt;"",ROW($T$34:$T$1028)-ROW($T$34)+1),ROW(22:22))),"")</f>
        <v/>
      </c>
      <c r="Y24" s="594" t="str" cm="1">
        <f t="array" ref="Y24">IFERROR(INDEX($U$34:$U$1028,SMALL(IF($T$34:$T$1028&lt;&gt;"",ROW($T$34:$T$1028)-ROW($T$34)+1),ROW(22:22))),"")</f>
        <v/>
      </c>
      <c r="Z24" s="594" t="str" cm="1">
        <f t="array" ref="Z24">IFERROR(INDEX($V$34:$V$1028,SMALL(IF($T$34:$T$1028&lt;&gt;"",ROW($T$34:$T$1028)-ROW($T$34)+1),ROW(22:22))),"")</f>
        <v/>
      </c>
      <c r="AA24" s="594" t="str" cm="1">
        <f t="array" ref="AA24">IFERROR(INDEX($W$34:$W$1028,SMALL(IF($T$34:$T$1028&lt;&gt;"",ROW($T$34:$T$1028)-ROW($T$34)+1),ROW(22:22))),"")</f>
        <v/>
      </c>
      <c r="AB24" s="594" t="str">
        <f t="shared" si="0"/>
        <v/>
      </c>
      <c r="AC24" s="594" t="str">
        <f t="shared" si="1"/>
        <v/>
      </c>
      <c r="AD24" s="594" t="str">
        <f t="shared" si="2"/>
        <v/>
      </c>
    </row>
    <row r="25" spans="2:30" s="693" customFormat="1" ht="20.100000000000001" customHeight="1" outlineLevel="1" x14ac:dyDescent="0.4">
      <c r="B25" s="701"/>
      <c r="C25" s="703"/>
      <c r="D25" s="1129" t="s">
        <v>882</v>
      </c>
      <c r="E25" s="1130"/>
      <c r="F25" s="1130"/>
      <c r="G25" s="1130"/>
      <c r="H25" s="1130"/>
      <c r="I25" s="1130"/>
      <c r="J25" s="1131" t="s">
        <v>124</v>
      </c>
      <c r="K25" s="1133" t="s">
        <v>384</v>
      </c>
      <c r="L25" s="1134"/>
      <c r="M25" s="1134"/>
      <c r="N25" s="1134"/>
      <c r="O25" s="692">
        <f>SUM(U:U)</f>
        <v>11</v>
      </c>
      <c r="P25" s="1135" t="s">
        <v>418</v>
      </c>
      <c r="Q25" s="1136">
        <f xml:space="preserve"> IF(J25="Oui",100,IF(O25&gt;0, (O26 / O25)*100,0))</f>
        <v>100</v>
      </c>
      <c r="R25" s="702"/>
      <c r="S25" s="698"/>
      <c r="X25" s="594" t="str" cm="1">
        <f t="array" ref="X25">IFERROR(INDEX($T$34:$T$1028,SMALL(IF($T$34:$T$1028&lt;&gt;"",ROW($T$34:$T$1028)-ROW($T$34)+1),ROW(23:23))),"")</f>
        <v/>
      </c>
      <c r="Y25" s="594" t="str" cm="1">
        <f t="array" ref="Y25">IFERROR(INDEX($U$34:$U$1028,SMALL(IF($T$34:$T$1028&lt;&gt;"",ROW($T$34:$T$1028)-ROW($T$34)+1),ROW(23:23))),"")</f>
        <v/>
      </c>
      <c r="Z25" s="594" t="str" cm="1">
        <f t="array" ref="Z25">IFERROR(INDEX($V$34:$V$1028,SMALL(IF($T$34:$T$1028&lt;&gt;"",ROW($T$34:$T$1028)-ROW($T$34)+1),ROW(23:23))),"")</f>
        <v/>
      </c>
      <c r="AA25" s="594" t="str" cm="1">
        <f t="array" ref="AA25">IFERROR(INDEX($W$34:$W$1028,SMALL(IF($T$34:$T$1028&lt;&gt;"",ROW($T$34:$T$1028)-ROW($T$34)+1),ROW(23:23))),"")</f>
        <v/>
      </c>
      <c r="AB25" s="594" t="str">
        <f t="shared" si="0"/>
        <v/>
      </c>
      <c r="AC25" s="594" t="str">
        <f t="shared" si="1"/>
        <v/>
      </c>
      <c r="AD25" s="594" t="str">
        <f t="shared" si="2"/>
        <v/>
      </c>
    </row>
    <row r="26" spans="2:30" ht="20.100000000000001" customHeight="1" outlineLevel="1" x14ac:dyDescent="0.4">
      <c r="B26" s="685"/>
      <c r="C26" s="687"/>
      <c r="D26" s="1129"/>
      <c r="E26" s="1130"/>
      <c r="F26" s="1130"/>
      <c r="G26" s="1130"/>
      <c r="H26" s="1130"/>
      <c r="I26" s="1130"/>
      <c r="J26" s="1132"/>
      <c r="K26" s="1133" t="s">
        <v>385</v>
      </c>
      <c r="L26" s="1134"/>
      <c r="M26" s="1134"/>
      <c r="N26" s="1134"/>
      <c r="O26" s="692">
        <f>SUM(V:V)</f>
        <v>10</v>
      </c>
      <c r="P26" s="1135"/>
      <c r="Q26" s="1136"/>
      <c r="R26" s="679"/>
      <c r="S26" s="680"/>
      <c r="X26" s="594" t="str" cm="1">
        <f t="array" ref="X26">IFERROR(INDEX($T$34:$T$1028,SMALL(IF($T$34:$T$1028&lt;&gt;"",ROW($T$34:$T$1028)-ROW($T$34)+1),ROW(24:24))),"")</f>
        <v/>
      </c>
      <c r="Y26" s="594" t="str" cm="1">
        <f t="array" ref="Y26">IFERROR(INDEX($U$34:$U$1028,SMALL(IF($T$34:$T$1028&lt;&gt;"",ROW($T$34:$T$1028)-ROW($T$34)+1),ROW(24:24))),"")</f>
        <v/>
      </c>
      <c r="Z26" s="594" t="str" cm="1">
        <f t="array" ref="Z26">IFERROR(INDEX($V$34:$V$1028,SMALL(IF($T$34:$T$1028&lt;&gt;"",ROW($T$34:$T$1028)-ROW($T$34)+1),ROW(24:24))),"")</f>
        <v/>
      </c>
      <c r="AA26" s="594" t="str" cm="1">
        <f t="array" ref="AA26">IFERROR(INDEX($W$34:$W$1028,SMALL(IF($T$34:$T$1028&lt;&gt;"",ROW($T$34:$T$1028)-ROW($T$34)+1),ROW(24:24))),"")</f>
        <v/>
      </c>
      <c r="AB26" s="594" t="str">
        <f t="shared" si="0"/>
        <v/>
      </c>
      <c r="AC26" s="594" t="str">
        <f t="shared" si="1"/>
        <v/>
      </c>
      <c r="AD26" s="594" t="str">
        <f t="shared" si="2"/>
        <v/>
      </c>
    </row>
    <row r="27" spans="2:30" ht="20.100000000000001" customHeight="1" outlineLevel="1" x14ac:dyDescent="0.4">
      <c r="B27" s="685"/>
      <c r="C27" s="687"/>
      <c r="D27" s="686"/>
      <c r="E27" s="686"/>
      <c r="F27" s="686"/>
      <c r="G27" s="686"/>
      <c r="H27" s="686"/>
      <c r="I27" s="686"/>
      <c r="J27" s="789" t="s">
        <v>779</v>
      </c>
      <c r="K27" s="1143" t="s">
        <v>886</v>
      </c>
      <c r="L27" s="1144"/>
      <c r="M27" s="1144"/>
      <c r="N27" s="1144"/>
      <c r="O27" s="1144"/>
      <c r="P27" s="1721"/>
      <c r="Q27" s="1719" t="str">
        <f>IF(Q25&lt;&gt;"",IF(Q25&gt;80,"Validé",IF(Q25&lt;70,"Non Validé","Validé avec réserve")),"Non contrôlé")</f>
        <v>Validé</v>
      </c>
      <c r="R27" s="679"/>
      <c r="S27" s="680"/>
      <c r="X27" s="594" t="str" cm="1">
        <f t="array" ref="X27">IFERROR(INDEX($T$34:$T$1028,SMALL(IF($T$34:$T$1028&lt;&gt;"",ROW($T$34:$T$1028)-ROW($T$34)+1),ROW(25:25))),"")</f>
        <v/>
      </c>
      <c r="Y27" s="594" t="str" cm="1">
        <f t="array" ref="Y27">IFERROR(INDEX($U$34:$U$1028,SMALL(IF($T$34:$T$1028&lt;&gt;"",ROW($T$34:$T$1028)-ROW($T$34)+1),ROW(25:25))),"")</f>
        <v/>
      </c>
      <c r="Z27" s="594" t="str" cm="1">
        <f t="array" ref="Z27">IFERROR(INDEX($V$34:$V$1028,SMALL(IF($T$34:$T$1028&lt;&gt;"",ROW($T$34:$T$1028)-ROW($T$34)+1),ROW(25:25))),"")</f>
        <v/>
      </c>
      <c r="AA27" s="594" t="str" cm="1">
        <f t="array" ref="AA27">IFERROR(INDEX($W$34:$W$1028,SMALL(IF($T$34:$T$1028&lt;&gt;"",ROW($T$34:$T$1028)-ROW($T$34)+1),ROW(25:25))),"")</f>
        <v/>
      </c>
      <c r="AB27" s="594" t="str">
        <f t="shared" si="0"/>
        <v/>
      </c>
      <c r="AC27" s="594" t="str">
        <f t="shared" si="1"/>
        <v/>
      </c>
      <c r="AD27" s="594" t="str">
        <f t="shared" si="2"/>
        <v/>
      </c>
    </row>
    <row r="28" spans="2:30" ht="20.100000000000001" customHeight="1" outlineLevel="1" x14ac:dyDescent="0.4">
      <c r="B28" s="685"/>
      <c r="C28" s="588"/>
      <c r="D28" s="1589" t="s">
        <v>638</v>
      </c>
      <c r="E28" s="1590"/>
      <c r="F28" s="1590"/>
      <c r="G28" s="1590"/>
      <c r="H28" s="1590"/>
      <c r="I28" s="1590"/>
      <c r="J28" s="1591">
        <f>(Q25/100  * (1-Q15)*100)</f>
        <v>90</v>
      </c>
      <c r="K28" s="1720"/>
      <c r="L28" s="686"/>
      <c r="M28" s="686"/>
      <c r="N28" s="686"/>
      <c r="O28" s="686"/>
      <c r="P28" s="686"/>
      <c r="Q28" s="686"/>
      <c r="R28" s="679"/>
      <c r="S28" s="680"/>
      <c r="X28" s="594" t="str" cm="1">
        <f t="array" ref="X28">IFERROR(INDEX($T$34:$T$1028,SMALL(IF($T$34:$T$1028&lt;&gt;"",ROW($T$34:$T$1028)-ROW($T$34)+1),ROW(26:26))),"")</f>
        <v/>
      </c>
      <c r="Y28" s="594" t="str" cm="1">
        <f t="array" ref="Y28">IFERROR(INDEX($U$34:$U$1028,SMALL(IF($T$34:$T$1028&lt;&gt;"",ROW($T$34:$T$1028)-ROW($T$34)+1),ROW(26:26))),"")</f>
        <v/>
      </c>
      <c r="Z28" s="594" t="str" cm="1">
        <f t="array" ref="Z28">IFERROR(INDEX($V$34:$V$1028,SMALL(IF($T$34:$T$1028&lt;&gt;"",ROW($T$34:$T$1028)-ROW($T$34)+1),ROW(26:26))),"")</f>
        <v/>
      </c>
      <c r="AA28" s="594" t="str" cm="1">
        <f t="array" ref="AA28">IFERROR(INDEX($W$34:$W$1028,SMALL(IF($T$34:$T$1028&lt;&gt;"",ROW($T$34:$T$1028)-ROW($T$34)+1),ROW(26:26))),"")</f>
        <v/>
      </c>
      <c r="AB28" s="594" t="str">
        <f t="shared" si="0"/>
        <v/>
      </c>
      <c r="AC28" s="594" t="str">
        <f t="shared" si="1"/>
        <v/>
      </c>
      <c r="AD28" s="594" t="str">
        <f t="shared" si="2"/>
        <v/>
      </c>
    </row>
    <row r="29" spans="2:30" ht="20.100000000000001" customHeight="1" outlineLevel="1" x14ac:dyDescent="0.4">
      <c r="B29" s="685"/>
      <c r="C29" s="687"/>
      <c r="D29" s="1592" t="s">
        <v>849</v>
      </c>
      <c r="E29" s="1593"/>
      <c r="F29" s="1593"/>
      <c r="G29" s="1593"/>
      <c r="H29" s="1593"/>
      <c r="I29" s="1593"/>
      <c r="J29" s="993" t="str">
        <f>IF(J28&lt;&gt;"",IF(J28&gt;80,"Validé",IF(J28&lt;70,"Non Validé","Validé avec réserve")),"Non contrôlé")</f>
        <v>Validé</v>
      </c>
      <c r="K29" s="994"/>
      <c r="L29" s="686"/>
      <c r="M29" s="686"/>
      <c r="N29" s="686"/>
      <c r="O29" s="686"/>
      <c r="P29" s="686"/>
      <c r="Q29" s="686"/>
      <c r="R29" s="679"/>
      <c r="S29" s="680"/>
      <c r="X29" s="594" t="str" cm="1">
        <f t="array" ref="X29">IFERROR(INDEX($T$34:$T$1028,SMALL(IF($T$34:$T$1028&lt;&gt;"",ROW($T$34:$T$1028)-ROW($T$34)+1),ROW(27:27))),"")</f>
        <v/>
      </c>
      <c r="Y29" s="594" t="str" cm="1">
        <f t="array" ref="Y29">IFERROR(INDEX($U$34:$U$1028,SMALL(IF($T$34:$T$1028&lt;&gt;"",ROW($T$34:$T$1028)-ROW($T$34)+1),ROW(27:27))),"")</f>
        <v/>
      </c>
      <c r="Z29" s="594" t="str" cm="1">
        <f t="array" ref="Z29">IFERROR(INDEX($V$34:$V$1028,SMALL(IF($T$34:$T$1028&lt;&gt;"",ROW($T$34:$T$1028)-ROW($T$34)+1),ROW(27:27))),"")</f>
        <v/>
      </c>
      <c r="AA29" s="594" t="str" cm="1">
        <f t="array" ref="AA29">IFERROR(INDEX($W$34:$W$1028,SMALL(IF($T$34:$T$1028&lt;&gt;"",ROW($T$34:$T$1028)-ROW($T$34)+1),ROW(27:27))),"")</f>
        <v/>
      </c>
      <c r="AB29" s="594" t="str">
        <f t="shared" si="0"/>
        <v/>
      </c>
      <c r="AC29" s="594" t="str">
        <f t="shared" si="1"/>
        <v/>
      </c>
      <c r="AD29" s="594" t="str">
        <f t="shared" si="2"/>
        <v/>
      </c>
    </row>
    <row r="30" spans="2:30" ht="20.100000000000001" customHeight="1" outlineLevel="1" x14ac:dyDescent="0.4">
      <c r="B30" s="685"/>
      <c r="C30" s="687"/>
      <c r="D30" s="688" t="s">
        <v>505</v>
      </c>
      <c r="E30" s="686"/>
      <c r="F30" s="686"/>
      <c r="G30" s="686"/>
      <c r="H30" s="686"/>
      <c r="I30" s="686"/>
      <c r="J30" s="686"/>
      <c r="K30" s="686"/>
      <c r="L30" s="686"/>
      <c r="M30" s="686"/>
      <c r="N30" s="686"/>
      <c r="O30" s="686"/>
      <c r="P30" s="686"/>
      <c r="Q30" s="686"/>
      <c r="R30" s="679"/>
      <c r="S30" s="680"/>
      <c r="X30" s="594" t="str" cm="1">
        <f t="array" ref="X30">IFERROR(INDEX($T$34:$T$1028,SMALL(IF($T$34:$T$1028&lt;&gt;"",ROW($T$34:$T$1028)-ROW($T$34)+1),ROW(28:28))),"")</f>
        <v/>
      </c>
      <c r="Y30" s="594" t="str" cm="1">
        <f t="array" ref="Y30">IFERROR(INDEX($U$34:$U$1028,SMALL(IF($T$34:$T$1028&lt;&gt;"",ROW($T$34:$T$1028)-ROW($T$34)+1),ROW(28:28))),"")</f>
        <v/>
      </c>
      <c r="Z30" s="594" t="str" cm="1">
        <f t="array" ref="Z30">IFERROR(INDEX($V$34:$V$1028,SMALL(IF($T$34:$T$1028&lt;&gt;"",ROW($T$34:$T$1028)-ROW($T$34)+1),ROW(28:28))),"")</f>
        <v/>
      </c>
      <c r="AA30" s="594" t="str" cm="1">
        <f t="array" ref="AA30">IFERROR(INDEX($W$34:$W$1028,SMALL(IF($T$34:$T$1028&lt;&gt;"",ROW($T$34:$T$1028)-ROW($T$34)+1),ROW(28:28))),"")</f>
        <v/>
      </c>
      <c r="AB30" s="594" t="str">
        <f t="shared" si="0"/>
        <v/>
      </c>
      <c r="AC30" s="594" t="str">
        <f t="shared" si="1"/>
        <v/>
      </c>
      <c r="AD30" s="594" t="str">
        <f t="shared" si="2"/>
        <v/>
      </c>
    </row>
    <row r="31" spans="2:30" ht="39.950000000000003" customHeight="1" outlineLevel="1" x14ac:dyDescent="0.4">
      <c r="B31" s="685"/>
      <c r="C31" s="588"/>
      <c r="D31" s="1116"/>
      <c r="E31" s="1117"/>
      <c r="F31" s="1117"/>
      <c r="G31" s="1117"/>
      <c r="H31" s="1117"/>
      <c r="I31" s="1117"/>
      <c r="J31" s="1117"/>
      <c r="K31" s="1117"/>
      <c r="L31" s="1117"/>
      <c r="M31" s="1117"/>
      <c r="N31" s="1117"/>
      <c r="O31" s="1117"/>
      <c r="P31" s="1117"/>
      <c r="Q31" s="1118"/>
      <c r="R31" s="589"/>
      <c r="S31" s="680"/>
      <c r="X31" s="594" t="str" cm="1">
        <f t="array" ref="X31">IFERROR(INDEX($T$34:$T$1028,SMALL(IF($T$34:$T$1028&lt;&gt;"",ROW($T$34:$T$1028)-ROW($T$34)+1),ROW(29:29))),"")</f>
        <v/>
      </c>
      <c r="Y31" s="594" t="str" cm="1">
        <f t="array" ref="Y31">IFERROR(INDEX($U$34:$U$1028,SMALL(IF($T$34:$T$1028&lt;&gt;"",ROW($T$34:$T$1028)-ROW($T$34)+1),ROW(29:29))),"")</f>
        <v/>
      </c>
      <c r="Z31" s="594" t="str" cm="1">
        <f t="array" ref="Z31">IFERROR(INDEX($V$34:$V$1028,SMALL(IF($T$34:$T$1028&lt;&gt;"",ROW($T$34:$T$1028)-ROW($T$34)+1),ROW(29:29))),"")</f>
        <v/>
      </c>
      <c r="AA31" s="594" t="str" cm="1">
        <f t="array" ref="AA31">IFERROR(INDEX($W$34:$W$1028,SMALL(IF($T$34:$T$1028&lt;&gt;"",ROW($T$34:$T$1028)-ROW($T$34)+1),ROW(29:29))),"")</f>
        <v/>
      </c>
      <c r="AB31" s="594" t="str">
        <f t="shared" si="0"/>
        <v/>
      </c>
      <c r="AC31" s="594" t="str">
        <f t="shared" si="1"/>
        <v/>
      </c>
      <c r="AD31" s="594" t="str">
        <f t="shared" si="2"/>
        <v/>
      </c>
    </row>
    <row r="32" spans="2:30" ht="20.100000000000001" customHeight="1" outlineLevel="1" thickBot="1" x14ac:dyDescent="0.45">
      <c r="B32" s="685"/>
      <c r="C32" s="689"/>
      <c r="D32" s="690"/>
      <c r="E32" s="690"/>
      <c r="F32" s="690"/>
      <c r="G32" s="690"/>
      <c r="H32" s="690"/>
      <c r="I32" s="690"/>
      <c r="J32" s="690"/>
      <c r="K32" s="690"/>
      <c r="L32" s="690"/>
      <c r="M32" s="690"/>
      <c r="N32" s="690"/>
      <c r="O32" s="690"/>
      <c r="P32" s="690"/>
      <c r="Q32" s="690"/>
      <c r="R32" s="681"/>
      <c r="S32" s="680"/>
      <c r="X32" s="594" t="str" cm="1">
        <f t="array" ref="X32">IFERROR(INDEX($T$34:$T$1028,SMALL(IF($T$34:$T$1028&lt;&gt;"",ROW($T$34:$T$1028)-ROW($T$34)+1),ROW(30:30))),"")</f>
        <v/>
      </c>
      <c r="Y32" s="594" t="str" cm="1">
        <f t="array" ref="Y32">IFERROR(INDEX($U$34:$U$1028,SMALL(IF($T$34:$T$1028&lt;&gt;"",ROW($T$34:$T$1028)-ROW($T$34)+1),ROW(30:30))),"")</f>
        <v/>
      </c>
      <c r="Z32" s="594" t="str" cm="1">
        <f t="array" ref="Z32">IFERROR(INDEX($V$34:$V$1028,SMALL(IF($T$34:$T$1028&lt;&gt;"",ROW($T$34:$T$1028)-ROW($T$34)+1),ROW(30:30))),"")</f>
        <v/>
      </c>
      <c r="AA32" s="594" t="str" cm="1">
        <f t="array" ref="AA32">IFERROR(INDEX($W$34:$W$1028,SMALL(IF($T$34:$T$1028&lt;&gt;"",ROW($T$34:$T$1028)-ROW($T$34)+1),ROW(30:30))),"")</f>
        <v/>
      </c>
      <c r="AB32" s="594" t="str">
        <f t="shared" si="0"/>
        <v/>
      </c>
      <c r="AC32" s="594" t="str">
        <f t="shared" si="1"/>
        <v/>
      </c>
      <c r="AD32" s="594" t="str">
        <f t="shared" si="2"/>
        <v/>
      </c>
    </row>
    <row r="33" spans="2:23" ht="20.100000000000001" customHeight="1" thickTop="1" thickBot="1" x14ac:dyDescent="0.45">
      <c r="B33" s="685"/>
      <c r="C33" s="686"/>
      <c r="D33" s="686"/>
      <c r="E33" s="686"/>
      <c r="F33" s="686"/>
      <c r="G33" s="686"/>
      <c r="H33" s="686"/>
      <c r="I33" s="686"/>
      <c r="J33" s="686"/>
      <c r="K33" s="686"/>
      <c r="L33" s="686"/>
      <c r="M33" s="686"/>
      <c r="N33" s="686"/>
      <c r="O33" s="686"/>
      <c r="P33" s="686"/>
      <c r="Q33" s="686"/>
      <c r="R33" s="686"/>
      <c r="S33" s="680"/>
    </row>
    <row r="34" spans="2:23" ht="20.100000000000001" customHeight="1" thickTop="1" thickBot="1" x14ac:dyDescent="0.45">
      <c r="B34" s="685"/>
      <c r="C34" s="1119" t="s">
        <v>66</v>
      </c>
      <c r="D34" s="1120"/>
      <c r="E34" s="1120"/>
      <c r="F34" s="1120"/>
      <c r="G34" s="1120"/>
      <c r="H34" s="1120"/>
      <c r="I34" s="1120"/>
      <c r="J34" s="1120"/>
      <c r="K34" s="1120"/>
      <c r="L34" s="1120"/>
      <c r="M34" s="1121" t="s">
        <v>417</v>
      </c>
      <c r="N34" s="1121"/>
      <c r="O34" s="1121"/>
      <c r="P34" s="1121"/>
      <c r="Q34" s="1121"/>
      <c r="R34" s="1122"/>
      <c r="S34" s="680"/>
    </row>
    <row r="35" spans="2:23" ht="20.100000000000001" customHeight="1" outlineLevel="1" thickTop="1" x14ac:dyDescent="0.4">
      <c r="B35" s="685"/>
      <c r="C35" s="687"/>
      <c r="D35" s="686"/>
      <c r="E35" s="686"/>
      <c r="F35" s="686"/>
      <c r="G35" s="686"/>
      <c r="H35" s="686"/>
      <c r="I35" s="686"/>
      <c r="J35" s="686"/>
      <c r="K35" s="686"/>
      <c r="L35" s="686"/>
      <c r="M35" s="686"/>
      <c r="N35" s="686"/>
      <c r="O35" s="686"/>
      <c r="P35" s="686"/>
      <c r="Q35" s="587"/>
      <c r="R35" s="679"/>
      <c r="S35" s="680"/>
    </row>
    <row r="36" spans="2:23" ht="20.100000000000001" customHeight="1" outlineLevel="1" x14ac:dyDescent="0.4">
      <c r="B36" s="685"/>
      <c r="C36" s="687"/>
      <c r="D36" s="1101" t="s">
        <v>588</v>
      </c>
      <c r="E36" s="1102"/>
      <c r="F36" s="1102"/>
      <c r="G36" s="1102"/>
      <c r="H36" s="1102"/>
      <c r="I36" s="1102"/>
      <c r="J36" s="1102"/>
      <c r="K36" s="1102"/>
      <c r="L36" s="1102"/>
      <c r="M36" s="1102"/>
      <c r="N36" s="1102"/>
      <c r="O36" s="1102"/>
      <c r="P36" s="1102"/>
      <c r="Q36" s="1123"/>
      <c r="R36" s="679"/>
      <c r="S36" s="680"/>
    </row>
    <row r="37" spans="2:23" ht="20.100000000000001" customHeight="1" outlineLevel="1" x14ac:dyDescent="0.4">
      <c r="B37" s="685"/>
      <c r="C37" s="792" t="s">
        <v>790</v>
      </c>
      <c r="D37" s="1124" t="s">
        <v>589</v>
      </c>
      <c r="E37" s="1125"/>
      <c r="F37" s="1125"/>
      <c r="G37" s="1126" t="s">
        <v>706</v>
      </c>
      <c r="H37" s="1126"/>
      <c r="I37" s="1126"/>
      <c r="J37" s="1127"/>
      <c r="K37" s="1124" t="s">
        <v>590</v>
      </c>
      <c r="L37" s="1125"/>
      <c r="M37" s="1125"/>
      <c r="N37" s="1126"/>
      <c r="O37" s="1126"/>
      <c r="P37" s="1126"/>
      <c r="Q37" s="1127"/>
      <c r="R37" s="802" t="s">
        <v>793</v>
      </c>
      <c r="S37" s="680"/>
    </row>
    <row r="38" spans="2:23" ht="20.100000000000001" customHeight="1" outlineLevel="1" x14ac:dyDescent="0.4">
      <c r="B38" s="685"/>
      <c r="C38" s="687"/>
      <c r="D38" s="1105" t="s">
        <v>639</v>
      </c>
      <c r="E38" s="1106"/>
      <c r="F38" s="1106"/>
      <c r="G38" s="1109" t="s">
        <v>172</v>
      </c>
      <c r="H38" s="1109"/>
      <c r="I38" s="1109"/>
      <c r="J38" s="1110"/>
      <c r="K38" s="1113" t="s">
        <v>591</v>
      </c>
      <c r="L38" s="1114"/>
      <c r="M38" s="1114"/>
      <c r="N38" s="1115"/>
      <c r="O38" s="1115"/>
      <c r="P38" s="1115"/>
      <c r="Q38" s="1115"/>
      <c r="R38" s="679" t="s">
        <v>833</v>
      </c>
      <c r="S38" s="680"/>
    </row>
    <row r="39" spans="2:23" ht="20.100000000000001" customHeight="1" outlineLevel="1" x14ac:dyDescent="0.4">
      <c r="B39" s="685"/>
      <c r="C39" s="687"/>
      <c r="D39" s="1107"/>
      <c r="E39" s="1108"/>
      <c r="F39" s="1108"/>
      <c r="G39" s="1111"/>
      <c r="H39" s="1111"/>
      <c r="I39" s="1111"/>
      <c r="J39" s="1112"/>
      <c r="K39" s="1113" t="s">
        <v>592</v>
      </c>
      <c r="L39" s="1114"/>
      <c r="M39" s="1114"/>
      <c r="N39" s="1115"/>
      <c r="O39" s="1115"/>
      <c r="P39" s="1115"/>
      <c r="Q39" s="1115"/>
      <c r="R39" s="679"/>
      <c r="S39" s="680"/>
    </row>
    <row r="40" spans="2:23" ht="20.100000000000001" customHeight="1" outlineLevel="1" x14ac:dyDescent="0.4">
      <c r="B40" s="685"/>
      <c r="C40" s="687"/>
      <c r="D40" s="26"/>
      <c r="E40" s="26"/>
      <c r="F40" s="26"/>
      <c r="G40" s="26"/>
      <c r="H40" s="26"/>
      <c r="I40" s="26"/>
      <c r="J40" s="26"/>
      <c r="K40" s="26"/>
      <c r="L40" s="26"/>
      <c r="M40" s="798" t="s">
        <v>777</v>
      </c>
      <c r="N40" s="26"/>
      <c r="O40" s="26"/>
      <c r="P40" s="26"/>
      <c r="Q40" s="26"/>
      <c r="R40" s="679"/>
      <c r="S40" s="680"/>
    </row>
    <row r="41" spans="2:23" ht="20.100000000000001" customHeight="1" outlineLevel="1" x14ac:dyDescent="0.4">
      <c r="B41" s="685"/>
      <c r="C41" s="687"/>
      <c r="D41" s="1101" t="s">
        <v>593</v>
      </c>
      <c r="E41" s="1102"/>
      <c r="F41" s="1102"/>
      <c r="G41" s="1102"/>
      <c r="H41" s="1102"/>
      <c r="I41" s="1102"/>
      <c r="J41" s="1102"/>
      <c r="K41" s="1102"/>
      <c r="L41" s="1102"/>
      <c r="M41" s="1102"/>
      <c r="N41" s="1102"/>
      <c r="O41" s="1102"/>
      <c r="P41" s="1102"/>
      <c r="Q41" s="704"/>
      <c r="R41" s="679"/>
      <c r="S41" s="680"/>
    </row>
    <row r="42" spans="2:23" ht="20.100000000000001" customHeight="1" outlineLevel="1" x14ac:dyDescent="0.4">
      <c r="B42" s="685"/>
      <c r="C42" s="687"/>
      <c r="D42" s="1103" t="s">
        <v>87</v>
      </c>
      <c r="E42" s="1103"/>
      <c r="F42" s="1104" t="s">
        <v>89</v>
      </c>
      <c r="G42" s="1104" t="s">
        <v>594</v>
      </c>
      <c r="H42" s="1104"/>
      <c r="I42" s="1103" t="s">
        <v>90</v>
      </c>
      <c r="J42" s="1104" t="s">
        <v>595</v>
      </c>
      <c r="K42" s="1104"/>
      <c r="L42" s="1103" t="s">
        <v>90</v>
      </c>
      <c r="M42" s="1097" t="s">
        <v>596</v>
      </c>
      <c r="N42" s="1097"/>
      <c r="O42" s="1097" t="s">
        <v>88</v>
      </c>
      <c r="P42" s="1097"/>
      <c r="Q42" s="25"/>
      <c r="R42" s="679"/>
      <c r="S42" s="680"/>
    </row>
    <row r="43" spans="2:23" ht="20.100000000000001" customHeight="1" outlineLevel="1" x14ac:dyDescent="0.4">
      <c r="B43" s="685"/>
      <c r="C43" s="687"/>
      <c r="D43" s="1103"/>
      <c r="E43" s="1103"/>
      <c r="F43" s="1104"/>
      <c r="G43" s="1104"/>
      <c r="H43" s="1104"/>
      <c r="I43" s="1103"/>
      <c r="J43" s="1104"/>
      <c r="K43" s="1104"/>
      <c r="L43" s="1103"/>
      <c r="M43" s="1085">
        <f>COUNT(G45:H56)</f>
        <v>10</v>
      </c>
      <c r="N43" s="1085"/>
      <c r="O43" s="1085">
        <f>COUNTIF(O45:P56,"=oui")</f>
        <v>9</v>
      </c>
      <c r="P43" s="1085"/>
      <c r="Q43" s="799" t="s">
        <v>779</v>
      </c>
      <c r="R43" s="679"/>
      <c r="S43" s="680"/>
      <c r="T43" s="594" t="str">
        <f>IF(G37&lt;&gt;"",G37,"")</f>
        <v>A3_P102_PREL</v>
      </c>
      <c r="U43" s="594">
        <f>IF(T43&lt;&gt;"",M43,"")</f>
        <v>10</v>
      </c>
      <c r="V43" s="594">
        <f>IF(T43&lt;&gt;"",O43,"")</f>
        <v>9</v>
      </c>
      <c r="W43" s="594">
        <f>IF(M43&gt;0,O43/M43,"")</f>
        <v>0.9</v>
      </c>
    </row>
    <row r="44" spans="2:23" ht="20.100000000000001" customHeight="1" outlineLevel="1" x14ac:dyDescent="0.4">
      <c r="B44" s="685"/>
      <c r="C44" s="687"/>
      <c r="D44" s="1103"/>
      <c r="E44" s="1103"/>
      <c r="F44" s="1104"/>
      <c r="G44" s="1104"/>
      <c r="H44" s="1104"/>
      <c r="I44" s="1103"/>
      <c r="J44" s="1104"/>
      <c r="K44" s="1104"/>
      <c r="L44" s="1103"/>
      <c r="M44" s="1097" t="s">
        <v>91</v>
      </c>
      <c r="N44" s="1097"/>
      <c r="O44" s="1097" t="s">
        <v>92</v>
      </c>
      <c r="P44" s="1097"/>
      <c r="Q44" s="26"/>
      <c r="R44" s="679"/>
      <c r="S44" s="680"/>
    </row>
    <row r="45" spans="2:23" ht="20.100000000000001" customHeight="1" outlineLevel="1" x14ac:dyDescent="0.4">
      <c r="B45" s="685"/>
      <c r="C45" s="687"/>
      <c r="D45" s="1098" t="s">
        <v>93</v>
      </c>
      <c r="E45" s="1098"/>
      <c r="F45" s="696">
        <f>VLOOKUP(D45, 'SeuilsComparaison-EMT'!$C$5:$E$28, 3, FALSE)</f>
        <v>3</v>
      </c>
      <c r="G45" s="1099">
        <v>41</v>
      </c>
      <c r="H45" s="1099"/>
      <c r="I45" s="695" t="s">
        <v>124</v>
      </c>
      <c r="J45" s="1099">
        <v>53.9</v>
      </c>
      <c r="K45" s="1099"/>
      <c r="L45" s="695" t="s">
        <v>124</v>
      </c>
      <c r="M45" s="1100">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-0.1359325605900949</v>
      </c>
      <c r="N45" s="1100"/>
      <c r="O45" s="1089"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Oui</v>
      </c>
      <c r="P45" s="1089"/>
      <c r="Q45" s="26"/>
      <c r="R45" s="791" t="s">
        <v>779</v>
      </c>
      <c r="S45" s="680"/>
    </row>
    <row r="46" spans="2:23" ht="20.100000000000001" customHeight="1" outlineLevel="1" x14ac:dyDescent="0.4">
      <c r="B46" s="685"/>
      <c r="C46" s="687"/>
      <c r="D46" s="1089" t="s">
        <v>94</v>
      </c>
      <c r="E46" s="1089"/>
      <c r="F46" s="696">
        <f>VLOOKUP(D46, 'SeuilsComparaison-EMT'!$C$5:$E$28, 3, FALSE)</f>
        <v>30</v>
      </c>
      <c r="G46" s="1090">
        <v>60</v>
      </c>
      <c r="H46" s="1090"/>
      <c r="I46" s="697" t="s">
        <v>124</v>
      </c>
      <c r="J46" s="1090">
        <v>100</v>
      </c>
      <c r="K46" s="1090"/>
      <c r="L46" s="697" t="s">
        <v>172</v>
      </c>
      <c r="M46" s="1091">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-0.25</v>
      </c>
      <c r="N46" s="1092"/>
      <c r="O46" s="1089"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Non</v>
      </c>
      <c r="P46" s="1089"/>
      <c r="Q46" s="26"/>
      <c r="R46" s="679"/>
      <c r="S46" s="680"/>
    </row>
    <row r="47" spans="2:23" ht="20.100000000000001" customHeight="1" outlineLevel="1" x14ac:dyDescent="0.4">
      <c r="B47" s="685"/>
      <c r="C47" s="687"/>
      <c r="D47" s="1089" t="s">
        <v>95</v>
      </c>
      <c r="E47" s="1089"/>
      <c r="F47" s="696">
        <f>VLOOKUP(D47, 'SeuilsComparaison-EMT'!$C$5:$E$28, 3, FALSE)</f>
        <v>10</v>
      </c>
      <c r="G47" s="1090">
        <v>173</v>
      </c>
      <c r="H47" s="1090"/>
      <c r="I47" s="697" t="s">
        <v>124</v>
      </c>
      <c r="J47" s="1090">
        <v>180</v>
      </c>
      <c r="K47" s="1090"/>
      <c r="L47" s="697" t="s">
        <v>124</v>
      </c>
      <c r="M47" s="1091">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-1.9830028328611898E-2</v>
      </c>
      <c r="N47" s="1092"/>
      <c r="O47" s="1089"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Oui</v>
      </c>
      <c r="P47" s="1089"/>
      <c r="Q47" s="26"/>
      <c r="R47" s="679"/>
      <c r="S47" s="680"/>
    </row>
    <row r="48" spans="2:23" ht="20.100000000000001" customHeight="1" outlineLevel="1" x14ac:dyDescent="0.4">
      <c r="B48" s="685"/>
      <c r="C48" s="687"/>
      <c r="D48" s="1089" t="s">
        <v>97</v>
      </c>
      <c r="E48" s="1089"/>
      <c r="F48" s="696">
        <f>VLOOKUP(D48, 'SeuilsComparaison-EMT'!$C$5:$E$28, 3, FALSE)</f>
        <v>2</v>
      </c>
      <c r="G48" s="1090">
        <v>7.3</v>
      </c>
      <c r="H48" s="1090"/>
      <c r="I48" s="697" t="s">
        <v>124</v>
      </c>
      <c r="J48" s="1090">
        <v>91</v>
      </c>
      <c r="K48" s="1090"/>
      <c r="L48" s="697" t="s">
        <v>124</v>
      </c>
      <c r="M48" s="1091">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-0.85147507629704988</v>
      </c>
      <c r="N48" s="1092"/>
      <c r="O48" s="1089"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Oui</v>
      </c>
      <c r="P48" s="1089"/>
      <c r="Q48" s="26"/>
      <c r="R48" s="679"/>
      <c r="S48" s="680"/>
    </row>
    <row r="49" spans="2:25" ht="20.100000000000001" customHeight="1" outlineLevel="1" x14ac:dyDescent="0.4">
      <c r="B49" s="685"/>
      <c r="C49" s="687"/>
      <c r="D49" s="1089" t="s">
        <v>98</v>
      </c>
      <c r="E49" s="1089"/>
      <c r="F49" s="696">
        <f>VLOOKUP(D49, 'SeuilsComparaison-EMT'!$C$5:$E$28, 3, FALSE)</f>
        <v>0.5</v>
      </c>
      <c r="G49" s="1090">
        <v>26</v>
      </c>
      <c r="H49" s="1090"/>
      <c r="I49" s="697" t="s">
        <v>124</v>
      </c>
      <c r="J49" s="1090">
        <v>26.5</v>
      </c>
      <c r="K49" s="1090"/>
      <c r="L49" s="697" t="s">
        <v>124</v>
      </c>
      <c r="M49" s="1091">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-9.5238095238095247E-3</v>
      </c>
      <c r="N49" s="1092"/>
      <c r="O49" s="1089"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Oui</v>
      </c>
      <c r="P49" s="1089"/>
      <c r="Q49" s="26"/>
      <c r="R49" s="802" t="s">
        <v>789</v>
      </c>
      <c r="S49" s="680"/>
    </row>
    <row r="50" spans="2:25" ht="20.100000000000001" customHeight="1" outlineLevel="1" x14ac:dyDescent="0.4">
      <c r="B50" s="685"/>
      <c r="C50" s="687"/>
      <c r="D50" s="1168" t="s">
        <v>102</v>
      </c>
      <c r="E50" s="1169"/>
      <c r="F50" s="696">
        <f>VLOOKUP(D50, 'SeuilsComparaison-EMT'!$C$5:$E$28, 3, FALSE)</f>
        <v>1</v>
      </c>
      <c r="G50" s="1090">
        <v>27</v>
      </c>
      <c r="H50" s="1090"/>
      <c r="I50" s="697" t="s">
        <v>124</v>
      </c>
      <c r="J50" s="1090">
        <v>27.5</v>
      </c>
      <c r="K50" s="1090"/>
      <c r="L50" s="697" t="s">
        <v>124</v>
      </c>
      <c r="M50" s="1091">
        <f>IF(OR(J50="",G50=""),"",IF(ISERROR(VLOOKUP(D50,'SeuilsComparaison-EMT'!$C$5:$J$25,4,FALSE)),"-",IF(OR(IF(ISTEXT(J50)=TRUE,SUBSTITUTE(J50,"&lt;","",1)*1,J50)&gt;VLOOKUP(D50,'SeuilsComparaison-EMT'!$C$5:$J$25,4,FALSE),IF(ISTEXT(G50)=TRUE,SUBSTITUTE(G50,"&lt;","",1)*1,G50)&gt;VLOOKUP(D50,'SeuilsComparaison-EMT'!$C$5:$J$25,4,FALSE)=TRUE),(IF(ISTEXT(G50)=TRUE,SUBSTITUTE(G50,"&lt;","",1)*1,G50)-((IF(ISTEXT(G50)=TRUE,SUBSTITUTE(G50,"&lt;","",1)*1,G50)+IF(ISTEXT(J50)=TRUE,SUBSTITUTE(J50,"&lt;","",1)*1,J50))/2))/((IF(ISTEXT(G50)=TRUE,SUBSTITUTE(G50,"&lt;","",1)*1,G50)+IF(ISTEXT(J50)=TRUE,SUBSTITUTE(J50,"&lt;","",1),J50))/2),"-")))</f>
        <v>-9.1743119266055051E-3</v>
      </c>
      <c r="N50" s="1092"/>
      <c r="O50" s="1089" t="str">
        <f>IF(OR(G50="",J50=""),"",IF(AND(I50="Oui",L50="Oui"),"Oui",IF(M50="-","Oui",IF(OR(J50&gt;VLOOKUP($D50,'SeuilsComparaison-EMT'!$C$5:$J$27,4,FALSE),G50&gt;VLOOKUP($D50,'SeuilsComparaison-EMT'!$C$5:$J$27,4,FALSE)=TRUE),IF(J50&lt;=VLOOKUP($D50,'SeuilsComparaison-EMT'!$C$5:$J$27,5,FALSE),IF(ABS(M50)&lt;=VLOOKUP($D50,'SeuilsComparaison-EMT'!$C$5:$J$27,6,FALSE),"Oui","Non"),IF(ABS(M50)&lt;=VLOOKUP($D50,'SeuilsComparaison-EMT'!$C$5:$J$27,8,FALSE),"Oui","Non")),"Oui"))))</f>
        <v>Oui</v>
      </c>
      <c r="P50" s="1089"/>
      <c r="Q50" s="26"/>
      <c r="R50" s="791" t="s">
        <v>792</v>
      </c>
      <c r="S50" s="680"/>
    </row>
    <row r="51" spans="2:25" ht="20.100000000000001" customHeight="1" outlineLevel="1" x14ac:dyDescent="0.4">
      <c r="B51" s="685"/>
      <c r="C51" s="687"/>
      <c r="D51" s="1089" t="s">
        <v>99</v>
      </c>
      <c r="E51" s="1089"/>
      <c r="F51" s="696">
        <f>VLOOKUP(D51, 'SeuilsComparaison-EMT'!$C$5:$E$28, 3, FALSE)</f>
        <v>0.5</v>
      </c>
      <c r="G51" s="1090">
        <v>25.71</v>
      </c>
      <c r="H51" s="1090"/>
      <c r="I51" s="697" t="s">
        <v>124</v>
      </c>
      <c r="J51" s="1090">
        <v>25.6</v>
      </c>
      <c r="K51" s="1090"/>
      <c r="L51" s="697" t="s">
        <v>124</v>
      </c>
      <c r="M51" s="1091">
        <f>IF(OR(J51="",G51=""),"",IF(ISERROR(VLOOKUP(D51,'SeuilsComparaison-EMT'!$C$5:$J$25,4,FALSE)),"-",IF(OR(IF(ISTEXT(J51)=TRUE,SUBSTITUTE(J51,"&lt;","",1)*1,J51)&gt;VLOOKUP(D51,'SeuilsComparaison-EMT'!$C$5:$J$25,4,FALSE),IF(ISTEXT(G51)=TRUE,SUBSTITUTE(G51,"&lt;","",1)*1,G51)&gt;VLOOKUP(D51,'SeuilsComparaison-EMT'!$C$5:$J$25,4,FALSE)=TRUE),(IF(ISTEXT(G51)=TRUE,SUBSTITUTE(G51,"&lt;","",1)*1,G51)-((IF(ISTEXT(G51)=TRUE,SUBSTITUTE(G51,"&lt;","",1)*1,G51)+IF(ISTEXT(J51)=TRUE,SUBSTITUTE(J51,"&lt;","",1)*1,J51))/2))/((IF(ISTEXT(G51)=TRUE,SUBSTITUTE(G51,"&lt;","",1)*1,G51)+IF(ISTEXT(J51)=TRUE,SUBSTITUTE(J51,"&lt;","",1),J51))/2),"-")))</f>
        <v>2.1438316117715732E-3</v>
      </c>
      <c r="N51" s="1092"/>
      <c r="O51" s="1089" t="str">
        <f>IF(OR(G51="",J51=""),"",IF(AND(I51="Oui",L51="Oui"),"Oui",IF(M51="-","Oui",IF(OR(J51&gt;VLOOKUP($D51,'SeuilsComparaison-EMT'!$C$5:$J$27,4,FALSE),G51&gt;VLOOKUP($D51,'SeuilsComparaison-EMT'!$C$5:$J$27,4,FALSE)=TRUE),IF(J51&lt;=VLOOKUP($D51,'SeuilsComparaison-EMT'!$C$5:$J$27,5,FALSE),IF(ABS(M51)&lt;=VLOOKUP($D51,'SeuilsComparaison-EMT'!$C$5:$J$27,6,FALSE),"Oui","Non"),IF(ABS(M51)&lt;=VLOOKUP($D51,'SeuilsComparaison-EMT'!$C$5:$J$27,8,FALSE),"Oui","Non")),"Oui"))))</f>
        <v>Oui</v>
      </c>
      <c r="P51" s="1089"/>
      <c r="Q51" s="26"/>
      <c r="R51" s="679"/>
      <c r="S51" s="680"/>
    </row>
    <row r="52" spans="2:25" ht="20.100000000000001" customHeight="1" outlineLevel="1" x14ac:dyDescent="0.4">
      <c r="B52" s="685"/>
      <c r="C52" s="687"/>
      <c r="D52" s="1089" t="s">
        <v>100</v>
      </c>
      <c r="E52" s="1089"/>
      <c r="F52" s="696">
        <f>VLOOKUP(D52, 'SeuilsComparaison-EMT'!$C$5:$E$28, 3, FALSE)</f>
        <v>0.05</v>
      </c>
      <c r="G52" s="1090">
        <v>0.42</v>
      </c>
      <c r="H52" s="1090"/>
      <c r="I52" s="697" t="s">
        <v>124</v>
      </c>
      <c r="J52" s="1090" t="s">
        <v>775</v>
      </c>
      <c r="K52" s="1090"/>
      <c r="L52" s="697" t="s">
        <v>124</v>
      </c>
      <c r="M52" s="1091" t="str">
        <f>IF(OR(J52="",G52=""),"",IF(ISERROR(VLOOKUP(D52,'SeuilsComparaison-EMT'!$C$5:$J$25,4,FALSE)),"-",IF(OR(IF(ISTEXT(J52)=TRUE,SUBSTITUTE(J52,"&lt;","",1)*1,J52)&gt;VLOOKUP(D52,'SeuilsComparaison-EMT'!$C$5:$J$25,4,FALSE),IF(ISTEXT(G52)=TRUE,SUBSTITUTE(G52,"&lt;","",1)*1,G52)&gt;VLOOKUP(D52,'SeuilsComparaison-EMT'!$C$5:$J$25,4,FALSE)=TRUE),(IF(ISTEXT(G52)=TRUE,SUBSTITUTE(G52,"&lt;","",1)*1,G52)-((IF(ISTEXT(G52)=TRUE,SUBSTITUTE(G52,"&lt;","",1)*1,G52)+IF(ISTEXT(J52)=TRUE,SUBSTITUTE(J52,"&lt;","",1)*1,J52))/2))/((IF(ISTEXT(G52)=TRUE,SUBSTITUTE(G52,"&lt;","",1)*1,G52)+IF(ISTEXT(J52)=TRUE,SUBSTITUTE(J52,"&lt;","",1),J52))/2),"-")))</f>
        <v>-</v>
      </c>
      <c r="N52" s="1092"/>
      <c r="O52" s="1089" t="str">
        <f>IF(OR(G52="",J52=""),"",IF(AND(I52="Oui",L52="Oui"),"Oui",IF(M52="-","Oui",IF(OR(J52&gt;VLOOKUP($D52,'SeuilsComparaison-EMT'!$C$5:$J$27,4,FALSE),G52&gt;VLOOKUP($D52,'SeuilsComparaison-EMT'!$C$5:$J$27,4,FALSE)=TRUE),IF(J52&lt;=VLOOKUP($D52,'SeuilsComparaison-EMT'!$C$5:$J$27,5,FALSE),IF(ABS(M52)&lt;=VLOOKUP($D52,'SeuilsComparaison-EMT'!$C$5:$J$27,6,FALSE),"Oui","Non"),IF(ABS(M52)&lt;=VLOOKUP($D52,'SeuilsComparaison-EMT'!$C$5:$J$27,8,FALSE),"Oui","Non")),"Oui"))))</f>
        <v>Oui</v>
      </c>
      <c r="P52" s="1089"/>
      <c r="Q52" s="26"/>
      <c r="R52" s="679"/>
      <c r="S52" s="680"/>
    </row>
    <row r="53" spans="2:25" ht="20.100000000000001" customHeight="1" outlineLevel="1" x14ac:dyDescent="0.4">
      <c r="B53" s="685"/>
      <c r="C53" s="687"/>
      <c r="D53" s="1089" t="s">
        <v>101</v>
      </c>
      <c r="E53" s="1089"/>
      <c r="F53" s="696">
        <f>VLOOKUP(D53, 'SeuilsComparaison-EMT'!$C$5:$E$28, 3, FALSE)</f>
        <v>1</v>
      </c>
      <c r="G53" s="1090">
        <v>2.21</v>
      </c>
      <c r="H53" s="1090"/>
      <c r="I53" s="697" t="s">
        <v>124</v>
      </c>
      <c r="J53" s="1090" t="s">
        <v>776</v>
      </c>
      <c r="K53" s="1090"/>
      <c r="L53" s="697" t="s">
        <v>124</v>
      </c>
      <c r="M53" s="1091" t="str">
        <f>IF(OR(J53="",G53=""),"",IF(ISERROR(VLOOKUP(D53,'SeuilsComparaison-EMT'!$C$5:$J$25,4,FALSE)),"-",IF(OR(IF(ISTEXT(J53)=TRUE,SUBSTITUTE(J53,"&lt;","",1)*1,J53)&gt;VLOOKUP(D53,'SeuilsComparaison-EMT'!$C$5:$J$25,4,FALSE),IF(ISTEXT(G53)=TRUE,SUBSTITUTE(G53,"&lt;","",1)*1,G53)&gt;VLOOKUP(D53,'SeuilsComparaison-EMT'!$C$5:$J$25,4,FALSE)=TRUE),(IF(ISTEXT(G53)=TRUE,SUBSTITUTE(G53,"&lt;","",1)*1,G53)-((IF(ISTEXT(G53)=TRUE,SUBSTITUTE(G53,"&lt;","",1)*1,G53)+IF(ISTEXT(J53)=TRUE,SUBSTITUTE(J53,"&lt;","",1)*1,J53))/2))/((IF(ISTEXT(G53)=TRUE,SUBSTITUTE(G53,"&lt;","",1)*1,G53)+IF(ISTEXT(J53)=TRUE,SUBSTITUTE(J53,"&lt;","",1),J53))/2),"-")))</f>
        <v>-</v>
      </c>
      <c r="N53" s="1092"/>
      <c r="O53" s="1089" t="str">
        <f>IF(OR(G53="",J53=""),"",IF(AND(I53="Oui",L53="Oui"),"Oui",IF(M53="-","Oui",IF(OR(J53&gt;VLOOKUP($D53,'SeuilsComparaison-EMT'!$C$5:$J$27,4,FALSE),G53&gt;VLOOKUP($D53,'SeuilsComparaison-EMT'!$C$5:$J$27,4,FALSE)=TRUE),IF(J53&lt;=VLOOKUP($D53,'SeuilsComparaison-EMT'!$C$5:$J$27,5,FALSE),IF(ABS(M53)&lt;=VLOOKUP($D53,'SeuilsComparaison-EMT'!$C$5:$J$27,6,FALSE),"Oui","Non"),IF(ABS(M53)&lt;=VLOOKUP($D53,'SeuilsComparaison-EMT'!$C$5:$J$27,8,FALSE),"Oui","Non")),"Oui"))))</f>
        <v>Oui</v>
      </c>
      <c r="P53" s="1089"/>
      <c r="Q53" s="26"/>
      <c r="R53" s="679"/>
      <c r="S53" s="680"/>
    </row>
    <row r="54" spans="2:25" ht="20.100000000000001" customHeight="1" outlineLevel="1" x14ac:dyDescent="0.4">
      <c r="B54" s="685"/>
      <c r="C54" s="687"/>
      <c r="D54" s="1089" t="s">
        <v>103</v>
      </c>
      <c r="E54" s="1089"/>
      <c r="F54" s="696">
        <f>VLOOKUP(D54, 'SeuilsComparaison-EMT'!$C$5:$E$28, 3, FALSE)</f>
        <v>0.05</v>
      </c>
      <c r="G54" s="1090">
        <v>3.1</v>
      </c>
      <c r="H54" s="1090"/>
      <c r="I54" s="697" t="s">
        <v>124</v>
      </c>
      <c r="J54" s="1090">
        <v>2.68</v>
      </c>
      <c r="K54" s="1090"/>
      <c r="L54" s="697" t="s">
        <v>124</v>
      </c>
      <c r="M54" s="1091">
        <f>IF(OR(J54="",G54=""),"",IF(ISERROR(VLOOKUP(D54,'SeuilsComparaison-EMT'!$C$5:$J$25,4,FALSE)),"-",IF(OR(IF(ISTEXT(J54)=TRUE,SUBSTITUTE(J54,"&lt;","",1)*1,J54)&gt;VLOOKUP(D54,'SeuilsComparaison-EMT'!$C$5:$J$25,4,FALSE),IF(ISTEXT(G54)=TRUE,SUBSTITUTE(G54,"&lt;","",1)*1,G54)&gt;VLOOKUP(D54,'SeuilsComparaison-EMT'!$C$5:$J$25,4,FALSE)=TRUE),(IF(ISTEXT(G54)=TRUE,SUBSTITUTE(G54,"&lt;","",1)*1,G54)-((IF(ISTEXT(G54)=TRUE,SUBSTITUTE(G54,"&lt;","",1)*1,G54)+IF(ISTEXT(J54)=TRUE,SUBSTITUTE(J54,"&lt;","",1)*1,J54))/2))/((IF(ISTEXT(G54)=TRUE,SUBSTITUTE(G54,"&lt;","",1)*1,G54)+IF(ISTEXT(J54)=TRUE,SUBSTITUTE(J54,"&lt;","",1),J54))/2),"-")))</f>
        <v>7.2664359861591685E-2</v>
      </c>
      <c r="N54" s="1092"/>
      <c r="O54" s="1089" t="str">
        <f>IF(OR(G54="",J54=""),"",IF(AND(I54="Oui",L54="Oui"),"Oui",IF(M54="-","Oui",IF(OR(J54&gt;VLOOKUP($D54,'SeuilsComparaison-EMT'!$C$5:$J$27,4,FALSE),G54&gt;VLOOKUP($D54,'SeuilsComparaison-EMT'!$C$5:$J$27,4,FALSE)=TRUE),IF(J54&lt;=VLOOKUP($D54,'SeuilsComparaison-EMT'!$C$5:$J$27,5,FALSE),IF(ABS(M54)&lt;=VLOOKUP($D54,'SeuilsComparaison-EMT'!$C$5:$J$27,6,FALSE),"Oui","Non"),IF(ABS(M54)&lt;=VLOOKUP($D54,'SeuilsComparaison-EMT'!$C$5:$J$27,8,FALSE),"Oui","Non")),"Oui"))))</f>
        <v>Oui</v>
      </c>
      <c r="P54" s="1089"/>
      <c r="Q54" s="26"/>
      <c r="R54" s="679"/>
      <c r="S54" s="680"/>
    </row>
    <row r="55" spans="2:25" ht="20.100000000000001" customHeight="1" outlineLevel="1" x14ac:dyDescent="0.4">
      <c r="B55" s="685"/>
      <c r="C55" s="687"/>
      <c r="D55" s="1089" t="s">
        <v>403</v>
      </c>
      <c r="E55" s="1089"/>
      <c r="F55" s="696">
        <f>VLOOKUP(D55, 'SeuilsComparaison-EMT'!$C$5:$E$28, 3, FALSE)</f>
        <v>0</v>
      </c>
      <c r="G55" s="1090"/>
      <c r="H55" s="1090"/>
      <c r="I55" s="697"/>
      <c r="J55" s="1090">
        <v>760</v>
      </c>
      <c r="K55" s="1090"/>
      <c r="L55" s="697" t="s">
        <v>124</v>
      </c>
      <c r="M55" s="1091" t="str">
        <f>IF(OR(J55="",G55=""),"",IF(ISERROR(VLOOKUP(D55,'SeuilsComparaison-EMT'!$C$5:$J$25,4,FALSE)),"-",IF(OR(IF(ISTEXT(J55)=TRUE,SUBSTITUTE(J55,"&lt;","",1)*1,J55)&gt;VLOOKUP(D55,'SeuilsComparaison-EMT'!$C$5:$J$25,4,FALSE),IF(ISTEXT(G55)=TRUE,SUBSTITUTE(G55,"&lt;","",1)*1,G55)&gt;VLOOKUP(D55,'SeuilsComparaison-EMT'!$C$5:$J$25,4,FALSE)=TRUE),(IF(ISTEXT(G55)=TRUE,SUBSTITUTE(G55,"&lt;","",1)*1,G55)-((IF(ISTEXT(G55)=TRUE,SUBSTITUTE(G55,"&lt;","",1)*1,G55)+IF(ISTEXT(J55)=TRUE,SUBSTITUTE(J55,"&lt;","",1)*1,J55))/2))/((IF(ISTEXT(G55)=TRUE,SUBSTITUTE(G55,"&lt;","",1)*1,G55)+IF(ISTEXT(J55)=TRUE,SUBSTITUTE(J55,"&lt;","",1),J55))/2),"-")))</f>
        <v/>
      </c>
      <c r="N55" s="1092"/>
      <c r="O55" s="1089" t="str">
        <f>IF(OR(G55="",J55=""),"",IF(AND(I55="Oui",L55="Oui"),"Oui",IF(M55="-","Oui",IF(OR(J55&gt;VLOOKUP($D55,'SeuilsComparaison-EMT'!$C$5:$J$27,4,FALSE),G55&gt;VLOOKUP($D55,'SeuilsComparaison-EMT'!$C$5:$J$27,4,FALSE)=TRUE),IF(J55&lt;=VLOOKUP($D55,'SeuilsComparaison-EMT'!$C$5:$J$27,5,FALSE),IF(ABS(M55)&lt;=VLOOKUP($D55,'SeuilsComparaison-EMT'!$C$5:$J$27,6,FALSE),"Oui","Non"),IF(ABS(M55)&lt;=VLOOKUP($D55,'SeuilsComparaison-EMT'!$C$5:$J$27,8,FALSE),"Oui","Non")),"Oui"))))</f>
        <v/>
      </c>
      <c r="P55" s="1089"/>
      <c r="Q55" s="26"/>
      <c r="R55" s="679"/>
      <c r="S55" s="680"/>
    </row>
    <row r="56" spans="2:25" ht="20.100000000000001" customHeight="1" outlineLevel="1" x14ac:dyDescent="0.4">
      <c r="B56" s="685"/>
      <c r="C56" s="687"/>
      <c r="D56" s="1093" t="s">
        <v>404</v>
      </c>
      <c r="E56" s="1093"/>
      <c r="F56" s="672">
        <f>VLOOKUP(D56, 'SeuilsComparaison-EMT'!$C$5:$E$28, 3, FALSE)</f>
        <v>5</v>
      </c>
      <c r="G56" s="1094"/>
      <c r="H56" s="1094"/>
      <c r="I56" s="671"/>
      <c r="J56" s="1094">
        <v>43</v>
      </c>
      <c r="K56" s="1094"/>
      <c r="L56" s="671" t="s">
        <v>124</v>
      </c>
      <c r="M56" s="1095" t="str">
        <f>IF(OR(J56="",G56=""),"",IF(ISERROR(VLOOKUP(D56,'SeuilsComparaison-EMT'!$C$5:$J$25,4,FALSE)),"-",IF(OR(IF(ISTEXT(J56)=TRUE,SUBSTITUTE(J56,"&lt;","",1)*1,J56)&gt;VLOOKUP(D56,'SeuilsComparaison-EMT'!$C$5:$J$25,4,FALSE),IF(ISTEXT(G56)=TRUE,SUBSTITUTE(G56,"&lt;","",1)*1,G56)&gt;VLOOKUP(D56,'SeuilsComparaison-EMT'!$C$5:$J$25,4,FALSE)=TRUE),(IF(ISTEXT(G56)=TRUE,SUBSTITUTE(G56,"&lt;","",1)*1,G56)-((IF(ISTEXT(G56)=TRUE,SUBSTITUTE(G56,"&lt;","",1)*1,G56)+IF(ISTEXT(J56)=TRUE,SUBSTITUTE(J56,"&lt;","",1)*1,J56))/2))/((IF(ISTEXT(G56)=TRUE,SUBSTITUTE(G56,"&lt;","",1)*1,G56)+IF(ISTEXT(J56)=TRUE,SUBSTITUTE(J56,"&lt;","",1),J56))/2),"-")))</f>
        <v/>
      </c>
      <c r="N56" s="1096"/>
      <c r="O56" s="1093" t="str">
        <f>IF(OR(G56="",J56=""),"",IF(AND(I56="Oui",L56="Oui"),"Oui",IF(M56="-","Oui",IF(OR(J56&gt;VLOOKUP($D56,'SeuilsComparaison-EMT'!$C$5:$J$27,4,FALSE),G56&gt;VLOOKUP($D56,'SeuilsComparaison-EMT'!$C$5:$J$27,4,FALSE)=TRUE),IF(J56&lt;=VLOOKUP($D56,'SeuilsComparaison-EMT'!$C$5:$J$27,5,FALSE),IF(ABS(M56)&lt;=VLOOKUP($D56,'SeuilsComparaison-EMT'!$C$5:$J$27,6,FALSE),"Oui","Non"),IF(ABS(M56)&lt;=VLOOKUP($D56,'SeuilsComparaison-EMT'!$C$5:$J$27,8,FALSE),"Oui","Non")),"Oui"))))</f>
        <v/>
      </c>
      <c r="P56" s="1093"/>
      <c r="Q56" s="26"/>
      <c r="R56" s="679"/>
      <c r="S56" s="680"/>
    </row>
    <row r="57" spans="2:25" ht="20.100000000000001" customHeight="1" outlineLevel="1" x14ac:dyDescent="0.4">
      <c r="B57" s="685"/>
      <c r="C57" s="687"/>
      <c r="D57" s="1085" t="s">
        <v>113</v>
      </c>
      <c r="E57" s="1085"/>
      <c r="F57" s="694">
        <f>VLOOKUP(D57, 'SeuilsComparaison-EMT'!$C$5:$E$28, 3, FALSE)</f>
        <v>0</v>
      </c>
      <c r="G57" s="1086"/>
      <c r="H57" s="1086"/>
      <c r="I57" s="699"/>
      <c r="J57" s="1086"/>
      <c r="K57" s="1086"/>
      <c r="L57" s="699"/>
      <c r="M57" s="1087" t="str">
        <f>IF(OR(J57="",G57=""),"",IF(ISERROR(VLOOKUP(D57,'SeuilsComparaison-EMT'!$C$5:$J$25,4,FALSE)),"-",IF(OR(IF(ISTEXT(J57)=TRUE,SUBSTITUTE(J57,"&lt;","",1)*1,J57)&gt;VLOOKUP(D57,'SeuilsComparaison-EMT'!$C$5:$J$25,4,FALSE),IF(ISTEXT(G57)=TRUE,SUBSTITUTE(G57,"&lt;","",1)*1,G57)&gt;VLOOKUP(D57,'SeuilsComparaison-EMT'!$C$5:$J$25,4,FALSE)=TRUE),(IF(ISTEXT(G57)=TRUE,SUBSTITUTE(G57,"&lt;","",1)*1,G57)-((IF(ISTEXT(G57)=TRUE,SUBSTITUTE(G57,"&lt;","",1)*1,G57)+IF(ISTEXT(J57)=TRUE,SUBSTITUTE(J57,"&lt;","",1)*1,J57))/2))/((IF(ISTEXT(G57)=TRUE,SUBSTITUTE(G57,"&lt;","",1)*1,G57)+IF(ISTEXT(J57)=TRUE,SUBSTITUTE(J57,"&lt;","",1),J57))/2),"-")))</f>
        <v/>
      </c>
      <c r="N57" s="1088"/>
      <c r="O57" s="1085" t="str">
        <f>IF(OR(G57="",J57=""),"",IF(AND(I57="Oui",L57="Oui"),"Oui",IF(M57="-","Oui",IF(OR(J57&gt;VLOOKUP($D57,'SeuilsComparaison-EMT'!$C$5:$J$27,4,FALSE),G57&gt;VLOOKUP($D57,'SeuilsComparaison-EMT'!$C$5:$J$27,4,FALSE)=TRUE),IF(J57&lt;=VLOOKUP($D57,'SeuilsComparaison-EMT'!$C$5:$J$27,5,FALSE),IF(ABS(M57)&lt;=VLOOKUP($D57,'SeuilsComparaison-EMT'!$C$5:$J$27,6,FALSE),"Oui","Non"),IF(ABS(M57)&lt;=VLOOKUP($D57,'SeuilsComparaison-EMT'!$C$5:$J$27,8,FALSE),"Oui","Non")),"Oui"))))</f>
        <v/>
      </c>
      <c r="P57" s="1085"/>
      <c r="Q57" s="26"/>
      <c r="R57" s="679"/>
      <c r="S57" s="680"/>
    </row>
    <row r="58" spans="2:25" ht="20.100000000000001" customHeight="1" outlineLevel="1" x14ac:dyDescent="0.4">
      <c r="B58" s="685"/>
      <c r="C58" s="687"/>
      <c r="D58" s="26"/>
      <c r="E58" s="26"/>
      <c r="F58" s="26"/>
      <c r="G58" s="26"/>
      <c r="H58" s="26"/>
      <c r="I58" s="26"/>
      <c r="J58" s="26"/>
      <c r="K58" s="26"/>
      <c r="L58" s="26"/>
      <c r="M58" s="26"/>
      <c r="N58" s="26"/>
      <c r="O58" s="26"/>
      <c r="P58" s="26"/>
      <c r="Q58" s="26"/>
      <c r="R58" s="679"/>
      <c r="S58" s="680"/>
    </row>
    <row r="59" spans="2:25" ht="20.100000000000001" customHeight="1" outlineLevel="1" x14ac:dyDescent="0.4">
      <c r="B59" s="685"/>
      <c r="C59" s="687"/>
      <c r="D59" s="1072" t="s">
        <v>505</v>
      </c>
      <c r="E59" s="1072"/>
      <c r="F59" s="1072"/>
      <c r="G59" s="1072"/>
      <c r="H59" s="1072"/>
      <c r="I59" s="1072"/>
      <c r="J59" s="1072"/>
      <c r="K59" s="1072"/>
      <c r="L59" s="1072"/>
      <c r="M59" s="1072"/>
      <c r="N59" s="1072"/>
      <c r="O59" s="1072"/>
      <c r="P59" s="1072"/>
      <c r="Q59" s="26"/>
      <c r="R59" s="679"/>
      <c r="S59" s="680"/>
    </row>
    <row r="60" spans="2:25" ht="20.100000000000001" customHeight="1" outlineLevel="1" x14ac:dyDescent="0.4">
      <c r="B60" s="685"/>
      <c r="C60" s="687"/>
      <c r="D60" s="1073"/>
      <c r="E60" s="1074"/>
      <c r="F60" s="1074"/>
      <c r="G60" s="1074"/>
      <c r="H60" s="1074"/>
      <c r="I60" s="1074"/>
      <c r="J60" s="1074"/>
      <c r="K60" s="1074"/>
      <c r="L60" s="1074"/>
      <c r="M60" s="1074"/>
      <c r="N60" s="1074"/>
      <c r="O60" s="1074"/>
      <c r="P60" s="1074"/>
      <c r="Q60" s="1075"/>
      <c r="R60" s="679"/>
      <c r="S60" s="680"/>
    </row>
    <row r="61" spans="2:25" ht="20.100000000000001" customHeight="1" outlineLevel="1" x14ac:dyDescent="0.4">
      <c r="B61" s="685"/>
      <c r="C61" s="687"/>
      <c r="D61" s="1076"/>
      <c r="E61" s="1077"/>
      <c r="F61" s="1077"/>
      <c r="G61" s="1077"/>
      <c r="H61" s="1077"/>
      <c r="I61" s="1077"/>
      <c r="J61" s="1077"/>
      <c r="K61" s="1077"/>
      <c r="L61" s="1077"/>
      <c r="M61" s="1077"/>
      <c r="N61" s="1077"/>
      <c r="O61" s="1077"/>
      <c r="P61" s="1077"/>
      <c r="Q61" s="1078"/>
      <c r="R61" s="679"/>
      <c r="S61" s="680"/>
    </row>
    <row r="62" spans="2:25" ht="20.100000000000001" customHeight="1" outlineLevel="1" x14ac:dyDescent="0.4">
      <c r="B62" s="685"/>
      <c r="C62" s="687"/>
      <c r="D62" s="1079"/>
      <c r="E62" s="1080"/>
      <c r="F62" s="1080"/>
      <c r="G62" s="1080"/>
      <c r="H62" s="1080"/>
      <c r="I62" s="1080"/>
      <c r="J62" s="1080"/>
      <c r="K62" s="1080"/>
      <c r="L62" s="1080"/>
      <c r="M62" s="1080"/>
      <c r="N62" s="1080"/>
      <c r="O62" s="1080"/>
      <c r="P62" s="1080"/>
      <c r="Q62" s="1081"/>
      <c r="R62" s="679"/>
      <c r="S62" s="680"/>
    </row>
    <row r="63" spans="2:25" ht="20.100000000000001" customHeight="1" outlineLevel="1" x14ac:dyDescent="0.4">
      <c r="B63" s="685"/>
      <c r="C63" s="687"/>
      <c r="D63" s="686"/>
      <c r="E63" s="686"/>
      <c r="F63" s="686"/>
      <c r="G63" s="686"/>
      <c r="H63" s="686"/>
      <c r="I63" s="686"/>
      <c r="J63" s="686"/>
      <c r="K63" s="686"/>
      <c r="L63" s="686"/>
      <c r="M63" s="686"/>
      <c r="N63" s="686"/>
      <c r="O63" s="686"/>
      <c r="P63" s="686"/>
      <c r="Q63" s="686"/>
      <c r="R63" s="679"/>
      <c r="S63" s="680"/>
    </row>
    <row r="64" spans="2:25" ht="20.100000000000001" customHeight="1" outlineLevel="1" x14ac:dyDescent="0.4">
      <c r="B64" s="685"/>
      <c r="C64" s="687"/>
      <c r="D64" s="1101" t="s">
        <v>588</v>
      </c>
      <c r="E64" s="1102"/>
      <c r="F64" s="1102"/>
      <c r="G64" s="1102"/>
      <c r="H64" s="1102"/>
      <c r="I64" s="1102"/>
      <c r="J64" s="1102"/>
      <c r="K64" s="1102"/>
      <c r="L64" s="1102"/>
      <c r="M64" s="1102"/>
      <c r="N64" s="1102"/>
      <c r="O64" s="1102"/>
      <c r="P64" s="1102"/>
      <c r="Q64" s="1123"/>
      <c r="R64" s="679"/>
      <c r="S64" s="680"/>
      <c r="T64" s="595"/>
      <c r="U64" s="586"/>
      <c r="V64" s="586"/>
      <c r="W64" s="595"/>
      <c r="X64" s="595"/>
      <c r="Y64" s="595"/>
    </row>
    <row r="65" spans="2:25" ht="20.100000000000001" customHeight="1" outlineLevel="1" x14ac:dyDescent="0.4">
      <c r="B65" s="685"/>
      <c r="C65" s="687"/>
      <c r="D65" s="1124" t="s">
        <v>589</v>
      </c>
      <c r="E65" s="1125"/>
      <c r="F65" s="1125"/>
      <c r="G65" s="1126" t="s">
        <v>709</v>
      </c>
      <c r="H65" s="1126"/>
      <c r="I65" s="1126"/>
      <c r="J65" s="1127"/>
      <c r="K65" s="1124" t="s">
        <v>590</v>
      </c>
      <c r="L65" s="1125"/>
      <c r="M65" s="1125"/>
      <c r="N65" s="1126"/>
      <c r="O65" s="1126"/>
      <c r="P65" s="1126"/>
      <c r="Q65" s="1127"/>
      <c r="R65" s="679"/>
      <c r="S65" s="680"/>
      <c r="T65" s="595"/>
      <c r="U65" s="586"/>
      <c r="V65" s="586"/>
      <c r="W65" s="595"/>
      <c r="X65" s="595"/>
      <c r="Y65" s="595"/>
    </row>
    <row r="66" spans="2:25" ht="20.100000000000001" customHeight="1" outlineLevel="1" x14ac:dyDescent="0.4">
      <c r="B66" s="685"/>
      <c r="C66" s="687"/>
      <c r="D66" s="1105" t="s">
        <v>639</v>
      </c>
      <c r="E66" s="1106"/>
      <c r="F66" s="1106"/>
      <c r="G66" s="1109"/>
      <c r="H66" s="1109"/>
      <c r="I66" s="1109"/>
      <c r="J66" s="1110"/>
      <c r="K66" s="1606" t="s">
        <v>591</v>
      </c>
      <c r="L66" s="1607"/>
      <c r="M66" s="1607"/>
      <c r="N66" s="1314"/>
      <c r="O66" s="1314"/>
      <c r="P66" s="1314"/>
      <c r="Q66" s="1314"/>
      <c r="R66" s="679"/>
      <c r="S66" s="680"/>
      <c r="T66" s="595"/>
      <c r="U66" s="586"/>
      <c r="V66" s="586"/>
      <c r="W66" s="595"/>
      <c r="X66" s="595"/>
      <c r="Y66" s="595"/>
    </row>
    <row r="67" spans="2:25" ht="20.100000000000001" customHeight="1" outlineLevel="1" x14ac:dyDescent="0.4">
      <c r="B67" s="685"/>
      <c r="C67" s="687"/>
      <c r="D67" s="1107"/>
      <c r="E67" s="1108"/>
      <c r="F67" s="1108"/>
      <c r="G67" s="1111"/>
      <c r="H67" s="1111"/>
      <c r="I67" s="1111"/>
      <c r="J67" s="1112"/>
      <c r="K67" s="1606" t="s">
        <v>592</v>
      </c>
      <c r="L67" s="1607"/>
      <c r="M67" s="1607"/>
      <c r="N67" s="1314"/>
      <c r="O67" s="1314"/>
      <c r="P67" s="1314"/>
      <c r="Q67" s="1314"/>
      <c r="R67" s="679"/>
      <c r="S67" s="680"/>
      <c r="T67" s="595"/>
      <c r="U67" s="586"/>
      <c r="V67" s="586"/>
      <c r="W67" s="595"/>
      <c r="X67" s="595"/>
      <c r="Y67" s="595"/>
    </row>
    <row r="68" spans="2:25" ht="20.100000000000001" customHeight="1" outlineLevel="1" x14ac:dyDescent="0.4">
      <c r="B68" s="685"/>
      <c r="C68" s="687"/>
      <c r="D68" s="26"/>
      <c r="E68" s="26"/>
      <c r="F68" s="26"/>
      <c r="G68" s="26"/>
      <c r="H68" s="26"/>
      <c r="I68" s="26"/>
      <c r="J68" s="26"/>
      <c r="K68" s="26"/>
      <c r="L68" s="26"/>
      <c r="M68" s="26"/>
      <c r="N68" s="26"/>
      <c r="O68" s="26"/>
      <c r="P68" s="26"/>
      <c r="Q68" s="26"/>
      <c r="R68" s="679"/>
      <c r="S68" s="680"/>
      <c r="T68" s="595"/>
      <c r="U68" s="586"/>
      <c r="V68" s="586"/>
      <c r="W68" s="595"/>
      <c r="X68" s="595"/>
      <c r="Y68" s="595"/>
    </row>
    <row r="69" spans="2:25" ht="20.100000000000001" customHeight="1" outlineLevel="1" x14ac:dyDescent="0.4">
      <c r="B69" s="685"/>
      <c r="C69" s="687"/>
      <c r="D69" s="1101" t="s">
        <v>593</v>
      </c>
      <c r="E69" s="1102"/>
      <c r="F69" s="1102"/>
      <c r="G69" s="1102"/>
      <c r="H69" s="1102"/>
      <c r="I69" s="1102"/>
      <c r="J69" s="1102"/>
      <c r="K69" s="1102"/>
      <c r="L69" s="1102"/>
      <c r="M69" s="1102"/>
      <c r="N69" s="1102"/>
      <c r="O69" s="1102"/>
      <c r="P69" s="1102"/>
      <c r="Q69" s="704"/>
      <c r="R69" s="679"/>
      <c r="S69" s="680"/>
      <c r="T69" s="595"/>
      <c r="U69" s="586"/>
      <c r="V69" s="586"/>
      <c r="W69" s="595"/>
      <c r="X69" s="595"/>
      <c r="Y69" s="595"/>
    </row>
    <row r="70" spans="2:25" ht="20.100000000000001" customHeight="1" outlineLevel="1" x14ac:dyDescent="0.4">
      <c r="B70" s="685"/>
      <c r="C70" s="687"/>
      <c r="D70" s="1103" t="s">
        <v>87</v>
      </c>
      <c r="E70" s="1103"/>
      <c r="F70" s="1104" t="s">
        <v>89</v>
      </c>
      <c r="G70" s="1104" t="s">
        <v>594</v>
      </c>
      <c r="H70" s="1104"/>
      <c r="I70" s="1103" t="s">
        <v>90</v>
      </c>
      <c r="J70" s="1104" t="s">
        <v>595</v>
      </c>
      <c r="K70" s="1104"/>
      <c r="L70" s="1103" t="s">
        <v>90</v>
      </c>
      <c r="M70" s="1097" t="s">
        <v>596</v>
      </c>
      <c r="N70" s="1097"/>
      <c r="O70" s="1097" t="s">
        <v>88</v>
      </c>
      <c r="P70" s="1097"/>
      <c r="Q70" s="25"/>
      <c r="R70" s="679"/>
      <c r="S70" s="680"/>
      <c r="T70" s="595"/>
      <c r="U70" s="586"/>
      <c r="V70" s="586"/>
      <c r="W70" s="595"/>
      <c r="X70" s="595"/>
      <c r="Y70" s="595"/>
    </row>
    <row r="71" spans="2:25" ht="20.100000000000001" customHeight="1" outlineLevel="1" x14ac:dyDescent="0.4">
      <c r="B71" s="685"/>
      <c r="C71" s="687"/>
      <c r="D71" s="1103"/>
      <c r="E71" s="1103"/>
      <c r="F71" s="1104"/>
      <c r="G71" s="1104"/>
      <c r="H71" s="1104"/>
      <c r="I71" s="1103"/>
      <c r="J71" s="1104"/>
      <c r="K71" s="1104"/>
      <c r="L71" s="1103"/>
      <c r="M71" s="1085">
        <f>COUNT(G73:H84)</f>
        <v>1</v>
      </c>
      <c r="N71" s="1085"/>
      <c r="O71" s="1085">
        <f>COUNTIF(O73:P84,"=oui")</f>
        <v>1</v>
      </c>
      <c r="P71" s="1085"/>
      <c r="Q71" s="26"/>
      <c r="R71" s="679"/>
      <c r="S71" s="680"/>
      <c r="T71" s="595" t="str">
        <f>IF(G65&lt;&gt;"",G65,"")</f>
        <v>A4_P103_PREL</v>
      </c>
      <c r="U71" s="586">
        <f>IF(T71&lt;&gt;"",M71,"")</f>
        <v>1</v>
      </c>
      <c r="V71" s="586">
        <f>IF(T71&lt;&gt;"",O71,"")</f>
        <v>1</v>
      </c>
      <c r="W71" s="595">
        <f>IF(M71&gt;0,O71/M71,"")</f>
        <v>1</v>
      </c>
      <c r="X71" s="595"/>
      <c r="Y71" s="595"/>
    </row>
    <row r="72" spans="2:25" ht="20.100000000000001" customHeight="1" outlineLevel="1" x14ac:dyDescent="0.4">
      <c r="B72" s="685"/>
      <c r="C72" s="687"/>
      <c r="D72" s="1103"/>
      <c r="E72" s="1103"/>
      <c r="F72" s="1104"/>
      <c r="G72" s="1104"/>
      <c r="H72" s="1104"/>
      <c r="I72" s="1103"/>
      <c r="J72" s="1104"/>
      <c r="K72" s="1104"/>
      <c r="L72" s="1103"/>
      <c r="M72" s="1097" t="s">
        <v>91</v>
      </c>
      <c r="N72" s="1097"/>
      <c r="O72" s="1097" t="s">
        <v>92</v>
      </c>
      <c r="P72" s="1097"/>
      <c r="Q72" s="26"/>
      <c r="R72" s="679"/>
      <c r="S72" s="680"/>
      <c r="T72" s="595"/>
      <c r="U72" s="586"/>
      <c r="V72" s="586"/>
      <c r="W72" s="595"/>
      <c r="X72" s="595"/>
      <c r="Y72" s="595"/>
    </row>
    <row r="73" spans="2:25" ht="20.100000000000001" customHeight="1" outlineLevel="1" x14ac:dyDescent="0.4">
      <c r="B73" s="685"/>
      <c r="C73" s="687"/>
      <c r="D73" s="1098" t="s">
        <v>93</v>
      </c>
      <c r="E73" s="1098"/>
      <c r="F73" s="696">
        <f>VLOOKUP(D73, 'SeuilsComparaison-EMT'!$C$5:$E$28, 3, FALSE)</f>
        <v>3</v>
      </c>
      <c r="G73" s="1099">
        <v>40</v>
      </c>
      <c r="H73" s="1099"/>
      <c r="I73" s="695"/>
      <c r="J73" s="1099">
        <v>45</v>
      </c>
      <c r="K73" s="1099"/>
      <c r="L73" s="695"/>
      <c r="M73" s="1608">
        <f>IF(OR(J73="",G73=""),"",IF(ISERROR(VLOOKUP(D73,'SeuilsComparaison-EMT'!$C$5:$J$25,4,FALSE)),"-",IF(OR(IF(ISTEXT(J73)=TRUE,SUBSTITUTE(J73,"&lt;","",1)*1,J73)&gt;VLOOKUP(D73,'SeuilsComparaison-EMT'!$C$5:$J$25,4,FALSE),IF(ISTEXT(G73)=TRUE,SUBSTITUTE(G73,"&lt;","",1)*1,G73)&gt;VLOOKUP(D73,'SeuilsComparaison-EMT'!$C$5:$J$25,4,FALSE)=TRUE),(IF(ISTEXT(G73)=TRUE,SUBSTITUTE(G73,"&lt;","",1)*1,G73)-((IF(ISTEXT(G73)=TRUE,SUBSTITUTE(G73,"&lt;","",1)*1,G73)+IF(ISTEXT(J73)=TRUE,SUBSTITUTE(J73,"&lt;","",1)*1,J73))/2))/((IF(ISTEXT(G73)=TRUE,SUBSTITUTE(G73,"&lt;","",1)*1,G73)+IF(ISTEXT(J73)=TRUE,SUBSTITUTE(J73,"&lt;","",1),J73))/2),"-")))</f>
        <v>-5.8823529411764705E-2</v>
      </c>
      <c r="N73" s="1608"/>
      <c r="O73" s="1089" t="str">
        <f>IF(OR(G73="",J73=""),"",IF(AND(I73="Oui",L73="Oui"),"Oui",IF(M73="-","Oui",IF(OR(J73&gt;VLOOKUP($D73,'SeuilsComparaison-EMT'!$C$5:$J$27,4,FALSE),G73&gt;VLOOKUP($D73,'SeuilsComparaison-EMT'!$C$5:$J$27,4,FALSE)=TRUE),IF(J73&lt;=VLOOKUP($D73,'SeuilsComparaison-EMT'!$C$5:$J$27,5,FALSE),IF(ABS(M73)&lt;=VLOOKUP($D73,'SeuilsComparaison-EMT'!$C$5:$J$27,6,FALSE),"Oui","Non"),IF(ABS(M73)&lt;=VLOOKUP($D73,'SeuilsComparaison-EMT'!$C$5:$J$27,8,FALSE),"Oui","Non")),"Oui"))))</f>
        <v>Oui</v>
      </c>
      <c r="P73" s="1089"/>
      <c r="Q73" s="26"/>
      <c r="R73" s="679"/>
      <c r="S73" s="680"/>
      <c r="T73" s="595"/>
      <c r="U73" s="586"/>
      <c r="V73" s="586"/>
      <c r="W73" s="595"/>
      <c r="X73" s="595"/>
      <c r="Y73" s="595"/>
    </row>
    <row r="74" spans="2:25" ht="20.100000000000001" customHeight="1" outlineLevel="1" x14ac:dyDescent="0.4">
      <c r="B74" s="685"/>
      <c r="C74" s="687"/>
      <c r="D74" s="1089" t="s">
        <v>94</v>
      </c>
      <c r="E74" s="1089"/>
      <c r="F74" s="696">
        <f>VLOOKUP(D74, 'SeuilsComparaison-EMT'!$C$5:$E$28, 3, FALSE)</f>
        <v>30</v>
      </c>
      <c r="G74" s="1090"/>
      <c r="H74" s="1090"/>
      <c r="I74" s="697"/>
      <c r="J74" s="1090"/>
      <c r="K74" s="1090"/>
      <c r="L74" s="697"/>
      <c r="M74" s="1609" t="str">
        <f>IF(OR(J74="",G74=""),"",IF(ISERROR(VLOOKUP(D74,'SeuilsComparaison-EMT'!$C$5:$J$25,4,FALSE)),"-",IF(OR(IF(ISTEXT(J74)=TRUE,SUBSTITUTE(J74,"&lt;","",1)*1,J74)&gt;VLOOKUP(D74,'SeuilsComparaison-EMT'!$C$5:$J$25,4,FALSE),IF(ISTEXT(G74)=TRUE,SUBSTITUTE(G74,"&lt;","",1)*1,G74)&gt;VLOOKUP(D74,'SeuilsComparaison-EMT'!$C$5:$J$25,4,FALSE)=TRUE),(IF(ISTEXT(G74)=TRUE,SUBSTITUTE(G74,"&lt;","",1)*1,G74)-((IF(ISTEXT(G74)=TRUE,SUBSTITUTE(G74,"&lt;","",1)*1,G74)+IF(ISTEXT(J74)=TRUE,SUBSTITUTE(J74,"&lt;","",1)*1,J74))/2))/((IF(ISTEXT(G74)=TRUE,SUBSTITUTE(G74,"&lt;","",1)*1,G74)+IF(ISTEXT(J74)=TRUE,SUBSTITUTE(J74,"&lt;","",1),J74))/2),"-")))</f>
        <v/>
      </c>
      <c r="N74" s="1610"/>
      <c r="O74" s="1089" t="str">
        <f>IF(OR(G74="",J74=""),"",IF(AND(I74="Oui",L74="Oui"),"Oui",IF(M74="-","Oui",IF(OR(J74&gt;VLOOKUP($D74,'SeuilsComparaison-EMT'!$C$5:$J$27,4,FALSE),G74&gt;VLOOKUP($D74,'SeuilsComparaison-EMT'!$C$5:$J$27,4,FALSE)=TRUE),IF(J74&lt;=VLOOKUP($D74,'SeuilsComparaison-EMT'!$C$5:$J$27,5,FALSE),IF(ABS(M74)&lt;=VLOOKUP($D74,'SeuilsComparaison-EMT'!$C$5:$J$27,6,FALSE),"Oui","Non"),IF(ABS(M74)&lt;=VLOOKUP($D74,'SeuilsComparaison-EMT'!$C$5:$J$27,8,FALSE),"Oui","Non")),"Oui"))))</f>
        <v/>
      </c>
      <c r="P74" s="1089"/>
      <c r="Q74" s="26"/>
      <c r="R74" s="679"/>
      <c r="S74" s="680"/>
      <c r="T74" s="595"/>
      <c r="U74" s="586"/>
      <c r="V74" s="586"/>
      <c r="W74" s="595"/>
      <c r="X74" s="595"/>
      <c r="Y74" s="595"/>
    </row>
    <row r="75" spans="2:25" ht="20.100000000000001" customHeight="1" outlineLevel="1" x14ac:dyDescent="0.4">
      <c r="B75" s="685"/>
      <c r="C75" s="687"/>
      <c r="D75" s="1089" t="s">
        <v>95</v>
      </c>
      <c r="E75" s="1089"/>
      <c r="F75" s="696">
        <f>VLOOKUP(D75, 'SeuilsComparaison-EMT'!$C$5:$E$28, 3, FALSE)</f>
        <v>10</v>
      </c>
      <c r="G75" s="1090"/>
      <c r="H75" s="1090"/>
      <c r="I75" s="697"/>
      <c r="J75" s="1090"/>
      <c r="K75" s="1090"/>
      <c r="L75" s="697"/>
      <c r="M75" s="1609" t="str">
        <f>IF(OR(J75="",G75=""),"",IF(ISERROR(VLOOKUP(D75,'SeuilsComparaison-EMT'!$C$5:$J$25,4,FALSE)),"-",IF(OR(IF(ISTEXT(J75)=TRUE,SUBSTITUTE(J75,"&lt;","",1)*1,J75)&gt;VLOOKUP(D75,'SeuilsComparaison-EMT'!$C$5:$J$25,4,FALSE),IF(ISTEXT(G75)=TRUE,SUBSTITUTE(G75,"&lt;","",1)*1,G75)&gt;VLOOKUP(D75,'SeuilsComparaison-EMT'!$C$5:$J$25,4,FALSE)=TRUE),(IF(ISTEXT(G75)=TRUE,SUBSTITUTE(G75,"&lt;","",1)*1,G75)-((IF(ISTEXT(G75)=TRUE,SUBSTITUTE(G75,"&lt;","",1)*1,G75)+IF(ISTEXT(J75)=TRUE,SUBSTITUTE(J75,"&lt;","",1)*1,J75))/2))/((IF(ISTEXT(G75)=TRUE,SUBSTITUTE(G75,"&lt;","",1)*1,G75)+IF(ISTEXT(J75)=TRUE,SUBSTITUTE(J75,"&lt;","",1),J75))/2),"-")))</f>
        <v/>
      </c>
      <c r="N75" s="1610"/>
      <c r="O75" s="1089" t="str">
        <f>IF(OR(G75="",J75=""),"",IF(AND(I75="Oui",L75="Oui"),"Oui",IF(M75="-","Oui",IF(OR(J75&gt;VLOOKUP($D75,'SeuilsComparaison-EMT'!$C$5:$J$27,4,FALSE),G75&gt;VLOOKUP($D75,'SeuilsComparaison-EMT'!$C$5:$J$27,4,FALSE)=TRUE),IF(J75&lt;=VLOOKUP($D75,'SeuilsComparaison-EMT'!$C$5:$J$27,5,FALSE),IF(ABS(M75)&lt;=VLOOKUP($D75,'SeuilsComparaison-EMT'!$C$5:$J$27,6,FALSE),"Oui","Non"),IF(ABS(M75)&lt;=VLOOKUP($D75,'SeuilsComparaison-EMT'!$C$5:$J$27,8,FALSE),"Oui","Non")),"Oui"))))</f>
        <v/>
      </c>
      <c r="P75" s="1089"/>
      <c r="Q75" s="26"/>
      <c r="R75" s="679"/>
      <c r="S75" s="680"/>
      <c r="T75" s="595"/>
      <c r="U75" s="586"/>
      <c r="V75" s="586"/>
      <c r="W75" s="595"/>
      <c r="X75" s="595"/>
      <c r="Y75" s="595"/>
    </row>
    <row r="76" spans="2:25" ht="20.100000000000001" customHeight="1" outlineLevel="1" x14ac:dyDescent="0.4">
      <c r="B76" s="685"/>
      <c r="C76" s="687"/>
      <c r="D76" s="1089" t="s">
        <v>97</v>
      </c>
      <c r="E76" s="1089"/>
      <c r="F76" s="696">
        <f>VLOOKUP(D76, 'SeuilsComparaison-EMT'!$C$5:$E$28, 3, FALSE)</f>
        <v>2</v>
      </c>
      <c r="G76" s="1090"/>
      <c r="H76" s="1090"/>
      <c r="I76" s="697"/>
      <c r="J76" s="1090"/>
      <c r="K76" s="1090"/>
      <c r="L76" s="697"/>
      <c r="M76" s="1609" t="str">
        <f>IF(OR(J76="",G76=""),"",IF(ISERROR(VLOOKUP(D76,'SeuilsComparaison-EMT'!$C$5:$J$25,4,FALSE)),"-",IF(OR(IF(ISTEXT(J76)=TRUE,SUBSTITUTE(J76,"&lt;","",1)*1,J76)&gt;VLOOKUP(D76,'SeuilsComparaison-EMT'!$C$5:$J$25,4,FALSE),IF(ISTEXT(G76)=TRUE,SUBSTITUTE(G76,"&lt;","",1)*1,G76)&gt;VLOOKUP(D76,'SeuilsComparaison-EMT'!$C$5:$J$25,4,FALSE)=TRUE),(IF(ISTEXT(G76)=TRUE,SUBSTITUTE(G76,"&lt;","",1)*1,G76)-((IF(ISTEXT(G76)=TRUE,SUBSTITUTE(G76,"&lt;","",1)*1,G76)+IF(ISTEXT(J76)=TRUE,SUBSTITUTE(J76,"&lt;","",1)*1,J76))/2))/((IF(ISTEXT(G76)=TRUE,SUBSTITUTE(G76,"&lt;","",1)*1,G76)+IF(ISTEXT(J76)=TRUE,SUBSTITUTE(J76,"&lt;","",1),J76))/2),"-")))</f>
        <v/>
      </c>
      <c r="N76" s="1610"/>
      <c r="O76" s="1089" t="str">
        <f>IF(OR(G76="",J76=""),"",IF(AND(I76="Oui",L76="Oui"),"Oui",IF(M76="-","Oui",IF(OR(J76&gt;VLOOKUP($D76,'SeuilsComparaison-EMT'!$C$5:$J$27,4,FALSE),G76&gt;VLOOKUP($D76,'SeuilsComparaison-EMT'!$C$5:$J$27,4,FALSE)=TRUE),IF(J76&lt;=VLOOKUP($D76,'SeuilsComparaison-EMT'!$C$5:$J$27,5,FALSE),IF(ABS(M76)&lt;=VLOOKUP($D76,'SeuilsComparaison-EMT'!$C$5:$J$27,6,FALSE),"Oui","Non"),IF(ABS(M76)&lt;=VLOOKUP($D76,'SeuilsComparaison-EMT'!$C$5:$J$27,8,FALSE),"Oui","Non")),"Oui"))))</f>
        <v/>
      </c>
      <c r="P76" s="1089"/>
      <c r="Q76" s="26"/>
      <c r="R76" s="679"/>
      <c r="S76" s="680"/>
      <c r="T76" s="595"/>
      <c r="U76" s="586"/>
      <c r="V76" s="586"/>
      <c r="W76" s="595"/>
      <c r="X76" s="595"/>
      <c r="Y76" s="595"/>
    </row>
    <row r="77" spans="2:25" ht="20.100000000000001" customHeight="1" outlineLevel="1" x14ac:dyDescent="0.4">
      <c r="B77" s="685"/>
      <c r="C77" s="687"/>
      <c r="D77" s="1089" t="s">
        <v>98</v>
      </c>
      <c r="E77" s="1089"/>
      <c r="F77" s="696">
        <f>VLOOKUP(D77, 'SeuilsComparaison-EMT'!$C$5:$E$28, 3, FALSE)</f>
        <v>0.5</v>
      </c>
      <c r="G77" s="1090"/>
      <c r="H77" s="1090"/>
      <c r="I77" s="697"/>
      <c r="J77" s="1090"/>
      <c r="K77" s="1090"/>
      <c r="L77" s="697"/>
      <c r="M77" s="1609" t="str">
        <f>IF(OR(J77="",G77=""),"",IF(ISERROR(VLOOKUP(D77,'SeuilsComparaison-EMT'!$C$5:$J$25,4,FALSE)),"-",IF(OR(IF(ISTEXT(J77)=TRUE,SUBSTITUTE(J77,"&lt;","",1)*1,J77)&gt;VLOOKUP(D77,'SeuilsComparaison-EMT'!$C$5:$J$25,4,FALSE),IF(ISTEXT(G77)=TRUE,SUBSTITUTE(G77,"&lt;","",1)*1,G77)&gt;VLOOKUP(D77,'SeuilsComparaison-EMT'!$C$5:$J$25,4,FALSE)=TRUE),(IF(ISTEXT(G77)=TRUE,SUBSTITUTE(G77,"&lt;","",1)*1,G77)-((IF(ISTEXT(G77)=TRUE,SUBSTITUTE(G77,"&lt;","",1)*1,G77)+IF(ISTEXT(J77)=TRUE,SUBSTITUTE(J77,"&lt;","",1)*1,J77))/2))/((IF(ISTEXT(G77)=TRUE,SUBSTITUTE(G77,"&lt;","",1)*1,G77)+IF(ISTEXT(J77)=TRUE,SUBSTITUTE(J77,"&lt;","",1),J77))/2),"-")))</f>
        <v/>
      </c>
      <c r="N77" s="1610"/>
      <c r="O77" s="1089" t="str">
        <f>IF(OR(G77="",J77=""),"",IF(AND(I77="Oui",L77="Oui"),"Oui",IF(M77="-","Oui",IF(OR(J77&gt;VLOOKUP($D77,'SeuilsComparaison-EMT'!$C$5:$J$27,4,FALSE),G77&gt;VLOOKUP($D77,'SeuilsComparaison-EMT'!$C$5:$J$27,4,FALSE)=TRUE),IF(J77&lt;=VLOOKUP($D77,'SeuilsComparaison-EMT'!$C$5:$J$27,5,FALSE),IF(ABS(M77)&lt;=VLOOKUP($D77,'SeuilsComparaison-EMT'!$C$5:$J$27,6,FALSE),"Oui","Non"),IF(ABS(M77)&lt;=VLOOKUP($D77,'SeuilsComparaison-EMT'!$C$5:$J$27,8,FALSE),"Oui","Non")),"Oui"))))</f>
        <v/>
      </c>
      <c r="P77" s="1089"/>
      <c r="Q77" s="26"/>
      <c r="R77" s="679"/>
      <c r="S77" s="680"/>
      <c r="T77" s="595"/>
      <c r="U77" s="586"/>
      <c r="V77" s="586"/>
      <c r="W77" s="595"/>
      <c r="X77" s="595"/>
      <c r="Y77" s="595"/>
    </row>
    <row r="78" spans="2:25" ht="20.100000000000001" customHeight="1" outlineLevel="1" x14ac:dyDescent="0.4">
      <c r="B78" s="685"/>
      <c r="C78" s="687"/>
      <c r="D78" s="1089" t="s">
        <v>102</v>
      </c>
      <c r="E78" s="1089"/>
      <c r="F78" s="696">
        <f>VLOOKUP(D78, 'SeuilsComparaison-EMT'!$C$5:$E$28, 3, FALSE)</f>
        <v>1</v>
      </c>
      <c r="G78" s="1090"/>
      <c r="H78" s="1090"/>
      <c r="I78" s="697"/>
      <c r="J78" s="1090"/>
      <c r="K78" s="1090"/>
      <c r="L78" s="697"/>
      <c r="M78" s="1609" t="str">
        <f>IF(OR(J78="",G78=""),"",IF(ISERROR(VLOOKUP(D78,'SeuilsComparaison-EMT'!$C$5:$J$25,4,FALSE)),"-",IF(OR(IF(ISTEXT(J78)=TRUE,SUBSTITUTE(J78,"&lt;","",1)*1,J78)&gt;VLOOKUP(D78,'SeuilsComparaison-EMT'!$C$5:$J$25,4,FALSE),IF(ISTEXT(G78)=TRUE,SUBSTITUTE(G78,"&lt;","",1)*1,G78)&gt;VLOOKUP(D78,'SeuilsComparaison-EMT'!$C$5:$J$25,4,FALSE)=TRUE),(IF(ISTEXT(G78)=TRUE,SUBSTITUTE(G78,"&lt;","",1)*1,G78)-((IF(ISTEXT(G78)=TRUE,SUBSTITUTE(G78,"&lt;","",1)*1,G78)+IF(ISTEXT(J78)=TRUE,SUBSTITUTE(J78,"&lt;","",1)*1,J78))/2))/((IF(ISTEXT(G78)=TRUE,SUBSTITUTE(G78,"&lt;","",1)*1,G78)+IF(ISTEXT(J78)=TRUE,SUBSTITUTE(J78,"&lt;","",1),J78))/2),"-")))</f>
        <v/>
      </c>
      <c r="N78" s="1610"/>
      <c r="O78" s="1089" t="str">
        <f>IF(OR(G78="",J78=""),"",IF(AND(I78="Oui",L78="Oui"),"Oui",IF(M78="-","Oui",IF(OR(J78&gt;VLOOKUP($D78,'SeuilsComparaison-EMT'!$C$5:$J$27,4,FALSE),G78&gt;VLOOKUP($D78,'SeuilsComparaison-EMT'!$C$5:$J$27,4,FALSE)=TRUE),IF(J78&lt;=VLOOKUP($D78,'SeuilsComparaison-EMT'!$C$5:$J$27,5,FALSE),IF(ABS(M78)&lt;=VLOOKUP($D78,'SeuilsComparaison-EMT'!$C$5:$J$27,6,FALSE),"Oui","Non"),IF(ABS(M78)&lt;=VLOOKUP($D78,'SeuilsComparaison-EMT'!$C$5:$J$27,8,FALSE),"Oui","Non")),"Oui"))))</f>
        <v/>
      </c>
      <c r="P78" s="1089"/>
      <c r="Q78" s="26"/>
      <c r="R78" s="679"/>
      <c r="S78" s="680"/>
      <c r="T78" s="595"/>
      <c r="U78" s="586"/>
      <c r="V78" s="586"/>
      <c r="W78" s="595"/>
      <c r="X78" s="595"/>
      <c r="Y78" s="595"/>
    </row>
    <row r="79" spans="2:25" ht="20.100000000000001" customHeight="1" outlineLevel="1" x14ac:dyDescent="0.4">
      <c r="B79" s="685"/>
      <c r="C79" s="687"/>
      <c r="D79" s="1089" t="s">
        <v>99</v>
      </c>
      <c r="E79" s="1089"/>
      <c r="F79" s="696">
        <f>VLOOKUP(D79, 'SeuilsComparaison-EMT'!$C$5:$E$28, 3, FALSE)</f>
        <v>0.5</v>
      </c>
      <c r="G79" s="1090"/>
      <c r="H79" s="1090"/>
      <c r="I79" s="697"/>
      <c r="J79" s="1090"/>
      <c r="K79" s="1090"/>
      <c r="L79" s="697"/>
      <c r="M79" s="1609" t="str">
        <f>IF(OR(J79="",G79=""),"",IF(ISERROR(VLOOKUP(D79,'SeuilsComparaison-EMT'!$C$5:$J$25,4,FALSE)),"-",IF(OR(IF(ISTEXT(J79)=TRUE,SUBSTITUTE(J79,"&lt;","",1)*1,J79)&gt;VLOOKUP(D79,'SeuilsComparaison-EMT'!$C$5:$J$25,4,FALSE),IF(ISTEXT(G79)=TRUE,SUBSTITUTE(G79,"&lt;","",1)*1,G79)&gt;VLOOKUP(D79,'SeuilsComparaison-EMT'!$C$5:$J$25,4,FALSE)=TRUE),(IF(ISTEXT(G79)=TRUE,SUBSTITUTE(G79,"&lt;","",1)*1,G79)-((IF(ISTEXT(G79)=TRUE,SUBSTITUTE(G79,"&lt;","",1)*1,G79)+IF(ISTEXT(J79)=TRUE,SUBSTITUTE(J79,"&lt;","",1)*1,J79))/2))/((IF(ISTEXT(G79)=TRUE,SUBSTITUTE(G79,"&lt;","",1)*1,G79)+IF(ISTEXT(J79)=TRUE,SUBSTITUTE(J79,"&lt;","",1),J79))/2),"-")))</f>
        <v/>
      </c>
      <c r="N79" s="1610"/>
      <c r="O79" s="1089" t="str">
        <f>IF(OR(G79="",J79=""),"",IF(AND(I79="Oui",L79="Oui"),"Oui",IF(M79="-","Oui",IF(OR(J79&gt;VLOOKUP($D79,'SeuilsComparaison-EMT'!$C$5:$J$27,4,FALSE),G79&gt;VLOOKUP($D79,'SeuilsComparaison-EMT'!$C$5:$J$27,4,FALSE)=TRUE),IF(J79&lt;=VLOOKUP($D79,'SeuilsComparaison-EMT'!$C$5:$J$27,5,FALSE),IF(ABS(M79)&lt;=VLOOKUP($D79,'SeuilsComparaison-EMT'!$C$5:$J$27,6,FALSE),"Oui","Non"),IF(ABS(M79)&lt;=VLOOKUP($D79,'SeuilsComparaison-EMT'!$C$5:$J$27,8,FALSE),"Oui","Non")),"Oui"))))</f>
        <v/>
      </c>
      <c r="P79" s="1089"/>
      <c r="Q79" s="26"/>
      <c r="R79" s="679"/>
      <c r="S79" s="680"/>
      <c r="T79" s="595"/>
      <c r="U79" s="586"/>
      <c r="V79" s="586"/>
      <c r="W79" s="595"/>
      <c r="X79" s="595"/>
      <c r="Y79" s="595"/>
    </row>
    <row r="80" spans="2:25" ht="20.100000000000001" customHeight="1" outlineLevel="1" x14ac:dyDescent="0.4">
      <c r="B80" s="685"/>
      <c r="C80" s="687"/>
      <c r="D80" s="1089" t="s">
        <v>100</v>
      </c>
      <c r="E80" s="1089"/>
      <c r="F80" s="696">
        <f>VLOOKUP(D80, 'SeuilsComparaison-EMT'!$C$5:$E$28, 3, FALSE)</f>
        <v>0.05</v>
      </c>
      <c r="G80" s="1090"/>
      <c r="H80" s="1090"/>
      <c r="I80" s="697"/>
      <c r="J80" s="1090"/>
      <c r="K80" s="1090"/>
      <c r="L80" s="697"/>
      <c r="M80" s="1609" t="str">
        <f>IF(OR(J80="",G80=""),"",IF(ISERROR(VLOOKUP(D80,'SeuilsComparaison-EMT'!$C$5:$J$25,4,FALSE)),"-",IF(OR(IF(ISTEXT(J80)=TRUE,SUBSTITUTE(J80,"&lt;","",1)*1,J80)&gt;VLOOKUP(D80,'SeuilsComparaison-EMT'!$C$5:$J$25,4,FALSE),IF(ISTEXT(G80)=TRUE,SUBSTITUTE(G80,"&lt;","",1)*1,G80)&gt;VLOOKUP(D80,'SeuilsComparaison-EMT'!$C$5:$J$25,4,FALSE)=TRUE),(IF(ISTEXT(G80)=TRUE,SUBSTITUTE(G80,"&lt;","",1)*1,G80)-((IF(ISTEXT(G80)=TRUE,SUBSTITUTE(G80,"&lt;","",1)*1,G80)+IF(ISTEXT(J80)=TRUE,SUBSTITUTE(J80,"&lt;","",1)*1,J80))/2))/((IF(ISTEXT(G80)=TRUE,SUBSTITUTE(G80,"&lt;","",1)*1,G80)+IF(ISTEXT(J80)=TRUE,SUBSTITUTE(J80,"&lt;","",1),J80))/2),"-")))</f>
        <v/>
      </c>
      <c r="N80" s="1610"/>
      <c r="O80" s="1089" t="str">
        <f>IF(OR(G80="",J80=""),"",IF(AND(I80="Oui",L80="Oui"),"Oui",IF(M80="-","Oui",IF(OR(J80&gt;VLOOKUP($D80,'SeuilsComparaison-EMT'!$C$5:$J$27,4,FALSE),G80&gt;VLOOKUP($D80,'SeuilsComparaison-EMT'!$C$5:$J$27,4,FALSE)=TRUE),IF(J80&lt;=VLOOKUP($D80,'SeuilsComparaison-EMT'!$C$5:$J$27,5,FALSE),IF(ABS(M80)&lt;=VLOOKUP($D80,'SeuilsComparaison-EMT'!$C$5:$J$27,6,FALSE),"Oui","Non"),IF(ABS(M80)&lt;=VLOOKUP($D80,'SeuilsComparaison-EMT'!$C$5:$J$27,8,FALSE),"Oui","Non")),"Oui"))))</f>
        <v/>
      </c>
      <c r="P80" s="1089"/>
      <c r="Q80" s="26"/>
      <c r="R80" s="679"/>
      <c r="S80" s="680"/>
      <c r="T80" s="595"/>
      <c r="U80" s="586"/>
      <c r="V80" s="586"/>
      <c r="W80" s="595"/>
      <c r="X80" s="595"/>
      <c r="Y80" s="595"/>
    </row>
    <row r="81" spans="2:25" ht="20.100000000000001" customHeight="1" outlineLevel="1" x14ac:dyDescent="0.4">
      <c r="B81" s="685"/>
      <c r="C81" s="687"/>
      <c r="D81" s="1089" t="s">
        <v>101</v>
      </c>
      <c r="E81" s="1089"/>
      <c r="F81" s="696">
        <f>VLOOKUP(D81, 'SeuilsComparaison-EMT'!$C$5:$E$28, 3, FALSE)</f>
        <v>1</v>
      </c>
      <c r="G81" s="1090"/>
      <c r="H81" s="1090"/>
      <c r="I81" s="697"/>
      <c r="J81" s="1090"/>
      <c r="K81" s="1090"/>
      <c r="L81" s="697"/>
      <c r="M81" s="1609" t="str">
        <f>IF(OR(J81="",G81=""),"",IF(ISERROR(VLOOKUP(D81,'SeuilsComparaison-EMT'!$C$5:$J$25,4,FALSE)),"-",IF(OR(IF(ISTEXT(J81)=TRUE,SUBSTITUTE(J81,"&lt;","",1)*1,J81)&gt;VLOOKUP(D81,'SeuilsComparaison-EMT'!$C$5:$J$25,4,FALSE),IF(ISTEXT(G81)=TRUE,SUBSTITUTE(G81,"&lt;","",1)*1,G81)&gt;VLOOKUP(D81,'SeuilsComparaison-EMT'!$C$5:$J$25,4,FALSE)=TRUE),(IF(ISTEXT(G81)=TRUE,SUBSTITUTE(G81,"&lt;","",1)*1,G81)-((IF(ISTEXT(G81)=TRUE,SUBSTITUTE(G81,"&lt;","",1)*1,G81)+IF(ISTEXT(J81)=TRUE,SUBSTITUTE(J81,"&lt;","",1)*1,J81))/2))/((IF(ISTEXT(G81)=TRUE,SUBSTITUTE(G81,"&lt;","",1)*1,G81)+IF(ISTEXT(J81)=TRUE,SUBSTITUTE(J81,"&lt;","",1),J81))/2),"-")))</f>
        <v/>
      </c>
      <c r="N81" s="1610"/>
      <c r="O81" s="1089" t="str">
        <f>IF(OR(G81="",J81=""),"",IF(AND(I81="Oui",L81="Oui"),"Oui",IF(M81="-","Oui",IF(OR(J81&gt;VLOOKUP($D81,'SeuilsComparaison-EMT'!$C$5:$J$27,4,FALSE),G81&gt;VLOOKUP($D81,'SeuilsComparaison-EMT'!$C$5:$J$27,4,FALSE)=TRUE),IF(J81&lt;=VLOOKUP($D81,'SeuilsComparaison-EMT'!$C$5:$J$27,5,FALSE),IF(ABS(M81)&lt;=VLOOKUP($D81,'SeuilsComparaison-EMT'!$C$5:$J$27,6,FALSE),"Oui","Non"),IF(ABS(M81)&lt;=VLOOKUP($D81,'SeuilsComparaison-EMT'!$C$5:$J$27,8,FALSE),"Oui","Non")),"Oui"))))</f>
        <v/>
      </c>
      <c r="P81" s="1089"/>
      <c r="Q81" s="26"/>
      <c r="R81" s="679"/>
      <c r="S81" s="680"/>
      <c r="T81" s="595"/>
      <c r="U81" s="586"/>
      <c r="V81" s="586"/>
      <c r="W81" s="595"/>
      <c r="X81" s="595"/>
      <c r="Y81" s="595"/>
    </row>
    <row r="82" spans="2:25" ht="20.100000000000001" customHeight="1" outlineLevel="1" x14ac:dyDescent="0.4">
      <c r="B82" s="685"/>
      <c r="C82" s="687"/>
      <c r="D82" s="1089" t="s">
        <v>103</v>
      </c>
      <c r="E82" s="1089"/>
      <c r="F82" s="696">
        <f>VLOOKUP(D82, 'SeuilsComparaison-EMT'!$C$5:$E$28, 3, FALSE)</f>
        <v>0.05</v>
      </c>
      <c r="G82" s="1090"/>
      <c r="H82" s="1090"/>
      <c r="I82" s="697"/>
      <c r="J82" s="1090"/>
      <c r="K82" s="1090"/>
      <c r="L82" s="697"/>
      <c r="M82" s="1609" t="str">
        <f>IF(OR(J82="",G82=""),"",IF(ISERROR(VLOOKUP(D82,'SeuilsComparaison-EMT'!$C$5:$J$25,4,FALSE)),"-",IF(OR(IF(ISTEXT(J82)=TRUE,SUBSTITUTE(J82,"&lt;","",1)*1,J82)&gt;VLOOKUP(D82,'SeuilsComparaison-EMT'!$C$5:$J$25,4,FALSE),IF(ISTEXT(G82)=TRUE,SUBSTITUTE(G82,"&lt;","",1)*1,G82)&gt;VLOOKUP(D82,'SeuilsComparaison-EMT'!$C$5:$J$25,4,FALSE)=TRUE),(IF(ISTEXT(G82)=TRUE,SUBSTITUTE(G82,"&lt;","",1)*1,G82)-((IF(ISTEXT(G82)=TRUE,SUBSTITUTE(G82,"&lt;","",1)*1,G82)+IF(ISTEXT(J82)=TRUE,SUBSTITUTE(J82,"&lt;","",1)*1,J82))/2))/((IF(ISTEXT(G82)=TRUE,SUBSTITUTE(G82,"&lt;","",1)*1,G82)+IF(ISTEXT(J82)=TRUE,SUBSTITUTE(J82,"&lt;","",1),J82))/2),"-")))</f>
        <v/>
      </c>
      <c r="N82" s="1610"/>
      <c r="O82" s="1089" t="str">
        <f>IF(OR(G82="",J82=""),"",IF(AND(I82="Oui",L82="Oui"),"Oui",IF(M82="-","Oui",IF(OR(J82&gt;VLOOKUP($D82,'SeuilsComparaison-EMT'!$C$5:$J$27,4,FALSE),G82&gt;VLOOKUP($D82,'SeuilsComparaison-EMT'!$C$5:$J$27,4,FALSE)=TRUE),IF(J82&lt;=VLOOKUP($D82,'SeuilsComparaison-EMT'!$C$5:$J$27,5,FALSE),IF(ABS(M82)&lt;=VLOOKUP($D82,'SeuilsComparaison-EMT'!$C$5:$J$27,6,FALSE),"Oui","Non"),IF(ABS(M82)&lt;=VLOOKUP($D82,'SeuilsComparaison-EMT'!$C$5:$J$27,8,FALSE),"Oui","Non")),"Oui"))))</f>
        <v/>
      </c>
      <c r="P82" s="1089"/>
      <c r="Q82" s="26"/>
      <c r="R82" s="679"/>
      <c r="S82" s="680"/>
      <c r="T82" s="595"/>
      <c r="U82" s="586"/>
      <c r="V82" s="586"/>
      <c r="W82" s="595"/>
      <c r="X82" s="595"/>
      <c r="Y82" s="595"/>
    </row>
    <row r="83" spans="2:25" ht="20.100000000000001" customHeight="1" outlineLevel="1" x14ac:dyDescent="0.4">
      <c r="B83" s="685"/>
      <c r="C83" s="687"/>
      <c r="D83" s="1089" t="s">
        <v>403</v>
      </c>
      <c r="E83" s="1089"/>
      <c r="F83" s="696">
        <f>VLOOKUP(D83, 'SeuilsComparaison-EMT'!$C$5:$E$28, 3, FALSE)</f>
        <v>0</v>
      </c>
      <c r="G83" s="1090"/>
      <c r="H83" s="1090"/>
      <c r="I83" s="697"/>
      <c r="J83" s="1090"/>
      <c r="K83" s="1090"/>
      <c r="L83" s="697"/>
      <c r="M83" s="1609" t="str">
        <f>IF(OR(J83="",G83=""),"",IF(ISERROR(VLOOKUP(D83,'SeuilsComparaison-EMT'!$C$5:$J$25,4,FALSE)),"-",IF(OR(IF(ISTEXT(J83)=TRUE,SUBSTITUTE(J83,"&lt;","",1)*1,J83)&gt;VLOOKUP(D83,'SeuilsComparaison-EMT'!$C$5:$J$25,4,FALSE),IF(ISTEXT(G83)=TRUE,SUBSTITUTE(G83,"&lt;","",1)*1,G83)&gt;VLOOKUP(D83,'SeuilsComparaison-EMT'!$C$5:$J$25,4,FALSE)=TRUE),(IF(ISTEXT(G83)=TRUE,SUBSTITUTE(G83,"&lt;","",1)*1,G83)-((IF(ISTEXT(G83)=TRUE,SUBSTITUTE(G83,"&lt;","",1)*1,G83)+IF(ISTEXT(J83)=TRUE,SUBSTITUTE(J83,"&lt;","",1)*1,J83))/2))/((IF(ISTEXT(G83)=TRUE,SUBSTITUTE(G83,"&lt;","",1)*1,G83)+IF(ISTEXT(J83)=TRUE,SUBSTITUTE(J83,"&lt;","",1),J83))/2),"-")))</f>
        <v/>
      </c>
      <c r="N83" s="1610"/>
      <c r="O83" s="1089" t="str">
        <f>IF(OR(G83="",J83=""),"",IF(AND(I83="Oui",L83="Oui"),"Oui",IF(M83="-","Oui",IF(OR(J83&gt;VLOOKUP($D83,'SeuilsComparaison-EMT'!$C$5:$J$27,4,FALSE),G83&gt;VLOOKUP($D83,'SeuilsComparaison-EMT'!$C$5:$J$27,4,FALSE)=TRUE),IF(J83&lt;=VLOOKUP($D83,'SeuilsComparaison-EMT'!$C$5:$J$27,5,FALSE),IF(ABS(M83)&lt;=VLOOKUP($D83,'SeuilsComparaison-EMT'!$C$5:$J$27,6,FALSE),"Oui","Non"),IF(ABS(M83)&lt;=VLOOKUP($D83,'SeuilsComparaison-EMT'!$C$5:$J$27,8,FALSE),"Oui","Non")),"Oui"))))</f>
        <v/>
      </c>
      <c r="P83" s="1089"/>
      <c r="Q83" s="26"/>
      <c r="R83" s="679"/>
      <c r="S83" s="680"/>
      <c r="T83" s="595"/>
      <c r="U83" s="586"/>
      <c r="V83" s="586"/>
      <c r="W83" s="595"/>
      <c r="X83" s="595"/>
      <c r="Y83" s="595"/>
    </row>
    <row r="84" spans="2:25" ht="20.100000000000001" customHeight="1" outlineLevel="1" x14ac:dyDescent="0.4">
      <c r="B84" s="685"/>
      <c r="C84" s="687"/>
      <c r="D84" s="1093" t="s">
        <v>404</v>
      </c>
      <c r="E84" s="1093"/>
      <c r="F84" s="672">
        <f>VLOOKUP(D84, 'SeuilsComparaison-EMT'!$C$5:$E$28, 3, FALSE)</f>
        <v>5</v>
      </c>
      <c r="G84" s="1094"/>
      <c r="H84" s="1094"/>
      <c r="I84" s="671"/>
      <c r="J84" s="1094"/>
      <c r="K84" s="1094"/>
      <c r="L84" s="671"/>
      <c r="M84" s="1611" t="str">
        <f>IF(OR(J84="",G84=""),"",IF(ISERROR(VLOOKUP(D84,'SeuilsComparaison-EMT'!$C$5:$J$25,4,FALSE)),"-",IF(OR(IF(ISTEXT(J84)=TRUE,SUBSTITUTE(J84,"&lt;","",1)*1,J84)&gt;VLOOKUP(D84,'SeuilsComparaison-EMT'!$C$5:$J$25,4,FALSE),IF(ISTEXT(G84)=TRUE,SUBSTITUTE(G84,"&lt;","",1)*1,G84)&gt;VLOOKUP(D84,'SeuilsComparaison-EMT'!$C$5:$J$25,4,FALSE)=TRUE),(IF(ISTEXT(G84)=TRUE,SUBSTITUTE(G84,"&lt;","",1)*1,G84)-((IF(ISTEXT(G84)=TRUE,SUBSTITUTE(G84,"&lt;","",1)*1,G84)+IF(ISTEXT(J84)=TRUE,SUBSTITUTE(J84,"&lt;","",1)*1,J84))/2))/((IF(ISTEXT(G84)=TRUE,SUBSTITUTE(G84,"&lt;","",1)*1,G84)+IF(ISTEXT(J84)=TRUE,SUBSTITUTE(J84,"&lt;","",1),J84))/2),"-")))</f>
        <v/>
      </c>
      <c r="N84" s="1612"/>
      <c r="O84" s="1089" t="str">
        <f>IF(OR(G84="",J84=""),"",IF(AND(I84="Oui",L84="Oui"),"Oui",IF(M84="-","Oui",IF(OR(J84&gt;VLOOKUP($D84,'SeuilsComparaison-EMT'!$C$5:$J$27,4,FALSE),G84&gt;VLOOKUP($D84,'SeuilsComparaison-EMT'!$C$5:$J$27,4,FALSE)=TRUE),IF(J84&lt;=VLOOKUP($D84,'SeuilsComparaison-EMT'!$C$5:$J$27,5,FALSE),IF(ABS(M84)&lt;=VLOOKUP($D84,'SeuilsComparaison-EMT'!$C$5:$J$27,6,FALSE),"Oui","Non"),IF(ABS(M84)&lt;=VLOOKUP($D84,'SeuilsComparaison-EMT'!$C$5:$J$27,8,FALSE),"Oui","Non")),"Oui"))))</f>
        <v/>
      </c>
      <c r="P84" s="1089"/>
      <c r="Q84" s="26"/>
      <c r="R84" s="679"/>
      <c r="S84" s="680"/>
      <c r="T84" s="595"/>
      <c r="U84" s="586"/>
      <c r="V84" s="586"/>
      <c r="W84" s="595"/>
      <c r="X84" s="595"/>
      <c r="Y84" s="595"/>
    </row>
    <row r="85" spans="2:25" ht="20.100000000000001" customHeight="1" outlineLevel="1" x14ac:dyDescent="0.4">
      <c r="B85" s="685"/>
      <c r="C85" s="687"/>
      <c r="D85" s="1085" t="s">
        <v>113</v>
      </c>
      <c r="E85" s="1085"/>
      <c r="F85" s="694">
        <f>VLOOKUP(D85, 'SeuilsComparaison-EMT'!$C$5:$E$28, 3, FALSE)</f>
        <v>0</v>
      </c>
      <c r="G85" s="1086"/>
      <c r="H85" s="1086"/>
      <c r="I85" s="699"/>
      <c r="J85" s="1086"/>
      <c r="K85" s="1086"/>
      <c r="L85" s="699"/>
      <c r="M85" s="1613" t="str">
        <f>IF(OR(J85="",G85=""),"",IF(ISERROR(VLOOKUP(D85,'SeuilsComparaison-EMT'!$C$5:$J$25,4,FALSE)),"-",IF(OR(IF(ISTEXT(J85)=TRUE,SUBSTITUTE(J85,"&lt;","",1)*1,J85)&gt;VLOOKUP(D85,'SeuilsComparaison-EMT'!$C$5:$J$25,4,FALSE),IF(ISTEXT(G85)=TRUE,SUBSTITUTE(G85,"&lt;","",1)*1,G85)&gt;VLOOKUP(D85,'SeuilsComparaison-EMT'!$C$5:$J$25,4,FALSE)=TRUE),(IF(ISTEXT(G85)=TRUE,SUBSTITUTE(G85,"&lt;","",1)*1,G85)-((IF(ISTEXT(G85)=TRUE,SUBSTITUTE(G85,"&lt;","",1)*1,G85)+IF(ISTEXT(J85)=TRUE,SUBSTITUTE(J85,"&lt;","",1)*1,J85))/2))/((IF(ISTEXT(G85)=TRUE,SUBSTITUTE(G85,"&lt;","",1)*1,G85)+IF(ISTEXT(J85)=TRUE,SUBSTITUTE(J85,"&lt;","",1),J85))/2),"-")))</f>
        <v/>
      </c>
      <c r="N85" s="1614"/>
      <c r="O85" s="1089" t="str">
        <f>IF(OR(G85="",J85=""),"",IF(AND(I85="Oui",L85="Oui"),"Oui",IF(M85="-","Oui",IF(OR(J85&gt;VLOOKUP($D85,'SeuilsComparaison-EMT'!$C$5:$J$27,4,FALSE),G85&gt;VLOOKUP($D85,'SeuilsComparaison-EMT'!$C$5:$J$27,4,FALSE)=TRUE),IF(J85&lt;=VLOOKUP($D85,'SeuilsComparaison-EMT'!$C$5:$J$27,5,FALSE),IF(ABS(M85)&lt;=VLOOKUP($D85,'SeuilsComparaison-EMT'!$C$5:$J$27,6,FALSE),"Oui","Non"),IF(ABS(M85)&lt;=VLOOKUP($D85,'SeuilsComparaison-EMT'!$C$5:$J$27,8,FALSE),"Oui","Non")),"Oui"))))</f>
        <v/>
      </c>
      <c r="P85" s="1089"/>
      <c r="Q85" s="26"/>
      <c r="R85" s="679"/>
      <c r="S85" s="680"/>
      <c r="T85" s="595"/>
      <c r="U85" s="586"/>
      <c r="V85" s="586"/>
      <c r="W85" s="595"/>
      <c r="X85" s="595"/>
      <c r="Y85" s="595"/>
    </row>
    <row r="86" spans="2:25" ht="20.100000000000001" customHeight="1" outlineLevel="1" x14ac:dyDescent="0.4">
      <c r="B86" s="685"/>
      <c r="C86" s="687"/>
      <c r="D86" s="26"/>
      <c r="E86" s="26"/>
      <c r="F86" s="26"/>
      <c r="G86" s="26"/>
      <c r="H86" s="26"/>
      <c r="I86" s="26"/>
      <c r="J86" s="26"/>
      <c r="K86" s="26"/>
      <c r="L86" s="26"/>
      <c r="M86" s="26"/>
      <c r="N86" s="26"/>
      <c r="O86" s="26"/>
      <c r="P86" s="26"/>
      <c r="Q86" s="26"/>
      <c r="R86" s="679"/>
      <c r="S86" s="680"/>
      <c r="T86" s="595"/>
      <c r="U86" s="586"/>
      <c r="V86" s="586"/>
      <c r="W86" s="595"/>
      <c r="X86" s="595"/>
      <c r="Y86" s="595"/>
    </row>
    <row r="87" spans="2:25" ht="20.100000000000001" customHeight="1" outlineLevel="1" x14ac:dyDescent="0.4">
      <c r="B87" s="685"/>
      <c r="C87" s="687"/>
      <c r="D87" s="1072" t="s">
        <v>505</v>
      </c>
      <c r="E87" s="1072"/>
      <c r="F87" s="1072"/>
      <c r="G87" s="1072"/>
      <c r="H87" s="1072"/>
      <c r="I87" s="1072"/>
      <c r="J87" s="1072"/>
      <c r="K87" s="1072"/>
      <c r="L87" s="1072"/>
      <c r="M87" s="1072"/>
      <c r="N87" s="1072"/>
      <c r="O87" s="1072"/>
      <c r="P87" s="1072"/>
      <c r="Q87" s="26"/>
      <c r="R87" s="679"/>
      <c r="S87" s="680"/>
      <c r="T87" s="595"/>
      <c r="U87" s="586"/>
      <c r="V87" s="586"/>
      <c r="W87" s="595"/>
      <c r="X87" s="595"/>
      <c r="Y87" s="595"/>
    </row>
    <row r="88" spans="2:25" ht="20.100000000000001" customHeight="1" outlineLevel="1" x14ac:dyDescent="0.4">
      <c r="B88" s="685"/>
      <c r="C88" s="687"/>
      <c r="D88" s="1073"/>
      <c r="E88" s="1074"/>
      <c r="F88" s="1074"/>
      <c r="G88" s="1074"/>
      <c r="H88" s="1074"/>
      <c r="I88" s="1074"/>
      <c r="J88" s="1074"/>
      <c r="K88" s="1074"/>
      <c r="L88" s="1074"/>
      <c r="M88" s="1074"/>
      <c r="N88" s="1074"/>
      <c r="O88" s="1074"/>
      <c r="P88" s="1074"/>
      <c r="Q88" s="1075"/>
      <c r="R88" s="679"/>
      <c r="S88" s="680"/>
      <c r="T88" s="595"/>
      <c r="U88" s="586"/>
      <c r="V88" s="586"/>
      <c r="W88" s="595"/>
      <c r="X88" s="595"/>
      <c r="Y88" s="595"/>
    </row>
    <row r="89" spans="2:25" ht="20.100000000000001" customHeight="1" outlineLevel="1" x14ac:dyDescent="0.4">
      <c r="B89" s="685"/>
      <c r="C89" s="687"/>
      <c r="D89" s="1076"/>
      <c r="E89" s="1077"/>
      <c r="F89" s="1077"/>
      <c r="G89" s="1077"/>
      <c r="H89" s="1077"/>
      <c r="I89" s="1077"/>
      <c r="J89" s="1077"/>
      <c r="K89" s="1077"/>
      <c r="L89" s="1077"/>
      <c r="M89" s="1077"/>
      <c r="N89" s="1077"/>
      <c r="O89" s="1077"/>
      <c r="P89" s="1077"/>
      <c r="Q89" s="1078"/>
      <c r="R89" s="679"/>
      <c r="S89" s="680"/>
      <c r="T89" s="595"/>
      <c r="U89" s="586"/>
      <c r="V89" s="586"/>
      <c r="W89" s="595"/>
      <c r="X89" s="595"/>
      <c r="Y89" s="595"/>
    </row>
    <row r="90" spans="2:25" ht="20.100000000000001" customHeight="1" outlineLevel="1" x14ac:dyDescent="0.4">
      <c r="B90" s="685"/>
      <c r="C90" s="687"/>
      <c r="D90" s="1079"/>
      <c r="E90" s="1080"/>
      <c r="F90" s="1080"/>
      <c r="G90" s="1080"/>
      <c r="H90" s="1080"/>
      <c r="I90" s="1080"/>
      <c r="J90" s="1080"/>
      <c r="K90" s="1080"/>
      <c r="L90" s="1080"/>
      <c r="M90" s="1080"/>
      <c r="N90" s="1080"/>
      <c r="O90" s="1080"/>
      <c r="P90" s="1080"/>
      <c r="Q90" s="1081"/>
      <c r="R90" s="679"/>
      <c r="S90" s="680"/>
      <c r="T90" s="595"/>
      <c r="U90" s="586"/>
      <c r="V90" s="586"/>
      <c r="W90" s="595"/>
      <c r="X90" s="595"/>
      <c r="Y90" s="595"/>
    </row>
    <row r="91" spans="2:25" ht="20.100000000000001" customHeight="1" outlineLevel="1" x14ac:dyDescent="0.4">
      <c r="B91" s="685"/>
      <c r="C91" s="687"/>
      <c r="D91" s="686"/>
      <c r="E91" s="686"/>
      <c r="F91" s="686"/>
      <c r="G91" s="686"/>
      <c r="H91" s="686"/>
      <c r="I91" s="686"/>
      <c r="J91" s="686"/>
      <c r="K91" s="686"/>
      <c r="L91" s="686"/>
      <c r="M91" s="686"/>
      <c r="N91" s="686"/>
      <c r="O91" s="686"/>
      <c r="P91" s="686"/>
      <c r="Q91" s="686"/>
      <c r="R91" s="679"/>
      <c r="S91" s="680"/>
      <c r="T91" s="595"/>
      <c r="U91" s="586"/>
      <c r="V91" s="586"/>
      <c r="W91" s="595"/>
      <c r="X91" s="595"/>
      <c r="Y91" s="595"/>
    </row>
    <row r="92" spans="2:25" ht="20.100000000000001" customHeight="1" outlineLevel="1" x14ac:dyDescent="0.4">
      <c r="B92" s="685"/>
      <c r="C92" s="687"/>
      <c r="D92" s="686"/>
      <c r="E92" s="686"/>
      <c r="F92" s="686"/>
      <c r="G92" s="686"/>
      <c r="H92" s="686"/>
      <c r="I92" s="686"/>
      <c r="J92" s="686"/>
      <c r="K92" s="686"/>
      <c r="L92" s="686"/>
      <c r="M92" s="686"/>
      <c r="N92" s="686"/>
      <c r="O92" s="686"/>
      <c r="P92" s="686"/>
      <c r="Q92" s="686"/>
      <c r="R92" s="679"/>
      <c r="S92" s="680"/>
    </row>
    <row r="93" spans="2:25" ht="20.100000000000001" customHeight="1" outlineLevel="1" x14ac:dyDescent="0.4">
      <c r="B93" s="685"/>
      <c r="C93" s="687"/>
      <c r="D93" s="686"/>
      <c r="E93" s="686"/>
      <c r="F93" s="686"/>
      <c r="G93" s="686"/>
      <c r="H93" s="686"/>
      <c r="I93" s="686"/>
      <c r="J93" s="1082" t="s">
        <v>405</v>
      </c>
      <c r="K93" s="1083"/>
      <c r="L93" s="1084"/>
      <c r="M93" s="686"/>
      <c r="N93" s="686"/>
      <c r="O93" s="686"/>
      <c r="P93" s="686"/>
      <c r="Q93" s="686"/>
      <c r="R93" s="679"/>
      <c r="S93" s="680"/>
    </row>
    <row r="94" spans="2:25" ht="20.100000000000001" customHeight="1" outlineLevel="1" thickBot="1" x14ac:dyDescent="0.45">
      <c r="B94" s="685"/>
      <c r="C94" s="689"/>
      <c r="D94" s="690"/>
      <c r="E94" s="690"/>
      <c r="F94" s="690"/>
      <c r="G94" s="690"/>
      <c r="H94" s="690"/>
      <c r="I94" s="690"/>
      <c r="J94" s="690"/>
      <c r="K94" s="690"/>
      <c r="L94" s="690"/>
      <c r="M94" s="690"/>
      <c r="N94" s="690"/>
      <c r="O94" s="690"/>
      <c r="P94" s="690"/>
      <c r="Q94" s="690"/>
      <c r="R94" s="681"/>
      <c r="S94" s="680"/>
    </row>
    <row r="95" spans="2:25" ht="20.100000000000001" customHeight="1" thickTop="1" x14ac:dyDescent="0.4">
      <c r="B95" s="676"/>
      <c r="C95" s="677"/>
      <c r="D95" s="677"/>
      <c r="E95" s="677"/>
      <c r="F95" s="677"/>
      <c r="G95" s="677"/>
      <c r="H95" s="677"/>
      <c r="I95" s="677"/>
      <c r="J95" s="677"/>
      <c r="K95" s="677"/>
      <c r="L95" s="677"/>
      <c r="M95" s="677"/>
      <c r="N95" s="677"/>
      <c r="O95" s="677"/>
      <c r="P95" s="677"/>
      <c r="Q95" s="677"/>
      <c r="R95" s="677"/>
      <c r="S95" s="678"/>
    </row>
  </sheetData>
  <mergeCells count="240">
    <mergeCell ref="D85:E85"/>
    <mergeCell ref="G85:H85"/>
    <mergeCell ref="J85:K85"/>
    <mergeCell ref="M85:N85"/>
    <mergeCell ref="O85:P85"/>
    <mergeCell ref="D87:P87"/>
    <mergeCell ref="D88:Q90"/>
    <mergeCell ref="K27:P27"/>
    <mergeCell ref="D83:E83"/>
    <mergeCell ref="G83:H83"/>
    <mergeCell ref="J83:K83"/>
    <mergeCell ref="M83:N83"/>
    <mergeCell ref="O83:P83"/>
    <mergeCell ref="D84:E84"/>
    <mergeCell ref="G84:H84"/>
    <mergeCell ref="J84:K84"/>
    <mergeCell ref="M84:N84"/>
    <mergeCell ref="O84:P84"/>
    <mergeCell ref="D81:E81"/>
    <mergeCell ref="G81:H81"/>
    <mergeCell ref="J81:K81"/>
    <mergeCell ref="M81:N81"/>
    <mergeCell ref="O81:P81"/>
    <mergeCell ref="D82:E82"/>
    <mergeCell ref="G82:H82"/>
    <mergeCell ref="J82:K82"/>
    <mergeCell ref="M82:N82"/>
    <mergeCell ref="O82:P82"/>
    <mergeCell ref="D79:E79"/>
    <mergeCell ref="G79:H79"/>
    <mergeCell ref="J79:K79"/>
    <mergeCell ref="M79:N79"/>
    <mergeCell ref="O79:P79"/>
    <mergeCell ref="D80:E80"/>
    <mergeCell ref="G80:H80"/>
    <mergeCell ref="J80:K80"/>
    <mergeCell ref="M80:N80"/>
    <mergeCell ref="O80:P80"/>
    <mergeCell ref="D77:E77"/>
    <mergeCell ref="G77:H77"/>
    <mergeCell ref="J77:K77"/>
    <mergeCell ref="M77:N77"/>
    <mergeCell ref="O77:P77"/>
    <mergeCell ref="D78:E78"/>
    <mergeCell ref="G78:H78"/>
    <mergeCell ref="J78:K78"/>
    <mergeCell ref="M78:N78"/>
    <mergeCell ref="O78:P78"/>
    <mergeCell ref="D75:E75"/>
    <mergeCell ref="G75:H75"/>
    <mergeCell ref="J75:K75"/>
    <mergeCell ref="M75:N75"/>
    <mergeCell ref="O75:P75"/>
    <mergeCell ref="D76:E76"/>
    <mergeCell ref="G76:H76"/>
    <mergeCell ref="J76:K76"/>
    <mergeCell ref="M76:N76"/>
    <mergeCell ref="O76:P76"/>
    <mergeCell ref="D73:E73"/>
    <mergeCell ref="G73:H73"/>
    <mergeCell ref="J73:K73"/>
    <mergeCell ref="M73:N73"/>
    <mergeCell ref="O73:P73"/>
    <mergeCell ref="D74:E74"/>
    <mergeCell ref="G74:H74"/>
    <mergeCell ref="J74:K74"/>
    <mergeCell ref="M74:N74"/>
    <mergeCell ref="O74:P74"/>
    <mergeCell ref="K66:M66"/>
    <mergeCell ref="N66:Q66"/>
    <mergeCell ref="K67:M67"/>
    <mergeCell ref="N67:Q67"/>
    <mergeCell ref="D69:P69"/>
    <mergeCell ref="D70:E72"/>
    <mergeCell ref="F70:F72"/>
    <mergeCell ref="G70:H72"/>
    <mergeCell ref="I70:I72"/>
    <mergeCell ref="J70:K72"/>
    <mergeCell ref="L70:L72"/>
    <mergeCell ref="M70:N70"/>
    <mergeCell ref="O70:P70"/>
    <mergeCell ref="M71:N71"/>
    <mergeCell ref="O71:P71"/>
    <mergeCell ref="M72:N72"/>
    <mergeCell ref="O72:P72"/>
    <mergeCell ref="D50:E50"/>
    <mergeCell ref="G50:H50"/>
    <mergeCell ref="J50:K50"/>
    <mergeCell ref="O50:P50"/>
    <mergeCell ref="M50:N50"/>
    <mergeCell ref="C5:F5"/>
    <mergeCell ref="G5:J5"/>
    <mergeCell ref="K5:N5"/>
    <mergeCell ref="O5:R5"/>
    <mergeCell ref="C6:F6"/>
    <mergeCell ref="G6:J6"/>
    <mergeCell ref="K6:N6"/>
    <mergeCell ref="O6:R6"/>
    <mergeCell ref="D12:K12"/>
    <mergeCell ref="L12:M12"/>
    <mergeCell ref="O12:Q12"/>
    <mergeCell ref="D13:K13"/>
    <mergeCell ref="L13:M13"/>
    <mergeCell ref="O13:Q13"/>
    <mergeCell ref="C8:R8"/>
    <mergeCell ref="D10:M10"/>
    <mergeCell ref="O10:Q10"/>
    <mergeCell ref="D11:K11"/>
    <mergeCell ref="L11:M11"/>
    <mergeCell ref="C2:R2"/>
    <mergeCell ref="C3:F3"/>
    <mergeCell ref="G3:J3"/>
    <mergeCell ref="K3:N3"/>
    <mergeCell ref="O3:R3"/>
    <mergeCell ref="C4:F4"/>
    <mergeCell ref="G4:J4"/>
    <mergeCell ref="K4:N4"/>
    <mergeCell ref="O4:R4"/>
    <mergeCell ref="O11:Q11"/>
    <mergeCell ref="D25:I26"/>
    <mergeCell ref="J25:J26"/>
    <mergeCell ref="K25:N25"/>
    <mergeCell ref="P25:P26"/>
    <mergeCell ref="Q25:Q26"/>
    <mergeCell ref="K26:N26"/>
    <mergeCell ref="D14:K14"/>
    <mergeCell ref="L14:M14"/>
    <mergeCell ref="O14:Q14"/>
    <mergeCell ref="O15:P15"/>
    <mergeCell ref="C18:R18"/>
    <mergeCell ref="D20:Q20"/>
    <mergeCell ref="D21:J21"/>
    <mergeCell ref="D22:J22"/>
    <mergeCell ref="K21:Q21"/>
    <mergeCell ref="K22:Q22"/>
    <mergeCell ref="D23:I23"/>
    <mergeCell ref="D24:I24"/>
    <mergeCell ref="K23:Q23"/>
    <mergeCell ref="K24:Q24"/>
    <mergeCell ref="D38:F39"/>
    <mergeCell ref="G38:J39"/>
    <mergeCell ref="K38:M38"/>
    <mergeCell ref="N38:Q38"/>
    <mergeCell ref="K39:M39"/>
    <mergeCell ref="N39:Q39"/>
    <mergeCell ref="D28:I28"/>
    <mergeCell ref="D31:Q31"/>
    <mergeCell ref="C34:L34"/>
    <mergeCell ref="M34:R34"/>
    <mergeCell ref="D36:Q36"/>
    <mergeCell ref="D37:F37"/>
    <mergeCell ref="G37:J37"/>
    <mergeCell ref="K37:M37"/>
    <mergeCell ref="N37:Q37"/>
    <mergeCell ref="D29:I29"/>
    <mergeCell ref="J28:K28"/>
    <mergeCell ref="J29:K29"/>
    <mergeCell ref="O43:P43"/>
    <mergeCell ref="M44:N44"/>
    <mergeCell ref="O44:P44"/>
    <mergeCell ref="D45:E45"/>
    <mergeCell ref="G45:H45"/>
    <mergeCell ref="J45:K45"/>
    <mergeCell ref="M45:N45"/>
    <mergeCell ref="O45:P45"/>
    <mergeCell ref="D41:P41"/>
    <mergeCell ref="D42:E44"/>
    <mergeCell ref="F42:F44"/>
    <mergeCell ref="G42:H44"/>
    <mergeCell ref="I42:I44"/>
    <mergeCell ref="J42:K44"/>
    <mergeCell ref="L42:L44"/>
    <mergeCell ref="M42:N42"/>
    <mergeCell ref="O42:P42"/>
    <mergeCell ref="M43:N43"/>
    <mergeCell ref="D46:E46"/>
    <mergeCell ref="G46:H46"/>
    <mergeCell ref="J46:K46"/>
    <mergeCell ref="M46:N46"/>
    <mergeCell ref="O46:P46"/>
    <mergeCell ref="D47:E47"/>
    <mergeCell ref="G47:H47"/>
    <mergeCell ref="J47:K47"/>
    <mergeCell ref="M47:N47"/>
    <mergeCell ref="O47:P47"/>
    <mergeCell ref="D48:E48"/>
    <mergeCell ref="G48:H48"/>
    <mergeCell ref="J48:K48"/>
    <mergeCell ref="M48:N48"/>
    <mergeCell ref="O48:P48"/>
    <mergeCell ref="D49:E49"/>
    <mergeCell ref="G49:H49"/>
    <mergeCell ref="J49:K49"/>
    <mergeCell ref="M49:N49"/>
    <mergeCell ref="O49:P49"/>
    <mergeCell ref="D51:E51"/>
    <mergeCell ref="G51:H51"/>
    <mergeCell ref="J51:K51"/>
    <mergeCell ref="M51:N51"/>
    <mergeCell ref="O51:P51"/>
    <mergeCell ref="D52:E52"/>
    <mergeCell ref="G52:H52"/>
    <mergeCell ref="J52:K52"/>
    <mergeCell ref="M52:N52"/>
    <mergeCell ref="O52:P52"/>
    <mergeCell ref="D53:E53"/>
    <mergeCell ref="G53:H53"/>
    <mergeCell ref="J53:K53"/>
    <mergeCell ref="M53:N53"/>
    <mergeCell ref="O53:P53"/>
    <mergeCell ref="D54:E54"/>
    <mergeCell ref="G54:H54"/>
    <mergeCell ref="J54:K54"/>
    <mergeCell ref="M54:N54"/>
    <mergeCell ref="O54:P54"/>
    <mergeCell ref="D64:Q64"/>
    <mergeCell ref="D59:P59"/>
    <mergeCell ref="D60:Q62"/>
    <mergeCell ref="J93:L93"/>
    <mergeCell ref="D57:E57"/>
    <mergeCell ref="G57:H57"/>
    <mergeCell ref="J57:K57"/>
    <mergeCell ref="M57:N57"/>
    <mergeCell ref="O57:P57"/>
    <mergeCell ref="D55:E55"/>
    <mergeCell ref="G55:H55"/>
    <mergeCell ref="J55:K55"/>
    <mergeCell ref="M55:N55"/>
    <mergeCell ref="O55:P55"/>
    <mergeCell ref="D56:E56"/>
    <mergeCell ref="G56:H56"/>
    <mergeCell ref="J56:K56"/>
    <mergeCell ref="M56:N56"/>
    <mergeCell ref="O56:P56"/>
    <mergeCell ref="D65:F65"/>
    <mergeCell ref="G65:J65"/>
    <mergeCell ref="K65:M65"/>
    <mergeCell ref="N65:Q65"/>
    <mergeCell ref="D66:F67"/>
    <mergeCell ref="G66:J67"/>
  </mergeCells>
  <conditionalFormatting sqref="K38:M38">
    <cfRule type="expression" dxfId="888" priority="28">
      <formula>$G38="Oui"</formula>
    </cfRule>
  </conditionalFormatting>
  <conditionalFormatting sqref="K39:M39">
    <cfRule type="expression" dxfId="887" priority="26">
      <formula>$G38="Oui"</formula>
    </cfRule>
  </conditionalFormatting>
  <conditionalFormatting sqref="N38:Q38">
    <cfRule type="expression" dxfId="886" priority="27">
      <formula>$G38="Oui"</formula>
    </cfRule>
  </conditionalFormatting>
  <conditionalFormatting sqref="N39:Q39">
    <cfRule type="expression" dxfId="885" priority="25">
      <formula>$G38="Oui"</formula>
    </cfRule>
  </conditionalFormatting>
  <conditionalFormatting sqref="J29:K29">
    <cfRule type="containsText" dxfId="884" priority="17" operator="containsText" text="contrôlé">
      <formula>NOT(ISERROR(SEARCH("contrôlé",J29)))</formula>
    </cfRule>
    <cfRule type="containsText" dxfId="883" priority="18" operator="containsText" text="Réserve">
      <formula>NOT(ISERROR(SEARCH("Réserve",J29)))</formula>
    </cfRule>
    <cfRule type="containsText" dxfId="882" priority="19" operator="containsText" text="Non validé">
      <formula>NOT(ISERROR(SEARCH("Non validé",J29)))</formula>
    </cfRule>
    <cfRule type="containsText" dxfId="881" priority="20" operator="containsText" text="Validé">
      <formula>NOT(ISERROR(SEARCH("Validé",J29)))</formula>
    </cfRule>
  </conditionalFormatting>
  <conditionalFormatting sqref="K66:M66">
    <cfRule type="expression" dxfId="880" priority="8">
      <formula>$D66="Oui"</formula>
    </cfRule>
  </conditionalFormatting>
  <conditionalFormatting sqref="K67:M67">
    <cfRule type="expression" dxfId="879" priority="6">
      <formula>$D66="Oui"</formula>
    </cfRule>
  </conditionalFormatting>
  <conditionalFormatting sqref="N66:Q66">
    <cfRule type="expression" dxfId="878" priority="7">
      <formula>$D66="Oui"</formula>
    </cfRule>
  </conditionalFormatting>
  <conditionalFormatting sqref="N67:Q67">
    <cfRule type="expression" dxfId="877" priority="5">
      <formula>$D66="Oui"</formula>
    </cfRule>
  </conditionalFormatting>
  <conditionalFormatting sqref="Q27">
    <cfRule type="containsText" dxfId="876" priority="1" operator="containsText" text="contrôlé">
      <formula>NOT(ISERROR(SEARCH("contrôlé",Q27)))</formula>
    </cfRule>
    <cfRule type="containsText" dxfId="875" priority="2" operator="containsText" text="Réserve">
      <formula>NOT(ISERROR(SEARCH("Réserve",Q27)))</formula>
    </cfRule>
    <cfRule type="containsText" dxfId="874" priority="3" operator="containsText" text="Non validé">
      <formula>NOT(ISERROR(SEARCH("Non validé",Q27)))</formula>
    </cfRule>
    <cfRule type="containsText" dxfId="873" priority="4" operator="containsText" text="Validé">
      <formula>NOT(ISERROR(SEARCH("Validé",Q27)))</formula>
    </cfRule>
  </conditionalFormatting>
  <dataValidations count="5">
    <dataValidation type="list" allowBlank="1" showInputMessage="1" sqref="G37:J37" xr:uid="{185233BC-AA33-4EEB-96B8-B282C7073893}">
      <formula1>listePreleveurs</formula1>
    </dataValidation>
    <dataValidation type="list" allowBlank="1" showInputMessage="1" showErrorMessage="1" sqref="G38:J39 J23:J26 G66" xr:uid="{D9571EBC-6FF8-4CB6-B6B8-5654E9E0B57B}">
      <formula1>LISTE_1</formula1>
    </dataValidation>
    <dataValidation type="list" allowBlank="1" showInputMessage="1" showErrorMessage="1" sqref="L11:M14 J29:K29 Q27" xr:uid="{AE1A0281-9A06-4491-9880-DD30890626C9}">
      <formula1>LISTE_3</formula1>
    </dataValidation>
    <dataValidation type="list" allowBlank="1" showInputMessage="1" showErrorMessage="1" sqref="O45:P57 L45:L57 I45:I57 L73:L85 I73:I85 O73:P85" xr:uid="{6B1CE0E0-F0EA-479B-91B1-FBE1DCD7BCA9}">
      <formula1>"Oui,Non"</formula1>
    </dataValidation>
    <dataValidation type="list" allowBlank="1" showInputMessage="1" showErrorMessage="1" sqref="G65" xr:uid="{354B4EB4-97E2-442C-A38C-53600FECF376}">
      <formula1>listePreleveurs</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0"/>
  <sheetViews>
    <sheetView topLeftCell="B7" zoomScale="85" zoomScaleNormal="85" workbookViewId="0">
      <selection activeCell="D29" sqref="D29:Q29"/>
    </sheetView>
  </sheetViews>
  <sheetFormatPr baseColWidth="10" defaultColWidth="10.87890625" defaultRowHeight="12.7" x14ac:dyDescent="0.4"/>
  <cols>
    <col min="1" max="1" width="1.41015625" style="368" customWidth="1"/>
    <col min="2" max="2" width="2" style="368" customWidth="1"/>
    <col min="3" max="3" width="5.5859375" style="368" customWidth="1"/>
    <col min="4" max="4" width="14.29296875" style="369" customWidth="1"/>
    <col min="5" max="7" width="14.29296875" style="368" customWidth="1"/>
    <col min="8" max="8" width="14.29296875" style="369" customWidth="1"/>
    <col min="9" max="11" width="14.29296875" style="368" customWidth="1"/>
    <col min="12" max="18" width="14.29296875" style="610" customWidth="1"/>
    <col min="19" max="19" width="2.1171875" style="368" customWidth="1"/>
    <col min="20" max="20" width="10.87890625" style="368"/>
    <col min="21" max="29" width="10.87890625" style="675"/>
    <col min="30" max="16384" width="10.87890625" style="368"/>
  </cols>
  <sheetData>
    <row r="1" spans="1:21" ht="9.75" customHeight="1" thickBot="1" x14ac:dyDescent="0.45">
      <c r="A1" s="594"/>
      <c r="B1" s="682"/>
      <c r="C1" s="683"/>
      <c r="D1" s="683"/>
      <c r="E1" s="683"/>
      <c r="F1" s="683"/>
      <c r="G1" s="683"/>
      <c r="H1" s="683"/>
      <c r="I1" s="683"/>
      <c r="J1" s="683"/>
      <c r="K1" s="683"/>
      <c r="L1" s="683"/>
      <c r="M1" s="683"/>
      <c r="N1" s="683"/>
      <c r="O1" s="683"/>
      <c r="P1" s="683"/>
      <c r="Q1" s="683"/>
      <c r="R1" s="683"/>
      <c r="S1" s="684"/>
      <c r="T1" s="594"/>
      <c r="U1" s="594"/>
    </row>
    <row r="2" spans="1:21" ht="38.1" customHeight="1" thickTop="1" x14ac:dyDescent="0.4">
      <c r="A2" s="594"/>
      <c r="B2" s="685"/>
      <c r="C2" s="1157" t="s">
        <v>539</v>
      </c>
      <c r="D2" s="977"/>
      <c r="E2" s="977"/>
      <c r="F2" s="977"/>
      <c r="G2" s="977"/>
      <c r="H2" s="977"/>
      <c r="I2" s="977"/>
      <c r="J2" s="977"/>
      <c r="K2" s="977"/>
      <c r="L2" s="977"/>
      <c r="M2" s="977"/>
      <c r="N2" s="977"/>
      <c r="O2" s="977"/>
      <c r="P2" s="977"/>
      <c r="Q2" s="977"/>
      <c r="R2" s="978"/>
      <c r="S2" s="680"/>
      <c r="T2" s="594"/>
      <c r="U2" s="594"/>
    </row>
    <row r="3" spans="1:21" ht="18.95" customHeight="1" x14ac:dyDescent="0.4">
      <c r="A3" s="594"/>
      <c r="B3" s="685"/>
      <c r="C3" s="1158" t="s">
        <v>488</v>
      </c>
      <c r="D3" s="1159"/>
      <c r="E3" s="1159"/>
      <c r="F3" s="1160"/>
      <c r="G3" s="1161" t="str">
        <f>IF(ISBLANK(Descriptif!G3),"",Descriptif!G3)</f>
        <v>BARJAC (30)</v>
      </c>
      <c r="H3" s="1162"/>
      <c r="I3" s="1162"/>
      <c r="J3" s="1163"/>
      <c r="K3" s="1164" t="s">
        <v>493</v>
      </c>
      <c r="L3" s="1165"/>
      <c r="M3" s="1165"/>
      <c r="N3" s="1166"/>
      <c r="O3" s="1069" t="str">
        <f>IF(ISBLANK(Descriptif!N6),"",Descriptif!N6)</f>
        <v>Régie</v>
      </c>
      <c r="P3" s="1070"/>
      <c r="Q3" s="1070"/>
      <c r="R3" s="1167"/>
      <c r="S3" s="680"/>
      <c r="T3" s="594"/>
      <c r="U3" s="594"/>
    </row>
    <row r="4" spans="1:21" ht="18.95" customHeight="1" x14ac:dyDescent="0.4">
      <c r="A4" s="594"/>
      <c r="B4" s="685"/>
      <c r="C4" s="1158" t="s">
        <v>489</v>
      </c>
      <c r="D4" s="1159"/>
      <c r="E4" s="1159"/>
      <c r="F4" s="1160"/>
      <c r="G4" s="1161" t="str">
        <f>IF(ISBLANK(Descriptif!G4),"",Descriptif!G4)</f>
        <v/>
      </c>
      <c r="H4" s="1162"/>
      <c r="I4" s="1162"/>
      <c r="J4" s="1163"/>
      <c r="K4" s="1164" t="s">
        <v>496</v>
      </c>
      <c r="L4" s="1165"/>
      <c r="M4" s="1165"/>
      <c r="N4" s="1166"/>
      <c r="O4" s="1069" t="str">
        <f>IF(ISBLANK(Descriptif!T5),"",Descriptif!T5)</f>
        <v/>
      </c>
      <c r="P4" s="1070"/>
      <c r="Q4" s="1070"/>
      <c r="R4" s="1167"/>
      <c r="S4" s="680"/>
      <c r="T4" s="594"/>
      <c r="U4" s="594"/>
    </row>
    <row r="5" spans="1:21" ht="18.95" customHeight="1" x14ac:dyDescent="0.4">
      <c r="A5" s="594"/>
      <c r="B5" s="685"/>
      <c r="C5" s="1158" t="s">
        <v>490</v>
      </c>
      <c r="D5" s="1159"/>
      <c r="E5" s="1159"/>
      <c r="F5" s="1160"/>
      <c r="G5" s="1161" t="str">
        <f>IF(ISBLANK(Descriptif!G5),"",Descriptif!G5)</f>
        <v>Commune de Barjac</v>
      </c>
      <c r="H5" s="1162"/>
      <c r="I5" s="1162"/>
      <c r="J5" s="1163"/>
      <c r="K5" s="1170" t="s">
        <v>486</v>
      </c>
      <c r="L5" s="1171"/>
      <c r="M5" s="1171"/>
      <c r="N5" s="1172"/>
      <c r="O5" s="1069" t="str">
        <f>IF(ISBLANK(Descriptif!G6),"",Descriptif!G6)</f>
        <v>CEREG Ingénierie</v>
      </c>
      <c r="P5" s="1070"/>
      <c r="Q5" s="1070"/>
      <c r="R5" s="1167"/>
      <c r="S5" s="680"/>
      <c r="T5" s="594"/>
      <c r="U5" s="594"/>
    </row>
    <row r="6" spans="1:21" ht="18.95" customHeight="1" thickBot="1" x14ac:dyDescent="0.45">
      <c r="A6" s="594"/>
      <c r="B6" s="685"/>
      <c r="C6" s="1173" t="s">
        <v>498</v>
      </c>
      <c r="D6" s="1174"/>
      <c r="E6" s="1174"/>
      <c r="F6" s="1175"/>
      <c r="G6" s="1161" t="str">
        <f>IF(ISBLANK(Descriptif!T6),"",Descriptif!T6)</f>
        <v/>
      </c>
      <c r="H6" s="1162"/>
      <c r="I6" s="1162"/>
      <c r="J6" s="1163"/>
      <c r="K6" s="1179" t="s">
        <v>543</v>
      </c>
      <c r="L6" s="1180"/>
      <c r="M6" s="1180"/>
      <c r="N6" s="1181"/>
      <c r="O6" s="1066"/>
      <c r="P6" s="1067"/>
      <c r="Q6" s="1067"/>
      <c r="R6" s="1182"/>
      <c r="S6" s="680"/>
      <c r="T6" s="594"/>
      <c r="U6" s="594"/>
    </row>
    <row r="7" spans="1:21" ht="13.7" thickTop="1" thickBot="1" x14ac:dyDescent="0.45">
      <c r="A7" s="594"/>
      <c r="B7" s="685"/>
      <c r="C7" s="686"/>
      <c r="D7" s="686"/>
      <c r="E7" s="686"/>
      <c r="F7" s="686"/>
      <c r="G7" s="686"/>
      <c r="H7" s="686"/>
      <c r="I7" s="686"/>
      <c r="J7" s="686"/>
      <c r="K7" s="686"/>
      <c r="L7" s="686"/>
      <c r="M7" s="686"/>
      <c r="N7" s="686"/>
      <c r="O7" s="686"/>
      <c r="P7" s="686"/>
      <c r="Q7" s="686"/>
      <c r="R7" s="686"/>
      <c r="S7" s="680"/>
      <c r="T7" s="594"/>
      <c r="U7" s="594"/>
    </row>
    <row r="8" spans="1:21" ht="24" thickTop="1" thickBot="1" x14ac:dyDescent="0.45">
      <c r="A8" s="594"/>
      <c r="B8" s="685"/>
      <c r="C8" s="1119" t="s">
        <v>628</v>
      </c>
      <c r="D8" s="1120"/>
      <c r="E8" s="1120"/>
      <c r="F8" s="1120"/>
      <c r="G8" s="1120"/>
      <c r="H8" s="1120"/>
      <c r="I8" s="1120"/>
      <c r="J8" s="1120"/>
      <c r="K8" s="1120"/>
      <c r="L8" s="1120"/>
      <c r="M8" s="1120"/>
      <c r="N8" s="1120"/>
      <c r="O8" s="1120"/>
      <c r="P8" s="1120"/>
      <c r="Q8" s="1120"/>
      <c r="R8" s="1141"/>
      <c r="S8" s="673"/>
      <c r="T8" s="594"/>
      <c r="U8" s="594"/>
    </row>
    <row r="9" spans="1:21" ht="13.35" thickTop="1" x14ac:dyDescent="0.4">
      <c r="A9" s="594"/>
      <c r="B9" s="685"/>
      <c r="C9" s="687"/>
      <c r="D9" s="686"/>
      <c r="E9" s="686"/>
      <c r="F9" s="686"/>
      <c r="G9" s="686"/>
      <c r="H9" s="686"/>
      <c r="I9" s="686"/>
      <c r="J9" s="686"/>
      <c r="K9" s="686"/>
      <c r="L9" s="686"/>
      <c r="M9" s="686"/>
      <c r="N9" s="686"/>
      <c r="O9" s="686"/>
      <c r="P9" s="686"/>
      <c r="Q9" s="686"/>
      <c r="R9" s="679"/>
      <c r="S9" s="680"/>
      <c r="T9" s="594"/>
      <c r="U9" s="594"/>
    </row>
    <row r="10" spans="1:21" ht="27.95" customHeight="1" x14ac:dyDescent="0.4">
      <c r="A10" s="594"/>
      <c r="B10" s="685"/>
      <c r="C10" s="588"/>
      <c r="D10" s="674">
        <v>1</v>
      </c>
      <c r="E10" s="1183" t="s">
        <v>629</v>
      </c>
      <c r="F10" s="1184"/>
      <c r="G10" s="1184"/>
      <c r="H10" s="1184"/>
      <c r="I10" s="1184"/>
      <c r="J10" s="1184"/>
      <c r="K10" s="1195"/>
      <c r="L10" s="828" t="s">
        <v>167</v>
      </c>
      <c r="M10" s="1196" t="s">
        <v>714</v>
      </c>
      <c r="N10" s="1197"/>
      <c r="O10" s="1197"/>
      <c r="P10" s="1197"/>
      <c r="Q10" s="1198"/>
      <c r="R10" s="679"/>
      <c r="S10" s="680"/>
      <c r="T10" s="594"/>
      <c r="U10" s="594"/>
    </row>
    <row r="11" spans="1:21" ht="13" x14ac:dyDescent="0.4">
      <c r="A11" s="594"/>
      <c r="B11" s="685"/>
      <c r="C11" s="687"/>
      <c r="D11" s="686"/>
      <c r="E11" s="686"/>
      <c r="F11" s="686"/>
      <c r="G11" s="686"/>
      <c r="H11" s="686"/>
      <c r="I11" s="686"/>
      <c r="J11" s="686"/>
      <c r="K11" s="686"/>
      <c r="L11" s="686"/>
      <c r="M11" s="686"/>
      <c r="N11" s="686"/>
      <c r="O11" s="686"/>
      <c r="P11" s="686"/>
      <c r="Q11" s="686"/>
      <c r="R11" s="679"/>
      <c r="S11" s="680"/>
      <c r="T11" s="594"/>
      <c r="U11" s="594"/>
    </row>
    <row r="12" spans="1:21" ht="15.7" x14ac:dyDescent="0.4">
      <c r="A12" s="594"/>
      <c r="B12" s="685"/>
      <c r="C12" s="687"/>
      <c r="D12" s="688" t="s">
        <v>505</v>
      </c>
      <c r="E12" s="686"/>
      <c r="F12" s="686"/>
      <c r="G12" s="686"/>
      <c r="H12" s="686"/>
      <c r="I12" s="686"/>
      <c r="J12" s="686"/>
      <c r="K12" s="686"/>
      <c r="L12" s="686"/>
      <c r="M12" s="686"/>
      <c r="N12" s="686"/>
      <c r="O12" s="686"/>
      <c r="P12" s="686"/>
      <c r="Q12" s="686"/>
      <c r="R12" s="679"/>
      <c r="S12" s="680"/>
      <c r="T12" s="594"/>
      <c r="U12" s="594"/>
    </row>
    <row r="13" spans="1:21" ht="53.7" customHeight="1" x14ac:dyDescent="0.4">
      <c r="A13" s="594"/>
      <c r="B13" s="685"/>
      <c r="C13" s="588"/>
      <c r="D13" s="1192" t="s">
        <v>715</v>
      </c>
      <c r="E13" s="1193"/>
      <c r="F13" s="1193"/>
      <c r="G13" s="1193"/>
      <c r="H13" s="1193"/>
      <c r="I13" s="1193"/>
      <c r="J13" s="1193"/>
      <c r="K13" s="1193"/>
      <c r="L13" s="1193"/>
      <c r="M13" s="1193"/>
      <c r="N13" s="1193"/>
      <c r="O13" s="1193"/>
      <c r="P13" s="1193"/>
      <c r="Q13" s="1194"/>
      <c r="R13" s="679"/>
      <c r="S13" s="680"/>
      <c r="T13" s="594"/>
      <c r="U13" s="594"/>
    </row>
    <row r="14" spans="1:21" ht="13.35" thickBot="1" x14ac:dyDescent="0.45">
      <c r="A14" s="594"/>
      <c r="B14" s="685"/>
      <c r="C14" s="689"/>
      <c r="D14" s="690"/>
      <c r="E14" s="690"/>
      <c r="F14" s="690"/>
      <c r="G14" s="690"/>
      <c r="H14" s="690"/>
      <c r="I14" s="690"/>
      <c r="J14" s="690"/>
      <c r="K14" s="690"/>
      <c r="L14" s="690"/>
      <c r="M14" s="690"/>
      <c r="N14" s="690"/>
      <c r="O14" s="690"/>
      <c r="P14" s="690"/>
      <c r="Q14" s="690"/>
      <c r="R14" s="681"/>
      <c r="S14" s="680"/>
      <c r="T14" s="594"/>
      <c r="U14" s="594"/>
    </row>
    <row r="15" spans="1:21" ht="13.7" thickTop="1" thickBot="1" x14ac:dyDescent="0.45">
      <c r="A15" s="594"/>
      <c r="B15" s="685"/>
      <c r="C15" s="686"/>
      <c r="D15" s="686"/>
      <c r="E15" s="686"/>
      <c r="F15" s="686"/>
      <c r="G15" s="686"/>
      <c r="H15" s="686"/>
      <c r="I15" s="686"/>
      <c r="J15" s="686"/>
      <c r="K15" s="686"/>
      <c r="L15" s="686"/>
      <c r="M15" s="686"/>
      <c r="N15" s="686"/>
      <c r="O15" s="686"/>
      <c r="P15" s="686"/>
      <c r="Q15" s="686"/>
      <c r="R15" s="686"/>
      <c r="S15" s="680"/>
      <c r="T15" s="594"/>
      <c r="U15" s="594"/>
    </row>
    <row r="16" spans="1:21" ht="24" thickTop="1" thickBot="1" x14ac:dyDescent="0.45">
      <c r="A16" s="594"/>
      <c r="B16" s="685"/>
      <c r="C16" s="1119" t="s">
        <v>640</v>
      </c>
      <c r="D16" s="1120"/>
      <c r="E16" s="1120"/>
      <c r="F16" s="1120"/>
      <c r="G16" s="1120"/>
      <c r="H16" s="1120"/>
      <c r="I16" s="1120"/>
      <c r="J16" s="1120"/>
      <c r="K16" s="1120"/>
      <c r="L16" s="1120"/>
      <c r="M16" s="1120"/>
      <c r="N16" s="1120"/>
      <c r="O16" s="1120"/>
      <c r="P16" s="1120"/>
      <c r="Q16" s="1120"/>
      <c r="R16" s="1141"/>
      <c r="S16" s="673"/>
      <c r="T16" s="594"/>
      <c r="U16" s="594"/>
    </row>
    <row r="17" spans="1:21" ht="13.35" thickTop="1" x14ac:dyDescent="0.4">
      <c r="A17" s="594"/>
      <c r="B17" s="685"/>
      <c r="C17" s="687"/>
      <c r="D17" s="686"/>
      <c r="E17" s="686"/>
      <c r="F17" s="686"/>
      <c r="G17" s="686"/>
      <c r="H17" s="686"/>
      <c r="I17" s="686"/>
      <c r="J17" s="686"/>
      <c r="K17" s="686"/>
      <c r="L17" s="686"/>
      <c r="M17" s="686"/>
      <c r="N17" s="686"/>
      <c r="O17" s="686"/>
      <c r="P17" s="686"/>
      <c r="Q17" s="686"/>
      <c r="R17" s="679"/>
      <c r="S17" s="680"/>
      <c r="T17" s="594"/>
      <c r="U17" s="594"/>
    </row>
    <row r="18" spans="1:21" ht="26.1" customHeight="1" x14ac:dyDescent="0.4">
      <c r="A18" s="594"/>
      <c r="B18" s="685"/>
      <c r="C18" s="687"/>
      <c r="D18" s="674">
        <v>2</v>
      </c>
      <c r="E18" s="1189" t="s">
        <v>840</v>
      </c>
      <c r="F18" s="1190"/>
      <c r="G18" s="1190"/>
      <c r="H18" s="1190"/>
      <c r="I18" s="1190"/>
      <c r="J18" s="1190"/>
      <c r="K18" s="1191"/>
      <c r="L18" s="1587" t="s">
        <v>124</v>
      </c>
      <c r="M18" s="1199" t="s">
        <v>848</v>
      </c>
      <c r="N18" s="1200"/>
      <c r="O18" s="1200"/>
      <c r="P18" s="1200"/>
      <c r="Q18" s="1201"/>
      <c r="R18" s="791"/>
      <c r="S18" s="680"/>
      <c r="T18" s="594"/>
      <c r="U18" s="594"/>
    </row>
    <row r="19" spans="1:21" ht="26.1" customHeight="1" x14ac:dyDescent="0.4">
      <c r="A19" s="594"/>
      <c r="B19" s="685"/>
      <c r="C19" s="687"/>
      <c r="D19" s="674">
        <v>3</v>
      </c>
      <c r="E19" s="1189" t="s">
        <v>841</v>
      </c>
      <c r="F19" s="1190"/>
      <c r="G19" s="1190"/>
      <c r="H19" s="1190"/>
      <c r="I19" s="1190"/>
      <c r="J19" s="1190"/>
      <c r="K19" s="1191"/>
      <c r="L19" s="1587" t="s">
        <v>124</v>
      </c>
      <c r="M19" s="1202"/>
      <c r="N19" s="1203"/>
      <c r="O19" s="1203"/>
      <c r="P19" s="1203"/>
      <c r="Q19" s="1204"/>
      <c r="R19" s="679"/>
      <c r="S19" s="680"/>
      <c r="T19" s="594"/>
      <c r="U19" s="594"/>
    </row>
    <row r="20" spans="1:21" ht="26.1" customHeight="1" x14ac:dyDescent="0.4">
      <c r="A20" s="594"/>
      <c r="B20" s="685"/>
      <c r="C20" s="687"/>
      <c r="D20" s="674">
        <v>4</v>
      </c>
      <c r="E20" s="1189" t="s">
        <v>842</v>
      </c>
      <c r="F20" s="1190"/>
      <c r="G20" s="1190"/>
      <c r="H20" s="1190"/>
      <c r="I20" s="1190"/>
      <c r="J20" s="1190"/>
      <c r="K20" s="1191"/>
      <c r="L20" s="1587" t="s">
        <v>124</v>
      </c>
      <c r="M20" s="1202"/>
      <c r="N20" s="1203"/>
      <c r="O20" s="1203"/>
      <c r="P20" s="1203"/>
      <c r="Q20" s="1204"/>
      <c r="R20" s="679"/>
      <c r="S20" s="680"/>
      <c r="T20" s="594"/>
      <c r="U20" s="594"/>
    </row>
    <row r="21" spans="1:21" ht="26.1" customHeight="1" x14ac:dyDescent="0.4">
      <c r="A21" s="594"/>
      <c r="B21" s="685"/>
      <c r="C21" s="687"/>
      <c r="D21" s="674">
        <v>5</v>
      </c>
      <c r="E21" s="1189" t="s">
        <v>843</v>
      </c>
      <c r="F21" s="1190"/>
      <c r="G21" s="1190"/>
      <c r="H21" s="1190"/>
      <c r="I21" s="1190"/>
      <c r="J21" s="1190"/>
      <c r="K21" s="1191"/>
      <c r="L21" s="1587" t="s">
        <v>124</v>
      </c>
      <c r="M21" s="1202"/>
      <c r="N21" s="1203"/>
      <c r="O21" s="1203"/>
      <c r="P21" s="1203"/>
      <c r="Q21" s="1204"/>
      <c r="R21" s="679"/>
      <c r="S21" s="680"/>
      <c r="T21" s="594"/>
      <c r="U21" s="594"/>
    </row>
    <row r="22" spans="1:21" ht="26.1" customHeight="1" x14ac:dyDescent="0.4">
      <c r="A22" s="594"/>
      <c r="B22" s="685"/>
      <c r="C22" s="687"/>
      <c r="D22" s="674">
        <v>6</v>
      </c>
      <c r="E22" s="1189" t="s">
        <v>844</v>
      </c>
      <c r="F22" s="1190"/>
      <c r="G22" s="1190"/>
      <c r="H22" s="1190"/>
      <c r="I22" s="1190"/>
      <c r="J22" s="1190"/>
      <c r="K22" s="1191"/>
      <c r="L22" s="1587" t="s">
        <v>124</v>
      </c>
      <c r="M22" s="1202"/>
      <c r="N22" s="1203"/>
      <c r="O22" s="1203"/>
      <c r="P22" s="1203"/>
      <c r="Q22" s="1204"/>
      <c r="R22" s="679"/>
      <c r="S22" s="680"/>
      <c r="T22" s="594"/>
      <c r="U22" s="594"/>
    </row>
    <row r="23" spans="1:21" ht="26.1" customHeight="1" x14ac:dyDescent="0.4">
      <c r="A23" s="594"/>
      <c r="B23" s="685"/>
      <c r="C23" s="687"/>
      <c r="D23" s="674">
        <v>7</v>
      </c>
      <c r="E23" s="1189" t="s">
        <v>845</v>
      </c>
      <c r="F23" s="1190"/>
      <c r="G23" s="1190"/>
      <c r="H23" s="1190"/>
      <c r="I23" s="1190"/>
      <c r="J23" s="1190"/>
      <c r="K23" s="1191"/>
      <c r="L23" s="1587" t="s">
        <v>124</v>
      </c>
      <c r="M23" s="1205"/>
      <c r="N23" s="1206"/>
      <c r="O23" s="1206"/>
      <c r="P23" s="1206"/>
      <c r="Q23" s="1207"/>
      <c r="R23" s="679"/>
      <c r="S23" s="680"/>
      <c r="T23" s="594"/>
      <c r="U23" s="594"/>
    </row>
    <row r="24" spans="1:21" ht="26.1" customHeight="1" x14ac:dyDescent="0.4">
      <c r="A24" s="594"/>
      <c r="B24" s="685"/>
      <c r="C24" s="687"/>
      <c r="D24" s="674">
        <v>8</v>
      </c>
      <c r="E24" s="1189" t="s">
        <v>630</v>
      </c>
      <c r="F24" s="1190"/>
      <c r="G24" s="1190"/>
      <c r="H24" s="1190"/>
      <c r="I24" s="1190"/>
      <c r="J24" s="1190"/>
      <c r="K24" s="1191"/>
      <c r="L24" s="1587" t="s">
        <v>124</v>
      </c>
      <c r="M24" s="1186" t="s">
        <v>722</v>
      </c>
      <c r="N24" s="1187"/>
      <c r="O24" s="1187"/>
      <c r="P24" s="1187"/>
      <c r="Q24" s="1188"/>
      <c r="R24" s="679"/>
      <c r="S24" s="680"/>
      <c r="T24" s="594"/>
      <c r="U24" s="594"/>
    </row>
    <row r="25" spans="1:21" ht="26.1" customHeight="1" thickBot="1" x14ac:dyDescent="0.45">
      <c r="A25" s="594"/>
      <c r="B25" s="685"/>
      <c r="C25" s="687"/>
      <c r="D25" s="1579">
        <v>9</v>
      </c>
      <c r="E25" s="1580" t="s">
        <v>631</v>
      </c>
      <c r="F25" s="1578"/>
      <c r="G25" s="1578"/>
      <c r="H25" s="1578"/>
      <c r="I25" s="1578"/>
      <c r="J25" s="1578"/>
      <c r="K25" s="1581"/>
      <c r="L25" s="1588" t="s">
        <v>172</v>
      </c>
      <c r="M25" s="1199" t="s">
        <v>723</v>
      </c>
      <c r="N25" s="1200"/>
      <c r="O25" s="1200"/>
      <c r="P25" s="1200"/>
      <c r="Q25" s="1201"/>
      <c r="R25" s="679"/>
      <c r="S25" s="680"/>
      <c r="T25" s="594"/>
      <c r="U25" s="594"/>
    </row>
    <row r="26" spans="1:21" ht="26.1" customHeight="1" thickBot="1" x14ac:dyDescent="0.45">
      <c r="A26" s="594"/>
      <c r="B26" s="685"/>
      <c r="C26" s="687"/>
      <c r="D26" s="1582">
        <v>10</v>
      </c>
      <c r="E26" s="1583" t="s">
        <v>847</v>
      </c>
      <c r="F26" s="1583"/>
      <c r="G26" s="1583"/>
      <c r="H26" s="1583"/>
      <c r="I26" s="1583"/>
      <c r="J26" s="1583"/>
      <c r="K26" s="1583"/>
      <c r="L26" s="828" t="s">
        <v>167</v>
      </c>
      <c r="M26" s="1584"/>
      <c r="N26" s="1585"/>
      <c r="O26" s="1585"/>
      <c r="P26" s="1585"/>
      <c r="Q26" s="1586"/>
      <c r="R26" s="679"/>
      <c r="S26" s="680"/>
      <c r="T26" s="594"/>
      <c r="U26" s="594"/>
    </row>
    <row r="27" spans="1:21" ht="13" x14ac:dyDescent="0.4">
      <c r="A27" s="594"/>
      <c r="B27" s="685"/>
      <c r="C27" s="687"/>
      <c r="D27" s="686"/>
      <c r="E27" s="686"/>
      <c r="F27" s="686"/>
      <c r="G27" s="686"/>
      <c r="H27" s="686"/>
      <c r="I27" s="686"/>
      <c r="J27" s="686"/>
      <c r="K27" s="686"/>
      <c r="L27" s="686"/>
      <c r="M27" s="686"/>
      <c r="N27" s="686"/>
      <c r="O27" s="686"/>
      <c r="P27" s="686"/>
      <c r="Q27" s="686"/>
      <c r="R27" s="679"/>
      <c r="S27" s="680"/>
      <c r="T27" s="594"/>
      <c r="U27" s="594"/>
    </row>
    <row r="28" spans="1:21" ht="15.7" x14ac:dyDescent="0.4">
      <c r="A28" s="594"/>
      <c r="B28" s="685"/>
      <c r="C28" s="687"/>
      <c r="D28" s="688" t="s">
        <v>505</v>
      </c>
      <c r="E28" s="686"/>
      <c r="F28" s="686"/>
      <c r="G28" s="686"/>
      <c r="H28" s="686"/>
      <c r="I28" s="686"/>
      <c r="J28" s="686"/>
      <c r="K28" s="686"/>
      <c r="L28" s="686"/>
      <c r="M28" s="686"/>
      <c r="N28" s="686"/>
      <c r="O28" s="686"/>
      <c r="P28" s="686"/>
      <c r="Q28" s="686"/>
      <c r="R28" s="679"/>
      <c r="S28" s="680"/>
      <c r="T28" s="594"/>
      <c r="U28" s="594"/>
    </row>
    <row r="29" spans="1:21" ht="37.700000000000003" customHeight="1" x14ac:dyDescent="0.4">
      <c r="A29" s="594"/>
      <c r="B29" s="685"/>
      <c r="C29" s="687"/>
      <c r="D29" s="1192" t="s">
        <v>724</v>
      </c>
      <c r="E29" s="1193"/>
      <c r="F29" s="1193"/>
      <c r="G29" s="1193"/>
      <c r="H29" s="1193"/>
      <c r="I29" s="1193"/>
      <c r="J29" s="1193"/>
      <c r="K29" s="1193"/>
      <c r="L29" s="1193"/>
      <c r="M29" s="1193"/>
      <c r="N29" s="1193"/>
      <c r="O29" s="1193"/>
      <c r="P29" s="1193"/>
      <c r="Q29" s="1194"/>
      <c r="R29" s="679"/>
      <c r="S29" s="680"/>
      <c r="T29" s="594"/>
      <c r="U29" s="594"/>
    </row>
    <row r="30" spans="1:21" ht="13.35" thickBot="1" x14ac:dyDescent="0.45">
      <c r="A30" s="594"/>
      <c r="B30" s="685"/>
      <c r="C30" s="689"/>
      <c r="D30" s="690"/>
      <c r="E30" s="690"/>
      <c r="F30" s="690"/>
      <c r="G30" s="690"/>
      <c r="H30" s="690"/>
      <c r="I30" s="690"/>
      <c r="J30" s="690"/>
      <c r="K30" s="690"/>
      <c r="L30" s="690"/>
      <c r="M30" s="690"/>
      <c r="N30" s="690"/>
      <c r="O30" s="690"/>
      <c r="P30" s="690"/>
      <c r="Q30" s="690"/>
      <c r="R30" s="681"/>
      <c r="S30" s="680"/>
      <c r="T30" s="594"/>
      <c r="U30" s="594"/>
    </row>
    <row r="31" spans="1:21" ht="13.35" thickTop="1" x14ac:dyDescent="0.4">
      <c r="A31" s="594"/>
      <c r="B31" s="685"/>
      <c r="C31" s="686"/>
      <c r="D31" s="686"/>
      <c r="E31" s="686"/>
      <c r="F31" s="686"/>
      <c r="G31" s="686"/>
      <c r="H31" s="686"/>
      <c r="I31" s="686"/>
      <c r="J31" s="686"/>
      <c r="K31" s="686"/>
      <c r="L31" s="686"/>
      <c r="M31" s="686"/>
      <c r="N31" s="686"/>
      <c r="O31" s="686"/>
      <c r="P31" s="686"/>
      <c r="Q31" s="686"/>
      <c r="R31" s="686"/>
      <c r="S31" s="680"/>
      <c r="T31" s="594"/>
      <c r="U31" s="594"/>
    </row>
    <row r="32" spans="1:21" ht="13" x14ac:dyDescent="0.4">
      <c r="A32" s="594"/>
      <c r="B32" s="676"/>
      <c r="C32" s="677"/>
      <c r="D32" s="677"/>
      <c r="E32" s="677"/>
      <c r="F32" s="677"/>
      <c r="G32" s="677"/>
      <c r="H32" s="677"/>
      <c r="I32" s="677"/>
      <c r="J32" s="677"/>
      <c r="K32" s="677"/>
      <c r="L32" s="677"/>
      <c r="M32" s="677"/>
      <c r="N32" s="677"/>
      <c r="O32" s="677"/>
      <c r="P32" s="677"/>
      <c r="Q32" s="677"/>
      <c r="R32" s="677"/>
      <c r="S32" s="678"/>
      <c r="T32" s="594"/>
      <c r="U32" s="594"/>
    </row>
    <row r="33" spans="1:21" ht="13" x14ac:dyDescent="0.4">
      <c r="A33" s="594"/>
      <c r="B33" s="594"/>
      <c r="C33" s="594"/>
      <c r="D33" s="594"/>
      <c r="E33" s="594"/>
      <c r="F33" s="594"/>
      <c r="G33" s="594"/>
      <c r="H33" s="594"/>
      <c r="I33" s="594"/>
      <c r="J33" s="594"/>
      <c r="K33" s="594"/>
      <c r="L33" s="594"/>
      <c r="M33" s="594"/>
      <c r="N33" s="594"/>
      <c r="O33" s="594"/>
      <c r="P33" s="594"/>
      <c r="Q33" s="594"/>
      <c r="R33" s="594"/>
      <c r="S33" s="594"/>
      <c r="T33" s="594"/>
      <c r="U33" s="594"/>
    </row>
    <row r="34" spans="1:21" ht="13" x14ac:dyDescent="0.4">
      <c r="A34" s="594"/>
      <c r="B34" s="594"/>
      <c r="C34" s="594"/>
      <c r="D34" s="594"/>
      <c r="E34" s="594"/>
      <c r="F34" s="594"/>
      <c r="G34" s="594"/>
      <c r="H34" s="594"/>
      <c r="I34" s="594"/>
      <c r="J34" s="594"/>
      <c r="K34" s="594"/>
      <c r="L34" s="594"/>
      <c r="M34" s="594"/>
      <c r="N34" s="594"/>
      <c r="O34" s="594"/>
      <c r="P34" s="594"/>
      <c r="Q34" s="594"/>
      <c r="R34" s="594"/>
      <c r="S34" s="594"/>
      <c r="T34" s="594"/>
      <c r="U34" s="594"/>
    </row>
    <row r="35" spans="1:21" ht="13" x14ac:dyDescent="0.4">
      <c r="A35" s="594"/>
      <c r="B35" s="594"/>
      <c r="C35" s="594"/>
      <c r="D35" s="594"/>
      <c r="E35" s="594"/>
      <c r="F35" s="594"/>
      <c r="G35" s="594"/>
      <c r="H35" s="594"/>
      <c r="I35" s="594"/>
      <c r="J35" s="594"/>
      <c r="K35" s="594"/>
      <c r="L35" s="594"/>
      <c r="M35" s="594"/>
      <c r="N35" s="594"/>
      <c r="O35" s="594"/>
      <c r="P35" s="594"/>
      <c r="Q35" s="594"/>
      <c r="R35" s="594"/>
      <c r="S35" s="594"/>
      <c r="T35" s="594"/>
      <c r="U35" s="594"/>
    </row>
    <row r="36" spans="1:21" ht="13" x14ac:dyDescent="0.4">
      <c r="A36" s="594"/>
      <c r="B36" s="594"/>
      <c r="C36" s="594"/>
      <c r="D36" s="594"/>
      <c r="E36" s="594"/>
      <c r="F36" s="594"/>
      <c r="G36" s="594"/>
      <c r="H36" s="594"/>
      <c r="I36" s="594"/>
      <c r="J36" s="594"/>
      <c r="K36" s="594"/>
      <c r="L36" s="594"/>
      <c r="M36" s="594"/>
      <c r="N36" s="594"/>
      <c r="O36" s="594"/>
      <c r="P36" s="594"/>
      <c r="Q36" s="594"/>
      <c r="R36" s="594"/>
      <c r="S36" s="594"/>
      <c r="T36" s="594"/>
      <c r="U36" s="594"/>
    </row>
    <row r="37" spans="1:21" ht="13" x14ac:dyDescent="0.4">
      <c r="A37" s="594"/>
      <c r="B37" s="594"/>
      <c r="C37" s="594"/>
      <c r="D37" s="594"/>
      <c r="E37" s="594"/>
      <c r="F37" s="594"/>
      <c r="G37" s="594"/>
      <c r="H37" s="594"/>
      <c r="I37" s="594"/>
      <c r="J37" s="594"/>
      <c r="K37" s="594"/>
      <c r="L37" s="594"/>
      <c r="M37" s="594"/>
      <c r="N37" s="594"/>
      <c r="O37" s="594"/>
      <c r="P37" s="594"/>
      <c r="Q37" s="594"/>
      <c r="R37" s="594"/>
      <c r="S37" s="594"/>
      <c r="T37" s="594"/>
      <c r="U37" s="594"/>
    </row>
    <row r="38" spans="1:21" ht="13" x14ac:dyDescent="0.4">
      <c r="A38" s="594"/>
      <c r="B38" s="594"/>
      <c r="C38" s="594"/>
      <c r="D38" s="594"/>
      <c r="E38" s="594"/>
      <c r="F38" s="594"/>
      <c r="G38" s="594"/>
      <c r="H38" s="594"/>
      <c r="I38" s="594"/>
      <c r="J38" s="594"/>
      <c r="K38" s="594"/>
      <c r="L38" s="594"/>
      <c r="M38" s="594"/>
      <c r="N38" s="594"/>
      <c r="O38" s="594"/>
      <c r="P38" s="594"/>
      <c r="Q38" s="594"/>
      <c r="R38" s="594"/>
      <c r="S38" s="594"/>
      <c r="T38" s="594"/>
      <c r="U38" s="594"/>
    </row>
    <row r="39" spans="1:21" ht="13" x14ac:dyDescent="0.4">
      <c r="A39" s="594"/>
      <c r="B39" s="594"/>
      <c r="C39" s="594"/>
      <c r="D39" s="594"/>
      <c r="E39" s="594"/>
      <c r="F39" s="594"/>
      <c r="G39" s="594"/>
      <c r="H39" s="594"/>
      <c r="I39" s="594"/>
      <c r="J39" s="594"/>
      <c r="K39" s="594"/>
      <c r="L39" s="594"/>
      <c r="M39" s="594"/>
      <c r="N39" s="594"/>
      <c r="O39" s="594"/>
      <c r="P39" s="594"/>
      <c r="Q39" s="594"/>
      <c r="R39" s="594"/>
      <c r="S39" s="594"/>
      <c r="T39" s="594"/>
      <c r="U39" s="594"/>
    </row>
    <row r="40" spans="1:21" ht="13" x14ac:dyDescent="0.4">
      <c r="A40" s="594"/>
      <c r="B40" s="594"/>
      <c r="C40" s="594"/>
      <c r="D40" s="594"/>
      <c r="E40" s="594"/>
      <c r="F40" s="594"/>
      <c r="G40" s="594"/>
      <c r="H40" s="594"/>
      <c r="I40" s="594"/>
      <c r="J40" s="594"/>
      <c r="K40" s="594"/>
      <c r="L40" s="594"/>
      <c r="M40" s="594"/>
      <c r="N40" s="594"/>
      <c r="O40" s="594"/>
      <c r="P40" s="594"/>
      <c r="Q40" s="594"/>
      <c r="R40" s="594"/>
      <c r="S40" s="594"/>
      <c r="T40" s="594"/>
      <c r="U40" s="594"/>
    </row>
    <row r="41" spans="1:21" ht="13" x14ac:dyDescent="0.4">
      <c r="A41" s="594"/>
      <c r="B41" s="594"/>
      <c r="C41" s="594"/>
      <c r="D41" s="594"/>
      <c r="E41" s="594"/>
      <c r="F41" s="594"/>
      <c r="G41" s="594"/>
      <c r="H41" s="594"/>
      <c r="I41" s="594"/>
      <c r="J41" s="594"/>
      <c r="K41" s="594"/>
      <c r="L41" s="594"/>
      <c r="M41" s="594"/>
      <c r="N41" s="594"/>
      <c r="O41" s="594"/>
      <c r="P41" s="594"/>
      <c r="Q41" s="594"/>
      <c r="R41" s="594"/>
      <c r="S41" s="594"/>
      <c r="T41" s="594"/>
      <c r="U41" s="594"/>
    </row>
    <row r="42" spans="1:21" ht="13" x14ac:dyDescent="0.4">
      <c r="A42" s="594"/>
      <c r="B42" s="594"/>
      <c r="C42" s="594"/>
      <c r="D42" s="594"/>
      <c r="E42" s="594"/>
      <c r="F42" s="594"/>
      <c r="G42" s="594"/>
      <c r="H42" s="594"/>
      <c r="I42" s="594"/>
      <c r="J42" s="594"/>
      <c r="K42" s="594"/>
      <c r="L42" s="594"/>
      <c r="M42" s="594"/>
      <c r="N42" s="594"/>
      <c r="O42" s="594"/>
      <c r="P42" s="594"/>
      <c r="Q42" s="594"/>
      <c r="R42" s="594"/>
      <c r="S42" s="594"/>
      <c r="T42" s="594"/>
      <c r="U42" s="594"/>
    </row>
    <row r="43" spans="1:21" ht="13" x14ac:dyDescent="0.4">
      <c r="A43" s="594"/>
      <c r="B43" s="594"/>
      <c r="C43" s="594"/>
      <c r="D43" s="594"/>
      <c r="E43" s="594"/>
      <c r="F43" s="594"/>
      <c r="G43" s="594"/>
      <c r="H43" s="594"/>
      <c r="I43" s="594"/>
      <c r="J43" s="594"/>
      <c r="K43" s="594"/>
      <c r="L43" s="594"/>
      <c r="M43" s="594"/>
      <c r="N43" s="594"/>
      <c r="O43" s="594"/>
      <c r="P43" s="594"/>
      <c r="Q43" s="594"/>
      <c r="R43" s="594"/>
      <c r="S43" s="594"/>
      <c r="T43" s="594"/>
      <c r="U43" s="594"/>
    </row>
    <row r="44" spans="1:21" ht="13" x14ac:dyDescent="0.4">
      <c r="A44" s="594"/>
      <c r="B44" s="594"/>
      <c r="C44" s="594"/>
      <c r="D44" s="594"/>
      <c r="E44" s="594"/>
      <c r="F44" s="594"/>
      <c r="G44" s="594"/>
      <c r="H44" s="594"/>
      <c r="I44" s="594"/>
      <c r="J44" s="594"/>
      <c r="K44" s="594"/>
      <c r="L44" s="594"/>
      <c r="M44" s="594"/>
      <c r="N44" s="594"/>
      <c r="O44" s="594"/>
      <c r="P44" s="594"/>
      <c r="Q44" s="594"/>
      <c r="R44" s="594"/>
      <c r="S44" s="594"/>
      <c r="T44" s="594"/>
      <c r="U44" s="594"/>
    </row>
    <row r="45" spans="1:21" ht="13" x14ac:dyDescent="0.4">
      <c r="A45" s="594"/>
      <c r="B45" s="594"/>
      <c r="C45" s="594"/>
      <c r="D45" s="594"/>
      <c r="E45" s="594"/>
      <c r="F45" s="594"/>
      <c r="G45" s="594"/>
      <c r="H45" s="594"/>
      <c r="I45" s="594"/>
      <c r="J45" s="594"/>
      <c r="K45" s="594"/>
      <c r="L45" s="594"/>
      <c r="M45" s="594"/>
      <c r="N45" s="594"/>
      <c r="O45" s="594"/>
      <c r="P45" s="594"/>
      <c r="Q45" s="594"/>
      <c r="R45" s="594"/>
      <c r="S45" s="594"/>
      <c r="T45" s="594"/>
      <c r="U45" s="594"/>
    </row>
    <row r="46" spans="1:21" ht="13" x14ac:dyDescent="0.4">
      <c r="A46" s="594"/>
      <c r="B46" s="594"/>
      <c r="C46" s="594"/>
      <c r="D46" s="594"/>
      <c r="E46" s="594"/>
      <c r="F46" s="594"/>
      <c r="G46" s="594"/>
      <c r="H46" s="594"/>
      <c r="I46" s="594"/>
      <c r="J46" s="594"/>
      <c r="K46" s="594"/>
      <c r="L46" s="594"/>
      <c r="M46" s="594"/>
      <c r="N46" s="594"/>
      <c r="O46" s="594"/>
      <c r="P46" s="594"/>
      <c r="Q46" s="594"/>
      <c r="R46" s="594"/>
      <c r="S46" s="594"/>
      <c r="T46" s="594"/>
      <c r="U46" s="594"/>
    </row>
    <row r="47" spans="1:21" ht="13" x14ac:dyDescent="0.4">
      <c r="A47" s="594"/>
      <c r="B47" s="594"/>
      <c r="C47" s="594"/>
      <c r="D47" s="594"/>
      <c r="E47" s="594"/>
      <c r="F47" s="594"/>
      <c r="G47" s="594"/>
      <c r="H47" s="594"/>
      <c r="I47" s="594"/>
      <c r="J47" s="594"/>
      <c r="K47" s="594"/>
      <c r="L47" s="594"/>
      <c r="M47" s="594"/>
      <c r="N47" s="594"/>
      <c r="O47" s="594"/>
      <c r="P47" s="594"/>
      <c r="Q47" s="594"/>
      <c r="R47" s="594"/>
      <c r="S47" s="594"/>
      <c r="T47" s="594"/>
      <c r="U47" s="594"/>
    </row>
    <row r="48" spans="1:21" ht="13" x14ac:dyDescent="0.4">
      <c r="A48" s="594"/>
      <c r="B48" s="594"/>
      <c r="C48" s="594"/>
      <c r="D48" s="594"/>
      <c r="E48" s="594"/>
      <c r="F48" s="594"/>
      <c r="G48" s="594"/>
      <c r="H48" s="594"/>
      <c r="I48" s="594"/>
      <c r="J48" s="594"/>
      <c r="K48" s="594"/>
      <c r="L48" s="594"/>
      <c r="M48" s="594"/>
      <c r="N48" s="594"/>
      <c r="O48" s="594"/>
      <c r="P48" s="594"/>
      <c r="Q48" s="594"/>
      <c r="R48" s="594"/>
      <c r="S48" s="594"/>
      <c r="T48" s="594"/>
      <c r="U48" s="594"/>
    </row>
    <row r="49" spans="1:21" ht="13" x14ac:dyDescent="0.4">
      <c r="A49" s="594"/>
      <c r="B49" s="594"/>
      <c r="C49" s="594"/>
      <c r="D49" s="594"/>
      <c r="E49" s="594"/>
      <c r="F49" s="594"/>
      <c r="G49" s="594"/>
      <c r="H49" s="594"/>
      <c r="I49" s="594"/>
      <c r="J49" s="594"/>
      <c r="K49" s="594"/>
      <c r="L49" s="594"/>
      <c r="M49" s="594"/>
      <c r="N49" s="594"/>
      <c r="O49" s="594"/>
      <c r="P49" s="594"/>
      <c r="Q49" s="594"/>
      <c r="R49" s="594"/>
      <c r="S49" s="594"/>
      <c r="T49" s="594"/>
      <c r="U49" s="594"/>
    </row>
    <row r="50" spans="1:21" ht="13" x14ac:dyDescent="0.4">
      <c r="A50" s="594"/>
      <c r="B50" s="594"/>
      <c r="C50" s="594"/>
      <c r="D50" s="594"/>
      <c r="E50" s="594"/>
      <c r="F50" s="594"/>
      <c r="G50" s="594"/>
      <c r="H50" s="594"/>
      <c r="I50" s="594"/>
      <c r="J50" s="594"/>
      <c r="K50" s="594"/>
      <c r="L50" s="594"/>
      <c r="M50" s="594"/>
      <c r="N50" s="594"/>
      <c r="O50" s="594"/>
      <c r="P50" s="594"/>
      <c r="Q50" s="594"/>
      <c r="R50" s="594"/>
      <c r="S50" s="594"/>
      <c r="T50" s="594"/>
      <c r="U50" s="594"/>
    </row>
    <row r="51" spans="1:21" ht="13" x14ac:dyDescent="0.4">
      <c r="A51" s="594"/>
      <c r="B51" s="594"/>
      <c r="C51" s="594"/>
      <c r="D51" s="594"/>
      <c r="E51" s="594"/>
      <c r="F51" s="594"/>
      <c r="G51" s="594"/>
      <c r="H51" s="594"/>
      <c r="I51" s="594"/>
      <c r="J51" s="594"/>
      <c r="K51" s="594"/>
      <c r="L51" s="594"/>
      <c r="M51" s="594"/>
      <c r="N51" s="594"/>
      <c r="O51" s="594"/>
      <c r="P51" s="594"/>
      <c r="Q51" s="594"/>
      <c r="R51" s="594"/>
      <c r="S51" s="594"/>
      <c r="T51" s="594"/>
      <c r="U51" s="594"/>
    </row>
    <row r="52" spans="1:21" ht="13" x14ac:dyDescent="0.4">
      <c r="A52" s="594"/>
      <c r="B52" s="594"/>
      <c r="C52" s="594"/>
      <c r="D52" s="594"/>
      <c r="E52" s="594"/>
      <c r="F52" s="594"/>
      <c r="G52" s="594"/>
      <c r="H52" s="594"/>
      <c r="I52" s="594"/>
      <c r="J52" s="594"/>
      <c r="K52" s="594"/>
      <c r="L52" s="594"/>
      <c r="M52" s="594"/>
      <c r="N52" s="594"/>
      <c r="O52" s="594"/>
      <c r="P52" s="594"/>
      <c r="Q52" s="594"/>
      <c r="R52" s="594"/>
      <c r="S52" s="594"/>
      <c r="T52" s="594"/>
      <c r="U52" s="594"/>
    </row>
    <row r="53" spans="1:21" ht="13" x14ac:dyDescent="0.4">
      <c r="A53" s="594"/>
      <c r="B53" s="594"/>
      <c r="C53" s="594"/>
      <c r="D53" s="594"/>
      <c r="E53" s="594"/>
      <c r="F53" s="594"/>
      <c r="G53" s="594"/>
      <c r="H53" s="594"/>
      <c r="I53" s="594"/>
      <c r="J53" s="594"/>
      <c r="K53" s="594"/>
      <c r="L53" s="594"/>
      <c r="M53" s="594"/>
      <c r="N53" s="594"/>
      <c r="O53" s="594"/>
      <c r="P53" s="594"/>
      <c r="Q53" s="594"/>
      <c r="R53" s="594"/>
      <c r="S53" s="594"/>
      <c r="T53" s="594"/>
      <c r="U53" s="594"/>
    </row>
    <row r="54" spans="1:21" ht="13" x14ac:dyDescent="0.4">
      <c r="A54" s="594"/>
      <c r="B54" s="594"/>
      <c r="C54" s="594"/>
      <c r="D54" s="594"/>
      <c r="E54" s="594"/>
      <c r="F54" s="594"/>
      <c r="G54" s="594"/>
      <c r="H54" s="594"/>
      <c r="I54" s="594"/>
      <c r="J54" s="594"/>
      <c r="K54" s="594"/>
      <c r="L54" s="594"/>
      <c r="M54" s="594"/>
      <c r="N54" s="594"/>
      <c r="O54" s="594"/>
      <c r="P54" s="594"/>
      <c r="Q54" s="594"/>
      <c r="R54" s="594"/>
      <c r="S54" s="594"/>
      <c r="T54" s="594"/>
      <c r="U54" s="594"/>
    </row>
    <row r="55" spans="1:21" ht="13" x14ac:dyDescent="0.4">
      <c r="A55" s="594"/>
      <c r="B55" s="594"/>
      <c r="C55" s="594"/>
      <c r="D55" s="594"/>
      <c r="E55" s="594"/>
      <c r="F55" s="594"/>
      <c r="G55" s="594"/>
      <c r="H55" s="594"/>
      <c r="I55" s="594"/>
      <c r="J55" s="594"/>
      <c r="K55" s="594"/>
      <c r="L55" s="594"/>
      <c r="M55" s="594"/>
      <c r="N55" s="594"/>
      <c r="O55" s="594"/>
      <c r="P55" s="594"/>
      <c r="Q55" s="594"/>
      <c r="R55" s="594"/>
      <c r="S55" s="594"/>
      <c r="T55" s="594"/>
      <c r="U55" s="594"/>
    </row>
    <row r="56" spans="1:21" ht="13" x14ac:dyDescent="0.4">
      <c r="A56" s="594"/>
      <c r="B56" s="594"/>
      <c r="C56" s="594"/>
      <c r="D56" s="594"/>
      <c r="E56" s="594"/>
      <c r="F56" s="594"/>
      <c r="G56" s="594"/>
      <c r="H56" s="594"/>
      <c r="I56" s="594"/>
      <c r="J56" s="594"/>
      <c r="K56" s="594"/>
      <c r="L56" s="594"/>
      <c r="M56" s="594"/>
      <c r="N56" s="594"/>
      <c r="O56" s="594"/>
      <c r="P56" s="594"/>
      <c r="Q56" s="594"/>
      <c r="R56" s="594"/>
      <c r="S56" s="594"/>
      <c r="T56" s="594"/>
      <c r="U56" s="594"/>
    </row>
    <row r="57" spans="1:21" ht="13" x14ac:dyDescent="0.4">
      <c r="A57" s="594"/>
      <c r="B57" s="594"/>
      <c r="C57" s="594"/>
      <c r="D57" s="594"/>
      <c r="E57" s="594"/>
      <c r="F57" s="594"/>
      <c r="G57" s="594"/>
      <c r="H57" s="594"/>
      <c r="I57" s="594"/>
      <c r="J57" s="594"/>
      <c r="K57" s="594"/>
      <c r="L57" s="594"/>
      <c r="M57" s="594"/>
      <c r="N57" s="594"/>
      <c r="O57" s="594"/>
      <c r="P57" s="594"/>
      <c r="Q57" s="594"/>
      <c r="R57" s="594"/>
      <c r="S57" s="594"/>
      <c r="T57" s="594"/>
      <c r="U57" s="594"/>
    </row>
    <row r="58" spans="1:21" ht="13" x14ac:dyDescent="0.4">
      <c r="A58" s="594"/>
      <c r="B58" s="594"/>
      <c r="C58" s="594"/>
      <c r="D58" s="594"/>
      <c r="E58" s="594"/>
      <c r="F58" s="594"/>
      <c r="G58" s="594"/>
      <c r="H58" s="594"/>
      <c r="I58" s="594"/>
      <c r="J58" s="594"/>
      <c r="K58" s="594"/>
      <c r="L58" s="594"/>
      <c r="M58" s="594"/>
      <c r="N58" s="594"/>
      <c r="O58" s="594"/>
      <c r="P58" s="594"/>
      <c r="Q58" s="594"/>
      <c r="R58" s="594"/>
      <c r="S58" s="594"/>
      <c r="T58" s="594"/>
      <c r="U58" s="594"/>
    </row>
    <row r="59" spans="1:21" ht="13" x14ac:dyDescent="0.4">
      <c r="A59" s="594"/>
      <c r="B59" s="594"/>
      <c r="C59" s="594"/>
      <c r="D59" s="594"/>
      <c r="E59" s="594"/>
      <c r="F59" s="594"/>
      <c r="G59" s="594"/>
      <c r="H59" s="594"/>
      <c r="I59" s="594"/>
      <c r="J59" s="594"/>
      <c r="K59" s="594"/>
      <c r="L59" s="594"/>
      <c r="M59" s="594"/>
      <c r="N59" s="594"/>
      <c r="O59" s="594"/>
      <c r="P59" s="594"/>
      <c r="Q59" s="594"/>
      <c r="R59" s="594"/>
      <c r="S59" s="594"/>
      <c r="T59" s="594"/>
      <c r="U59" s="594"/>
    </row>
    <row r="60" spans="1:21" ht="13" x14ac:dyDescent="0.4">
      <c r="A60" s="594"/>
      <c r="B60" s="594"/>
      <c r="C60" s="594"/>
      <c r="D60" s="594"/>
      <c r="E60" s="594"/>
      <c r="F60" s="594"/>
      <c r="G60" s="594"/>
      <c r="H60" s="594"/>
      <c r="I60" s="594"/>
      <c r="J60" s="594"/>
      <c r="K60" s="594"/>
      <c r="L60" s="594"/>
      <c r="M60" s="594"/>
      <c r="N60" s="594"/>
      <c r="O60" s="594"/>
      <c r="P60" s="594"/>
      <c r="Q60" s="594"/>
      <c r="R60" s="594"/>
      <c r="S60" s="594"/>
      <c r="T60" s="594"/>
      <c r="U60" s="594"/>
    </row>
    <row r="61" spans="1:21" ht="13" x14ac:dyDescent="0.4">
      <c r="A61" s="594"/>
      <c r="B61" s="594"/>
      <c r="C61" s="594"/>
      <c r="D61" s="594"/>
      <c r="E61" s="594"/>
      <c r="F61" s="594"/>
      <c r="G61" s="594"/>
      <c r="H61" s="594"/>
      <c r="I61" s="594"/>
      <c r="J61" s="594"/>
      <c r="K61" s="594"/>
      <c r="L61" s="594"/>
      <c r="M61" s="594"/>
      <c r="N61" s="594"/>
      <c r="O61" s="594"/>
      <c r="P61" s="594"/>
      <c r="Q61" s="594"/>
      <c r="R61" s="594"/>
      <c r="S61" s="594"/>
      <c r="T61" s="594"/>
      <c r="U61" s="594"/>
    </row>
    <row r="62" spans="1:21" ht="13" x14ac:dyDescent="0.4">
      <c r="A62" s="594"/>
      <c r="B62" s="594"/>
      <c r="C62" s="594"/>
      <c r="D62" s="594"/>
      <c r="E62" s="594"/>
      <c r="F62" s="594"/>
      <c r="G62" s="594"/>
      <c r="H62" s="594"/>
      <c r="I62" s="594"/>
      <c r="J62" s="594"/>
      <c r="K62" s="594"/>
      <c r="L62" s="594"/>
      <c r="M62" s="594"/>
      <c r="N62" s="594"/>
      <c r="O62" s="594"/>
      <c r="P62" s="594"/>
      <c r="Q62" s="594"/>
      <c r="R62" s="594"/>
      <c r="S62" s="594"/>
      <c r="T62" s="594"/>
      <c r="U62" s="594"/>
    </row>
    <row r="63" spans="1:21" ht="13" x14ac:dyDescent="0.4">
      <c r="A63" s="594"/>
      <c r="B63" s="594"/>
      <c r="C63" s="594"/>
      <c r="D63" s="594"/>
      <c r="E63" s="594"/>
      <c r="F63" s="594"/>
      <c r="G63" s="594"/>
      <c r="H63" s="594"/>
      <c r="I63" s="594"/>
      <c r="J63" s="594"/>
      <c r="K63" s="594"/>
      <c r="L63" s="594"/>
      <c r="M63" s="594"/>
      <c r="N63" s="594"/>
      <c r="O63" s="594"/>
      <c r="P63" s="594"/>
      <c r="Q63" s="594"/>
      <c r="R63" s="594"/>
      <c r="S63" s="594"/>
      <c r="T63" s="594"/>
      <c r="U63" s="594"/>
    </row>
    <row r="64" spans="1:21" ht="13" x14ac:dyDescent="0.4">
      <c r="A64" s="594"/>
      <c r="B64" s="594"/>
      <c r="C64" s="594"/>
      <c r="D64" s="594"/>
      <c r="E64" s="594"/>
      <c r="F64" s="594"/>
      <c r="G64" s="594"/>
      <c r="H64" s="594"/>
      <c r="I64" s="594"/>
      <c r="J64" s="594"/>
      <c r="K64" s="594"/>
      <c r="L64" s="594"/>
      <c r="M64" s="594"/>
      <c r="N64" s="594"/>
      <c r="O64" s="594"/>
      <c r="P64" s="594"/>
      <c r="Q64" s="594"/>
      <c r="R64" s="594"/>
      <c r="S64" s="594"/>
      <c r="T64" s="594"/>
      <c r="U64" s="594"/>
    </row>
    <row r="65" spans="1:21" ht="13" x14ac:dyDescent="0.4">
      <c r="A65" s="594"/>
      <c r="B65" s="594"/>
      <c r="C65" s="594"/>
      <c r="D65" s="594"/>
      <c r="E65" s="594"/>
      <c r="F65" s="594"/>
      <c r="G65" s="594"/>
      <c r="H65" s="594"/>
      <c r="I65" s="594"/>
      <c r="J65" s="594"/>
      <c r="K65" s="594"/>
      <c r="L65" s="594"/>
      <c r="M65" s="594"/>
      <c r="N65" s="594"/>
      <c r="O65" s="594"/>
      <c r="P65" s="594"/>
      <c r="Q65" s="594"/>
      <c r="R65" s="594"/>
      <c r="S65" s="594"/>
      <c r="T65" s="594"/>
      <c r="U65" s="594"/>
    </row>
    <row r="66" spans="1:21" ht="13" x14ac:dyDescent="0.4">
      <c r="A66" s="594"/>
      <c r="B66" s="594"/>
      <c r="C66" s="594"/>
      <c r="D66" s="594"/>
      <c r="E66" s="594"/>
      <c r="F66" s="594"/>
      <c r="G66" s="594"/>
      <c r="H66" s="594"/>
      <c r="I66" s="594"/>
      <c r="J66" s="594"/>
      <c r="K66" s="594"/>
      <c r="L66" s="594"/>
      <c r="M66" s="594"/>
      <c r="N66" s="594"/>
      <c r="O66" s="594"/>
      <c r="P66" s="594"/>
      <c r="Q66" s="594"/>
      <c r="R66" s="594"/>
      <c r="S66" s="594"/>
      <c r="T66" s="594"/>
      <c r="U66" s="594"/>
    </row>
    <row r="67" spans="1:21" ht="13" x14ac:dyDescent="0.4">
      <c r="A67" s="594"/>
      <c r="B67" s="594"/>
      <c r="C67" s="594"/>
      <c r="D67" s="594"/>
      <c r="E67" s="594"/>
      <c r="F67" s="594"/>
      <c r="G67" s="594"/>
      <c r="H67" s="594"/>
      <c r="I67" s="594"/>
      <c r="J67" s="594"/>
      <c r="K67" s="594"/>
      <c r="L67" s="594"/>
      <c r="M67" s="594"/>
      <c r="N67" s="594"/>
      <c r="O67" s="594"/>
      <c r="P67" s="594"/>
      <c r="Q67" s="594"/>
      <c r="R67" s="594"/>
      <c r="S67" s="594"/>
      <c r="T67" s="594"/>
      <c r="U67" s="594"/>
    </row>
    <row r="68" spans="1:21" ht="13" x14ac:dyDescent="0.4">
      <c r="A68" s="594"/>
      <c r="B68" s="594"/>
      <c r="C68" s="594"/>
      <c r="D68" s="594"/>
      <c r="E68" s="594"/>
      <c r="F68" s="594"/>
      <c r="G68" s="594"/>
      <c r="H68" s="594"/>
      <c r="I68" s="594"/>
      <c r="J68" s="594"/>
      <c r="K68" s="594"/>
      <c r="L68" s="594"/>
      <c r="M68" s="594"/>
      <c r="N68" s="594"/>
      <c r="O68" s="594"/>
      <c r="P68" s="594"/>
      <c r="Q68" s="594"/>
      <c r="R68" s="594"/>
      <c r="S68" s="594"/>
      <c r="T68" s="594"/>
      <c r="U68" s="594"/>
    </row>
    <row r="69" spans="1:21" ht="13" x14ac:dyDescent="0.4">
      <c r="A69" s="594"/>
      <c r="B69" s="594"/>
      <c r="C69" s="594"/>
      <c r="D69" s="594"/>
      <c r="E69" s="594"/>
      <c r="F69" s="594"/>
      <c r="G69" s="594"/>
      <c r="H69" s="594"/>
      <c r="I69" s="594"/>
      <c r="J69" s="594"/>
      <c r="K69" s="594"/>
      <c r="L69" s="594"/>
      <c r="M69" s="594"/>
      <c r="N69" s="594"/>
      <c r="O69" s="594"/>
      <c r="P69" s="594"/>
      <c r="Q69" s="594"/>
      <c r="R69" s="594"/>
      <c r="S69" s="594"/>
      <c r="T69" s="594"/>
      <c r="U69" s="594"/>
    </row>
    <row r="70" spans="1:21" ht="13" x14ac:dyDescent="0.4">
      <c r="A70" s="594"/>
      <c r="B70" s="594"/>
      <c r="C70" s="594"/>
      <c r="D70" s="594"/>
      <c r="E70" s="594"/>
      <c r="F70" s="594"/>
      <c r="G70" s="594"/>
      <c r="H70" s="594"/>
      <c r="I70" s="594"/>
      <c r="J70" s="594"/>
      <c r="K70" s="594"/>
      <c r="L70" s="594"/>
      <c r="M70" s="594"/>
      <c r="N70" s="594"/>
      <c r="O70" s="594"/>
      <c r="P70" s="594"/>
      <c r="Q70" s="594"/>
      <c r="R70" s="594"/>
      <c r="S70" s="594"/>
      <c r="T70" s="594"/>
      <c r="U70" s="594"/>
    </row>
    <row r="71" spans="1:21" ht="13" x14ac:dyDescent="0.4">
      <c r="A71" s="594"/>
      <c r="B71" s="594"/>
      <c r="C71" s="594"/>
      <c r="D71" s="594"/>
      <c r="E71" s="594"/>
      <c r="F71" s="594"/>
      <c r="G71" s="594"/>
      <c r="H71" s="594"/>
      <c r="I71" s="594"/>
      <c r="J71" s="594"/>
      <c r="K71" s="594"/>
      <c r="L71" s="594"/>
      <c r="M71" s="594"/>
      <c r="N71" s="594"/>
      <c r="O71" s="594"/>
      <c r="P71" s="594"/>
      <c r="Q71" s="594"/>
      <c r="R71" s="594"/>
      <c r="S71" s="594"/>
      <c r="T71" s="594"/>
      <c r="U71" s="594"/>
    </row>
    <row r="72" spans="1:21" ht="13" x14ac:dyDescent="0.4">
      <c r="A72" s="594"/>
      <c r="B72" s="594"/>
      <c r="C72" s="594"/>
      <c r="D72" s="594"/>
      <c r="E72" s="594"/>
      <c r="F72" s="594"/>
      <c r="G72" s="594"/>
      <c r="H72" s="594"/>
      <c r="I72" s="594"/>
      <c r="J72" s="594"/>
      <c r="K72" s="594"/>
      <c r="L72" s="594"/>
      <c r="M72" s="594"/>
      <c r="N72" s="594"/>
      <c r="O72" s="594"/>
      <c r="P72" s="594"/>
      <c r="Q72" s="594"/>
      <c r="R72" s="594"/>
      <c r="S72" s="594"/>
      <c r="T72" s="594"/>
      <c r="U72" s="594"/>
    </row>
    <row r="73" spans="1:21" ht="13" x14ac:dyDescent="0.4">
      <c r="A73" s="594"/>
      <c r="B73" s="594"/>
      <c r="C73" s="594"/>
      <c r="D73" s="594"/>
      <c r="E73" s="594"/>
      <c r="F73" s="594"/>
      <c r="G73" s="594"/>
      <c r="H73" s="594"/>
      <c r="I73" s="594"/>
      <c r="J73" s="594"/>
      <c r="K73" s="594"/>
      <c r="L73" s="594"/>
      <c r="M73" s="594"/>
      <c r="N73" s="594"/>
      <c r="O73" s="594"/>
      <c r="P73" s="594"/>
      <c r="Q73" s="594"/>
      <c r="R73" s="594"/>
      <c r="S73" s="594"/>
      <c r="T73" s="594"/>
      <c r="U73" s="594"/>
    </row>
    <row r="74" spans="1:21" ht="13" x14ac:dyDescent="0.4">
      <c r="A74" s="594"/>
      <c r="B74" s="594"/>
      <c r="C74" s="594"/>
      <c r="D74" s="594"/>
      <c r="E74" s="594"/>
      <c r="F74" s="594"/>
      <c r="G74" s="594"/>
      <c r="H74" s="594"/>
      <c r="I74" s="594"/>
      <c r="J74" s="594"/>
      <c r="K74" s="594"/>
      <c r="L74" s="594"/>
      <c r="M74" s="594"/>
      <c r="N74" s="594"/>
      <c r="O74" s="594"/>
      <c r="P74" s="594"/>
      <c r="Q74" s="594"/>
      <c r="R74" s="594"/>
      <c r="S74" s="594"/>
      <c r="T74" s="594"/>
      <c r="U74" s="594"/>
    </row>
    <row r="75" spans="1:21" ht="13" x14ac:dyDescent="0.4">
      <c r="A75" s="594"/>
      <c r="B75" s="594"/>
      <c r="C75" s="594"/>
      <c r="D75" s="594"/>
      <c r="E75" s="594"/>
      <c r="F75" s="594"/>
      <c r="G75" s="594"/>
      <c r="H75" s="594"/>
      <c r="I75" s="594"/>
      <c r="J75" s="594"/>
      <c r="K75" s="594"/>
      <c r="L75" s="594"/>
      <c r="M75" s="594"/>
      <c r="N75" s="594"/>
      <c r="O75" s="594"/>
      <c r="P75" s="594"/>
      <c r="Q75" s="594"/>
      <c r="R75" s="594"/>
      <c r="S75" s="594"/>
      <c r="T75" s="594"/>
      <c r="U75" s="594"/>
    </row>
    <row r="76" spans="1:21" ht="13" x14ac:dyDescent="0.4">
      <c r="A76" s="594"/>
      <c r="B76" s="594"/>
      <c r="C76" s="594"/>
      <c r="D76" s="594"/>
      <c r="E76" s="594"/>
      <c r="F76" s="594"/>
      <c r="G76" s="594"/>
      <c r="H76" s="594"/>
      <c r="I76" s="594"/>
      <c r="J76" s="594"/>
      <c r="K76" s="594"/>
      <c r="L76" s="594"/>
      <c r="M76" s="594"/>
      <c r="N76" s="594"/>
      <c r="O76" s="594"/>
      <c r="P76" s="594"/>
      <c r="Q76" s="594"/>
      <c r="R76" s="594"/>
      <c r="S76" s="594"/>
      <c r="T76" s="594"/>
      <c r="U76" s="594"/>
    </row>
    <row r="77" spans="1:21" ht="13" x14ac:dyDescent="0.4">
      <c r="A77" s="594"/>
      <c r="B77" s="594"/>
      <c r="C77" s="594"/>
      <c r="D77" s="594"/>
      <c r="E77" s="594"/>
      <c r="F77" s="594"/>
      <c r="G77" s="594"/>
      <c r="H77" s="594"/>
      <c r="I77" s="594"/>
      <c r="J77" s="594"/>
      <c r="K77" s="594"/>
      <c r="L77" s="594"/>
      <c r="M77" s="594"/>
      <c r="N77" s="594"/>
      <c r="O77" s="594"/>
      <c r="P77" s="594"/>
      <c r="Q77" s="594"/>
      <c r="R77" s="594"/>
      <c r="S77" s="594"/>
      <c r="T77" s="594"/>
      <c r="U77" s="594"/>
    </row>
    <row r="78" spans="1:21" ht="13" x14ac:dyDescent="0.4">
      <c r="A78" s="594"/>
      <c r="B78" s="594"/>
      <c r="C78" s="594"/>
      <c r="D78" s="594"/>
      <c r="E78" s="594"/>
      <c r="F78" s="594"/>
      <c r="G78" s="594"/>
      <c r="H78" s="594"/>
      <c r="I78" s="594"/>
      <c r="J78" s="594"/>
      <c r="K78" s="594"/>
      <c r="L78" s="594"/>
      <c r="M78" s="594"/>
      <c r="N78" s="594"/>
      <c r="O78" s="594"/>
      <c r="P78" s="594"/>
      <c r="Q78" s="594"/>
      <c r="R78" s="594"/>
      <c r="S78" s="594"/>
      <c r="T78" s="594"/>
      <c r="U78" s="594"/>
    </row>
    <row r="79" spans="1:21" ht="13" x14ac:dyDescent="0.4">
      <c r="A79" s="594"/>
      <c r="B79" s="594"/>
      <c r="C79" s="594"/>
      <c r="D79" s="594"/>
      <c r="E79" s="594"/>
      <c r="F79" s="594"/>
      <c r="G79" s="594"/>
      <c r="H79" s="594"/>
      <c r="I79" s="594"/>
      <c r="J79" s="594"/>
      <c r="K79" s="594"/>
      <c r="L79" s="594"/>
      <c r="M79" s="594"/>
      <c r="N79" s="594"/>
      <c r="O79" s="594"/>
      <c r="P79" s="594"/>
      <c r="Q79" s="594"/>
      <c r="R79" s="594"/>
      <c r="S79" s="594"/>
      <c r="T79" s="594"/>
      <c r="U79" s="594"/>
    </row>
    <row r="80" spans="1:21" ht="13" x14ac:dyDescent="0.4">
      <c r="A80" s="594"/>
      <c r="B80" s="594"/>
      <c r="C80" s="594"/>
      <c r="D80" s="594"/>
      <c r="E80" s="594"/>
      <c r="F80" s="594"/>
      <c r="G80" s="594"/>
      <c r="H80" s="594"/>
      <c r="I80" s="594"/>
      <c r="J80" s="594"/>
      <c r="K80" s="594"/>
      <c r="L80" s="594"/>
      <c r="M80" s="594"/>
      <c r="N80" s="594"/>
      <c r="O80" s="594"/>
      <c r="P80" s="594"/>
      <c r="Q80" s="594"/>
      <c r="R80" s="594"/>
      <c r="S80" s="594"/>
      <c r="T80" s="594"/>
      <c r="U80" s="594"/>
    </row>
    <row r="81" spans="1:21" ht="13" x14ac:dyDescent="0.4">
      <c r="A81" s="594"/>
      <c r="B81" s="594"/>
      <c r="C81" s="594"/>
      <c r="D81" s="594"/>
      <c r="E81" s="594"/>
      <c r="F81" s="594"/>
      <c r="G81" s="594"/>
      <c r="H81" s="594"/>
      <c r="I81" s="594"/>
      <c r="J81" s="594"/>
      <c r="K81" s="594"/>
      <c r="L81" s="594"/>
      <c r="M81" s="594"/>
      <c r="N81" s="594"/>
      <c r="O81" s="594"/>
      <c r="P81" s="594"/>
      <c r="Q81" s="594"/>
      <c r="R81" s="594"/>
      <c r="S81" s="594"/>
      <c r="T81" s="594"/>
      <c r="U81" s="594"/>
    </row>
    <row r="82" spans="1:21" ht="13" x14ac:dyDescent="0.4">
      <c r="A82" s="594"/>
      <c r="B82" s="594"/>
      <c r="C82" s="594"/>
      <c r="D82" s="594"/>
      <c r="E82" s="594"/>
      <c r="F82" s="594"/>
      <c r="G82" s="594"/>
      <c r="H82" s="594"/>
      <c r="I82" s="594"/>
      <c r="J82" s="594"/>
      <c r="K82" s="594"/>
      <c r="L82" s="594"/>
      <c r="M82" s="594"/>
      <c r="N82" s="594"/>
      <c r="O82" s="594"/>
      <c r="P82" s="594"/>
      <c r="Q82" s="594"/>
      <c r="R82" s="594"/>
      <c r="S82" s="594"/>
      <c r="T82" s="594"/>
      <c r="U82" s="594"/>
    </row>
    <row r="83" spans="1:21" ht="13" x14ac:dyDescent="0.4">
      <c r="A83" s="594"/>
      <c r="B83" s="594"/>
      <c r="C83" s="594"/>
      <c r="D83" s="594"/>
      <c r="E83" s="594"/>
      <c r="F83" s="594"/>
      <c r="G83" s="594"/>
      <c r="H83" s="594"/>
      <c r="I83" s="594"/>
      <c r="J83" s="594"/>
      <c r="K83" s="594"/>
      <c r="L83" s="594"/>
      <c r="M83" s="594"/>
      <c r="N83" s="594"/>
      <c r="O83" s="594"/>
      <c r="P83" s="594"/>
      <c r="Q83" s="594"/>
      <c r="R83" s="594"/>
      <c r="S83" s="594"/>
      <c r="T83" s="594"/>
      <c r="U83" s="594"/>
    </row>
    <row r="84" spans="1:21" ht="13" x14ac:dyDescent="0.4">
      <c r="A84" s="594"/>
      <c r="B84" s="594"/>
      <c r="C84" s="594"/>
      <c r="D84" s="594"/>
      <c r="E84" s="594"/>
      <c r="F84" s="594"/>
      <c r="G84" s="594"/>
      <c r="H84" s="594"/>
      <c r="I84" s="594"/>
      <c r="J84" s="594"/>
      <c r="K84" s="594"/>
      <c r="L84" s="594"/>
      <c r="M84" s="594"/>
      <c r="N84" s="594"/>
      <c r="O84" s="594"/>
      <c r="P84" s="594"/>
      <c r="Q84" s="594"/>
      <c r="R84" s="594"/>
      <c r="S84" s="594"/>
      <c r="T84" s="594"/>
      <c r="U84" s="594"/>
    </row>
    <row r="85" spans="1:21" ht="13" x14ac:dyDescent="0.4">
      <c r="A85" s="594"/>
      <c r="B85" s="594"/>
      <c r="C85" s="594"/>
      <c r="D85" s="594"/>
      <c r="E85" s="594"/>
      <c r="F85" s="594"/>
      <c r="G85" s="594"/>
      <c r="H85" s="594"/>
      <c r="I85" s="594"/>
      <c r="J85" s="594"/>
      <c r="K85" s="594"/>
      <c r="L85" s="594"/>
      <c r="M85" s="594"/>
      <c r="N85" s="594"/>
      <c r="O85" s="594"/>
      <c r="P85" s="594"/>
      <c r="Q85" s="594"/>
      <c r="R85" s="594"/>
      <c r="S85" s="594"/>
      <c r="T85" s="594"/>
      <c r="U85" s="594"/>
    </row>
    <row r="86" spans="1:21" ht="13" x14ac:dyDescent="0.4">
      <c r="A86" s="594"/>
      <c r="B86" s="594"/>
      <c r="C86" s="594"/>
      <c r="D86" s="594"/>
      <c r="E86" s="594"/>
      <c r="F86" s="594"/>
      <c r="G86" s="594"/>
      <c r="H86" s="594"/>
      <c r="I86" s="594"/>
      <c r="J86" s="594"/>
      <c r="K86" s="594"/>
      <c r="L86" s="594"/>
      <c r="M86" s="594"/>
      <c r="N86" s="594"/>
      <c r="O86" s="594"/>
      <c r="P86" s="594"/>
      <c r="Q86" s="594"/>
      <c r="R86" s="594"/>
      <c r="S86" s="594"/>
      <c r="T86" s="594"/>
      <c r="U86" s="594"/>
    </row>
    <row r="87" spans="1:21" ht="13" x14ac:dyDescent="0.4">
      <c r="A87" s="594"/>
      <c r="B87" s="594"/>
      <c r="C87" s="594"/>
      <c r="D87" s="594"/>
      <c r="E87" s="594"/>
      <c r="F87" s="594"/>
      <c r="G87" s="594"/>
      <c r="H87" s="594"/>
      <c r="I87" s="594"/>
      <c r="J87" s="594"/>
      <c r="K87" s="594"/>
      <c r="L87" s="594"/>
      <c r="M87" s="594"/>
      <c r="N87" s="594"/>
      <c r="O87" s="594"/>
      <c r="P87" s="594"/>
      <c r="Q87" s="594"/>
      <c r="R87" s="594"/>
      <c r="S87" s="594"/>
      <c r="T87" s="594"/>
      <c r="U87" s="594"/>
    </row>
    <row r="88" spans="1:21" ht="13" x14ac:dyDescent="0.4">
      <c r="A88" s="594"/>
      <c r="B88" s="594"/>
      <c r="C88" s="594"/>
      <c r="D88" s="594"/>
      <c r="E88" s="594"/>
      <c r="F88" s="594"/>
      <c r="G88" s="594"/>
      <c r="H88" s="594"/>
      <c r="I88" s="594"/>
      <c r="J88" s="594"/>
      <c r="K88" s="594"/>
      <c r="L88" s="594"/>
      <c r="M88" s="594"/>
      <c r="N88" s="594"/>
      <c r="O88" s="594"/>
      <c r="P88" s="594"/>
      <c r="Q88" s="594"/>
      <c r="R88" s="594"/>
      <c r="S88" s="594"/>
      <c r="T88" s="594"/>
      <c r="U88" s="594"/>
    </row>
    <row r="89" spans="1:21" ht="13" x14ac:dyDescent="0.4">
      <c r="A89" s="594"/>
      <c r="B89" s="594"/>
      <c r="C89" s="594"/>
      <c r="D89" s="594"/>
      <c r="E89" s="594"/>
      <c r="F89" s="594"/>
      <c r="G89" s="594"/>
      <c r="H89" s="594"/>
      <c r="I89" s="594"/>
      <c r="J89" s="594"/>
      <c r="K89" s="594"/>
      <c r="L89" s="594"/>
      <c r="M89" s="594"/>
      <c r="N89" s="594"/>
      <c r="O89" s="594"/>
      <c r="P89" s="594"/>
      <c r="Q89" s="594"/>
      <c r="R89" s="594"/>
      <c r="S89" s="594"/>
      <c r="T89" s="594"/>
      <c r="U89" s="594"/>
    </row>
    <row r="90" spans="1:21" ht="13" x14ac:dyDescent="0.4">
      <c r="A90" s="594"/>
      <c r="B90" s="594"/>
      <c r="C90" s="594"/>
      <c r="D90" s="594"/>
      <c r="E90" s="594"/>
      <c r="F90" s="594"/>
      <c r="G90" s="594"/>
      <c r="H90" s="594"/>
      <c r="I90" s="594"/>
      <c r="J90" s="594"/>
      <c r="K90" s="594"/>
      <c r="L90" s="594"/>
      <c r="M90" s="594"/>
      <c r="N90" s="594"/>
      <c r="O90" s="594"/>
      <c r="P90" s="594"/>
      <c r="Q90" s="594"/>
      <c r="R90" s="594"/>
      <c r="S90" s="594"/>
      <c r="T90" s="594"/>
      <c r="U90" s="594"/>
    </row>
    <row r="91" spans="1:21" ht="13" x14ac:dyDescent="0.4">
      <c r="A91" s="594"/>
      <c r="B91" s="594"/>
      <c r="C91" s="594"/>
      <c r="D91" s="594"/>
      <c r="E91" s="594"/>
      <c r="F91" s="594"/>
      <c r="G91" s="594"/>
      <c r="H91" s="594"/>
      <c r="I91" s="594"/>
      <c r="J91" s="594"/>
      <c r="K91" s="594"/>
      <c r="L91" s="594"/>
      <c r="M91" s="594"/>
      <c r="N91" s="594"/>
      <c r="O91" s="594"/>
      <c r="P91" s="594"/>
      <c r="Q91" s="594"/>
      <c r="R91" s="594"/>
      <c r="S91" s="594"/>
      <c r="T91" s="594"/>
      <c r="U91" s="594"/>
    </row>
    <row r="92" spans="1:21" ht="13" x14ac:dyDescent="0.4">
      <c r="A92" s="594"/>
      <c r="B92" s="594"/>
      <c r="C92" s="594"/>
      <c r="D92" s="594"/>
      <c r="E92" s="594"/>
      <c r="F92" s="594"/>
      <c r="G92" s="594"/>
      <c r="H92" s="594"/>
      <c r="I92" s="594"/>
      <c r="J92" s="594"/>
      <c r="K92" s="594"/>
      <c r="L92" s="594"/>
      <c r="M92" s="594"/>
      <c r="N92" s="594"/>
      <c r="O92" s="594"/>
      <c r="P92" s="594"/>
      <c r="Q92" s="594"/>
      <c r="R92" s="594"/>
      <c r="S92" s="594"/>
      <c r="T92" s="594"/>
      <c r="U92" s="594"/>
    </row>
    <row r="93" spans="1:21" ht="13" x14ac:dyDescent="0.4">
      <c r="A93" s="594"/>
      <c r="B93" s="594"/>
      <c r="C93" s="594"/>
      <c r="D93" s="594"/>
      <c r="E93" s="594"/>
      <c r="F93" s="594"/>
      <c r="G93" s="594"/>
      <c r="H93" s="594"/>
      <c r="I93" s="594"/>
      <c r="J93" s="594"/>
      <c r="K93" s="594"/>
      <c r="L93" s="594"/>
      <c r="M93" s="594"/>
      <c r="N93" s="594"/>
      <c r="O93" s="594"/>
      <c r="P93" s="594"/>
      <c r="Q93" s="594"/>
      <c r="R93" s="594"/>
      <c r="S93" s="594"/>
      <c r="T93" s="594"/>
      <c r="U93" s="594"/>
    </row>
    <row r="94" spans="1:21" ht="13" x14ac:dyDescent="0.4">
      <c r="A94" s="594"/>
      <c r="B94" s="594"/>
      <c r="C94" s="594"/>
      <c r="D94" s="594"/>
      <c r="E94" s="594"/>
      <c r="F94" s="594"/>
      <c r="G94" s="594"/>
      <c r="H94" s="594"/>
      <c r="I94" s="594"/>
      <c r="J94" s="594"/>
      <c r="K94" s="594"/>
      <c r="L94" s="594"/>
      <c r="M94" s="594"/>
      <c r="N94" s="594"/>
      <c r="O94" s="594"/>
      <c r="P94" s="594"/>
      <c r="Q94" s="594"/>
      <c r="R94" s="594"/>
      <c r="S94" s="594"/>
      <c r="T94" s="594"/>
      <c r="U94" s="594"/>
    </row>
    <row r="95" spans="1:21" ht="13" x14ac:dyDescent="0.4">
      <c r="A95" s="594"/>
      <c r="B95" s="594"/>
      <c r="C95" s="594"/>
      <c r="D95" s="594"/>
      <c r="E95" s="594"/>
      <c r="F95" s="594"/>
      <c r="G95" s="594"/>
      <c r="H95" s="594"/>
      <c r="I95" s="594"/>
      <c r="J95" s="594"/>
      <c r="K95" s="594"/>
      <c r="L95" s="594"/>
      <c r="M95" s="594"/>
      <c r="N95" s="594"/>
      <c r="O95" s="594"/>
      <c r="P95" s="594"/>
      <c r="Q95" s="594"/>
      <c r="R95" s="594"/>
      <c r="S95" s="594"/>
      <c r="T95" s="594"/>
      <c r="U95" s="594"/>
    </row>
    <row r="96" spans="1:21" ht="13" x14ac:dyDescent="0.4">
      <c r="A96" s="594"/>
      <c r="B96" s="594"/>
      <c r="C96" s="594"/>
      <c r="D96" s="594"/>
      <c r="E96" s="594"/>
      <c r="F96" s="594"/>
      <c r="G96" s="594"/>
      <c r="H96" s="594"/>
      <c r="I96" s="594"/>
      <c r="J96" s="594"/>
      <c r="K96" s="594"/>
      <c r="L96" s="594"/>
      <c r="M96" s="594"/>
      <c r="N96" s="594"/>
      <c r="O96" s="594"/>
      <c r="P96" s="594"/>
      <c r="Q96" s="594"/>
      <c r="R96" s="594"/>
      <c r="S96" s="594"/>
      <c r="T96" s="594"/>
      <c r="U96" s="594"/>
    </row>
    <row r="97" spans="1:21" ht="13" x14ac:dyDescent="0.4">
      <c r="A97" s="594"/>
      <c r="B97" s="594"/>
      <c r="C97" s="594"/>
      <c r="D97" s="594"/>
      <c r="E97" s="594"/>
      <c r="F97" s="594"/>
      <c r="G97" s="594"/>
      <c r="H97" s="594"/>
      <c r="I97" s="594"/>
      <c r="J97" s="594"/>
      <c r="K97" s="594"/>
      <c r="L97" s="594"/>
      <c r="M97" s="594"/>
      <c r="N97" s="594"/>
      <c r="O97" s="594"/>
      <c r="P97" s="594"/>
      <c r="Q97" s="594"/>
      <c r="R97" s="594"/>
      <c r="S97" s="594"/>
      <c r="T97" s="594"/>
      <c r="U97" s="594"/>
    </row>
    <row r="98" spans="1:21" ht="13" x14ac:dyDescent="0.4">
      <c r="A98" s="594"/>
      <c r="B98" s="594"/>
      <c r="C98" s="594"/>
      <c r="D98" s="594"/>
      <c r="E98" s="594"/>
      <c r="F98" s="594"/>
      <c r="G98" s="594"/>
      <c r="H98" s="594"/>
      <c r="I98" s="594"/>
      <c r="J98" s="594"/>
      <c r="K98" s="594"/>
      <c r="L98" s="594"/>
      <c r="M98" s="594"/>
      <c r="N98" s="594"/>
      <c r="O98" s="594"/>
      <c r="P98" s="594"/>
      <c r="Q98" s="594"/>
      <c r="R98" s="594"/>
      <c r="S98" s="594"/>
      <c r="T98" s="594"/>
      <c r="U98" s="594"/>
    </row>
    <row r="99" spans="1:21" ht="13" x14ac:dyDescent="0.4">
      <c r="A99" s="594"/>
      <c r="B99" s="594"/>
      <c r="C99" s="594"/>
      <c r="D99" s="594"/>
      <c r="E99" s="594"/>
      <c r="F99" s="594"/>
      <c r="G99" s="594"/>
      <c r="H99" s="594"/>
      <c r="I99" s="594"/>
      <c r="J99" s="594"/>
      <c r="K99" s="594"/>
      <c r="L99" s="594"/>
      <c r="M99" s="594"/>
      <c r="N99" s="594"/>
      <c r="O99" s="594"/>
      <c r="P99" s="594"/>
      <c r="Q99" s="594"/>
      <c r="R99" s="594"/>
      <c r="S99" s="594"/>
      <c r="T99" s="594"/>
      <c r="U99" s="594"/>
    </row>
    <row r="100" spans="1:21" ht="13" x14ac:dyDescent="0.4">
      <c r="A100" s="594"/>
      <c r="B100" s="594"/>
      <c r="C100" s="594"/>
      <c r="D100" s="594"/>
      <c r="E100" s="594"/>
      <c r="F100" s="594"/>
      <c r="G100" s="594"/>
      <c r="H100" s="594"/>
      <c r="I100" s="594"/>
      <c r="J100" s="594"/>
      <c r="K100" s="594"/>
      <c r="L100" s="594"/>
      <c r="M100" s="594"/>
      <c r="N100" s="594"/>
      <c r="O100" s="594"/>
      <c r="P100" s="594"/>
      <c r="Q100" s="594"/>
      <c r="R100" s="594"/>
      <c r="S100" s="594"/>
      <c r="T100" s="594"/>
      <c r="U100" s="594"/>
    </row>
    <row r="101" spans="1:21" ht="13" x14ac:dyDescent="0.4">
      <c r="A101" s="594"/>
      <c r="B101" s="594"/>
      <c r="C101" s="594"/>
      <c r="D101" s="594"/>
      <c r="E101" s="594"/>
      <c r="F101" s="594"/>
      <c r="G101" s="594"/>
      <c r="H101" s="594"/>
      <c r="I101" s="594"/>
      <c r="J101" s="594"/>
      <c r="K101" s="594"/>
      <c r="L101" s="594"/>
      <c r="M101" s="594"/>
      <c r="N101" s="594"/>
      <c r="O101" s="594"/>
      <c r="P101" s="594"/>
      <c r="Q101" s="594"/>
      <c r="R101" s="594"/>
      <c r="S101" s="594"/>
      <c r="T101" s="594"/>
      <c r="U101" s="594"/>
    </row>
    <row r="102" spans="1:21" ht="13" x14ac:dyDescent="0.4">
      <c r="A102" s="594"/>
      <c r="B102" s="594"/>
      <c r="C102" s="594"/>
      <c r="D102" s="594"/>
      <c r="E102" s="594"/>
      <c r="F102" s="594"/>
      <c r="G102" s="594"/>
      <c r="H102" s="594"/>
      <c r="I102" s="594"/>
      <c r="J102" s="594"/>
      <c r="K102" s="594"/>
      <c r="L102" s="594"/>
      <c r="M102" s="594"/>
      <c r="N102" s="594"/>
      <c r="O102" s="594"/>
      <c r="P102" s="594"/>
      <c r="Q102" s="594"/>
      <c r="R102" s="594"/>
      <c r="S102" s="594"/>
      <c r="T102" s="594"/>
      <c r="U102" s="594"/>
    </row>
    <row r="103" spans="1:21" ht="13" x14ac:dyDescent="0.4">
      <c r="A103" s="594"/>
      <c r="B103" s="594"/>
      <c r="C103" s="594"/>
      <c r="D103" s="594"/>
      <c r="E103" s="594"/>
      <c r="F103" s="594"/>
      <c r="G103" s="594"/>
      <c r="H103" s="594"/>
      <c r="I103" s="594"/>
      <c r="J103" s="594"/>
      <c r="K103" s="594"/>
      <c r="L103" s="594"/>
      <c r="M103" s="594"/>
      <c r="N103" s="594"/>
      <c r="O103" s="594"/>
      <c r="P103" s="594"/>
      <c r="Q103" s="594"/>
      <c r="R103" s="594"/>
      <c r="S103" s="594"/>
      <c r="T103" s="594"/>
      <c r="U103" s="594"/>
    </row>
    <row r="104" spans="1:21" ht="13" x14ac:dyDescent="0.4">
      <c r="A104" s="594"/>
      <c r="B104" s="594"/>
      <c r="C104" s="594"/>
      <c r="D104" s="594"/>
      <c r="E104" s="594"/>
      <c r="F104" s="594"/>
      <c r="G104" s="594"/>
      <c r="H104" s="594"/>
      <c r="I104" s="594"/>
      <c r="J104" s="594"/>
      <c r="K104" s="594"/>
      <c r="L104" s="594"/>
      <c r="M104" s="594"/>
      <c r="N104" s="594"/>
      <c r="O104" s="594"/>
      <c r="P104" s="594"/>
      <c r="Q104" s="594"/>
      <c r="R104" s="594"/>
      <c r="S104" s="594"/>
      <c r="T104" s="594"/>
      <c r="U104" s="594"/>
    </row>
    <row r="105" spans="1:21" ht="13" x14ac:dyDescent="0.4">
      <c r="A105" s="594"/>
      <c r="B105" s="594"/>
      <c r="C105" s="594"/>
      <c r="D105" s="594"/>
      <c r="E105" s="594"/>
      <c r="F105" s="594"/>
      <c r="G105" s="594"/>
      <c r="H105" s="594"/>
      <c r="I105" s="594"/>
      <c r="J105" s="594"/>
      <c r="K105" s="594"/>
      <c r="L105" s="594"/>
      <c r="M105" s="594"/>
      <c r="N105" s="594"/>
      <c r="O105" s="594"/>
      <c r="P105" s="594"/>
      <c r="Q105" s="594"/>
      <c r="R105" s="594"/>
      <c r="S105" s="594"/>
      <c r="T105" s="594"/>
      <c r="U105" s="594"/>
    </row>
    <row r="106" spans="1:21" ht="13" x14ac:dyDescent="0.4">
      <c r="A106" s="594"/>
      <c r="B106" s="594"/>
      <c r="C106" s="594"/>
      <c r="D106" s="594"/>
      <c r="E106" s="594"/>
      <c r="F106" s="594"/>
      <c r="G106" s="594"/>
      <c r="H106" s="594"/>
      <c r="I106" s="594"/>
      <c r="J106" s="594"/>
      <c r="K106" s="594"/>
      <c r="L106" s="594"/>
      <c r="M106" s="594"/>
      <c r="N106" s="594"/>
      <c r="O106" s="594"/>
      <c r="P106" s="594"/>
      <c r="Q106" s="594"/>
      <c r="R106" s="594"/>
      <c r="S106" s="594"/>
      <c r="T106" s="594"/>
      <c r="U106" s="594"/>
    </row>
    <row r="107" spans="1:21" ht="13" x14ac:dyDescent="0.4">
      <c r="A107" s="594"/>
      <c r="B107" s="594"/>
      <c r="C107" s="594"/>
      <c r="D107" s="594"/>
      <c r="E107" s="594"/>
      <c r="F107" s="594"/>
      <c r="G107" s="594"/>
      <c r="H107" s="594"/>
      <c r="I107" s="594"/>
      <c r="J107" s="594"/>
      <c r="K107" s="594"/>
      <c r="L107" s="594"/>
      <c r="M107" s="594"/>
      <c r="N107" s="594"/>
      <c r="O107" s="594"/>
      <c r="P107" s="594"/>
      <c r="Q107" s="594"/>
      <c r="R107" s="594"/>
      <c r="S107" s="594"/>
      <c r="T107" s="594"/>
      <c r="U107" s="594"/>
    </row>
    <row r="108" spans="1:21" ht="13" x14ac:dyDescent="0.4">
      <c r="A108" s="594"/>
      <c r="B108" s="594"/>
      <c r="C108" s="594"/>
      <c r="D108" s="594"/>
      <c r="E108" s="594"/>
      <c r="F108" s="594"/>
      <c r="G108" s="594"/>
      <c r="H108" s="594"/>
      <c r="I108" s="594"/>
      <c r="J108" s="594"/>
      <c r="K108" s="594"/>
      <c r="L108" s="594"/>
      <c r="M108" s="594"/>
      <c r="N108" s="594"/>
      <c r="O108" s="594"/>
      <c r="P108" s="594"/>
      <c r="Q108" s="594"/>
      <c r="R108" s="594"/>
      <c r="S108" s="594"/>
      <c r="T108" s="594"/>
      <c r="U108" s="594"/>
    </row>
    <row r="109" spans="1:21" ht="13" x14ac:dyDescent="0.4">
      <c r="A109" s="594"/>
      <c r="B109" s="594"/>
      <c r="C109" s="594"/>
      <c r="D109" s="594"/>
      <c r="E109" s="594"/>
      <c r="F109" s="594"/>
      <c r="G109" s="594"/>
      <c r="H109" s="594"/>
      <c r="I109" s="594"/>
      <c r="J109" s="594"/>
      <c r="K109" s="594"/>
      <c r="L109" s="594"/>
      <c r="M109" s="594"/>
      <c r="N109" s="594"/>
      <c r="O109" s="594"/>
      <c r="P109" s="594"/>
      <c r="Q109" s="594"/>
      <c r="R109" s="594"/>
      <c r="S109" s="594"/>
      <c r="T109" s="594"/>
      <c r="U109" s="594"/>
    </row>
    <row r="110" spans="1:21" ht="13" x14ac:dyDescent="0.4">
      <c r="A110" s="594"/>
      <c r="B110" s="594"/>
      <c r="C110" s="594"/>
      <c r="D110" s="594"/>
      <c r="E110" s="594"/>
      <c r="F110" s="594"/>
      <c r="G110" s="594"/>
      <c r="H110" s="594"/>
      <c r="I110" s="594"/>
      <c r="J110" s="594"/>
      <c r="K110" s="594"/>
      <c r="L110" s="594"/>
      <c r="M110" s="594"/>
      <c r="N110" s="594"/>
      <c r="O110" s="594"/>
      <c r="P110" s="594"/>
      <c r="Q110" s="594"/>
      <c r="R110" s="594"/>
      <c r="S110" s="594"/>
      <c r="T110" s="594"/>
      <c r="U110" s="594"/>
    </row>
    <row r="111" spans="1:21" ht="13" x14ac:dyDescent="0.4">
      <c r="A111" s="594"/>
      <c r="B111" s="594"/>
      <c r="C111" s="594"/>
      <c r="D111" s="594"/>
      <c r="E111" s="594"/>
      <c r="F111" s="594"/>
      <c r="G111" s="594"/>
      <c r="H111" s="594"/>
      <c r="I111" s="594"/>
      <c r="J111" s="594"/>
      <c r="K111" s="594"/>
      <c r="L111" s="594"/>
      <c r="M111" s="594"/>
      <c r="N111" s="594"/>
      <c r="O111" s="594"/>
      <c r="P111" s="594"/>
      <c r="Q111" s="594"/>
      <c r="R111" s="594"/>
      <c r="S111" s="594"/>
      <c r="T111" s="594"/>
      <c r="U111" s="594"/>
    </row>
    <row r="112" spans="1:21" ht="13" x14ac:dyDescent="0.4">
      <c r="A112" s="594"/>
      <c r="B112" s="594"/>
      <c r="C112" s="594"/>
      <c r="D112" s="594"/>
      <c r="E112" s="594"/>
      <c r="F112" s="594"/>
      <c r="G112" s="594"/>
      <c r="H112" s="594"/>
      <c r="I112" s="594"/>
      <c r="J112" s="594"/>
      <c r="K112" s="594"/>
      <c r="L112" s="594"/>
      <c r="M112" s="594"/>
      <c r="N112" s="594"/>
      <c r="O112" s="594"/>
      <c r="P112" s="594"/>
      <c r="Q112" s="594"/>
      <c r="R112" s="594"/>
      <c r="S112" s="594"/>
      <c r="T112" s="594"/>
      <c r="U112" s="594"/>
    </row>
    <row r="113" spans="1:21" ht="13" x14ac:dyDescent="0.4">
      <c r="A113" s="594"/>
      <c r="B113" s="594"/>
      <c r="C113" s="594"/>
      <c r="D113" s="594"/>
      <c r="E113" s="594"/>
      <c r="F113" s="594"/>
      <c r="G113" s="594"/>
      <c r="H113" s="594"/>
      <c r="I113" s="594"/>
      <c r="J113" s="594"/>
      <c r="K113" s="594"/>
      <c r="L113" s="594"/>
      <c r="M113" s="594"/>
      <c r="N113" s="594"/>
      <c r="O113" s="594"/>
      <c r="P113" s="594"/>
      <c r="Q113" s="594"/>
      <c r="R113" s="594"/>
      <c r="S113" s="594"/>
      <c r="T113" s="594"/>
      <c r="U113" s="594"/>
    </row>
    <row r="114" spans="1:21" ht="13" x14ac:dyDescent="0.4">
      <c r="A114" s="594"/>
      <c r="B114" s="594"/>
      <c r="C114" s="594"/>
      <c r="D114" s="594"/>
      <c r="E114" s="594"/>
      <c r="F114" s="594"/>
      <c r="G114" s="594"/>
      <c r="H114" s="594"/>
      <c r="I114" s="594"/>
      <c r="J114" s="594"/>
      <c r="K114" s="594"/>
      <c r="L114" s="594"/>
      <c r="M114" s="594"/>
      <c r="N114" s="594"/>
      <c r="O114" s="594"/>
      <c r="P114" s="594"/>
      <c r="Q114" s="594"/>
      <c r="R114" s="594"/>
      <c r="S114" s="594"/>
      <c r="T114" s="594"/>
      <c r="U114" s="594"/>
    </row>
    <row r="115" spans="1:21" ht="13" x14ac:dyDescent="0.4">
      <c r="A115" s="594"/>
      <c r="B115" s="594"/>
      <c r="C115" s="594"/>
      <c r="D115" s="594"/>
      <c r="E115" s="594"/>
      <c r="F115" s="594"/>
      <c r="G115" s="594"/>
      <c r="H115" s="594"/>
      <c r="I115" s="594"/>
      <c r="J115" s="594"/>
      <c r="K115" s="594"/>
      <c r="L115" s="594"/>
      <c r="M115" s="594"/>
      <c r="N115" s="594"/>
      <c r="O115" s="594"/>
      <c r="P115" s="594"/>
      <c r="Q115" s="594"/>
      <c r="R115" s="594"/>
      <c r="S115" s="594"/>
      <c r="T115" s="594"/>
      <c r="U115" s="594"/>
    </row>
    <row r="116" spans="1:21" ht="13" x14ac:dyDescent="0.4">
      <c r="A116" s="594"/>
      <c r="B116" s="594"/>
      <c r="C116" s="594"/>
      <c r="D116" s="594"/>
      <c r="E116" s="594"/>
      <c r="F116" s="594"/>
      <c r="G116" s="594"/>
      <c r="H116" s="594"/>
      <c r="I116" s="594"/>
      <c r="J116" s="594"/>
      <c r="K116" s="594"/>
      <c r="L116" s="594"/>
      <c r="M116" s="594"/>
      <c r="N116" s="594"/>
      <c r="O116" s="594"/>
      <c r="P116" s="594"/>
      <c r="Q116" s="594"/>
      <c r="R116" s="594"/>
      <c r="S116" s="594"/>
      <c r="T116" s="594"/>
      <c r="U116" s="594"/>
    </row>
    <row r="117" spans="1:21" ht="13" x14ac:dyDescent="0.4">
      <c r="A117" s="594"/>
      <c r="B117" s="594"/>
      <c r="C117" s="594"/>
      <c r="D117" s="594"/>
      <c r="E117" s="594"/>
      <c r="F117" s="594"/>
      <c r="G117" s="594"/>
      <c r="H117" s="594"/>
      <c r="I117" s="594"/>
      <c r="J117" s="594"/>
      <c r="K117" s="594"/>
      <c r="L117" s="594"/>
      <c r="M117" s="594"/>
      <c r="N117" s="594"/>
      <c r="O117" s="594"/>
      <c r="P117" s="594"/>
      <c r="Q117" s="594"/>
      <c r="R117" s="594"/>
      <c r="S117" s="594"/>
      <c r="T117" s="594"/>
      <c r="U117" s="594"/>
    </row>
    <row r="118" spans="1:21" ht="13" x14ac:dyDescent="0.4">
      <c r="A118" s="594"/>
      <c r="B118" s="594"/>
      <c r="C118" s="594"/>
      <c r="D118" s="594"/>
      <c r="E118" s="594"/>
      <c r="F118" s="594"/>
      <c r="G118" s="594"/>
      <c r="H118" s="594"/>
      <c r="I118" s="594"/>
      <c r="J118" s="594"/>
      <c r="K118" s="594"/>
      <c r="L118" s="594"/>
      <c r="M118" s="594"/>
      <c r="N118" s="594"/>
      <c r="O118" s="594"/>
      <c r="P118" s="594"/>
      <c r="Q118" s="594"/>
      <c r="R118" s="594"/>
      <c r="S118" s="594"/>
      <c r="T118" s="594"/>
      <c r="U118" s="594"/>
    </row>
    <row r="119" spans="1:21" ht="13" x14ac:dyDescent="0.4">
      <c r="A119" s="594"/>
      <c r="B119" s="594"/>
      <c r="C119" s="594"/>
      <c r="D119" s="594"/>
      <c r="E119" s="594"/>
      <c r="F119" s="594"/>
      <c r="G119" s="594"/>
      <c r="H119" s="594"/>
      <c r="I119" s="594"/>
      <c r="J119" s="594"/>
      <c r="K119" s="594"/>
      <c r="L119" s="594"/>
      <c r="M119" s="594"/>
      <c r="N119" s="594"/>
      <c r="O119" s="594"/>
      <c r="P119" s="594"/>
      <c r="Q119" s="594"/>
      <c r="R119" s="594"/>
      <c r="S119" s="594"/>
      <c r="T119" s="594"/>
      <c r="U119" s="594"/>
    </row>
    <row r="120" spans="1:21" ht="13" x14ac:dyDescent="0.4">
      <c r="A120" s="594"/>
      <c r="B120" s="594"/>
      <c r="C120" s="594"/>
      <c r="D120" s="594"/>
      <c r="E120" s="594"/>
      <c r="F120" s="594"/>
      <c r="G120" s="594"/>
      <c r="H120" s="594"/>
      <c r="I120" s="594"/>
      <c r="J120" s="594"/>
      <c r="K120" s="594"/>
      <c r="L120" s="594"/>
      <c r="M120" s="594"/>
      <c r="N120" s="594"/>
      <c r="O120" s="594"/>
      <c r="P120" s="594"/>
      <c r="Q120" s="594"/>
      <c r="R120" s="594"/>
      <c r="S120" s="594"/>
      <c r="T120" s="594"/>
      <c r="U120" s="594"/>
    </row>
    <row r="121" spans="1:21" ht="13" x14ac:dyDescent="0.4">
      <c r="A121" s="594"/>
      <c r="B121" s="594"/>
      <c r="C121" s="594"/>
      <c r="D121" s="594"/>
      <c r="E121" s="594"/>
      <c r="F121" s="594"/>
      <c r="G121" s="594"/>
      <c r="H121" s="594"/>
      <c r="I121" s="594"/>
      <c r="J121" s="594"/>
      <c r="K121" s="594"/>
      <c r="L121" s="594"/>
      <c r="M121" s="594"/>
      <c r="N121" s="594"/>
      <c r="O121" s="594"/>
      <c r="P121" s="594"/>
      <c r="Q121" s="594"/>
      <c r="R121" s="594"/>
      <c r="S121" s="594"/>
      <c r="T121" s="594"/>
      <c r="U121" s="594"/>
    </row>
    <row r="122" spans="1:21" ht="13" x14ac:dyDescent="0.4">
      <c r="A122" s="594"/>
      <c r="B122" s="594"/>
      <c r="C122" s="594"/>
      <c r="D122" s="594"/>
      <c r="E122" s="594"/>
      <c r="F122" s="594"/>
      <c r="G122" s="594"/>
      <c r="H122" s="594"/>
      <c r="I122" s="594"/>
      <c r="J122" s="594"/>
      <c r="K122" s="594"/>
      <c r="L122" s="594"/>
      <c r="M122" s="594"/>
      <c r="N122" s="594"/>
      <c r="O122" s="594"/>
      <c r="P122" s="594"/>
      <c r="Q122" s="594"/>
      <c r="R122" s="594"/>
      <c r="S122" s="594"/>
      <c r="T122" s="594"/>
      <c r="U122" s="594"/>
    </row>
    <row r="123" spans="1:21" ht="13" x14ac:dyDescent="0.4">
      <c r="A123" s="594"/>
      <c r="B123" s="594"/>
      <c r="C123" s="594"/>
      <c r="D123" s="594"/>
      <c r="E123" s="594"/>
      <c r="F123" s="594"/>
      <c r="G123" s="594"/>
      <c r="H123" s="594"/>
      <c r="I123" s="594"/>
      <c r="J123" s="594"/>
      <c r="K123" s="594"/>
      <c r="L123" s="594"/>
      <c r="M123" s="594"/>
      <c r="N123" s="594"/>
      <c r="O123" s="594"/>
      <c r="P123" s="594"/>
      <c r="Q123" s="594"/>
      <c r="R123" s="594"/>
      <c r="S123" s="594"/>
      <c r="T123" s="594"/>
      <c r="U123" s="594"/>
    </row>
    <row r="124" spans="1:21" ht="13" x14ac:dyDescent="0.4">
      <c r="A124" s="594"/>
      <c r="B124" s="594"/>
      <c r="C124" s="594"/>
      <c r="D124" s="594"/>
      <c r="E124" s="594"/>
      <c r="F124" s="594"/>
      <c r="G124" s="594"/>
      <c r="H124" s="594"/>
      <c r="I124" s="594"/>
      <c r="J124" s="594"/>
      <c r="K124" s="594"/>
      <c r="L124" s="594"/>
      <c r="M124" s="594"/>
      <c r="N124" s="594"/>
      <c r="O124" s="594"/>
      <c r="P124" s="594"/>
      <c r="Q124" s="594"/>
      <c r="R124" s="594"/>
      <c r="S124" s="594"/>
      <c r="T124" s="594"/>
      <c r="U124" s="594"/>
    </row>
    <row r="125" spans="1:21" ht="13" x14ac:dyDescent="0.4">
      <c r="A125" s="594"/>
      <c r="B125" s="594"/>
      <c r="C125" s="594"/>
      <c r="D125" s="594"/>
      <c r="E125" s="594"/>
      <c r="F125" s="594"/>
      <c r="G125" s="594"/>
      <c r="H125" s="594"/>
      <c r="I125" s="594"/>
      <c r="J125" s="594"/>
      <c r="K125" s="594"/>
      <c r="L125" s="594"/>
      <c r="M125" s="594"/>
      <c r="N125" s="594"/>
      <c r="O125" s="594"/>
      <c r="P125" s="594"/>
      <c r="Q125" s="594"/>
      <c r="R125" s="594"/>
      <c r="S125" s="594"/>
      <c r="T125" s="594"/>
      <c r="U125" s="594"/>
    </row>
    <row r="126" spans="1:21" ht="13" x14ac:dyDescent="0.4">
      <c r="A126" s="594"/>
      <c r="B126" s="594"/>
      <c r="C126" s="594"/>
      <c r="D126" s="594"/>
      <c r="E126" s="594"/>
      <c r="F126" s="594"/>
      <c r="G126" s="594"/>
      <c r="H126" s="594"/>
      <c r="I126" s="594"/>
      <c r="J126" s="594"/>
      <c r="K126" s="594"/>
      <c r="L126" s="594"/>
      <c r="M126" s="594"/>
      <c r="N126" s="594"/>
      <c r="O126" s="594"/>
      <c r="P126" s="594"/>
      <c r="Q126" s="594"/>
      <c r="R126" s="594"/>
      <c r="S126" s="594"/>
      <c r="T126" s="594"/>
      <c r="U126" s="594"/>
    </row>
    <row r="127" spans="1:21" ht="13" x14ac:dyDescent="0.4">
      <c r="A127" s="594"/>
      <c r="B127" s="594"/>
      <c r="C127" s="594"/>
      <c r="D127" s="594"/>
      <c r="E127" s="594"/>
      <c r="F127" s="594"/>
      <c r="G127" s="594"/>
      <c r="H127" s="594"/>
      <c r="I127" s="594"/>
      <c r="J127" s="594"/>
      <c r="K127" s="594"/>
      <c r="L127" s="594"/>
      <c r="M127" s="594"/>
      <c r="N127" s="594"/>
      <c r="O127" s="594"/>
      <c r="P127" s="594"/>
      <c r="Q127" s="594"/>
      <c r="R127" s="594"/>
      <c r="S127" s="594"/>
      <c r="T127" s="594"/>
      <c r="U127" s="594"/>
    </row>
    <row r="128" spans="1:21" ht="13" x14ac:dyDescent="0.4">
      <c r="A128" s="594"/>
      <c r="B128" s="594"/>
      <c r="C128" s="594"/>
      <c r="D128" s="594"/>
      <c r="E128" s="594"/>
      <c r="F128" s="594"/>
      <c r="G128" s="594"/>
      <c r="H128" s="594"/>
      <c r="I128" s="594"/>
      <c r="J128" s="594"/>
      <c r="K128" s="594"/>
      <c r="L128" s="594"/>
      <c r="M128" s="594"/>
      <c r="N128" s="594"/>
      <c r="O128" s="594"/>
      <c r="P128" s="594"/>
      <c r="Q128" s="594"/>
      <c r="R128" s="594"/>
      <c r="S128" s="594"/>
      <c r="T128" s="594"/>
      <c r="U128" s="594"/>
    </row>
    <row r="129" spans="1:21" ht="13" x14ac:dyDescent="0.4">
      <c r="A129" s="594"/>
      <c r="B129" s="594"/>
      <c r="C129" s="594"/>
      <c r="D129" s="594"/>
      <c r="E129" s="594"/>
      <c r="F129" s="594"/>
      <c r="G129" s="594"/>
      <c r="H129" s="594"/>
      <c r="I129" s="594"/>
      <c r="J129" s="594"/>
      <c r="K129" s="594"/>
      <c r="L129" s="594"/>
      <c r="M129" s="594"/>
      <c r="N129" s="594"/>
      <c r="O129" s="594"/>
      <c r="P129" s="594"/>
      <c r="Q129" s="594"/>
      <c r="R129" s="594"/>
      <c r="S129" s="594"/>
      <c r="T129" s="594"/>
      <c r="U129" s="594"/>
    </row>
    <row r="130" spans="1:21" ht="13" x14ac:dyDescent="0.4">
      <c r="A130" s="594"/>
      <c r="B130" s="594"/>
      <c r="C130" s="594"/>
      <c r="D130" s="594"/>
      <c r="E130" s="594"/>
      <c r="F130" s="594"/>
      <c r="G130" s="594"/>
      <c r="H130" s="594"/>
      <c r="I130" s="594"/>
      <c r="J130" s="594"/>
      <c r="K130" s="594"/>
      <c r="L130" s="594"/>
      <c r="M130" s="594"/>
      <c r="N130" s="594"/>
      <c r="O130" s="594"/>
      <c r="P130" s="594"/>
      <c r="Q130" s="594"/>
      <c r="R130" s="594"/>
      <c r="S130" s="594"/>
      <c r="T130" s="594"/>
      <c r="U130" s="594"/>
    </row>
    <row r="131" spans="1:21" ht="13" x14ac:dyDescent="0.4">
      <c r="A131" s="594"/>
      <c r="B131" s="594"/>
      <c r="C131" s="594"/>
      <c r="D131" s="594"/>
      <c r="E131" s="594"/>
      <c r="F131" s="594"/>
      <c r="G131" s="594"/>
      <c r="H131" s="594"/>
      <c r="I131" s="594"/>
      <c r="J131" s="594"/>
      <c r="K131" s="594"/>
      <c r="L131" s="594"/>
      <c r="M131" s="594"/>
      <c r="N131" s="594"/>
      <c r="O131" s="594"/>
      <c r="P131" s="594"/>
      <c r="Q131" s="594"/>
      <c r="R131" s="594"/>
      <c r="S131" s="594"/>
      <c r="T131" s="594"/>
      <c r="U131" s="594"/>
    </row>
    <row r="132" spans="1:21" ht="13" x14ac:dyDescent="0.4">
      <c r="A132" s="594"/>
      <c r="B132" s="594"/>
      <c r="C132" s="594"/>
      <c r="D132" s="594"/>
      <c r="E132" s="594"/>
      <c r="F132" s="594"/>
      <c r="G132" s="594"/>
      <c r="H132" s="594"/>
      <c r="I132" s="594"/>
      <c r="J132" s="594"/>
      <c r="K132" s="594"/>
      <c r="L132" s="594"/>
      <c r="M132" s="594"/>
      <c r="N132" s="594"/>
      <c r="O132" s="594"/>
      <c r="P132" s="594"/>
      <c r="Q132" s="594"/>
      <c r="R132" s="594"/>
      <c r="S132" s="594"/>
      <c r="T132" s="594"/>
      <c r="U132" s="594"/>
    </row>
    <row r="133" spans="1:21" ht="13" x14ac:dyDescent="0.4">
      <c r="A133" s="594"/>
      <c r="B133" s="594"/>
      <c r="C133" s="594"/>
      <c r="D133" s="594"/>
      <c r="E133" s="594"/>
      <c r="F133" s="594"/>
      <c r="G133" s="594"/>
      <c r="H133" s="594"/>
      <c r="I133" s="594"/>
      <c r="J133" s="594"/>
      <c r="K133" s="594"/>
      <c r="L133" s="594"/>
      <c r="M133" s="594"/>
      <c r="N133" s="594"/>
      <c r="O133" s="594"/>
      <c r="P133" s="594"/>
      <c r="Q133" s="594"/>
      <c r="R133" s="594"/>
      <c r="S133" s="594"/>
      <c r="T133" s="594"/>
      <c r="U133" s="594"/>
    </row>
    <row r="134" spans="1:21" ht="13" x14ac:dyDescent="0.4">
      <c r="A134" s="594"/>
      <c r="B134" s="594"/>
      <c r="C134" s="594"/>
      <c r="D134" s="594"/>
      <c r="E134" s="594"/>
      <c r="F134" s="594"/>
      <c r="G134" s="594"/>
      <c r="H134" s="594"/>
      <c r="I134" s="594"/>
      <c r="J134" s="594"/>
      <c r="K134" s="594"/>
      <c r="L134" s="594"/>
      <c r="M134" s="594"/>
      <c r="N134" s="594"/>
      <c r="O134" s="594"/>
      <c r="P134" s="594"/>
      <c r="Q134" s="594"/>
      <c r="R134" s="594"/>
      <c r="S134" s="594"/>
      <c r="T134" s="594"/>
      <c r="U134" s="594"/>
    </row>
    <row r="135" spans="1:21" ht="13" x14ac:dyDescent="0.4">
      <c r="A135" s="594"/>
      <c r="B135" s="594"/>
      <c r="C135" s="594"/>
      <c r="D135" s="594"/>
      <c r="E135" s="594"/>
      <c r="F135" s="594"/>
      <c r="G135" s="594"/>
      <c r="H135" s="594"/>
      <c r="I135" s="594"/>
      <c r="J135" s="594"/>
      <c r="K135" s="594"/>
      <c r="L135" s="594"/>
      <c r="M135" s="594"/>
      <c r="N135" s="594"/>
      <c r="O135" s="594"/>
      <c r="P135" s="594"/>
      <c r="Q135" s="594"/>
      <c r="R135" s="594"/>
      <c r="S135" s="594"/>
      <c r="T135" s="594"/>
      <c r="U135" s="594"/>
    </row>
    <row r="136" spans="1:21" ht="13" x14ac:dyDescent="0.4">
      <c r="A136" s="594"/>
      <c r="B136" s="594"/>
      <c r="C136" s="594"/>
      <c r="D136" s="594"/>
      <c r="E136" s="594"/>
      <c r="F136" s="594"/>
      <c r="G136" s="594"/>
      <c r="H136" s="594"/>
      <c r="I136" s="594"/>
      <c r="J136" s="594"/>
      <c r="K136" s="594"/>
      <c r="L136" s="594"/>
      <c r="M136" s="594"/>
      <c r="N136" s="594"/>
      <c r="O136" s="594"/>
      <c r="P136" s="594"/>
      <c r="Q136" s="594"/>
      <c r="R136" s="594"/>
      <c r="S136" s="594"/>
      <c r="T136" s="594"/>
      <c r="U136" s="594"/>
    </row>
    <row r="137" spans="1:21" ht="13" x14ac:dyDescent="0.4">
      <c r="A137" s="594"/>
      <c r="B137" s="594"/>
      <c r="C137" s="594"/>
      <c r="D137" s="594"/>
      <c r="E137" s="594"/>
      <c r="F137" s="594"/>
      <c r="G137" s="594"/>
      <c r="H137" s="594"/>
      <c r="I137" s="594"/>
      <c r="J137" s="594"/>
      <c r="K137" s="594"/>
      <c r="L137" s="594"/>
      <c r="M137" s="594"/>
      <c r="N137" s="594"/>
      <c r="O137" s="594"/>
      <c r="P137" s="594"/>
      <c r="Q137" s="594"/>
      <c r="R137" s="594"/>
      <c r="S137" s="594"/>
      <c r="T137" s="594"/>
      <c r="U137" s="594"/>
    </row>
    <row r="138" spans="1:21" ht="13" x14ac:dyDescent="0.4">
      <c r="A138" s="594"/>
      <c r="B138" s="594"/>
      <c r="C138" s="594"/>
      <c r="D138" s="594"/>
      <c r="E138" s="594"/>
      <c r="F138" s="594"/>
      <c r="G138" s="594"/>
      <c r="H138" s="594"/>
      <c r="I138" s="594"/>
      <c r="J138" s="594"/>
      <c r="K138" s="594"/>
      <c r="L138" s="594"/>
      <c r="M138" s="594"/>
      <c r="N138" s="594"/>
      <c r="O138" s="594"/>
      <c r="P138" s="594"/>
      <c r="Q138" s="594"/>
      <c r="R138" s="594"/>
      <c r="S138" s="594"/>
      <c r="T138" s="594"/>
      <c r="U138" s="594"/>
    </row>
    <row r="139" spans="1:21" ht="13" x14ac:dyDescent="0.4">
      <c r="A139" s="594"/>
      <c r="B139" s="594"/>
      <c r="C139" s="594"/>
      <c r="D139" s="594"/>
      <c r="E139" s="594"/>
      <c r="F139" s="594"/>
      <c r="G139" s="594"/>
      <c r="H139" s="594"/>
      <c r="I139" s="594"/>
      <c r="J139" s="594"/>
      <c r="K139" s="594"/>
      <c r="L139" s="594"/>
      <c r="M139" s="594"/>
      <c r="N139" s="594"/>
      <c r="O139" s="594"/>
      <c r="P139" s="594"/>
      <c r="Q139" s="594"/>
      <c r="R139" s="594"/>
      <c r="S139" s="594"/>
      <c r="T139" s="594"/>
      <c r="U139" s="594"/>
    </row>
    <row r="140" spans="1:21" ht="13" x14ac:dyDescent="0.4">
      <c r="A140" s="594"/>
      <c r="B140" s="594"/>
      <c r="C140" s="594"/>
      <c r="D140" s="594"/>
      <c r="E140" s="594"/>
      <c r="F140" s="594"/>
      <c r="G140" s="594"/>
      <c r="H140" s="594"/>
      <c r="I140" s="594"/>
      <c r="J140" s="594"/>
      <c r="K140" s="594"/>
      <c r="L140" s="594"/>
      <c r="M140" s="594"/>
      <c r="N140" s="594"/>
      <c r="O140" s="594"/>
      <c r="P140" s="594"/>
      <c r="Q140" s="594"/>
      <c r="R140" s="594"/>
      <c r="S140" s="594"/>
      <c r="T140" s="594"/>
      <c r="U140" s="594"/>
    </row>
    <row r="141" spans="1:21" ht="13" x14ac:dyDescent="0.4">
      <c r="A141" s="594"/>
      <c r="B141" s="594"/>
      <c r="C141" s="594"/>
      <c r="D141" s="594"/>
      <c r="E141" s="594"/>
      <c r="F141" s="594"/>
      <c r="G141" s="594"/>
      <c r="H141" s="594"/>
      <c r="I141" s="594"/>
      <c r="J141" s="594"/>
      <c r="K141" s="594"/>
      <c r="L141" s="594"/>
      <c r="M141" s="594"/>
      <c r="N141" s="594"/>
      <c r="O141" s="594"/>
      <c r="P141" s="594"/>
      <c r="Q141" s="594"/>
      <c r="R141" s="594"/>
      <c r="S141" s="594"/>
      <c r="T141" s="594"/>
      <c r="U141" s="594"/>
    </row>
    <row r="142" spans="1:21" ht="13" x14ac:dyDescent="0.4">
      <c r="A142" s="594"/>
      <c r="B142" s="594"/>
      <c r="C142" s="594"/>
      <c r="D142" s="594"/>
      <c r="E142" s="594"/>
      <c r="F142" s="594"/>
      <c r="G142" s="594"/>
      <c r="H142" s="594"/>
      <c r="I142" s="594"/>
      <c r="J142" s="594"/>
      <c r="K142" s="594"/>
      <c r="L142" s="594"/>
      <c r="M142" s="594"/>
      <c r="N142" s="594"/>
      <c r="O142" s="594"/>
      <c r="P142" s="594"/>
      <c r="Q142" s="594"/>
      <c r="R142" s="594"/>
      <c r="S142" s="594"/>
      <c r="T142" s="594"/>
      <c r="U142" s="594"/>
    </row>
    <row r="143" spans="1:21" ht="13" x14ac:dyDescent="0.4">
      <c r="A143" s="594"/>
      <c r="B143" s="594"/>
      <c r="C143" s="594"/>
      <c r="D143" s="594"/>
      <c r="E143" s="594"/>
      <c r="F143" s="594"/>
      <c r="G143" s="594"/>
      <c r="H143" s="594"/>
      <c r="I143" s="594"/>
      <c r="J143" s="594"/>
      <c r="K143" s="594"/>
      <c r="L143" s="594"/>
      <c r="M143" s="594"/>
      <c r="N143" s="594"/>
      <c r="O143" s="594"/>
      <c r="P143" s="594"/>
      <c r="Q143" s="594"/>
      <c r="R143" s="594"/>
      <c r="S143" s="594"/>
      <c r="T143" s="594"/>
      <c r="U143" s="594"/>
    </row>
    <row r="144" spans="1:21" ht="13" x14ac:dyDescent="0.4">
      <c r="A144" s="594"/>
      <c r="B144" s="594"/>
      <c r="C144" s="594"/>
      <c r="D144" s="594"/>
      <c r="E144" s="594"/>
      <c r="F144" s="594"/>
      <c r="G144" s="594"/>
      <c r="H144" s="594"/>
      <c r="I144" s="594"/>
      <c r="J144" s="594"/>
      <c r="K144" s="594"/>
      <c r="L144" s="594"/>
      <c r="M144" s="594"/>
      <c r="N144" s="594"/>
      <c r="O144" s="594"/>
      <c r="P144" s="594"/>
      <c r="Q144" s="594"/>
      <c r="R144" s="594"/>
      <c r="S144" s="594"/>
      <c r="T144" s="594"/>
      <c r="U144" s="594"/>
    </row>
    <row r="145" spans="1:21" ht="13" x14ac:dyDescent="0.4">
      <c r="A145" s="594"/>
      <c r="B145" s="594"/>
      <c r="C145" s="594"/>
      <c r="D145" s="594"/>
      <c r="E145" s="594"/>
      <c r="F145" s="594"/>
      <c r="G145" s="594"/>
      <c r="H145" s="594"/>
      <c r="I145" s="594"/>
      <c r="J145" s="594"/>
      <c r="K145" s="594"/>
      <c r="L145" s="594"/>
      <c r="M145" s="594"/>
      <c r="N145" s="594"/>
      <c r="O145" s="594"/>
      <c r="P145" s="594"/>
      <c r="Q145" s="594"/>
      <c r="R145" s="594"/>
      <c r="S145" s="594"/>
      <c r="T145" s="594"/>
      <c r="U145" s="594"/>
    </row>
    <row r="146" spans="1:21" ht="13" x14ac:dyDescent="0.4">
      <c r="A146" s="594"/>
      <c r="B146" s="594"/>
      <c r="C146" s="594"/>
      <c r="D146" s="594"/>
      <c r="E146" s="594"/>
      <c r="F146" s="594"/>
      <c r="G146" s="594"/>
      <c r="H146" s="594"/>
      <c r="I146" s="594"/>
      <c r="J146" s="594"/>
      <c r="K146" s="594"/>
      <c r="L146" s="594"/>
      <c r="M146" s="594"/>
      <c r="N146" s="594"/>
      <c r="O146" s="594"/>
      <c r="P146" s="594"/>
      <c r="Q146" s="594"/>
      <c r="R146" s="594"/>
      <c r="S146" s="594"/>
      <c r="T146" s="594"/>
      <c r="U146" s="594"/>
    </row>
    <row r="147" spans="1:21" ht="13" x14ac:dyDescent="0.4">
      <c r="A147" s="594"/>
      <c r="B147" s="594"/>
      <c r="C147" s="594"/>
      <c r="D147" s="594"/>
      <c r="E147" s="594"/>
      <c r="F147" s="594"/>
      <c r="G147" s="594"/>
      <c r="H147" s="594"/>
      <c r="I147" s="594"/>
      <c r="J147" s="594"/>
      <c r="K147" s="594"/>
      <c r="L147" s="594"/>
      <c r="M147" s="594"/>
      <c r="N147" s="594"/>
      <c r="O147" s="594"/>
      <c r="P147" s="594"/>
      <c r="Q147" s="594"/>
      <c r="R147" s="594"/>
      <c r="S147" s="594"/>
      <c r="T147" s="594"/>
      <c r="U147" s="594"/>
    </row>
    <row r="148" spans="1:21" ht="13" x14ac:dyDescent="0.4">
      <c r="A148" s="594"/>
      <c r="B148" s="594"/>
      <c r="C148" s="594"/>
      <c r="D148" s="594"/>
      <c r="E148" s="594"/>
      <c r="F148" s="594"/>
      <c r="G148" s="594"/>
      <c r="H148" s="594"/>
      <c r="I148" s="594"/>
      <c r="J148" s="594"/>
      <c r="K148" s="594"/>
      <c r="L148" s="594"/>
      <c r="M148" s="594"/>
      <c r="N148" s="594"/>
      <c r="O148" s="594"/>
      <c r="P148" s="594"/>
      <c r="Q148" s="594"/>
      <c r="R148" s="594"/>
      <c r="S148" s="594"/>
      <c r="T148" s="594"/>
      <c r="U148" s="594"/>
    </row>
    <row r="149" spans="1:21" ht="13" x14ac:dyDescent="0.4">
      <c r="A149" s="594"/>
      <c r="B149" s="594"/>
      <c r="C149" s="594"/>
      <c r="D149" s="594"/>
      <c r="E149" s="594"/>
      <c r="F149" s="594"/>
      <c r="G149" s="594"/>
      <c r="H149" s="594"/>
      <c r="I149" s="594"/>
      <c r="J149" s="594"/>
      <c r="K149" s="594"/>
      <c r="L149" s="594"/>
      <c r="M149" s="594"/>
      <c r="N149" s="594"/>
      <c r="O149" s="594"/>
      <c r="P149" s="594"/>
      <c r="Q149" s="594"/>
      <c r="R149" s="594"/>
      <c r="S149" s="594"/>
      <c r="T149" s="594"/>
      <c r="U149" s="594"/>
    </row>
    <row r="150" spans="1:21" ht="13" x14ac:dyDescent="0.4">
      <c r="A150" s="594"/>
      <c r="B150" s="594"/>
      <c r="C150" s="594"/>
      <c r="D150" s="594"/>
      <c r="E150" s="594"/>
      <c r="F150" s="594"/>
      <c r="G150" s="594"/>
      <c r="H150" s="594"/>
      <c r="I150" s="594"/>
      <c r="J150" s="594"/>
      <c r="K150" s="594"/>
      <c r="L150" s="594"/>
      <c r="M150" s="594"/>
      <c r="N150" s="594"/>
      <c r="O150" s="594"/>
      <c r="P150" s="594"/>
      <c r="Q150" s="594"/>
      <c r="R150" s="594"/>
      <c r="S150" s="594"/>
      <c r="T150" s="594"/>
      <c r="U150" s="594"/>
    </row>
    <row r="151" spans="1:21" ht="13" x14ac:dyDescent="0.4">
      <c r="A151" s="594"/>
      <c r="B151" s="594"/>
      <c r="C151" s="594"/>
      <c r="D151" s="594"/>
      <c r="E151" s="594"/>
      <c r="F151" s="594"/>
      <c r="G151" s="594"/>
      <c r="H151" s="594"/>
      <c r="I151" s="594"/>
      <c r="J151" s="594"/>
      <c r="K151" s="594"/>
      <c r="L151" s="594"/>
      <c r="M151" s="594"/>
      <c r="N151" s="594"/>
      <c r="O151" s="594"/>
      <c r="P151" s="594"/>
      <c r="Q151" s="594"/>
      <c r="R151" s="594"/>
      <c r="S151" s="594"/>
      <c r="T151" s="594"/>
      <c r="U151" s="594"/>
    </row>
    <row r="152" spans="1:21" ht="13" x14ac:dyDescent="0.4">
      <c r="A152" s="594"/>
      <c r="B152" s="594"/>
      <c r="C152" s="594"/>
      <c r="D152" s="594"/>
      <c r="E152" s="594"/>
      <c r="F152" s="594"/>
      <c r="G152" s="594"/>
      <c r="H152" s="594"/>
      <c r="I152" s="594"/>
      <c r="J152" s="594"/>
      <c r="K152" s="594"/>
      <c r="L152" s="594"/>
      <c r="M152" s="594"/>
      <c r="N152" s="594"/>
      <c r="O152" s="594"/>
      <c r="P152" s="594"/>
      <c r="Q152" s="594"/>
      <c r="R152" s="594"/>
      <c r="S152" s="594"/>
      <c r="T152" s="594"/>
      <c r="U152" s="594"/>
    </row>
    <row r="153" spans="1:21" ht="13" x14ac:dyDescent="0.4">
      <c r="A153" s="594"/>
      <c r="B153" s="594"/>
      <c r="C153" s="594"/>
      <c r="D153" s="594"/>
      <c r="E153" s="594"/>
      <c r="F153" s="594"/>
      <c r="G153" s="594"/>
      <c r="H153" s="594"/>
      <c r="I153" s="594"/>
      <c r="J153" s="594"/>
      <c r="K153" s="594"/>
      <c r="L153" s="594"/>
      <c r="M153" s="594"/>
      <c r="N153" s="594"/>
      <c r="O153" s="594"/>
      <c r="P153" s="594"/>
      <c r="Q153" s="594"/>
      <c r="R153" s="594"/>
      <c r="S153" s="594"/>
      <c r="T153" s="594"/>
      <c r="U153" s="594"/>
    </row>
    <row r="154" spans="1:21" ht="13" x14ac:dyDescent="0.4">
      <c r="A154" s="594"/>
      <c r="B154" s="594"/>
      <c r="C154" s="594"/>
      <c r="D154" s="594"/>
      <c r="E154" s="594"/>
      <c r="F154" s="594"/>
      <c r="G154" s="594"/>
      <c r="H154" s="594"/>
      <c r="I154" s="594"/>
      <c r="J154" s="594"/>
      <c r="K154" s="594"/>
      <c r="L154" s="594"/>
      <c r="M154" s="594"/>
      <c r="N154" s="594"/>
      <c r="O154" s="594"/>
      <c r="P154" s="594"/>
      <c r="Q154" s="594"/>
      <c r="R154" s="594"/>
      <c r="S154" s="594"/>
      <c r="T154" s="594"/>
      <c r="U154" s="594"/>
    </row>
    <row r="155" spans="1:21" ht="13" x14ac:dyDescent="0.4">
      <c r="A155" s="594"/>
      <c r="B155" s="594"/>
      <c r="C155" s="594"/>
      <c r="D155" s="594"/>
      <c r="E155" s="594"/>
      <c r="F155" s="594"/>
      <c r="G155" s="594"/>
      <c r="H155" s="594"/>
      <c r="I155" s="594"/>
      <c r="J155" s="594"/>
      <c r="K155" s="594"/>
      <c r="L155" s="594"/>
      <c r="M155" s="594"/>
      <c r="N155" s="594"/>
      <c r="O155" s="594"/>
      <c r="P155" s="594"/>
      <c r="Q155" s="594"/>
      <c r="R155" s="594"/>
      <c r="S155" s="594"/>
      <c r="T155" s="594"/>
      <c r="U155" s="594"/>
    </row>
    <row r="156" spans="1:21" ht="13" x14ac:dyDescent="0.4">
      <c r="A156" s="594"/>
      <c r="B156" s="594"/>
      <c r="C156" s="594"/>
      <c r="D156" s="594"/>
      <c r="E156" s="594"/>
      <c r="F156" s="594"/>
      <c r="G156" s="594"/>
      <c r="H156" s="594"/>
      <c r="I156" s="594"/>
      <c r="J156" s="594"/>
      <c r="K156" s="594"/>
      <c r="L156" s="594"/>
      <c r="M156" s="594"/>
      <c r="N156" s="594"/>
      <c r="O156" s="594"/>
      <c r="P156" s="594"/>
      <c r="Q156" s="594"/>
      <c r="R156" s="594"/>
      <c r="S156" s="594"/>
      <c r="T156" s="594"/>
      <c r="U156" s="594"/>
    </row>
    <row r="157" spans="1:21" ht="13" x14ac:dyDescent="0.4">
      <c r="A157" s="594"/>
      <c r="B157" s="594"/>
      <c r="C157" s="594"/>
      <c r="D157" s="594"/>
      <c r="E157" s="594"/>
      <c r="F157" s="594"/>
      <c r="G157" s="594"/>
      <c r="H157" s="594"/>
      <c r="I157" s="594"/>
      <c r="J157" s="594"/>
      <c r="K157" s="594"/>
      <c r="L157" s="594"/>
      <c r="M157" s="594"/>
      <c r="N157" s="594"/>
      <c r="O157" s="594"/>
      <c r="P157" s="594"/>
      <c r="Q157" s="594"/>
      <c r="R157" s="594"/>
      <c r="S157" s="594"/>
      <c r="T157" s="594"/>
      <c r="U157" s="594"/>
    </row>
    <row r="158" spans="1:21" ht="13" x14ac:dyDescent="0.4">
      <c r="A158" s="594"/>
      <c r="B158" s="594"/>
      <c r="C158" s="594"/>
      <c r="D158" s="594"/>
      <c r="E158" s="594"/>
      <c r="F158" s="594"/>
      <c r="G158" s="594"/>
      <c r="H158" s="594"/>
      <c r="I158" s="594"/>
      <c r="J158" s="594"/>
      <c r="K158" s="594"/>
      <c r="L158" s="594"/>
      <c r="M158" s="594"/>
      <c r="N158" s="594"/>
      <c r="O158" s="594"/>
      <c r="P158" s="594"/>
      <c r="Q158" s="594"/>
      <c r="R158" s="594"/>
      <c r="S158" s="594"/>
      <c r="T158" s="594"/>
      <c r="U158" s="594"/>
    </row>
    <row r="159" spans="1:21" ht="13" x14ac:dyDescent="0.4">
      <c r="A159" s="594"/>
      <c r="B159" s="594"/>
      <c r="C159" s="594"/>
      <c r="D159" s="594"/>
      <c r="E159" s="594"/>
      <c r="F159" s="594"/>
      <c r="G159" s="594"/>
      <c r="H159" s="594"/>
      <c r="I159" s="594"/>
      <c r="J159" s="594"/>
      <c r="K159" s="594"/>
      <c r="L159" s="594"/>
      <c r="M159" s="594"/>
      <c r="N159" s="594"/>
      <c r="O159" s="594"/>
      <c r="P159" s="594"/>
      <c r="Q159" s="594"/>
      <c r="R159" s="594"/>
      <c r="S159" s="594"/>
      <c r="T159" s="594"/>
      <c r="U159" s="594"/>
    </row>
    <row r="160" spans="1:21" ht="13" x14ac:dyDescent="0.4">
      <c r="A160" s="594"/>
      <c r="B160" s="594"/>
      <c r="C160" s="594"/>
      <c r="D160" s="594"/>
      <c r="E160" s="594"/>
      <c r="F160" s="594"/>
      <c r="G160" s="594"/>
      <c r="H160" s="594"/>
      <c r="I160" s="594"/>
      <c r="J160" s="594"/>
      <c r="K160" s="594"/>
      <c r="L160" s="594"/>
      <c r="M160" s="594"/>
      <c r="N160" s="594"/>
      <c r="O160" s="594"/>
      <c r="P160" s="594"/>
      <c r="Q160" s="594"/>
      <c r="R160" s="594"/>
      <c r="S160" s="594"/>
      <c r="T160" s="594"/>
      <c r="U160" s="594"/>
    </row>
    <row r="161" spans="1:21" ht="13" x14ac:dyDescent="0.4">
      <c r="A161" s="594"/>
      <c r="B161" s="594"/>
      <c r="C161" s="594"/>
      <c r="D161" s="594"/>
      <c r="E161" s="594"/>
      <c r="F161" s="594"/>
      <c r="G161" s="594"/>
      <c r="H161" s="594"/>
      <c r="I161" s="594"/>
      <c r="J161" s="594"/>
      <c r="K161" s="594"/>
      <c r="L161" s="594"/>
      <c r="M161" s="594"/>
      <c r="N161" s="594"/>
      <c r="O161" s="594"/>
      <c r="P161" s="594"/>
      <c r="Q161" s="594"/>
      <c r="R161" s="594"/>
      <c r="S161" s="594"/>
      <c r="T161" s="594"/>
      <c r="U161" s="594"/>
    </row>
    <row r="162" spans="1:21" ht="13" x14ac:dyDescent="0.4">
      <c r="A162" s="594"/>
      <c r="B162" s="594"/>
      <c r="C162" s="594"/>
      <c r="D162" s="594"/>
      <c r="E162" s="594"/>
      <c r="F162" s="594"/>
      <c r="G162" s="594"/>
      <c r="H162" s="594"/>
      <c r="I162" s="594"/>
      <c r="J162" s="594"/>
      <c r="K162" s="594"/>
      <c r="L162" s="594"/>
      <c r="M162" s="594"/>
      <c r="N162" s="594"/>
      <c r="O162" s="594"/>
      <c r="P162" s="594"/>
      <c r="Q162" s="594"/>
      <c r="R162" s="594"/>
      <c r="S162" s="594"/>
      <c r="T162" s="594"/>
      <c r="U162" s="594"/>
    </row>
    <row r="163" spans="1:21" ht="13" x14ac:dyDescent="0.4">
      <c r="A163" s="594"/>
      <c r="B163" s="594"/>
      <c r="C163" s="594"/>
      <c r="D163" s="594"/>
      <c r="E163" s="594"/>
      <c r="F163" s="594"/>
      <c r="G163" s="594"/>
      <c r="H163" s="594"/>
      <c r="I163" s="594"/>
      <c r="J163" s="594"/>
      <c r="K163" s="594"/>
      <c r="L163" s="594"/>
      <c r="M163" s="594"/>
      <c r="N163" s="594"/>
      <c r="O163" s="594"/>
      <c r="P163" s="594"/>
      <c r="Q163" s="594"/>
      <c r="R163" s="594"/>
      <c r="S163" s="594"/>
      <c r="T163" s="594"/>
      <c r="U163" s="594"/>
    </row>
    <row r="164" spans="1:21" ht="13" x14ac:dyDescent="0.4">
      <c r="A164" s="594"/>
      <c r="B164" s="594"/>
      <c r="C164" s="594"/>
      <c r="D164" s="594"/>
      <c r="E164" s="594"/>
      <c r="F164" s="594"/>
      <c r="G164" s="594"/>
      <c r="H164" s="594"/>
      <c r="I164" s="594"/>
      <c r="J164" s="594"/>
      <c r="K164" s="594"/>
      <c r="L164" s="594"/>
      <c r="M164" s="594"/>
      <c r="N164" s="594"/>
      <c r="O164" s="594"/>
      <c r="P164" s="594"/>
      <c r="Q164" s="594"/>
      <c r="R164" s="594"/>
      <c r="S164" s="594"/>
      <c r="T164" s="594"/>
      <c r="U164" s="594"/>
    </row>
    <row r="165" spans="1:21" ht="13" x14ac:dyDescent="0.4">
      <c r="A165" s="594"/>
      <c r="B165" s="594"/>
      <c r="C165" s="594"/>
      <c r="D165" s="594"/>
      <c r="E165" s="594"/>
      <c r="F165" s="594"/>
      <c r="G165" s="594"/>
      <c r="H165" s="594"/>
      <c r="I165" s="594"/>
      <c r="J165" s="594"/>
      <c r="K165" s="594"/>
      <c r="L165" s="594"/>
      <c r="M165" s="594"/>
      <c r="N165" s="594"/>
      <c r="O165" s="594"/>
      <c r="P165" s="594"/>
      <c r="Q165" s="594"/>
      <c r="R165" s="594"/>
      <c r="S165" s="594"/>
      <c r="T165" s="594"/>
      <c r="U165" s="594"/>
    </row>
    <row r="166" spans="1:21" ht="13" x14ac:dyDescent="0.4">
      <c r="A166" s="594"/>
      <c r="B166" s="594"/>
      <c r="C166" s="594"/>
      <c r="D166" s="594"/>
      <c r="E166" s="594"/>
      <c r="F166" s="594"/>
      <c r="G166" s="594"/>
      <c r="H166" s="594"/>
      <c r="I166" s="594"/>
      <c r="J166" s="594"/>
      <c r="K166" s="594"/>
      <c r="L166" s="594"/>
      <c r="M166" s="594"/>
      <c r="N166" s="594"/>
      <c r="O166" s="594"/>
      <c r="P166" s="594"/>
      <c r="Q166" s="594"/>
      <c r="R166" s="594"/>
      <c r="S166" s="594"/>
      <c r="T166" s="594"/>
      <c r="U166" s="594"/>
    </row>
    <row r="167" spans="1:21" ht="13" x14ac:dyDescent="0.4">
      <c r="A167" s="594"/>
      <c r="B167" s="594"/>
      <c r="C167" s="594"/>
      <c r="D167" s="594"/>
      <c r="E167" s="594"/>
      <c r="F167" s="594"/>
      <c r="G167" s="594"/>
      <c r="H167" s="594"/>
      <c r="I167" s="594"/>
      <c r="J167" s="594"/>
      <c r="K167" s="594"/>
      <c r="L167" s="594"/>
      <c r="M167" s="594"/>
      <c r="N167" s="594"/>
      <c r="O167" s="594"/>
      <c r="P167" s="594"/>
      <c r="Q167" s="594"/>
      <c r="R167" s="594"/>
      <c r="S167" s="594"/>
      <c r="T167" s="594"/>
      <c r="U167" s="594"/>
    </row>
    <row r="168" spans="1:21" ht="13" x14ac:dyDescent="0.4">
      <c r="A168" s="594"/>
      <c r="B168" s="594"/>
      <c r="C168" s="594"/>
      <c r="D168" s="594"/>
      <c r="E168" s="594"/>
      <c r="F168" s="594"/>
      <c r="G168" s="594"/>
      <c r="H168" s="594"/>
      <c r="I168" s="594"/>
      <c r="J168" s="594"/>
      <c r="K168" s="594"/>
      <c r="L168" s="594"/>
      <c r="M168" s="594"/>
      <c r="N168" s="594"/>
      <c r="O168" s="594"/>
      <c r="P168" s="594"/>
      <c r="Q168" s="594"/>
      <c r="R168" s="594"/>
      <c r="S168" s="594"/>
      <c r="T168" s="594"/>
      <c r="U168" s="594"/>
    </row>
    <row r="169" spans="1:21" ht="13" x14ac:dyDescent="0.4">
      <c r="A169" s="594"/>
      <c r="B169" s="594"/>
      <c r="C169" s="594"/>
      <c r="D169" s="594"/>
      <c r="E169" s="594"/>
      <c r="F169" s="594"/>
      <c r="G169" s="594"/>
      <c r="H169" s="594"/>
      <c r="I169" s="594"/>
      <c r="J169" s="594"/>
      <c r="K169" s="594"/>
      <c r="L169" s="594"/>
      <c r="M169" s="594"/>
      <c r="N169" s="594"/>
      <c r="O169" s="594"/>
      <c r="P169" s="594"/>
      <c r="Q169" s="594"/>
      <c r="R169" s="594"/>
      <c r="S169" s="594"/>
      <c r="T169" s="594"/>
      <c r="U169" s="594"/>
    </row>
    <row r="170" spans="1:21" ht="13" x14ac:dyDescent="0.4">
      <c r="A170" s="594"/>
      <c r="B170" s="594"/>
      <c r="C170" s="594"/>
      <c r="D170" s="594"/>
      <c r="E170" s="594"/>
      <c r="F170" s="594"/>
      <c r="G170" s="594"/>
      <c r="H170" s="594"/>
      <c r="I170" s="594"/>
      <c r="J170" s="594"/>
      <c r="K170" s="594"/>
      <c r="L170" s="594"/>
      <c r="M170" s="594"/>
      <c r="N170" s="594"/>
      <c r="O170" s="594"/>
      <c r="P170" s="594"/>
      <c r="Q170" s="594"/>
      <c r="R170" s="594"/>
      <c r="S170" s="594"/>
      <c r="T170" s="594"/>
      <c r="U170" s="594"/>
    </row>
    <row r="171" spans="1:21" ht="13" x14ac:dyDescent="0.4">
      <c r="A171" s="594"/>
      <c r="B171" s="594"/>
      <c r="C171" s="594"/>
      <c r="D171" s="594"/>
      <c r="E171" s="594"/>
      <c r="F171" s="594"/>
      <c r="G171" s="594"/>
      <c r="H171" s="594"/>
      <c r="I171" s="594"/>
      <c r="J171" s="594"/>
      <c r="K171" s="594"/>
      <c r="L171" s="594"/>
      <c r="M171" s="594"/>
      <c r="N171" s="594"/>
      <c r="O171" s="594"/>
      <c r="P171" s="594"/>
      <c r="Q171" s="594"/>
      <c r="R171" s="594"/>
      <c r="S171" s="594"/>
      <c r="T171" s="594"/>
      <c r="U171" s="594"/>
    </row>
    <row r="172" spans="1:21" ht="13" x14ac:dyDescent="0.4">
      <c r="A172" s="594"/>
      <c r="B172" s="594"/>
      <c r="C172" s="594"/>
      <c r="D172" s="594"/>
      <c r="E172" s="594"/>
      <c r="F172" s="594"/>
      <c r="G172" s="594"/>
      <c r="H172" s="594"/>
      <c r="I172" s="594"/>
      <c r="J172" s="594"/>
      <c r="K172" s="594"/>
      <c r="L172" s="594"/>
      <c r="M172" s="594"/>
      <c r="N172" s="594"/>
      <c r="O172" s="594"/>
      <c r="P172" s="594"/>
      <c r="Q172" s="594"/>
      <c r="R172" s="594"/>
      <c r="S172" s="594"/>
      <c r="T172" s="594"/>
      <c r="U172" s="594"/>
    </row>
    <row r="173" spans="1:21" ht="13" x14ac:dyDescent="0.4">
      <c r="A173" s="594"/>
      <c r="B173" s="594"/>
      <c r="C173" s="594"/>
      <c r="D173" s="594"/>
      <c r="E173" s="594"/>
      <c r="F173" s="594"/>
      <c r="G173" s="594"/>
      <c r="H173" s="594"/>
      <c r="I173" s="594"/>
      <c r="J173" s="594"/>
      <c r="K173" s="594"/>
      <c r="L173" s="594"/>
      <c r="M173" s="594"/>
      <c r="N173" s="594"/>
      <c r="O173" s="594"/>
      <c r="P173" s="594"/>
      <c r="Q173" s="594"/>
      <c r="R173" s="594"/>
      <c r="S173" s="594"/>
      <c r="T173" s="594"/>
      <c r="U173" s="594"/>
    </row>
    <row r="174" spans="1:21" ht="13" x14ac:dyDescent="0.4">
      <c r="A174" s="594"/>
      <c r="B174" s="594"/>
      <c r="C174" s="594"/>
      <c r="D174" s="594"/>
      <c r="E174" s="594"/>
      <c r="F174" s="594"/>
      <c r="G174" s="594"/>
      <c r="H174" s="594"/>
      <c r="I174" s="594"/>
      <c r="J174" s="594"/>
      <c r="K174" s="594"/>
      <c r="L174" s="594"/>
      <c r="M174" s="594"/>
      <c r="N174" s="594"/>
      <c r="O174" s="594"/>
      <c r="P174" s="594"/>
      <c r="Q174" s="594"/>
      <c r="R174" s="594"/>
      <c r="S174" s="594"/>
      <c r="T174" s="594"/>
      <c r="U174" s="594"/>
    </row>
    <row r="175" spans="1:21" ht="13" x14ac:dyDescent="0.4">
      <c r="A175" s="594"/>
      <c r="B175" s="594"/>
      <c r="C175" s="594"/>
      <c r="D175" s="594"/>
      <c r="E175" s="594"/>
      <c r="F175" s="594"/>
      <c r="G175" s="594"/>
      <c r="H175" s="594"/>
      <c r="I175" s="594"/>
      <c r="J175" s="594"/>
      <c r="K175" s="594"/>
      <c r="L175" s="594"/>
      <c r="M175" s="594"/>
      <c r="N175" s="594"/>
      <c r="O175" s="594"/>
      <c r="P175" s="594"/>
      <c r="Q175" s="594"/>
      <c r="R175" s="594"/>
      <c r="S175" s="594"/>
      <c r="T175" s="594"/>
      <c r="U175" s="594"/>
    </row>
    <row r="176" spans="1:21" ht="13" x14ac:dyDescent="0.4">
      <c r="A176" s="594"/>
      <c r="B176" s="594"/>
      <c r="C176" s="594"/>
      <c r="D176" s="594"/>
      <c r="E176" s="594"/>
      <c r="F176" s="594"/>
      <c r="G176" s="594"/>
      <c r="H176" s="594"/>
      <c r="I176" s="594"/>
      <c r="J176" s="594"/>
      <c r="K176" s="594"/>
      <c r="L176" s="594"/>
      <c r="M176" s="594"/>
      <c r="N176" s="594"/>
      <c r="O176" s="594"/>
      <c r="P176" s="594"/>
      <c r="Q176" s="594"/>
      <c r="R176" s="594"/>
      <c r="S176" s="594"/>
      <c r="T176" s="594"/>
      <c r="U176" s="594"/>
    </row>
    <row r="177" spans="1:21" ht="13" x14ac:dyDescent="0.4">
      <c r="A177" s="594"/>
      <c r="B177" s="594"/>
      <c r="C177" s="594"/>
      <c r="D177" s="594"/>
      <c r="E177" s="594"/>
      <c r="F177" s="594"/>
      <c r="G177" s="594"/>
      <c r="H177" s="594"/>
      <c r="I177" s="594"/>
      <c r="J177" s="594"/>
      <c r="K177" s="594"/>
      <c r="L177" s="594"/>
      <c r="M177" s="594"/>
      <c r="N177" s="594"/>
      <c r="O177" s="594"/>
      <c r="P177" s="594"/>
      <c r="Q177" s="594"/>
      <c r="R177" s="594"/>
      <c r="S177" s="594"/>
      <c r="T177" s="594"/>
      <c r="U177" s="594"/>
    </row>
    <row r="178" spans="1:21" ht="13" x14ac:dyDescent="0.4">
      <c r="A178" s="594"/>
      <c r="B178" s="594"/>
      <c r="C178" s="594"/>
      <c r="D178" s="594"/>
      <c r="E178" s="594"/>
      <c r="F178" s="594"/>
      <c r="G178" s="594"/>
      <c r="H178" s="594"/>
      <c r="I178" s="594"/>
      <c r="J178" s="594"/>
      <c r="K178" s="594"/>
      <c r="L178" s="594"/>
      <c r="M178" s="594"/>
      <c r="N178" s="594"/>
      <c r="O178" s="594"/>
      <c r="P178" s="594"/>
      <c r="Q178" s="594"/>
      <c r="R178" s="594"/>
      <c r="S178" s="594"/>
      <c r="T178" s="594"/>
      <c r="U178" s="594"/>
    </row>
    <row r="179" spans="1:21" ht="13" x14ac:dyDescent="0.4">
      <c r="A179" s="594"/>
      <c r="B179" s="594"/>
      <c r="C179" s="594"/>
      <c r="D179" s="594"/>
      <c r="E179" s="594"/>
      <c r="F179" s="594"/>
      <c r="G179" s="594"/>
      <c r="H179" s="594"/>
      <c r="I179" s="594"/>
      <c r="J179" s="594"/>
      <c r="K179" s="594"/>
      <c r="L179" s="594"/>
      <c r="M179" s="594"/>
      <c r="N179" s="594"/>
      <c r="O179" s="594"/>
      <c r="P179" s="594"/>
      <c r="Q179" s="594"/>
      <c r="R179" s="594"/>
      <c r="S179" s="594"/>
      <c r="T179" s="594"/>
      <c r="U179" s="594"/>
    </row>
    <row r="180" spans="1:21" ht="13" x14ac:dyDescent="0.4">
      <c r="A180" s="594"/>
      <c r="B180" s="594"/>
      <c r="C180" s="594"/>
      <c r="D180" s="594"/>
      <c r="E180" s="594"/>
      <c r="F180" s="594"/>
      <c r="G180" s="594"/>
      <c r="H180" s="594"/>
      <c r="I180" s="594"/>
      <c r="J180" s="594"/>
      <c r="K180" s="594"/>
      <c r="L180" s="594"/>
      <c r="M180" s="594"/>
      <c r="N180" s="594"/>
      <c r="O180" s="594"/>
      <c r="P180" s="594"/>
      <c r="Q180" s="594"/>
      <c r="R180" s="594"/>
      <c r="S180" s="594"/>
      <c r="T180" s="594"/>
      <c r="U180" s="594"/>
    </row>
    <row r="181" spans="1:21" ht="13" x14ac:dyDescent="0.4">
      <c r="A181" s="594"/>
      <c r="B181" s="594"/>
      <c r="C181" s="594"/>
      <c r="D181" s="594"/>
      <c r="E181" s="594"/>
      <c r="F181" s="594"/>
      <c r="G181" s="594"/>
      <c r="H181" s="594"/>
      <c r="I181" s="594"/>
      <c r="J181" s="594"/>
      <c r="K181" s="594"/>
      <c r="L181" s="594"/>
      <c r="M181" s="594"/>
      <c r="N181" s="594"/>
      <c r="O181" s="594"/>
      <c r="P181" s="594"/>
      <c r="Q181" s="594"/>
      <c r="R181" s="594"/>
      <c r="S181" s="594"/>
      <c r="T181" s="594"/>
      <c r="U181" s="594"/>
    </row>
    <row r="182" spans="1:21" ht="13" x14ac:dyDescent="0.4">
      <c r="A182" s="594"/>
      <c r="B182" s="594"/>
      <c r="C182" s="594"/>
      <c r="D182" s="594"/>
      <c r="E182" s="594"/>
      <c r="F182" s="594"/>
      <c r="G182" s="594"/>
      <c r="H182" s="594"/>
      <c r="I182" s="594"/>
      <c r="J182" s="594"/>
      <c r="K182" s="594"/>
      <c r="L182" s="594"/>
      <c r="M182" s="594"/>
      <c r="N182" s="594"/>
      <c r="O182" s="594"/>
      <c r="P182" s="594"/>
      <c r="Q182" s="594"/>
      <c r="R182" s="594"/>
      <c r="S182" s="594"/>
      <c r="T182" s="594"/>
      <c r="U182" s="594"/>
    </row>
    <row r="183" spans="1:21" ht="13" x14ac:dyDescent="0.4">
      <c r="A183" s="594"/>
      <c r="B183" s="594"/>
      <c r="C183" s="594"/>
      <c r="D183" s="594"/>
      <c r="E183" s="594"/>
      <c r="F183" s="594"/>
      <c r="G183" s="594"/>
      <c r="H183" s="594"/>
      <c r="I183" s="594"/>
      <c r="J183" s="594"/>
      <c r="K183" s="594"/>
      <c r="L183" s="594"/>
      <c r="M183" s="594"/>
      <c r="N183" s="594"/>
      <c r="O183" s="594"/>
      <c r="P183" s="594"/>
      <c r="Q183" s="594"/>
      <c r="R183" s="594"/>
      <c r="S183" s="594"/>
      <c r="T183" s="594"/>
      <c r="U183" s="594"/>
    </row>
    <row r="184" spans="1:21" ht="13" x14ac:dyDescent="0.4">
      <c r="A184" s="594"/>
      <c r="B184" s="594"/>
      <c r="C184" s="594"/>
      <c r="D184" s="594"/>
      <c r="E184" s="594"/>
      <c r="F184" s="594"/>
      <c r="G184" s="594"/>
      <c r="H184" s="594"/>
      <c r="I184" s="594"/>
      <c r="J184" s="594"/>
      <c r="K184" s="594"/>
      <c r="L184" s="594"/>
      <c r="M184" s="594"/>
      <c r="N184" s="594"/>
      <c r="O184" s="594"/>
      <c r="P184" s="594"/>
      <c r="Q184" s="594"/>
      <c r="R184" s="594"/>
      <c r="S184" s="594"/>
      <c r="T184" s="594"/>
      <c r="U184" s="594"/>
    </row>
    <row r="185" spans="1:21" ht="13" x14ac:dyDescent="0.4">
      <c r="A185" s="594"/>
      <c r="B185" s="594"/>
      <c r="C185" s="594"/>
      <c r="D185" s="594"/>
      <c r="E185" s="594"/>
      <c r="F185" s="594"/>
      <c r="G185" s="594"/>
      <c r="H185" s="594"/>
      <c r="I185" s="594"/>
      <c r="J185" s="594"/>
      <c r="K185" s="594"/>
      <c r="L185" s="594"/>
      <c r="M185" s="594"/>
      <c r="N185" s="594"/>
      <c r="O185" s="594"/>
      <c r="P185" s="594"/>
      <c r="Q185" s="594"/>
      <c r="R185" s="594"/>
      <c r="S185" s="594"/>
      <c r="T185" s="594"/>
      <c r="U185" s="594"/>
    </row>
    <row r="186" spans="1:21" ht="13" x14ac:dyDescent="0.4">
      <c r="A186" s="594"/>
      <c r="B186" s="594"/>
      <c r="C186" s="594"/>
      <c r="D186" s="594"/>
      <c r="E186" s="594"/>
      <c r="F186" s="594"/>
      <c r="G186" s="594"/>
      <c r="H186" s="594"/>
      <c r="I186" s="594"/>
      <c r="J186" s="594"/>
      <c r="K186" s="594"/>
      <c r="L186" s="594"/>
      <c r="M186" s="594"/>
      <c r="N186" s="594"/>
      <c r="O186" s="594"/>
      <c r="P186" s="594"/>
      <c r="Q186" s="594"/>
      <c r="R186" s="594"/>
      <c r="S186" s="594"/>
      <c r="T186" s="594"/>
      <c r="U186" s="594"/>
    </row>
    <row r="187" spans="1:21" ht="13" x14ac:dyDescent="0.4">
      <c r="A187" s="594"/>
      <c r="B187" s="594"/>
      <c r="C187" s="594"/>
      <c r="D187" s="594"/>
      <c r="E187" s="594"/>
      <c r="F187" s="594"/>
      <c r="G187" s="594"/>
      <c r="H187" s="594"/>
      <c r="I187" s="594"/>
      <c r="J187" s="594"/>
      <c r="K187" s="594"/>
      <c r="L187" s="594"/>
      <c r="M187" s="594"/>
      <c r="N187" s="594"/>
      <c r="O187" s="594"/>
      <c r="P187" s="594"/>
      <c r="Q187" s="594"/>
      <c r="R187" s="594"/>
      <c r="S187" s="594"/>
      <c r="T187" s="594"/>
      <c r="U187" s="594"/>
    </row>
    <row r="188" spans="1:21" ht="13" x14ac:dyDescent="0.4">
      <c r="A188" s="594"/>
      <c r="B188" s="594"/>
      <c r="C188" s="594"/>
      <c r="D188" s="594"/>
      <c r="E188" s="594"/>
      <c r="F188" s="594"/>
      <c r="G188" s="594"/>
      <c r="H188" s="594"/>
      <c r="I188" s="594"/>
      <c r="J188" s="594"/>
      <c r="K188" s="594"/>
      <c r="L188" s="594"/>
      <c r="M188" s="594"/>
      <c r="N188" s="594"/>
      <c r="O188" s="594"/>
      <c r="P188" s="594"/>
      <c r="Q188" s="594"/>
      <c r="R188" s="594"/>
      <c r="S188" s="594"/>
      <c r="T188" s="594"/>
      <c r="U188" s="594"/>
    </row>
    <row r="189" spans="1:21" ht="13" x14ac:dyDescent="0.4">
      <c r="A189" s="594"/>
      <c r="B189" s="594"/>
      <c r="C189" s="594"/>
      <c r="D189" s="594"/>
      <c r="E189" s="594"/>
      <c r="F189" s="594"/>
      <c r="G189" s="594"/>
      <c r="H189" s="594"/>
      <c r="I189" s="594"/>
      <c r="J189" s="594"/>
      <c r="K189" s="594"/>
      <c r="L189" s="594"/>
      <c r="M189" s="594"/>
      <c r="N189" s="594"/>
      <c r="O189" s="594"/>
      <c r="P189" s="594"/>
      <c r="Q189" s="594"/>
      <c r="R189" s="594"/>
      <c r="S189" s="594"/>
      <c r="T189" s="594"/>
      <c r="U189" s="594"/>
    </row>
    <row r="190" spans="1:21" ht="13" x14ac:dyDescent="0.4">
      <c r="A190" s="594"/>
      <c r="B190" s="594"/>
      <c r="C190" s="594"/>
      <c r="D190" s="594"/>
      <c r="E190" s="594"/>
      <c r="F190" s="594"/>
      <c r="G190" s="594"/>
      <c r="H190" s="594"/>
      <c r="I190" s="594"/>
      <c r="J190" s="594"/>
      <c r="K190" s="594"/>
      <c r="L190" s="594"/>
      <c r="M190" s="594"/>
      <c r="N190" s="594"/>
      <c r="O190" s="594"/>
      <c r="P190" s="594"/>
      <c r="Q190" s="594"/>
      <c r="R190" s="594"/>
      <c r="S190" s="594"/>
      <c r="T190" s="594"/>
      <c r="U190" s="594"/>
    </row>
    <row r="191" spans="1:21" ht="13" x14ac:dyDescent="0.4">
      <c r="A191" s="594"/>
      <c r="B191" s="594"/>
      <c r="C191" s="594"/>
      <c r="D191" s="594"/>
      <c r="E191" s="594"/>
      <c r="F191" s="594"/>
      <c r="G191" s="594"/>
      <c r="H191" s="594"/>
      <c r="I191" s="594"/>
      <c r="J191" s="594"/>
      <c r="K191" s="594"/>
      <c r="L191" s="594"/>
      <c r="M191" s="594"/>
      <c r="N191" s="594"/>
      <c r="O191" s="594"/>
      <c r="P191" s="594"/>
      <c r="Q191" s="594"/>
      <c r="R191" s="594"/>
      <c r="S191" s="594"/>
      <c r="T191" s="594"/>
      <c r="U191" s="594"/>
    </row>
    <row r="192" spans="1:21" ht="13" x14ac:dyDescent="0.4">
      <c r="A192" s="594"/>
      <c r="B192" s="594"/>
      <c r="C192" s="594"/>
      <c r="D192" s="594"/>
      <c r="E192" s="594"/>
      <c r="F192" s="594"/>
      <c r="G192" s="594"/>
      <c r="H192" s="594"/>
      <c r="I192" s="594"/>
      <c r="J192" s="594"/>
      <c r="K192" s="594"/>
      <c r="L192" s="594"/>
      <c r="M192" s="594"/>
      <c r="N192" s="594"/>
      <c r="O192" s="594"/>
      <c r="P192" s="594"/>
      <c r="Q192" s="594"/>
      <c r="R192" s="594"/>
      <c r="S192" s="594"/>
      <c r="T192" s="594"/>
      <c r="U192" s="594"/>
    </row>
    <row r="193" spans="1:21" ht="13" x14ac:dyDescent="0.4">
      <c r="A193" s="594"/>
      <c r="B193" s="594"/>
      <c r="C193" s="594"/>
      <c r="D193" s="594"/>
      <c r="E193" s="594"/>
      <c r="F193" s="594"/>
      <c r="G193" s="594"/>
      <c r="H193" s="594"/>
      <c r="I193" s="594"/>
      <c r="J193" s="594"/>
      <c r="K193" s="594"/>
      <c r="L193" s="594"/>
      <c r="M193" s="594"/>
      <c r="N193" s="594"/>
      <c r="O193" s="594"/>
      <c r="P193" s="594"/>
      <c r="Q193" s="594"/>
      <c r="R193" s="594"/>
      <c r="S193" s="594"/>
      <c r="T193" s="594"/>
      <c r="U193" s="594"/>
    </row>
    <row r="194" spans="1:21" ht="13" x14ac:dyDescent="0.4">
      <c r="A194" s="594"/>
      <c r="B194" s="594"/>
      <c r="C194" s="594"/>
      <c r="D194" s="594"/>
      <c r="E194" s="594"/>
      <c r="F194" s="594"/>
      <c r="G194" s="594"/>
      <c r="H194" s="594"/>
      <c r="I194" s="594"/>
      <c r="J194" s="594"/>
      <c r="K194" s="594"/>
      <c r="L194" s="594"/>
      <c r="M194" s="594"/>
      <c r="N194" s="594"/>
      <c r="O194" s="594"/>
      <c r="P194" s="594"/>
      <c r="Q194" s="594"/>
      <c r="R194" s="594"/>
      <c r="S194" s="594"/>
      <c r="T194" s="594"/>
      <c r="U194" s="594"/>
    </row>
    <row r="195" spans="1:21" ht="13" x14ac:dyDescent="0.4">
      <c r="A195" s="594"/>
      <c r="B195" s="594"/>
      <c r="C195" s="594"/>
      <c r="D195" s="594"/>
      <c r="E195" s="594"/>
      <c r="F195" s="594"/>
      <c r="G195" s="594"/>
      <c r="H195" s="594"/>
      <c r="I195" s="594"/>
      <c r="J195" s="594"/>
      <c r="K195" s="594"/>
      <c r="L195" s="594"/>
      <c r="M195" s="594"/>
      <c r="N195" s="594"/>
      <c r="O195" s="594"/>
      <c r="P195" s="594"/>
      <c r="Q195" s="594"/>
      <c r="R195" s="594"/>
      <c r="S195" s="594"/>
      <c r="T195" s="594"/>
      <c r="U195" s="594"/>
    </row>
    <row r="196" spans="1:21" ht="13" x14ac:dyDescent="0.4">
      <c r="A196" s="594"/>
      <c r="B196" s="594"/>
      <c r="C196" s="594"/>
      <c r="D196" s="594"/>
      <c r="E196" s="594"/>
      <c r="F196" s="594"/>
      <c r="G196" s="594"/>
      <c r="H196" s="594"/>
      <c r="I196" s="594"/>
      <c r="J196" s="594"/>
      <c r="K196" s="594"/>
      <c r="L196" s="594"/>
      <c r="M196" s="594"/>
      <c r="N196" s="594"/>
      <c r="O196" s="594"/>
      <c r="P196" s="594"/>
      <c r="Q196" s="594"/>
      <c r="R196" s="594"/>
      <c r="S196" s="594"/>
      <c r="T196" s="594"/>
      <c r="U196" s="594"/>
    </row>
    <row r="197" spans="1:21" ht="13" x14ac:dyDescent="0.4">
      <c r="A197" s="594"/>
      <c r="B197" s="594"/>
      <c r="C197" s="594"/>
      <c r="D197" s="594"/>
      <c r="E197" s="594"/>
      <c r="F197" s="594"/>
      <c r="G197" s="594"/>
      <c r="H197" s="594"/>
      <c r="I197" s="594"/>
      <c r="J197" s="594"/>
      <c r="K197" s="594"/>
      <c r="L197" s="594"/>
      <c r="M197" s="594"/>
      <c r="N197" s="594"/>
      <c r="O197" s="594"/>
      <c r="P197" s="594"/>
      <c r="Q197" s="594"/>
      <c r="R197" s="594"/>
      <c r="S197" s="594"/>
      <c r="T197" s="594"/>
      <c r="U197" s="594"/>
    </row>
    <row r="198" spans="1:21" ht="13" x14ac:dyDescent="0.4">
      <c r="A198" s="594"/>
      <c r="B198" s="594"/>
      <c r="C198" s="594"/>
      <c r="D198" s="594"/>
      <c r="E198" s="594"/>
      <c r="F198" s="594"/>
      <c r="G198" s="594"/>
      <c r="H198" s="594"/>
      <c r="I198" s="594"/>
      <c r="J198" s="594"/>
      <c r="K198" s="594"/>
      <c r="L198" s="594"/>
      <c r="M198" s="594"/>
      <c r="N198" s="594"/>
      <c r="O198" s="594"/>
      <c r="P198" s="594"/>
      <c r="Q198" s="594"/>
      <c r="R198" s="594"/>
      <c r="S198" s="594"/>
      <c r="T198" s="594"/>
      <c r="U198" s="594"/>
    </row>
    <row r="199" spans="1:21" ht="13" x14ac:dyDescent="0.4">
      <c r="A199" s="594"/>
      <c r="B199" s="594"/>
      <c r="C199" s="594"/>
      <c r="D199" s="594"/>
      <c r="E199" s="594"/>
      <c r="F199" s="594"/>
      <c r="G199" s="594"/>
      <c r="H199" s="594"/>
      <c r="I199" s="594"/>
      <c r="J199" s="594"/>
      <c r="K199" s="594"/>
      <c r="L199" s="594"/>
      <c r="M199" s="594"/>
      <c r="N199" s="594"/>
      <c r="O199" s="594"/>
      <c r="P199" s="594"/>
      <c r="Q199" s="594"/>
      <c r="R199" s="594"/>
      <c r="S199" s="594"/>
      <c r="T199" s="594"/>
      <c r="U199" s="594"/>
    </row>
    <row r="200" spans="1:21" ht="13" x14ac:dyDescent="0.4">
      <c r="A200" s="594"/>
      <c r="B200" s="594"/>
      <c r="C200" s="594"/>
      <c r="D200" s="594"/>
      <c r="E200" s="594"/>
      <c r="F200" s="594"/>
      <c r="G200" s="594"/>
      <c r="H200" s="594"/>
      <c r="I200" s="594"/>
      <c r="J200" s="594"/>
      <c r="K200" s="594"/>
      <c r="L200" s="594"/>
      <c r="M200" s="594"/>
      <c r="N200" s="594"/>
      <c r="O200" s="594"/>
      <c r="P200" s="594"/>
      <c r="Q200" s="594"/>
      <c r="R200" s="594"/>
      <c r="S200" s="594"/>
      <c r="T200" s="594"/>
      <c r="U200" s="594"/>
    </row>
    <row r="201" spans="1:21" ht="13" x14ac:dyDescent="0.4">
      <c r="A201" s="594"/>
      <c r="B201" s="594"/>
      <c r="C201" s="594"/>
      <c r="D201" s="594"/>
      <c r="E201" s="594"/>
      <c r="F201" s="594"/>
      <c r="G201" s="594"/>
      <c r="H201" s="594"/>
      <c r="I201" s="594"/>
      <c r="J201" s="594"/>
      <c r="K201" s="594"/>
      <c r="L201" s="594"/>
      <c r="M201" s="594"/>
      <c r="N201" s="594"/>
      <c r="O201" s="594"/>
      <c r="P201" s="594"/>
      <c r="Q201" s="594"/>
      <c r="R201" s="594"/>
      <c r="S201" s="594"/>
      <c r="T201" s="594"/>
      <c r="U201" s="594"/>
    </row>
    <row r="202" spans="1:21" ht="13" x14ac:dyDescent="0.4">
      <c r="A202" s="594"/>
      <c r="B202" s="594"/>
      <c r="C202" s="594"/>
      <c r="D202" s="594"/>
      <c r="E202" s="594"/>
      <c r="F202" s="594"/>
      <c r="G202" s="594"/>
      <c r="H202" s="594"/>
      <c r="I202" s="594"/>
      <c r="J202" s="594"/>
      <c r="K202" s="594"/>
      <c r="L202" s="594"/>
      <c r="M202" s="594"/>
      <c r="N202" s="594"/>
      <c r="O202" s="594"/>
      <c r="P202" s="594"/>
      <c r="Q202" s="594"/>
      <c r="R202" s="594"/>
      <c r="S202" s="594"/>
      <c r="T202" s="594"/>
      <c r="U202" s="594"/>
    </row>
    <row r="203" spans="1:21" ht="13" x14ac:dyDescent="0.4">
      <c r="A203" s="594"/>
      <c r="B203" s="594"/>
      <c r="C203" s="594"/>
      <c r="D203" s="594"/>
      <c r="E203" s="594"/>
      <c r="F203" s="594"/>
      <c r="G203" s="594"/>
      <c r="H203" s="594"/>
      <c r="I203" s="594"/>
      <c r="J203" s="594"/>
      <c r="K203" s="594"/>
      <c r="L203" s="594"/>
      <c r="M203" s="594"/>
      <c r="N203" s="594"/>
      <c r="O203" s="594"/>
      <c r="P203" s="594"/>
      <c r="Q203" s="594"/>
      <c r="R203" s="594"/>
      <c r="S203" s="594"/>
      <c r="T203" s="594"/>
      <c r="U203" s="594"/>
    </row>
    <row r="204" spans="1:21" ht="13" x14ac:dyDescent="0.4">
      <c r="A204" s="594"/>
      <c r="B204" s="594"/>
      <c r="C204" s="594"/>
      <c r="D204" s="594"/>
      <c r="E204" s="594"/>
      <c r="F204" s="594"/>
      <c r="G204" s="594"/>
      <c r="H204" s="594"/>
      <c r="I204" s="594"/>
      <c r="J204" s="594"/>
      <c r="K204" s="594"/>
      <c r="L204" s="594"/>
      <c r="M204" s="594"/>
      <c r="N204" s="594"/>
      <c r="O204" s="594"/>
      <c r="P204" s="594"/>
      <c r="Q204" s="594"/>
      <c r="R204" s="594"/>
      <c r="S204" s="594"/>
      <c r="T204" s="594"/>
      <c r="U204" s="594"/>
    </row>
    <row r="205" spans="1:21" ht="13" x14ac:dyDescent="0.4">
      <c r="A205" s="594"/>
      <c r="B205" s="594"/>
      <c r="C205" s="594"/>
      <c r="D205" s="594"/>
      <c r="E205" s="594"/>
      <c r="F205" s="594"/>
      <c r="G205" s="594"/>
      <c r="H205" s="594"/>
      <c r="I205" s="594"/>
      <c r="J205" s="594"/>
      <c r="K205" s="594"/>
      <c r="L205" s="594"/>
      <c r="M205" s="594"/>
      <c r="N205" s="594"/>
      <c r="O205" s="594"/>
      <c r="P205" s="594"/>
      <c r="Q205" s="594"/>
      <c r="R205" s="594"/>
      <c r="S205" s="594"/>
      <c r="T205" s="594"/>
      <c r="U205" s="594"/>
    </row>
    <row r="206" spans="1:21" ht="13" x14ac:dyDescent="0.4">
      <c r="A206" s="594"/>
      <c r="B206" s="594"/>
      <c r="C206" s="594"/>
      <c r="D206" s="594"/>
      <c r="E206" s="594"/>
      <c r="F206" s="594"/>
      <c r="G206" s="594"/>
      <c r="H206" s="594"/>
      <c r="I206" s="594"/>
      <c r="J206" s="594"/>
      <c r="K206" s="594"/>
      <c r="L206" s="594"/>
      <c r="M206" s="594"/>
      <c r="N206" s="594"/>
      <c r="O206" s="594"/>
      <c r="P206" s="594"/>
      <c r="Q206" s="594"/>
      <c r="R206" s="594"/>
      <c r="S206" s="594"/>
      <c r="T206" s="594"/>
      <c r="U206" s="594"/>
    </row>
    <row r="207" spans="1:21" ht="13" x14ac:dyDescent="0.4">
      <c r="A207" s="594"/>
      <c r="B207" s="594"/>
      <c r="C207" s="594"/>
      <c r="D207" s="594"/>
      <c r="E207" s="594"/>
      <c r="F207" s="594"/>
      <c r="G207" s="594"/>
      <c r="H207" s="594"/>
      <c r="I207" s="594"/>
      <c r="J207" s="594"/>
      <c r="K207" s="594"/>
      <c r="L207" s="594"/>
      <c r="M207" s="594"/>
      <c r="N207" s="594"/>
      <c r="O207" s="594"/>
      <c r="P207" s="594"/>
      <c r="Q207" s="594"/>
      <c r="R207" s="594"/>
      <c r="S207" s="594"/>
      <c r="T207" s="594"/>
      <c r="U207" s="594"/>
    </row>
    <row r="208" spans="1:21" ht="13" x14ac:dyDescent="0.4">
      <c r="A208" s="594"/>
      <c r="B208" s="594"/>
      <c r="C208" s="594"/>
      <c r="D208" s="594"/>
      <c r="E208" s="594"/>
      <c r="F208" s="594"/>
      <c r="G208" s="594"/>
      <c r="H208" s="594"/>
      <c r="I208" s="594"/>
      <c r="J208" s="594"/>
      <c r="K208" s="594"/>
      <c r="L208" s="594"/>
      <c r="M208" s="594"/>
      <c r="N208" s="594"/>
      <c r="O208" s="594"/>
      <c r="P208" s="594"/>
      <c r="Q208" s="594"/>
      <c r="R208" s="594"/>
      <c r="S208" s="594"/>
      <c r="T208" s="594"/>
      <c r="U208" s="594"/>
    </row>
    <row r="209" spans="1:21" ht="13" x14ac:dyDescent="0.4">
      <c r="A209" s="594"/>
      <c r="B209" s="594"/>
      <c r="C209" s="594"/>
      <c r="D209" s="594"/>
      <c r="E209" s="594"/>
      <c r="F209" s="594"/>
      <c r="G209" s="594"/>
      <c r="H209" s="594"/>
      <c r="I209" s="594"/>
      <c r="J209" s="594"/>
      <c r="K209" s="594"/>
      <c r="L209" s="594"/>
      <c r="M209" s="594"/>
      <c r="N209" s="594"/>
      <c r="O209" s="594"/>
      <c r="P209" s="594"/>
      <c r="Q209" s="594"/>
      <c r="R209" s="594"/>
      <c r="S209" s="594"/>
      <c r="T209" s="594"/>
      <c r="U209" s="594"/>
    </row>
    <row r="210" spans="1:21" ht="13" x14ac:dyDescent="0.4">
      <c r="A210" s="594"/>
      <c r="B210" s="594"/>
      <c r="C210" s="594"/>
      <c r="D210" s="594"/>
      <c r="E210" s="594"/>
      <c r="F210" s="594"/>
      <c r="G210" s="594"/>
      <c r="H210" s="594"/>
      <c r="I210" s="594"/>
      <c r="J210" s="594"/>
      <c r="K210" s="594"/>
      <c r="L210" s="594"/>
      <c r="M210" s="594"/>
      <c r="N210" s="594"/>
      <c r="O210" s="594"/>
      <c r="P210" s="594"/>
      <c r="Q210" s="594"/>
      <c r="R210" s="594"/>
      <c r="S210" s="594"/>
      <c r="T210" s="594"/>
      <c r="U210" s="594"/>
    </row>
    <row r="211" spans="1:21" ht="13" x14ac:dyDescent="0.4">
      <c r="A211" s="594"/>
      <c r="B211" s="594"/>
      <c r="C211" s="594"/>
      <c r="D211" s="594"/>
      <c r="E211" s="594"/>
      <c r="F211" s="594"/>
      <c r="G211" s="594"/>
      <c r="H211" s="594"/>
      <c r="I211" s="594"/>
      <c r="J211" s="594"/>
      <c r="K211" s="594"/>
      <c r="L211" s="594"/>
      <c r="M211" s="594"/>
      <c r="N211" s="594"/>
      <c r="O211" s="594"/>
      <c r="P211" s="594"/>
      <c r="Q211" s="594"/>
      <c r="R211" s="594"/>
      <c r="S211" s="594"/>
      <c r="T211" s="594"/>
      <c r="U211" s="594"/>
    </row>
    <row r="212" spans="1:21" ht="13" x14ac:dyDescent="0.4">
      <c r="A212" s="594"/>
      <c r="B212" s="594"/>
      <c r="C212" s="594"/>
      <c r="D212" s="594"/>
      <c r="E212" s="594"/>
      <c r="F212" s="594"/>
      <c r="G212" s="594"/>
      <c r="H212" s="594"/>
      <c r="I212" s="594"/>
      <c r="J212" s="594"/>
      <c r="K212" s="594"/>
      <c r="L212" s="594"/>
      <c r="M212" s="594"/>
      <c r="N212" s="594"/>
      <c r="O212" s="594"/>
      <c r="P212" s="594"/>
      <c r="Q212" s="594"/>
      <c r="R212" s="594"/>
      <c r="S212" s="594"/>
      <c r="T212" s="594"/>
      <c r="U212" s="594"/>
    </row>
    <row r="213" spans="1:21" ht="13" x14ac:dyDescent="0.4">
      <c r="A213" s="594"/>
      <c r="B213" s="594"/>
      <c r="C213" s="594"/>
      <c r="D213" s="594"/>
      <c r="E213" s="594"/>
      <c r="F213" s="594"/>
      <c r="G213" s="594"/>
      <c r="H213" s="594"/>
      <c r="I213" s="594"/>
      <c r="J213" s="594"/>
      <c r="K213" s="594"/>
      <c r="L213" s="594"/>
      <c r="M213" s="594"/>
      <c r="N213" s="594"/>
      <c r="O213" s="594"/>
      <c r="P213" s="594"/>
      <c r="Q213" s="594"/>
      <c r="R213" s="594"/>
      <c r="S213" s="594"/>
      <c r="T213" s="594"/>
      <c r="U213" s="594"/>
    </row>
    <row r="214" spans="1:21" ht="13" x14ac:dyDescent="0.4">
      <c r="A214" s="594"/>
      <c r="B214" s="594"/>
      <c r="C214" s="594"/>
      <c r="D214" s="594"/>
      <c r="E214" s="594"/>
      <c r="F214" s="594"/>
      <c r="G214" s="594"/>
      <c r="H214" s="594"/>
      <c r="I214" s="594"/>
      <c r="J214" s="594"/>
      <c r="K214" s="594"/>
      <c r="L214" s="594"/>
      <c r="M214" s="594"/>
      <c r="N214" s="594"/>
      <c r="O214" s="594"/>
      <c r="P214" s="594"/>
      <c r="Q214" s="594"/>
      <c r="R214" s="594"/>
      <c r="S214" s="594"/>
      <c r="T214" s="594"/>
      <c r="U214" s="594"/>
    </row>
    <row r="215" spans="1:21" ht="13" x14ac:dyDescent="0.4">
      <c r="A215" s="594"/>
      <c r="B215" s="594"/>
      <c r="C215" s="594"/>
      <c r="D215" s="594"/>
      <c r="E215" s="594"/>
      <c r="F215" s="594"/>
      <c r="G215" s="594"/>
      <c r="H215" s="594"/>
      <c r="I215" s="594"/>
      <c r="J215" s="594"/>
      <c r="K215" s="594"/>
      <c r="L215" s="594"/>
      <c r="M215" s="594"/>
      <c r="N215" s="594"/>
      <c r="O215" s="594"/>
      <c r="P215" s="594"/>
      <c r="Q215" s="594"/>
      <c r="R215" s="594"/>
      <c r="S215" s="594"/>
      <c r="T215" s="594"/>
      <c r="U215" s="594"/>
    </row>
    <row r="216" spans="1:21" ht="13" x14ac:dyDescent="0.4">
      <c r="A216" s="594"/>
      <c r="B216" s="594"/>
      <c r="C216" s="594"/>
      <c r="D216" s="594"/>
      <c r="E216" s="594"/>
      <c r="F216" s="594"/>
      <c r="G216" s="594"/>
      <c r="H216" s="594"/>
      <c r="I216" s="594"/>
      <c r="J216" s="594"/>
      <c r="K216" s="594"/>
      <c r="L216" s="594"/>
      <c r="M216" s="594"/>
      <c r="N216" s="594"/>
      <c r="O216" s="594"/>
      <c r="P216" s="594"/>
      <c r="Q216" s="594"/>
      <c r="R216" s="594"/>
      <c r="S216" s="594"/>
      <c r="T216" s="594"/>
      <c r="U216" s="594"/>
    </row>
    <row r="217" spans="1:21" ht="13" x14ac:dyDescent="0.4">
      <c r="A217" s="594"/>
      <c r="B217" s="594"/>
      <c r="C217" s="594"/>
      <c r="D217" s="594"/>
      <c r="E217" s="594"/>
      <c r="F217" s="594"/>
      <c r="G217" s="594"/>
      <c r="H217" s="594"/>
      <c r="I217" s="594"/>
      <c r="J217" s="594"/>
      <c r="K217" s="594"/>
      <c r="L217" s="594"/>
      <c r="M217" s="594"/>
      <c r="N217" s="594"/>
      <c r="O217" s="594"/>
      <c r="P217" s="594"/>
      <c r="Q217" s="594"/>
      <c r="R217" s="594"/>
      <c r="S217" s="594"/>
      <c r="T217" s="594"/>
      <c r="U217" s="594"/>
    </row>
    <row r="218" spans="1:21" ht="13" x14ac:dyDescent="0.4">
      <c r="A218" s="594"/>
      <c r="B218" s="594"/>
      <c r="C218" s="594"/>
      <c r="D218" s="594"/>
      <c r="E218" s="594"/>
      <c r="F218" s="594"/>
      <c r="G218" s="594"/>
      <c r="H218" s="594"/>
      <c r="I218" s="594"/>
      <c r="J218" s="594"/>
      <c r="K218" s="594"/>
      <c r="L218" s="594"/>
      <c r="M218" s="594"/>
      <c r="N218" s="594"/>
      <c r="O218" s="594"/>
      <c r="P218" s="594"/>
      <c r="Q218" s="594"/>
      <c r="R218" s="594"/>
      <c r="S218" s="594"/>
      <c r="T218" s="594"/>
      <c r="U218" s="594"/>
    </row>
    <row r="219" spans="1:21" ht="13" x14ac:dyDescent="0.4">
      <c r="A219" s="594"/>
      <c r="B219" s="594"/>
      <c r="C219" s="594"/>
      <c r="D219" s="594"/>
      <c r="E219" s="594"/>
      <c r="F219" s="594"/>
      <c r="G219" s="594"/>
      <c r="H219" s="594"/>
      <c r="I219" s="594"/>
      <c r="J219" s="594"/>
      <c r="K219" s="594"/>
      <c r="L219" s="594"/>
      <c r="M219" s="594"/>
      <c r="N219" s="594"/>
      <c r="O219" s="594"/>
      <c r="P219" s="594"/>
      <c r="Q219" s="594"/>
      <c r="R219" s="594"/>
      <c r="S219" s="594"/>
      <c r="T219" s="594"/>
      <c r="U219" s="594"/>
    </row>
    <row r="220" spans="1:21" ht="13" x14ac:dyDescent="0.4">
      <c r="A220" s="594"/>
      <c r="B220" s="594"/>
      <c r="C220" s="594"/>
      <c r="D220" s="594"/>
      <c r="E220" s="594"/>
      <c r="F220" s="594"/>
      <c r="G220" s="594"/>
      <c r="H220" s="594"/>
      <c r="I220" s="594"/>
      <c r="J220" s="594"/>
      <c r="K220" s="594"/>
      <c r="L220" s="594"/>
      <c r="M220" s="594"/>
      <c r="N220" s="594"/>
      <c r="O220" s="594"/>
      <c r="P220" s="594"/>
      <c r="Q220" s="594"/>
      <c r="R220" s="594"/>
      <c r="S220" s="594"/>
      <c r="T220" s="594"/>
      <c r="U220" s="594"/>
    </row>
    <row r="221" spans="1:21" ht="13" x14ac:dyDescent="0.4">
      <c r="A221" s="594"/>
      <c r="B221" s="594"/>
      <c r="C221" s="594"/>
      <c r="D221" s="594"/>
      <c r="E221" s="594"/>
      <c r="F221" s="594"/>
      <c r="G221" s="594"/>
      <c r="H221" s="594"/>
      <c r="I221" s="594"/>
      <c r="J221" s="594"/>
      <c r="K221" s="594"/>
      <c r="L221" s="594"/>
      <c r="M221" s="594"/>
      <c r="N221" s="594"/>
      <c r="O221" s="594"/>
      <c r="P221" s="594"/>
      <c r="Q221" s="594"/>
      <c r="R221" s="594"/>
      <c r="S221" s="594"/>
      <c r="T221" s="594"/>
      <c r="U221" s="594"/>
    </row>
    <row r="222" spans="1:21" ht="13" x14ac:dyDescent="0.4">
      <c r="A222" s="594"/>
      <c r="B222" s="594"/>
      <c r="C222" s="594"/>
      <c r="D222" s="594"/>
      <c r="E222" s="594"/>
      <c r="F222" s="594"/>
      <c r="G222" s="594"/>
      <c r="H222" s="594"/>
      <c r="I222" s="594"/>
      <c r="J222" s="594"/>
      <c r="K222" s="594"/>
      <c r="L222" s="594"/>
      <c r="M222" s="594"/>
      <c r="N222" s="594"/>
      <c r="O222" s="594"/>
      <c r="P222" s="594"/>
      <c r="Q222" s="594"/>
      <c r="R222" s="594"/>
      <c r="S222" s="594"/>
      <c r="T222" s="594"/>
      <c r="U222" s="594"/>
    </row>
    <row r="223" spans="1:21" ht="13" x14ac:dyDescent="0.4">
      <c r="A223" s="594"/>
      <c r="B223" s="594"/>
      <c r="C223" s="594"/>
      <c r="D223" s="594"/>
      <c r="E223" s="594"/>
      <c r="F223" s="594"/>
      <c r="G223" s="594"/>
      <c r="H223" s="594"/>
      <c r="I223" s="594"/>
      <c r="J223" s="594"/>
      <c r="K223" s="594"/>
      <c r="L223" s="594"/>
      <c r="M223" s="594"/>
      <c r="N223" s="594"/>
      <c r="O223" s="594"/>
      <c r="P223" s="594"/>
      <c r="Q223" s="594"/>
      <c r="R223" s="594"/>
      <c r="S223" s="594"/>
      <c r="T223" s="594"/>
      <c r="U223" s="594"/>
    </row>
    <row r="224" spans="1:21" ht="13" x14ac:dyDescent="0.4">
      <c r="A224" s="594"/>
      <c r="B224" s="594"/>
      <c r="C224" s="594"/>
      <c r="D224" s="594"/>
      <c r="E224" s="594"/>
      <c r="F224" s="594"/>
      <c r="G224" s="594"/>
      <c r="H224" s="594"/>
      <c r="I224" s="594"/>
      <c r="J224" s="594"/>
      <c r="K224" s="594"/>
      <c r="L224" s="594"/>
      <c r="M224" s="594"/>
      <c r="N224" s="594"/>
      <c r="O224" s="594"/>
      <c r="P224" s="594"/>
      <c r="Q224" s="594"/>
      <c r="R224" s="594"/>
      <c r="S224" s="594"/>
      <c r="T224" s="594"/>
      <c r="U224" s="594"/>
    </row>
    <row r="225" spans="1:21" ht="13" x14ac:dyDescent="0.4">
      <c r="A225" s="594"/>
      <c r="B225" s="594"/>
      <c r="C225" s="594"/>
      <c r="D225" s="594"/>
      <c r="E225" s="594"/>
      <c r="F225" s="594"/>
      <c r="G225" s="594"/>
      <c r="H225" s="594"/>
      <c r="I225" s="594"/>
      <c r="J225" s="594"/>
      <c r="K225" s="594"/>
      <c r="L225" s="594"/>
      <c r="M225" s="594"/>
      <c r="N225" s="594"/>
      <c r="O225" s="594"/>
      <c r="P225" s="594"/>
      <c r="Q225" s="594"/>
      <c r="R225" s="594"/>
      <c r="S225" s="594"/>
      <c r="T225" s="594"/>
      <c r="U225" s="594"/>
    </row>
    <row r="226" spans="1:21" ht="13" x14ac:dyDescent="0.4">
      <c r="A226" s="594"/>
      <c r="B226" s="594"/>
      <c r="C226" s="594"/>
      <c r="D226" s="594"/>
      <c r="E226" s="594"/>
      <c r="F226" s="594"/>
      <c r="G226" s="594"/>
      <c r="H226" s="594"/>
      <c r="I226" s="594"/>
      <c r="J226" s="594"/>
      <c r="K226" s="594"/>
      <c r="L226" s="594"/>
      <c r="M226" s="594"/>
      <c r="N226" s="594"/>
      <c r="O226" s="594"/>
      <c r="P226" s="594"/>
      <c r="Q226" s="594"/>
      <c r="R226" s="594"/>
      <c r="S226" s="594"/>
      <c r="T226" s="594"/>
      <c r="U226" s="594"/>
    </row>
    <row r="227" spans="1:21" ht="13" x14ac:dyDescent="0.4">
      <c r="A227" s="594"/>
      <c r="B227" s="594"/>
      <c r="C227" s="594"/>
      <c r="D227" s="594"/>
      <c r="E227" s="594"/>
      <c r="F227" s="594"/>
      <c r="G227" s="594"/>
      <c r="H227" s="594"/>
      <c r="I227" s="594"/>
      <c r="J227" s="594"/>
      <c r="K227" s="594"/>
      <c r="L227" s="594"/>
      <c r="M227" s="594"/>
      <c r="N227" s="594"/>
      <c r="O227" s="594"/>
      <c r="P227" s="594"/>
      <c r="Q227" s="594"/>
      <c r="R227" s="594"/>
      <c r="S227" s="594"/>
      <c r="T227" s="594"/>
      <c r="U227" s="594"/>
    </row>
    <row r="228" spans="1:21" ht="13" x14ac:dyDescent="0.4">
      <c r="A228" s="594"/>
      <c r="B228" s="594"/>
      <c r="C228" s="594"/>
      <c r="D228" s="594"/>
      <c r="E228" s="594"/>
      <c r="F228" s="594"/>
      <c r="G228" s="594"/>
      <c r="H228" s="594"/>
      <c r="I228" s="594"/>
      <c r="J228" s="594"/>
      <c r="K228" s="594"/>
      <c r="L228" s="594"/>
      <c r="M228" s="594"/>
      <c r="N228" s="594"/>
      <c r="O228" s="594"/>
      <c r="P228" s="594"/>
      <c r="Q228" s="594"/>
      <c r="R228" s="594"/>
      <c r="S228" s="594"/>
      <c r="T228" s="594"/>
      <c r="U228" s="594"/>
    </row>
    <row r="229" spans="1:21" ht="13" x14ac:dyDescent="0.4">
      <c r="A229" s="594"/>
      <c r="B229" s="594"/>
      <c r="C229" s="594"/>
      <c r="D229" s="594"/>
      <c r="E229" s="594"/>
      <c r="F229" s="594"/>
      <c r="G229" s="594"/>
      <c r="H229" s="594"/>
      <c r="I229" s="594"/>
      <c r="J229" s="594"/>
      <c r="K229" s="594"/>
      <c r="L229" s="594"/>
      <c r="M229" s="594"/>
      <c r="N229" s="594"/>
      <c r="O229" s="594"/>
      <c r="P229" s="594"/>
      <c r="Q229" s="594"/>
      <c r="R229" s="594"/>
      <c r="S229" s="594"/>
      <c r="T229" s="594"/>
      <c r="U229" s="594"/>
    </row>
    <row r="230" spans="1:21" ht="13" x14ac:dyDescent="0.4">
      <c r="A230" s="594"/>
      <c r="B230" s="594"/>
      <c r="C230" s="594"/>
      <c r="D230" s="594"/>
      <c r="E230" s="594"/>
      <c r="F230" s="594"/>
      <c r="G230" s="594"/>
      <c r="H230" s="594"/>
      <c r="I230" s="594"/>
      <c r="J230" s="594"/>
      <c r="K230" s="594"/>
      <c r="L230" s="594"/>
      <c r="M230" s="594"/>
      <c r="N230" s="594"/>
      <c r="O230" s="594"/>
      <c r="P230" s="594"/>
      <c r="Q230" s="594"/>
      <c r="R230" s="594"/>
      <c r="S230" s="594"/>
      <c r="T230" s="594"/>
      <c r="U230" s="594"/>
    </row>
    <row r="231" spans="1:21" ht="13" x14ac:dyDescent="0.4">
      <c r="A231" s="594"/>
      <c r="B231" s="594"/>
      <c r="C231" s="594"/>
      <c r="D231" s="594"/>
      <c r="E231" s="594"/>
      <c r="F231" s="594"/>
      <c r="G231" s="594"/>
      <c r="H231" s="594"/>
      <c r="I231" s="594"/>
      <c r="J231" s="594"/>
      <c r="K231" s="594"/>
      <c r="L231" s="594"/>
      <c r="M231" s="594"/>
      <c r="N231" s="594"/>
      <c r="O231" s="594"/>
      <c r="P231" s="594"/>
      <c r="Q231" s="594"/>
      <c r="R231" s="594"/>
      <c r="S231" s="594"/>
      <c r="T231" s="594"/>
      <c r="U231" s="594"/>
    </row>
    <row r="232" spans="1:21" ht="13" x14ac:dyDescent="0.4">
      <c r="A232" s="594"/>
      <c r="B232" s="594"/>
      <c r="C232" s="594"/>
      <c r="D232" s="594"/>
      <c r="E232" s="594"/>
      <c r="F232" s="594"/>
      <c r="G232" s="594"/>
      <c r="H232" s="594"/>
      <c r="I232" s="594"/>
      <c r="J232" s="594"/>
      <c r="K232" s="594"/>
      <c r="L232" s="594"/>
      <c r="M232" s="594"/>
      <c r="N232" s="594"/>
      <c r="O232" s="594"/>
      <c r="P232" s="594"/>
      <c r="Q232" s="594"/>
      <c r="R232" s="594"/>
      <c r="S232" s="594"/>
      <c r="T232" s="594"/>
      <c r="U232" s="594"/>
    </row>
    <row r="233" spans="1:21" ht="13" x14ac:dyDescent="0.4">
      <c r="A233" s="594"/>
      <c r="B233" s="594"/>
      <c r="C233" s="594"/>
      <c r="D233" s="594"/>
      <c r="E233" s="594"/>
      <c r="F233" s="594"/>
      <c r="G233" s="594"/>
      <c r="H233" s="594"/>
      <c r="I233" s="594"/>
      <c r="J233" s="594"/>
      <c r="K233" s="594"/>
      <c r="L233" s="594"/>
      <c r="M233" s="594"/>
      <c r="N233" s="594"/>
      <c r="O233" s="594"/>
      <c r="P233" s="594"/>
      <c r="Q233" s="594"/>
      <c r="R233" s="594"/>
      <c r="S233" s="594"/>
      <c r="T233" s="594"/>
      <c r="U233" s="594"/>
    </row>
    <row r="234" spans="1:21" ht="13" x14ac:dyDescent="0.4">
      <c r="A234" s="594"/>
      <c r="B234" s="594"/>
      <c r="C234" s="594"/>
      <c r="D234" s="594"/>
      <c r="E234" s="594"/>
      <c r="F234" s="594"/>
      <c r="G234" s="594"/>
      <c r="H234" s="594"/>
      <c r="I234" s="594"/>
      <c r="J234" s="594"/>
      <c r="K234" s="594"/>
      <c r="L234" s="594"/>
      <c r="M234" s="594"/>
      <c r="N234" s="594"/>
      <c r="O234" s="594"/>
      <c r="P234" s="594"/>
      <c r="Q234" s="594"/>
      <c r="R234" s="594"/>
      <c r="S234" s="594"/>
      <c r="T234" s="594"/>
      <c r="U234" s="594"/>
    </row>
    <row r="235" spans="1:21" ht="13" x14ac:dyDescent="0.4">
      <c r="A235" s="594"/>
      <c r="B235" s="594"/>
      <c r="C235" s="594"/>
      <c r="D235" s="594"/>
      <c r="E235" s="594"/>
      <c r="F235" s="594"/>
      <c r="G235" s="594"/>
      <c r="H235" s="594"/>
      <c r="I235" s="594"/>
      <c r="J235" s="594"/>
      <c r="K235" s="594"/>
      <c r="L235" s="594"/>
      <c r="M235" s="594"/>
      <c r="N235" s="594"/>
      <c r="O235" s="594"/>
      <c r="P235" s="594"/>
      <c r="Q235" s="594"/>
      <c r="R235" s="594"/>
      <c r="S235" s="594"/>
      <c r="T235" s="594"/>
      <c r="U235" s="594"/>
    </row>
    <row r="236" spans="1:21" ht="13" x14ac:dyDescent="0.4">
      <c r="A236" s="594"/>
      <c r="B236" s="594"/>
      <c r="C236" s="594"/>
      <c r="D236" s="594"/>
      <c r="E236" s="594"/>
      <c r="F236" s="594"/>
      <c r="G236" s="594"/>
      <c r="H236" s="594"/>
      <c r="I236" s="594"/>
      <c r="J236" s="594"/>
      <c r="K236" s="594"/>
      <c r="L236" s="594"/>
      <c r="M236" s="594"/>
      <c r="N236" s="594"/>
      <c r="O236" s="594"/>
      <c r="P236" s="594"/>
      <c r="Q236" s="594"/>
      <c r="R236" s="594"/>
      <c r="S236" s="594"/>
      <c r="T236" s="594"/>
      <c r="U236" s="594"/>
    </row>
    <row r="237" spans="1:21" ht="13" x14ac:dyDescent="0.4">
      <c r="A237" s="594"/>
      <c r="B237" s="594"/>
      <c r="C237" s="594"/>
      <c r="D237" s="594"/>
      <c r="E237" s="594"/>
      <c r="F237" s="594"/>
      <c r="G237" s="594"/>
      <c r="H237" s="594"/>
      <c r="I237" s="594"/>
      <c r="J237" s="594"/>
      <c r="K237" s="594"/>
      <c r="L237" s="594"/>
      <c r="M237" s="594"/>
      <c r="N237" s="594"/>
      <c r="O237" s="594"/>
      <c r="P237" s="594"/>
      <c r="Q237" s="594"/>
      <c r="R237" s="594"/>
      <c r="S237" s="594"/>
      <c r="T237" s="594"/>
      <c r="U237" s="594"/>
    </row>
    <row r="238" spans="1:21" ht="13" x14ac:dyDescent="0.4">
      <c r="A238" s="594"/>
      <c r="B238" s="594"/>
      <c r="C238" s="594"/>
      <c r="D238" s="594"/>
      <c r="E238" s="594"/>
      <c r="F238" s="594"/>
      <c r="G238" s="594"/>
      <c r="H238" s="594"/>
      <c r="I238" s="594"/>
      <c r="J238" s="594"/>
      <c r="K238" s="594"/>
      <c r="L238" s="594"/>
      <c r="M238" s="594"/>
      <c r="N238" s="594"/>
      <c r="O238" s="594"/>
      <c r="P238" s="594"/>
      <c r="Q238" s="594"/>
      <c r="R238" s="594"/>
      <c r="S238" s="594"/>
      <c r="T238" s="594"/>
      <c r="U238" s="594"/>
    </row>
    <row r="239" spans="1:21" ht="13" x14ac:dyDescent="0.4">
      <c r="A239" s="594"/>
      <c r="B239" s="594"/>
      <c r="C239" s="594"/>
      <c r="D239" s="594"/>
      <c r="E239" s="594"/>
      <c r="F239" s="594"/>
      <c r="G239" s="594"/>
      <c r="H239" s="594"/>
      <c r="I239" s="594"/>
      <c r="J239" s="594"/>
      <c r="K239" s="594"/>
      <c r="L239" s="594"/>
      <c r="M239" s="594"/>
      <c r="N239" s="594"/>
      <c r="O239" s="594"/>
      <c r="P239" s="594"/>
      <c r="Q239" s="594"/>
      <c r="R239" s="594"/>
      <c r="S239" s="594"/>
      <c r="T239" s="594"/>
      <c r="U239" s="594"/>
    </row>
    <row r="240" spans="1:21" ht="13" x14ac:dyDescent="0.4">
      <c r="A240" s="594"/>
      <c r="B240" s="594"/>
      <c r="C240" s="594"/>
      <c r="D240" s="594"/>
      <c r="E240" s="594"/>
      <c r="F240" s="594"/>
      <c r="G240" s="594"/>
      <c r="H240" s="594"/>
      <c r="I240" s="594"/>
      <c r="J240" s="594"/>
      <c r="K240" s="594"/>
      <c r="L240" s="594"/>
      <c r="M240" s="594"/>
      <c r="N240" s="594"/>
      <c r="O240" s="594"/>
      <c r="P240" s="594"/>
      <c r="Q240" s="594"/>
      <c r="R240" s="594"/>
      <c r="S240" s="594"/>
      <c r="T240" s="594"/>
      <c r="U240" s="594"/>
    </row>
    <row r="241" spans="1:21" ht="13" x14ac:dyDescent="0.4">
      <c r="A241" s="594"/>
      <c r="B241" s="594"/>
      <c r="C241" s="594"/>
      <c r="D241" s="594"/>
      <c r="E241" s="594"/>
      <c r="F241" s="594"/>
      <c r="G241" s="594"/>
      <c r="H241" s="594"/>
      <c r="I241" s="594"/>
      <c r="J241" s="594"/>
      <c r="K241" s="594"/>
      <c r="L241" s="594"/>
      <c r="M241" s="594"/>
      <c r="N241" s="594"/>
      <c r="O241" s="594"/>
      <c r="P241" s="594"/>
      <c r="Q241" s="594"/>
      <c r="R241" s="594"/>
      <c r="S241" s="594"/>
      <c r="T241" s="594"/>
      <c r="U241" s="594"/>
    </row>
    <row r="242" spans="1:21" ht="13" x14ac:dyDescent="0.4">
      <c r="A242" s="594"/>
      <c r="B242" s="594"/>
      <c r="C242" s="594"/>
      <c r="D242" s="594"/>
      <c r="E242" s="594"/>
      <c r="F242" s="594"/>
      <c r="G242" s="594"/>
      <c r="H242" s="594"/>
      <c r="I242" s="594"/>
      <c r="J242" s="594"/>
      <c r="K242" s="594"/>
      <c r="L242" s="594"/>
      <c r="M242" s="594"/>
      <c r="N242" s="594"/>
      <c r="O242" s="594"/>
      <c r="P242" s="594"/>
      <c r="Q242" s="594"/>
      <c r="R242" s="594"/>
      <c r="S242" s="594"/>
      <c r="T242" s="594"/>
      <c r="U242" s="594"/>
    </row>
    <row r="243" spans="1:21" ht="13" x14ac:dyDescent="0.4">
      <c r="A243" s="594"/>
      <c r="B243" s="594"/>
      <c r="C243" s="594"/>
      <c r="D243" s="594"/>
      <c r="E243" s="594"/>
      <c r="F243" s="594"/>
      <c r="G243" s="594"/>
      <c r="H243" s="594"/>
      <c r="I243" s="594"/>
      <c r="J243" s="594"/>
      <c r="K243" s="594"/>
      <c r="L243" s="594"/>
      <c r="M243" s="594"/>
      <c r="N243" s="594"/>
      <c r="O243" s="594"/>
      <c r="P243" s="594"/>
      <c r="Q243" s="594"/>
      <c r="R243" s="594"/>
      <c r="S243" s="594"/>
      <c r="T243" s="594"/>
      <c r="U243" s="594"/>
    </row>
    <row r="244" spans="1:21" ht="13" x14ac:dyDescent="0.4">
      <c r="A244" s="594"/>
      <c r="B244" s="594"/>
      <c r="C244" s="594"/>
      <c r="D244" s="594"/>
      <c r="E244" s="594"/>
      <c r="F244" s="594"/>
      <c r="G244" s="594"/>
      <c r="H244" s="594"/>
      <c r="I244" s="594"/>
      <c r="J244" s="594"/>
      <c r="K244" s="594"/>
      <c r="L244" s="594"/>
      <c r="M244" s="594"/>
      <c r="N244" s="594"/>
      <c r="O244" s="594"/>
      <c r="P244" s="594"/>
      <c r="Q244" s="594"/>
      <c r="R244" s="594"/>
      <c r="S244" s="594"/>
      <c r="T244" s="594"/>
      <c r="U244" s="594"/>
    </row>
    <row r="245" spans="1:21" ht="13" x14ac:dyDescent="0.4">
      <c r="A245" s="594"/>
      <c r="B245" s="594"/>
      <c r="C245" s="594"/>
      <c r="D245" s="594"/>
      <c r="E245" s="594"/>
      <c r="F245" s="594"/>
      <c r="G245" s="594"/>
      <c r="H245" s="594"/>
      <c r="I245" s="594"/>
      <c r="J245" s="594"/>
      <c r="K245" s="594"/>
      <c r="L245" s="594"/>
      <c r="M245" s="594"/>
      <c r="N245" s="594"/>
      <c r="O245" s="594"/>
      <c r="P245" s="594"/>
      <c r="Q245" s="594"/>
      <c r="R245" s="594"/>
      <c r="S245" s="594"/>
      <c r="T245" s="594"/>
      <c r="U245" s="594"/>
    </row>
    <row r="246" spans="1:21" ht="13" x14ac:dyDescent="0.4">
      <c r="A246" s="594"/>
      <c r="B246" s="594"/>
      <c r="C246" s="594"/>
      <c r="D246" s="594"/>
      <c r="E246" s="594"/>
      <c r="F246" s="594"/>
      <c r="G246" s="594"/>
      <c r="H246" s="594"/>
      <c r="I246" s="594"/>
      <c r="J246" s="594"/>
      <c r="K246" s="594"/>
      <c r="L246" s="594"/>
      <c r="M246" s="594"/>
      <c r="N246" s="594"/>
      <c r="O246" s="594"/>
      <c r="P246" s="594"/>
      <c r="Q246" s="594"/>
      <c r="R246" s="594"/>
      <c r="S246" s="594"/>
      <c r="T246" s="594"/>
      <c r="U246" s="594"/>
    </row>
    <row r="247" spans="1:21" ht="13" x14ac:dyDescent="0.4">
      <c r="A247" s="594"/>
      <c r="B247" s="594"/>
      <c r="C247" s="594"/>
      <c r="D247" s="594"/>
      <c r="E247" s="594"/>
      <c r="F247" s="594"/>
      <c r="G247" s="594"/>
      <c r="H247" s="594"/>
      <c r="I247" s="594"/>
      <c r="J247" s="594"/>
      <c r="K247" s="594"/>
      <c r="L247" s="594"/>
      <c r="M247" s="594"/>
      <c r="N247" s="594"/>
      <c r="O247" s="594"/>
      <c r="P247" s="594"/>
      <c r="Q247" s="594"/>
      <c r="R247" s="594"/>
      <c r="S247" s="594"/>
      <c r="T247" s="594"/>
      <c r="U247" s="594"/>
    </row>
    <row r="248" spans="1:21" ht="13" x14ac:dyDescent="0.4">
      <c r="A248" s="594"/>
      <c r="B248" s="594"/>
      <c r="C248" s="594"/>
      <c r="D248" s="594"/>
      <c r="E248" s="594"/>
      <c r="F248" s="594"/>
      <c r="G248" s="594"/>
      <c r="H248" s="594"/>
      <c r="I248" s="594"/>
      <c r="J248" s="594"/>
      <c r="K248" s="594"/>
      <c r="L248" s="594"/>
      <c r="M248" s="594"/>
      <c r="N248" s="594"/>
      <c r="O248" s="594"/>
      <c r="P248" s="594"/>
      <c r="Q248" s="594"/>
      <c r="R248" s="594"/>
      <c r="S248" s="594"/>
      <c r="T248" s="594"/>
      <c r="U248" s="594"/>
    </row>
    <row r="249" spans="1:21" ht="13" x14ac:dyDescent="0.4">
      <c r="A249" s="594"/>
      <c r="B249" s="594"/>
      <c r="C249" s="594"/>
      <c r="D249" s="594"/>
      <c r="E249" s="594"/>
      <c r="F249" s="594"/>
      <c r="G249" s="594"/>
      <c r="H249" s="594"/>
      <c r="I249" s="594"/>
      <c r="J249" s="594"/>
      <c r="K249" s="594"/>
      <c r="L249" s="594"/>
      <c r="M249" s="594"/>
      <c r="N249" s="594"/>
      <c r="O249" s="594"/>
      <c r="P249" s="594"/>
      <c r="Q249" s="594"/>
      <c r="R249" s="594"/>
      <c r="S249" s="594"/>
      <c r="T249" s="594"/>
      <c r="U249" s="594"/>
    </row>
    <row r="250" spans="1:21" ht="13" x14ac:dyDescent="0.4">
      <c r="A250" s="594"/>
      <c r="B250" s="594"/>
      <c r="C250" s="594"/>
      <c r="D250" s="594"/>
      <c r="E250" s="594"/>
      <c r="F250" s="594"/>
      <c r="G250" s="594"/>
      <c r="H250" s="594"/>
      <c r="I250" s="594"/>
      <c r="J250" s="594"/>
      <c r="K250" s="594"/>
      <c r="L250" s="594"/>
      <c r="M250" s="594"/>
      <c r="N250" s="594"/>
      <c r="O250" s="594"/>
      <c r="P250" s="594"/>
      <c r="Q250" s="594"/>
      <c r="R250" s="594"/>
      <c r="S250" s="594"/>
      <c r="T250" s="594"/>
      <c r="U250" s="594"/>
    </row>
    <row r="251" spans="1:21" ht="13" x14ac:dyDescent="0.4">
      <c r="A251" s="594"/>
      <c r="B251" s="594"/>
      <c r="C251" s="594"/>
      <c r="D251" s="594"/>
      <c r="E251" s="594"/>
      <c r="F251" s="594"/>
      <c r="G251" s="594"/>
      <c r="H251" s="594"/>
      <c r="I251" s="594"/>
      <c r="J251" s="594"/>
      <c r="K251" s="594"/>
      <c r="L251" s="594"/>
      <c r="M251" s="594"/>
      <c r="N251" s="594"/>
      <c r="O251" s="594"/>
      <c r="P251" s="594"/>
      <c r="Q251" s="594"/>
      <c r="R251" s="594"/>
      <c r="S251" s="594"/>
      <c r="T251" s="594"/>
      <c r="U251" s="594"/>
    </row>
    <row r="252" spans="1:21" ht="13" x14ac:dyDescent="0.4">
      <c r="A252" s="594"/>
      <c r="B252" s="594"/>
      <c r="C252" s="594"/>
      <c r="D252" s="594"/>
      <c r="E252" s="594"/>
      <c r="F252" s="594"/>
      <c r="G252" s="594"/>
      <c r="H252" s="594"/>
      <c r="I252" s="594"/>
      <c r="J252" s="594"/>
      <c r="K252" s="594"/>
      <c r="L252" s="594"/>
      <c r="M252" s="594"/>
      <c r="N252" s="594"/>
      <c r="O252" s="594"/>
      <c r="P252" s="594"/>
      <c r="Q252" s="594"/>
      <c r="R252" s="594"/>
      <c r="S252" s="594"/>
      <c r="T252" s="594"/>
      <c r="U252" s="594"/>
    </row>
    <row r="253" spans="1:21" ht="13" x14ac:dyDescent="0.4">
      <c r="A253" s="594"/>
      <c r="B253" s="594"/>
      <c r="C253" s="594"/>
      <c r="D253" s="594"/>
      <c r="E253" s="594"/>
      <c r="F253" s="594"/>
      <c r="G253" s="594"/>
      <c r="H253" s="594"/>
      <c r="I253" s="594"/>
      <c r="J253" s="594"/>
      <c r="K253" s="594"/>
      <c r="L253" s="594"/>
      <c r="M253" s="594"/>
      <c r="N253" s="594"/>
      <c r="O253" s="594"/>
      <c r="P253" s="594"/>
      <c r="Q253" s="594"/>
      <c r="R253" s="594"/>
      <c r="S253" s="594"/>
      <c r="T253" s="594"/>
      <c r="U253" s="594"/>
    </row>
    <row r="254" spans="1:21" ht="13" x14ac:dyDescent="0.4">
      <c r="A254" s="594"/>
      <c r="B254" s="594"/>
      <c r="C254" s="594"/>
      <c r="D254" s="594"/>
      <c r="E254" s="594"/>
      <c r="F254" s="594"/>
      <c r="G254" s="594"/>
      <c r="H254" s="594"/>
      <c r="I254" s="594"/>
      <c r="J254" s="594"/>
      <c r="K254" s="594"/>
      <c r="L254" s="594"/>
      <c r="M254" s="594"/>
      <c r="N254" s="594"/>
      <c r="O254" s="594"/>
      <c r="P254" s="594"/>
      <c r="Q254" s="594"/>
      <c r="R254" s="594"/>
      <c r="S254" s="594"/>
      <c r="T254" s="594"/>
      <c r="U254" s="594"/>
    </row>
    <row r="255" spans="1:21" ht="13" x14ac:dyDescent="0.4">
      <c r="A255" s="594"/>
      <c r="B255" s="594"/>
      <c r="C255" s="594"/>
      <c r="D255" s="594"/>
      <c r="E255" s="594"/>
      <c r="F255" s="594"/>
      <c r="G255" s="594"/>
      <c r="H255" s="594"/>
      <c r="I255" s="594"/>
      <c r="J255" s="594"/>
      <c r="K255" s="594"/>
      <c r="L255" s="594"/>
      <c r="M255" s="594"/>
      <c r="N255" s="594"/>
      <c r="O255" s="594"/>
      <c r="P255" s="594"/>
      <c r="Q255" s="594"/>
      <c r="R255" s="594"/>
      <c r="S255" s="594"/>
      <c r="T255" s="594"/>
      <c r="U255" s="594"/>
    </row>
    <row r="256" spans="1:21" ht="13" x14ac:dyDescent="0.4">
      <c r="A256" s="594"/>
      <c r="B256" s="594"/>
      <c r="C256" s="594"/>
      <c r="D256" s="594"/>
      <c r="E256" s="594"/>
      <c r="F256" s="594"/>
      <c r="G256" s="594"/>
      <c r="H256" s="594"/>
      <c r="I256" s="594"/>
      <c r="J256" s="594"/>
      <c r="K256" s="594"/>
      <c r="L256" s="594"/>
      <c r="M256" s="594"/>
      <c r="N256" s="594"/>
      <c r="O256" s="594"/>
      <c r="P256" s="594"/>
      <c r="Q256" s="594"/>
      <c r="R256" s="594"/>
      <c r="S256" s="594"/>
      <c r="T256" s="594"/>
      <c r="U256" s="594"/>
    </row>
    <row r="257" spans="1:21" ht="13" x14ac:dyDescent="0.4">
      <c r="A257" s="594"/>
      <c r="B257" s="594"/>
      <c r="C257" s="594"/>
      <c r="D257" s="594"/>
      <c r="E257" s="594"/>
      <c r="F257" s="594"/>
      <c r="G257" s="594"/>
      <c r="H257" s="594"/>
      <c r="I257" s="594"/>
      <c r="J257" s="594"/>
      <c r="K257" s="594"/>
      <c r="L257" s="594"/>
      <c r="M257" s="594"/>
      <c r="N257" s="594"/>
      <c r="O257" s="594"/>
      <c r="P257" s="594"/>
      <c r="Q257" s="594"/>
      <c r="R257" s="594"/>
      <c r="S257" s="594"/>
      <c r="T257" s="594"/>
      <c r="U257" s="594"/>
    </row>
    <row r="258" spans="1:21" ht="13" x14ac:dyDescent="0.4">
      <c r="A258" s="594"/>
      <c r="B258" s="594"/>
      <c r="C258" s="594"/>
      <c r="D258" s="594"/>
      <c r="E258" s="594"/>
      <c r="F258" s="594"/>
      <c r="G258" s="594"/>
      <c r="H258" s="594"/>
      <c r="I258" s="594"/>
      <c r="J258" s="594"/>
      <c r="K258" s="594"/>
      <c r="L258" s="594"/>
      <c r="M258" s="594"/>
      <c r="N258" s="594"/>
      <c r="O258" s="594"/>
      <c r="P258" s="594"/>
      <c r="Q258" s="594"/>
      <c r="R258" s="594"/>
      <c r="S258" s="594"/>
      <c r="T258" s="594"/>
      <c r="U258" s="594"/>
    </row>
    <row r="259" spans="1:21" ht="13" x14ac:dyDescent="0.4">
      <c r="A259" s="594"/>
      <c r="B259" s="594"/>
      <c r="C259" s="594"/>
      <c r="D259" s="594"/>
      <c r="E259" s="594"/>
      <c r="F259" s="594"/>
      <c r="G259" s="594"/>
      <c r="H259" s="594"/>
      <c r="I259" s="594"/>
      <c r="J259" s="594"/>
      <c r="K259" s="594"/>
      <c r="L259" s="594"/>
      <c r="M259" s="594"/>
      <c r="N259" s="594"/>
      <c r="O259" s="594"/>
      <c r="P259" s="594"/>
      <c r="Q259" s="594"/>
      <c r="R259" s="594"/>
      <c r="S259" s="594"/>
      <c r="T259" s="594"/>
      <c r="U259" s="594"/>
    </row>
    <row r="260" spans="1:21" ht="13" x14ac:dyDescent="0.4">
      <c r="A260" s="594"/>
      <c r="B260" s="594"/>
      <c r="C260" s="594"/>
      <c r="D260" s="594"/>
      <c r="E260" s="594"/>
      <c r="F260" s="594"/>
      <c r="G260" s="594"/>
      <c r="H260" s="594"/>
      <c r="I260" s="594"/>
      <c r="J260" s="594"/>
      <c r="K260" s="594"/>
      <c r="L260" s="594"/>
      <c r="M260" s="594"/>
      <c r="N260" s="594"/>
      <c r="O260" s="594"/>
      <c r="P260" s="594"/>
      <c r="Q260" s="594"/>
      <c r="R260" s="594"/>
      <c r="S260" s="594"/>
      <c r="T260" s="594"/>
      <c r="U260" s="594"/>
    </row>
    <row r="261" spans="1:21" ht="13" x14ac:dyDescent="0.4">
      <c r="A261" s="594"/>
      <c r="B261" s="594"/>
      <c r="C261" s="594"/>
      <c r="D261" s="594"/>
      <c r="E261" s="594"/>
      <c r="F261" s="594"/>
      <c r="G261" s="594"/>
      <c r="H261" s="594"/>
      <c r="I261" s="594"/>
      <c r="J261" s="594"/>
      <c r="K261" s="594"/>
      <c r="L261" s="594"/>
      <c r="M261" s="594"/>
      <c r="N261" s="594"/>
      <c r="O261" s="594"/>
      <c r="P261" s="594"/>
      <c r="Q261" s="594"/>
      <c r="R261" s="594"/>
      <c r="S261" s="594"/>
      <c r="T261" s="594"/>
      <c r="U261" s="594"/>
    </row>
    <row r="262" spans="1:21" ht="13" x14ac:dyDescent="0.4">
      <c r="A262" s="594"/>
      <c r="B262" s="594"/>
      <c r="C262" s="594"/>
      <c r="D262" s="594"/>
      <c r="E262" s="594"/>
      <c r="F262" s="594"/>
      <c r="G262" s="594"/>
      <c r="H262" s="594"/>
      <c r="I262" s="594"/>
      <c r="J262" s="594"/>
      <c r="K262" s="594"/>
      <c r="L262" s="594"/>
      <c r="M262" s="594"/>
      <c r="N262" s="594"/>
      <c r="O262" s="594"/>
      <c r="P262" s="594"/>
      <c r="Q262" s="594"/>
      <c r="R262" s="594"/>
      <c r="S262" s="594"/>
      <c r="T262" s="594"/>
      <c r="U262" s="594"/>
    </row>
    <row r="263" spans="1:21" ht="13" x14ac:dyDescent="0.4">
      <c r="A263" s="594"/>
      <c r="B263" s="594"/>
      <c r="C263" s="594"/>
      <c r="D263" s="594"/>
      <c r="E263" s="594"/>
      <c r="F263" s="594"/>
      <c r="G263" s="594"/>
      <c r="H263" s="594"/>
      <c r="I263" s="594"/>
      <c r="J263" s="594"/>
      <c r="K263" s="594"/>
      <c r="L263" s="594"/>
      <c r="M263" s="594"/>
      <c r="N263" s="594"/>
      <c r="O263" s="594"/>
      <c r="P263" s="594"/>
      <c r="Q263" s="594"/>
      <c r="R263" s="594"/>
      <c r="S263" s="594"/>
      <c r="T263" s="594"/>
      <c r="U263" s="594"/>
    </row>
    <row r="264" spans="1:21" ht="13" x14ac:dyDescent="0.4">
      <c r="A264" s="594"/>
      <c r="B264" s="594"/>
      <c r="C264" s="594"/>
      <c r="D264" s="594"/>
      <c r="E264" s="594"/>
      <c r="F264" s="594"/>
      <c r="G264" s="594"/>
      <c r="H264" s="594"/>
      <c r="I264" s="594"/>
      <c r="J264" s="594"/>
      <c r="K264" s="594"/>
      <c r="L264" s="594"/>
      <c r="M264" s="594"/>
      <c r="N264" s="594"/>
      <c r="O264" s="594"/>
      <c r="P264" s="594"/>
      <c r="Q264" s="594"/>
      <c r="R264" s="594"/>
      <c r="S264" s="594"/>
      <c r="T264" s="594"/>
      <c r="U264" s="594"/>
    </row>
    <row r="265" spans="1:21" ht="13" x14ac:dyDescent="0.4">
      <c r="A265" s="594"/>
      <c r="B265" s="594"/>
      <c r="C265" s="594"/>
      <c r="D265" s="594"/>
      <c r="E265" s="594"/>
      <c r="F265" s="594"/>
      <c r="G265" s="594"/>
      <c r="H265" s="594"/>
      <c r="I265" s="594"/>
      <c r="J265" s="594"/>
      <c r="K265" s="594"/>
      <c r="L265" s="594"/>
      <c r="M265" s="594"/>
      <c r="N265" s="594"/>
      <c r="O265" s="594"/>
      <c r="P265" s="594"/>
      <c r="Q265" s="594"/>
      <c r="R265" s="594"/>
      <c r="S265" s="594"/>
      <c r="T265" s="594"/>
      <c r="U265" s="594"/>
    </row>
    <row r="266" spans="1:21" ht="13" x14ac:dyDescent="0.4">
      <c r="A266" s="594"/>
      <c r="B266" s="594"/>
      <c r="C266" s="594"/>
      <c r="D266" s="594"/>
      <c r="E266" s="594"/>
      <c r="F266" s="594"/>
      <c r="G266" s="594"/>
      <c r="H266" s="594"/>
      <c r="I266" s="594"/>
      <c r="J266" s="594"/>
      <c r="K266" s="594"/>
      <c r="L266" s="594"/>
      <c r="M266" s="594"/>
      <c r="N266" s="594"/>
      <c r="O266" s="594"/>
      <c r="P266" s="594"/>
      <c r="Q266" s="594"/>
      <c r="R266" s="594"/>
      <c r="S266" s="594"/>
      <c r="T266" s="594"/>
      <c r="U266" s="594"/>
    </row>
    <row r="267" spans="1:21" ht="13" x14ac:dyDescent="0.4">
      <c r="A267" s="594"/>
      <c r="B267" s="594"/>
      <c r="C267" s="594"/>
      <c r="D267" s="594"/>
      <c r="E267" s="594"/>
      <c r="F267" s="594"/>
      <c r="G267" s="594"/>
      <c r="H267" s="594"/>
      <c r="I267" s="594"/>
      <c r="J267" s="594"/>
      <c r="K267" s="594"/>
      <c r="L267" s="594"/>
      <c r="M267" s="594"/>
      <c r="N267" s="594"/>
      <c r="O267" s="594"/>
      <c r="P267" s="594"/>
      <c r="Q267" s="594"/>
      <c r="R267" s="594"/>
      <c r="S267" s="594"/>
      <c r="T267" s="594"/>
      <c r="U267" s="594"/>
    </row>
    <row r="268" spans="1:21" ht="13" x14ac:dyDescent="0.4">
      <c r="A268" s="594"/>
      <c r="B268" s="594"/>
      <c r="C268" s="594"/>
      <c r="D268" s="594"/>
      <c r="E268" s="594"/>
      <c r="F268" s="594"/>
      <c r="G268" s="594"/>
      <c r="H268" s="594"/>
      <c r="I268" s="594"/>
      <c r="J268" s="594"/>
      <c r="K268" s="594"/>
      <c r="L268" s="594"/>
      <c r="M268" s="594"/>
      <c r="N268" s="594"/>
      <c r="O268" s="594"/>
      <c r="P268" s="594"/>
      <c r="Q268" s="594"/>
      <c r="R268" s="594"/>
      <c r="S268" s="594"/>
      <c r="T268" s="594"/>
      <c r="U268" s="594"/>
    </row>
    <row r="269" spans="1:21" ht="13" x14ac:dyDescent="0.4">
      <c r="A269" s="594"/>
      <c r="B269" s="594"/>
      <c r="C269" s="594"/>
      <c r="D269" s="594"/>
      <c r="E269" s="594"/>
      <c r="F269" s="594"/>
      <c r="G269" s="594"/>
      <c r="H269" s="594"/>
      <c r="I269" s="594"/>
      <c r="J269" s="594"/>
      <c r="K269" s="594"/>
      <c r="L269" s="594"/>
      <c r="M269" s="594"/>
      <c r="N269" s="594"/>
      <c r="O269" s="594"/>
      <c r="P269" s="594"/>
      <c r="Q269" s="594"/>
      <c r="R269" s="594"/>
      <c r="S269" s="594"/>
      <c r="T269" s="594"/>
      <c r="U269" s="594"/>
    </row>
    <row r="270" spans="1:21" ht="13" x14ac:dyDescent="0.4">
      <c r="A270" s="594"/>
      <c r="B270" s="594"/>
      <c r="C270" s="594"/>
      <c r="D270" s="594"/>
      <c r="E270" s="594"/>
      <c r="F270" s="594"/>
      <c r="G270" s="594"/>
      <c r="H270" s="594"/>
      <c r="I270" s="594"/>
      <c r="J270" s="594"/>
      <c r="K270" s="594"/>
      <c r="L270" s="594"/>
      <c r="M270" s="594"/>
      <c r="N270" s="594"/>
      <c r="O270" s="594"/>
      <c r="P270" s="594"/>
      <c r="Q270" s="594"/>
      <c r="R270" s="594"/>
      <c r="S270" s="594"/>
      <c r="T270" s="594"/>
      <c r="U270" s="594"/>
    </row>
    <row r="271" spans="1:21" ht="13" x14ac:dyDescent="0.4">
      <c r="A271" s="594"/>
      <c r="B271" s="594"/>
      <c r="C271" s="594"/>
      <c r="D271" s="594"/>
      <c r="E271" s="594"/>
      <c r="F271" s="594"/>
      <c r="G271" s="594"/>
      <c r="H271" s="594"/>
      <c r="I271" s="594"/>
      <c r="J271" s="594"/>
      <c r="K271" s="594"/>
      <c r="L271" s="594"/>
      <c r="M271" s="594"/>
      <c r="N271" s="594"/>
      <c r="O271" s="594"/>
      <c r="P271" s="594"/>
      <c r="Q271" s="594"/>
      <c r="R271" s="594"/>
      <c r="S271" s="594"/>
      <c r="T271" s="594"/>
      <c r="U271" s="594"/>
    </row>
    <row r="272" spans="1:21" ht="13" x14ac:dyDescent="0.4">
      <c r="A272" s="594"/>
      <c r="B272" s="594"/>
      <c r="C272" s="594"/>
      <c r="D272" s="594"/>
      <c r="E272" s="594"/>
      <c r="F272" s="594"/>
      <c r="G272" s="594"/>
      <c r="H272" s="594"/>
      <c r="I272" s="594"/>
      <c r="J272" s="594"/>
      <c r="K272" s="594"/>
      <c r="L272" s="594"/>
      <c r="M272" s="594"/>
      <c r="N272" s="594"/>
      <c r="O272" s="594"/>
      <c r="P272" s="594"/>
      <c r="Q272" s="594"/>
      <c r="R272" s="594"/>
      <c r="S272" s="594"/>
      <c r="T272" s="594"/>
      <c r="U272" s="594"/>
    </row>
    <row r="273" spans="1:21" ht="13" x14ac:dyDescent="0.4">
      <c r="A273" s="594"/>
      <c r="B273" s="594"/>
      <c r="C273" s="594"/>
      <c r="D273" s="594"/>
      <c r="E273" s="594"/>
      <c r="F273" s="594"/>
      <c r="G273" s="594"/>
      <c r="H273" s="594"/>
      <c r="I273" s="594"/>
      <c r="J273" s="594"/>
      <c r="K273" s="594"/>
      <c r="L273" s="594"/>
      <c r="M273" s="594"/>
      <c r="N273" s="594"/>
      <c r="O273" s="594"/>
      <c r="P273" s="594"/>
      <c r="Q273" s="594"/>
      <c r="R273" s="594"/>
      <c r="S273" s="594"/>
      <c r="T273" s="594"/>
      <c r="U273" s="594"/>
    </row>
    <row r="274" spans="1:21" ht="13" x14ac:dyDescent="0.4">
      <c r="A274" s="594"/>
      <c r="B274" s="594"/>
      <c r="C274" s="594"/>
      <c r="D274" s="594"/>
      <c r="E274" s="594"/>
      <c r="F274" s="594"/>
      <c r="G274" s="594"/>
      <c r="H274" s="594"/>
      <c r="I274" s="594"/>
      <c r="J274" s="594"/>
      <c r="K274" s="594"/>
      <c r="L274" s="594"/>
      <c r="M274" s="594"/>
      <c r="N274" s="594"/>
      <c r="O274" s="594"/>
      <c r="P274" s="594"/>
      <c r="Q274" s="594"/>
      <c r="R274" s="594"/>
      <c r="S274" s="594"/>
      <c r="T274" s="594"/>
      <c r="U274" s="594"/>
    </row>
    <row r="275" spans="1:21" ht="13" x14ac:dyDescent="0.4">
      <c r="A275" s="594"/>
      <c r="B275" s="594"/>
      <c r="C275" s="594"/>
      <c r="D275" s="594"/>
      <c r="E275" s="594"/>
      <c r="F275" s="594"/>
      <c r="G275" s="594"/>
      <c r="H275" s="594"/>
      <c r="I275" s="594"/>
      <c r="J275" s="594"/>
      <c r="K275" s="594"/>
      <c r="L275" s="594"/>
      <c r="M275" s="594"/>
      <c r="N275" s="594"/>
      <c r="O275" s="594"/>
      <c r="P275" s="594"/>
      <c r="Q275" s="594"/>
      <c r="R275" s="594"/>
      <c r="S275" s="594"/>
      <c r="T275" s="594"/>
      <c r="U275" s="594"/>
    </row>
    <row r="276" spans="1:21" ht="13" x14ac:dyDescent="0.4">
      <c r="A276" s="594"/>
      <c r="B276" s="594"/>
      <c r="C276" s="594"/>
      <c r="D276" s="594"/>
      <c r="E276" s="594"/>
      <c r="F276" s="594"/>
      <c r="G276" s="594"/>
      <c r="H276" s="594"/>
      <c r="I276" s="594"/>
      <c r="J276" s="594"/>
      <c r="K276" s="594"/>
      <c r="L276" s="594"/>
      <c r="M276" s="594"/>
      <c r="N276" s="594"/>
      <c r="O276" s="594"/>
      <c r="P276" s="594"/>
      <c r="Q276" s="594"/>
      <c r="R276" s="594"/>
      <c r="S276" s="594"/>
      <c r="T276" s="594"/>
      <c r="U276" s="594"/>
    </row>
    <row r="277" spans="1:21" ht="13" x14ac:dyDescent="0.4">
      <c r="A277" s="594"/>
      <c r="B277" s="594"/>
      <c r="C277" s="594"/>
      <c r="D277" s="594"/>
      <c r="E277" s="594"/>
      <c r="F277" s="594"/>
      <c r="G277" s="594"/>
      <c r="H277" s="594"/>
      <c r="I277" s="594"/>
      <c r="J277" s="594"/>
      <c r="K277" s="594"/>
      <c r="L277" s="594"/>
      <c r="M277" s="594"/>
      <c r="N277" s="594"/>
      <c r="O277" s="594"/>
      <c r="P277" s="594"/>
      <c r="Q277" s="594"/>
      <c r="R277" s="594"/>
      <c r="S277" s="594"/>
      <c r="T277" s="594"/>
      <c r="U277" s="594"/>
    </row>
    <row r="278" spans="1:21" ht="13" x14ac:dyDescent="0.4">
      <c r="A278" s="594"/>
      <c r="B278" s="594"/>
      <c r="C278" s="594"/>
      <c r="D278" s="594"/>
      <c r="E278" s="594"/>
      <c r="F278" s="594"/>
      <c r="G278" s="594"/>
      <c r="H278" s="594"/>
      <c r="I278" s="594"/>
      <c r="J278" s="594"/>
      <c r="K278" s="594"/>
      <c r="L278" s="594"/>
      <c r="M278" s="594"/>
      <c r="N278" s="594"/>
      <c r="O278" s="594"/>
      <c r="P278" s="594"/>
      <c r="Q278" s="594"/>
      <c r="R278" s="594"/>
      <c r="S278" s="594"/>
      <c r="T278" s="594"/>
      <c r="U278" s="594"/>
    </row>
    <row r="279" spans="1:21" ht="13" x14ac:dyDescent="0.4">
      <c r="A279" s="594"/>
      <c r="B279" s="594"/>
      <c r="C279" s="594"/>
      <c r="D279" s="594"/>
      <c r="E279" s="594"/>
      <c r="F279" s="594"/>
      <c r="G279" s="594"/>
      <c r="H279" s="594"/>
      <c r="I279" s="594"/>
      <c r="J279" s="594"/>
      <c r="K279" s="594"/>
      <c r="L279" s="594"/>
      <c r="M279" s="594"/>
      <c r="N279" s="594"/>
      <c r="O279" s="594"/>
      <c r="P279" s="594"/>
      <c r="Q279" s="594"/>
      <c r="R279" s="594"/>
      <c r="S279" s="594"/>
      <c r="T279" s="594"/>
      <c r="U279" s="594"/>
    </row>
    <row r="280" spans="1:21" ht="13" x14ac:dyDescent="0.4">
      <c r="A280" s="594"/>
      <c r="B280" s="594"/>
      <c r="C280" s="594"/>
      <c r="D280" s="594"/>
      <c r="E280" s="594"/>
      <c r="F280" s="594"/>
      <c r="G280" s="594"/>
      <c r="H280" s="594"/>
      <c r="I280" s="594"/>
      <c r="J280" s="594"/>
      <c r="K280" s="594"/>
      <c r="L280" s="594"/>
      <c r="M280" s="594"/>
      <c r="N280" s="594"/>
      <c r="O280" s="594"/>
      <c r="P280" s="594"/>
      <c r="Q280" s="594"/>
      <c r="R280" s="594"/>
      <c r="S280" s="594"/>
      <c r="T280" s="594"/>
      <c r="U280" s="594"/>
    </row>
  </sheetData>
  <mergeCells count="36">
    <mergeCell ref="C4:F4"/>
    <mergeCell ref="G4:J4"/>
    <mergeCell ref="K4:N4"/>
    <mergeCell ref="O4:R4"/>
    <mergeCell ref="C5:F5"/>
    <mergeCell ref="G5:J5"/>
    <mergeCell ref="K5:N5"/>
    <mergeCell ref="O5:R5"/>
    <mergeCell ref="C2:R2"/>
    <mergeCell ref="C3:F3"/>
    <mergeCell ref="G3:J3"/>
    <mergeCell ref="K3:N3"/>
    <mergeCell ref="O3:R3"/>
    <mergeCell ref="C6:F6"/>
    <mergeCell ref="G6:J6"/>
    <mergeCell ref="K6:N6"/>
    <mergeCell ref="O6:R6"/>
    <mergeCell ref="C8:R8"/>
    <mergeCell ref="E10:K10"/>
    <mergeCell ref="M10:Q10"/>
    <mergeCell ref="D13:Q13"/>
    <mergeCell ref="C16:R16"/>
    <mergeCell ref="M18:Q23"/>
    <mergeCell ref="E19:K19"/>
    <mergeCell ref="E20:K20"/>
    <mergeCell ref="E21:K21"/>
    <mergeCell ref="E22:K22"/>
    <mergeCell ref="E23:K23"/>
    <mergeCell ref="E18:K18"/>
    <mergeCell ref="M24:Q24"/>
    <mergeCell ref="E25:K25"/>
    <mergeCell ref="M25:Q25"/>
    <mergeCell ref="D29:Q29"/>
    <mergeCell ref="E24:K24"/>
    <mergeCell ref="E26:K26"/>
    <mergeCell ref="M26:Q26"/>
  </mergeCells>
  <phoneticPr fontId="20" type="noConversion"/>
  <conditionalFormatting sqref="L26">
    <cfRule type="cellIs" dxfId="872" priority="3" operator="equal">
      <formula>"Validé"</formula>
    </cfRule>
    <cfRule type="cellIs" dxfId="871" priority="4" operator="equal">
      <formula>"Non validé"</formula>
    </cfRule>
  </conditionalFormatting>
  <conditionalFormatting sqref="L10">
    <cfRule type="cellIs" dxfId="870" priority="1" operator="equal">
      <formula>"Validé"</formula>
    </cfRule>
    <cfRule type="cellIs" dxfId="869" priority="2" operator="equal">
      <formula>"Non validé"</formula>
    </cfRule>
  </conditionalFormatting>
  <dataValidations count="3">
    <dataValidation type="list" allowBlank="1" showInputMessage="1" showErrorMessage="1" sqref="L10" xr:uid="{7D1E51BD-197D-46C1-9505-B0EDB5700FC4}">
      <formula1>LISTE_2</formula1>
    </dataValidation>
    <dataValidation type="list" allowBlank="1" showInputMessage="1" showErrorMessage="1" sqref="L18:L25" xr:uid="{A29E1A93-13BC-4F49-9E29-DEC13CAACABD}">
      <formula1>LISTE_1</formula1>
    </dataValidation>
    <dataValidation type="list" allowBlank="1" showInputMessage="1" showErrorMessage="1" sqref="L26" xr:uid="{26F3097B-C75A-4876-8F0B-72D6A392A054}">
      <formula1>LISTE_3</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B339-E000-480F-85A8-617B4365DE97}">
  <sheetPr codeName="Feuil23">
    <tabColor rgb="FFB7DEE8"/>
    <pageSetUpPr fitToPage="1"/>
  </sheetPr>
  <dimension ref="B1:Y62"/>
  <sheetViews>
    <sheetView showGridLines="0" zoomScale="85" zoomScaleNormal="85" workbookViewId="0">
      <pane ySplit="7" topLeftCell="A50" activePane="bottomLeft" state="frozen"/>
      <selection pane="bottomLeft" activeCell="R47" sqref="R47"/>
    </sheetView>
  </sheetViews>
  <sheetFormatPr baseColWidth="10" defaultColWidth="10.703125" defaultRowHeight="20.100000000000001" customHeight="1" outlineLevelRow="1" x14ac:dyDescent="0.4"/>
  <cols>
    <col min="1" max="2" width="2.703125" style="618" customWidth="1"/>
    <col min="3" max="18" width="10.703125" style="618"/>
    <col min="19" max="19" width="2.703125" style="618" customWidth="1"/>
    <col min="20" max="20" width="2.703125" style="617" customWidth="1"/>
    <col min="21" max="25" width="10.703125" style="617"/>
    <col min="26" max="16384" width="10.703125" style="618"/>
  </cols>
  <sheetData>
    <row r="1" spans="2:25" ht="10.199999999999999" customHeight="1" thickBot="1" x14ac:dyDescent="0.45">
      <c r="B1" s="554"/>
      <c r="C1" s="555"/>
      <c r="D1" s="555"/>
      <c r="E1" s="555"/>
      <c r="F1" s="555"/>
      <c r="G1" s="555"/>
      <c r="H1" s="555"/>
      <c r="I1" s="555"/>
      <c r="J1" s="555"/>
      <c r="K1" s="555"/>
      <c r="L1" s="555"/>
      <c r="M1" s="555"/>
      <c r="N1" s="555"/>
      <c r="O1" s="555"/>
      <c r="P1" s="555"/>
      <c r="Q1" s="555"/>
      <c r="R1" s="555"/>
      <c r="S1" s="556"/>
    </row>
    <row r="2" spans="2:25" ht="30" customHeight="1" thickTop="1" x14ac:dyDescent="0.4">
      <c r="B2" s="558"/>
      <c r="C2" s="1157" t="s">
        <v>539</v>
      </c>
      <c r="D2" s="977"/>
      <c r="E2" s="977"/>
      <c r="F2" s="977"/>
      <c r="G2" s="977"/>
      <c r="H2" s="977"/>
      <c r="I2" s="977"/>
      <c r="J2" s="977"/>
      <c r="K2" s="977"/>
      <c r="L2" s="977"/>
      <c r="M2" s="977"/>
      <c r="N2" s="977"/>
      <c r="O2" s="977"/>
      <c r="P2" s="977"/>
      <c r="Q2" s="977"/>
      <c r="R2" s="978"/>
      <c r="S2" s="559"/>
    </row>
    <row r="3" spans="2:25" s="813" customFormat="1" ht="20.100000000000001" customHeight="1" x14ac:dyDescent="0.4">
      <c r="B3" s="811"/>
      <c r="C3" s="1261" t="s">
        <v>818</v>
      </c>
      <c r="D3" s="1262"/>
      <c r="E3" s="1263" t="str">
        <f>IF(ISBLANK(Descriptif!T3),"",Descriptif!T3)</f>
        <v/>
      </c>
      <c r="F3" s="1263"/>
      <c r="G3" s="1263"/>
      <c r="H3" s="1262" t="s">
        <v>540</v>
      </c>
      <c r="I3" s="1262"/>
      <c r="J3" s="1263" t="s">
        <v>817</v>
      </c>
      <c r="K3" s="1263"/>
      <c r="L3" s="1263"/>
      <c r="M3" s="1264" t="s">
        <v>486</v>
      </c>
      <c r="N3" s="1264"/>
      <c r="O3" s="1264"/>
      <c r="P3" s="1263" t="str">
        <f>IF(ISBLANK(Descriptif!T3),"",Descriptif!G6)</f>
        <v/>
      </c>
      <c r="Q3" s="1263"/>
      <c r="R3" s="1265"/>
      <c r="S3" s="812"/>
      <c r="T3" s="619"/>
      <c r="U3" s="619"/>
      <c r="V3" s="619"/>
      <c r="W3" s="619"/>
      <c r="X3" s="619"/>
      <c r="Y3" s="619"/>
    </row>
    <row r="4" spans="2:25" s="813" customFormat="1" ht="20.100000000000001" customHeight="1" x14ac:dyDescent="0.4">
      <c r="B4" s="811"/>
      <c r="C4" s="1261" t="s">
        <v>541</v>
      </c>
      <c r="D4" s="1262"/>
      <c r="E4" s="1263" t="str">
        <f>IF(ISBLANK(Descriptif!T4),"",Descriptif!T4)</f>
        <v/>
      </c>
      <c r="F4" s="1263"/>
      <c r="G4" s="1263"/>
      <c r="H4" s="1262" t="s">
        <v>542</v>
      </c>
      <c r="I4" s="1262"/>
      <c r="J4" s="1263" t="s">
        <v>817</v>
      </c>
      <c r="K4" s="1263"/>
      <c r="L4" s="1263"/>
      <c r="M4" s="1264" t="s">
        <v>543</v>
      </c>
      <c r="N4" s="1264"/>
      <c r="O4" s="1264"/>
      <c r="P4" s="1263"/>
      <c r="Q4" s="1263"/>
      <c r="R4" s="1265"/>
      <c r="S4" s="812"/>
      <c r="T4" s="619"/>
      <c r="U4" s="619"/>
      <c r="V4" s="619"/>
      <c r="W4" s="619"/>
      <c r="X4" s="619"/>
      <c r="Y4" s="619"/>
    </row>
    <row r="5" spans="2:25" s="813" customFormat="1" ht="20.100000000000001" customHeight="1" x14ac:dyDescent="0.4">
      <c r="B5" s="811"/>
      <c r="C5" s="1261" t="s">
        <v>544</v>
      </c>
      <c r="D5" s="1262"/>
      <c r="E5" s="1263" t="str">
        <f>IF(ISBLANK(Descriptif!G5),"",Descriptif!G5)</f>
        <v>Commune de Barjac</v>
      </c>
      <c r="F5" s="1263"/>
      <c r="G5" s="1263"/>
      <c r="H5" s="1262" t="s">
        <v>545</v>
      </c>
      <c r="I5" s="1262"/>
      <c r="J5" s="1263" t="s">
        <v>169</v>
      </c>
      <c r="K5" s="1263"/>
      <c r="L5" s="1263"/>
      <c r="M5" s="1264" t="s">
        <v>546</v>
      </c>
      <c r="N5" s="1264"/>
      <c r="O5" s="1264"/>
      <c r="P5" s="1263"/>
      <c r="Q5" s="1263"/>
      <c r="R5" s="1265"/>
      <c r="S5" s="812"/>
      <c r="T5" s="619"/>
      <c r="U5" s="619"/>
      <c r="V5" s="619"/>
      <c r="W5" s="619"/>
      <c r="X5" s="619"/>
      <c r="Y5" s="619"/>
    </row>
    <row r="6" spans="2:25" s="813" customFormat="1" ht="20.100000000000001" customHeight="1" thickBot="1" x14ac:dyDescent="0.45">
      <c r="B6" s="811"/>
      <c r="C6" s="1256" t="s">
        <v>547</v>
      </c>
      <c r="D6" s="1257"/>
      <c r="E6" s="1258" t="str">
        <f>IF(ISBLANK(Descriptif!T5),"",Descriptif!T5)</f>
        <v/>
      </c>
      <c r="F6" s="1258"/>
      <c r="G6" s="1258"/>
      <c r="H6" s="1257" t="s">
        <v>781</v>
      </c>
      <c r="I6" s="1257"/>
      <c r="J6" s="1258" t="s">
        <v>626</v>
      </c>
      <c r="K6" s="1258"/>
      <c r="L6" s="1258"/>
      <c r="M6" s="1259" t="s">
        <v>549</v>
      </c>
      <c r="N6" s="1259"/>
      <c r="O6" s="1259"/>
      <c r="P6" s="1258"/>
      <c r="Q6" s="1258"/>
      <c r="R6" s="1260"/>
      <c r="S6" s="812"/>
      <c r="T6" s="619"/>
      <c r="U6" s="619"/>
      <c r="V6" s="619"/>
      <c r="W6" s="619"/>
      <c r="X6" s="619"/>
      <c r="Y6" s="619"/>
    </row>
    <row r="7" spans="2:25" s="621" customFormat="1" ht="10.199999999999999" customHeight="1" thickTop="1" thickBot="1" x14ac:dyDescent="0.45">
      <c r="B7" s="560"/>
      <c r="C7" s="561"/>
      <c r="D7" s="561"/>
      <c r="E7" s="561"/>
      <c r="F7" s="561"/>
      <c r="G7" s="561"/>
      <c r="H7" s="561"/>
      <c r="I7" s="561"/>
      <c r="J7" s="561"/>
      <c r="K7" s="561"/>
      <c r="L7" s="561"/>
      <c r="M7" s="561"/>
      <c r="N7" s="561"/>
      <c r="O7" s="561"/>
      <c r="P7" s="561"/>
      <c r="Q7" s="561"/>
      <c r="R7" s="561"/>
      <c r="S7" s="562"/>
      <c r="T7" s="620"/>
      <c r="U7" s="620"/>
      <c r="V7" s="620"/>
      <c r="W7" s="620"/>
      <c r="X7" s="620"/>
      <c r="Y7" s="620"/>
    </row>
    <row r="8" spans="2:25" s="621" customFormat="1" ht="20.100000000000001" customHeight="1" thickTop="1" thickBot="1" x14ac:dyDescent="0.45">
      <c r="B8" s="560"/>
      <c r="C8" s="1119" t="s">
        <v>602</v>
      </c>
      <c r="D8" s="1120"/>
      <c r="E8" s="1120"/>
      <c r="F8" s="1120"/>
      <c r="G8" s="1120"/>
      <c r="H8" s="1120"/>
      <c r="I8" s="1120"/>
      <c r="J8" s="1120"/>
      <c r="K8" s="1120"/>
      <c r="L8" s="1120"/>
      <c r="M8" s="1120"/>
      <c r="N8" s="1120"/>
      <c r="O8" s="1120"/>
      <c r="P8" s="1120"/>
      <c r="Q8" s="1120"/>
      <c r="R8" s="1141"/>
      <c r="S8" s="562"/>
      <c r="T8" s="620"/>
      <c r="U8" s="620"/>
      <c r="V8" s="620"/>
      <c r="W8" s="620"/>
      <c r="X8" s="620"/>
      <c r="Y8" s="620"/>
    </row>
    <row r="9" spans="2:25" s="621" customFormat="1" ht="20.100000000000001" customHeight="1" outlineLevel="1" thickTop="1" x14ac:dyDescent="0.4">
      <c r="B9" s="560"/>
      <c r="C9" s="622"/>
      <c r="D9" s="561"/>
      <c r="E9" s="561"/>
      <c r="F9" s="561"/>
      <c r="G9" s="561"/>
      <c r="H9" s="561"/>
      <c r="I9" s="561"/>
      <c r="J9" s="561"/>
      <c r="K9" s="561"/>
      <c r="L9" s="561"/>
      <c r="M9" s="561"/>
      <c r="N9" s="561"/>
      <c r="O9" s="561"/>
      <c r="P9" s="561"/>
      <c r="Q9" s="561"/>
      <c r="R9" s="623"/>
      <c r="S9" s="562"/>
      <c r="T9" s="620"/>
      <c r="U9" s="620"/>
      <c r="V9" s="620"/>
      <c r="W9" s="620"/>
      <c r="X9" s="620"/>
      <c r="Y9" s="620"/>
    </row>
    <row r="10" spans="2:25" ht="20.100000000000001" customHeight="1" outlineLevel="1" x14ac:dyDescent="0.4">
      <c r="B10" s="578"/>
      <c r="C10" s="588"/>
      <c r="D10" s="1101" t="s">
        <v>582</v>
      </c>
      <c r="E10" s="1102"/>
      <c r="F10" s="1102"/>
      <c r="G10" s="1102"/>
      <c r="H10" s="1102"/>
      <c r="I10" s="1102"/>
      <c r="J10" s="1102"/>
      <c r="K10" s="1102"/>
      <c r="L10" s="1102"/>
      <c r="M10" s="1102"/>
      <c r="N10" s="1102"/>
      <c r="O10" s="1102"/>
      <c r="P10" s="1102"/>
      <c r="Q10" s="1123"/>
      <c r="R10" s="589"/>
      <c r="S10" s="580"/>
    </row>
    <row r="11" spans="2:25" ht="20.100000000000001" customHeight="1" outlineLevel="1" x14ac:dyDescent="0.4">
      <c r="B11" s="578"/>
      <c r="C11" s="624"/>
      <c r="D11" s="1242" t="s">
        <v>387</v>
      </c>
      <c r="E11" s="1243"/>
      <c r="F11" s="1244"/>
      <c r="G11" s="1253"/>
      <c r="H11" s="1254"/>
      <c r="I11" s="1254"/>
      <c r="J11" s="1255"/>
      <c r="K11" s="1242" t="s">
        <v>552</v>
      </c>
      <c r="L11" s="1243"/>
      <c r="M11" s="1244"/>
      <c r="N11" s="1245"/>
      <c r="O11" s="1246"/>
      <c r="P11" s="1246"/>
      <c r="Q11" s="1247"/>
      <c r="R11" s="625"/>
      <c r="S11" s="580"/>
    </row>
    <row r="12" spans="2:25" ht="20.100000000000001" customHeight="1" outlineLevel="1" x14ac:dyDescent="0.4">
      <c r="B12" s="578"/>
      <c r="C12" s="624"/>
      <c r="D12" s="1242" t="s">
        <v>603</v>
      </c>
      <c r="E12" s="1243"/>
      <c r="F12" s="1244"/>
      <c r="G12" s="1245"/>
      <c r="H12" s="1246"/>
      <c r="I12" s="1246"/>
      <c r="J12" s="1247"/>
      <c r="K12" s="1242" t="s">
        <v>555</v>
      </c>
      <c r="L12" s="1243"/>
      <c r="M12" s="1244"/>
      <c r="N12" s="1245"/>
      <c r="O12" s="1246"/>
      <c r="P12" s="1246"/>
      <c r="Q12" s="1247"/>
      <c r="R12" s="625"/>
      <c r="S12" s="580"/>
      <c r="V12" s="626"/>
      <c r="W12" s="626"/>
    </row>
    <row r="13" spans="2:25" ht="20.100000000000001" customHeight="1" outlineLevel="1" x14ac:dyDescent="0.4">
      <c r="B13" s="578"/>
      <c r="C13" s="624"/>
      <c r="D13" s="1242" t="s">
        <v>604</v>
      </c>
      <c r="E13" s="1243"/>
      <c r="F13" s="1244"/>
      <c r="G13" s="1245"/>
      <c r="H13" s="1246"/>
      <c r="I13" s="1246"/>
      <c r="J13" s="1247"/>
      <c r="K13" s="1252" t="s">
        <v>380</v>
      </c>
      <c r="L13" s="1252"/>
      <c r="M13" s="1252"/>
      <c r="N13" s="1250"/>
      <c r="O13" s="1250"/>
      <c r="P13" s="1250"/>
      <c r="Q13" s="1250"/>
      <c r="R13" s="625"/>
      <c r="S13" s="580"/>
    </row>
    <row r="14" spans="2:25" ht="20.100000000000001" customHeight="1" outlineLevel="1" x14ac:dyDescent="0.4">
      <c r="B14" s="578"/>
      <c r="C14" s="624"/>
      <c r="D14" s="1242" t="s">
        <v>605</v>
      </c>
      <c r="E14" s="1243"/>
      <c r="F14" s="1244"/>
      <c r="G14" s="1250"/>
      <c r="H14" s="1250"/>
      <c r="I14" s="1250"/>
      <c r="J14" s="1250"/>
      <c r="K14" s="814"/>
      <c r="L14" s="814"/>
      <c r="M14" s="814"/>
      <c r="N14" s="815"/>
      <c r="O14" s="815"/>
      <c r="P14" s="815"/>
      <c r="Q14" s="815"/>
      <c r="R14" s="625"/>
      <c r="S14" s="580"/>
    </row>
    <row r="15" spans="2:25" ht="20.100000000000001" customHeight="1" outlineLevel="1" x14ac:dyDescent="0.4">
      <c r="B15" s="578"/>
      <c r="C15" s="624"/>
      <c r="D15" s="1242" t="s">
        <v>607</v>
      </c>
      <c r="E15" s="1243"/>
      <c r="F15" s="1244"/>
      <c r="G15" s="1250"/>
      <c r="H15" s="1250"/>
      <c r="I15" s="1250"/>
      <c r="J15" s="1250"/>
      <c r="K15" s="814"/>
      <c r="L15" s="814"/>
      <c r="M15" s="814"/>
      <c r="N15" s="815"/>
      <c r="O15" s="815"/>
      <c r="P15" s="815"/>
      <c r="Q15" s="815"/>
      <c r="R15" s="625"/>
      <c r="S15" s="580"/>
    </row>
    <row r="16" spans="2:25" ht="20.100000000000001" customHeight="1" outlineLevel="1" x14ac:dyDescent="0.4">
      <c r="B16" s="578"/>
      <c r="C16" s="624"/>
      <c r="D16" s="1242" t="s">
        <v>608</v>
      </c>
      <c r="E16" s="1243"/>
      <c r="F16" s="1244"/>
      <c r="G16" s="1251"/>
      <c r="H16" s="1251"/>
      <c r="I16" s="1251"/>
      <c r="J16" s="1251"/>
      <c r="K16" s="814"/>
      <c r="L16" s="814"/>
      <c r="M16" s="814"/>
      <c r="N16" s="815"/>
      <c r="O16" s="815"/>
      <c r="P16" s="815"/>
      <c r="Q16" s="815"/>
      <c r="R16" s="625"/>
      <c r="S16" s="580"/>
    </row>
    <row r="17" spans="2:22" ht="20.100000000000001" customHeight="1" outlineLevel="1" x14ac:dyDescent="0.4">
      <c r="B17" s="578"/>
      <c r="C17" s="624"/>
      <c r="D17" s="739"/>
      <c r="E17" s="739"/>
      <c r="F17" s="739"/>
      <c r="G17" s="739"/>
      <c r="H17" s="739"/>
      <c r="I17" s="739"/>
      <c r="J17" s="739"/>
      <c r="K17" s="739"/>
      <c r="L17" s="739"/>
      <c r="M17" s="739"/>
      <c r="N17" s="739"/>
      <c r="O17" s="739"/>
      <c r="P17" s="739"/>
      <c r="Q17" s="739"/>
      <c r="R17" s="625"/>
      <c r="S17" s="580"/>
    </row>
    <row r="18" spans="2:22" ht="20.100000000000001" customHeight="1" outlineLevel="1" x14ac:dyDescent="0.4">
      <c r="B18" s="578"/>
      <c r="C18" s="624"/>
      <c r="D18" s="1248" t="s">
        <v>609</v>
      </c>
      <c r="E18" s="1248"/>
      <c r="F18" s="1248"/>
      <c r="G18" s="1249"/>
      <c r="H18" s="1249"/>
      <c r="I18" s="1249"/>
      <c r="J18" s="1249"/>
      <c r="K18" s="1249"/>
      <c r="L18" s="1249"/>
      <c r="M18" s="1249"/>
      <c r="N18" s="1249"/>
      <c r="O18" s="1249"/>
      <c r="P18" s="1249"/>
      <c r="Q18" s="1249"/>
      <c r="R18" s="625"/>
      <c r="S18" s="580"/>
    </row>
    <row r="19" spans="2:22" ht="20.100000000000001" customHeight="1" outlineLevel="1" x14ac:dyDescent="0.4">
      <c r="B19" s="578"/>
      <c r="C19" s="624"/>
      <c r="D19" s="1142" t="s">
        <v>587</v>
      </c>
      <c r="E19" s="1142"/>
      <c r="F19" s="1142"/>
      <c r="G19" s="1142"/>
      <c r="H19" s="1142"/>
      <c r="I19" s="1142"/>
      <c r="J19" s="1142"/>
      <c r="K19" s="1142"/>
      <c r="L19" s="1142"/>
      <c r="M19" s="1142"/>
      <c r="N19" s="1142"/>
      <c r="O19" s="1142"/>
      <c r="P19" s="1142"/>
      <c r="Q19" s="1142"/>
      <c r="R19" s="625"/>
      <c r="S19" s="580"/>
    </row>
    <row r="20" spans="2:22" ht="20.100000000000001" customHeight="1" outlineLevel="1" x14ac:dyDescent="0.4">
      <c r="B20" s="578"/>
      <c r="C20" s="624"/>
      <c r="D20" s="1242" t="s">
        <v>425</v>
      </c>
      <c r="E20" s="1243"/>
      <c r="F20" s="1244"/>
      <c r="G20" s="1245"/>
      <c r="H20" s="1246"/>
      <c r="I20" s="1246"/>
      <c r="J20" s="1247"/>
      <c r="K20" s="1242" t="s">
        <v>426</v>
      </c>
      <c r="L20" s="1243"/>
      <c r="M20" s="1244"/>
      <c r="N20" s="1245"/>
      <c r="O20" s="1246"/>
      <c r="P20" s="1246"/>
      <c r="Q20" s="1247"/>
      <c r="R20" s="625"/>
      <c r="S20" s="580"/>
    </row>
    <row r="21" spans="2:22" ht="20.100000000000001" customHeight="1" outlineLevel="1" x14ac:dyDescent="0.4">
      <c r="B21" s="578"/>
      <c r="C21" s="624"/>
      <c r="D21" s="1242" t="s">
        <v>427</v>
      </c>
      <c r="E21" s="1243"/>
      <c r="F21" s="1244"/>
      <c r="G21" s="1245"/>
      <c r="H21" s="1246"/>
      <c r="I21" s="1246"/>
      <c r="J21" s="1247"/>
      <c r="K21" s="1242" t="s">
        <v>428</v>
      </c>
      <c r="L21" s="1243"/>
      <c r="M21" s="1244"/>
      <c r="N21" s="1245"/>
      <c r="O21" s="1246"/>
      <c r="P21" s="1246"/>
      <c r="Q21" s="1247"/>
      <c r="R21" s="625"/>
      <c r="S21" s="580"/>
    </row>
    <row r="22" spans="2:22" ht="20.100000000000001" customHeight="1" outlineLevel="1" x14ac:dyDescent="0.4">
      <c r="B22" s="578"/>
      <c r="C22" s="624"/>
      <c r="D22" s="1242" t="s">
        <v>429</v>
      </c>
      <c r="E22" s="1243"/>
      <c r="F22" s="1244"/>
      <c r="G22" s="1245"/>
      <c r="H22" s="1246"/>
      <c r="I22" s="1246"/>
      <c r="J22" s="1247"/>
      <c r="K22" s="1242" t="s">
        <v>610</v>
      </c>
      <c r="L22" s="1243"/>
      <c r="M22" s="1244"/>
      <c r="N22" s="1245"/>
      <c r="O22" s="1246"/>
      <c r="P22" s="1246"/>
      <c r="Q22" s="1247"/>
      <c r="R22" s="625"/>
      <c r="S22" s="580"/>
    </row>
    <row r="23" spans="2:22" ht="20.100000000000001" customHeight="1" outlineLevel="1" x14ac:dyDescent="0.4">
      <c r="B23" s="578"/>
      <c r="C23" s="624"/>
      <c r="D23" s="739"/>
      <c r="E23" s="739"/>
      <c r="F23" s="739"/>
      <c r="G23" s="739"/>
      <c r="H23" s="739"/>
      <c r="I23" s="739"/>
      <c r="J23" s="739"/>
      <c r="K23" s="739"/>
      <c r="L23" s="739"/>
      <c r="M23" s="739"/>
      <c r="N23" s="739"/>
      <c r="O23" s="739"/>
      <c r="P23" s="739"/>
      <c r="Q23" s="739"/>
      <c r="R23" s="625"/>
      <c r="S23" s="580"/>
    </row>
    <row r="24" spans="2:22" ht="20.100000000000001" customHeight="1" outlineLevel="1" x14ac:dyDescent="0.4">
      <c r="B24" s="578"/>
      <c r="C24" s="624"/>
      <c r="D24" s="1142" t="s">
        <v>611</v>
      </c>
      <c r="E24" s="1142"/>
      <c r="F24" s="1142"/>
      <c r="G24" s="1142"/>
      <c r="H24" s="1142"/>
      <c r="I24" s="1142"/>
      <c r="J24" s="1142"/>
      <c r="K24" s="1142"/>
      <c r="L24" s="1142"/>
      <c r="M24" s="1142"/>
      <c r="N24" s="1142"/>
      <c r="O24" s="1142"/>
      <c r="P24" s="1142"/>
      <c r="Q24" s="1142"/>
      <c r="R24" s="625"/>
      <c r="S24" s="580"/>
    </row>
    <row r="25" spans="2:22" ht="20.100000000000001" customHeight="1" outlineLevel="1" x14ac:dyDescent="0.4">
      <c r="B25" s="578"/>
      <c r="C25" s="624"/>
      <c r="D25" s="1239" t="s">
        <v>612</v>
      </c>
      <c r="E25" s="1239"/>
      <c r="F25" s="1239"/>
      <c r="G25" s="1239"/>
      <c r="H25" s="1239" t="s">
        <v>566</v>
      </c>
      <c r="I25" s="1239"/>
      <c r="J25" s="1239"/>
      <c r="K25" s="1239"/>
      <c r="L25" s="1239" t="s">
        <v>613</v>
      </c>
      <c r="M25" s="1239"/>
      <c r="N25" s="1239"/>
      <c r="O25" s="1239"/>
      <c r="P25" s="1240" t="s">
        <v>614</v>
      </c>
      <c r="Q25" s="1240"/>
      <c r="R25" s="625"/>
      <c r="S25" s="580"/>
    </row>
    <row r="26" spans="2:22" ht="39.700000000000003" customHeight="1" outlineLevel="1" x14ac:dyDescent="0.4">
      <c r="B26" s="578"/>
      <c r="C26" s="624"/>
      <c r="D26" s="627" t="s">
        <v>795</v>
      </c>
      <c r="E26" s="628" t="s">
        <v>570</v>
      </c>
      <c r="F26" s="628" t="s">
        <v>797</v>
      </c>
      <c r="G26" s="567" t="s">
        <v>570</v>
      </c>
      <c r="H26" s="627" t="s">
        <v>796</v>
      </c>
      <c r="I26" s="628" t="s">
        <v>798</v>
      </c>
      <c r="J26" s="628" t="s">
        <v>801</v>
      </c>
      <c r="K26" s="567" t="s">
        <v>802</v>
      </c>
      <c r="L26" s="627" t="s">
        <v>796</v>
      </c>
      <c r="M26" s="628" t="s">
        <v>798</v>
      </c>
      <c r="N26" s="628" t="s">
        <v>801</v>
      </c>
      <c r="O26" s="567" t="s">
        <v>802</v>
      </c>
      <c r="P26" s="568" t="s">
        <v>620</v>
      </c>
      <c r="Q26" s="570" t="s">
        <v>621</v>
      </c>
      <c r="R26" s="625"/>
      <c r="S26" s="580"/>
    </row>
    <row r="27" spans="2:22" ht="20.100000000000001" customHeight="1" outlineLevel="1" x14ac:dyDescent="0.4">
      <c r="B27" s="578"/>
      <c r="C27" s="624"/>
      <c r="D27" s="629"/>
      <c r="E27" s="630" t="str">
        <f>IF(D27="","",10)</f>
        <v/>
      </c>
      <c r="F27" s="631"/>
      <c r="G27" s="632" t="str">
        <f>IF(D27="","",IF(D27&lt;50,"-",IF(D27&lt;150,0.1,0.05)))</f>
        <v/>
      </c>
      <c r="H27" s="629"/>
      <c r="I27" s="631"/>
      <c r="J27" s="633" t="str">
        <f>IF(OR(D27="",H27=""),"",H27-D27)</f>
        <v/>
      </c>
      <c r="K27" s="634" t="str">
        <f>IF(OR(F27="",I27="",D27=0),IF(D27=0, "-",""),(I27-F27)/F27)</f>
        <v>-</v>
      </c>
      <c r="L27" s="629"/>
      <c r="M27" s="631"/>
      <c r="N27" s="633" t="str">
        <f>IF(AND(D27&lt;&gt;"",L27&lt;&gt;""),L27-D27,"")</f>
        <v/>
      </c>
      <c r="O27" s="634" t="str">
        <f>IF(OR(F27="",M27="",D27=0),IF(D27=0,"-",""),(M27-F27)/F27)</f>
        <v>-</v>
      </c>
      <c r="P27" s="633" t="str">
        <f>IF(OR(H27="",L27=""),IF(J27="","",J27),H27-L27)</f>
        <v/>
      </c>
      <c r="Q27" s="634" t="str">
        <f>IF(OR(I27="",M27="",D27=0),IF(K27="","",K27),IF(AND(I27=0,M27=0),0,(I27-AVERAGE(I27,M27))/AVERAGE(I27,M27)))</f>
        <v>-</v>
      </c>
      <c r="R27" s="635"/>
      <c r="S27" s="580"/>
      <c r="U27" s="617">
        <f>IF(P27&lt;&gt;"", IF(ABS(P27)&gt;E27,1,0),0)</f>
        <v>0</v>
      </c>
      <c r="V27" s="617">
        <f>IF(AND(Q27&lt;&gt;"",Q27&lt;&gt;"-"), IF(ABS(Q27)&gt;G27,1,0),0)</f>
        <v>0</v>
      </c>
    </row>
    <row r="28" spans="2:22" ht="20.100000000000001" customHeight="1" outlineLevel="1" x14ac:dyDescent="0.4">
      <c r="B28" s="578"/>
      <c r="C28" s="624"/>
      <c r="D28" s="629"/>
      <c r="E28" s="636" t="str">
        <f t="shared" ref="E28:E30" si="0">IF(D28="","",10)</f>
        <v/>
      </c>
      <c r="F28" s="631"/>
      <c r="G28" s="637" t="str">
        <f t="shared" ref="G28:G30" si="1">IF(D28="","",IF(D28&lt;50,"-",IF(D28&lt;150,0.1,0.05)))</f>
        <v/>
      </c>
      <c r="H28" s="629"/>
      <c r="I28" s="631"/>
      <c r="J28" s="633" t="str">
        <f t="shared" ref="J28:J30" si="2">IF(OR(D28="",H28=""),"",H28-D28)</f>
        <v/>
      </c>
      <c r="K28" s="634" t="str">
        <f t="shared" ref="K28:K30" si="3">IF(OR(F28="",I28="",D28=0),IF(D28=0, "-",""),(I28-F28)/F28)</f>
        <v>-</v>
      </c>
      <c r="L28" s="629"/>
      <c r="M28" s="631"/>
      <c r="N28" s="633" t="str">
        <f t="shared" ref="N28:N30" si="4">IF(AND(D28&lt;&gt;"",L28&lt;&gt;""),L28-D28,"")</f>
        <v/>
      </c>
      <c r="O28" s="634" t="str">
        <f t="shared" ref="O28:O30" si="5">IF(OR(F28="",M28="",D28=0),IF(D28=0,"-",""),(M28-F28)/F28)</f>
        <v>-</v>
      </c>
      <c r="P28" s="633" t="str">
        <f t="shared" ref="P28:P30" si="6">IF(OR(H28="",L28=""),IF(J28="","",J28),H28-L28)</f>
        <v/>
      </c>
      <c r="Q28" s="634" t="str">
        <f t="shared" ref="Q28:Q30" si="7">IF(OR(I28="",M28="",D28=0),IF(K28="","",K28),IF(AND(I28=0,M28=0),0,(I28-AVERAGE(I28,M28))/AVERAGE(I28,M28)))</f>
        <v>-</v>
      </c>
      <c r="R28" s="625"/>
      <c r="S28" s="580"/>
      <c r="U28" s="617">
        <f t="shared" ref="U28:U29" si="8">IF(P28&lt;&gt;"", IF(ABS(P28)&gt;E28,1,0),0)</f>
        <v>0</v>
      </c>
      <c r="V28" s="617">
        <f t="shared" ref="V28:V30" si="9">IF(AND(Q28&lt;&gt;"",Q28&lt;&gt;"-"), IF(ABS(Q28)&gt;G28,1,0),0)</f>
        <v>0</v>
      </c>
    </row>
    <row r="29" spans="2:22" ht="20.100000000000001" customHeight="1" outlineLevel="1" x14ac:dyDescent="0.4">
      <c r="B29" s="578"/>
      <c r="C29" s="624"/>
      <c r="D29" s="629"/>
      <c r="E29" s="636" t="str">
        <f t="shared" si="0"/>
        <v/>
      </c>
      <c r="F29" s="631"/>
      <c r="G29" s="637" t="str">
        <f t="shared" si="1"/>
        <v/>
      </c>
      <c r="H29" s="629"/>
      <c r="I29" s="631"/>
      <c r="J29" s="633" t="str">
        <f t="shared" si="2"/>
        <v/>
      </c>
      <c r="K29" s="634" t="str">
        <f t="shared" si="3"/>
        <v>-</v>
      </c>
      <c r="L29" s="629"/>
      <c r="M29" s="631"/>
      <c r="N29" s="633" t="str">
        <f t="shared" si="4"/>
        <v/>
      </c>
      <c r="O29" s="634" t="str">
        <f t="shared" si="5"/>
        <v>-</v>
      </c>
      <c r="P29" s="633" t="str">
        <f t="shared" si="6"/>
        <v/>
      </c>
      <c r="Q29" s="634" t="str">
        <f t="shared" si="7"/>
        <v>-</v>
      </c>
      <c r="R29" s="625"/>
      <c r="S29" s="580"/>
      <c r="U29" s="617">
        <f t="shared" si="8"/>
        <v>0</v>
      </c>
      <c r="V29" s="617">
        <f t="shared" si="9"/>
        <v>0</v>
      </c>
    </row>
    <row r="30" spans="2:22" ht="20.100000000000001" customHeight="1" outlineLevel="1" x14ac:dyDescent="0.4">
      <c r="B30" s="578"/>
      <c r="C30" s="624"/>
      <c r="D30" s="639"/>
      <c r="E30" s="640" t="str">
        <f t="shared" si="0"/>
        <v/>
      </c>
      <c r="F30" s="641"/>
      <c r="G30" s="642" t="str">
        <f t="shared" si="1"/>
        <v/>
      </c>
      <c r="H30" s="639"/>
      <c r="I30" s="641"/>
      <c r="J30" s="633" t="str">
        <f t="shared" si="2"/>
        <v/>
      </c>
      <c r="K30" s="644" t="str">
        <f t="shared" si="3"/>
        <v>-</v>
      </c>
      <c r="L30" s="639"/>
      <c r="M30" s="641"/>
      <c r="N30" s="633" t="str">
        <f t="shared" si="4"/>
        <v/>
      </c>
      <c r="O30" s="644" t="str">
        <f t="shared" si="5"/>
        <v>-</v>
      </c>
      <c r="P30" s="643" t="str">
        <f t="shared" si="6"/>
        <v/>
      </c>
      <c r="Q30" s="644" t="str">
        <f t="shared" si="7"/>
        <v>-</v>
      </c>
      <c r="R30" s="625"/>
      <c r="S30" s="580"/>
      <c r="U30" s="617">
        <f>IF(P30&lt;&gt;"", IF(ABS(P30)&gt;E30,1,0),0)</f>
        <v>0</v>
      </c>
      <c r="V30" s="617">
        <f t="shared" si="9"/>
        <v>0</v>
      </c>
    </row>
    <row r="31" spans="2:22" ht="20.100000000000001" customHeight="1" outlineLevel="1" x14ac:dyDescent="0.4">
      <c r="B31" s="578"/>
      <c r="C31" s="624"/>
      <c r="D31" s="739"/>
      <c r="E31" s="739"/>
      <c r="F31" s="739"/>
      <c r="G31" s="739"/>
      <c r="H31" s="739"/>
      <c r="I31" s="739"/>
      <c r="J31" s="739"/>
      <c r="K31" s="739"/>
      <c r="L31" s="739"/>
      <c r="M31" s="739"/>
      <c r="N31" s="739"/>
      <c r="O31" s="739"/>
      <c r="P31" s="793" t="s">
        <v>814</v>
      </c>
      <c r="Q31" s="739"/>
      <c r="R31" s="625"/>
      <c r="S31" s="580"/>
      <c r="U31" s="617" t="str">
        <f>IF(SUM(D27:D30)&gt;0,IF(SUM(U27:U30)&gt;0,"Non validé","Validé"),"Non contrôlé")</f>
        <v>Non contrôlé</v>
      </c>
      <c r="V31" s="617" t="str">
        <f>IF(SUM(D27:D30)&gt;0,IF(SUM(Q27:Q30)&gt;0,"Non validé","Validé"),"Non contrôlé")</f>
        <v>Non contrôlé</v>
      </c>
    </row>
    <row r="32" spans="2:22" ht="20.100000000000001" customHeight="1" outlineLevel="1" x14ac:dyDescent="0.4">
      <c r="B32" s="578"/>
      <c r="C32" s="624"/>
      <c r="D32" s="1101" t="s">
        <v>250</v>
      </c>
      <c r="E32" s="1102"/>
      <c r="F32" s="1102"/>
      <c r="G32" s="1102"/>
      <c r="H32" s="1102"/>
      <c r="I32" s="1102"/>
      <c r="J32" s="1102"/>
      <c r="K32" s="1102"/>
      <c r="L32" s="1102"/>
      <c r="M32" s="1102"/>
      <c r="N32" s="1241" t="s">
        <v>564</v>
      </c>
      <c r="O32" s="1241"/>
      <c r="P32" s="566"/>
      <c r="Q32" s="590"/>
      <c r="R32" s="625"/>
      <c r="S32" s="580"/>
    </row>
    <row r="33" spans="2:25" s="652" customFormat="1" ht="20.100000000000001" customHeight="1" outlineLevel="1" x14ac:dyDescent="0.4">
      <c r="B33" s="646"/>
      <c r="C33" s="647"/>
      <c r="D33" s="1231" t="s">
        <v>612</v>
      </c>
      <c r="E33" s="1232"/>
      <c r="F33" s="1233"/>
      <c r="G33" s="1231" t="s">
        <v>566</v>
      </c>
      <c r="H33" s="1233"/>
      <c r="I33" s="1231" t="s">
        <v>565</v>
      </c>
      <c r="J33" s="1233"/>
      <c r="K33" s="1234" t="s">
        <v>567</v>
      </c>
      <c r="L33" s="1235"/>
      <c r="M33" s="1236"/>
      <c r="N33" s="1234" t="s">
        <v>568</v>
      </c>
      <c r="O33" s="1235"/>
      <c r="P33" s="1236"/>
      <c r="Q33" s="648"/>
      <c r="R33" s="649"/>
      <c r="S33" s="650"/>
      <c r="T33" s="651"/>
      <c r="U33" s="651"/>
      <c r="V33" s="651"/>
      <c r="W33" s="651"/>
      <c r="X33" s="617"/>
      <c r="Y33" s="651"/>
    </row>
    <row r="34" spans="2:25" s="659" customFormat="1" ht="36.700000000000003" customHeight="1" outlineLevel="1" x14ac:dyDescent="0.4">
      <c r="B34" s="653"/>
      <c r="C34" s="654"/>
      <c r="D34" s="627" t="s">
        <v>795</v>
      </c>
      <c r="E34" s="628" t="s">
        <v>799</v>
      </c>
      <c r="F34" s="567" t="s">
        <v>570</v>
      </c>
      <c r="G34" s="627" t="s">
        <v>815</v>
      </c>
      <c r="H34" s="628" t="s">
        <v>808</v>
      </c>
      <c r="I34" s="1237" t="s">
        <v>623</v>
      </c>
      <c r="J34" s="1238"/>
      <c r="K34" s="568" t="s">
        <v>573</v>
      </c>
      <c r="L34" s="569" t="s">
        <v>574</v>
      </c>
      <c r="M34" s="570" t="s">
        <v>91</v>
      </c>
      <c r="N34" s="568" t="s">
        <v>573</v>
      </c>
      <c r="O34" s="569" t="s">
        <v>574</v>
      </c>
      <c r="P34" s="570" t="s">
        <v>91</v>
      </c>
      <c r="Q34" s="655"/>
      <c r="R34" s="656"/>
      <c r="S34" s="657"/>
      <c r="T34" s="658"/>
      <c r="U34" s="658"/>
      <c r="V34" s="658"/>
      <c r="W34" s="658"/>
      <c r="X34" s="658"/>
      <c r="Y34" s="658"/>
    </row>
    <row r="35" spans="2:25" ht="20.100000000000001" customHeight="1" outlineLevel="1" x14ac:dyDescent="0.4">
      <c r="B35" s="578"/>
      <c r="C35" s="624"/>
      <c r="D35" s="660"/>
      <c r="E35" s="661"/>
      <c r="F35" s="662" t="str">
        <f>IF(D35="","",IF(D35&gt;50,0.05,0.1))</f>
        <v/>
      </c>
      <c r="G35" s="661"/>
      <c r="H35" s="663"/>
      <c r="I35" s="1227"/>
      <c r="J35" s="1228"/>
      <c r="K35" s="572" t="str">
        <f>IF(AND(E35&lt;&gt;"",G35&lt;&gt;""),(E35+G35)/2,IF(AND(I35&lt;&gt;"",G35&lt;&gt;""),(I35+G35)/2,""))</f>
        <v/>
      </c>
      <c r="L35" s="573" t="str">
        <f>IF(AND(E35&lt;&gt;"",G35&lt;&gt;""),(E35-G35),IF(AND(I35&lt;&gt;"",G35&lt;&gt;""),(I35-G35),""))</f>
        <v/>
      </c>
      <c r="M35" s="644" t="str">
        <f>IF(AND(K35&lt;&gt;"",K35&lt;&gt;0,L35&lt;&gt;""),L35/K35,"")</f>
        <v/>
      </c>
      <c r="N35" s="572" t="str">
        <f>IF(AND(E35&lt;&gt;"",H35&lt;&gt;""),(E35+H35)/2,IF(AND(H35&lt;&gt;"",I35&lt;&gt;""),(H35+I35)/2,""))</f>
        <v/>
      </c>
      <c r="O35" s="573" t="str">
        <f>IF(AND(E35&lt;&gt;"",H35&lt;&gt;""),(E35-I35),IF(AND(H35&lt;&gt;"",I35&lt;&gt;""),(H35-I35),""))</f>
        <v/>
      </c>
      <c r="P35" s="644" t="str">
        <f>IF(AND(N35&lt;&gt;"",N35&lt;&gt;0,O35&lt;&gt;""),O35/N35,"")</f>
        <v/>
      </c>
      <c r="Q35" s="664"/>
      <c r="R35" s="625"/>
      <c r="S35" s="580"/>
      <c r="U35" s="617">
        <f>IF(M35&lt;&gt;"", IF(ABS(M35)&gt;F35,1,0),0)</f>
        <v>0</v>
      </c>
      <c r="V35" s="617">
        <f>IF(P35&lt;&gt;"", IF(ABS(P35)&gt;F35,1,0),0)</f>
        <v>0</v>
      </c>
    </row>
    <row r="36" spans="2:25" ht="20.100000000000001" customHeight="1" outlineLevel="1" thickBot="1" x14ac:dyDescent="0.45">
      <c r="B36" s="578"/>
      <c r="C36" s="665"/>
      <c r="D36" s="741"/>
      <c r="E36" s="741"/>
      <c r="F36" s="741"/>
      <c r="G36" s="741"/>
      <c r="H36" s="741"/>
      <c r="I36" s="741"/>
      <c r="J36" s="741"/>
      <c r="K36" s="741"/>
      <c r="L36" s="741"/>
      <c r="M36" s="741"/>
      <c r="N36" s="741"/>
      <c r="O36" s="741"/>
      <c r="P36" s="741"/>
      <c r="Q36" s="741"/>
      <c r="R36" s="666"/>
      <c r="S36" s="580"/>
      <c r="U36" s="617" t="str">
        <f>IFERROR(IF((K35+N35)&gt;0,IF((U35+V35)&gt;0,"Non validé","Validé"),"Non contrôlé"),"Non contrôlé")</f>
        <v>Non contrôlé</v>
      </c>
    </row>
    <row r="37" spans="2:25" ht="10.199999999999999" customHeight="1" thickTop="1" thickBot="1" x14ac:dyDescent="0.45">
      <c r="B37" s="578"/>
      <c r="C37" s="579"/>
      <c r="D37" s="579"/>
      <c r="E37" s="579"/>
      <c r="F37" s="579"/>
      <c r="G37" s="579"/>
      <c r="H37" s="579"/>
      <c r="I37" s="579"/>
      <c r="J37" s="579"/>
      <c r="K37" s="579"/>
      <c r="L37" s="579"/>
      <c r="M37" s="579"/>
      <c r="N37" s="579"/>
      <c r="O37" s="579"/>
      <c r="P37" s="579"/>
      <c r="Q37" s="579"/>
      <c r="R37" s="579"/>
      <c r="S37" s="580"/>
    </row>
    <row r="38" spans="2:25" ht="20.100000000000001" customHeight="1" thickTop="1" thickBot="1" x14ac:dyDescent="0.45">
      <c r="B38" s="578"/>
      <c r="C38" s="1119" t="s">
        <v>575</v>
      </c>
      <c r="D38" s="1120"/>
      <c r="E38" s="1120"/>
      <c r="F38" s="1120"/>
      <c r="G38" s="1120"/>
      <c r="H38" s="1120"/>
      <c r="I38" s="1120"/>
      <c r="J38" s="1120"/>
      <c r="K38" s="1120"/>
      <c r="L38" s="1120"/>
      <c r="M38" s="1120"/>
      <c r="N38" s="1120"/>
      <c r="O38" s="1120"/>
      <c r="P38" s="1120"/>
      <c r="Q38" s="1120"/>
      <c r="R38" s="1141"/>
      <c r="S38" s="580"/>
    </row>
    <row r="39" spans="2:25" ht="20.100000000000001" customHeight="1" outlineLevel="1" thickTop="1" x14ac:dyDescent="0.4">
      <c r="B39" s="578"/>
      <c r="C39" s="624"/>
      <c r="D39" s="579"/>
      <c r="E39" s="579"/>
      <c r="F39" s="579"/>
      <c r="G39" s="579"/>
      <c r="H39" s="579"/>
      <c r="I39" s="579"/>
      <c r="J39" s="579"/>
      <c r="K39" s="579"/>
      <c r="L39" s="579"/>
      <c r="M39" s="579"/>
      <c r="N39" s="579"/>
      <c r="O39" s="579"/>
      <c r="P39" s="579"/>
      <c r="Q39" s="579"/>
      <c r="R39" s="625"/>
      <c r="S39" s="580"/>
    </row>
    <row r="40" spans="2:25" ht="30" customHeight="1" outlineLevel="1" x14ac:dyDescent="0.4">
      <c r="B40" s="578"/>
      <c r="C40" s="624"/>
      <c r="D40" s="1229" t="s">
        <v>133</v>
      </c>
      <c r="E40" s="1229"/>
      <c r="F40" s="1229"/>
      <c r="G40" s="1229"/>
      <c r="H40" s="1229"/>
      <c r="I40" s="1229"/>
      <c r="J40" s="1229"/>
      <c r="K40" s="1229"/>
      <c r="L40" s="1229"/>
      <c r="M40" s="1229"/>
      <c r="N40" s="1229"/>
      <c r="O40" s="1229"/>
      <c r="P40" s="1229"/>
      <c r="Q40" s="1229"/>
      <c r="R40" s="625"/>
      <c r="S40" s="580"/>
      <c r="U40" s="617" t="s">
        <v>61</v>
      </c>
    </row>
    <row r="41" spans="2:25" ht="20.100000000000001" customHeight="1" outlineLevel="1" x14ac:dyDescent="0.4">
      <c r="B41" s="578"/>
      <c r="C41" s="624"/>
      <c r="D41" s="1230" t="s">
        <v>59</v>
      </c>
      <c r="E41" s="1230"/>
      <c r="F41" s="1230"/>
      <c r="G41" s="1230"/>
      <c r="H41" s="1230"/>
      <c r="I41" s="1230"/>
      <c r="J41" s="1230" t="s">
        <v>377</v>
      </c>
      <c r="K41" s="1230"/>
      <c r="L41" s="1230"/>
      <c r="M41" s="1230"/>
      <c r="N41" s="1230" t="s">
        <v>242</v>
      </c>
      <c r="O41" s="1230"/>
      <c r="P41" s="740" t="s">
        <v>409</v>
      </c>
      <c r="Q41" s="740" t="s">
        <v>576</v>
      </c>
      <c r="R41" s="625"/>
      <c r="S41" s="580"/>
    </row>
    <row r="42" spans="2:25" ht="99.95" customHeight="1" outlineLevel="1" x14ac:dyDescent="0.4">
      <c r="B42" s="578"/>
      <c r="C42" s="624"/>
      <c r="D42" s="577">
        <v>1</v>
      </c>
      <c r="E42" s="1222" t="str">
        <f>IFERROR(HLOOKUP($D$40,Critères!$B$3:$BE$16,D42+2,FALSE),"")</f>
        <v>L'accès à l'ouvrage et aux équipements de mesure se fait-il en toute sécurité pour les agents en charge des opérations de contrôles et d'entretien ?</v>
      </c>
      <c r="F42" s="1223"/>
      <c r="G42" s="1223"/>
      <c r="H42" s="1223"/>
      <c r="I42" s="1224"/>
      <c r="J42" s="1222"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223"/>
      <c r="L42" s="1223"/>
      <c r="M42" s="1224"/>
      <c r="N42" s="1225" t="s">
        <v>167</v>
      </c>
      <c r="O42" s="1226"/>
      <c r="P42" s="742">
        <f>IF(OR(N42="Validé",N42="Validé avec réserve"),Q42,0)</f>
        <v>10</v>
      </c>
      <c r="Q42" s="742">
        <f>IFERROR(INDEX(Critères!$B$3:$BE$16, D42+2, MATCH($D$40, Critères!$B$3:$BE$3, 0) + 2),"")</f>
        <v>10</v>
      </c>
      <c r="R42" s="625"/>
      <c r="S42" s="580"/>
      <c r="U42" s="617" t="str">
        <f>IFERROR(INDEX(Critères!$B$3:$BE$16, D42+2, MATCH($D$40, Critères!$B$3:$BE$3, 0) + 3),"")</f>
        <v>LISTE_3</v>
      </c>
    </row>
    <row r="43" spans="2:25" ht="99.95" customHeight="1" outlineLevel="1" x14ac:dyDescent="0.4">
      <c r="B43" s="578"/>
      <c r="C43" s="624"/>
      <c r="D43" s="577">
        <v>2</v>
      </c>
      <c r="E43" s="1222" t="str">
        <f>IFERROR(HLOOKUP($D$40,Critères!$B$3:$BE$16,D43+2,FALSE),"")</f>
        <v>Le dimensionnement de l'organe de mesure, y compris des canaux d'approche et de fuite, est-il adapté vis-à-vis de l'étendue des débits à mesurer ?</v>
      </c>
      <c r="F43" s="1223"/>
      <c r="G43" s="1223"/>
      <c r="H43" s="1223"/>
      <c r="I43" s="1224"/>
      <c r="J43" s="1222" t="str">
        <f>IFERROR(IF(INDEX(Critères!$B$3:$BE$16, D43+2, MATCH($D$40, Critères!$B$3:$BE$3, 0) + 1)="", "", INDEX(Critères!$B$3:$BE$16, D43+2, MATCH($D$40, Critères!$B$3:$BE$3, 0) + 1)), "")</f>
        <v/>
      </c>
      <c r="K43" s="1223"/>
      <c r="L43" s="1223"/>
      <c r="M43" s="1224"/>
      <c r="N43" s="1225" t="s">
        <v>167</v>
      </c>
      <c r="O43" s="1226"/>
      <c r="P43" s="742">
        <f t="shared" ref="P43:P50" si="10">IF(OR(N43="Validé",N43="Validé avec réserve"),Q43,0)</f>
        <v>10</v>
      </c>
      <c r="Q43" s="742">
        <f>IFERROR(INDEX(Critères!$B$3:$BE$16, D43+2, MATCH($D$40, Critères!$B$3:$BE$3, 0) + 2),"")</f>
        <v>10</v>
      </c>
      <c r="R43" s="625"/>
      <c r="S43" s="580"/>
      <c r="U43" s="617" t="str">
        <f>IFERROR(INDEX(Critères!$B$3:$BE$16, D43+2, MATCH($D$40, Critères!$B$3:$BE$3, 0) + 3),"")</f>
        <v>LISTE_3</v>
      </c>
    </row>
    <row r="44" spans="2:25" ht="99.95" customHeight="1" outlineLevel="1" x14ac:dyDescent="0.4">
      <c r="B44" s="578"/>
      <c r="C44" s="624"/>
      <c r="D44" s="577">
        <v>3</v>
      </c>
      <c r="E44" s="1222"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223"/>
      <c r="G44" s="1223"/>
      <c r="H44" s="1223"/>
      <c r="I44" s="1224"/>
      <c r="J44" s="1222"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223"/>
      <c r="L44" s="1223"/>
      <c r="M44" s="1224"/>
      <c r="N44" s="1225" t="s">
        <v>167</v>
      </c>
      <c r="O44" s="1226"/>
      <c r="P44" s="742">
        <f t="shared" si="10"/>
        <v>10</v>
      </c>
      <c r="Q44" s="742">
        <f>IFERROR(INDEX(Critères!$B$3:$BE$16, D44+2, MATCH($D$40, Critères!$B$3:$BE$3, 0) + 2),"")</f>
        <v>10</v>
      </c>
      <c r="R44" s="625"/>
      <c r="S44" s="580"/>
      <c r="U44" s="617" t="str">
        <f>IFERROR(INDEX(Critères!$B$3:$BE$16, D44+2, MATCH($D$40, Critères!$B$3:$BE$3, 0) + 3),"")</f>
        <v>LISTE_3</v>
      </c>
    </row>
    <row r="45" spans="2:25" ht="99.95" customHeight="1" outlineLevel="1" x14ac:dyDescent="0.4">
      <c r="B45" s="578"/>
      <c r="C45" s="624"/>
      <c r="D45" s="577">
        <v>4</v>
      </c>
      <c r="E45" s="1222" t="str">
        <f>IFERROR(HLOOKUP($D$40,Critères!$B$3:$BE$16,D45+2,FALSE),"")</f>
        <v>L'étanchéité, la propreté et l'état d'entretien de l'organe de mesure, des capteurs associés, des canaux d'approche et de fuite sont-ils satisfaisants ?</v>
      </c>
      <c r="F45" s="1223"/>
      <c r="G45" s="1223"/>
      <c r="H45" s="1223"/>
      <c r="I45" s="1224"/>
      <c r="J45" s="1222"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223"/>
      <c r="L45" s="1223"/>
      <c r="M45" s="1224"/>
      <c r="N45" s="1225" t="s">
        <v>167</v>
      </c>
      <c r="O45" s="1226"/>
      <c r="P45" s="742">
        <f t="shared" si="10"/>
        <v>10</v>
      </c>
      <c r="Q45" s="742">
        <f>IFERROR(INDEX(Critères!$B$3:$BE$16, D45+2, MATCH($D$40, Critères!$B$3:$BE$3, 0) + 2),"")</f>
        <v>10</v>
      </c>
      <c r="R45" s="625"/>
      <c r="S45" s="580"/>
      <c r="U45" s="617" t="str">
        <f>IFERROR(INDEX(Critères!$B$3:$BE$16, D45+2, MATCH($D$40, Critères!$B$3:$BE$3, 0) + 3),"")</f>
        <v>LISTE_3</v>
      </c>
    </row>
    <row r="46" spans="2:25" ht="99.95" customHeight="1" outlineLevel="1" x14ac:dyDescent="0.4">
      <c r="B46" s="578"/>
      <c r="C46" s="624"/>
      <c r="D46" s="577">
        <v>5</v>
      </c>
      <c r="E46" s="1222" t="str">
        <f>IFERROR(HLOOKUP($D$40,Critères!$B$3:$BE$16,D46+2,FALSE),"")</f>
        <v xml:space="preserve">Le fonctionnement hydraulique de l'organe de mesure, en amont et en aval, est-il satisfaisant ? </v>
      </c>
      <c r="F46" s="1223"/>
      <c r="G46" s="1223"/>
      <c r="H46" s="1223"/>
      <c r="I46" s="1224"/>
      <c r="J46" s="1222"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223"/>
      <c r="L46" s="1223"/>
      <c r="M46" s="1224"/>
      <c r="N46" s="1225" t="s">
        <v>167</v>
      </c>
      <c r="O46" s="1226"/>
      <c r="P46" s="742">
        <f t="shared" si="10"/>
        <v>10</v>
      </c>
      <c r="Q46" s="742">
        <f>IFERROR(INDEX(Critères!$B$3:$BE$16, D46+2, MATCH($D$40, Critères!$B$3:$BE$3, 0) + 2),"")</f>
        <v>10</v>
      </c>
      <c r="R46" s="625"/>
      <c r="S46" s="580"/>
      <c r="U46" s="617" t="str">
        <f>IFERROR(INDEX(Critères!$B$3:$BE$16, D46+2, MATCH($D$40, Critères!$B$3:$BE$3, 0) + 3),"")</f>
        <v>LISTE_3</v>
      </c>
    </row>
    <row r="47" spans="2:25" ht="99.95" customHeight="1" outlineLevel="1" x14ac:dyDescent="0.4">
      <c r="B47" s="578"/>
      <c r="C47" s="624"/>
      <c r="D47" s="577">
        <v>6</v>
      </c>
      <c r="E47" s="1222" t="str">
        <f>IFERROR(HLOOKUP($D$40,Critères!$B$3:$BE$16,D47+2,FALSE),"")</f>
        <v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v>
      </c>
      <c r="F47" s="1223"/>
      <c r="G47" s="1223"/>
      <c r="H47" s="1223"/>
      <c r="I47" s="1224"/>
      <c r="J47" s="1222" t="str">
        <f>IFERROR(IF(INDEX(Critères!$B$3:$BE$16, D47+2, MATCH($D$40, Critères!$B$3:$BE$3, 0) + 1)="", "", INDEX(Critères!$B$3:$BE$16, D47+2, MATCH($D$40, Critères!$B$3:$BE$3, 0) + 1)), "")</f>
        <v/>
      </c>
      <c r="K47" s="1223"/>
      <c r="L47" s="1223"/>
      <c r="M47" s="1224"/>
      <c r="N47" s="1225" t="s">
        <v>167</v>
      </c>
      <c r="O47" s="1226"/>
      <c r="P47" s="742">
        <f t="shared" si="10"/>
        <v>10</v>
      </c>
      <c r="Q47" s="742">
        <f>IFERROR(INDEX(Critères!$B$3:$BE$16, D47+2, MATCH($D$40, Critères!$B$3:$BE$3, 0) + 2),"")</f>
        <v>10</v>
      </c>
      <c r="R47" s="805" t="s">
        <v>803</v>
      </c>
      <c r="S47" s="580"/>
      <c r="U47" s="617" t="str">
        <f>IFERROR(INDEX(Critères!$B$3:$BE$16, D47+2, MATCH($D$40, Critères!$B$3:$BE$3, 0) + 3),"")</f>
        <v>LISTE_3</v>
      </c>
    </row>
    <row r="48" spans="2:25" ht="99.95" customHeight="1" outlineLevel="1" x14ac:dyDescent="0.4">
      <c r="B48" s="578"/>
      <c r="C48" s="624"/>
      <c r="D48" s="577">
        <v>7</v>
      </c>
      <c r="E48" s="1222"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223"/>
      <c r="G48" s="1223"/>
      <c r="H48" s="1223"/>
      <c r="I48" s="1224"/>
      <c r="J48" s="1222" t="str">
        <f>IFERROR(IF(INDEX(Critères!$B$3:$BE$16, D48+2, MATCH($D$40, Critères!$B$3:$BE$3, 0) + 1)="", "", INDEX(Critères!$B$3:$BE$16, D48+2, MATCH($D$40, Critères!$B$3:$BE$3, 0) + 1)), "")</f>
        <v/>
      </c>
      <c r="K48" s="1223"/>
      <c r="L48" s="1223"/>
      <c r="M48" s="1224"/>
      <c r="N48" s="1225" t="s">
        <v>167</v>
      </c>
      <c r="O48" s="1226"/>
      <c r="P48" s="742">
        <f t="shared" si="10"/>
        <v>10</v>
      </c>
      <c r="Q48" s="742">
        <f>IFERROR(INDEX(Critères!$B$3:$BE$16, D48+2, MATCH($D$40, Critères!$B$3:$BE$3, 0) + 2),"")</f>
        <v>10</v>
      </c>
      <c r="R48" s="625"/>
      <c r="S48" s="580"/>
      <c r="U48" s="617" t="str">
        <f>IFERROR(INDEX(Critères!$B$3:$BE$16, D48+2, MATCH($D$40, Critères!$B$3:$BE$3, 0) + 3),"")</f>
        <v>LISTE_2</v>
      </c>
    </row>
    <row r="49" spans="2:21" ht="99.95" customHeight="1" outlineLevel="1" x14ac:dyDescent="0.4">
      <c r="B49" s="578"/>
      <c r="C49" s="624"/>
      <c r="D49" s="577">
        <v>8</v>
      </c>
      <c r="E49" s="1222"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223"/>
      <c r="G49" s="1223"/>
      <c r="H49" s="1223"/>
      <c r="I49" s="1224"/>
      <c r="J49" s="1222"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223"/>
      <c r="L49" s="1223"/>
      <c r="M49" s="1224"/>
      <c r="N49" s="1225" t="s">
        <v>167</v>
      </c>
      <c r="O49" s="1226"/>
      <c r="P49" s="742">
        <f t="shared" si="10"/>
        <v>10</v>
      </c>
      <c r="Q49" s="742">
        <f>IFERROR(INDEX(Critères!$B$3:$BE$16, D49+2, MATCH($D$40, Critères!$B$3:$BE$3, 0) + 2),"")</f>
        <v>10</v>
      </c>
      <c r="R49" s="625"/>
      <c r="S49" s="580"/>
      <c r="U49" s="617" t="str">
        <f>IFERROR(INDEX(Critères!$B$3:$BE$16, D49+2, MATCH($D$40, Critères!$B$3:$BE$3, 0) + 3),"")</f>
        <v>LISTE_2</v>
      </c>
    </row>
    <row r="50" spans="2:21" ht="99.95" customHeight="1" outlineLevel="1" x14ac:dyDescent="0.4">
      <c r="B50" s="578"/>
      <c r="C50" s="624"/>
      <c r="D50" s="577">
        <v>9</v>
      </c>
      <c r="E50" s="1222"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223"/>
      <c r="G50" s="1223"/>
      <c r="H50" s="1223"/>
      <c r="I50" s="1224"/>
      <c r="J50" s="1222" t="str">
        <f>IFERROR(IF(INDEX(Critères!$B$3:$BE$16, D50+2, MATCH($D$40, Critères!$B$3:$BE$3, 0) + 1)="", "", INDEX(Critères!$B$3:$BE$16, D50+2, MATCH($D$40, Critères!$B$3:$BE$3, 0) + 1)), "")</f>
        <v>Calcul de l'écart par rapport à la moyenne des 2 valeurs.
Pour les volumes &lt; 10 m3, le fonctionnement sera apprécié par l'intervenant.</v>
      </c>
      <c r="K50" s="1223"/>
      <c r="L50" s="1223"/>
      <c r="M50" s="1224"/>
      <c r="N50" s="1225" t="s">
        <v>167</v>
      </c>
      <c r="O50" s="1226"/>
      <c r="P50" s="742">
        <f t="shared" si="10"/>
        <v>10</v>
      </c>
      <c r="Q50" s="742">
        <f>IFERROR(INDEX(Critères!$B$3:$BE$16, D50+2, MATCH($D$40, Critères!$B$3:$BE$3, 0) + 2),"")</f>
        <v>10</v>
      </c>
      <c r="R50" s="625"/>
      <c r="S50" s="580"/>
      <c r="U50" s="617" t="str">
        <f>IFERROR(INDEX(Critères!$B$3:$BE$16, D50+2, MATCH($D$40, Critères!$B$3:$BE$3, 0) + 3),"")</f>
        <v>LISTE_2</v>
      </c>
    </row>
    <row r="51" spans="2:21" ht="99.95" customHeight="1" outlineLevel="1" x14ac:dyDescent="0.4">
      <c r="B51" s="578"/>
      <c r="C51" s="624"/>
      <c r="D51" s="577">
        <v>10</v>
      </c>
      <c r="E51" s="1222" t="str">
        <f>IFERROR(HLOOKUP($D$40,Critères!$B$3:$BE$16,D51+2,FALSE),"")</f>
        <v>Existe t-il un dispositif de contrôle adapté et un afficheur de proximité (Hauteur + Débit + Volume) ?</v>
      </c>
      <c r="F51" s="1223"/>
      <c r="G51" s="1223"/>
      <c r="H51" s="1223"/>
      <c r="I51" s="1224"/>
      <c r="J51" s="1222" t="str">
        <f>IFERROR(IF(INDEX(Critères!$B$3:$BE$16, D51+2, MATCH($D$40, Critères!$B$3:$BE$3, 0) + 1)="", "", INDEX(Critères!$B$3:$BE$16, D51+2, MATCH($D$40, Critères!$B$3:$BE$3, 0) + 1)), "")</f>
        <v/>
      </c>
      <c r="K51" s="1223"/>
      <c r="L51" s="1223"/>
      <c r="M51" s="1224"/>
      <c r="N51" s="1225" t="s">
        <v>124</v>
      </c>
      <c r="O51" s="1226"/>
      <c r="P51" s="742">
        <f>IF(N51="Oui",Q51,0)</f>
        <v>10</v>
      </c>
      <c r="Q51" s="742">
        <f>IFERROR(INDEX(Critères!$B$3:$BE$16, D51+2, MATCH($D$40, Critères!$B$3:$BE$3, 0) + 2),"")</f>
        <v>10</v>
      </c>
      <c r="R51" s="625"/>
      <c r="S51" s="580"/>
      <c r="U51" s="617" t="str">
        <f>IFERROR(INDEX(Critères!$B$3:$BE$16, D51+2, MATCH($D$40, Critères!$B$3:$BE$3, 0) + 3),"")</f>
        <v>LISTE_1</v>
      </c>
    </row>
    <row r="52" spans="2:21" ht="20.100000000000001" customHeight="1" outlineLevel="1" x14ac:dyDescent="0.4">
      <c r="B52" s="578"/>
      <c r="C52" s="624"/>
      <c r="D52" s="1215" t="s">
        <v>75</v>
      </c>
      <c r="E52" s="1216"/>
      <c r="F52" s="1216"/>
      <c r="G52" s="1216"/>
      <c r="H52" s="1216"/>
      <c r="I52" s="1216"/>
      <c r="J52" s="1216"/>
      <c r="K52" s="1216"/>
      <c r="L52" s="1216"/>
      <c r="M52" s="1217"/>
      <c r="N52" s="1218" t="s">
        <v>413</v>
      </c>
      <c r="O52" s="1218"/>
      <c r="P52" s="1218" t="s">
        <v>64</v>
      </c>
      <c r="Q52" s="1218"/>
      <c r="R52" s="625"/>
      <c r="S52" s="580"/>
    </row>
    <row r="53" spans="2:21" ht="99.95" customHeight="1" outlineLevel="1" x14ac:dyDescent="0.4">
      <c r="B53" s="578"/>
      <c r="C53" s="624"/>
      <c r="D53" s="1064" t="s">
        <v>819</v>
      </c>
      <c r="E53" s="1219"/>
      <c r="F53" s="1219"/>
      <c r="G53" s="1219"/>
      <c r="H53" s="1219"/>
      <c r="I53" s="1219"/>
      <c r="J53" s="1219"/>
      <c r="K53" s="1219"/>
      <c r="L53" s="1219"/>
      <c r="M53" s="1063"/>
      <c r="N53" s="1064" t="s">
        <v>167</v>
      </c>
      <c r="O53" s="1063"/>
      <c r="P53" s="1220">
        <f>IF(SUM(P42:P51)&gt;100,100,SUM(P42:P51))</f>
        <v>100</v>
      </c>
      <c r="Q53" s="1221"/>
      <c r="R53" s="625"/>
      <c r="S53" s="580"/>
    </row>
    <row r="54" spans="2:21" ht="20.100000000000001" customHeight="1" outlineLevel="1" thickBot="1" x14ac:dyDescent="0.45">
      <c r="B54" s="578"/>
      <c r="C54" s="665"/>
      <c r="D54" s="667"/>
      <c r="E54" s="667"/>
      <c r="F54" s="667"/>
      <c r="G54" s="667"/>
      <c r="H54" s="667"/>
      <c r="I54" s="667"/>
      <c r="J54" s="667"/>
      <c r="K54" s="667"/>
      <c r="L54" s="667"/>
      <c r="M54" s="667"/>
      <c r="N54" s="667"/>
      <c r="O54" s="667"/>
      <c r="P54" s="667"/>
      <c r="Q54" s="667"/>
      <c r="R54" s="666"/>
      <c r="S54" s="580"/>
    </row>
    <row r="55" spans="2:21" ht="10.199999999999999" customHeight="1" thickTop="1" thickBot="1" x14ac:dyDescent="0.45">
      <c r="B55" s="578"/>
      <c r="C55" s="579"/>
      <c r="D55" s="579"/>
      <c r="E55" s="579"/>
      <c r="F55" s="579"/>
      <c r="G55" s="579"/>
      <c r="H55" s="579"/>
      <c r="I55" s="579"/>
      <c r="J55" s="579"/>
      <c r="K55" s="579"/>
      <c r="L55" s="579"/>
      <c r="M55" s="579"/>
      <c r="N55" s="579"/>
      <c r="O55" s="579"/>
      <c r="P55" s="579"/>
      <c r="Q55" s="579"/>
      <c r="R55" s="579"/>
      <c r="S55" s="580"/>
    </row>
    <row r="56" spans="2:21" ht="20.100000000000001" customHeight="1" thickTop="1" thickBot="1" x14ac:dyDescent="0.45">
      <c r="B56" s="578"/>
      <c r="C56" s="1119" t="s">
        <v>256</v>
      </c>
      <c r="D56" s="1120"/>
      <c r="E56" s="1120"/>
      <c r="F56" s="1120"/>
      <c r="G56" s="1120"/>
      <c r="H56" s="1120"/>
      <c r="I56" s="1120"/>
      <c r="J56" s="1120"/>
      <c r="K56" s="1120"/>
      <c r="L56" s="1120"/>
      <c r="M56" s="1120"/>
      <c r="N56" s="1120"/>
      <c r="O56" s="1120"/>
      <c r="P56" s="1120"/>
      <c r="Q56" s="1120"/>
      <c r="R56" s="1141"/>
      <c r="S56" s="580"/>
    </row>
    <row r="57" spans="2:21" ht="20.100000000000001" customHeight="1" outlineLevel="1" thickTop="1" x14ac:dyDescent="0.4">
      <c r="B57" s="578"/>
      <c r="C57" s="1208" t="s">
        <v>577</v>
      </c>
      <c r="D57" s="1209"/>
      <c r="E57" s="1209"/>
      <c r="F57" s="1209"/>
      <c r="G57" s="1209"/>
      <c r="H57" s="1209"/>
      <c r="I57" s="1209"/>
      <c r="J57" s="1209"/>
      <c r="K57" s="1209"/>
      <c r="L57" s="1209"/>
      <c r="M57" s="1209"/>
      <c r="N57" s="1209"/>
      <c r="O57" s="1209"/>
      <c r="P57" s="1209"/>
      <c r="Q57" s="1209"/>
      <c r="R57" s="1210"/>
      <c r="S57" s="580"/>
    </row>
    <row r="58" spans="2:21" ht="20.100000000000001" customHeight="1" outlineLevel="1" x14ac:dyDescent="0.4">
      <c r="B58" s="578"/>
      <c r="C58" s="1211"/>
      <c r="D58" s="1209"/>
      <c r="E58" s="1209"/>
      <c r="F58" s="1209"/>
      <c r="G58" s="1209"/>
      <c r="H58" s="1209"/>
      <c r="I58" s="1209"/>
      <c r="J58" s="1209"/>
      <c r="K58" s="1209"/>
      <c r="L58" s="1209"/>
      <c r="M58" s="1209"/>
      <c r="N58" s="1209"/>
      <c r="O58" s="1209"/>
      <c r="P58" s="1209"/>
      <c r="Q58" s="1209"/>
      <c r="R58" s="1210"/>
      <c r="S58" s="580"/>
    </row>
    <row r="59" spans="2:21" ht="20.100000000000001" customHeight="1" outlineLevel="1" x14ac:dyDescent="0.4">
      <c r="B59" s="578"/>
      <c r="C59" s="1211"/>
      <c r="D59" s="1209"/>
      <c r="E59" s="1209"/>
      <c r="F59" s="1209"/>
      <c r="G59" s="1209"/>
      <c r="H59" s="1209"/>
      <c r="I59" s="1209"/>
      <c r="J59" s="1209"/>
      <c r="K59" s="1209"/>
      <c r="L59" s="1209"/>
      <c r="M59" s="1209"/>
      <c r="N59" s="1209"/>
      <c r="O59" s="1209"/>
      <c r="P59" s="1209"/>
      <c r="Q59" s="1209"/>
      <c r="R59" s="1210"/>
      <c r="S59" s="580"/>
    </row>
    <row r="60" spans="2:21" ht="20.100000000000001" customHeight="1" outlineLevel="1" x14ac:dyDescent="0.4">
      <c r="B60" s="578"/>
      <c r="C60" s="1211"/>
      <c r="D60" s="1209"/>
      <c r="E60" s="1209"/>
      <c r="F60" s="1209"/>
      <c r="G60" s="1209"/>
      <c r="H60" s="1209"/>
      <c r="I60" s="1209"/>
      <c r="J60" s="1209"/>
      <c r="K60" s="1209"/>
      <c r="L60" s="1209"/>
      <c r="M60" s="1209"/>
      <c r="N60" s="1209"/>
      <c r="O60" s="1209"/>
      <c r="P60" s="1209"/>
      <c r="Q60" s="1209"/>
      <c r="R60" s="1210"/>
      <c r="S60" s="580"/>
    </row>
    <row r="61" spans="2:21" ht="20.100000000000001" customHeight="1" outlineLevel="1" thickBot="1" x14ac:dyDescent="0.45">
      <c r="B61" s="578"/>
      <c r="C61" s="1212"/>
      <c r="D61" s="1213"/>
      <c r="E61" s="1213"/>
      <c r="F61" s="1213"/>
      <c r="G61" s="1213"/>
      <c r="H61" s="1213"/>
      <c r="I61" s="1213"/>
      <c r="J61" s="1213"/>
      <c r="K61" s="1213"/>
      <c r="L61" s="1213"/>
      <c r="M61" s="1213"/>
      <c r="N61" s="1213"/>
      <c r="O61" s="1213"/>
      <c r="P61" s="1213"/>
      <c r="Q61" s="1213"/>
      <c r="R61" s="1214"/>
      <c r="S61" s="580"/>
    </row>
    <row r="62" spans="2:21" ht="10.199999999999999" customHeight="1" thickTop="1" x14ac:dyDescent="0.4">
      <c r="B62" s="581"/>
      <c r="C62" s="582"/>
      <c r="D62" s="582"/>
      <c r="E62" s="582"/>
      <c r="F62" s="582"/>
      <c r="G62" s="582"/>
      <c r="H62" s="582"/>
      <c r="I62" s="582"/>
      <c r="J62" s="582"/>
      <c r="K62" s="582"/>
      <c r="L62" s="582"/>
      <c r="M62" s="582"/>
      <c r="N62" s="582"/>
      <c r="O62" s="582"/>
      <c r="P62" s="582"/>
      <c r="Q62" s="582"/>
      <c r="R62" s="582"/>
      <c r="S62" s="583"/>
    </row>
  </sheetData>
  <mergeCells count="117">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D18:F18"/>
    <mergeCell ref="G18:Q18"/>
    <mergeCell ref="D19:Q19"/>
    <mergeCell ref="D20:F20"/>
    <mergeCell ref="G20:J20"/>
    <mergeCell ref="K20:M20"/>
    <mergeCell ref="N20:Q20"/>
    <mergeCell ref="D14:F14"/>
    <mergeCell ref="G14:J14"/>
    <mergeCell ref="D15:F15"/>
    <mergeCell ref="G15:J15"/>
    <mergeCell ref="D16:F16"/>
    <mergeCell ref="G16:J16"/>
    <mergeCell ref="D24:Q24"/>
    <mergeCell ref="D25:G25"/>
    <mergeCell ref="H25:K25"/>
    <mergeCell ref="L25:O25"/>
    <mergeCell ref="P25:Q25"/>
    <mergeCell ref="D32:M32"/>
    <mergeCell ref="N32:O32"/>
    <mergeCell ref="D21:F21"/>
    <mergeCell ref="G21:J21"/>
    <mergeCell ref="K21:M21"/>
    <mergeCell ref="N21:Q21"/>
    <mergeCell ref="D22:F22"/>
    <mergeCell ref="G22:J22"/>
    <mergeCell ref="K22:M22"/>
    <mergeCell ref="N22:Q22"/>
    <mergeCell ref="I35:J35"/>
    <mergeCell ref="C38:R38"/>
    <mergeCell ref="D40:Q40"/>
    <mergeCell ref="D41:I41"/>
    <mergeCell ref="J41:M41"/>
    <mergeCell ref="N41:O41"/>
    <mergeCell ref="D33:F33"/>
    <mergeCell ref="G33:H33"/>
    <mergeCell ref="I33:J33"/>
    <mergeCell ref="K33:M33"/>
    <mergeCell ref="N33:P33"/>
    <mergeCell ref="I34:J34"/>
    <mergeCell ref="E44:I44"/>
    <mergeCell ref="J44:M44"/>
    <mergeCell ref="N44:O44"/>
    <mergeCell ref="E45:I45"/>
    <mergeCell ref="J45:M45"/>
    <mergeCell ref="N45:O45"/>
    <mergeCell ref="E42:I42"/>
    <mergeCell ref="J42:M42"/>
    <mergeCell ref="N42:O42"/>
    <mergeCell ref="E43:I43"/>
    <mergeCell ref="J43:M43"/>
    <mergeCell ref="N43:O43"/>
    <mergeCell ref="E48:I48"/>
    <mergeCell ref="J48:M48"/>
    <mergeCell ref="N48:O48"/>
    <mergeCell ref="E49:I49"/>
    <mergeCell ref="J49:M49"/>
    <mergeCell ref="N49:O49"/>
    <mergeCell ref="E46:I46"/>
    <mergeCell ref="J46:M46"/>
    <mergeCell ref="N46:O46"/>
    <mergeCell ref="E47:I47"/>
    <mergeCell ref="J47:M47"/>
    <mergeCell ref="N47:O4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s>
  <conditionalFormatting sqref="J27:J30">
    <cfRule type="expression" dxfId="868" priority="6" stopIfTrue="1">
      <formula>ABS(J27)&gt;=$E27</formula>
    </cfRule>
    <cfRule type="expression" dxfId="867" priority="7">
      <formula>ABS(J27)&lt;$E27</formula>
    </cfRule>
  </conditionalFormatting>
  <conditionalFormatting sqref="K27:K30">
    <cfRule type="expression" dxfId="866" priority="14" stopIfTrue="1">
      <formula>ABS(K27)&gt;=$G27</formula>
    </cfRule>
    <cfRule type="expression" dxfId="865" priority="15">
      <formula>ABS(K27)&lt;$G27</formula>
    </cfRule>
  </conditionalFormatting>
  <conditionalFormatting sqref="M35">
    <cfRule type="expression" dxfId="864" priority="10">
      <formula>ABS(M35)&gt;=$F35</formula>
    </cfRule>
    <cfRule type="expression" dxfId="863" priority="11">
      <formula>ABS(M35)&lt;$F35</formula>
    </cfRule>
  </conditionalFormatting>
  <conditionalFormatting sqref="O27:O30">
    <cfRule type="expression" dxfId="862" priority="12" stopIfTrue="1">
      <formula>ABS(O27*100)&gt;=$E27</formula>
    </cfRule>
    <cfRule type="expression" dxfId="861" priority="13">
      <formula>ABS(O27*100)&lt;$E27</formula>
    </cfRule>
  </conditionalFormatting>
  <conditionalFormatting sqref="P27:P30">
    <cfRule type="expression" dxfId="860" priority="2" stopIfTrue="1">
      <formula>ABS(P27)&gt;=$E27</formula>
    </cfRule>
    <cfRule type="expression" dxfId="859" priority="3">
      <formula>ABS(P27)&lt;$E27</formula>
    </cfRule>
  </conditionalFormatting>
  <conditionalFormatting sqref="P32">
    <cfRule type="expression" dxfId="858" priority="1">
      <formula>$P$32&lt;&gt;""</formula>
    </cfRule>
  </conditionalFormatting>
  <conditionalFormatting sqref="P35">
    <cfRule type="expression" dxfId="857" priority="8">
      <formula>ABS(P35)&gt;=$F35</formula>
    </cfRule>
    <cfRule type="expression" dxfId="856" priority="9">
      <formula>ABS(P35)&lt;$F35</formula>
    </cfRule>
  </conditionalFormatting>
  <conditionalFormatting sqref="Q27:Q30">
    <cfRule type="expression" dxfId="855" priority="4" stopIfTrue="1">
      <formula>ABS(Q27)&gt;=$G27</formula>
    </cfRule>
    <cfRule type="expression" dxfId="854" priority="5">
      <formula>ABS(Q27)&lt;$G27</formula>
    </cfRule>
  </conditionalFormatting>
  <dataValidations count="9">
    <dataValidation type="list" allowBlank="1" showInputMessage="1" showErrorMessage="1" sqref="G16:J16" xr:uid="{07F3A91D-6673-4B6F-9AA3-3FA397EC4366}">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2F51BE53-BC8B-416D-8AB9-B24B01D1B542}">
      <formula1>INDIRECT(U47)</formula1>
    </dataValidation>
    <dataValidation type="list" allowBlank="1" showInputMessage="1" showErrorMessage="1" sqref="N53:O53" xr:uid="{5BC18409-5E21-4BE4-BE36-E2656F7F665C}">
      <formula1>LISTE_4</formula1>
    </dataValidation>
    <dataValidation type="list" allowBlank="1" showInputMessage="1" showErrorMessage="1" sqref="N42:O46 N51:O51" xr:uid="{F85F0F58-6F7A-4BAB-A488-D6E4B231AAC8}">
      <formula1>INDIRECT(U42)</formula1>
    </dataValidation>
    <dataValidation type="list" allowBlank="1" showInputMessage="1" showErrorMessage="1" sqref="D40:Q40" xr:uid="{9C4CCC5B-5433-41B1-9E3B-ECD7B4EFA86A}">
      <formula1>Q_Gravitaire</formula1>
    </dataValidation>
    <dataValidation type="list" allowBlank="1" showInputMessage="1" showErrorMessage="1" sqref="N21:Q21" xr:uid="{9DC76D35-6070-4A27-9F7E-5060A63B7D81}">
      <formula1>Eq_h_controle</formula1>
    </dataValidation>
    <dataValidation type="list" allowBlank="1" showInputMessage="1" showErrorMessage="1" sqref="G18:Q18" xr:uid="{F067A0FC-A587-46E4-BC61-8B836A2DBC7E}">
      <formula1>Méthode</formula1>
    </dataValidation>
    <dataValidation type="list" allowBlank="1" showInputMessage="1" showErrorMessage="1" sqref="N11" xr:uid="{8759E426-1EF4-4CEA-9A6E-C74670FEB785}">
      <formula1>Frequence</formula1>
    </dataValidation>
    <dataValidation type="list" allowBlank="1" showInputMessage="1" showErrorMessage="1" sqref="G15:J15" xr:uid="{90B9BC9D-608D-4F4D-907D-AF1AC4B97593}">
      <formula1>Type_capteur</formula1>
    </dataValidation>
  </dataValidations>
  <pageMargins left="0.7" right="0.7" top="0.75" bottom="0.75" header="0.3" footer="0.3"/>
  <pageSetup paperSize="9" scale="34"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4C1F-84A0-4AA6-8A8E-F9C2CB10E186}">
  <sheetPr codeName="Feuil10">
    <tabColor rgb="FF008080"/>
    <pageSetUpPr fitToPage="1"/>
  </sheetPr>
  <dimension ref="B1:Y62"/>
  <sheetViews>
    <sheetView showGridLines="0" zoomScale="85" zoomScaleNormal="85" workbookViewId="0">
      <pane ySplit="7" topLeftCell="A50" activePane="bottomLeft" state="frozen"/>
      <selection pane="bottomLeft" activeCell="N53" sqref="N53:O53"/>
    </sheetView>
  </sheetViews>
  <sheetFormatPr baseColWidth="10" defaultColWidth="10.703125" defaultRowHeight="20.100000000000001" customHeight="1" outlineLevelRow="1" x14ac:dyDescent="0.4"/>
  <cols>
    <col min="1" max="2" width="2.703125" style="618" customWidth="1"/>
    <col min="3" max="18" width="10.703125" style="618"/>
    <col min="19" max="19" width="2.703125" style="618" customWidth="1"/>
    <col min="20" max="20" width="2.703125" style="617" customWidth="1"/>
    <col min="21" max="25" width="10.703125" style="617"/>
    <col min="26" max="16384" width="10.703125" style="618"/>
  </cols>
  <sheetData>
    <row r="1" spans="2:25" ht="10.199999999999999" customHeight="1" thickBot="1" x14ac:dyDescent="0.45">
      <c r="B1" s="554"/>
      <c r="C1" s="555"/>
      <c r="D1" s="555"/>
      <c r="E1" s="555"/>
      <c r="F1" s="555"/>
      <c r="G1" s="555"/>
      <c r="H1" s="555"/>
      <c r="I1" s="555"/>
      <c r="J1" s="555"/>
      <c r="K1" s="555"/>
      <c r="L1" s="555"/>
      <c r="M1" s="555"/>
      <c r="N1" s="555"/>
      <c r="O1" s="555"/>
      <c r="P1" s="555"/>
      <c r="Q1" s="555"/>
      <c r="R1" s="555"/>
      <c r="S1" s="556"/>
    </row>
    <row r="2" spans="2:25" ht="30" customHeight="1" thickTop="1" x14ac:dyDescent="0.4">
      <c r="B2" s="558"/>
      <c r="C2" s="1157" t="s">
        <v>539</v>
      </c>
      <c r="D2" s="977"/>
      <c r="E2" s="977"/>
      <c r="F2" s="977"/>
      <c r="G2" s="977"/>
      <c r="H2" s="977"/>
      <c r="I2" s="977"/>
      <c r="J2" s="977"/>
      <c r="K2" s="977"/>
      <c r="L2" s="977"/>
      <c r="M2" s="977"/>
      <c r="N2" s="977"/>
      <c r="O2" s="977"/>
      <c r="P2" s="977"/>
      <c r="Q2" s="977"/>
      <c r="R2" s="978"/>
      <c r="S2" s="559"/>
    </row>
    <row r="3" spans="2:25" s="750" customFormat="1" ht="20.100000000000001" customHeight="1" x14ac:dyDescent="0.4">
      <c r="B3" s="748"/>
      <c r="C3" s="1261" t="s">
        <v>578</v>
      </c>
      <c r="D3" s="1262"/>
      <c r="E3" s="1263" t="str">
        <f>IF(ISBLANK(Descriptif!N3),"",Descriptif!N3)</f>
        <v>BARJAC (30)</v>
      </c>
      <c r="F3" s="1263"/>
      <c r="G3" s="1263"/>
      <c r="H3" s="1275" t="s">
        <v>540</v>
      </c>
      <c r="I3" s="1275"/>
      <c r="J3" s="1263" t="s">
        <v>835</v>
      </c>
      <c r="K3" s="1263"/>
      <c r="L3" s="1263"/>
      <c r="M3" s="1264" t="s">
        <v>486</v>
      </c>
      <c r="N3" s="1264"/>
      <c r="O3" s="1264"/>
      <c r="P3" s="1263" t="str">
        <f>IF(ISBLANK(Descriptif!T3),"",Descriptif!G6)</f>
        <v/>
      </c>
      <c r="Q3" s="1263"/>
      <c r="R3" s="1265"/>
      <c r="S3" s="749"/>
      <c r="T3" s="619"/>
      <c r="U3" s="829" t="s">
        <v>836</v>
      </c>
      <c r="V3" s="619"/>
      <c r="W3" s="619"/>
      <c r="X3" s="619"/>
      <c r="Y3" s="619"/>
    </row>
    <row r="4" spans="2:25" s="750" customFormat="1" ht="20.100000000000001" customHeight="1" x14ac:dyDescent="0.4">
      <c r="B4" s="748"/>
      <c r="C4" s="1261" t="s">
        <v>541</v>
      </c>
      <c r="D4" s="1262"/>
      <c r="E4" s="1263" t="str">
        <f>IF(ISBLANK(Descriptif!N4),"",Descriptif!N4)</f>
        <v>060930290002</v>
      </c>
      <c r="F4" s="1263"/>
      <c r="G4" s="1263"/>
      <c r="H4" s="1275" t="s">
        <v>542</v>
      </c>
      <c r="I4" s="1275"/>
      <c r="J4" s="1263" t="s">
        <v>655</v>
      </c>
      <c r="K4" s="1263"/>
      <c r="L4" s="1263"/>
      <c r="M4" s="1276" t="s">
        <v>543</v>
      </c>
      <c r="N4" s="1276"/>
      <c r="O4" s="1276"/>
      <c r="P4" s="1263"/>
      <c r="Q4" s="1263"/>
      <c r="R4" s="1265"/>
      <c r="S4" s="749"/>
      <c r="T4" s="619"/>
      <c r="U4" s="810" t="s">
        <v>811</v>
      </c>
      <c r="V4" s="829" t="s">
        <v>834</v>
      </c>
      <c r="W4" s="619"/>
      <c r="X4" s="619"/>
      <c r="Y4" s="619"/>
    </row>
    <row r="5" spans="2:25" s="750" customFormat="1" ht="20.100000000000001" customHeight="1" x14ac:dyDescent="0.4">
      <c r="B5" s="748"/>
      <c r="C5" s="1261" t="s">
        <v>544</v>
      </c>
      <c r="D5" s="1262"/>
      <c r="E5" s="1263" t="str">
        <f>IF(ISBLANK(Descriptif!G5),"",Descriptif!G5)</f>
        <v>Commune de Barjac</v>
      </c>
      <c r="F5" s="1263"/>
      <c r="G5" s="1263"/>
      <c r="H5" s="1275" t="s">
        <v>545</v>
      </c>
      <c r="I5" s="1275"/>
      <c r="J5" s="1263" t="s">
        <v>168</v>
      </c>
      <c r="K5" s="1263"/>
      <c r="L5" s="1263"/>
      <c r="M5" s="1276" t="s">
        <v>546</v>
      </c>
      <c r="N5" s="1276"/>
      <c r="O5" s="1276"/>
      <c r="P5" s="1263"/>
      <c r="Q5" s="1263"/>
      <c r="R5" s="1265"/>
      <c r="S5" s="749"/>
      <c r="T5" s="619"/>
      <c r="U5" s="810" t="s">
        <v>812</v>
      </c>
      <c r="V5" s="619"/>
      <c r="W5" s="619"/>
      <c r="X5" s="619"/>
      <c r="Y5" s="619"/>
    </row>
    <row r="6" spans="2:25" s="750" customFormat="1" ht="20.100000000000001" customHeight="1" thickBot="1" x14ac:dyDescent="0.45">
      <c r="B6" s="748"/>
      <c r="C6" s="1256" t="s">
        <v>547</v>
      </c>
      <c r="D6" s="1257"/>
      <c r="E6" s="1258" t="str">
        <f>IF(ISBLANK(Descriptif!T6),"",Descriptif!T6)</f>
        <v/>
      </c>
      <c r="F6" s="1258"/>
      <c r="G6" s="1258"/>
      <c r="H6" s="1273" t="s">
        <v>781</v>
      </c>
      <c r="I6" s="1273"/>
      <c r="J6" s="1258" t="s">
        <v>626</v>
      </c>
      <c r="K6" s="1258"/>
      <c r="L6" s="1258"/>
      <c r="M6" s="1274" t="s">
        <v>549</v>
      </c>
      <c r="N6" s="1274"/>
      <c r="O6" s="1274"/>
      <c r="P6" s="1258"/>
      <c r="Q6" s="1258"/>
      <c r="R6" s="1260"/>
      <c r="S6" s="749"/>
      <c r="T6" s="619"/>
      <c r="U6" s="806"/>
      <c r="V6" s="619"/>
      <c r="W6" s="619"/>
      <c r="X6" s="619"/>
      <c r="Y6" s="619"/>
    </row>
    <row r="7" spans="2:25" s="621" customFormat="1" ht="5" customHeight="1" thickTop="1" thickBot="1" x14ac:dyDescent="0.45">
      <c r="B7" s="560"/>
      <c r="C7" s="561"/>
      <c r="D7" s="561"/>
      <c r="E7" s="561"/>
      <c r="F7" s="561"/>
      <c r="G7" s="561"/>
      <c r="H7" s="561"/>
      <c r="I7" s="561"/>
      <c r="J7" s="561"/>
      <c r="K7" s="561"/>
      <c r="L7" s="561"/>
      <c r="M7" s="561"/>
      <c r="N7" s="561"/>
      <c r="O7" s="561"/>
      <c r="P7" s="561"/>
      <c r="Q7" s="561"/>
      <c r="R7" s="561"/>
      <c r="S7" s="562"/>
      <c r="T7" s="620"/>
      <c r="U7" s="620"/>
      <c r="V7" s="620"/>
      <c r="W7" s="620"/>
      <c r="X7" s="620"/>
      <c r="Y7" s="620"/>
    </row>
    <row r="8" spans="2:25" s="621" customFormat="1" ht="20.100000000000001" customHeight="1" thickTop="1" thickBot="1" x14ac:dyDescent="0.45">
      <c r="B8" s="560"/>
      <c r="C8" s="1119" t="s">
        <v>602</v>
      </c>
      <c r="D8" s="1120"/>
      <c r="E8" s="1120"/>
      <c r="F8" s="1120"/>
      <c r="G8" s="1120"/>
      <c r="H8" s="1120"/>
      <c r="I8" s="1120"/>
      <c r="J8" s="1120"/>
      <c r="K8" s="1120"/>
      <c r="L8" s="1120"/>
      <c r="M8" s="1120"/>
      <c r="N8" s="1120"/>
      <c r="O8" s="1120"/>
      <c r="P8" s="1120"/>
      <c r="Q8" s="1120"/>
      <c r="R8" s="1141"/>
      <c r="S8" s="562"/>
      <c r="T8" s="620"/>
      <c r="U8" s="620"/>
      <c r="V8" s="620"/>
      <c r="W8" s="620"/>
      <c r="X8" s="620"/>
      <c r="Y8" s="620"/>
    </row>
    <row r="9" spans="2:25" s="621" customFormat="1" ht="20.100000000000001" customHeight="1" outlineLevel="1" thickTop="1" x14ac:dyDescent="0.4">
      <c r="B9" s="560"/>
      <c r="C9" s="622"/>
      <c r="D9" s="561"/>
      <c r="E9" s="561"/>
      <c r="F9" s="561"/>
      <c r="G9" s="561"/>
      <c r="H9" s="561"/>
      <c r="I9" s="561"/>
      <c r="J9" s="561"/>
      <c r="K9" s="561"/>
      <c r="L9" s="561"/>
      <c r="M9" s="561"/>
      <c r="N9" s="561"/>
      <c r="O9" s="561"/>
      <c r="P9" s="561"/>
      <c r="Q9" s="561"/>
      <c r="R9" s="623"/>
      <c r="S9" s="562"/>
      <c r="T9" s="620"/>
      <c r="U9" s="620"/>
      <c r="V9" s="620"/>
      <c r="W9" s="620"/>
      <c r="X9" s="620"/>
      <c r="Y9" s="620"/>
    </row>
    <row r="10" spans="2:25" ht="20.100000000000001" customHeight="1" outlineLevel="1" x14ac:dyDescent="0.4">
      <c r="B10" s="578"/>
      <c r="C10" s="588"/>
      <c r="D10" s="1101" t="s">
        <v>582</v>
      </c>
      <c r="E10" s="1102"/>
      <c r="F10" s="1102"/>
      <c r="G10" s="1102"/>
      <c r="H10" s="1102"/>
      <c r="I10" s="1102"/>
      <c r="J10" s="1102"/>
      <c r="K10" s="1102"/>
      <c r="L10" s="1102"/>
      <c r="M10" s="1102"/>
      <c r="N10" s="1102"/>
      <c r="O10" s="1102"/>
      <c r="P10" s="1102"/>
      <c r="Q10" s="1123"/>
      <c r="R10" s="589"/>
      <c r="S10" s="580"/>
    </row>
    <row r="11" spans="2:25" ht="20.100000000000001" customHeight="1" outlineLevel="1" x14ac:dyDescent="0.4">
      <c r="B11" s="578"/>
      <c r="C11" s="624"/>
      <c r="D11" s="1242" t="s">
        <v>387</v>
      </c>
      <c r="E11" s="1243"/>
      <c r="F11" s="1244"/>
      <c r="G11" s="1253" t="s">
        <v>725</v>
      </c>
      <c r="H11" s="1254"/>
      <c r="I11" s="1254"/>
      <c r="J11" s="1255"/>
      <c r="K11" s="1242" t="s">
        <v>552</v>
      </c>
      <c r="L11" s="1243"/>
      <c r="M11" s="1244"/>
      <c r="N11" s="1245" t="s">
        <v>253</v>
      </c>
      <c r="O11" s="1246"/>
      <c r="P11" s="1246"/>
      <c r="Q11" s="1247"/>
      <c r="R11" s="625"/>
      <c r="S11" s="580"/>
    </row>
    <row r="12" spans="2:25" ht="20.100000000000001" customHeight="1" outlineLevel="1" x14ac:dyDescent="0.4">
      <c r="B12" s="578"/>
      <c r="C12" s="624"/>
      <c r="D12" s="1242" t="s">
        <v>603</v>
      </c>
      <c r="E12" s="1243"/>
      <c r="F12" s="1244"/>
      <c r="G12" s="1245" t="s">
        <v>726</v>
      </c>
      <c r="H12" s="1246"/>
      <c r="I12" s="1246"/>
      <c r="J12" s="1247"/>
      <c r="K12" s="1242"/>
      <c r="L12" s="1243"/>
      <c r="M12" s="1244"/>
      <c r="N12" s="1245"/>
      <c r="O12" s="1246"/>
      <c r="P12" s="1246"/>
      <c r="Q12" s="1247"/>
      <c r="R12" s="803" t="s">
        <v>779</v>
      </c>
      <c r="S12" s="580"/>
      <c r="V12" s="626"/>
      <c r="W12" s="626"/>
    </row>
    <row r="13" spans="2:25" ht="20.100000000000001" customHeight="1" outlineLevel="1" x14ac:dyDescent="0.4">
      <c r="B13" s="578"/>
      <c r="C13" s="624"/>
      <c r="D13" s="1242" t="s">
        <v>604</v>
      </c>
      <c r="E13" s="1243"/>
      <c r="F13" s="1244"/>
      <c r="G13" s="1245" t="s">
        <v>727</v>
      </c>
      <c r="H13" s="1246"/>
      <c r="I13" s="1246"/>
      <c r="J13" s="1247"/>
      <c r="K13" s="1242" t="s">
        <v>555</v>
      </c>
      <c r="L13" s="1243"/>
      <c r="M13" s="1244"/>
      <c r="N13" s="1245" t="s">
        <v>728</v>
      </c>
      <c r="O13" s="1246"/>
      <c r="P13" s="1246"/>
      <c r="Q13" s="1247"/>
      <c r="R13" s="625"/>
      <c r="S13" s="580"/>
    </row>
    <row r="14" spans="2:25" ht="20.100000000000001" customHeight="1" outlineLevel="1" x14ac:dyDescent="0.4">
      <c r="B14" s="578"/>
      <c r="C14" s="624"/>
      <c r="D14" s="1242" t="s">
        <v>605</v>
      </c>
      <c r="E14" s="1243"/>
      <c r="F14" s="1244"/>
      <c r="G14" s="1253" t="s">
        <v>725</v>
      </c>
      <c r="H14" s="1254"/>
      <c r="I14" s="1254"/>
      <c r="J14" s="1255"/>
      <c r="K14" s="1242"/>
      <c r="L14" s="1243"/>
      <c r="M14" s="1244"/>
      <c r="N14" s="1245"/>
      <c r="O14" s="1246"/>
      <c r="P14" s="1246"/>
      <c r="Q14" s="1247"/>
      <c r="R14" s="803" t="s">
        <v>779</v>
      </c>
      <c r="S14" s="580"/>
    </row>
    <row r="15" spans="2:25" ht="20.100000000000001" customHeight="1" outlineLevel="1" x14ac:dyDescent="0.4">
      <c r="B15" s="578"/>
      <c r="C15" s="809" t="s">
        <v>810</v>
      </c>
      <c r="D15" s="1242" t="s">
        <v>607</v>
      </c>
      <c r="E15" s="1243"/>
      <c r="F15" s="1244"/>
      <c r="G15" s="1245" t="s">
        <v>280</v>
      </c>
      <c r="H15" s="1246"/>
      <c r="I15" s="1246"/>
      <c r="J15" s="1247"/>
      <c r="K15" s="1242" t="s">
        <v>380</v>
      </c>
      <c r="L15" s="1243"/>
      <c r="M15" s="1244"/>
      <c r="N15" s="1245" t="s">
        <v>172</v>
      </c>
      <c r="O15" s="1246"/>
      <c r="P15" s="1246"/>
      <c r="Q15" s="1247"/>
      <c r="R15" s="803" t="s">
        <v>779</v>
      </c>
      <c r="S15" s="580"/>
    </row>
    <row r="16" spans="2:25" ht="20.100000000000001" customHeight="1" outlineLevel="1" x14ac:dyDescent="0.4">
      <c r="B16" s="578"/>
      <c r="C16" s="832" t="s">
        <v>839</v>
      </c>
      <c r="D16" s="1242" t="s">
        <v>608</v>
      </c>
      <c r="E16" s="1243"/>
      <c r="F16" s="1244"/>
      <c r="G16" s="1267" t="s">
        <v>124</v>
      </c>
      <c r="H16" s="1268"/>
      <c r="I16" s="1268"/>
      <c r="J16" s="1269"/>
      <c r="K16" s="1270"/>
      <c r="L16" s="1271"/>
      <c r="M16" s="1271"/>
      <c r="N16" s="1272"/>
      <c r="O16" s="1272"/>
      <c r="P16" s="1272"/>
      <c r="Q16" s="1272"/>
      <c r="R16" s="803"/>
      <c r="S16" s="580"/>
    </row>
    <row r="17" spans="2:22" ht="20.100000000000001" customHeight="1" outlineLevel="1" x14ac:dyDescent="0.4">
      <c r="B17" s="578"/>
      <c r="C17" s="624"/>
      <c r="D17" s="739"/>
      <c r="E17" s="739"/>
      <c r="F17" s="739"/>
      <c r="G17" s="739"/>
      <c r="H17" s="739"/>
      <c r="I17" s="739"/>
      <c r="J17" s="739"/>
      <c r="K17" s="739"/>
      <c r="L17" s="739"/>
      <c r="M17" s="739"/>
      <c r="N17" s="739"/>
      <c r="O17" s="739"/>
      <c r="P17" s="739"/>
      <c r="Q17" s="739"/>
      <c r="R17" s="625"/>
      <c r="S17" s="580"/>
    </row>
    <row r="18" spans="2:22" ht="20.100000000000001" customHeight="1" outlineLevel="1" x14ac:dyDescent="0.4">
      <c r="B18" s="578"/>
      <c r="C18" s="624"/>
      <c r="D18" s="1248" t="s">
        <v>609</v>
      </c>
      <c r="E18" s="1248"/>
      <c r="F18" s="1248"/>
      <c r="G18" s="1249"/>
      <c r="H18" s="1249"/>
      <c r="I18" s="1249"/>
      <c r="J18" s="1249"/>
      <c r="K18" s="1249"/>
      <c r="L18" s="1249"/>
      <c r="M18" s="1249"/>
      <c r="N18" s="1249"/>
      <c r="O18" s="1249"/>
      <c r="P18" s="1249"/>
      <c r="Q18" s="1249"/>
      <c r="R18" s="625"/>
      <c r="S18" s="580"/>
    </row>
    <row r="19" spans="2:22" ht="20.100000000000001" customHeight="1" outlineLevel="1" x14ac:dyDescent="0.4">
      <c r="B19" s="578"/>
      <c r="C19" s="624"/>
      <c r="D19" s="1142" t="s">
        <v>587</v>
      </c>
      <c r="E19" s="1142"/>
      <c r="F19" s="1142"/>
      <c r="G19" s="1142"/>
      <c r="H19" s="1142"/>
      <c r="I19" s="1142"/>
      <c r="J19" s="1142"/>
      <c r="K19" s="1142"/>
      <c r="L19" s="1142"/>
      <c r="M19" s="1142"/>
      <c r="N19" s="1142"/>
      <c r="O19" s="1142"/>
      <c r="P19" s="1142"/>
      <c r="Q19" s="1142"/>
      <c r="R19" s="625"/>
      <c r="S19" s="580"/>
    </row>
    <row r="20" spans="2:22" ht="20.100000000000001" customHeight="1" outlineLevel="1" x14ac:dyDescent="0.4">
      <c r="B20" s="578"/>
      <c r="C20" s="624"/>
      <c r="D20" s="1242" t="s">
        <v>425</v>
      </c>
      <c r="E20" s="1243"/>
      <c r="F20" s="1244"/>
      <c r="G20" s="1245">
        <v>45</v>
      </c>
      <c r="H20" s="1246"/>
      <c r="I20" s="1246"/>
      <c r="J20" s="1247"/>
      <c r="K20" s="1242" t="s">
        <v>426</v>
      </c>
      <c r="L20" s="1243"/>
      <c r="M20" s="1244"/>
      <c r="N20" s="1266" t="s">
        <v>731</v>
      </c>
      <c r="O20" s="1246"/>
      <c r="P20" s="1246"/>
      <c r="Q20" s="1247"/>
      <c r="R20" s="625"/>
      <c r="S20" s="580"/>
    </row>
    <row r="21" spans="2:22" ht="20.100000000000001" customHeight="1" outlineLevel="1" x14ac:dyDescent="0.4">
      <c r="B21" s="578"/>
      <c r="C21" s="624"/>
      <c r="D21" s="1242" t="s">
        <v>427</v>
      </c>
      <c r="E21" s="1243"/>
      <c r="F21" s="1244"/>
      <c r="G21" s="1266" t="s">
        <v>731</v>
      </c>
      <c r="H21" s="1246"/>
      <c r="I21" s="1246"/>
      <c r="J21" s="1247"/>
      <c r="K21" s="1242" t="s">
        <v>428</v>
      </c>
      <c r="L21" s="1243"/>
      <c r="M21" s="1244"/>
      <c r="N21" s="1245" t="s">
        <v>251</v>
      </c>
      <c r="O21" s="1246"/>
      <c r="P21" s="1246"/>
      <c r="Q21" s="1247"/>
      <c r="R21" s="625"/>
      <c r="S21" s="580"/>
    </row>
    <row r="22" spans="2:22" ht="20.100000000000001" customHeight="1" outlineLevel="1" x14ac:dyDescent="0.4">
      <c r="B22" s="578"/>
      <c r="C22" s="624"/>
      <c r="D22" s="1242" t="s">
        <v>429</v>
      </c>
      <c r="E22" s="1243"/>
      <c r="F22" s="1244"/>
      <c r="G22" s="1245" t="s">
        <v>730</v>
      </c>
      <c r="H22" s="1246"/>
      <c r="I22" s="1246"/>
      <c r="J22" s="1247"/>
      <c r="K22" s="1242" t="s">
        <v>610</v>
      </c>
      <c r="L22" s="1243"/>
      <c r="M22" s="1244"/>
      <c r="N22" s="1245" t="s">
        <v>729</v>
      </c>
      <c r="O22" s="1246"/>
      <c r="P22" s="1246"/>
      <c r="Q22" s="1247"/>
      <c r="R22" s="625"/>
      <c r="S22" s="580"/>
    </row>
    <row r="23" spans="2:22" ht="20.100000000000001" customHeight="1" outlineLevel="1" x14ac:dyDescent="0.4">
      <c r="B23" s="578"/>
      <c r="C23" s="624"/>
      <c r="D23" s="739"/>
      <c r="E23" s="739"/>
      <c r="F23" s="739"/>
      <c r="G23" s="739"/>
      <c r="H23" s="739"/>
      <c r="I23" s="739"/>
      <c r="J23" s="739"/>
      <c r="K23" s="739"/>
      <c r="L23" s="739"/>
      <c r="M23" s="739"/>
      <c r="N23" s="739"/>
      <c r="O23" s="739"/>
      <c r="P23" s="739"/>
      <c r="Q23" s="739"/>
      <c r="R23" s="625"/>
      <c r="S23" s="580"/>
    </row>
    <row r="24" spans="2:22" ht="20.100000000000001" customHeight="1" outlineLevel="1" x14ac:dyDescent="0.4">
      <c r="B24" s="578"/>
      <c r="C24" s="624"/>
      <c r="D24" s="1142" t="s">
        <v>611</v>
      </c>
      <c r="E24" s="1142"/>
      <c r="F24" s="1142"/>
      <c r="G24" s="1142"/>
      <c r="H24" s="1142"/>
      <c r="I24" s="1142"/>
      <c r="J24" s="1142"/>
      <c r="K24" s="1142"/>
      <c r="L24" s="1142"/>
      <c r="M24" s="1142"/>
      <c r="N24" s="1142"/>
      <c r="O24" s="1142"/>
      <c r="P24" s="1142"/>
      <c r="Q24" s="1142"/>
      <c r="R24" s="625"/>
      <c r="S24" s="580"/>
    </row>
    <row r="25" spans="2:22" ht="20.100000000000001" customHeight="1" outlineLevel="1" x14ac:dyDescent="0.4">
      <c r="B25" s="578"/>
      <c r="C25" s="624"/>
      <c r="D25" s="1239" t="s">
        <v>612</v>
      </c>
      <c r="E25" s="1239"/>
      <c r="F25" s="1239"/>
      <c r="G25" s="1239"/>
      <c r="H25" s="1239" t="s">
        <v>566</v>
      </c>
      <c r="I25" s="1239"/>
      <c r="J25" s="1239"/>
      <c r="K25" s="1239"/>
      <c r="L25" s="1239" t="s">
        <v>613</v>
      </c>
      <c r="M25" s="1239"/>
      <c r="N25" s="1239"/>
      <c r="O25" s="1239"/>
      <c r="P25" s="1240" t="s">
        <v>614</v>
      </c>
      <c r="Q25" s="1240"/>
      <c r="R25" s="625"/>
      <c r="S25" s="580"/>
    </row>
    <row r="26" spans="2:22" ht="30" customHeight="1" outlineLevel="1" x14ac:dyDescent="0.4">
      <c r="B26" s="578"/>
      <c r="C26" s="624"/>
      <c r="D26" s="627" t="s">
        <v>615</v>
      </c>
      <c r="E26" s="628" t="s">
        <v>570</v>
      </c>
      <c r="F26" s="628" t="s">
        <v>616</v>
      </c>
      <c r="G26" s="567" t="s">
        <v>570</v>
      </c>
      <c r="H26" s="627" t="s">
        <v>617</v>
      </c>
      <c r="I26" s="628" t="s">
        <v>618</v>
      </c>
      <c r="J26" s="628" t="s">
        <v>619</v>
      </c>
      <c r="K26" s="567" t="s">
        <v>91</v>
      </c>
      <c r="L26" s="627" t="s">
        <v>617</v>
      </c>
      <c r="M26" s="628" t="s">
        <v>618</v>
      </c>
      <c r="N26" s="628" t="s">
        <v>619</v>
      </c>
      <c r="O26" s="567" t="s">
        <v>91</v>
      </c>
      <c r="P26" s="568" t="s">
        <v>620</v>
      </c>
      <c r="Q26" s="570" t="s">
        <v>621</v>
      </c>
      <c r="R26" s="625"/>
      <c r="S26" s="580"/>
    </row>
    <row r="27" spans="2:22" ht="20.100000000000001" customHeight="1" outlineLevel="1" x14ac:dyDescent="0.4">
      <c r="B27" s="578"/>
      <c r="C27" s="624"/>
      <c r="D27" s="629">
        <v>0</v>
      </c>
      <c r="E27" s="630">
        <f>IF(D27="","",10)</f>
        <v>10</v>
      </c>
      <c r="F27" s="631"/>
      <c r="G27" s="632" t="str">
        <f>IF(D27="","",IF(D27&lt;50,"-",IF(D27&lt;150,0.1,0.05)))</f>
        <v>-</v>
      </c>
      <c r="H27" s="629">
        <v>0</v>
      </c>
      <c r="I27" s="631"/>
      <c r="J27" s="633">
        <f>IF(OR(D27="",H27=""),"",H27-D27)</f>
        <v>0</v>
      </c>
      <c r="K27" s="634" t="str">
        <f>IF(OR(F27="",I27="",D27=0),IF(D27=0, "-",""),(I27-F27)/F27)</f>
        <v>-</v>
      </c>
      <c r="L27" s="629">
        <v>0</v>
      </c>
      <c r="M27" s="631"/>
      <c r="N27" s="633">
        <f>IF(AND(D27&lt;&gt;"",L27&lt;&gt;""),L27-D27,"")</f>
        <v>0</v>
      </c>
      <c r="O27" s="634" t="str">
        <f>IF(OR(F27="",M27="",D27=0),IF(D27=0,"-",""),(M27-F27)/F27)</f>
        <v>-</v>
      </c>
      <c r="P27" s="633">
        <f>IF(OR(H27="",L27=""),IF(J27="","",J27),H27-L27)</f>
        <v>0</v>
      </c>
      <c r="Q27" s="634" t="str">
        <f>IF(OR(I27="",M27="",D27=0),IF(K27="","",K27),IF(AND(I27=0,M27=0),0,(I27-AVERAGE(I27,M27))/AVERAGE(I27,M27)))</f>
        <v>-</v>
      </c>
      <c r="R27" s="635"/>
      <c r="S27" s="580"/>
      <c r="U27" s="617">
        <f>IF(P27&lt;&gt;"", IF(ABS(P27)&gt;E27,1,0),0)</f>
        <v>0</v>
      </c>
      <c r="V27" s="617">
        <f>IF(AND(Q27&lt;&gt;"",Q27&lt;&gt;"-"), IF(ABS(Q27)&gt;G27,1,0),0)</f>
        <v>0</v>
      </c>
    </row>
    <row r="28" spans="2:22" ht="20.100000000000001" customHeight="1" outlineLevel="1" x14ac:dyDescent="0.4">
      <c r="B28" s="578"/>
      <c r="C28" s="624"/>
      <c r="D28" s="629">
        <v>55</v>
      </c>
      <c r="E28" s="636">
        <f t="shared" ref="E28:E30" si="0">IF(D28="","",10)</f>
        <v>10</v>
      </c>
      <c r="F28" s="631"/>
      <c r="G28" s="637">
        <f t="shared" ref="G28:G30" si="1">IF(D28="","",IF(D28&lt;50,"-",IF(D28&lt;150,0.1,0.05)))</f>
        <v>0.1</v>
      </c>
      <c r="H28" s="629">
        <v>50</v>
      </c>
      <c r="I28" s="631"/>
      <c r="J28" s="633">
        <f t="shared" ref="J28:J30" si="2">IF(OR(D28="",H28=""),"",H28-D28)</f>
        <v>-5</v>
      </c>
      <c r="K28" s="634" t="str">
        <f t="shared" ref="K28:K30" si="3">IF(OR(F28="",I28="",D28=0),IF(D28=0, "-",""),(I28-F28)/F28)</f>
        <v/>
      </c>
      <c r="L28" s="629">
        <v>56</v>
      </c>
      <c r="M28" s="631"/>
      <c r="N28" s="633">
        <f t="shared" ref="N28:N30" si="4">IF(AND(D28&lt;&gt;"",L28&lt;&gt;""),L28-D28,"")</f>
        <v>1</v>
      </c>
      <c r="O28" s="634" t="str">
        <f t="shared" ref="O28:O30" si="5">IF(OR(F28="",M28="",D28=0),IF(D28=0,"-",""),(M28-F28)/F28)</f>
        <v/>
      </c>
      <c r="P28" s="633">
        <f>IF(OR(H28="",L28=""),IF(J28="","",J28),H28-L28)</f>
        <v>-6</v>
      </c>
      <c r="Q28" s="634" t="str">
        <f t="shared" ref="Q28:Q30" si="6">IF(OR(I28="",M28="",D28=0),IF(K28="","",K28),IF(AND(I28=0,M28=0),0,(I28-AVERAGE(I28,M28))/AVERAGE(I28,M28)))</f>
        <v/>
      </c>
      <c r="R28" s="625"/>
      <c r="S28" s="580"/>
      <c r="U28" s="617">
        <f t="shared" ref="U28:U29" si="7">IF(P28&lt;&gt;"", IF(ABS(P28)&gt;E28,1,0),0)</f>
        <v>0</v>
      </c>
      <c r="V28" s="617">
        <f t="shared" ref="V28:V30" si="8">IF(AND(Q28&lt;&gt;"",Q28&lt;&gt;"-"), IF(ABS(Q28)&gt;G28,1,0),0)</f>
        <v>0</v>
      </c>
    </row>
    <row r="29" spans="2:22" ht="20.100000000000001" customHeight="1" outlineLevel="1" x14ac:dyDescent="0.4">
      <c r="B29" s="578"/>
      <c r="C29" s="624"/>
      <c r="D29" s="629">
        <v>154</v>
      </c>
      <c r="E29" s="636">
        <f t="shared" si="0"/>
        <v>10</v>
      </c>
      <c r="F29" s="631"/>
      <c r="G29" s="637">
        <f t="shared" si="1"/>
        <v>0.05</v>
      </c>
      <c r="H29" s="629">
        <v>150</v>
      </c>
      <c r="I29" s="631"/>
      <c r="J29" s="633">
        <f t="shared" si="2"/>
        <v>-4</v>
      </c>
      <c r="K29" s="634" t="str">
        <f t="shared" si="3"/>
        <v/>
      </c>
      <c r="L29" s="629">
        <v>154</v>
      </c>
      <c r="M29" s="631"/>
      <c r="N29" s="633">
        <f t="shared" si="4"/>
        <v>0</v>
      </c>
      <c r="O29" s="634" t="str">
        <f t="shared" si="5"/>
        <v/>
      </c>
      <c r="P29" s="633">
        <f t="shared" ref="P29:P30" si="9">IF(OR(H29="",L29=""),IF(J29="","",J29),H29-L29)</f>
        <v>-4</v>
      </c>
      <c r="Q29" s="634" t="str">
        <f t="shared" si="6"/>
        <v/>
      </c>
      <c r="R29" s="625"/>
      <c r="S29" s="580"/>
      <c r="U29" s="617">
        <f t="shared" si="7"/>
        <v>0</v>
      </c>
      <c r="V29" s="617">
        <f t="shared" si="8"/>
        <v>0</v>
      </c>
    </row>
    <row r="30" spans="2:22" ht="20.100000000000001" customHeight="1" outlineLevel="1" x14ac:dyDescent="0.4">
      <c r="B30" s="578"/>
      <c r="C30" s="624"/>
      <c r="D30" s="639">
        <v>205</v>
      </c>
      <c r="E30" s="640">
        <f t="shared" si="0"/>
        <v>10</v>
      </c>
      <c r="F30" s="641"/>
      <c r="G30" s="642">
        <f t="shared" si="1"/>
        <v>0.05</v>
      </c>
      <c r="H30" s="639">
        <v>200</v>
      </c>
      <c r="I30" s="641"/>
      <c r="J30" s="633">
        <f t="shared" si="2"/>
        <v>-5</v>
      </c>
      <c r="K30" s="644" t="str">
        <f t="shared" si="3"/>
        <v/>
      </c>
      <c r="L30" s="639">
        <v>205</v>
      </c>
      <c r="M30" s="641"/>
      <c r="N30" s="633">
        <f t="shared" si="4"/>
        <v>0</v>
      </c>
      <c r="O30" s="644" t="str">
        <f t="shared" si="5"/>
        <v/>
      </c>
      <c r="P30" s="643">
        <f t="shared" si="9"/>
        <v>-5</v>
      </c>
      <c r="Q30" s="644" t="str">
        <f t="shared" si="6"/>
        <v/>
      </c>
      <c r="R30" s="625"/>
      <c r="S30" s="580"/>
      <c r="U30" s="617">
        <f>IF(P30&lt;&gt;"", IF(ABS(P30)&gt;E30,1,0),0)</f>
        <v>0</v>
      </c>
      <c r="V30" s="617">
        <f t="shared" si="8"/>
        <v>0</v>
      </c>
    </row>
    <row r="31" spans="2:22" ht="20.100000000000001" customHeight="1" outlineLevel="1" x14ac:dyDescent="0.4">
      <c r="B31" s="578"/>
      <c r="C31" s="624"/>
      <c r="D31" s="739"/>
      <c r="E31" s="739"/>
      <c r="F31" s="739"/>
      <c r="G31" s="739"/>
      <c r="H31" s="739"/>
      <c r="I31" s="739"/>
      <c r="J31" s="793" t="s">
        <v>779</v>
      </c>
      <c r="K31" s="739"/>
      <c r="L31" s="739"/>
      <c r="M31" s="739"/>
      <c r="N31" s="793" t="s">
        <v>779</v>
      </c>
      <c r="O31" s="739"/>
      <c r="P31" s="804" t="s">
        <v>794</v>
      </c>
      <c r="Q31" s="739"/>
      <c r="R31" s="625"/>
      <c r="S31" s="580"/>
      <c r="U31" s="617" t="str">
        <f>IF(SUM(D27:D30)&gt;0,IF(SUM(U27:U30)&gt;0,"Non validé","Validé"),"Non contrôlé")</f>
        <v>Validé</v>
      </c>
      <c r="V31" s="617" t="str">
        <f>IF(SUM(D27:D30)&gt;0,IF(SUM(Q27:Q30)&gt;0,"Non validé","Validé"),"Non contrôlé")</f>
        <v>Validé</v>
      </c>
    </row>
    <row r="32" spans="2:22" ht="20.100000000000001" customHeight="1" outlineLevel="1" x14ac:dyDescent="0.4">
      <c r="B32" s="578"/>
      <c r="C32" s="624"/>
      <c r="D32" s="1101" t="s">
        <v>250</v>
      </c>
      <c r="E32" s="1102"/>
      <c r="F32" s="1102"/>
      <c r="G32" s="1102"/>
      <c r="H32" s="1102"/>
      <c r="I32" s="1102"/>
      <c r="J32" s="1102"/>
      <c r="K32" s="1102"/>
      <c r="L32" s="1102"/>
      <c r="M32" s="1102"/>
      <c r="N32" s="1241" t="s">
        <v>564</v>
      </c>
      <c r="O32" s="1241"/>
      <c r="P32" s="566"/>
      <c r="Q32" s="590"/>
      <c r="R32" s="625"/>
      <c r="S32" s="580"/>
    </row>
    <row r="33" spans="2:25" s="652" customFormat="1" ht="20.100000000000001" customHeight="1" outlineLevel="1" x14ac:dyDescent="0.4">
      <c r="B33" s="646"/>
      <c r="C33" s="647"/>
      <c r="D33" s="1231" t="s">
        <v>612</v>
      </c>
      <c r="E33" s="1232"/>
      <c r="F33" s="1233"/>
      <c r="G33" s="1231" t="s">
        <v>566</v>
      </c>
      <c r="H33" s="1233"/>
      <c r="I33" s="1231" t="s">
        <v>565</v>
      </c>
      <c r="J33" s="1233"/>
      <c r="K33" s="1234" t="s">
        <v>567</v>
      </c>
      <c r="L33" s="1235"/>
      <c r="M33" s="1236"/>
      <c r="N33" s="1234" t="s">
        <v>568</v>
      </c>
      <c r="O33" s="1235"/>
      <c r="P33" s="1236"/>
      <c r="Q33" s="648"/>
      <c r="R33" s="649"/>
      <c r="S33" s="650"/>
      <c r="T33" s="651"/>
      <c r="U33" s="651"/>
      <c r="V33" s="651"/>
      <c r="W33" s="651"/>
      <c r="X33" s="617"/>
      <c r="Y33" s="651"/>
    </row>
    <row r="34" spans="2:25" s="659" customFormat="1" ht="30" customHeight="1" outlineLevel="1" x14ac:dyDescent="0.4">
      <c r="B34" s="653"/>
      <c r="C34" s="654"/>
      <c r="D34" s="627" t="s">
        <v>615</v>
      </c>
      <c r="E34" s="628" t="s">
        <v>622</v>
      </c>
      <c r="F34" s="567" t="s">
        <v>570</v>
      </c>
      <c r="G34" s="627" t="s">
        <v>571</v>
      </c>
      <c r="H34" s="628" t="s">
        <v>572</v>
      </c>
      <c r="I34" s="1237" t="s">
        <v>623</v>
      </c>
      <c r="J34" s="1238"/>
      <c r="K34" s="568" t="s">
        <v>573</v>
      </c>
      <c r="L34" s="569" t="s">
        <v>574</v>
      </c>
      <c r="M34" s="570" t="s">
        <v>91</v>
      </c>
      <c r="N34" s="568" t="s">
        <v>573</v>
      </c>
      <c r="O34" s="569" t="s">
        <v>574</v>
      </c>
      <c r="P34" s="570" t="s">
        <v>91</v>
      </c>
      <c r="Q34" s="655"/>
      <c r="R34" s="656"/>
      <c r="S34" s="657"/>
      <c r="T34" s="658"/>
      <c r="U34" s="658"/>
      <c r="V34" s="658"/>
      <c r="W34" s="658"/>
      <c r="X34" s="658"/>
      <c r="Y34" s="658"/>
    </row>
    <row r="35" spans="2:25" ht="20.100000000000001" customHeight="1" outlineLevel="1" x14ac:dyDescent="0.4">
      <c r="B35" s="578"/>
      <c r="C35" s="624"/>
      <c r="D35" s="660"/>
      <c r="E35" s="661"/>
      <c r="F35" s="662" t="str">
        <f>IF(D35="","",IF(D35&gt;50,0.05,0.1))</f>
        <v/>
      </c>
      <c r="G35" s="661"/>
      <c r="H35" s="663"/>
      <c r="I35" s="1227"/>
      <c r="J35" s="1228"/>
      <c r="K35" s="572" t="str">
        <f>IF(AND(E35&lt;&gt;"",G35&lt;&gt;""),(E35+G35)/2,IF(AND(I35&lt;&gt;"",G35&lt;&gt;""),(I35+G35)/2,""))</f>
        <v/>
      </c>
      <c r="L35" s="573" t="str">
        <f>IF(AND(E35&lt;&gt;"",G35&lt;&gt;""),(E35-G35),IF(AND(I35&lt;&gt;"",G35&lt;&gt;""),(I35-G35),""))</f>
        <v/>
      </c>
      <c r="M35" s="644" t="str">
        <f>IF(AND(K35&lt;&gt;"",K35&lt;&gt;0,L35&lt;&gt;""),L35/K35,"")</f>
        <v/>
      </c>
      <c r="N35" s="572" t="str">
        <f>IF(AND(E35&lt;&gt;"",H35&lt;&gt;""),(E35+H35)/2,IF(AND(H35&lt;&gt;"",I35&lt;&gt;""),(H35+I35)/2,""))</f>
        <v/>
      </c>
      <c r="O35" s="573" t="str">
        <f>IF(AND(E35&lt;&gt;"",H35&lt;&gt;""),(E35-I35),IF(AND(H35&lt;&gt;"",I35&lt;&gt;""),(H35-I35),""))</f>
        <v/>
      </c>
      <c r="P35" s="644" t="str">
        <f>IF(AND(N35&lt;&gt;"",N35&lt;&gt;0,O35&lt;&gt;""),O35/N35,"")</f>
        <v/>
      </c>
      <c r="Q35" s="664"/>
      <c r="R35" s="625"/>
      <c r="S35" s="580"/>
      <c r="U35" s="617">
        <f>IF(M35&lt;&gt;"", IF(ABS(M35)&gt;F35,1,0),0)</f>
        <v>0</v>
      </c>
      <c r="V35" s="617">
        <f>IF(P35&lt;&gt;"", IF(ABS(P35)&gt;F35,1,0),0)</f>
        <v>0</v>
      </c>
    </row>
    <row r="36" spans="2:25" ht="20.100000000000001" customHeight="1" outlineLevel="1" thickBot="1" x14ac:dyDescent="0.45">
      <c r="B36" s="578"/>
      <c r="C36" s="665"/>
      <c r="D36" s="741"/>
      <c r="E36" s="741"/>
      <c r="F36" s="741"/>
      <c r="G36" s="741"/>
      <c r="H36" s="741"/>
      <c r="I36" s="741"/>
      <c r="J36" s="741"/>
      <c r="K36" s="741"/>
      <c r="L36" s="741"/>
      <c r="M36" s="741"/>
      <c r="N36" s="741"/>
      <c r="O36" s="741"/>
      <c r="P36" s="741"/>
      <c r="Q36" s="741"/>
      <c r="R36" s="666"/>
      <c r="S36" s="580"/>
      <c r="U36" s="617" t="str">
        <f>IFERROR(IF((K35+N35)&gt;0,IF((U35+V35)&gt;0,"Non validé","Validé"),"Non contrôlé"),"Non contrôlé")</f>
        <v>Non contrôlé</v>
      </c>
    </row>
    <row r="37" spans="2:25" ht="10.199999999999999" customHeight="1" thickTop="1" thickBot="1" x14ac:dyDescent="0.45">
      <c r="B37" s="578"/>
      <c r="C37" s="579"/>
      <c r="D37" s="579"/>
      <c r="E37" s="579"/>
      <c r="F37" s="579"/>
      <c r="G37" s="579"/>
      <c r="H37" s="579"/>
      <c r="I37" s="579"/>
      <c r="J37" s="579"/>
      <c r="K37" s="579"/>
      <c r="L37" s="579"/>
      <c r="M37" s="579"/>
      <c r="N37" s="579"/>
      <c r="O37" s="579"/>
      <c r="P37" s="579"/>
      <c r="Q37" s="579"/>
      <c r="R37" s="579"/>
      <c r="S37" s="580"/>
    </row>
    <row r="38" spans="2:25" ht="20.100000000000001" customHeight="1" thickTop="1" thickBot="1" x14ac:dyDescent="0.45">
      <c r="B38" s="578"/>
      <c r="C38" s="1119" t="s">
        <v>575</v>
      </c>
      <c r="D38" s="1120"/>
      <c r="E38" s="1120"/>
      <c r="F38" s="1120"/>
      <c r="G38" s="1120"/>
      <c r="H38" s="1120"/>
      <c r="I38" s="1120"/>
      <c r="J38" s="1120"/>
      <c r="K38" s="1120"/>
      <c r="L38" s="1120"/>
      <c r="M38" s="1120"/>
      <c r="N38" s="1120"/>
      <c r="O38" s="1120"/>
      <c r="P38" s="1120"/>
      <c r="Q38" s="1120"/>
      <c r="R38" s="1141"/>
      <c r="S38" s="580"/>
    </row>
    <row r="39" spans="2:25" ht="20.100000000000001" customHeight="1" outlineLevel="1" thickTop="1" x14ac:dyDescent="0.4">
      <c r="B39" s="578"/>
      <c r="C39" s="624"/>
      <c r="D39" s="579"/>
      <c r="E39" s="579"/>
      <c r="F39" s="579"/>
      <c r="G39" s="579"/>
      <c r="H39" s="579"/>
      <c r="I39" s="579"/>
      <c r="J39" s="579"/>
      <c r="K39" s="579"/>
      <c r="L39" s="579"/>
      <c r="M39" s="579"/>
      <c r="N39" s="579"/>
      <c r="O39" s="579"/>
      <c r="P39" s="579"/>
      <c r="Q39" s="579"/>
      <c r="R39" s="625"/>
      <c r="S39" s="580"/>
    </row>
    <row r="40" spans="2:25" ht="30" customHeight="1" outlineLevel="1" x14ac:dyDescent="0.4">
      <c r="B40" s="578"/>
      <c r="C40" s="624"/>
      <c r="D40" s="1229" t="s">
        <v>137</v>
      </c>
      <c r="E40" s="1229"/>
      <c r="F40" s="1229"/>
      <c r="G40" s="1229"/>
      <c r="H40" s="1229"/>
      <c r="I40" s="1229"/>
      <c r="J40" s="1229"/>
      <c r="K40" s="1229"/>
      <c r="L40" s="1229"/>
      <c r="M40" s="1229"/>
      <c r="N40" s="1229"/>
      <c r="O40" s="1229"/>
      <c r="P40" s="1229"/>
      <c r="Q40" s="1229"/>
      <c r="R40" s="625"/>
      <c r="S40" s="580"/>
      <c r="U40" s="617" t="s">
        <v>61</v>
      </c>
    </row>
    <row r="41" spans="2:25" ht="20.100000000000001" customHeight="1" outlineLevel="1" x14ac:dyDescent="0.4">
      <c r="B41" s="578"/>
      <c r="C41" s="624"/>
      <c r="D41" s="1230" t="s">
        <v>59</v>
      </c>
      <c r="E41" s="1230"/>
      <c r="F41" s="1230"/>
      <c r="G41" s="1230"/>
      <c r="H41" s="1230"/>
      <c r="I41" s="1230"/>
      <c r="J41" s="1230" t="s">
        <v>377</v>
      </c>
      <c r="K41" s="1230"/>
      <c r="L41" s="1230"/>
      <c r="M41" s="1230"/>
      <c r="N41" s="1230" t="s">
        <v>242</v>
      </c>
      <c r="O41" s="1230"/>
      <c r="P41" s="740" t="s">
        <v>409</v>
      </c>
      <c r="Q41" s="740" t="s">
        <v>576</v>
      </c>
      <c r="R41" s="625"/>
      <c r="S41" s="580"/>
    </row>
    <row r="42" spans="2:25" ht="99.95" customHeight="1" outlineLevel="1" x14ac:dyDescent="0.4">
      <c r="B42" s="578"/>
      <c r="C42" s="624"/>
      <c r="D42" s="577">
        <v>1</v>
      </c>
      <c r="E42" s="1222" t="str">
        <f>IFERROR(HLOOKUP($D$40,Critères!$B$3:$BE$16,D42+2,FALSE),"")</f>
        <v>L'accès à l'ouvrage et aux équipements de mesure se fait-il en toute sécurité pour les agents en charge des opérations de contrôles et d'entretien ?</v>
      </c>
      <c r="F42" s="1223"/>
      <c r="G42" s="1223"/>
      <c r="H42" s="1223"/>
      <c r="I42" s="1224"/>
      <c r="J42" s="1222"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223"/>
      <c r="L42" s="1223"/>
      <c r="M42" s="1224"/>
      <c r="N42" s="1225" t="s">
        <v>167</v>
      </c>
      <c r="O42" s="1226"/>
      <c r="P42" s="742">
        <f>IF(OR(N42="Validé",N42="Validé avec réserve"),Q42,0)</f>
        <v>10</v>
      </c>
      <c r="Q42" s="742">
        <f>IFERROR(INDEX(Critères!$B$3:$BE$16, D42+2, MATCH($D$40, Critères!$B$3:$BE$3, 0) + 2),"")</f>
        <v>10</v>
      </c>
      <c r="R42" s="803" t="s">
        <v>779</v>
      </c>
      <c r="S42" s="580"/>
      <c r="U42" s="617" t="str">
        <f>IFERROR(INDEX(Critères!$B$3:$BE$16, D42+2, MATCH($D$40, Critères!$B$3:$BE$3, 0) + 3),"")</f>
        <v>LISTE_3</v>
      </c>
    </row>
    <row r="43" spans="2:25" ht="99.95" customHeight="1" outlineLevel="1" x14ac:dyDescent="0.4">
      <c r="B43" s="578"/>
      <c r="C43" s="624"/>
      <c r="D43" s="577">
        <v>2</v>
      </c>
      <c r="E43" s="1222" t="str">
        <f>IFERROR(HLOOKUP($D$40,Critères!$B$3:$BE$16,D43+2,FALSE),"")</f>
        <v>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v>
      </c>
      <c r="F43" s="1223"/>
      <c r="G43" s="1223"/>
      <c r="H43" s="1223"/>
      <c r="I43" s="1224"/>
      <c r="J43" s="1222" t="str">
        <f>IFERROR(IF(INDEX(Critères!$B$3:$BE$16, D43+2, MATCH($D$40, Critères!$B$3:$BE$3, 0) + 1)="", "", INDEX(Critères!$B$3:$BE$16, D43+2, MATCH($D$40, Critères!$B$3:$BE$3, 0) + 1)), "")</f>
        <v/>
      </c>
      <c r="K43" s="1223"/>
      <c r="L43" s="1223"/>
      <c r="M43" s="1224"/>
      <c r="N43" s="1225" t="s">
        <v>167</v>
      </c>
      <c r="O43" s="1226"/>
      <c r="P43" s="742">
        <f t="shared" ref="P43:P50" si="10">IF(OR(N43="Validé",N43="Validé avec réserve"),Q43,0)</f>
        <v>10</v>
      </c>
      <c r="Q43" s="742">
        <f>IFERROR(INDEX(Critères!$B$3:$BE$16, D43+2, MATCH($D$40, Critères!$B$3:$BE$3, 0) + 2),"")</f>
        <v>10</v>
      </c>
      <c r="R43" s="803" t="s">
        <v>779</v>
      </c>
      <c r="S43" s="580"/>
      <c r="U43" s="617" t="str">
        <f>IFERROR(INDEX(Critères!$B$3:$BE$16, D43+2, MATCH($D$40, Critères!$B$3:$BE$3, 0) + 3),"")</f>
        <v>LISTE_3</v>
      </c>
    </row>
    <row r="44" spans="2:25" ht="99.95" customHeight="1" outlineLevel="1" x14ac:dyDescent="0.4">
      <c r="B44" s="578"/>
      <c r="C44" s="624"/>
      <c r="D44" s="577">
        <v>3</v>
      </c>
      <c r="E44" s="1222" t="str">
        <f>IFERROR(HLOOKUP($D$40,Critères!$B$3:$BE$16,D44+2,FALSE),"")</f>
        <v>Le capteur de mesure de vitesse est-il installé conformément aux prescriptions du constructeur, ou celles définies dans l'étude spécifique ?</v>
      </c>
      <c r="F44" s="1223"/>
      <c r="G44" s="1223"/>
      <c r="H44" s="1223"/>
      <c r="I44" s="1224"/>
      <c r="J44" s="1222" t="str">
        <f>IFERROR(IF(INDEX(Critères!$B$3:$BE$16, D44+2, MATCH($D$40, Critères!$B$3:$BE$3, 0) + 1)="", "", INDEX(Critères!$B$3:$BE$16, D44+2, MATCH($D$40, Critères!$B$3:$BE$3, 0) + 1)), "")</f>
        <v/>
      </c>
      <c r="K44" s="1223"/>
      <c r="L44" s="1223"/>
      <c r="M44" s="1224"/>
      <c r="N44" s="1225" t="s">
        <v>167</v>
      </c>
      <c r="O44" s="1226"/>
      <c r="P44" s="742">
        <f t="shared" si="10"/>
        <v>10</v>
      </c>
      <c r="Q44" s="742">
        <f>IFERROR(INDEX(Critères!$B$3:$BE$16, D44+2, MATCH($D$40, Critères!$B$3:$BE$3, 0) + 2),"")</f>
        <v>10</v>
      </c>
      <c r="R44" s="803" t="s">
        <v>779</v>
      </c>
      <c r="S44" s="580"/>
      <c r="U44" s="617" t="str">
        <f>IFERROR(INDEX(Critères!$B$3:$BE$16, D44+2, MATCH($D$40, Critères!$B$3:$BE$3, 0) + 3),"")</f>
        <v>LISTE_2</v>
      </c>
    </row>
    <row r="45" spans="2:25" ht="99.95" customHeight="1" outlineLevel="1" x14ac:dyDescent="0.4">
      <c r="B45" s="578"/>
      <c r="C45" s="624"/>
      <c r="D45" s="577">
        <v>4</v>
      </c>
      <c r="E45" s="1222" t="str">
        <f>IFERROR(HLOOKUP($D$40,Critères!$B$3:$BE$16,D45+2,FALSE),"")</f>
        <v>La propreté et l'état d'entretien de la conduite et des capteurs associés, sont-ils satisfaisants ?</v>
      </c>
      <c r="F45" s="1223"/>
      <c r="G45" s="1223"/>
      <c r="H45" s="1223"/>
      <c r="I45" s="1224"/>
      <c r="J45" s="1222"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223"/>
      <c r="L45" s="1223"/>
      <c r="M45" s="1224"/>
      <c r="N45" s="1225" t="s">
        <v>167</v>
      </c>
      <c r="O45" s="1226"/>
      <c r="P45" s="742">
        <f t="shared" si="10"/>
        <v>10</v>
      </c>
      <c r="Q45" s="742">
        <f>IFERROR(INDEX(Critères!$B$3:$BE$16, D45+2, MATCH($D$40, Critères!$B$3:$BE$3, 0) + 2),"")</f>
        <v>10</v>
      </c>
      <c r="R45" s="803" t="s">
        <v>779</v>
      </c>
      <c r="S45" s="580"/>
      <c r="U45" s="617" t="str">
        <f>IFERROR(INDEX(Critères!$B$3:$BE$16, D45+2, MATCH($D$40, Critères!$B$3:$BE$3, 0) + 3),"")</f>
        <v>LISTE_2</v>
      </c>
    </row>
    <row r="46" spans="2:25" ht="99.95" customHeight="1" outlineLevel="1" x14ac:dyDescent="0.4">
      <c r="B46" s="578"/>
      <c r="C46" s="624"/>
      <c r="D46" s="577">
        <v>5</v>
      </c>
      <c r="E46" s="1222" t="str">
        <f>IFERROR(HLOOKUP($D$40,Critères!$B$3:$BE$16,D46+2,FALSE),"")</f>
        <v>Le fonctionnement hydraulique, en amont et en aval des capteurs, est-il satisfaisant ?</v>
      </c>
      <c r="F46" s="1223"/>
      <c r="G46" s="1223"/>
      <c r="H46" s="1223"/>
      <c r="I46" s="1224"/>
      <c r="J46" s="1222" t="str">
        <f>IFERROR(IF(INDEX(Critères!$B$3:$BE$16, D46+2, MATCH($D$40, Critères!$B$3:$BE$3, 0) + 1)="", "", INDEX(Critères!$B$3:$BE$16, D46+2, MATCH($D$40, Critères!$B$3:$BE$3, 0) + 1)), "")</f>
        <v>Les traces de mises en charges peuvent être un indice pour évaluer ce critère.
En l'absence d'écoulement saisir "Non contrôlé"
Si impossibilité de se prononcer ou de doute saisir "Validé avec réserve"</v>
      </c>
      <c r="K46" s="1223"/>
      <c r="L46" s="1223"/>
      <c r="M46" s="1224"/>
      <c r="N46" s="1225" t="s">
        <v>167</v>
      </c>
      <c r="O46" s="1226"/>
      <c r="P46" s="742">
        <f t="shared" si="10"/>
        <v>10</v>
      </c>
      <c r="Q46" s="742">
        <f>IFERROR(INDEX(Critères!$B$3:$BE$16, D46+2, MATCH($D$40, Critères!$B$3:$BE$3, 0) + 2),"")</f>
        <v>10</v>
      </c>
      <c r="R46" s="803" t="s">
        <v>779</v>
      </c>
      <c r="S46" s="580"/>
      <c r="U46" s="617" t="str">
        <f>IFERROR(INDEX(Critères!$B$3:$BE$16, D46+2, MATCH($D$40, Critères!$B$3:$BE$3, 0) + 3),"")</f>
        <v>LISTE_3</v>
      </c>
    </row>
    <row r="47" spans="2:25" ht="99.95" customHeight="1" outlineLevel="1" x14ac:dyDescent="0.4">
      <c r="B47" s="578"/>
      <c r="C47" s="624"/>
      <c r="D47" s="577">
        <v>6</v>
      </c>
      <c r="E47" s="1222" t="str">
        <f>IFERROR(HLOOKUP($D$40,Critères!$B$3:$BE$16,D47+2,FALSE),"")</f>
        <v>Si une mesure comparative est possible, 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7" s="1223"/>
      <c r="G47" s="1223"/>
      <c r="H47" s="1223"/>
      <c r="I47" s="1224"/>
      <c r="J47" s="1222" t="str">
        <f>IFERROR(IF(INDEX(Critères!$B$3:$BE$16, D47+2, MATCH($D$40, Critères!$B$3:$BE$3, 0) + 1)="", "", INDEX(Critères!$B$3:$BE$16, D47+2, MATCH($D$40, Critères!$B$3:$BE$3, 0) + 1)), "")</f>
        <v/>
      </c>
      <c r="K47" s="1223"/>
      <c r="L47" s="1223"/>
      <c r="M47" s="1224"/>
      <c r="N47" s="1225" t="str">
        <f>IF(D40=Critères!AL3,U31,"Non contrôlé")</f>
        <v>Validé</v>
      </c>
      <c r="O47" s="1226"/>
      <c r="P47" s="742">
        <f t="shared" si="10"/>
        <v>20</v>
      </c>
      <c r="Q47" s="742">
        <f>IFERROR(INDEX(Critères!$B$3:$BE$16, D47+2, MATCH($D$40, Critères!$B$3:$BE$3, 0) + 2),"")</f>
        <v>20</v>
      </c>
      <c r="R47" s="803" t="s">
        <v>779</v>
      </c>
      <c r="S47" s="580"/>
      <c r="U47" s="617" t="str">
        <f>IFERROR(INDEX(Critères!$B$3:$BE$16, D47+2, MATCH($D$40, Critères!$B$3:$BE$3, 0) + 3),"")</f>
        <v>LISTE_2</v>
      </c>
    </row>
    <row r="48" spans="2:25" ht="99.95" customHeight="1" outlineLevel="1" x14ac:dyDescent="0.4">
      <c r="B48" s="578"/>
      <c r="C48" s="624"/>
      <c r="D48" s="577">
        <v>7</v>
      </c>
      <c r="E48" s="1222" t="str">
        <f>IFERROR(HLOOKUP($D$40,Critères!$B$3:$BE$16,D48+2,FALSE),"")</f>
        <v>Si une mesure comparative est possible,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8" s="1223"/>
      <c r="G48" s="1223"/>
      <c r="H48" s="1223"/>
      <c r="I48" s="1224"/>
      <c r="J48" s="1222" t="str">
        <f>IFERROR(IF(INDEX(Critères!$B$3:$BE$16, D48+2, MATCH($D$40, Critères!$B$3:$BE$3, 0) + 1)="", "", INDEX(Critères!$B$3:$BE$16, D48+2, MATCH($D$40, Critères!$B$3:$BE$3, 0) + 1)), "")</f>
        <v/>
      </c>
      <c r="K48" s="1223"/>
      <c r="L48" s="1223"/>
      <c r="M48" s="1224"/>
      <c r="N48" s="1225" t="str">
        <f>IF(OR(D40=Critères!J3,D40=Critères!N3,D40=Critères!R3,D40=Critères!V3,D40=Critères!Z3,D40=Critères!AD3),V31,IF(D40=Critères!AL3,U36,"Non contrôlé"))</f>
        <v>Non contrôlé</v>
      </c>
      <c r="O48" s="1226"/>
      <c r="P48" s="742">
        <f t="shared" si="10"/>
        <v>0</v>
      </c>
      <c r="Q48" s="742">
        <f>IFERROR(INDEX(Critères!$B$3:$BE$16, D48+2, MATCH($D$40, Critères!$B$3:$BE$3, 0) + 2),"")</f>
        <v>20</v>
      </c>
      <c r="R48" s="803" t="s">
        <v>779</v>
      </c>
      <c r="S48" s="580"/>
      <c r="U48" s="617" t="str">
        <f>IFERROR(INDEX(Critères!$B$3:$BE$16, D48+2, MATCH($D$40, Critères!$B$3:$BE$3, 0) + 3),"")</f>
        <v>LISTE_2</v>
      </c>
    </row>
    <row r="49" spans="2:21" ht="99.95" customHeight="1" outlineLevel="1" x14ac:dyDescent="0.4">
      <c r="B49" s="578"/>
      <c r="C49" s="624"/>
      <c r="D49" s="577">
        <v>8</v>
      </c>
      <c r="E49" s="1222" t="str">
        <f>IFERROR(HLOOKUP($D$40,Critères!$B$3:$BE$16,D49+2,FALSE),"")</f>
        <v>Si une mesure comparative est impossible, est ce qu'il existe un contrôle de cohérence des données qui atteste d'un bon fonctionnement (EMT ± 10 %) ?</v>
      </c>
      <c r="F49" s="1223"/>
      <c r="G49" s="1223"/>
      <c r="H49" s="1223"/>
      <c r="I49" s="1224"/>
      <c r="J49" s="1222" t="str">
        <f>IFERROR(IF(INDEX(Critères!$B$3:$BE$16, D49+2, MATCH($D$40, Critères!$B$3:$BE$3, 0) + 1)="", "", INDEX(Critères!$B$3:$BE$16, D49+2, MATCH($D$40, Critères!$B$3:$BE$3, 0) + 1)), "")</f>
        <v>Le contrôle de cohérence peut être établi par rapport aux données des années antérieures ou d'un autre point de mesure ou d'un modèle mathématique.</v>
      </c>
      <c r="K49" s="1223"/>
      <c r="L49" s="1223"/>
      <c r="M49" s="1224"/>
      <c r="N49" s="1225" t="str">
        <f>IF(OR(D40=Critères!J3,D40=Critères!N3,D40=Critères!R3,D40=Critères!V3,D40=Critères!Z3,D40=Critères!AD3),V31,"Non contrôlé")</f>
        <v>Non contrôlé</v>
      </c>
      <c r="O49" s="1226"/>
      <c r="P49" s="742">
        <f t="shared" si="10"/>
        <v>0</v>
      </c>
      <c r="Q49" s="742">
        <f>IFERROR(INDEX(Critères!$B$3:$BE$16, D49+2, MATCH($D$40, Critères!$B$3:$BE$3, 0) + 2),"")</f>
        <v>20</v>
      </c>
      <c r="R49" s="803" t="s">
        <v>779</v>
      </c>
      <c r="S49" s="580"/>
      <c r="U49" s="617" t="str">
        <f>IFERROR(INDEX(Critères!$B$3:$BE$16, D49+2, MATCH($D$40, Critères!$B$3:$BE$3, 0) + 3),"")</f>
        <v>LISTE_2</v>
      </c>
    </row>
    <row r="50" spans="2:21" ht="99.95" customHeight="1" outlineLevel="1" x14ac:dyDescent="0.4">
      <c r="B50" s="578"/>
      <c r="C50" s="624"/>
      <c r="D50" s="577">
        <v>9</v>
      </c>
      <c r="E50" s="1222" t="str">
        <f>IFERROR(HLOOKUP($D$40,Critères!$B$3:$BE$16,D50+2,FALSE),"")</f>
        <v>Si une mesure comparative est impossible, est ce que l'exploitant fait réaliser un contrôle électronique du débitmètre, ou un recalibrage sur banc d'essai des capteurs ? Le rapport atteste-t-il d'un bon fonctionnement ?</v>
      </c>
      <c r="F50" s="1223"/>
      <c r="G50" s="1223"/>
      <c r="H50" s="1223"/>
      <c r="I50" s="1224"/>
      <c r="J50" s="1222" t="str">
        <f>IFERROR(IF(INDEX(Critères!$B$3:$BE$16, D50+2, MATCH($D$40, Critères!$B$3:$BE$3, 0) + 1)="", "", INDEX(Critères!$B$3:$BE$16, D50+2, MATCH($D$40, Critères!$B$3:$BE$3, 0) + 1)), "")</f>
        <v/>
      </c>
      <c r="K50" s="1223"/>
      <c r="L50" s="1223"/>
      <c r="M50" s="1224"/>
      <c r="N50" s="1225" t="s">
        <v>128</v>
      </c>
      <c r="O50" s="1226"/>
      <c r="P50" s="742">
        <f t="shared" si="10"/>
        <v>0</v>
      </c>
      <c r="Q50" s="742">
        <f>IFERROR(INDEX(Critères!$B$3:$BE$16, D50+2, MATCH($D$40, Critères!$B$3:$BE$3, 0) + 2),"")</f>
        <v>20</v>
      </c>
      <c r="R50" s="803" t="s">
        <v>779</v>
      </c>
      <c r="S50" s="580"/>
      <c r="U50" s="617" t="str">
        <f>IFERROR(INDEX(Critères!$B$3:$BE$16, D50+2, MATCH($D$40, Critères!$B$3:$BE$3, 0) + 3),"")</f>
        <v>LISTE_2</v>
      </c>
    </row>
    <row r="51" spans="2:21" ht="99.95" customHeight="1" outlineLevel="1" x14ac:dyDescent="0.4">
      <c r="B51" s="578"/>
      <c r="C51" s="624"/>
      <c r="D51" s="577">
        <v>10</v>
      </c>
      <c r="E51" s="1222" t="str">
        <f>IFERROR(HLOOKUP($D$40,Critères!$B$3:$BE$16,D51+2,FALSE),"")</f>
        <v>Existe t-il un dispositif de contrôle adapté et un afficheur de proximité (Hauteur + Vitesse + Débit + Volume) ?</v>
      </c>
      <c r="F51" s="1223"/>
      <c r="G51" s="1223"/>
      <c r="H51" s="1223"/>
      <c r="I51" s="1224"/>
      <c r="J51" s="1222" t="str">
        <f>IFERROR(IF(INDEX(Critères!$B$3:$BE$16, D51+2, MATCH($D$40, Critères!$B$3:$BE$3, 0) + 1)="", "", INDEX(Critères!$B$3:$BE$16, D51+2, MATCH($D$40, Critères!$B$3:$BE$3, 0) + 1)), "")</f>
        <v/>
      </c>
      <c r="K51" s="1223"/>
      <c r="L51" s="1223"/>
      <c r="M51" s="1224"/>
      <c r="N51" s="1225" t="s">
        <v>124</v>
      </c>
      <c r="O51" s="1226"/>
      <c r="P51" s="742">
        <f>IF(N51="Oui",Q51,0)</f>
        <v>10</v>
      </c>
      <c r="Q51" s="742">
        <f>IFERROR(INDEX(Critères!$B$3:$BE$16, D51+2, MATCH($D$40, Critères!$B$3:$BE$3, 0) + 2),"")</f>
        <v>10</v>
      </c>
      <c r="R51" s="803" t="s">
        <v>779</v>
      </c>
      <c r="S51" s="580"/>
      <c r="U51" s="617" t="str">
        <f>IFERROR(INDEX(Critères!$B$3:$BE$16, D51+2, MATCH($D$40, Critères!$B$3:$BE$3, 0) + 3),"")</f>
        <v>LISTE_1</v>
      </c>
    </row>
    <row r="52" spans="2:21" ht="20.100000000000001" customHeight="1" outlineLevel="1" x14ac:dyDescent="0.4">
      <c r="B52" s="578"/>
      <c r="C52" s="624"/>
      <c r="D52" s="1215" t="s">
        <v>75</v>
      </c>
      <c r="E52" s="1216"/>
      <c r="F52" s="1216"/>
      <c r="G52" s="1216"/>
      <c r="H52" s="1216"/>
      <c r="I52" s="1216"/>
      <c r="J52" s="1216"/>
      <c r="K52" s="1216"/>
      <c r="L52" s="1216"/>
      <c r="M52" s="1217"/>
      <c r="N52" s="1218" t="s">
        <v>413</v>
      </c>
      <c r="O52" s="1218"/>
      <c r="P52" s="1218" t="s">
        <v>64</v>
      </c>
      <c r="Q52" s="1218"/>
      <c r="R52" s="625"/>
      <c r="S52" s="580"/>
    </row>
    <row r="53" spans="2:21" ht="99.95" customHeight="1" outlineLevel="1" x14ac:dyDescent="0.4">
      <c r="B53" s="578"/>
      <c r="C53" s="624"/>
      <c r="D53" s="1064"/>
      <c r="E53" s="1219"/>
      <c r="F53" s="1219"/>
      <c r="G53" s="1219"/>
      <c r="H53" s="1219"/>
      <c r="I53" s="1219"/>
      <c r="J53" s="1219"/>
      <c r="K53" s="1219"/>
      <c r="L53" s="1219"/>
      <c r="M53" s="1063"/>
      <c r="N53" s="1064" t="s">
        <v>176</v>
      </c>
      <c r="O53" s="1063"/>
      <c r="P53" s="1220">
        <f>IF(SUM(P42:P51)&gt;100,100,SUM(P42:P51))</f>
        <v>80</v>
      </c>
      <c r="Q53" s="1221"/>
      <c r="R53" s="625"/>
      <c r="S53" s="580"/>
    </row>
    <row r="54" spans="2:21" ht="20.100000000000001" customHeight="1" outlineLevel="1" thickBot="1" x14ac:dyDescent="0.45">
      <c r="B54" s="578"/>
      <c r="C54" s="665"/>
      <c r="D54" s="667"/>
      <c r="E54" s="667"/>
      <c r="F54" s="667"/>
      <c r="G54" s="667"/>
      <c r="H54" s="667"/>
      <c r="I54" s="667"/>
      <c r="J54" s="667"/>
      <c r="K54" s="667"/>
      <c r="L54" s="667"/>
      <c r="M54" s="667"/>
      <c r="N54" s="667"/>
      <c r="O54" s="667"/>
      <c r="P54" s="667"/>
      <c r="Q54" s="667"/>
      <c r="R54" s="666"/>
      <c r="S54" s="580"/>
    </row>
    <row r="55" spans="2:21" ht="10.199999999999999" customHeight="1" thickTop="1" thickBot="1" x14ac:dyDescent="0.45">
      <c r="B55" s="578"/>
      <c r="C55" s="579"/>
      <c r="D55" s="579"/>
      <c r="E55" s="579"/>
      <c r="F55" s="579"/>
      <c r="G55" s="579"/>
      <c r="H55" s="579"/>
      <c r="I55" s="579"/>
      <c r="J55" s="579"/>
      <c r="K55" s="579"/>
      <c r="L55" s="579"/>
      <c r="M55" s="579"/>
      <c r="N55" s="579"/>
      <c r="O55" s="579"/>
      <c r="P55" s="579"/>
      <c r="Q55" s="579"/>
      <c r="R55" s="579"/>
      <c r="S55" s="580"/>
    </row>
    <row r="56" spans="2:21" ht="20.100000000000001" customHeight="1" thickTop="1" thickBot="1" x14ac:dyDescent="0.45">
      <c r="B56" s="578"/>
      <c r="C56" s="1119" t="s">
        <v>256</v>
      </c>
      <c r="D56" s="1120"/>
      <c r="E56" s="1120"/>
      <c r="F56" s="1120"/>
      <c r="G56" s="1120"/>
      <c r="H56" s="1120"/>
      <c r="I56" s="1120"/>
      <c r="J56" s="1120"/>
      <c r="K56" s="1120"/>
      <c r="L56" s="1120"/>
      <c r="M56" s="1120"/>
      <c r="N56" s="1120"/>
      <c r="O56" s="1120"/>
      <c r="P56" s="1120"/>
      <c r="Q56" s="1120"/>
      <c r="R56" s="1141"/>
      <c r="S56" s="580"/>
    </row>
    <row r="57" spans="2:21" ht="20.100000000000001" customHeight="1" outlineLevel="1" thickTop="1" x14ac:dyDescent="0.4">
      <c r="B57" s="578"/>
      <c r="C57" s="1208" t="s">
        <v>732</v>
      </c>
      <c r="D57" s="1209"/>
      <c r="E57" s="1209"/>
      <c r="F57" s="1209"/>
      <c r="G57" s="1209"/>
      <c r="H57" s="1209"/>
      <c r="I57" s="1209"/>
      <c r="J57" s="1209"/>
      <c r="K57" s="1209"/>
      <c r="L57" s="1209"/>
      <c r="M57" s="1209"/>
      <c r="N57" s="1209"/>
      <c r="O57" s="1209"/>
      <c r="P57" s="1209"/>
      <c r="Q57" s="1209"/>
      <c r="R57" s="1210"/>
      <c r="S57" s="580"/>
    </row>
    <row r="58" spans="2:21" ht="20.100000000000001" customHeight="1" outlineLevel="1" x14ac:dyDescent="0.4">
      <c r="B58" s="578"/>
      <c r="C58" s="1211"/>
      <c r="D58" s="1209"/>
      <c r="E58" s="1209"/>
      <c r="F58" s="1209"/>
      <c r="G58" s="1209"/>
      <c r="H58" s="1209"/>
      <c r="I58" s="1209"/>
      <c r="J58" s="1209"/>
      <c r="K58" s="1209"/>
      <c r="L58" s="1209"/>
      <c r="M58" s="1209"/>
      <c r="N58" s="1209"/>
      <c r="O58" s="1209"/>
      <c r="P58" s="1209"/>
      <c r="Q58" s="1209"/>
      <c r="R58" s="1210"/>
      <c r="S58" s="580"/>
    </row>
    <row r="59" spans="2:21" ht="20.100000000000001" customHeight="1" outlineLevel="1" x14ac:dyDescent="0.4">
      <c r="B59" s="578"/>
      <c r="C59" s="1211"/>
      <c r="D59" s="1209"/>
      <c r="E59" s="1209"/>
      <c r="F59" s="1209"/>
      <c r="G59" s="1209"/>
      <c r="H59" s="1209"/>
      <c r="I59" s="1209"/>
      <c r="J59" s="1209"/>
      <c r="K59" s="1209"/>
      <c r="L59" s="1209"/>
      <c r="M59" s="1209"/>
      <c r="N59" s="1209"/>
      <c r="O59" s="1209"/>
      <c r="P59" s="1209"/>
      <c r="Q59" s="1209"/>
      <c r="R59" s="1210"/>
      <c r="S59" s="580"/>
    </row>
    <row r="60" spans="2:21" ht="20.100000000000001" customHeight="1" outlineLevel="1" x14ac:dyDescent="0.4">
      <c r="B60" s="578"/>
      <c r="C60" s="1211"/>
      <c r="D60" s="1209"/>
      <c r="E60" s="1209"/>
      <c r="F60" s="1209"/>
      <c r="G60" s="1209"/>
      <c r="H60" s="1209"/>
      <c r="I60" s="1209"/>
      <c r="J60" s="1209"/>
      <c r="K60" s="1209"/>
      <c r="L60" s="1209"/>
      <c r="M60" s="1209"/>
      <c r="N60" s="1209"/>
      <c r="O60" s="1209"/>
      <c r="P60" s="1209"/>
      <c r="Q60" s="1209"/>
      <c r="R60" s="1210"/>
      <c r="S60" s="580"/>
    </row>
    <row r="61" spans="2:21" ht="20.100000000000001" customHeight="1" outlineLevel="1" thickBot="1" x14ac:dyDescent="0.45">
      <c r="B61" s="578"/>
      <c r="C61" s="1212"/>
      <c r="D61" s="1213"/>
      <c r="E61" s="1213"/>
      <c r="F61" s="1213"/>
      <c r="G61" s="1213"/>
      <c r="H61" s="1213"/>
      <c r="I61" s="1213"/>
      <c r="J61" s="1213"/>
      <c r="K61" s="1213"/>
      <c r="L61" s="1213"/>
      <c r="M61" s="1213"/>
      <c r="N61" s="1213"/>
      <c r="O61" s="1213"/>
      <c r="P61" s="1213"/>
      <c r="Q61" s="1213"/>
      <c r="R61" s="1214"/>
      <c r="S61" s="580"/>
    </row>
    <row r="62" spans="2:21" ht="10.199999999999999" customHeight="1" thickTop="1" x14ac:dyDescent="0.4">
      <c r="B62" s="581"/>
      <c r="C62" s="582"/>
      <c r="D62" s="582"/>
      <c r="E62" s="582"/>
      <c r="F62" s="582"/>
      <c r="G62" s="582"/>
      <c r="H62" s="582"/>
      <c r="I62" s="582"/>
      <c r="J62" s="582"/>
      <c r="K62" s="582"/>
      <c r="L62" s="582"/>
      <c r="M62" s="582"/>
      <c r="N62" s="582"/>
      <c r="O62" s="582"/>
      <c r="P62" s="582"/>
      <c r="Q62" s="582"/>
      <c r="R62" s="582"/>
      <c r="S62" s="583"/>
    </row>
  </sheetData>
  <mergeCells count="123">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D16:F16"/>
    <mergeCell ref="G16:J16"/>
    <mergeCell ref="K16:M16"/>
    <mergeCell ref="N16:Q16"/>
    <mergeCell ref="D18:F18"/>
    <mergeCell ref="G18:Q18"/>
    <mergeCell ref="D14:F14"/>
    <mergeCell ref="G14:J14"/>
    <mergeCell ref="K14:M14"/>
    <mergeCell ref="N14:Q14"/>
    <mergeCell ref="D15:F15"/>
    <mergeCell ref="G15:J15"/>
    <mergeCell ref="K15:M15"/>
    <mergeCell ref="N15:Q15"/>
    <mergeCell ref="D19:Q19"/>
    <mergeCell ref="D20:F20"/>
    <mergeCell ref="G20:J20"/>
    <mergeCell ref="K20:M20"/>
    <mergeCell ref="N20:Q20"/>
    <mergeCell ref="D21:F21"/>
    <mergeCell ref="G21:J21"/>
    <mergeCell ref="K21:M21"/>
    <mergeCell ref="N21:Q21"/>
    <mergeCell ref="D22:F22"/>
    <mergeCell ref="G22:J22"/>
    <mergeCell ref="K22:M22"/>
    <mergeCell ref="N22:Q22"/>
    <mergeCell ref="D24:Q24"/>
    <mergeCell ref="D25:G25"/>
    <mergeCell ref="H25:K25"/>
    <mergeCell ref="L25:O25"/>
    <mergeCell ref="P25:Q25"/>
    <mergeCell ref="I34:J34"/>
    <mergeCell ref="I35:J35"/>
    <mergeCell ref="C38:R38"/>
    <mergeCell ref="D40:Q40"/>
    <mergeCell ref="D41:I41"/>
    <mergeCell ref="J41:M41"/>
    <mergeCell ref="N41:O41"/>
    <mergeCell ref="D32:M32"/>
    <mergeCell ref="N32:O32"/>
    <mergeCell ref="D33:F33"/>
    <mergeCell ref="G33:H33"/>
    <mergeCell ref="I33:J33"/>
    <mergeCell ref="K33:M33"/>
    <mergeCell ref="N33:P33"/>
    <mergeCell ref="E44:I44"/>
    <mergeCell ref="J44:M44"/>
    <mergeCell ref="N44:O44"/>
    <mergeCell ref="E45:I45"/>
    <mergeCell ref="J45:M45"/>
    <mergeCell ref="N45:O45"/>
    <mergeCell ref="E42:I42"/>
    <mergeCell ref="J42:M42"/>
    <mergeCell ref="N42:O42"/>
    <mergeCell ref="E43:I43"/>
    <mergeCell ref="J43:M43"/>
    <mergeCell ref="N43:O43"/>
    <mergeCell ref="E48:I48"/>
    <mergeCell ref="J48:M48"/>
    <mergeCell ref="N48:O48"/>
    <mergeCell ref="E49:I49"/>
    <mergeCell ref="J49:M49"/>
    <mergeCell ref="N49:O49"/>
    <mergeCell ref="E46:I46"/>
    <mergeCell ref="J46:M46"/>
    <mergeCell ref="N46:O46"/>
    <mergeCell ref="E47:I47"/>
    <mergeCell ref="J47:M47"/>
    <mergeCell ref="N47:O4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s>
  <conditionalFormatting sqref="J27:J30">
    <cfRule type="expression" dxfId="853" priority="6" stopIfTrue="1">
      <formula>ABS(J27)&gt;=$E27</formula>
    </cfRule>
    <cfRule type="expression" dxfId="852" priority="7">
      <formula>ABS(J27)&lt;$E27</formula>
    </cfRule>
  </conditionalFormatting>
  <conditionalFormatting sqref="K27:K30">
    <cfRule type="expression" dxfId="851" priority="14" stopIfTrue="1">
      <formula>ABS(K27)&gt;=$G27</formula>
    </cfRule>
    <cfRule type="expression" dxfId="850" priority="15">
      <formula>ABS(K27)&lt;$G27</formula>
    </cfRule>
  </conditionalFormatting>
  <conditionalFormatting sqref="M35">
    <cfRule type="expression" dxfId="849" priority="10">
      <formula>ABS(M35)&gt;=$F35</formula>
    </cfRule>
    <cfRule type="expression" dxfId="848" priority="11">
      <formula>ABS(M35)&lt;$F35</formula>
    </cfRule>
  </conditionalFormatting>
  <conditionalFormatting sqref="O27:O30">
    <cfRule type="expression" dxfId="847" priority="12" stopIfTrue="1">
      <formula>ABS(O27*100)&gt;=$E27</formula>
    </cfRule>
    <cfRule type="expression" dxfId="846" priority="13">
      <formula>ABS(O27*100)&lt;$E27</formula>
    </cfRule>
  </conditionalFormatting>
  <conditionalFormatting sqref="P27:P30">
    <cfRule type="expression" dxfId="845" priority="2" stopIfTrue="1">
      <formula>ABS(P27)&gt;=$E27</formula>
    </cfRule>
    <cfRule type="expression" dxfId="844" priority="3">
      <formula>ABS(P27)&lt;$E27</formula>
    </cfRule>
  </conditionalFormatting>
  <conditionalFormatting sqref="P32">
    <cfRule type="expression" dxfId="843" priority="1">
      <formula>$P$32&lt;&gt;""</formula>
    </cfRule>
  </conditionalFormatting>
  <conditionalFormatting sqref="P35">
    <cfRule type="expression" dxfId="842" priority="8">
      <formula>ABS(P35)&gt;=$F35</formula>
    </cfRule>
    <cfRule type="expression" dxfId="841" priority="9">
      <formula>ABS(P35)&lt;$F35</formula>
    </cfRule>
  </conditionalFormatting>
  <conditionalFormatting sqref="Q27:Q30">
    <cfRule type="expression" dxfId="840" priority="4" stopIfTrue="1">
      <formula>ABS(Q27)&gt;=$G27</formula>
    </cfRule>
    <cfRule type="expression" dxfId="839" priority="5">
      <formula>ABS(Q27)&lt;$G27</formula>
    </cfRule>
  </conditionalFormatting>
  <dataValidations count="10">
    <dataValidation type="list" allowBlank="1" showInputMessage="1" showErrorMessage="1" sqref="G16:J16 N15:Q15" xr:uid="{5174A708-C91D-4800-90F1-25F2555480CA}">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B8AC29DF-6291-48D3-AA44-C9E68C154D24}">
      <formula1>INDIRECT(U47)</formula1>
    </dataValidation>
    <dataValidation type="list" allowBlank="1" showInputMessage="1" showErrorMessage="1" sqref="N53:O53" xr:uid="{9D3F0FC0-AC88-482E-A333-8429DF07C666}">
      <formula1>LISTE_4</formula1>
    </dataValidation>
    <dataValidation type="list" allowBlank="1" showInputMessage="1" showErrorMessage="1" sqref="N42:O46 N51:O51" xr:uid="{19388632-6720-4030-A63D-9E6700B5C9A5}">
      <formula1>INDIRECT(U42)</formula1>
    </dataValidation>
    <dataValidation type="list" allowBlank="1" showInputMessage="1" showErrorMessage="1" sqref="D40:Q40" xr:uid="{F9A288D6-A97F-4D00-AEFD-3365391151CF}">
      <formula1>Q_Gravitaire</formula1>
    </dataValidation>
    <dataValidation type="list" allowBlank="1" showInputMessage="1" showErrorMessage="1" sqref="N21:Q21" xr:uid="{182BD4E5-6A2B-49C0-A7FC-8321F716103D}">
      <formula1>Eq_h_controle</formula1>
    </dataValidation>
    <dataValidation type="list" allowBlank="1" showInputMessage="1" showErrorMessage="1" sqref="G18:Q18" xr:uid="{E2C8D36B-0A27-4006-A6DC-8820C37F50B4}">
      <formula1>Méthode</formula1>
    </dataValidation>
    <dataValidation type="list" allowBlank="1" showInputMessage="1" showErrorMessage="1" sqref="N12" xr:uid="{C5CC1DC6-55BB-4954-8EEE-CBC57401D8EE}">
      <formula1>Conformité</formula1>
    </dataValidation>
    <dataValidation type="list" allowBlank="1" showInputMessage="1" showErrorMessage="1" sqref="N11" xr:uid="{B95D52EF-828A-4973-BF97-C9D25D05C3C3}">
      <formula1>Frequence</formula1>
    </dataValidation>
    <dataValidation type="list" allowBlank="1" showInputMessage="1" showErrorMessage="1" sqref="G15:J15" xr:uid="{FF9D12A6-1CC3-4D54-B4D6-088208CD70DD}">
      <formula1>Type_capteur</formula1>
    </dataValidation>
  </dataValidations>
  <pageMargins left="0.7" right="0.7" top="0.75" bottom="0.75" header="0.3" footer="0.3"/>
  <pageSetup paperSize="9" scale="34"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0193-DA58-44D4-BFE4-CFE57893A100}">
  <sheetPr codeName="Feuil15">
    <tabColor rgb="FF16365C"/>
  </sheetPr>
  <dimension ref="B1:Z59"/>
  <sheetViews>
    <sheetView showGridLines="0" topLeftCell="A40" zoomScale="85" zoomScaleNormal="85" workbookViewId="0">
      <selection activeCell="N48" sqref="N48:O48"/>
    </sheetView>
  </sheetViews>
  <sheetFormatPr baseColWidth="10" defaultColWidth="10.703125" defaultRowHeight="20.100000000000001" customHeight="1" outlineLevelRow="1" x14ac:dyDescent="0.4"/>
  <cols>
    <col min="1" max="2" width="2.703125" style="594" customWidth="1"/>
    <col min="3" max="18" width="10.703125" style="594"/>
    <col min="19" max="19" width="2.703125" style="594" customWidth="1"/>
    <col min="20" max="20" width="2.703125" style="586" customWidth="1"/>
    <col min="21" max="26" width="10.703125" style="586"/>
    <col min="27" max="16384" width="10.703125" style="594"/>
  </cols>
  <sheetData>
    <row r="1" spans="2:21" ht="9.9499999999999993" customHeight="1" thickBot="1" x14ac:dyDescent="0.45">
      <c r="B1" s="554"/>
      <c r="C1" s="555"/>
      <c r="D1" s="555"/>
      <c r="E1" s="555"/>
      <c r="F1" s="555"/>
      <c r="G1" s="555"/>
      <c r="H1" s="555"/>
      <c r="I1" s="555"/>
      <c r="J1" s="555"/>
      <c r="K1" s="555"/>
      <c r="L1" s="555"/>
      <c r="M1" s="555"/>
      <c r="N1" s="555"/>
      <c r="O1" s="555"/>
      <c r="P1" s="555"/>
      <c r="Q1" s="555"/>
      <c r="R1" s="555"/>
      <c r="S1" s="556"/>
    </row>
    <row r="2" spans="2:21" ht="30" customHeight="1" thickTop="1" x14ac:dyDescent="0.4">
      <c r="B2" s="558"/>
      <c r="C2" s="1277" t="s">
        <v>539</v>
      </c>
      <c r="D2" s="1278"/>
      <c r="E2" s="1278"/>
      <c r="F2" s="1278"/>
      <c r="G2" s="1278"/>
      <c r="H2" s="1278"/>
      <c r="I2" s="1278"/>
      <c r="J2" s="1278"/>
      <c r="K2" s="1278"/>
      <c r="L2" s="1278"/>
      <c r="M2" s="1278"/>
      <c r="N2" s="1278"/>
      <c r="O2" s="1278"/>
      <c r="P2" s="1278"/>
      <c r="Q2" s="1278"/>
      <c r="R2" s="1279"/>
      <c r="S2" s="559"/>
    </row>
    <row r="3" spans="2:21" ht="20.100000000000001" customHeight="1" x14ac:dyDescent="0.4">
      <c r="B3" s="751"/>
      <c r="C3" s="1261" t="s">
        <v>578</v>
      </c>
      <c r="D3" s="1262"/>
      <c r="E3" s="1263" t="str">
        <f>IF(ISBLANK(Descriptif!N3),"",Descriptif!N3)</f>
        <v>BARJAC (30)</v>
      </c>
      <c r="F3" s="1263"/>
      <c r="G3" s="1263"/>
      <c r="H3" s="1262" t="s">
        <v>540</v>
      </c>
      <c r="I3" s="1262"/>
      <c r="J3" s="1263" t="s">
        <v>657</v>
      </c>
      <c r="K3" s="1263"/>
      <c r="L3" s="1263"/>
      <c r="M3" s="1264" t="s">
        <v>486</v>
      </c>
      <c r="N3" s="1264"/>
      <c r="O3" s="1264"/>
      <c r="P3" s="1263" t="str">
        <f>IF(ISBLANK(Descriptif!T3),"",Descriptif!G6)</f>
        <v/>
      </c>
      <c r="Q3" s="1263"/>
      <c r="R3" s="1265"/>
      <c r="S3" s="752"/>
    </row>
    <row r="4" spans="2:21" ht="20.100000000000001" customHeight="1" x14ac:dyDescent="0.4">
      <c r="B4" s="751"/>
      <c r="C4" s="1261" t="s">
        <v>541</v>
      </c>
      <c r="D4" s="1262"/>
      <c r="E4" s="1263" t="str">
        <f>IF(ISBLANK(Descriptif!N4),"",Descriptif!N4)</f>
        <v>060930290002</v>
      </c>
      <c r="F4" s="1263"/>
      <c r="G4" s="1263"/>
      <c r="H4" s="1262" t="s">
        <v>542</v>
      </c>
      <c r="I4" s="1262"/>
      <c r="J4" s="1263" t="s">
        <v>657</v>
      </c>
      <c r="K4" s="1263"/>
      <c r="L4" s="1263"/>
      <c r="M4" s="1264" t="s">
        <v>543</v>
      </c>
      <c r="N4" s="1264"/>
      <c r="O4" s="1264"/>
      <c r="P4" s="1263"/>
      <c r="Q4" s="1263"/>
      <c r="R4" s="1265"/>
      <c r="S4" s="752"/>
    </row>
    <row r="5" spans="2:21" ht="20.100000000000001" customHeight="1" x14ac:dyDescent="0.4">
      <c r="B5" s="751"/>
      <c r="C5" s="1261" t="s">
        <v>544</v>
      </c>
      <c r="D5" s="1262"/>
      <c r="E5" s="1263" t="str">
        <f>IF(ISBLANK(Descriptif!G5),"",Descriptif!G5)</f>
        <v>Commune de Barjac</v>
      </c>
      <c r="F5" s="1263"/>
      <c r="G5" s="1263"/>
      <c r="H5" s="1262" t="s">
        <v>545</v>
      </c>
      <c r="I5" s="1262"/>
      <c r="J5" s="1263" t="s">
        <v>165</v>
      </c>
      <c r="K5" s="1263"/>
      <c r="L5" s="1263"/>
      <c r="M5" s="1264" t="s">
        <v>546</v>
      </c>
      <c r="N5" s="1264"/>
      <c r="O5" s="1264"/>
      <c r="P5" s="1263"/>
      <c r="Q5" s="1263"/>
      <c r="R5" s="1265"/>
      <c r="S5" s="752"/>
    </row>
    <row r="6" spans="2:21" ht="20.100000000000001" customHeight="1" thickBot="1" x14ac:dyDescent="0.45">
      <c r="B6" s="751"/>
      <c r="C6" s="1256" t="s">
        <v>547</v>
      </c>
      <c r="D6" s="1257"/>
      <c r="E6" s="1258" t="str">
        <f>IF(ISBLANK(Descriptif!T6),"",Descriptif!T6)</f>
        <v/>
      </c>
      <c r="F6" s="1258"/>
      <c r="G6" s="1258"/>
      <c r="H6" s="1257" t="s">
        <v>781</v>
      </c>
      <c r="I6" s="1257"/>
      <c r="J6" s="1258" t="s">
        <v>408</v>
      </c>
      <c r="K6" s="1258"/>
      <c r="L6" s="1258"/>
      <c r="M6" s="1259" t="s">
        <v>549</v>
      </c>
      <c r="N6" s="1259"/>
      <c r="O6" s="1259"/>
      <c r="P6" s="1258"/>
      <c r="Q6" s="1258"/>
      <c r="R6" s="1260"/>
      <c r="S6" s="752"/>
    </row>
    <row r="7" spans="2:21" ht="9.9499999999999993" customHeight="1" thickTop="1" thickBot="1" x14ac:dyDescent="0.45">
      <c r="B7" s="560"/>
      <c r="C7" s="587"/>
      <c r="D7" s="587"/>
      <c r="E7" s="587"/>
      <c r="F7" s="587"/>
      <c r="G7" s="587"/>
      <c r="H7" s="587"/>
      <c r="I7" s="587"/>
      <c r="J7" s="587"/>
      <c r="K7" s="587"/>
      <c r="L7" s="587"/>
      <c r="M7" s="587"/>
      <c r="N7" s="587"/>
      <c r="O7" s="587"/>
      <c r="P7" s="587"/>
      <c r="Q7" s="587"/>
      <c r="R7" s="587"/>
      <c r="S7" s="562"/>
    </row>
    <row r="8" spans="2:21" ht="20.100000000000001" customHeight="1" thickTop="1" thickBot="1" x14ac:dyDescent="0.45">
      <c r="B8" s="560"/>
      <c r="C8" s="1119" t="s">
        <v>658</v>
      </c>
      <c r="D8" s="1120"/>
      <c r="E8" s="1120"/>
      <c r="F8" s="1120"/>
      <c r="G8" s="1120"/>
      <c r="H8" s="1120"/>
      <c r="I8" s="1120"/>
      <c r="J8" s="1120"/>
      <c r="K8" s="1120"/>
      <c r="L8" s="1120"/>
      <c r="M8" s="1120"/>
      <c r="N8" s="1120"/>
      <c r="O8" s="1120"/>
      <c r="P8" s="1120"/>
      <c r="Q8" s="1120"/>
      <c r="R8" s="1141"/>
      <c r="S8" s="562"/>
    </row>
    <row r="9" spans="2:21" ht="20.100000000000001" customHeight="1" outlineLevel="1" thickTop="1" x14ac:dyDescent="0.4">
      <c r="B9" s="560"/>
      <c r="C9" s="588"/>
      <c r="D9" s="587"/>
      <c r="E9" s="587"/>
      <c r="F9" s="587"/>
      <c r="G9" s="587"/>
      <c r="H9" s="587"/>
      <c r="I9" s="587"/>
      <c r="J9" s="587"/>
      <c r="K9" s="587"/>
      <c r="L9" s="587"/>
      <c r="M9" s="587"/>
      <c r="N9" s="587"/>
      <c r="O9" s="587"/>
      <c r="P9" s="587"/>
      <c r="Q9" s="587"/>
      <c r="R9" s="589"/>
      <c r="S9" s="562"/>
    </row>
    <row r="10" spans="2:21" ht="20.100000000000001" customHeight="1" outlineLevel="1" x14ac:dyDescent="0.4">
      <c r="B10" s="578"/>
      <c r="C10" s="588"/>
      <c r="D10" s="1101" t="s">
        <v>659</v>
      </c>
      <c r="E10" s="1102"/>
      <c r="F10" s="1102"/>
      <c r="G10" s="1102"/>
      <c r="H10" s="1102"/>
      <c r="I10" s="1102"/>
      <c r="J10" s="1102"/>
      <c r="K10" s="1102"/>
      <c r="L10" s="1102"/>
      <c r="M10" s="1102"/>
      <c r="N10" s="1102"/>
      <c r="O10" s="1102"/>
      <c r="P10" s="1102"/>
      <c r="Q10" s="1123"/>
      <c r="R10" s="589"/>
      <c r="S10" s="580"/>
    </row>
    <row r="11" spans="2:21" ht="20.100000000000001" customHeight="1" outlineLevel="1" x14ac:dyDescent="0.4">
      <c r="B11" s="578"/>
      <c r="C11" s="588"/>
      <c r="D11" s="1242" t="s">
        <v>660</v>
      </c>
      <c r="E11" s="1243"/>
      <c r="F11" s="1244"/>
      <c r="G11" s="1280" t="s">
        <v>746</v>
      </c>
      <c r="H11" s="1281"/>
      <c r="I11" s="1281"/>
      <c r="J11" s="1281"/>
      <c r="K11" s="1281"/>
      <c r="L11" s="1281"/>
      <c r="M11" s="1281"/>
      <c r="N11" s="1281"/>
      <c r="O11" s="1281"/>
      <c r="P11" s="1281"/>
      <c r="Q11" s="1282"/>
      <c r="R11" s="589"/>
      <c r="S11" s="580"/>
    </row>
    <row r="12" spans="2:21" ht="20.100000000000001" customHeight="1" outlineLevel="1" x14ac:dyDescent="0.4">
      <c r="B12" s="578"/>
      <c r="C12" s="588"/>
      <c r="D12" s="1242" t="s">
        <v>387</v>
      </c>
      <c r="E12" s="1243"/>
      <c r="F12" s="1244"/>
      <c r="G12" s="1245" t="s">
        <v>747</v>
      </c>
      <c r="H12" s="1246"/>
      <c r="I12" s="1246"/>
      <c r="J12" s="1247"/>
      <c r="K12" s="1242" t="s">
        <v>661</v>
      </c>
      <c r="L12" s="1243"/>
      <c r="M12" s="1244"/>
      <c r="N12" s="1245" t="s">
        <v>750</v>
      </c>
      <c r="O12" s="1246"/>
      <c r="P12" s="1246"/>
      <c r="Q12" s="1247"/>
      <c r="R12" s="589"/>
      <c r="S12" s="580"/>
    </row>
    <row r="13" spans="2:21" ht="20.100000000000001" customHeight="1" outlineLevel="1" x14ac:dyDescent="0.4">
      <c r="B13" s="578"/>
      <c r="C13" s="588"/>
      <c r="D13" s="1242" t="s">
        <v>386</v>
      </c>
      <c r="E13" s="1243"/>
      <c r="F13" s="1244"/>
      <c r="G13" s="1245" t="s">
        <v>748</v>
      </c>
      <c r="H13" s="1246"/>
      <c r="I13" s="1246"/>
      <c r="J13" s="1247"/>
      <c r="K13" s="1242" t="s">
        <v>662</v>
      </c>
      <c r="L13" s="1243"/>
      <c r="M13" s="1244"/>
      <c r="N13" s="1245">
        <v>6.3</v>
      </c>
      <c r="O13" s="1246"/>
      <c r="P13" s="1246"/>
      <c r="Q13" s="1247"/>
      <c r="R13" s="589"/>
      <c r="S13" s="580"/>
    </row>
    <row r="14" spans="2:21" ht="20.100000000000001" customHeight="1" outlineLevel="1" x14ac:dyDescent="0.4">
      <c r="B14" s="578"/>
      <c r="C14" s="792"/>
      <c r="D14" s="1242" t="s">
        <v>663</v>
      </c>
      <c r="E14" s="1243"/>
      <c r="F14" s="1244"/>
      <c r="G14" s="1245" t="s">
        <v>124</v>
      </c>
      <c r="H14" s="1246"/>
      <c r="I14" s="1246"/>
      <c r="J14" s="1247"/>
      <c r="K14" s="1242" t="s">
        <v>664</v>
      </c>
      <c r="L14" s="1243"/>
      <c r="M14" s="1244"/>
      <c r="N14" s="1245">
        <v>12</v>
      </c>
      <c r="O14" s="1246"/>
      <c r="P14" s="1246"/>
      <c r="Q14" s="1247"/>
      <c r="R14" s="589"/>
      <c r="S14" s="580"/>
      <c r="U14" s="586" t="str">
        <f>IF(N14&lt;&gt;"",IF(N14&gt;=9,"Validé","Non validé"),"Non contrôlé")</f>
        <v>Validé</v>
      </c>
    </row>
    <row r="15" spans="2:21" ht="20.100000000000001" customHeight="1" outlineLevel="1" x14ac:dyDescent="0.4">
      <c r="B15" s="578"/>
      <c r="C15" s="588"/>
      <c r="D15" s="1242" t="s">
        <v>665</v>
      </c>
      <c r="E15" s="1243"/>
      <c r="F15" s="1244"/>
      <c r="G15" s="1245" t="s">
        <v>749</v>
      </c>
      <c r="H15" s="1246"/>
      <c r="I15" s="1246"/>
      <c r="J15" s="1247"/>
      <c r="K15" s="1242" t="s">
        <v>666</v>
      </c>
      <c r="L15" s="1243"/>
      <c r="M15" s="1244"/>
      <c r="N15" s="1245">
        <v>5</v>
      </c>
      <c r="O15" s="1246"/>
      <c r="P15" s="1246"/>
      <c r="Q15" s="1247"/>
      <c r="R15" s="589"/>
      <c r="S15" s="580"/>
    </row>
    <row r="16" spans="2:21" ht="20.100000000000001" customHeight="1" outlineLevel="1" x14ac:dyDescent="0.4">
      <c r="B16" s="578"/>
      <c r="C16" s="588"/>
      <c r="D16" s="587"/>
      <c r="E16" s="587"/>
      <c r="F16" s="587"/>
      <c r="G16" s="587"/>
      <c r="H16" s="587"/>
      <c r="I16" s="587"/>
      <c r="J16" s="587"/>
      <c r="K16" s="587"/>
      <c r="L16" s="587"/>
      <c r="M16" s="587"/>
      <c r="N16" s="587"/>
      <c r="O16" s="587"/>
      <c r="P16" s="587"/>
      <c r="Q16" s="587"/>
      <c r="R16" s="589"/>
      <c r="S16" s="580"/>
    </row>
    <row r="17" spans="2:22" ht="20.100000000000001" customHeight="1" outlineLevel="1" x14ac:dyDescent="0.4">
      <c r="B17" s="578"/>
      <c r="C17" s="588"/>
      <c r="D17" s="1101" t="s">
        <v>667</v>
      </c>
      <c r="E17" s="1102"/>
      <c r="F17" s="1102"/>
      <c r="G17" s="1102"/>
      <c r="H17" s="1102"/>
      <c r="I17" s="1102"/>
      <c r="J17" s="1102"/>
      <c r="K17" s="1102"/>
      <c r="L17" s="1102"/>
      <c r="M17" s="1102"/>
      <c r="N17" s="590"/>
      <c r="O17" s="754"/>
      <c r="P17" s="754"/>
      <c r="Q17" s="754"/>
      <c r="R17" s="589"/>
      <c r="S17" s="580"/>
    </row>
    <row r="18" spans="2:22" ht="30" customHeight="1" outlineLevel="1" x14ac:dyDescent="0.4">
      <c r="B18" s="578"/>
      <c r="C18" s="588"/>
      <c r="D18" s="1292" t="s">
        <v>668</v>
      </c>
      <c r="E18" s="1293"/>
      <c r="F18" s="755" t="s">
        <v>669</v>
      </c>
      <c r="G18" s="756" t="s">
        <v>670</v>
      </c>
      <c r="H18" s="757" t="s">
        <v>671</v>
      </c>
      <c r="I18" s="1294" t="s">
        <v>672</v>
      </c>
      <c r="J18" s="1295"/>
      <c r="K18" s="758" t="s">
        <v>673</v>
      </c>
      <c r="L18" s="1294" t="s">
        <v>674</v>
      </c>
      <c r="M18" s="1296"/>
      <c r="N18" s="508"/>
      <c r="O18" s="508"/>
      <c r="P18" s="508"/>
      <c r="Q18" s="508"/>
      <c r="R18" s="589"/>
      <c r="S18" s="580"/>
    </row>
    <row r="19" spans="2:22" ht="20.100000000000001" customHeight="1" outlineLevel="1" x14ac:dyDescent="0.4">
      <c r="B19" s="578"/>
      <c r="C19" s="588"/>
      <c r="D19" s="1283">
        <v>65</v>
      </c>
      <c r="E19" s="1008"/>
      <c r="F19" s="759">
        <v>68</v>
      </c>
      <c r="G19" s="760">
        <v>66</v>
      </c>
      <c r="H19" s="761">
        <v>68</v>
      </c>
      <c r="I19" s="1284">
        <f>IF(F19&lt;&gt;"",AVERAGE(F19:H19),"")</f>
        <v>67.333333333333329</v>
      </c>
      <c r="J19" s="1285"/>
      <c r="K19" s="762">
        <f>IF(COUNTA(F19:H19)&gt;0,STDEVP(F19:H19),"")</f>
        <v>0.94280904158206336</v>
      </c>
      <c r="L19" s="1286">
        <f>IF(AND(I19&lt;&gt;0, K19&lt;&gt;"",I19&lt;&gt;""),K19/I19,"")</f>
        <v>1.4002114478941535E-2</v>
      </c>
      <c r="M19" s="1287"/>
      <c r="N19" s="587"/>
      <c r="O19" s="587"/>
      <c r="P19" s="587"/>
      <c r="Q19" s="587"/>
      <c r="R19" s="589"/>
      <c r="S19" s="580"/>
      <c r="U19" s="586" t="str">
        <f>IF(I19&lt;&gt;"",IF(AND(I19&gt;=50,ABS(L19)&lt;=0.05),"Validé","Non validé"),"Non contrôlé")</f>
        <v>Validé</v>
      </c>
    </row>
    <row r="20" spans="2:22" ht="20.100000000000001" customHeight="1" outlineLevel="1" x14ac:dyDescent="0.4">
      <c r="B20" s="578"/>
      <c r="C20" s="588"/>
      <c r="D20" s="587"/>
      <c r="E20" s="587"/>
      <c r="F20" s="587"/>
      <c r="G20" s="587"/>
      <c r="H20" s="587"/>
      <c r="I20" s="587"/>
      <c r="J20" s="587"/>
      <c r="K20" s="587"/>
      <c r="L20" s="587"/>
      <c r="M20" s="587"/>
      <c r="N20" s="587"/>
      <c r="O20" s="587"/>
      <c r="P20" s="587"/>
      <c r="Q20" s="587"/>
      <c r="R20" s="589"/>
      <c r="S20" s="580"/>
    </row>
    <row r="21" spans="2:22" ht="20.100000000000001" customHeight="1" outlineLevel="1" x14ac:dyDescent="0.4">
      <c r="B21" s="578"/>
      <c r="C21" s="588"/>
      <c r="D21" s="1101" t="s">
        <v>675</v>
      </c>
      <c r="E21" s="1102"/>
      <c r="F21" s="1102"/>
      <c r="G21" s="1102"/>
      <c r="H21" s="1102"/>
      <c r="I21" s="1241" t="s">
        <v>676</v>
      </c>
      <c r="J21" s="1288"/>
      <c r="K21" s="587"/>
      <c r="L21" s="1289" t="s">
        <v>677</v>
      </c>
      <c r="M21" s="1290"/>
      <c r="N21" s="1290"/>
      <c r="O21" s="1290"/>
      <c r="P21" s="1290"/>
      <c r="Q21" s="1291"/>
      <c r="R21" s="589"/>
      <c r="S21" s="580"/>
    </row>
    <row r="22" spans="2:22" ht="20.100000000000001" customHeight="1" outlineLevel="1" x14ac:dyDescent="0.4">
      <c r="B22" s="578"/>
      <c r="C22" s="588"/>
      <c r="D22" s="1299"/>
      <c r="E22" s="1299"/>
      <c r="F22" s="763" t="s">
        <v>678</v>
      </c>
      <c r="G22" s="764" t="s">
        <v>679</v>
      </c>
      <c r="H22" s="765" t="s">
        <v>680</v>
      </c>
      <c r="I22" s="1300" t="s">
        <v>573</v>
      </c>
      <c r="J22" s="1300"/>
      <c r="K22" s="587"/>
      <c r="L22" s="1301" t="s">
        <v>681</v>
      </c>
      <c r="M22" s="1302"/>
      <c r="N22" s="1302"/>
      <c r="O22" s="1302"/>
      <c r="P22" s="1302"/>
      <c r="Q22" s="1303"/>
      <c r="R22" s="589"/>
      <c r="S22" s="580"/>
    </row>
    <row r="23" spans="2:22" ht="20.100000000000001" customHeight="1" outlineLevel="1" x14ac:dyDescent="0.4">
      <c r="B23" s="578"/>
      <c r="C23" s="588"/>
      <c r="D23" s="1297" t="s">
        <v>682</v>
      </c>
      <c r="E23" s="1297"/>
      <c r="F23" s="744">
        <v>9.75</v>
      </c>
      <c r="G23" s="745">
        <v>10.01</v>
      </c>
      <c r="H23" s="743">
        <v>9.15</v>
      </c>
      <c r="I23" s="1220">
        <f>IF(F23&gt;0,AVERAGE(F23:H23),"")</f>
        <v>9.6366666666666649</v>
      </c>
      <c r="J23" s="1221"/>
      <c r="K23" s="789"/>
      <c r="L23" s="1297" t="s">
        <v>683</v>
      </c>
      <c r="M23" s="1297"/>
      <c r="N23" s="1297"/>
      <c r="O23" s="1297"/>
      <c r="P23" s="1298"/>
      <c r="Q23" s="766">
        <v>0.8</v>
      </c>
      <c r="R23" s="791"/>
      <c r="S23" s="580"/>
    </row>
    <row r="24" spans="2:22" ht="20.100000000000001" customHeight="1" outlineLevel="1" x14ac:dyDescent="0.4">
      <c r="B24" s="578"/>
      <c r="C24" s="588"/>
      <c r="D24" s="1297" t="s">
        <v>684</v>
      </c>
      <c r="E24" s="1297"/>
      <c r="F24" s="767">
        <f>IF(F23&gt;0,N13/F23,"")</f>
        <v>0.64615384615384619</v>
      </c>
      <c r="G24" s="768">
        <f>IF(G23&gt;0,N13/G23,"")</f>
        <v>0.62937062937062938</v>
      </c>
      <c r="H24" s="769">
        <f>IF(H23&gt;0,N13/H23,"")</f>
        <v>0.68852459016393441</v>
      </c>
      <c r="I24" s="1220">
        <f>IF(F24&lt;&gt;"",AVERAGE(F24:H24),"")</f>
        <v>0.6546830218961367</v>
      </c>
      <c r="J24" s="1221"/>
      <c r="K24" s="789"/>
      <c r="L24" s="1297" t="s">
        <v>685</v>
      </c>
      <c r="M24" s="1297"/>
      <c r="N24" s="1297"/>
      <c r="O24" s="1297"/>
      <c r="P24" s="1298"/>
      <c r="Q24" s="766">
        <v>204</v>
      </c>
      <c r="R24" s="589"/>
      <c r="S24" s="580"/>
      <c r="U24" s="586" t="str">
        <f>IF(I24&lt;&gt;"",IF(I24&gt;=0.5,"Validé","Non validé"),"Non contrôlé")</f>
        <v>Validé</v>
      </c>
    </row>
    <row r="25" spans="2:22" ht="20.100000000000001" customHeight="1" outlineLevel="1" x14ac:dyDescent="0.4">
      <c r="B25" s="578"/>
      <c r="C25" s="588"/>
      <c r="D25" s="587"/>
      <c r="E25" s="587"/>
      <c r="F25" s="587"/>
      <c r="G25" s="587"/>
      <c r="H25" s="587"/>
      <c r="I25" s="587"/>
      <c r="J25" s="587"/>
      <c r="K25" s="587"/>
      <c r="L25" s="1297" t="s">
        <v>686</v>
      </c>
      <c r="M25" s="1297"/>
      <c r="N25" s="1297"/>
      <c r="O25" s="1297"/>
      <c r="P25" s="1298"/>
      <c r="Q25" s="770">
        <f>IF(COUNTA(Q23:Q24)&gt;0,TRUNC(Q24/Q23,0),"")</f>
        <v>255</v>
      </c>
      <c r="R25" s="589"/>
      <c r="S25" s="580"/>
    </row>
    <row r="26" spans="2:22" ht="20.100000000000001" customHeight="1" outlineLevel="1" x14ac:dyDescent="0.4">
      <c r="B26" s="578"/>
      <c r="C26" s="588"/>
      <c r="D26" s="1101" t="s">
        <v>687</v>
      </c>
      <c r="E26" s="1102"/>
      <c r="F26" s="1102"/>
      <c r="G26" s="1102"/>
      <c r="H26" s="1102"/>
      <c r="I26" s="1102"/>
      <c r="J26" s="590"/>
      <c r="K26" s="587"/>
      <c r="L26" s="1297" t="s">
        <v>688</v>
      </c>
      <c r="M26" s="1297"/>
      <c r="N26" s="1297"/>
      <c r="O26" s="1297"/>
      <c r="P26" s="1298"/>
      <c r="Q26" s="766">
        <v>86400</v>
      </c>
      <c r="R26" s="791"/>
      <c r="S26" s="580"/>
    </row>
    <row r="27" spans="2:22" ht="30" customHeight="1" outlineLevel="1" x14ac:dyDescent="0.4">
      <c r="B27" s="578"/>
      <c r="C27" s="588"/>
      <c r="D27" s="1304" t="s">
        <v>689</v>
      </c>
      <c r="E27" s="1305"/>
      <c r="F27" s="1304" t="s">
        <v>690</v>
      </c>
      <c r="G27" s="1305"/>
      <c r="H27" s="1306" t="s">
        <v>691</v>
      </c>
      <c r="I27" s="1307"/>
      <c r="J27" s="587"/>
      <c r="K27" s="587"/>
      <c r="L27" s="1297" t="s">
        <v>692</v>
      </c>
      <c r="M27" s="1297"/>
      <c r="N27" s="1297"/>
      <c r="O27" s="1297"/>
      <c r="P27" s="1298"/>
      <c r="Q27" s="771" t="s">
        <v>751</v>
      </c>
      <c r="R27" s="589"/>
      <c r="S27" s="580"/>
    </row>
    <row r="28" spans="2:22" ht="20.100000000000001" customHeight="1" outlineLevel="1" x14ac:dyDescent="0.4">
      <c r="B28" s="578"/>
      <c r="C28" s="588"/>
      <c r="D28" s="1060">
        <v>17170</v>
      </c>
      <c r="E28" s="1060"/>
      <c r="F28" s="1309">
        <f>IF(AND(I19&lt;&gt;"", Q25&lt;&gt;""),(I19*Q25),"")</f>
        <v>17170</v>
      </c>
      <c r="G28" s="1309"/>
      <c r="H28" s="1310">
        <f>IF(AND(D28&gt;0,F28),(D28-F28)/F28,"")</f>
        <v>0</v>
      </c>
      <c r="I28" s="1310"/>
      <c r="J28" s="587"/>
      <c r="K28" s="587"/>
      <c r="L28" s="1311" t="s">
        <v>693</v>
      </c>
      <c r="M28" s="1311"/>
      <c r="N28" s="1311"/>
      <c r="O28" s="1311"/>
      <c r="P28" s="1312"/>
      <c r="Q28" s="772">
        <f>IF(AND(Q26&lt;&gt;"",Q25&lt;&gt;""),Q25/(Q26/3600),"")</f>
        <v>10.625</v>
      </c>
      <c r="R28" s="791"/>
      <c r="S28" s="580"/>
      <c r="U28" s="586" t="str">
        <f>IF(H28&lt;&gt;"",IF(ABS(H28)&lt;0.1,"Validé","Non validé"),"Non contrôlé")</f>
        <v>Validé</v>
      </c>
      <c r="V28" s="586" t="str">
        <f>IF(Q28&lt;&gt;"",IF(Q28&gt;=4,"Validé","Non validé"),"Non contrôlé")</f>
        <v>Validé</v>
      </c>
    </row>
    <row r="29" spans="2:22" ht="20.100000000000001" customHeight="1" outlineLevel="1" x14ac:dyDescent="0.4">
      <c r="B29" s="578"/>
      <c r="C29" s="588"/>
      <c r="D29" s="587"/>
      <c r="E29" s="587"/>
      <c r="F29" s="587"/>
      <c r="G29" s="587"/>
      <c r="H29" s="587"/>
      <c r="I29" s="587"/>
      <c r="J29" s="587"/>
      <c r="K29" s="587"/>
      <c r="L29" s="587"/>
      <c r="M29" s="587"/>
      <c r="N29" s="587"/>
      <c r="O29" s="587"/>
      <c r="P29" s="587"/>
      <c r="Q29" s="587"/>
      <c r="R29" s="589"/>
      <c r="S29" s="580"/>
    </row>
    <row r="30" spans="2:22" ht="20.100000000000001" customHeight="1" outlineLevel="1" x14ac:dyDescent="0.4">
      <c r="B30" s="578"/>
      <c r="C30" s="588"/>
      <c r="D30" s="1101" t="s">
        <v>694</v>
      </c>
      <c r="E30" s="1102"/>
      <c r="F30" s="1102"/>
      <c r="G30" s="1102"/>
      <c r="H30" s="1102"/>
      <c r="I30" s="1123"/>
      <c r="J30" s="587"/>
      <c r="K30" s="1101" t="s">
        <v>695</v>
      </c>
      <c r="L30" s="1102"/>
      <c r="M30" s="1102"/>
      <c r="N30" s="1102"/>
      <c r="O30" s="1102"/>
      <c r="P30" s="1241" t="s">
        <v>696</v>
      </c>
      <c r="Q30" s="1288"/>
      <c r="R30" s="589"/>
      <c r="S30" s="580"/>
    </row>
    <row r="31" spans="2:22" ht="30" customHeight="1" outlineLevel="1" x14ac:dyDescent="0.4">
      <c r="B31" s="578"/>
      <c r="C31" s="588"/>
      <c r="D31" s="1304" t="s">
        <v>697</v>
      </c>
      <c r="E31" s="1305"/>
      <c r="F31" s="1304" t="s">
        <v>698</v>
      </c>
      <c r="G31" s="1305"/>
      <c r="H31" s="1306" t="s">
        <v>699</v>
      </c>
      <c r="I31" s="1307"/>
      <c r="J31" s="587"/>
      <c r="K31" s="773" t="s">
        <v>700</v>
      </c>
      <c r="L31" s="774" t="s">
        <v>701</v>
      </c>
      <c r="M31" s="1304" t="s">
        <v>702</v>
      </c>
      <c r="N31" s="1308"/>
      <c r="O31" s="1304" t="s">
        <v>703</v>
      </c>
      <c r="P31" s="1305"/>
      <c r="Q31" s="775" t="s">
        <v>92</v>
      </c>
      <c r="R31" s="589"/>
      <c r="S31" s="580"/>
    </row>
    <row r="32" spans="2:22" ht="20.100000000000001" customHeight="1" outlineLevel="1" x14ac:dyDescent="0.4">
      <c r="B32" s="578"/>
      <c r="C32" s="588"/>
      <c r="D32" s="1060">
        <v>10.15</v>
      </c>
      <c r="E32" s="1060"/>
      <c r="F32" s="1060">
        <v>10.15</v>
      </c>
      <c r="G32" s="1060"/>
      <c r="H32" s="1310">
        <f>IF(F32&gt;0,(D32-F32)/F32,"")</f>
        <v>0</v>
      </c>
      <c r="I32" s="1310"/>
      <c r="J32" s="587"/>
      <c r="K32" s="776">
        <v>18</v>
      </c>
      <c r="L32" s="746">
        <v>5.7</v>
      </c>
      <c r="M32" s="1060">
        <v>3</v>
      </c>
      <c r="N32" s="1060"/>
      <c r="O32" s="1060">
        <v>4.9000000000000004</v>
      </c>
      <c r="P32" s="1060"/>
      <c r="Q32" s="777" t="str">
        <f>IF(O32&lt;&gt;"",IF(AND(O32&lt;=8,O32&gt;=2),"Oui","Non"),"")</f>
        <v>Oui</v>
      </c>
      <c r="R32" s="589"/>
      <c r="S32" s="580"/>
      <c r="U32" s="586" t="str">
        <f>IF(O32&lt;&gt;"",IF(Q32="Oui","Validé","Non validé"), "Non contrôlé")</f>
        <v>Validé</v>
      </c>
      <c r="V32" s="586" t="str">
        <f>IF(H32&lt;&gt;"",IF(ABS(H32)&lt;0.03,"Validé","Non validé"),"Non contrôlé")</f>
        <v>Validé</v>
      </c>
    </row>
    <row r="33" spans="2:21" ht="20.100000000000001" customHeight="1" outlineLevel="1" thickBot="1" x14ac:dyDescent="0.45">
      <c r="B33" s="578"/>
      <c r="C33" s="591"/>
      <c r="D33" s="592"/>
      <c r="E33" s="592"/>
      <c r="F33" s="592"/>
      <c r="G33" s="592"/>
      <c r="H33" s="778" t="s">
        <v>704</v>
      </c>
      <c r="I33" s="592"/>
      <c r="J33" s="592"/>
      <c r="K33" s="592"/>
      <c r="L33" s="592"/>
      <c r="M33" s="592"/>
      <c r="N33" s="592"/>
      <c r="O33" s="592"/>
      <c r="P33" s="592"/>
      <c r="Q33" s="592"/>
      <c r="R33" s="593"/>
      <c r="S33" s="580"/>
    </row>
    <row r="34" spans="2:21" ht="20.100000000000001" customHeight="1" thickTop="1" thickBot="1" x14ac:dyDescent="0.45">
      <c r="B34" s="578"/>
      <c r="C34" s="587"/>
      <c r="D34" s="587"/>
      <c r="E34" s="587"/>
      <c r="F34" s="587"/>
      <c r="G34" s="587"/>
      <c r="H34" s="587"/>
      <c r="I34" s="587"/>
      <c r="J34" s="587"/>
      <c r="K34" s="587"/>
      <c r="L34" s="587"/>
      <c r="M34" s="587"/>
      <c r="N34" s="587"/>
      <c r="O34" s="587"/>
      <c r="P34" s="587"/>
      <c r="Q34" s="587"/>
      <c r="R34" s="587"/>
      <c r="S34" s="580"/>
    </row>
    <row r="35" spans="2:21" ht="20.100000000000001" customHeight="1" thickTop="1" thickBot="1" x14ac:dyDescent="0.45">
      <c r="B35" s="578"/>
      <c r="C35" s="1119" t="s">
        <v>575</v>
      </c>
      <c r="D35" s="1120"/>
      <c r="E35" s="1120"/>
      <c r="F35" s="1120"/>
      <c r="G35" s="1120"/>
      <c r="H35" s="1120"/>
      <c r="I35" s="1120"/>
      <c r="J35" s="1120"/>
      <c r="K35" s="1120"/>
      <c r="L35" s="1120"/>
      <c r="M35" s="1120"/>
      <c r="N35" s="1120"/>
      <c r="O35" s="1120"/>
      <c r="P35" s="1120"/>
      <c r="Q35" s="1120"/>
      <c r="R35" s="1141"/>
      <c r="S35" s="580"/>
    </row>
    <row r="36" spans="2:21" ht="20.100000000000001" customHeight="1" thickTop="1" x14ac:dyDescent="0.4">
      <c r="B36" s="578"/>
      <c r="C36" s="588"/>
      <c r="D36" s="587"/>
      <c r="E36" s="587"/>
      <c r="F36" s="587"/>
      <c r="G36" s="587"/>
      <c r="H36" s="587"/>
      <c r="I36" s="587"/>
      <c r="J36" s="587"/>
      <c r="K36" s="587"/>
      <c r="L36" s="587"/>
      <c r="M36" s="587"/>
      <c r="N36" s="587"/>
      <c r="O36" s="587"/>
      <c r="P36" s="587"/>
      <c r="Q36" s="587"/>
      <c r="R36" s="589"/>
      <c r="S36" s="580"/>
    </row>
    <row r="37" spans="2:21" ht="30" customHeight="1" x14ac:dyDescent="0.4">
      <c r="B37" s="578"/>
      <c r="C37" s="588"/>
      <c r="D37" s="1229" t="s">
        <v>139</v>
      </c>
      <c r="E37" s="1229"/>
      <c r="F37" s="1229"/>
      <c r="G37" s="1229"/>
      <c r="H37" s="1229"/>
      <c r="I37" s="1229"/>
      <c r="J37" s="1229"/>
      <c r="K37" s="1229"/>
      <c r="L37" s="1229"/>
      <c r="M37" s="1229"/>
      <c r="N37" s="1229"/>
      <c r="O37" s="1229"/>
      <c r="P37" s="1229"/>
      <c r="Q37" s="1229"/>
      <c r="R37" s="589"/>
      <c r="S37" s="580"/>
    </row>
    <row r="38" spans="2:21" ht="20.100000000000001" customHeight="1" x14ac:dyDescent="0.4">
      <c r="B38" s="578"/>
      <c r="C38" s="588"/>
      <c r="D38" s="1230" t="s">
        <v>705</v>
      </c>
      <c r="E38" s="1230"/>
      <c r="F38" s="1230"/>
      <c r="G38" s="1230"/>
      <c r="H38" s="1230"/>
      <c r="I38" s="1230"/>
      <c r="J38" s="1230" t="s">
        <v>377</v>
      </c>
      <c r="K38" s="1230"/>
      <c r="L38" s="1230"/>
      <c r="M38" s="1230"/>
      <c r="N38" s="1230" t="s">
        <v>242</v>
      </c>
      <c r="O38" s="1230"/>
      <c r="P38" s="740" t="s">
        <v>409</v>
      </c>
      <c r="Q38" s="740" t="s">
        <v>576</v>
      </c>
      <c r="R38" s="589"/>
      <c r="S38" s="580"/>
      <c r="U38" s="586" t="s">
        <v>61</v>
      </c>
    </row>
    <row r="39" spans="2:21" ht="99.95" customHeight="1" x14ac:dyDescent="0.4">
      <c r="B39" s="578"/>
      <c r="C39" s="588"/>
      <c r="D39" s="577">
        <v>1</v>
      </c>
      <c r="E39" s="1222" t="str">
        <f>IFERROR(HLOOKUP($D$37,Critères!$B$3:$BE$16,D39+2,FALSE),"")</f>
        <v>L'accès à l'ouvrage et aux équipements de mesure se fait-il en toute sécurité pour les agents en charge des opérations de contrôles et d'entretien ?</v>
      </c>
      <c r="F39" s="1223"/>
      <c r="G39" s="1223"/>
      <c r="H39" s="1223"/>
      <c r="I39" s="1224"/>
      <c r="J39" s="1222"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223"/>
      <c r="L39" s="1223"/>
      <c r="M39" s="1224"/>
      <c r="N39" s="1225" t="s">
        <v>167</v>
      </c>
      <c r="O39" s="1226"/>
      <c r="P39" s="742">
        <f>IF(OR(N39 = "Validé",N39="Validé avec réserve"),Q39,0)</f>
        <v>10</v>
      </c>
      <c r="Q39" s="742">
        <f>IFERROR(INDEX(Critères!$B$3:$BE$16, D39+2, MATCH($D$37, Critères!$B$3:$BE$3, 0) + 2),"")</f>
        <v>10</v>
      </c>
      <c r="R39" s="589"/>
      <c r="S39" s="580"/>
      <c r="U39" s="586" t="s">
        <v>159</v>
      </c>
    </row>
    <row r="40" spans="2:21" ht="99.95" customHeight="1" x14ac:dyDescent="0.4">
      <c r="B40" s="578"/>
      <c r="C40" s="588"/>
      <c r="D40" s="577">
        <v>2</v>
      </c>
      <c r="E40" s="1222" t="str">
        <f>IFERROR(HLOOKUP($D$37,Critères!$B$3:$BE$16,D40+2,FALSE),"")</f>
        <v>Le point de prélèvement est-il correctement implanté et situé dans un milieu homogène et brassé ?</v>
      </c>
      <c r="F40" s="1223"/>
      <c r="G40" s="1223"/>
      <c r="H40" s="1223"/>
      <c r="I40" s="1224"/>
      <c r="J40" s="1222" t="str">
        <f>IFERROR(IF(INDEX(Critères!$B$3:$BE$16, D40+2, MATCH($D$37, Critères!$B$3:$BE$3, 0) + 1)="", "", INDEX(Critères!$B$3:$BE$16, D40+2, MATCH($D$37, Critères!$B$3:$BE$3, 0) + 1)), "")</f>
        <v/>
      </c>
      <c r="K40" s="1223"/>
      <c r="L40" s="1223"/>
      <c r="M40" s="1224"/>
      <c r="N40" s="1225" t="s">
        <v>128</v>
      </c>
      <c r="O40" s="1226"/>
      <c r="P40" s="742">
        <f t="shared" ref="P40:P48" si="0">IF(OR(N40 = "Validé",N40="Validé avec réserve"),Q40,0)</f>
        <v>0</v>
      </c>
      <c r="Q40" s="742">
        <f>IFERROR(INDEX(Critères!$B$3:$BE$16, D40+2, MATCH($D$37, Critères!$B$3:$BE$3, 0) + 2),"")</f>
        <v>15</v>
      </c>
      <c r="R40" s="589"/>
      <c r="S40" s="580"/>
      <c r="U40" s="586" t="s">
        <v>159</v>
      </c>
    </row>
    <row r="41" spans="2:21" ht="99.95" customHeight="1" x14ac:dyDescent="0.4">
      <c r="B41" s="578"/>
      <c r="C41" s="588"/>
      <c r="D41" s="577">
        <v>3</v>
      </c>
      <c r="E41" s="1222" t="str">
        <f>IFERROR(HLOOKUP($D$37,Critères!$B$3:$BE$16,D41+2,FALSE),"")</f>
        <v>La propreté et l'état d'entretien du dispositif de prélèvement sont-ils satisfaisants ?</v>
      </c>
      <c r="F41" s="1223"/>
      <c r="G41" s="1223"/>
      <c r="H41" s="1223"/>
      <c r="I41" s="1224"/>
      <c r="J41" s="1222"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223"/>
      <c r="L41" s="1223"/>
      <c r="M41" s="1224"/>
      <c r="N41" s="1225" t="s">
        <v>167</v>
      </c>
      <c r="O41" s="1226"/>
      <c r="P41" s="742">
        <f t="shared" si="0"/>
        <v>5</v>
      </c>
      <c r="Q41" s="742">
        <f>IFERROR(INDEX(Critères!$B$3:$BE$16, D41+2, MATCH($D$37, Critères!$B$3:$BE$3, 0) + 2),"")</f>
        <v>5</v>
      </c>
      <c r="R41" s="589"/>
      <c r="S41" s="580"/>
      <c r="U41" s="586" t="s">
        <v>159</v>
      </c>
    </row>
    <row r="42" spans="2:21" ht="99.95" customHeight="1" x14ac:dyDescent="0.4">
      <c r="B42" s="578"/>
      <c r="C42" s="588"/>
      <c r="D42" s="577">
        <v>4</v>
      </c>
      <c r="E42" s="1222" t="str">
        <f>IFERROR(HLOOKUP($D$37,Critères!$B$3:$BE$16,D42+2,FALSE),"")</f>
        <v>Le circuit de prélèvement, y compris la boucle primaire, présente t-il un état de fonctionnement satisfaisant, son diamètre est-il ≥ à 9 mm ?</v>
      </c>
      <c r="F42" s="1223"/>
      <c r="G42" s="1223"/>
      <c r="H42" s="1223"/>
      <c r="I42" s="1224"/>
      <c r="J42" s="1222" t="str">
        <f>IFERROR(IF(INDEX(Critères!$B$3:$BE$16, D42+2, MATCH($D$37, Critères!$B$3:$BE$3, 0) + 1)="", "", INDEX(Critères!$B$3:$BE$16, D42+2, MATCH($D$37, Critères!$B$3:$BE$3, 0) + 1)), "")</f>
        <v/>
      </c>
      <c r="K42" s="1223"/>
      <c r="L42" s="1223"/>
      <c r="M42" s="1224"/>
      <c r="N42" s="1225" t="str">
        <f>IF(OR($D$37=Critères!AT3,$D$37=Critères!AX3),U14,"Non contrôlé")</f>
        <v>Validé</v>
      </c>
      <c r="O42" s="1226"/>
      <c r="P42" s="742">
        <f t="shared" si="0"/>
        <v>5</v>
      </c>
      <c r="Q42" s="742">
        <f>IFERROR(INDEX(Critères!$B$3:$BE$16, D42+2, MATCH($D$37, Critères!$B$3:$BE$3, 0) + 2),"")</f>
        <v>5</v>
      </c>
      <c r="R42" s="589"/>
      <c r="S42" s="580"/>
      <c r="U42" s="586" t="s">
        <v>159</v>
      </c>
    </row>
    <row r="43" spans="2:21" ht="99.95" customHeight="1" x14ac:dyDescent="0.4">
      <c r="B43" s="578"/>
      <c r="C43" s="588"/>
      <c r="D43" s="577">
        <v>5</v>
      </c>
      <c r="E43" s="1222" t="str">
        <f>IFERROR(HLOOKUP($D$37,Critères!$B$3:$BE$16,D43+2,FALSE),"")</f>
        <v>Le volume de prélèvement par cycle est-il ≥ à 50 ml et est-il répétable à ± 5 % ?</v>
      </c>
      <c r="F43" s="1223"/>
      <c r="G43" s="1223"/>
      <c r="H43" s="1223"/>
      <c r="I43" s="1224"/>
      <c r="J43" s="1222" t="str">
        <f>IFERROR(IF(INDEX(Critères!$B$3:$BE$16, D43+2, MATCH($D$37, Critères!$B$3:$BE$3, 0) + 1)="", "", INDEX(Critères!$B$3:$BE$16, D43+2, MATCH($D$37, Critères!$B$3:$BE$3, 0) + 1)), "")</f>
        <v>Contrôle à réaliser sur 3 prélèvements</v>
      </c>
      <c r="K43" s="1223"/>
      <c r="L43" s="1223"/>
      <c r="M43" s="1224"/>
      <c r="N43" s="1225" t="str">
        <f>IF(OR($D$37=Critères!AT3,$D$37=Critères!AX3),U19,"Non contrôlé")</f>
        <v>Validé</v>
      </c>
      <c r="O43" s="1226"/>
      <c r="P43" s="742">
        <f t="shared" si="0"/>
        <v>5</v>
      </c>
      <c r="Q43" s="742">
        <f>IFERROR(INDEX(Critères!$B$3:$BE$16, D43+2, MATCH($D$37, Critères!$B$3:$BE$3, 0) + 2),"")</f>
        <v>5</v>
      </c>
      <c r="R43" s="589"/>
      <c r="S43" s="580"/>
      <c r="U43" s="586" t="s">
        <v>160</v>
      </c>
    </row>
    <row r="44" spans="2:21" ht="99.95" customHeight="1" x14ac:dyDescent="0.4">
      <c r="B44" s="578"/>
      <c r="C44" s="588"/>
      <c r="D44" s="577">
        <v>6</v>
      </c>
      <c r="E44" s="1222" t="str">
        <f>IFERROR(HLOOKUP($D$37,Critères!$B$3:$BE$16,D44+2,FALSE),"")</f>
        <v>La vitesse d'aspiration, y compris celle de la boucle primaire, est-elle de ≥ 0,5 m/s ?</v>
      </c>
      <c r="F44" s="1223"/>
      <c r="G44" s="1223"/>
      <c r="H44" s="1223"/>
      <c r="I44" s="1224"/>
      <c r="J44" s="1222" t="str">
        <f>IFERROR(IF(INDEX(Critères!$B$3:$BE$16, D44+2, MATCH($D$37, Critères!$B$3:$BE$3, 0) + 1)="", "", INDEX(Critères!$B$3:$BE$16, D44+2, MATCH($D$37, Critères!$B$3:$BE$3, 0) + 1)), "")</f>
        <v>Contrôle à réaliser sur 3 prélèvements</v>
      </c>
      <c r="K44" s="1223"/>
      <c r="L44" s="1223"/>
      <c r="M44" s="1224"/>
      <c r="N44" s="1225" t="str">
        <f>IF(($D$37=Critères!AT3),U24,IF(($D$37=Critères!AX3),V28,"Non contrôlé"))</f>
        <v>Validé</v>
      </c>
      <c r="O44" s="1226"/>
      <c r="P44" s="742">
        <f t="shared" si="0"/>
        <v>5</v>
      </c>
      <c r="Q44" s="742">
        <f>IFERROR(INDEX(Critères!$B$3:$BE$16, D44+2, MATCH($D$37, Critères!$B$3:$BE$3, 0) + 2),"")</f>
        <v>5</v>
      </c>
      <c r="R44" s="589"/>
      <c r="S44" s="580"/>
      <c r="U44" s="586" t="s">
        <v>160</v>
      </c>
    </row>
    <row r="45" spans="2:21" ht="99.95" customHeight="1" x14ac:dyDescent="0.4">
      <c r="B45" s="578"/>
      <c r="C45" s="588"/>
      <c r="D45" s="577">
        <v>7</v>
      </c>
      <c r="E45" s="1222" t="str">
        <f>IFERROR(HLOOKUP($D$37,Critères!$B$3:$BE$16,D45+2,FALSE),"")</f>
        <v>Le préleveur est-il asservi au débit, ou au volume écoulé, et assure-t-il un nombre de prélèvements égal, en moyenne, à au moins à 6 par heure de rejet effectif ? soit 144 prélèvements unitaires par 24h de rejet.</v>
      </c>
      <c r="F45" s="1223"/>
      <c r="G45" s="1223"/>
      <c r="H45" s="1223"/>
      <c r="I45" s="1224"/>
      <c r="J45" s="1222" t="str">
        <f>IFERROR(IF(INDEX(Critères!$B$3:$BE$16, D45+2, MATCH($D$37, Critères!$B$3:$BE$3, 0) + 1)="", "", INDEX(Critères!$B$3:$BE$16, D45+2, MATCH($D$37, Critères!$B$3:$BE$3, 0) + 1)), "")</f>
        <v>Tolérance de validation à 4 prélèvement par heure de rejet (soit 96 prélèvements/jour), sur justification d'un évènement exceptionnel.</v>
      </c>
      <c r="K45" s="1223"/>
      <c r="L45" s="1223"/>
      <c r="M45" s="1224"/>
      <c r="N45" s="1225" t="str">
        <f>IF(($D$37=Critères!AT3),V28,"Non contrôlé")</f>
        <v>Validé</v>
      </c>
      <c r="O45" s="1226"/>
      <c r="P45" s="742">
        <f t="shared" si="0"/>
        <v>10</v>
      </c>
      <c r="Q45" s="742">
        <f>IFERROR(INDEX(Critères!$B$3:$BE$16, D45+2, MATCH($D$37, Critères!$B$3:$BE$3, 0) + 2),"")</f>
        <v>10</v>
      </c>
      <c r="R45" s="589"/>
      <c r="S45" s="580"/>
      <c r="U45" s="586" t="s">
        <v>159</v>
      </c>
    </row>
    <row r="46" spans="2:21" ht="99.95" customHeight="1" x14ac:dyDescent="0.4">
      <c r="B46" s="578"/>
      <c r="C46" s="588"/>
      <c r="D46" s="577">
        <v>8</v>
      </c>
      <c r="E46" s="1222" t="str">
        <f>IFERROR(HLOOKUP($D$37,Critères!$B$3:$BE$16,D46+2,FALSE),"")</f>
        <v xml:space="preserve"> Les horaires de prélèvement et de totalisation des débits sont-ils synchronisés ?</v>
      </c>
      <c r="F46" s="1223"/>
      <c r="G46" s="1223"/>
      <c r="H46" s="1223"/>
      <c r="I46" s="1224"/>
      <c r="J46" s="1222" t="str">
        <f>IFERROR(IF(INDEX(Critères!$B$3:$BE$16, D46+2, MATCH($D$37, Critères!$B$3:$BE$3, 0) + 1)="", "", INDEX(Critères!$B$3:$BE$16, D46+2, MATCH($D$37, Critères!$B$3:$BE$3, 0) + 1)), "")</f>
        <v/>
      </c>
      <c r="K46" s="1223"/>
      <c r="L46" s="1223"/>
      <c r="M46" s="1224"/>
      <c r="N46" s="1225" t="str">
        <f>IF(($D$37=Critères!AT3),V28,"Non contrôlé")</f>
        <v>Validé</v>
      </c>
      <c r="O46" s="1226"/>
      <c r="P46" s="742">
        <f t="shared" si="0"/>
        <v>5</v>
      </c>
      <c r="Q46" s="742">
        <f>IFERROR(INDEX(Critères!$B$3:$BE$16, D46+2, MATCH($D$37, Critères!$B$3:$BE$3, 0) + 2),"")</f>
        <v>5</v>
      </c>
      <c r="R46" s="589"/>
      <c r="S46" s="580"/>
      <c r="U46" s="586" t="s">
        <v>160</v>
      </c>
    </row>
    <row r="47" spans="2:21" ht="99.95" customHeight="1" x14ac:dyDescent="0.4">
      <c r="B47" s="578"/>
      <c r="C47" s="588"/>
      <c r="D47" s="577">
        <v>9</v>
      </c>
      <c r="E47" s="1222" t="str">
        <f>IFERROR(HLOOKUP($D$37,Critères!$B$3:$BE$16,D47+2,FALSE),"")</f>
        <v>La température de l'enceinte de prélèvement est-elle adaptée? Si elle est réfrigérée, sa température est-elle maîtrisée à 5°C ± 3°C ?</v>
      </c>
      <c r="F47" s="1223"/>
      <c r="G47" s="1223"/>
      <c r="H47" s="1223"/>
      <c r="I47" s="1224"/>
      <c r="J47" s="1222" t="str">
        <f>IFERROR(IF(INDEX(Critères!$B$3:$BE$16, D47+2, MATCH($D$37, Critères!$B$3:$BE$3, 0) + 1)="", "", INDEX(Critères!$B$3:$BE$16, D47+2, MATCH($D$37, Critères!$B$3:$BE$3, 0) + 1)), "")</f>
        <v/>
      </c>
      <c r="K47" s="1223"/>
      <c r="L47" s="1223"/>
      <c r="M47" s="1224"/>
      <c r="N47" s="1225" t="str">
        <f>IF(($D$37=Critères!AT3),U32,"Non contrôlé")</f>
        <v>Validé</v>
      </c>
      <c r="O47" s="1226"/>
      <c r="P47" s="742">
        <f t="shared" si="0"/>
        <v>15</v>
      </c>
      <c r="Q47" s="742">
        <f>IFERROR(INDEX(Critères!$B$3:$BE$16, D47+2, MATCH($D$37, Critères!$B$3:$BE$3, 0) + 2),"")</f>
        <v>15</v>
      </c>
      <c r="R47" s="589"/>
      <c r="S47" s="580"/>
      <c r="U47" s="586" t="s">
        <v>160</v>
      </c>
    </row>
    <row r="48" spans="2:21" ht="99.95" customHeight="1" x14ac:dyDescent="0.4">
      <c r="B48" s="578"/>
      <c r="C48" s="588"/>
      <c r="D48" s="577">
        <v>10</v>
      </c>
      <c r="E48" s="1222" t="str">
        <f>IFERROR(HLOOKUP($D$37,Critères!$B$3:$BE$16,D48+2,FALSE),"")</f>
        <v>L'écart entre le volume théorique et le volume prélevé est-il ≤ à 10% ?</v>
      </c>
      <c r="F48" s="1223"/>
      <c r="G48" s="1223"/>
      <c r="H48" s="1223"/>
      <c r="I48" s="1224"/>
      <c r="J48" s="1222" t="str">
        <f>IFERROR(IF(INDEX(Critères!$B$3:$BE$16, D48+2, MATCH($D$37, Critères!$B$3:$BE$3, 0) + 1)="", "", INDEX(Critères!$B$3:$BE$16, D48+2, MATCH($D$37, Critères!$B$3:$BE$3, 0) + 1)), "")</f>
        <v/>
      </c>
      <c r="K48" s="1223"/>
      <c r="L48" s="1223"/>
      <c r="M48" s="1224"/>
      <c r="N48" s="1225" t="str">
        <f>IF(($D$37=Critères!AT3),U28,"Non contrôlé")</f>
        <v>Validé</v>
      </c>
      <c r="O48" s="1226"/>
      <c r="P48" s="742">
        <f t="shared" si="0"/>
        <v>25</v>
      </c>
      <c r="Q48" s="742">
        <f>IFERROR(INDEX(Critères!$B$3:$BE$16, D48+2, MATCH($D$37, Critères!$B$3:$BE$3, 0) + 2),"")</f>
        <v>25</v>
      </c>
      <c r="R48" s="589"/>
      <c r="S48" s="580"/>
      <c r="U48" s="586" t="s">
        <v>160</v>
      </c>
    </row>
    <row r="49" spans="2:19" ht="20.100000000000001" customHeight="1" x14ac:dyDescent="0.4">
      <c r="B49" s="578"/>
      <c r="C49" s="588"/>
      <c r="D49" s="1215" t="s">
        <v>75</v>
      </c>
      <c r="E49" s="1216"/>
      <c r="F49" s="1216"/>
      <c r="G49" s="1216"/>
      <c r="H49" s="1216"/>
      <c r="I49" s="1216"/>
      <c r="J49" s="1216"/>
      <c r="K49" s="1216"/>
      <c r="L49" s="1216"/>
      <c r="M49" s="1217"/>
      <c r="N49" s="1218" t="s">
        <v>413</v>
      </c>
      <c r="O49" s="1218"/>
      <c r="P49" s="1218" t="s">
        <v>64</v>
      </c>
      <c r="Q49" s="1218"/>
      <c r="R49" s="589"/>
      <c r="S49" s="580"/>
    </row>
    <row r="50" spans="2:19" ht="99.95" customHeight="1" x14ac:dyDescent="0.4">
      <c r="B50" s="578"/>
      <c r="C50" s="588"/>
      <c r="D50" s="1064" t="s">
        <v>752</v>
      </c>
      <c r="E50" s="1219"/>
      <c r="F50" s="1219"/>
      <c r="G50" s="1219"/>
      <c r="H50" s="1219"/>
      <c r="I50" s="1219"/>
      <c r="J50" s="1219"/>
      <c r="K50" s="1219"/>
      <c r="L50" s="1219"/>
      <c r="M50" s="1063"/>
      <c r="N50" s="1064" t="s">
        <v>167</v>
      </c>
      <c r="O50" s="1063"/>
      <c r="P50" s="1220">
        <f>IF(SUM(P39:P48)&gt;100,100,SUM(P39:P48))</f>
        <v>85</v>
      </c>
      <c r="Q50" s="1221"/>
      <c r="R50" s="589"/>
      <c r="S50" s="580"/>
    </row>
    <row r="51" spans="2:19" ht="20.100000000000001" customHeight="1" thickBot="1" x14ac:dyDescent="0.45">
      <c r="B51" s="578"/>
      <c r="C51" s="591"/>
      <c r="D51" s="592"/>
      <c r="E51" s="592"/>
      <c r="F51" s="592"/>
      <c r="G51" s="592"/>
      <c r="H51" s="592"/>
      <c r="I51" s="592"/>
      <c r="J51" s="592"/>
      <c r="K51" s="592"/>
      <c r="L51" s="592"/>
      <c r="M51" s="592"/>
      <c r="N51" s="592"/>
      <c r="O51" s="592"/>
      <c r="P51" s="592"/>
      <c r="Q51" s="592"/>
      <c r="R51" s="593"/>
      <c r="S51" s="580"/>
    </row>
    <row r="52" spans="2:19" ht="9.9499999999999993" customHeight="1" thickTop="1" thickBot="1" x14ac:dyDescent="0.45">
      <c r="B52" s="578"/>
      <c r="C52" s="579"/>
      <c r="D52" s="579"/>
      <c r="E52" s="579"/>
      <c r="F52" s="579"/>
      <c r="G52" s="579"/>
      <c r="H52" s="579"/>
      <c r="I52" s="579"/>
      <c r="J52" s="579"/>
      <c r="K52" s="579"/>
      <c r="L52" s="579"/>
      <c r="M52" s="579"/>
      <c r="N52" s="579"/>
      <c r="O52" s="579"/>
      <c r="P52" s="579"/>
      <c r="Q52" s="579"/>
      <c r="R52" s="579"/>
      <c r="S52" s="580"/>
    </row>
    <row r="53" spans="2:19" ht="20.100000000000001" customHeight="1" thickTop="1" thickBot="1" x14ac:dyDescent="0.45">
      <c r="B53" s="578"/>
      <c r="C53" s="1119" t="s">
        <v>256</v>
      </c>
      <c r="D53" s="1120"/>
      <c r="E53" s="1120"/>
      <c r="F53" s="1120"/>
      <c r="G53" s="1120"/>
      <c r="H53" s="1120"/>
      <c r="I53" s="1120"/>
      <c r="J53" s="1120"/>
      <c r="K53" s="1120"/>
      <c r="L53" s="1120"/>
      <c r="M53" s="1120"/>
      <c r="N53" s="1120"/>
      <c r="O53" s="1120"/>
      <c r="P53" s="1120"/>
      <c r="Q53" s="1120"/>
      <c r="R53" s="1141"/>
      <c r="S53" s="580"/>
    </row>
    <row r="54" spans="2:19" ht="20.100000000000001" customHeight="1" thickTop="1" x14ac:dyDescent="0.4">
      <c r="B54" s="578"/>
      <c r="C54" s="1313" t="s">
        <v>577</v>
      </c>
      <c r="D54" s="1314"/>
      <c r="E54" s="1314"/>
      <c r="F54" s="1314"/>
      <c r="G54" s="1314"/>
      <c r="H54" s="1314"/>
      <c r="I54" s="1314"/>
      <c r="J54" s="1314"/>
      <c r="K54" s="1314"/>
      <c r="L54" s="1314"/>
      <c r="M54" s="1314"/>
      <c r="N54" s="1314"/>
      <c r="O54" s="1314"/>
      <c r="P54" s="1314"/>
      <c r="Q54" s="1314"/>
      <c r="R54" s="1315"/>
      <c r="S54" s="580"/>
    </row>
    <row r="55" spans="2:19" ht="20.100000000000001" customHeight="1" x14ac:dyDescent="0.4">
      <c r="B55" s="578"/>
      <c r="C55" s="1316"/>
      <c r="D55" s="1314"/>
      <c r="E55" s="1314"/>
      <c r="F55" s="1314"/>
      <c r="G55" s="1314"/>
      <c r="H55" s="1314"/>
      <c r="I55" s="1314"/>
      <c r="J55" s="1314"/>
      <c r="K55" s="1314"/>
      <c r="L55" s="1314"/>
      <c r="M55" s="1314"/>
      <c r="N55" s="1314"/>
      <c r="O55" s="1314"/>
      <c r="P55" s="1314"/>
      <c r="Q55" s="1314"/>
      <c r="R55" s="1315"/>
      <c r="S55" s="580"/>
    </row>
    <row r="56" spans="2:19" ht="20.100000000000001" customHeight="1" x14ac:dyDescent="0.4">
      <c r="B56" s="578"/>
      <c r="C56" s="1316"/>
      <c r="D56" s="1314"/>
      <c r="E56" s="1314"/>
      <c r="F56" s="1314"/>
      <c r="G56" s="1314"/>
      <c r="H56" s="1314"/>
      <c r="I56" s="1314"/>
      <c r="J56" s="1314"/>
      <c r="K56" s="1314"/>
      <c r="L56" s="1314"/>
      <c r="M56" s="1314"/>
      <c r="N56" s="1314"/>
      <c r="O56" s="1314"/>
      <c r="P56" s="1314"/>
      <c r="Q56" s="1314"/>
      <c r="R56" s="1315"/>
      <c r="S56" s="580"/>
    </row>
    <row r="57" spans="2:19" ht="20.100000000000001" customHeight="1" x14ac:dyDescent="0.4">
      <c r="B57" s="578"/>
      <c r="C57" s="1316"/>
      <c r="D57" s="1314"/>
      <c r="E57" s="1314"/>
      <c r="F57" s="1314"/>
      <c r="G57" s="1314"/>
      <c r="H57" s="1314"/>
      <c r="I57" s="1314"/>
      <c r="J57" s="1314"/>
      <c r="K57" s="1314"/>
      <c r="L57" s="1314"/>
      <c r="M57" s="1314"/>
      <c r="N57" s="1314"/>
      <c r="O57" s="1314"/>
      <c r="P57" s="1314"/>
      <c r="Q57" s="1314"/>
      <c r="R57" s="1315"/>
      <c r="S57" s="580"/>
    </row>
    <row r="58" spans="2:19" ht="20.100000000000001" customHeight="1" thickBot="1" x14ac:dyDescent="0.45">
      <c r="B58" s="578"/>
      <c r="C58" s="1317"/>
      <c r="D58" s="1318"/>
      <c r="E58" s="1318"/>
      <c r="F58" s="1318"/>
      <c r="G58" s="1318"/>
      <c r="H58" s="1318"/>
      <c r="I58" s="1318"/>
      <c r="J58" s="1318"/>
      <c r="K58" s="1318"/>
      <c r="L58" s="1318"/>
      <c r="M58" s="1318"/>
      <c r="N58" s="1318"/>
      <c r="O58" s="1318"/>
      <c r="P58" s="1318"/>
      <c r="Q58" s="1318"/>
      <c r="R58" s="1319"/>
      <c r="S58" s="580"/>
    </row>
    <row r="59" spans="2:19" ht="9.9499999999999993" customHeight="1" thickTop="1" x14ac:dyDescent="0.4">
      <c r="B59" s="581"/>
      <c r="C59" s="582"/>
      <c r="D59" s="582"/>
      <c r="E59" s="582"/>
      <c r="F59" s="582"/>
      <c r="G59" s="582"/>
      <c r="H59" s="582"/>
      <c r="I59" s="582"/>
      <c r="J59" s="582"/>
      <c r="K59" s="582"/>
      <c r="L59" s="582"/>
      <c r="M59" s="582"/>
      <c r="N59" s="582"/>
      <c r="O59" s="582"/>
      <c r="P59" s="582"/>
      <c r="Q59" s="582"/>
      <c r="R59" s="582"/>
      <c r="S59" s="583"/>
    </row>
  </sheetData>
  <mergeCells count="131">
    <mergeCell ref="D50:M50"/>
    <mergeCell ref="N50:O50"/>
    <mergeCell ref="P50:Q50"/>
    <mergeCell ref="C53:R53"/>
    <mergeCell ref="C54:R58"/>
    <mergeCell ref="E48:I48"/>
    <mergeCell ref="J48:M48"/>
    <mergeCell ref="N48:O48"/>
    <mergeCell ref="D49:M49"/>
    <mergeCell ref="N49:O49"/>
    <mergeCell ref="P49:Q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E40:I40"/>
    <mergeCell ref="J40:M40"/>
    <mergeCell ref="N40:O40"/>
    <mergeCell ref="E41:I41"/>
    <mergeCell ref="J41:M41"/>
    <mergeCell ref="N41:O41"/>
    <mergeCell ref="D37:Q37"/>
    <mergeCell ref="D38:I38"/>
    <mergeCell ref="J38:M38"/>
    <mergeCell ref="N38:O38"/>
    <mergeCell ref="E39:I39"/>
    <mergeCell ref="J39:M39"/>
    <mergeCell ref="N39:O39"/>
    <mergeCell ref="D32:E32"/>
    <mergeCell ref="F32:G32"/>
    <mergeCell ref="H32:I32"/>
    <mergeCell ref="M32:N32"/>
    <mergeCell ref="O32:P32"/>
    <mergeCell ref="C35:R35"/>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24:E24"/>
    <mergeCell ref="I24:J24"/>
    <mergeCell ref="L24:P24"/>
    <mergeCell ref="L25:P25"/>
    <mergeCell ref="D26:I26"/>
    <mergeCell ref="L26:P26"/>
    <mergeCell ref="D22:E22"/>
    <mergeCell ref="I22:J22"/>
    <mergeCell ref="L22:Q22"/>
    <mergeCell ref="D23:E23"/>
    <mergeCell ref="I23:J23"/>
    <mergeCell ref="L23:P23"/>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28:I28">
    <cfRule type="expression" dxfId="838" priority="3">
      <formula>AND($H$28&lt;&gt;"",AND($H$28&gt;=-0.1,H$28&lt;=0.1))</formula>
    </cfRule>
    <cfRule type="expression" dxfId="837" priority="4">
      <formula>AND($H$28&lt;&gt;"",OR($H$28&lt;-0.1,H$28&gt;0.1))</formula>
    </cfRule>
  </conditionalFormatting>
  <conditionalFormatting sqref="H32:I32">
    <cfRule type="expression" dxfId="836" priority="1">
      <formula>AND($H$32&lt;&gt;"",AND($H$32&gt;=-0.03,$H$32&lt;=0.03))</formula>
    </cfRule>
    <cfRule type="expression" dxfId="835" priority="2">
      <formula>AND($H$32&lt;&gt;"",OR($H$32&lt;-0.03,$H$32&gt;0.03))</formula>
    </cfRule>
  </conditionalFormatting>
  <conditionalFormatting sqref="I24:J24">
    <cfRule type="expression" dxfId="834" priority="9">
      <formula>AND($I$24&lt;&gt;"",$I$24&lt;0.5)</formula>
    </cfRule>
    <cfRule type="expression" dxfId="833" priority="10">
      <formula>AND($I$24&lt;&gt;"",$I$24&gt;=0.5)</formula>
    </cfRule>
  </conditionalFormatting>
  <conditionalFormatting sqref="L19:M19">
    <cfRule type="expression" dxfId="832" priority="11">
      <formula>AND($L$19&lt;&gt;"",AND($L$19&lt;=0.05,$L$19&gt;=-0.05))</formula>
    </cfRule>
    <cfRule type="expression" dxfId="831" priority="12">
      <formula>AND($L$19&lt;&gt;"",OR($L$19&gt;0.05,$L$19&lt;-0.05))</formula>
    </cfRule>
  </conditionalFormatting>
  <conditionalFormatting sqref="Q28">
    <cfRule type="expression" dxfId="830" priority="7">
      <formula>AND($Q$28&lt;&gt;"",$Q$28&lt;4)</formula>
    </cfRule>
    <cfRule type="expression" dxfId="829" priority="8">
      <formula>AND($Q$28&lt;&gt;"",$Q$28&gt;=4)</formula>
    </cfRule>
  </conditionalFormatting>
  <conditionalFormatting sqref="Q32">
    <cfRule type="expression" dxfId="828" priority="5">
      <formula>AND($Q$32&lt;&gt;"",$Q$32="Oui")</formula>
    </cfRule>
    <cfRule type="expression" dxfId="827" priority="6">
      <formula>AND($Q$32&lt;&gt;"",$Q$32="Non")</formula>
    </cfRule>
  </conditionalFormatting>
  <dataValidations count="4">
    <dataValidation type="list" allowBlank="1" showInputMessage="1" showErrorMessage="1" sqref="D37:Q37" xr:uid="{809A9996-9693-459D-99EA-6E2415784768}">
      <formula1>EQUIPEMENT_PREL</formula1>
    </dataValidation>
    <dataValidation type="list" allowBlank="1" showInputMessage="1" showErrorMessage="1" sqref="N39:O41" xr:uid="{08AE5A28-851A-4323-8D50-09EE5742ED9F}">
      <formula1>INDIRECT(U39)</formula1>
    </dataValidation>
    <dataValidation type="list" allowBlank="1" showInputMessage="1" showErrorMessage="1" sqref="N50:O50" xr:uid="{136414A7-D53B-4F14-9471-A7F17053DDE8}">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F83C73EE-C14D-4181-9B6E-CF4B021C6D6B}">
      <formula1>INDIRECT(U42)</formula1>
    </dataValidation>
  </dataValidations>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EF04-89DD-47FA-9D95-CB2CCBA935A9}">
  <sheetPr codeName="Feuil14">
    <tabColor rgb="FF00B0AC"/>
    <pageSetUpPr fitToPage="1"/>
  </sheetPr>
  <dimension ref="B1:X54"/>
  <sheetViews>
    <sheetView showGridLines="0" topLeftCell="B1" zoomScale="85" zoomScaleNormal="85" workbookViewId="0">
      <pane ySplit="7" topLeftCell="A29" activePane="bottomLeft" state="frozen"/>
      <selection pane="bottomLeft" activeCell="N46" sqref="N46"/>
    </sheetView>
  </sheetViews>
  <sheetFormatPr baseColWidth="10" defaultColWidth="10.703125" defaultRowHeight="12.7" outlineLevelRow="1" x14ac:dyDescent="0.4"/>
  <cols>
    <col min="1" max="2" width="2.703125" style="557" customWidth="1"/>
    <col min="3" max="18" width="10.703125" style="557"/>
    <col min="19" max="20" width="2.703125" style="557" customWidth="1"/>
    <col min="21" max="21" width="10.703125" style="565"/>
    <col min="22" max="16384" width="10.703125" style="557"/>
  </cols>
  <sheetData>
    <row r="1" spans="2:19" ht="9.9499999999999993" customHeight="1" thickBot="1" x14ac:dyDescent="0.45">
      <c r="B1" s="554"/>
      <c r="C1" s="555"/>
      <c r="D1" s="555"/>
      <c r="E1" s="555"/>
      <c r="F1" s="555"/>
      <c r="G1" s="555"/>
      <c r="H1" s="555"/>
      <c r="I1" s="555"/>
      <c r="J1" s="555"/>
      <c r="K1" s="555"/>
      <c r="L1" s="555"/>
      <c r="M1" s="555"/>
      <c r="N1" s="555"/>
      <c r="O1" s="555"/>
      <c r="P1" s="555"/>
      <c r="Q1" s="555"/>
      <c r="R1" s="555"/>
      <c r="S1" s="556"/>
    </row>
    <row r="2" spans="2:19" ht="30" customHeight="1" thickTop="1" x14ac:dyDescent="0.4">
      <c r="B2" s="558"/>
      <c r="C2" s="1277" t="s">
        <v>539</v>
      </c>
      <c r="D2" s="1278"/>
      <c r="E2" s="1278"/>
      <c r="F2" s="1278"/>
      <c r="G2" s="1278"/>
      <c r="H2" s="1278"/>
      <c r="I2" s="1278"/>
      <c r="J2" s="1278"/>
      <c r="K2" s="1278"/>
      <c r="L2" s="1278"/>
      <c r="M2" s="1278"/>
      <c r="N2" s="1278"/>
      <c r="O2" s="1278"/>
      <c r="P2" s="1278"/>
      <c r="Q2" s="1278"/>
      <c r="R2" s="1279"/>
      <c r="S2" s="559"/>
    </row>
    <row r="3" spans="2:19" ht="20.100000000000001" customHeight="1" x14ac:dyDescent="0.4">
      <c r="B3" s="748"/>
      <c r="C3" s="1261" t="s">
        <v>578</v>
      </c>
      <c r="D3" s="1262"/>
      <c r="E3" s="1263" t="str">
        <f>IF(ISBLANK(Descriptif!N3),"",Descriptif!N3)</f>
        <v>BARJAC (30)</v>
      </c>
      <c r="F3" s="1263"/>
      <c r="G3" s="1263"/>
      <c r="H3" s="1262" t="s">
        <v>540</v>
      </c>
      <c r="I3" s="1262"/>
      <c r="J3" s="1263" t="s">
        <v>657</v>
      </c>
      <c r="K3" s="1263"/>
      <c r="L3" s="1263"/>
      <c r="M3" s="1264" t="s">
        <v>486</v>
      </c>
      <c r="N3" s="1264"/>
      <c r="O3" s="1264"/>
      <c r="P3" s="1263" t="str">
        <f>IF(ISBLANK(Descriptif!T3),"",Descriptif!G6)</f>
        <v/>
      </c>
      <c r="Q3" s="1263"/>
      <c r="R3" s="1265"/>
      <c r="S3" s="749"/>
    </row>
    <row r="4" spans="2:19" ht="20.100000000000001" customHeight="1" x14ac:dyDescent="0.4">
      <c r="B4" s="748"/>
      <c r="C4" s="1261" t="s">
        <v>541</v>
      </c>
      <c r="D4" s="1262"/>
      <c r="E4" s="1263" t="str">
        <f>IF(ISBLANK(Descriptif!N4),"",Descriptif!N4)</f>
        <v>060930290002</v>
      </c>
      <c r="F4" s="1263"/>
      <c r="G4" s="1263"/>
      <c r="H4" s="1262" t="s">
        <v>542</v>
      </c>
      <c r="I4" s="1262"/>
      <c r="J4" s="1263" t="s">
        <v>657</v>
      </c>
      <c r="K4" s="1263"/>
      <c r="L4" s="1263"/>
      <c r="M4" s="1264" t="s">
        <v>543</v>
      </c>
      <c r="N4" s="1264"/>
      <c r="O4" s="1264"/>
      <c r="P4" s="1263"/>
      <c r="Q4" s="1263"/>
      <c r="R4" s="1265"/>
      <c r="S4" s="749"/>
    </row>
    <row r="5" spans="2:19" ht="20.100000000000001" customHeight="1" x14ac:dyDescent="0.4">
      <c r="B5" s="748"/>
      <c r="C5" s="1261" t="s">
        <v>544</v>
      </c>
      <c r="D5" s="1262"/>
      <c r="E5" s="1263" t="str">
        <f>IF(ISBLANK(Descriptif!G5),"",Descriptif!G5)</f>
        <v>Commune de Barjac</v>
      </c>
      <c r="F5" s="1263"/>
      <c r="G5" s="1263"/>
      <c r="H5" s="1262" t="s">
        <v>545</v>
      </c>
      <c r="I5" s="1262"/>
      <c r="J5" s="1263" t="s">
        <v>165</v>
      </c>
      <c r="K5" s="1263"/>
      <c r="L5" s="1263"/>
      <c r="M5" s="1264" t="s">
        <v>546</v>
      </c>
      <c r="N5" s="1264"/>
      <c r="O5" s="1264"/>
      <c r="P5" s="1263"/>
      <c r="Q5" s="1263"/>
      <c r="R5" s="1265"/>
      <c r="S5" s="749"/>
    </row>
    <row r="6" spans="2:19" ht="20.100000000000001" customHeight="1" thickBot="1" x14ac:dyDescent="0.45">
      <c r="B6" s="748"/>
      <c r="C6" s="1256" t="s">
        <v>547</v>
      </c>
      <c r="D6" s="1257"/>
      <c r="E6" s="1258" t="str">
        <f>IF(ISBLANK(Descriptif!T6),"",Descriptif!T6)</f>
        <v/>
      </c>
      <c r="F6" s="1258"/>
      <c r="G6" s="1258"/>
      <c r="H6" s="1257" t="s">
        <v>781</v>
      </c>
      <c r="I6" s="1257"/>
      <c r="J6" s="1258" t="s">
        <v>625</v>
      </c>
      <c r="K6" s="1258"/>
      <c r="L6" s="1258"/>
      <c r="M6" s="1259" t="s">
        <v>549</v>
      </c>
      <c r="N6" s="1259"/>
      <c r="O6" s="1259"/>
      <c r="P6" s="1258"/>
      <c r="Q6" s="1258"/>
      <c r="R6" s="1260"/>
      <c r="S6" s="749"/>
    </row>
    <row r="7" spans="2:19" ht="9.9499999999999993" customHeight="1" thickTop="1" thickBot="1" x14ac:dyDescent="0.45">
      <c r="B7" s="560"/>
      <c r="C7" s="561"/>
      <c r="D7" s="561"/>
      <c r="E7" s="561"/>
      <c r="F7" s="561"/>
      <c r="G7" s="561"/>
      <c r="H7" s="561"/>
      <c r="I7" s="561"/>
      <c r="J7" s="561"/>
      <c r="K7" s="561"/>
      <c r="L7" s="561"/>
      <c r="M7" s="561"/>
      <c r="N7" s="561"/>
      <c r="O7" s="561"/>
      <c r="P7" s="561"/>
      <c r="Q7" s="561"/>
      <c r="R7" s="561"/>
      <c r="S7" s="562"/>
    </row>
    <row r="8" spans="2:19" ht="20.100000000000001" customHeight="1" thickTop="1" thickBot="1" x14ac:dyDescent="0.45">
      <c r="B8" s="560"/>
      <c r="C8" s="1119" t="s">
        <v>550</v>
      </c>
      <c r="D8" s="1120"/>
      <c r="E8" s="1120"/>
      <c r="F8" s="1120"/>
      <c r="G8" s="1120"/>
      <c r="H8" s="1120"/>
      <c r="I8" s="1120"/>
      <c r="J8" s="1120"/>
      <c r="K8" s="1120"/>
      <c r="L8" s="1120"/>
      <c r="M8" s="1120"/>
      <c r="N8" s="1120"/>
      <c r="O8" s="1120"/>
      <c r="P8" s="1120"/>
      <c r="Q8" s="1120"/>
      <c r="R8" s="1141"/>
      <c r="S8" s="562"/>
    </row>
    <row r="9" spans="2:19" ht="20.100000000000001" customHeight="1" outlineLevel="1" thickTop="1" x14ac:dyDescent="0.4">
      <c r="B9" s="560"/>
      <c r="C9" s="563"/>
      <c r="D9" s="550"/>
      <c r="E9" s="550"/>
      <c r="F9" s="550"/>
      <c r="G9" s="550"/>
      <c r="H9" s="550"/>
      <c r="I9" s="550"/>
      <c r="J9" s="550"/>
      <c r="K9" s="550"/>
      <c r="L9" s="550"/>
      <c r="M9" s="550"/>
      <c r="N9" s="550"/>
      <c r="O9" s="550"/>
      <c r="P9" s="550"/>
      <c r="Q9" s="550"/>
      <c r="R9" s="564"/>
      <c r="S9" s="562"/>
    </row>
    <row r="10" spans="2:19" ht="20.100000000000001" customHeight="1" outlineLevel="1" x14ac:dyDescent="0.4">
      <c r="B10" s="560"/>
      <c r="C10" s="563"/>
      <c r="D10" s="1101" t="s">
        <v>551</v>
      </c>
      <c r="E10" s="1102"/>
      <c r="F10" s="1102"/>
      <c r="G10" s="1102"/>
      <c r="H10" s="1102"/>
      <c r="I10" s="1102"/>
      <c r="J10" s="1102"/>
      <c r="K10" s="1102"/>
      <c r="L10" s="1102"/>
      <c r="M10" s="1102"/>
      <c r="N10" s="1102"/>
      <c r="O10" s="1102"/>
      <c r="P10" s="1102"/>
      <c r="Q10" s="1123"/>
      <c r="R10" s="564"/>
      <c r="S10" s="562"/>
    </row>
    <row r="11" spans="2:19" ht="20.100000000000001" customHeight="1" outlineLevel="1" x14ac:dyDescent="0.4">
      <c r="B11" s="560"/>
      <c r="C11" s="563"/>
      <c r="D11" s="1242" t="s">
        <v>387</v>
      </c>
      <c r="E11" s="1243"/>
      <c r="F11" s="1244"/>
      <c r="G11" s="1253" t="s">
        <v>733</v>
      </c>
      <c r="H11" s="1254"/>
      <c r="I11" s="1254"/>
      <c r="J11" s="1255"/>
      <c r="K11" s="1242" t="s">
        <v>552</v>
      </c>
      <c r="L11" s="1243"/>
      <c r="M11" s="1244"/>
      <c r="N11" s="1245" t="s">
        <v>248</v>
      </c>
      <c r="O11" s="1246"/>
      <c r="P11" s="1246"/>
      <c r="Q11" s="1247"/>
      <c r="R11" s="564"/>
      <c r="S11" s="562"/>
    </row>
    <row r="12" spans="2:19" ht="20.100000000000001" customHeight="1" outlineLevel="1" x14ac:dyDescent="0.4">
      <c r="B12" s="560"/>
      <c r="C12" s="563"/>
      <c r="D12" s="1242" t="s">
        <v>386</v>
      </c>
      <c r="E12" s="1243"/>
      <c r="F12" s="1244"/>
      <c r="G12" s="1253" t="s">
        <v>734</v>
      </c>
      <c r="H12" s="1254"/>
      <c r="I12" s="1254"/>
      <c r="J12" s="1255"/>
      <c r="K12" s="1242" t="s">
        <v>627</v>
      </c>
      <c r="L12" s="1243"/>
      <c r="M12" s="1244"/>
      <c r="N12" s="1340">
        <v>45790</v>
      </c>
      <c r="O12" s="1254"/>
      <c r="P12" s="1254"/>
      <c r="Q12" s="1255"/>
      <c r="R12" s="564"/>
      <c r="S12" s="562"/>
    </row>
    <row r="13" spans="2:19" ht="20.100000000000001" customHeight="1" outlineLevel="1" x14ac:dyDescent="0.4">
      <c r="B13" s="560"/>
      <c r="C13" s="563"/>
      <c r="D13" s="1242" t="s">
        <v>553</v>
      </c>
      <c r="E13" s="1243"/>
      <c r="F13" s="1244"/>
      <c r="G13" s="1253" t="s">
        <v>735</v>
      </c>
      <c r="H13" s="1254"/>
      <c r="I13" s="1254"/>
      <c r="J13" s="1255"/>
      <c r="K13" s="1242" t="s">
        <v>554</v>
      </c>
      <c r="L13" s="1243"/>
      <c r="M13" s="1244"/>
      <c r="N13" s="1253" t="s">
        <v>737</v>
      </c>
      <c r="O13" s="1254"/>
      <c r="P13" s="1254"/>
      <c r="Q13" s="1255"/>
      <c r="R13" s="564"/>
      <c r="S13" s="562"/>
    </row>
    <row r="14" spans="2:19" ht="20.100000000000001" customHeight="1" outlineLevel="1" x14ac:dyDescent="0.4">
      <c r="B14" s="560"/>
      <c r="C14" s="563"/>
      <c r="D14" s="1242" t="s">
        <v>555</v>
      </c>
      <c r="E14" s="1243"/>
      <c r="F14" s="1244"/>
      <c r="G14" s="1253" t="s">
        <v>736</v>
      </c>
      <c r="H14" s="1254"/>
      <c r="I14" s="1254"/>
      <c r="J14" s="1255"/>
      <c r="K14" s="1242" t="s">
        <v>556</v>
      </c>
      <c r="L14" s="1243"/>
      <c r="M14" s="1244"/>
      <c r="N14" s="1253" t="s">
        <v>738</v>
      </c>
      <c r="O14" s="1254"/>
      <c r="P14" s="1254"/>
      <c r="Q14" s="1255"/>
      <c r="R14" s="564"/>
      <c r="S14" s="562"/>
    </row>
    <row r="15" spans="2:19" ht="20.100000000000001" customHeight="1" outlineLevel="1" x14ac:dyDescent="0.4">
      <c r="B15" s="560"/>
      <c r="C15" s="563"/>
      <c r="D15" s="1242" t="s">
        <v>414</v>
      </c>
      <c r="E15" s="1243"/>
      <c r="F15" s="1244"/>
      <c r="G15" s="1340"/>
      <c r="H15" s="1254"/>
      <c r="I15" s="1254"/>
      <c r="J15" s="1255"/>
      <c r="K15" s="1242" t="s">
        <v>557</v>
      </c>
      <c r="L15" s="1243"/>
      <c r="M15" s="1244"/>
      <c r="N15" s="1253" t="s">
        <v>738</v>
      </c>
      <c r="O15" s="1254"/>
      <c r="P15" s="1254"/>
      <c r="Q15" s="1255"/>
      <c r="R15" s="564"/>
      <c r="S15" s="562"/>
    </row>
    <row r="16" spans="2:19" ht="20.100000000000001" customHeight="1" outlineLevel="1" x14ac:dyDescent="0.4">
      <c r="B16" s="560"/>
      <c r="C16" s="563"/>
      <c r="D16" s="550"/>
      <c r="E16" s="550"/>
      <c r="F16" s="550"/>
      <c r="G16" s="550"/>
      <c r="H16" s="550"/>
      <c r="I16" s="550"/>
      <c r="J16" s="550"/>
      <c r="K16" s="550"/>
      <c r="L16" s="550"/>
      <c r="M16" s="550"/>
      <c r="N16" s="550"/>
      <c r="O16" s="550"/>
      <c r="P16" s="550"/>
      <c r="Q16" s="550"/>
      <c r="R16" s="564"/>
      <c r="S16" s="562"/>
    </row>
    <row r="17" spans="2:24" ht="20.100000000000001" customHeight="1" outlineLevel="1" x14ac:dyDescent="0.4">
      <c r="B17" s="560"/>
      <c r="C17" s="563"/>
      <c r="D17" s="1101" t="s">
        <v>558</v>
      </c>
      <c r="E17" s="1102"/>
      <c r="F17" s="1102"/>
      <c r="G17" s="1102"/>
      <c r="H17" s="1102"/>
      <c r="I17" s="1102"/>
      <c r="J17" s="1102"/>
      <c r="K17" s="1102"/>
      <c r="L17" s="1102"/>
      <c r="M17" s="1102"/>
      <c r="N17" s="1102"/>
      <c r="O17" s="1102"/>
      <c r="P17" s="1102"/>
      <c r="Q17" s="1123"/>
      <c r="R17" s="564"/>
      <c r="S17" s="562"/>
    </row>
    <row r="18" spans="2:24" ht="20.100000000000001" customHeight="1" outlineLevel="1" x14ac:dyDescent="0.4">
      <c r="B18" s="560"/>
      <c r="C18" s="563"/>
      <c r="D18" s="1242" t="s">
        <v>425</v>
      </c>
      <c r="E18" s="1243"/>
      <c r="F18" s="1244"/>
      <c r="G18" s="1245" t="s">
        <v>739</v>
      </c>
      <c r="H18" s="1246"/>
      <c r="I18" s="1246"/>
      <c r="J18" s="1247"/>
      <c r="K18" s="1242" t="s">
        <v>559</v>
      </c>
      <c r="L18" s="1243"/>
      <c r="M18" s="1244"/>
      <c r="N18" s="1253" t="s">
        <v>249</v>
      </c>
      <c r="O18" s="1254"/>
      <c r="P18" s="1254"/>
      <c r="Q18" s="1255"/>
      <c r="R18" s="564"/>
      <c r="S18" s="562"/>
    </row>
    <row r="19" spans="2:24" ht="20.100000000000001" customHeight="1" outlineLevel="1" x14ac:dyDescent="0.4">
      <c r="B19" s="560"/>
      <c r="C19" s="563"/>
      <c r="D19" s="1242" t="s">
        <v>427</v>
      </c>
      <c r="E19" s="1243"/>
      <c r="F19" s="1244"/>
      <c r="G19" s="1245" t="s">
        <v>740</v>
      </c>
      <c r="H19" s="1246"/>
      <c r="I19" s="1246"/>
      <c r="J19" s="1247"/>
      <c r="K19" s="1242" t="s">
        <v>560</v>
      </c>
      <c r="L19" s="1243"/>
      <c r="M19" s="1244"/>
      <c r="N19" s="1253" t="s">
        <v>743</v>
      </c>
      <c r="O19" s="1254"/>
      <c r="P19" s="1254"/>
      <c r="Q19" s="1255"/>
      <c r="R19" s="564"/>
      <c r="S19" s="562"/>
    </row>
    <row r="20" spans="2:24" ht="20.100000000000001" customHeight="1" outlineLevel="1" x14ac:dyDescent="0.4">
      <c r="B20" s="560"/>
      <c r="C20" s="563"/>
      <c r="D20" s="1242" t="s">
        <v>429</v>
      </c>
      <c r="E20" s="1243"/>
      <c r="F20" s="1244"/>
      <c r="G20" s="1245" t="s">
        <v>741</v>
      </c>
      <c r="H20" s="1246"/>
      <c r="I20" s="1246"/>
      <c r="J20" s="1247"/>
      <c r="K20" s="1242" t="s">
        <v>561</v>
      </c>
      <c r="L20" s="1243"/>
      <c r="M20" s="1244"/>
      <c r="N20" s="1253" t="s">
        <v>744</v>
      </c>
      <c r="O20" s="1254"/>
      <c r="P20" s="1254"/>
      <c r="Q20" s="1255"/>
      <c r="R20" s="564"/>
      <c r="S20" s="562"/>
    </row>
    <row r="21" spans="2:24" ht="20.100000000000001" customHeight="1" outlineLevel="1" x14ac:dyDescent="0.4">
      <c r="B21" s="560"/>
      <c r="C21" s="563"/>
      <c r="D21" s="1242" t="s">
        <v>562</v>
      </c>
      <c r="E21" s="1243"/>
      <c r="F21" s="1244"/>
      <c r="G21" s="1245" t="s">
        <v>742</v>
      </c>
      <c r="H21" s="1246"/>
      <c r="I21" s="1246"/>
      <c r="J21" s="1247"/>
      <c r="K21" s="1242" t="s">
        <v>563</v>
      </c>
      <c r="L21" s="1243"/>
      <c r="M21" s="1244"/>
      <c r="N21" s="1245">
        <v>24</v>
      </c>
      <c r="O21" s="1246"/>
      <c r="P21" s="1246"/>
      <c r="Q21" s="1247"/>
      <c r="R21" s="564"/>
      <c r="S21" s="562"/>
    </row>
    <row r="22" spans="2:24" ht="20.100000000000001" customHeight="1" outlineLevel="1" x14ac:dyDescent="0.4">
      <c r="B22" s="560"/>
      <c r="C22" s="563"/>
      <c r="D22" s="1242" t="s">
        <v>805</v>
      </c>
      <c r="E22" s="1243"/>
      <c r="F22" s="1244"/>
      <c r="G22" s="1338" t="s">
        <v>806</v>
      </c>
      <c r="H22" s="1246"/>
      <c r="I22" s="1246"/>
      <c r="J22" s="1247"/>
      <c r="K22" s="1242" t="s">
        <v>388</v>
      </c>
      <c r="L22" s="1243"/>
      <c r="M22" s="1244"/>
      <c r="N22" s="1339">
        <v>0.93</v>
      </c>
      <c r="O22" s="1246"/>
      <c r="P22" s="1246"/>
      <c r="Q22" s="1247"/>
      <c r="R22" s="564"/>
      <c r="S22" s="562"/>
    </row>
    <row r="23" spans="2:24" ht="20.100000000000001" customHeight="1" outlineLevel="1" x14ac:dyDescent="0.4">
      <c r="B23" s="560"/>
      <c r="C23" s="563"/>
      <c r="D23" s="807" t="s">
        <v>779</v>
      </c>
      <c r="E23" s="550"/>
      <c r="F23" s="550"/>
      <c r="G23" s="550"/>
      <c r="H23" s="550"/>
      <c r="I23" s="550"/>
      <c r="J23" s="550"/>
      <c r="K23" s="550"/>
      <c r="L23" s="550"/>
      <c r="M23" s="550"/>
      <c r="N23" s="550"/>
      <c r="O23" s="550"/>
      <c r="P23" s="550"/>
      <c r="Q23" s="550"/>
      <c r="R23" s="564"/>
      <c r="S23" s="562"/>
    </row>
    <row r="24" spans="2:24" ht="20.100000000000001" customHeight="1" outlineLevel="1" x14ac:dyDescent="0.4">
      <c r="B24" s="560"/>
      <c r="C24" s="563"/>
      <c r="D24" s="1101" t="s">
        <v>250</v>
      </c>
      <c r="E24" s="1102"/>
      <c r="F24" s="1102"/>
      <c r="G24" s="1102"/>
      <c r="H24" s="1102"/>
      <c r="I24" s="1102"/>
      <c r="J24" s="1102"/>
      <c r="K24" s="1102"/>
      <c r="L24" s="1102"/>
      <c r="M24" s="1102"/>
      <c r="N24" s="1241" t="s">
        <v>564</v>
      </c>
      <c r="O24" s="1241"/>
      <c r="P24" s="566"/>
      <c r="Q24" s="550"/>
      <c r="R24" s="564"/>
      <c r="S24" s="562"/>
    </row>
    <row r="25" spans="2:24" ht="20.100000000000001" customHeight="1" outlineLevel="1" x14ac:dyDescent="0.4">
      <c r="B25" s="560"/>
      <c r="C25" s="563"/>
      <c r="D25" s="1231" t="s">
        <v>565</v>
      </c>
      <c r="E25" s="1232"/>
      <c r="F25" s="1233"/>
      <c r="G25" s="1330" t="s">
        <v>566</v>
      </c>
      <c r="H25" s="1331"/>
      <c r="I25" s="1331"/>
      <c r="J25" s="1332"/>
      <c r="K25" s="1234" t="s">
        <v>567</v>
      </c>
      <c r="L25" s="1235"/>
      <c r="M25" s="1236"/>
      <c r="N25" s="1234" t="s">
        <v>568</v>
      </c>
      <c r="O25" s="1235"/>
      <c r="P25" s="1236"/>
      <c r="Q25" s="550"/>
      <c r="R25" s="564"/>
      <c r="S25" s="562"/>
    </row>
    <row r="26" spans="2:24" ht="20.100000000000001" customHeight="1" outlineLevel="1" x14ac:dyDescent="0.4">
      <c r="B26" s="560"/>
      <c r="C26" s="563"/>
      <c r="D26" s="1237" t="s">
        <v>807</v>
      </c>
      <c r="E26" s="1333"/>
      <c r="F26" s="567" t="s">
        <v>570</v>
      </c>
      <c r="G26" s="1334" t="s">
        <v>809</v>
      </c>
      <c r="H26" s="1335"/>
      <c r="I26" s="1336" t="s">
        <v>808</v>
      </c>
      <c r="J26" s="1337"/>
      <c r="K26" s="568" t="s">
        <v>573</v>
      </c>
      <c r="L26" s="569" t="s">
        <v>574</v>
      </c>
      <c r="M26" s="570" t="s">
        <v>91</v>
      </c>
      <c r="N26" s="568" t="s">
        <v>573</v>
      </c>
      <c r="O26" s="569" t="s">
        <v>574</v>
      </c>
      <c r="P26" s="570" t="s">
        <v>91</v>
      </c>
      <c r="Q26" s="550"/>
      <c r="R26" s="564"/>
      <c r="S26" s="562"/>
    </row>
    <row r="27" spans="2:24" ht="20.100000000000001" customHeight="1" outlineLevel="1" x14ac:dyDescent="0.4">
      <c r="B27" s="560"/>
      <c r="C27" s="563"/>
      <c r="D27" s="1227">
        <v>125</v>
      </c>
      <c r="E27" s="1325"/>
      <c r="F27" s="571">
        <f>IF(D27="","",IF(D27&gt;50,0.05,0.1))</f>
        <v>0.05</v>
      </c>
      <c r="G27" s="1326">
        <v>130</v>
      </c>
      <c r="H27" s="1327"/>
      <c r="I27" s="1328">
        <v>100</v>
      </c>
      <c r="J27" s="1329"/>
      <c r="K27" s="572">
        <f>IF(AND(D27&lt;&gt;"",G27&lt;&gt;""),(D27+G27)/2,"")</f>
        <v>127.5</v>
      </c>
      <c r="L27" s="573">
        <f>IF(AND(K27&lt;&gt;"",G27&lt;&gt;""),(K27-G27),"")</f>
        <v>-2.5</v>
      </c>
      <c r="M27" s="571">
        <f>IF(AND(K27&lt;&gt;"",K27&lt;&gt;0,L27&lt;&gt;""),L27/K27,"")</f>
        <v>-1.9607843137254902E-2</v>
      </c>
      <c r="N27" s="572">
        <f>IF(AND(D27&lt;&gt;"",I27&lt;&gt;""),(D27+I27)/2,"")</f>
        <v>112.5</v>
      </c>
      <c r="O27" s="573">
        <f>IF(AND(N27&lt;&gt;"",I27&lt;&gt;""),(N27-I27),"")</f>
        <v>12.5</v>
      </c>
      <c r="P27" s="571">
        <f>IF(AND(N27&lt;&gt;"",N27&lt;&gt;0,O27&lt;&gt;""),O27/N27,"")</f>
        <v>0.1111111111111111</v>
      </c>
      <c r="Q27" s="550"/>
      <c r="R27" s="564"/>
      <c r="S27" s="562"/>
      <c r="U27" s="565" t="str">
        <f>IF(OR(M27&lt;&gt;"",P27&lt;&gt;""),IF(OR(ABS(M27)&gt;0.1,ABS(P27)&gt;0.1),"Non validé (&gt;10%)",IF(AND(ABS(M27)&lt;=0.05,ABS(P27)&lt;=0.05),"Validé","Entre 5 et 10%")),"Non contrôlé")</f>
        <v>Non validé (&gt;10%)</v>
      </c>
    </row>
    <row r="28" spans="2:24" ht="20.100000000000001" customHeight="1" outlineLevel="1" thickBot="1" x14ac:dyDescent="0.45">
      <c r="B28" s="560"/>
      <c r="C28" s="574"/>
      <c r="D28" s="575"/>
      <c r="E28" s="575"/>
      <c r="F28" s="575"/>
      <c r="G28" s="575"/>
      <c r="H28" s="575"/>
      <c r="I28" s="575"/>
      <c r="J28" s="575"/>
      <c r="K28" s="575"/>
      <c r="L28" s="790" t="s">
        <v>779</v>
      </c>
      <c r="M28" s="575"/>
      <c r="N28" s="575"/>
      <c r="O28" s="790" t="s">
        <v>779</v>
      </c>
      <c r="P28" s="575"/>
      <c r="Q28" s="575"/>
      <c r="R28" s="576"/>
      <c r="S28" s="562"/>
    </row>
    <row r="29" spans="2:24" ht="9.9499999999999993" customHeight="1" thickTop="1" thickBot="1" x14ac:dyDescent="0.45">
      <c r="B29" s="560"/>
      <c r="C29" s="550"/>
      <c r="D29" s="550"/>
      <c r="E29" s="550"/>
      <c r="F29" s="550"/>
      <c r="G29" s="550"/>
      <c r="H29" s="550"/>
      <c r="I29" s="550"/>
      <c r="J29" s="550"/>
      <c r="K29" s="550"/>
      <c r="L29" s="550"/>
      <c r="M29" s="550"/>
      <c r="N29" s="550"/>
      <c r="O29" s="550"/>
      <c r="P29" s="550"/>
      <c r="Q29" s="550"/>
      <c r="R29" s="550"/>
      <c r="S29" s="562"/>
    </row>
    <row r="30" spans="2:24" ht="20.100000000000001" customHeight="1" thickTop="1" thickBot="1" x14ac:dyDescent="0.45">
      <c r="B30" s="560"/>
      <c r="C30" s="1119" t="s">
        <v>575</v>
      </c>
      <c r="D30" s="1120"/>
      <c r="E30" s="1120"/>
      <c r="F30" s="1120"/>
      <c r="G30" s="1120"/>
      <c r="H30" s="1120"/>
      <c r="I30" s="1120"/>
      <c r="J30" s="1120"/>
      <c r="K30" s="1120"/>
      <c r="L30" s="1120"/>
      <c r="M30" s="1120"/>
      <c r="N30" s="1120"/>
      <c r="O30" s="1120"/>
      <c r="P30" s="1120"/>
      <c r="Q30" s="1120"/>
      <c r="R30" s="1141"/>
      <c r="S30" s="562"/>
    </row>
    <row r="31" spans="2:24" ht="20.100000000000001" customHeight="1" outlineLevel="1" thickTop="1" x14ac:dyDescent="0.4">
      <c r="B31" s="560"/>
      <c r="C31" s="563"/>
      <c r="D31" s="550"/>
      <c r="E31" s="550"/>
      <c r="F31" s="550"/>
      <c r="G31" s="550"/>
      <c r="H31" s="550"/>
      <c r="I31" s="550"/>
      <c r="J31" s="550"/>
      <c r="K31" s="550"/>
      <c r="L31" s="550"/>
      <c r="M31" s="550"/>
      <c r="N31" s="550"/>
      <c r="O31" s="550"/>
      <c r="P31" s="550"/>
      <c r="Q31" s="550"/>
      <c r="R31" s="564"/>
      <c r="S31" s="562"/>
    </row>
    <row r="32" spans="2:24" ht="30" customHeight="1" outlineLevel="1" x14ac:dyDescent="0.4">
      <c r="B32" s="560"/>
      <c r="C32" s="563"/>
      <c r="D32" s="1229" t="s">
        <v>131</v>
      </c>
      <c r="E32" s="1229"/>
      <c r="F32" s="1229"/>
      <c r="G32" s="1229"/>
      <c r="H32" s="1229"/>
      <c r="I32" s="1229"/>
      <c r="J32" s="1229"/>
      <c r="K32" s="1229"/>
      <c r="L32" s="1229"/>
      <c r="M32" s="1229"/>
      <c r="N32" s="1229"/>
      <c r="O32" s="1229"/>
      <c r="P32" s="1229"/>
      <c r="Q32" s="1229"/>
      <c r="R32" s="564"/>
      <c r="S32" s="562"/>
      <c r="W32" s="565"/>
      <c r="X32" s="565"/>
    </row>
    <row r="33" spans="2:21" ht="20.100000000000001" customHeight="1" outlineLevel="1" x14ac:dyDescent="0.4">
      <c r="B33" s="560"/>
      <c r="C33" s="563"/>
      <c r="D33" s="1230" t="s">
        <v>59</v>
      </c>
      <c r="E33" s="1230"/>
      <c r="F33" s="1230"/>
      <c r="G33" s="1230"/>
      <c r="H33" s="1230"/>
      <c r="I33" s="1230"/>
      <c r="J33" s="1230" t="s">
        <v>377</v>
      </c>
      <c r="K33" s="1230"/>
      <c r="L33" s="1230"/>
      <c r="M33" s="1230"/>
      <c r="N33" s="1230" t="s">
        <v>242</v>
      </c>
      <c r="O33" s="1230"/>
      <c r="P33" s="740" t="s">
        <v>409</v>
      </c>
      <c r="Q33" s="740" t="s">
        <v>576</v>
      </c>
      <c r="R33" s="564"/>
      <c r="S33" s="562"/>
      <c r="U33" s="565" t="s">
        <v>61</v>
      </c>
    </row>
    <row r="34" spans="2:21" ht="99.95" customHeight="1" outlineLevel="1" x14ac:dyDescent="0.4">
      <c r="B34" s="560"/>
      <c r="C34" s="563"/>
      <c r="D34" s="577">
        <v>1</v>
      </c>
      <c r="E34" s="1222" t="str">
        <f>IFERROR(HLOOKUP($D$32,Critères!$B$3:$BE$16,D34+2,FALSE),"")</f>
        <v>L'accès à l'ouvrage et aux équipements de mesure se fait-il en toute sécurité pour les agents en charge des opérations de contrôles et d'entretien ?</v>
      </c>
      <c r="F34" s="1223"/>
      <c r="G34" s="1223"/>
      <c r="H34" s="1223"/>
      <c r="I34" s="1224"/>
      <c r="J34" s="1222" t="str">
        <f>IFERROR(IF(INDEX(Critères!$B$3:$BE$16, D34+2, MATCH($D$32, Critères!$B$3:$BE$3, 0) + 1)="", "", INDEX(Critères!$B$3:$BE$16, D34+2, MATCH($D$32, Critères!$B$3:$BE$3, 0) + 1)), "")</f>
        <v>En cas d'accès nécessitant des équipements de protection individuels renforcés (ARI par exemple) ou d'intervenir à 2 personnes, retenir "Validé avec réserve"</v>
      </c>
      <c r="K34" s="1223"/>
      <c r="L34" s="1223"/>
      <c r="M34" s="1224"/>
      <c r="N34" s="1225" t="s">
        <v>167</v>
      </c>
      <c r="O34" s="1226"/>
      <c r="P34" s="742">
        <f>IF(OR(N34="Validé",N34="Validé avec réserve"),Q34,0)</f>
        <v>10</v>
      </c>
      <c r="Q34" s="742">
        <f>IFERROR(INDEX(Critères!$B$3:$BE$16, D34+2, MATCH($D$32, Critères!$B$3:$BE$3, 0) + 2),"")</f>
        <v>10</v>
      </c>
      <c r="R34" s="564"/>
      <c r="S34" s="562"/>
      <c r="U34" s="565" t="s">
        <v>159</v>
      </c>
    </row>
    <row r="35" spans="2:21" ht="99.95" customHeight="1" outlineLevel="1" x14ac:dyDescent="0.4">
      <c r="B35" s="560"/>
      <c r="C35" s="563"/>
      <c r="D35" s="577">
        <v>2</v>
      </c>
      <c r="E35" s="1222" t="str">
        <f>IFERROR(HLOOKUP($D$32,Critères!$B$3:$BE$16,D35+2,FALSE),"")</f>
        <v>Le dimensionnement du débitmètre est-il adapté vis à vis de l'étendue des débits à mesurer ?</v>
      </c>
      <c r="F35" s="1223"/>
      <c r="G35" s="1223"/>
      <c r="H35" s="1223"/>
      <c r="I35" s="1224"/>
      <c r="J35" s="1222" t="str">
        <f>IFERROR(IF(INDEX(Critères!$B$3:$BE$16, D35+2, MATCH($D$32, Critères!$B$3:$BE$3, 0) + 1)="", "", INDEX(Critères!$B$3:$BE$16, D35+2, MATCH($D$32, Critères!$B$3:$BE$3, 0) + 1)), "")</f>
        <v/>
      </c>
      <c r="K35" s="1223"/>
      <c r="L35" s="1223"/>
      <c r="M35" s="1224"/>
      <c r="N35" s="1225" t="s">
        <v>167</v>
      </c>
      <c r="O35" s="1226"/>
      <c r="P35" s="742">
        <f t="shared" ref="P35:P43" si="0">IF(OR(N35="Validé",N35="Validé avec réserve"),Q35,0)</f>
        <v>10</v>
      </c>
      <c r="Q35" s="742">
        <f>IFERROR(INDEX(Critères!$B$3:$BE$16, D35+2, MATCH($D$32, Critères!$B$3:$BE$3, 0) + 2),"")</f>
        <v>10</v>
      </c>
      <c r="R35" s="564"/>
      <c r="S35" s="562"/>
      <c r="U35" s="565" t="s">
        <v>159</v>
      </c>
    </row>
    <row r="36" spans="2:21" ht="99.95" customHeight="1" outlineLevel="1" x14ac:dyDescent="0.4">
      <c r="B36" s="560"/>
      <c r="C36" s="563"/>
      <c r="D36" s="577">
        <v>3</v>
      </c>
      <c r="E36" s="1222" t="str">
        <f>IFERROR(HLOOKUP($D$32,Critères!$B$3:$BE$16,D36+2,FALSE),"")</f>
        <v>Le débitmètre est-il installé conformément aux normes en vigueur et/ou aux prescriptions du constructeur ?</v>
      </c>
      <c r="F36" s="1223"/>
      <c r="G36" s="1223"/>
      <c r="H36" s="1223"/>
      <c r="I36" s="1224"/>
      <c r="J36" s="1222" t="str">
        <f>IFERROR(IF(INDEX(Critères!$B$3:$BE$16, D36+2, MATCH($D$32, Critères!$B$3:$BE$3, 0) + 1)="", "", INDEX(Critères!$B$3:$BE$16, D36+2, MATCH($D$32, Critères!$B$3:$BE$3, 0) + 1)), "")</f>
        <v/>
      </c>
      <c r="K36" s="1223"/>
      <c r="L36" s="1223"/>
      <c r="M36" s="1224"/>
      <c r="N36" s="1225" t="s">
        <v>167</v>
      </c>
      <c r="O36" s="1226"/>
      <c r="P36" s="742">
        <f t="shared" si="0"/>
        <v>10</v>
      </c>
      <c r="Q36" s="742">
        <f>IFERROR(INDEX(Critères!$B$3:$BE$16, D36+2, MATCH($D$32, Critères!$B$3:$BE$3, 0) + 2),"")</f>
        <v>10</v>
      </c>
      <c r="R36" s="564"/>
      <c r="S36" s="562"/>
      <c r="U36" s="565" t="s">
        <v>159</v>
      </c>
    </row>
    <row r="37" spans="2:21" ht="99.95" customHeight="1" outlineLevel="1" x14ac:dyDescent="0.4">
      <c r="B37" s="560"/>
      <c r="C37" s="563"/>
      <c r="D37" s="577">
        <v>4</v>
      </c>
      <c r="E37" s="1222"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223"/>
      <c r="G37" s="1223"/>
      <c r="H37" s="1223"/>
      <c r="I37" s="1224"/>
      <c r="J37" s="1222" t="str">
        <f>IFERROR(IF(INDEX(Critères!$B$3:$BE$16, D37+2, MATCH($D$32, Critères!$B$3:$BE$3, 0) + 1)="", "", INDEX(Critères!$B$3:$BE$16, D37+2, MATCH($D$32, Critères!$B$3:$BE$3, 0) + 1)), "")</f>
        <v>Calcul de l'écart par rapport à la moyenne des 2 valeurs.
Pour les volumes &lt; 10 m3, le fonctionnement sera apprécié par l'intervenant.</v>
      </c>
      <c r="K37" s="1223"/>
      <c r="L37" s="1223"/>
      <c r="M37" s="1224"/>
      <c r="N37" s="1225" t="str">
        <f>IF(OR(D32 = Critères!B3, D32 = Critères!F3),U27,"Non contrôlé")</f>
        <v>Non validé (&gt;10%)</v>
      </c>
      <c r="O37" s="1226"/>
      <c r="P37" s="742">
        <f t="shared" si="0"/>
        <v>0</v>
      </c>
      <c r="Q37" s="742">
        <f>IFERROR(INDEX(Critères!$B$3:$BE$16, D37+2, MATCH($D$32, Critères!$B$3:$BE$3, 0) + 2),"")</f>
        <v>40</v>
      </c>
      <c r="R37" s="564"/>
      <c r="S37" s="562"/>
      <c r="U37" s="565" t="s">
        <v>161</v>
      </c>
    </row>
    <row r="38" spans="2:21" ht="99.95" customHeight="1" outlineLevel="1" x14ac:dyDescent="0.4">
      <c r="B38" s="560"/>
      <c r="C38" s="563"/>
      <c r="D38" s="577">
        <v>5</v>
      </c>
      <c r="E38" s="1222" t="str">
        <f>IFERROR(HLOOKUP($D$32,Critères!$B$3:$BE$16,D38+2,FALSE),"")</f>
        <v>Si une mesure comparative est impossible ou que l'écart se situe entre 5 et 10%, est ce qu'un bilan eau (entrée / sortie ou autre) peut-être établi et est-il cohérent (EMT ± 10 %) ?</v>
      </c>
      <c r="F38" s="1223"/>
      <c r="G38" s="1223"/>
      <c r="H38" s="1223"/>
      <c r="I38" s="1224"/>
      <c r="J38" s="1222" t="str">
        <f>IFERROR(IF(INDEX(Critères!$B$3:$BE$16, D38+2, MATCH($D$32, Critères!$B$3:$BE$3, 0) + 1)="", "", INDEX(Critères!$B$3:$BE$16, D38+2, MATCH($D$32, Critères!$B$3:$BE$3, 0) + 1)), "")</f>
        <v>Calcul de l'écart selon la formule (Volume Entrée - Volume Sortie) / Volume Moyen</v>
      </c>
      <c r="K38" s="1223"/>
      <c r="L38" s="1223"/>
      <c r="M38" s="1224"/>
      <c r="N38" s="1225" t="s">
        <v>128</v>
      </c>
      <c r="O38" s="1226"/>
      <c r="P38" s="742">
        <f t="shared" si="0"/>
        <v>0</v>
      </c>
      <c r="Q38" s="742">
        <f>IFERROR(INDEX(Critères!$B$3:$BE$16, D38+2, MATCH($D$32, Critères!$B$3:$BE$3, 0) + 2),"")</f>
        <v>20</v>
      </c>
      <c r="R38" s="564"/>
      <c r="S38" s="562"/>
      <c r="U38" s="565" t="s">
        <v>160</v>
      </c>
    </row>
    <row r="39" spans="2:21" ht="99.95" customHeight="1" outlineLevel="1" x14ac:dyDescent="0.4">
      <c r="B39" s="560"/>
      <c r="C39" s="563"/>
      <c r="D39" s="577">
        <v>6</v>
      </c>
      <c r="E39" s="1222" t="str">
        <f>IFERROR(HLOOKUP($D$32,Critères!$B$3:$BE$16,D39+2,FALSE),"")</f>
        <v>Si une mesure comparative est impossible ou que l'écart se situe entre 5 et 10%, est-ce qu'un contrôle électronique du débitmètre est régulièrement réalisé et le rapport atteste-t-il d'un bon fonctionnement ?</v>
      </c>
      <c r="F39" s="1223"/>
      <c r="G39" s="1223"/>
      <c r="H39" s="1223"/>
      <c r="I39" s="1224"/>
      <c r="J39" s="1222" t="str">
        <f>IFERROR(IF(INDEX(Critères!$B$3:$BE$16, D39+2, MATCH($D$32, Critères!$B$3:$BE$3, 0) + 1)="", "", INDEX(Critères!$B$3:$BE$16, D39+2, MATCH($D$32, Critères!$B$3:$BE$3, 0) + 1)), "")</f>
        <v/>
      </c>
      <c r="K39" s="1223"/>
      <c r="L39" s="1223"/>
      <c r="M39" s="1224"/>
      <c r="N39" s="1225" t="s">
        <v>128</v>
      </c>
      <c r="O39" s="1226"/>
      <c r="P39" s="742">
        <f t="shared" si="0"/>
        <v>0</v>
      </c>
      <c r="Q39" s="742">
        <f>IFERROR(INDEX(Critères!$B$3:$BE$16, D39+2, MATCH($D$32, Critères!$B$3:$BE$3, 0) + 2),"")</f>
        <v>20</v>
      </c>
      <c r="R39" s="564"/>
      <c r="S39" s="562"/>
      <c r="U39" s="565" t="s">
        <v>160</v>
      </c>
    </row>
    <row r="40" spans="2:21" ht="99.95" customHeight="1" outlineLevel="1" x14ac:dyDescent="0.4">
      <c r="B40" s="560"/>
      <c r="C40" s="563"/>
      <c r="D40" s="577">
        <v>7</v>
      </c>
      <c r="E40" s="1222"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223"/>
      <c r="G40" s="1223"/>
      <c r="H40" s="1223"/>
      <c r="I40" s="1224"/>
      <c r="J40" s="1222" t="str">
        <f>IFERROR(IF(INDEX(Critères!$B$3:$BE$16, D40+2, MATCH($D$32, Critères!$B$3:$BE$3, 0) + 1)="", "", INDEX(Critères!$B$3:$BE$16, D40+2, MATCH($D$32, Critères!$B$3:$BE$3, 0) + 1)), "")</f>
        <v/>
      </c>
      <c r="K40" s="1223"/>
      <c r="L40" s="1223"/>
      <c r="M40" s="1224"/>
      <c r="N40" s="1225" t="s">
        <v>128</v>
      </c>
      <c r="O40" s="1226"/>
      <c r="P40" s="742">
        <f t="shared" si="0"/>
        <v>0</v>
      </c>
      <c r="Q40" s="742">
        <f>IFERROR(INDEX(Critères!$B$3:$BE$16, D40+2, MATCH($D$32, Critères!$B$3:$BE$3, 0) + 2),"")</f>
        <v>20</v>
      </c>
      <c r="R40" s="564"/>
      <c r="S40" s="562"/>
      <c r="U40" s="565" t="s">
        <v>160</v>
      </c>
    </row>
    <row r="41" spans="2:21" ht="99.95" customHeight="1" outlineLevel="1" x14ac:dyDescent="0.4">
      <c r="B41" s="560"/>
      <c r="C41" s="563"/>
      <c r="D41" s="577">
        <v>8</v>
      </c>
      <c r="E41" s="1222" t="str">
        <f>IFERROR(HLOOKUP($D$32,Critères!$B$3:$BE$16,D41+2,FALSE),"")</f>
        <v>Si le débit est nul, le contrôle du zéro est-il cohérent ?</v>
      </c>
      <c r="F41" s="1223"/>
      <c r="G41" s="1223"/>
      <c r="H41" s="1223"/>
      <c r="I41" s="1224"/>
      <c r="J41" s="1222" t="str">
        <f>IFERROR(IF(INDEX(Critères!$B$3:$BE$16, D41+2, MATCH($D$32, Critères!$B$3:$BE$3, 0) + 1)="", "", INDEX(Critères!$B$3:$BE$16, D41+2, MATCH($D$32, Critères!$B$3:$BE$3, 0) + 1)), "")</f>
        <v>Si impossibilité d'avoir un débit nul =&gt; saisir "validé" et noter un commentaire.</v>
      </c>
      <c r="K41" s="1223"/>
      <c r="L41" s="1223"/>
      <c r="M41" s="1224"/>
      <c r="N41" s="1225" t="s">
        <v>167</v>
      </c>
      <c r="O41" s="1226"/>
      <c r="P41" s="742">
        <f t="shared" si="0"/>
        <v>10</v>
      </c>
      <c r="Q41" s="742">
        <f>IFERROR(INDEX(Critères!$B$3:$BE$16, D41+2, MATCH($D$32, Critères!$B$3:$BE$3, 0) + 2),"")</f>
        <v>10</v>
      </c>
      <c r="R41" s="564"/>
      <c r="S41" s="562"/>
      <c r="U41" s="565" t="s">
        <v>160</v>
      </c>
    </row>
    <row r="42" spans="2:21" ht="99.95" customHeight="1" outlineLevel="1" x14ac:dyDescent="0.4">
      <c r="B42" s="560"/>
      <c r="C42" s="563"/>
      <c r="D42" s="577">
        <v>9</v>
      </c>
      <c r="E42" s="1222" t="str">
        <f>IFERROR(HLOOKUP($D$32,Critères!$B$3:$BE$16,D42+2,FALSE),"")</f>
        <v>Existe-t-il un afficheur de proximité (Débit + Volume) ?</v>
      </c>
      <c r="F42" s="1223"/>
      <c r="G42" s="1223"/>
      <c r="H42" s="1223"/>
      <c r="I42" s="1224"/>
      <c r="J42" s="1222" t="str">
        <f>IFERROR(IF(INDEX(Critères!$B$3:$BE$16, D42+2, MATCH($D$32, Critères!$B$3:$BE$3, 0) + 1)="", "", INDEX(Critères!$B$3:$BE$16, D42+2, MATCH($D$32, Critères!$B$3:$BE$3, 0) + 1)), "")</f>
        <v/>
      </c>
      <c r="K42" s="1223"/>
      <c r="L42" s="1223"/>
      <c r="M42" s="1224"/>
      <c r="N42" s="1225" t="s">
        <v>124</v>
      </c>
      <c r="O42" s="1226"/>
      <c r="P42" s="742">
        <f>IF(OR(N42="Validé",N42="Validé avec réserve",N42="Oui"),Q42,0)</f>
        <v>20</v>
      </c>
      <c r="Q42" s="742">
        <f>IFERROR(INDEX(Critères!$B$3:$BE$16, D42+2, MATCH($D$32, Critères!$B$3:$BE$3, 0) + 2),"")</f>
        <v>20</v>
      </c>
      <c r="R42" s="808" t="s">
        <v>779</v>
      </c>
      <c r="S42" s="562"/>
      <c r="U42" s="565" t="s">
        <v>158</v>
      </c>
    </row>
    <row r="43" spans="2:21" ht="99.95" customHeight="1" outlineLevel="1" x14ac:dyDescent="0.4">
      <c r="B43" s="560"/>
      <c r="C43" s="563"/>
      <c r="D43" s="577">
        <v>10</v>
      </c>
      <c r="E43" s="1222">
        <f>IFERROR(HLOOKUP($D$32,Critères!$B$3:$BE$16,D43+2,FALSE),"")</f>
        <v>0</v>
      </c>
      <c r="F43" s="1223"/>
      <c r="G43" s="1223"/>
      <c r="H43" s="1223"/>
      <c r="I43" s="1224"/>
      <c r="J43" s="1222" t="str">
        <f>IFERROR(IF(INDEX(Critères!$B$3:$BE$16, D43+2, MATCH($D$32, Critères!$B$3:$BE$3, 0) + 1)="", "", INDEX(Critères!$B$3:$BE$16, D43+2, MATCH($D$32, Critères!$B$3:$BE$3, 0) + 1)), "")</f>
        <v/>
      </c>
      <c r="K43" s="1223"/>
      <c r="L43" s="1223"/>
      <c r="M43" s="1224"/>
      <c r="N43" s="1225"/>
      <c r="O43" s="1226"/>
      <c r="P43" s="742">
        <f t="shared" si="0"/>
        <v>0</v>
      </c>
      <c r="Q43" s="742">
        <f>IFERROR(INDEX(Critères!$B$3:$BE$16, D43+2, MATCH($D$32, Critères!$B$3:$BE$3, 0) + 2),"")</f>
        <v>0</v>
      </c>
      <c r="R43" s="564"/>
      <c r="S43" s="562"/>
      <c r="U43" s="565">
        <v>0</v>
      </c>
    </row>
    <row r="44" spans="2:21" ht="20.100000000000001" customHeight="1" outlineLevel="1" x14ac:dyDescent="0.4">
      <c r="B44" s="560"/>
      <c r="C44" s="563"/>
      <c r="D44" s="1215" t="s">
        <v>75</v>
      </c>
      <c r="E44" s="1216"/>
      <c r="F44" s="1216"/>
      <c r="G44" s="1216"/>
      <c r="H44" s="1216"/>
      <c r="I44" s="1216"/>
      <c r="J44" s="1216"/>
      <c r="K44" s="1216"/>
      <c r="L44" s="1216"/>
      <c r="M44" s="1217"/>
      <c r="N44" s="1218" t="s">
        <v>413</v>
      </c>
      <c r="O44" s="1218"/>
      <c r="P44" s="1218" t="s">
        <v>64</v>
      </c>
      <c r="Q44" s="1218"/>
      <c r="R44" s="564"/>
      <c r="S44" s="562"/>
    </row>
    <row r="45" spans="2:21" ht="99.95" customHeight="1" outlineLevel="1" x14ac:dyDescent="0.4">
      <c r="B45" s="560"/>
      <c r="C45" s="563"/>
      <c r="D45" s="1064" t="s">
        <v>745</v>
      </c>
      <c r="E45" s="1219"/>
      <c r="F45" s="1219"/>
      <c r="G45" s="1219"/>
      <c r="H45" s="1219"/>
      <c r="I45" s="1219"/>
      <c r="J45" s="1219"/>
      <c r="K45" s="1219"/>
      <c r="L45" s="1219"/>
      <c r="M45" s="1063"/>
      <c r="N45" s="1064" t="str">
        <f>IF(P45&gt;80,"Validé",IF(P45&lt;70,"Non Validé", "Validé avec réserve"))</f>
        <v>Non Validé</v>
      </c>
      <c r="O45" s="1063"/>
      <c r="P45" s="1220">
        <f>IF(SUM(P34:P43)&gt;100,100,SUM(P34:P43))</f>
        <v>60</v>
      </c>
      <c r="Q45" s="1221"/>
      <c r="R45" s="564"/>
      <c r="S45" s="562"/>
    </row>
    <row r="46" spans="2:21" ht="20.100000000000001" customHeight="1" outlineLevel="1" thickBot="1" x14ac:dyDescent="0.45">
      <c r="B46" s="560"/>
      <c r="C46" s="574"/>
      <c r="D46" s="575"/>
      <c r="E46" s="575"/>
      <c r="F46" s="575"/>
      <c r="G46" s="575"/>
      <c r="H46" s="575"/>
      <c r="I46" s="575"/>
      <c r="J46" s="575"/>
      <c r="K46" s="575"/>
      <c r="L46" s="575"/>
      <c r="M46" s="575"/>
      <c r="N46" s="575"/>
      <c r="O46" s="575"/>
      <c r="P46" s="575"/>
      <c r="Q46" s="575"/>
      <c r="R46" s="576"/>
      <c r="S46" s="562"/>
    </row>
    <row r="47" spans="2:21" ht="9.9499999999999993" customHeight="1" thickTop="1" thickBot="1" x14ac:dyDescent="0.45">
      <c r="B47" s="578"/>
      <c r="C47" s="579"/>
      <c r="D47" s="579"/>
      <c r="E47" s="579"/>
      <c r="F47" s="579"/>
      <c r="G47" s="579"/>
      <c r="H47" s="579"/>
      <c r="I47" s="579"/>
      <c r="J47" s="579"/>
      <c r="K47" s="579"/>
      <c r="L47" s="579"/>
      <c r="M47" s="579"/>
      <c r="N47" s="579"/>
      <c r="O47" s="579"/>
      <c r="P47" s="579"/>
      <c r="Q47" s="579"/>
      <c r="R47" s="579"/>
      <c r="S47" s="580"/>
    </row>
    <row r="48" spans="2:21" ht="20.100000000000001" customHeight="1" thickTop="1" thickBot="1" x14ac:dyDescent="0.45">
      <c r="B48" s="578"/>
      <c r="C48" s="1119" t="s">
        <v>256</v>
      </c>
      <c r="D48" s="1120"/>
      <c r="E48" s="1120"/>
      <c r="F48" s="1120"/>
      <c r="G48" s="1120"/>
      <c r="H48" s="1120"/>
      <c r="I48" s="1120"/>
      <c r="J48" s="1120"/>
      <c r="K48" s="1120"/>
      <c r="L48" s="1120"/>
      <c r="M48" s="1120"/>
      <c r="N48" s="1120"/>
      <c r="O48" s="1120"/>
      <c r="P48" s="1120"/>
      <c r="Q48" s="1120"/>
      <c r="R48" s="1141"/>
      <c r="S48" s="580"/>
    </row>
    <row r="49" spans="2:19" ht="20.100000000000001" customHeight="1" thickTop="1" x14ac:dyDescent="0.4">
      <c r="B49" s="578"/>
      <c r="C49" s="1208" t="s">
        <v>577</v>
      </c>
      <c r="D49" s="1320"/>
      <c r="E49" s="1320"/>
      <c r="F49" s="1320"/>
      <c r="G49" s="1320"/>
      <c r="H49" s="1320"/>
      <c r="I49" s="1320"/>
      <c r="J49" s="1320"/>
      <c r="K49" s="1320"/>
      <c r="L49" s="1320"/>
      <c r="M49" s="1320"/>
      <c r="N49" s="1320"/>
      <c r="O49" s="1320"/>
      <c r="P49" s="1320"/>
      <c r="Q49" s="1320"/>
      <c r="R49" s="1321"/>
      <c r="S49" s="580"/>
    </row>
    <row r="50" spans="2:19" ht="20.100000000000001" customHeight="1" x14ac:dyDescent="0.4">
      <c r="B50" s="578"/>
      <c r="C50" s="1208"/>
      <c r="D50" s="1320"/>
      <c r="E50" s="1320"/>
      <c r="F50" s="1320"/>
      <c r="G50" s="1320"/>
      <c r="H50" s="1320"/>
      <c r="I50" s="1320"/>
      <c r="J50" s="1320"/>
      <c r="K50" s="1320"/>
      <c r="L50" s="1320"/>
      <c r="M50" s="1320"/>
      <c r="N50" s="1320"/>
      <c r="O50" s="1320"/>
      <c r="P50" s="1320"/>
      <c r="Q50" s="1320"/>
      <c r="R50" s="1321"/>
      <c r="S50" s="580"/>
    </row>
    <row r="51" spans="2:19" ht="20.100000000000001" customHeight="1" x14ac:dyDescent="0.4">
      <c r="B51" s="578"/>
      <c r="C51" s="1208"/>
      <c r="D51" s="1320"/>
      <c r="E51" s="1320"/>
      <c r="F51" s="1320"/>
      <c r="G51" s="1320"/>
      <c r="H51" s="1320"/>
      <c r="I51" s="1320"/>
      <c r="J51" s="1320"/>
      <c r="K51" s="1320"/>
      <c r="L51" s="1320"/>
      <c r="M51" s="1320"/>
      <c r="N51" s="1320"/>
      <c r="O51" s="1320"/>
      <c r="P51" s="1320"/>
      <c r="Q51" s="1320"/>
      <c r="R51" s="1321"/>
      <c r="S51" s="580"/>
    </row>
    <row r="52" spans="2:19" ht="20.100000000000001" customHeight="1" x14ac:dyDescent="0.4">
      <c r="B52" s="578"/>
      <c r="C52" s="1208"/>
      <c r="D52" s="1320"/>
      <c r="E52" s="1320"/>
      <c r="F52" s="1320"/>
      <c r="G52" s="1320"/>
      <c r="H52" s="1320"/>
      <c r="I52" s="1320"/>
      <c r="J52" s="1320"/>
      <c r="K52" s="1320"/>
      <c r="L52" s="1320"/>
      <c r="M52" s="1320"/>
      <c r="N52" s="1320"/>
      <c r="O52" s="1320"/>
      <c r="P52" s="1320"/>
      <c r="Q52" s="1320"/>
      <c r="R52" s="1321"/>
      <c r="S52" s="580"/>
    </row>
    <row r="53" spans="2:19" ht="20.100000000000001" customHeight="1" thickBot="1" x14ac:dyDescent="0.45">
      <c r="B53" s="578"/>
      <c r="C53" s="1322"/>
      <c r="D53" s="1323"/>
      <c r="E53" s="1323"/>
      <c r="F53" s="1323"/>
      <c r="G53" s="1323"/>
      <c r="H53" s="1323"/>
      <c r="I53" s="1323"/>
      <c r="J53" s="1323"/>
      <c r="K53" s="1323"/>
      <c r="L53" s="1323"/>
      <c r="M53" s="1323"/>
      <c r="N53" s="1323"/>
      <c r="O53" s="1323"/>
      <c r="P53" s="1323"/>
      <c r="Q53" s="1323"/>
      <c r="R53" s="1324"/>
      <c r="S53" s="580"/>
    </row>
    <row r="54" spans="2:19" ht="9.9499999999999993" customHeight="1" thickTop="1" x14ac:dyDescent="0.4">
      <c r="B54" s="581"/>
      <c r="C54" s="582"/>
      <c r="D54" s="582"/>
      <c r="E54" s="582"/>
      <c r="F54" s="582"/>
      <c r="G54" s="582"/>
      <c r="H54" s="582"/>
      <c r="I54" s="582"/>
      <c r="J54" s="582"/>
      <c r="K54" s="582"/>
      <c r="L54" s="582"/>
      <c r="M54" s="582"/>
      <c r="N54" s="582"/>
      <c r="O54" s="582"/>
      <c r="P54" s="582"/>
      <c r="Q54" s="582"/>
      <c r="R54" s="582"/>
      <c r="S54" s="583"/>
    </row>
  </sheetData>
  <mergeCells count="123">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 ref="C8:R8"/>
    <mergeCell ref="D10:Q10"/>
    <mergeCell ref="D11:F11"/>
    <mergeCell ref="G11:J11"/>
    <mergeCell ref="K11:M11"/>
    <mergeCell ref="N11:Q11"/>
    <mergeCell ref="C6:D6"/>
    <mergeCell ref="E6:G6"/>
    <mergeCell ref="H6:I6"/>
    <mergeCell ref="J6:L6"/>
    <mergeCell ref="M6:O6"/>
    <mergeCell ref="P6:R6"/>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D17:Q17"/>
    <mergeCell ref="D18:F18"/>
    <mergeCell ref="G18:J18"/>
    <mergeCell ref="K18:M18"/>
    <mergeCell ref="N18:Q18"/>
    <mergeCell ref="D19:F19"/>
    <mergeCell ref="G19:J19"/>
    <mergeCell ref="K19:M19"/>
    <mergeCell ref="N19:Q19"/>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E36:I36"/>
    <mergeCell ref="J36:M36"/>
    <mergeCell ref="N36:O36"/>
    <mergeCell ref="E37:I37"/>
    <mergeCell ref="J37:M37"/>
    <mergeCell ref="N37:O37"/>
    <mergeCell ref="E34:I34"/>
    <mergeCell ref="J34:M34"/>
    <mergeCell ref="N34:O34"/>
    <mergeCell ref="E35:I35"/>
    <mergeCell ref="J35:M35"/>
    <mergeCell ref="N35:O35"/>
    <mergeCell ref="E40:I40"/>
    <mergeCell ref="J40:M40"/>
    <mergeCell ref="N40:O40"/>
    <mergeCell ref="E41:I41"/>
    <mergeCell ref="J41:M41"/>
    <mergeCell ref="N41:O41"/>
    <mergeCell ref="E38:I38"/>
    <mergeCell ref="J38:M38"/>
    <mergeCell ref="N38:O38"/>
    <mergeCell ref="E39:I39"/>
    <mergeCell ref="J39:M39"/>
    <mergeCell ref="N39:O39"/>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s>
  <conditionalFormatting sqref="M27">
    <cfRule type="expression" dxfId="826" priority="4">
      <formula>ABS(M27)&gt;=$F27</formula>
    </cfRule>
    <cfRule type="expression" dxfId="825" priority="5">
      <formula>ABS(M27)&lt;$F27</formula>
    </cfRule>
  </conditionalFormatting>
  <conditionalFormatting sqref="P24">
    <cfRule type="expression" dxfId="824" priority="1">
      <formula>$P$24&lt;&gt;""</formula>
    </cfRule>
  </conditionalFormatting>
  <conditionalFormatting sqref="P27">
    <cfRule type="expression" dxfId="823" priority="2">
      <formula>ABS(P27)&gt;=$F27</formula>
    </cfRule>
    <cfRule type="expression" dxfId="822"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0B4D3D90-BF2E-4424-A6E1-58E6783D8F44}">
      <formula1>INDIRECT($U37)</formula1>
    </dataValidation>
    <dataValidation type="list" allowBlank="1" showInputMessage="1" showErrorMessage="1" sqref="N34:O36 N38:O43" xr:uid="{F37EC1DB-4ECB-4BEF-8B38-DDAE76EDD24B}">
      <formula1>INDIRECT($U34)</formula1>
    </dataValidation>
    <dataValidation type="list" allowBlank="1" showInputMessage="1" showErrorMessage="1" sqref="D32:Q32" xr:uid="{B1C2FD74-5906-4C32-A1E9-DE79A0CA5327}">
      <formula1>Q_en_charge</formula1>
    </dataValidation>
    <dataValidation type="list" allowBlank="1" showInputMessage="1" showErrorMessage="1" sqref="N45:O45" xr:uid="{768A740C-1BA1-446C-AF30-C61C5CD5B68B}">
      <formula1>LISTE_4</formula1>
    </dataValidation>
    <dataValidation type="list" allowBlank="1" showInputMessage="1" showErrorMessage="1" sqref="N18:Q18" xr:uid="{B6C21F8C-B9CA-44D8-B365-EB955B32EFE7}">
      <formula1>Montage_sonde</formula1>
    </dataValidation>
    <dataValidation type="list" allowBlank="1" showInputMessage="1" showErrorMessage="1" sqref="N11" xr:uid="{D5114041-F240-4AA4-A054-230D4A9F6824}">
      <formula1>Frequence</formula1>
    </dataValidation>
  </dataValidations>
  <pageMargins left="0.7" right="0.7" top="0.75" bottom="0.75" header="0.3" footer="0.3"/>
  <pageSetup paperSize="9" scale="3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E338-4C06-4636-9E05-AF3C7CA65FD6}">
  <sheetPr codeName="Feuil19">
    <tabColor rgb="FF16365C"/>
  </sheetPr>
  <dimension ref="B1:Z59"/>
  <sheetViews>
    <sheetView showGridLines="0" zoomScale="85" zoomScaleNormal="85" workbookViewId="0">
      <selection activeCell="N12" sqref="N12:Q15"/>
    </sheetView>
  </sheetViews>
  <sheetFormatPr baseColWidth="10" defaultColWidth="10.703125" defaultRowHeight="20.100000000000001" customHeight="1" outlineLevelRow="1" x14ac:dyDescent="0.4"/>
  <cols>
    <col min="1" max="2" width="2.703125" style="594" customWidth="1"/>
    <col min="3" max="18" width="10.703125" style="594"/>
    <col min="19" max="19" width="2.703125" style="594" customWidth="1"/>
    <col min="20" max="20" width="2.703125" style="586" customWidth="1"/>
    <col min="21" max="26" width="10.703125" style="586"/>
    <col min="27" max="16384" width="10.703125" style="594"/>
  </cols>
  <sheetData>
    <row r="1" spans="2:21" ht="9.9499999999999993" customHeight="1" thickBot="1" x14ac:dyDescent="0.45">
      <c r="B1" s="554"/>
      <c r="C1" s="555"/>
      <c r="D1" s="555"/>
      <c r="E1" s="555"/>
      <c r="F1" s="555"/>
      <c r="G1" s="555"/>
      <c r="H1" s="555"/>
      <c r="I1" s="555"/>
      <c r="J1" s="555"/>
      <c r="K1" s="555"/>
      <c r="L1" s="555"/>
      <c r="M1" s="555"/>
      <c r="N1" s="555"/>
      <c r="O1" s="555"/>
      <c r="P1" s="555"/>
      <c r="Q1" s="555"/>
      <c r="R1" s="555"/>
      <c r="S1" s="556"/>
    </row>
    <row r="2" spans="2:21" ht="30" customHeight="1" thickTop="1" x14ac:dyDescent="0.4">
      <c r="B2" s="558"/>
      <c r="C2" s="1277" t="s">
        <v>539</v>
      </c>
      <c r="D2" s="1278"/>
      <c r="E2" s="1278"/>
      <c r="F2" s="1278"/>
      <c r="G2" s="1278"/>
      <c r="H2" s="1278"/>
      <c r="I2" s="1278"/>
      <c r="J2" s="1278"/>
      <c r="K2" s="1278"/>
      <c r="L2" s="1278"/>
      <c r="M2" s="1278"/>
      <c r="N2" s="1278"/>
      <c r="O2" s="1278"/>
      <c r="P2" s="1278"/>
      <c r="Q2" s="1278"/>
      <c r="R2" s="1279"/>
      <c r="S2" s="559"/>
    </row>
    <row r="3" spans="2:21" ht="20.100000000000001" customHeight="1" x14ac:dyDescent="0.4">
      <c r="B3" s="751"/>
      <c r="C3" s="1261" t="s">
        <v>578</v>
      </c>
      <c r="D3" s="1262"/>
      <c r="E3" s="1263" t="str">
        <f>IF(ISBLANK(Descriptif!N3),"",Descriptif!N3)</f>
        <v>BARJAC (30)</v>
      </c>
      <c r="F3" s="1263"/>
      <c r="G3" s="1263"/>
      <c r="H3" s="1262" t="s">
        <v>540</v>
      </c>
      <c r="I3" s="1262"/>
      <c r="J3" s="1263" t="s">
        <v>708</v>
      </c>
      <c r="K3" s="1263"/>
      <c r="L3" s="1263"/>
      <c r="M3" s="1264" t="s">
        <v>486</v>
      </c>
      <c r="N3" s="1264"/>
      <c r="O3" s="1264"/>
      <c r="P3" s="1263" t="str">
        <f>IF(ISBLANK(Descriptif!T3),"",Descriptif!G6)</f>
        <v/>
      </c>
      <c r="Q3" s="1263"/>
      <c r="R3" s="1265"/>
      <c r="S3" s="752"/>
    </row>
    <row r="4" spans="2:21" ht="20.100000000000001" customHeight="1" x14ac:dyDescent="0.4">
      <c r="B4" s="751"/>
      <c r="C4" s="1261" t="s">
        <v>541</v>
      </c>
      <c r="D4" s="1262"/>
      <c r="E4" s="1263" t="str">
        <f>IF(ISBLANK(Descriptif!N4),"",Descriptif!N4)</f>
        <v>060930290002</v>
      </c>
      <c r="F4" s="1263"/>
      <c r="G4" s="1263"/>
      <c r="H4" s="1262" t="s">
        <v>542</v>
      </c>
      <c r="I4" s="1262"/>
      <c r="J4" s="1263" t="s">
        <v>708</v>
      </c>
      <c r="K4" s="1263"/>
      <c r="L4" s="1263"/>
      <c r="M4" s="1264" t="s">
        <v>543</v>
      </c>
      <c r="N4" s="1264"/>
      <c r="O4" s="1264"/>
      <c r="P4" s="1263"/>
      <c r="Q4" s="1263"/>
      <c r="R4" s="1265"/>
      <c r="S4" s="752"/>
    </row>
    <row r="5" spans="2:21" ht="20.100000000000001" customHeight="1" x14ac:dyDescent="0.4">
      <c r="B5" s="751"/>
      <c r="C5" s="1261" t="s">
        <v>544</v>
      </c>
      <c r="D5" s="1262"/>
      <c r="E5" s="1263" t="str">
        <f>IF(ISBLANK(Descriptif!G5),"",Descriptif!G5)</f>
        <v>Commune de Barjac</v>
      </c>
      <c r="F5" s="1263"/>
      <c r="G5" s="1263"/>
      <c r="H5" s="1262" t="s">
        <v>545</v>
      </c>
      <c r="I5" s="1262"/>
      <c r="J5" s="1263" t="s">
        <v>125</v>
      </c>
      <c r="K5" s="1263"/>
      <c r="L5" s="1263"/>
      <c r="M5" s="1264" t="s">
        <v>546</v>
      </c>
      <c r="N5" s="1264"/>
      <c r="O5" s="1264"/>
      <c r="P5" s="1263"/>
      <c r="Q5" s="1263"/>
      <c r="R5" s="1265"/>
      <c r="S5" s="752"/>
    </row>
    <row r="6" spans="2:21" ht="20.100000000000001" customHeight="1" thickBot="1" x14ac:dyDescent="0.45">
      <c r="B6" s="751"/>
      <c r="C6" s="1256" t="s">
        <v>547</v>
      </c>
      <c r="D6" s="1257"/>
      <c r="E6" s="1258" t="str">
        <f>IF(ISBLANK(Descriptif!T6),"",Descriptif!T6)</f>
        <v/>
      </c>
      <c r="F6" s="1258"/>
      <c r="G6" s="1258"/>
      <c r="H6" s="1257" t="s">
        <v>781</v>
      </c>
      <c r="I6" s="1257"/>
      <c r="J6" s="1258" t="s">
        <v>408</v>
      </c>
      <c r="K6" s="1258"/>
      <c r="L6" s="1258"/>
      <c r="M6" s="1259" t="s">
        <v>549</v>
      </c>
      <c r="N6" s="1259"/>
      <c r="O6" s="1259"/>
      <c r="P6" s="1258"/>
      <c r="Q6" s="1258"/>
      <c r="R6" s="1260"/>
      <c r="S6" s="752"/>
    </row>
    <row r="7" spans="2:21" ht="9.9499999999999993" customHeight="1" thickTop="1" thickBot="1" x14ac:dyDescent="0.45">
      <c r="B7" s="560"/>
      <c r="C7" s="587"/>
      <c r="D7" s="587"/>
      <c r="E7" s="587"/>
      <c r="F7" s="587"/>
      <c r="G7" s="587"/>
      <c r="H7" s="587"/>
      <c r="I7" s="587"/>
      <c r="J7" s="587"/>
      <c r="K7" s="587"/>
      <c r="L7" s="587"/>
      <c r="M7" s="587"/>
      <c r="N7" s="587"/>
      <c r="O7" s="587"/>
      <c r="P7" s="587"/>
      <c r="Q7" s="587"/>
      <c r="R7" s="587"/>
      <c r="S7" s="562"/>
    </row>
    <row r="8" spans="2:21" ht="20.100000000000001" customHeight="1" thickTop="1" thickBot="1" x14ac:dyDescent="0.45">
      <c r="B8" s="560"/>
      <c r="C8" s="1119" t="s">
        <v>658</v>
      </c>
      <c r="D8" s="1120"/>
      <c r="E8" s="1120"/>
      <c r="F8" s="1120"/>
      <c r="G8" s="1120"/>
      <c r="H8" s="1120"/>
      <c r="I8" s="1120"/>
      <c r="J8" s="1120"/>
      <c r="K8" s="1120"/>
      <c r="L8" s="1120"/>
      <c r="M8" s="1120"/>
      <c r="N8" s="1120"/>
      <c r="O8" s="1120"/>
      <c r="P8" s="1120"/>
      <c r="Q8" s="1120"/>
      <c r="R8" s="1141"/>
      <c r="S8" s="562"/>
    </row>
    <row r="9" spans="2:21" ht="20.100000000000001" customHeight="1" outlineLevel="1" thickTop="1" x14ac:dyDescent="0.4">
      <c r="B9" s="560"/>
      <c r="C9" s="588"/>
      <c r="D9" s="587"/>
      <c r="E9" s="587"/>
      <c r="F9" s="587"/>
      <c r="G9" s="587"/>
      <c r="H9" s="587"/>
      <c r="I9" s="587"/>
      <c r="J9" s="587"/>
      <c r="K9" s="587"/>
      <c r="L9" s="587"/>
      <c r="M9" s="587"/>
      <c r="N9" s="587"/>
      <c r="O9" s="587"/>
      <c r="P9" s="587"/>
      <c r="Q9" s="587"/>
      <c r="R9" s="589"/>
      <c r="S9" s="562"/>
    </row>
    <row r="10" spans="2:21" ht="20.100000000000001" customHeight="1" outlineLevel="1" x14ac:dyDescent="0.4">
      <c r="B10" s="578"/>
      <c r="C10" s="588"/>
      <c r="D10" s="1101" t="s">
        <v>659</v>
      </c>
      <c r="E10" s="1102"/>
      <c r="F10" s="1102"/>
      <c r="G10" s="1102"/>
      <c r="H10" s="1102"/>
      <c r="I10" s="1102"/>
      <c r="J10" s="1102"/>
      <c r="K10" s="1102"/>
      <c r="L10" s="1102"/>
      <c r="M10" s="1102"/>
      <c r="N10" s="1102"/>
      <c r="O10" s="1102"/>
      <c r="P10" s="1102"/>
      <c r="Q10" s="1123"/>
      <c r="R10" s="589"/>
      <c r="S10" s="580"/>
    </row>
    <row r="11" spans="2:21" ht="20.100000000000001" customHeight="1" outlineLevel="1" x14ac:dyDescent="0.4">
      <c r="B11" s="578"/>
      <c r="C11" s="588"/>
      <c r="D11" s="1242" t="s">
        <v>660</v>
      </c>
      <c r="E11" s="1243"/>
      <c r="F11" s="1244"/>
      <c r="G11" s="1280" t="s">
        <v>757</v>
      </c>
      <c r="H11" s="1281"/>
      <c r="I11" s="1281"/>
      <c r="J11" s="1281"/>
      <c r="K11" s="1281"/>
      <c r="L11" s="1281"/>
      <c r="M11" s="1281"/>
      <c r="N11" s="1281"/>
      <c r="O11" s="1281"/>
      <c r="P11" s="1281"/>
      <c r="Q11" s="1282"/>
      <c r="R11" s="589"/>
      <c r="S11" s="580"/>
    </row>
    <row r="12" spans="2:21" ht="20.100000000000001" customHeight="1" outlineLevel="1" x14ac:dyDescent="0.4">
      <c r="B12" s="578"/>
      <c r="C12" s="588"/>
      <c r="D12" s="1242" t="s">
        <v>387</v>
      </c>
      <c r="E12" s="1243"/>
      <c r="F12" s="1244"/>
      <c r="G12" s="1245" t="s">
        <v>747</v>
      </c>
      <c r="H12" s="1246"/>
      <c r="I12" s="1246"/>
      <c r="J12" s="1247"/>
      <c r="K12" s="1242" t="s">
        <v>661</v>
      </c>
      <c r="L12" s="1243"/>
      <c r="M12" s="1244"/>
      <c r="N12" s="1245" t="s">
        <v>750</v>
      </c>
      <c r="O12" s="1246"/>
      <c r="P12" s="1246"/>
      <c r="Q12" s="1247"/>
      <c r="R12" s="589"/>
      <c r="S12" s="580"/>
    </row>
    <row r="13" spans="2:21" ht="20.100000000000001" customHeight="1" outlineLevel="1" x14ac:dyDescent="0.4">
      <c r="B13" s="578"/>
      <c r="C13" s="588"/>
      <c r="D13" s="1242" t="s">
        <v>386</v>
      </c>
      <c r="E13" s="1243"/>
      <c r="F13" s="1244"/>
      <c r="G13" s="1245" t="s">
        <v>758</v>
      </c>
      <c r="H13" s="1246"/>
      <c r="I13" s="1246"/>
      <c r="J13" s="1247"/>
      <c r="K13" s="1242" t="s">
        <v>662</v>
      </c>
      <c r="L13" s="1243"/>
      <c r="M13" s="1244"/>
      <c r="N13" s="1245">
        <v>3.2</v>
      </c>
      <c r="O13" s="1246"/>
      <c r="P13" s="1246"/>
      <c r="Q13" s="1247"/>
      <c r="R13" s="589"/>
      <c r="S13" s="580"/>
    </row>
    <row r="14" spans="2:21" ht="20.100000000000001" customHeight="1" outlineLevel="1" x14ac:dyDescent="0.4">
      <c r="B14" s="578"/>
      <c r="C14" s="588"/>
      <c r="D14" s="1242" t="s">
        <v>663</v>
      </c>
      <c r="E14" s="1243"/>
      <c r="F14" s="1244"/>
      <c r="G14" s="1245" t="s">
        <v>124</v>
      </c>
      <c r="H14" s="1246"/>
      <c r="I14" s="1246"/>
      <c r="J14" s="1247"/>
      <c r="K14" s="1242" t="s">
        <v>664</v>
      </c>
      <c r="L14" s="1243"/>
      <c r="M14" s="1244"/>
      <c r="N14" s="1245">
        <v>12</v>
      </c>
      <c r="O14" s="1246"/>
      <c r="P14" s="1246"/>
      <c r="Q14" s="1247"/>
      <c r="R14" s="589"/>
      <c r="S14" s="580"/>
      <c r="U14" s="586" t="str">
        <f>IF(N14&lt;&gt;"",IF(N14&gt;=9,"Validé","Non validé"),"Non contrôlé")</f>
        <v>Validé</v>
      </c>
    </row>
    <row r="15" spans="2:21" ht="20.100000000000001" customHeight="1" outlineLevel="1" x14ac:dyDescent="0.4">
      <c r="B15" s="578"/>
      <c r="C15" s="588"/>
      <c r="D15" s="1242" t="s">
        <v>665</v>
      </c>
      <c r="E15" s="1243"/>
      <c r="F15" s="1244"/>
      <c r="G15" s="1245">
        <v>1</v>
      </c>
      <c r="H15" s="1246"/>
      <c r="I15" s="1246"/>
      <c r="J15" s="1247"/>
      <c r="K15" s="1242" t="s">
        <v>666</v>
      </c>
      <c r="L15" s="1243"/>
      <c r="M15" s="1244"/>
      <c r="N15" s="1245">
        <v>2</v>
      </c>
      <c r="O15" s="1246"/>
      <c r="P15" s="1246"/>
      <c r="Q15" s="1247"/>
      <c r="R15" s="589"/>
      <c r="S15" s="580"/>
    </row>
    <row r="16" spans="2:21" ht="20.100000000000001" customHeight="1" outlineLevel="1" x14ac:dyDescent="0.4">
      <c r="B16" s="578"/>
      <c r="C16" s="588"/>
      <c r="D16" s="587"/>
      <c r="E16" s="587"/>
      <c r="F16" s="587"/>
      <c r="G16" s="587"/>
      <c r="H16" s="587"/>
      <c r="I16" s="587"/>
      <c r="J16" s="587"/>
      <c r="K16" s="587"/>
      <c r="L16" s="587"/>
      <c r="M16" s="587"/>
      <c r="N16" s="587"/>
      <c r="O16" s="587"/>
      <c r="P16" s="587"/>
      <c r="Q16" s="587"/>
      <c r="R16" s="589"/>
      <c r="S16" s="580"/>
    </row>
    <row r="17" spans="2:22" ht="20.100000000000001" customHeight="1" outlineLevel="1" x14ac:dyDescent="0.4">
      <c r="B17" s="578"/>
      <c r="C17" s="588"/>
      <c r="D17" s="1101" t="s">
        <v>667</v>
      </c>
      <c r="E17" s="1102"/>
      <c r="F17" s="1102"/>
      <c r="G17" s="1102"/>
      <c r="H17" s="1102"/>
      <c r="I17" s="1102"/>
      <c r="J17" s="1102"/>
      <c r="K17" s="1102"/>
      <c r="L17" s="1102"/>
      <c r="M17" s="1102"/>
      <c r="N17" s="590"/>
      <c r="O17" s="754"/>
      <c r="P17" s="754"/>
      <c r="Q17" s="754"/>
      <c r="R17" s="589"/>
      <c r="S17" s="580"/>
    </row>
    <row r="18" spans="2:22" ht="30" customHeight="1" outlineLevel="1" x14ac:dyDescent="0.4">
      <c r="B18" s="578"/>
      <c r="C18" s="588"/>
      <c r="D18" s="1292" t="s">
        <v>668</v>
      </c>
      <c r="E18" s="1293"/>
      <c r="F18" s="755" t="s">
        <v>669</v>
      </c>
      <c r="G18" s="756" t="s">
        <v>670</v>
      </c>
      <c r="H18" s="757" t="s">
        <v>671</v>
      </c>
      <c r="I18" s="1294" t="s">
        <v>672</v>
      </c>
      <c r="J18" s="1295"/>
      <c r="K18" s="758" t="s">
        <v>673</v>
      </c>
      <c r="L18" s="1294" t="s">
        <v>674</v>
      </c>
      <c r="M18" s="1296"/>
      <c r="N18" s="508"/>
      <c r="O18" s="508"/>
      <c r="P18" s="508"/>
      <c r="Q18" s="508"/>
      <c r="R18" s="589"/>
      <c r="S18" s="580"/>
    </row>
    <row r="19" spans="2:22" ht="20.100000000000001" customHeight="1" outlineLevel="1" x14ac:dyDescent="0.4">
      <c r="B19" s="578"/>
      <c r="C19" s="588"/>
      <c r="D19" s="1283">
        <v>65</v>
      </c>
      <c r="E19" s="1008"/>
      <c r="F19" s="759">
        <v>72</v>
      </c>
      <c r="G19" s="760">
        <v>72</v>
      </c>
      <c r="H19" s="761">
        <v>72</v>
      </c>
      <c r="I19" s="1284">
        <f>IF(F19&lt;&gt;"",AVERAGE(F19:H19),"")</f>
        <v>72</v>
      </c>
      <c r="J19" s="1285"/>
      <c r="K19" s="762">
        <f>IF(COUNTA(F19:H19)&gt;0,STDEVP(F19:H19),"")</f>
        <v>0</v>
      </c>
      <c r="L19" s="1286">
        <f>IF(AND(I19&lt;&gt;0, K19&lt;&gt;"",I19&lt;&gt;""),K19/I19,"")</f>
        <v>0</v>
      </c>
      <c r="M19" s="1287"/>
      <c r="N19" s="587"/>
      <c r="O19" s="587"/>
      <c r="P19" s="587"/>
      <c r="Q19" s="587"/>
      <c r="R19" s="589"/>
      <c r="S19" s="580"/>
      <c r="U19" s="586" t="str">
        <f>IF(I19&lt;&gt;"",IF(AND(I19&gt;=50,ABS(L19)&lt;=0.05),"Validé","Non validé"),"Non contrôlé")</f>
        <v>Validé</v>
      </c>
    </row>
    <row r="20" spans="2:22" ht="20.100000000000001" customHeight="1" outlineLevel="1" x14ac:dyDescent="0.4">
      <c r="B20" s="578"/>
      <c r="C20" s="588"/>
      <c r="D20" s="587"/>
      <c r="E20" s="587"/>
      <c r="F20" s="587"/>
      <c r="G20" s="587"/>
      <c r="H20" s="587"/>
      <c r="I20" s="587"/>
      <c r="J20" s="587"/>
      <c r="K20" s="587"/>
      <c r="L20" s="587"/>
      <c r="M20" s="587"/>
      <c r="N20" s="587"/>
      <c r="O20" s="587"/>
      <c r="P20" s="587"/>
      <c r="Q20" s="587"/>
      <c r="R20" s="589"/>
      <c r="S20" s="580"/>
    </row>
    <row r="21" spans="2:22" ht="20.100000000000001" customHeight="1" outlineLevel="1" x14ac:dyDescent="0.4">
      <c r="B21" s="578"/>
      <c r="C21" s="588"/>
      <c r="D21" s="1101" t="s">
        <v>675</v>
      </c>
      <c r="E21" s="1102"/>
      <c r="F21" s="1102"/>
      <c r="G21" s="1102"/>
      <c r="H21" s="1102"/>
      <c r="I21" s="1241" t="s">
        <v>676</v>
      </c>
      <c r="J21" s="1288"/>
      <c r="K21" s="587"/>
      <c r="L21" s="1289" t="s">
        <v>677</v>
      </c>
      <c r="M21" s="1290"/>
      <c r="N21" s="1290"/>
      <c r="O21" s="1290"/>
      <c r="P21" s="1290"/>
      <c r="Q21" s="1291"/>
      <c r="R21" s="589"/>
      <c r="S21" s="580"/>
    </row>
    <row r="22" spans="2:22" ht="20.100000000000001" customHeight="1" outlineLevel="1" x14ac:dyDescent="0.4">
      <c r="B22" s="578"/>
      <c r="C22" s="588"/>
      <c r="D22" s="1299"/>
      <c r="E22" s="1299"/>
      <c r="F22" s="763" t="s">
        <v>678</v>
      </c>
      <c r="G22" s="764" t="s">
        <v>679</v>
      </c>
      <c r="H22" s="765" t="s">
        <v>680</v>
      </c>
      <c r="I22" s="1300" t="s">
        <v>573</v>
      </c>
      <c r="J22" s="1300"/>
      <c r="K22" s="587"/>
      <c r="L22" s="1301" t="s">
        <v>681</v>
      </c>
      <c r="M22" s="1302"/>
      <c r="N22" s="1302"/>
      <c r="O22" s="1302"/>
      <c r="P22" s="1302"/>
      <c r="Q22" s="1303"/>
      <c r="R22" s="589"/>
      <c r="S22" s="580"/>
    </row>
    <row r="23" spans="2:22" ht="20.100000000000001" customHeight="1" outlineLevel="1" x14ac:dyDescent="0.4">
      <c r="B23" s="578"/>
      <c r="C23" s="588"/>
      <c r="D23" s="1297" t="s">
        <v>682</v>
      </c>
      <c r="E23" s="1297"/>
      <c r="F23" s="744">
        <v>2.52</v>
      </c>
      <c r="G23" s="745">
        <v>2.61</v>
      </c>
      <c r="H23" s="743">
        <v>2.62</v>
      </c>
      <c r="I23" s="1220">
        <f>IF(F23&gt;0,AVERAGE(F23:H23),"")</f>
        <v>2.5833333333333335</v>
      </c>
      <c r="J23" s="1221"/>
      <c r="K23" s="587"/>
      <c r="L23" s="1297" t="s">
        <v>683</v>
      </c>
      <c r="M23" s="1297"/>
      <c r="N23" s="1297"/>
      <c r="O23" s="1297"/>
      <c r="P23" s="1298"/>
      <c r="Q23" s="766">
        <v>1</v>
      </c>
      <c r="R23" s="589"/>
      <c r="S23" s="580"/>
    </row>
    <row r="24" spans="2:22" ht="20.100000000000001" customHeight="1" outlineLevel="1" x14ac:dyDescent="0.4">
      <c r="B24" s="578"/>
      <c r="C24" s="588"/>
      <c r="D24" s="1297" t="s">
        <v>684</v>
      </c>
      <c r="E24" s="1297"/>
      <c r="F24" s="767">
        <f>IF(F23&gt;0,N13/F23,"")</f>
        <v>1.26984126984127</v>
      </c>
      <c r="G24" s="768">
        <f>IF(G23&gt;0,N13/G23,"")</f>
        <v>1.2260536398467434</v>
      </c>
      <c r="H24" s="769">
        <f>IF(H23&gt;0,N13/H23,"")</f>
        <v>1.2213740458015268</v>
      </c>
      <c r="I24" s="1220">
        <f>IF(F24&lt;&gt;"",AVERAGE(F24:H24),"")</f>
        <v>1.2390896518298469</v>
      </c>
      <c r="J24" s="1221"/>
      <c r="K24" s="587"/>
      <c r="L24" s="1297" t="s">
        <v>685</v>
      </c>
      <c r="M24" s="1297"/>
      <c r="N24" s="1297"/>
      <c r="O24" s="1297"/>
      <c r="P24" s="1298"/>
      <c r="Q24" s="766">
        <v>153</v>
      </c>
      <c r="R24" s="589"/>
      <c r="S24" s="580"/>
      <c r="U24" s="586" t="str">
        <f>IF(I24&lt;&gt;"",IF(I24&gt;=0.5,"Validé","Non validé"),"Non contrôlé")</f>
        <v>Validé</v>
      </c>
    </row>
    <row r="25" spans="2:22" ht="20.100000000000001" customHeight="1" outlineLevel="1" x14ac:dyDescent="0.4">
      <c r="B25" s="578"/>
      <c r="C25" s="588"/>
      <c r="D25" s="587"/>
      <c r="E25" s="587"/>
      <c r="F25" s="587"/>
      <c r="G25" s="587"/>
      <c r="H25" s="587"/>
      <c r="I25" s="587"/>
      <c r="J25" s="587"/>
      <c r="K25" s="587"/>
      <c r="L25" s="1297" t="s">
        <v>686</v>
      </c>
      <c r="M25" s="1297"/>
      <c r="N25" s="1297"/>
      <c r="O25" s="1297"/>
      <c r="P25" s="1298"/>
      <c r="Q25" s="770">
        <f>IF(COUNTA(Q23:Q24)&gt;0,TRUNC(Q24/Q23,0),"")</f>
        <v>153</v>
      </c>
      <c r="R25" s="589"/>
      <c r="S25" s="580"/>
    </row>
    <row r="26" spans="2:22" ht="20.100000000000001" customHeight="1" outlineLevel="1" x14ac:dyDescent="0.4">
      <c r="B26" s="578"/>
      <c r="C26" s="588"/>
      <c r="D26" s="1101" t="s">
        <v>687</v>
      </c>
      <c r="E26" s="1102"/>
      <c r="F26" s="1102"/>
      <c r="G26" s="1102"/>
      <c r="H26" s="1102"/>
      <c r="I26" s="1102"/>
      <c r="J26" s="590"/>
      <c r="K26" s="587"/>
      <c r="L26" s="1297" t="s">
        <v>688</v>
      </c>
      <c r="M26" s="1297"/>
      <c r="N26" s="1297"/>
      <c r="O26" s="1297"/>
      <c r="P26" s="1298"/>
      <c r="Q26" s="766">
        <f>24*60*60</f>
        <v>86400</v>
      </c>
      <c r="R26" s="589"/>
      <c r="S26" s="580"/>
    </row>
    <row r="27" spans="2:22" ht="30" customHeight="1" outlineLevel="1" x14ac:dyDescent="0.4">
      <c r="B27" s="578"/>
      <c r="C27" s="588"/>
      <c r="D27" s="1304" t="s">
        <v>689</v>
      </c>
      <c r="E27" s="1305"/>
      <c r="F27" s="1304" t="s">
        <v>690</v>
      </c>
      <c r="G27" s="1305"/>
      <c r="H27" s="1306" t="s">
        <v>691</v>
      </c>
      <c r="I27" s="1307"/>
      <c r="J27" s="587"/>
      <c r="K27" s="587"/>
      <c r="L27" s="1297" t="s">
        <v>692</v>
      </c>
      <c r="M27" s="1297"/>
      <c r="N27" s="1297"/>
      <c r="O27" s="1297"/>
      <c r="P27" s="1298"/>
      <c r="Q27" s="771" t="s">
        <v>751</v>
      </c>
      <c r="R27" s="589"/>
      <c r="S27" s="580"/>
    </row>
    <row r="28" spans="2:22" ht="20.100000000000001" customHeight="1" outlineLevel="1" x14ac:dyDescent="0.4">
      <c r="B28" s="578"/>
      <c r="C28" s="588"/>
      <c r="D28" s="1060">
        <v>11170</v>
      </c>
      <c r="E28" s="1060"/>
      <c r="F28" s="1309">
        <f>IF(AND(I19&lt;&gt;"", Q25&lt;&gt;""),(I19*Q25),"")</f>
        <v>11016</v>
      </c>
      <c r="G28" s="1309"/>
      <c r="H28" s="1310">
        <f>IF(AND(D28&gt;0,F28),(D28-F28)/F28,"")</f>
        <v>1.3979665940450255E-2</v>
      </c>
      <c r="I28" s="1310"/>
      <c r="J28" s="587"/>
      <c r="K28" s="587"/>
      <c r="L28" s="1311" t="s">
        <v>693</v>
      </c>
      <c r="M28" s="1311"/>
      <c r="N28" s="1311"/>
      <c r="O28" s="1311"/>
      <c r="P28" s="1312"/>
      <c r="Q28" s="772">
        <f>IF(AND(Q26&lt;&gt;"",Q25&lt;&gt;""),Q25/(Q26/3600),"")</f>
        <v>6.375</v>
      </c>
      <c r="R28" s="589"/>
      <c r="S28" s="580"/>
      <c r="U28" s="586" t="str">
        <f>IF(H28&lt;&gt;"",IF(ABS(H28)&lt;0.1,"Validé","Non validé"),"Non contrôlé")</f>
        <v>Validé</v>
      </c>
      <c r="V28" s="586" t="str">
        <f>IF(Q28&lt;&gt;"",IF(Q28&gt;=4,"Validé","Non validé"),"Non contrôlé")</f>
        <v>Validé</v>
      </c>
    </row>
    <row r="29" spans="2:22" ht="20.100000000000001" customHeight="1" outlineLevel="1" x14ac:dyDescent="0.4">
      <c r="B29" s="578"/>
      <c r="C29" s="588"/>
      <c r="D29" s="587"/>
      <c r="E29" s="587"/>
      <c r="F29" s="587"/>
      <c r="G29" s="587"/>
      <c r="H29" s="587"/>
      <c r="I29" s="587"/>
      <c r="J29" s="587"/>
      <c r="K29" s="587"/>
      <c r="L29" s="587"/>
      <c r="M29" s="587"/>
      <c r="N29" s="587"/>
      <c r="O29" s="587"/>
      <c r="P29" s="587"/>
      <c r="Q29" s="587"/>
      <c r="R29" s="589"/>
      <c r="S29" s="580"/>
    </row>
    <row r="30" spans="2:22" ht="20.100000000000001" customHeight="1" outlineLevel="1" x14ac:dyDescent="0.4">
      <c r="B30" s="578"/>
      <c r="C30" s="588"/>
      <c r="D30" s="1101" t="s">
        <v>694</v>
      </c>
      <c r="E30" s="1102"/>
      <c r="F30" s="1102"/>
      <c r="G30" s="1102"/>
      <c r="H30" s="1102"/>
      <c r="I30" s="1123"/>
      <c r="J30" s="587"/>
      <c r="K30" s="1101" t="s">
        <v>695</v>
      </c>
      <c r="L30" s="1102"/>
      <c r="M30" s="1102"/>
      <c r="N30" s="1102"/>
      <c r="O30" s="1102"/>
      <c r="P30" s="1241" t="s">
        <v>696</v>
      </c>
      <c r="Q30" s="1288"/>
      <c r="R30" s="589"/>
      <c r="S30" s="580"/>
    </row>
    <row r="31" spans="2:22" ht="30" customHeight="1" outlineLevel="1" x14ac:dyDescent="0.4">
      <c r="B31" s="578"/>
      <c r="C31" s="588"/>
      <c r="D31" s="1304" t="s">
        <v>697</v>
      </c>
      <c r="E31" s="1305"/>
      <c r="F31" s="1304" t="s">
        <v>698</v>
      </c>
      <c r="G31" s="1305"/>
      <c r="H31" s="1306" t="s">
        <v>699</v>
      </c>
      <c r="I31" s="1307"/>
      <c r="J31" s="587"/>
      <c r="K31" s="773" t="s">
        <v>700</v>
      </c>
      <c r="L31" s="774" t="s">
        <v>701</v>
      </c>
      <c r="M31" s="1304" t="s">
        <v>702</v>
      </c>
      <c r="N31" s="1308"/>
      <c r="O31" s="1304" t="s">
        <v>703</v>
      </c>
      <c r="P31" s="1305"/>
      <c r="Q31" s="775" t="s">
        <v>92</v>
      </c>
      <c r="R31" s="589"/>
      <c r="S31" s="580"/>
    </row>
    <row r="32" spans="2:22" ht="20.100000000000001" customHeight="1" outlineLevel="1" x14ac:dyDescent="0.4">
      <c r="B32" s="578"/>
      <c r="C32" s="588"/>
      <c r="D32" s="1060">
        <v>10.15</v>
      </c>
      <c r="E32" s="1060"/>
      <c r="F32" s="1060">
        <v>10.146000000000001</v>
      </c>
      <c r="G32" s="1060"/>
      <c r="H32" s="1310">
        <f>IF(F32&gt;0,(D32-F32)/F32,"")</f>
        <v>3.9424403705889602E-4</v>
      </c>
      <c r="I32" s="1310"/>
      <c r="J32" s="587"/>
      <c r="K32" s="776">
        <v>15.5</v>
      </c>
      <c r="L32" s="746">
        <v>4.2</v>
      </c>
      <c r="M32" s="1060">
        <v>5</v>
      </c>
      <c r="N32" s="1060"/>
      <c r="O32" s="1060">
        <v>3.2</v>
      </c>
      <c r="P32" s="1060"/>
      <c r="Q32" s="777" t="str">
        <f>IF(O32&lt;&gt;"",IF(AND(O32&lt;=8,O32&gt;=2),"Oui","Non"),"")</f>
        <v>Oui</v>
      </c>
      <c r="R32" s="589"/>
      <c r="S32" s="580"/>
      <c r="U32" s="586" t="str">
        <f>IF(O32&lt;&gt;"",IF(Q32="Oui","Validé","Non validé"), "Non contrôlé")</f>
        <v>Validé</v>
      </c>
      <c r="V32" s="586" t="str">
        <f>IF(H32&lt;&gt;"",IF(ABS(H32)&lt;0.03,"Validé","Non validé"),"Non contrôlé")</f>
        <v>Validé</v>
      </c>
    </row>
    <row r="33" spans="2:21" ht="20.100000000000001" customHeight="1" outlineLevel="1" thickBot="1" x14ac:dyDescent="0.45">
      <c r="B33" s="578"/>
      <c r="C33" s="591"/>
      <c r="D33" s="592"/>
      <c r="E33" s="592"/>
      <c r="F33" s="592"/>
      <c r="G33" s="592"/>
      <c r="H33" s="778" t="s">
        <v>704</v>
      </c>
      <c r="I33" s="592"/>
      <c r="J33" s="592"/>
      <c r="K33" s="592"/>
      <c r="L33" s="592"/>
      <c r="M33" s="592"/>
      <c r="N33" s="592"/>
      <c r="O33" s="592"/>
      <c r="P33" s="592"/>
      <c r="Q33" s="592"/>
      <c r="R33" s="593"/>
      <c r="S33" s="580"/>
    </row>
    <row r="34" spans="2:21" ht="20.100000000000001" customHeight="1" thickTop="1" thickBot="1" x14ac:dyDescent="0.45">
      <c r="B34" s="578"/>
      <c r="C34" s="587"/>
      <c r="D34" s="587"/>
      <c r="E34" s="587"/>
      <c r="F34" s="587"/>
      <c r="G34" s="587"/>
      <c r="H34" s="587"/>
      <c r="I34" s="587"/>
      <c r="J34" s="587"/>
      <c r="K34" s="587"/>
      <c r="L34" s="587"/>
      <c r="M34" s="587"/>
      <c r="N34" s="587"/>
      <c r="O34" s="587"/>
      <c r="P34" s="587"/>
      <c r="Q34" s="587"/>
      <c r="R34" s="587"/>
      <c r="S34" s="580"/>
    </row>
    <row r="35" spans="2:21" ht="20.100000000000001" customHeight="1" thickTop="1" thickBot="1" x14ac:dyDescent="0.45">
      <c r="B35" s="578"/>
      <c r="C35" s="1119" t="s">
        <v>575</v>
      </c>
      <c r="D35" s="1120"/>
      <c r="E35" s="1120"/>
      <c r="F35" s="1120"/>
      <c r="G35" s="1120"/>
      <c r="H35" s="1120"/>
      <c r="I35" s="1120"/>
      <c r="J35" s="1120"/>
      <c r="K35" s="1120"/>
      <c r="L35" s="1120"/>
      <c r="M35" s="1120"/>
      <c r="N35" s="1120"/>
      <c r="O35" s="1120"/>
      <c r="P35" s="1120"/>
      <c r="Q35" s="1120"/>
      <c r="R35" s="1141"/>
      <c r="S35" s="580"/>
    </row>
    <row r="36" spans="2:21" ht="20.100000000000001" customHeight="1" thickTop="1" x14ac:dyDescent="0.4">
      <c r="B36" s="578"/>
      <c r="C36" s="588"/>
      <c r="D36" s="587"/>
      <c r="E36" s="587"/>
      <c r="F36" s="587"/>
      <c r="G36" s="587"/>
      <c r="H36" s="587"/>
      <c r="I36" s="587"/>
      <c r="J36" s="587"/>
      <c r="K36" s="587"/>
      <c r="L36" s="587"/>
      <c r="M36" s="587"/>
      <c r="N36" s="587"/>
      <c r="O36" s="587"/>
      <c r="P36" s="587"/>
      <c r="Q36" s="587"/>
      <c r="R36" s="589"/>
      <c r="S36" s="580"/>
    </row>
    <row r="37" spans="2:21" ht="30" customHeight="1" x14ac:dyDescent="0.4">
      <c r="B37" s="578"/>
      <c r="C37" s="588"/>
      <c r="D37" s="1229" t="s">
        <v>139</v>
      </c>
      <c r="E37" s="1229"/>
      <c r="F37" s="1229"/>
      <c r="G37" s="1229"/>
      <c r="H37" s="1229"/>
      <c r="I37" s="1229"/>
      <c r="J37" s="1229"/>
      <c r="K37" s="1229"/>
      <c r="L37" s="1229"/>
      <c r="M37" s="1229"/>
      <c r="N37" s="1229"/>
      <c r="O37" s="1229"/>
      <c r="P37" s="1229"/>
      <c r="Q37" s="1229"/>
      <c r="R37" s="589"/>
      <c r="S37" s="580"/>
    </row>
    <row r="38" spans="2:21" ht="20.100000000000001" customHeight="1" x14ac:dyDescent="0.4">
      <c r="B38" s="578"/>
      <c r="C38" s="588"/>
      <c r="D38" s="1230" t="s">
        <v>705</v>
      </c>
      <c r="E38" s="1230"/>
      <c r="F38" s="1230"/>
      <c r="G38" s="1230"/>
      <c r="H38" s="1230"/>
      <c r="I38" s="1230"/>
      <c r="J38" s="1230" t="s">
        <v>377</v>
      </c>
      <c r="K38" s="1230"/>
      <c r="L38" s="1230"/>
      <c r="M38" s="1230"/>
      <c r="N38" s="1230" t="s">
        <v>242</v>
      </c>
      <c r="O38" s="1230"/>
      <c r="P38" s="740" t="s">
        <v>409</v>
      </c>
      <c r="Q38" s="740" t="s">
        <v>576</v>
      </c>
      <c r="R38" s="589"/>
      <c r="S38" s="580"/>
      <c r="U38" s="586" t="s">
        <v>61</v>
      </c>
    </row>
    <row r="39" spans="2:21" ht="99.95" customHeight="1" x14ac:dyDescent="0.4">
      <c r="B39" s="578"/>
      <c r="C39" s="588"/>
      <c r="D39" s="577">
        <v>1</v>
      </c>
      <c r="E39" s="1222" t="str">
        <f>IFERROR(HLOOKUP($D$37,Critères!$B$3:$BE$16,D39+2,FALSE),"")</f>
        <v>L'accès à l'ouvrage et aux équipements de mesure se fait-il en toute sécurité pour les agents en charge des opérations de contrôles et d'entretien ?</v>
      </c>
      <c r="F39" s="1223"/>
      <c r="G39" s="1223"/>
      <c r="H39" s="1223"/>
      <c r="I39" s="1224"/>
      <c r="J39" s="1222"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223"/>
      <c r="L39" s="1223"/>
      <c r="M39" s="1224"/>
      <c r="N39" s="1225" t="s">
        <v>167</v>
      </c>
      <c r="O39" s="1226"/>
      <c r="P39" s="742">
        <f>IF(OR(N39 = "Validé",N39="Validé avec réserve"),Q39,0)</f>
        <v>10</v>
      </c>
      <c r="Q39" s="742">
        <f>IFERROR(INDEX(Critères!$B$3:$BE$16, D39+2, MATCH($D$37, Critères!$B$3:$BE$3, 0) + 2),"")</f>
        <v>10</v>
      </c>
      <c r="R39" s="589"/>
      <c r="S39" s="580"/>
      <c r="U39" s="586" t="s">
        <v>159</v>
      </c>
    </row>
    <row r="40" spans="2:21" ht="99.95" customHeight="1" x14ac:dyDescent="0.4">
      <c r="B40" s="578"/>
      <c r="C40" s="588"/>
      <c r="D40" s="577">
        <v>2</v>
      </c>
      <c r="E40" s="1222" t="str">
        <f>IFERROR(HLOOKUP($D$37,Critères!$B$3:$BE$16,D40+2,FALSE),"")</f>
        <v>Le point de prélèvement est-il correctement implanté et situé dans un milieu homogène et brassé ?</v>
      </c>
      <c r="F40" s="1223"/>
      <c r="G40" s="1223"/>
      <c r="H40" s="1223"/>
      <c r="I40" s="1224"/>
      <c r="J40" s="1222" t="str">
        <f>IFERROR(IF(INDEX(Critères!$B$3:$BE$16, D40+2, MATCH($D$37, Critères!$B$3:$BE$3, 0) + 1)="", "", INDEX(Critères!$B$3:$BE$16, D40+2, MATCH($D$37, Critères!$B$3:$BE$3, 0) + 1)), "")</f>
        <v/>
      </c>
      <c r="K40" s="1223"/>
      <c r="L40" s="1223"/>
      <c r="M40" s="1224"/>
      <c r="N40" s="1225" t="s">
        <v>167</v>
      </c>
      <c r="O40" s="1226"/>
      <c r="P40" s="742">
        <f t="shared" ref="P40:P48" si="0">IF(OR(N40 = "Validé",N40="Validé avec réserve"),Q40,0)</f>
        <v>15</v>
      </c>
      <c r="Q40" s="742">
        <f>IFERROR(INDEX(Critères!$B$3:$BE$16, D40+2, MATCH($D$37, Critères!$B$3:$BE$3, 0) + 2),"")</f>
        <v>15</v>
      </c>
      <c r="R40" s="589"/>
      <c r="S40" s="580"/>
      <c r="U40" s="586" t="s">
        <v>159</v>
      </c>
    </row>
    <row r="41" spans="2:21" ht="99.95" customHeight="1" x14ac:dyDescent="0.4">
      <c r="B41" s="578"/>
      <c r="C41" s="588"/>
      <c r="D41" s="577">
        <v>3</v>
      </c>
      <c r="E41" s="1222" t="str">
        <f>IFERROR(HLOOKUP($D$37,Critères!$B$3:$BE$16,D41+2,FALSE),"")</f>
        <v>La propreté et l'état d'entretien du dispositif de prélèvement sont-ils satisfaisants ?</v>
      </c>
      <c r="F41" s="1223"/>
      <c r="G41" s="1223"/>
      <c r="H41" s="1223"/>
      <c r="I41" s="1224"/>
      <c r="J41" s="1222"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223"/>
      <c r="L41" s="1223"/>
      <c r="M41" s="1224"/>
      <c r="N41" s="1225" t="s">
        <v>167</v>
      </c>
      <c r="O41" s="1226"/>
      <c r="P41" s="742">
        <f t="shared" si="0"/>
        <v>5</v>
      </c>
      <c r="Q41" s="742">
        <f>IFERROR(INDEX(Critères!$B$3:$BE$16, D41+2, MATCH($D$37, Critères!$B$3:$BE$3, 0) + 2),"")</f>
        <v>5</v>
      </c>
      <c r="R41" s="589"/>
      <c r="S41" s="580"/>
      <c r="U41" s="586" t="s">
        <v>159</v>
      </c>
    </row>
    <row r="42" spans="2:21" ht="99.95" customHeight="1" x14ac:dyDescent="0.4">
      <c r="B42" s="578"/>
      <c r="C42" s="588"/>
      <c r="D42" s="577">
        <v>4</v>
      </c>
      <c r="E42" s="1222" t="str">
        <f>IFERROR(HLOOKUP($D$37,Critères!$B$3:$BE$16,D42+2,FALSE),"")</f>
        <v>Le circuit de prélèvement, y compris la boucle primaire, présente t-il un état de fonctionnement satisfaisant, son diamètre est-il ≥ à 9 mm ?</v>
      </c>
      <c r="F42" s="1223"/>
      <c r="G42" s="1223"/>
      <c r="H42" s="1223"/>
      <c r="I42" s="1224"/>
      <c r="J42" s="1222" t="str">
        <f>IFERROR(IF(INDEX(Critères!$B$3:$BE$16, D42+2, MATCH($D$37, Critères!$B$3:$BE$3, 0) + 1)="", "", INDEX(Critères!$B$3:$BE$16, D42+2, MATCH($D$37, Critères!$B$3:$BE$3, 0) + 1)), "")</f>
        <v/>
      </c>
      <c r="K42" s="1223"/>
      <c r="L42" s="1223"/>
      <c r="M42" s="1224"/>
      <c r="N42" s="1225" t="str">
        <f>IF(OR($D$37=Critères!AT3,$D$37=Critères!AX3),U14,"Non contrôlé")</f>
        <v>Validé</v>
      </c>
      <c r="O42" s="1226"/>
      <c r="P42" s="742">
        <f t="shared" si="0"/>
        <v>5</v>
      </c>
      <c r="Q42" s="742">
        <f>IFERROR(INDEX(Critères!$B$3:$BE$16, D42+2, MATCH($D$37, Critères!$B$3:$BE$3, 0) + 2),"")</f>
        <v>5</v>
      </c>
      <c r="R42" s="589"/>
      <c r="S42" s="580"/>
      <c r="U42" s="586" t="s">
        <v>159</v>
      </c>
    </row>
    <row r="43" spans="2:21" ht="99.95" customHeight="1" x14ac:dyDescent="0.4">
      <c r="B43" s="578"/>
      <c r="C43" s="588"/>
      <c r="D43" s="577">
        <v>5</v>
      </c>
      <c r="E43" s="1222" t="str">
        <f>IFERROR(HLOOKUP($D$37,Critères!$B$3:$BE$16,D43+2,FALSE),"")</f>
        <v>Le volume de prélèvement par cycle est-il ≥ à 50 ml et est-il répétable à ± 5 % ?</v>
      </c>
      <c r="F43" s="1223"/>
      <c r="G43" s="1223"/>
      <c r="H43" s="1223"/>
      <c r="I43" s="1224"/>
      <c r="J43" s="1222" t="str">
        <f>IFERROR(IF(INDEX(Critères!$B$3:$BE$16, D43+2, MATCH($D$37, Critères!$B$3:$BE$3, 0) + 1)="", "", INDEX(Critères!$B$3:$BE$16, D43+2, MATCH($D$37, Critères!$B$3:$BE$3, 0) + 1)), "")</f>
        <v>Contrôle à réaliser sur 3 prélèvements</v>
      </c>
      <c r="K43" s="1223"/>
      <c r="L43" s="1223"/>
      <c r="M43" s="1224"/>
      <c r="N43" s="1225" t="str">
        <f>IF(OR($D$37=Critères!AT3,$D$37=Critères!AX3),U19,"Non contrôlé")</f>
        <v>Validé</v>
      </c>
      <c r="O43" s="1226"/>
      <c r="P43" s="742">
        <f t="shared" si="0"/>
        <v>5</v>
      </c>
      <c r="Q43" s="742">
        <f>IFERROR(INDEX(Critères!$B$3:$BE$16, D43+2, MATCH($D$37, Critères!$B$3:$BE$3, 0) + 2),"")</f>
        <v>5</v>
      </c>
      <c r="R43" s="589"/>
      <c r="S43" s="580"/>
      <c r="U43" s="586" t="s">
        <v>160</v>
      </c>
    </row>
    <row r="44" spans="2:21" ht="99.95" customHeight="1" x14ac:dyDescent="0.4">
      <c r="B44" s="578"/>
      <c r="C44" s="588"/>
      <c r="D44" s="577">
        <v>6</v>
      </c>
      <c r="E44" s="1222" t="str">
        <f>IFERROR(HLOOKUP($D$37,Critères!$B$3:$BE$16,D44+2,FALSE),"")</f>
        <v>La vitesse d'aspiration, y compris celle de la boucle primaire, est-elle de ≥ 0,5 m/s ?</v>
      </c>
      <c r="F44" s="1223"/>
      <c r="G44" s="1223"/>
      <c r="H44" s="1223"/>
      <c r="I44" s="1224"/>
      <c r="J44" s="1222" t="str">
        <f>IFERROR(IF(INDEX(Critères!$B$3:$BE$16, D44+2, MATCH($D$37, Critères!$B$3:$BE$3, 0) + 1)="", "", INDEX(Critères!$B$3:$BE$16, D44+2, MATCH($D$37, Critères!$B$3:$BE$3, 0) + 1)), "")</f>
        <v>Contrôle à réaliser sur 3 prélèvements</v>
      </c>
      <c r="K44" s="1223"/>
      <c r="L44" s="1223"/>
      <c r="M44" s="1224"/>
      <c r="N44" s="1225" t="str">
        <f>IF(($D$37=Critères!AT3),U24,IF(($D$37=Critères!AX3),V28,"Non contrôlé"))</f>
        <v>Validé</v>
      </c>
      <c r="O44" s="1226"/>
      <c r="P44" s="742">
        <f t="shared" si="0"/>
        <v>5</v>
      </c>
      <c r="Q44" s="742">
        <f>IFERROR(INDEX(Critères!$B$3:$BE$16, D44+2, MATCH($D$37, Critères!$B$3:$BE$3, 0) + 2),"")</f>
        <v>5</v>
      </c>
      <c r="R44" s="589"/>
      <c r="S44" s="580"/>
      <c r="U44" s="586" t="s">
        <v>160</v>
      </c>
    </row>
    <row r="45" spans="2:21" ht="99.95" customHeight="1" x14ac:dyDescent="0.4">
      <c r="B45" s="578"/>
      <c r="C45" s="588"/>
      <c r="D45" s="577">
        <v>7</v>
      </c>
      <c r="E45" s="1222" t="str">
        <f>IFERROR(HLOOKUP($D$37,Critères!$B$3:$BE$16,D45+2,FALSE),"")</f>
        <v>Le préleveur est-il asservi au débit, ou au volume écoulé, et assure-t-il un nombre de prélèvements égal, en moyenne, à au moins à 6 par heure de rejet effectif ? soit 144 prélèvements unitaires par 24h de rejet.</v>
      </c>
      <c r="F45" s="1223"/>
      <c r="G45" s="1223"/>
      <c r="H45" s="1223"/>
      <c r="I45" s="1224"/>
      <c r="J45" s="1222" t="str">
        <f>IFERROR(IF(INDEX(Critères!$B$3:$BE$16, D45+2, MATCH($D$37, Critères!$B$3:$BE$3, 0) + 1)="", "", INDEX(Critères!$B$3:$BE$16, D45+2, MATCH($D$37, Critères!$B$3:$BE$3, 0) + 1)), "")</f>
        <v>Tolérance de validation à 4 prélèvement par heure de rejet (soit 96 prélèvements/jour), sur justification d'un évènement exceptionnel.</v>
      </c>
      <c r="K45" s="1223"/>
      <c r="L45" s="1223"/>
      <c r="M45" s="1224"/>
      <c r="N45" s="1225" t="str">
        <f>IF(($D$37=Critères!AT3),V28,"Non contrôlé")</f>
        <v>Validé</v>
      </c>
      <c r="O45" s="1226"/>
      <c r="P45" s="742">
        <f t="shared" si="0"/>
        <v>10</v>
      </c>
      <c r="Q45" s="742">
        <f>IFERROR(INDEX(Critères!$B$3:$BE$16, D45+2, MATCH($D$37, Critères!$B$3:$BE$3, 0) + 2),"")</f>
        <v>10</v>
      </c>
      <c r="R45" s="589"/>
      <c r="S45" s="580"/>
      <c r="U45" s="586" t="s">
        <v>159</v>
      </c>
    </row>
    <row r="46" spans="2:21" ht="99.95" customHeight="1" x14ac:dyDescent="0.4">
      <c r="B46" s="578"/>
      <c r="C46" s="588"/>
      <c r="D46" s="577">
        <v>8</v>
      </c>
      <c r="E46" s="1222" t="str">
        <f>IFERROR(HLOOKUP($D$37,Critères!$B$3:$BE$16,D46+2,FALSE),"")</f>
        <v xml:space="preserve"> Les horaires de prélèvement et de totalisation des débits sont-ils synchronisés ?</v>
      </c>
      <c r="F46" s="1223"/>
      <c r="G46" s="1223"/>
      <c r="H46" s="1223"/>
      <c r="I46" s="1224"/>
      <c r="J46" s="1222" t="str">
        <f>IFERROR(IF(INDEX(Critères!$B$3:$BE$16, D46+2, MATCH($D$37, Critères!$B$3:$BE$3, 0) + 1)="", "", INDEX(Critères!$B$3:$BE$16, D46+2, MATCH($D$37, Critères!$B$3:$BE$3, 0) + 1)), "")</f>
        <v/>
      </c>
      <c r="K46" s="1223"/>
      <c r="L46" s="1223"/>
      <c r="M46" s="1224"/>
      <c r="N46" s="1225" t="str">
        <f>IF(($D$37=Critères!AT3),V28,"Non contrôlé")</f>
        <v>Validé</v>
      </c>
      <c r="O46" s="1226"/>
      <c r="P46" s="742">
        <f t="shared" si="0"/>
        <v>5</v>
      </c>
      <c r="Q46" s="742">
        <f>IFERROR(INDEX(Critères!$B$3:$BE$16, D46+2, MATCH($D$37, Critères!$B$3:$BE$3, 0) + 2),"")</f>
        <v>5</v>
      </c>
      <c r="R46" s="589"/>
      <c r="S46" s="580"/>
      <c r="U46" s="586" t="s">
        <v>160</v>
      </c>
    </row>
    <row r="47" spans="2:21" ht="99.95" customHeight="1" x14ac:dyDescent="0.4">
      <c r="B47" s="578"/>
      <c r="C47" s="588"/>
      <c r="D47" s="577">
        <v>9</v>
      </c>
      <c r="E47" s="1222" t="str">
        <f>IFERROR(HLOOKUP($D$37,Critères!$B$3:$BE$16,D47+2,FALSE),"")</f>
        <v>La température de l'enceinte de prélèvement est-elle adaptée? Si elle est réfrigérée, sa température est-elle maîtrisée à 5°C ± 3°C ?</v>
      </c>
      <c r="F47" s="1223"/>
      <c r="G47" s="1223"/>
      <c r="H47" s="1223"/>
      <c r="I47" s="1224"/>
      <c r="J47" s="1222" t="str">
        <f>IFERROR(IF(INDEX(Critères!$B$3:$BE$16, D47+2, MATCH($D$37, Critères!$B$3:$BE$3, 0) + 1)="", "", INDEX(Critères!$B$3:$BE$16, D47+2, MATCH($D$37, Critères!$B$3:$BE$3, 0) + 1)), "")</f>
        <v/>
      </c>
      <c r="K47" s="1223"/>
      <c r="L47" s="1223"/>
      <c r="M47" s="1224"/>
      <c r="N47" s="1225" t="str">
        <f>IF(($D$37=Critères!AT3),U32,"Non contrôlé")</f>
        <v>Validé</v>
      </c>
      <c r="O47" s="1226"/>
      <c r="P47" s="742">
        <f t="shared" si="0"/>
        <v>15</v>
      </c>
      <c r="Q47" s="742">
        <f>IFERROR(INDEX(Critères!$B$3:$BE$16, D47+2, MATCH($D$37, Critères!$B$3:$BE$3, 0) + 2),"")</f>
        <v>15</v>
      </c>
      <c r="R47" s="589"/>
      <c r="S47" s="580"/>
      <c r="U47" s="586" t="s">
        <v>160</v>
      </c>
    </row>
    <row r="48" spans="2:21" ht="99.95" customHeight="1" x14ac:dyDescent="0.4">
      <c r="B48" s="578"/>
      <c r="C48" s="588"/>
      <c r="D48" s="577">
        <v>10</v>
      </c>
      <c r="E48" s="1222" t="str">
        <f>IFERROR(HLOOKUP($D$37,Critères!$B$3:$BE$16,D48+2,FALSE),"")</f>
        <v>L'écart entre le volume théorique et le volume prélevé est-il ≤ à 10% ?</v>
      </c>
      <c r="F48" s="1223"/>
      <c r="G48" s="1223"/>
      <c r="H48" s="1223"/>
      <c r="I48" s="1224"/>
      <c r="J48" s="1222" t="str">
        <f>IFERROR(IF(INDEX(Critères!$B$3:$BE$16, D48+2, MATCH($D$37, Critères!$B$3:$BE$3, 0) + 1)="", "", INDEX(Critères!$B$3:$BE$16, D48+2, MATCH($D$37, Critères!$B$3:$BE$3, 0) + 1)), "")</f>
        <v/>
      </c>
      <c r="K48" s="1223"/>
      <c r="L48" s="1223"/>
      <c r="M48" s="1224"/>
      <c r="N48" s="1225" t="str">
        <f>IF(($D$37=Critères!AT3),U28,"Non contrôlé")</f>
        <v>Validé</v>
      </c>
      <c r="O48" s="1226"/>
      <c r="P48" s="742">
        <f t="shared" si="0"/>
        <v>25</v>
      </c>
      <c r="Q48" s="742">
        <f>IFERROR(INDEX(Critères!$B$3:$BE$16, D48+2, MATCH($D$37, Critères!$B$3:$BE$3, 0) + 2),"")</f>
        <v>25</v>
      </c>
      <c r="R48" s="589"/>
      <c r="S48" s="580"/>
      <c r="U48" s="586" t="s">
        <v>160</v>
      </c>
    </row>
    <row r="49" spans="2:19" ht="20.100000000000001" customHeight="1" x14ac:dyDescent="0.4">
      <c r="B49" s="578"/>
      <c r="C49" s="588"/>
      <c r="D49" s="1215" t="s">
        <v>75</v>
      </c>
      <c r="E49" s="1216"/>
      <c r="F49" s="1216"/>
      <c r="G49" s="1216"/>
      <c r="H49" s="1216"/>
      <c r="I49" s="1216"/>
      <c r="J49" s="1216"/>
      <c r="K49" s="1216"/>
      <c r="L49" s="1216"/>
      <c r="M49" s="1217"/>
      <c r="N49" s="1218" t="s">
        <v>413</v>
      </c>
      <c r="O49" s="1218"/>
      <c r="P49" s="1218" t="s">
        <v>64</v>
      </c>
      <c r="Q49" s="1218"/>
      <c r="R49" s="589"/>
      <c r="S49" s="580"/>
    </row>
    <row r="50" spans="2:19" ht="99.95" customHeight="1" x14ac:dyDescent="0.4">
      <c r="B50" s="578"/>
      <c r="C50" s="588"/>
      <c r="D50" s="1064"/>
      <c r="E50" s="1219"/>
      <c r="F50" s="1219"/>
      <c r="G50" s="1219"/>
      <c r="H50" s="1219"/>
      <c r="I50" s="1219"/>
      <c r="J50" s="1219"/>
      <c r="K50" s="1219"/>
      <c r="L50" s="1219"/>
      <c r="M50" s="1063"/>
      <c r="N50" s="1064" t="s">
        <v>167</v>
      </c>
      <c r="O50" s="1063"/>
      <c r="P50" s="1220">
        <f>IF(SUM(P39:P48)&gt;100,100,SUM(P39:P48))</f>
        <v>100</v>
      </c>
      <c r="Q50" s="1221"/>
      <c r="R50" s="589"/>
      <c r="S50" s="580"/>
    </row>
    <row r="51" spans="2:19" ht="20.100000000000001" customHeight="1" thickBot="1" x14ac:dyDescent="0.45">
      <c r="B51" s="578"/>
      <c r="C51" s="591"/>
      <c r="D51" s="592"/>
      <c r="E51" s="592"/>
      <c r="F51" s="592"/>
      <c r="G51" s="592"/>
      <c r="H51" s="592"/>
      <c r="I51" s="592"/>
      <c r="J51" s="592"/>
      <c r="K51" s="592"/>
      <c r="L51" s="592"/>
      <c r="M51" s="592"/>
      <c r="N51" s="592"/>
      <c r="O51" s="592"/>
      <c r="P51" s="592"/>
      <c r="Q51" s="592"/>
      <c r="R51" s="593"/>
      <c r="S51" s="580"/>
    </row>
    <row r="52" spans="2:19" ht="9.9499999999999993" customHeight="1" thickTop="1" thickBot="1" x14ac:dyDescent="0.45">
      <c r="B52" s="578"/>
      <c r="C52" s="579"/>
      <c r="D52" s="579"/>
      <c r="E52" s="579"/>
      <c r="F52" s="579"/>
      <c r="G52" s="579"/>
      <c r="H52" s="579"/>
      <c r="I52" s="579"/>
      <c r="J52" s="579"/>
      <c r="K52" s="579"/>
      <c r="L52" s="579"/>
      <c r="M52" s="579"/>
      <c r="N52" s="579"/>
      <c r="O52" s="579"/>
      <c r="P52" s="579"/>
      <c r="Q52" s="579"/>
      <c r="R52" s="579"/>
      <c r="S52" s="580"/>
    </row>
    <row r="53" spans="2:19" ht="20.100000000000001" customHeight="1" thickTop="1" thickBot="1" x14ac:dyDescent="0.45">
      <c r="B53" s="578"/>
      <c r="C53" s="1119" t="s">
        <v>256</v>
      </c>
      <c r="D53" s="1120"/>
      <c r="E53" s="1120"/>
      <c r="F53" s="1120"/>
      <c r="G53" s="1120"/>
      <c r="H53" s="1120"/>
      <c r="I53" s="1120"/>
      <c r="J53" s="1120"/>
      <c r="K53" s="1120"/>
      <c r="L53" s="1120"/>
      <c r="M53" s="1120"/>
      <c r="N53" s="1120"/>
      <c r="O53" s="1120"/>
      <c r="P53" s="1120"/>
      <c r="Q53" s="1120"/>
      <c r="R53" s="1141"/>
      <c r="S53" s="580"/>
    </row>
    <row r="54" spans="2:19" ht="20.100000000000001" customHeight="1" thickTop="1" x14ac:dyDescent="0.4">
      <c r="B54" s="578"/>
      <c r="C54" s="1313" t="s">
        <v>577</v>
      </c>
      <c r="D54" s="1314"/>
      <c r="E54" s="1314"/>
      <c r="F54" s="1314"/>
      <c r="G54" s="1314"/>
      <c r="H54" s="1314"/>
      <c r="I54" s="1314"/>
      <c r="J54" s="1314"/>
      <c r="K54" s="1314"/>
      <c r="L54" s="1314"/>
      <c r="M54" s="1314"/>
      <c r="N54" s="1314"/>
      <c r="O54" s="1314"/>
      <c r="P54" s="1314"/>
      <c r="Q54" s="1314"/>
      <c r="R54" s="1315"/>
      <c r="S54" s="580"/>
    </row>
    <row r="55" spans="2:19" ht="20.100000000000001" customHeight="1" x14ac:dyDescent="0.4">
      <c r="B55" s="578"/>
      <c r="C55" s="1316"/>
      <c r="D55" s="1314"/>
      <c r="E55" s="1314"/>
      <c r="F55" s="1314"/>
      <c r="G55" s="1314"/>
      <c r="H55" s="1314"/>
      <c r="I55" s="1314"/>
      <c r="J55" s="1314"/>
      <c r="K55" s="1314"/>
      <c r="L55" s="1314"/>
      <c r="M55" s="1314"/>
      <c r="N55" s="1314"/>
      <c r="O55" s="1314"/>
      <c r="P55" s="1314"/>
      <c r="Q55" s="1314"/>
      <c r="R55" s="1315"/>
      <c r="S55" s="580"/>
    </row>
    <row r="56" spans="2:19" ht="20.100000000000001" customHeight="1" x14ac:dyDescent="0.4">
      <c r="B56" s="578"/>
      <c r="C56" s="1316"/>
      <c r="D56" s="1314"/>
      <c r="E56" s="1314"/>
      <c r="F56" s="1314"/>
      <c r="G56" s="1314"/>
      <c r="H56" s="1314"/>
      <c r="I56" s="1314"/>
      <c r="J56" s="1314"/>
      <c r="K56" s="1314"/>
      <c r="L56" s="1314"/>
      <c r="M56" s="1314"/>
      <c r="N56" s="1314"/>
      <c r="O56" s="1314"/>
      <c r="P56" s="1314"/>
      <c r="Q56" s="1314"/>
      <c r="R56" s="1315"/>
      <c r="S56" s="580"/>
    </row>
    <row r="57" spans="2:19" ht="20.100000000000001" customHeight="1" x14ac:dyDescent="0.4">
      <c r="B57" s="578"/>
      <c r="C57" s="1316"/>
      <c r="D57" s="1314"/>
      <c r="E57" s="1314"/>
      <c r="F57" s="1314"/>
      <c r="G57" s="1314"/>
      <c r="H57" s="1314"/>
      <c r="I57" s="1314"/>
      <c r="J57" s="1314"/>
      <c r="K57" s="1314"/>
      <c r="L57" s="1314"/>
      <c r="M57" s="1314"/>
      <c r="N57" s="1314"/>
      <c r="O57" s="1314"/>
      <c r="P57" s="1314"/>
      <c r="Q57" s="1314"/>
      <c r="R57" s="1315"/>
      <c r="S57" s="580"/>
    </row>
    <row r="58" spans="2:19" ht="20.100000000000001" customHeight="1" thickBot="1" x14ac:dyDescent="0.45">
      <c r="B58" s="578"/>
      <c r="C58" s="1317"/>
      <c r="D58" s="1318"/>
      <c r="E58" s="1318"/>
      <c r="F58" s="1318"/>
      <c r="G58" s="1318"/>
      <c r="H58" s="1318"/>
      <c r="I58" s="1318"/>
      <c r="J58" s="1318"/>
      <c r="K58" s="1318"/>
      <c r="L58" s="1318"/>
      <c r="M58" s="1318"/>
      <c r="N58" s="1318"/>
      <c r="O58" s="1318"/>
      <c r="P58" s="1318"/>
      <c r="Q58" s="1318"/>
      <c r="R58" s="1319"/>
      <c r="S58" s="580"/>
    </row>
    <row r="59" spans="2:19" ht="9.9499999999999993" customHeight="1" thickTop="1" x14ac:dyDescent="0.4">
      <c r="B59" s="581"/>
      <c r="C59" s="582"/>
      <c r="D59" s="582"/>
      <c r="E59" s="582"/>
      <c r="F59" s="582"/>
      <c r="G59" s="582"/>
      <c r="H59" s="582"/>
      <c r="I59" s="582"/>
      <c r="J59" s="582"/>
      <c r="K59" s="582"/>
      <c r="L59" s="582"/>
      <c r="M59" s="582"/>
      <c r="N59" s="582"/>
      <c r="O59" s="582"/>
      <c r="P59" s="582"/>
      <c r="Q59" s="582"/>
      <c r="R59" s="582"/>
      <c r="S59" s="583"/>
    </row>
  </sheetData>
  <mergeCells count="131">
    <mergeCell ref="D50:M50"/>
    <mergeCell ref="N50:O50"/>
    <mergeCell ref="P50:Q50"/>
    <mergeCell ref="C53:R53"/>
    <mergeCell ref="C54:R58"/>
    <mergeCell ref="E48:I48"/>
    <mergeCell ref="J48:M48"/>
    <mergeCell ref="N48:O48"/>
    <mergeCell ref="D49:M49"/>
    <mergeCell ref="N49:O49"/>
    <mergeCell ref="P49:Q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E40:I40"/>
    <mergeCell ref="J40:M40"/>
    <mergeCell ref="N40:O40"/>
    <mergeCell ref="E41:I41"/>
    <mergeCell ref="J41:M41"/>
    <mergeCell ref="N41:O41"/>
    <mergeCell ref="D37:Q37"/>
    <mergeCell ref="D38:I38"/>
    <mergeCell ref="J38:M38"/>
    <mergeCell ref="N38:O38"/>
    <mergeCell ref="E39:I39"/>
    <mergeCell ref="J39:M39"/>
    <mergeCell ref="N39:O39"/>
    <mergeCell ref="D32:E32"/>
    <mergeCell ref="F32:G32"/>
    <mergeCell ref="H32:I32"/>
    <mergeCell ref="M32:N32"/>
    <mergeCell ref="O32:P32"/>
    <mergeCell ref="C35:R35"/>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24:E24"/>
    <mergeCell ref="I24:J24"/>
    <mergeCell ref="L24:P24"/>
    <mergeCell ref="L25:P25"/>
    <mergeCell ref="D26:I26"/>
    <mergeCell ref="L26:P26"/>
    <mergeCell ref="D22:E22"/>
    <mergeCell ref="I22:J22"/>
    <mergeCell ref="L22:Q22"/>
    <mergeCell ref="D23:E23"/>
    <mergeCell ref="I23:J23"/>
    <mergeCell ref="L23:P23"/>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28:I28">
    <cfRule type="expression" dxfId="821" priority="3">
      <formula>AND($H$28&lt;&gt;"",AND($H$28&gt;=-0.1,H$28&lt;=0.1))</formula>
    </cfRule>
    <cfRule type="expression" dxfId="820" priority="4">
      <formula>AND($H$28&lt;&gt;"",OR($H$28&lt;-0.1,H$28&gt;0.1))</formula>
    </cfRule>
  </conditionalFormatting>
  <conditionalFormatting sqref="H32:I32">
    <cfRule type="expression" dxfId="819" priority="1">
      <formula>AND($H$32&lt;&gt;"",AND($H$32&gt;=-0.03,$H$32&lt;=0.03))</formula>
    </cfRule>
    <cfRule type="expression" dxfId="818" priority="2">
      <formula>AND($H$32&lt;&gt;"",OR($H$32&lt;-0.03,$H$32&gt;0.03))</formula>
    </cfRule>
  </conditionalFormatting>
  <conditionalFormatting sqref="I24:J24">
    <cfRule type="expression" dxfId="817" priority="9">
      <formula>AND($I$24&lt;&gt;"",$I$24&lt;0.5)</formula>
    </cfRule>
    <cfRule type="expression" dxfId="816" priority="10">
      <formula>AND($I$24&lt;&gt;"",$I$24&gt;=0.5)</formula>
    </cfRule>
  </conditionalFormatting>
  <conditionalFormatting sqref="L19:M19">
    <cfRule type="expression" dxfId="815" priority="11">
      <formula>AND($L$19&lt;&gt;"",AND($L$19&lt;=0.05,$L$19&gt;=-0.05))</formula>
    </cfRule>
    <cfRule type="expression" dxfId="814" priority="12">
      <formula>AND($L$19&lt;&gt;"",OR($L$19&gt;0.05,$L$19&lt;-0.05))</formula>
    </cfRule>
  </conditionalFormatting>
  <conditionalFormatting sqref="Q28">
    <cfRule type="expression" dxfId="813" priority="7">
      <formula>AND($Q$28&lt;&gt;"",$Q$28&lt;4)</formula>
    </cfRule>
    <cfRule type="expression" dxfId="812" priority="8">
      <formula>AND($Q$28&lt;&gt;"",$Q$28&gt;=4)</formula>
    </cfRule>
  </conditionalFormatting>
  <conditionalFormatting sqref="Q32">
    <cfRule type="expression" dxfId="811" priority="5">
      <formula>AND($Q$32&lt;&gt;"",$Q$32="Oui")</formula>
    </cfRule>
    <cfRule type="expression" dxfId="810" priority="6">
      <formula>AND($Q$32&lt;&gt;"",$Q$32="Non")</formula>
    </cfRule>
  </conditionalFormatting>
  <dataValidations count="4">
    <dataValidation type="list" allowBlank="1" showInputMessage="1" showErrorMessage="1" sqref="D37:Q37" xr:uid="{DEFEB645-D5DD-44C8-B571-20D07F21E823}">
      <formula1>EQUIPEMENT_PREL</formula1>
    </dataValidation>
    <dataValidation type="list" allowBlank="1" showInputMessage="1" showErrorMessage="1" sqref="N39:O41" xr:uid="{71C8A471-D49F-4339-89DD-31FD55CD1942}">
      <formula1>INDIRECT(U39)</formula1>
    </dataValidation>
    <dataValidation type="list" allowBlank="1" showInputMessage="1" showErrorMessage="1" sqref="N50:O50" xr:uid="{A1992591-D15B-4942-A392-7678AA615928}">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F32F3140-3B07-49E8-A536-D1F53B138882}">
      <formula1>INDIRECT(U42)</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9D9C-9009-4418-87A4-575F75E4533E}">
  <sheetPr codeName="Feuil17">
    <tabColor rgb="FF008080"/>
    <pageSetUpPr fitToPage="1"/>
  </sheetPr>
  <dimension ref="B1:Y62"/>
  <sheetViews>
    <sheetView showGridLines="0" topLeftCell="C1" zoomScale="85" zoomScaleNormal="85" workbookViewId="0">
      <pane ySplit="7" topLeftCell="A8" activePane="bottomLeft" state="frozen"/>
      <selection pane="bottomLeft" activeCell="P55" sqref="P55"/>
    </sheetView>
  </sheetViews>
  <sheetFormatPr baseColWidth="10" defaultColWidth="10.703125" defaultRowHeight="20.100000000000001" customHeight="1" outlineLevelRow="1" x14ac:dyDescent="0.4"/>
  <cols>
    <col min="1" max="2" width="2.703125" style="618" customWidth="1"/>
    <col min="3" max="18" width="10.703125" style="618"/>
    <col min="19" max="19" width="2.703125" style="618" customWidth="1"/>
    <col min="20" max="20" width="2.703125" style="617" customWidth="1"/>
    <col min="21" max="25" width="10.703125" style="617"/>
    <col min="26" max="16384" width="10.703125" style="618"/>
  </cols>
  <sheetData>
    <row r="1" spans="2:25" ht="10.199999999999999" customHeight="1" thickBot="1" x14ac:dyDescent="0.45">
      <c r="B1" s="554"/>
      <c r="C1" s="555"/>
      <c r="D1" s="555"/>
      <c r="E1" s="555"/>
      <c r="F1" s="555"/>
      <c r="G1" s="555"/>
      <c r="H1" s="555"/>
      <c r="I1" s="555"/>
      <c r="J1" s="555"/>
      <c r="K1" s="555"/>
      <c r="L1" s="555"/>
      <c r="M1" s="555"/>
      <c r="N1" s="555"/>
      <c r="O1" s="555"/>
      <c r="P1" s="555"/>
      <c r="Q1" s="555"/>
      <c r="R1" s="555"/>
      <c r="S1" s="556"/>
    </row>
    <row r="2" spans="2:25" ht="30" customHeight="1" thickTop="1" x14ac:dyDescent="0.4">
      <c r="B2" s="558"/>
      <c r="C2" s="1157" t="s">
        <v>539</v>
      </c>
      <c r="D2" s="977"/>
      <c r="E2" s="977"/>
      <c r="F2" s="977"/>
      <c r="G2" s="977"/>
      <c r="H2" s="977"/>
      <c r="I2" s="977"/>
      <c r="J2" s="977"/>
      <c r="K2" s="977"/>
      <c r="L2" s="977"/>
      <c r="M2" s="977"/>
      <c r="N2" s="977"/>
      <c r="O2" s="977"/>
      <c r="P2" s="977"/>
      <c r="Q2" s="977"/>
      <c r="R2" s="978"/>
      <c r="S2" s="559"/>
    </row>
    <row r="3" spans="2:25" s="753" customFormat="1" ht="20.100000000000001" customHeight="1" x14ac:dyDescent="0.4">
      <c r="B3" s="751"/>
      <c r="C3" s="1261" t="s">
        <v>578</v>
      </c>
      <c r="D3" s="1262"/>
      <c r="E3" s="1263" t="str">
        <f>IF(ISBLANK(Descriptif!N3),"",Descriptif!N3)</f>
        <v>BARJAC (30)</v>
      </c>
      <c r="F3" s="1263"/>
      <c r="G3" s="1263"/>
      <c r="H3" s="1262" t="s">
        <v>540</v>
      </c>
      <c r="I3" s="1262"/>
      <c r="J3" s="1263" t="s">
        <v>708</v>
      </c>
      <c r="K3" s="1263"/>
      <c r="L3" s="1263"/>
      <c r="M3" s="1264" t="s">
        <v>486</v>
      </c>
      <c r="N3" s="1264"/>
      <c r="O3" s="1264"/>
      <c r="P3" s="1263" t="str">
        <f>IF(ISBLANK(Descriptif!T3),"",Descriptif!G6)</f>
        <v/>
      </c>
      <c r="Q3" s="1263"/>
      <c r="R3" s="1265"/>
      <c r="S3" s="752"/>
      <c r="T3" s="619"/>
      <c r="U3" s="619"/>
      <c r="V3" s="619"/>
      <c r="W3" s="619"/>
      <c r="X3" s="619"/>
      <c r="Y3" s="619"/>
    </row>
    <row r="4" spans="2:25" s="753" customFormat="1" ht="20.100000000000001" customHeight="1" x14ac:dyDescent="0.4">
      <c r="B4" s="751"/>
      <c r="C4" s="1261" t="s">
        <v>541</v>
      </c>
      <c r="D4" s="1262"/>
      <c r="E4" s="1263" t="str">
        <f>IF(ISBLANK(Descriptif!N4),"",Descriptif!N4)</f>
        <v>060930290002</v>
      </c>
      <c r="F4" s="1263"/>
      <c r="G4" s="1263"/>
      <c r="H4" s="1262" t="s">
        <v>542</v>
      </c>
      <c r="I4" s="1262"/>
      <c r="J4" s="1263" t="s">
        <v>708</v>
      </c>
      <c r="K4" s="1263"/>
      <c r="L4" s="1263"/>
      <c r="M4" s="1264" t="s">
        <v>543</v>
      </c>
      <c r="N4" s="1264"/>
      <c r="O4" s="1264"/>
      <c r="P4" s="1263"/>
      <c r="Q4" s="1263"/>
      <c r="R4" s="1265"/>
      <c r="S4" s="752"/>
      <c r="T4" s="619"/>
      <c r="U4" s="619"/>
      <c r="V4" s="619"/>
      <c r="W4" s="619"/>
      <c r="X4" s="619"/>
      <c r="Y4" s="619"/>
    </row>
    <row r="5" spans="2:25" s="753" customFormat="1" ht="20.100000000000001" customHeight="1" x14ac:dyDescent="0.4">
      <c r="B5" s="751"/>
      <c r="C5" s="1261" t="s">
        <v>544</v>
      </c>
      <c r="D5" s="1262"/>
      <c r="E5" s="1263" t="str">
        <f>IF(ISBLANK(Descriptif!G5),"",Descriptif!G5)</f>
        <v>Commune de Barjac</v>
      </c>
      <c r="F5" s="1263"/>
      <c r="G5" s="1263"/>
      <c r="H5" s="1262" t="s">
        <v>545</v>
      </c>
      <c r="I5" s="1262"/>
      <c r="J5" s="1263" t="s">
        <v>125</v>
      </c>
      <c r="K5" s="1263"/>
      <c r="L5" s="1263"/>
      <c r="M5" s="1264" t="s">
        <v>546</v>
      </c>
      <c r="N5" s="1264"/>
      <c r="O5" s="1264"/>
      <c r="P5" s="1263"/>
      <c r="Q5" s="1263"/>
      <c r="R5" s="1265"/>
      <c r="S5" s="752"/>
      <c r="T5" s="619"/>
      <c r="U5" s="619"/>
      <c r="V5" s="619"/>
      <c r="W5" s="619"/>
      <c r="X5" s="619"/>
      <c r="Y5" s="619"/>
    </row>
    <row r="6" spans="2:25" s="753" customFormat="1" ht="20.100000000000001" customHeight="1" thickBot="1" x14ac:dyDescent="0.45">
      <c r="B6" s="751"/>
      <c r="C6" s="1256" t="s">
        <v>547</v>
      </c>
      <c r="D6" s="1257"/>
      <c r="E6" s="1258" t="str">
        <f>IF(ISBLANK(Descriptif!T6),"",Descriptif!T6)</f>
        <v/>
      </c>
      <c r="F6" s="1258"/>
      <c r="G6" s="1258"/>
      <c r="H6" s="1257" t="s">
        <v>781</v>
      </c>
      <c r="I6" s="1257"/>
      <c r="J6" s="1258" t="s">
        <v>626</v>
      </c>
      <c r="K6" s="1258"/>
      <c r="L6" s="1258"/>
      <c r="M6" s="1259" t="s">
        <v>549</v>
      </c>
      <c r="N6" s="1259"/>
      <c r="O6" s="1259"/>
      <c r="P6" s="1258"/>
      <c r="Q6" s="1258"/>
      <c r="R6" s="1260"/>
      <c r="S6" s="752"/>
      <c r="T6" s="619"/>
      <c r="U6" s="619"/>
      <c r="V6" s="619"/>
      <c r="W6" s="619"/>
      <c r="X6" s="619"/>
      <c r="Y6" s="619"/>
    </row>
    <row r="7" spans="2:25" s="621" customFormat="1" ht="10.199999999999999" customHeight="1" thickTop="1" thickBot="1" x14ac:dyDescent="0.45">
      <c r="B7" s="560"/>
      <c r="C7" s="561"/>
      <c r="D7" s="561"/>
      <c r="E7" s="561"/>
      <c r="F7" s="561"/>
      <c r="G7" s="561"/>
      <c r="H7" s="561"/>
      <c r="I7" s="561"/>
      <c r="J7" s="561"/>
      <c r="K7" s="561"/>
      <c r="L7" s="561"/>
      <c r="M7" s="561"/>
      <c r="N7" s="561"/>
      <c r="O7" s="561"/>
      <c r="P7" s="561"/>
      <c r="Q7" s="561"/>
      <c r="R7" s="561"/>
      <c r="S7" s="562"/>
      <c r="T7" s="620"/>
      <c r="U7" s="620"/>
      <c r="V7" s="620"/>
      <c r="W7" s="620"/>
      <c r="X7" s="620"/>
      <c r="Y7" s="620"/>
    </row>
    <row r="8" spans="2:25" s="621" customFormat="1" ht="20.100000000000001" customHeight="1" thickTop="1" thickBot="1" x14ac:dyDescent="0.45">
      <c r="B8" s="560"/>
      <c r="C8" s="1119" t="s">
        <v>602</v>
      </c>
      <c r="D8" s="1120"/>
      <c r="E8" s="1120"/>
      <c r="F8" s="1120"/>
      <c r="G8" s="1120"/>
      <c r="H8" s="1120"/>
      <c r="I8" s="1120"/>
      <c r="J8" s="1120"/>
      <c r="K8" s="1120"/>
      <c r="L8" s="1120"/>
      <c r="M8" s="1120"/>
      <c r="N8" s="1120"/>
      <c r="O8" s="1120"/>
      <c r="P8" s="1120"/>
      <c r="Q8" s="1120"/>
      <c r="R8" s="1141"/>
      <c r="S8" s="562"/>
      <c r="T8" s="620"/>
      <c r="U8" s="620"/>
      <c r="V8" s="620"/>
      <c r="W8" s="620"/>
      <c r="X8" s="620"/>
      <c r="Y8" s="620"/>
    </row>
    <row r="9" spans="2:25" s="621" customFormat="1" ht="20.100000000000001" customHeight="1" outlineLevel="1" thickTop="1" x14ac:dyDescent="0.4">
      <c r="B9" s="560"/>
      <c r="C9" s="622"/>
      <c r="D9" s="561"/>
      <c r="E9" s="561"/>
      <c r="F9" s="561"/>
      <c r="G9" s="561"/>
      <c r="H9" s="561"/>
      <c r="I9" s="561"/>
      <c r="J9" s="561"/>
      <c r="K9" s="561"/>
      <c r="L9" s="561"/>
      <c r="M9" s="561"/>
      <c r="N9" s="561"/>
      <c r="O9" s="561"/>
      <c r="P9" s="561"/>
      <c r="Q9" s="561"/>
      <c r="R9" s="623"/>
      <c r="S9" s="562"/>
      <c r="T9" s="620"/>
      <c r="U9" s="620"/>
      <c r="V9" s="620"/>
      <c r="W9" s="620"/>
      <c r="X9" s="620"/>
      <c r="Y9" s="620"/>
    </row>
    <row r="10" spans="2:25" ht="20.100000000000001" customHeight="1" outlineLevel="1" x14ac:dyDescent="0.4">
      <c r="B10" s="578"/>
      <c r="C10" s="588"/>
      <c r="D10" s="1101" t="s">
        <v>582</v>
      </c>
      <c r="E10" s="1102"/>
      <c r="F10" s="1102"/>
      <c r="G10" s="1102"/>
      <c r="H10" s="1102"/>
      <c r="I10" s="1102"/>
      <c r="J10" s="1102"/>
      <c r="K10" s="1102"/>
      <c r="L10" s="1102"/>
      <c r="M10" s="1102"/>
      <c r="N10" s="1102"/>
      <c r="O10" s="1102"/>
      <c r="P10" s="1102"/>
      <c r="Q10" s="1123"/>
      <c r="R10" s="589"/>
      <c r="S10" s="580"/>
    </row>
    <row r="11" spans="2:25" ht="20.100000000000001" customHeight="1" outlineLevel="1" x14ac:dyDescent="0.4">
      <c r="B11" s="578"/>
      <c r="C11" s="624"/>
      <c r="D11" s="1242" t="s">
        <v>387</v>
      </c>
      <c r="E11" s="1243"/>
      <c r="F11" s="1244"/>
      <c r="G11" s="1253" t="s">
        <v>733</v>
      </c>
      <c r="H11" s="1254"/>
      <c r="I11" s="1254"/>
      <c r="J11" s="1255"/>
      <c r="K11" s="1242" t="s">
        <v>552</v>
      </c>
      <c r="L11" s="1243"/>
      <c r="M11" s="1244"/>
      <c r="N11" s="1245" t="s">
        <v>253</v>
      </c>
      <c r="O11" s="1246"/>
      <c r="P11" s="1246"/>
      <c r="Q11" s="1247"/>
      <c r="R11" s="625"/>
      <c r="S11" s="580"/>
    </row>
    <row r="12" spans="2:25" ht="20.100000000000001" customHeight="1" outlineLevel="1" x14ac:dyDescent="0.4">
      <c r="B12" s="578"/>
      <c r="C12" s="624"/>
      <c r="D12" s="1242" t="s">
        <v>603</v>
      </c>
      <c r="E12" s="1243"/>
      <c r="F12" s="1244"/>
      <c r="G12" s="1245" t="s">
        <v>753</v>
      </c>
      <c r="H12" s="1246"/>
      <c r="I12" s="1246"/>
      <c r="J12" s="1247"/>
      <c r="K12" s="1242" t="s">
        <v>424</v>
      </c>
      <c r="L12" s="1243"/>
      <c r="M12" s="1244"/>
      <c r="N12" s="1245"/>
      <c r="O12" s="1246"/>
      <c r="P12" s="1246"/>
      <c r="Q12" s="1247"/>
      <c r="R12" s="625"/>
      <c r="S12" s="580"/>
      <c r="V12" s="626"/>
      <c r="W12" s="626"/>
    </row>
    <row r="13" spans="2:25" ht="20.100000000000001" customHeight="1" outlineLevel="1" x14ac:dyDescent="0.4">
      <c r="B13" s="578"/>
      <c r="C13" s="624"/>
      <c r="D13" s="1242" t="s">
        <v>604</v>
      </c>
      <c r="E13" s="1243"/>
      <c r="F13" s="1244"/>
      <c r="G13" s="1245" t="s">
        <v>754</v>
      </c>
      <c r="H13" s="1246"/>
      <c r="I13" s="1246"/>
      <c r="J13" s="1247"/>
      <c r="K13" s="1242" t="s">
        <v>555</v>
      </c>
      <c r="L13" s="1243"/>
      <c r="M13" s="1244"/>
      <c r="N13" s="1245"/>
      <c r="O13" s="1246"/>
      <c r="P13" s="1246"/>
      <c r="Q13" s="1247"/>
      <c r="R13" s="625"/>
      <c r="S13" s="580"/>
    </row>
    <row r="14" spans="2:25" ht="20.100000000000001" customHeight="1" outlineLevel="1" x14ac:dyDescent="0.4">
      <c r="B14" s="578"/>
      <c r="C14" s="624"/>
      <c r="D14" s="1242" t="s">
        <v>605</v>
      </c>
      <c r="E14" s="1243"/>
      <c r="F14" s="1244"/>
      <c r="G14" s="1245" t="s">
        <v>733</v>
      </c>
      <c r="H14" s="1246"/>
      <c r="I14" s="1246"/>
      <c r="J14" s="1247"/>
      <c r="K14" s="1242" t="s">
        <v>606</v>
      </c>
      <c r="L14" s="1243"/>
      <c r="M14" s="1244"/>
      <c r="N14" s="1245"/>
      <c r="O14" s="1246"/>
      <c r="P14" s="1246"/>
      <c r="Q14" s="1247"/>
      <c r="R14" s="625"/>
      <c r="S14" s="580"/>
    </row>
    <row r="15" spans="2:25" ht="20.100000000000001" customHeight="1" outlineLevel="1" x14ac:dyDescent="0.4">
      <c r="B15" s="578"/>
      <c r="C15" s="624"/>
      <c r="D15" s="1242" t="s">
        <v>607</v>
      </c>
      <c r="E15" s="1243"/>
      <c r="F15" s="1244"/>
      <c r="G15" s="1245" t="s">
        <v>275</v>
      </c>
      <c r="H15" s="1246"/>
      <c r="I15" s="1246"/>
      <c r="J15" s="1247"/>
      <c r="K15" s="1242" t="s">
        <v>380</v>
      </c>
      <c r="L15" s="1243"/>
      <c r="M15" s="1244"/>
      <c r="N15" s="1245" t="s">
        <v>124</v>
      </c>
      <c r="O15" s="1246"/>
      <c r="P15" s="1246"/>
      <c r="Q15" s="1247"/>
      <c r="R15" s="625"/>
      <c r="S15" s="580"/>
    </row>
    <row r="16" spans="2:25" ht="20.100000000000001" customHeight="1" outlineLevel="1" x14ac:dyDescent="0.4">
      <c r="B16" s="578"/>
      <c r="C16" s="624"/>
      <c r="D16" s="1242" t="s">
        <v>608</v>
      </c>
      <c r="E16" s="1243"/>
      <c r="F16" s="1244"/>
      <c r="G16" s="1267" t="s">
        <v>124</v>
      </c>
      <c r="H16" s="1268"/>
      <c r="I16" s="1268"/>
      <c r="J16" s="1269"/>
      <c r="K16" s="1270" t="s">
        <v>755</v>
      </c>
      <c r="L16" s="1271"/>
      <c r="M16" s="1271"/>
      <c r="N16" s="1272" t="s">
        <v>756</v>
      </c>
      <c r="O16" s="1272"/>
      <c r="P16" s="1272"/>
      <c r="Q16" s="1272"/>
      <c r="R16" s="625"/>
      <c r="S16" s="580"/>
    </row>
    <row r="17" spans="2:22" ht="20.100000000000001" customHeight="1" outlineLevel="1" x14ac:dyDescent="0.4">
      <c r="B17" s="578"/>
      <c r="C17" s="624"/>
      <c r="D17" s="739"/>
      <c r="E17" s="739"/>
      <c r="F17" s="739"/>
      <c r="G17" s="739"/>
      <c r="H17" s="739"/>
      <c r="I17" s="739"/>
      <c r="J17" s="739"/>
      <c r="K17" s="739"/>
      <c r="L17" s="739"/>
      <c r="M17" s="739"/>
      <c r="N17" s="739"/>
      <c r="O17" s="739"/>
      <c r="P17" s="739"/>
      <c r="Q17" s="739"/>
      <c r="R17" s="625"/>
      <c r="S17" s="580"/>
    </row>
    <row r="18" spans="2:22" ht="20.100000000000001" customHeight="1" outlineLevel="1" x14ac:dyDescent="0.4">
      <c r="B18" s="578"/>
      <c r="C18" s="624"/>
      <c r="D18" s="1248" t="s">
        <v>609</v>
      </c>
      <c r="E18" s="1248"/>
      <c r="F18" s="1248"/>
      <c r="G18" s="1249"/>
      <c r="H18" s="1249"/>
      <c r="I18" s="1249"/>
      <c r="J18" s="1249"/>
      <c r="K18" s="1249"/>
      <c r="L18" s="1249"/>
      <c r="M18" s="1249"/>
      <c r="N18" s="1249"/>
      <c r="O18" s="1249"/>
      <c r="P18" s="1249"/>
      <c r="Q18" s="1249"/>
      <c r="R18" s="625"/>
      <c r="S18" s="580"/>
    </row>
    <row r="19" spans="2:22" ht="20.100000000000001" customHeight="1" outlineLevel="1" x14ac:dyDescent="0.4">
      <c r="B19" s="578"/>
      <c r="C19" s="624"/>
      <c r="D19" s="1142" t="s">
        <v>587</v>
      </c>
      <c r="E19" s="1142"/>
      <c r="F19" s="1142"/>
      <c r="G19" s="1142"/>
      <c r="H19" s="1142"/>
      <c r="I19" s="1142"/>
      <c r="J19" s="1142"/>
      <c r="K19" s="1142"/>
      <c r="L19" s="1142"/>
      <c r="M19" s="1142"/>
      <c r="N19" s="1142"/>
      <c r="O19" s="1142"/>
      <c r="P19" s="1142"/>
      <c r="Q19" s="1142"/>
      <c r="R19" s="625"/>
      <c r="S19" s="580"/>
    </row>
    <row r="20" spans="2:22" ht="20.100000000000001" customHeight="1" outlineLevel="1" x14ac:dyDescent="0.4">
      <c r="B20" s="578"/>
      <c r="C20" s="624"/>
      <c r="D20" s="1242" t="s">
        <v>425</v>
      </c>
      <c r="E20" s="1243"/>
      <c r="F20" s="1244"/>
      <c r="G20" s="1245"/>
      <c r="H20" s="1246"/>
      <c r="I20" s="1246"/>
      <c r="J20" s="1247"/>
      <c r="K20" s="1242" t="s">
        <v>426</v>
      </c>
      <c r="L20" s="1243"/>
      <c r="M20" s="1244"/>
      <c r="N20" s="1245"/>
      <c r="O20" s="1246"/>
      <c r="P20" s="1246"/>
      <c r="Q20" s="1247"/>
      <c r="R20" s="625"/>
      <c r="S20" s="580"/>
    </row>
    <row r="21" spans="2:22" ht="20.100000000000001" customHeight="1" outlineLevel="1" x14ac:dyDescent="0.4">
      <c r="B21" s="578"/>
      <c r="C21" s="624"/>
      <c r="D21" s="1242" t="s">
        <v>427</v>
      </c>
      <c r="E21" s="1243"/>
      <c r="F21" s="1244"/>
      <c r="G21" s="1245"/>
      <c r="H21" s="1246"/>
      <c r="I21" s="1246"/>
      <c r="J21" s="1247"/>
      <c r="K21" s="1242" t="s">
        <v>428</v>
      </c>
      <c r="L21" s="1243"/>
      <c r="M21" s="1244"/>
      <c r="N21" s="1245" t="s">
        <v>251</v>
      </c>
      <c r="O21" s="1246"/>
      <c r="P21" s="1246"/>
      <c r="Q21" s="1247"/>
      <c r="R21" s="625"/>
      <c r="S21" s="580"/>
    </row>
    <row r="22" spans="2:22" ht="20.100000000000001" customHeight="1" outlineLevel="1" x14ac:dyDescent="0.4">
      <c r="B22" s="578"/>
      <c r="C22" s="624"/>
      <c r="D22" s="1242" t="s">
        <v>429</v>
      </c>
      <c r="E22" s="1243"/>
      <c r="F22" s="1244"/>
      <c r="G22" s="1245"/>
      <c r="H22" s="1246"/>
      <c r="I22" s="1246"/>
      <c r="J22" s="1247"/>
      <c r="K22" s="1242" t="s">
        <v>610</v>
      </c>
      <c r="L22" s="1243"/>
      <c r="M22" s="1244"/>
      <c r="N22" s="1245"/>
      <c r="O22" s="1246"/>
      <c r="P22" s="1246"/>
      <c r="Q22" s="1247"/>
      <c r="R22" s="625"/>
      <c r="S22" s="580"/>
    </row>
    <row r="23" spans="2:22" ht="20.100000000000001" customHeight="1" outlineLevel="1" x14ac:dyDescent="0.4">
      <c r="B23" s="578"/>
      <c r="C23" s="624"/>
      <c r="D23" s="739"/>
      <c r="E23" s="739"/>
      <c r="F23" s="739"/>
      <c r="G23" s="739"/>
      <c r="H23" s="739"/>
      <c r="I23" s="739"/>
      <c r="J23" s="739"/>
      <c r="K23" s="739"/>
      <c r="L23" s="739"/>
      <c r="M23" s="739"/>
      <c r="N23" s="739"/>
      <c r="O23" s="739"/>
      <c r="P23" s="739"/>
      <c r="Q23" s="739"/>
      <c r="R23" s="625"/>
      <c r="S23" s="580"/>
    </row>
    <row r="24" spans="2:22" ht="20.100000000000001" customHeight="1" outlineLevel="1" x14ac:dyDescent="0.4">
      <c r="B24" s="578"/>
      <c r="C24" s="624"/>
      <c r="D24" s="1142" t="s">
        <v>611</v>
      </c>
      <c r="E24" s="1142"/>
      <c r="F24" s="1142"/>
      <c r="G24" s="1142"/>
      <c r="H24" s="1142"/>
      <c r="I24" s="1142"/>
      <c r="J24" s="1142"/>
      <c r="K24" s="1142"/>
      <c r="L24" s="1142"/>
      <c r="M24" s="1142"/>
      <c r="N24" s="1142"/>
      <c r="O24" s="1142"/>
      <c r="P24" s="1142"/>
      <c r="Q24" s="1142"/>
      <c r="R24" s="625"/>
      <c r="S24" s="580"/>
    </row>
    <row r="25" spans="2:22" ht="20.100000000000001" customHeight="1" outlineLevel="1" x14ac:dyDescent="0.4">
      <c r="B25" s="578"/>
      <c r="C25" s="624"/>
      <c r="D25" s="1239" t="s">
        <v>612</v>
      </c>
      <c r="E25" s="1239"/>
      <c r="F25" s="1239"/>
      <c r="G25" s="1239"/>
      <c r="H25" s="1239" t="s">
        <v>566</v>
      </c>
      <c r="I25" s="1239"/>
      <c r="J25" s="1239"/>
      <c r="K25" s="1239"/>
      <c r="L25" s="1239" t="s">
        <v>613</v>
      </c>
      <c r="M25" s="1239"/>
      <c r="N25" s="1239"/>
      <c r="O25" s="1239"/>
      <c r="P25" s="1240" t="s">
        <v>614</v>
      </c>
      <c r="Q25" s="1240"/>
      <c r="R25" s="625"/>
      <c r="S25" s="580"/>
    </row>
    <row r="26" spans="2:22" ht="42" customHeight="1" outlineLevel="1" x14ac:dyDescent="0.4">
      <c r="B26" s="578"/>
      <c r="C26" s="624"/>
      <c r="D26" s="627" t="s">
        <v>795</v>
      </c>
      <c r="E26" s="628" t="s">
        <v>570</v>
      </c>
      <c r="F26" s="628" t="s">
        <v>797</v>
      </c>
      <c r="G26" s="567" t="s">
        <v>570</v>
      </c>
      <c r="H26" s="627" t="s">
        <v>796</v>
      </c>
      <c r="I26" s="628" t="s">
        <v>798</v>
      </c>
      <c r="J26" s="628" t="s">
        <v>801</v>
      </c>
      <c r="K26" s="567" t="s">
        <v>802</v>
      </c>
      <c r="L26" s="627" t="s">
        <v>796</v>
      </c>
      <c r="M26" s="628" t="s">
        <v>798</v>
      </c>
      <c r="N26" s="628" t="s">
        <v>801</v>
      </c>
      <c r="O26" s="567" t="s">
        <v>802</v>
      </c>
      <c r="P26" s="568" t="s">
        <v>620</v>
      </c>
      <c r="Q26" s="570" t="s">
        <v>621</v>
      </c>
      <c r="R26" s="625"/>
      <c r="S26" s="580"/>
    </row>
    <row r="27" spans="2:22" ht="20.100000000000001" customHeight="1" outlineLevel="1" x14ac:dyDescent="0.4">
      <c r="B27" s="578"/>
      <c r="C27" s="624"/>
      <c r="D27" s="629">
        <v>0</v>
      </c>
      <c r="E27" s="630">
        <f>IF(D27="","",10)</f>
        <v>10</v>
      </c>
      <c r="F27" s="631">
        <v>0</v>
      </c>
      <c r="G27" s="632" t="str">
        <f>IF(D27="","",IF(D27&lt;50,"-",IF(D27&lt;150,0.1,0.05)))</f>
        <v>-</v>
      </c>
      <c r="H27" s="629">
        <v>2</v>
      </c>
      <c r="I27" s="631">
        <v>0.1</v>
      </c>
      <c r="J27" s="633">
        <f>IF(OR(D27="",H27=""),"",D27-H27)</f>
        <v>-2</v>
      </c>
      <c r="K27" s="634" t="str">
        <f>IF(OR(F27="",I27="",D27=0),IF(D27=0, "-",""),(I27-F27)/F27)</f>
        <v>-</v>
      </c>
      <c r="L27" s="629">
        <v>0</v>
      </c>
      <c r="M27" s="631">
        <v>0</v>
      </c>
      <c r="N27" s="633">
        <f>IF(AND(D27&lt;&gt;"",L27&lt;&gt;""),D27-L27,"")</f>
        <v>0</v>
      </c>
      <c r="O27" s="634" t="str">
        <f>IF(OR(F27="",M27="",D27=0),IF(D27=0,"-",""),(M27-F27)/F27)</f>
        <v>-</v>
      </c>
      <c r="P27" s="633">
        <f>IF(OR(H27="",L27=""),IF(J27="","",J27),H27-L27)</f>
        <v>2</v>
      </c>
      <c r="Q27" s="634" t="str">
        <f>IF(OR(I27="",M27="",D27=0),IF(K27="","",K27),IF(AND(I27=0,M27=0),0,(I27-AVERAGE(I27,M27))/AVERAGE(I27,M27)))</f>
        <v>-</v>
      </c>
      <c r="R27" s="635"/>
      <c r="S27" s="580"/>
      <c r="U27" s="617">
        <f>IF(P27&lt;&gt;"", IF(ABS(P27)&gt;E27,1,0),0)</f>
        <v>0</v>
      </c>
      <c r="V27" s="617">
        <f>IF(AND(Q27&lt;&gt;"",Q27&lt;&gt;"-"), IF(ABS(Q27)&gt;G27,1,0),0)</f>
        <v>0</v>
      </c>
    </row>
    <row r="28" spans="2:22" ht="20.100000000000001" customHeight="1" outlineLevel="1" x14ac:dyDescent="0.4">
      <c r="B28" s="578"/>
      <c r="C28" s="624"/>
      <c r="D28" s="629">
        <v>29</v>
      </c>
      <c r="E28" s="636">
        <f t="shared" ref="E28:E30" si="0">IF(D28="","",10)</f>
        <v>10</v>
      </c>
      <c r="F28" s="631">
        <v>3.8</v>
      </c>
      <c r="G28" s="637" t="str">
        <f t="shared" ref="G28:G30" si="1">IF(D28="","",IF(D28&lt;50,"-",IF(D28&lt;150,0.1,0.05)))</f>
        <v>-</v>
      </c>
      <c r="H28" s="629">
        <v>31</v>
      </c>
      <c r="I28" s="631">
        <v>4.0999999999999996</v>
      </c>
      <c r="J28" s="633">
        <f>IF(OR(D28="",H28=""),"",D28-H28)</f>
        <v>-2</v>
      </c>
      <c r="K28" s="634">
        <f>IF(OR(F28="",I28="",D28=0),IF(D28=0, "-",""),(I28-F28)/F28)</f>
        <v>7.8947368421052586E-2</v>
      </c>
      <c r="L28" s="629">
        <v>32</v>
      </c>
      <c r="M28" s="631">
        <v>4.3</v>
      </c>
      <c r="N28" s="638">
        <f t="shared" ref="N28:N30" si="2">IF(AND(D28&lt;&gt;"",L28&lt;&gt;""),D28-L28,"")</f>
        <v>-3</v>
      </c>
      <c r="O28" s="634">
        <f>IF(OR(F28="",M28="",D28=0),IF(D28=0,"-",""),(M28-F28)/F28)</f>
        <v>0.13157894736842105</v>
      </c>
      <c r="P28" s="633">
        <f t="shared" ref="P28:P30" si="3">IF(OR(H28="",L28=""),IF(J28="","",J28),H28-L28)</f>
        <v>-1</v>
      </c>
      <c r="Q28" s="634">
        <f t="shared" ref="Q28:Q30" si="4">IF(OR(I28="",M28="",D28=0),IF(K28="","",K28),IF(AND(I28=0,M28=0),0,(I28-AVERAGE(I28,M28))/AVERAGE(I28,M28)))</f>
        <v>-2.3809523809523728E-2</v>
      </c>
      <c r="R28" s="625"/>
      <c r="S28" s="580"/>
      <c r="U28" s="617">
        <f t="shared" ref="U28:U29" si="5">IF(P28&lt;&gt;"", IF(ABS(P28)&gt;E28,1,0),0)</f>
        <v>0</v>
      </c>
      <c r="V28" s="617">
        <f t="shared" ref="V28:V30" si="6">IF(AND(Q28&lt;&gt;"",Q28&lt;&gt;"-"), IF(ABS(Q28)&gt;G28,1,0),0)</f>
        <v>0</v>
      </c>
    </row>
    <row r="29" spans="2:22" ht="20.100000000000001" customHeight="1" outlineLevel="1" x14ac:dyDescent="0.4">
      <c r="B29" s="578"/>
      <c r="C29" s="624"/>
      <c r="D29" s="629">
        <v>60</v>
      </c>
      <c r="E29" s="636">
        <f t="shared" si="0"/>
        <v>10</v>
      </c>
      <c r="F29" s="631">
        <v>11.4</v>
      </c>
      <c r="G29" s="637">
        <f t="shared" si="1"/>
        <v>0.1</v>
      </c>
      <c r="H29" s="629">
        <v>62</v>
      </c>
      <c r="I29" s="631">
        <v>11.9</v>
      </c>
      <c r="J29" s="633">
        <f t="shared" ref="J29:J30" si="7">IF(OR(D29="",H29=""),"",D29-H29)</f>
        <v>-2</v>
      </c>
      <c r="K29" s="634">
        <f t="shared" ref="K29:K30" si="8">IF(OR(F29="",I29="",D29=0),IF(D29=0, "-",""),(I29-F29)/F29)</f>
        <v>4.3859649122807015E-2</v>
      </c>
      <c r="L29" s="629">
        <v>63</v>
      </c>
      <c r="M29" s="631">
        <v>12.3</v>
      </c>
      <c r="N29" s="638">
        <f t="shared" si="2"/>
        <v>-3</v>
      </c>
      <c r="O29" s="634">
        <f t="shared" ref="O29:O30" si="9">IF(OR(F29="",M29="",D29=0),IF(D29=0,"-",""),(M29-F29)/F29)</f>
        <v>7.8947368421052655E-2</v>
      </c>
      <c r="P29" s="633">
        <f t="shared" si="3"/>
        <v>-1</v>
      </c>
      <c r="Q29" s="634">
        <f t="shared" si="4"/>
        <v>-1.6528925619834798E-2</v>
      </c>
      <c r="R29" s="625"/>
      <c r="S29" s="580"/>
      <c r="U29" s="617">
        <f t="shared" si="5"/>
        <v>0</v>
      </c>
      <c r="V29" s="617">
        <f t="shared" si="6"/>
        <v>0</v>
      </c>
    </row>
    <row r="30" spans="2:22" ht="20.100000000000001" customHeight="1" outlineLevel="1" x14ac:dyDescent="0.4">
      <c r="B30" s="578"/>
      <c r="C30" s="624"/>
      <c r="D30" s="639">
        <v>28</v>
      </c>
      <c r="E30" s="640">
        <f t="shared" si="0"/>
        <v>10</v>
      </c>
      <c r="F30" s="641">
        <v>3.6</v>
      </c>
      <c r="G30" s="642" t="str">
        <f t="shared" si="1"/>
        <v>-</v>
      </c>
      <c r="H30" s="639">
        <v>27</v>
      </c>
      <c r="I30" s="641">
        <v>6.9</v>
      </c>
      <c r="J30" s="643">
        <f t="shared" si="7"/>
        <v>1</v>
      </c>
      <c r="K30" s="644">
        <f t="shared" si="8"/>
        <v>0.91666666666666674</v>
      </c>
      <c r="L30" s="639">
        <v>27</v>
      </c>
      <c r="M30" s="641">
        <v>3.5</v>
      </c>
      <c r="N30" s="645">
        <f t="shared" si="2"/>
        <v>1</v>
      </c>
      <c r="O30" s="644">
        <f t="shared" si="9"/>
        <v>-2.7777777777777801E-2</v>
      </c>
      <c r="P30" s="643">
        <f t="shared" si="3"/>
        <v>0</v>
      </c>
      <c r="Q30" s="644">
        <f t="shared" si="4"/>
        <v>0.32692307692307693</v>
      </c>
      <c r="R30" s="625"/>
      <c r="S30" s="580"/>
      <c r="U30" s="617">
        <f>IF(P30&lt;&gt;"", IF(ABS(P30)&gt;E30,1,0),0)</f>
        <v>0</v>
      </c>
      <c r="V30" s="617">
        <f t="shared" si="6"/>
        <v>0</v>
      </c>
    </row>
    <row r="31" spans="2:22" ht="20.100000000000001" customHeight="1" outlineLevel="1" x14ac:dyDescent="0.4">
      <c r="B31" s="578"/>
      <c r="C31" s="624"/>
      <c r="D31" s="793" t="s">
        <v>779</v>
      </c>
      <c r="E31" s="739"/>
      <c r="F31" s="793" t="s">
        <v>779</v>
      </c>
      <c r="G31" s="739"/>
      <c r="H31" s="739"/>
      <c r="I31" s="739"/>
      <c r="J31" s="793" t="s">
        <v>779</v>
      </c>
      <c r="K31" s="793" t="s">
        <v>779</v>
      </c>
      <c r="L31" s="739"/>
      <c r="M31" s="739"/>
      <c r="N31" s="793" t="s">
        <v>779</v>
      </c>
      <c r="O31" s="793" t="s">
        <v>779</v>
      </c>
      <c r="P31" s="739"/>
      <c r="Q31" s="739"/>
      <c r="R31" s="625"/>
      <c r="S31" s="580"/>
      <c r="U31" s="617" t="str">
        <f>IF(SUM(D27:D30)&gt;0,IF(SUM(U27:U30)&gt;0,"Non validé","Validé"),"Non contrôlé")</f>
        <v>Validé</v>
      </c>
      <c r="V31" s="617" t="str">
        <f>IF(SUM(D27:D30)&gt;0,IF(SUM(Q27:Q30)&gt;0,"Non validé","Validé"),"Non contrôlé")</f>
        <v>Non validé</v>
      </c>
    </row>
    <row r="32" spans="2:22" ht="20.100000000000001" customHeight="1" outlineLevel="1" x14ac:dyDescent="0.4">
      <c r="B32" s="578"/>
      <c r="C32" s="624"/>
      <c r="D32" s="1101" t="s">
        <v>250</v>
      </c>
      <c r="E32" s="1102"/>
      <c r="F32" s="1102"/>
      <c r="G32" s="1102"/>
      <c r="H32" s="1102"/>
      <c r="I32" s="1102"/>
      <c r="J32" s="1102"/>
      <c r="K32" s="1102"/>
      <c r="L32" s="1102"/>
      <c r="M32" s="1102"/>
      <c r="N32" s="1241" t="s">
        <v>564</v>
      </c>
      <c r="O32" s="1241"/>
      <c r="P32" s="566"/>
      <c r="Q32" s="590"/>
      <c r="R32" s="625"/>
      <c r="S32" s="580"/>
    </row>
    <row r="33" spans="2:25" s="652" customFormat="1" ht="20.100000000000001" customHeight="1" outlineLevel="1" x14ac:dyDescent="0.4">
      <c r="B33" s="646"/>
      <c r="C33" s="647"/>
      <c r="D33" s="1231" t="s">
        <v>612</v>
      </c>
      <c r="E33" s="1232"/>
      <c r="F33" s="1233"/>
      <c r="G33" s="1231" t="s">
        <v>566</v>
      </c>
      <c r="H33" s="1233"/>
      <c r="I33" s="1231" t="s">
        <v>565</v>
      </c>
      <c r="J33" s="1233"/>
      <c r="K33" s="1234" t="s">
        <v>567</v>
      </c>
      <c r="L33" s="1235"/>
      <c r="M33" s="1236"/>
      <c r="N33" s="1234" t="s">
        <v>568</v>
      </c>
      <c r="O33" s="1235"/>
      <c r="P33" s="1236"/>
      <c r="Q33" s="648"/>
      <c r="R33" s="649"/>
      <c r="S33" s="650"/>
      <c r="T33" s="651"/>
      <c r="U33" s="651"/>
      <c r="V33" s="651"/>
      <c r="W33" s="651"/>
      <c r="X33" s="617"/>
      <c r="Y33" s="651"/>
    </row>
    <row r="34" spans="2:25" s="659" customFormat="1" ht="40.700000000000003" customHeight="1" outlineLevel="1" x14ac:dyDescent="0.4">
      <c r="B34" s="653"/>
      <c r="C34" s="654"/>
      <c r="D34" s="627" t="s">
        <v>795</v>
      </c>
      <c r="E34" s="628" t="s">
        <v>799</v>
      </c>
      <c r="F34" s="567" t="s">
        <v>570</v>
      </c>
      <c r="G34" s="627" t="s">
        <v>571</v>
      </c>
      <c r="H34" s="628" t="s">
        <v>572</v>
      </c>
      <c r="I34" s="1237" t="s">
        <v>800</v>
      </c>
      <c r="J34" s="1238"/>
      <c r="K34" s="568" t="s">
        <v>573</v>
      </c>
      <c r="L34" s="569" t="s">
        <v>574</v>
      </c>
      <c r="M34" s="570" t="s">
        <v>91</v>
      </c>
      <c r="N34" s="568" t="s">
        <v>573</v>
      </c>
      <c r="O34" s="569" t="s">
        <v>574</v>
      </c>
      <c r="P34" s="570" t="s">
        <v>91</v>
      </c>
      <c r="Q34" s="655"/>
      <c r="R34" s="656"/>
      <c r="S34" s="657"/>
      <c r="T34" s="658"/>
      <c r="U34" s="658"/>
      <c r="V34" s="658"/>
      <c r="W34" s="658"/>
      <c r="X34" s="658"/>
      <c r="Y34" s="658"/>
    </row>
    <row r="35" spans="2:25" ht="20.100000000000001" customHeight="1" outlineLevel="1" x14ac:dyDescent="0.4">
      <c r="B35" s="578"/>
      <c r="C35" s="624"/>
      <c r="D35" s="660"/>
      <c r="E35" s="661"/>
      <c r="F35" s="662" t="str">
        <f>IF(D35="","",IF(D35&gt;50,0.05,0.1))</f>
        <v/>
      </c>
      <c r="G35" s="661">
        <v>26.5</v>
      </c>
      <c r="H35" s="663">
        <v>26.4</v>
      </c>
      <c r="I35" s="1227">
        <v>31.9</v>
      </c>
      <c r="J35" s="1228"/>
      <c r="K35" s="572">
        <f>IF(AND(E35&lt;&gt;"",G35&lt;&gt;""),(E35+G35)/2,IF(AND(I35&lt;&gt;"",G35&lt;&gt;""),(I35+G35)/2,""))</f>
        <v>29.2</v>
      </c>
      <c r="L35" s="573">
        <f>IF(AND(E35&lt;&gt;"",G35&lt;&gt;""),(E35-G35),IF(AND(I35&lt;&gt;"",G35&lt;&gt;""),(I35-G35),""))</f>
        <v>5.3999999999999986</v>
      </c>
      <c r="M35" s="644">
        <f>IF(AND(K35&lt;&gt;"",K35&lt;&gt;0,L35&lt;&gt;""),L35/K35,"")</f>
        <v>0.18493150684931503</v>
      </c>
      <c r="N35" s="572">
        <f>IF(AND(E35&lt;&gt;"",H35&lt;&gt;""),(E35+H35)/2,IF(AND(H35&lt;&gt;"",I35&lt;&gt;""),(H35+I35)/2,""))</f>
        <v>29.15</v>
      </c>
      <c r="O35" s="573">
        <f>IF(AND(E35&lt;&gt;"",H35&lt;&gt;""),(E35-I35),IF(AND(H35&lt;&gt;"",I35&lt;&gt;""),(H35-I35),""))</f>
        <v>-5.5</v>
      </c>
      <c r="P35" s="644">
        <f>IF(AND(N35&lt;&gt;"",N35&lt;&gt;0,O35&lt;&gt;""),O35/N35,"")</f>
        <v>-0.18867924528301888</v>
      </c>
      <c r="Q35" s="664"/>
      <c r="R35" s="625"/>
      <c r="S35" s="580"/>
      <c r="U35" s="617">
        <f>IF(M35&lt;&gt;"", IF(ABS(M35)&gt;F35,1,0),0)</f>
        <v>0</v>
      </c>
      <c r="V35" s="617">
        <f>IF(P35&lt;&gt;"", IF(ABS(P35)&gt;F35,1,0),0)</f>
        <v>0</v>
      </c>
    </row>
    <row r="36" spans="2:25" ht="20.100000000000001" customHeight="1" outlineLevel="1" thickBot="1" x14ac:dyDescent="0.45">
      <c r="B36" s="578"/>
      <c r="C36" s="665"/>
      <c r="D36" s="741"/>
      <c r="E36" s="741"/>
      <c r="F36" s="741"/>
      <c r="G36" s="741"/>
      <c r="H36" s="741"/>
      <c r="I36" s="741"/>
      <c r="J36" s="741"/>
      <c r="K36" s="741"/>
      <c r="L36" s="741"/>
      <c r="M36" s="741"/>
      <c r="N36" s="741"/>
      <c r="O36" s="741"/>
      <c r="P36" s="741"/>
      <c r="Q36" s="741"/>
      <c r="R36" s="666"/>
      <c r="S36" s="580"/>
      <c r="U36" s="617" t="str">
        <f>IFERROR(IF((K35+N35)&gt;0,IF((U35+V35)&gt;0,"Non validé","Validé"),"Non contrôlé"),"Non contrôlé")</f>
        <v>Validé</v>
      </c>
    </row>
    <row r="37" spans="2:25" ht="10.199999999999999" customHeight="1" thickTop="1" thickBot="1" x14ac:dyDescent="0.45">
      <c r="B37" s="578"/>
      <c r="C37" s="579"/>
      <c r="D37" s="579"/>
      <c r="E37" s="579"/>
      <c r="F37" s="579"/>
      <c r="G37" s="579"/>
      <c r="H37" s="579"/>
      <c r="I37" s="579"/>
      <c r="J37" s="579"/>
      <c r="K37" s="579"/>
      <c r="L37" s="579"/>
      <c r="M37" s="579"/>
      <c r="N37" s="579"/>
      <c r="O37" s="579"/>
      <c r="P37" s="579"/>
      <c r="Q37" s="579"/>
      <c r="R37" s="579"/>
      <c r="S37" s="580"/>
    </row>
    <row r="38" spans="2:25" ht="20.100000000000001" customHeight="1" thickTop="1" thickBot="1" x14ac:dyDescent="0.45">
      <c r="B38" s="578"/>
      <c r="C38" s="1119" t="s">
        <v>575</v>
      </c>
      <c r="D38" s="1120"/>
      <c r="E38" s="1120"/>
      <c r="F38" s="1120"/>
      <c r="G38" s="1120"/>
      <c r="H38" s="1120"/>
      <c r="I38" s="1120"/>
      <c r="J38" s="1120"/>
      <c r="K38" s="1120"/>
      <c r="L38" s="1120"/>
      <c r="M38" s="1120"/>
      <c r="N38" s="1120"/>
      <c r="O38" s="1120"/>
      <c r="P38" s="1120"/>
      <c r="Q38" s="1120"/>
      <c r="R38" s="1141"/>
      <c r="S38" s="580"/>
    </row>
    <row r="39" spans="2:25" ht="20.100000000000001" customHeight="1" outlineLevel="1" thickTop="1" x14ac:dyDescent="0.4">
      <c r="B39" s="578"/>
      <c r="C39" s="624"/>
      <c r="D39" s="579"/>
      <c r="E39" s="579"/>
      <c r="F39" s="579"/>
      <c r="G39" s="579"/>
      <c r="H39" s="579"/>
      <c r="I39" s="579"/>
      <c r="J39" s="579"/>
      <c r="K39" s="579"/>
      <c r="L39" s="579"/>
      <c r="M39" s="579"/>
      <c r="N39" s="579"/>
      <c r="O39" s="579"/>
      <c r="P39" s="579"/>
      <c r="Q39" s="579"/>
      <c r="R39" s="625"/>
      <c r="S39" s="580"/>
    </row>
    <row r="40" spans="2:25" ht="30" customHeight="1" outlineLevel="1" x14ac:dyDescent="0.4">
      <c r="B40" s="578"/>
      <c r="C40" s="624"/>
      <c r="D40" s="1229" t="s">
        <v>130</v>
      </c>
      <c r="E40" s="1229"/>
      <c r="F40" s="1229"/>
      <c r="G40" s="1229"/>
      <c r="H40" s="1229"/>
      <c r="I40" s="1229"/>
      <c r="J40" s="1229"/>
      <c r="K40" s="1229"/>
      <c r="L40" s="1229"/>
      <c r="M40" s="1229"/>
      <c r="N40" s="1229"/>
      <c r="O40" s="1229"/>
      <c r="P40" s="1229"/>
      <c r="Q40" s="1229"/>
      <c r="R40" s="625"/>
      <c r="S40" s="580"/>
      <c r="U40" s="617" t="s">
        <v>61</v>
      </c>
    </row>
    <row r="41" spans="2:25" ht="20.100000000000001" customHeight="1" outlineLevel="1" x14ac:dyDescent="0.4">
      <c r="B41" s="578"/>
      <c r="C41" s="624"/>
      <c r="D41" s="1230" t="s">
        <v>59</v>
      </c>
      <c r="E41" s="1230"/>
      <c r="F41" s="1230"/>
      <c r="G41" s="1230"/>
      <c r="H41" s="1230"/>
      <c r="I41" s="1230"/>
      <c r="J41" s="1230" t="s">
        <v>377</v>
      </c>
      <c r="K41" s="1230"/>
      <c r="L41" s="1230"/>
      <c r="M41" s="1230"/>
      <c r="N41" s="1230" t="s">
        <v>242</v>
      </c>
      <c r="O41" s="1230"/>
      <c r="P41" s="740" t="s">
        <v>409</v>
      </c>
      <c r="Q41" s="740" t="s">
        <v>576</v>
      </c>
      <c r="R41" s="625"/>
      <c r="S41" s="580"/>
    </row>
    <row r="42" spans="2:25" ht="99.95" customHeight="1" outlineLevel="1" x14ac:dyDescent="0.4">
      <c r="B42" s="578"/>
      <c r="C42" s="624"/>
      <c r="D42" s="577">
        <v>1</v>
      </c>
      <c r="E42" s="1222" t="str">
        <f>IFERROR(HLOOKUP($D$40,Critères!$B$3:$BE$16,D42+2,FALSE),"")</f>
        <v>L'accès à l'ouvrage et aux équipements de mesure se fait-il en toute sécurité pour les agents en charge des opérations de contrôles et d'entretien ?</v>
      </c>
      <c r="F42" s="1223"/>
      <c r="G42" s="1223"/>
      <c r="H42" s="1223"/>
      <c r="I42" s="1224"/>
      <c r="J42" s="1222"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223"/>
      <c r="L42" s="1223"/>
      <c r="M42" s="1224"/>
      <c r="N42" s="1225" t="s">
        <v>167</v>
      </c>
      <c r="O42" s="1226"/>
      <c r="P42" s="742" t="str">
        <f>IF(OR(N42="Validé",N42="Validé avec réserve"),N42,0)</f>
        <v>Validé</v>
      </c>
      <c r="Q42" s="742">
        <f>IFERROR(INDEX(Critères!$B$3:$BE$16, D42+2, MATCH($D$40, Critères!$B$3:$BE$3, 0) + 2),"")</f>
        <v>10</v>
      </c>
      <c r="R42" s="625"/>
      <c r="S42" s="580"/>
      <c r="U42" s="617" t="str">
        <f>IFERROR(INDEX(Critères!$B$3:$BE$16, D42+2, MATCH($D$40, Critères!$B$3:$BE$3, 0) + 3),"")</f>
        <v>LISTE_3</v>
      </c>
    </row>
    <row r="43" spans="2:25" ht="99.95" customHeight="1" outlineLevel="1" x14ac:dyDescent="0.4">
      <c r="B43" s="578"/>
      <c r="C43" s="624"/>
      <c r="D43" s="577">
        <v>2</v>
      </c>
      <c r="E43" s="1222" t="str">
        <f>IFERROR(HLOOKUP($D$40,Critères!$B$3:$BE$16,D43+2,FALSE),"")</f>
        <v>Le dimensionnement de l'organe de mesure, y compris des canaux d'approche et de fuite, est-il adapté vis-à-vis de l'étendue des débits à mesurer ?</v>
      </c>
      <c r="F43" s="1223"/>
      <c r="G43" s="1223"/>
      <c r="H43" s="1223"/>
      <c r="I43" s="1224"/>
      <c r="J43" s="1222" t="str">
        <f>IFERROR(IF(INDEX(Critères!$B$3:$BE$16, D43+2, MATCH($D$40, Critères!$B$3:$BE$3, 0) + 1)="", "", INDEX(Critères!$B$3:$BE$16, D43+2, MATCH($D$40, Critères!$B$3:$BE$3, 0) + 1)), "")</f>
        <v/>
      </c>
      <c r="K43" s="1223"/>
      <c r="L43" s="1223"/>
      <c r="M43" s="1224"/>
      <c r="N43" s="1225" t="s">
        <v>167</v>
      </c>
      <c r="O43" s="1226"/>
      <c r="P43" s="742" t="str">
        <f t="shared" ref="P43:P51" si="10">IF(OR(N43="Validé",N43="Validé avec réserve"),N43,0)</f>
        <v>Validé</v>
      </c>
      <c r="Q43" s="742">
        <f>IFERROR(INDEX(Critères!$B$3:$BE$16, D43+2, MATCH($D$40, Critères!$B$3:$BE$3, 0) + 2),"")</f>
        <v>10</v>
      </c>
      <c r="R43" s="625"/>
      <c r="S43" s="580"/>
      <c r="U43" s="617" t="str">
        <f>IFERROR(INDEX(Critères!$B$3:$BE$16, D43+2, MATCH($D$40, Critères!$B$3:$BE$3, 0) + 3),"")</f>
        <v>LISTE_3</v>
      </c>
    </row>
    <row r="44" spans="2:25" ht="99.95" customHeight="1" outlineLevel="1" x14ac:dyDescent="0.4">
      <c r="B44" s="578"/>
      <c r="C44" s="624"/>
      <c r="D44" s="577">
        <v>3</v>
      </c>
      <c r="E44" s="1222"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223"/>
      <c r="G44" s="1223"/>
      <c r="H44" s="1223"/>
      <c r="I44" s="1224"/>
      <c r="J44" s="1222"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223"/>
      <c r="L44" s="1223"/>
      <c r="M44" s="1224"/>
      <c r="N44" s="1225" t="s">
        <v>167</v>
      </c>
      <c r="O44" s="1226"/>
      <c r="P44" s="742" t="str">
        <f t="shared" si="10"/>
        <v>Validé</v>
      </c>
      <c r="Q44" s="742">
        <f>IFERROR(INDEX(Critères!$B$3:$BE$16, D44+2, MATCH($D$40, Critères!$B$3:$BE$3, 0) + 2),"")</f>
        <v>10</v>
      </c>
      <c r="R44" s="625"/>
      <c r="S44" s="580"/>
      <c r="U44" s="617" t="str">
        <f>IFERROR(INDEX(Critères!$B$3:$BE$16, D44+2, MATCH($D$40, Critères!$B$3:$BE$3, 0) + 3),"")</f>
        <v>LISTE_3</v>
      </c>
    </row>
    <row r="45" spans="2:25" ht="99.95" customHeight="1" outlineLevel="1" x14ac:dyDescent="0.4">
      <c r="B45" s="578"/>
      <c r="C45" s="624"/>
      <c r="D45" s="577">
        <v>4</v>
      </c>
      <c r="E45" s="1222" t="str">
        <f>IFERROR(HLOOKUP($D$40,Critères!$B$3:$BE$16,D45+2,FALSE),"")</f>
        <v>L'étanchéité, la propreté et l'état d'entretien de l'organe de mesure, des capteurs associés, des canaux d'approche et de fuite sont-ils satisfaisants ?</v>
      </c>
      <c r="F45" s="1223"/>
      <c r="G45" s="1223"/>
      <c r="H45" s="1223"/>
      <c r="I45" s="1224"/>
      <c r="J45" s="1222"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223"/>
      <c r="L45" s="1223"/>
      <c r="M45" s="1224"/>
      <c r="N45" s="1225" t="s">
        <v>167</v>
      </c>
      <c r="O45" s="1226"/>
      <c r="P45" s="742" t="str">
        <f t="shared" si="10"/>
        <v>Validé</v>
      </c>
      <c r="Q45" s="742">
        <f>IFERROR(INDEX(Critères!$B$3:$BE$16, D45+2, MATCH($D$40, Critères!$B$3:$BE$3, 0) + 2),"")</f>
        <v>10</v>
      </c>
      <c r="R45" s="625"/>
      <c r="S45" s="580"/>
      <c r="U45" s="617" t="str">
        <f>IFERROR(INDEX(Critères!$B$3:$BE$16, D45+2, MATCH($D$40, Critères!$B$3:$BE$3, 0) + 3),"")</f>
        <v>LISTE_3</v>
      </c>
    </row>
    <row r="46" spans="2:25" ht="99.95" customHeight="1" outlineLevel="1" x14ac:dyDescent="0.4">
      <c r="B46" s="578"/>
      <c r="C46" s="624"/>
      <c r="D46" s="577">
        <v>5</v>
      </c>
      <c r="E46" s="1222" t="str">
        <f>IFERROR(HLOOKUP($D$40,Critères!$B$3:$BE$16,D46+2,FALSE),"")</f>
        <v xml:space="preserve">Le fonctionnement hydraulique de l'organe de mesure, en amont et en aval, est-il satisfaisant ? </v>
      </c>
      <c r="F46" s="1223"/>
      <c r="G46" s="1223"/>
      <c r="H46" s="1223"/>
      <c r="I46" s="1224"/>
      <c r="J46" s="1222"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223"/>
      <c r="L46" s="1223"/>
      <c r="M46" s="1224"/>
      <c r="N46" s="1225" t="s">
        <v>167</v>
      </c>
      <c r="O46" s="1226"/>
      <c r="P46" s="742" t="str">
        <f t="shared" si="10"/>
        <v>Validé</v>
      </c>
      <c r="Q46" s="742">
        <f>IFERROR(INDEX(Critères!$B$3:$BE$16, D46+2, MATCH($D$40, Critères!$B$3:$BE$3, 0) + 2),"")</f>
        <v>10</v>
      </c>
      <c r="R46" s="625"/>
      <c r="S46" s="580"/>
      <c r="U46" s="617" t="str">
        <f>IFERROR(INDEX(Critères!$B$3:$BE$16, D46+2, MATCH($D$40, Critères!$B$3:$BE$3, 0) + 3),"")</f>
        <v>LISTE_3</v>
      </c>
    </row>
    <row r="47" spans="2:25" ht="99.95" customHeight="1" outlineLevel="1" x14ac:dyDescent="0.4">
      <c r="B47" s="578"/>
      <c r="C47" s="624"/>
      <c r="D47" s="577">
        <v>6</v>
      </c>
      <c r="E47" s="1222" t="str">
        <f>IFERROR(HLOOKUP($D$40,Critères!$B$3:$BE$16,D47+2,FALSE),"")</f>
        <v>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v>
      </c>
      <c r="F47" s="1223"/>
      <c r="G47" s="1223"/>
      <c r="H47" s="1223"/>
      <c r="I47" s="1224"/>
      <c r="J47" s="1222" t="str">
        <f>IFERROR(IF(INDEX(Critères!$B$3:$BE$16, D47+2, MATCH($D$40, Critères!$B$3:$BE$3, 0) + 1)="", "", INDEX(Critères!$B$3:$BE$16, D47+2, MATCH($D$40, Critères!$B$3:$BE$3, 0) + 1)), "")</f>
        <v/>
      </c>
      <c r="K47" s="1223"/>
      <c r="L47" s="1223"/>
      <c r="M47" s="1224"/>
      <c r="N47" s="1341" t="str">
        <f>IF(D40=Critères!AL3,U31,"Non contrôlé")</f>
        <v>Non contrôlé</v>
      </c>
      <c r="O47" s="1342"/>
      <c r="P47" s="742">
        <f t="shared" si="10"/>
        <v>0</v>
      </c>
      <c r="Q47" s="742">
        <f>IFERROR(INDEX(Critères!$B$3:$BE$16, D47+2, MATCH($D$40, Critères!$B$3:$BE$3, 0) + 2),"")</f>
        <v>10</v>
      </c>
      <c r="R47" s="805" t="s">
        <v>803</v>
      </c>
      <c r="S47" s="580"/>
      <c r="U47" s="617" t="str">
        <f>IFERROR(INDEX(Critères!$B$3:$BE$16, D47+2, MATCH($D$40, Critères!$B$3:$BE$3, 0) + 3),"")</f>
        <v>LISTE_3</v>
      </c>
    </row>
    <row r="48" spans="2:25" ht="99.95" customHeight="1" outlineLevel="1" x14ac:dyDescent="0.4">
      <c r="B48" s="578"/>
      <c r="C48" s="624"/>
      <c r="D48" s="577">
        <v>7</v>
      </c>
      <c r="E48" s="1222"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223"/>
      <c r="G48" s="1223"/>
      <c r="H48" s="1223"/>
      <c r="I48" s="1224"/>
      <c r="J48" s="1222" t="str">
        <f>IFERROR(IF(INDEX(Critères!$B$3:$BE$16, D48+2, MATCH($D$40, Critères!$B$3:$BE$3, 0) + 1)="", "", INDEX(Critères!$B$3:$BE$16, D48+2, MATCH($D$40, Critères!$B$3:$BE$3, 0) + 1)), "")</f>
        <v/>
      </c>
      <c r="K48" s="1223"/>
      <c r="L48" s="1223"/>
      <c r="M48" s="1224"/>
      <c r="N48" s="1341" t="str">
        <f>IF(OR(D40=Critères!J3,D40=Critères!N3,D40=Critères!R3,D40=Critères!V3,D40=Critères!Z3,D40=Critères!AD3),U31,IF(D40=Critères!AL3,U36,"Non contrôlé"))</f>
        <v>Validé</v>
      </c>
      <c r="O48" s="1342"/>
      <c r="P48" s="742" t="str">
        <f t="shared" si="10"/>
        <v>Validé</v>
      </c>
      <c r="Q48" s="742">
        <f>IFERROR(INDEX(Critères!$B$3:$BE$16, D48+2, MATCH($D$40, Critères!$B$3:$BE$3, 0) + 2),"")</f>
        <v>10</v>
      </c>
      <c r="R48" s="803" t="s">
        <v>779</v>
      </c>
      <c r="S48" s="580"/>
      <c r="U48" s="617" t="str">
        <f>IFERROR(INDEX(Critères!$B$3:$BE$16, D48+2, MATCH($D$40, Critères!$B$3:$BE$3, 0) + 3),"")</f>
        <v>LISTE_2</v>
      </c>
    </row>
    <row r="49" spans="2:21" ht="99.95" customHeight="1" outlineLevel="1" x14ac:dyDescent="0.4">
      <c r="B49" s="578"/>
      <c r="C49" s="624"/>
      <c r="D49" s="577">
        <v>8</v>
      </c>
      <c r="E49" s="1222"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223"/>
      <c r="G49" s="1223"/>
      <c r="H49" s="1223"/>
      <c r="I49" s="1224"/>
      <c r="J49" s="1222"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223"/>
      <c r="L49" s="1223"/>
      <c r="M49" s="1224"/>
      <c r="N49" s="1225" t="str">
        <f>IF(OR(D40=Critères!J3,D40=Critères!N3,D40=Critères!R3,D40=Critères!V3,D40=Critères!Z3,D40=Critères!AD3),V31,"Non contrôlé")</f>
        <v>Non validé</v>
      </c>
      <c r="O49" s="1226"/>
      <c r="P49" s="742">
        <f t="shared" si="10"/>
        <v>0</v>
      </c>
      <c r="Q49" s="742">
        <f>IFERROR(INDEX(Critères!$B$3:$BE$16, D49+2, MATCH($D$40, Critères!$B$3:$BE$3, 0) + 2),"")</f>
        <v>10</v>
      </c>
      <c r="R49" s="625"/>
      <c r="S49" s="580"/>
      <c r="U49" s="617" t="str">
        <f>IFERROR(INDEX(Critères!$B$3:$BE$16, D49+2, MATCH($D$40, Critères!$B$3:$BE$3, 0) + 3),"")</f>
        <v>LISTE_2</v>
      </c>
    </row>
    <row r="50" spans="2:21" ht="99.95" customHeight="1" outlineLevel="1" x14ac:dyDescent="0.4">
      <c r="B50" s="578"/>
      <c r="C50" s="624"/>
      <c r="D50" s="577">
        <v>9</v>
      </c>
      <c r="E50" s="1222"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223"/>
      <c r="G50" s="1223"/>
      <c r="H50" s="1223"/>
      <c r="I50" s="1224"/>
      <c r="J50" s="1222" t="str">
        <f>IFERROR(IF(INDEX(Critères!$B$3:$BE$16, D50+2, MATCH($D$40, Critères!$B$3:$BE$3, 0) + 1)="", "", INDEX(Critères!$B$3:$BE$16, D50+2, MATCH($D$40, Critères!$B$3:$BE$3, 0) + 1)), "")</f>
        <v>Calcul de l'écart par rapport à la moyenne des 2 valeurs.
Pour les volumes &lt; 10 m3, le fonctionnement sera apprécié par l'intervenant.</v>
      </c>
      <c r="K50" s="1223"/>
      <c r="L50" s="1223"/>
      <c r="M50" s="1224"/>
      <c r="N50" s="1225" t="str">
        <f>IF(OR(D40=Critères!J3,D40=Critères!N3,D40=Critères!AD3),U36,"Non contrôlé")</f>
        <v>Validé</v>
      </c>
      <c r="O50" s="1226"/>
      <c r="P50" s="742" t="str">
        <f t="shared" si="10"/>
        <v>Validé</v>
      </c>
      <c r="Q50" s="742">
        <f>IFERROR(INDEX(Critères!$B$3:$BE$16, D50+2, MATCH($D$40, Critères!$B$3:$BE$3, 0) + 2),"")</f>
        <v>10</v>
      </c>
      <c r="R50" s="625"/>
      <c r="S50" s="580"/>
      <c r="U50" s="617" t="str">
        <f>IFERROR(INDEX(Critères!$B$3:$BE$16, D50+2, MATCH($D$40, Critères!$B$3:$BE$3, 0) + 3),"")</f>
        <v>LISTE_2</v>
      </c>
    </row>
    <row r="51" spans="2:21" ht="99.95" customHeight="1" outlineLevel="1" x14ac:dyDescent="0.4">
      <c r="B51" s="578"/>
      <c r="C51" s="624"/>
      <c r="D51" s="577">
        <v>10</v>
      </c>
      <c r="E51" s="1222" t="str">
        <f>IFERROR(HLOOKUP($D$40,Critères!$B$3:$BE$16,D51+2,FALSE),"")</f>
        <v>Existe t-il un dispositif de contrôle adapté et un afficheur de proximité (Hauteur + Débit + Volume) ?</v>
      </c>
      <c r="F51" s="1223"/>
      <c r="G51" s="1223"/>
      <c r="H51" s="1223"/>
      <c r="I51" s="1224"/>
      <c r="J51" s="1222" t="str">
        <f>IFERROR(IF(INDEX(Critères!$B$3:$BE$16, D51+2, MATCH($D$40, Critères!$B$3:$BE$3, 0) + 1)="", "", INDEX(Critères!$B$3:$BE$16, D51+2, MATCH($D$40, Critères!$B$3:$BE$3, 0) + 1)), "")</f>
        <v/>
      </c>
      <c r="K51" s="1223"/>
      <c r="L51" s="1223"/>
      <c r="M51" s="1224"/>
      <c r="N51" s="1225" t="s">
        <v>124</v>
      </c>
      <c r="O51" s="1226"/>
      <c r="P51" s="742">
        <f t="shared" si="10"/>
        <v>0</v>
      </c>
      <c r="Q51" s="742">
        <f>IFERROR(INDEX(Critères!$B$3:$BE$16, D51+2, MATCH($D$40, Critères!$B$3:$BE$3, 0) + 2),"")</f>
        <v>10</v>
      </c>
      <c r="R51" s="803" t="s">
        <v>779</v>
      </c>
      <c r="S51" s="580"/>
      <c r="U51" s="617" t="str">
        <f>IFERROR(INDEX(Critères!$B$3:$BE$16, D51+2, MATCH($D$40, Critères!$B$3:$BE$3, 0) + 3),"")</f>
        <v>LISTE_1</v>
      </c>
    </row>
    <row r="52" spans="2:21" ht="20.100000000000001" customHeight="1" outlineLevel="1" x14ac:dyDescent="0.4">
      <c r="B52" s="578"/>
      <c r="C52" s="624"/>
      <c r="D52" s="1215" t="s">
        <v>75</v>
      </c>
      <c r="E52" s="1216"/>
      <c r="F52" s="1216"/>
      <c r="G52" s="1216"/>
      <c r="H52" s="1216"/>
      <c r="I52" s="1216"/>
      <c r="J52" s="1216"/>
      <c r="K52" s="1216"/>
      <c r="L52" s="1216"/>
      <c r="M52" s="1217"/>
      <c r="N52" s="1218" t="s">
        <v>413</v>
      </c>
      <c r="O52" s="1218"/>
      <c r="P52" s="1218" t="s">
        <v>64</v>
      </c>
      <c r="Q52" s="1218"/>
      <c r="R52" s="625"/>
      <c r="S52" s="580"/>
    </row>
    <row r="53" spans="2:21" ht="99.95" customHeight="1" outlineLevel="1" x14ac:dyDescent="0.4">
      <c r="B53" s="578"/>
      <c r="C53" s="624"/>
      <c r="D53" s="1064"/>
      <c r="E53" s="1219"/>
      <c r="F53" s="1219"/>
      <c r="G53" s="1219"/>
      <c r="H53" s="1219"/>
      <c r="I53" s="1219"/>
      <c r="J53" s="1219"/>
      <c r="K53" s="1219"/>
      <c r="L53" s="1219"/>
      <c r="M53" s="1063"/>
      <c r="N53" s="1064" t="s">
        <v>128</v>
      </c>
      <c r="O53" s="1063"/>
      <c r="P53" s="1220">
        <f>IF(SUM(P42:P51)&gt;100,100,SUM(P42:P51))</f>
        <v>0</v>
      </c>
      <c r="Q53" s="1221"/>
      <c r="R53" s="625"/>
      <c r="S53" s="580"/>
    </row>
    <row r="54" spans="2:21" ht="57.7" customHeight="1" outlineLevel="1" thickBot="1" x14ac:dyDescent="0.45">
      <c r="B54" s="578"/>
      <c r="C54" s="665"/>
      <c r="D54" s="667"/>
      <c r="E54" s="667"/>
      <c r="F54" s="667"/>
      <c r="G54" s="667"/>
      <c r="H54" s="667"/>
      <c r="I54" s="667"/>
      <c r="J54" s="667"/>
      <c r="K54" s="667"/>
      <c r="L54" s="667"/>
      <c r="M54" s="667"/>
      <c r="N54" s="1343" t="s">
        <v>813</v>
      </c>
      <c r="O54" s="1343"/>
      <c r="P54" s="831" t="s">
        <v>838</v>
      </c>
      <c r="Q54" s="667"/>
      <c r="R54" s="666"/>
      <c r="S54" s="580"/>
    </row>
    <row r="55" spans="2:21" ht="10.199999999999999" customHeight="1" thickTop="1" thickBot="1" x14ac:dyDescent="0.45">
      <c r="B55" s="578"/>
      <c r="C55" s="579"/>
      <c r="D55" s="579"/>
      <c r="E55" s="579"/>
      <c r="F55" s="579"/>
      <c r="G55" s="579"/>
      <c r="H55" s="579"/>
      <c r="I55" s="579"/>
      <c r="J55" s="579"/>
      <c r="K55" s="579"/>
      <c r="L55" s="579"/>
      <c r="M55" s="579"/>
      <c r="N55" s="579"/>
      <c r="O55" s="579"/>
      <c r="P55" s="579"/>
      <c r="Q55" s="579"/>
      <c r="R55" s="579"/>
      <c r="S55" s="580"/>
    </row>
    <row r="56" spans="2:21" ht="20.100000000000001" customHeight="1" thickTop="1" thickBot="1" x14ac:dyDescent="0.45">
      <c r="B56" s="578"/>
      <c r="C56" s="1119" t="s">
        <v>256</v>
      </c>
      <c r="D56" s="1120"/>
      <c r="E56" s="1120"/>
      <c r="F56" s="1120"/>
      <c r="G56" s="1120"/>
      <c r="H56" s="1120"/>
      <c r="I56" s="1120"/>
      <c r="J56" s="1120"/>
      <c r="K56" s="1120"/>
      <c r="L56" s="1120"/>
      <c r="M56" s="1120"/>
      <c r="N56" s="1120"/>
      <c r="O56" s="1120"/>
      <c r="P56" s="1120"/>
      <c r="Q56" s="1120"/>
      <c r="R56" s="1141"/>
      <c r="S56" s="580"/>
    </row>
    <row r="57" spans="2:21" ht="20.100000000000001" customHeight="1" outlineLevel="1" thickTop="1" x14ac:dyDescent="0.4">
      <c r="B57" s="578"/>
      <c r="C57" s="1208" t="s">
        <v>577</v>
      </c>
      <c r="D57" s="1209"/>
      <c r="E57" s="1209"/>
      <c r="F57" s="1209"/>
      <c r="G57" s="1209"/>
      <c r="H57" s="1209"/>
      <c r="I57" s="1209"/>
      <c r="J57" s="1209"/>
      <c r="K57" s="1209"/>
      <c r="L57" s="1209"/>
      <c r="M57" s="1209"/>
      <c r="N57" s="1209"/>
      <c r="O57" s="1209"/>
      <c r="P57" s="1209"/>
      <c r="Q57" s="1209"/>
      <c r="R57" s="1210"/>
      <c r="S57" s="580"/>
    </row>
    <row r="58" spans="2:21" ht="20.100000000000001" customHeight="1" outlineLevel="1" x14ac:dyDescent="0.4">
      <c r="B58" s="578"/>
      <c r="C58" s="1211"/>
      <c r="D58" s="1209"/>
      <c r="E58" s="1209"/>
      <c r="F58" s="1209"/>
      <c r="G58" s="1209"/>
      <c r="H58" s="1209"/>
      <c r="I58" s="1209"/>
      <c r="J58" s="1209"/>
      <c r="K58" s="1209"/>
      <c r="L58" s="1209"/>
      <c r="M58" s="1209"/>
      <c r="N58" s="1209"/>
      <c r="O58" s="1209"/>
      <c r="P58" s="1209"/>
      <c r="Q58" s="1209"/>
      <c r="R58" s="1210"/>
      <c r="S58" s="580"/>
    </row>
    <row r="59" spans="2:21" ht="20.100000000000001" customHeight="1" outlineLevel="1" x14ac:dyDescent="0.4">
      <c r="B59" s="578"/>
      <c r="C59" s="1211"/>
      <c r="D59" s="1209"/>
      <c r="E59" s="1209"/>
      <c r="F59" s="1209"/>
      <c r="G59" s="1209"/>
      <c r="H59" s="1209"/>
      <c r="I59" s="1209"/>
      <c r="J59" s="1209"/>
      <c r="K59" s="1209"/>
      <c r="L59" s="1209"/>
      <c r="M59" s="1209"/>
      <c r="N59" s="1209"/>
      <c r="O59" s="1209"/>
      <c r="P59" s="1209"/>
      <c r="Q59" s="1209"/>
      <c r="R59" s="1210"/>
      <c r="S59" s="580"/>
    </row>
    <row r="60" spans="2:21" ht="20.100000000000001" customHeight="1" outlineLevel="1" x14ac:dyDescent="0.4">
      <c r="B60" s="578"/>
      <c r="C60" s="1211"/>
      <c r="D60" s="1209"/>
      <c r="E60" s="1209"/>
      <c r="F60" s="1209"/>
      <c r="G60" s="1209"/>
      <c r="H60" s="1209"/>
      <c r="I60" s="1209"/>
      <c r="J60" s="1209"/>
      <c r="K60" s="1209"/>
      <c r="L60" s="1209"/>
      <c r="M60" s="1209"/>
      <c r="N60" s="1209"/>
      <c r="O60" s="1209"/>
      <c r="P60" s="1209"/>
      <c r="Q60" s="1209"/>
      <c r="R60" s="1210"/>
      <c r="S60" s="580"/>
    </row>
    <row r="61" spans="2:21" ht="20.100000000000001" customHeight="1" outlineLevel="1" thickBot="1" x14ac:dyDescent="0.45">
      <c r="B61" s="578"/>
      <c r="C61" s="1212"/>
      <c r="D61" s="1213"/>
      <c r="E61" s="1213"/>
      <c r="F61" s="1213"/>
      <c r="G61" s="1213"/>
      <c r="H61" s="1213"/>
      <c r="I61" s="1213"/>
      <c r="J61" s="1213"/>
      <c r="K61" s="1213"/>
      <c r="L61" s="1213"/>
      <c r="M61" s="1213"/>
      <c r="N61" s="1213"/>
      <c r="O61" s="1213"/>
      <c r="P61" s="1213"/>
      <c r="Q61" s="1213"/>
      <c r="R61" s="1214"/>
      <c r="S61" s="580"/>
    </row>
    <row r="62" spans="2:21" ht="10.199999999999999" customHeight="1" thickTop="1" x14ac:dyDescent="0.4">
      <c r="B62" s="581"/>
      <c r="C62" s="582"/>
      <c r="D62" s="582"/>
      <c r="E62" s="582"/>
      <c r="F62" s="582"/>
      <c r="G62" s="582"/>
      <c r="H62" s="582"/>
      <c r="I62" s="582"/>
      <c r="J62" s="582"/>
      <c r="K62" s="582"/>
      <c r="L62" s="582"/>
      <c r="M62" s="582"/>
      <c r="N62" s="582"/>
      <c r="O62" s="582"/>
      <c r="P62" s="582"/>
      <c r="Q62" s="582"/>
      <c r="R62" s="582"/>
      <c r="S62" s="583"/>
    </row>
  </sheetData>
  <mergeCells count="124">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 ref="N54:O54"/>
    <mergeCell ref="E48:I48"/>
    <mergeCell ref="J48:M48"/>
    <mergeCell ref="N48:O48"/>
    <mergeCell ref="E49:I49"/>
    <mergeCell ref="J49:M49"/>
    <mergeCell ref="N49:O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I34:J34"/>
    <mergeCell ref="I35:J35"/>
    <mergeCell ref="C38:R38"/>
    <mergeCell ref="D40:Q40"/>
    <mergeCell ref="D41:I41"/>
    <mergeCell ref="J41:M41"/>
    <mergeCell ref="N41:O41"/>
    <mergeCell ref="D32:M32"/>
    <mergeCell ref="N32:O32"/>
    <mergeCell ref="D33:F33"/>
    <mergeCell ref="G33:H33"/>
    <mergeCell ref="I33:J33"/>
    <mergeCell ref="K33:M33"/>
    <mergeCell ref="N33:P33"/>
    <mergeCell ref="D22:F22"/>
    <mergeCell ref="G22:J22"/>
    <mergeCell ref="K22:M22"/>
    <mergeCell ref="N22:Q22"/>
    <mergeCell ref="D24:Q24"/>
    <mergeCell ref="D25:G25"/>
    <mergeCell ref="H25:K25"/>
    <mergeCell ref="L25:O25"/>
    <mergeCell ref="P25:Q25"/>
    <mergeCell ref="D19:Q19"/>
    <mergeCell ref="D20:F20"/>
    <mergeCell ref="G20:J20"/>
    <mergeCell ref="K20:M20"/>
    <mergeCell ref="N20:Q20"/>
    <mergeCell ref="D21:F21"/>
    <mergeCell ref="G21:J21"/>
    <mergeCell ref="K21:M21"/>
    <mergeCell ref="N21:Q21"/>
    <mergeCell ref="D16:F16"/>
    <mergeCell ref="G16:J16"/>
    <mergeCell ref="K16:M16"/>
    <mergeCell ref="N16:Q16"/>
    <mergeCell ref="D18:F18"/>
    <mergeCell ref="G18:Q18"/>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J27:J30">
    <cfRule type="expression" dxfId="809" priority="6" stopIfTrue="1">
      <formula>ABS(J27)&gt;=$E27</formula>
    </cfRule>
    <cfRule type="expression" dxfId="808" priority="7">
      <formula>ABS(J27)&lt;$E27</formula>
    </cfRule>
  </conditionalFormatting>
  <conditionalFormatting sqref="K27:K30">
    <cfRule type="expression" dxfId="807" priority="14" stopIfTrue="1">
      <formula>ABS(K27)&gt;=$G27</formula>
    </cfRule>
    <cfRule type="expression" dxfId="806" priority="15">
      <formula>ABS(K27)&lt;$G27</formula>
    </cfRule>
  </conditionalFormatting>
  <conditionalFormatting sqref="M35">
    <cfRule type="expression" dxfId="805" priority="10">
      <formula>ABS(M35)&gt;=$F35</formula>
    </cfRule>
    <cfRule type="expression" dxfId="804" priority="11">
      <formula>ABS(M35)&lt;$F35</formula>
    </cfRule>
  </conditionalFormatting>
  <conditionalFormatting sqref="O27:O30">
    <cfRule type="expression" dxfId="803" priority="12" stopIfTrue="1">
      <formula>ABS(O27*100)&gt;=$E27</formula>
    </cfRule>
    <cfRule type="expression" dxfId="802" priority="13">
      <formula>ABS(O27*100)&lt;$E27</formula>
    </cfRule>
  </conditionalFormatting>
  <conditionalFormatting sqref="P27:P30">
    <cfRule type="expression" dxfId="801" priority="2" stopIfTrue="1">
      <formula>ABS(P27)&gt;=$E27</formula>
    </cfRule>
    <cfRule type="expression" dxfId="800" priority="3">
      <formula>ABS(P27)&lt;$E27</formula>
    </cfRule>
  </conditionalFormatting>
  <conditionalFormatting sqref="P32">
    <cfRule type="expression" dxfId="799" priority="1">
      <formula>$P$32&lt;&gt;""</formula>
    </cfRule>
  </conditionalFormatting>
  <conditionalFormatting sqref="P35">
    <cfRule type="expression" dxfId="798" priority="8">
      <formula>ABS(P35)&gt;=$F35</formula>
    </cfRule>
    <cfRule type="expression" dxfId="797" priority="9">
      <formula>ABS(P35)&lt;$F35</formula>
    </cfRule>
  </conditionalFormatting>
  <conditionalFormatting sqref="Q27:Q30">
    <cfRule type="expression" dxfId="796" priority="4" stopIfTrue="1">
      <formula>ABS(Q27)&gt;=$G27</formula>
    </cfRule>
    <cfRule type="expression" dxfId="795" priority="5">
      <formula>ABS(Q27)&lt;$G27</formula>
    </cfRule>
  </conditionalFormatting>
  <dataValidations disablePrompts="1" count="10">
    <dataValidation type="list" allowBlank="1" showInputMessage="1" showErrorMessage="1" sqref="G16:J16" xr:uid="{ED045C79-B6E2-464F-80A9-7B7D2BF0F367}">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73547C9E-6862-402C-9825-DE236E50FB44}">
      <formula1>INDIRECT(U47)</formula1>
    </dataValidation>
    <dataValidation type="list" allowBlank="1" showInputMessage="1" showErrorMessage="1" sqref="N53:O53" xr:uid="{1AFBCFAA-F832-4609-B345-4C83DFBCE915}">
      <formula1>LISTE_4</formula1>
    </dataValidation>
    <dataValidation type="list" allowBlank="1" showInputMessage="1" showErrorMessage="1" sqref="N42:O46 N51:O51" xr:uid="{3267B7A2-AEC1-4E8B-984D-D74D66EC82B6}">
      <formula1>INDIRECT(U42)</formula1>
    </dataValidation>
    <dataValidation type="list" allowBlank="1" showInputMessage="1" showErrorMessage="1" sqref="D40:Q40" xr:uid="{FD3DFB5D-834C-4789-8A13-BE515303745C}">
      <formula1>Q_Gravitaire</formula1>
    </dataValidation>
    <dataValidation type="list" allowBlank="1" showInputMessage="1" showErrorMessage="1" sqref="N21:Q21" xr:uid="{2C348305-B1F1-47EE-ACA4-06B2BF6AE1EC}">
      <formula1>Eq_h_controle</formula1>
    </dataValidation>
    <dataValidation type="list" allowBlank="1" showInputMessage="1" showErrorMessage="1" sqref="G18:Q18" xr:uid="{2B1CE2D6-6994-4A1C-B9A8-A429F83494D6}">
      <formula1>Méthode</formula1>
    </dataValidation>
    <dataValidation type="list" allowBlank="1" showInputMessage="1" showErrorMessage="1" sqref="N12" xr:uid="{CF3DE3CA-424B-4FB8-B44A-35C6EB9E98D1}">
      <formula1>Conformité</formula1>
    </dataValidation>
    <dataValidation type="list" allowBlank="1" showInputMessage="1" showErrorMessage="1" sqref="N11" xr:uid="{C1C95EB1-DE54-4AA2-9416-3E742FCB743D}">
      <formula1>Frequence</formula1>
    </dataValidation>
    <dataValidation type="list" allowBlank="1" showInputMessage="1" showErrorMessage="1" sqref="G15:J15" xr:uid="{2C8688F5-06F0-48EC-A4EB-FDD615A7D78F}">
      <formula1>Type_capteur</formula1>
    </dataValidation>
  </dataValidations>
  <pageMargins left="0.7" right="0.7" top="0.75" bottom="0.75" header="0.3" footer="0.3"/>
  <pageSetup paperSize="9" scale="34"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512B-1361-4CA8-BAEA-742C711A492A}">
  <sheetPr codeName="Feuil20">
    <tabColor rgb="FF8064A2"/>
    <pageSetUpPr fitToPage="1"/>
  </sheetPr>
  <dimension ref="B1:U42"/>
  <sheetViews>
    <sheetView showGridLines="0" workbookViewId="0">
      <selection activeCell="O22" sqref="O22"/>
    </sheetView>
  </sheetViews>
  <sheetFormatPr baseColWidth="10" defaultColWidth="10.703125" defaultRowHeight="20.100000000000001" customHeight="1" outlineLevelRow="1" x14ac:dyDescent="0.4"/>
  <cols>
    <col min="1" max="2" width="2.703125" style="597" customWidth="1"/>
    <col min="3" max="18" width="10.703125" style="597"/>
    <col min="19" max="20" width="2.703125" style="597" customWidth="1"/>
    <col min="21" max="21" width="10.703125" style="602"/>
    <col min="22" max="16384" width="10.703125" style="597"/>
  </cols>
  <sheetData>
    <row r="1" spans="2:19" ht="9.9499999999999993" customHeight="1" thickBot="1" x14ac:dyDescent="0.45">
      <c r="B1" s="554"/>
      <c r="C1" s="555"/>
      <c r="D1" s="555"/>
      <c r="E1" s="555"/>
      <c r="F1" s="555"/>
      <c r="G1" s="555"/>
      <c r="H1" s="555"/>
      <c r="I1" s="555"/>
      <c r="J1" s="555"/>
      <c r="K1" s="555"/>
      <c r="L1" s="555"/>
      <c r="M1" s="555"/>
      <c r="N1" s="555"/>
      <c r="O1" s="555"/>
      <c r="P1" s="555"/>
      <c r="Q1" s="555"/>
      <c r="R1" s="555"/>
      <c r="S1" s="556"/>
    </row>
    <row r="2" spans="2:19" ht="30" customHeight="1" thickTop="1" x14ac:dyDescent="0.4">
      <c r="B2" s="558"/>
      <c r="C2" s="1157" t="s">
        <v>539</v>
      </c>
      <c r="D2" s="977"/>
      <c r="E2" s="977"/>
      <c r="F2" s="977"/>
      <c r="G2" s="977"/>
      <c r="H2" s="977"/>
      <c r="I2" s="977"/>
      <c r="J2" s="977"/>
      <c r="K2" s="977"/>
      <c r="L2" s="977"/>
      <c r="M2" s="977"/>
      <c r="N2" s="977"/>
      <c r="O2" s="977"/>
      <c r="P2" s="977"/>
      <c r="Q2" s="977"/>
      <c r="R2" s="978"/>
      <c r="S2" s="559"/>
    </row>
    <row r="3" spans="2:19" ht="20.100000000000001" customHeight="1" x14ac:dyDescent="0.4">
      <c r="B3" s="779"/>
      <c r="C3" s="1261" t="s">
        <v>578</v>
      </c>
      <c r="D3" s="1262"/>
      <c r="E3" s="1263" t="str">
        <f>IF(ISBLANK(Descriptif!N3),"",Descriptif!N3)</f>
        <v>BARJAC (30)</v>
      </c>
      <c r="F3" s="1263"/>
      <c r="G3" s="1263"/>
      <c r="H3" s="1262" t="s">
        <v>540</v>
      </c>
      <c r="I3" s="1262"/>
      <c r="J3" s="1263" t="s">
        <v>708</v>
      </c>
      <c r="K3" s="1263"/>
      <c r="L3" s="1263"/>
      <c r="M3" s="1264" t="s">
        <v>486</v>
      </c>
      <c r="N3" s="1264"/>
      <c r="O3" s="1264"/>
      <c r="P3" s="1263" t="str">
        <f>IF(ISBLANK(Descriptif!T3),"",Descriptif!G6)</f>
        <v/>
      </c>
      <c r="Q3" s="1263"/>
      <c r="R3" s="1265"/>
      <c r="S3" s="780"/>
    </row>
    <row r="4" spans="2:19" ht="20.100000000000001" customHeight="1" x14ac:dyDescent="0.4">
      <c r="B4" s="779"/>
      <c r="C4" s="1261" t="s">
        <v>541</v>
      </c>
      <c r="D4" s="1262"/>
      <c r="E4" s="1263" t="str">
        <f>IF(ISBLANK(Descriptif!N4),"",Descriptif!N4)</f>
        <v>060930290002</v>
      </c>
      <c r="F4" s="1263"/>
      <c r="G4" s="1263"/>
      <c r="H4" s="1262" t="s">
        <v>542</v>
      </c>
      <c r="I4" s="1262"/>
      <c r="J4" s="1263" t="s">
        <v>708</v>
      </c>
      <c r="K4" s="1263"/>
      <c r="L4" s="1263"/>
      <c r="M4" s="1264" t="s">
        <v>543</v>
      </c>
      <c r="N4" s="1264"/>
      <c r="O4" s="1264"/>
      <c r="P4" s="1263"/>
      <c r="Q4" s="1263"/>
      <c r="R4" s="1265"/>
      <c r="S4" s="780"/>
    </row>
    <row r="5" spans="2:19" ht="20.100000000000001" customHeight="1" x14ac:dyDescent="0.4">
      <c r="B5" s="779"/>
      <c r="C5" s="1261" t="s">
        <v>544</v>
      </c>
      <c r="D5" s="1262"/>
      <c r="E5" s="1263" t="str">
        <f>IF(ISBLANK(Descriptif!G5),"",Descriptif!G5)</f>
        <v>Commune de Barjac</v>
      </c>
      <c r="F5" s="1263"/>
      <c r="G5" s="1263"/>
      <c r="H5" s="1262" t="s">
        <v>545</v>
      </c>
      <c r="I5" s="1262"/>
      <c r="J5" s="1263" t="s">
        <v>125</v>
      </c>
      <c r="K5" s="1263"/>
      <c r="L5" s="1263"/>
      <c r="M5" s="1264" t="s">
        <v>546</v>
      </c>
      <c r="N5" s="1264"/>
      <c r="O5" s="1264"/>
      <c r="P5" s="1263"/>
      <c r="Q5" s="1263"/>
      <c r="R5" s="1265"/>
      <c r="S5" s="780"/>
    </row>
    <row r="6" spans="2:19" ht="20.100000000000001" customHeight="1" thickBot="1" x14ac:dyDescent="0.45">
      <c r="B6" s="779"/>
      <c r="C6" s="1256" t="s">
        <v>547</v>
      </c>
      <c r="D6" s="1257"/>
      <c r="E6" s="1258" t="str">
        <f>IF(ISBLANK(Descriptif!T6),"",Descriptif!T6)</f>
        <v/>
      </c>
      <c r="F6" s="1258"/>
      <c r="G6" s="1258"/>
      <c r="H6" s="1257" t="s">
        <v>781</v>
      </c>
      <c r="I6" s="1257"/>
      <c r="J6" s="1258" t="s">
        <v>389</v>
      </c>
      <c r="K6" s="1258"/>
      <c r="L6" s="1258"/>
      <c r="M6" s="1259" t="s">
        <v>549</v>
      </c>
      <c r="N6" s="1259"/>
      <c r="O6" s="1259"/>
      <c r="P6" s="1258"/>
      <c r="Q6" s="1258"/>
      <c r="R6" s="1260"/>
      <c r="S6" s="780"/>
    </row>
    <row r="7" spans="2:19" ht="9.9499999999999993" customHeight="1" thickTop="1" thickBot="1" x14ac:dyDescent="0.45">
      <c r="B7" s="560"/>
      <c r="C7" s="561"/>
      <c r="D7" s="561"/>
      <c r="E7" s="561"/>
      <c r="F7" s="561"/>
      <c r="G7" s="561"/>
      <c r="H7" s="561"/>
      <c r="I7" s="561"/>
      <c r="J7" s="561"/>
      <c r="K7" s="561"/>
      <c r="L7" s="561"/>
      <c r="M7" s="561"/>
      <c r="N7" s="561"/>
      <c r="O7" s="561"/>
      <c r="P7" s="561"/>
      <c r="Q7" s="561"/>
      <c r="R7" s="561"/>
      <c r="S7" s="562"/>
    </row>
    <row r="8" spans="2:19" ht="20.100000000000001" customHeight="1" thickTop="1" thickBot="1" x14ac:dyDescent="0.45">
      <c r="B8" s="560"/>
      <c r="C8" s="1119" t="s">
        <v>581</v>
      </c>
      <c r="D8" s="1120"/>
      <c r="E8" s="1120"/>
      <c r="F8" s="1120"/>
      <c r="G8" s="1120"/>
      <c r="H8" s="1120"/>
      <c r="I8" s="1120"/>
      <c r="J8" s="1120"/>
      <c r="K8" s="1120"/>
      <c r="L8" s="1120"/>
      <c r="M8" s="1120"/>
      <c r="N8" s="1120"/>
      <c r="O8" s="1120"/>
      <c r="P8" s="1120"/>
      <c r="Q8" s="1120"/>
      <c r="R8" s="1141"/>
      <c r="S8" s="562"/>
    </row>
    <row r="9" spans="2:19" ht="20.100000000000001" customHeight="1" outlineLevel="1" thickTop="1" x14ac:dyDescent="0.4">
      <c r="B9" s="598"/>
      <c r="C9" s="599"/>
      <c r="D9" s="30"/>
      <c r="E9" s="30"/>
      <c r="F9" s="30"/>
      <c r="G9" s="30"/>
      <c r="H9" s="30"/>
      <c r="I9" s="30"/>
      <c r="J9" s="30"/>
      <c r="K9" s="30"/>
      <c r="L9" s="30"/>
      <c r="M9" s="30"/>
      <c r="N9" s="30"/>
      <c r="O9" s="30"/>
      <c r="P9" s="30"/>
      <c r="Q9" s="30"/>
      <c r="R9" s="600"/>
      <c r="S9" s="601"/>
    </row>
    <row r="10" spans="2:19" ht="20.100000000000001" customHeight="1" outlineLevel="1" x14ac:dyDescent="0.4">
      <c r="B10" s="598"/>
      <c r="C10" s="599"/>
      <c r="D10" s="1101" t="s">
        <v>582</v>
      </c>
      <c r="E10" s="1102"/>
      <c r="F10" s="1102"/>
      <c r="G10" s="1102"/>
      <c r="H10" s="1102"/>
      <c r="I10" s="1102"/>
      <c r="J10" s="1102"/>
      <c r="K10" s="1102"/>
      <c r="L10" s="1102"/>
      <c r="M10" s="1102"/>
      <c r="N10" s="1102"/>
      <c r="O10" s="1102"/>
      <c r="P10" s="1102"/>
      <c r="Q10" s="1123"/>
      <c r="R10" s="600"/>
      <c r="S10" s="601"/>
    </row>
    <row r="11" spans="2:19" ht="20.100000000000001" customHeight="1" outlineLevel="1" x14ac:dyDescent="0.4">
      <c r="B11" s="598"/>
      <c r="C11" s="599"/>
      <c r="D11" s="1242" t="s">
        <v>387</v>
      </c>
      <c r="E11" s="1243"/>
      <c r="F11" s="1244"/>
      <c r="G11" s="1253"/>
      <c r="H11" s="1254"/>
      <c r="I11" s="1254"/>
      <c r="J11" s="1255"/>
      <c r="K11" s="1242" t="s">
        <v>126</v>
      </c>
      <c r="L11" s="1243"/>
      <c r="M11" s="1244"/>
      <c r="N11" s="1344" t="s">
        <v>769</v>
      </c>
      <c r="O11" s="1345"/>
      <c r="P11" s="1345"/>
      <c r="Q11" s="1346"/>
      <c r="R11" s="794" t="s">
        <v>779</v>
      </c>
      <c r="S11" s="601"/>
    </row>
    <row r="12" spans="2:19" ht="20.100000000000001" customHeight="1" outlineLevel="1" x14ac:dyDescent="0.4">
      <c r="B12" s="598"/>
      <c r="C12" s="599"/>
      <c r="D12" s="1242" t="s">
        <v>583</v>
      </c>
      <c r="E12" s="1243"/>
      <c r="F12" s="1244"/>
      <c r="G12" s="1253"/>
      <c r="H12" s="1254"/>
      <c r="I12" s="1254"/>
      <c r="J12" s="1255"/>
      <c r="K12" s="1242" t="s">
        <v>584</v>
      </c>
      <c r="L12" s="1243"/>
      <c r="M12" s="1244"/>
      <c r="N12" s="1253" t="s">
        <v>172</v>
      </c>
      <c r="O12" s="1254"/>
      <c r="P12" s="1254"/>
      <c r="Q12" s="1255"/>
      <c r="R12" s="600"/>
      <c r="S12" s="601"/>
    </row>
    <row r="13" spans="2:19" ht="20.100000000000001" customHeight="1" outlineLevel="1" x14ac:dyDescent="0.4">
      <c r="B13" s="598"/>
      <c r="C13" s="599"/>
      <c r="D13" s="1242" t="s">
        <v>585</v>
      </c>
      <c r="E13" s="1243"/>
      <c r="F13" s="1244"/>
      <c r="G13" s="1253"/>
      <c r="H13" s="1254"/>
      <c r="I13" s="1254"/>
      <c r="J13" s="1255"/>
      <c r="K13" s="1242" t="s">
        <v>586</v>
      </c>
      <c r="L13" s="1243"/>
      <c r="M13" s="1244"/>
      <c r="N13" s="1253"/>
      <c r="O13" s="1254"/>
      <c r="P13" s="1254"/>
      <c r="Q13" s="1255"/>
      <c r="R13" s="600"/>
      <c r="S13" s="601"/>
    </row>
    <row r="14" spans="2:19" ht="20.100000000000001" customHeight="1" outlineLevel="1" x14ac:dyDescent="0.4">
      <c r="B14" s="598"/>
      <c r="C14" s="599"/>
      <c r="D14" s="30"/>
      <c r="E14" s="30"/>
      <c r="F14" s="30"/>
      <c r="G14" s="30"/>
      <c r="H14" s="30"/>
      <c r="I14" s="30"/>
      <c r="J14" s="30"/>
      <c r="K14" s="30"/>
      <c r="L14" s="30"/>
      <c r="M14" s="30"/>
      <c r="N14" s="30"/>
      <c r="O14" s="30"/>
      <c r="P14" s="30"/>
      <c r="Q14" s="30"/>
      <c r="R14" s="600"/>
      <c r="S14" s="601"/>
    </row>
    <row r="15" spans="2:19" ht="20.100000000000001" customHeight="1" outlineLevel="1" x14ac:dyDescent="0.4">
      <c r="B15" s="598"/>
      <c r="C15" s="599"/>
      <c r="D15" s="1142" t="s">
        <v>587</v>
      </c>
      <c r="E15" s="1142"/>
      <c r="F15" s="1142"/>
      <c r="G15" s="1142"/>
      <c r="H15" s="1142"/>
      <c r="I15" s="1142"/>
      <c r="J15" s="1142"/>
      <c r="K15" s="1142"/>
      <c r="L15" s="1142"/>
      <c r="M15" s="1142"/>
      <c r="N15" s="1142"/>
      <c r="O15" s="1142"/>
      <c r="P15" s="1142"/>
      <c r="Q15" s="1142"/>
      <c r="R15" s="600"/>
      <c r="S15" s="601"/>
    </row>
    <row r="16" spans="2:19" ht="20.100000000000001" customHeight="1" outlineLevel="1" x14ac:dyDescent="0.4">
      <c r="B16" s="598"/>
      <c r="C16" s="599"/>
      <c r="D16" s="1242" t="s">
        <v>387</v>
      </c>
      <c r="E16" s="1243"/>
      <c r="F16" s="1244"/>
      <c r="G16" s="1253"/>
      <c r="H16" s="1254"/>
      <c r="I16" s="1254"/>
      <c r="J16" s="1255"/>
      <c r="K16" s="1242" t="s">
        <v>585</v>
      </c>
      <c r="L16" s="1243"/>
      <c r="M16" s="1244"/>
      <c r="N16" s="1253"/>
      <c r="O16" s="1254"/>
      <c r="P16" s="1254"/>
      <c r="Q16" s="1255"/>
      <c r="R16" s="600"/>
      <c r="S16" s="601"/>
    </row>
    <row r="17" spans="2:21" ht="20.100000000000001" customHeight="1" outlineLevel="1" x14ac:dyDescent="0.4">
      <c r="B17" s="598"/>
      <c r="C17" s="599"/>
      <c r="D17" s="1242" t="s">
        <v>583</v>
      </c>
      <c r="E17" s="1243"/>
      <c r="F17" s="1244"/>
      <c r="G17" s="1253"/>
      <c r="H17" s="1254"/>
      <c r="I17" s="1254"/>
      <c r="J17" s="1255"/>
      <c r="K17" s="30"/>
      <c r="L17" s="30"/>
      <c r="M17" s="30"/>
      <c r="N17" s="30"/>
      <c r="O17" s="30"/>
      <c r="P17" s="30"/>
      <c r="Q17" s="30"/>
      <c r="R17" s="600"/>
      <c r="S17" s="601"/>
    </row>
    <row r="18" spans="2:21" ht="20.100000000000001" customHeight="1" outlineLevel="1" x14ac:dyDescent="0.4">
      <c r="B18" s="598"/>
      <c r="C18" s="599"/>
      <c r="D18" s="30"/>
      <c r="E18" s="30"/>
      <c r="F18" s="30"/>
      <c r="G18" s="30"/>
      <c r="H18" s="30"/>
      <c r="I18" s="30"/>
      <c r="J18" s="30"/>
      <c r="K18" s="30"/>
      <c r="L18" s="30"/>
      <c r="M18" s="30"/>
      <c r="N18" s="30"/>
      <c r="O18" s="30"/>
      <c r="P18" s="30"/>
      <c r="Q18" s="30"/>
      <c r="R18" s="600"/>
      <c r="S18" s="601"/>
    </row>
    <row r="19" spans="2:21" ht="20.100000000000001" customHeight="1" outlineLevel="1" x14ac:dyDescent="0.4">
      <c r="B19" s="598"/>
      <c r="C19" s="599"/>
      <c r="D19" s="1101" t="s">
        <v>765</v>
      </c>
      <c r="E19" s="1102"/>
      <c r="F19" s="1102"/>
      <c r="G19" s="1102"/>
      <c r="H19" s="1102"/>
      <c r="I19" s="1102"/>
      <c r="J19" s="1102"/>
      <c r="K19" s="1102"/>
      <c r="L19" s="1102"/>
      <c r="M19" s="1123"/>
      <c r="N19" s="754"/>
      <c r="O19" s="754"/>
      <c r="P19" s="754"/>
      <c r="Q19" s="754"/>
      <c r="R19" s="600"/>
      <c r="S19" s="601"/>
    </row>
    <row r="20" spans="2:21" s="786" customFormat="1" ht="30" customHeight="1" outlineLevel="1" x14ac:dyDescent="0.4">
      <c r="B20" s="781"/>
      <c r="C20" s="782"/>
      <c r="D20" s="1347" t="s">
        <v>766</v>
      </c>
      <c r="E20" s="1347"/>
      <c r="F20" s="1347" t="s">
        <v>700</v>
      </c>
      <c r="G20" s="1347"/>
      <c r="H20" s="1348" t="s">
        <v>702</v>
      </c>
      <c r="I20" s="1348"/>
      <c r="J20" s="1348" t="s">
        <v>703</v>
      </c>
      <c r="K20" s="1348"/>
      <c r="L20" s="1349" t="s">
        <v>767</v>
      </c>
      <c r="M20" s="1349"/>
      <c r="N20" s="783"/>
      <c r="O20" s="783"/>
      <c r="P20" s="783"/>
      <c r="Q20" s="783"/>
      <c r="R20" s="784"/>
      <c r="S20" s="785"/>
      <c r="U20" s="787"/>
    </row>
    <row r="21" spans="2:21" ht="20.100000000000001" customHeight="1" outlineLevel="1" x14ac:dyDescent="0.4">
      <c r="B21" s="598"/>
      <c r="C21" s="599"/>
      <c r="D21" s="1350" t="s">
        <v>770</v>
      </c>
      <c r="E21" s="1351"/>
      <c r="F21" s="1350">
        <v>18</v>
      </c>
      <c r="G21" s="1351"/>
      <c r="H21" s="1350">
        <v>15</v>
      </c>
      <c r="I21" s="1351"/>
      <c r="J21" s="1350">
        <v>16</v>
      </c>
      <c r="K21" s="1351"/>
      <c r="L21" s="1352">
        <f>IF(H21&gt;0,H21-J21,"-")</f>
        <v>-1</v>
      </c>
      <c r="M21" s="1353"/>
      <c r="N21" s="30"/>
      <c r="O21" s="30"/>
      <c r="P21" s="30"/>
      <c r="Q21" s="30"/>
      <c r="R21" s="600"/>
      <c r="S21" s="601"/>
    </row>
    <row r="22" spans="2:21" ht="20.100000000000001" customHeight="1" outlineLevel="1" thickBot="1" x14ac:dyDescent="0.45">
      <c r="B22" s="598"/>
      <c r="C22" s="603"/>
      <c r="D22" s="604"/>
      <c r="E22" s="795" t="s">
        <v>779</v>
      </c>
      <c r="F22" s="604"/>
      <c r="G22" s="604"/>
      <c r="H22" s="604"/>
      <c r="I22" s="604"/>
      <c r="J22" s="604"/>
      <c r="K22" s="604"/>
      <c r="L22" s="604"/>
      <c r="M22" s="604"/>
      <c r="N22" s="604"/>
      <c r="O22" s="604"/>
      <c r="P22" s="604"/>
      <c r="Q22" s="604"/>
      <c r="R22" s="605"/>
      <c r="S22" s="601"/>
    </row>
    <row r="23" spans="2:21" ht="9.9499999999999993" customHeight="1" thickTop="1" thickBot="1" x14ac:dyDescent="0.45">
      <c r="B23" s="598"/>
      <c r="C23" s="30"/>
      <c r="D23" s="30"/>
      <c r="E23" s="30"/>
      <c r="F23" s="30"/>
      <c r="G23" s="30"/>
      <c r="H23" s="30"/>
      <c r="I23" s="30"/>
      <c r="J23" s="30"/>
      <c r="K23" s="30"/>
      <c r="L23" s="30"/>
      <c r="M23" s="30"/>
      <c r="N23" s="30"/>
      <c r="O23" s="30"/>
      <c r="P23" s="30"/>
      <c r="Q23" s="30"/>
      <c r="R23" s="30"/>
      <c r="S23" s="601"/>
    </row>
    <row r="24" spans="2:21" ht="20.100000000000001" customHeight="1" thickTop="1" thickBot="1" x14ac:dyDescent="0.45">
      <c r="B24" s="598"/>
      <c r="C24" s="1119" t="s">
        <v>575</v>
      </c>
      <c r="D24" s="1120"/>
      <c r="E24" s="1120"/>
      <c r="F24" s="1120"/>
      <c r="G24" s="1120"/>
      <c r="H24" s="1120"/>
      <c r="I24" s="1120"/>
      <c r="J24" s="1120"/>
      <c r="K24" s="1120"/>
      <c r="L24" s="1120"/>
      <c r="M24" s="1120"/>
      <c r="N24" s="1120"/>
      <c r="O24" s="1120"/>
      <c r="P24" s="1120"/>
      <c r="Q24" s="1120"/>
      <c r="R24" s="1141"/>
      <c r="S24" s="601"/>
    </row>
    <row r="25" spans="2:21" ht="20.100000000000001" customHeight="1" outlineLevel="1" thickTop="1" x14ac:dyDescent="0.4">
      <c r="B25" s="598"/>
      <c r="C25" s="599"/>
      <c r="D25" s="30"/>
      <c r="E25" s="30"/>
      <c r="F25" s="30"/>
      <c r="G25" s="30"/>
      <c r="H25" s="30"/>
      <c r="I25" s="30"/>
      <c r="J25" s="30"/>
      <c r="K25" s="30"/>
      <c r="L25" s="30"/>
      <c r="M25" s="30"/>
      <c r="N25" s="30"/>
      <c r="O25" s="30"/>
      <c r="P25" s="30"/>
      <c r="Q25" s="30"/>
      <c r="R25" s="600"/>
      <c r="S25" s="601"/>
    </row>
    <row r="26" spans="2:21" ht="30" customHeight="1" outlineLevel="1" x14ac:dyDescent="0.4">
      <c r="B26" s="598"/>
      <c r="C26" s="588"/>
      <c r="D26" s="1229" t="s">
        <v>390</v>
      </c>
      <c r="E26" s="1229"/>
      <c r="F26" s="1229"/>
      <c r="G26" s="1229"/>
      <c r="H26" s="1229"/>
      <c r="I26" s="1229"/>
      <c r="J26" s="1229"/>
      <c r="K26" s="1229"/>
      <c r="L26" s="1229"/>
      <c r="M26" s="1229"/>
      <c r="N26" s="1229"/>
      <c r="O26" s="1229"/>
      <c r="P26" s="1229"/>
      <c r="Q26" s="1229"/>
      <c r="R26" s="589"/>
      <c r="S26" s="601"/>
    </row>
    <row r="27" spans="2:21" ht="20.100000000000001" customHeight="1" outlineLevel="1" x14ac:dyDescent="0.4">
      <c r="B27" s="598"/>
      <c r="C27" s="588"/>
      <c r="D27" s="1354" t="s">
        <v>407</v>
      </c>
      <c r="E27" s="1355"/>
      <c r="F27" s="1355"/>
      <c r="G27" s="1355"/>
      <c r="H27" s="1355"/>
      <c r="I27" s="1356"/>
      <c r="J27" s="1354" t="s">
        <v>377</v>
      </c>
      <c r="K27" s="1355"/>
      <c r="L27" s="1355"/>
      <c r="M27" s="1356"/>
      <c r="N27" s="1357" t="s">
        <v>242</v>
      </c>
      <c r="O27" s="1357"/>
      <c r="P27" s="747" t="s">
        <v>409</v>
      </c>
      <c r="Q27" s="747" t="s">
        <v>576</v>
      </c>
      <c r="R27" s="589"/>
      <c r="S27" s="601"/>
      <c r="U27" s="602" t="s">
        <v>61</v>
      </c>
    </row>
    <row r="28" spans="2:21" ht="99.95" customHeight="1" outlineLevel="1" x14ac:dyDescent="0.4">
      <c r="B28" s="598"/>
      <c r="C28" s="588"/>
      <c r="D28" s="606">
        <v>1</v>
      </c>
      <c r="E28" s="1222" t="str">
        <f>IFERROR(HLOOKUP($D$26,Critères!$B$3:$BM$16,D28+2,FALSE),"")</f>
        <v>L'accès à l'ouvrage et aux équipements de mesure se fait-il en toute sécurité pour les agents en charge des opérations de contrôles et d'entretien ?</v>
      </c>
      <c r="F28" s="1223"/>
      <c r="G28" s="1223"/>
      <c r="H28" s="1223"/>
      <c r="I28" s="1223"/>
      <c r="J28" s="1222" t="str">
        <f>IFERROR(INDEX(Critères!$B$3:$BM$16, D28+2, MATCH($D$26, Critères!$B$3:$BM$3, 0) + 1),"")</f>
        <v>En cas d'accès nécessitant des équipements de protection individuels renforcés (ARI par exemple) ou d'intervenir à 2 personnes, retenir "Validé avec réserve"</v>
      </c>
      <c r="K28" s="1223"/>
      <c r="L28" s="1223"/>
      <c r="M28" s="1224"/>
      <c r="N28" s="1064" t="s">
        <v>167</v>
      </c>
      <c r="O28" s="1063"/>
      <c r="P28" s="742">
        <f>IF(OR(N28="Validé",N28="Validé avec réserve"),Q28,0)</f>
        <v>10</v>
      </c>
      <c r="Q28" s="742">
        <f>IFERROR(INDEX(Critères!$B$3:$BM$16, D28+2, MATCH($D$26, Critères!$B$3:$BM$3, 0) + 2),"")</f>
        <v>10</v>
      </c>
      <c r="R28" s="589"/>
      <c r="S28" s="601"/>
      <c r="U28" s="602" t="s">
        <v>159</v>
      </c>
    </row>
    <row r="29" spans="2:21" ht="99.95" customHeight="1" outlineLevel="1" x14ac:dyDescent="0.4">
      <c r="B29" s="598"/>
      <c r="C29" s="588"/>
      <c r="D29" s="606">
        <v>2</v>
      </c>
      <c r="E29" s="1222" t="str">
        <f>IFERROR(HLOOKUP($D$26,Critères!$B$3:$BM$16,D29+2,FALSE),"")</f>
        <v>La sonde est-elle installée conformément aux règles de l'art et/ou aux prescriptions des constructeurs ?</v>
      </c>
      <c r="F29" s="1223"/>
      <c r="G29" s="1223"/>
      <c r="H29" s="1223"/>
      <c r="I29" s="1223"/>
      <c r="J29" s="1222" t="str">
        <f>IFERROR(INDEX(Critères!$B$3:$BM$16, D29+2, MATCH($D$26, Critères!$B$3:$BM$3, 0) + 1),"")</f>
        <v>Dans le canal de rejet, au centre de l'écoulement, à 2/3 de la profondeur et façon à être toujours immergé et à l'ombre.</v>
      </c>
      <c r="K29" s="1223"/>
      <c r="L29" s="1223"/>
      <c r="M29" s="1224"/>
      <c r="N29" s="1064" t="s">
        <v>167</v>
      </c>
      <c r="O29" s="1063"/>
      <c r="P29" s="742">
        <f>IF(OR(N29="Validé",N29="Validé avec réserve"),Q29,0)</f>
        <v>30</v>
      </c>
      <c r="Q29" s="742">
        <f>IFERROR(INDEX(Critères!$B$3:$BM$16, D29+2, MATCH($D$26, Critères!$B$3:$BM$3, 0) + 2),"")</f>
        <v>30</v>
      </c>
      <c r="R29" s="589"/>
      <c r="S29" s="601"/>
      <c r="U29" s="602" t="s">
        <v>159</v>
      </c>
    </row>
    <row r="30" spans="2:21" ht="99.95" customHeight="1" outlineLevel="1" x14ac:dyDescent="0.4">
      <c r="B30" s="598"/>
      <c r="C30" s="588"/>
      <c r="D30" s="606">
        <v>3</v>
      </c>
      <c r="E30" s="1222" t="str">
        <f>IFERROR(HLOOKUP($D$26,Critères!$B$3:$BM$16,D30+2,FALSE),"")</f>
        <v>La propreté et l'état d'entretien de la sonde, sont-ils satisfaisants ?</v>
      </c>
      <c r="F30" s="1223"/>
      <c r="G30" s="1223"/>
      <c r="H30" s="1223"/>
      <c r="I30" s="1223"/>
      <c r="J30" s="1222" t="str">
        <f>IFERROR(INDEX(Critères!$B$3:$BM$16, D30+2, MATCH($D$26,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1223"/>
      <c r="L30" s="1223"/>
      <c r="M30" s="1224"/>
      <c r="N30" s="1064" t="s">
        <v>167</v>
      </c>
      <c r="O30" s="1063"/>
      <c r="P30" s="742">
        <f t="shared" ref="P30:P31" si="0">IF(OR(N30="Validé",N30="Validé avec réserve"),Q30,0)</f>
        <v>30</v>
      </c>
      <c r="Q30" s="742">
        <f>IFERROR(INDEX(Critères!$B$3:$BM$16, D30+2, MATCH($D$26, Critères!$B$3:$BM$3, 0) + 2),"")</f>
        <v>30</v>
      </c>
      <c r="R30" s="589"/>
      <c r="S30" s="601"/>
      <c r="U30" s="602" t="s">
        <v>159</v>
      </c>
    </row>
    <row r="31" spans="2:21" ht="99.95" customHeight="1" outlineLevel="1" x14ac:dyDescent="0.4">
      <c r="B31" s="598"/>
      <c r="C31" s="588"/>
      <c r="D31" s="606">
        <v>4</v>
      </c>
      <c r="E31" s="1222" t="str">
        <f>IFERROR(HLOOKUP($D$26,Critères!$B$3:$BM$16,D31+2,FALSE),"")</f>
        <v>L'écart entre d'une part la mesure de la température réalisée à partir du dispositif en place et celle réalisée par l'organisme de contrôle d'autre part, est-il cohérent (EMT ± 1°C) ?</v>
      </c>
      <c r="F31" s="1223"/>
      <c r="G31" s="1223"/>
      <c r="H31" s="1223"/>
      <c r="I31" s="1223"/>
      <c r="J31" s="1222">
        <f>IFERROR(INDEX(Critères!$B$3:$BM$16, D31+2, MATCH($D$26, Critères!$B$3:$BM$3, 0) + 1),"")</f>
        <v>0</v>
      </c>
      <c r="K31" s="1223"/>
      <c r="L31" s="1223"/>
      <c r="M31" s="1224"/>
      <c r="N31" s="1358" t="str">
        <f>IF(L21&lt;&gt;"-",IF(ABS(L21)&gt;=1,"Validé","Non validé"),"Non contrôlé")</f>
        <v>Validé</v>
      </c>
      <c r="O31" s="1359"/>
      <c r="P31" s="742">
        <f t="shared" si="0"/>
        <v>30</v>
      </c>
      <c r="Q31" s="742">
        <f>IFERROR(INDEX(Critères!$B$3:$BM$16, D31+2, MATCH($D$26, Critères!$B$3:$BM$3, 0) + 2),"")</f>
        <v>30</v>
      </c>
      <c r="R31" s="791" t="s">
        <v>779</v>
      </c>
      <c r="S31" s="601"/>
      <c r="U31" s="602" t="s">
        <v>159</v>
      </c>
    </row>
    <row r="32" spans="2:21" ht="20.100000000000001" customHeight="1" outlineLevel="1" x14ac:dyDescent="0.4">
      <c r="B32" s="598"/>
      <c r="C32" s="588"/>
      <c r="D32" s="1360" t="s">
        <v>75</v>
      </c>
      <c r="E32" s="1360"/>
      <c r="F32" s="1360"/>
      <c r="G32" s="1360"/>
      <c r="H32" s="1360"/>
      <c r="I32" s="1360"/>
      <c r="J32" s="1360"/>
      <c r="K32" s="1360"/>
      <c r="L32" s="1360"/>
      <c r="M32" s="1360"/>
      <c r="N32" s="1218" t="s">
        <v>413</v>
      </c>
      <c r="O32" s="1218"/>
      <c r="P32" s="1218" t="s">
        <v>64</v>
      </c>
      <c r="Q32" s="1218"/>
      <c r="R32" s="589"/>
      <c r="S32" s="601"/>
    </row>
    <row r="33" spans="2:19" ht="99.95" customHeight="1" outlineLevel="1" x14ac:dyDescent="0.4">
      <c r="B33" s="598"/>
      <c r="C33" s="588"/>
      <c r="D33" s="1361"/>
      <c r="E33" s="1361"/>
      <c r="F33" s="1361"/>
      <c r="G33" s="1361"/>
      <c r="H33" s="1361"/>
      <c r="I33" s="1361"/>
      <c r="J33" s="1361"/>
      <c r="K33" s="1361"/>
      <c r="L33" s="1361"/>
      <c r="M33" s="1361"/>
      <c r="N33" s="994" t="s">
        <v>176</v>
      </c>
      <c r="O33" s="994"/>
      <c r="P33" s="1362">
        <f>IF(SUM(P28:P31)&gt;100,100,SUM(P28:P31))</f>
        <v>100</v>
      </c>
      <c r="Q33" s="1362"/>
      <c r="R33" s="589"/>
      <c r="S33" s="601"/>
    </row>
    <row r="34" spans="2:19" ht="20.100000000000001" customHeight="1" outlineLevel="1" thickBot="1" x14ac:dyDescent="0.45">
      <c r="B34" s="598"/>
      <c r="C34" s="591"/>
      <c r="D34" s="592"/>
      <c r="E34" s="592"/>
      <c r="F34" s="592"/>
      <c r="G34" s="592"/>
      <c r="H34" s="592"/>
      <c r="I34" s="592"/>
      <c r="J34" s="592"/>
      <c r="K34" s="592"/>
      <c r="L34" s="592"/>
      <c r="M34" s="592"/>
      <c r="N34" s="592"/>
      <c r="O34" s="592"/>
      <c r="P34" s="592"/>
      <c r="Q34" s="592"/>
      <c r="R34" s="593"/>
      <c r="S34" s="601"/>
    </row>
    <row r="35" spans="2:19" ht="9.9499999999999993" customHeight="1" thickTop="1" thickBot="1" x14ac:dyDescent="0.45">
      <c r="B35" s="598"/>
      <c r="C35" s="587"/>
      <c r="D35" s="587"/>
      <c r="E35" s="587"/>
      <c r="F35" s="587"/>
      <c r="G35" s="587"/>
      <c r="H35" s="587"/>
      <c r="I35" s="587"/>
      <c r="J35" s="587"/>
      <c r="K35" s="587"/>
      <c r="L35" s="587"/>
      <c r="M35" s="587"/>
      <c r="N35" s="587"/>
      <c r="O35" s="587"/>
      <c r="P35" s="587"/>
      <c r="Q35" s="587"/>
      <c r="R35" s="587"/>
      <c r="S35" s="601"/>
    </row>
    <row r="36" spans="2:19" ht="20.100000000000001" customHeight="1" thickTop="1" thickBot="1" x14ac:dyDescent="0.45">
      <c r="B36" s="598"/>
      <c r="C36" s="1119" t="s">
        <v>256</v>
      </c>
      <c r="D36" s="1120"/>
      <c r="E36" s="1120"/>
      <c r="F36" s="1120"/>
      <c r="G36" s="1120"/>
      <c r="H36" s="1120"/>
      <c r="I36" s="1120"/>
      <c r="J36" s="1120"/>
      <c r="K36" s="1120"/>
      <c r="L36" s="1120"/>
      <c r="M36" s="1120"/>
      <c r="N36" s="1120"/>
      <c r="O36" s="1120"/>
      <c r="P36" s="1120"/>
      <c r="Q36" s="1120"/>
      <c r="R36" s="1141"/>
      <c r="S36" s="601"/>
    </row>
    <row r="37" spans="2:19" ht="20.100000000000001" customHeight="1" thickTop="1" x14ac:dyDescent="0.4">
      <c r="B37" s="598"/>
      <c r="C37" s="1208"/>
      <c r="D37" s="1209"/>
      <c r="E37" s="1209"/>
      <c r="F37" s="1209"/>
      <c r="G37" s="1209"/>
      <c r="H37" s="1209"/>
      <c r="I37" s="1209"/>
      <c r="J37" s="1209"/>
      <c r="K37" s="1209"/>
      <c r="L37" s="1209"/>
      <c r="M37" s="1209"/>
      <c r="N37" s="1209"/>
      <c r="O37" s="1209"/>
      <c r="P37" s="1209"/>
      <c r="Q37" s="1209"/>
      <c r="R37" s="1210"/>
      <c r="S37" s="601"/>
    </row>
    <row r="38" spans="2:19" ht="20.100000000000001" customHeight="1" x14ac:dyDescent="0.4">
      <c r="B38" s="598"/>
      <c r="C38" s="1211"/>
      <c r="D38" s="1209"/>
      <c r="E38" s="1209"/>
      <c r="F38" s="1209"/>
      <c r="G38" s="1209"/>
      <c r="H38" s="1209"/>
      <c r="I38" s="1209"/>
      <c r="J38" s="1209"/>
      <c r="K38" s="1209"/>
      <c r="L38" s="1209"/>
      <c r="M38" s="1209"/>
      <c r="N38" s="1209"/>
      <c r="O38" s="1209"/>
      <c r="P38" s="1209"/>
      <c r="Q38" s="1209"/>
      <c r="R38" s="1210"/>
      <c r="S38" s="601"/>
    </row>
    <row r="39" spans="2:19" ht="20.100000000000001" customHeight="1" x14ac:dyDescent="0.4">
      <c r="B39" s="598"/>
      <c r="C39" s="1211"/>
      <c r="D39" s="1209"/>
      <c r="E39" s="1209"/>
      <c r="F39" s="1209"/>
      <c r="G39" s="1209"/>
      <c r="H39" s="1209"/>
      <c r="I39" s="1209"/>
      <c r="J39" s="1209"/>
      <c r="K39" s="1209"/>
      <c r="L39" s="1209"/>
      <c r="M39" s="1209"/>
      <c r="N39" s="1209"/>
      <c r="O39" s="1209"/>
      <c r="P39" s="1209"/>
      <c r="Q39" s="1209"/>
      <c r="R39" s="1210"/>
      <c r="S39" s="601"/>
    </row>
    <row r="40" spans="2:19" ht="20.100000000000001" customHeight="1" x14ac:dyDescent="0.4">
      <c r="B40" s="598"/>
      <c r="C40" s="1211"/>
      <c r="D40" s="1209"/>
      <c r="E40" s="1209"/>
      <c r="F40" s="1209"/>
      <c r="G40" s="1209"/>
      <c r="H40" s="1209"/>
      <c r="I40" s="1209"/>
      <c r="J40" s="1209"/>
      <c r="K40" s="1209"/>
      <c r="L40" s="1209"/>
      <c r="M40" s="1209"/>
      <c r="N40" s="1209"/>
      <c r="O40" s="1209"/>
      <c r="P40" s="1209"/>
      <c r="Q40" s="1209"/>
      <c r="R40" s="1210"/>
      <c r="S40" s="601"/>
    </row>
    <row r="41" spans="2:19" ht="20.100000000000001" customHeight="1" thickBot="1" x14ac:dyDescent="0.45">
      <c r="B41" s="598"/>
      <c r="C41" s="1212"/>
      <c r="D41" s="1213"/>
      <c r="E41" s="1213"/>
      <c r="F41" s="1213"/>
      <c r="G41" s="1213"/>
      <c r="H41" s="1213"/>
      <c r="I41" s="1213"/>
      <c r="J41" s="1213"/>
      <c r="K41" s="1213"/>
      <c r="L41" s="1213"/>
      <c r="M41" s="1213"/>
      <c r="N41" s="1213"/>
      <c r="O41" s="1213"/>
      <c r="P41" s="1213"/>
      <c r="Q41" s="1213"/>
      <c r="R41" s="1214"/>
      <c r="S41" s="601"/>
    </row>
    <row r="42" spans="2:19" ht="9.9499999999999993" customHeight="1" thickTop="1" x14ac:dyDescent="0.4">
      <c r="B42" s="607"/>
      <c r="C42" s="608"/>
      <c r="D42" s="608"/>
      <c r="E42" s="608"/>
      <c r="F42" s="608"/>
      <c r="G42" s="608"/>
      <c r="H42" s="608"/>
      <c r="I42" s="608"/>
      <c r="J42" s="608"/>
      <c r="K42" s="608"/>
      <c r="L42" s="608"/>
      <c r="M42" s="608"/>
      <c r="N42" s="608"/>
      <c r="O42" s="608"/>
      <c r="P42" s="608"/>
      <c r="Q42" s="608"/>
      <c r="R42" s="608"/>
      <c r="S42" s="609"/>
    </row>
  </sheetData>
  <mergeCells count="82">
    <mergeCell ref="D33:M33"/>
    <mergeCell ref="N33:O33"/>
    <mergeCell ref="P33:Q33"/>
    <mergeCell ref="C36:R36"/>
    <mergeCell ref="C37:R41"/>
    <mergeCell ref="P32:Q32"/>
    <mergeCell ref="E29:I29"/>
    <mergeCell ref="J29:M29"/>
    <mergeCell ref="N29:O29"/>
    <mergeCell ref="E30:I30"/>
    <mergeCell ref="J30:M30"/>
    <mergeCell ref="N30:O30"/>
    <mergeCell ref="E31:I31"/>
    <mergeCell ref="J31:M31"/>
    <mergeCell ref="N31:O31"/>
    <mergeCell ref="D32:M32"/>
    <mergeCell ref="N32:O32"/>
    <mergeCell ref="D26:Q26"/>
    <mergeCell ref="D27:I27"/>
    <mergeCell ref="J27:M27"/>
    <mergeCell ref="N27:O27"/>
    <mergeCell ref="E28:I28"/>
    <mergeCell ref="J28:M28"/>
    <mergeCell ref="N28:O28"/>
    <mergeCell ref="C24:R24"/>
    <mergeCell ref="D19:M19"/>
    <mergeCell ref="D20:E20"/>
    <mergeCell ref="F20:G20"/>
    <mergeCell ref="H20:I20"/>
    <mergeCell ref="J20:K20"/>
    <mergeCell ref="L20:M20"/>
    <mergeCell ref="D21:E21"/>
    <mergeCell ref="F21:G21"/>
    <mergeCell ref="H21:I21"/>
    <mergeCell ref="J21:K21"/>
    <mergeCell ref="L21:M21"/>
    <mergeCell ref="D17:F17"/>
    <mergeCell ref="G17:J17"/>
    <mergeCell ref="D12:F12"/>
    <mergeCell ref="G12:J12"/>
    <mergeCell ref="K12:M12"/>
    <mergeCell ref="D15:Q15"/>
    <mergeCell ref="D16:F16"/>
    <mergeCell ref="G16:J16"/>
    <mergeCell ref="K16:M16"/>
    <mergeCell ref="N16:Q16"/>
    <mergeCell ref="N12:Q12"/>
    <mergeCell ref="D13:F13"/>
    <mergeCell ref="G13:J13"/>
    <mergeCell ref="K13:M13"/>
    <mergeCell ref="N13:Q13"/>
    <mergeCell ref="C8:R8"/>
    <mergeCell ref="D10:Q10"/>
    <mergeCell ref="D11:F11"/>
    <mergeCell ref="G11:J11"/>
    <mergeCell ref="K11:M11"/>
    <mergeCell ref="N11:Q11"/>
    <mergeCell ref="P6:R6"/>
    <mergeCell ref="C5:D5"/>
    <mergeCell ref="E5:G5"/>
    <mergeCell ref="H5:I5"/>
    <mergeCell ref="J5:L5"/>
    <mergeCell ref="M5:O5"/>
    <mergeCell ref="P5:R5"/>
    <mergeCell ref="C6:D6"/>
    <mergeCell ref="E6:G6"/>
    <mergeCell ref="H6:I6"/>
    <mergeCell ref="J6:L6"/>
    <mergeCell ref="M6:O6"/>
    <mergeCell ref="P4:R4"/>
    <mergeCell ref="C2:R2"/>
    <mergeCell ref="C3:D3"/>
    <mergeCell ref="E3:G3"/>
    <mergeCell ref="H3:I3"/>
    <mergeCell ref="J3:L3"/>
    <mergeCell ref="M3:O3"/>
    <mergeCell ref="P3:R3"/>
    <mergeCell ref="C4:D4"/>
    <mergeCell ref="E4:G4"/>
    <mergeCell ref="H4:I4"/>
    <mergeCell ref="J4:L4"/>
    <mergeCell ref="M4:O4"/>
  </mergeCells>
  <conditionalFormatting sqref="L21:M21">
    <cfRule type="expression" dxfId="794" priority="1">
      <formula>AND($L$21&lt;&gt;"-",AND($L$21&gt;=-1,$L$21&lt;=1))</formula>
    </cfRule>
    <cfRule type="expression" dxfId="793" priority="2">
      <formula>AND($L$21&lt;&gt;"-",OR($L$21&lt;-1,$L$21&gt;1))</formula>
    </cfRule>
  </conditionalFormatting>
  <dataValidations count="4">
    <dataValidation type="list" allowBlank="1" showInputMessage="1" showErrorMessage="1" sqref="N33:O33" xr:uid="{112A7FC9-A434-478B-B8BB-EC831817C3B3}">
      <formula1>LISTE_4</formula1>
    </dataValidation>
    <dataValidation type="list" allowBlank="1" showInputMessage="1" showErrorMessage="1" sqref="N28:O31" xr:uid="{897B9DBF-34BC-4754-B4BA-D120857B6DDA}">
      <formula1>INDIRECT(U28)</formula1>
    </dataValidation>
    <dataValidation type="list" allowBlank="1" showInputMessage="1" showErrorMessage="1" sqref="N12:Q12" xr:uid="{74966616-17AE-4A8B-BD3B-5F07EF163BDD}">
      <formula1>LISTE_1</formula1>
    </dataValidation>
    <dataValidation type="list" allowBlank="1" showInputMessage="1" showErrorMessage="1" sqref="D21:E21" xr:uid="{578430A1-8541-4DD5-82A8-80E3D3B31D66}">
      <formula1>TypeDeMesure</formula1>
    </dataValidation>
  </dataValidations>
  <pageMargins left="0.7" right="0.7" top="0.75" bottom="0.75" header="0.3" footer="0.3"/>
  <pageSetup paperSize="9" scale="50"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0EC0-9A08-4188-89FF-8475C4AAC123}">
  <sheetPr codeName="Feuil21">
    <tabColor rgb="FF00B0AC"/>
    <pageSetUpPr fitToPage="1"/>
  </sheetPr>
  <dimension ref="B1:X54"/>
  <sheetViews>
    <sheetView showGridLines="0" topLeftCell="B1" zoomScale="85" zoomScaleNormal="85" workbookViewId="0">
      <pane ySplit="7" topLeftCell="A38" activePane="bottomLeft" state="frozen"/>
      <selection pane="bottomLeft" activeCell="H7" sqref="H7"/>
    </sheetView>
  </sheetViews>
  <sheetFormatPr baseColWidth="10" defaultColWidth="10.703125" defaultRowHeight="12.7" outlineLevelRow="1" x14ac:dyDescent="0.4"/>
  <cols>
    <col min="1" max="2" width="2.703125" style="557" customWidth="1"/>
    <col min="3" max="18" width="10.703125" style="557"/>
    <col min="19" max="20" width="2.703125" style="557" customWidth="1"/>
    <col min="21" max="21" width="10.703125" style="565"/>
    <col min="22" max="16384" width="10.703125" style="557"/>
  </cols>
  <sheetData>
    <row r="1" spans="2:19" ht="9.9499999999999993" customHeight="1" thickBot="1" x14ac:dyDescent="0.45">
      <c r="B1" s="554"/>
      <c r="C1" s="555"/>
      <c r="D1" s="555"/>
      <c r="E1" s="555"/>
      <c r="F1" s="555"/>
      <c r="G1" s="555"/>
      <c r="H1" s="555"/>
      <c r="I1" s="555"/>
      <c r="J1" s="555"/>
      <c r="K1" s="555"/>
      <c r="L1" s="555"/>
      <c r="M1" s="555"/>
      <c r="N1" s="555"/>
      <c r="O1" s="555"/>
      <c r="P1" s="555"/>
      <c r="Q1" s="555"/>
      <c r="R1" s="555"/>
      <c r="S1" s="556"/>
    </row>
    <row r="2" spans="2:19" ht="30" customHeight="1" thickTop="1" x14ac:dyDescent="0.4">
      <c r="B2" s="558"/>
      <c r="C2" s="1277" t="s">
        <v>539</v>
      </c>
      <c r="D2" s="1278"/>
      <c r="E2" s="1278"/>
      <c r="F2" s="1278"/>
      <c r="G2" s="1278"/>
      <c r="H2" s="1278"/>
      <c r="I2" s="1278"/>
      <c r="J2" s="1278"/>
      <c r="K2" s="1278"/>
      <c r="L2" s="1278"/>
      <c r="M2" s="1278"/>
      <c r="N2" s="1278"/>
      <c r="O2" s="1278"/>
      <c r="P2" s="1278"/>
      <c r="Q2" s="1278"/>
      <c r="R2" s="1279"/>
      <c r="S2" s="559"/>
    </row>
    <row r="3" spans="2:19" ht="20.100000000000001" customHeight="1" x14ac:dyDescent="0.4">
      <c r="B3" s="751"/>
      <c r="C3" s="1261" t="s">
        <v>578</v>
      </c>
      <c r="D3" s="1262"/>
      <c r="E3" s="1263" t="str">
        <f>IF(ISBLANK(Descriptif!N3),"",Descriptif!N3)</f>
        <v>BARJAC (30)</v>
      </c>
      <c r="F3" s="1263"/>
      <c r="G3" s="1263"/>
      <c r="H3" s="1262" t="s">
        <v>540</v>
      </c>
      <c r="I3" s="1262"/>
      <c r="J3" s="1263" t="s">
        <v>711</v>
      </c>
      <c r="K3" s="1263"/>
      <c r="L3" s="1263"/>
      <c r="M3" s="1264" t="s">
        <v>486</v>
      </c>
      <c r="N3" s="1264"/>
      <c r="O3" s="1264"/>
      <c r="P3" s="1263" t="str">
        <f>IF(ISBLANK(Descriptif!T3),"",Descriptif!G6)</f>
        <v/>
      </c>
      <c r="Q3" s="1263"/>
      <c r="R3" s="1265"/>
      <c r="S3" s="752"/>
    </row>
    <row r="4" spans="2:19" ht="20.100000000000001" customHeight="1" x14ac:dyDescent="0.4">
      <c r="B4" s="751"/>
      <c r="C4" s="1261" t="s">
        <v>541</v>
      </c>
      <c r="D4" s="1262"/>
      <c r="E4" s="1263" t="str">
        <f>IF(ISBLANK(Descriptif!N4),"",Descriptif!N4)</f>
        <v>060930290002</v>
      </c>
      <c r="F4" s="1263"/>
      <c r="G4" s="1263"/>
      <c r="H4" s="1262" t="s">
        <v>542</v>
      </c>
      <c r="I4" s="1262"/>
      <c r="J4" s="1263" t="s">
        <v>711</v>
      </c>
      <c r="K4" s="1263"/>
      <c r="L4" s="1263"/>
      <c r="M4" s="1264" t="s">
        <v>543</v>
      </c>
      <c r="N4" s="1264"/>
      <c r="O4" s="1264"/>
      <c r="P4" s="1263"/>
      <c r="Q4" s="1263"/>
      <c r="R4" s="1265"/>
      <c r="S4" s="752"/>
    </row>
    <row r="5" spans="2:19" ht="20.100000000000001" customHeight="1" x14ac:dyDescent="0.4">
      <c r="B5" s="751"/>
      <c r="C5" s="1261" t="s">
        <v>544</v>
      </c>
      <c r="D5" s="1262"/>
      <c r="E5" s="1263" t="str">
        <f>IF(ISBLANK(Descriptif!G5),"",Descriptif!G5)</f>
        <v>Commune de Barjac</v>
      </c>
      <c r="F5" s="1263"/>
      <c r="G5" s="1263"/>
      <c r="H5" s="1262" t="s">
        <v>545</v>
      </c>
      <c r="I5" s="1262"/>
      <c r="J5" s="1263" t="s">
        <v>180</v>
      </c>
      <c r="K5" s="1263"/>
      <c r="L5" s="1263"/>
      <c r="M5" s="1264" t="s">
        <v>546</v>
      </c>
      <c r="N5" s="1264"/>
      <c r="O5" s="1264"/>
      <c r="P5" s="1263"/>
      <c r="Q5" s="1263"/>
      <c r="R5" s="1265"/>
      <c r="S5" s="752"/>
    </row>
    <row r="6" spans="2:19" ht="20.100000000000001" customHeight="1" thickBot="1" x14ac:dyDescent="0.45">
      <c r="B6" s="751"/>
      <c r="C6" s="1256" t="s">
        <v>547</v>
      </c>
      <c r="D6" s="1257"/>
      <c r="E6" s="1258" t="str">
        <f>IF(ISBLANK(Descriptif!T6),"",Descriptif!T6)</f>
        <v/>
      </c>
      <c r="F6" s="1258"/>
      <c r="G6" s="1258"/>
      <c r="H6" s="1257" t="s">
        <v>781</v>
      </c>
      <c r="I6" s="1257"/>
      <c r="J6" s="1258" t="s">
        <v>625</v>
      </c>
      <c r="K6" s="1258"/>
      <c r="L6" s="1258"/>
      <c r="M6" s="1259" t="s">
        <v>549</v>
      </c>
      <c r="N6" s="1259"/>
      <c r="O6" s="1259"/>
      <c r="P6" s="1258"/>
      <c r="Q6" s="1258"/>
      <c r="R6" s="1260"/>
      <c r="S6" s="752"/>
    </row>
    <row r="7" spans="2:19" ht="9.9499999999999993" customHeight="1" thickTop="1" thickBot="1" x14ac:dyDescent="0.45">
      <c r="B7" s="560"/>
      <c r="C7" s="561"/>
      <c r="D7" s="561"/>
      <c r="E7" s="561"/>
      <c r="F7" s="561"/>
      <c r="G7" s="561"/>
      <c r="H7" s="561"/>
      <c r="I7" s="561"/>
      <c r="J7" s="561"/>
      <c r="K7" s="561"/>
      <c r="L7" s="561"/>
      <c r="M7" s="561"/>
      <c r="N7" s="561"/>
      <c r="O7" s="561"/>
      <c r="P7" s="561"/>
      <c r="Q7" s="561"/>
      <c r="R7" s="561"/>
      <c r="S7" s="562"/>
    </row>
    <row r="8" spans="2:19" ht="20.100000000000001" customHeight="1" thickTop="1" thickBot="1" x14ac:dyDescent="0.45">
      <c r="B8" s="560"/>
      <c r="C8" s="1119" t="s">
        <v>550</v>
      </c>
      <c r="D8" s="1120"/>
      <c r="E8" s="1120"/>
      <c r="F8" s="1120"/>
      <c r="G8" s="1120"/>
      <c r="H8" s="1120"/>
      <c r="I8" s="1120"/>
      <c r="J8" s="1120"/>
      <c r="K8" s="1120"/>
      <c r="L8" s="1120"/>
      <c r="M8" s="1120"/>
      <c r="N8" s="1120"/>
      <c r="O8" s="1120"/>
      <c r="P8" s="1120"/>
      <c r="Q8" s="1120"/>
      <c r="R8" s="1141"/>
      <c r="S8" s="562"/>
    </row>
    <row r="9" spans="2:19" ht="20.100000000000001" customHeight="1" outlineLevel="1" thickTop="1" x14ac:dyDescent="0.4">
      <c r="B9" s="560"/>
      <c r="C9" s="563"/>
      <c r="D9" s="550"/>
      <c r="E9" s="550"/>
      <c r="F9" s="550"/>
      <c r="G9" s="550"/>
      <c r="H9" s="550"/>
      <c r="I9" s="550"/>
      <c r="J9" s="550"/>
      <c r="K9" s="550"/>
      <c r="L9" s="550"/>
      <c r="M9" s="550"/>
      <c r="N9" s="550"/>
      <c r="O9" s="550"/>
      <c r="P9" s="550"/>
      <c r="Q9" s="550"/>
      <c r="R9" s="564"/>
      <c r="S9" s="562"/>
    </row>
    <row r="10" spans="2:19" ht="20.100000000000001" customHeight="1" outlineLevel="1" x14ac:dyDescent="0.4">
      <c r="B10" s="560"/>
      <c r="C10" s="563"/>
      <c r="D10" s="1101" t="s">
        <v>551</v>
      </c>
      <c r="E10" s="1102"/>
      <c r="F10" s="1102"/>
      <c r="G10" s="1102"/>
      <c r="H10" s="1102"/>
      <c r="I10" s="1102"/>
      <c r="J10" s="1102"/>
      <c r="K10" s="1102"/>
      <c r="L10" s="1102"/>
      <c r="M10" s="1102"/>
      <c r="N10" s="1102"/>
      <c r="O10" s="1102"/>
      <c r="P10" s="1102"/>
      <c r="Q10" s="1123"/>
      <c r="R10" s="564"/>
      <c r="S10" s="562"/>
    </row>
    <row r="11" spans="2:19" ht="20.100000000000001" customHeight="1" outlineLevel="1" x14ac:dyDescent="0.4">
      <c r="B11" s="560"/>
      <c r="C11" s="563"/>
      <c r="D11" s="1242" t="s">
        <v>387</v>
      </c>
      <c r="E11" s="1243"/>
      <c r="F11" s="1244"/>
      <c r="G11" s="1253" t="s">
        <v>759</v>
      </c>
      <c r="H11" s="1254"/>
      <c r="I11" s="1254"/>
      <c r="J11" s="1255"/>
      <c r="K11" s="1242" t="s">
        <v>552</v>
      </c>
      <c r="L11" s="1243"/>
      <c r="M11" s="1244"/>
      <c r="N11" s="1245" t="s">
        <v>248</v>
      </c>
      <c r="O11" s="1246"/>
      <c r="P11" s="1246"/>
      <c r="Q11" s="1247"/>
      <c r="R11" s="564"/>
      <c r="S11" s="562"/>
    </row>
    <row r="12" spans="2:19" ht="20.100000000000001" customHeight="1" outlineLevel="1" x14ac:dyDescent="0.4">
      <c r="B12" s="560"/>
      <c r="C12" s="563"/>
      <c r="D12" s="1242" t="s">
        <v>386</v>
      </c>
      <c r="E12" s="1243"/>
      <c r="F12" s="1244"/>
      <c r="G12" s="1253" t="s">
        <v>760</v>
      </c>
      <c r="H12" s="1254"/>
      <c r="I12" s="1254"/>
      <c r="J12" s="1255"/>
      <c r="K12" s="1242" t="s">
        <v>627</v>
      </c>
      <c r="L12" s="1243"/>
      <c r="M12" s="1244"/>
      <c r="N12" s="1340">
        <v>45790</v>
      </c>
      <c r="O12" s="1254"/>
      <c r="P12" s="1254"/>
      <c r="Q12" s="1255"/>
      <c r="R12" s="564"/>
      <c r="S12" s="562"/>
    </row>
    <row r="13" spans="2:19" ht="20.100000000000001" customHeight="1" outlineLevel="1" x14ac:dyDescent="0.4">
      <c r="B13" s="560"/>
      <c r="C13" s="563"/>
      <c r="D13" s="1242" t="s">
        <v>553</v>
      </c>
      <c r="E13" s="1243"/>
      <c r="F13" s="1244"/>
      <c r="G13" s="1253" t="s">
        <v>761</v>
      </c>
      <c r="H13" s="1254"/>
      <c r="I13" s="1254"/>
      <c r="J13" s="1255"/>
      <c r="K13" s="1242" t="s">
        <v>554</v>
      </c>
      <c r="L13" s="1243"/>
      <c r="M13" s="1244"/>
      <c r="N13" s="1253">
        <v>63.8</v>
      </c>
      <c r="O13" s="1254"/>
      <c r="P13" s="1254"/>
      <c r="Q13" s="1255"/>
      <c r="R13" s="564"/>
      <c r="S13" s="562"/>
    </row>
    <row r="14" spans="2:19" ht="20.100000000000001" customHeight="1" outlineLevel="1" x14ac:dyDescent="0.4">
      <c r="B14" s="560"/>
      <c r="C14" s="563"/>
      <c r="D14" s="1242" t="s">
        <v>555</v>
      </c>
      <c r="E14" s="1243"/>
      <c r="F14" s="1244"/>
      <c r="G14" s="1253" t="s">
        <v>762</v>
      </c>
      <c r="H14" s="1254"/>
      <c r="I14" s="1254"/>
      <c r="J14" s="1255"/>
      <c r="K14" s="1242" t="s">
        <v>556</v>
      </c>
      <c r="L14" s="1243"/>
      <c r="M14" s="1244"/>
      <c r="N14" s="1253">
        <v>250</v>
      </c>
      <c r="O14" s="1254"/>
      <c r="P14" s="1254"/>
      <c r="Q14" s="1255"/>
      <c r="R14" s="564"/>
      <c r="S14" s="562"/>
    </row>
    <row r="15" spans="2:19" ht="20.100000000000001" customHeight="1" outlineLevel="1" x14ac:dyDescent="0.4">
      <c r="B15" s="560"/>
      <c r="C15" s="563"/>
      <c r="D15" s="1242" t="s">
        <v>414</v>
      </c>
      <c r="E15" s="1243"/>
      <c r="F15" s="1244"/>
      <c r="G15" s="1253"/>
      <c r="H15" s="1254"/>
      <c r="I15" s="1254"/>
      <c r="J15" s="1255"/>
      <c r="K15" s="1242" t="s">
        <v>557</v>
      </c>
      <c r="L15" s="1243"/>
      <c r="M15" s="1244"/>
      <c r="N15" s="1253">
        <v>300</v>
      </c>
      <c r="O15" s="1254"/>
      <c r="P15" s="1254"/>
      <c r="Q15" s="1255"/>
      <c r="R15" s="564"/>
      <c r="S15" s="562"/>
    </row>
    <row r="16" spans="2:19" ht="20.100000000000001" customHeight="1" outlineLevel="1" x14ac:dyDescent="0.4">
      <c r="B16" s="560"/>
      <c r="C16" s="563"/>
      <c r="D16" s="550"/>
      <c r="E16" s="550"/>
      <c r="F16" s="550"/>
      <c r="G16" s="550"/>
      <c r="H16" s="550"/>
      <c r="I16" s="550"/>
      <c r="J16" s="550"/>
      <c r="K16" s="550"/>
      <c r="L16" s="550"/>
      <c r="M16" s="550"/>
      <c r="N16" s="550"/>
      <c r="O16" s="550"/>
      <c r="P16" s="550"/>
      <c r="Q16" s="550"/>
      <c r="R16" s="564"/>
      <c r="S16" s="562"/>
    </row>
    <row r="17" spans="2:24" ht="20.100000000000001" customHeight="1" outlineLevel="1" x14ac:dyDescent="0.4">
      <c r="B17" s="560"/>
      <c r="C17" s="563"/>
      <c r="D17" s="1101" t="s">
        <v>558</v>
      </c>
      <c r="E17" s="1102"/>
      <c r="F17" s="1102"/>
      <c r="G17" s="1102"/>
      <c r="H17" s="1102"/>
      <c r="I17" s="1102"/>
      <c r="J17" s="1102"/>
      <c r="K17" s="1102"/>
      <c r="L17" s="1102"/>
      <c r="M17" s="1102"/>
      <c r="N17" s="1102"/>
      <c r="O17" s="1102"/>
      <c r="P17" s="1102"/>
      <c r="Q17" s="1123"/>
      <c r="R17" s="564"/>
      <c r="S17" s="562"/>
    </row>
    <row r="18" spans="2:24" ht="20.100000000000001" customHeight="1" outlineLevel="1" x14ac:dyDescent="0.4">
      <c r="B18" s="560"/>
      <c r="C18" s="563"/>
      <c r="D18" s="1242" t="s">
        <v>425</v>
      </c>
      <c r="E18" s="1243"/>
      <c r="F18" s="1244"/>
      <c r="G18" s="1245" t="s">
        <v>763</v>
      </c>
      <c r="H18" s="1246"/>
      <c r="I18" s="1246"/>
      <c r="J18" s="1247"/>
      <c r="K18" s="1242" t="s">
        <v>559</v>
      </c>
      <c r="L18" s="1243"/>
      <c r="M18" s="1244"/>
      <c r="N18" s="1253" t="s">
        <v>508</v>
      </c>
      <c r="O18" s="1254"/>
      <c r="P18" s="1254"/>
      <c r="Q18" s="1255"/>
      <c r="R18" s="564"/>
      <c r="S18" s="562"/>
    </row>
    <row r="19" spans="2:24" ht="20.100000000000001" customHeight="1" outlineLevel="1" x14ac:dyDescent="0.4">
      <c r="B19" s="560"/>
      <c r="C19" s="563"/>
      <c r="D19" s="1242" t="s">
        <v>427</v>
      </c>
      <c r="E19" s="1243"/>
      <c r="F19" s="1244"/>
      <c r="G19" s="1245" t="s">
        <v>740</v>
      </c>
      <c r="H19" s="1246"/>
      <c r="I19" s="1246"/>
      <c r="J19" s="1247"/>
      <c r="K19" s="1242" t="s">
        <v>560</v>
      </c>
      <c r="L19" s="1243"/>
      <c r="M19" s="1244"/>
      <c r="N19" s="1253">
        <v>36</v>
      </c>
      <c r="O19" s="1254"/>
      <c r="P19" s="1254"/>
      <c r="Q19" s="1255"/>
      <c r="R19" s="564"/>
      <c r="S19" s="562"/>
    </row>
    <row r="20" spans="2:24" ht="20.100000000000001" customHeight="1" outlineLevel="1" x14ac:dyDescent="0.4">
      <c r="B20" s="560"/>
      <c r="C20" s="563"/>
      <c r="D20" s="1242" t="s">
        <v>429</v>
      </c>
      <c r="E20" s="1243"/>
      <c r="F20" s="1244"/>
      <c r="G20" s="1245" t="s">
        <v>764</v>
      </c>
      <c r="H20" s="1246"/>
      <c r="I20" s="1246"/>
      <c r="J20" s="1247"/>
      <c r="K20" s="1242" t="s">
        <v>561</v>
      </c>
      <c r="L20" s="1243"/>
      <c r="M20" s="1244"/>
      <c r="N20" s="1253" t="s">
        <v>744</v>
      </c>
      <c r="O20" s="1254"/>
      <c r="P20" s="1254"/>
      <c r="Q20" s="1255"/>
      <c r="R20" s="564"/>
      <c r="S20" s="562"/>
    </row>
    <row r="21" spans="2:24" ht="20.100000000000001" customHeight="1" outlineLevel="1" x14ac:dyDescent="0.4">
      <c r="B21" s="560"/>
      <c r="C21" s="563"/>
      <c r="D21" s="1242" t="s">
        <v>562</v>
      </c>
      <c r="E21" s="1243"/>
      <c r="F21" s="1244"/>
      <c r="G21" s="1245" t="s">
        <v>275</v>
      </c>
      <c r="H21" s="1246"/>
      <c r="I21" s="1246"/>
      <c r="J21" s="1247"/>
      <c r="K21" s="1242" t="s">
        <v>563</v>
      </c>
      <c r="L21" s="1243"/>
      <c r="M21" s="1244"/>
      <c r="N21" s="1245">
        <v>15</v>
      </c>
      <c r="O21" s="1246"/>
      <c r="P21" s="1246"/>
      <c r="Q21" s="1247"/>
      <c r="R21" s="564"/>
      <c r="S21" s="562"/>
    </row>
    <row r="22" spans="2:24" ht="20.100000000000001" customHeight="1" outlineLevel="1" x14ac:dyDescent="0.4">
      <c r="B22" s="560"/>
      <c r="C22" s="563"/>
      <c r="D22" s="1242" t="s">
        <v>414</v>
      </c>
      <c r="E22" s="1243"/>
      <c r="F22" s="1244"/>
      <c r="G22" s="1338">
        <v>45356</v>
      </c>
      <c r="H22" s="1246"/>
      <c r="I22" s="1246"/>
      <c r="J22" s="1247"/>
      <c r="K22" s="1242" t="s">
        <v>388</v>
      </c>
      <c r="L22" s="1243"/>
      <c r="M22" s="1244"/>
      <c r="N22" s="1245">
        <v>100</v>
      </c>
      <c r="O22" s="1246"/>
      <c r="P22" s="1246"/>
      <c r="Q22" s="1247"/>
      <c r="R22" s="564"/>
      <c r="S22" s="562"/>
    </row>
    <row r="23" spans="2:24" ht="20.100000000000001" customHeight="1" outlineLevel="1" x14ac:dyDescent="0.4">
      <c r="B23" s="560"/>
      <c r="C23" s="563"/>
      <c r="D23" s="550"/>
      <c r="E23" s="550"/>
      <c r="F23" s="550"/>
      <c r="G23" s="550"/>
      <c r="H23" s="550"/>
      <c r="I23" s="550"/>
      <c r="J23" s="550"/>
      <c r="K23" s="550"/>
      <c r="L23" s="550"/>
      <c r="M23" s="550"/>
      <c r="N23" s="550"/>
      <c r="O23" s="550"/>
      <c r="P23" s="550"/>
      <c r="Q23" s="550"/>
      <c r="R23" s="564"/>
      <c r="S23" s="562"/>
    </row>
    <row r="24" spans="2:24" ht="20.100000000000001" customHeight="1" outlineLevel="1" x14ac:dyDescent="0.4">
      <c r="B24" s="560"/>
      <c r="C24" s="563"/>
      <c r="D24" s="1101" t="s">
        <v>250</v>
      </c>
      <c r="E24" s="1102"/>
      <c r="F24" s="1102"/>
      <c r="G24" s="1102"/>
      <c r="H24" s="1102"/>
      <c r="I24" s="1102"/>
      <c r="J24" s="1102"/>
      <c r="K24" s="1102"/>
      <c r="L24" s="1102"/>
      <c r="M24" s="1102"/>
      <c r="N24" s="1241" t="s">
        <v>564</v>
      </c>
      <c r="O24" s="1241"/>
      <c r="P24" s="566"/>
      <c r="Q24" s="550"/>
      <c r="R24" s="564"/>
      <c r="S24" s="562"/>
    </row>
    <row r="25" spans="2:24" ht="20.100000000000001" customHeight="1" outlineLevel="1" x14ac:dyDescent="0.4">
      <c r="B25" s="560"/>
      <c r="C25" s="563"/>
      <c r="D25" s="1231" t="s">
        <v>565</v>
      </c>
      <c r="E25" s="1232"/>
      <c r="F25" s="1233"/>
      <c r="G25" s="1330" t="s">
        <v>566</v>
      </c>
      <c r="H25" s="1331"/>
      <c r="I25" s="1331"/>
      <c r="J25" s="1332"/>
      <c r="K25" s="1234" t="s">
        <v>567</v>
      </c>
      <c r="L25" s="1235"/>
      <c r="M25" s="1236"/>
      <c r="N25" s="1234" t="s">
        <v>568</v>
      </c>
      <c r="O25" s="1235"/>
      <c r="P25" s="1236"/>
      <c r="Q25" s="550"/>
      <c r="R25" s="564"/>
      <c r="S25" s="562"/>
    </row>
    <row r="26" spans="2:24" ht="20.100000000000001" customHeight="1" outlineLevel="1" x14ac:dyDescent="0.4">
      <c r="B26" s="560"/>
      <c r="C26" s="563"/>
      <c r="D26" s="1237" t="s">
        <v>569</v>
      </c>
      <c r="E26" s="1333"/>
      <c r="F26" s="567" t="s">
        <v>570</v>
      </c>
      <c r="G26" s="1334" t="s">
        <v>571</v>
      </c>
      <c r="H26" s="1335"/>
      <c r="I26" s="1336" t="s">
        <v>572</v>
      </c>
      <c r="J26" s="1337"/>
      <c r="K26" s="568" t="s">
        <v>573</v>
      </c>
      <c r="L26" s="569" t="s">
        <v>574</v>
      </c>
      <c r="M26" s="570" t="s">
        <v>91</v>
      </c>
      <c r="N26" s="568" t="s">
        <v>573</v>
      </c>
      <c r="O26" s="569" t="s">
        <v>574</v>
      </c>
      <c r="P26" s="570" t="s">
        <v>91</v>
      </c>
      <c r="Q26" s="550"/>
      <c r="R26" s="564"/>
      <c r="S26" s="562"/>
    </row>
    <row r="27" spans="2:24" ht="20.100000000000001" customHeight="1" outlineLevel="1" x14ac:dyDescent="0.4">
      <c r="B27" s="560"/>
      <c r="C27" s="563"/>
      <c r="D27" s="1227">
        <v>3</v>
      </c>
      <c r="E27" s="1325"/>
      <c r="F27" s="571">
        <f>IF(D27="","",IF(D27&gt;50,0.05,0.1))</f>
        <v>0.1</v>
      </c>
      <c r="G27" s="1326">
        <v>2.5</v>
      </c>
      <c r="H27" s="1327"/>
      <c r="I27" s="1328">
        <v>2.5</v>
      </c>
      <c r="J27" s="1329"/>
      <c r="K27" s="572">
        <f>IF(AND(D27&lt;&gt;"",G27&lt;&gt;""),(D27+G27)/2,IF(AND(D27&lt;&gt;"",G27&lt;&gt;""),(D27+G27)/2,""))</f>
        <v>2.75</v>
      </c>
      <c r="L27" s="573">
        <f>IF(AND(D27&lt;&gt;"",G27&lt;&gt;""),(D27-G27),IF(AND(D27&lt;&gt;"",G27&lt;&gt;""),(D27-G27),""))</f>
        <v>0.5</v>
      </c>
      <c r="M27" s="571">
        <f>IF(AND(K27&lt;&gt;"",K27&lt;&gt;0,L27&lt;&gt;""),L27/K27,"")</f>
        <v>0.18181818181818182</v>
      </c>
      <c r="N27" s="572">
        <f>IF(AND(D27&lt;&gt;"",I27&lt;&gt;""),(D27+I27)/2,IF(AND(I27&lt;&gt;"",D27&lt;&gt;""),(D27+I27)/2,""))</f>
        <v>2.75</v>
      </c>
      <c r="O27" s="573">
        <f>IF(AND(D27&lt;&gt;"",I27&lt;&gt;""),(D27-I27),IF(AND(D27&lt;&gt;"",I27&lt;&gt;""),(D27-I27),""))</f>
        <v>0.5</v>
      </c>
      <c r="P27" s="571">
        <f>IF(AND(N27&lt;&gt;"",N27&lt;&gt;0,O27&lt;&gt;""),O27/N27,"")</f>
        <v>0.18181818181818182</v>
      </c>
      <c r="Q27" s="550"/>
      <c r="R27" s="564"/>
      <c r="S27" s="562"/>
      <c r="U27" s="565" t="str">
        <f>IF(OR(M27&lt;&gt;"",P27&lt;&gt;""),IF(OR(ABS(M27)&gt;0.1,ABS(P27)&gt;0.1),"Non validé (&gt;10%)",IF(AND(ABS(M27)&lt;=0.05,ABS(P27)&lt;=0.05),"Validé","Entre 5 et 10%")),"Non contrôlé")</f>
        <v>Non validé (&gt;10%)</v>
      </c>
    </row>
    <row r="28" spans="2:24" ht="20.100000000000001" customHeight="1" outlineLevel="1" thickBot="1" x14ac:dyDescent="0.45">
      <c r="B28" s="560"/>
      <c r="C28" s="574"/>
      <c r="D28" s="575"/>
      <c r="E28" s="575"/>
      <c r="F28" s="575"/>
      <c r="G28" s="575"/>
      <c r="H28" s="575"/>
      <c r="I28" s="575"/>
      <c r="J28" s="575"/>
      <c r="K28" s="575"/>
      <c r="L28" s="575"/>
      <c r="M28" s="575"/>
      <c r="N28" s="575"/>
      <c r="O28" s="575"/>
      <c r="P28" s="575"/>
      <c r="Q28" s="575"/>
      <c r="R28" s="576"/>
      <c r="S28" s="562"/>
    </row>
    <row r="29" spans="2:24" ht="9.9499999999999993" customHeight="1" thickTop="1" thickBot="1" x14ac:dyDescent="0.45">
      <c r="B29" s="560"/>
      <c r="C29" s="550"/>
      <c r="D29" s="550"/>
      <c r="E29" s="550"/>
      <c r="F29" s="550"/>
      <c r="G29" s="550"/>
      <c r="H29" s="550"/>
      <c r="I29" s="550"/>
      <c r="J29" s="550"/>
      <c r="K29" s="550"/>
      <c r="L29" s="550"/>
      <c r="M29" s="550"/>
      <c r="N29" s="550"/>
      <c r="O29" s="550"/>
      <c r="P29" s="550"/>
      <c r="Q29" s="550"/>
      <c r="R29" s="550"/>
      <c r="S29" s="562"/>
    </row>
    <row r="30" spans="2:24" ht="20.100000000000001" customHeight="1" thickTop="1" thickBot="1" x14ac:dyDescent="0.45">
      <c r="B30" s="560"/>
      <c r="C30" s="1119" t="s">
        <v>575</v>
      </c>
      <c r="D30" s="1120"/>
      <c r="E30" s="1120"/>
      <c r="F30" s="1120"/>
      <c r="G30" s="1120"/>
      <c r="H30" s="1120"/>
      <c r="I30" s="1120"/>
      <c r="J30" s="1120"/>
      <c r="K30" s="1120"/>
      <c r="L30" s="1120"/>
      <c r="M30" s="1120"/>
      <c r="N30" s="1120"/>
      <c r="O30" s="1120"/>
      <c r="P30" s="1120"/>
      <c r="Q30" s="1120"/>
      <c r="R30" s="1141"/>
      <c r="S30" s="562"/>
    </row>
    <row r="31" spans="2:24" ht="20.100000000000001" customHeight="1" outlineLevel="1" thickTop="1" x14ac:dyDescent="0.4">
      <c r="B31" s="560"/>
      <c r="C31" s="563"/>
      <c r="D31" s="550"/>
      <c r="E31" s="550"/>
      <c r="F31" s="550"/>
      <c r="G31" s="550"/>
      <c r="H31" s="550"/>
      <c r="I31" s="550"/>
      <c r="J31" s="550"/>
      <c r="K31" s="550"/>
      <c r="L31" s="550"/>
      <c r="M31" s="550"/>
      <c r="N31" s="550"/>
      <c r="O31" s="550"/>
      <c r="P31" s="550"/>
      <c r="Q31" s="550"/>
      <c r="R31" s="564"/>
      <c r="S31" s="562"/>
    </row>
    <row r="32" spans="2:24" ht="30" customHeight="1" outlineLevel="1" x14ac:dyDescent="0.4">
      <c r="B32" s="560"/>
      <c r="C32" s="563"/>
      <c r="D32" s="1229" t="s">
        <v>132</v>
      </c>
      <c r="E32" s="1229"/>
      <c r="F32" s="1229"/>
      <c r="G32" s="1229"/>
      <c r="H32" s="1229"/>
      <c r="I32" s="1229"/>
      <c r="J32" s="1229"/>
      <c r="K32" s="1229"/>
      <c r="L32" s="1229"/>
      <c r="M32" s="1229"/>
      <c r="N32" s="1229"/>
      <c r="O32" s="1229"/>
      <c r="P32" s="1229"/>
      <c r="Q32" s="1229"/>
      <c r="R32" s="564"/>
      <c r="S32" s="562"/>
      <c r="W32" s="565"/>
      <c r="X32" s="565"/>
    </row>
    <row r="33" spans="2:21" ht="20.100000000000001" customHeight="1" outlineLevel="1" x14ac:dyDescent="0.4">
      <c r="B33" s="560"/>
      <c r="C33" s="563"/>
      <c r="D33" s="1230" t="s">
        <v>59</v>
      </c>
      <c r="E33" s="1230"/>
      <c r="F33" s="1230"/>
      <c r="G33" s="1230"/>
      <c r="H33" s="1230"/>
      <c r="I33" s="1230"/>
      <c r="J33" s="1230" t="s">
        <v>377</v>
      </c>
      <c r="K33" s="1230"/>
      <c r="L33" s="1230"/>
      <c r="M33" s="1230"/>
      <c r="N33" s="1230" t="s">
        <v>242</v>
      </c>
      <c r="O33" s="1230"/>
      <c r="P33" s="740" t="s">
        <v>409</v>
      </c>
      <c r="Q33" s="740" t="s">
        <v>576</v>
      </c>
      <c r="R33" s="564"/>
      <c r="S33" s="562"/>
      <c r="U33" s="565" t="s">
        <v>61</v>
      </c>
    </row>
    <row r="34" spans="2:21" ht="99.95" customHeight="1" outlineLevel="1" x14ac:dyDescent="0.4">
      <c r="B34" s="560"/>
      <c r="C34" s="563"/>
      <c r="D34" s="577">
        <v>1</v>
      </c>
      <c r="E34" s="1222" t="str">
        <f>IFERROR(HLOOKUP($D$32,Critères!$B$3:$BE$16,D34+2,FALSE),"")</f>
        <v>L'accès à l'ouvrage et aux équipements de mesure se fait-il en toute sécurité pour les agents en charge des opérations de contrôles et d'entretien ?</v>
      </c>
      <c r="F34" s="1223"/>
      <c r="G34" s="1223"/>
      <c r="H34" s="1223"/>
      <c r="I34" s="1224"/>
      <c r="J34" s="1222" t="str">
        <f>IFERROR(IF(INDEX(Critères!$B$3:$BE$16, D34+2, MATCH($D$32, Critères!$B$3:$BE$3, 0) + 1)="", "", INDEX(Critères!$B$3:$BE$16, D34+2, MATCH($D$32, Critères!$B$3:$BE$3, 0) + 1)), "")</f>
        <v>En cas d'accès nécessitant des équipements de protection individuels renforcés (ARI par exemple) ou d'intervenir à 2 personnes, retenir "Validé avec réserve"</v>
      </c>
      <c r="K34" s="1223"/>
      <c r="L34" s="1223"/>
      <c r="M34" s="1224"/>
      <c r="N34" s="1225" t="s">
        <v>167</v>
      </c>
      <c r="O34" s="1226"/>
      <c r="P34" s="742">
        <f>IF(OR(N34="Validé",N34="Validé avec réserve"),Q34,0)</f>
        <v>10</v>
      </c>
      <c r="Q34" s="742">
        <f>IFERROR(INDEX(Critères!$B$3:$BE$16, D34+2, MATCH($D$32, Critères!$B$3:$BE$3, 0) + 2),"")</f>
        <v>10</v>
      </c>
      <c r="R34" s="564"/>
      <c r="S34" s="562"/>
      <c r="U34" s="565" t="s">
        <v>159</v>
      </c>
    </row>
    <row r="35" spans="2:21" ht="99.95" customHeight="1" outlineLevel="1" x14ac:dyDescent="0.4">
      <c r="B35" s="560"/>
      <c r="C35" s="563"/>
      <c r="D35" s="577">
        <v>2</v>
      </c>
      <c r="E35" s="1222" t="str">
        <f>IFERROR(HLOOKUP($D$32,Critères!$B$3:$BE$16,D35+2,FALSE),"")</f>
        <v>Le dimensionnement du débitmètre est-il adapté vis à vis de l'étendue des débits à mesurer ?</v>
      </c>
      <c r="F35" s="1223"/>
      <c r="G35" s="1223"/>
      <c r="H35" s="1223"/>
      <c r="I35" s="1224"/>
      <c r="J35" s="1222" t="str">
        <f>IFERROR(IF(INDEX(Critères!$B$3:$BE$16, D35+2, MATCH($D$32, Critères!$B$3:$BE$3, 0) + 1)="", "", INDEX(Critères!$B$3:$BE$16, D35+2, MATCH($D$32, Critères!$B$3:$BE$3, 0) + 1)), "")</f>
        <v/>
      </c>
      <c r="K35" s="1223"/>
      <c r="L35" s="1223"/>
      <c r="M35" s="1224"/>
      <c r="N35" s="1225" t="s">
        <v>167</v>
      </c>
      <c r="O35" s="1226"/>
      <c r="P35" s="742">
        <f t="shared" ref="P35:P43" si="0">IF(OR(N35="Validé",N35="Validé avec réserve"),Q35,0)</f>
        <v>10</v>
      </c>
      <c r="Q35" s="742">
        <f>IFERROR(INDEX(Critères!$B$3:$BE$16, D35+2, MATCH($D$32, Critères!$B$3:$BE$3, 0) + 2),"")</f>
        <v>10</v>
      </c>
      <c r="R35" s="564"/>
      <c r="S35" s="562"/>
      <c r="U35" s="565" t="s">
        <v>159</v>
      </c>
    </row>
    <row r="36" spans="2:21" ht="99.95" customHeight="1" outlineLevel="1" x14ac:dyDescent="0.4">
      <c r="B36" s="560"/>
      <c r="C36" s="563"/>
      <c r="D36" s="577">
        <v>3</v>
      </c>
      <c r="E36" s="1222" t="str">
        <f>IFERROR(HLOOKUP($D$32,Critères!$B$3:$BE$16,D36+2,FALSE),"")</f>
        <v>Le débitmètre est-il installé conformément aux normes en vigueur et/ou aux prescriptions du constructeur ?</v>
      </c>
      <c r="F36" s="1223"/>
      <c r="G36" s="1223"/>
      <c r="H36" s="1223"/>
      <c r="I36" s="1224"/>
      <c r="J36" s="1222" t="str">
        <f>IFERROR(IF(INDEX(Critères!$B$3:$BE$16, D36+2, MATCH($D$32, Critères!$B$3:$BE$3, 0) + 1)="", "", INDEX(Critères!$B$3:$BE$16, D36+2, MATCH($D$32, Critères!$B$3:$BE$3, 0) + 1)), "")</f>
        <v/>
      </c>
      <c r="K36" s="1223"/>
      <c r="L36" s="1223"/>
      <c r="M36" s="1224"/>
      <c r="N36" s="1225" t="s">
        <v>167</v>
      </c>
      <c r="O36" s="1226"/>
      <c r="P36" s="742">
        <f t="shared" si="0"/>
        <v>10</v>
      </c>
      <c r="Q36" s="742">
        <f>IFERROR(INDEX(Critères!$B$3:$BE$16, D36+2, MATCH($D$32, Critères!$B$3:$BE$3, 0) + 2),"")</f>
        <v>10</v>
      </c>
      <c r="R36" s="564"/>
      <c r="S36" s="562"/>
      <c r="U36" s="565" t="s">
        <v>159</v>
      </c>
    </row>
    <row r="37" spans="2:21" ht="99.95" customHeight="1" outlineLevel="1" x14ac:dyDescent="0.4">
      <c r="B37" s="560"/>
      <c r="C37" s="563"/>
      <c r="D37" s="577">
        <v>4</v>
      </c>
      <c r="E37" s="1222"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10%) ?
</v>
      </c>
      <c r="F37" s="1223"/>
      <c r="G37" s="1223"/>
      <c r="H37" s="1223"/>
      <c r="I37" s="1224"/>
      <c r="J37" s="1222" t="str">
        <f>IFERROR(IF(INDEX(Critères!$B$3:$BE$16, D37+2, MATCH($D$32, Critères!$B$3:$BE$3, 0) + 1)="", "", INDEX(Critères!$B$3:$BE$16, D37+2, MATCH($D$32, Critères!$B$3:$BE$3, 0) + 1)), "")</f>
        <v>Calcul de l'écart par rapport à la moyenne des 2 valeurs.
Pour les volumes &lt; 10 m3, le fonctionnement sera apprécié par l'intervenant.</v>
      </c>
      <c r="K37" s="1223"/>
      <c r="L37" s="1223"/>
      <c r="M37" s="1224"/>
      <c r="N37" s="1225" t="str">
        <f>IF(OR(D32 = Critères!B3, D32 = Critères!F3),U27,"Non contrôlé")</f>
        <v>Non validé (&gt;10%)</v>
      </c>
      <c r="O37" s="1226"/>
      <c r="P37" s="742">
        <f t="shared" si="0"/>
        <v>0</v>
      </c>
      <c r="Q37" s="742">
        <f>IFERROR(INDEX(Critères!$B$3:$BE$16, D37+2, MATCH($D$32, Critères!$B$3:$BE$3, 0) + 2),"")</f>
        <v>40</v>
      </c>
      <c r="R37" s="564"/>
      <c r="S37" s="562"/>
      <c r="U37" s="565" t="s">
        <v>161</v>
      </c>
    </row>
    <row r="38" spans="2:21" ht="99.95" customHeight="1" outlineLevel="1" x14ac:dyDescent="0.4">
      <c r="B38" s="560"/>
      <c r="C38" s="563"/>
      <c r="D38" s="577">
        <v>5</v>
      </c>
      <c r="E38" s="1222" t="str">
        <f>IFERROR(HLOOKUP($D$32,Critères!$B$3:$BE$16,D38+2,FALSE),"")</f>
        <v>Si une mesure comparative est impossible ou que l'écart se situe entre 10 et 20%, est ce qu'un bilan matière (volume pompé / mesuré ou autre) peut-être établi et est-il cohérent (EMT ± 20 %) ?</v>
      </c>
      <c r="F38" s="1223"/>
      <c r="G38" s="1223"/>
      <c r="H38" s="1223"/>
      <c r="I38" s="1224"/>
      <c r="J38" s="1222" t="str">
        <f>IFERROR(IF(INDEX(Critères!$B$3:$BE$16, D38+2, MATCH($D$32, Critères!$B$3:$BE$3, 0) + 1)="", "", INDEX(Critères!$B$3:$BE$16, D38+2, MATCH($D$32, Critères!$B$3:$BE$3, 0) + 1)), "")</f>
        <v>Calcul de l'écart selon la formule (Volume Entrée - Volume Sortie) / Volume Moyen</v>
      </c>
      <c r="K38" s="1223"/>
      <c r="L38" s="1223"/>
      <c r="M38" s="1224"/>
      <c r="N38" s="1225"/>
      <c r="O38" s="1226"/>
      <c r="P38" s="742">
        <f t="shared" si="0"/>
        <v>0</v>
      </c>
      <c r="Q38" s="742">
        <f>IFERROR(INDEX(Critères!$B$3:$BE$16, D38+2, MATCH($D$32, Critères!$B$3:$BE$3, 0) + 2),"")</f>
        <v>20</v>
      </c>
      <c r="R38" s="564"/>
      <c r="S38" s="562"/>
      <c r="U38" s="565" t="s">
        <v>160</v>
      </c>
    </row>
    <row r="39" spans="2:21" ht="99.95" customHeight="1" outlineLevel="1" x14ac:dyDescent="0.4">
      <c r="B39" s="560"/>
      <c r="C39" s="563"/>
      <c r="D39" s="577">
        <v>6</v>
      </c>
      <c r="E39" s="1222" t="str">
        <f>IFERROR(HLOOKUP($D$32,Critères!$B$3:$BE$16,D39+2,FALSE),"")</f>
        <v>Si une mesure comparative est impossible ou que l'écart se situe entre 10 et 20%, est-ce qu'un contrôle électronique du débitmètre est régulièrement réalisé et le rapport atteste-t-il d'un bon fonctionnement ?</v>
      </c>
      <c r="F39" s="1223"/>
      <c r="G39" s="1223"/>
      <c r="H39" s="1223"/>
      <c r="I39" s="1224"/>
      <c r="J39" s="1222" t="str">
        <f>IFERROR(IF(INDEX(Critères!$B$3:$BE$16, D39+2, MATCH($D$32, Critères!$B$3:$BE$3, 0) + 1)="", "", INDEX(Critères!$B$3:$BE$16, D39+2, MATCH($D$32, Critères!$B$3:$BE$3, 0) + 1)), "")</f>
        <v/>
      </c>
      <c r="K39" s="1223"/>
      <c r="L39" s="1223"/>
      <c r="M39" s="1224"/>
      <c r="N39" s="1225"/>
      <c r="O39" s="1226"/>
      <c r="P39" s="742">
        <f t="shared" si="0"/>
        <v>0</v>
      </c>
      <c r="Q39" s="742">
        <f>IFERROR(INDEX(Critères!$B$3:$BE$16, D39+2, MATCH($D$32, Critères!$B$3:$BE$3, 0) + 2),"")</f>
        <v>20</v>
      </c>
      <c r="R39" s="564"/>
      <c r="S39" s="562"/>
      <c r="U39" s="565" t="s">
        <v>160</v>
      </c>
    </row>
    <row r="40" spans="2:21" ht="99.95" customHeight="1" outlineLevel="1" x14ac:dyDescent="0.4">
      <c r="B40" s="560"/>
      <c r="C40" s="563"/>
      <c r="D40" s="577">
        <v>7</v>
      </c>
      <c r="E40" s="1222" t="str">
        <f>IFERROR(HLOOKUP($D$32,Critères!$B$3:$BE$16,D40+2,FALSE),"")</f>
        <v>Si une mesure comparative est impossible ou que l'écart se situe entre 10 et 20%, est-ce qu'un étalonnage du débitmètre par un laboratoire accrédité est régulièrement réalisé (&lt;7ans) et le rapport atteste-t-il d'un bon fonctionnement ?</v>
      </c>
      <c r="F40" s="1223"/>
      <c r="G40" s="1223"/>
      <c r="H40" s="1223"/>
      <c r="I40" s="1224"/>
      <c r="J40" s="1222" t="str">
        <f>IFERROR(IF(INDEX(Critères!$B$3:$BE$16, D40+2, MATCH($D$32, Critères!$B$3:$BE$3, 0) + 1)="", "", INDEX(Critères!$B$3:$BE$16, D40+2, MATCH($D$32, Critères!$B$3:$BE$3, 0) + 1)), "")</f>
        <v/>
      </c>
      <c r="K40" s="1223"/>
      <c r="L40" s="1223"/>
      <c r="M40" s="1224"/>
      <c r="N40" s="1225"/>
      <c r="O40" s="1226"/>
      <c r="P40" s="742">
        <f t="shared" si="0"/>
        <v>0</v>
      </c>
      <c r="Q40" s="742">
        <f>IFERROR(INDEX(Critères!$B$3:$BE$16, D40+2, MATCH($D$32, Critères!$B$3:$BE$3, 0) + 2),"")</f>
        <v>20</v>
      </c>
      <c r="R40" s="564"/>
      <c r="S40" s="562"/>
      <c r="U40" s="565" t="s">
        <v>160</v>
      </c>
    </row>
    <row r="41" spans="2:21" ht="99.95" customHeight="1" outlineLevel="1" x14ac:dyDescent="0.4">
      <c r="B41" s="560"/>
      <c r="C41" s="563"/>
      <c r="D41" s="577">
        <v>8</v>
      </c>
      <c r="E41" s="1222" t="str">
        <f>IFERROR(HLOOKUP($D$32,Critères!$B$3:$BE$16,D41+2,FALSE),"")</f>
        <v>Si le débit est nul, le contrôle du zéro est-il cohérent ?</v>
      </c>
      <c r="F41" s="1223"/>
      <c r="G41" s="1223"/>
      <c r="H41" s="1223"/>
      <c r="I41" s="1224"/>
      <c r="J41" s="1222" t="str">
        <f>IFERROR(IF(INDEX(Critères!$B$3:$BE$16, D41+2, MATCH($D$32, Critères!$B$3:$BE$3, 0) + 1)="", "", INDEX(Critères!$B$3:$BE$16, D41+2, MATCH($D$32, Critères!$B$3:$BE$3, 0) + 1)), "")</f>
        <v>Si impossibilité d'avoir un débit nul =&gt; saisir "validé" et noter un commentaire.</v>
      </c>
      <c r="K41" s="1223"/>
      <c r="L41" s="1223"/>
      <c r="M41" s="1224"/>
      <c r="N41" s="1225" t="s">
        <v>167</v>
      </c>
      <c r="O41" s="1226"/>
      <c r="P41" s="742">
        <f t="shared" si="0"/>
        <v>10</v>
      </c>
      <c r="Q41" s="742">
        <f>IFERROR(INDEX(Critères!$B$3:$BE$16, D41+2, MATCH($D$32, Critères!$B$3:$BE$3, 0) + 2),"")</f>
        <v>10</v>
      </c>
      <c r="R41" s="564"/>
      <c r="S41" s="562"/>
      <c r="U41" s="565" t="s">
        <v>160</v>
      </c>
    </row>
    <row r="42" spans="2:21" ht="99.95" customHeight="1" outlineLevel="1" x14ac:dyDescent="0.4">
      <c r="B42" s="560"/>
      <c r="C42" s="563"/>
      <c r="D42" s="577">
        <v>9</v>
      </c>
      <c r="E42" s="1222" t="str">
        <f>IFERROR(HLOOKUP($D$32,Critères!$B$3:$BE$16,D42+2,FALSE),"")</f>
        <v>Existe-t-il un afficheur de proximité (Débit + Volume) ?</v>
      </c>
      <c r="F42" s="1223"/>
      <c r="G42" s="1223"/>
      <c r="H42" s="1223"/>
      <c r="I42" s="1224"/>
      <c r="J42" s="1222" t="str">
        <f>IFERROR(IF(INDEX(Critères!$B$3:$BE$16, D42+2, MATCH($D$32, Critères!$B$3:$BE$3, 0) + 1)="", "", INDEX(Critères!$B$3:$BE$16, D42+2, MATCH($D$32, Critères!$B$3:$BE$3, 0) + 1)), "")</f>
        <v/>
      </c>
      <c r="K42" s="1223"/>
      <c r="L42" s="1223"/>
      <c r="M42" s="1224"/>
      <c r="N42" s="1225" t="s">
        <v>124</v>
      </c>
      <c r="O42" s="1226"/>
      <c r="P42" s="742">
        <f t="shared" si="0"/>
        <v>0</v>
      </c>
      <c r="Q42" s="742">
        <f>IFERROR(INDEX(Critères!$B$3:$BE$16, D42+2, MATCH($D$32, Critères!$B$3:$BE$3, 0) + 2),"")</f>
        <v>20</v>
      </c>
      <c r="R42" s="564"/>
      <c r="S42" s="562"/>
      <c r="U42" s="565" t="s">
        <v>158</v>
      </c>
    </row>
    <row r="43" spans="2:21" ht="99.95" customHeight="1" outlineLevel="1" x14ac:dyDescent="0.4">
      <c r="B43" s="560"/>
      <c r="C43" s="563"/>
      <c r="D43" s="577">
        <v>10</v>
      </c>
      <c r="E43" s="1222">
        <f>IFERROR(HLOOKUP($D$32,Critères!$B$3:$BE$16,D43+2,FALSE),"")</f>
        <v>0</v>
      </c>
      <c r="F43" s="1223"/>
      <c r="G43" s="1223"/>
      <c r="H43" s="1223"/>
      <c r="I43" s="1224"/>
      <c r="J43" s="1222" t="str">
        <f>IFERROR(IF(INDEX(Critères!$B$3:$BE$16, D43+2, MATCH($D$32, Critères!$B$3:$BE$3, 0) + 1)="", "", INDEX(Critères!$B$3:$BE$16, D43+2, MATCH($D$32, Critères!$B$3:$BE$3, 0) + 1)), "")</f>
        <v/>
      </c>
      <c r="K43" s="1223"/>
      <c r="L43" s="1223"/>
      <c r="M43" s="1224"/>
      <c r="N43" s="1225"/>
      <c r="O43" s="1226"/>
      <c r="P43" s="742">
        <f t="shared" si="0"/>
        <v>0</v>
      </c>
      <c r="Q43" s="742">
        <f>IFERROR(INDEX(Critères!$B$3:$BE$16, D43+2, MATCH($D$32, Critères!$B$3:$BE$3, 0) + 2),"")</f>
        <v>0</v>
      </c>
      <c r="R43" s="564"/>
      <c r="S43" s="562"/>
      <c r="U43" s="565">
        <v>0</v>
      </c>
    </row>
    <row r="44" spans="2:21" ht="20.100000000000001" customHeight="1" outlineLevel="1" x14ac:dyDescent="0.4">
      <c r="B44" s="560"/>
      <c r="C44" s="563"/>
      <c r="D44" s="1215" t="s">
        <v>75</v>
      </c>
      <c r="E44" s="1216"/>
      <c r="F44" s="1216"/>
      <c r="G44" s="1216"/>
      <c r="H44" s="1216"/>
      <c r="I44" s="1216"/>
      <c r="J44" s="1216"/>
      <c r="K44" s="1216"/>
      <c r="L44" s="1216"/>
      <c r="M44" s="1217"/>
      <c r="N44" s="1218" t="s">
        <v>413</v>
      </c>
      <c r="O44" s="1218"/>
      <c r="P44" s="1218" t="s">
        <v>64</v>
      </c>
      <c r="Q44" s="1218"/>
      <c r="R44" s="564"/>
      <c r="S44" s="562"/>
    </row>
    <row r="45" spans="2:21" ht="99.95" customHeight="1" outlineLevel="1" x14ac:dyDescent="0.4">
      <c r="B45" s="560"/>
      <c r="C45" s="563"/>
      <c r="D45" s="1064"/>
      <c r="E45" s="1219"/>
      <c r="F45" s="1219"/>
      <c r="G45" s="1219"/>
      <c r="H45" s="1219"/>
      <c r="I45" s="1219"/>
      <c r="J45" s="1219"/>
      <c r="K45" s="1219"/>
      <c r="L45" s="1219"/>
      <c r="M45" s="1063"/>
      <c r="N45" s="1064" t="s">
        <v>128</v>
      </c>
      <c r="O45" s="1063"/>
      <c r="P45" s="1220">
        <f>IF(SUM(P34:P43)&gt;100,100,SUM(P34:P43))</f>
        <v>40</v>
      </c>
      <c r="Q45" s="1221"/>
      <c r="R45" s="564"/>
      <c r="S45" s="562"/>
    </row>
    <row r="46" spans="2:21" ht="20.100000000000001" customHeight="1" outlineLevel="1" thickBot="1" x14ac:dyDescent="0.45">
      <c r="B46" s="560"/>
      <c r="C46" s="574"/>
      <c r="D46" s="575"/>
      <c r="E46" s="575"/>
      <c r="F46" s="575"/>
      <c r="G46" s="575"/>
      <c r="H46" s="575"/>
      <c r="I46" s="575"/>
      <c r="J46" s="575"/>
      <c r="K46" s="575"/>
      <c r="L46" s="575"/>
      <c r="M46" s="575"/>
      <c r="N46" s="575"/>
      <c r="O46" s="575"/>
      <c r="P46" s="575"/>
      <c r="Q46" s="575"/>
      <c r="R46" s="576"/>
      <c r="S46" s="562"/>
    </row>
    <row r="47" spans="2:21" ht="9.9499999999999993" customHeight="1" thickTop="1" thickBot="1" x14ac:dyDescent="0.45">
      <c r="B47" s="578"/>
      <c r="C47" s="579"/>
      <c r="D47" s="579"/>
      <c r="E47" s="579"/>
      <c r="F47" s="579"/>
      <c r="G47" s="579"/>
      <c r="H47" s="579"/>
      <c r="I47" s="579"/>
      <c r="J47" s="579"/>
      <c r="K47" s="579"/>
      <c r="L47" s="579"/>
      <c r="M47" s="579"/>
      <c r="N47" s="579"/>
      <c r="O47" s="579"/>
      <c r="P47" s="579"/>
      <c r="Q47" s="579"/>
      <c r="R47" s="579"/>
      <c r="S47" s="580"/>
    </row>
    <row r="48" spans="2:21" ht="20.100000000000001" customHeight="1" thickTop="1" thickBot="1" x14ac:dyDescent="0.45">
      <c r="B48" s="578"/>
      <c r="C48" s="1119" t="s">
        <v>256</v>
      </c>
      <c r="D48" s="1120"/>
      <c r="E48" s="1120"/>
      <c r="F48" s="1120"/>
      <c r="G48" s="1120"/>
      <c r="H48" s="1120"/>
      <c r="I48" s="1120"/>
      <c r="J48" s="1120"/>
      <c r="K48" s="1120"/>
      <c r="L48" s="1120"/>
      <c r="M48" s="1120"/>
      <c r="N48" s="1120"/>
      <c r="O48" s="1120"/>
      <c r="P48" s="1120"/>
      <c r="Q48" s="1120"/>
      <c r="R48" s="1141"/>
      <c r="S48" s="580"/>
    </row>
    <row r="49" spans="2:19" ht="20.100000000000001" customHeight="1" thickTop="1" x14ac:dyDescent="0.4">
      <c r="B49" s="578"/>
      <c r="C49" s="1208" t="s">
        <v>577</v>
      </c>
      <c r="D49" s="1320"/>
      <c r="E49" s="1320"/>
      <c r="F49" s="1320"/>
      <c r="G49" s="1320"/>
      <c r="H49" s="1320"/>
      <c r="I49" s="1320"/>
      <c r="J49" s="1320"/>
      <c r="K49" s="1320"/>
      <c r="L49" s="1320"/>
      <c r="M49" s="1320"/>
      <c r="N49" s="1320"/>
      <c r="O49" s="1320"/>
      <c r="P49" s="1320"/>
      <c r="Q49" s="1320"/>
      <c r="R49" s="1321"/>
      <c r="S49" s="580"/>
    </row>
    <row r="50" spans="2:19" ht="20.100000000000001" customHeight="1" x14ac:dyDescent="0.4">
      <c r="B50" s="578"/>
      <c r="C50" s="1208"/>
      <c r="D50" s="1320"/>
      <c r="E50" s="1320"/>
      <c r="F50" s="1320"/>
      <c r="G50" s="1320"/>
      <c r="H50" s="1320"/>
      <c r="I50" s="1320"/>
      <c r="J50" s="1320"/>
      <c r="K50" s="1320"/>
      <c r="L50" s="1320"/>
      <c r="M50" s="1320"/>
      <c r="N50" s="1320"/>
      <c r="O50" s="1320"/>
      <c r="P50" s="1320"/>
      <c r="Q50" s="1320"/>
      <c r="R50" s="1321"/>
      <c r="S50" s="580"/>
    </row>
    <row r="51" spans="2:19" ht="20.100000000000001" customHeight="1" x14ac:dyDescent="0.4">
      <c r="B51" s="578"/>
      <c r="C51" s="1208"/>
      <c r="D51" s="1320"/>
      <c r="E51" s="1320"/>
      <c r="F51" s="1320"/>
      <c r="G51" s="1320"/>
      <c r="H51" s="1320"/>
      <c r="I51" s="1320"/>
      <c r="J51" s="1320"/>
      <c r="K51" s="1320"/>
      <c r="L51" s="1320"/>
      <c r="M51" s="1320"/>
      <c r="N51" s="1320"/>
      <c r="O51" s="1320"/>
      <c r="P51" s="1320"/>
      <c r="Q51" s="1320"/>
      <c r="R51" s="1321"/>
      <c r="S51" s="580"/>
    </row>
    <row r="52" spans="2:19" ht="20.100000000000001" customHeight="1" x14ac:dyDescent="0.4">
      <c r="B52" s="578"/>
      <c r="C52" s="1208"/>
      <c r="D52" s="1320"/>
      <c r="E52" s="1320"/>
      <c r="F52" s="1320"/>
      <c r="G52" s="1320"/>
      <c r="H52" s="1320"/>
      <c r="I52" s="1320"/>
      <c r="J52" s="1320"/>
      <c r="K52" s="1320"/>
      <c r="L52" s="1320"/>
      <c r="M52" s="1320"/>
      <c r="N52" s="1320"/>
      <c r="O52" s="1320"/>
      <c r="P52" s="1320"/>
      <c r="Q52" s="1320"/>
      <c r="R52" s="1321"/>
      <c r="S52" s="580"/>
    </row>
    <row r="53" spans="2:19" ht="20.100000000000001" customHeight="1" thickBot="1" x14ac:dyDescent="0.45">
      <c r="B53" s="578"/>
      <c r="C53" s="1322"/>
      <c r="D53" s="1323"/>
      <c r="E53" s="1323"/>
      <c r="F53" s="1323"/>
      <c r="G53" s="1323"/>
      <c r="H53" s="1323"/>
      <c r="I53" s="1323"/>
      <c r="J53" s="1323"/>
      <c r="K53" s="1323"/>
      <c r="L53" s="1323"/>
      <c r="M53" s="1323"/>
      <c r="N53" s="1323"/>
      <c r="O53" s="1323"/>
      <c r="P53" s="1323"/>
      <c r="Q53" s="1323"/>
      <c r="R53" s="1324"/>
      <c r="S53" s="580"/>
    </row>
    <row r="54" spans="2:19" ht="9.9499999999999993" customHeight="1" thickTop="1" x14ac:dyDescent="0.4">
      <c r="B54" s="581"/>
      <c r="C54" s="582"/>
      <c r="D54" s="582"/>
      <c r="E54" s="582"/>
      <c r="F54" s="582"/>
      <c r="G54" s="582"/>
      <c r="H54" s="582"/>
      <c r="I54" s="582"/>
      <c r="J54" s="582"/>
      <c r="K54" s="582"/>
      <c r="L54" s="582"/>
      <c r="M54" s="582"/>
      <c r="N54" s="582"/>
      <c r="O54" s="582"/>
      <c r="P54" s="582"/>
      <c r="Q54" s="582"/>
      <c r="R54" s="582"/>
      <c r="S54" s="583"/>
    </row>
  </sheetData>
  <mergeCells count="123">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 ref="E40:I40"/>
    <mergeCell ref="J40:M40"/>
    <mergeCell ref="N40:O40"/>
    <mergeCell ref="E41:I41"/>
    <mergeCell ref="J41:M41"/>
    <mergeCell ref="N41:O41"/>
    <mergeCell ref="E38:I38"/>
    <mergeCell ref="J38:M38"/>
    <mergeCell ref="N38:O38"/>
    <mergeCell ref="E39:I39"/>
    <mergeCell ref="J39:M39"/>
    <mergeCell ref="N39:O39"/>
    <mergeCell ref="E36:I36"/>
    <mergeCell ref="J36:M36"/>
    <mergeCell ref="N36:O36"/>
    <mergeCell ref="E37:I37"/>
    <mergeCell ref="J37:M37"/>
    <mergeCell ref="N37:O37"/>
    <mergeCell ref="E34:I34"/>
    <mergeCell ref="J34:M34"/>
    <mergeCell ref="N34:O34"/>
    <mergeCell ref="E35:I35"/>
    <mergeCell ref="J35:M35"/>
    <mergeCell ref="N35:O35"/>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17:Q17"/>
    <mergeCell ref="D18:F18"/>
    <mergeCell ref="G18:J18"/>
    <mergeCell ref="K18:M18"/>
    <mergeCell ref="N18:Q18"/>
    <mergeCell ref="D19:F19"/>
    <mergeCell ref="G19:J19"/>
    <mergeCell ref="K19:M19"/>
    <mergeCell ref="N19:Q19"/>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s>
  <conditionalFormatting sqref="M27">
    <cfRule type="expression" dxfId="792" priority="4">
      <formula>ABS(M27)&gt;=$F27</formula>
    </cfRule>
    <cfRule type="expression" dxfId="791" priority="5">
      <formula>ABS(M27)&lt;$F27</formula>
    </cfRule>
  </conditionalFormatting>
  <conditionalFormatting sqref="P24">
    <cfRule type="expression" dxfId="790" priority="1">
      <formula>$P$24&lt;&gt;""</formula>
    </cfRule>
  </conditionalFormatting>
  <conditionalFormatting sqref="P27">
    <cfRule type="expression" dxfId="789" priority="2">
      <formula>ABS(P27)&gt;=$F27</formula>
    </cfRule>
    <cfRule type="expression" dxfId="788"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32F99B3B-DB22-4F6D-850A-4714477E7548}">
      <formula1>INDIRECT($U37)</formula1>
    </dataValidation>
    <dataValidation type="list" allowBlank="1" showInputMessage="1" showErrorMessage="1" sqref="N34:O36 N38:O43" xr:uid="{EC6C3F99-ADCD-4FBC-8878-68F81B8FF23F}">
      <formula1>INDIRECT($U34)</formula1>
    </dataValidation>
    <dataValidation type="list" allowBlank="1" showInputMessage="1" showErrorMessage="1" sqref="D32:Q32" xr:uid="{FC3EEFD1-D6E3-4141-8398-3856E3817D5A}">
      <formula1>Q_en_charge</formula1>
    </dataValidation>
    <dataValidation type="list" allowBlank="1" showInputMessage="1" showErrorMessage="1" sqref="N45:O45" xr:uid="{6B108542-1AE5-4A11-A3C6-9B080BEB9E96}">
      <formula1>LISTE_4</formula1>
    </dataValidation>
    <dataValidation type="list" allowBlank="1" showInputMessage="1" showErrorMessage="1" sqref="N18:Q18" xr:uid="{EA09ADC3-BD76-4B9D-B16C-63BE719A5C90}">
      <formula1>Montage_sonde</formula1>
    </dataValidation>
    <dataValidation type="list" allowBlank="1" showInputMessage="1" showErrorMessage="1" sqref="N11" xr:uid="{9644397E-725F-4BB5-A648-335F3817F2F3}">
      <formula1>Frequence</formula1>
    </dataValidation>
  </dataValidations>
  <pageMargins left="0.7" right="0.7" top="0.75" bottom="0.75" header="0.3" footer="0.3"/>
  <pageSetup paperSize="9" scale="3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FFFB-38C0-41DE-9982-CF4975A4A351}">
  <sheetPr codeName="Feuil26">
    <tabColor rgb="FF0070C0"/>
  </sheetPr>
  <dimension ref="B1:U41"/>
  <sheetViews>
    <sheetView showGridLines="0" topLeftCell="G8" workbookViewId="0">
      <selection activeCell="U1" sqref="U1:U1048576"/>
    </sheetView>
  </sheetViews>
  <sheetFormatPr baseColWidth="10" defaultColWidth="10.703125" defaultRowHeight="20.100000000000001" customHeight="1" outlineLevelRow="1" x14ac:dyDescent="0.4"/>
  <cols>
    <col min="1" max="2" width="2.703125" style="597" customWidth="1"/>
    <col min="3" max="18" width="10.703125" style="597"/>
    <col min="19" max="20" width="2.703125" style="597" customWidth="1"/>
    <col min="21" max="21" width="10.703125" style="602"/>
    <col min="22" max="16384" width="10.703125" style="597"/>
  </cols>
  <sheetData>
    <row r="1" spans="2:19" ht="9.9499999999999993" customHeight="1" thickBot="1" x14ac:dyDescent="0.45">
      <c r="B1" s="611"/>
      <c r="C1" s="612"/>
      <c r="D1" s="612"/>
      <c r="E1" s="612"/>
      <c r="F1" s="612"/>
      <c r="G1" s="612"/>
      <c r="H1" s="612"/>
      <c r="I1" s="612"/>
      <c r="J1" s="612"/>
      <c r="K1" s="612"/>
      <c r="L1" s="612"/>
      <c r="M1" s="612"/>
      <c r="N1" s="612"/>
      <c r="O1" s="612"/>
      <c r="P1" s="612"/>
      <c r="Q1" s="612"/>
      <c r="R1" s="612"/>
      <c r="S1" s="613"/>
    </row>
    <row r="2" spans="2:19" ht="30" customHeight="1" thickTop="1" x14ac:dyDescent="0.4">
      <c r="B2" s="598"/>
      <c r="C2" s="1157" t="s">
        <v>539</v>
      </c>
      <c r="D2" s="977"/>
      <c r="E2" s="977"/>
      <c r="F2" s="977"/>
      <c r="G2" s="977"/>
      <c r="H2" s="977"/>
      <c r="I2" s="977"/>
      <c r="J2" s="977"/>
      <c r="K2" s="977"/>
      <c r="L2" s="977"/>
      <c r="M2" s="977"/>
      <c r="N2" s="977"/>
      <c r="O2" s="977"/>
      <c r="P2" s="977"/>
      <c r="Q2" s="977"/>
      <c r="R2" s="978"/>
      <c r="S2" s="601"/>
    </row>
    <row r="3" spans="2:19" ht="20.100000000000001" customHeight="1" x14ac:dyDescent="0.4">
      <c r="B3" s="598"/>
      <c r="C3" s="1261" t="s">
        <v>818</v>
      </c>
      <c r="D3" s="1262"/>
      <c r="E3" s="1263" t="str">
        <f>IF(ISBLANK(Descriptif!T3),"",Descriptif!T3)</f>
        <v/>
      </c>
      <c r="F3" s="1263"/>
      <c r="G3" s="1263"/>
      <c r="H3" s="1262" t="s">
        <v>540</v>
      </c>
      <c r="I3" s="1262"/>
      <c r="J3" s="1263" t="s">
        <v>829</v>
      </c>
      <c r="K3" s="1263"/>
      <c r="L3" s="1263"/>
      <c r="M3" s="1264" t="s">
        <v>486</v>
      </c>
      <c r="N3" s="1264"/>
      <c r="O3" s="1264"/>
      <c r="P3" s="1263" t="str">
        <f>IF(ISBLANK(Descriptif!T3),"",Descriptif!G6)</f>
        <v/>
      </c>
      <c r="Q3" s="1263"/>
      <c r="R3" s="1265"/>
      <c r="S3" s="601"/>
    </row>
    <row r="4" spans="2:19" ht="20.100000000000001" customHeight="1" x14ac:dyDescent="0.4">
      <c r="B4" s="598"/>
      <c r="C4" s="1261" t="s">
        <v>541</v>
      </c>
      <c r="D4" s="1262"/>
      <c r="E4" s="1263" t="str">
        <f>IF(ISBLANK(Descriptif!T4),"",Descriptif!T4)</f>
        <v/>
      </c>
      <c r="F4" s="1263"/>
      <c r="G4" s="1263"/>
      <c r="H4" s="1262" t="s">
        <v>542</v>
      </c>
      <c r="I4" s="1262"/>
      <c r="J4" s="1263" t="s">
        <v>830</v>
      </c>
      <c r="K4" s="1263"/>
      <c r="L4" s="1263"/>
      <c r="M4" s="1264" t="s">
        <v>543</v>
      </c>
      <c r="N4" s="1264"/>
      <c r="O4" s="1264"/>
      <c r="P4" s="1263"/>
      <c r="Q4" s="1263"/>
      <c r="R4" s="1265"/>
      <c r="S4" s="601"/>
    </row>
    <row r="5" spans="2:19" ht="20.100000000000001" customHeight="1" x14ac:dyDescent="0.4">
      <c r="B5" s="598"/>
      <c r="C5" s="1261" t="s">
        <v>544</v>
      </c>
      <c r="D5" s="1262"/>
      <c r="E5" s="1263" t="str">
        <f>IF(ISBLANK(Descriptif!G5),"",Descriptif!G5)</f>
        <v>Commune de Barjac</v>
      </c>
      <c r="F5" s="1263"/>
      <c r="G5" s="1263"/>
      <c r="H5" s="1262" t="s">
        <v>545</v>
      </c>
      <c r="I5" s="1262"/>
      <c r="J5" s="1263"/>
      <c r="K5" s="1263"/>
      <c r="L5" s="1263"/>
      <c r="M5" s="1264" t="s">
        <v>546</v>
      </c>
      <c r="N5" s="1264"/>
      <c r="O5" s="1264"/>
      <c r="P5" s="1263"/>
      <c r="Q5" s="1263"/>
      <c r="R5" s="1265"/>
      <c r="S5" s="601"/>
    </row>
    <row r="6" spans="2:19" ht="20.100000000000001" customHeight="1" thickBot="1" x14ac:dyDescent="0.45">
      <c r="B6" s="598"/>
      <c r="C6" s="1256" t="s">
        <v>547</v>
      </c>
      <c r="D6" s="1257"/>
      <c r="E6" s="1258" t="str">
        <f>IF(ISBLANK(Descriptif!T5),"",Descriptif!T5)</f>
        <v/>
      </c>
      <c r="F6" s="1258"/>
      <c r="G6" s="1258"/>
      <c r="H6" s="1257" t="s">
        <v>781</v>
      </c>
      <c r="I6" s="1257"/>
      <c r="J6" s="1258" t="s">
        <v>37</v>
      </c>
      <c r="K6" s="1258"/>
      <c r="L6" s="1258"/>
      <c r="M6" s="1259" t="s">
        <v>549</v>
      </c>
      <c r="N6" s="1259"/>
      <c r="O6" s="1259"/>
      <c r="P6" s="1258"/>
      <c r="Q6" s="1258"/>
      <c r="R6" s="1260"/>
      <c r="S6" s="601"/>
    </row>
    <row r="7" spans="2:19" ht="9.9499999999999993" customHeight="1" thickTop="1" thickBot="1" x14ac:dyDescent="0.45">
      <c r="B7" s="598"/>
      <c r="C7" s="30"/>
      <c r="D7" s="30"/>
      <c r="E7" s="30"/>
      <c r="F7" s="30"/>
      <c r="G7" s="30"/>
      <c r="H7" s="30"/>
      <c r="I7" s="30"/>
      <c r="J7" s="30"/>
      <c r="K7" s="30"/>
      <c r="L7" s="30"/>
      <c r="M7" s="30"/>
      <c r="N7" s="30"/>
      <c r="O7" s="30"/>
      <c r="P7" s="30"/>
      <c r="Q7" s="30"/>
      <c r="R7" s="30"/>
      <c r="S7" s="601"/>
    </row>
    <row r="8" spans="2:19" ht="20.100000000000001" customHeight="1" thickTop="1" thickBot="1" x14ac:dyDescent="0.45">
      <c r="B8" s="598"/>
      <c r="C8" s="1119" t="s">
        <v>581</v>
      </c>
      <c r="D8" s="1120"/>
      <c r="E8" s="1120"/>
      <c r="F8" s="1120"/>
      <c r="G8" s="1120"/>
      <c r="H8" s="1120"/>
      <c r="I8" s="1120"/>
      <c r="J8" s="1120"/>
      <c r="K8" s="1120"/>
      <c r="L8" s="1120"/>
      <c r="M8" s="1120"/>
      <c r="N8" s="1120"/>
      <c r="O8" s="1120"/>
      <c r="P8" s="1120"/>
      <c r="Q8" s="1120"/>
      <c r="R8" s="1141"/>
      <c r="S8" s="601"/>
    </row>
    <row r="9" spans="2:19" ht="20.100000000000001" customHeight="1" outlineLevel="1" thickTop="1" x14ac:dyDescent="0.4">
      <c r="B9" s="598"/>
      <c r="C9" s="614"/>
      <c r="D9" s="615"/>
      <c r="E9" s="615"/>
      <c r="F9" s="615"/>
      <c r="G9" s="615"/>
      <c r="H9" s="615"/>
      <c r="I9" s="615"/>
      <c r="J9" s="615"/>
      <c r="K9" s="615"/>
      <c r="L9" s="615"/>
      <c r="M9" s="615"/>
      <c r="N9" s="615"/>
      <c r="O9" s="615"/>
      <c r="P9" s="615"/>
      <c r="Q9" s="615"/>
      <c r="R9" s="616"/>
      <c r="S9" s="601"/>
    </row>
    <row r="10" spans="2:19" ht="20.100000000000001" customHeight="1" outlineLevel="1" x14ac:dyDescent="0.4">
      <c r="B10" s="598"/>
      <c r="C10" s="588"/>
      <c r="D10" s="1101" t="s">
        <v>582</v>
      </c>
      <c r="E10" s="1102"/>
      <c r="F10" s="1102"/>
      <c r="G10" s="1102"/>
      <c r="H10" s="1102"/>
      <c r="I10" s="1102"/>
      <c r="J10" s="1102"/>
      <c r="K10" s="1102"/>
      <c r="L10" s="1102"/>
      <c r="M10" s="1102"/>
      <c r="N10" s="1102"/>
      <c r="O10" s="1102"/>
      <c r="P10" s="1102"/>
      <c r="Q10" s="1123"/>
      <c r="R10" s="589"/>
      <c r="S10" s="601"/>
    </row>
    <row r="11" spans="2:19" ht="20.100000000000001" customHeight="1" outlineLevel="1" x14ac:dyDescent="0.4">
      <c r="B11" s="598"/>
      <c r="C11" s="599"/>
      <c r="D11" s="1242" t="s">
        <v>387</v>
      </c>
      <c r="E11" s="1243"/>
      <c r="F11" s="1244"/>
      <c r="G11" s="1253"/>
      <c r="H11" s="1254"/>
      <c r="I11" s="1254"/>
      <c r="J11" s="1255"/>
      <c r="K11" s="1242" t="s">
        <v>126</v>
      </c>
      <c r="L11" s="1243"/>
      <c r="M11" s="1244"/>
      <c r="N11" s="1253"/>
      <c r="O11" s="1254"/>
      <c r="P11" s="1254"/>
      <c r="Q11" s="1255"/>
      <c r="R11" s="600"/>
      <c r="S11" s="601"/>
    </row>
    <row r="12" spans="2:19" ht="20.100000000000001" customHeight="1" outlineLevel="1" x14ac:dyDescent="0.4">
      <c r="B12" s="598"/>
      <c r="C12" s="599"/>
      <c r="D12" s="1242" t="s">
        <v>583</v>
      </c>
      <c r="E12" s="1243"/>
      <c r="F12" s="1244"/>
      <c r="G12" s="1253"/>
      <c r="H12" s="1254"/>
      <c r="I12" s="1254"/>
      <c r="J12" s="1255"/>
      <c r="K12" s="1242" t="s">
        <v>584</v>
      </c>
      <c r="L12" s="1243"/>
      <c r="M12" s="1244"/>
      <c r="N12" s="1253"/>
      <c r="O12" s="1254"/>
      <c r="P12" s="1254"/>
      <c r="Q12" s="1255"/>
      <c r="R12" s="600"/>
      <c r="S12" s="601"/>
    </row>
    <row r="13" spans="2:19" ht="20.100000000000001" customHeight="1" outlineLevel="1" x14ac:dyDescent="0.4">
      <c r="B13" s="598"/>
      <c r="C13" s="599"/>
      <c r="D13" s="1242" t="s">
        <v>585</v>
      </c>
      <c r="E13" s="1243"/>
      <c r="F13" s="1244"/>
      <c r="G13" s="1253"/>
      <c r="H13" s="1254"/>
      <c r="I13" s="1254"/>
      <c r="J13" s="1255"/>
      <c r="K13" s="1242" t="s">
        <v>597</v>
      </c>
      <c r="L13" s="1243"/>
      <c r="M13" s="1244"/>
      <c r="N13" s="1253"/>
      <c r="O13" s="1254"/>
      <c r="P13" s="1254"/>
      <c r="Q13" s="1255"/>
      <c r="R13" s="600"/>
      <c r="S13" s="601"/>
    </row>
    <row r="14" spans="2:19" ht="20.100000000000001" customHeight="1" outlineLevel="1" x14ac:dyDescent="0.4">
      <c r="B14" s="598"/>
      <c r="C14" s="599"/>
      <c r="D14" s="1242" t="s">
        <v>586</v>
      </c>
      <c r="E14" s="1243"/>
      <c r="F14" s="1244"/>
      <c r="G14" s="1253"/>
      <c r="H14" s="1254"/>
      <c r="I14" s="1254"/>
      <c r="J14" s="1255"/>
      <c r="K14" s="1242" t="s">
        <v>598</v>
      </c>
      <c r="L14" s="1243"/>
      <c r="M14" s="1244"/>
      <c r="N14" s="1253"/>
      <c r="O14" s="1254"/>
      <c r="P14" s="1254"/>
      <c r="Q14" s="1255"/>
      <c r="R14" s="600"/>
      <c r="S14" s="601"/>
    </row>
    <row r="15" spans="2:19" ht="20.100000000000001" customHeight="1" outlineLevel="1" x14ac:dyDescent="0.4">
      <c r="B15" s="598"/>
      <c r="C15" s="599"/>
      <c r="D15" s="30"/>
      <c r="E15" s="30"/>
      <c r="F15" s="30"/>
      <c r="G15" s="30"/>
      <c r="H15" s="30"/>
      <c r="I15" s="30"/>
      <c r="J15" s="30"/>
      <c r="K15" s="30"/>
      <c r="L15" s="30"/>
      <c r="M15" s="30"/>
      <c r="N15" s="30"/>
      <c r="O15" s="30"/>
      <c r="P15" s="30"/>
      <c r="Q15" s="30"/>
      <c r="R15" s="600"/>
      <c r="S15" s="601"/>
    </row>
    <row r="16" spans="2:19" ht="20.100000000000001" customHeight="1" outlineLevel="1" x14ac:dyDescent="0.4">
      <c r="B16" s="598"/>
      <c r="C16" s="599"/>
      <c r="D16" s="1101" t="s">
        <v>824</v>
      </c>
      <c r="E16" s="1102"/>
      <c r="F16" s="1102"/>
      <c r="G16" s="1102"/>
      <c r="H16" s="1102"/>
      <c r="I16" s="1123"/>
      <c r="J16" s="30"/>
      <c r="K16" s="30"/>
      <c r="L16" s="30"/>
      <c r="M16" s="30"/>
      <c r="N16" s="30"/>
      <c r="O16" s="30"/>
      <c r="P16" s="30"/>
      <c r="Q16" s="30"/>
      <c r="R16" s="600"/>
      <c r="S16" s="601"/>
    </row>
    <row r="17" spans="2:21" ht="20.100000000000001" customHeight="1" outlineLevel="1" x14ac:dyDescent="0.4">
      <c r="B17" s="598"/>
      <c r="C17" s="599"/>
      <c r="D17" s="1365" t="s">
        <v>600</v>
      </c>
      <c r="E17" s="1365"/>
      <c r="F17" s="1366" t="s">
        <v>381</v>
      </c>
      <c r="G17" s="1366"/>
      <c r="H17" s="1367" t="s">
        <v>601</v>
      </c>
      <c r="I17" s="1367"/>
      <c r="J17" s="30"/>
      <c r="K17" s="30"/>
      <c r="L17" s="30"/>
      <c r="M17" s="30"/>
      <c r="N17" s="30"/>
      <c r="O17" s="30"/>
      <c r="P17" s="30"/>
      <c r="Q17" s="30"/>
      <c r="R17" s="600"/>
      <c r="S17" s="601"/>
    </row>
    <row r="18" spans="2:21" ht="20.100000000000001" customHeight="1" outlineLevel="1" x14ac:dyDescent="0.4">
      <c r="B18" s="598"/>
      <c r="C18" s="599"/>
      <c r="D18" s="1094"/>
      <c r="E18" s="1094"/>
      <c r="F18" s="1094"/>
      <c r="G18" s="1094"/>
      <c r="H18" s="1093" t="str">
        <f>IF(D18&gt;0,D18-F18,"-")</f>
        <v>-</v>
      </c>
      <c r="I18" s="1093"/>
      <c r="J18" s="30"/>
      <c r="K18" s="30"/>
      <c r="L18" s="30"/>
      <c r="M18" s="30"/>
      <c r="N18" s="30"/>
      <c r="O18" s="30"/>
      <c r="P18" s="30"/>
      <c r="Q18" s="30"/>
      <c r="R18" s="600"/>
      <c r="S18" s="601"/>
      <c r="U18" s="602">
        <f>IF(H18&lt;&gt;"-",IF(ABS(H18)&gt;1, 1,0),-1)</f>
        <v>-1</v>
      </c>
    </row>
    <row r="19" spans="2:21" ht="20.100000000000001" customHeight="1" outlineLevel="1" x14ac:dyDescent="0.4">
      <c r="B19" s="598"/>
      <c r="C19" s="599"/>
      <c r="D19" s="1363"/>
      <c r="E19" s="1363"/>
      <c r="F19" s="1363"/>
      <c r="G19" s="1363"/>
      <c r="H19" s="1364" t="str">
        <f>IF(D19&gt;0,D19-F19,"-")</f>
        <v>-</v>
      </c>
      <c r="I19" s="1364"/>
      <c r="J19" s="30"/>
      <c r="K19" s="30"/>
      <c r="L19" s="30"/>
      <c r="M19" s="30"/>
      <c r="N19" s="30"/>
      <c r="O19" s="30"/>
      <c r="P19" s="30"/>
      <c r="Q19" s="30"/>
      <c r="R19" s="600"/>
      <c r="S19" s="601"/>
      <c r="U19" s="602">
        <f>IF(H19&lt;&gt;"-",IF(ABS(H19)&gt;1, 1,0),-1)</f>
        <v>-1</v>
      </c>
    </row>
    <row r="20" spans="2:21" ht="20.100000000000001" customHeight="1" outlineLevel="1" thickBot="1" x14ac:dyDescent="0.45">
      <c r="B20" s="598"/>
      <c r="C20" s="603"/>
      <c r="D20" s="604"/>
      <c r="E20" s="604"/>
      <c r="F20" s="604"/>
      <c r="G20" s="604"/>
      <c r="H20" s="604"/>
      <c r="I20" s="604"/>
      <c r="J20" s="604"/>
      <c r="K20" s="604"/>
      <c r="L20" s="604"/>
      <c r="M20" s="604"/>
      <c r="N20" s="604"/>
      <c r="O20" s="604"/>
      <c r="P20" s="604"/>
      <c r="Q20" s="604"/>
      <c r="R20" s="605"/>
      <c r="S20" s="601"/>
      <c r="U20" s="602" t="str">
        <f>IF(MAX(U18:U19)&gt;-1,IF(MAX(U18:U19)=1,"Non validé","Validé"),"Non contrôlé")</f>
        <v>Non contrôlé</v>
      </c>
    </row>
    <row r="21" spans="2:21" ht="9.9499999999999993" customHeight="1" thickTop="1" thickBot="1" x14ac:dyDescent="0.45">
      <c r="B21" s="598"/>
      <c r="C21" s="30"/>
      <c r="D21" s="30"/>
      <c r="E21" s="30"/>
      <c r="F21" s="30"/>
      <c r="G21" s="30"/>
      <c r="H21" s="30"/>
      <c r="I21" s="30"/>
      <c r="J21" s="30"/>
      <c r="K21" s="30"/>
      <c r="L21" s="30"/>
      <c r="M21" s="30"/>
      <c r="N21" s="30"/>
      <c r="O21" s="30"/>
      <c r="P21" s="30"/>
      <c r="Q21" s="30"/>
      <c r="R21" s="30"/>
      <c r="S21" s="601"/>
    </row>
    <row r="22" spans="2:21" ht="20.100000000000001" customHeight="1" thickTop="1" thickBot="1" x14ac:dyDescent="0.45">
      <c r="B22" s="598"/>
      <c r="C22" s="1119" t="s">
        <v>575</v>
      </c>
      <c r="D22" s="1120"/>
      <c r="E22" s="1120"/>
      <c r="F22" s="1120"/>
      <c r="G22" s="1120"/>
      <c r="H22" s="1120"/>
      <c r="I22" s="1120"/>
      <c r="J22" s="1120"/>
      <c r="K22" s="1120"/>
      <c r="L22" s="1120"/>
      <c r="M22" s="1120"/>
      <c r="N22" s="1120"/>
      <c r="O22" s="1120"/>
      <c r="P22" s="1120"/>
      <c r="Q22" s="1120"/>
      <c r="R22" s="1141"/>
      <c r="S22" s="601"/>
    </row>
    <row r="23" spans="2:21" ht="20.100000000000001" customHeight="1" outlineLevel="1" thickTop="1" x14ac:dyDescent="0.4">
      <c r="B23" s="598"/>
      <c r="C23" s="599"/>
      <c r="D23" s="30"/>
      <c r="E23" s="30"/>
      <c r="F23" s="30"/>
      <c r="G23" s="30"/>
      <c r="H23" s="30"/>
      <c r="I23" s="30"/>
      <c r="J23" s="30"/>
      <c r="K23" s="30"/>
      <c r="L23" s="30"/>
      <c r="M23" s="30"/>
      <c r="N23" s="30"/>
      <c r="O23" s="30"/>
      <c r="P23" s="30"/>
      <c r="Q23" s="30"/>
      <c r="R23" s="600"/>
      <c r="S23" s="601"/>
    </row>
    <row r="24" spans="2:21" ht="30" customHeight="1" outlineLevel="1" x14ac:dyDescent="0.4">
      <c r="B24" s="598"/>
      <c r="C24" s="588"/>
      <c r="D24" s="1229" t="s">
        <v>37</v>
      </c>
      <c r="E24" s="1229"/>
      <c r="F24" s="1229"/>
      <c r="G24" s="1229"/>
      <c r="H24" s="1229"/>
      <c r="I24" s="1229"/>
      <c r="J24" s="1229"/>
      <c r="K24" s="1229"/>
      <c r="L24" s="1229"/>
      <c r="M24" s="1229"/>
      <c r="N24" s="1229"/>
      <c r="O24" s="1229"/>
      <c r="P24" s="1229"/>
      <c r="Q24" s="1229"/>
      <c r="R24" s="589"/>
      <c r="S24" s="601"/>
    </row>
    <row r="25" spans="2:21" ht="20.100000000000001" customHeight="1" outlineLevel="1" x14ac:dyDescent="0.4">
      <c r="B25" s="598"/>
      <c r="C25" s="588"/>
      <c r="D25" s="1354" t="s">
        <v>407</v>
      </c>
      <c r="E25" s="1355"/>
      <c r="F25" s="1355"/>
      <c r="G25" s="1355"/>
      <c r="H25" s="1355"/>
      <c r="I25" s="1356"/>
      <c r="J25" s="1354" t="s">
        <v>377</v>
      </c>
      <c r="K25" s="1355"/>
      <c r="L25" s="1355"/>
      <c r="M25" s="1356"/>
      <c r="N25" s="1357" t="s">
        <v>242</v>
      </c>
      <c r="O25" s="1357"/>
      <c r="P25" s="747" t="s">
        <v>409</v>
      </c>
      <c r="Q25" s="747" t="s">
        <v>576</v>
      </c>
      <c r="R25" s="589"/>
      <c r="S25" s="601"/>
      <c r="U25" s="602" t="s">
        <v>61</v>
      </c>
    </row>
    <row r="26" spans="2:21" ht="99.95" customHeight="1" outlineLevel="1" x14ac:dyDescent="0.4">
      <c r="B26" s="598"/>
      <c r="C26" s="588"/>
      <c r="D26" s="606">
        <v>1</v>
      </c>
      <c r="E26" s="1222" t="str">
        <f>IFERROR(HLOOKUP($D$24,Critères!$B$3:$BM$16,D26+2,FALSE),"")</f>
        <v>L'accès à l'ouvrage et aux équipements de mesure se fait-il en toute sécurité pour les agents en charge des opérations de contrôles et d'entretien ?</v>
      </c>
      <c r="F26" s="1223"/>
      <c r="G26" s="1223"/>
      <c r="H26" s="1223"/>
      <c r="I26" s="1223"/>
      <c r="J26" s="1222" t="str">
        <f>IFERROR(INDEX(Critères!$B$3:$BM$16, D26+2, MATCH($D$24, Critères!$B$3:$BM$3, 0) + 1),"")</f>
        <v>En cas d'accès nécessitant des équipements de protection individuels renforcés (ARI par exemple) ou d'intervenir à 2 personnes, retenir "Validé avec réserve"</v>
      </c>
      <c r="K26" s="1223"/>
      <c r="L26" s="1223"/>
      <c r="M26" s="1224"/>
      <c r="N26" s="1064"/>
      <c r="O26" s="1063"/>
      <c r="P26" s="742">
        <f>IF(OR(N26="Validé",N26="Validé avec réserve"),Q26,0)</f>
        <v>0</v>
      </c>
      <c r="Q26" s="742">
        <f>IFERROR(INDEX(Critères!$B$3:$BM$16, D26+2, MATCH($D$24,Critères!$B$3:$BM$3, 0) + 2),"")</f>
        <v>10</v>
      </c>
      <c r="R26" s="589"/>
      <c r="S26" s="601"/>
      <c r="U26" s="602" t="s">
        <v>159</v>
      </c>
    </row>
    <row r="27" spans="2:21" ht="99.95" customHeight="1" outlineLevel="1" x14ac:dyDescent="0.4">
      <c r="B27" s="598"/>
      <c r="C27" s="588"/>
      <c r="D27" s="606">
        <v>2</v>
      </c>
      <c r="E27" s="1222" t="str">
        <f>IFERROR(HLOOKUP($D$24,Critères!$B$3:$BM$16,D27+2,FALSE),"")</f>
        <v>Le pluviomètre présente t-il une section suffisante ?</v>
      </c>
      <c r="F27" s="1223"/>
      <c r="G27" s="1223"/>
      <c r="H27" s="1223"/>
      <c r="I27" s="1223"/>
      <c r="J27" s="1222" t="str">
        <f>IFERROR(INDEX(Critères!$B$3:$BM$16, D27+2, MATCH($D$24, Critères!$B$3:$BM$3, 0) + 1),"")</f>
        <v>Entre 180 et 1 000 cm2, soit un diamètre variant entre 15 et 35 cm.</v>
      </c>
      <c r="K27" s="1223"/>
      <c r="L27" s="1223"/>
      <c r="M27" s="1224"/>
      <c r="N27" s="1064" t="str">
        <f>IF(N13&lt;&gt;"",IF(AND(N13&gt;=15,N13&lt;=35),"Validé","Non validé"),"Non contrôlé")</f>
        <v>Non contrôlé</v>
      </c>
      <c r="O27" s="1063"/>
      <c r="P27" s="742">
        <f>IF(OR(N27="Validé",N27="Validé avec réserve"),Q27,0)</f>
        <v>0</v>
      </c>
      <c r="Q27" s="742">
        <f>IFERROR(INDEX(Critères!$B$3:$BM$16, D27+2, MATCH($D$24,Critères!$B$3:$BM$3, 0) + 2),"")</f>
        <v>20</v>
      </c>
      <c r="R27" s="589"/>
      <c r="S27" s="601"/>
      <c r="U27" s="602" t="s">
        <v>159</v>
      </c>
    </row>
    <row r="28" spans="2:21" ht="99.95" customHeight="1" outlineLevel="1" x14ac:dyDescent="0.4">
      <c r="B28" s="598"/>
      <c r="C28" s="588"/>
      <c r="D28" s="606">
        <v>3</v>
      </c>
      <c r="E28" s="1222" t="str">
        <f>IFERROR(HLOOKUP($D$24,Critères!$B$3:$BM$16,D28+2,FALSE),"")</f>
        <v>Le pluviomètre est-il installé conformément aux règles de l'art et/ou aux prescriptions des constructeurs ?</v>
      </c>
      <c r="F28" s="1223"/>
      <c r="G28" s="1223"/>
      <c r="H28" s="1223"/>
      <c r="I28" s="1223"/>
      <c r="J28" s="1222" t="str">
        <f>IFERROR(INDEX(Critères!$B$3:$BM$16, D28+2, MATCH($D$24, Critères!$B$3:$BM$3, 0) + 1),"")</f>
        <v>Sur une surface horizontale, entre 0,5 et 2 mètres du sol (1 mètre recommandé), à une distance supérieure à 4 fois la hauteur d'obstacles(mur, arbres, etc…).</v>
      </c>
      <c r="K28" s="1223"/>
      <c r="L28" s="1223"/>
      <c r="M28" s="1224"/>
      <c r="N28" s="1064"/>
      <c r="O28" s="1063"/>
      <c r="P28" s="742">
        <f t="shared" ref="P28:P30" si="0">IF(OR(N28="Validé",N28="Validé avec réserve"),Q28,0)</f>
        <v>0</v>
      </c>
      <c r="Q28" s="742">
        <f>IFERROR(INDEX(Critères!$B$3:$BM$16, D28+2, MATCH($D$24,Critères!$B$3:$BM$3, 0) + 2),"")</f>
        <v>20</v>
      </c>
      <c r="R28" s="589"/>
      <c r="S28" s="601"/>
      <c r="U28" s="602" t="s">
        <v>159</v>
      </c>
    </row>
    <row r="29" spans="2:21" ht="99.95" customHeight="1" outlineLevel="1" x14ac:dyDescent="0.4">
      <c r="B29" s="598"/>
      <c r="C29" s="588"/>
      <c r="D29" s="606">
        <v>4</v>
      </c>
      <c r="E29" s="1222" t="str">
        <f>IFERROR(HLOOKUP($D$24,Critères!$B$3:$BM$16,D29+2,FALSE),"")</f>
        <v>La propreté et l'état d'entretien du pluviomètre, sont-ils satisfaisants ?</v>
      </c>
      <c r="F29" s="1223"/>
      <c r="G29" s="1223"/>
      <c r="H29" s="1223"/>
      <c r="I29" s="1223"/>
      <c r="J29" s="1222"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223"/>
      <c r="L29" s="1223"/>
      <c r="M29" s="1224"/>
      <c r="N29" s="1064"/>
      <c r="O29" s="1063"/>
      <c r="P29" s="742">
        <f t="shared" si="0"/>
        <v>0</v>
      </c>
      <c r="Q29" s="742">
        <f>IFERROR(INDEX(Critères!$B$3:$BM$16, D29+2, MATCH($D$24,Critères!$B$3:$BM$3, 0) + 2),"")</f>
        <v>20</v>
      </c>
      <c r="R29" s="589"/>
      <c r="S29" s="601"/>
      <c r="U29" s="602" t="s">
        <v>159</v>
      </c>
    </row>
    <row r="30" spans="2:21" ht="99.95" customHeight="1" outlineLevel="1" x14ac:dyDescent="0.4">
      <c r="B30" s="598"/>
      <c r="C30" s="588"/>
      <c r="D30" s="606">
        <v>5</v>
      </c>
      <c r="E30" s="1222" t="str">
        <f>IFERROR(HLOOKUP($D$24,Critères!$B$3:$BM$16,D30+2,FALSE),"")</f>
        <v>L'écart entre d'une part la mesure de la hauteur de pluie réalisée à partir du dispositif en place et celle réalisée par l'organisme de contrôle d'autre part, est-il cohérent (EMT ± 1 unité) ?</v>
      </c>
      <c r="F30" s="1223"/>
      <c r="G30" s="1223"/>
      <c r="H30" s="1223"/>
      <c r="I30" s="1223"/>
      <c r="J30" s="1222">
        <f>IFERROR(INDEX(Critères!$B$3:$BM$16, D30+2, MATCH($D$24, Critères!$B$3:$BM$3, 0) + 1),"")</f>
        <v>0</v>
      </c>
      <c r="K30" s="1223"/>
      <c r="L30" s="1223"/>
      <c r="M30" s="1224"/>
      <c r="N30" s="1064" t="str">
        <f>U20</f>
        <v>Non contrôlé</v>
      </c>
      <c r="O30" s="1063"/>
      <c r="P30" s="742">
        <f t="shared" si="0"/>
        <v>0</v>
      </c>
      <c r="Q30" s="742">
        <f>IFERROR(INDEX(Critères!$B$3:$BM$16, D30+2, MATCH($D$24,Critères!$B$3:$BM$3, 0) + 2),"")</f>
        <v>30</v>
      </c>
      <c r="R30" s="589"/>
      <c r="S30" s="601"/>
      <c r="U30" s="602" t="s">
        <v>159</v>
      </c>
    </row>
    <row r="31" spans="2:21" ht="20.100000000000001" customHeight="1" outlineLevel="1" x14ac:dyDescent="0.4">
      <c r="B31" s="598"/>
      <c r="C31" s="588"/>
      <c r="D31" s="1360" t="s">
        <v>75</v>
      </c>
      <c r="E31" s="1360"/>
      <c r="F31" s="1360"/>
      <c r="G31" s="1360"/>
      <c r="H31" s="1360"/>
      <c r="I31" s="1360"/>
      <c r="J31" s="1360"/>
      <c r="K31" s="1360"/>
      <c r="L31" s="1360"/>
      <c r="M31" s="1360"/>
      <c r="N31" s="1218" t="s">
        <v>413</v>
      </c>
      <c r="O31" s="1218"/>
      <c r="P31" s="1218" t="s">
        <v>64</v>
      </c>
      <c r="Q31" s="1218"/>
      <c r="R31" s="589"/>
      <c r="S31" s="601"/>
    </row>
    <row r="32" spans="2:21" ht="99.95" customHeight="1" outlineLevel="1" x14ac:dyDescent="0.4">
      <c r="B32" s="598"/>
      <c r="C32" s="588"/>
      <c r="D32" s="1361"/>
      <c r="E32" s="1361"/>
      <c r="F32" s="1361"/>
      <c r="G32" s="1361"/>
      <c r="H32" s="1361"/>
      <c r="I32" s="1361"/>
      <c r="J32" s="1361"/>
      <c r="K32" s="1361"/>
      <c r="L32" s="1361"/>
      <c r="M32" s="1361"/>
      <c r="N32" s="994"/>
      <c r="O32" s="994"/>
      <c r="P32" s="1362">
        <f>IF(SUM(P26:P30)&gt;100,100,SUM(P26:P30))</f>
        <v>0</v>
      </c>
      <c r="Q32" s="1362"/>
      <c r="R32" s="589"/>
      <c r="S32" s="601"/>
    </row>
    <row r="33" spans="2:19" ht="20.100000000000001" customHeight="1" outlineLevel="1" thickBot="1" x14ac:dyDescent="0.45">
      <c r="B33" s="598"/>
      <c r="C33" s="591"/>
      <c r="D33" s="592"/>
      <c r="E33" s="592"/>
      <c r="F33" s="592"/>
      <c r="G33" s="592"/>
      <c r="H33" s="592"/>
      <c r="I33" s="592"/>
      <c r="J33" s="592"/>
      <c r="K33" s="592"/>
      <c r="L33" s="592"/>
      <c r="M33" s="592"/>
      <c r="N33" s="592"/>
      <c r="O33" s="592"/>
      <c r="P33" s="592"/>
      <c r="Q33" s="592"/>
      <c r="R33" s="593"/>
      <c r="S33" s="601"/>
    </row>
    <row r="34" spans="2:19" ht="9.9499999999999993" customHeight="1" thickTop="1" thickBot="1" x14ac:dyDescent="0.45">
      <c r="B34" s="598"/>
      <c r="C34" s="587"/>
      <c r="D34" s="587"/>
      <c r="E34" s="587"/>
      <c r="F34" s="587"/>
      <c r="G34" s="587"/>
      <c r="H34" s="587"/>
      <c r="I34" s="587"/>
      <c r="J34" s="587"/>
      <c r="K34" s="587"/>
      <c r="L34" s="587"/>
      <c r="M34" s="587"/>
      <c r="N34" s="587"/>
      <c r="O34" s="587"/>
      <c r="P34" s="587"/>
      <c r="Q34" s="587"/>
      <c r="R34" s="587"/>
      <c r="S34" s="601"/>
    </row>
    <row r="35" spans="2:19" ht="20.100000000000001" customHeight="1" thickTop="1" thickBot="1" x14ac:dyDescent="0.45">
      <c r="B35" s="598"/>
      <c r="C35" s="1119" t="s">
        <v>256</v>
      </c>
      <c r="D35" s="1120"/>
      <c r="E35" s="1120"/>
      <c r="F35" s="1120"/>
      <c r="G35" s="1120"/>
      <c r="H35" s="1120"/>
      <c r="I35" s="1120"/>
      <c r="J35" s="1120"/>
      <c r="K35" s="1120"/>
      <c r="L35" s="1120"/>
      <c r="M35" s="1120"/>
      <c r="N35" s="1120"/>
      <c r="O35" s="1120"/>
      <c r="P35" s="1120"/>
      <c r="Q35" s="1120"/>
      <c r="R35" s="1141"/>
      <c r="S35" s="601"/>
    </row>
    <row r="36" spans="2:19" ht="20.100000000000001" customHeight="1" thickTop="1" x14ac:dyDescent="0.4">
      <c r="B36" s="598"/>
      <c r="C36" s="1208"/>
      <c r="D36" s="1209"/>
      <c r="E36" s="1209"/>
      <c r="F36" s="1209"/>
      <c r="G36" s="1209"/>
      <c r="H36" s="1209"/>
      <c r="I36" s="1209"/>
      <c r="J36" s="1209"/>
      <c r="K36" s="1209"/>
      <c r="L36" s="1209"/>
      <c r="M36" s="1209"/>
      <c r="N36" s="1209"/>
      <c r="O36" s="1209"/>
      <c r="P36" s="1209"/>
      <c r="Q36" s="1209"/>
      <c r="R36" s="1210"/>
      <c r="S36" s="601"/>
    </row>
    <row r="37" spans="2:19" ht="20.100000000000001" customHeight="1" x14ac:dyDescent="0.4">
      <c r="B37" s="598"/>
      <c r="C37" s="1211"/>
      <c r="D37" s="1209"/>
      <c r="E37" s="1209"/>
      <c r="F37" s="1209"/>
      <c r="G37" s="1209"/>
      <c r="H37" s="1209"/>
      <c r="I37" s="1209"/>
      <c r="J37" s="1209"/>
      <c r="K37" s="1209"/>
      <c r="L37" s="1209"/>
      <c r="M37" s="1209"/>
      <c r="N37" s="1209"/>
      <c r="O37" s="1209"/>
      <c r="P37" s="1209"/>
      <c r="Q37" s="1209"/>
      <c r="R37" s="1210"/>
      <c r="S37" s="601"/>
    </row>
    <row r="38" spans="2:19" ht="20.100000000000001" customHeight="1" x14ac:dyDescent="0.4">
      <c r="B38" s="598"/>
      <c r="C38" s="1211"/>
      <c r="D38" s="1209"/>
      <c r="E38" s="1209"/>
      <c r="F38" s="1209"/>
      <c r="G38" s="1209"/>
      <c r="H38" s="1209"/>
      <c r="I38" s="1209"/>
      <c r="J38" s="1209"/>
      <c r="K38" s="1209"/>
      <c r="L38" s="1209"/>
      <c r="M38" s="1209"/>
      <c r="N38" s="1209"/>
      <c r="O38" s="1209"/>
      <c r="P38" s="1209"/>
      <c r="Q38" s="1209"/>
      <c r="R38" s="1210"/>
      <c r="S38" s="601"/>
    </row>
    <row r="39" spans="2:19" ht="20.100000000000001" customHeight="1" x14ac:dyDescent="0.4">
      <c r="B39" s="598"/>
      <c r="C39" s="1211"/>
      <c r="D39" s="1209"/>
      <c r="E39" s="1209"/>
      <c r="F39" s="1209"/>
      <c r="G39" s="1209"/>
      <c r="H39" s="1209"/>
      <c r="I39" s="1209"/>
      <c r="J39" s="1209"/>
      <c r="K39" s="1209"/>
      <c r="L39" s="1209"/>
      <c r="M39" s="1209"/>
      <c r="N39" s="1209"/>
      <c r="O39" s="1209"/>
      <c r="P39" s="1209"/>
      <c r="Q39" s="1209"/>
      <c r="R39" s="1210"/>
      <c r="S39" s="601"/>
    </row>
    <row r="40" spans="2:19" ht="20.100000000000001" customHeight="1" thickBot="1" x14ac:dyDescent="0.45">
      <c r="B40" s="598"/>
      <c r="C40" s="1212"/>
      <c r="D40" s="1213"/>
      <c r="E40" s="1213"/>
      <c r="F40" s="1213"/>
      <c r="G40" s="1213"/>
      <c r="H40" s="1213"/>
      <c r="I40" s="1213"/>
      <c r="J40" s="1213"/>
      <c r="K40" s="1213"/>
      <c r="L40" s="1213"/>
      <c r="M40" s="1213"/>
      <c r="N40" s="1213"/>
      <c r="O40" s="1213"/>
      <c r="P40" s="1213"/>
      <c r="Q40" s="1213"/>
      <c r="R40" s="1214"/>
      <c r="S40" s="601"/>
    </row>
    <row r="41" spans="2:19" ht="9.9499999999999993" customHeight="1" thickTop="1" x14ac:dyDescent="0.4">
      <c r="B41" s="607"/>
      <c r="C41" s="608"/>
      <c r="D41" s="608"/>
      <c r="E41" s="608"/>
      <c r="F41" s="608"/>
      <c r="G41" s="608"/>
      <c r="H41" s="608"/>
      <c r="I41" s="608"/>
      <c r="J41" s="608"/>
      <c r="K41" s="608"/>
      <c r="L41" s="608"/>
      <c r="M41" s="608"/>
      <c r="N41" s="608"/>
      <c r="O41" s="608"/>
      <c r="P41" s="608"/>
      <c r="Q41" s="608"/>
      <c r="R41" s="608"/>
      <c r="S41" s="609"/>
    </row>
  </sheetData>
  <mergeCells count="81">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K12:M12"/>
    <mergeCell ref="N12:Q12"/>
    <mergeCell ref="D13:F13"/>
    <mergeCell ref="G13:J13"/>
    <mergeCell ref="K13:M13"/>
    <mergeCell ref="N13:Q13"/>
    <mergeCell ref="D17:E17"/>
    <mergeCell ref="F17:G17"/>
    <mergeCell ref="H17:I17"/>
    <mergeCell ref="D12:F12"/>
    <mergeCell ref="G12:J12"/>
    <mergeCell ref="D14:F14"/>
    <mergeCell ref="G14:J14"/>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N25:O25"/>
    <mergeCell ref="E27:I27"/>
    <mergeCell ref="J27:M27"/>
    <mergeCell ref="N27:O27"/>
    <mergeCell ref="E28:I28"/>
    <mergeCell ref="J28:M28"/>
    <mergeCell ref="N28:O28"/>
    <mergeCell ref="E29:I29"/>
    <mergeCell ref="J29:M29"/>
    <mergeCell ref="N29:O29"/>
    <mergeCell ref="E30:I30"/>
    <mergeCell ref="J30:M30"/>
    <mergeCell ref="N30:O30"/>
    <mergeCell ref="C35:R35"/>
    <mergeCell ref="C36:R40"/>
    <mergeCell ref="D31:M31"/>
    <mergeCell ref="N31:O31"/>
    <mergeCell ref="P31:Q31"/>
    <mergeCell ref="D32:M32"/>
    <mergeCell ref="N32:O32"/>
    <mergeCell ref="P32:Q32"/>
  </mergeCells>
  <conditionalFormatting sqref="H18:I18">
    <cfRule type="expression" dxfId="787" priority="2">
      <formula>AND($H$18&lt;&gt;"-",OR($H$18&lt;-1,$H$18&gt;1))</formula>
    </cfRule>
    <cfRule type="expression" dxfId="786" priority="4">
      <formula>AND($H$18&lt;&gt;"-",AND($H$18&gt;=-1,$H$18&lt;=1))</formula>
    </cfRule>
  </conditionalFormatting>
  <conditionalFormatting sqref="H19:I19">
    <cfRule type="expression" dxfId="785" priority="1">
      <formula>AND($H$19&lt;&gt;"-",OR($H$19&lt;-1,$H$19&gt;1))</formula>
    </cfRule>
    <cfRule type="expression" dxfId="784"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8D32C117-74B2-49AF-A0B8-7AE4CBF0FA1F}">
      <formula1>INDIRECT(U27)</formula1>
    </dataValidation>
    <dataValidation type="list" allowBlank="1" showInputMessage="1" showErrorMessage="1" sqref="N26:O26 N28:N30 O28 O30" xr:uid="{7D67D01C-D00A-479E-829E-4D599F843FEC}">
      <formula1>INDIRECT(U26)</formula1>
    </dataValidation>
    <dataValidation type="list" allowBlank="1" showInputMessage="1" showErrorMessage="1" sqref="N32:O32" xr:uid="{ABD81885-003A-4F53-B5C9-DAFDC7F0B717}">
      <formula1>LISTE_4</formula1>
    </dataValidation>
    <dataValidation type="list" allowBlank="1" showInputMessage="1" showErrorMessage="1" sqref="N12:Q12" xr:uid="{46086F2E-EAB3-4BAC-B9CD-4C14582D8F64}">
      <formula1>LISTE_1</formula1>
    </dataValidation>
  </dataValidation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502AE-B25F-4CE2-ACEB-7FCE3E6813A9}">
  <sheetPr codeName="Feuil29">
    <tabColor rgb="FF0070C0"/>
  </sheetPr>
  <dimension ref="B1:U41"/>
  <sheetViews>
    <sheetView showGridLines="0" workbookViewId="0">
      <selection activeCell="U1" sqref="U1:U1048576"/>
    </sheetView>
  </sheetViews>
  <sheetFormatPr baseColWidth="10" defaultColWidth="10.703125" defaultRowHeight="20.100000000000001" customHeight="1" outlineLevelRow="1" x14ac:dyDescent="0.4"/>
  <cols>
    <col min="1" max="2" width="2.703125" style="597" customWidth="1"/>
    <col min="3" max="18" width="10.703125" style="597"/>
    <col min="19" max="20" width="2.703125" style="597" customWidth="1"/>
    <col min="21" max="21" width="10.703125" style="602"/>
    <col min="22" max="16384" width="10.703125" style="597"/>
  </cols>
  <sheetData>
    <row r="1" spans="2:19" ht="9.9499999999999993" customHeight="1" thickBot="1" x14ac:dyDescent="0.45">
      <c r="B1" s="611"/>
      <c r="C1" s="612"/>
      <c r="D1" s="612"/>
      <c r="E1" s="612"/>
      <c r="F1" s="612"/>
      <c r="G1" s="612"/>
      <c r="H1" s="612"/>
      <c r="I1" s="612"/>
      <c r="J1" s="612"/>
      <c r="K1" s="612"/>
      <c r="L1" s="612"/>
      <c r="M1" s="612"/>
      <c r="N1" s="612"/>
      <c r="O1" s="612"/>
      <c r="P1" s="612"/>
      <c r="Q1" s="612"/>
      <c r="R1" s="612"/>
      <c r="S1" s="613"/>
    </row>
    <row r="2" spans="2:19" ht="30" customHeight="1" thickTop="1" x14ac:dyDescent="0.4">
      <c r="B2" s="598"/>
      <c r="C2" s="1157" t="s">
        <v>539</v>
      </c>
      <c r="D2" s="977"/>
      <c r="E2" s="977"/>
      <c r="F2" s="977"/>
      <c r="G2" s="977"/>
      <c r="H2" s="977"/>
      <c r="I2" s="977"/>
      <c r="J2" s="977"/>
      <c r="K2" s="977"/>
      <c r="L2" s="977"/>
      <c r="M2" s="977"/>
      <c r="N2" s="977"/>
      <c r="O2" s="977"/>
      <c r="P2" s="977"/>
      <c r="Q2" s="977"/>
      <c r="R2" s="978"/>
      <c r="S2" s="601"/>
    </row>
    <row r="3" spans="2:19" ht="20.100000000000001" customHeight="1" x14ac:dyDescent="0.4">
      <c r="B3" s="598"/>
      <c r="C3" s="1261" t="s">
        <v>818</v>
      </c>
      <c r="D3" s="1262"/>
      <c r="E3" s="1263" t="str">
        <f>IF(ISBLANK(Descriptif!T3),"",Descriptif!T3)</f>
        <v/>
      </c>
      <c r="F3" s="1263"/>
      <c r="G3" s="1263"/>
      <c r="H3" s="1262" t="s">
        <v>540</v>
      </c>
      <c r="I3" s="1262"/>
      <c r="J3" s="1263" t="s">
        <v>831</v>
      </c>
      <c r="K3" s="1263"/>
      <c r="L3" s="1263"/>
      <c r="M3" s="1264" t="s">
        <v>486</v>
      </c>
      <c r="N3" s="1264"/>
      <c r="O3" s="1264"/>
      <c r="P3" s="1263" t="str">
        <f>IF(ISBLANK(Descriptif!T3),"",Descriptif!G6)</f>
        <v/>
      </c>
      <c r="Q3" s="1263"/>
      <c r="R3" s="1265"/>
      <c r="S3" s="601"/>
    </row>
    <row r="4" spans="2:19" ht="20.100000000000001" customHeight="1" x14ac:dyDescent="0.4">
      <c r="B4" s="598"/>
      <c r="C4" s="1261" t="s">
        <v>541</v>
      </c>
      <c r="D4" s="1262"/>
      <c r="E4" s="1263" t="str">
        <f>IF(ISBLANK(Descriptif!T4),"",Descriptif!T4)</f>
        <v/>
      </c>
      <c r="F4" s="1263"/>
      <c r="G4" s="1263"/>
      <c r="H4" s="1262" t="s">
        <v>542</v>
      </c>
      <c r="I4" s="1262"/>
      <c r="J4" s="1263" t="s">
        <v>832</v>
      </c>
      <c r="K4" s="1263"/>
      <c r="L4" s="1263"/>
      <c r="M4" s="1264" t="s">
        <v>543</v>
      </c>
      <c r="N4" s="1264"/>
      <c r="O4" s="1264"/>
      <c r="P4" s="1263"/>
      <c r="Q4" s="1263"/>
      <c r="R4" s="1265"/>
      <c r="S4" s="601"/>
    </row>
    <row r="5" spans="2:19" ht="20.100000000000001" customHeight="1" x14ac:dyDescent="0.4">
      <c r="B5" s="598"/>
      <c r="C5" s="1261" t="s">
        <v>544</v>
      </c>
      <c r="D5" s="1262"/>
      <c r="E5" s="1263" t="str">
        <f>IF(ISBLANK(Descriptif!G5),"",Descriptif!G5)</f>
        <v>Commune de Barjac</v>
      </c>
      <c r="F5" s="1263"/>
      <c r="G5" s="1263"/>
      <c r="H5" s="1262" t="s">
        <v>545</v>
      </c>
      <c r="I5" s="1262"/>
      <c r="J5" s="1263"/>
      <c r="K5" s="1263"/>
      <c r="L5" s="1263"/>
      <c r="M5" s="1264" t="s">
        <v>546</v>
      </c>
      <c r="N5" s="1264"/>
      <c r="O5" s="1264"/>
      <c r="P5" s="1263"/>
      <c r="Q5" s="1263"/>
      <c r="R5" s="1265"/>
      <c r="S5" s="601"/>
    </row>
    <row r="6" spans="2:19" ht="20.100000000000001" customHeight="1" thickBot="1" x14ac:dyDescent="0.45">
      <c r="B6" s="598"/>
      <c r="C6" s="1256" t="s">
        <v>547</v>
      </c>
      <c r="D6" s="1257"/>
      <c r="E6" s="1258" t="str">
        <f>IF(ISBLANK(Descriptif!T5),"",Descriptif!T5)</f>
        <v/>
      </c>
      <c r="F6" s="1258"/>
      <c r="G6" s="1258"/>
      <c r="H6" s="1257" t="s">
        <v>781</v>
      </c>
      <c r="I6" s="1257"/>
      <c r="J6" s="1258" t="s">
        <v>37</v>
      </c>
      <c r="K6" s="1258"/>
      <c r="L6" s="1258"/>
      <c r="M6" s="1259" t="s">
        <v>549</v>
      </c>
      <c r="N6" s="1259"/>
      <c r="O6" s="1259"/>
      <c r="P6" s="1258"/>
      <c r="Q6" s="1258"/>
      <c r="R6" s="1260"/>
      <c r="S6" s="601"/>
    </row>
    <row r="7" spans="2:19" ht="9.9499999999999993" customHeight="1" thickTop="1" thickBot="1" x14ac:dyDescent="0.45">
      <c r="B7" s="598"/>
      <c r="C7" s="30"/>
      <c r="D7" s="30"/>
      <c r="E7" s="30"/>
      <c r="F7" s="30"/>
      <c r="G7" s="30"/>
      <c r="H7" s="30"/>
      <c r="I7" s="30"/>
      <c r="J7" s="30"/>
      <c r="K7" s="30"/>
      <c r="L7" s="30"/>
      <c r="M7" s="30"/>
      <c r="N7" s="30"/>
      <c r="O7" s="30"/>
      <c r="P7" s="30"/>
      <c r="Q7" s="30"/>
      <c r="R7" s="30"/>
      <c r="S7" s="601"/>
    </row>
    <row r="8" spans="2:19" ht="20.100000000000001" customHeight="1" thickTop="1" thickBot="1" x14ac:dyDescent="0.45">
      <c r="B8" s="598"/>
      <c r="C8" s="1119" t="s">
        <v>581</v>
      </c>
      <c r="D8" s="1120"/>
      <c r="E8" s="1120"/>
      <c r="F8" s="1120"/>
      <c r="G8" s="1120"/>
      <c r="H8" s="1120"/>
      <c r="I8" s="1120"/>
      <c r="J8" s="1120"/>
      <c r="K8" s="1120"/>
      <c r="L8" s="1120"/>
      <c r="M8" s="1120"/>
      <c r="N8" s="1120"/>
      <c r="O8" s="1120"/>
      <c r="P8" s="1120"/>
      <c r="Q8" s="1120"/>
      <c r="R8" s="1141"/>
      <c r="S8" s="601"/>
    </row>
    <row r="9" spans="2:19" ht="20.100000000000001" customHeight="1" outlineLevel="1" thickTop="1" x14ac:dyDescent="0.4">
      <c r="B9" s="598"/>
      <c r="C9" s="614"/>
      <c r="D9" s="615"/>
      <c r="E9" s="615"/>
      <c r="F9" s="615"/>
      <c r="G9" s="615"/>
      <c r="H9" s="615"/>
      <c r="I9" s="615"/>
      <c r="J9" s="615"/>
      <c r="K9" s="615"/>
      <c r="L9" s="615"/>
      <c r="M9" s="615"/>
      <c r="N9" s="615"/>
      <c r="O9" s="615"/>
      <c r="P9" s="615"/>
      <c r="Q9" s="615"/>
      <c r="R9" s="616"/>
      <c r="S9" s="601"/>
    </row>
    <row r="10" spans="2:19" ht="20.100000000000001" customHeight="1" outlineLevel="1" x14ac:dyDescent="0.4">
      <c r="B10" s="598"/>
      <c r="C10" s="588"/>
      <c r="D10" s="1101" t="s">
        <v>582</v>
      </c>
      <c r="E10" s="1102"/>
      <c r="F10" s="1102"/>
      <c r="G10" s="1102"/>
      <c r="H10" s="1102"/>
      <c r="I10" s="1102"/>
      <c r="J10" s="1102"/>
      <c r="K10" s="1102"/>
      <c r="L10" s="1102"/>
      <c r="M10" s="1102"/>
      <c r="N10" s="1102"/>
      <c r="O10" s="1102"/>
      <c r="P10" s="1102"/>
      <c r="Q10" s="1123"/>
      <c r="R10" s="589"/>
      <c r="S10" s="601"/>
    </row>
    <row r="11" spans="2:19" ht="20.100000000000001" customHeight="1" outlineLevel="1" x14ac:dyDescent="0.4">
      <c r="B11" s="598"/>
      <c r="C11" s="599"/>
      <c r="D11" s="1242" t="s">
        <v>387</v>
      </c>
      <c r="E11" s="1243"/>
      <c r="F11" s="1244"/>
      <c r="G11" s="1253"/>
      <c r="H11" s="1254"/>
      <c r="I11" s="1254"/>
      <c r="J11" s="1255"/>
      <c r="K11" s="1242" t="s">
        <v>126</v>
      </c>
      <c r="L11" s="1243"/>
      <c r="M11" s="1244"/>
      <c r="N11" s="1253"/>
      <c r="O11" s="1254"/>
      <c r="P11" s="1254"/>
      <c r="Q11" s="1255"/>
      <c r="R11" s="600"/>
      <c r="S11" s="601"/>
    </row>
    <row r="12" spans="2:19" ht="20.100000000000001" customHeight="1" outlineLevel="1" x14ac:dyDescent="0.4">
      <c r="B12" s="598"/>
      <c r="C12" s="599"/>
      <c r="D12" s="1242" t="s">
        <v>583</v>
      </c>
      <c r="E12" s="1243"/>
      <c r="F12" s="1244"/>
      <c r="G12" s="1253"/>
      <c r="H12" s="1254"/>
      <c r="I12" s="1254"/>
      <c r="J12" s="1255"/>
      <c r="K12" s="1242" t="s">
        <v>584</v>
      </c>
      <c r="L12" s="1243"/>
      <c r="M12" s="1244"/>
      <c r="N12" s="1253"/>
      <c r="O12" s="1254"/>
      <c r="P12" s="1254"/>
      <c r="Q12" s="1255"/>
      <c r="R12" s="600"/>
      <c r="S12" s="601"/>
    </row>
    <row r="13" spans="2:19" ht="20.100000000000001" customHeight="1" outlineLevel="1" x14ac:dyDescent="0.4">
      <c r="B13" s="598"/>
      <c r="C13" s="599"/>
      <c r="D13" s="1242" t="s">
        <v>585</v>
      </c>
      <c r="E13" s="1243"/>
      <c r="F13" s="1244"/>
      <c r="G13" s="1253"/>
      <c r="H13" s="1254"/>
      <c r="I13" s="1254"/>
      <c r="J13" s="1255"/>
      <c r="K13" s="1242" t="s">
        <v>597</v>
      </c>
      <c r="L13" s="1243"/>
      <c r="M13" s="1244"/>
      <c r="N13" s="1253"/>
      <c r="O13" s="1254"/>
      <c r="P13" s="1254"/>
      <c r="Q13" s="1255"/>
      <c r="R13" s="600"/>
      <c r="S13" s="601"/>
    </row>
    <row r="14" spans="2:19" ht="20.100000000000001" customHeight="1" outlineLevel="1" x14ac:dyDescent="0.4">
      <c r="B14" s="598"/>
      <c r="C14" s="599"/>
      <c r="D14" s="1242" t="s">
        <v>586</v>
      </c>
      <c r="E14" s="1243"/>
      <c r="F14" s="1244"/>
      <c r="G14" s="1253"/>
      <c r="H14" s="1254"/>
      <c r="I14" s="1254"/>
      <c r="J14" s="1255"/>
      <c r="K14" s="1242" t="s">
        <v>598</v>
      </c>
      <c r="L14" s="1243"/>
      <c r="M14" s="1244"/>
      <c r="N14" s="1253"/>
      <c r="O14" s="1254"/>
      <c r="P14" s="1254"/>
      <c r="Q14" s="1255"/>
      <c r="R14" s="600"/>
      <c r="S14" s="601"/>
    </row>
    <row r="15" spans="2:19" ht="20.100000000000001" customHeight="1" outlineLevel="1" x14ac:dyDescent="0.4">
      <c r="B15" s="598"/>
      <c r="C15" s="599"/>
      <c r="D15" s="30"/>
      <c r="E15" s="30"/>
      <c r="F15" s="30"/>
      <c r="G15" s="30"/>
      <c r="H15" s="30"/>
      <c r="I15" s="30"/>
      <c r="J15" s="30"/>
      <c r="K15" s="30"/>
      <c r="L15" s="30"/>
      <c r="M15" s="30"/>
      <c r="N15" s="30"/>
      <c r="O15" s="30"/>
      <c r="P15" s="30"/>
      <c r="Q15" s="30"/>
      <c r="R15" s="600"/>
      <c r="S15" s="601"/>
    </row>
    <row r="16" spans="2:19" ht="20.100000000000001" customHeight="1" outlineLevel="1" x14ac:dyDescent="0.4">
      <c r="B16" s="598"/>
      <c r="C16" s="599"/>
      <c r="D16" s="1101" t="s">
        <v>824</v>
      </c>
      <c r="E16" s="1102"/>
      <c r="F16" s="1102"/>
      <c r="G16" s="1102"/>
      <c r="H16" s="1102"/>
      <c r="I16" s="1123"/>
      <c r="J16" s="30"/>
      <c r="K16" s="30"/>
      <c r="L16" s="30"/>
      <c r="M16" s="30"/>
      <c r="N16" s="30"/>
      <c r="O16" s="30"/>
      <c r="P16" s="30"/>
      <c r="Q16" s="30"/>
      <c r="R16" s="600"/>
      <c r="S16" s="601"/>
    </row>
    <row r="17" spans="2:21" ht="20.100000000000001" customHeight="1" outlineLevel="1" x14ac:dyDescent="0.4">
      <c r="B17" s="598"/>
      <c r="C17" s="599"/>
      <c r="D17" s="1365" t="s">
        <v>600</v>
      </c>
      <c r="E17" s="1365"/>
      <c r="F17" s="1366" t="s">
        <v>381</v>
      </c>
      <c r="G17" s="1366"/>
      <c r="H17" s="1367" t="s">
        <v>601</v>
      </c>
      <c r="I17" s="1367"/>
      <c r="J17" s="30"/>
      <c r="K17" s="30"/>
      <c r="L17" s="30"/>
      <c r="M17" s="30"/>
      <c r="N17" s="30"/>
      <c r="O17" s="30"/>
      <c r="P17" s="30"/>
      <c r="Q17" s="30"/>
      <c r="R17" s="600"/>
      <c r="S17" s="601"/>
    </row>
    <row r="18" spans="2:21" ht="20.100000000000001" customHeight="1" outlineLevel="1" x14ac:dyDescent="0.4">
      <c r="B18" s="598"/>
      <c r="C18" s="599"/>
      <c r="D18" s="1094"/>
      <c r="E18" s="1094"/>
      <c r="F18" s="1094"/>
      <c r="G18" s="1094"/>
      <c r="H18" s="1093" t="str">
        <f>IF(D18&gt;0,D18-F18,"-")</f>
        <v>-</v>
      </c>
      <c r="I18" s="1093"/>
      <c r="J18" s="30"/>
      <c r="K18" s="30"/>
      <c r="L18" s="30"/>
      <c r="M18" s="30"/>
      <c r="N18" s="30"/>
      <c r="O18" s="30"/>
      <c r="P18" s="30"/>
      <c r="Q18" s="30"/>
      <c r="R18" s="600"/>
      <c r="S18" s="601"/>
      <c r="U18" s="602">
        <f>IF(H18&lt;&gt;"-",IF(ABS(H18)&gt;1, 1,0),-1)</f>
        <v>-1</v>
      </c>
    </row>
    <row r="19" spans="2:21" ht="20.100000000000001" customHeight="1" outlineLevel="1" x14ac:dyDescent="0.4">
      <c r="B19" s="598"/>
      <c r="C19" s="599"/>
      <c r="D19" s="1363"/>
      <c r="E19" s="1363"/>
      <c r="F19" s="1363"/>
      <c r="G19" s="1363"/>
      <c r="H19" s="1364" t="str">
        <f>IF(D19&gt;0,D19-F19,"-")</f>
        <v>-</v>
      </c>
      <c r="I19" s="1364"/>
      <c r="J19" s="30"/>
      <c r="K19" s="30"/>
      <c r="L19" s="30"/>
      <c r="M19" s="30"/>
      <c r="N19" s="30"/>
      <c r="O19" s="30"/>
      <c r="P19" s="30"/>
      <c r="Q19" s="30"/>
      <c r="R19" s="600"/>
      <c r="S19" s="601"/>
      <c r="U19" s="602">
        <f>IF(H19&lt;&gt;"-",IF(ABS(H19)&gt;1, 1,0),-1)</f>
        <v>-1</v>
      </c>
    </row>
    <row r="20" spans="2:21" ht="20.100000000000001" customHeight="1" outlineLevel="1" thickBot="1" x14ac:dyDescent="0.45">
      <c r="B20" s="598"/>
      <c r="C20" s="603"/>
      <c r="D20" s="604"/>
      <c r="E20" s="604"/>
      <c r="F20" s="604"/>
      <c r="G20" s="604"/>
      <c r="H20" s="604"/>
      <c r="I20" s="604"/>
      <c r="J20" s="604"/>
      <c r="K20" s="604"/>
      <c r="L20" s="604"/>
      <c r="M20" s="604"/>
      <c r="N20" s="604"/>
      <c r="O20" s="604"/>
      <c r="P20" s="604"/>
      <c r="Q20" s="604"/>
      <c r="R20" s="605"/>
      <c r="S20" s="601"/>
      <c r="U20" s="602" t="str">
        <f>IF(MAX(U18:U19)&gt;-1,IF(MAX(U18:U19)=1,"Non validé","Validé"),"Non contrôlé")</f>
        <v>Non contrôlé</v>
      </c>
    </row>
    <row r="21" spans="2:21" ht="9.9499999999999993" customHeight="1" thickTop="1" thickBot="1" x14ac:dyDescent="0.45">
      <c r="B21" s="598"/>
      <c r="C21" s="30"/>
      <c r="D21" s="30"/>
      <c r="E21" s="30"/>
      <c r="F21" s="30"/>
      <c r="G21" s="30"/>
      <c r="H21" s="30"/>
      <c r="I21" s="30"/>
      <c r="J21" s="30"/>
      <c r="K21" s="30"/>
      <c r="L21" s="30"/>
      <c r="M21" s="30"/>
      <c r="N21" s="30"/>
      <c r="O21" s="30"/>
      <c r="P21" s="30"/>
      <c r="Q21" s="30"/>
      <c r="R21" s="30"/>
      <c r="S21" s="601"/>
    </row>
    <row r="22" spans="2:21" ht="20.100000000000001" customHeight="1" thickTop="1" thickBot="1" x14ac:dyDescent="0.45">
      <c r="B22" s="598"/>
      <c r="C22" s="1119" t="s">
        <v>575</v>
      </c>
      <c r="D22" s="1120"/>
      <c r="E22" s="1120"/>
      <c r="F22" s="1120"/>
      <c r="G22" s="1120"/>
      <c r="H22" s="1120"/>
      <c r="I22" s="1120"/>
      <c r="J22" s="1120"/>
      <c r="K22" s="1120"/>
      <c r="L22" s="1120"/>
      <c r="M22" s="1120"/>
      <c r="N22" s="1120"/>
      <c r="O22" s="1120"/>
      <c r="P22" s="1120"/>
      <c r="Q22" s="1120"/>
      <c r="R22" s="1141"/>
      <c r="S22" s="601"/>
    </row>
    <row r="23" spans="2:21" ht="20.100000000000001" customHeight="1" outlineLevel="1" thickTop="1" x14ac:dyDescent="0.4">
      <c r="B23" s="598"/>
      <c r="C23" s="599"/>
      <c r="D23" s="30"/>
      <c r="E23" s="30"/>
      <c r="F23" s="30"/>
      <c r="G23" s="30"/>
      <c r="H23" s="30"/>
      <c r="I23" s="30"/>
      <c r="J23" s="30"/>
      <c r="K23" s="30"/>
      <c r="L23" s="30"/>
      <c r="M23" s="30"/>
      <c r="N23" s="30"/>
      <c r="O23" s="30"/>
      <c r="P23" s="30"/>
      <c r="Q23" s="30"/>
      <c r="R23" s="600"/>
      <c r="S23" s="601"/>
    </row>
    <row r="24" spans="2:21" ht="30" customHeight="1" outlineLevel="1" x14ac:dyDescent="0.4">
      <c r="B24" s="598"/>
      <c r="C24" s="588"/>
      <c r="D24" s="1229" t="s">
        <v>37</v>
      </c>
      <c r="E24" s="1229"/>
      <c r="F24" s="1229"/>
      <c r="G24" s="1229"/>
      <c r="H24" s="1229"/>
      <c r="I24" s="1229"/>
      <c r="J24" s="1229"/>
      <c r="K24" s="1229"/>
      <c r="L24" s="1229"/>
      <c r="M24" s="1229"/>
      <c r="N24" s="1229"/>
      <c r="O24" s="1229"/>
      <c r="P24" s="1229"/>
      <c r="Q24" s="1229"/>
      <c r="R24" s="589"/>
      <c r="S24" s="601"/>
    </row>
    <row r="25" spans="2:21" ht="20.100000000000001" customHeight="1" outlineLevel="1" x14ac:dyDescent="0.4">
      <c r="B25" s="598"/>
      <c r="C25" s="588"/>
      <c r="D25" s="1354" t="s">
        <v>407</v>
      </c>
      <c r="E25" s="1355"/>
      <c r="F25" s="1355"/>
      <c r="G25" s="1355"/>
      <c r="H25" s="1355"/>
      <c r="I25" s="1356"/>
      <c r="J25" s="1354" t="s">
        <v>377</v>
      </c>
      <c r="K25" s="1355"/>
      <c r="L25" s="1355"/>
      <c r="M25" s="1356"/>
      <c r="N25" s="1357" t="s">
        <v>242</v>
      </c>
      <c r="O25" s="1357"/>
      <c r="P25" s="747" t="s">
        <v>409</v>
      </c>
      <c r="Q25" s="747" t="s">
        <v>576</v>
      </c>
      <c r="R25" s="589"/>
      <c r="S25" s="601"/>
      <c r="U25" s="602" t="s">
        <v>61</v>
      </c>
    </row>
    <row r="26" spans="2:21" ht="99.95" customHeight="1" outlineLevel="1" x14ac:dyDescent="0.4">
      <c r="B26" s="598"/>
      <c r="C26" s="588"/>
      <c r="D26" s="606">
        <v>1</v>
      </c>
      <c r="E26" s="1222" t="str">
        <f>IFERROR(HLOOKUP($D$24,Critères!$B$3:$BM$16,D26+2,FALSE),"")</f>
        <v>L'accès à l'ouvrage et aux équipements de mesure se fait-il en toute sécurité pour les agents en charge des opérations de contrôles et d'entretien ?</v>
      </c>
      <c r="F26" s="1223"/>
      <c r="G26" s="1223"/>
      <c r="H26" s="1223"/>
      <c r="I26" s="1223"/>
      <c r="J26" s="1222" t="str">
        <f>IFERROR(INDEX(Critères!$B$3:$BM$16, D26+2, MATCH($D$24, Critères!$B$3:$BM$3, 0) + 1),"")</f>
        <v>En cas d'accès nécessitant des équipements de protection individuels renforcés (ARI par exemple) ou d'intervenir à 2 personnes, retenir "Validé avec réserve"</v>
      </c>
      <c r="K26" s="1223"/>
      <c r="L26" s="1223"/>
      <c r="M26" s="1224"/>
      <c r="N26" s="1064"/>
      <c r="O26" s="1063"/>
      <c r="P26" s="742">
        <f>IF(OR(N26="Validé",N26="Validé avec réserve"),Q26,0)</f>
        <v>0</v>
      </c>
      <c r="Q26" s="742">
        <f>IFERROR(INDEX(Critères!$B$3:$BM$16, D26+2, MATCH($D$24,Critères!$B$3:$BM$3, 0) + 2),"")</f>
        <v>10</v>
      </c>
      <c r="R26" s="589"/>
      <c r="S26" s="601"/>
      <c r="U26" s="602" t="s">
        <v>159</v>
      </c>
    </row>
    <row r="27" spans="2:21" ht="99.95" customHeight="1" outlineLevel="1" x14ac:dyDescent="0.4">
      <c r="B27" s="598"/>
      <c r="C27" s="588"/>
      <c r="D27" s="606">
        <v>2</v>
      </c>
      <c r="E27" s="1222" t="str">
        <f>IFERROR(HLOOKUP($D$24,Critères!$B$3:$BM$16,D27+2,FALSE),"")</f>
        <v>Le pluviomètre présente t-il une section suffisante ?</v>
      </c>
      <c r="F27" s="1223"/>
      <c r="G27" s="1223"/>
      <c r="H27" s="1223"/>
      <c r="I27" s="1223"/>
      <c r="J27" s="1222" t="str">
        <f>IFERROR(INDEX(Critères!$B$3:$BM$16, D27+2, MATCH($D$24, Critères!$B$3:$BM$3, 0) + 1),"")</f>
        <v>Entre 180 et 1 000 cm2, soit un diamètre variant entre 15 et 35 cm.</v>
      </c>
      <c r="K27" s="1223"/>
      <c r="L27" s="1223"/>
      <c r="M27" s="1224"/>
      <c r="N27" s="1064" t="str">
        <f>IF(N13&lt;&gt;"",IF(AND(N13&gt;=15,N13&lt;=35),"Validé","Non validé"),"Non contrôlé")</f>
        <v>Non contrôlé</v>
      </c>
      <c r="O27" s="1063"/>
      <c r="P27" s="742">
        <f>IF(OR(N27="Validé",N27="Validé avec réserve"),Q27,0)</f>
        <v>0</v>
      </c>
      <c r="Q27" s="742">
        <f>IFERROR(INDEX(Critères!$B$3:$BM$16, D27+2, MATCH($D$24,Critères!$B$3:$BM$3, 0) + 2),"")</f>
        <v>20</v>
      </c>
      <c r="R27" s="589"/>
      <c r="S27" s="601"/>
      <c r="U27" s="602" t="s">
        <v>159</v>
      </c>
    </row>
    <row r="28" spans="2:21" ht="99.95" customHeight="1" outlineLevel="1" x14ac:dyDescent="0.4">
      <c r="B28" s="598"/>
      <c r="C28" s="588"/>
      <c r="D28" s="606">
        <v>3</v>
      </c>
      <c r="E28" s="1222" t="str">
        <f>IFERROR(HLOOKUP($D$24,Critères!$B$3:$BM$16,D28+2,FALSE),"")</f>
        <v>Le pluviomètre est-il installé conformément aux règles de l'art et/ou aux prescriptions des constructeurs ?</v>
      </c>
      <c r="F28" s="1223"/>
      <c r="G28" s="1223"/>
      <c r="H28" s="1223"/>
      <c r="I28" s="1223"/>
      <c r="J28" s="1222" t="str">
        <f>IFERROR(INDEX(Critères!$B$3:$BM$16, D28+2, MATCH($D$24, Critères!$B$3:$BM$3, 0) + 1),"")</f>
        <v>Sur une surface horizontale, entre 0,5 et 2 mètres du sol (1 mètre recommandé), à une distance supérieure à 4 fois la hauteur d'obstacles(mur, arbres, etc…).</v>
      </c>
      <c r="K28" s="1223"/>
      <c r="L28" s="1223"/>
      <c r="M28" s="1224"/>
      <c r="N28" s="1064"/>
      <c r="O28" s="1063"/>
      <c r="P28" s="742">
        <f t="shared" ref="P28:P30" si="0">IF(OR(N28="Validé",N28="Validé avec réserve"),Q28,0)</f>
        <v>0</v>
      </c>
      <c r="Q28" s="742">
        <f>IFERROR(INDEX(Critères!$B$3:$BM$16, D28+2, MATCH($D$24,Critères!$B$3:$BM$3, 0) + 2),"")</f>
        <v>20</v>
      </c>
      <c r="R28" s="589"/>
      <c r="S28" s="601"/>
      <c r="U28" s="602" t="s">
        <v>159</v>
      </c>
    </row>
    <row r="29" spans="2:21" ht="99.95" customHeight="1" outlineLevel="1" x14ac:dyDescent="0.4">
      <c r="B29" s="598"/>
      <c r="C29" s="588"/>
      <c r="D29" s="606">
        <v>4</v>
      </c>
      <c r="E29" s="1222" t="str">
        <f>IFERROR(HLOOKUP($D$24,Critères!$B$3:$BM$16,D29+2,FALSE),"")</f>
        <v>La propreté et l'état d'entretien du pluviomètre, sont-ils satisfaisants ?</v>
      </c>
      <c r="F29" s="1223"/>
      <c r="G29" s="1223"/>
      <c r="H29" s="1223"/>
      <c r="I29" s="1223"/>
      <c r="J29" s="1222"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223"/>
      <c r="L29" s="1223"/>
      <c r="M29" s="1224"/>
      <c r="N29" s="1064"/>
      <c r="O29" s="1063"/>
      <c r="P29" s="742">
        <f t="shared" si="0"/>
        <v>0</v>
      </c>
      <c r="Q29" s="742">
        <f>IFERROR(INDEX(Critères!$B$3:$BM$16, D29+2, MATCH($D$24,Critères!$B$3:$BM$3, 0) + 2),"")</f>
        <v>20</v>
      </c>
      <c r="R29" s="589"/>
      <c r="S29" s="601"/>
      <c r="U29" s="602" t="s">
        <v>159</v>
      </c>
    </row>
    <row r="30" spans="2:21" ht="99.95" customHeight="1" outlineLevel="1" x14ac:dyDescent="0.4">
      <c r="B30" s="598"/>
      <c r="C30" s="588"/>
      <c r="D30" s="606">
        <v>5</v>
      </c>
      <c r="E30" s="1222" t="str">
        <f>IFERROR(HLOOKUP($D$24,Critères!$B$3:$BM$16,D30+2,FALSE),"")</f>
        <v>L'écart entre d'une part la mesure de la hauteur de pluie réalisée à partir du dispositif en place et celle réalisée par l'organisme de contrôle d'autre part, est-il cohérent (EMT ± 1 unité) ?</v>
      </c>
      <c r="F30" s="1223"/>
      <c r="G30" s="1223"/>
      <c r="H30" s="1223"/>
      <c r="I30" s="1223"/>
      <c r="J30" s="1222">
        <f>IFERROR(INDEX(Critères!$B$3:$BM$16, D30+2, MATCH($D$24, Critères!$B$3:$BM$3, 0) + 1),"")</f>
        <v>0</v>
      </c>
      <c r="K30" s="1223"/>
      <c r="L30" s="1223"/>
      <c r="M30" s="1224"/>
      <c r="N30" s="1064" t="str">
        <f>U20</f>
        <v>Non contrôlé</v>
      </c>
      <c r="O30" s="1063"/>
      <c r="P30" s="742">
        <f t="shared" si="0"/>
        <v>0</v>
      </c>
      <c r="Q30" s="742">
        <f>IFERROR(INDEX(Critères!$B$3:$BM$16, D30+2, MATCH($D$24,Critères!$B$3:$BM$3, 0) + 2),"")</f>
        <v>30</v>
      </c>
      <c r="R30" s="589"/>
      <c r="S30" s="601"/>
      <c r="U30" s="602" t="s">
        <v>159</v>
      </c>
    </row>
    <row r="31" spans="2:21" ht="20.100000000000001" customHeight="1" outlineLevel="1" x14ac:dyDescent="0.4">
      <c r="B31" s="598"/>
      <c r="C31" s="588"/>
      <c r="D31" s="1360" t="s">
        <v>75</v>
      </c>
      <c r="E31" s="1360"/>
      <c r="F31" s="1360"/>
      <c r="G31" s="1360"/>
      <c r="H31" s="1360"/>
      <c r="I31" s="1360"/>
      <c r="J31" s="1360"/>
      <c r="K31" s="1360"/>
      <c r="L31" s="1360"/>
      <c r="M31" s="1360"/>
      <c r="N31" s="1218" t="s">
        <v>413</v>
      </c>
      <c r="O31" s="1218"/>
      <c r="P31" s="1218" t="s">
        <v>64</v>
      </c>
      <c r="Q31" s="1218"/>
      <c r="R31" s="589"/>
      <c r="S31" s="601"/>
    </row>
    <row r="32" spans="2:21" ht="99.95" customHeight="1" outlineLevel="1" x14ac:dyDescent="0.4">
      <c r="B32" s="598"/>
      <c r="C32" s="588"/>
      <c r="D32" s="1361"/>
      <c r="E32" s="1361"/>
      <c r="F32" s="1361"/>
      <c r="G32" s="1361"/>
      <c r="H32" s="1361"/>
      <c r="I32" s="1361"/>
      <c r="J32" s="1361"/>
      <c r="K32" s="1361"/>
      <c r="L32" s="1361"/>
      <c r="M32" s="1361"/>
      <c r="N32" s="994"/>
      <c r="O32" s="994"/>
      <c r="P32" s="1362">
        <f>IF(SUM(P26:P30)&gt;100,100,SUM(P26:P30))</f>
        <v>0</v>
      </c>
      <c r="Q32" s="1362"/>
      <c r="R32" s="589"/>
      <c r="S32" s="601"/>
    </row>
    <row r="33" spans="2:19" ht="20.100000000000001" customHeight="1" outlineLevel="1" thickBot="1" x14ac:dyDescent="0.45">
      <c r="B33" s="598"/>
      <c r="C33" s="591"/>
      <c r="D33" s="592"/>
      <c r="E33" s="592"/>
      <c r="F33" s="592"/>
      <c r="G33" s="592"/>
      <c r="H33" s="592"/>
      <c r="I33" s="592"/>
      <c r="J33" s="592"/>
      <c r="K33" s="592"/>
      <c r="L33" s="592"/>
      <c r="M33" s="592"/>
      <c r="N33" s="592"/>
      <c r="O33" s="592"/>
      <c r="P33" s="592"/>
      <c r="Q33" s="592"/>
      <c r="R33" s="593"/>
      <c r="S33" s="601"/>
    </row>
    <row r="34" spans="2:19" ht="9.9499999999999993" customHeight="1" thickTop="1" thickBot="1" x14ac:dyDescent="0.45">
      <c r="B34" s="598"/>
      <c r="C34" s="587"/>
      <c r="D34" s="587"/>
      <c r="E34" s="587"/>
      <c r="F34" s="587"/>
      <c r="G34" s="587"/>
      <c r="H34" s="587"/>
      <c r="I34" s="587"/>
      <c r="J34" s="587"/>
      <c r="K34" s="587"/>
      <c r="L34" s="587"/>
      <c r="M34" s="587"/>
      <c r="N34" s="587"/>
      <c r="O34" s="587"/>
      <c r="P34" s="587"/>
      <c r="Q34" s="587"/>
      <c r="R34" s="587"/>
      <c r="S34" s="601"/>
    </row>
    <row r="35" spans="2:19" ht="20.100000000000001" customHeight="1" thickTop="1" thickBot="1" x14ac:dyDescent="0.45">
      <c r="B35" s="598"/>
      <c r="C35" s="1119" t="s">
        <v>256</v>
      </c>
      <c r="D35" s="1120"/>
      <c r="E35" s="1120"/>
      <c r="F35" s="1120"/>
      <c r="G35" s="1120"/>
      <c r="H35" s="1120"/>
      <c r="I35" s="1120"/>
      <c r="J35" s="1120"/>
      <c r="K35" s="1120"/>
      <c r="L35" s="1120"/>
      <c r="M35" s="1120"/>
      <c r="N35" s="1120"/>
      <c r="O35" s="1120"/>
      <c r="P35" s="1120"/>
      <c r="Q35" s="1120"/>
      <c r="R35" s="1141"/>
      <c r="S35" s="601"/>
    </row>
    <row r="36" spans="2:19" ht="20.100000000000001" customHeight="1" thickTop="1" x14ac:dyDescent="0.4">
      <c r="B36" s="598"/>
      <c r="C36" s="1208"/>
      <c r="D36" s="1209"/>
      <c r="E36" s="1209"/>
      <c r="F36" s="1209"/>
      <c r="G36" s="1209"/>
      <c r="H36" s="1209"/>
      <c r="I36" s="1209"/>
      <c r="J36" s="1209"/>
      <c r="K36" s="1209"/>
      <c r="L36" s="1209"/>
      <c r="M36" s="1209"/>
      <c r="N36" s="1209"/>
      <c r="O36" s="1209"/>
      <c r="P36" s="1209"/>
      <c r="Q36" s="1209"/>
      <c r="R36" s="1210"/>
      <c r="S36" s="601"/>
    </row>
    <row r="37" spans="2:19" ht="20.100000000000001" customHeight="1" x14ac:dyDescent="0.4">
      <c r="B37" s="598"/>
      <c r="C37" s="1211"/>
      <c r="D37" s="1209"/>
      <c r="E37" s="1209"/>
      <c r="F37" s="1209"/>
      <c r="G37" s="1209"/>
      <c r="H37" s="1209"/>
      <c r="I37" s="1209"/>
      <c r="J37" s="1209"/>
      <c r="K37" s="1209"/>
      <c r="L37" s="1209"/>
      <c r="M37" s="1209"/>
      <c r="N37" s="1209"/>
      <c r="O37" s="1209"/>
      <c r="P37" s="1209"/>
      <c r="Q37" s="1209"/>
      <c r="R37" s="1210"/>
      <c r="S37" s="601"/>
    </row>
    <row r="38" spans="2:19" ht="20.100000000000001" customHeight="1" x14ac:dyDescent="0.4">
      <c r="B38" s="598"/>
      <c r="C38" s="1211"/>
      <c r="D38" s="1209"/>
      <c r="E38" s="1209"/>
      <c r="F38" s="1209"/>
      <c r="G38" s="1209"/>
      <c r="H38" s="1209"/>
      <c r="I38" s="1209"/>
      <c r="J38" s="1209"/>
      <c r="K38" s="1209"/>
      <c r="L38" s="1209"/>
      <c r="M38" s="1209"/>
      <c r="N38" s="1209"/>
      <c r="O38" s="1209"/>
      <c r="P38" s="1209"/>
      <c r="Q38" s="1209"/>
      <c r="R38" s="1210"/>
      <c r="S38" s="601"/>
    </row>
    <row r="39" spans="2:19" ht="20.100000000000001" customHeight="1" x14ac:dyDescent="0.4">
      <c r="B39" s="598"/>
      <c r="C39" s="1211"/>
      <c r="D39" s="1209"/>
      <c r="E39" s="1209"/>
      <c r="F39" s="1209"/>
      <c r="G39" s="1209"/>
      <c r="H39" s="1209"/>
      <c r="I39" s="1209"/>
      <c r="J39" s="1209"/>
      <c r="K39" s="1209"/>
      <c r="L39" s="1209"/>
      <c r="M39" s="1209"/>
      <c r="N39" s="1209"/>
      <c r="O39" s="1209"/>
      <c r="P39" s="1209"/>
      <c r="Q39" s="1209"/>
      <c r="R39" s="1210"/>
      <c r="S39" s="601"/>
    </row>
    <row r="40" spans="2:19" ht="20.100000000000001" customHeight="1" thickBot="1" x14ac:dyDescent="0.45">
      <c r="B40" s="598"/>
      <c r="C40" s="1212"/>
      <c r="D40" s="1213"/>
      <c r="E40" s="1213"/>
      <c r="F40" s="1213"/>
      <c r="G40" s="1213"/>
      <c r="H40" s="1213"/>
      <c r="I40" s="1213"/>
      <c r="J40" s="1213"/>
      <c r="K40" s="1213"/>
      <c r="L40" s="1213"/>
      <c r="M40" s="1213"/>
      <c r="N40" s="1213"/>
      <c r="O40" s="1213"/>
      <c r="P40" s="1213"/>
      <c r="Q40" s="1213"/>
      <c r="R40" s="1214"/>
      <c r="S40" s="601"/>
    </row>
    <row r="41" spans="2:19" ht="9.9499999999999993" customHeight="1" thickTop="1" x14ac:dyDescent="0.4">
      <c r="B41" s="607"/>
      <c r="C41" s="608"/>
      <c r="D41" s="608"/>
      <c r="E41" s="608"/>
      <c r="F41" s="608"/>
      <c r="G41" s="608"/>
      <c r="H41" s="608"/>
      <c r="I41" s="608"/>
      <c r="J41" s="608"/>
      <c r="K41" s="608"/>
      <c r="L41" s="608"/>
      <c r="M41" s="608"/>
      <c r="N41" s="608"/>
      <c r="O41" s="608"/>
      <c r="P41" s="608"/>
      <c r="Q41" s="608"/>
      <c r="R41" s="608"/>
      <c r="S41" s="609"/>
    </row>
  </sheetData>
  <mergeCells count="81">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K12:M12"/>
    <mergeCell ref="N12:Q12"/>
    <mergeCell ref="D13:F13"/>
    <mergeCell ref="G13:J13"/>
    <mergeCell ref="K13:M13"/>
    <mergeCell ref="N13:Q13"/>
    <mergeCell ref="D17:E17"/>
    <mergeCell ref="F17:G17"/>
    <mergeCell ref="H17:I17"/>
    <mergeCell ref="D12:F12"/>
    <mergeCell ref="G12:J12"/>
    <mergeCell ref="D14:F14"/>
    <mergeCell ref="G14:J14"/>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N25:O25"/>
    <mergeCell ref="E27:I27"/>
    <mergeCell ref="J27:M27"/>
    <mergeCell ref="N27:O27"/>
    <mergeCell ref="E28:I28"/>
    <mergeCell ref="J28:M28"/>
    <mergeCell ref="N28:O28"/>
    <mergeCell ref="E29:I29"/>
    <mergeCell ref="J29:M29"/>
    <mergeCell ref="N29:O29"/>
    <mergeCell ref="E30:I30"/>
    <mergeCell ref="J30:M30"/>
    <mergeCell ref="N30:O30"/>
    <mergeCell ref="C35:R35"/>
    <mergeCell ref="C36:R40"/>
    <mergeCell ref="D31:M31"/>
    <mergeCell ref="N31:O31"/>
    <mergeCell ref="P31:Q31"/>
    <mergeCell ref="D32:M32"/>
    <mergeCell ref="N32:O32"/>
    <mergeCell ref="P32:Q32"/>
  </mergeCells>
  <conditionalFormatting sqref="H18:I18">
    <cfRule type="expression" dxfId="783" priority="2">
      <formula>AND($H$18&lt;&gt;"-",OR($H$18&lt;-1,$H$18&gt;1))</formula>
    </cfRule>
    <cfRule type="expression" dxfId="782" priority="4">
      <formula>AND($H$18&lt;&gt;"-",AND($H$18&gt;=-1,$H$18&lt;=1))</formula>
    </cfRule>
  </conditionalFormatting>
  <conditionalFormatting sqref="H19:I19">
    <cfRule type="expression" dxfId="781" priority="1">
      <formula>AND($H$19&lt;&gt;"-",OR($H$19&lt;-1,$H$19&gt;1))</formula>
    </cfRule>
    <cfRule type="expression" dxfId="780"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EDD1D9B1-9269-4098-9397-323290590F46}">
      <formula1>INDIRECT(U27)</formula1>
    </dataValidation>
    <dataValidation type="list" allowBlank="1" showInputMessage="1" showErrorMessage="1" sqref="N26:O26 N28:N30 O28 O30" xr:uid="{55BC36BC-8510-45B6-9246-8DCA7150BCA5}">
      <formula1>INDIRECT(U26)</formula1>
    </dataValidation>
    <dataValidation type="list" allowBlank="1" showInputMessage="1" showErrorMessage="1" sqref="N32:O32" xr:uid="{CA69F103-0ECB-4664-8B56-BD40CDED2CCD}">
      <formula1>LISTE_4</formula1>
    </dataValidation>
    <dataValidation type="list" allowBlank="1" showInputMessage="1" showErrorMessage="1" sqref="N12:Q12" xr:uid="{921657AE-23D0-487C-8419-86C08D6DC1F8}">
      <formula1>LISTE_1</formula1>
    </dataValidation>
  </dataValidation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FEB10-1E1C-4848-9F96-1AF8866B7F8A}">
  <sheetPr codeName="Feuil28">
    <tabColor rgb="FF0070C0"/>
  </sheetPr>
  <dimension ref="B1:U41"/>
  <sheetViews>
    <sheetView showGridLines="0" topLeftCell="G1" workbookViewId="0">
      <selection activeCell="U1" sqref="U1:U1048576"/>
    </sheetView>
  </sheetViews>
  <sheetFormatPr baseColWidth="10" defaultColWidth="10.703125" defaultRowHeight="20.100000000000001" customHeight="1" outlineLevelRow="1" x14ac:dyDescent="0.4"/>
  <cols>
    <col min="1" max="2" width="2.703125" style="597" customWidth="1"/>
    <col min="3" max="18" width="10.703125" style="597"/>
    <col min="19" max="20" width="2.703125" style="597" customWidth="1"/>
    <col min="21" max="21" width="10.703125" style="602"/>
    <col min="22" max="16384" width="10.703125" style="597"/>
  </cols>
  <sheetData>
    <row r="1" spans="2:19" ht="9.9499999999999993" customHeight="1" thickBot="1" x14ac:dyDescent="0.45">
      <c r="B1" s="611"/>
      <c r="C1" s="612"/>
      <c r="D1" s="612"/>
      <c r="E1" s="612"/>
      <c r="F1" s="612"/>
      <c r="G1" s="612"/>
      <c r="H1" s="612"/>
      <c r="I1" s="612"/>
      <c r="J1" s="612"/>
      <c r="K1" s="612"/>
      <c r="L1" s="612"/>
      <c r="M1" s="612"/>
      <c r="N1" s="612"/>
      <c r="O1" s="612"/>
      <c r="P1" s="612"/>
      <c r="Q1" s="612"/>
      <c r="R1" s="612"/>
      <c r="S1" s="613"/>
    </row>
    <row r="2" spans="2:19" ht="30" customHeight="1" thickTop="1" x14ac:dyDescent="0.4">
      <c r="B2" s="598"/>
      <c r="C2" s="1157" t="s">
        <v>539</v>
      </c>
      <c r="D2" s="977"/>
      <c r="E2" s="977"/>
      <c r="F2" s="977"/>
      <c r="G2" s="977"/>
      <c r="H2" s="977"/>
      <c r="I2" s="977"/>
      <c r="J2" s="977"/>
      <c r="K2" s="977"/>
      <c r="L2" s="977"/>
      <c r="M2" s="977"/>
      <c r="N2" s="977"/>
      <c r="O2" s="977"/>
      <c r="P2" s="977"/>
      <c r="Q2" s="977"/>
      <c r="R2" s="978"/>
      <c r="S2" s="601"/>
    </row>
    <row r="3" spans="2:19" ht="20.100000000000001" customHeight="1" x14ac:dyDescent="0.4">
      <c r="B3" s="598"/>
      <c r="C3" s="1261" t="s">
        <v>578</v>
      </c>
      <c r="D3" s="1262"/>
      <c r="E3" s="1263" t="str">
        <f>IF(ISBLANK(Descriptif!N3),"",Descriptif!N3)</f>
        <v>BARJAC (30)</v>
      </c>
      <c r="F3" s="1263"/>
      <c r="G3" s="1263"/>
      <c r="H3" s="1262" t="s">
        <v>540</v>
      </c>
      <c r="I3" s="1262"/>
      <c r="J3" s="1263" t="s">
        <v>827</v>
      </c>
      <c r="K3" s="1263"/>
      <c r="L3" s="1263"/>
      <c r="M3" s="1264" t="s">
        <v>486</v>
      </c>
      <c r="N3" s="1264"/>
      <c r="O3" s="1264"/>
      <c r="P3" s="1263" t="str">
        <f>IF(ISBLANK(Descriptif!T3),"",Descriptif!G6)</f>
        <v/>
      </c>
      <c r="Q3" s="1263"/>
      <c r="R3" s="1265"/>
      <c r="S3" s="601"/>
    </row>
    <row r="4" spans="2:19" ht="20.100000000000001" customHeight="1" x14ac:dyDescent="0.4">
      <c r="B4" s="598"/>
      <c r="C4" s="1261" t="s">
        <v>541</v>
      </c>
      <c r="D4" s="1262"/>
      <c r="E4" s="1263" t="str">
        <f>IF(ISBLANK(Descriptif!N4),"",Descriptif!N4)</f>
        <v>060930290002</v>
      </c>
      <c r="F4" s="1263"/>
      <c r="G4" s="1263"/>
      <c r="H4" s="1262" t="s">
        <v>542</v>
      </c>
      <c r="I4" s="1262"/>
      <c r="J4" s="1263" t="s">
        <v>828</v>
      </c>
      <c r="K4" s="1263"/>
      <c r="L4" s="1263"/>
      <c r="M4" s="1264" t="s">
        <v>543</v>
      </c>
      <c r="N4" s="1264"/>
      <c r="O4" s="1264"/>
      <c r="P4" s="1263"/>
      <c r="Q4" s="1263"/>
      <c r="R4" s="1265"/>
      <c r="S4" s="601"/>
    </row>
    <row r="5" spans="2:19" ht="20.100000000000001" customHeight="1" x14ac:dyDescent="0.4">
      <c r="B5" s="598"/>
      <c r="C5" s="1261" t="s">
        <v>544</v>
      </c>
      <c r="D5" s="1262"/>
      <c r="E5" s="1263" t="str">
        <f>IF(ISBLANK(Descriptif!G5),"",Descriptif!G5)</f>
        <v>Commune de Barjac</v>
      </c>
      <c r="F5" s="1263"/>
      <c r="G5" s="1263"/>
      <c r="H5" s="1262" t="s">
        <v>545</v>
      </c>
      <c r="I5" s="1262"/>
      <c r="J5" s="1263"/>
      <c r="K5" s="1263"/>
      <c r="L5" s="1263"/>
      <c r="M5" s="1264" t="s">
        <v>546</v>
      </c>
      <c r="N5" s="1264"/>
      <c r="O5" s="1264"/>
      <c r="P5" s="1263"/>
      <c r="Q5" s="1263"/>
      <c r="R5" s="1265"/>
      <c r="S5" s="601"/>
    </row>
    <row r="6" spans="2:19" ht="20.100000000000001" customHeight="1" thickBot="1" x14ac:dyDescent="0.45">
      <c r="B6" s="598"/>
      <c r="C6" s="1256" t="s">
        <v>547</v>
      </c>
      <c r="D6" s="1257"/>
      <c r="E6" s="1258" t="str">
        <f>IF(ISBLANK(Descriptif!T6),"",Descriptif!T6)</f>
        <v/>
      </c>
      <c r="F6" s="1258"/>
      <c r="G6" s="1258"/>
      <c r="H6" s="1257" t="s">
        <v>781</v>
      </c>
      <c r="I6" s="1257"/>
      <c r="J6" s="1258" t="s">
        <v>37</v>
      </c>
      <c r="K6" s="1258"/>
      <c r="L6" s="1258"/>
      <c r="M6" s="1259" t="s">
        <v>549</v>
      </c>
      <c r="N6" s="1259"/>
      <c r="O6" s="1259"/>
      <c r="P6" s="1258"/>
      <c r="Q6" s="1258"/>
      <c r="R6" s="1260"/>
      <c r="S6" s="601"/>
    </row>
    <row r="7" spans="2:19" ht="9.9499999999999993" customHeight="1" thickTop="1" thickBot="1" x14ac:dyDescent="0.45">
      <c r="B7" s="598"/>
      <c r="C7" s="30"/>
      <c r="D7" s="30"/>
      <c r="E7" s="30"/>
      <c r="F7" s="30"/>
      <c r="G7" s="30"/>
      <c r="H7" s="30"/>
      <c r="I7" s="30"/>
      <c r="J7" s="30"/>
      <c r="K7" s="30"/>
      <c r="L7" s="30"/>
      <c r="M7" s="30"/>
      <c r="N7" s="30"/>
      <c r="O7" s="30"/>
      <c r="P7" s="30"/>
      <c r="Q7" s="30"/>
      <c r="R7" s="30"/>
      <c r="S7" s="601"/>
    </row>
    <row r="8" spans="2:19" ht="20.100000000000001" customHeight="1" thickTop="1" thickBot="1" x14ac:dyDescent="0.45">
      <c r="B8" s="598"/>
      <c r="C8" s="1119" t="s">
        <v>581</v>
      </c>
      <c r="D8" s="1120"/>
      <c r="E8" s="1120"/>
      <c r="F8" s="1120"/>
      <c r="G8" s="1120"/>
      <c r="H8" s="1120"/>
      <c r="I8" s="1120"/>
      <c r="J8" s="1120"/>
      <c r="K8" s="1120"/>
      <c r="L8" s="1120"/>
      <c r="M8" s="1120"/>
      <c r="N8" s="1120"/>
      <c r="O8" s="1120"/>
      <c r="P8" s="1120"/>
      <c r="Q8" s="1120"/>
      <c r="R8" s="1141"/>
      <c r="S8" s="601"/>
    </row>
    <row r="9" spans="2:19" ht="20.100000000000001" customHeight="1" outlineLevel="1" thickTop="1" x14ac:dyDescent="0.4">
      <c r="B9" s="598"/>
      <c r="C9" s="614"/>
      <c r="D9" s="615"/>
      <c r="E9" s="615"/>
      <c r="F9" s="615"/>
      <c r="G9" s="615"/>
      <c r="H9" s="615"/>
      <c r="I9" s="615"/>
      <c r="J9" s="615"/>
      <c r="K9" s="615"/>
      <c r="L9" s="615"/>
      <c r="M9" s="615"/>
      <c r="N9" s="615"/>
      <c r="O9" s="615"/>
      <c r="P9" s="615"/>
      <c r="Q9" s="615"/>
      <c r="R9" s="616"/>
      <c r="S9" s="601"/>
    </row>
    <row r="10" spans="2:19" ht="20.100000000000001" customHeight="1" outlineLevel="1" x14ac:dyDescent="0.4">
      <c r="B10" s="598"/>
      <c r="C10" s="588"/>
      <c r="D10" s="1101" t="s">
        <v>582</v>
      </c>
      <c r="E10" s="1102"/>
      <c r="F10" s="1102"/>
      <c r="G10" s="1102"/>
      <c r="H10" s="1102"/>
      <c r="I10" s="1102"/>
      <c r="J10" s="1102"/>
      <c r="K10" s="1102"/>
      <c r="L10" s="1102"/>
      <c r="M10" s="1102"/>
      <c r="N10" s="1102"/>
      <c r="O10" s="1102"/>
      <c r="P10" s="1102"/>
      <c r="Q10" s="1123"/>
      <c r="R10" s="589"/>
      <c r="S10" s="601"/>
    </row>
    <row r="11" spans="2:19" ht="20.100000000000001" customHeight="1" outlineLevel="1" x14ac:dyDescent="0.4">
      <c r="B11" s="598"/>
      <c r="C11" s="599"/>
      <c r="D11" s="1242" t="s">
        <v>387</v>
      </c>
      <c r="E11" s="1243"/>
      <c r="F11" s="1244"/>
      <c r="G11" s="1253"/>
      <c r="H11" s="1254"/>
      <c r="I11" s="1254"/>
      <c r="J11" s="1255"/>
      <c r="K11" s="1242" t="s">
        <v>126</v>
      </c>
      <c r="L11" s="1243"/>
      <c r="M11" s="1244"/>
      <c r="N11" s="1253"/>
      <c r="O11" s="1254"/>
      <c r="P11" s="1254"/>
      <c r="Q11" s="1255"/>
      <c r="R11" s="600"/>
      <c r="S11" s="601"/>
    </row>
    <row r="12" spans="2:19" ht="20.100000000000001" customHeight="1" outlineLevel="1" x14ac:dyDescent="0.4">
      <c r="B12" s="598"/>
      <c r="C12" s="599"/>
      <c r="D12" s="1242" t="s">
        <v>583</v>
      </c>
      <c r="E12" s="1243"/>
      <c r="F12" s="1244"/>
      <c r="G12" s="1253"/>
      <c r="H12" s="1254"/>
      <c r="I12" s="1254"/>
      <c r="J12" s="1255"/>
      <c r="K12" s="1242" t="s">
        <v>584</v>
      </c>
      <c r="L12" s="1243"/>
      <c r="M12" s="1244"/>
      <c r="N12" s="1253"/>
      <c r="O12" s="1254"/>
      <c r="P12" s="1254"/>
      <c r="Q12" s="1255"/>
      <c r="R12" s="600"/>
      <c r="S12" s="601"/>
    </row>
    <row r="13" spans="2:19" ht="20.100000000000001" customHeight="1" outlineLevel="1" x14ac:dyDescent="0.4">
      <c r="B13" s="598"/>
      <c r="C13" s="599"/>
      <c r="D13" s="1242" t="s">
        <v>585</v>
      </c>
      <c r="E13" s="1243"/>
      <c r="F13" s="1244"/>
      <c r="G13" s="1253"/>
      <c r="H13" s="1254"/>
      <c r="I13" s="1254"/>
      <c r="J13" s="1255"/>
      <c r="K13" s="1242" t="s">
        <v>597</v>
      </c>
      <c r="L13" s="1243"/>
      <c r="M13" s="1244"/>
      <c r="N13" s="1253"/>
      <c r="O13" s="1254"/>
      <c r="P13" s="1254"/>
      <c r="Q13" s="1255"/>
      <c r="R13" s="600"/>
      <c r="S13" s="601"/>
    </row>
    <row r="14" spans="2:19" ht="20.100000000000001" customHeight="1" outlineLevel="1" x14ac:dyDescent="0.4">
      <c r="B14" s="598"/>
      <c r="C14" s="599"/>
      <c r="D14" s="1242" t="s">
        <v>586</v>
      </c>
      <c r="E14" s="1243"/>
      <c r="F14" s="1244"/>
      <c r="G14" s="1253"/>
      <c r="H14" s="1254"/>
      <c r="I14" s="1254"/>
      <c r="J14" s="1255"/>
      <c r="K14" s="1242" t="s">
        <v>598</v>
      </c>
      <c r="L14" s="1243"/>
      <c r="M14" s="1244"/>
      <c r="N14" s="1253"/>
      <c r="O14" s="1254"/>
      <c r="P14" s="1254"/>
      <c r="Q14" s="1255"/>
      <c r="R14" s="600"/>
      <c r="S14" s="601"/>
    </row>
    <row r="15" spans="2:19" ht="20.100000000000001" customHeight="1" outlineLevel="1" x14ac:dyDescent="0.4">
      <c r="B15" s="598"/>
      <c r="C15" s="599"/>
      <c r="D15" s="30"/>
      <c r="E15" s="30"/>
      <c r="F15" s="30"/>
      <c r="G15" s="30"/>
      <c r="H15" s="30"/>
      <c r="I15" s="30"/>
      <c r="J15" s="30"/>
      <c r="K15" s="30"/>
      <c r="L15" s="30"/>
      <c r="M15" s="30"/>
      <c r="N15" s="30"/>
      <c r="O15" s="30"/>
      <c r="P15" s="30"/>
      <c r="Q15" s="30"/>
      <c r="R15" s="600"/>
      <c r="S15" s="601"/>
    </row>
    <row r="16" spans="2:19" ht="20.100000000000001" customHeight="1" outlineLevel="1" x14ac:dyDescent="0.4">
      <c r="B16" s="598"/>
      <c r="C16" s="599"/>
      <c r="D16" s="1101" t="s">
        <v>824</v>
      </c>
      <c r="E16" s="1102"/>
      <c r="F16" s="1102"/>
      <c r="G16" s="1102"/>
      <c r="H16" s="1102"/>
      <c r="I16" s="1123"/>
      <c r="J16" s="30"/>
      <c r="K16" s="30"/>
      <c r="L16" s="30"/>
      <c r="M16" s="30"/>
      <c r="N16" s="30"/>
      <c r="O16" s="30"/>
      <c r="P16" s="30"/>
      <c r="Q16" s="30"/>
      <c r="R16" s="600"/>
      <c r="S16" s="601"/>
    </row>
    <row r="17" spans="2:21" ht="20.100000000000001" customHeight="1" outlineLevel="1" x14ac:dyDescent="0.4">
      <c r="B17" s="598"/>
      <c r="C17" s="599"/>
      <c r="D17" s="1365" t="s">
        <v>600</v>
      </c>
      <c r="E17" s="1365"/>
      <c r="F17" s="1366" t="s">
        <v>381</v>
      </c>
      <c r="G17" s="1366"/>
      <c r="H17" s="1367" t="s">
        <v>601</v>
      </c>
      <c r="I17" s="1367"/>
      <c r="J17" s="30"/>
      <c r="K17" s="30"/>
      <c r="L17" s="30"/>
      <c r="M17" s="30"/>
      <c r="N17" s="30"/>
      <c r="O17" s="30"/>
      <c r="P17" s="30"/>
      <c r="Q17" s="30"/>
      <c r="R17" s="600"/>
      <c r="S17" s="601"/>
    </row>
    <row r="18" spans="2:21" ht="20.100000000000001" customHeight="1" outlineLevel="1" x14ac:dyDescent="0.4">
      <c r="B18" s="598"/>
      <c r="C18" s="599"/>
      <c r="D18" s="1094"/>
      <c r="E18" s="1094"/>
      <c r="F18" s="1094"/>
      <c r="G18" s="1094"/>
      <c r="H18" s="1093" t="str">
        <f>IF(D18&gt;0,D18-F18,"-")</f>
        <v>-</v>
      </c>
      <c r="I18" s="1093"/>
      <c r="J18" s="30"/>
      <c r="K18" s="30"/>
      <c r="L18" s="30"/>
      <c r="M18" s="30"/>
      <c r="N18" s="30"/>
      <c r="O18" s="30"/>
      <c r="P18" s="30"/>
      <c r="Q18" s="30"/>
      <c r="R18" s="600"/>
      <c r="S18" s="601"/>
      <c r="U18" s="602">
        <f>IF(H18&lt;&gt;"-",IF(ABS(H18)&gt;1, 1,0),-1)</f>
        <v>-1</v>
      </c>
    </row>
    <row r="19" spans="2:21" ht="20.100000000000001" customHeight="1" outlineLevel="1" x14ac:dyDescent="0.4">
      <c r="B19" s="598"/>
      <c r="C19" s="599"/>
      <c r="D19" s="1363"/>
      <c r="E19" s="1363"/>
      <c r="F19" s="1363"/>
      <c r="G19" s="1363"/>
      <c r="H19" s="1364" t="str">
        <f>IF(D19&gt;0,D19-F19,"-")</f>
        <v>-</v>
      </c>
      <c r="I19" s="1364"/>
      <c r="J19" s="30"/>
      <c r="K19" s="30"/>
      <c r="L19" s="30"/>
      <c r="M19" s="30"/>
      <c r="N19" s="30"/>
      <c r="O19" s="30"/>
      <c r="P19" s="30"/>
      <c r="Q19" s="30"/>
      <c r="R19" s="600"/>
      <c r="S19" s="601"/>
      <c r="U19" s="602">
        <f>IF(H19&lt;&gt;"-",IF(ABS(H19)&gt;1, 1,0),-1)</f>
        <v>-1</v>
      </c>
    </row>
    <row r="20" spans="2:21" ht="20.100000000000001" customHeight="1" outlineLevel="1" thickBot="1" x14ac:dyDescent="0.45">
      <c r="B20" s="598"/>
      <c r="C20" s="603"/>
      <c r="D20" s="604"/>
      <c r="E20" s="604"/>
      <c r="F20" s="604"/>
      <c r="G20" s="604"/>
      <c r="H20" s="604"/>
      <c r="I20" s="604"/>
      <c r="J20" s="604"/>
      <c r="K20" s="604"/>
      <c r="L20" s="604"/>
      <c r="M20" s="604"/>
      <c r="N20" s="604"/>
      <c r="O20" s="604"/>
      <c r="P20" s="604"/>
      <c r="Q20" s="604"/>
      <c r="R20" s="605"/>
      <c r="S20" s="601"/>
      <c r="U20" s="602" t="str">
        <f>IF(MAX(U18:U19)&gt;-1,IF(MAX(U18:U19)=1,"Non validé","Validé"),"Non contrôlé")</f>
        <v>Non contrôlé</v>
      </c>
    </row>
    <row r="21" spans="2:21" ht="9.9499999999999993" customHeight="1" thickTop="1" thickBot="1" x14ac:dyDescent="0.45">
      <c r="B21" s="598"/>
      <c r="C21" s="30"/>
      <c r="D21" s="30"/>
      <c r="E21" s="30"/>
      <c r="F21" s="30"/>
      <c r="G21" s="30"/>
      <c r="H21" s="30"/>
      <c r="I21" s="30"/>
      <c r="J21" s="30"/>
      <c r="K21" s="30"/>
      <c r="L21" s="30"/>
      <c r="M21" s="30"/>
      <c r="N21" s="30"/>
      <c r="O21" s="30"/>
      <c r="P21" s="30"/>
      <c r="Q21" s="30"/>
      <c r="R21" s="30"/>
      <c r="S21" s="601"/>
    </row>
    <row r="22" spans="2:21" ht="20.100000000000001" customHeight="1" thickTop="1" thickBot="1" x14ac:dyDescent="0.45">
      <c r="B22" s="598"/>
      <c r="C22" s="1119" t="s">
        <v>575</v>
      </c>
      <c r="D22" s="1120"/>
      <c r="E22" s="1120"/>
      <c r="F22" s="1120"/>
      <c r="G22" s="1120"/>
      <c r="H22" s="1120"/>
      <c r="I22" s="1120"/>
      <c r="J22" s="1120"/>
      <c r="K22" s="1120"/>
      <c r="L22" s="1120"/>
      <c r="M22" s="1120"/>
      <c r="N22" s="1120"/>
      <c r="O22" s="1120"/>
      <c r="P22" s="1120"/>
      <c r="Q22" s="1120"/>
      <c r="R22" s="1141"/>
      <c r="S22" s="601"/>
    </row>
    <row r="23" spans="2:21" ht="20.100000000000001" customHeight="1" outlineLevel="1" thickTop="1" x14ac:dyDescent="0.4">
      <c r="B23" s="598"/>
      <c r="C23" s="599"/>
      <c r="D23" s="30"/>
      <c r="E23" s="30"/>
      <c r="F23" s="30"/>
      <c r="G23" s="30"/>
      <c r="H23" s="30"/>
      <c r="I23" s="30"/>
      <c r="J23" s="30"/>
      <c r="K23" s="30"/>
      <c r="L23" s="30"/>
      <c r="M23" s="30"/>
      <c r="N23" s="30"/>
      <c r="O23" s="30"/>
      <c r="P23" s="30"/>
      <c r="Q23" s="30"/>
      <c r="R23" s="600"/>
      <c r="S23" s="601"/>
    </row>
    <row r="24" spans="2:21" ht="30" customHeight="1" outlineLevel="1" x14ac:dyDescent="0.4">
      <c r="B24" s="598"/>
      <c r="C24" s="588"/>
      <c r="D24" s="1229" t="s">
        <v>37</v>
      </c>
      <c r="E24" s="1229"/>
      <c r="F24" s="1229"/>
      <c r="G24" s="1229"/>
      <c r="H24" s="1229"/>
      <c r="I24" s="1229"/>
      <c r="J24" s="1229"/>
      <c r="K24" s="1229"/>
      <c r="L24" s="1229"/>
      <c r="M24" s="1229"/>
      <c r="N24" s="1229"/>
      <c r="O24" s="1229"/>
      <c r="P24" s="1229"/>
      <c r="Q24" s="1229"/>
      <c r="R24" s="589"/>
      <c r="S24" s="601"/>
    </row>
    <row r="25" spans="2:21" ht="20.100000000000001" customHeight="1" outlineLevel="1" x14ac:dyDescent="0.4">
      <c r="B25" s="598"/>
      <c r="C25" s="588"/>
      <c r="D25" s="1354" t="s">
        <v>407</v>
      </c>
      <c r="E25" s="1355"/>
      <c r="F25" s="1355"/>
      <c r="G25" s="1355"/>
      <c r="H25" s="1355"/>
      <c r="I25" s="1356"/>
      <c r="J25" s="1354" t="s">
        <v>377</v>
      </c>
      <c r="K25" s="1355"/>
      <c r="L25" s="1355"/>
      <c r="M25" s="1356"/>
      <c r="N25" s="1357" t="s">
        <v>242</v>
      </c>
      <c r="O25" s="1357"/>
      <c r="P25" s="747" t="s">
        <v>409</v>
      </c>
      <c r="Q25" s="747" t="s">
        <v>576</v>
      </c>
      <c r="R25" s="589"/>
      <c r="S25" s="601"/>
      <c r="U25" s="602" t="s">
        <v>61</v>
      </c>
    </row>
    <row r="26" spans="2:21" ht="99.95" customHeight="1" outlineLevel="1" x14ac:dyDescent="0.4">
      <c r="B26" s="598"/>
      <c r="C26" s="588"/>
      <c r="D26" s="606">
        <v>1</v>
      </c>
      <c r="E26" s="1222" t="str">
        <f>IFERROR(HLOOKUP($D$24,Critères!$B$3:$BM$16,D26+2,FALSE),"")</f>
        <v>L'accès à l'ouvrage et aux équipements de mesure se fait-il en toute sécurité pour les agents en charge des opérations de contrôles et d'entretien ?</v>
      </c>
      <c r="F26" s="1223"/>
      <c r="G26" s="1223"/>
      <c r="H26" s="1223"/>
      <c r="I26" s="1223"/>
      <c r="J26" s="1222" t="str">
        <f>IFERROR(INDEX(Critères!$B$3:$BM$16, D26+2, MATCH($D$24, Critères!$B$3:$BM$3, 0) + 1),"")</f>
        <v>En cas d'accès nécessitant des équipements de protection individuels renforcés (ARI par exemple) ou d'intervenir à 2 personnes, retenir "Validé avec réserve"</v>
      </c>
      <c r="K26" s="1223"/>
      <c r="L26" s="1223"/>
      <c r="M26" s="1224"/>
      <c r="N26" s="1064"/>
      <c r="O26" s="1063"/>
      <c r="P26" s="742">
        <f>IF(OR(N26="Validé",N26="Validé avec réserve"),Q26,0)</f>
        <v>0</v>
      </c>
      <c r="Q26" s="742">
        <f>IFERROR(INDEX(Critères!$B$3:$BM$16, D26+2, MATCH($D$24,Critères!$B$3:$BM$3, 0) + 2),"")</f>
        <v>10</v>
      </c>
      <c r="R26" s="589"/>
      <c r="S26" s="601"/>
      <c r="U26" s="602" t="s">
        <v>159</v>
      </c>
    </row>
    <row r="27" spans="2:21" ht="99.95" customHeight="1" outlineLevel="1" x14ac:dyDescent="0.4">
      <c r="B27" s="598"/>
      <c r="C27" s="588"/>
      <c r="D27" s="606">
        <v>2</v>
      </c>
      <c r="E27" s="1222" t="str">
        <f>IFERROR(HLOOKUP($D$24,Critères!$B$3:$BM$16,D27+2,FALSE),"")</f>
        <v>Le pluviomètre présente t-il une section suffisante ?</v>
      </c>
      <c r="F27" s="1223"/>
      <c r="G27" s="1223"/>
      <c r="H27" s="1223"/>
      <c r="I27" s="1223"/>
      <c r="J27" s="1222" t="str">
        <f>IFERROR(INDEX(Critères!$B$3:$BM$16, D27+2, MATCH($D$24, Critères!$B$3:$BM$3, 0) + 1),"")</f>
        <v>Entre 180 et 1 000 cm2, soit un diamètre variant entre 15 et 35 cm.</v>
      </c>
      <c r="K27" s="1223"/>
      <c r="L27" s="1223"/>
      <c r="M27" s="1224"/>
      <c r="N27" s="1064" t="str">
        <f>IF(N13&lt;&gt;"",IF(AND(N13&gt;=15,N13&lt;=35),"Validé","Non validé"),"Non contrôlé")</f>
        <v>Non contrôlé</v>
      </c>
      <c r="O27" s="1063"/>
      <c r="P27" s="742">
        <f>IF(OR(N27="Validé",N27="Validé avec réserve"),Q27,0)</f>
        <v>0</v>
      </c>
      <c r="Q27" s="742">
        <f>IFERROR(INDEX(Critères!$B$3:$BM$16, D27+2, MATCH($D$24,Critères!$B$3:$BM$3, 0) + 2),"")</f>
        <v>20</v>
      </c>
      <c r="R27" s="589"/>
      <c r="S27" s="601"/>
      <c r="U27" s="602" t="s">
        <v>159</v>
      </c>
    </row>
    <row r="28" spans="2:21" ht="99.95" customHeight="1" outlineLevel="1" x14ac:dyDescent="0.4">
      <c r="B28" s="598"/>
      <c r="C28" s="588"/>
      <c r="D28" s="606">
        <v>3</v>
      </c>
      <c r="E28" s="1222" t="str">
        <f>IFERROR(HLOOKUP($D$24,Critères!$B$3:$BM$16,D28+2,FALSE),"")</f>
        <v>Le pluviomètre est-il installé conformément aux règles de l'art et/ou aux prescriptions des constructeurs ?</v>
      </c>
      <c r="F28" s="1223"/>
      <c r="G28" s="1223"/>
      <c r="H28" s="1223"/>
      <c r="I28" s="1223"/>
      <c r="J28" s="1222" t="str">
        <f>IFERROR(INDEX(Critères!$B$3:$BM$16, D28+2, MATCH($D$24, Critères!$B$3:$BM$3, 0) + 1),"")</f>
        <v>Sur une surface horizontale, entre 0,5 et 2 mètres du sol (1 mètre recommandé), à une distance supérieure à 4 fois la hauteur d'obstacles(mur, arbres, etc…).</v>
      </c>
      <c r="K28" s="1223"/>
      <c r="L28" s="1223"/>
      <c r="M28" s="1224"/>
      <c r="N28" s="1064"/>
      <c r="O28" s="1063"/>
      <c r="P28" s="742">
        <f t="shared" ref="P28:P30" si="0">IF(OR(N28="Validé",N28="Validé avec réserve"),Q28,0)</f>
        <v>0</v>
      </c>
      <c r="Q28" s="742">
        <f>IFERROR(INDEX(Critères!$B$3:$BM$16, D28+2, MATCH($D$24,Critères!$B$3:$BM$3, 0) + 2),"")</f>
        <v>20</v>
      </c>
      <c r="R28" s="589"/>
      <c r="S28" s="601"/>
      <c r="U28" s="602" t="s">
        <v>159</v>
      </c>
    </row>
    <row r="29" spans="2:21" ht="99.95" customHeight="1" outlineLevel="1" x14ac:dyDescent="0.4">
      <c r="B29" s="598"/>
      <c r="C29" s="588"/>
      <c r="D29" s="606">
        <v>4</v>
      </c>
      <c r="E29" s="1222" t="str">
        <f>IFERROR(HLOOKUP($D$24,Critères!$B$3:$BM$16,D29+2,FALSE),"")</f>
        <v>La propreté et l'état d'entretien du pluviomètre, sont-ils satisfaisants ?</v>
      </c>
      <c r="F29" s="1223"/>
      <c r="G29" s="1223"/>
      <c r="H29" s="1223"/>
      <c r="I29" s="1223"/>
      <c r="J29" s="1222"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223"/>
      <c r="L29" s="1223"/>
      <c r="M29" s="1224"/>
      <c r="N29" s="1064"/>
      <c r="O29" s="1063"/>
      <c r="P29" s="742">
        <f t="shared" si="0"/>
        <v>0</v>
      </c>
      <c r="Q29" s="742">
        <f>IFERROR(INDEX(Critères!$B$3:$BM$16, D29+2, MATCH($D$24,Critères!$B$3:$BM$3, 0) + 2),"")</f>
        <v>20</v>
      </c>
      <c r="R29" s="589"/>
      <c r="S29" s="601"/>
      <c r="U29" s="602" t="s">
        <v>159</v>
      </c>
    </row>
    <row r="30" spans="2:21" ht="99.95" customHeight="1" outlineLevel="1" x14ac:dyDescent="0.4">
      <c r="B30" s="598"/>
      <c r="C30" s="588"/>
      <c r="D30" s="606">
        <v>5</v>
      </c>
      <c r="E30" s="1222" t="str">
        <f>IFERROR(HLOOKUP($D$24,Critères!$B$3:$BM$16,D30+2,FALSE),"")</f>
        <v>L'écart entre d'une part la mesure de la hauteur de pluie réalisée à partir du dispositif en place et celle réalisée par l'organisme de contrôle d'autre part, est-il cohérent (EMT ± 1 unité) ?</v>
      </c>
      <c r="F30" s="1223"/>
      <c r="G30" s="1223"/>
      <c r="H30" s="1223"/>
      <c r="I30" s="1223"/>
      <c r="J30" s="1222">
        <f>IFERROR(INDEX(Critères!$B$3:$BM$16, D30+2, MATCH($D$24, Critères!$B$3:$BM$3, 0) + 1),"")</f>
        <v>0</v>
      </c>
      <c r="K30" s="1223"/>
      <c r="L30" s="1223"/>
      <c r="M30" s="1224"/>
      <c r="N30" s="1064" t="str">
        <f>U20</f>
        <v>Non contrôlé</v>
      </c>
      <c r="O30" s="1063"/>
      <c r="P30" s="742">
        <f t="shared" si="0"/>
        <v>0</v>
      </c>
      <c r="Q30" s="742">
        <f>IFERROR(INDEX(Critères!$B$3:$BM$16, D30+2, MATCH($D$24,Critères!$B$3:$BM$3, 0) + 2),"")</f>
        <v>30</v>
      </c>
      <c r="R30" s="589"/>
      <c r="S30" s="601"/>
      <c r="U30" s="602" t="s">
        <v>159</v>
      </c>
    </row>
    <row r="31" spans="2:21" ht="20.100000000000001" customHeight="1" outlineLevel="1" x14ac:dyDescent="0.4">
      <c r="B31" s="598"/>
      <c r="C31" s="588"/>
      <c r="D31" s="1360" t="s">
        <v>75</v>
      </c>
      <c r="E31" s="1360"/>
      <c r="F31" s="1360"/>
      <c r="G31" s="1360"/>
      <c r="H31" s="1360"/>
      <c r="I31" s="1360"/>
      <c r="J31" s="1360"/>
      <c r="K31" s="1360"/>
      <c r="L31" s="1360"/>
      <c r="M31" s="1360"/>
      <c r="N31" s="1218" t="s">
        <v>413</v>
      </c>
      <c r="O31" s="1218"/>
      <c r="P31" s="1218" t="s">
        <v>64</v>
      </c>
      <c r="Q31" s="1218"/>
      <c r="R31" s="589"/>
      <c r="S31" s="601"/>
    </row>
    <row r="32" spans="2:21" ht="99.95" customHeight="1" outlineLevel="1" x14ac:dyDescent="0.4">
      <c r="B32" s="598"/>
      <c r="C32" s="588"/>
      <c r="D32" s="1361"/>
      <c r="E32" s="1361"/>
      <c r="F32" s="1361"/>
      <c r="G32" s="1361"/>
      <c r="H32" s="1361"/>
      <c r="I32" s="1361"/>
      <c r="J32" s="1361"/>
      <c r="K32" s="1361"/>
      <c r="L32" s="1361"/>
      <c r="M32" s="1361"/>
      <c r="N32" s="994"/>
      <c r="O32" s="994"/>
      <c r="P32" s="1362">
        <f>IF(SUM(P26:P30)&gt;100,100,SUM(P26:P30))</f>
        <v>0</v>
      </c>
      <c r="Q32" s="1362"/>
      <c r="R32" s="589"/>
      <c r="S32" s="601"/>
    </row>
    <row r="33" spans="2:19" ht="20.100000000000001" customHeight="1" outlineLevel="1" thickBot="1" x14ac:dyDescent="0.45">
      <c r="B33" s="598"/>
      <c r="C33" s="591"/>
      <c r="D33" s="592"/>
      <c r="E33" s="592"/>
      <c r="F33" s="592"/>
      <c r="G33" s="592"/>
      <c r="H33" s="592"/>
      <c r="I33" s="592"/>
      <c r="J33" s="592"/>
      <c r="K33" s="592"/>
      <c r="L33" s="592"/>
      <c r="M33" s="592"/>
      <c r="N33" s="592"/>
      <c r="O33" s="592"/>
      <c r="P33" s="592"/>
      <c r="Q33" s="592"/>
      <c r="R33" s="593"/>
      <c r="S33" s="601"/>
    </row>
    <row r="34" spans="2:19" ht="9.9499999999999993" customHeight="1" thickTop="1" thickBot="1" x14ac:dyDescent="0.45">
      <c r="B34" s="598"/>
      <c r="C34" s="587"/>
      <c r="D34" s="587"/>
      <c r="E34" s="587"/>
      <c r="F34" s="587"/>
      <c r="G34" s="587"/>
      <c r="H34" s="587"/>
      <c r="I34" s="587"/>
      <c r="J34" s="587"/>
      <c r="K34" s="587"/>
      <c r="L34" s="587"/>
      <c r="M34" s="587"/>
      <c r="N34" s="587"/>
      <c r="O34" s="587"/>
      <c r="P34" s="587"/>
      <c r="Q34" s="587"/>
      <c r="R34" s="587"/>
      <c r="S34" s="601"/>
    </row>
    <row r="35" spans="2:19" ht="20.100000000000001" customHeight="1" thickTop="1" thickBot="1" x14ac:dyDescent="0.45">
      <c r="B35" s="598"/>
      <c r="C35" s="1119" t="s">
        <v>256</v>
      </c>
      <c r="D35" s="1120"/>
      <c r="E35" s="1120"/>
      <c r="F35" s="1120"/>
      <c r="G35" s="1120"/>
      <c r="H35" s="1120"/>
      <c r="I35" s="1120"/>
      <c r="J35" s="1120"/>
      <c r="K35" s="1120"/>
      <c r="L35" s="1120"/>
      <c r="M35" s="1120"/>
      <c r="N35" s="1120"/>
      <c r="O35" s="1120"/>
      <c r="P35" s="1120"/>
      <c r="Q35" s="1120"/>
      <c r="R35" s="1141"/>
      <c r="S35" s="601"/>
    </row>
    <row r="36" spans="2:19" ht="20.100000000000001" customHeight="1" thickTop="1" x14ac:dyDescent="0.4">
      <c r="B36" s="598"/>
      <c r="C36" s="1208"/>
      <c r="D36" s="1209"/>
      <c r="E36" s="1209"/>
      <c r="F36" s="1209"/>
      <c r="G36" s="1209"/>
      <c r="H36" s="1209"/>
      <c r="I36" s="1209"/>
      <c r="J36" s="1209"/>
      <c r="K36" s="1209"/>
      <c r="L36" s="1209"/>
      <c r="M36" s="1209"/>
      <c r="N36" s="1209"/>
      <c r="O36" s="1209"/>
      <c r="P36" s="1209"/>
      <c r="Q36" s="1209"/>
      <c r="R36" s="1210"/>
      <c r="S36" s="601"/>
    </row>
    <row r="37" spans="2:19" ht="20.100000000000001" customHeight="1" x14ac:dyDescent="0.4">
      <c r="B37" s="598"/>
      <c r="C37" s="1211"/>
      <c r="D37" s="1209"/>
      <c r="E37" s="1209"/>
      <c r="F37" s="1209"/>
      <c r="G37" s="1209"/>
      <c r="H37" s="1209"/>
      <c r="I37" s="1209"/>
      <c r="J37" s="1209"/>
      <c r="K37" s="1209"/>
      <c r="L37" s="1209"/>
      <c r="M37" s="1209"/>
      <c r="N37" s="1209"/>
      <c r="O37" s="1209"/>
      <c r="P37" s="1209"/>
      <c r="Q37" s="1209"/>
      <c r="R37" s="1210"/>
      <c r="S37" s="601"/>
    </row>
    <row r="38" spans="2:19" ht="20.100000000000001" customHeight="1" x14ac:dyDescent="0.4">
      <c r="B38" s="598"/>
      <c r="C38" s="1211"/>
      <c r="D38" s="1209"/>
      <c r="E38" s="1209"/>
      <c r="F38" s="1209"/>
      <c r="G38" s="1209"/>
      <c r="H38" s="1209"/>
      <c r="I38" s="1209"/>
      <c r="J38" s="1209"/>
      <c r="K38" s="1209"/>
      <c r="L38" s="1209"/>
      <c r="M38" s="1209"/>
      <c r="N38" s="1209"/>
      <c r="O38" s="1209"/>
      <c r="P38" s="1209"/>
      <c r="Q38" s="1209"/>
      <c r="R38" s="1210"/>
      <c r="S38" s="601"/>
    </row>
    <row r="39" spans="2:19" ht="20.100000000000001" customHeight="1" x14ac:dyDescent="0.4">
      <c r="B39" s="598"/>
      <c r="C39" s="1211"/>
      <c r="D39" s="1209"/>
      <c r="E39" s="1209"/>
      <c r="F39" s="1209"/>
      <c r="G39" s="1209"/>
      <c r="H39" s="1209"/>
      <c r="I39" s="1209"/>
      <c r="J39" s="1209"/>
      <c r="K39" s="1209"/>
      <c r="L39" s="1209"/>
      <c r="M39" s="1209"/>
      <c r="N39" s="1209"/>
      <c r="O39" s="1209"/>
      <c r="P39" s="1209"/>
      <c r="Q39" s="1209"/>
      <c r="R39" s="1210"/>
      <c r="S39" s="601"/>
    </row>
    <row r="40" spans="2:19" ht="20.100000000000001" customHeight="1" thickBot="1" x14ac:dyDescent="0.45">
      <c r="B40" s="598"/>
      <c r="C40" s="1212"/>
      <c r="D40" s="1213"/>
      <c r="E40" s="1213"/>
      <c r="F40" s="1213"/>
      <c r="G40" s="1213"/>
      <c r="H40" s="1213"/>
      <c r="I40" s="1213"/>
      <c r="J40" s="1213"/>
      <c r="K40" s="1213"/>
      <c r="L40" s="1213"/>
      <c r="M40" s="1213"/>
      <c r="N40" s="1213"/>
      <c r="O40" s="1213"/>
      <c r="P40" s="1213"/>
      <c r="Q40" s="1213"/>
      <c r="R40" s="1214"/>
      <c r="S40" s="601"/>
    </row>
    <row r="41" spans="2:19" ht="9.9499999999999993" customHeight="1" thickTop="1" x14ac:dyDescent="0.4">
      <c r="B41" s="607"/>
      <c r="C41" s="608"/>
      <c r="D41" s="608"/>
      <c r="E41" s="608"/>
      <c r="F41" s="608"/>
      <c r="G41" s="608"/>
      <c r="H41" s="608"/>
      <c r="I41" s="608"/>
      <c r="J41" s="608"/>
      <c r="K41" s="608"/>
      <c r="L41" s="608"/>
      <c r="M41" s="608"/>
      <c r="N41" s="608"/>
      <c r="O41" s="608"/>
      <c r="P41" s="608"/>
      <c r="Q41" s="608"/>
      <c r="R41" s="608"/>
      <c r="S41" s="609"/>
    </row>
  </sheetData>
  <mergeCells count="81">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K12:M12"/>
    <mergeCell ref="N12:Q12"/>
    <mergeCell ref="D13:F13"/>
    <mergeCell ref="G13:J13"/>
    <mergeCell ref="K13:M13"/>
    <mergeCell ref="N13:Q13"/>
    <mergeCell ref="D17:E17"/>
    <mergeCell ref="F17:G17"/>
    <mergeCell ref="H17:I17"/>
    <mergeCell ref="D12:F12"/>
    <mergeCell ref="G12:J12"/>
    <mergeCell ref="D14:F14"/>
    <mergeCell ref="G14:J14"/>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N25:O25"/>
    <mergeCell ref="E27:I27"/>
    <mergeCell ref="J27:M27"/>
    <mergeCell ref="N27:O27"/>
    <mergeCell ref="E28:I28"/>
    <mergeCell ref="J28:M28"/>
    <mergeCell ref="N28:O28"/>
    <mergeCell ref="E29:I29"/>
    <mergeCell ref="J29:M29"/>
    <mergeCell ref="N29:O29"/>
    <mergeCell ref="E30:I30"/>
    <mergeCell ref="J30:M30"/>
    <mergeCell ref="N30:O30"/>
    <mergeCell ref="C35:R35"/>
    <mergeCell ref="C36:R40"/>
    <mergeCell ref="D31:M31"/>
    <mergeCell ref="N31:O31"/>
    <mergeCell ref="P31:Q31"/>
    <mergeCell ref="D32:M32"/>
    <mergeCell ref="N32:O32"/>
    <mergeCell ref="P32:Q32"/>
  </mergeCells>
  <conditionalFormatting sqref="H18:I18">
    <cfRule type="expression" dxfId="779" priority="2">
      <formula>AND($H$18&lt;&gt;"-",OR($H$18&lt;-1,$H$18&gt;1))</formula>
    </cfRule>
    <cfRule type="expression" dxfId="778" priority="4">
      <formula>AND($H$18&lt;&gt;"-",AND($H$18&gt;=-1,$H$18&lt;=1))</formula>
    </cfRule>
  </conditionalFormatting>
  <conditionalFormatting sqref="H19:I19">
    <cfRule type="expression" dxfId="777" priority="1">
      <formula>AND($H$19&lt;&gt;"-",OR($H$19&lt;-1,$H$19&gt;1))</formula>
    </cfRule>
    <cfRule type="expression" dxfId="776"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9A281A85-C56D-45D9-9494-E752D967CB2D}">
      <formula1>INDIRECT(U27)</formula1>
    </dataValidation>
    <dataValidation type="list" allowBlank="1" showInputMessage="1" showErrorMessage="1" sqref="N26:O26 N28:N30 O28 O30" xr:uid="{98A36C7F-A06C-4FA0-8D81-EC297F9E1F02}">
      <formula1>INDIRECT(U26)</formula1>
    </dataValidation>
    <dataValidation type="list" allowBlank="1" showInputMessage="1" showErrorMessage="1" sqref="N32:O32" xr:uid="{4224F51E-CF7E-43C2-80A0-1A49BDF44A5A}">
      <formula1>LISTE_4</formula1>
    </dataValidation>
    <dataValidation type="list" allowBlank="1" showInputMessage="1" showErrorMessage="1" sqref="N12:Q12" xr:uid="{43ADA3C6-1CFA-416F-A823-DB6995CFF1E0}">
      <formula1>LISTE_1</formula1>
    </dataValidation>
  </dataValidation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3D91-C672-49FA-A58A-4DA3FD6BB0DC}">
  <sheetPr codeName="Feuil22">
    <tabColor rgb="FF0070C0"/>
  </sheetPr>
  <dimension ref="B1:U41"/>
  <sheetViews>
    <sheetView showGridLines="0" topLeftCell="B30" workbookViewId="0">
      <selection activeCell="P32" sqref="P32:Q32"/>
    </sheetView>
  </sheetViews>
  <sheetFormatPr baseColWidth="10" defaultColWidth="10.703125" defaultRowHeight="20.100000000000001" customHeight="1" outlineLevelRow="1" x14ac:dyDescent="0.4"/>
  <cols>
    <col min="1" max="2" width="2.703125" style="597" customWidth="1"/>
    <col min="3" max="18" width="10.703125" style="597"/>
    <col min="19" max="20" width="2.703125" style="597" customWidth="1"/>
    <col min="21" max="21" width="10.703125" style="602"/>
    <col min="22" max="16384" width="10.703125" style="597"/>
  </cols>
  <sheetData>
    <row r="1" spans="2:19" ht="9.9499999999999993" customHeight="1" thickBot="1" x14ac:dyDescent="0.45">
      <c r="B1" s="611"/>
      <c r="C1" s="612"/>
      <c r="D1" s="612"/>
      <c r="E1" s="612"/>
      <c r="F1" s="612"/>
      <c r="G1" s="612"/>
      <c r="H1" s="612"/>
      <c r="I1" s="612"/>
      <c r="J1" s="612"/>
      <c r="K1" s="612"/>
      <c r="L1" s="612"/>
      <c r="M1" s="612"/>
      <c r="N1" s="612"/>
      <c r="O1" s="612"/>
      <c r="P1" s="612"/>
      <c r="Q1" s="612"/>
      <c r="R1" s="612"/>
      <c r="S1" s="613"/>
    </row>
    <row r="2" spans="2:19" ht="30" customHeight="1" thickTop="1" x14ac:dyDescent="0.4">
      <c r="B2" s="598"/>
      <c r="C2" s="1157" t="s">
        <v>539</v>
      </c>
      <c r="D2" s="977"/>
      <c r="E2" s="977"/>
      <c r="F2" s="977"/>
      <c r="G2" s="977"/>
      <c r="H2" s="977"/>
      <c r="I2" s="977"/>
      <c r="J2" s="977"/>
      <c r="K2" s="977"/>
      <c r="L2" s="977"/>
      <c r="M2" s="977"/>
      <c r="N2" s="977"/>
      <c r="O2" s="977"/>
      <c r="P2" s="977"/>
      <c r="Q2" s="977"/>
      <c r="R2" s="978"/>
      <c r="S2" s="601"/>
    </row>
    <row r="3" spans="2:19" ht="20.100000000000001" customHeight="1" x14ac:dyDescent="0.4">
      <c r="B3" s="598"/>
      <c r="C3" s="1261" t="s">
        <v>578</v>
      </c>
      <c r="D3" s="1262"/>
      <c r="E3" s="1263" t="str">
        <f>IF(ISBLANK(Descriptif!N3),"",Descriptif!N3)</f>
        <v>BARJAC (30)</v>
      </c>
      <c r="F3" s="1263"/>
      <c r="G3" s="1263"/>
      <c r="H3" s="1262" t="s">
        <v>540</v>
      </c>
      <c r="I3" s="1262"/>
      <c r="J3" s="1263" t="s">
        <v>712</v>
      </c>
      <c r="K3" s="1263"/>
      <c r="L3" s="1263"/>
      <c r="M3" s="1264" t="s">
        <v>486</v>
      </c>
      <c r="N3" s="1264"/>
      <c r="O3" s="1264"/>
      <c r="P3" s="1263" t="str">
        <f>IF(ISBLANK(Descriptif!T3),"",Descriptif!G6)</f>
        <v/>
      </c>
      <c r="Q3" s="1263"/>
      <c r="R3" s="1265"/>
      <c r="S3" s="601"/>
    </row>
    <row r="4" spans="2:19" ht="20.100000000000001" customHeight="1" x14ac:dyDescent="0.4">
      <c r="B4" s="598"/>
      <c r="C4" s="1261" t="s">
        <v>541</v>
      </c>
      <c r="D4" s="1262"/>
      <c r="E4" s="1263" t="str">
        <f>IF(ISBLANK(Descriptif!N4),"",Descriptif!N4)</f>
        <v>060930290002</v>
      </c>
      <c r="F4" s="1263"/>
      <c r="G4" s="1263"/>
      <c r="H4" s="1262" t="s">
        <v>542</v>
      </c>
      <c r="I4" s="1262"/>
      <c r="J4" s="1263" t="s">
        <v>713</v>
      </c>
      <c r="K4" s="1263"/>
      <c r="L4" s="1263"/>
      <c r="M4" s="1264" t="s">
        <v>543</v>
      </c>
      <c r="N4" s="1264"/>
      <c r="O4" s="1264"/>
      <c r="P4" s="1263"/>
      <c r="Q4" s="1263"/>
      <c r="R4" s="1265"/>
      <c r="S4" s="601"/>
    </row>
    <row r="5" spans="2:19" ht="20.100000000000001" customHeight="1" x14ac:dyDescent="0.4">
      <c r="B5" s="598"/>
      <c r="C5" s="1261" t="s">
        <v>544</v>
      </c>
      <c r="D5" s="1262"/>
      <c r="E5" s="1263" t="str">
        <f>IF(ISBLANK(Descriptif!G5),"",Descriptif!G5)</f>
        <v>Commune de Barjac</v>
      </c>
      <c r="F5" s="1263"/>
      <c r="G5" s="1263"/>
      <c r="H5" s="1262" t="s">
        <v>545</v>
      </c>
      <c r="I5" s="1262"/>
      <c r="J5" s="1263"/>
      <c r="K5" s="1263"/>
      <c r="L5" s="1263"/>
      <c r="M5" s="1264" t="s">
        <v>546</v>
      </c>
      <c r="N5" s="1264"/>
      <c r="O5" s="1264"/>
      <c r="P5" s="1263"/>
      <c r="Q5" s="1263"/>
      <c r="R5" s="1265"/>
      <c r="S5" s="601"/>
    </row>
    <row r="6" spans="2:19" ht="20.100000000000001" customHeight="1" thickBot="1" x14ac:dyDescent="0.45">
      <c r="B6" s="598"/>
      <c r="C6" s="1256" t="s">
        <v>547</v>
      </c>
      <c r="D6" s="1257"/>
      <c r="E6" s="1258" t="str">
        <f>IF(ISBLANK(Descriptif!T6),"",Descriptif!T6)</f>
        <v/>
      </c>
      <c r="F6" s="1258"/>
      <c r="G6" s="1258"/>
      <c r="H6" s="1257" t="s">
        <v>548</v>
      </c>
      <c r="I6" s="1257"/>
      <c r="J6" s="1258" t="s">
        <v>37</v>
      </c>
      <c r="K6" s="1258"/>
      <c r="L6" s="1258"/>
      <c r="M6" s="1259" t="s">
        <v>549</v>
      </c>
      <c r="N6" s="1259"/>
      <c r="O6" s="1259"/>
      <c r="P6" s="1258"/>
      <c r="Q6" s="1258"/>
      <c r="R6" s="1260"/>
      <c r="S6" s="601"/>
    </row>
    <row r="7" spans="2:19" ht="9.9499999999999993" customHeight="1" thickTop="1" thickBot="1" x14ac:dyDescent="0.45">
      <c r="B7" s="598"/>
      <c r="C7" s="30"/>
      <c r="D7" s="30"/>
      <c r="E7" s="30"/>
      <c r="F7" s="30"/>
      <c r="G7" s="30"/>
      <c r="H7" s="30"/>
      <c r="I7" s="30"/>
      <c r="J7" s="30"/>
      <c r="K7" s="30"/>
      <c r="L7" s="30"/>
      <c r="M7" s="30"/>
      <c r="N7" s="30"/>
      <c r="O7" s="30"/>
      <c r="P7" s="30"/>
      <c r="Q7" s="30"/>
      <c r="R7" s="30"/>
      <c r="S7" s="601"/>
    </row>
    <row r="8" spans="2:19" ht="20.100000000000001" customHeight="1" thickTop="1" thickBot="1" x14ac:dyDescent="0.45">
      <c r="B8" s="598"/>
      <c r="C8" s="1119" t="s">
        <v>581</v>
      </c>
      <c r="D8" s="1120"/>
      <c r="E8" s="1120"/>
      <c r="F8" s="1120"/>
      <c r="G8" s="1120"/>
      <c r="H8" s="1120"/>
      <c r="I8" s="1120"/>
      <c r="J8" s="1120"/>
      <c r="K8" s="1120"/>
      <c r="L8" s="1120"/>
      <c r="M8" s="1120"/>
      <c r="N8" s="1120"/>
      <c r="O8" s="1120"/>
      <c r="P8" s="1120"/>
      <c r="Q8" s="1120"/>
      <c r="R8" s="1141"/>
      <c r="S8" s="601"/>
    </row>
    <row r="9" spans="2:19" ht="20.100000000000001" customHeight="1" outlineLevel="1" thickTop="1" x14ac:dyDescent="0.4">
      <c r="B9" s="598"/>
      <c r="C9" s="614"/>
      <c r="D9" s="615"/>
      <c r="E9" s="615"/>
      <c r="F9" s="615"/>
      <c r="G9" s="615"/>
      <c r="H9" s="615"/>
      <c r="I9" s="615"/>
      <c r="J9" s="615"/>
      <c r="K9" s="615"/>
      <c r="L9" s="615"/>
      <c r="M9" s="615"/>
      <c r="N9" s="615"/>
      <c r="O9" s="615"/>
      <c r="P9" s="615"/>
      <c r="Q9" s="615"/>
      <c r="R9" s="616"/>
      <c r="S9" s="601"/>
    </row>
    <row r="10" spans="2:19" ht="20.100000000000001" customHeight="1" outlineLevel="1" x14ac:dyDescent="0.4">
      <c r="B10" s="598"/>
      <c r="C10" s="588"/>
      <c r="D10" s="1101" t="s">
        <v>582</v>
      </c>
      <c r="E10" s="1102"/>
      <c r="F10" s="1102"/>
      <c r="G10" s="1102"/>
      <c r="H10" s="1102"/>
      <c r="I10" s="1102"/>
      <c r="J10" s="1102"/>
      <c r="K10" s="1102"/>
      <c r="L10" s="1102"/>
      <c r="M10" s="1102"/>
      <c r="N10" s="1102"/>
      <c r="O10" s="1102"/>
      <c r="P10" s="1102"/>
      <c r="Q10" s="1123"/>
      <c r="R10" s="589"/>
      <c r="S10" s="601"/>
    </row>
    <row r="11" spans="2:19" ht="20.100000000000001" customHeight="1" outlineLevel="1" x14ac:dyDescent="0.4">
      <c r="B11" s="598"/>
      <c r="C11" s="599"/>
      <c r="D11" s="1242" t="s">
        <v>387</v>
      </c>
      <c r="E11" s="1243"/>
      <c r="F11" s="1244"/>
      <c r="G11" s="1253" t="s">
        <v>771</v>
      </c>
      <c r="H11" s="1254"/>
      <c r="I11" s="1254"/>
      <c r="J11" s="1255"/>
      <c r="K11" s="1242" t="s">
        <v>126</v>
      </c>
      <c r="L11" s="1243"/>
      <c r="M11" s="1244"/>
      <c r="N11" s="1253" t="s">
        <v>774</v>
      </c>
      <c r="O11" s="1254"/>
      <c r="P11" s="1254"/>
      <c r="Q11" s="1255"/>
      <c r="R11" s="600"/>
      <c r="S11" s="601"/>
    </row>
    <row r="12" spans="2:19" ht="20.100000000000001" customHeight="1" outlineLevel="1" x14ac:dyDescent="0.4">
      <c r="B12" s="598"/>
      <c r="C12" s="599"/>
      <c r="D12" s="1242" t="s">
        <v>583</v>
      </c>
      <c r="E12" s="1243"/>
      <c r="F12" s="1244"/>
      <c r="G12" s="1253" t="s">
        <v>773</v>
      </c>
      <c r="H12" s="1254"/>
      <c r="I12" s="1254"/>
      <c r="J12" s="1255"/>
      <c r="K12" s="1242" t="s">
        <v>584</v>
      </c>
      <c r="L12" s="1243"/>
      <c r="M12" s="1244"/>
      <c r="N12" s="1253" t="s">
        <v>172</v>
      </c>
      <c r="O12" s="1254"/>
      <c r="P12" s="1254"/>
      <c r="Q12" s="1255"/>
      <c r="R12" s="600"/>
      <c r="S12" s="601"/>
    </row>
    <row r="13" spans="2:19" ht="20.100000000000001" customHeight="1" outlineLevel="1" x14ac:dyDescent="0.4">
      <c r="B13" s="598"/>
      <c r="C13" s="599"/>
      <c r="D13" s="1242" t="s">
        <v>585</v>
      </c>
      <c r="E13" s="1243"/>
      <c r="F13" s="1244"/>
      <c r="G13" s="1253"/>
      <c r="H13" s="1254"/>
      <c r="I13" s="1254"/>
      <c r="J13" s="1255"/>
      <c r="K13" s="1242" t="s">
        <v>597</v>
      </c>
      <c r="L13" s="1243"/>
      <c r="M13" s="1244"/>
      <c r="N13" s="1253">
        <v>16</v>
      </c>
      <c r="O13" s="1254"/>
      <c r="P13" s="1254"/>
      <c r="Q13" s="1255"/>
      <c r="R13" s="600"/>
      <c r="S13" s="601"/>
    </row>
    <row r="14" spans="2:19" ht="20.100000000000001" customHeight="1" outlineLevel="1" x14ac:dyDescent="0.4">
      <c r="B14" s="598"/>
      <c r="C14" s="599"/>
      <c r="D14" s="1242" t="s">
        <v>586</v>
      </c>
      <c r="E14" s="1243"/>
      <c r="F14" s="1244"/>
      <c r="G14" s="1253" t="s">
        <v>772</v>
      </c>
      <c r="H14" s="1254"/>
      <c r="I14" s="1254"/>
      <c r="J14" s="1255"/>
      <c r="K14" s="1242" t="s">
        <v>598</v>
      </c>
      <c r="L14" s="1243"/>
      <c r="M14" s="1244"/>
      <c r="N14" s="1253"/>
      <c r="O14" s="1254"/>
      <c r="P14" s="1254"/>
      <c r="Q14" s="1255"/>
      <c r="R14" s="600"/>
      <c r="S14" s="601"/>
    </row>
    <row r="15" spans="2:19" ht="20.100000000000001" customHeight="1" outlineLevel="1" x14ac:dyDescent="0.4">
      <c r="B15" s="598"/>
      <c r="C15" s="599"/>
      <c r="D15" s="30"/>
      <c r="E15" s="30"/>
      <c r="F15" s="30"/>
      <c r="G15" s="30"/>
      <c r="H15" s="30"/>
      <c r="I15" s="30"/>
      <c r="J15" s="30"/>
      <c r="K15" s="30"/>
      <c r="L15" s="30"/>
      <c r="M15" s="30"/>
      <c r="N15" s="30"/>
      <c r="O15" s="30"/>
      <c r="P15" s="30"/>
      <c r="Q15" s="30"/>
      <c r="R15" s="600"/>
      <c r="S15" s="601"/>
    </row>
    <row r="16" spans="2:19" ht="20.100000000000001" customHeight="1" outlineLevel="1" x14ac:dyDescent="0.4">
      <c r="B16" s="598"/>
      <c r="C16" s="599"/>
      <c r="D16" s="1101" t="s">
        <v>599</v>
      </c>
      <c r="E16" s="1102"/>
      <c r="F16" s="1102"/>
      <c r="G16" s="1102"/>
      <c r="H16" s="1102"/>
      <c r="I16" s="1123"/>
      <c r="J16" s="30"/>
      <c r="K16" s="30"/>
      <c r="L16" s="30"/>
      <c r="M16" s="30"/>
      <c r="N16" s="30"/>
      <c r="O16" s="30"/>
      <c r="P16" s="30"/>
      <c r="Q16" s="30"/>
      <c r="R16" s="600"/>
      <c r="S16" s="601"/>
    </row>
    <row r="17" spans="2:21" ht="20.100000000000001" customHeight="1" outlineLevel="1" x14ac:dyDescent="0.4">
      <c r="B17" s="598"/>
      <c r="C17" s="599"/>
      <c r="D17" s="1365" t="s">
        <v>600</v>
      </c>
      <c r="E17" s="1365"/>
      <c r="F17" s="1366" t="s">
        <v>381</v>
      </c>
      <c r="G17" s="1366"/>
      <c r="H17" s="1367" t="s">
        <v>601</v>
      </c>
      <c r="I17" s="1367"/>
      <c r="J17" s="30"/>
      <c r="K17" s="30"/>
      <c r="L17" s="30"/>
      <c r="M17" s="30"/>
      <c r="N17" s="30"/>
      <c r="O17" s="30"/>
      <c r="P17" s="30"/>
      <c r="Q17" s="30"/>
      <c r="R17" s="600"/>
      <c r="S17" s="601"/>
    </row>
    <row r="18" spans="2:21" ht="20.100000000000001" customHeight="1" outlineLevel="1" x14ac:dyDescent="0.4">
      <c r="B18" s="598"/>
      <c r="C18" s="599"/>
      <c r="D18" s="1094"/>
      <c r="E18" s="1094"/>
      <c r="F18" s="1094"/>
      <c r="G18" s="1094"/>
      <c r="H18" s="1093" t="str">
        <f>IF(D18&gt;0,D18-F18,"-")</f>
        <v>-</v>
      </c>
      <c r="I18" s="1093"/>
      <c r="J18" s="30"/>
      <c r="K18" s="30"/>
      <c r="L18" s="30"/>
      <c r="M18" s="30"/>
      <c r="N18" s="30"/>
      <c r="O18" s="30"/>
      <c r="P18" s="30"/>
      <c r="Q18" s="30"/>
      <c r="R18" s="600"/>
      <c r="S18" s="601"/>
      <c r="U18" s="602">
        <f>IF(H18&lt;&gt;"-",IF(ABS(H18)&gt;1, 1,0),-1)</f>
        <v>-1</v>
      </c>
    </row>
    <row r="19" spans="2:21" ht="20.100000000000001" customHeight="1" outlineLevel="1" x14ac:dyDescent="0.4">
      <c r="B19" s="598"/>
      <c r="C19" s="599"/>
      <c r="D19" s="1363"/>
      <c r="E19" s="1363"/>
      <c r="F19" s="1363"/>
      <c r="G19" s="1363"/>
      <c r="H19" s="1364" t="str">
        <f>IF(D19&gt;0,D19-F19,"-")</f>
        <v>-</v>
      </c>
      <c r="I19" s="1364"/>
      <c r="J19" s="30"/>
      <c r="K19" s="30"/>
      <c r="L19" s="30"/>
      <c r="M19" s="30"/>
      <c r="N19" s="30"/>
      <c r="O19" s="30"/>
      <c r="P19" s="30"/>
      <c r="Q19" s="30"/>
      <c r="R19" s="600"/>
      <c r="S19" s="601"/>
      <c r="U19" s="602">
        <f>IF(H19&lt;&gt;"-",IF(ABS(H19)&gt;1, 1,0),-1)</f>
        <v>-1</v>
      </c>
    </row>
    <row r="20" spans="2:21" ht="20.100000000000001" customHeight="1" outlineLevel="1" thickBot="1" x14ac:dyDescent="0.45">
      <c r="B20" s="598"/>
      <c r="C20" s="603"/>
      <c r="D20" s="604"/>
      <c r="E20" s="604"/>
      <c r="F20" s="604"/>
      <c r="G20" s="604"/>
      <c r="H20" s="604"/>
      <c r="I20" s="604"/>
      <c r="J20" s="604"/>
      <c r="K20" s="604"/>
      <c r="L20" s="604"/>
      <c r="M20" s="604"/>
      <c r="N20" s="604"/>
      <c r="O20" s="604"/>
      <c r="P20" s="604"/>
      <c r="Q20" s="604"/>
      <c r="R20" s="605"/>
      <c r="S20" s="601"/>
      <c r="U20" s="602" t="str">
        <f>IF(MAX(U18:U19)&gt;-1,IF(MAX(U18:U19)=1,"Non validé","Validé"),"Non contrôlé")</f>
        <v>Non contrôlé</v>
      </c>
    </row>
    <row r="21" spans="2:21" ht="9.9499999999999993" customHeight="1" thickTop="1" thickBot="1" x14ac:dyDescent="0.45">
      <c r="B21" s="598"/>
      <c r="C21" s="30"/>
      <c r="D21" s="30"/>
      <c r="E21" s="30"/>
      <c r="F21" s="30"/>
      <c r="G21" s="30"/>
      <c r="H21" s="30"/>
      <c r="I21" s="30"/>
      <c r="J21" s="30"/>
      <c r="K21" s="30"/>
      <c r="L21" s="30"/>
      <c r="M21" s="30"/>
      <c r="N21" s="30"/>
      <c r="O21" s="30"/>
      <c r="P21" s="30"/>
      <c r="Q21" s="30"/>
      <c r="R21" s="30"/>
      <c r="S21" s="601"/>
    </row>
    <row r="22" spans="2:21" ht="20.100000000000001" customHeight="1" thickTop="1" thickBot="1" x14ac:dyDescent="0.45">
      <c r="B22" s="598"/>
      <c r="C22" s="1119" t="s">
        <v>575</v>
      </c>
      <c r="D22" s="1120"/>
      <c r="E22" s="1120"/>
      <c r="F22" s="1120"/>
      <c r="G22" s="1120"/>
      <c r="H22" s="1120"/>
      <c r="I22" s="1120"/>
      <c r="J22" s="1120"/>
      <c r="K22" s="1120"/>
      <c r="L22" s="1120"/>
      <c r="M22" s="1120"/>
      <c r="N22" s="1120"/>
      <c r="O22" s="1120"/>
      <c r="P22" s="1120"/>
      <c r="Q22" s="1120"/>
      <c r="R22" s="1141"/>
      <c r="S22" s="601"/>
    </row>
    <row r="23" spans="2:21" ht="20.100000000000001" customHeight="1" outlineLevel="1" thickTop="1" x14ac:dyDescent="0.4">
      <c r="B23" s="598"/>
      <c r="C23" s="599"/>
      <c r="D23" s="30"/>
      <c r="E23" s="30"/>
      <c r="F23" s="30"/>
      <c r="G23" s="30"/>
      <c r="H23" s="30"/>
      <c r="I23" s="30"/>
      <c r="J23" s="30"/>
      <c r="K23" s="30"/>
      <c r="L23" s="30"/>
      <c r="M23" s="30"/>
      <c r="N23" s="30"/>
      <c r="O23" s="30"/>
      <c r="P23" s="30"/>
      <c r="Q23" s="30"/>
      <c r="R23" s="600"/>
      <c r="S23" s="601"/>
    </row>
    <row r="24" spans="2:21" ht="30" customHeight="1" outlineLevel="1" x14ac:dyDescent="0.4">
      <c r="B24" s="598"/>
      <c r="C24" s="588"/>
      <c r="D24" s="1229" t="s">
        <v>37</v>
      </c>
      <c r="E24" s="1229"/>
      <c r="F24" s="1229"/>
      <c r="G24" s="1229"/>
      <c r="H24" s="1229"/>
      <c r="I24" s="1229"/>
      <c r="J24" s="1229"/>
      <c r="K24" s="1229"/>
      <c r="L24" s="1229"/>
      <c r="M24" s="1229"/>
      <c r="N24" s="1229"/>
      <c r="O24" s="1229"/>
      <c r="P24" s="1229"/>
      <c r="Q24" s="1229"/>
      <c r="R24" s="589"/>
      <c r="S24" s="601"/>
    </row>
    <row r="25" spans="2:21" ht="20.100000000000001" customHeight="1" outlineLevel="1" x14ac:dyDescent="0.4">
      <c r="B25" s="598"/>
      <c r="C25" s="588"/>
      <c r="D25" s="1354" t="s">
        <v>407</v>
      </c>
      <c r="E25" s="1355"/>
      <c r="F25" s="1355"/>
      <c r="G25" s="1355"/>
      <c r="H25" s="1355"/>
      <c r="I25" s="1356"/>
      <c r="J25" s="1354" t="s">
        <v>377</v>
      </c>
      <c r="K25" s="1355"/>
      <c r="L25" s="1355"/>
      <c r="M25" s="1356"/>
      <c r="N25" s="1357" t="s">
        <v>242</v>
      </c>
      <c r="O25" s="1357"/>
      <c r="P25" s="747" t="s">
        <v>409</v>
      </c>
      <c r="Q25" s="747" t="s">
        <v>576</v>
      </c>
      <c r="R25" s="589"/>
      <c r="S25" s="601"/>
      <c r="U25" s="602" t="s">
        <v>61</v>
      </c>
    </row>
    <row r="26" spans="2:21" ht="99.95" customHeight="1" outlineLevel="1" x14ac:dyDescent="0.4">
      <c r="B26" s="598"/>
      <c r="C26" s="588"/>
      <c r="D26" s="606">
        <v>1</v>
      </c>
      <c r="E26" s="1222" t="str">
        <f>IFERROR(HLOOKUP($D$24,Critères!$B$3:$BM$16,D26+2,FALSE),"")</f>
        <v>L'accès à l'ouvrage et aux équipements de mesure se fait-il en toute sécurité pour les agents en charge des opérations de contrôles et d'entretien ?</v>
      </c>
      <c r="F26" s="1223"/>
      <c r="G26" s="1223"/>
      <c r="H26" s="1223"/>
      <c r="I26" s="1223"/>
      <c r="J26" s="1222" t="str">
        <f>IFERROR(INDEX(Critères!$B$3:$BM$16, D26+2, MATCH($D$24, Critères!$B$3:$BM$3, 0) + 1),"")</f>
        <v>En cas d'accès nécessitant des équipements de protection individuels renforcés (ARI par exemple) ou d'intervenir à 2 personnes, retenir "Validé avec réserve"</v>
      </c>
      <c r="K26" s="1223"/>
      <c r="L26" s="1223"/>
      <c r="M26" s="1224"/>
      <c r="N26" s="1064" t="s">
        <v>167</v>
      </c>
      <c r="O26" s="1063"/>
      <c r="P26" s="742">
        <f>IF(OR(N26="Validé",N26="Validé avec réserve"),Q26,0)</f>
        <v>10</v>
      </c>
      <c r="Q26" s="742">
        <f>IFERROR(INDEX(Critères!$B$3:$BM$16, D26+2, MATCH($D$24,Critères!$B$3:$BM$3, 0) + 2),"")</f>
        <v>10</v>
      </c>
      <c r="R26" s="589"/>
      <c r="S26" s="601"/>
      <c r="U26" s="602" t="s">
        <v>159</v>
      </c>
    </row>
    <row r="27" spans="2:21" ht="99.95" customHeight="1" outlineLevel="1" x14ac:dyDescent="0.4">
      <c r="B27" s="598"/>
      <c r="C27" s="588"/>
      <c r="D27" s="606">
        <v>2</v>
      </c>
      <c r="E27" s="1222" t="str">
        <f>IFERROR(HLOOKUP($D$24,Critères!$B$3:$BM$16,D27+2,FALSE),"")</f>
        <v>Le pluviomètre présente t-il une section suffisante ?</v>
      </c>
      <c r="F27" s="1223"/>
      <c r="G27" s="1223"/>
      <c r="H27" s="1223"/>
      <c r="I27" s="1223"/>
      <c r="J27" s="1222" t="str">
        <f>IFERROR(INDEX(Critères!$B$3:$BM$16, D27+2, MATCH($D$24, Critères!$B$3:$BM$3, 0) + 1),"")</f>
        <v>Entre 180 et 1 000 cm2, soit un diamètre variant entre 15 et 35 cm.</v>
      </c>
      <c r="K27" s="1223"/>
      <c r="L27" s="1223"/>
      <c r="M27" s="1224"/>
      <c r="N27" s="1064" t="str">
        <f>IF(N13&lt;&gt;"",IF(AND(N13&gt;=15,N13&lt;=35),"Validé","Non validé"),"Non contrôlé")</f>
        <v>Validé</v>
      </c>
      <c r="O27" s="1063"/>
      <c r="P27" s="742">
        <f>IF(OR(N27="Validé",N27="Validé avec réserve"),Q27,0)</f>
        <v>20</v>
      </c>
      <c r="Q27" s="742">
        <f>IFERROR(INDEX(Critères!$B$3:$BM$16, D27+2, MATCH($D$24,Critères!$B$3:$BM$3, 0) + 2),"")</f>
        <v>20</v>
      </c>
      <c r="R27" s="589"/>
      <c r="S27" s="601"/>
      <c r="U27" s="602" t="s">
        <v>159</v>
      </c>
    </row>
    <row r="28" spans="2:21" ht="99.95" customHeight="1" outlineLevel="1" x14ac:dyDescent="0.4">
      <c r="B28" s="598"/>
      <c r="C28" s="588"/>
      <c r="D28" s="606">
        <v>3</v>
      </c>
      <c r="E28" s="1222" t="str">
        <f>IFERROR(HLOOKUP($D$24,Critères!$B$3:$BM$16,D28+2,FALSE),"")</f>
        <v>Le pluviomètre est-il installé conformément aux règles de l'art et/ou aux prescriptions des constructeurs ?</v>
      </c>
      <c r="F28" s="1223"/>
      <c r="G28" s="1223"/>
      <c r="H28" s="1223"/>
      <c r="I28" s="1223"/>
      <c r="J28" s="1222" t="str">
        <f>IFERROR(INDEX(Critères!$B$3:$BM$16, D28+2, MATCH($D$24, Critères!$B$3:$BM$3, 0) + 1),"")</f>
        <v>Sur une surface horizontale, entre 0,5 et 2 mètres du sol (1 mètre recommandé), à une distance supérieure à 4 fois la hauteur d'obstacles(mur, arbres, etc…).</v>
      </c>
      <c r="K28" s="1223"/>
      <c r="L28" s="1223"/>
      <c r="M28" s="1224"/>
      <c r="N28" s="1064" t="s">
        <v>167</v>
      </c>
      <c r="O28" s="1063"/>
      <c r="P28" s="742">
        <f t="shared" ref="P28:P30" si="0">IF(OR(N28="Validé",N28="Validé avec réserve"),Q28,0)</f>
        <v>20</v>
      </c>
      <c r="Q28" s="742">
        <f>IFERROR(INDEX(Critères!$B$3:$BM$16, D28+2, MATCH($D$24,Critères!$B$3:$BM$3, 0) + 2),"")</f>
        <v>20</v>
      </c>
      <c r="R28" s="589"/>
      <c r="S28" s="601"/>
      <c r="U28" s="602" t="s">
        <v>159</v>
      </c>
    </row>
    <row r="29" spans="2:21" ht="99.95" customHeight="1" outlineLevel="1" x14ac:dyDescent="0.4">
      <c r="B29" s="598"/>
      <c r="C29" s="588"/>
      <c r="D29" s="606">
        <v>4</v>
      </c>
      <c r="E29" s="1222" t="str">
        <f>IFERROR(HLOOKUP($D$24,Critères!$B$3:$BM$16,D29+2,FALSE),"")</f>
        <v>La propreté et l'état d'entretien du pluviomètre, sont-ils satisfaisants ?</v>
      </c>
      <c r="F29" s="1223"/>
      <c r="G29" s="1223"/>
      <c r="H29" s="1223"/>
      <c r="I29" s="1223"/>
      <c r="J29" s="1222"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223"/>
      <c r="L29" s="1223"/>
      <c r="M29" s="1224"/>
      <c r="N29" s="1064" t="s">
        <v>167</v>
      </c>
      <c r="O29" s="1063"/>
      <c r="P29" s="742">
        <f t="shared" si="0"/>
        <v>20</v>
      </c>
      <c r="Q29" s="742">
        <f>IFERROR(INDEX(Critères!$B$3:$BM$16, D29+2, MATCH($D$24,Critères!$B$3:$BM$3, 0) + 2),"")</f>
        <v>20</v>
      </c>
      <c r="R29" s="589"/>
      <c r="S29" s="601"/>
      <c r="U29" s="602" t="s">
        <v>159</v>
      </c>
    </row>
    <row r="30" spans="2:21" ht="99.95" customHeight="1" outlineLevel="1" x14ac:dyDescent="0.4">
      <c r="B30" s="598"/>
      <c r="C30" s="588"/>
      <c r="D30" s="606">
        <v>5</v>
      </c>
      <c r="E30" s="1222" t="str">
        <f>IFERROR(HLOOKUP($D$24,Critères!$B$3:$BM$16,D30+2,FALSE),"")</f>
        <v>L'écart entre d'une part la mesure de la hauteur de pluie réalisée à partir du dispositif en place et celle réalisée par l'organisme de contrôle d'autre part, est-il cohérent (EMT ± 1 unité) ?</v>
      </c>
      <c r="F30" s="1223"/>
      <c r="G30" s="1223"/>
      <c r="H30" s="1223"/>
      <c r="I30" s="1223"/>
      <c r="J30" s="1222">
        <f>IFERROR(INDEX(Critères!$B$3:$BM$16, D30+2, MATCH($D$24, Critères!$B$3:$BM$3, 0) + 1),"")</f>
        <v>0</v>
      </c>
      <c r="K30" s="1223"/>
      <c r="L30" s="1223"/>
      <c r="M30" s="1224"/>
      <c r="N30" s="1064" t="str">
        <f>U20</f>
        <v>Non contrôlé</v>
      </c>
      <c r="O30" s="1063"/>
      <c r="P30" s="742">
        <f t="shared" si="0"/>
        <v>0</v>
      </c>
      <c r="Q30" s="742">
        <f>IFERROR(INDEX(Critères!$B$3:$BM$16, D30+2, MATCH($D$24,Critères!$B$3:$BM$3, 0) + 2),"")</f>
        <v>30</v>
      </c>
      <c r="R30" s="791" t="s">
        <v>779</v>
      </c>
      <c r="S30" s="601"/>
      <c r="U30" s="602" t="s">
        <v>159</v>
      </c>
    </row>
    <row r="31" spans="2:21" ht="20.100000000000001" customHeight="1" outlineLevel="1" x14ac:dyDescent="0.4">
      <c r="B31" s="598"/>
      <c r="C31" s="588"/>
      <c r="D31" s="1360" t="s">
        <v>75</v>
      </c>
      <c r="E31" s="1360"/>
      <c r="F31" s="1360"/>
      <c r="G31" s="1360"/>
      <c r="H31" s="1360"/>
      <c r="I31" s="1360"/>
      <c r="J31" s="1360"/>
      <c r="K31" s="1360"/>
      <c r="L31" s="1360"/>
      <c r="M31" s="1360"/>
      <c r="N31" s="1218" t="s">
        <v>413</v>
      </c>
      <c r="O31" s="1218"/>
      <c r="P31" s="1218" t="s">
        <v>64</v>
      </c>
      <c r="Q31" s="1218"/>
      <c r="R31" s="589"/>
      <c r="S31" s="601"/>
    </row>
    <row r="32" spans="2:21" ht="99.95" customHeight="1" outlineLevel="1" x14ac:dyDescent="0.4">
      <c r="B32" s="598"/>
      <c r="C32" s="588"/>
      <c r="D32" s="1361"/>
      <c r="E32" s="1361"/>
      <c r="F32" s="1361"/>
      <c r="G32" s="1361"/>
      <c r="H32" s="1361"/>
      <c r="I32" s="1361"/>
      <c r="J32" s="1361"/>
      <c r="K32" s="1361"/>
      <c r="L32" s="1361"/>
      <c r="M32" s="1361"/>
      <c r="N32" s="994" t="s">
        <v>176</v>
      </c>
      <c r="O32" s="994"/>
      <c r="P32" s="1362">
        <f>IF(SUM(P26:P30)&gt;100,100,SUM(P26:P30))</f>
        <v>70</v>
      </c>
      <c r="Q32" s="1362"/>
      <c r="R32" s="589"/>
      <c r="S32" s="601"/>
    </row>
    <row r="33" spans="2:19" ht="20.100000000000001" customHeight="1" outlineLevel="1" thickBot="1" x14ac:dyDescent="0.45">
      <c r="B33" s="598"/>
      <c r="C33" s="591"/>
      <c r="D33" s="592"/>
      <c r="E33" s="592"/>
      <c r="F33" s="592"/>
      <c r="G33" s="592"/>
      <c r="H33" s="592"/>
      <c r="I33" s="592"/>
      <c r="J33" s="592"/>
      <c r="K33" s="592"/>
      <c r="L33" s="592"/>
      <c r="M33" s="592"/>
      <c r="N33" s="592"/>
      <c r="O33" s="592"/>
      <c r="P33" s="592"/>
      <c r="Q33" s="592"/>
      <c r="R33" s="593"/>
      <c r="S33" s="601"/>
    </row>
    <row r="34" spans="2:19" ht="9.9499999999999993" customHeight="1" thickTop="1" thickBot="1" x14ac:dyDescent="0.45">
      <c r="B34" s="598"/>
      <c r="C34" s="587"/>
      <c r="D34" s="587"/>
      <c r="E34" s="587"/>
      <c r="F34" s="587"/>
      <c r="G34" s="587"/>
      <c r="H34" s="587"/>
      <c r="I34" s="587"/>
      <c r="J34" s="587"/>
      <c r="K34" s="587"/>
      <c r="L34" s="587"/>
      <c r="M34" s="587"/>
      <c r="N34" s="587"/>
      <c r="O34" s="587"/>
      <c r="P34" s="587"/>
      <c r="Q34" s="587"/>
      <c r="R34" s="587"/>
      <c r="S34" s="601"/>
    </row>
    <row r="35" spans="2:19" ht="20.100000000000001" customHeight="1" thickTop="1" thickBot="1" x14ac:dyDescent="0.45">
      <c r="B35" s="598"/>
      <c r="C35" s="1119" t="s">
        <v>256</v>
      </c>
      <c r="D35" s="1120"/>
      <c r="E35" s="1120"/>
      <c r="F35" s="1120"/>
      <c r="G35" s="1120"/>
      <c r="H35" s="1120"/>
      <c r="I35" s="1120"/>
      <c r="J35" s="1120"/>
      <c r="K35" s="1120"/>
      <c r="L35" s="1120"/>
      <c r="M35" s="1120"/>
      <c r="N35" s="1120"/>
      <c r="O35" s="1120"/>
      <c r="P35" s="1120"/>
      <c r="Q35" s="1120"/>
      <c r="R35" s="1141"/>
      <c r="S35" s="601"/>
    </row>
    <row r="36" spans="2:19" ht="20.100000000000001" customHeight="1" thickTop="1" x14ac:dyDescent="0.4">
      <c r="B36" s="598"/>
      <c r="C36" s="1208"/>
      <c r="D36" s="1209"/>
      <c r="E36" s="1209"/>
      <c r="F36" s="1209"/>
      <c r="G36" s="1209"/>
      <c r="H36" s="1209"/>
      <c r="I36" s="1209"/>
      <c r="J36" s="1209"/>
      <c r="K36" s="1209"/>
      <c r="L36" s="1209"/>
      <c r="M36" s="1209"/>
      <c r="N36" s="1209"/>
      <c r="O36" s="1209"/>
      <c r="P36" s="1209"/>
      <c r="Q36" s="1209"/>
      <c r="R36" s="1210"/>
      <c r="S36" s="601"/>
    </row>
    <row r="37" spans="2:19" ht="20.100000000000001" customHeight="1" x14ac:dyDescent="0.4">
      <c r="B37" s="598"/>
      <c r="C37" s="1211"/>
      <c r="D37" s="1209"/>
      <c r="E37" s="1209"/>
      <c r="F37" s="1209"/>
      <c r="G37" s="1209"/>
      <c r="H37" s="1209"/>
      <c r="I37" s="1209"/>
      <c r="J37" s="1209"/>
      <c r="K37" s="1209"/>
      <c r="L37" s="1209"/>
      <c r="M37" s="1209"/>
      <c r="N37" s="1209"/>
      <c r="O37" s="1209"/>
      <c r="P37" s="1209"/>
      <c r="Q37" s="1209"/>
      <c r="R37" s="1210"/>
      <c r="S37" s="601"/>
    </row>
    <row r="38" spans="2:19" ht="20.100000000000001" customHeight="1" x14ac:dyDescent="0.4">
      <c r="B38" s="598"/>
      <c r="C38" s="1211"/>
      <c r="D38" s="1209"/>
      <c r="E38" s="1209"/>
      <c r="F38" s="1209"/>
      <c r="G38" s="1209"/>
      <c r="H38" s="1209"/>
      <c r="I38" s="1209"/>
      <c r="J38" s="1209"/>
      <c r="K38" s="1209"/>
      <c r="L38" s="1209"/>
      <c r="M38" s="1209"/>
      <c r="N38" s="1209"/>
      <c r="O38" s="1209"/>
      <c r="P38" s="1209"/>
      <c r="Q38" s="1209"/>
      <c r="R38" s="1210"/>
      <c r="S38" s="601"/>
    </row>
    <row r="39" spans="2:19" ht="20.100000000000001" customHeight="1" x14ac:dyDescent="0.4">
      <c r="B39" s="598"/>
      <c r="C39" s="1211"/>
      <c r="D39" s="1209"/>
      <c r="E39" s="1209"/>
      <c r="F39" s="1209"/>
      <c r="G39" s="1209"/>
      <c r="H39" s="1209"/>
      <c r="I39" s="1209"/>
      <c r="J39" s="1209"/>
      <c r="K39" s="1209"/>
      <c r="L39" s="1209"/>
      <c r="M39" s="1209"/>
      <c r="N39" s="1209"/>
      <c r="O39" s="1209"/>
      <c r="P39" s="1209"/>
      <c r="Q39" s="1209"/>
      <c r="R39" s="1210"/>
      <c r="S39" s="601"/>
    </row>
    <row r="40" spans="2:19" ht="20.100000000000001" customHeight="1" thickBot="1" x14ac:dyDescent="0.45">
      <c r="B40" s="598"/>
      <c r="C40" s="1212"/>
      <c r="D40" s="1213"/>
      <c r="E40" s="1213"/>
      <c r="F40" s="1213"/>
      <c r="G40" s="1213"/>
      <c r="H40" s="1213"/>
      <c r="I40" s="1213"/>
      <c r="J40" s="1213"/>
      <c r="K40" s="1213"/>
      <c r="L40" s="1213"/>
      <c r="M40" s="1213"/>
      <c r="N40" s="1213"/>
      <c r="O40" s="1213"/>
      <c r="P40" s="1213"/>
      <c r="Q40" s="1213"/>
      <c r="R40" s="1214"/>
      <c r="S40" s="601"/>
    </row>
    <row r="41" spans="2:19" ht="9.9499999999999993" customHeight="1" thickTop="1" x14ac:dyDescent="0.4">
      <c r="B41" s="607"/>
      <c r="C41" s="608"/>
      <c r="D41" s="608"/>
      <c r="E41" s="608"/>
      <c r="F41" s="608"/>
      <c r="G41" s="608"/>
      <c r="H41" s="608"/>
      <c r="I41" s="608"/>
      <c r="J41" s="608"/>
      <c r="K41" s="608"/>
      <c r="L41" s="608"/>
      <c r="M41" s="608"/>
      <c r="N41" s="608"/>
      <c r="O41" s="608"/>
      <c r="P41" s="608"/>
      <c r="Q41" s="608"/>
      <c r="R41" s="608"/>
      <c r="S41" s="609"/>
    </row>
  </sheetData>
  <mergeCells count="81">
    <mergeCell ref="C35:R35"/>
    <mergeCell ref="C36:R40"/>
    <mergeCell ref="D31:M31"/>
    <mergeCell ref="N31:O31"/>
    <mergeCell ref="P31:Q31"/>
    <mergeCell ref="D32:M32"/>
    <mergeCell ref="N32:O32"/>
    <mergeCell ref="P32:Q32"/>
    <mergeCell ref="E29:I29"/>
    <mergeCell ref="J29:M29"/>
    <mergeCell ref="N29:O29"/>
    <mergeCell ref="E30:I30"/>
    <mergeCell ref="J30:M30"/>
    <mergeCell ref="N30:O30"/>
    <mergeCell ref="N25:O25"/>
    <mergeCell ref="E27:I27"/>
    <mergeCell ref="J27:M27"/>
    <mergeCell ref="N27:O27"/>
    <mergeCell ref="E28:I28"/>
    <mergeCell ref="J28:M28"/>
    <mergeCell ref="N28:O28"/>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D17:E17"/>
    <mergeCell ref="F17:G17"/>
    <mergeCell ref="H17:I17"/>
    <mergeCell ref="D12:F12"/>
    <mergeCell ref="G12:J12"/>
    <mergeCell ref="D14:F14"/>
    <mergeCell ref="G14:J14"/>
    <mergeCell ref="K12:M12"/>
    <mergeCell ref="N12:Q12"/>
    <mergeCell ref="D13:F13"/>
    <mergeCell ref="G13:J13"/>
    <mergeCell ref="K13:M13"/>
    <mergeCell ref="N13:Q13"/>
    <mergeCell ref="C8:R8"/>
    <mergeCell ref="D10:Q10"/>
    <mergeCell ref="D11:F11"/>
    <mergeCell ref="G11:J11"/>
    <mergeCell ref="K11:M11"/>
    <mergeCell ref="N11:Q11"/>
    <mergeCell ref="P6:R6"/>
    <mergeCell ref="C5:D5"/>
    <mergeCell ref="E5:G5"/>
    <mergeCell ref="H5:I5"/>
    <mergeCell ref="J5:L5"/>
    <mergeCell ref="M5:O5"/>
    <mergeCell ref="P5:R5"/>
    <mergeCell ref="C6:D6"/>
    <mergeCell ref="E6:G6"/>
    <mergeCell ref="H6:I6"/>
    <mergeCell ref="J6:L6"/>
    <mergeCell ref="M6:O6"/>
    <mergeCell ref="P4:R4"/>
    <mergeCell ref="C2:R2"/>
    <mergeCell ref="C3:D3"/>
    <mergeCell ref="E3:G3"/>
    <mergeCell ref="H3:I3"/>
    <mergeCell ref="J3:L3"/>
    <mergeCell ref="M3:O3"/>
    <mergeCell ref="P3:R3"/>
    <mergeCell ref="C4:D4"/>
    <mergeCell ref="E4:G4"/>
    <mergeCell ref="H4:I4"/>
    <mergeCell ref="J4:L4"/>
    <mergeCell ref="M4:O4"/>
  </mergeCells>
  <conditionalFormatting sqref="H18:I18">
    <cfRule type="expression" dxfId="775" priority="2">
      <formula>AND($H$18&lt;&gt;"-",OR($H$18&lt;-1,$H$18&gt;1))</formula>
    </cfRule>
    <cfRule type="expression" dxfId="774" priority="4">
      <formula>AND($H$18&lt;&gt;"-",AND($H$18&gt;=-1,$H$18&lt;=1))</formula>
    </cfRule>
  </conditionalFormatting>
  <conditionalFormatting sqref="H19:I19">
    <cfRule type="expression" dxfId="773" priority="1">
      <formula>AND($H$19&lt;&gt;"-",OR($H$19&lt;-1,$H$19&gt;1))</formula>
    </cfRule>
    <cfRule type="expression" dxfId="772"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944ED8C5-ECFC-4A05-B610-D023D13C97AF}">
      <formula1>INDIRECT(U27)</formula1>
    </dataValidation>
    <dataValidation type="list" allowBlank="1" showInputMessage="1" showErrorMessage="1" sqref="N26:O26 N28:N30 O28 O30" xr:uid="{1D177B09-5F75-4243-A642-8310A8CE5959}">
      <formula1>INDIRECT(U26)</formula1>
    </dataValidation>
    <dataValidation type="list" allowBlank="1" showInputMessage="1" showErrorMessage="1" sqref="N32:O32" xr:uid="{9AE7A111-ADFF-461B-9442-8098F15B70E6}">
      <formula1>LISTE_4</formula1>
    </dataValidation>
    <dataValidation type="list" allowBlank="1" showInputMessage="1" showErrorMessage="1" sqref="N12:Q12" xr:uid="{501457D5-00C2-44EF-B2F4-B4FC983EFFB6}">
      <formula1>LISTE_1</formula1>
    </dataValidation>
  </dataValidations>
  <pageMargins left="0.7" right="0.7" top="0.75" bottom="0.75" header="0.3" footer="0.3"/>
  <pageSetup paperSize="9" orientation="portrait" verticalDpi="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3">
    <tabColor theme="0"/>
  </sheetPr>
  <dimension ref="B3:K9"/>
  <sheetViews>
    <sheetView showGridLines="0" workbookViewId="0">
      <selection activeCell="R19" sqref="R19"/>
    </sheetView>
  </sheetViews>
  <sheetFormatPr baseColWidth="10" defaultColWidth="11.41015625" defaultRowHeight="12.7" x14ac:dyDescent="0.4"/>
  <sheetData>
    <row r="3" spans="2:11" x14ac:dyDescent="0.4">
      <c r="G3" s="1368" t="s">
        <v>0</v>
      </c>
      <c r="H3" s="1369"/>
      <c r="I3" s="1369"/>
      <c r="J3" s="1369"/>
      <c r="K3" s="1370"/>
    </row>
    <row r="4" spans="2:11" ht="13" thickBot="1" x14ac:dyDescent="0.45">
      <c r="G4" s="1371"/>
      <c r="H4" s="1372"/>
      <c r="I4" s="1372"/>
      <c r="J4" s="1372"/>
      <c r="K4" s="1373"/>
    </row>
    <row r="8" spans="2:11" x14ac:dyDescent="0.4">
      <c r="B8" t="s">
        <v>1</v>
      </c>
    </row>
    <row r="9" spans="2:11" x14ac:dyDescent="0.4">
      <c r="B9" t="s">
        <v>2</v>
      </c>
    </row>
  </sheetData>
  <mergeCells count="1">
    <mergeCell ref="G3:K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FA1B-22B2-400F-B496-C102973905E2}">
  <sheetPr codeName="Feuil6">
    <tabColor theme="3" tint="-0.249977111117893"/>
  </sheetPr>
  <dimension ref="A3:O60"/>
  <sheetViews>
    <sheetView showGridLines="0" zoomScale="80" zoomScaleNormal="80" workbookViewId="0">
      <selection activeCell="D36" sqref="D36"/>
    </sheetView>
  </sheetViews>
  <sheetFormatPr baseColWidth="10" defaultColWidth="11.41015625" defaultRowHeight="12.7" x14ac:dyDescent="0.4"/>
  <cols>
    <col min="2" max="2" width="79.5859375" customWidth="1"/>
    <col min="3" max="3" width="24.29296875" customWidth="1"/>
    <col min="4" max="4" width="70.703125" customWidth="1"/>
    <col min="7" max="7" width="79.5859375" customWidth="1"/>
    <col min="8" max="8" width="24.29296875" customWidth="1"/>
    <col min="9" max="9" width="70.703125" customWidth="1"/>
    <col min="13" max="13" width="79.5859375" customWidth="1"/>
    <col min="14" max="14" width="24.29296875" customWidth="1"/>
    <col min="15" max="15" width="70.703125" customWidth="1"/>
  </cols>
  <sheetData>
    <row r="3" spans="2:15" ht="26.25" customHeight="1" x14ac:dyDescent="0.4">
      <c r="B3" s="1615" t="s">
        <v>850</v>
      </c>
      <c r="C3" s="1615" t="s">
        <v>29</v>
      </c>
      <c r="D3" s="1616" t="s">
        <v>125</v>
      </c>
      <c r="H3" s="1615" t="s">
        <v>30</v>
      </c>
      <c r="I3" s="1616"/>
      <c r="N3" s="1615" t="s">
        <v>31</v>
      </c>
      <c r="O3" s="1616"/>
    </row>
    <row r="4" spans="2:15" ht="20.25" customHeight="1" x14ac:dyDescent="0.4">
      <c r="B4" s="1617" t="s">
        <v>851</v>
      </c>
      <c r="C4" s="1618"/>
      <c r="D4" s="1619"/>
      <c r="G4" s="1617" t="s">
        <v>851</v>
      </c>
      <c r="H4" s="1618"/>
      <c r="I4" s="1619"/>
      <c r="M4" s="1617" t="s">
        <v>851</v>
      </c>
      <c r="N4" s="1618"/>
      <c r="O4" s="1619"/>
    </row>
    <row r="5" spans="2:15" ht="21" thickBot="1" x14ac:dyDescent="0.45">
      <c r="B5" s="1620"/>
      <c r="C5" s="1620"/>
      <c r="D5" s="1620"/>
      <c r="G5" s="1620"/>
      <c r="H5" s="1620"/>
      <c r="I5" s="1620"/>
      <c r="M5" s="1620"/>
      <c r="N5" s="1620"/>
      <c r="O5" s="1620"/>
    </row>
    <row r="6" spans="2:15" ht="24" customHeight="1" x14ac:dyDescent="0.4">
      <c r="B6" s="1621" t="s">
        <v>126</v>
      </c>
      <c r="C6" s="1622" t="s">
        <v>852</v>
      </c>
      <c r="D6" s="1623"/>
      <c r="G6" s="1621" t="s">
        <v>126</v>
      </c>
      <c r="H6" s="1622" t="s">
        <v>852</v>
      </c>
      <c r="I6" s="1623"/>
      <c r="M6" s="1621" t="s">
        <v>126</v>
      </c>
      <c r="N6" s="1622" t="s">
        <v>852</v>
      </c>
      <c r="O6" s="1623"/>
    </row>
    <row r="7" spans="2:15" ht="18.75" customHeight="1" x14ac:dyDescent="0.4">
      <c r="B7" s="1624"/>
      <c r="C7" s="1625" t="s">
        <v>853</v>
      </c>
      <c r="D7" s="1626" t="s">
        <v>854</v>
      </c>
      <c r="G7" s="1624"/>
      <c r="H7" s="1625" t="s">
        <v>853</v>
      </c>
      <c r="I7" s="1626" t="s">
        <v>854</v>
      </c>
      <c r="M7" s="1624"/>
      <c r="N7" s="1625" t="s">
        <v>853</v>
      </c>
      <c r="O7" s="1626" t="s">
        <v>854</v>
      </c>
    </row>
    <row r="8" spans="2:15" ht="21.75" customHeight="1" x14ac:dyDescent="0.4">
      <c r="B8" s="1627"/>
      <c r="C8" s="1628"/>
      <c r="D8" s="1629"/>
      <c r="G8" s="1627"/>
      <c r="H8" s="1630"/>
      <c r="I8" s="1629"/>
      <c r="M8" s="1627"/>
      <c r="N8" s="1630"/>
      <c r="O8" s="1629"/>
    </row>
    <row r="9" spans="2:15" ht="21.95" customHeight="1" thickBot="1" x14ac:dyDescent="0.45">
      <c r="B9" s="1631"/>
      <c r="C9" s="1632"/>
      <c r="D9" s="1633"/>
      <c r="G9" s="1634"/>
      <c r="H9" s="1635"/>
      <c r="I9" s="1636"/>
      <c r="M9" s="1631"/>
      <c r="N9" s="1637"/>
      <c r="O9" s="1633"/>
    </row>
    <row r="10" spans="2:15" ht="15.75" customHeight="1" x14ac:dyDescent="0.4">
      <c r="B10" s="1638"/>
      <c r="C10" s="1638"/>
      <c r="D10" s="1638"/>
      <c r="G10" s="1638"/>
      <c r="H10" s="1638"/>
      <c r="I10" s="1638"/>
      <c r="M10" s="1638"/>
      <c r="N10" s="1638"/>
      <c r="O10" s="1638"/>
    </row>
    <row r="11" spans="2:15" ht="10.5" customHeight="1" thickBot="1" x14ac:dyDescent="0.45">
      <c r="B11" s="1639"/>
      <c r="C11" s="1640"/>
      <c r="D11" s="1641"/>
      <c r="G11" s="1639"/>
      <c r="H11" s="1640"/>
      <c r="I11" s="1641"/>
      <c r="M11" s="1639"/>
      <c r="N11" s="1640"/>
      <c r="O11" s="1641"/>
    </row>
    <row r="12" spans="2:15" ht="15.75" customHeight="1" x14ac:dyDescent="0.4">
      <c r="B12" s="1642" t="s">
        <v>855</v>
      </c>
      <c r="C12" s="1643" t="s">
        <v>856</v>
      </c>
      <c r="D12" s="1644" t="s">
        <v>857</v>
      </c>
      <c r="G12" s="1642" t="s">
        <v>855</v>
      </c>
      <c r="H12" s="1643" t="s">
        <v>856</v>
      </c>
      <c r="I12" s="1644" t="s">
        <v>857</v>
      </c>
      <c r="M12" s="1642" t="s">
        <v>855</v>
      </c>
      <c r="N12" s="1643" t="s">
        <v>856</v>
      </c>
      <c r="O12" s="1644" t="s">
        <v>857</v>
      </c>
    </row>
    <row r="13" spans="2:15" ht="15.75" customHeight="1" x14ac:dyDescent="0.4">
      <c r="B13" s="1645"/>
      <c r="C13" s="1646"/>
      <c r="D13" s="1647"/>
      <c r="G13" s="1645"/>
      <c r="H13" s="1646"/>
      <c r="I13" s="1647"/>
      <c r="M13" s="1645"/>
      <c r="N13" s="1646"/>
      <c r="O13" s="1647"/>
    </row>
    <row r="14" spans="2:15" ht="31.35" customHeight="1" x14ac:dyDescent="0.4">
      <c r="B14" s="1648" t="s">
        <v>858</v>
      </c>
      <c r="C14" s="1649"/>
      <c r="D14" s="1650"/>
      <c r="G14" s="1648" t="s">
        <v>858</v>
      </c>
      <c r="H14" s="1649"/>
      <c r="I14" s="1650"/>
      <c r="M14" s="1648" t="s">
        <v>858</v>
      </c>
      <c r="N14" s="1649" t="s">
        <v>127</v>
      </c>
      <c r="O14" s="1650"/>
    </row>
    <row r="15" spans="2:15" ht="31.35" customHeight="1" thickBot="1" x14ac:dyDescent="0.45">
      <c r="B15" s="1651" t="s">
        <v>859</v>
      </c>
      <c r="C15" s="1649"/>
      <c r="D15" s="1650"/>
      <c r="G15" s="1651" t="s">
        <v>859</v>
      </c>
      <c r="H15" s="1649"/>
      <c r="I15" s="1650"/>
      <c r="M15" s="1651" t="s">
        <v>859</v>
      </c>
      <c r="N15" s="1649"/>
      <c r="O15" s="1650"/>
    </row>
    <row r="16" spans="2:15" ht="15.75" customHeight="1" x14ac:dyDescent="0.4">
      <c r="B16" s="1642" t="s">
        <v>860</v>
      </c>
      <c r="C16" s="1643" t="s">
        <v>856</v>
      </c>
      <c r="D16" s="1644" t="s">
        <v>857</v>
      </c>
      <c r="G16" s="1642" t="s">
        <v>860</v>
      </c>
      <c r="H16" s="1643" t="s">
        <v>856</v>
      </c>
      <c r="I16" s="1644" t="s">
        <v>857</v>
      </c>
      <c r="M16" s="1642" t="s">
        <v>860</v>
      </c>
      <c r="N16" s="1643" t="s">
        <v>856</v>
      </c>
      <c r="O16" s="1644" t="s">
        <v>857</v>
      </c>
    </row>
    <row r="17" spans="1:15" ht="15.75" customHeight="1" x14ac:dyDescent="0.4">
      <c r="B17" s="1645"/>
      <c r="C17" s="1646"/>
      <c r="D17" s="1647"/>
      <c r="G17" s="1645"/>
      <c r="H17" s="1646"/>
      <c r="I17" s="1647"/>
      <c r="M17" s="1645"/>
      <c r="N17" s="1646"/>
      <c r="O17" s="1647"/>
    </row>
    <row r="18" spans="1:15" ht="31.35" customHeight="1" thickBot="1" x14ac:dyDescent="0.45">
      <c r="B18" s="1651" t="s">
        <v>861</v>
      </c>
      <c r="C18" s="1649"/>
      <c r="D18" s="1652"/>
      <c r="G18" s="1651" t="s">
        <v>861</v>
      </c>
      <c r="H18" s="1649"/>
      <c r="I18" s="1652"/>
      <c r="M18" s="1651" t="s">
        <v>861</v>
      </c>
      <c r="N18" s="1649"/>
      <c r="O18" s="1652"/>
    </row>
    <row r="19" spans="1:15" ht="15.75" customHeight="1" x14ac:dyDescent="0.4">
      <c r="B19" s="1642" t="s">
        <v>862</v>
      </c>
      <c r="C19" s="1643" t="s">
        <v>856</v>
      </c>
      <c r="D19" s="1644" t="s">
        <v>857</v>
      </c>
      <c r="G19" s="1642" t="s">
        <v>862</v>
      </c>
      <c r="H19" s="1643" t="s">
        <v>856</v>
      </c>
      <c r="I19" s="1644" t="s">
        <v>857</v>
      </c>
      <c r="M19" s="1642" t="s">
        <v>862</v>
      </c>
      <c r="N19" s="1643" t="s">
        <v>856</v>
      </c>
      <c r="O19" s="1644" t="s">
        <v>857</v>
      </c>
    </row>
    <row r="20" spans="1:15" ht="15.75" customHeight="1" x14ac:dyDescent="0.4">
      <c r="B20" s="1645"/>
      <c r="C20" s="1646"/>
      <c r="D20" s="1647"/>
      <c r="G20" s="1645"/>
      <c r="H20" s="1646"/>
      <c r="I20" s="1647"/>
      <c r="M20" s="1645"/>
      <c r="N20" s="1646"/>
      <c r="O20" s="1647"/>
    </row>
    <row r="21" spans="1:15" ht="31.35" customHeight="1" x14ac:dyDescent="0.4">
      <c r="B21" s="1653" t="s">
        <v>863</v>
      </c>
      <c r="C21" s="1649"/>
      <c r="D21" s="1652"/>
      <c r="G21" s="1653" t="s">
        <v>863</v>
      </c>
      <c r="H21" s="1649"/>
      <c r="I21" s="1652"/>
      <c r="M21" s="1653" t="s">
        <v>863</v>
      </c>
      <c r="N21" s="1649"/>
      <c r="O21" s="1652"/>
    </row>
    <row r="22" spans="1:15" ht="31.35" customHeight="1" thickBot="1" x14ac:dyDescent="0.45">
      <c r="B22" s="1654" t="s">
        <v>864</v>
      </c>
      <c r="C22" s="1649"/>
      <c r="D22" s="1655"/>
      <c r="G22" s="1654" t="s">
        <v>864</v>
      </c>
      <c r="H22" s="1649"/>
      <c r="I22" s="1655"/>
      <c r="M22" s="1654" t="s">
        <v>864</v>
      </c>
      <c r="N22" s="1649"/>
      <c r="O22" s="1655"/>
    </row>
    <row r="23" spans="1:15" ht="15.75" customHeight="1" x14ac:dyDescent="0.4">
      <c r="B23" s="1642" t="s">
        <v>865</v>
      </c>
      <c r="C23" s="1643" t="s">
        <v>856</v>
      </c>
      <c r="D23" s="1656" t="s">
        <v>857</v>
      </c>
      <c r="G23" s="1642" t="s">
        <v>865</v>
      </c>
      <c r="H23" s="1643" t="s">
        <v>856</v>
      </c>
      <c r="I23" s="1657" t="s">
        <v>857</v>
      </c>
      <c r="M23" s="1642" t="s">
        <v>865</v>
      </c>
      <c r="N23" s="1643" t="s">
        <v>856</v>
      </c>
      <c r="O23" s="1657" t="s">
        <v>857</v>
      </c>
    </row>
    <row r="24" spans="1:15" ht="15.75" customHeight="1" x14ac:dyDescent="0.4">
      <c r="B24" s="1645"/>
      <c r="C24" s="1646"/>
      <c r="D24" s="1658"/>
      <c r="G24" s="1645"/>
      <c r="H24" s="1646"/>
      <c r="I24" s="1659"/>
      <c r="M24" s="1645"/>
      <c r="N24" s="1646"/>
      <c r="O24" s="1659"/>
    </row>
    <row r="25" spans="1:15" ht="31.35" customHeight="1" thickBot="1" x14ac:dyDescent="0.45">
      <c r="B25" s="1654" t="s">
        <v>866</v>
      </c>
      <c r="C25" s="1649"/>
      <c r="D25" s="1660"/>
      <c r="G25" s="1654" t="s">
        <v>866</v>
      </c>
      <c r="H25" s="1649" t="s">
        <v>128</v>
      </c>
      <c r="I25" s="1661"/>
      <c r="M25" s="1654" t="s">
        <v>866</v>
      </c>
      <c r="N25" s="1649"/>
      <c r="O25" s="1661"/>
    </row>
    <row r="26" spans="1:15" ht="31.35" customHeight="1" x14ac:dyDescent="0.4">
      <c r="B26" s="1662" t="s">
        <v>867</v>
      </c>
      <c r="C26" s="1663"/>
      <c r="D26" s="1664" t="s">
        <v>75</v>
      </c>
      <c r="G26" s="1662" t="s">
        <v>867</v>
      </c>
      <c r="H26" s="1663"/>
      <c r="I26" s="1664" t="s">
        <v>75</v>
      </c>
      <c r="M26" s="1662" t="s">
        <v>867</v>
      </c>
      <c r="N26" s="1663"/>
      <c r="O26" s="1664" t="s">
        <v>75</v>
      </c>
    </row>
    <row r="27" spans="1:15" ht="46.5" customHeight="1" thickBot="1" x14ac:dyDescent="0.45">
      <c r="B27" s="1665"/>
      <c r="C27" s="1666"/>
      <c r="D27" s="1667"/>
      <c r="G27" s="1665"/>
      <c r="H27" s="1666"/>
      <c r="I27" s="1667"/>
      <c r="M27" s="1665"/>
      <c r="N27" s="1666"/>
      <c r="O27" s="1667"/>
    </row>
    <row r="29" spans="1:15" ht="15.75" customHeight="1" x14ac:dyDescent="0.75">
      <c r="A29" s="1668"/>
    </row>
    <row r="30" spans="1:15" ht="15.75" customHeight="1" x14ac:dyDescent="0.75">
      <c r="A30" s="1669" t="s">
        <v>868</v>
      </c>
    </row>
    <row r="32" spans="1:15" ht="25.7" x14ac:dyDescent="0.4">
      <c r="B32" s="1670" t="s">
        <v>869</v>
      </c>
      <c r="C32" s="1670" t="s">
        <v>29</v>
      </c>
      <c r="D32" s="1616"/>
      <c r="E32" s="1671"/>
      <c r="H32" s="1670" t="s">
        <v>30</v>
      </c>
      <c r="I32" s="1616"/>
      <c r="N32" s="1670" t="s">
        <v>31</v>
      </c>
      <c r="O32" s="1616"/>
    </row>
    <row r="33" spans="2:15" ht="20.7" x14ac:dyDescent="0.4">
      <c r="B33" s="1617" t="s">
        <v>851</v>
      </c>
      <c r="C33" s="1618"/>
      <c r="D33" s="1619"/>
      <c r="E33" s="1620"/>
      <c r="G33" s="1617" t="s">
        <v>851</v>
      </c>
      <c r="H33" s="1618"/>
      <c r="I33" s="1619"/>
      <c r="M33" s="1617" t="s">
        <v>851</v>
      </c>
      <c r="N33" s="1618"/>
      <c r="O33" s="1619"/>
    </row>
    <row r="34" spans="2:15" ht="21" thickBot="1" x14ac:dyDescent="0.45">
      <c r="B34" s="1672"/>
      <c r="C34" s="1672"/>
      <c r="D34" s="1672"/>
      <c r="E34" s="1620"/>
      <c r="G34" s="1672"/>
      <c r="H34" s="1672"/>
      <c r="I34" s="1672"/>
      <c r="M34" s="1672"/>
      <c r="N34" s="1672"/>
      <c r="O34" s="1672"/>
    </row>
    <row r="35" spans="2:15" ht="21" customHeight="1" x14ac:dyDescent="0.4">
      <c r="B35" s="1673" t="s">
        <v>870</v>
      </c>
      <c r="C35" s="1674" t="s">
        <v>871</v>
      </c>
      <c r="D35" s="1675" t="s">
        <v>857</v>
      </c>
      <c r="E35" s="1620"/>
      <c r="G35" s="1676" t="s">
        <v>870</v>
      </c>
      <c r="H35" s="1677" t="s">
        <v>871</v>
      </c>
      <c r="I35" s="1675" t="s">
        <v>857</v>
      </c>
      <c r="M35" s="1676" t="s">
        <v>870</v>
      </c>
      <c r="N35" s="1677" t="s">
        <v>871</v>
      </c>
      <c r="O35" s="1675" t="s">
        <v>857</v>
      </c>
    </row>
    <row r="36" spans="2:15" ht="41.25" customHeight="1" thickBot="1" x14ac:dyDescent="0.45">
      <c r="B36" s="1678"/>
      <c r="C36" s="1679"/>
      <c r="D36" s="1680"/>
      <c r="E36" s="1620"/>
      <c r="G36" s="1681"/>
      <c r="H36" s="1682"/>
      <c r="I36" s="1680"/>
      <c r="M36" s="1681"/>
      <c r="N36" s="1683"/>
      <c r="O36" s="1680"/>
    </row>
    <row r="37" spans="2:15" ht="21" thickBot="1" x14ac:dyDescent="0.45">
      <c r="B37" s="1620"/>
      <c r="C37" s="1620"/>
      <c r="D37" s="1620"/>
      <c r="E37" s="1620"/>
      <c r="G37" s="1620"/>
      <c r="H37" s="1620"/>
      <c r="I37" s="1620"/>
      <c r="M37" s="1620"/>
      <c r="N37" s="1620"/>
      <c r="O37" s="1620"/>
    </row>
    <row r="38" spans="2:15" ht="18" x14ac:dyDescent="0.4">
      <c r="B38" s="1621" t="s">
        <v>126</v>
      </c>
      <c r="C38" s="1622" t="s">
        <v>852</v>
      </c>
      <c r="D38" s="1623"/>
      <c r="G38" s="1621" t="s">
        <v>126</v>
      </c>
      <c r="H38" s="1622" t="s">
        <v>852</v>
      </c>
      <c r="I38" s="1623"/>
      <c r="M38" s="1621" t="s">
        <v>126</v>
      </c>
      <c r="N38" s="1622" t="s">
        <v>852</v>
      </c>
      <c r="O38" s="1623"/>
    </row>
    <row r="39" spans="2:15" ht="18.75" customHeight="1" x14ac:dyDescent="0.4">
      <c r="B39" s="1624"/>
      <c r="C39" s="1625" t="s">
        <v>853</v>
      </c>
      <c r="D39" s="1626" t="s">
        <v>854</v>
      </c>
      <c r="G39" s="1624"/>
      <c r="H39" s="1625" t="s">
        <v>853</v>
      </c>
      <c r="I39" s="1626" t="s">
        <v>854</v>
      </c>
      <c r="M39" s="1624"/>
      <c r="N39" s="1625" t="s">
        <v>853</v>
      </c>
      <c r="O39" s="1626" t="s">
        <v>854</v>
      </c>
    </row>
    <row r="40" spans="2:15" ht="12.75" customHeight="1" x14ac:dyDescent="0.4">
      <c r="B40" s="1627"/>
      <c r="C40" s="1628"/>
      <c r="D40" s="1629"/>
      <c r="G40" s="1627"/>
      <c r="H40" s="1630"/>
      <c r="I40" s="1629"/>
      <c r="M40" s="1627"/>
      <c r="N40" s="1630"/>
      <c r="O40" s="1629"/>
    </row>
    <row r="41" spans="2:15" ht="21.95" customHeight="1" thickBot="1" x14ac:dyDescent="0.45">
      <c r="B41" s="1631"/>
      <c r="C41" s="1632"/>
      <c r="D41" s="1633"/>
      <c r="G41" s="1631"/>
      <c r="H41" s="1637"/>
      <c r="I41" s="1633"/>
      <c r="M41" s="1631"/>
      <c r="N41" s="1637"/>
      <c r="O41" s="1633"/>
    </row>
    <row r="42" spans="2:15" ht="17.25" customHeight="1" x14ac:dyDescent="0.4">
      <c r="B42" s="1620"/>
      <c r="C42" s="1620"/>
      <c r="D42" s="1620"/>
      <c r="E42" s="1620"/>
      <c r="G42" s="1620"/>
      <c r="H42" s="1620"/>
      <c r="I42" s="1620"/>
      <c r="M42" s="1620"/>
      <c r="N42" s="1620"/>
      <c r="O42" s="1620"/>
    </row>
    <row r="43" spans="2:15" ht="13" thickBot="1" x14ac:dyDescent="0.45">
      <c r="B43" s="1684"/>
      <c r="C43" s="25"/>
      <c r="D43" s="25"/>
      <c r="E43" s="26"/>
      <c r="G43" s="1684"/>
      <c r="H43" s="25"/>
      <c r="I43" s="25"/>
      <c r="M43" s="1684"/>
      <c r="N43" s="25"/>
      <c r="O43" s="25"/>
    </row>
    <row r="44" spans="2:15" ht="15.75" customHeight="1" x14ac:dyDescent="0.4">
      <c r="B44" s="1642" t="s">
        <v>855</v>
      </c>
      <c r="C44" s="1643" t="s">
        <v>856</v>
      </c>
      <c r="D44" s="1644" t="s">
        <v>857</v>
      </c>
      <c r="G44" s="1642" t="s">
        <v>855</v>
      </c>
      <c r="H44" s="1643" t="s">
        <v>856</v>
      </c>
      <c r="I44" s="1644" t="s">
        <v>857</v>
      </c>
      <c r="M44" s="1642" t="s">
        <v>855</v>
      </c>
      <c r="N44" s="1643" t="s">
        <v>856</v>
      </c>
      <c r="O44" s="1644" t="s">
        <v>857</v>
      </c>
    </row>
    <row r="45" spans="2:15" ht="15.75" customHeight="1" x14ac:dyDescent="0.4">
      <c r="B45" s="1645"/>
      <c r="C45" s="1646"/>
      <c r="D45" s="1647"/>
      <c r="G45" s="1645"/>
      <c r="H45" s="1646"/>
      <c r="I45" s="1647"/>
      <c r="M45" s="1645"/>
      <c r="N45" s="1646"/>
      <c r="O45" s="1647"/>
    </row>
    <row r="46" spans="2:15" ht="31.5" customHeight="1" x14ac:dyDescent="0.4">
      <c r="B46" s="1685" t="s">
        <v>858</v>
      </c>
      <c r="C46" s="1649"/>
      <c r="D46" s="1650"/>
      <c r="G46" s="1685" t="s">
        <v>858</v>
      </c>
      <c r="H46" s="1649"/>
      <c r="I46" s="1650"/>
      <c r="M46" s="1685" t="s">
        <v>858</v>
      </c>
      <c r="N46" s="1649"/>
      <c r="O46" s="1686"/>
    </row>
    <row r="47" spans="2:15" ht="35.1" customHeight="1" x14ac:dyDescent="0.4">
      <c r="B47" s="1685" t="s">
        <v>872</v>
      </c>
      <c r="C47" s="1649"/>
      <c r="D47" s="1650"/>
      <c r="G47" s="1685" t="s">
        <v>872</v>
      </c>
      <c r="H47" s="1649"/>
      <c r="I47" s="1650"/>
      <c r="M47" s="1685" t="s">
        <v>872</v>
      </c>
      <c r="N47" s="1649"/>
      <c r="O47" s="1686"/>
    </row>
    <row r="48" spans="2:15" ht="35.1" customHeight="1" thickBot="1" x14ac:dyDescent="0.45">
      <c r="B48" s="1687" t="s">
        <v>873</v>
      </c>
      <c r="C48" s="1649"/>
      <c r="D48" s="1650"/>
      <c r="G48" s="1687" t="s">
        <v>873</v>
      </c>
      <c r="H48" s="1649"/>
      <c r="I48" s="1650"/>
      <c r="M48" s="1687" t="s">
        <v>873</v>
      </c>
      <c r="N48" s="1649"/>
      <c r="O48" s="1686"/>
    </row>
    <row r="49" spans="2:15" ht="15.75" customHeight="1" x14ac:dyDescent="0.4">
      <c r="B49" s="1642" t="s">
        <v>860</v>
      </c>
      <c r="C49" s="1643" t="s">
        <v>856</v>
      </c>
      <c r="D49" s="1644" t="s">
        <v>857</v>
      </c>
      <c r="G49" s="1642" t="s">
        <v>860</v>
      </c>
      <c r="H49" s="1643" t="s">
        <v>856</v>
      </c>
      <c r="I49" s="1644" t="s">
        <v>857</v>
      </c>
      <c r="M49" s="1642" t="s">
        <v>860</v>
      </c>
      <c r="N49" s="1643" t="s">
        <v>856</v>
      </c>
      <c r="O49" s="1644" t="s">
        <v>857</v>
      </c>
    </row>
    <row r="50" spans="2:15" ht="15.75" customHeight="1" x14ac:dyDescent="0.4">
      <c r="B50" s="1645"/>
      <c r="C50" s="1646"/>
      <c r="D50" s="1647"/>
      <c r="G50" s="1645"/>
      <c r="H50" s="1646"/>
      <c r="I50" s="1647"/>
      <c r="M50" s="1645"/>
      <c r="N50" s="1646"/>
      <c r="O50" s="1647"/>
    </row>
    <row r="51" spans="2:15" ht="35.1" customHeight="1" x14ac:dyDescent="0.4">
      <c r="B51" s="1687" t="s">
        <v>874</v>
      </c>
      <c r="C51" s="1649"/>
      <c r="D51" s="1652"/>
      <c r="G51" s="1687" t="s">
        <v>874</v>
      </c>
      <c r="H51" s="1649"/>
      <c r="I51" s="1652"/>
      <c r="M51" s="1687" t="s">
        <v>874</v>
      </c>
      <c r="N51" s="1649"/>
      <c r="O51" s="1688"/>
    </row>
    <row r="52" spans="2:15" ht="35.1" customHeight="1" thickBot="1" x14ac:dyDescent="0.45">
      <c r="B52" s="1687" t="s">
        <v>875</v>
      </c>
      <c r="C52" s="1649"/>
      <c r="D52" s="1652"/>
      <c r="G52" s="1687" t="s">
        <v>875</v>
      </c>
      <c r="H52" s="1649"/>
      <c r="I52" s="1652"/>
      <c r="M52" s="1687" t="s">
        <v>875</v>
      </c>
      <c r="N52" s="1649"/>
      <c r="O52" s="1688"/>
    </row>
    <row r="53" spans="2:15" ht="15.75" customHeight="1" x14ac:dyDescent="0.4">
      <c r="B53" s="1642" t="s">
        <v>862</v>
      </c>
      <c r="C53" s="1643" t="s">
        <v>856</v>
      </c>
      <c r="D53" s="1644" t="s">
        <v>857</v>
      </c>
      <c r="G53" s="1642" t="s">
        <v>862</v>
      </c>
      <c r="H53" s="1643" t="s">
        <v>856</v>
      </c>
      <c r="I53" s="1644" t="s">
        <v>857</v>
      </c>
      <c r="M53" s="1642" t="s">
        <v>862</v>
      </c>
      <c r="N53" s="1643" t="s">
        <v>856</v>
      </c>
      <c r="O53" s="1644" t="s">
        <v>857</v>
      </c>
    </row>
    <row r="54" spans="2:15" ht="15.75" customHeight="1" x14ac:dyDescent="0.4">
      <c r="B54" s="1645"/>
      <c r="C54" s="1646"/>
      <c r="D54" s="1647"/>
      <c r="G54" s="1645"/>
      <c r="H54" s="1646"/>
      <c r="I54" s="1647"/>
      <c r="M54" s="1645"/>
      <c r="N54" s="1646"/>
      <c r="O54" s="1647"/>
    </row>
    <row r="55" spans="2:15" ht="35.1" customHeight="1" x14ac:dyDescent="0.4">
      <c r="B55" s="1689" t="s">
        <v>876</v>
      </c>
      <c r="C55" s="1649"/>
      <c r="D55" s="1652"/>
      <c r="G55" s="1689" t="s">
        <v>876</v>
      </c>
      <c r="H55" s="1649"/>
      <c r="I55" s="1652"/>
      <c r="M55" s="1689" t="s">
        <v>876</v>
      </c>
      <c r="N55" s="1649"/>
      <c r="O55" s="1688"/>
    </row>
    <row r="56" spans="2:15" ht="35.1" customHeight="1" thickBot="1" x14ac:dyDescent="0.45">
      <c r="B56" s="1690" t="s">
        <v>864</v>
      </c>
      <c r="C56" s="1649"/>
      <c r="D56" s="1691"/>
      <c r="G56" s="1690" t="s">
        <v>864</v>
      </c>
      <c r="H56" s="1649"/>
      <c r="I56" s="1691"/>
      <c r="M56" s="1690" t="s">
        <v>864</v>
      </c>
      <c r="N56" s="1649"/>
      <c r="O56" s="1692"/>
    </row>
    <row r="57" spans="2:15" ht="15.75" customHeight="1" x14ac:dyDescent="0.4">
      <c r="B57" s="1642" t="s">
        <v>865</v>
      </c>
      <c r="C57" s="1643" t="s">
        <v>856</v>
      </c>
      <c r="D57" s="1656" t="s">
        <v>857</v>
      </c>
      <c r="G57" s="1642" t="s">
        <v>865</v>
      </c>
      <c r="H57" s="1643" t="s">
        <v>856</v>
      </c>
      <c r="I57" s="1657" t="s">
        <v>857</v>
      </c>
      <c r="M57" s="1642" t="s">
        <v>865</v>
      </c>
      <c r="N57" s="1643" t="s">
        <v>856</v>
      </c>
      <c r="O57" s="1657" t="s">
        <v>857</v>
      </c>
    </row>
    <row r="58" spans="2:15" ht="15.75" customHeight="1" x14ac:dyDescent="0.4">
      <c r="B58" s="1645"/>
      <c r="C58" s="1646"/>
      <c r="D58" s="1658"/>
      <c r="G58" s="1645"/>
      <c r="H58" s="1646"/>
      <c r="I58" s="1659"/>
      <c r="M58" s="1645"/>
      <c r="N58" s="1646"/>
      <c r="O58" s="1659"/>
    </row>
    <row r="59" spans="2:15" ht="35.1" customHeight="1" thickBot="1" x14ac:dyDescent="0.45">
      <c r="B59" s="1693" t="s">
        <v>877</v>
      </c>
      <c r="C59" s="1649"/>
      <c r="D59" s="1655"/>
      <c r="G59" s="1693" t="s">
        <v>877</v>
      </c>
      <c r="H59" s="1649"/>
      <c r="I59" s="1655"/>
      <c r="M59" s="1693" t="s">
        <v>877</v>
      </c>
      <c r="N59" s="1649"/>
      <c r="O59" s="1694"/>
    </row>
    <row r="60" spans="2:15" ht="31.35" customHeight="1" x14ac:dyDescent="0.4">
      <c r="B60" s="1695" t="s">
        <v>867</v>
      </c>
      <c r="C60" s="1696"/>
      <c r="D60" s="1697" t="s">
        <v>75</v>
      </c>
      <c r="G60" s="1695" t="s">
        <v>867</v>
      </c>
      <c r="H60" s="1696"/>
      <c r="I60" s="1697" t="s">
        <v>75</v>
      </c>
      <c r="M60" s="1695" t="s">
        <v>867</v>
      </c>
      <c r="N60" s="1696"/>
      <c r="O60" s="1697" t="s">
        <v>75</v>
      </c>
    </row>
  </sheetData>
  <sheetProtection selectLockedCells="1"/>
  <mergeCells count="117">
    <mergeCell ref="B60:C60"/>
    <mergeCell ref="G60:H60"/>
    <mergeCell ref="M60:N60"/>
    <mergeCell ref="O53:O54"/>
    <mergeCell ref="B57:B58"/>
    <mergeCell ref="C57:C58"/>
    <mergeCell ref="D57:D58"/>
    <mergeCell ref="G57:G58"/>
    <mergeCell ref="H57:H58"/>
    <mergeCell ref="I57:I58"/>
    <mergeCell ref="M57:M58"/>
    <mergeCell ref="N57:N58"/>
    <mergeCell ref="O57:O58"/>
    <mergeCell ref="N49:N50"/>
    <mergeCell ref="O49:O50"/>
    <mergeCell ref="B53:B54"/>
    <mergeCell ref="C53:C54"/>
    <mergeCell ref="D53:D54"/>
    <mergeCell ref="G53:G54"/>
    <mergeCell ref="H53:H54"/>
    <mergeCell ref="I53:I54"/>
    <mergeCell ref="M53:M54"/>
    <mergeCell ref="N53:N54"/>
    <mergeCell ref="M44:M45"/>
    <mergeCell ref="N44:N45"/>
    <mergeCell ref="O44:O45"/>
    <mergeCell ref="B49:B50"/>
    <mergeCell ref="C49:C50"/>
    <mergeCell ref="D49:D50"/>
    <mergeCell ref="G49:G50"/>
    <mergeCell ref="H49:H50"/>
    <mergeCell ref="I49:I50"/>
    <mergeCell ref="M49:M50"/>
    <mergeCell ref="B44:B45"/>
    <mergeCell ref="C44:C45"/>
    <mergeCell ref="D44:D45"/>
    <mergeCell ref="G44:G45"/>
    <mergeCell ref="H44:H45"/>
    <mergeCell ref="I44:I45"/>
    <mergeCell ref="N38:O38"/>
    <mergeCell ref="C39:C40"/>
    <mergeCell ref="H39:H40"/>
    <mergeCell ref="N39:N40"/>
    <mergeCell ref="B40:B41"/>
    <mergeCell ref="D40:D41"/>
    <mergeCell ref="G40:G41"/>
    <mergeCell ref="I40:I41"/>
    <mergeCell ref="M40:M41"/>
    <mergeCell ref="O40:O41"/>
    <mergeCell ref="B35:B36"/>
    <mergeCell ref="G35:G36"/>
    <mergeCell ref="M35:M36"/>
    <mergeCell ref="B38:B39"/>
    <mergeCell ref="C38:D38"/>
    <mergeCell ref="G38:G39"/>
    <mergeCell ref="H38:I38"/>
    <mergeCell ref="M38:M39"/>
    <mergeCell ref="O23:O24"/>
    <mergeCell ref="B26:C26"/>
    <mergeCell ref="G26:H26"/>
    <mergeCell ref="M26:N26"/>
    <mergeCell ref="C33:D33"/>
    <mergeCell ref="H33:I33"/>
    <mergeCell ref="N33:O33"/>
    <mergeCell ref="N19:N20"/>
    <mergeCell ref="O19:O20"/>
    <mergeCell ref="B23:B24"/>
    <mergeCell ref="C23:C24"/>
    <mergeCell ref="D23:D24"/>
    <mergeCell ref="G23:G24"/>
    <mergeCell ref="H23:H24"/>
    <mergeCell ref="I23:I24"/>
    <mergeCell ref="M23:M24"/>
    <mergeCell ref="N23:N24"/>
    <mergeCell ref="M16:M17"/>
    <mergeCell ref="N16:N17"/>
    <mergeCell ref="O16:O17"/>
    <mergeCell ref="B19:B20"/>
    <mergeCell ref="C19:C20"/>
    <mergeCell ref="D19:D20"/>
    <mergeCell ref="G19:G20"/>
    <mergeCell ref="H19:H20"/>
    <mergeCell ref="I19:I20"/>
    <mergeCell ref="M19:M20"/>
    <mergeCell ref="B16:B17"/>
    <mergeCell ref="C16:C17"/>
    <mergeCell ref="D16:D17"/>
    <mergeCell ref="G16:G17"/>
    <mergeCell ref="H16:H17"/>
    <mergeCell ref="I16:I17"/>
    <mergeCell ref="O8:O9"/>
    <mergeCell ref="B12:B13"/>
    <mergeCell ref="C12:C13"/>
    <mergeCell ref="D12:D13"/>
    <mergeCell ref="G12:G13"/>
    <mergeCell ref="H12:H13"/>
    <mergeCell ref="I12:I13"/>
    <mergeCell ref="M12:M13"/>
    <mergeCell ref="N12:N13"/>
    <mergeCell ref="O12:O13"/>
    <mergeCell ref="H7:H8"/>
    <mergeCell ref="N7:N8"/>
    <mergeCell ref="B8:B9"/>
    <mergeCell ref="D8:D9"/>
    <mergeCell ref="G8:G9"/>
    <mergeCell ref="I8:I9"/>
    <mergeCell ref="M8:M9"/>
    <mergeCell ref="C4:D4"/>
    <mergeCell ref="H4:I4"/>
    <mergeCell ref="N4:O4"/>
    <mergeCell ref="B6:B7"/>
    <mergeCell ref="C6:D6"/>
    <mergeCell ref="G6:G7"/>
    <mergeCell ref="H6:I6"/>
    <mergeCell ref="M6:M7"/>
    <mergeCell ref="N6:O6"/>
    <mergeCell ref="C7:C8"/>
  </mergeCells>
  <conditionalFormatting sqref="C14:C15">
    <cfRule type="containsText" dxfId="771" priority="77" operator="containsText" text="Non contrôlé">
      <formula>NOT(ISERROR(SEARCH("Non contrôlé",C14)))</formula>
    </cfRule>
    <cfRule type="containsText" dxfId="770" priority="78" operator="containsText" text="Non validé">
      <formula>NOT(ISERROR(SEARCH("Non validé",C14)))</formula>
    </cfRule>
    <cfRule type="containsText" dxfId="769" priority="79" operator="containsText" text="réserve">
      <formula>NOT(ISERROR(SEARCH("réserve",C14)))</formula>
    </cfRule>
    <cfRule type="endsWith" dxfId="768" priority="80" operator="endsWith" text="Validé">
      <formula>RIGHT(C14,LEN("Validé"))="Validé"</formula>
    </cfRule>
  </conditionalFormatting>
  <conditionalFormatting sqref="C18">
    <cfRule type="containsText" dxfId="767" priority="73" operator="containsText" text="Non contrôlé">
      <formula>NOT(ISERROR(SEARCH("Non contrôlé",C18)))</formula>
    </cfRule>
    <cfRule type="containsText" dxfId="766" priority="74" operator="containsText" text="Non validé">
      <formula>NOT(ISERROR(SEARCH("Non validé",C18)))</formula>
    </cfRule>
    <cfRule type="containsText" dxfId="765" priority="75" operator="containsText" text="réserve">
      <formula>NOT(ISERROR(SEARCH("réserve",C18)))</formula>
    </cfRule>
    <cfRule type="endsWith" dxfId="764" priority="76" operator="endsWith" text="Validé">
      <formula>RIGHT(C18,LEN("Validé"))="Validé"</formula>
    </cfRule>
  </conditionalFormatting>
  <conditionalFormatting sqref="C21:C22">
    <cfRule type="containsText" dxfId="763" priority="69" operator="containsText" text="Non contrôlé">
      <formula>NOT(ISERROR(SEARCH("Non contrôlé",C21)))</formula>
    </cfRule>
    <cfRule type="containsText" dxfId="762" priority="70" operator="containsText" text="Non validé">
      <formula>NOT(ISERROR(SEARCH("Non validé",C21)))</formula>
    </cfRule>
    <cfRule type="containsText" dxfId="761" priority="71" operator="containsText" text="réserve">
      <formula>NOT(ISERROR(SEARCH("réserve",C21)))</formula>
    </cfRule>
    <cfRule type="endsWith" dxfId="760" priority="72" operator="endsWith" text="Validé">
      <formula>RIGHT(C21,LEN("Validé"))="Validé"</formula>
    </cfRule>
  </conditionalFormatting>
  <conditionalFormatting sqref="C25">
    <cfRule type="containsText" dxfId="759" priority="65" operator="containsText" text="Non contrôlé">
      <formula>NOT(ISERROR(SEARCH("Non contrôlé",C25)))</formula>
    </cfRule>
    <cfRule type="containsText" dxfId="758" priority="66" operator="containsText" text="Non validé">
      <formula>NOT(ISERROR(SEARCH("Non validé",C25)))</formula>
    </cfRule>
    <cfRule type="containsText" dxfId="757" priority="67" operator="containsText" text="réserve">
      <formula>NOT(ISERROR(SEARCH("réserve",C25)))</formula>
    </cfRule>
    <cfRule type="endsWith" dxfId="756" priority="68" operator="endsWith" text="Validé">
      <formula>RIGHT(C25,LEN("Validé"))="Validé"</formula>
    </cfRule>
  </conditionalFormatting>
  <conditionalFormatting sqref="C27">
    <cfRule type="containsText" dxfId="755" priority="61" operator="containsText" text="Non contrôlé">
      <formula>NOT(ISERROR(SEARCH("Non contrôlé",C27)))</formula>
    </cfRule>
    <cfRule type="containsText" dxfId="754" priority="62" operator="containsText" text="Non validé">
      <formula>NOT(ISERROR(SEARCH("Non validé",C27)))</formula>
    </cfRule>
    <cfRule type="containsText" dxfId="753" priority="63" operator="containsText" text="réserve">
      <formula>NOT(ISERROR(SEARCH("réserve",C27)))</formula>
    </cfRule>
    <cfRule type="endsWith" dxfId="752" priority="64" operator="endsWith" text="Validé">
      <formula>RIGHT(C27,LEN("Validé"))="Validé"</formula>
    </cfRule>
  </conditionalFormatting>
  <conditionalFormatting sqref="C46:C48">
    <cfRule type="containsText" dxfId="751" priority="57" operator="containsText" text="Non contrôlé">
      <formula>NOT(ISERROR(SEARCH("Non contrôlé",C46)))</formula>
    </cfRule>
    <cfRule type="containsText" dxfId="750" priority="58" operator="containsText" text="Non validé">
      <formula>NOT(ISERROR(SEARCH("Non validé",C46)))</formula>
    </cfRule>
    <cfRule type="containsText" dxfId="749" priority="59" operator="containsText" text="réserve">
      <formula>NOT(ISERROR(SEARCH("réserve",C46)))</formula>
    </cfRule>
    <cfRule type="endsWith" dxfId="748" priority="60" operator="endsWith" text="Validé">
      <formula>RIGHT(C46,LEN("Validé"))="Validé"</formula>
    </cfRule>
  </conditionalFormatting>
  <conditionalFormatting sqref="C51:C52">
    <cfRule type="containsText" dxfId="747" priority="53" operator="containsText" text="Non contrôlé">
      <formula>NOT(ISERROR(SEARCH("Non contrôlé",C51)))</formula>
    </cfRule>
    <cfRule type="containsText" dxfId="746" priority="54" operator="containsText" text="Non validé">
      <formula>NOT(ISERROR(SEARCH("Non validé",C51)))</formula>
    </cfRule>
    <cfRule type="containsText" dxfId="745" priority="55" operator="containsText" text="réserve">
      <formula>NOT(ISERROR(SEARCH("réserve",C51)))</formula>
    </cfRule>
    <cfRule type="endsWith" dxfId="744" priority="56" operator="endsWith" text="Validé">
      <formula>RIGHT(C51,LEN("Validé"))="Validé"</formula>
    </cfRule>
  </conditionalFormatting>
  <conditionalFormatting sqref="C55:C56">
    <cfRule type="containsText" dxfId="743" priority="49" operator="containsText" text="Non contrôlé">
      <formula>NOT(ISERROR(SEARCH("Non contrôlé",C55)))</formula>
    </cfRule>
    <cfRule type="containsText" dxfId="742" priority="50" operator="containsText" text="Non validé">
      <formula>NOT(ISERROR(SEARCH("Non validé",C55)))</formula>
    </cfRule>
    <cfRule type="containsText" dxfId="741" priority="51" operator="containsText" text="réserve">
      <formula>NOT(ISERROR(SEARCH("réserve",C55)))</formula>
    </cfRule>
    <cfRule type="endsWith" dxfId="740" priority="52" operator="endsWith" text="Validé">
      <formula>RIGHT(C55,LEN("Validé"))="Validé"</formula>
    </cfRule>
  </conditionalFormatting>
  <conditionalFormatting sqref="C59">
    <cfRule type="containsText" dxfId="739" priority="45" operator="containsText" text="Non contrôlé">
      <formula>NOT(ISERROR(SEARCH("Non contrôlé",C59)))</formula>
    </cfRule>
    <cfRule type="containsText" dxfId="738" priority="46" operator="containsText" text="Non validé">
      <formula>NOT(ISERROR(SEARCH("Non validé",C59)))</formula>
    </cfRule>
    <cfRule type="containsText" dxfId="737" priority="47" operator="containsText" text="réserve">
      <formula>NOT(ISERROR(SEARCH("réserve",C59)))</formula>
    </cfRule>
    <cfRule type="endsWith" dxfId="736" priority="48" operator="endsWith" text="Validé">
      <formula>RIGHT(C59,LEN("Validé"))="Validé"</formula>
    </cfRule>
  </conditionalFormatting>
  <conditionalFormatting sqref="C61">
    <cfRule type="containsText" dxfId="735" priority="41" operator="containsText" text="Non contrôlé">
      <formula>NOT(ISERROR(SEARCH("Non contrôlé",C61)))</formula>
    </cfRule>
    <cfRule type="containsText" dxfId="734" priority="42" operator="containsText" text="Non validé">
      <formula>NOT(ISERROR(SEARCH("Non validé",C61)))</formula>
    </cfRule>
    <cfRule type="containsText" dxfId="733" priority="43" operator="containsText" text="réserve">
      <formula>NOT(ISERROR(SEARCH("réserve",C61)))</formula>
    </cfRule>
    <cfRule type="endsWith" dxfId="732" priority="44" operator="endsWith" text="Validé">
      <formula>RIGHT(C61,LEN("Validé"))="Validé"</formula>
    </cfRule>
  </conditionalFormatting>
  <conditionalFormatting sqref="H9">
    <cfRule type="containsText" dxfId="731" priority="121" operator="containsText" text="Non contrôlé">
      <formula>NOT(ISERROR(SEARCH("Non contrôlé",H9)))</formula>
    </cfRule>
    <cfRule type="containsText" dxfId="730" priority="122" operator="containsText" text="Non validé">
      <formula>NOT(ISERROR(SEARCH("Non validé",H9)))</formula>
    </cfRule>
    <cfRule type="containsText" dxfId="729" priority="123" operator="containsText" text="réserve">
      <formula>NOT(ISERROR(SEARCH("réserve",H9)))</formula>
    </cfRule>
    <cfRule type="endsWith" dxfId="728" priority="124" operator="endsWith" text="Validé">
      <formula>RIGHT(H9,LEN("Validé"))="Validé"</formula>
    </cfRule>
  </conditionalFormatting>
  <conditionalFormatting sqref="H14:H15">
    <cfRule type="containsText" dxfId="727" priority="117" operator="containsText" text="Non contrôlé">
      <formula>NOT(ISERROR(SEARCH("Non contrôlé",H14)))</formula>
    </cfRule>
    <cfRule type="containsText" dxfId="726" priority="118" operator="containsText" text="Non validé">
      <formula>NOT(ISERROR(SEARCH("Non validé",H14)))</formula>
    </cfRule>
    <cfRule type="containsText" dxfId="725" priority="119" operator="containsText" text="réserve">
      <formula>NOT(ISERROR(SEARCH("réserve",H14)))</formula>
    </cfRule>
    <cfRule type="endsWith" dxfId="724" priority="120" operator="endsWith" text="Validé">
      <formula>RIGHT(H14,LEN("Validé"))="Validé"</formula>
    </cfRule>
  </conditionalFormatting>
  <conditionalFormatting sqref="H18">
    <cfRule type="containsText" dxfId="723" priority="113" operator="containsText" text="Non contrôlé">
      <formula>NOT(ISERROR(SEARCH("Non contrôlé",H18)))</formula>
    </cfRule>
    <cfRule type="containsText" dxfId="722" priority="114" operator="containsText" text="Non validé">
      <formula>NOT(ISERROR(SEARCH("Non validé",H18)))</formula>
    </cfRule>
    <cfRule type="containsText" dxfId="721" priority="115" operator="containsText" text="réserve">
      <formula>NOT(ISERROR(SEARCH("réserve",H18)))</formula>
    </cfRule>
    <cfRule type="endsWith" dxfId="720" priority="116" operator="endsWith" text="Validé">
      <formula>RIGHT(H18,LEN("Validé"))="Validé"</formula>
    </cfRule>
  </conditionalFormatting>
  <conditionalFormatting sqref="H21:H22">
    <cfRule type="containsText" dxfId="719" priority="109" operator="containsText" text="Non contrôlé">
      <formula>NOT(ISERROR(SEARCH("Non contrôlé",H21)))</formula>
    </cfRule>
    <cfRule type="containsText" dxfId="718" priority="110" operator="containsText" text="Non validé">
      <formula>NOT(ISERROR(SEARCH("Non validé",H21)))</formula>
    </cfRule>
    <cfRule type="containsText" dxfId="717" priority="111" operator="containsText" text="réserve">
      <formula>NOT(ISERROR(SEARCH("réserve",H21)))</formula>
    </cfRule>
    <cfRule type="endsWith" dxfId="716" priority="112" operator="endsWith" text="Validé">
      <formula>RIGHT(H21,LEN("Validé"))="Validé"</formula>
    </cfRule>
  </conditionalFormatting>
  <conditionalFormatting sqref="H25">
    <cfRule type="containsText" dxfId="715" priority="105" operator="containsText" text="Non contrôlé">
      <formula>NOT(ISERROR(SEARCH("Non contrôlé",H25)))</formula>
    </cfRule>
    <cfRule type="containsText" dxfId="714" priority="106" operator="containsText" text="Non validé">
      <formula>NOT(ISERROR(SEARCH("Non validé",H25)))</formula>
    </cfRule>
    <cfRule type="containsText" dxfId="713" priority="107" operator="containsText" text="réserve">
      <formula>NOT(ISERROR(SEARCH("réserve",H25)))</formula>
    </cfRule>
    <cfRule type="endsWith" dxfId="712" priority="108" operator="endsWith" text="Validé">
      <formula>RIGHT(H25,LEN("Validé"))="Validé"</formula>
    </cfRule>
  </conditionalFormatting>
  <conditionalFormatting sqref="H27">
    <cfRule type="containsText" dxfId="711" priority="101" operator="containsText" text="Non contrôlé">
      <formula>NOT(ISERROR(SEARCH("Non contrôlé",H27)))</formula>
    </cfRule>
    <cfRule type="containsText" dxfId="710" priority="102" operator="containsText" text="Non validé">
      <formula>NOT(ISERROR(SEARCH("Non validé",H27)))</formula>
    </cfRule>
    <cfRule type="containsText" dxfId="709" priority="103" operator="containsText" text="réserve">
      <formula>NOT(ISERROR(SEARCH("réserve",H27)))</formula>
    </cfRule>
    <cfRule type="endsWith" dxfId="708" priority="104" operator="endsWith" text="Validé">
      <formula>RIGHT(H27,LEN("Validé"))="Validé"</formula>
    </cfRule>
  </conditionalFormatting>
  <conditionalFormatting sqref="H46:H48">
    <cfRule type="containsText" dxfId="707" priority="37" operator="containsText" text="Non contrôlé">
      <formula>NOT(ISERROR(SEARCH("Non contrôlé",H46)))</formula>
    </cfRule>
    <cfRule type="containsText" dxfId="706" priority="38" operator="containsText" text="Non validé">
      <formula>NOT(ISERROR(SEARCH("Non validé",H46)))</formula>
    </cfRule>
    <cfRule type="containsText" dxfId="705" priority="39" operator="containsText" text="réserve">
      <formula>NOT(ISERROR(SEARCH("réserve",H46)))</formula>
    </cfRule>
    <cfRule type="endsWith" dxfId="704" priority="40" operator="endsWith" text="Validé">
      <formula>RIGHT(H46,LEN("Validé"))="Validé"</formula>
    </cfRule>
  </conditionalFormatting>
  <conditionalFormatting sqref="H51:H52">
    <cfRule type="containsText" dxfId="703" priority="33" operator="containsText" text="Non contrôlé">
      <formula>NOT(ISERROR(SEARCH("Non contrôlé",H51)))</formula>
    </cfRule>
    <cfRule type="containsText" dxfId="702" priority="34" operator="containsText" text="Non validé">
      <formula>NOT(ISERROR(SEARCH("Non validé",H51)))</formula>
    </cfRule>
    <cfRule type="containsText" dxfId="701" priority="35" operator="containsText" text="réserve">
      <formula>NOT(ISERROR(SEARCH("réserve",H51)))</formula>
    </cfRule>
    <cfRule type="endsWith" dxfId="700" priority="36" operator="endsWith" text="Validé">
      <formula>RIGHT(H51,LEN("Validé"))="Validé"</formula>
    </cfRule>
  </conditionalFormatting>
  <conditionalFormatting sqref="H55:H56">
    <cfRule type="containsText" dxfId="699" priority="29" operator="containsText" text="Non contrôlé">
      <formula>NOT(ISERROR(SEARCH("Non contrôlé",H55)))</formula>
    </cfRule>
    <cfRule type="containsText" dxfId="698" priority="30" operator="containsText" text="Non validé">
      <formula>NOT(ISERROR(SEARCH("Non validé",H55)))</formula>
    </cfRule>
    <cfRule type="containsText" dxfId="697" priority="31" operator="containsText" text="réserve">
      <formula>NOT(ISERROR(SEARCH("réserve",H55)))</formula>
    </cfRule>
    <cfRule type="endsWith" dxfId="696" priority="32" operator="endsWith" text="Validé">
      <formula>RIGHT(H55,LEN("Validé"))="Validé"</formula>
    </cfRule>
  </conditionalFormatting>
  <conditionalFormatting sqref="H59">
    <cfRule type="containsText" dxfId="695" priority="25" operator="containsText" text="Non contrôlé">
      <formula>NOT(ISERROR(SEARCH("Non contrôlé",H59)))</formula>
    </cfRule>
    <cfRule type="containsText" dxfId="694" priority="26" operator="containsText" text="Non validé">
      <formula>NOT(ISERROR(SEARCH("Non validé",H59)))</formula>
    </cfRule>
    <cfRule type="containsText" dxfId="693" priority="27" operator="containsText" text="réserve">
      <formula>NOT(ISERROR(SEARCH("réserve",H59)))</formula>
    </cfRule>
    <cfRule type="endsWith" dxfId="692" priority="28" operator="endsWith" text="Validé">
      <formula>RIGHT(H59,LEN("Validé"))="Validé"</formula>
    </cfRule>
  </conditionalFormatting>
  <conditionalFormatting sqref="H61">
    <cfRule type="containsText" dxfId="691" priority="21" operator="containsText" text="Non contrôlé">
      <formula>NOT(ISERROR(SEARCH("Non contrôlé",H61)))</formula>
    </cfRule>
    <cfRule type="containsText" dxfId="690" priority="22" operator="containsText" text="Non validé">
      <formula>NOT(ISERROR(SEARCH("Non validé",H61)))</formula>
    </cfRule>
    <cfRule type="containsText" dxfId="689" priority="23" operator="containsText" text="réserve">
      <formula>NOT(ISERROR(SEARCH("réserve",H61)))</formula>
    </cfRule>
    <cfRule type="endsWith" dxfId="688" priority="24" operator="endsWith" text="Validé">
      <formula>RIGHT(H61,LEN("Validé"))="Validé"</formula>
    </cfRule>
  </conditionalFormatting>
  <conditionalFormatting sqref="N14:N15">
    <cfRule type="containsText" dxfId="687" priority="97" operator="containsText" text="Non contrôlé">
      <formula>NOT(ISERROR(SEARCH("Non contrôlé",N14)))</formula>
    </cfRule>
    <cfRule type="containsText" dxfId="686" priority="98" operator="containsText" text="Non validé">
      <formula>NOT(ISERROR(SEARCH("Non validé",N14)))</formula>
    </cfRule>
    <cfRule type="containsText" dxfId="685" priority="99" operator="containsText" text="réserve">
      <formula>NOT(ISERROR(SEARCH("réserve",N14)))</formula>
    </cfRule>
    <cfRule type="endsWith" dxfId="684" priority="100" operator="endsWith" text="Validé">
      <formula>RIGHT(N14,LEN("Validé"))="Validé"</formula>
    </cfRule>
  </conditionalFormatting>
  <conditionalFormatting sqref="N18">
    <cfRule type="containsText" dxfId="683" priority="93" operator="containsText" text="Non contrôlé">
      <formula>NOT(ISERROR(SEARCH("Non contrôlé",N18)))</formula>
    </cfRule>
    <cfRule type="containsText" dxfId="682" priority="94" operator="containsText" text="Non validé">
      <formula>NOT(ISERROR(SEARCH("Non validé",N18)))</formula>
    </cfRule>
    <cfRule type="containsText" dxfId="681" priority="95" operator="containsText" text="réserve">
      <formula>NOT(ISERROR(SEARCH("réserve",N18)))</formula>
    </cfRule>
    <cfRule type="endsWith" dxfId="680" priority="96" operator="endsWith" text="Validé">
      <formula>RIGHT(N18,LEN("Validé"))="Validé"</formula>
    </cfRule>
  </conditionalFormatting>
  <conditionalFormatting sqref="N21:N22">
    <cfRule type="containsText" dxfId="679" priority="89" operator="containsText" text="Non contrôlé">
      <formula>NOT(ISERROR(SEARCH("Non contrôlé",N21)))</formula>
    </cfRule>
    <cfRule type="containsText" dxfId="678" priority="90" operator="containsText" text="Non validé">
      <formula>NOT(ISERROR(SEARCH("Non validé",N21)))</formula>
    </cfRule>
    <cfRule type="containsText" dxfId="677" priority="91" operator="containsText" text="réserve">
      <formula>NOT(ISERROR(SEARCH("réserve",N21)))</formula>
    </cfRule>
    <cfRule type="endsWith" dxfId="676" priority="92" operator="endsWith" text="Validé">
      <formula>RIGHT(N21,LEN("Validé"))="Validé"</formula>
    </cfRule>
  </conditionalFormatting>
  <conditionalFormatting sqref="N25">
    <cfRule type="containsText" dxfId="675" priority="85" operator="containsText" text="Non contrôlé">
      <formula>NOT(ISERROR(SEARCH("Non contrôlé",N25)))</formula>
    </cfRule>
    <cfRule type="containsText" dxfId="674" priority="86" operator="containsText" text="Non validé">
      <formula>NOT(ISERROR(SEARCH("Non validé",N25)))</formula>
    </cfRule>
    <cfRule type="containsText" dxfId="673" priority="87" operator="containsText" text="réserve">
      <formula>NOT(ISERROR(SEARCH("réserve",N25)))</formula>
    </cfRule>
    <cfRule type="endsWith" dxfId="672" priority="88" operator="endsWith" text="Validé">
      <formula>RIGHT(N25,LEN("Validé"))="Validé"</formula>
    </cfRule>
  </conditionalFormatting>
  <conditionalFormatting sqref="N27">
    <cfRule type="containsText" dxfId="671" priority="81" operator="containsText" text="Non contrôlé">
      <formula>NOT(ISERROR(SEARCH("Non contrôlé",N27)))</formula>
    </cfRule>
    <cfRule type="containsText" dxfId="670" priority="82" operator="containsText" text="Non validé">
      <formula>NOT(ISERROR(SEARCH("Non validé",N27)))</formula>
    </cfRule>
    <cfRule type="containsText" dxfId="669" priority="83" operator="containsText" text="réserve">
      <formula>NOT(ISERROR(SEARCH("réserve",N27)))</formula>
    </cfRule>
    <cfRule type="endsWith" dxfId="668" priority="84" operator="endsWith" text="Validé">
      <formula>RIGHT(N27,LEN("Validé"))="Validé"</formula>
    </cfRule>
  </conditionalFormatting>
  <conditionalFormatting sqref="N46:N48">
    <cfRule type="containsText" dxfId="667" priority="17" operator="containsText" text="Non contrôlé">
      <formula>NOT(ISERROR(SEARCH("Non contrôlé",N46)))</formula>
    </cfRule>
    <cfRule type="containsText" dxfId="666" priority="18" operator="containsText" text="Non validé">
      <formula>NOT(ISERROR(SEARCH("Non validé",N46)))</formula>
    </cfRule>
    <cfRule type="containsText" dxfId="665" priority="19" operator="containsText" text="réserve">
      <formula>NOT(ISERROR(SEARCH("réserve",N46)))</formula>
    </cfRule>
    <cfRule type="endsWith" dxfId="664" priority="20" operator="endsWith" text="Validé">
      <formula>RIGHT(N46,LEN("Validé"))="Validé"</formula>
    </cfRule>
  </conditionalFormatting>
  <conditionalFormatting sqref="N51:N52">
    <cfRule type="containsText" dxfId="663" priority="13" operator="containsText" text="Non contrôlé">
      <formula>NOT(ISERROR(SEARCH("Non contrôlé",N51)))</formula>
    </cfRule>
    <cfRule type="containsText" dxfId="662" priority="14" operator="containsText" text="Non validé">
      <formula>NOT(ISERROR(SEARCH("Non validé",N51)))</formula>
    </cfRule>
    <cfRule type="containsText" dxfId="661" priority="15" operator="containsText" text="réserve">
      <formula>NOT(ISERROR(SEARCH("réserve",N51)))</formula>
    </cfRule>
    <cfRule type="endsWith" dxfId="660" priority="16" operator="endsWith" text="Validé">
      <formula>RIGHT(N51,LEN("Validé"))="Validé"</formula>
    </cfRule>
  </conditionalFormatting>
  <conditionalFormatting sqref="N55:N56">
    <cfRule type="containsText" dxfId="659" priority="9" operator="containsText" text="Non contrôlé">
      <formula>NOT(ISERROR(SEARCH("Non contrôlé",N55)))</formula>
    </cfRule>
    <cfRule type="containsText" dxfId="658" priority="10" operator="containsText" text="Non validé">
      <formula>NOT(ISERROR(SEARCH("Non validé",N55)))</formula>
    </cfRule>
    <cfRule type="containsText" dxfId="657" priority="11" operator="containsText" text="réserve">
      <formula>NOT(ISERROR(SEARCH("réserve",N55)))</formula>
    </cfRule>
    <cfRule type="endsWith" dxfId="656" priority="12" operator="endsWith" text="Validé">
      <formula>RIGHT(N55,LEN("Validé"))="Validé"</formula>
    </cfRule>
  </conditionalFormatting>
  <conditionalFormatting sqref="N59">
    <cfRule type="containsText" dxfId="655" priority="5" operator="containsText" text="Non contrôlé">
      <formula>NOT(ISERROR(SEARCH("Non contrôlé",N59)))</formula>
    </cfRule>
    <cfRule type="containsText" dxfId="654" priority="6" operator="containsText" text="Non validé">
      <formula>NOT(ISERROR(SEARCH("Non validé",N59)))</formula>
    </cfRule>
    <cfRule type="containsText" dxfId="653" priority="7" operator="containsText" text="réserve">
      <formula>NOT(ISERROR(SEARCH("réserve",N59)))</formula>
    </cfRule>
    <cfRule type="endsWith" dxfId="652" priority="8" operator="endsWith" text="Validé">
      <formula>RIGHT(N59,LEN("Validé"))="Validé"</formula>
    </cfRule>
  </conditionalFormatting>
  <conditionalFormatting sqref="N61">
    <cfRule type="containsText" dxfId="651" priority="1" operator="containsText" text="Non contrôlé">
      <formula>NOT(ISERROR(SEARCH("Non contrôlé",N61)))</formula>
    </cfRule>
    <cfRule type="containsText" dxfId="650" priority="2" operator="containsText" text="Non validé">
      <formula>NOT(ISERROR(SEARCH("Non validé",N61)))</formula>
    </cfRule>
    <cfRule type="containsText" dxfId="649" priority="3" operator="containsText" text="réserve">
      <formula>NOT(ISERROR(SEARCH("réserve",N61)))</formula>
    </cfRule>
    <cfRule type="endsWith" dxfId="648" priority="4" operator="endsWith" text="Validé">
      <formula>RIGHT(N61,LEN("Validé"))="Validé"</formula>
    </cfRule>
  </conditionalFormatting>
  <dataValidations count="3">
    <dataValidation type="list" allowBlank="1" showInputMessage="1" showErrorMessage="1" sqref="D3 I3 O3 O32 I32 D32 C27 H27 N27 N61 H61 C61" xr:uid="{15BEB2B9-74D1-436F-A417-843B304D5061}">
      <formula1>#REF!</formula1>
    </dataValidation>
    <dataValidation type="list" allowBlank="1" showInputMessage="1" showErrorMessage="1" sqref="C9 H9 N9 C41 C36 H41 H36 N41 N36" xr:uid="{24CBF236-1CDE-4112-9D58-F90ACD248648}">
      <formula1>LISTE_1</formula1>
    </dataValidation>
    <dataValidation type="list" allowBlank="1" showInputMessage="1" showErrorMessage="1" sqref="C14:C15 C18 C21:C22 N51:N52 H14:H15 H18 H21:H22 C25 N14:N15 N18 N21:N22 H25 C46:C48 H59 C51:C52 H46:H48 N59 H51:H52 N46:N48 N25 H55:H56 C55:C56 C59 N55:N56" xr:uid="{C1FCA194-6636-428C-9352-D152DCF707E0}">
      <formula1>LISTE_3</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1E33-C4FE-4EC0-993A-0CCDF5711830}">
  <sheetPr codeName="Feuil11">
    <tabColor rgb="FF008080"/>
    <pageSetUpPr fitToPage="1"/>
  </sheetPr>
  <dimension ref="A1:V155"/>
  <sheetViews>
    <sheetView topLeftCell="B16" zoomScale="130" zoomScaleNormal="130" zoomScaleSheetLayoutView="100" workbookViewId="0">
      <selection activeCell="J3" sqref="J3:U3"/>
    </sheetView>
  </sheetViews>
  <sheetFormatPr baseColWidth="10" defaultColWidth="0" defaultRowHeight="12.7" zeroHeight="1" x14ac:dyDescent="0.4"/>
  <cols>
    <col min="1" max="1" width="2.703125" style="12" customWidth="1"/>
    <col min="2" max="2" width="13.87890625" style="38" customWidth="1"/>
    <col min="3" max="3" width="8.29296875" style="38" customWidth="1"/>
    <col min="4" max="4" width="14.29296875" style="38" customWidth="1"/>
    <col min="5" max="5" width="3.87890625" style="38" customWidth="1"/>
    <col min="6" max="6" width="14.29296875" style="38" customWidth="1"/>
    <col min="7" max="7" width="3.87890625" style="38" customWidth="1"/>
    <col min="8" max="8" width="9.5859375" style="38" customWidth="1"/>
    <col min="9" max="9" width="9.29296875" style="38" customWidth="1"/>
    <col min="10" max="10" width="16" style="38" customWidth="1"/>
    <col min="11" max="11" width="3.87890625" style="38" customWidth="1"/>
    <col min="12" max="12" width="14.29296875" style="38" customWidth="1"/>
    <col min="13" max="13" width="3.87890625" style="38" customWidth="1"/>
    <col min="14" max="14" width="7.1171875" style="38" customWidth="1"/>
    <col min="15" max="15" width="8.41015625" style="38" customWidth="1"/>
    <col min="16" max="16" width="17.41015625" style="38" customWidth="1"/>
    <col min="17" max="17" width="3.87890625" style="38" customWidth="1"/>
    <col min="18" max="18" width="14.29296875" style="38" customWidth="1"/>
    <col min="19" max="19" width="3.87890625" style="38" customWidth="1"/>
    <col min="20" max="20" width="6.703125" style="38" customWidth="1"/>
    <col min="21" max="21" width="8.41015625" style="38" customWidth="1"/>
    <col min="22" max="22" width="2.703125" style="12" customWidth="1"/>
    <col min="23" max="23" width="11.41015625" style="12" hidden="1" customWidth="1"/>
    <col min="24" max="16384" width="11.41015625" style="12" hidden="1"/>
  </cols>
  <sheetData>
    <row r="1" spans="1:22" ht="9.9499999999999993" customHeight="1" thickBot="1" x14ac:dyDescent="0.45">
      <c r="A1" s="242"/>
      <c r="B1" s="242"/>
      <c r="C1" s="242"/>
      <c r="D1" s="242"/>
      <c r="E1" s="242"/>
      <c r="F1" s="242"/>
      <c r="G1" s="242"/>
      <c r="H1" s="242"/>
      <c r="I1" s="242"/>
      <c r="J1" s="242"/>
      <c r="K1" s="242"/>
      <c r="L1" s="242"/>
      <c r="M1" s="242"/>
      <c r="N1" s="242"/>
      <c r="O1" s="242"/>
      <c r="P1" s="242"/>
      <c r="Q1" s="242"/>
      <c r="R1" s="242"/>
      <c r="S1" s="242"/>
      <c r="T1" s="242"/>
      <c r="U1" s="242"/>
      <c r="V1" s="242"/>
    </row>
    <row r="2" spans="1:22" ht="15.7" thickBot="1" x14ac:dyDescent="0.45">
      <c r="A2" s="242"/>
      <c r="B2" s="881" t="s">
        <v>66</v>
      </c>
      <c r="C2" s="882"/>
      <c r="D2" s="882"/>
      <c r="E2" s="882"/>
      <c r="F2" s="882"/>
      <c r="G2" s="882"/>
      <c r="H2" s="882"/>
      <c r="I2" s="882"/>
      <c r="J2" s="882"/>
      <c r="K2" s="882"/>
      <c r="L2" s="882"/>
      <c r="M2" s="882"/>
      <c r="N2" s="882"/>
      <c r="O2" s="882"/>
      <c r="P2" s="882"/>
      <c r="Q2" s="882"/>
      <c r="R2" s="882"/>
      <c r="S2" s="882"/>
      <c r="T2" s="882"/>
      <c r="U2" s="883"/>
      <c r="V2" s="242"/>
    </row>
    <row r="3" spans="1:22" ht="16.5" customHeight="1" x14ac:dyDescent="0.4">
      <c r="A3" s="242"/>
      <c r="B3" s="884" t="s">
        <v>67</v>
      </c>
      <c r="C3" s="885"/>
      <c r="D3" s="885"/>
      <c r="E3" s="885"/>
      <c r="F3" s="885"/>
      <c r="G3" s="885"/>
      <c r="H3" s="885"/>
      <c r="I3" s="885"/>
      <c r="J3" s="847"/>
      <c r="K3" s="847"/>
      <c r="L3" s="847"/>
      <c r="M3" s="847"/>
      <c r="N3" s="847"/>
      <c r="O3" s="847"/>
      <c r="P3" s="847"/>
      <c r="Q3" s="847"/>
      <c r="R3" s="847"/>
      <c r="S3" s="847"/>
      <c r="T3" s="847"/>
      <c r="U3" s="848"/>
      <c r="V3" s="242"/>
    </row>
    <row r="4" spans="1:22" ht="16.5" customHeight="1" thickBot="1" x14ac:dyDescent="0.45">
      <c r="A4" s="242"/>
      <c r="B4" s="886" t="s">
        <v>68</v>
      </c>
      <c r="C4" s="887"/>
      <c r="D4" s="887"/>
      <c r="E4" s="887"/>
      <c r="F4" s="887"/>
      <c r="G4" s="887"/>
      <c r="H4" s="887"/>
      <c r="I4" s="887"/>
      <c r="J4" s="851"/>
      <c r="K4" s="851"/>
      <c r="L4" s="851"/>
      <c r="M4" s="851"/>
      <c r="N4" s="851"/>
      <c r="O4" s="851"/>
      <c r="P4" s="851"/>
      <c r="Q4" s="851"/>
      <c r="R4" s="851"/>
      <c r="S4" s="851"/>
      <c r="T4" s="851"/>
      <c r="U4" s="852"/>
      <c r="V4" s="242"/>
    </row>
    <row r="5" spans="1:22" ht="9.9499999999999993" customHeight="1" x14ac:dyDescent="0.4">
      <c r="A5" s="242"/>
      <c r="B5" s="243"/>
      <c r="C5" s="243"/>
      <c r="D5" s="243"/>
      <c r="E5" s="243"/>
      <c r="F5" s="243"/>
      <c r="G5" s="243"/>
      <c r="H5" s="243"/>
      <c r="I5" s="243"/>
      <c r="J5" s="244"/>
      <c r="K5" s="244"/>
      <c r="L5" s="244"/>
      <c r="M5" s="244"/>
      <c r="N5" s="244"/>
      <c r="O5" s="244"/>
      <c r="P5" s="244"/>
      <c r="Q5" s="244"/>
      <c r="R5" s="244"/>
      <c r="S5" s="244"/>
      <c r="T5" s="244"/>
      <c r="U5" s="244"/>
      <c r="V5" s="242"/>
    </row>
    <row r="6" spans="1:22" ht="13.7" hidden="1" x14ac:dyDescent="0.4">
      <c r="A6" s="242"/>
      <c r="B6" s="245" t="s">
        <v>76</v>
      </c>
      <c r="C6" s="246"/>
      <c r="D6" s="242"/>
      <c r="E6" s="242"/>
      <c r="F6" s="242"/>
      <c r="G6" s="242"/>
      <c r="H6" s="242"/>
      <c r="I6" s="242"/>
      <c r="J6" s="242"/>
      <c r="K6" s="242"/>
      <c r="L6" s="242"/>
      <c r="M6" s="242"/>
      <c r="N6" s="247"/>
      <c r="O6" s="242"/>
      <c r="P6" s="248"/>
      <c r="Q6" s="249"/>
      <c r="R6" s="250"/>
      <c r="S6" s="250"/>
      <c r="T6" s="251"/>
      <c r="U6" s="242"/>
      <c r="V6" s="242"/>
    </row>
    <row r="7" spans="1:22" ht="15" customHeight="1" x14ac:dyDescent="0.4">
      <c r="A7" s="242"/>
      <c r="B7" s="902" t="s">
        <v>77</v>
      </c>
      <c r="C7" s="902"/>
      <c r="D7" s="902"/>
      <c r="E7" s="902"/>
      <c r="F7" s="902"/>
      <c r="G7" s="902"/>
      <c r="H7" s="902"/>
      <c r="I7" s="902"/>
      <c r="J7" s="902"/>
      <c r="K7" s="902"/>
      <c r="L7" s="902"/>
      <c r="M7" s="902"/>
      <c r="N7" s="902"/>
      <c r="O7" s="902"/>
      <c r="P7" s="902"/>
      <c r="Q7" s="252"/>
      <c r="R7" s="900"/>
      <c r="S7" s="900"/>
      <c r="T7" s="242"/>
      <c r="U7" s="242"/>
      <c r="V7" s="242"/>
    </row>
    <row r="8" spans="1:22" ht="15" customHeight="1" x14ac:dyDescent="0.4">
      <c r="A8" s="242"/>
      <c r="B8" s="253"/>
      <c r="C8" s="253"/>
      <c r="D8" s="242"/>
      <c r="E8" s="242"/>
      <c r="F8" s="242"/>
      <c r="G8" s="242"/>
      <c r="H8" s="254"/>
      <c r="I8" s="254"/>
      <c r="J8" s="242"/>
      <c r="K8" s="242"/>
      <c r="L8" s="242"/>
      <c r="M8" s="242"/>
      <c r="N8" s="242"/>
      <c r="O8" s="242"/>
      <c r="P8" s="255"/>
      <c r="Q8" s="255"/>
      <c r="R8" s="255"/>
      <c r="S8" s="242"/>
      <c r="T8" s="242"/>
      <c r="U8" s="242"/>
      <c r="V8" s="242"/>
    </row>
    <row r="9" spans="1:22" ht="15" customHeight="1" x14ac:dyDescent="0.4">
      <c r="A9" s="242"/>
      <c r="B9" s="876" t="s">
        <v>78</v>
      </c>
      <c r="C9" s="876"/>
      <c r="D9" s="879" t="s">
        <v>79</v>
      </c>
      <c r="E9" s="242"/>
      <c r="F9" s="878" t="s">
        <v>80</v>
      </c>
      <c r="G9" s="242"/>
      <c r="H9" s="254"/>
      <c r="I9" s="254"/>
      <c r="J9" s="888" t="s">
        <v>78</v>
      </c>
      <c r="K9" s="889"/>
      <c r="L9" s="890"/>
      <c r="M9" s="888" t="s">
        <v>79</v>
      </c>
      <c r="N9" s="890"/>
      <c r="O9" s="242"/>
      <c r="P9" s="878" t="s">
        <v>80</v>
      </c>
      <c r="Q9" s="255"/>
      <c r="R9" s="242"/>
      <c r="S9" s="242"/>
      <c r="T9" s="242"/>
      <c r="U9" s="242"/>
      <c r="V9" s="242"/>
    </row>
    <row r="10" spans="1:22" ht="15" customHeight="1" x14ac:dyDescent="0.4">
      <c r="A10" s="242"/>
      <c r="B10" s="877"/>
      <c r="C10" s="877"/>
      <c r="D10" s="880"/>
      <c r="E10" s="242"/>
      <c r="F10" s="878"/>
      <c r="G10" s="242"/>
      <c r="H10" s="254"/>
      <c r="I10" s="254"/>
      <c r="J10" s="891"/>
      <c r="K10" s="892"/>
      <c r="L10" s="893"/>
      <c r="M10" s="891"/>
      <c r="N10" s="893"/>
      <c r="O10" s="242"/>
      <c r="P10" s="878"/>
      <c r="Q10" s="255"/>
      <c r="R10" s="242"/>
      <c r="S10" s="242"/>
      <c r="T10" s="242"/>
      <c r="U10" s="242"/>
      <c r="V10" s="242"/>
    </row>
    <row r="11" spans="1:22" ht="17.25" customHeight="1" x14ac:dyDescent="0.4">
      <c r="A11" s="242"/>
      <c r="B11" s="256" t="s">
        <v>29</v>
      </c>
      <c r="C11" s="37"/>
      <c r="D11" s="257" t="e">
        <f>IF(C11="Oui",10,IF(#REF!=0,"",ROUND(#REF!/#REF!*10,1)))</f>
        <v>#REF!</v>
      </c>
      <c r="E11" s="258" t="s">
        <v>81</v>
      </c>
      <c r="F11" s="259" t="str">
        <f>IFERROR(IF(#REF!&gt;=0,D11*(1-SUM(#REF!))*10,100),"")</f>
        <v/>
      </c>
      <c r="G11" s="242"/>
      <c r="H11" s="254"/>
      <c r="I11" s="254"/>
      <c r="J11" s="904" t="s">
        <v>49</v>
      </c>
      <c r="K11" s="905"/>
      <c r="L11" s="21"/>
      <c r="M11" s="873" t="e">
        <f>IF(L11="Oui",10,IF(#REF!=0,"",ROUND(#REF!/#REF!*10,1)))</f>
        <v>#REF!</v>
      </c>
      <c r="N11" s="873"/>
      <c r="O11" s="258" t="s">
        <v>81</v>
      </c>
      <c r="P11" s="259" t="str">
        <f>IFERROR(IF(#REF!&gt;=0,M11*(1-SUM(#REF!))*10,100),"")</f>
        <v/>
      </c>
      <c r="Q11" s="255"/>
      <c r="R11" s="242"/>
      <c r="S11" s="242"/>
      <c r="T11" s="242"/>
      <c r="U11" s="242"/>
      <c r="V11" s="242"/>
    </row>
    <row r="12" spans="1:22" ht="14.25" customHeight="1" x14ac:dyDescent="0.4">
      <c r="A12" s="242"/>
      <c r="B12" s="261" t="s">
        <v>30</v>
      </c>
      <c r="C12" s="21"/>
      <c r="D12" s="260" t="e">
        <f>IF(C12="Oui",10,IF(#REF!=0,"",ROUND(#REF!/#REF!*10,1)))</f>
        <v>#REF!</v>
      </c>
      <c r="E12" s="258" t="s">
        <v>81</v>
      </c>
      <c r="F12" s="259" t="str">
        <f>IFERROR(IF(#REF!&gt;=0,D12*(1-SUM(#REF!))*10,100),"")</f>
        <v/>
      </c>
      <c r="G12" s="242"/>
      <c r="H12" s="254"/>
      <c r="I12" s="254"/>
      <c r="J12" s="908" t="s">
        <v>50</v>
      </c>
      <c r="K12" s="909"/>
      <c r="L12" s="21"/>
      <c r="M12" s="873" t="e">
        <f>IF(L12="Oui",10,IF(#REF!=0,"",ROUND(#REF!/#REF!*10,1)))</f>
        <v>#REF!</v>
      </c>
      <c r="N12" s="873"/>
      <c r="O12" s="258" t="s">
        <v>81</v>
      </c>
      <c r="P12" s="259" t="str">
        <f>IFERROR(IF(#REF!&gt;=0,M12*(1-SUM(#REF!))*10,100),"")</f>
        <v/>
      </c>
      <c r="Q12" s="255"/>
      <c r="R12" s="242"/>
      <c r="S12" s="242"/>
      <c r="T12" s="242"/>
      <c r="U12" s="242"/>
      <c r="V12" s="242"/>
    </row>
    <row r="13" spans="1:22" s="38" customFormat="1" ht="15" customHeight="1" x14ac:dyDescent="0.4">
      <c r="A13" s="242"/>
      <c r="B13" s="261" t="s">
        <v>31</v>
      </c>
      <c r="C13" s="21"/>
      <c r="D13" s="260" t="e">
        <f>IF(C13="Oui",10,IF(#REF!=0,"",ROUND(#REF!/#REF!*10,1)))</f>
        <v>#REF!</v>
      </c>
      <c r="E13" s="258" t="s">
        <v>81</v>
      </c>
      <c r="F13" s="259" t="str">
        <f>IFERROR(IF(#REF!&gt;=0,D13*(1-SUM(#REF!))*10,100),"")</f>
        <v/>
      </c>
      <c r="G13" s="242"/>
      <c r="H13" s="254"/>
      <c r="I13" s="254"/>
      <c r="J13" s="908" t="s">
        <v>51</v>
      </c>
      <c r="K13" s="909"/>
      <c r="L13" s="21"/>
      <c r="M13" s="873" t="e">
        <f>IF(L13="Oui",10,IF(#REF!=0,"",ROUND(#REF!/#REF!*10,1)))</f>
        <v>#REF!</v>
      </c>
      <c r="N13" s="873"/>
      <c r="O13" s="258" t="s">
        <v>81</v>
      </c>
      <c r="P13" s="259" t="str">
        <f>IFERROR(IF(#REF!&gt;=0,M13*(1-SUM(#REF!))*10,100),"")</f>
        <v/>
      </c>
      <c r="Q13" s="255"/>
      <c r="R13" s="242"/>
      <c r="S13" s="242"/>
      <c r="T13" s="242"/>
      <c r="U13" s="242"/>
      <c r="V13" s="242"/>
    </row>
    <row r="14" spans="1:22" s="38" customFormat="1" ht="15" customHeight="1" x14ac:dyDescent="0.4">
      <c r="A14" s="242"/>
      <c r="B14" s="261" t="s">
        <v>46</v>
      </c>
      <c r="C14" s="21"/>
      <c r="D14" s="260" t="e">
        <f>IF(C14="Oui",10,IF(#REF!=0,"",ROUND(#REF!/#REF!*10,1)))</f>
        <v>#REF!</v>
      </c>
      <c r="E14" s="258" t="s">
        <v>81</v>
      </c>
      <c r="F14" s="259" t="str">
        <f>IFERROR(IF(#REF!&gt;=0,D14*(1-SUM(#REF!))*10,100),"")</f>
        <v/>
      </c>
      <c r="G14" s="242"/>
      <c r="H14" s="254"/>
      <c r="I14" s="254"/>
      <c r="J14" s="908" t="s">
        <v>52</v>
      </c>
      <c r="K14" s="909"/>
      <c r="L14" s="21"/>
      <c r="M14" s="873" t="e">
        <f>IF(L14="Oui",10,IF(#REF!=0,"",ROUND(#REF!/#REF!*10,1)))</f>
        <v>#REF!</v>
      </c>
      <c r="N14" s="873"/>
      <c r="O14" s="258" t="s">
        <v>81</v>
      </c>
      <c r="P14" s="259" t="str">
        <f>IFERROR(IF(#REF!&gt;=0,M14*(1-SUM(#REF!))*10,100),"")</f>
        <v/>
      </c>
      <c r="Q14" s="255"/>
      <c r="R14" s="242"/>
      <c r="S14" s="242"/>
      <c r="T14" s="242"/>
      <c r="U14" s="242"/>
      <c r="V14" s="242"/>
    </row>
    <row r="15" spans="1:22" s="38" customFormat="1" ht="15" customHeight="1" x14ac:dyDescent="0.4">
      <c r="A15" s="242"/>
      <c r="B15" s="261" t="s">
        <v>47</v>
      </c>
      <c r="C15" s="21"/>
      <c r="D15" s="260" t="e">
        <f>IF(C15="Oui",10,IF(#REF!=0,"",ROUND(#REF!/#REF!*10,1)))</f>
        <v>#REF!</v>
      </c>
      <c r="E15" s="258" t="s">
        <v>81</v>
      </c>
      <c r="F15" s="259" t="str">
        <f>IFERROR(IF(#REF!&gt;=0,D15*(1-SUM(#REF!))*10,100),"")</f>
        <v/>
      </c>
      <c r="G15" s="242"/>
      <c r="H15" s="254"/>
      <c r="I15" s="254"/>
      <c r="J15" s="908" t="s">
        <v>53</v>
      </c>
      <c r="K15" s="909"/>
      <c r="L15" s="21"/>
      <c r="M15" s="873" t="e">
        <f>IF(L15="Oui",10,IF(#REF!=0,"",ROUND(#REF!/#REF!*10,1)))</f>
        <v>#REF!</v>
      </c>
      <c r="N15" s="873"/>
      <c r="O15" s="258" t="s">
        <v>81</v>
      </c>
      <c r="P15" s="259" t="str">
        <f>IFERROR(IF(#REF!&gt;=0,M15*(1-SUM(#REF!))*10,100),"")</f>
        <v/>
      </c>
      <c r="Q15" s="255"/>
      <c r="R15" s="242"/>
      <c r="S15" s="242"/>
      <c r="T15" s="242"/>
      <c r="U15" s="242"/>
      <c r="V15" s="242"/>
    </row>
    <row r="16" spans="1:22" s="38" customFormat="1" ht="15" customHeight="1" x14ac:dyDescent="0.4">
      <c r="A16" s="242"/>
      <c r="B16" s="261" t="s">
        <v>48</v>
      </c>
      <c r="C16" s="21"/>
      <c r="D16" s="260" t="e">
        <f>IF(C16="Oui",10,IF(#REF!=0,"",ROUND(#REF!/#REF!*10,1)))</f>
        <v>#REF!</v>
      </c>
      <c r="E16" s="258" t="s">
        <v>81</v>
      </c>
      <c r="F16" s="259" t="str">
        <f>IFERROR(IF(#REF!&gt;=0,D16*(1-SUM(#REF!))*10,100),"")</f>
        <v/>
      </c>
      <c r="G16" s="242"/>
      <c r="H16" s="242"/>
      <c r="I16" s="242"/>
      <c r="J16" s="908" t="s">
        <v>54</v>
      </c>
      <c r="K16" s="909"/>
      <c r="L16" s="21"/>
      <c r="M16" s="906" t="e">
        <f>IF(L16="Oui",10,IF(#REF!=0,"",ROUND(#REF!/#REF!*10,1)))</f>
        <v>#REF!</v>
      </c>
      <c r="N16" s="907"/>
      <c r="O16" s="258" t="s">
        <v>81</v>
      </c>
      <c r="P16" s="259" t="str">
        <f>IFERROR(IF(#REF!&gt;=0,M16*(1-SUM(#REF!))*10,100),"")</f>
        <v/>
      </c>
      <c r="Q16" s="255"/>
      <c r="R16" s="242"/>
      <c r="S16" s="242"/>
      <c r="T16" s="242"/>
      <c r="U16" s="242"/>
      <c r="V16" s="242"/>
    </row>
    <row r="17" spans="1:22" s="38" customFormat="1" ht="15" customHeight="1" x14ac:dyDescent="0.4">
      <c r="A17" s="242"/>
      <c r="B17" s="242"/>
      <c r="C17" s="242"/>
      <c r="D17" s="242"/>
      <c r="E17" s="242"/>
      <c r="F17" s="242"/>
      <c r="G17" s="242"/>
      <c r="H17" s="242"/>
      <c r="I17" s="242"/>
      <c r="J17" s="242"/>
      <c r="K17" s="242"/>
      <c r="L17" s="242"/>
      <c r="M17" s="242"/>
      <c r="N17" s="242"/>
      <c r="O17" s="242"/>
      <c r="P17" s="242"/>
      <c r="Q17" s="242"/>
      <c r="R17" s="242"/>
      <c r="S17" s="242"/>
      <c r="T17" s="242"/>
      <c r="U17" s="242"/>
      <c r="V17" s="242"/>
    </row>
    <row r="18" spans="1:22" ht="15" customHeight="1" x14ac:dyDescent="0.4">
      <c r="A18" s="242"/>
      <c r="B18" s="262" t="s">
        <v>82</v>
      </c>
      <c r="C18" s="242"/>
      <c r="D18" s="242"/>
      <c r="E18" s="242"/>
      <c r="F18" s="242"/>
      <c r="G18" s="242"/>
      <c r="H18" s="242"/>
      <c r="I18" s="242"/>
      <c r="J18" s="242"/>
      <c r="K18" s="242"/>
      <c r="L18" s="242"/>
      <c r="M18" s="242"/>
      <c r="N18" s="242"/>
      <c r="O18" s="242"/>
      <c r="P18" s="242"/>
      <c r="Q18" s="242"/>
      <c r="R18" s="242"/>
      <c r="S18" s="242"/>
      <c r="T18" s="263"/>
      <c r="U18" s="242"/>
      <c r="V18" s="242"/>
    </row>
    <row r="19" spans="1:22" ht="15" customHeight="1" x14ac:dyDescent="0.4">
      <c r="A19" s="242"/>
      <c r="B19" s="262" t="s">
        <v>83</v>
      </c>
      <c r="C19" s="242"/>
      <c r="D19" s="242"/>
      <c r="E19" s="242"/>
      <c r="F19" s="242"/>
      <c r="G19" s="242"/>
      <c r="H19" s="242"/>
      <c r="I19" s="242"/>
      <c r="J19" s="242"/>
      <c r="K19" s="242"/>
      <c r="L19" s="242"/>
      <c r="M19" s="242"/>
      <c r="N19" s="242"/>
      <c r="O19" s="242"/>
      <c r="P19" s="242"/>
      <c r="Q19" s="242"/>
      <c r="R19" s="242"/>
      <c r="S19" s="242"/>
      <c r="T19" s="263"/>
      <c r="U19" s="242"/>
      <c r="V19" s="242"/>
    </row>
    <row r="20" spans="1:22" ht="15.75" customHeight="1" x14ac:dyDescent="0.4">
      <c r="A20" s="242"/>
      <c r="B20" s="903" t="s">
        <v>84</v>
      </c>
      <c r="C20" s="903"/>
      <c r="D20" s="903"/>
      <c r="E20" s="903"/>
      <c r="F20" s="903"/>
      <c r="G20" s="903"/>
      <c r="H20" s="903"/>
      <c r="I20" s="903"/>
      <c r="J20" s="903"/>
      <c r="K20" s="903"/>
      <c r="L20" s="903"/>
      <c r="M20" s="903"/>
      <c r="N20" s="903"/>
      <c r="O20" s="903"/>
      <c r="P20" s="903"/>
      <c r="Q20" s="903"/>
      <c r="R20" s="903"/>
      <c r="S20" s="903"/>
      <c r="T20" s="242"/>
      <c r="U20" s="242"/>
      <c r="V20" s="242"/>
    </row>
    <row r="21" spans="1:22" s="39" customFormat="1" ht="15.75" customHeight="1" x14ac:dyDescent="0.4">
      <c r="A21" s="242"/>
      <c r="B21" s="242"/>
      <c r="C21" s="242"/>
      <c r="D21" s="901" t="s">
        <v>85</v>
      </c>
      <c r="E21" s="901"/>
      <c r="F21" s="901"/>
      <c r="G21" s="901"/>
      <c r="H21" s="901"/>
      <c r="I21" s="901"/>
      <c r="J21" s="901"/>
      <c r="K21" s="901"/>
      <c r="L21" s="901"/>
      <c r="M21" s="901"/>
      <c r="N21" s="901"/>
      <c r="O21" s="264"/>
      <c r="P21" s="23"/>
      <c r="Q21" s="249"/>
      <c r="R21" s="857" t="str">
        <f>IF(P21="","",IF(P21="Non validé",0.1,0))</f>
        <v/>
      </c>
      <c r="S21" s="857"/>
      <c r="T21" s="242"/>
      <c r="U21" s="242"/>
      <c r="V21" s="242"/>
    </row>
    <row r="22" spans="1:22" s="39" customFormat="1" ht="15" customHeight="1" x14ac:dyDescent="0.4">
      <c r="A22" s="242"/>
      <c r="B22" s="242"/>
      <c r="C22" s="242"/>
      <c r="D22" s="242"/>
      <c r="E22" s="242"/>
      <c r="F22" s="242"/>
      <c r="G22" s="242"/>
      <c r="H22" s="242"/>
      <c r="I22" s="242"/>
      <c r="J22" s="242"/>
      <c r="K22" s="242"/>
      <c r="L22" s="242"/>
      <c r="M22" s="265"/>
      <c r="N22" s="250"/>
      <c r="O22" s="242"/>
      <c r="P22" s="266"/>
      <c r="Q22" s="249"/>
      <c r="R22" s="267"/>
      <c r="S22" s="267"/>
      <c r="T22" s="242"/>
      <c r="U22" s="242"/>
      <c r="V22" s="242"/>
    </row>
    <row r="23" spans="1:22" s="39" customFormat="1" ht="11.25" customHeight="1" x14ac:dyDescent="0.4">
      <c r="A23" s="242"/>
      <c r="B23" s="242"/>
      <c r="C23" s="894" t="s">
        <v>254</v>
      </c>
      <c r="D23" s="895"/>
      <c r="E23" s="895"/>
      <c r="F23" s="895"/>
      <c r="G23" s="896"/>
      <c r="H23" s="21"/>
      <c r="I23" s="260" t="e">
        <f>IF(H23="Oui",10,IF(#REF!=0,"",ROUND(#REF!/#REF!*10,1)))</f>
        <v>#REF!</v>
      </c>
      <c r="J23" s="261" t="s">
        <v>29</v>
      </c>
      <c r="K23" s="258" t="s">
        <v>81</v>
      </c>
      <c r="L23" s="259" t="str">
        <f>IFERROR(IF(#REF!&gt;=0,I23*(1-SUM(R21))*10,100),"")</f>
        <v/>
      </c>
      <c r="M23" s="265"/>
      <c r="N23" s="250"/>
      <c r="O23" s="242"/>
      <c r="P23" s="266"/>
      <c r="Q23" s="249"/>
      <c r="R23" s="267"/>
      <c r="S23" s="242"/>
      <c r="T23" s="242"/>
      <c r="U23" s="242"/>
      <c r="V23" s="242"/>
    </row>
    <row r="24" spans="1:22" s="39" customFormat="1" ht="13.5" customHeight="1" x14ac:dyDescent="0.4">
      <c r="A24" s="242"/>
      <c r="B24" s="242"/>
      <c r="C24" s="897" t="s">
        <v>86</v>
      </c>
      <c r="D24" s="898"/>
      <c r="E24" s="898"/>
      <c r="F24" s="898"/>
      <c r="G24" s="899"/>
      <c r="H24" s="21"/>
      <c r="I24" s="260" t="e">
        <f>IF(H24="Oui",10,IF(#REF!=0,"",ROUND(#REF!/#REF!*10,1)))</f>
        <v>#REF!</v>
      </c>
      <c r="J24" s="261" t="s">
        <v>30</v>
      </c>
      <c r="K24" s="258" t="s">
        <v>81</v>
      </c>
      <c r="L24" s="259" t="str">
        <f>IFERROR(IF(#REF!&gt;=0,I24*(1-SUM(R21))*10,100),"")</f>
        <v/>
      </c>
      <c r="M24" s="265"/>
      <c r="N24" s="250"/>
      <c r="O24" s="242"/>
      <c r="P24" s="266"/>
      <c r="Q24" s="249"/>
      <c r="R24" s="267"/>
      <c r="S24" s="242"/>
      <c r="T24" s="242"/>
      <c r="U24" s="242"/>
      <c r="V24" s="242"/>
    </row>
    <row r="25" spans="1:22" s="38" customFormat="1" ht="13.5" customHeight="1" x14ac:dyDescent="0.4">
      <c r="A25" s="242"/>
      <c r="B25" s="242"/>
      <c r="C25" s="897" t="s">
        <v>86</v>
      </c>
      <c r="D25" s="898"/>
      <c r="E25" s="898"/>
      <c r="F25" s="898"/>
      <c r="G25" s="899"/>
      <c r="H25" s="21"/>
      <c r="I25" s="260" t="e">
        <f>IF(H25="Oui",10,IF(#REF!=0,"",ROUND(#REF!/#REF!*10,1)))</f>
        <v>#REF!</v>
      </c>
      <c r="J25" s="261" t="s">
        <v>31</v>
      </c>
      <c r="K25" s="258" t="s">
        <v>81</v>
      </c>
      <c r="L25" s="259" t="str">
        <f>IFERROR(IF(#REF!&gt;=0,I25*(1-SUM(R21))*10,100),"")</f>
        <v/>
      </c>
      <c r="M25" s="250"/>
      <c r="N25" s="250"/>
      <c r="O25" s="250"/>
      <c r="P25" s="266"/>
      <c r="Q25" s="249"/>
      <c r="R25" s="267"/>
      <c r="S25" s="250"/>
      <c r="T25" s="242"/>
      <c r="U25" s="242"/>
      <c r="V25" s="242"/>
    </row>
    <row r="26" spans="1:22" s="38" customFormat="1" ht="13.5" customHeight="1" x14ac:dyDescent="0.4">
      <c r="A26" s="242"/>
      <c r="B26" s="242"/>
      <c r="C26" s="242"/>
      <c r="D26" s="268"/>
      <c r="E26" s="268"/>
      <c r="F26" s="268"/>
      <c r="G26" s="268"/>
      <c r="H26" s="268"/>
      <c r="I26" s="268"/>
      <c r="J26" s="268"/>
      <c r="K26" s="268"/>
      <c r="L26" s="268"/>
      <c r="M26" s="268"/>
      <c r="N26" s="268"/>
      <c r="O26" s="268"/>
      <c r="P26" s="250"/>
      <c r="Q26" s="250"/>
      <c r="R26" s="250"/>
      <c r="S26" s="250"/>
      <c r="T26" s="242"/>
      <c r="U26" s="242"/>
      <c r="V26" s="242"/>
    </row>
    <row r="27" spans="1:22" s="38" customFormat="1" ht="13.5" customHeight="1" x14ac:dyDescent="0.4">
      <c r="A27" s="12"/>
      <c r="B27" s="242"/>
      <c r="C27" s="242"/>
      <c r="D27" s="242"/>
      <c r="E27" s="242"/>
      <c r="F27" s="242"/>
      <c r="G27" s="242"/>
      <c r="H27" s="242"/>
      <c r="I27" s="242"/>
      <c r="J27" s="242"/>
      <c r="K27" s="242"/>
      <c r="L27" s="242"/>
      <c r="M27" s="242"/>
      <c r="N27" s="242"/>
      <c r="O27" s="242"/>
      <c r="P27" s="242"/>
      <c r="Q27" s="242"/>
      <c r="R27" s="242"/>
      <c r="S27" s="242"/>
      <c r="T27" s="242"/>
      <c r="U27" s="242"/>
      <c r="V27" s="242"/>
    </row>
    <row r="28" spans="1:22" ht="13.5" customHeight="1" x14ac:dyDescent="0.4">
      <c r="B28" s="242"/>
      <c r="C28" s="242"/>
      <c r="D28" s="242"/>
      <c r="E28" s="242"/>
      <c r="F28" s="242"/>
      <c r="G28" s="242"/>
      <c r="H28" s="242"/>
      <c r="I28" s="242"/>
      <c r="J28" s="242"/>
      <c r="K28" s="242"/>
      <c r="L28" s="242"/>
      <c r="M28" s="242"/>
      <c r="N28" s="242"/>
      <c r="O28" s="242"/>
      <c r="P28" s="242"/>
      <c r="Q28" s="242"/>
      <c r="R28" s="242"/>
      <c r="S28" s="242"/>
      <c r="T28" s="242"/>
      <c r="U28" s="242"/>
      <c r="V28" s="242"/>
    </row>
    <row r="29" spans="1:22" s="38" customFormat="1" ht="13.5" customHeight="1" x14ac:dyDescent="0.4">
      <c r="A29" s="12"/>
      <c r="B29" s="242"/>
      <c r="C29" s="242"/>
      <c r="D29" s="242"/>
      <c r="E29" s="242"/>
      <c r="F29" s="242"/>
      <c r="G29" s="242"/>
      <c r="H29" s="242"/>
      <c r="I29" s="242"/>
      <c r="J29" s="242"/>
      <c r="K29" s="242"/>
      <c r="L29" s="242"/>
      <c r="M29" s="242"/>
      <c r="N29" s="242"/>
      <c r="O29" s="242"/>
      <c r="P29" s="242"/>
      <c r="Q29" s="242"/>
      <c r="R29" s="242"/>
      <c r="S29" s="242"/>
      <c r="T29" s="242"/>
      <c r="U29" s="242"/>
      <c r="V29" s="242"/>
    </row>
    <row r="30" spans="1:22" x14ac:dyDescent="0.4">
      <c r="B30" s="242"/>
      <c r="C30" s="242"/>
      <c r="D30" s="242"/>
      <c r="E30" s="242"/>
      <c r="F30" s="242"/>
      <c r="G30" s="242"/>
      <c r="H30" s="242"/>
      <c r="I30" s="242"/>
      <c r="J30" s="242"/>
      <c r="K30" s="242"/>
      <c r="L30" s="242"/>
      <c r="M30" s="242"/>
      <c r="N30" s="242"/>
      <c r="O30" s="242"/>
      <c r="P30" s="242"/>
      <c r="Q30" s="242"/>
      <c r="R30" s="242"/>
      <c r="S30" s="242"/>
      <c r="T30" s="242"/>
      <c r="U30" s="242"/>
    </row>
    <row r="31" spans="1:22" x14ac:dyDescent="0.4">
      <c r="B31" s="242"/>
      <c r="C31" s="242"/>
      <c r="D31" s="242"/>
      <c r="E31" s="242"/>
      <c r="F31" s="242"/>
      <c r="G31" s="242"/>
      <c r="H31" s="242"/>
      <c r="I31" s="242"/>
      <c r="J31" s="242"/>
      <c r="K31" s="242"/>
      <c r="L31" s="242"/>
      <c r="M31" s="242"/>
      <c r="N31" s="242"/>
      <c r="O31" s="242"/>
      <c r="P31" s="242"/>
      <c r="Q31" s="242"/>
      <c r="R31" s="242"/>
      <c r="S31" s="242"/>
      <c r="T31" s="242"/>
      <c r="U31" s="242"/>
    </row>
    <row r="32" spans="1:22" x14ac:dyDescent="0.4">
      <c r="B32" s="242"/>
      <c r="C32" s="242"/>
      <c r="D32" s="242"/>
      <c r="E32" s="242"/>
      <c r="F32" s="242"/>
      <c r="G32" s="242"/>
      <c r="H32" s="242"/>
      <c r="I32" s="242"/>
      <c r="J32" s="242"/>
      <c r="K32" s="242"/>
      <c r="L32" s="242"/>
      <c r="M32" s="242"/>
      <c r="N32" s="242"/>
      <c r="O32" s="242"/>
      <c r="P32" s="242"/>
      <c r="Q32" s="242"/>
      <c r="R32" s="242"/>
      <c r="S32" s="242"/>
      <c r="T32" s="242"/>
      <c r="U32" s="242"/>
    </row>
    <row r="33" spans="2:21" x14ac:dyDescent="0.4">
      <c r="B33" s="242"/>
      <c r="C33" s="242"/>
      <c r="D33" s="242"/>
      <c r="E33" s="242"/>
      <c r="F33" s="242"/>
      <c r="G33" s="242"/>
      <c r="H33" s="242"/>
      <c r="I33" s="242"/>
      <c r="J33" s="242"/>
      <c r="K33" s="242"/>
      <c r="L33" s="242"/>
      <c r="M33" s="242"/>
      <c r="N33" s="242"/>
      <c r="O33" s="242"/>
      <c r="P33" s="242"/>
      <c r="Q33" s="242"/>
      <c r="R33" s="242"/>
      <c r="S33" s="242"/>
      <c r="T33" s="242"/>
      <c r="U33" s="242"/>
    </row>
    <row r="34" spans="2:21" x14ac:dyDescent="0.4">
      <c r="B34" s="242"/>
      <c r="C34" s="242"/>
      <c r="D34" s="242"/>
      <c r="E34" s="242"/>
      <c r="F34" s="242"/>
      <c r="G34" s="242"/>
      <c r="H34" s="242"/>
      <c r="I34" s="242"/>
      <c r="J34" s="242"/>
      <c r="K34" s="242"/>
      <c r="L34" s="242"/>
      <c r="M34" s="242"/>
      <c r="N34" s="242"/>
      <c r="O34" s="242"/>
      <c r="P34" s="242"/>
      <c r="Q34" s="242"/>
      <c r="R34" s="242"/>
      <c r="S34" s="242"/>
      <c r="T34" s="242"/>
      <c r="U34" s="242"/>
    </row>
    <row r="35" spans="2:21" x14ac:dyDescent="0.4">
      <c r="B35" s="242"/>
      <c r="C35" s="242"/>
      <c r="D35" s="242"/>
      <c r="E35" s="242"/>
      <c r="F35" s="242"/>
      <c r="G35" s="242"/>
      <c r="H35" s="242"/>
      <c r="I35" s="242"/>
      <c r="J35" s="242"/>
      <c r="K35" s="242"/>
      <c r="L35" s="242"/>
      <c r="M35" s="242"/>
      <c r="N35" s="242"/>
      <c r="O35" s="242"/>
      <c r="P35" s="242"/>
      <c r="Q35" s="242"/>
      <c r="R35" s="242"/>
      <c r="S35" s="242"/>
      <c r="T35" s="242"/>
      <c r="U35" s="242"/>
    </row>
    <row r="36" spans="2:21" x14ac:dyDescent="0.4">
      <c r="B36" s="242"/>
      <c r="C36" s="242"/>
      <c r="D36" s="242"/>
      <c r="E36" s="242"/>
      <c r="F36" s="242"/>
      <c r="G36" s="242"/>
      <c r="H36" s="242"/>
      <c r="I36" s="242"/>
      <c r="J36" s="242"/>
      <c r="K36" s="242"/>
      <c r="L36" s="242"/>
      <c r="M36" s="242"/>
      <c r="N36" s="242"/>
      <c r="O36" s="242"/>
      <c r="P36" s="242"/>
      <c r="Q36" s="242"/>
      <c r="R36" s="242"/>
      <c r="S36" s="242"/>
      <c r="T36" s="242"/>
      <c r="U36" s="242"/>
    </row>
    <row r="37" spans="2:21" x14ac:dyDescent="0.4">
      <c r="B37" s="242"/>
      <c r="C37" s="242"/>
      <c r="D37" s="242"/>
      <c r="E37" s="242"/>
      <c r="F37" s="242"/>
      <c r="G37" s="242"/>
      <c r="H37" s="242"/>
      <c r="I37" s="242"/>
      <c r="J37" s="242"/>
      <c r="K37" s="242"/>
      <c r="L37" s="242"/>
      <c r="M37" s="242"/>
      <c r="N37" s="242"/>
      <c r="O37" s="242"/>
      <c r="P37" s="242"/>
      <c r="Q37" s="242"/>
      <c r="R37" s="242"/>
      <c r="S37" s="242"/>
      <c r="T37" s="242"/>
      <c r="U37" s="242"/>
    </row>
    <row r="38" spans="2:21" x14ac:dyDescent="0.4">
      <c r="B38" s="242"/>
      <c r="C38" s="242"/>
      <c r="D38" s="242"/>
      <c r="E38" s="242"/>
      <c r="F38" s="242"/>
      <c r="G38" s="242"/>
      <c r="H38" s="242"/>
      <c r="I38" s="242"/>
      <c r="J38" s="242"/>
      <c r="K38" s="242"/>
      <c r="L38" s="242"/>
      <c r="M38" s="242"/>
      <c r="N38" s="242"/>
      <c r="O38" s="242"/>
      <c r="P38" s="242"/>
      <c r="Q38" s="242"/>
      <c r="R38" s="242"/>
      <c r="S38" s="242"/>
      <c r="T38" s="242"/>
      <c r="U38" s="242"/>
    </row>
    <row r="39" spans="2:21" x14ac:dyDescent="0.4">
      <c r="B39" s="242"/>
      <c r="C39" s="242"/>
      <c r="D39" s="242"/>
      <c r="E39" s="242"/>
      <c r="F39" s="242"/>
      <c r="G39" s="242"/>
      <c r="H39" s="242"/>
      <c r="I39" s="242"/>
      <c r="J39" s="242"/>
      <c r="K39" s="242"/>
      <c r="L39" s="242"/>
      <c r="M39" s="242"/>
      <c r="N39" s="242"/>
      <c r="O39" s="242"/>
      <c r="P39" s="242"/>
      <c r="Q39" s="242"/>
      <c r="R39" s="242"/>
      <c r="S39" s="242"/>
      <c r="T39" s="242"/>
      <c r="U39" s="242"/>
    </row>
    <row r="40" spans="2:21" x14ac:dyDescent="0.4">
      <c r="B40" s="242"/>
      <c r="C40" s="242"/>
      <c r="D40" s="242"/>
      <c r="E40" s="242"/>
      <c r="F40" s="242"/>
      <c r="G40" s="242"/>
      <c r="H40" s="242"/>
      <c r="I40" s="242"/>
      <c r="J40" s="242"/>
      <c r="K40" s="242"/>
      <c r="L40" s="242"/>
      <c r="M40" s="242"/>
      <c r="N40" s="242"/>
      <c r="O40" s="242"/>
      <c r="P40" s="242"/>
      <c r="Q40" s="242"/>
      <c r="R40" s="242"/>
      <c r="S40" s="242"/>
      <c r="T40" s="242"/>
      <c r="U40" s="242"/>
    </row>
    <row r="41" spans="2:21" x14ac:dyDescent="0.4">
      <c r="B41" s="242"/>
      <c r="C41" s="242"/>
      <c r="D41" s="242"/>
      <c r="E41" s="242"/>
      <c r="F41" s="242"/>
      <c r="G41" s="242"/>
      <c r="H41" s="242"/>
      <c r="I41" s="242"/>
      <c r="J41" s="242"/>
      <c r="K41" s="242"/>
      <c r="L41" s="242"/>
      <c r="M41" s="242"/>
      <c r="N41" s="242"/>
      <c r="O41" s="242"/>
      <c r="P41" s="242"/>
      <c r="Q41" s="242"/>
      <c r="R41" s="242"/>
      <c r="S41" s="242"/>
      <c r="T41" s="242"/>
      <c r="U41" s="242"/>
    </row>
    <row r="42" spans="2:21" x14ac:dyDescent="0.4">
      <c r="B42" s="242"/>
      <c r="C42" s="242"/>
      <c r="D42" s="242"/>
      <c r="E42" s="242"/>
      <c r="F42" s="242"/>
      <c r="G42" s="242"/>
      <c r="H42" s="242"/>
      <c r="I42" s="242"/>
      <c r="J42" s="242"/>
      <c r="K42" s="242"/>
      <c r="L42" s="242"/>
      <c r="M42" s="242"/>
      <c r="N42" s="242"/>
      <c r="O42" s="242"/>
      <c r="P42" s="242"/>
      <c r="Q42" s="242"/>
      <c r="R42" s="242"/>
      <c r="S42" s="242"/>
      <c r="T42" s="242"/>
      <c r="U42" s="242"/>
    </row>
    <row r="43" spans="2:21" x14ac:dyDescent="0.4">
      <c r="B43" s="242"/>
      <c r="C43" s="242"/>
      <c r="D43" s="242"/>
      <c r="E43" s="242"/>
      <c r="F43" s="242"/>
      <c r="G43" s="242"/>
      <c r="H43" s="242"/>
      <c r="I43" s="242"/>
      <c r="J43" s="242"/>
      <c r="K43" s="242"/>
      <c r="L43" s="242"/>
      <c r="M43" s="242"/>
      <c r="N43" s="242"/>
      <c r="O43" s="242"/>
      <c r="P43" s="242"/>
      <c r="Q43" s="242"/>
      <c r="R43" s="242"/>
      <c r="S43" s="242"/>
      <c r="T43" s="242"/>
      <c r="U43" s="242"/>
    </row>
    <row r="44" spans="2:21" x14ac:dyDescent="0.4">
      <c r="B44" s="242"/>
      <c r="C44" s="242"/>
      <c r="D44" s="242"/>
      <c r="E44" s="242"/>
      <c r="F44" s="242"/>
      <c r="G44" s="242"/>
      <c r="H44" s="242"/>
      <c r="I44" s="242"/>
      <c r="J44" s="242"/>
      <c r="K44" s="242"/>
      <c r="L44" s="242"/>
      <c r="M44" s="242"/>
      <c r="N44" s="242"/>
      <c r="O44" s="242"/>
      <c r="P44" s="242"/>
      <c r="Q44" s="242"/>
      <c r="R44" s="242"/>
      <c r="S44" s="242"/>
      <c r="T44" s="242"/>
      <c r="U44" s="242"/>
    </row>
    <row r="45" spans="2:21" x14ac:dyDescent="0.4">
      <c r="B45" s="242"/>
      <c r="C45" s="242"/>
      <c r="D45" s="242"/>
      <c r="E45" s="242"/>
      <c r="F45" s="242"/>
      <c r="G45" s="242"/>
      <c r="H45" s="242"/>
      <c r="I45" s="242"/>
      <c r="J45" s="242"/>
      <c r="K45" s="242"/>
      <c r="L45" s="242"/>
      <c r="M45" s="242"/>
      <c r="N45" s="242"/>
      <c r="O45" s="242"/>
      <c r="P45" s="242"/>
      <c r="Q45" s="242"/>
      <c r="R45" s="242"/>
      <c r="S45" s="242"/>
      <c r="T45" s="242"/>
      <c r="U45" s="242"/>
    </row>
    <row r="46" spans="2:21" x14ac:dyDescent="0.4">
      <c r="B46" s="242"/>
      <c r="C46" s="242"/>
      <c r="D46" s="242"/>
      <c r="E46" s="242"/>
      <c r="F46" s="242"/>
      <c r="G46" s="242"/>
      <c r="H46" s="242"/>
      <c r="I46" s="242"/>
      <c r="J46" s="242"/>
      <c r="K46" s="242"/>
      <c r="L46" s="242"/>
      <c r="M46" s="242"/>
      <c r="N46" s="242"/>
      <c r="O46" s="242"/>
      <c r="P46" s="242"/>
      <c r="Q46" s="242"/>
      <c r="R46" s="242"/>
      <c r="S46" s="242"/>
      <c r="T46" s="242"/>
      <c r="U46" s="242"/>
    </row>
    <row r="47" spans="2:21" x14ac:dyDescent="0.4">
      <c r="B47" s="242"/>
      <c r="C47" s="242"/>
      <c r="D47" s="242"/>
      <c r="E47" s="242"/>
      <c r="F47" s="242"/>
      <c r="G47" s="242"/>
      <c r="H47" s="242"/>
      <c r="I47" s="242"/>
      <c r="J47" s="242"/>
      <c r="K47" s="242"/>
      <c r="L47" s="242"/>
      <c r="M47" s="242"/>
      <c r="N47" s="242"/>
      <c r="O47" s="242"/>
      <c r="P47" s="242"/>
      <c r="Q47" s="242"/>
      <c r="R47" s="242"/>
      <c r="S47" s="242"/>
      <c r="T47" s="242"/>
      <c r="U47" s="242"/>
    </row>
    <row r="48" spans="2:21" x14ac:dyDescent="0.4">
      <c r="B48" s="242"/>
      <c r="C48" s="242"/>
      <c r="D48" s="242"/>
      <c r="E48" s="242"/>
      <c r="F48" s="242"/>
      <c r="G48" s="242"/>
      <c r="H48" s="242"/>
      <c r="I48" s="242"/>
      <c r="J48" s="242"/>
      <c r="K48" s="242"/>
      <c r="L48" s="242"/>
      <c r="M48" s="242"/>
      <c r="N48" s="242"/>
      <c r="O48" s="242"/>
      <c r="P48" s="242"/>
      <c r="Q48" s="242"/>
      <c r="R48" s="242"/>
      <c r="S48" s="242"/>
      <c r="T48" s="242"/>
      <c r="U48" s="242"/>
    </row>
    <row r="49" spans="2:21" x14ac:dyDescent="0.4">
      <c r="B49" s="242"/>
      <c r="C49" s="242"/>
      <c r="D49" s="242"/>
      <c r="E49" s="242"/>
      <c r="F49" s="242"/>
      <c r="G49" s="242"/>
      <c r="H49" s="242"/>
      <c r="I49" s="242"/>
      <c r="J49" s="242"/>
      <c r="K49" s="242"/>
      <c r="L49" s="242"/>
      <c r="M49" s="242"/>
      <c r="N49" s="242"/>
      <c r="O49" s="242"/>
      <c r="P49" s="242"/>
      <c r="Q49" s="242"/>
      <c r="R49" s="242"/>
      <c r="S49" s="242"/>
      <c r="T49" s="242"/>
      <c r="U49" s="242"/>
    </row>
    <row r="50" spans="2:21" x14ac:dyDescent="0.4">
      <c r="B50" s="242"/>
      <c r="C50" s="242"/>
      <c r="D50" s="242"/>
      <c r="E50" s="242"/>
      <c r="F50" s="242"/>
      <c r="G50" s="242"/>
      <c r="H50" s="242"/>
      <c r="I50" s="242"/>
      <c r="J50" s="242"/>
      <c r="K50" s="242"/>
      <c r="L50" s="242"/>
      <c r="M50" s="242"/>
      <c r="N50" s="242"/>
      <c r="O50" s="242"/>
      <c r="P50" s="242"/>
      <c r="Q50" s="242"/>
      <c r="R50" s="242"/>
      <c r="S50" s="242"/>
      <c r="T50" s="242"/>
      <c r="U50" s="242"/>
    </row>
    <row r="51" spans="2:21" x14ac:dyDescent="0.4">
      <c r="B51" s="242"/>
      <c r="C51" s="242"/>
      <c r="D51" s="242"/>
      <c r="E51" s="242"/>
      <c r="F51" s="242"/>
      <c r="G51" s="242"/>
      <c r="H51" s="242"/>
      <c r="I51" s="242"/>
      <c r="J51" s="242"/>
      <c r="K51" s="242"/>
      <c r="L51" s="242"/>
      <c r="M51" s="242"/>
      <c r="N51" s="242"/>
      <c r="O51" s="242"/>
      <c r="P51" s="242"/>
      <c r="Q51" s="242"/>
      <c r="R51" s="242"/>
      <c r="S51" s="242"/>
      <c r="T51" s="242"/>
      <c r="U51" s="242"/>
    </row>
    <row r="52" spans="2:21" x14ac:dyDescent="0.4">
      <c r="B52" s="242"/>
      <c r="C52" s="242"/>
      <c r="D52" s="242"/>
      <c r="E52" s="242"/>
      <c r="F52" s="242"/>
      <c r="G52" s="242"/>
      <c r="H52" s="242"/>
      <c r="I52" s="242"/>
      <c r="J52" s="242"/>
      <c r="K52" s="242"/>
      <c r="L52" s="242"/>
      <c r="M52" s="242"/>
      <c r="N52" s="242"/>
      <c r="O52" s="242"/>
      <c r="P52" s="242"/>
      <c r="Q52" s="242"/>
      <c r="R52" s="242"/>
      <c r="S52" s="242"/>
      <c r="T52" s="242"/>
      <c r="U52" s="242"/>
    </row>
    <row r="53" spans="2:21" x14ac:dyDescent="0.4">
      <c r="B53" s="242"/>
      <c r="C53" s="242"/>
      <c r="D53" s="242"/>
      <c r="E53" s="242"/>
      <c r="F53" s="242"/>
      <c r="G53" s="242"/>
      <c r="H53" s="242"/>
      <c r="I53" s="242"/>
      <c r="J53" s="242"/>
      <c r="K53" s="242"/>
      <c r="L53" s="242"/>
      <c r="M53" s="242"/>
      <c r="N53" s="242"/>
      <c r="O53" s="242"/>
      <c r="P53" s="242"/>
      <c r="Q53" s="242"/>
      <c r="R53" s="242"/>
      <c r="S53" s="242"/>
      <c r="T53" s="242"/>
      <c r="U53" s="242"/>
    </row>
    <row r="54" spans="2:21" x14ac:dyDescent="0.4">
      <c r="B54" s="242"/>
      <c r="C54" s="242"/>
      <c r="D54" s="242"/>
      <c r="E54" s="242"/>
      <c r="F54" s="242"/>
      <c r="G54" s="242"/>
      <c r="H54" s="242"/>
      <c r="I54" s="242"/>
      <c r="J54" s="242"/>
      <c r="K54" s="242"/>
      <c r="L54" s="242"/>
      <c r="M54" s="242"/>
      <c r="N54" s="242"/>
      <c r="O54" s="242"/>
      <c r="P54" s="242"/>
      <c r="Q54" s="242"/>
      <c r="R54" s="242"/>
      <c r="S54" s="242"/>
      <c r="T54" s="242"/>
      <c r="U54" s="242"/>
    </row>
    <row r="55" spans="2:21" x14ac:dyDescent="0.4">
      <c r="B55" s="242"/>
      <c r="C55" s="242"/>
      <c r="D55" s="242"/>
      <c r="E55" s="242"/>
      <c r="F55" s="242"/>
      <c r="G55" s="242"/>
      <c r="H55" s="242"/>
      <c r="I55" s="242"/>
      <c r="J55" s="242"/>
      <c r="K55" s="242"/>
      <c r="L55" s="242"/>
      <c r="M55" s="242"/>
      <c r="N55" s="242"/>
      <c r="O55" s="242"/>
      <c r="P55" s="242"/>
      <c r="Q55" s="242"/>
      <c r="R55" s="242"/>
      <c r="S55" s="242"/>
      <c r="T55" s="242"/>
      <c r="U55" s="242"/>
    </row>
    <row r="56" spans="2:21" x14ac:dyDescent="0.4">
      <c r="B56" s="242"/>
      <c r="C56" s="242"/>
      <c r="D56" s="242"/>
      <c r="E56" s="242"/>
      <c r="F56" s="242"/>
      <c r="G56" s="242"/>
      <c r="H56" s="242"/>
      <c r="I56" s="242"/>
      <c r="J56" s="242"/>
      <c r="K56" s="242"/>
      <c r="L56" s="242"/>
      <c r="M56" s="242"/>
      <c r="N56" s="242"/>
      <c r="O56" s="242"/>
      <c r="P56" s="242"/>
      <c r="Q56" s="242"/>
      <c r="R56" s="242"/>
      <c r="S56" s="242"/>
      <c r="T56" s="242"/>
      <c r="U56" s="242"/>
    </row>
    <row r="57" spans="2:21" x14ac:dyDescent="0.4">
      <c r="B57" s="242"/>
      <c r="C57" s="242"/>
      <c r="D57" s="242"/>
      <c r="E57" s="242"/>
      <c r="F57" s="242"/>
      <c r="G57" s="242"/>
      <c r="H57" s="242"/>
      <c r="I57" s="242"/>
      <c r="J57" s="242"/>
      <c r="K57" s="242"/>
      <c r="L57" s="242"/>
      <c r="M57" s="242"/>
      <c r="N57" s="242"/>
      <c r="O57" s="242"/>
      <c r="P57" s="242"/>
      <c r="Q57" s="242"/>
      <c r="R57" s="242"/>
      <c r="S57" s="242"/>
      <c r="T57" s="242"/>
      <c r="U57" s="242"/>
    </row>
    <row r="58" spans="2:21" x14ac:dyDescent="0.4">
      <c r="B58" s="242"/>
      <c r="C58" s="242"/>
      <c r="D58" s="242"/>
      <c r="E58" s="242"/>
      <c r="F58" s="242"/>
      <c r="G58" s="242"/>
      <c r="H58" s="242"/>
      <c r="I58" s="242"/>
      <c r="J58" s="242"/>
      <c r="K58" s="242"/>
      <c r="L58" s="242"/>
      <c r="M58" s="242"/>
      <c r="N58" s="242"/>
      <c r="O58" s="242"/>
      <c r="P58" s="242"/>
      <c r="Q58" s="242"/>
      <c r="R58" s="242"/>
      <c r="S58" s="242"/>
      <c r="T58" s="242"/>
      <c r="U58" s="242"/>
    </row>
    <row r="59" spans="2:21" x14ac:dyDescent="0.4">
      <c r="B59" s="242"/>
      <c r="C59" s="242"/>
      <c r="D59" s="242"/>
      <c r="E59" s="242"/>
      <c r="F59" s="242"/>
      <c r="G59" s="242"/>
      <c r="H59" s="242"/>
      <c r="I59" s="242"/>
      <c r="J59" s="242"/>
      <c r="K59" s="242"/>
      <c r="L59" s="242"/>
      <c r="M59" s="242"/>
      <c r="N59" s="242"/>
      <c r="O59" s="242"/>
      <c r="P59" s="242"/>
      <c r="Q59" s="242"/>
      <c r="R59" s="242"/>
      <c r="S59" s="242"/>
      <c r="T59" s="242"/>
      <c r="U59" s="242"/>
    </row>
    <row r="60" spans="2:21" x14ac:dyDescent="0.4">
      <c r="B60" s="242"/>
      <c r="C60" s="242"/>
      <c r="D60" s="242"/>
      <c r="E60" s="242"/>
      <c r="F60" s="242"/>
      <c r="G60" s="242"/>
      <c r="H60" s="242"/>
      <c r="I60" s="242"/>
      <c r="J60" s="242"/>
      <c r="K60" s="242"/>
      <c r="L60" s="242"/>
      <c r="M60" s="242"/>
      <c r="N60" s="242"/>
      <c r="O60" s="242"/>
      <c r="P60" s="242"/>
      <c r="Q60" s="242"/>
      <c r="R60" s="242"/>
      <c r="S60" s="242"/>
      <c r="T60" s="242"/>
      <c r="U60" s="242"/>
    </row>
    <row r="61" spans="2:21" x14ac:dyDescent="0.4">
      <c r="B61" s="242"/>
      <c r="C61" s="242"/>
      <c r="D61" s="242"/>
      <c r="E61" s="242"/>
      <c r="F61" s="242"/>
      <c r="G61" s="242"/>
      <c r="H61" s="242"/>
      <c r="I61" s="242"/>
      <c r="J61" s="242"/>
      <c r="K61" s="242"/>
      <c r="L61" s="242"/>
      <c r="M61" s="242"/>
      <c r="N61" s="242"/>
      <c r="O61" s="242"/>
      <c r="P61" s="242"/>
      <c r="Q61" s="242"/>
      <c r="R61" s="242"/>
      <c r="S61" s="242"/>
      <c r="T61" s="242"/>
      <c r="U61" s="242"/>
    </row>
    <row r="62" spans="2:21" x14ac:dyDescent="0.4">
      <c r="B62" s="242"/>
      <c r="C62" s="242"/>
      <c r="D62" s="242"/>
      <c r="E62" s="242"/>
      <c r="F62" s="242"/>
      <c r="G62" s="242"/>
      <c r="H62" s="242"/>
      <c r="I62" s="242"/>
      <c r="J62" s="242"/>
      <c r="K62" s="242"/>
      <c r="L62" s="242"/>
      <c r="M62" s="242"/>
      <c r="N62" s="242"/>
      <c r="O62" s="242"/>
      <c r="P62" s="242"/>
      <c r="Q62" s="242"/>
      <c r="R62" s="242"/>
      <c r="S62" s="242"/>
      <c r="T62" s="242"/>
      <c r="U62" s="242"/>
    </row>
    <row r="63" spans="2:21" x14ac:dyDescent="0.4">
      <c r="B63" s="242"/>
      <c r="C63" s="242"/>
      <c r="D63" s="242"/>
      <c r="E63" s="242"/>
      <c r="F63" s="242"/>
      <c r="G63" s="242"/>
      <c r="H63" s="242"/>
      <c r="I63" s="242"/>
      <c r="J63" s="242"/>
      <c r="K63" s="242"/>
      <c r="L63" s="242"/>
      <c r="M63" s="242"/>
      <c r="N63" s="242"/>
      <c r="O63" s="242"/>
      <c r="P63" s="242"/>
      <c r="Q63" s="242"/>
      <c r="R63" s="242"/>
      <c r="S63" s="242"/>
      <c r="T63" s="242"/>
      <c r="U63" s="242"/>
    </row>
    <row r="64" spans="2:21" x14ac:dyDescent="0.4">
      <c r="B64" s="242"/>
      <c r="C64" s="242"/>
      <c r="D64" s="242"/>
      <c r="E64" s="242"/>
      <c r="F64" s="242"/>
      <c r="G64" s="242"/>
      <c r="H64" s="242"/>
      <c r="I64" s="242"/>
      <c r="J64" s="242"/>
      <c r="K64" s="242"/>
      <c r="L64" s="242"/>
      <c r="M64" s="242"/>
      <c r="N64" s="242"/>
      <c r="O64" s="242"/>
      <c r="P64" s="242"/>
      <c r="Q64" s="242"/>
      <c r="R64" s="242"/>
      <c r="S64" s="242"/>
      <c r="T64" s="242"/>
      <c r="U64" s="242"/>
    </row>
    <row r="65" spans="2:21" x14ac:dyDescent="0.4">
      <c r="B65" s="242"/>
      <c r="C65" s="242"/>
      <c r="D65" s="242"/>
      <c r="E65" s="242"/>
      <c r="F65" s="242"/>
      <c r="G65" s="242"/>
      <c r="H65" s="242"/>
      <c r="I65" s="242"/>
      <c r="J65" s="242"/>
      <c r="K65" s="242"/>
      <c r="L65" s="242"/>
      <c r="M65" s="242"/>
      <c r="N65" s="242"/>
      <c r="O65" s="242"/>
      <c r="P65" s="242"/>
      <c r="Q65" s="242"/>
      <c r="R65" s="242"/>
      <c r="S65" s="242"/>
      <c r="T65" s="242"/>
      <c r="U65" s="242"/>
    </row>
    <row r="66" spans="2:21" x14ac:dyDescent="0.4">
      <c r="B66" s="242"/>
      <c r="C66" s="242"/>
      <c r="D66" s="242"/>
      <c r="E66" s="242"/>
      <c r="F66" s="242"/>
      <c r="G66" s="242"/>
      <c r="H66" s="242"/>
      <c r="I66" s="242"/>
      <c r="J66" s="242"/>
      <c r="K66" s="242"/>
      <c r="L66" s="242"/>
      <c r="M66" s="242"/>
      <c r="N66" s="242"/>
      <c r="O66" s="242"/>
      <c r="P66" s="242"/>
      <c r="Q66" s="242"/>
      <c r="R66" s="242"/>
      <c r="S66" s="242"/>
      <c r="T66" s="242"/>
      <c r="U66" s="242"/>
    </row>
    <row r="67" spans="2:21" x14ac:dyDescent="0.4">
      <c r="B67" s="242"/>
      <c r="C67" s="242"/>
      <c r="D67" s="242"/>
      <c r="E67" s="242"/>
      <c r="F67" s="242"/>
      <c r="G67" s="242"/>
      <c r="H67" s="242"/>
      <c r="I67" s="242"/>
      <c r="J67" s="242"/>
      <c r="K67" s="242"/>
      <c r="L67" s="242"/>
      <c r="M67" s="242"/>
      <c r="N67" s="242"/>
      <c r="O67" s="242"/>
      <c r="P67" s="242"/>
      <c r="Q67" s="242"/>
      <c r="R67" s="242"/>
      <c r="S67" s="242"/>
      <c r="T67" s="242"/>
      <c r="U67" s="242"/>
    </row>
    <row r="68" spans="2:21" x14ac:dyDescent="0.4">
      <c r="B68" s="242"/>
      <c r="C68" s="242"/>
      <c r="D68" s="242"/>
      <c r="E68" s="242"/>
      <c r="F68" s="242"/>
      <c r="G68" s="242"/>
      <c r="H68" s="242"/>
      <c r="I68" s="242"/>
      <c r="J68" s="242"/>
      <c r="K68" s="242"/>
      <c r="L68" s="242"/>
      <c r="M68" s="242"/>
      <c r="N68" s="242"/>
      <c r="O68" s="242"/>
      <c r="P68" s="242"/>
      <c r="Q68" s="242"/>
      <c r="R68" s="242"/>
      <c r="S68" s="242"/>
      <c r="T68" s="242"/>
      <c r="U68" s="242"/>
    </row>
    <row r="69" spans="2:21" x14ac:dyDescent="0.4">
      <c r="B69" s="242"/>
      <c r="C69" s="242"/>
      <c r="D69" s="242"/>
      <c r="E69" s="242"/>
      <c r="F69" s="242"/>
      <c r="G69" s="242"/>
      <c r="H69" s="242"/>
      <c r="I69" s="242"/>
      <c r="J69" s="242"/>
      <c r="K69" s="242"/>
      <c r="L69" s="242"/>
      <c r="M69" s="242"/>
      <c r="N69" s="242"/>
      <c r="O69" s="242"/>
      <c r="P69" s="242"/>
      <c r="Q69" s="242"/>
      <c r="R69" s="242"/>
      <c r="S69" s="242"/>
      <c r="T69" s="242"/>
      <c r="U69" s="242"/>
    </row>
    <row r="70" spans="2:21" x14ac:dyDescent="0.4">
      <c r="B70" s="242"/>
      <c r="C70" s="242"/>
      <c r="D70" s="242"/>
      <c r="E70" s="242"/>
      <c r="F70" s="242"/>
      <c r="G70" s="242"/>
      <c r="H70" s="242"/>
      <c r="I70" s="242"/>
      <c r="J70" s="242"/>
      <c r="K70" s="242"/>
      <c r="L70" s="242"/>
      <c r="M70" s="242"/>
      <c r="N70" s="242"/>
      <c r="O70" s="242"/>
      <c r="P70" s="242"/>
      <c r="Q70" s="242"/>
      <c r="R70" s="242"/>
      <c r="S70" s="242"/>
      <c r="T70" s="242"/>
      <c r="U70" s="242"/>
    </row>
    <row r="71" spans="2:21" x14ac:dyDescent="0.4">
      <c r="B71" s="242"/>
      <c r="C71" s="242"/>
      <c r="D71" s="242"/>
      <c r="E71" s="242"/>
      <c r="F71" s="242"/>
      <c r="G71" s="242"/>
      <c r="H71" s="242"/>
      <c r="I71" s="242"/>
      <c r="J71" s="242"/>
      <c r="K71" s="242"/>
      <c r="L71" s="242"/>
      <c r="M71" s="242"/>
      <c r="N71" s="242"/>
      <c r="O71" s="242"/>
      <c r="P71" s="242"/>
      <c r="Q71" s="242"/>
      <c r="R71" s="242"/>
      <c r="S71" s="242"/>
      <c r="T71" s="242"/>
      <c r="U71" s="242"/>
    </row>
    <row r="72" spans="2:21" x14ac:dyDescent="0.4">
      <c r="B72" s="242"/>
      <c r="C72" s="242"/>
      <c r="D72" s="242"/>
      <c r="E72" s="242"/>
      <c r="F72" s="242"/>
      <c r="G72" s="242"/>
      <c r="H72" s="242"/>
      <c r="I72" s="242"/>
      <c r="J72" s="242"/>
      <c r="K72" s="242"/>
      <c r="L72" s="242"/>
      <c r="M72" s="242"/>
      <c r="N72" s="242"/>
      <c r="O72" s="242"/>
      <c r="P72" s="242"/>
      <c r="Q72" s="242"/>
      <c r="R72" s="242"/>
      <c r="S72" s="242"/>
      <c r="T72" s="242"/>
      <c r="U72" s="242"/>
    </row>
    <row r="73" spans="2:21" x14ac:dyDescent="0.4">
      <c r="B73" s="242"/>
      <c r="C73" s="242"/>
      <c r="D73" s="242"/>
      <c r="E73" s="242"/>
      <c r="F73" s="242"/>
      <c r="G73" s="242"/>
      <c r="H73" s="242"/>
      <c r="I73" s="242"/>
      <c r="J73" s="242"/>
      <c r="K73" s="242"/>
      <c r="L73" s="242"/>
      <c r="M73" s="242"/>
      <c r="N73" s="242"/>
      <c r="O73" s="242"/>
      <c r="P73" s="242"/>
      <c r="Q73" s="242"/>
      <c r="R73" s="242"/>
      <c r="S73" s="242"/>
      <c r="T73" s="242"/>
      <c r="U73" s="242"/>
    </row>
    <row r="74" spans="2:21" x14ac:dyDescent="0.4">
      <c r="B74" s="242"/>
      <c r="C74" s="242"/>
      <c r="D74" s="242"/>
      <c r="E74" s="242"/>
      <c r="F74" s="242"/>
      <c r="G74" s="242"/>
      <c r="H74" s="242"/>
      <c r="I74" s="242"/>
      <c r="J74" s="242"/>
      <c r="K74" s="242"/>
      <c r="L74" s="242"/>
      <c r="M74" s="242"/>
      <c r="N74" s="242"/>
      <c r="O74" s="242"/>
      <c r="P74" s="242"/>
      <c r="Q74" s="242"/>
      <c r="R74" s="242"/>
      <c r="S74" s="242"/>
      <c r="T74" s="242"/>
      <c r="U74" s="242"/>
    </row>
    <row r="75" spans="2:21" x14ac:dyDescent="0.4">
      <c r="B75" s="242"/>
      <c r="C75" s="242"/>
      <c r="D75" s="242"/>
      <c r="E75" s="242"/>
      <c r="F75" s="242"/>
      <c r="G75" s="242"/>
      <c r="H75" s="242"/>
      <c r="I75" s="242"/>
      <c r="J75" s="242"/>
      <c r="K75" s="242"/>
      <c r="L75" s="242"/>
      <c r="M75" s="242"/>
      <c r="N75" s="242"/>
      <c r="O75" s="242"/>
      <c r="P75" s="242"/>
      <c r="Q75" s="242"/>
      <c r="R75" s="242"/>
      <c r="S75" s="242"/>
      <c r="T75" s="242"/>
      <c r="U75" s="242"/>
    </row>
    <row r="76" spans="2:21" x14ac:dyDescent="0.4">
      <c r="B76" s="242"/>
      <c r="C76" s="242"/>
      <c r="D76" s="242"/>
      <c r="E76" s="242"/>
      <c r="F76" s="242"/>
      <c r="G76" s="242"/>
      <c r="H76" s="242"/>
      <c r="I76" s="242"/>
      <c r="J76" s="242"/>
      <c r="K76" s="242"/>
      <c r="L76" s="242"/>
      <c r="M76" s="242"/>
      <c r="N76" s="242"/>
      <c r="O76" s="242"/>
      <c r="P76" s="242"/>
      <c r="Q76" s="242"/>
      <c r="R76" s="242"/>
      <c r="S76" s="242"/>
      <c r="T76" s="242"/>
      <c r="U76" s="242"/>
    </row>
    <row r="77" spans="2:21" x14ac:dyDescent="0.4">
      <c r="B77" s="242"/>
      <c r="C77" s="242"/>
      <c r="D77" s="242"/>
      <c r="E77" s="242"/>
      <c r="F77" s="242"/>
      <c r="G77" s="242"/>
      <c r="H77" s="242"/>
      <c r="I77" s="242"/>
      <c r="J77" s="242"/>
      <c r="K77" s="242"/>
      <c r="L77" s="242"/>
      <c r="M77" s="242"/>
      <c r="N77" s="242"/>
      <c r="O77" s="242"/>
      <c r="P77" s="242"/>
      <c r="Q77" s="242"/>
      <c r="R77" s="242"/>
      <c r="S77" s="242"/>
      <c r="T77" s="242"/>
      <c r="U77" s="242"/>
    </row>
    <row r="78" spans="2:21" x14ac:dyDescent="0.4">
      <c r="B78" s="242"/>
      <c r="C78" s="242"/>
      <c r="D78" s="242"/>
      <c r="E78" s="242"/>
      <c r="F78" s="242"/>
      <c r="G78" s="242"/>
      <c r="H78" s="242"/>
      <c r="I78" s="242"/>
      <c r="J78" s="242"/>
      <c r="K78" s="242"/>
      <c r="L78" s="242"/>
      <c r="M78" s="242"/>
      <c r="N78" s="242"/>
      <c r="O78" s="242"/>
      <c r="P78" s="242"/>
      <c r="Q78" s="242"/>
      <c r="R78" s="242"/>
      <c r="S78" s="242"/>
      <c r="T78" s="242"/>
      <c r="U78" s="242"/>
    </row>
    <row r="79" spans="2:21" x14ac:dyDescent="0.4">
      <c r="B79" s="242"/>
      <c r="C79" s="242"/>
      <c r="D79" s="242"/>
      <c r="E79" s="242"/>
      <c r="F79" s="242"/>
      <c r="G79" s="242"/>
      <c r="H79" s="242"/>
      <c r="I79" s="242"/>
      <c r="J79" s="242"/>
      <c r="K79" s="242"/>
      <c r="L79" s="242"/>
      <c r="M79" s="242"/>
      <c r="N79" s="242"/>
      <c r="O79" s="242"/>
      <c r="P79" s="242"/>
      <c r="Q79" s="242"/>
      <c r="R79" s="242"/>
      <c r="S79" s="242"/>
      <c r="T79" s="242"/>
      <c r="U79" s="242"/>
    </row>
    <row r="80" spans="2:21" x14ac:dyDescent="0.4">
      <c r="B80" s="242"/>
      <c r="C80" s="242"/>
      <c r="D80" s="242"/>
      <c r="E80" s="242"/>
      <c r="F80" s="242"/>
      <c r="G80" s="242"/>
      <c r="H80" s="242"/>
      <c r="I80" s="242"/>
      <c r="J80" s="242"/>
      <c r="K80" s="242"/>
      <c r="L80" s="242"/>
      <c r="M80" s="242"/>
      <c r="N80" s="242"/>
      <c r="O80" s="242"/>
      <c r="P80" s="242"/>
      <c r="Q80" s="242"/>
      <c r="R80" s="242"/>
      <c r="S80" s="242"/>
      <c r="T80" s="242"/>
      <c r="U80" s="242"/>
    </row>
    <row r="81" spans="2:21" x14ac:dyDescent="0.4">
      <c r="B81" s="242"/>
      <c r="C81" s="242"/>
      <c r="D81" s="242"/>
      <c r="E81" s="242"/>
      <c r="F81" s="242"/>
      <c r="G81" s="242"/>
      <c r="H81" s="242"/>
      <c r="I81" s="242"/>
      <c r="J81" s="242"/>
      <c r="K81" s="242"/>
      <c r="L81" s="242"/>
      <c r="M81" s="242"/>
      <c r="N81" s="242"/>
      <c r="O81" s="242"/>
      <c r="P81" s="242"/>
      <c r="Q81" s="242"/>
      <c r="R81" s="242"/>
      <c r="S81" s="242"/>
      <c r="T81" s="242"/>
      <c r="U81" s="242"/>
    </row>
    <row r="82" spans="2:21" x14ac:dyDescent="0.4">
      <c r="B82" s="242"/>
      <c r="C82" s="242"/>
      <c r="D82" s="242"/>
      <c r="E82" s="242"/>
      <c r="F82" s="242"/>
      <c r="G82" s="242"/>
      <c r="H82" s="242"/>
      <c r="I82" s="242"/>
      <c r="J82" s="242"/>
      <c r="K82" s="242"/>
      <c r="L82" s="242"/>
      <c r="M82" s="242"/>
      <c r="N82" s="242"/>
      <c r="O82" s="242"/>
      <c r="P82" s="242"/>
      <c r="Q82" s="242"/>
      <c r="R82" s="242"/>
      <c r="S82" s="242"/>
      <c r="T82" s="242"/>
      <c r="U82" s="242"/>
    </row>
    <row r="83" spans="2:21" x14ac:dyDescent="0.4">
      <c r="B83" s="242"/>
      <c r="C83" s="242"/>
      <c r="D83" s="242"/>
      <c r="E83" s="242"/>
      <c r="F83" s="242"/>
      <c r="G83" s="242"/>
      <c r="H83" s="242"/>
      <c r="I83" s="242"/>
      <c r="J83" s="242"/>
      <c r="K83" s="242"/>
      <c r="L83" s="242"/>
      <c r="M83" s="242"/>
      <c r="N83" s="242"/>
      <c r="O83" s="242"/>
      <c r="P83" s="242"/>
      <c r="Q83" s="242"/>
      <c r="R83" s="242"/>
      <c r="S83" s="242"/>
      <c r="T83" s="242"/>
      <c r="U83" s="242"/>
    </row>
    <row r="84" spans="2:21" x14ac:dyDescent="0.4">
      <c r="B84" s="242"/>
      <c r="C84" s="242"/>
      <c r="D84" s="242"/>
      <c r="E84" s="242"/>
      <c r="F84" s="242"/>
      <c r="G84" s="242"/>
      <c r="H84" s="242"/>
      <c r="I84" s="242"/>
      <c r="J84" s="242"/>
      <c r="K84" s="242"/>
      <c r="L84" s="242"/>
      <c r="M84" s="242"/>
      <c r="N84" s="242"/>
      <c r="O84" s="242"/>
      <c r="P84" s="242"/>
      <c r="Q84" s="242"/>
      <c r="R84" s="242"/>
      <c r="S84" s="242"/>
      <c r="T84" s="242"/>
      <c r="U84" s="242"/>
    </row>
    <row r="85" spans="2:21" x14ac:dyDescent="0.4">
      <c r="B85" s="242"/>
      <c r="C85" s="242"/>
      <c r="D85" s="242"/>
      <c r="E85" s="242"/>
      <c r="F85" s="242"/>
      <c r="G85" s="242"/>
      <c r="H85" s="242"/>
      <c r="I85" s="242"/>
      <c r="J85" s="242"/>
      <c r="K85" s="242"/>
      <c r="L85" s="242"/>
      <c r="M85" s="242"/>
      <c r="N85" s="242"/>
      <c r="O85" s="242"/>
      <c r="P85" s="242"/>
      <c r="Q85" s="242"/>
      <c r="R85" s="242"/>
      <c r="S85" s="242"/>
      <c r="T85" s="242"/>
      <c r="U85" s="242"/>
    </row>
    <row r="86" spans="2:21" x14ac:dyDescent="0.4">
      <c r="B86" s="242"/>
      <c r="C86" s="242"/>
      <c r="D86" s="242"/>
      <c r="E86" s="242"/>
      <c r="F86" s="242"/>
      <c r="G86" s="242"/>
      <c r="H86" s="242"/>
      <c r="I86" s="242"/>
      <c r="J86" s="242"/>
      <c r="K86" s="242"/>
      <c r="L86" s="242"/>
      <c r="M86" s="242"/>
      <c r="N86" s="242"/>
      <c r="O86" s="242"/>
      <c r="P86" s="242"/>
      <c r="Q86" s="242"/>
      <c r="R86" s="242"/>
      <c r="S86" s="242"/>
      <c r="T86" s="242"/>
      <c r="U86" s="242"/>
    </row>
    <row r="87" spans="2:21" x14ac:dyDescent="0.4">
      <c r="B87" s="242"/>
      <c r="C87" s="242"/>
      <c r="D87" s="242"/>
      <c r="E87" s="242"/>
      <c r="F87" s="242"/>
      <c r="G87" s="242"/>
      <c r="H87" s="242"/>
      <c r="I87" s="242"/>
      <c r="J87" s="242"/>
      <c r="K87" s="242"/>
      <c r="L87" s="242"/>
      <c r="M87" s="242"/>
      <c r="N87" s="242"/>
      <c r="O87" s="242"/>
      <c r="P87" s="242"/>
      <c r="Q87" s="242"/>
      <c r="R87" s="242"/>
      <c r="S87" s="242"/>
      <c r="T87" s="242"/>
      <c r="U87" s="242"/>
    </row>
    <row r="88" spans="2:21" x14ac:dyDescent="0.4">
      <c r="B88" s="242"/>
      <c r="C88" s="242"/>
      <c r="D88" s="242"/>
      <c r="E88" s="242"/>
      <c r="F88" s="242"/>
      <c r="G88" s="242"/>
      <c r="H88" s="242"/>
      <c r="I88" s="242"/>
      <c r="J88" s="242"/>
      <c r="K88" s="242"/>
      <c r="L88" s="242"/>
      <c r="M88" s="242"/>
      <c r="N88" s="242"/>
      <c r="O88" s="242"/>
      <c r="P88" s="242"/>
      <c r="Q88" s="242"/>
      <c r="R88" s="242"/>
      <c r="S88" s="242"/>
      <c r="T88" s="242"/>
      <c r="U88" s="242"/>
    </row>
    <row r="89" spans="2:21" x14ac:dyDescent="0.4">
      <c r="B89" s="242"/>
      <c r="C89" s="242"/>
      <c r="D89" s="242"/>
      <c r="E89" s="242"/>
      <c r="F89" s="242"/>
      <c r="G89" s="242"/>
      <c r="H89" s="242"/>
      <c r="I89" s="242"/>
      <c r="J89" s="242"/>
      <c r="K89" s="242"/>
      <c r="L89" s="242"/>
      <c r="M89" s="242"/>
      <c r="N89" s="242"/>
      <c r="O89" s="242"/>
      <c r="P89" s="242"/>
      <c r="Q89" s="242"/>
      <c r="R89" s="242"/>
      <c r="S89" s="242"/>
      <c r="T89" s="242"/>
      <c r="U89" s="242"/>
    </row>
    <row r="90" spans="2:21" x14ac:dyDescent="0.4">
      <c r="B90" s="242"/>
      <c r="C90" s="242"/>
      <c r="D90" s="242"/>
      <c r="E90" s="242"/>
      <c r="F90" s="242"/>
      <c r="G90" s="242"/>
      <c r="H90" s="242"/>
      <c r="I90" s="242"/>
      <c r="J90" s="242"/>
      <c r="K90" s="242"/>
      <c r="L90" s="242"/>
      <c r="M90" s="242"/>
      <c r="N90" s="242"/>
      <c r="O90" s="242"/>
      <c r="P90" s="242"/>
      <c r="Q90" s="242"/>
      <c r="R90" s="242"/>
      <c r="S90" s="242"/>
      <c r="T90" s="242"/>
      <c r="U90" s="242"/>
    </row>
    <row r="91" spans="2:21" x14ac:dyDescent="0.4">
      <c r="B91" s="242"/>
      <c r="C91" s="242"/>
      <c r="D91" s="242"/>
      <c r="E91" s="242"/>
      <c r="F91" s="242"/>
      <c r="G91" s="242"/>
      <c r="H91" s="242"/>
      <c r="I91" s="242"/>
      <c r="J91" s="242"/>
      <c r="K91" s="242"/>
      <c r="L91" s="242"/>
      <c r="M91" s="242"/>
      <c r="N91" s="242"/>
      <c r="O91" s="242"/>
      <c r="P91" s="242"/>
      <c r="Q91" s="242"/>
      <c r="R91" s="242"/>
      <c r="S91" s="242"/>
      <c r="T91" s="242"/>
      <c r="U91" s="242"/>
    </row>
    <row r="92" spans="2:21" x14ac:dyDescent="0.4">
      <c r="B92" s="242"/>
      <c r="C92" s="242"/>
      <c r="D92" s="242"/>
      <c r="E92" s="242"/>
      <c r="F92" s="242"/>
      <c r="G92" s="242"/>
      <c r="H92" s="242"/>
      <c r="I92" s="242"/>
      <c r="J92" s="242"/>
      <c r="K92" s="242"/>
      <c r="L92" s="242"/>
      <c r="M92" s="242"/>
      <c r="N92" s="242"/>
      <c r="O92" s="242"/>
      <c r="P92" s="242"/>
      <c r="Q92" s="242"/>
      <c r="R92" s="242"/>
      <c r="S92" s="242"/>
      <c r="T92" s="242"/>
      <c r="U92" s="242"/>
    </row>
    <row r="93" spans="2:21" x14ac:dyDescent="0.4">
      <c r="B93" s="242"/>
      <c r="C93" s="242"/>
      <c r="D93" s="242"/>
      <c r="E93" s="242"/>
      <c r="F93" s="242"/>
      <c r="G93" s="242"/>
      <c r="H93" s="242"/>
      <c r="I93" s="242"/>
      <c r="J93" s="242"/>
      <c r="K93" s="242"/>
      <c r="L93" s="242"/>
      <c r="M93" s="242"/>
      <c r="N93" s="242"/>
      <c r="O93" s="242"/>
      <c r="P93" s="242"/>
      <c r="Q93" s="242"/>
      <c r="R93" s="242"/>
      <c r="S93" s="242"/>
      <c r="T93" s="242"/>
      <c r="U93" s="242"/>
    </row>
    <row r="94" spans="2:21" x14ac:dyDescent="0.4">
      <c r="B94" s="242"/>
      <c r="C94" s="242"/>
      <c r="D94" s="242"/>
      <c r="E94" s="242"/>
      <c r="F94" s="242"/>
      <c r="G94" s="242"/>
      <c r="H94" s="242"/>
      <c r="I94" s="242"/>
      <c r="J94" s="242"/>
      <c r="K94" s="242"/>
      <c r="L94" s="242"/>
      <c r="M94" s="242"/>
      <c r="N94" s="242"/>
      <c r="O94" s="242"/>
      <c r="P94" s="242"/>
      <c r="Q94" s="242"/>
      <c r="R94" s="242"/>
      <c r="S94" s="242"/>
      <c r="T94" s="242"/>
      <c r="U94" s="242"/>
    </row>
    <row r="95" spans="2:21" x14ac:dyDescent="0.4">
      <c r="B95" s="242"/>
      <c r="C95" s="242"/>
      <c r="D95" s="242"/>
      <c r="E95" s="242"/>
      <c r="F95" s="242"/>
      <c r="G95" s="242"/>
      <c r="H95" s="242"/>
      <c r="I95" s="242"/>
      <c r="J95" s="242"/>
      <c r="K95" s="242"/>
      <c r="L95" s="242"/>
      <c r="M95" s="242"/>
      <c r="N95" s="242"/>
      <c r="O95" s="242"/>
      <c r="P95" s="242"/>
      <c r="Q95" s="242"/>
      <c r="R95" s="242"/>
      <c r="S95" s="242"/>
      <c r="T95" s="242"/>
      <c r="U95" s="242"/>
    </row>
    <row r="96" spans="2:21" x14ac:dyDescent="0.4">
      <c r="B96" s="242"/>
      <c r="C96" s="242"/>
      <c r="D96" s="242"/>
      <c r="E96" s="242"/>
      <c r="F96" s="242"/>
      <c r="G96" s="242"/>
      <c r="H96" s="242"/>
      <c r="I96" s="242"/>
      <c r="J96" s="242"/>
      <c r="K96" s="242"/>
      <c r="L96" s="242"/>
      <c r="M96" s="242"/>
      <c r="N96" s="242"/>
      <c r="O96" s="242"/>
      <c r="P96" s="242"/>
      <c r="Q96" s="242"/>
      <c r="R96" s="242"/>
      <c r="S96" s="242"/>
      <c r="T96" s="242"/>
      <c r="U96" s="242"/>
    </row>
    <row r="97" spans="2:21" x14ac:dyDescent="0.4">
      <c r="B97" s="242"/>
      <c r="C97" s="242"/>
      <c r="D97" s="242"/>
      <c r="E97" s="242"/>
      <c r="F97" s="242"/>
      <c r="G97" s="242"/>
      <c r="H97" s="242"/>
      <c r="I97" s="242"/>
      <c r="J97" s="242"/>
      <c r="K97" s="242"/>
      <c r="L97" s="242"/>
      <c r="M97" s="242"/>
      <c r="N97" s="242"/>
      <c r="O97" s="242"/>
      <c r="P97" s="242"/>
      <c r="Q97" s="242"/>
      <c r="R97" s="242"/>
      <c r="S97" s="242"/>
      <c r="T97" s="242"/>
      <c r="U97" s="242"/>
    </row>
    <row r="98" spans="2:21" x14ac:dyDescent="0.4">
      <c r="B98" s="242"/>
      <c r="C98" s="242"/>
      <c r="D98" s="242"/>
      <c r="E98" s="242"/>
      <c r="F98" s="242"/>
      <c r="G98" s="242"/>
      <c r="H98" s="242"/>
      <c r="I98" s="242"/>
      <c r="J98" s="242"/>
      <c r="K98" s="242"/>
      <c r="L98" s="242"/>
      <c r="M98" s="242"/>
      <c r="N98" s="242"/>
      <c r="O98" s="242"/>
      <c r="P98" s="242"/>
      <c r="Q98" s="242"/>
      <c r="R98" s="242"/>
      <c r="S98" s="242"/>
      <c r="T98" s="242"/>
      <c r="U98" s="242"/>
    </row>
    <row r="99" spans="2:21" x14ac:dyDescent="0.4">
      <c r="B99" s="242"/>
      <c r="C99" s="242"/>
      <c r="D99" s="242"/>
      <c r="E99" s="242"/>
      <c r="F99" s="242"/>
      <c r="G99" s="242"/>
      <c r="H99" s="242"/>
      <c r="I99" s="242"/>
      <c r="J99" s="242"/>
      <c r="K99" s="242"/>
      <c r="L99" s="242"/>
      <c r="M99" s="242"/>
      <c r="N99" s="242"/>
      <c r="O99" s="242"/>
      <c r="P99" s="242"/>
      <c r="Q99" s="242"/>
      <c r="R99" s="242"/>
      <c r="S99" s="242"/>
      <c r="T99" s="242"/>
      <c r="U99" s="242"/>
    </row>
    <row r="100" spans="2:21" x14ac:dyDescent="0.4">
      <c r="B100" s="242"/>
      <c r="C100" s="242"/>
      <c r="D100" s="242"/>
      <c r="E100" s="242"/>
      <c r="F100" s="242"/>
      <c r="G100" s="242"/>
      <c r="H100" s="242"/>
      <c r="I100" s="242"/>
      <c r="J100" s="242"/>
      <c r="K100" s="242"/>
      <c r="L100" s="242"/>
      <c r="M100" s="242"/>
      <c r="N100" s="242"/>
      <c r="O100" s="242"/>
      <c r="P100" s="242"/>
      <c r="Q100" s="242"/>
      <c r="R100" s="242"/>
      <c r="S100" s="242"/>
      <c r="T100" s="242"/>
      <c r="U100" s="242"/>
    </row>
    <row r="101" spans="2:21" x14ac:dyDescent="0.4">
      <c r="B101" s="242"/>
      <c r="C101" s="242"/>
      <c r="D101" s="242"/>
      <c r="E101" s="242"/>
      <c r="F101" s="242"/>
      <c r="G101" s="242"/>
      <c r="H101" s="242"/>
      <c r="I101" s="242"/>
      <c r="J101" s="242"/>
      <c r="K101" s="242"/>
      <c r="L101" s="242"/>
      <c r="M101" s="242"/>
      <c r="N101" s="242"/>
      <c r="O101" s="242"/>
      <c r="P101" s="242"/>
      <c r="Q101" s="242"/>
      <c r="R101" s="242"/>
      <c r="S101" s="242"/>
      <c r="T101" s="242"/>
      <c r="U101" s="242"/>
    </row>
    <row r="102" spans="2:21" x14ac:dyDescent="0.4">
      <c r="B102" s="242"/>
      <c r="C102" s="242"/>
      <c r="D102" s="242"/>
      <c r="E102" s="242"/>
      <c r="F102" s="242"/>
      <c r="G102" s="242"/>
      <c r="H102" s="242"/>
      <c r="I102" s="242"/>
      <c r="J102" s="242"/>
      <c r="K102" s="242"/>
      <c r="L102" s="242"/>
      <c r="M102" s="242"/>
      <c r="N102" s="242"/>
      <c r="O102" s="242"/>
      <c r="P102" s="242"/>
      <c r="Q102" s="242"/>
      <c r="R102" s="242"/>
      <c r="S102" s="242"/>
      <c r="T102" s="242"/>
      <c r="U102" s="242"/>
    </row>
    <row r="103" spans="2:21" x14ac:dyDescent="0.4">
      <c r="B103" s="242"/>
      <c r="C103" s="242"/>
      <c r="D103" s="242"/>
      <c r="E103" s="242"/>
      <c r="F103" s="242"/>
      <c r="G103" s="242"/>
      <c r="H103" s="242"/>
      <c r="I103" s="242"/>
      <c r="J103" s="242"/>
      <c r="K103" s="242"/>
      <c r="L103" s="242"/>
      <c r="M103" s="242"/>
      <c r="N103" s="242"/>
      <c r="O103" s="242"/>
      <c r="P103" s="242"/>
      <c r="Q103" s="242"/>
      <c r="R103" s="242"/>
      <c r="S103" s="242"/>
      <c r="T103" s="242"/>
      <c r="U103" s="242"/>
    </row>
    <row r="104" spans="2:21" x14ac:dyDescent="0.4">
      <c r="B104" s="242"/>
      <c r="C104" s="242"/>
      <c r="D104" s="242"/>
      <c r="E104" s="242"/>
      <c r="F104" s="242"/>
      <c r="G104" s="242"/>
      <c r="H104" s="242"/>
      <c r="I104" s="242"/>
      <c r="J104" s="242"/>
      <c r="K104" s="242"/>
      <c r="L104" s="242"/>
      <c r="M104" s="242"/>
      <c r="N104" s="242"/>
      <c r="O104" s="242"/>
      <c r="P104" s="242"/>
      <c r="Q104" s="242"/>
      <c r="R104" s="242"/>
      <c r="S104" s="242"/>
      <c r="T104" s="242"/>
      <c r="U104" s="242"/>
    </row>
    <row r="105" spans="2:21" x14ac:dyDescent="0.4">
      <c r="B105" s="242"/>
      <c r="C105" s="242"/>
      <c r="D105" s="242"/>
      <c r="E105" s="242"/>
      <c r="F105" s="242"/>
      <c r="G105" s="242"/>
      <c r="H105" s="242"/>
      <c r="I105" s="242"/>
      <c r="J105" s="242"/>
      <c r="K105" s="242"/>
      <c r="L105" s="242"/>
      <c r="M105" s="242"/>
      <c r="N105" s="242"/>
      <c r="O105" s="242"/>
      <c r="P105" s="242"/>
      <c r="Q105" s="242"/>
      <c r="R105" s="242"/>
      <c r="S105" s="242"/>
      <c r="T105" s="242"/>
      <c r="U105" s="242"/>
    </row>
    <row r="106" spans="2:21" x14ac:dyDescent="0.4">
      <c r="B106" s="242"/>
      <c r="C106" s="242"/>
      <c r="D106" s="242"/>
      <c r="E106" s="242"/>
      <c r="F106" s="242"/>
      <c r="G106" s="242"/>
      <c r="H106" s="242"/>
      <c r="I106" s="242"/>
      <c r="J106" s="242"/>
      <c r="K106" s="242"/>
      <c r="L106" s="242"/>
      <c r="M106" s="242"/>
      <c r="N106" s="242"/>
      <c r="O106" s="242"/>
      <c r="P106" s="242"/>
      <c r="Q106" s="242"/>
      <c r="R106" s="242"/>
      <c r="S106" s="242"/>
      <c r="T106" s="242"/>
      <c r="U106" s="242"/>
    </row>
    <row r="107" spans="2:21" x14ac:dyDescent="0.4">
      <c r="B107" s="242"/>
      <c r="C107" s="242"/>
      <c r="D107" s="242"/>
      <c r="E107" s="242"/>
      <c r="F107" s="242"/>
      <c r="G107" s="242"/>
      <c r="H107" s="242"/>
      <c r="I107" s="242"/>
      <c r="J107" s="242"/>
      <c r="K107" s="242"/>
      <c r="L107" s="242"/>
      <c r="M107" s="242"/>
      <c r="N107" s="242"/>
      <c r="O107" s="242"/>
      <c r="P107" s="242"/>
      <c r="Q107" s="242"/>
      <c r="R107" s="242"/>
      <c r="S107" s="242"/>
      <c r="T107" s="242"/>
      <c r="U107" s="242"/>
    </row>
    <row r="108" spans="2:21" x14ac:dyDescent="0.4">
      <c r="B108" s="242"/>
      <c r="C108" s="242"/>
      <c r="D108" s="242"/>
      <c r="E108" s="242"/>
      <c r="F108" s="242"/>
      <c r="G108" s="242"/>
      <c r="H108" s="242"/>
      <c r="I108" s="242"/>
      <c r="J108" s="242"/>
      <c r="K108" s="242"/>
      <c r="L108" s="242"/>
      <c r="M108" s="242"/>
      <c r="N108" s="242"/>
      <c r="O108" s="242"/>
      <c r="P108" s="242"/>
      <c r="Q108" s="242"/>
      <c r="R108" s="242"/>
      <c r="S108" s="242"/>
      <c r="T108" s="242"/>
      <c r="U108" s="242"/>
    </row>
    <row r="109" spans="2:21" x14ac:dyDescent="0.4">
      <c r="B109" s="242"/>
      <c r="C109" s="242"/>
      <c r="D109" s="242"/>
      <c r="E109" s="242"/>
      <c r="F109" s="242"/>
      <c r="G109" s="242"/>
      <c r="H109" s="242"/>
      <c r="I109" s="242"/>
      <c r="J109" s="242"/>
      <c r="K109" s="242"/>
      <c r="L109" s="242"/>
      <c r="M109" s="242"/>
      <c r="N109" s="242"/>
      <c r="O109" s="242"/>
      <c r="P109" s="242"/>
      <c r="Q109" s="242"/>
      <c r="R109" s="242"/>
      <c r="S109" s="242"/>
      <c r="T109" s="242"/>
      <c r="U109" s="242"/>
    </row>
    <row r="110" spans="2:21" x14ac:dyDescent="0.4">
      <c r="B110" s="242"/>
      <c r="C110" s="242"/>
      <c r="D110" s="242"/>
      <c r="E110" s="242"/>
      <c r="F110" s="242"/>
      <c r="G110" s="242"/>
      <c r="H110" s="242"/>
      <c r="I110" s="242"/>
      <c r="J110" s="242"/>
      <c r="K110" s="242"/>
      <c r="L110" s="242"/>
      <c r="M110" s="242"/>
      <c r="N110" s="242"/>
      <c r="O110" s="242"/>
      <c r="P110" s="242"/>
      <c r="Q110" s="242"/>
      <c r="R110" s="242"/>
      <c r="S110" s="242"/>
      <c r="T110" s="242"/>
      <c r="U110" s="242"/>
    </row>
    <row r="111" spans="2:21" x14ac:dyDescent="0.4">
      <c r="B111" s="242"/>
      <c r="C111" s="242"/>
      <c r="D111" s="242"/>
      <c r="E111" s="242"/>
      <c r="F111" s="242"/>
      <c r="G111" s="242"/>
      <c r="H111" s="242"/>
      <c r="I111" s="242"/>
      <c r="J111" s="242"/>
      <c r="K111" s="242"/>
      <c r="L111" s="242"/>
      <c r="M111" s="242"/>
      <c r="N111" s="242"/>
      <c r="O111" s="242"/>
      <c r="P111" s="242"/>
      <c r="Q111" s="242"/>
      <c r="R111" s="242"/>
      <c r="S111" s="242"/>
      <c r="T111" s="242"/>
      <c r="U111" s="242"/>
    </row>
    <row r="112" spans="2:21" x14ac:dyDescent="0.4">
      <c r="B112" s="242"/>
      <c r="C112" s="242"/>
      <c r="D112" s="242"/>
      <c r="E112" s="242"/>
      <c r="F112" s="242"/>
      <c r="G112" s="242"/>
      <c r="H112" s="242"/>
      <c r="I112" s="242"/>
      <c r="J112" s="242"/>
      <c r="K112" s="242"/>
      <c r="L112" s="242"/>
      <c r="M112" s="242"/>
      <c r="N112" s="242"/>
      <c r="O112" s="242"/>
      <c r="P112" s="242"/>
      <c r="Q112" s="242"/>
      <c r="R112" s="242"/>
      <c r="S112" s="242"/>
      <c r="T112" s="242"/>
      <c r="U112" s="242"/>
    </row>
    <row r="113" spans="2:21" x14ac:dyDescent="0.4">
      <c r="B113" s="242"/>
      <c r="C113" s="242"/>
      <c r="D113" s="242"/>
      <c r="E113" s="242"/>
      <c r="F113" s="242"/>
      <c r="G113" s="242"/>
      <c r="H113" s="242"/>
      <c r="I113" s="242"/>
      <c r="J113" s="242"/>
      <c r="K113" s="242"/>
      <c r="L113" s="242"/>
      <c r="M113" s="242"/>
      <c r="N113" s="242"/>
      <c r="O113" s="242"/>
      <c r="P113" s="242"/>
      <c r="Q113" s="242"/>
      <c r="R113" s="242"/>
      <c r="S113" s="242"/>
      <c r="T113" s="242"/>
      <c r="U113" s="242"/>
    </row>
    <row r="114" spans="2:21" x14ac:dyDescent="0.4">
      <c r="B114" s="242"/>
      <c r="C114" s="242"/>
      <c r="D114" s="242"/>
      <c r="E114" s="242"/>
      <c r="F114" s="242"/>
      <c r="G114" s="242"/>
      <c r="H114" s="242"/>
      <c r="I114" s="242"/>
      <c r="J114" s="242"/>
      <c r="K114" s="242"/>
      <c r="L114" s="242"/>
      <c r="M114" s="242"/>
      <c r="N114" s="242"/>
      <c r="O114" s="242"/>
      <c r="P114" s="242"/>
      <c r="Q114" s="242"/>
      <c r="R114" s="242"/>
      <c r="S114" s="242"/>
      <c r="T114" s="242"/>
      <c r="U114" s="242"/>
    </row>
    <row r="115" spans="2:21" x14ac:dyDescent="0.4">
      <c r="B115" s="242"/>
      <c r="C115" s="242"/>
      <c r="D115" s="242"/>
      <c r="E115" s="242"/>
      <c r="F115" s="242"/>
      <c r="G115" s="242"/>
      <c r="H115" s="242"/>
      <c r="I115" s="242"/>
      <c r="J115" s="242"/>
      <c r="K115" s="242"/>
      <c r="L115" s="242"/>
      <c r="M115" s="242"/>
      <c r="N115" s="242"/>
      <c r="O115" s="242"/>
      <c r="P115" s="242"/>
      <c r="Q115" s="242"/>
      <c r="R115" s="242"/>
      <c r="S115" s="242"/>
      <c r="T115" s="242"/>
      <c r="U115" s="242"/>
    </row>
    <row r="116" spans="2:21" x14ac:dyDescent="0.4">
      <c r="B116" s="242"/>
      <c r="C116" s="242"/>
      <c r="D116" s="242"/>
      <c r="E116" s="242"/>
      <c r="F116" s="242"/>
      <c r="G116" s="242"/>
      <c r="H116" s="242"/>
      <c r="I116" s="242"/>
      <c r="J116" s="242"/>
      <c r="K116" s="242"/>
      <c r="L116" s="242"/>
      <c r="M116" s="242"/>
      <c r="N116" s="242"/>
      <c r="O116" s="242"/>
      <c r="P116" s="242"/>
      <c r="Q116" s="242"/>
      <c r="R116" s="242"/>
      <c r="S116" s="242"/>
      <c r="T116" s="242"/>
      <c r="U116" s="242"/>
    </row>
    <row r="117" spans="2:21" x14ac:dyDescent="0.4">
      <c r="B117" s="242"/>
      <c r="C117" s="242"/>
      <c r="D117" s="242"/>
      <c r="E117" s="242"/>
      <c r="F117" s="242"/>
      <c r="G117" s="242"/>
      <c r="H117" s="242"/>
      <c r="I117" s="242"/>
      <c r="J117" s="242"/>
      <c r="K117" s="242"/>
      <c r="L117" s="242"/>
      <c r="M117" s="242"/>
      <c r="N117" s="242"/>
      <c r="O117" s="242"/>
      <c r="P117" s="242"/>
      <c r="Q117" s="242"/>
      <c r="R117" s="242"/>
      <c r="S117" s="242"/>
      <c r="T117" s="242"/>
      <c r="U117" s="242"/>
    </row>
    <row r="118" spans="2:21" x14ac:dyDescent="0.4">
      <c r="B118" s="242"/>
      <c r="C118" s="242"/>
      <c r="D118" s="242"/>
      <c r="E118" s="242"/>
      <c r="F118" s="242"/>
      <c r="G118" s="242"/>
      <c r="H118" s="242"/>
      <c r="I118" s="242"/>
      <c r="J118" s="242"/>
      <c r="K118" s="242"/>
      <c r="L118" s="242"/>
      <c r="M118" s="242"/>
      <c r="N118" s="242"/>
      <c r="O118" s="242"/>
      <c r="P118" s="242"/>
      <c r="Q118" s="242"/>
      <c r="R118" s="242"/>
      <c r="S118" s="242"/>
      <c r="T118" s="242"/>
      <c r="U118" s="242"/>
    </row>
    <row r="119" spans="2:21" x14ac:dyDescent="0.4">
      <c r="B119" s="242"/>
      <c r="C119" s="242"/>
      <c r="D119" s="242"/>
      <c r="E119" s="242"/>
      <c r="F119" s="242"/>
      <c r="G119" s="242"/>
      <c r="H119" s="242"/>
      <c r="I119" s="242"/>
      <c r="J119" s="242"/>
      <c r="K119" s="242"/>
      <c r="L119" s="242"/>
      <c r="M119" s="242"/>
      <c r="N119" s="242"/>
      <c r="O119" s="242"/>
      <c r="P119" s="242"/>
      <c r="Q119" s="242"/>
      <c r="R119" s="242"/>
      <c r="S119" s="242"/>
      <c r="T119" s="242"/>
      <c r="U119" s="242"/>
    </row>
    <row r="120" spans="2:21" x14ac:dyDescent="0.4">
      <c r="B120" s="242"/>
      <c r="C120" s="242"/>
      <c r="D120" s="242"/>
      <c r="E120" s="242"/>
      <c r="F120" s="242"/>
      <c r="G120" s="242"/>
      <c r="H120" s="242"/>
      <c r="I120" s="242"/>
      <c r="J120" s="242"/>
      <c r="K120" s="242"/>
      <c r="L120" s="242"/>
      <c r="M120" s="242"/>
      <c r="N120" s="242"/>
      <c r="O120" s="242"/>
      <c r="P120" s="242"/>
      <c r="Q120" s="242"/>
      <c r="R120" s="242"/>
      <c r="S120" s="242"/>
      <c r="T120" s="242"/>
      <c r="U120" s="242"/>
    </row>
    <row r="121" spans="2:21" x14ac:dyDescent="0.4">
      <c r="B121" s="242"/>
      <c r="C121" s="242"/>
      <c r="D121" s="242"/>
      <c r="E121" s="242"/>
      <c r="F121" s="242"/>
      <c r="G121" s="242"/>
      <c r="H121" s="242"/>
      <c r="I121" s="242"/>
      <c r="J121" s="242"/>
      <c r="K121" s="242"/>
      <c r="L121" s="242"/>
      <c r="M121" s="242"/>
      <c r="N121" s="242"/>
      <c r="O121" s="242"/>
      <c r="P121" s="242"/>
      <c r="Q121" s="242"/>
      <c r="R121" s="242"/>
      <c r="S121" s="242"/>
      <c r="T121" s="242"/>
      <c r="U121" s="242"/>
    </row>
    <row r="122" spans="2:21" x14ac:dyDescent="0.4">
      <c r="B122" s="242"/>
      <c r="C122" s="242"/>
      <c r="D122" s="242"/>
      <c r="E122" s="242"/>
      <c r="F122" s="242"/>
      <c r="G122" s="242"/>
      <c r="H122" s="242"/>
      <c r="I122" s="242"/>
      <c r="J122" s="242"/>
      <c r="K122" s="242"/>
      <c r="L122" s="242"/>
      <c r="M122" s="242"/>
      <c r="N122" s="242"/>
      <c r="O122" s="242"/>
      <c r="P122" s="242"/>
      <c r="Q122" s="242"/>
      <c r="R122" s="242"/>
      <c r="S122" s="242"/>
      <c r="T122" s="242"/>
      <c r="U122" s="242"/>
    </row>
    <row r="123" spans="2:21" x14ac:dyDescent="0.4">
      <c r="B123" s="242"/>
      <c r="C123" s="242"/>
      <c r="D123" s="242"/>
      <c r="E123" s="242"/>
      <c r="F123" s="242"/>
      <c r="G123" s="242"/>
      <c r="H123" s="242"/>
      <c r="I123" s="242"/>
      <c r="J123" s="242"/>
      <c r="K123" s="242"/>
      <c r="L123" s="242"/>
      <c r="M123" s="242"/>
      <c r="N123" s="242"/>
      <c r="O123" s="242"/>
      <c r="P123" s="242"/>
      <c r="Q123" s="242"/>
      <c r="R123" s="242"/>
      <c r="S123" s="242"/>
      <c r="T123" s="242"/>
      <c r="U123" s="242"/>
    </row>
    <row r="124" spans="2:21" x14ac:dyDescent="0.4">
      <c r="B124" s="242"/>
      <c r="C124" s="242"/>
      <c r="D124" s="242"/>
      <c r="E124" s="242"/>
      <c r="F124" s="242"/>
      <c r="G124" s="242"/>
      <c r="H124" s="242"/>
      <c r="I124" s="242"/>
      <c r="J124" s="242"/>
      <c r="K124" s="242"/>
      <c r="L124" s="242"/>
      <c r="M124" s="242"/>
      <c r="N124" s="242"/>
      <c r="O124" s="242"/>
      <c r="P124" s="242"/>
      <c r="Q124" s="242"/>
      <c r="R124" s="242"/>
      <c r="S124" s="242"/>
      <c r="T124" s="242"/>
      <c r="U124" s="242"/>
    </row>
    <row r="125" spans="2:21" x14ac:dyDescent="0.4">
      <c r="B125" s="242"/>
      <c r="C125" s="242"/>
      <c r="D125" s="242"/>
      <c r="E125" s="242"/>
      <c r="F125" s="242"/>
      <c r="G125" s="242"/>
      <c r="H125" s="242"/>
      <c r="I125" s="242"/>
      <c r="J125" s="242"/>
      <c r="K125" s="242"/>
      <c r="L125" s="242"/>
      <c r="M125" s="242"/>
      <c r="N125" s="242"/>
      <c r="O125" s="242"/>
      <c r="P125" s="242"/>
      <c r="Q125" s="242"/>
      <c r="R125" s="242"/>
      <c r="S125" s="242"/>
      <c r="T125" s="242"/>
      <c r="U125" s="242"/>
    </row>
    <row r="126" spans="2:21" x14ac:dyDescent="0.4">
      <c r="B126" s="242"/>
      <c r="C126" s="242"/>
      <c r="D126" s="242"/>
      <c r="E126" s="242"/>
      <c r="F126" s="242"/>
      <c r="G126" s="242"/>
      <c r="H126" s="242"/>
      <c r="I126" s="242"/>
      <c r="J126" s="242"/>
      <c r="K126" s="242"/>
      <c r="L126" s="242"/>
      <c r="M126" s="242"/>
      <c r="N126" s="242"/>
      <c r="O126" s="242"/>
      <c r="P126" s="242"/>
      <c r="Q126" s="242"/>
      <c r="R126" s="242"/>
      <c r="S126" s="242"/>
      <c r="T126" s="242"/>
      <c r="U126" s="242"/>
    </row>
    <row r="127" spans="2:21" x14ac:dyDescent="0.4">
      <c r="B127" s="242"/>
      <c r="C127" s="242"/>
      <c r="D127" s="242"/>
      <c r="E127" s="242"/>
      <c r="F127" s="242"/>
      <c r="G127" s="242"/>
      <c r="H127" s="242"/>
      <c r="I127" s="242"/>
      <c r="J127" s="242"/>
      <c r="K127" s="242"/>
      <c r="L127" s="242"/>
      <c r="M127" s="242"/>
      <c r="N127" s="242"/>
      <c r="O127" s="242"/>
      <c r="P127" s="242"/>
      <c r="Q127" s="242"/>
      <c r="R127" s="242"/>
      <c r="S127" s="242"/>
      <c r="T127" s="242"/>
      <c r="U127" s="242"/>
    </row>
    <row r="128" spans="2:21" x14ac:dyDescent="0.4">
      <c r="B128" s="242"/>
      <c r="C128" s="242"/>
      <c r="D128" s="242"/>
      <c r="E128" s="242"/>
      <c r="F128" s="242"/>
      <c r="G128" s="242"/>
      <c r="H128" s="242"/>
      <c r="I128" s="242"/>
      <c r="J128" s="242"/>
      <c r="K128" s="242"/>
      <c r="L128" s="242"/>
      <c r="M128" s="242"/>
      <c r="N128" s="242"/>
      <c r="O128" s="242"/>
      <c r="P128" s="242"/>
      <c r="Q128" s="242"/>
      <c r="R128" s="242"/>
      <c r="S128" s="242"/>
      <c r="T128" s="242"/>
      <c r="U128" s="242"/>
    </row>
    <row r="129" spans="2:21" x14ac:dyDescent="0.4">
      <c r="B129" s="242"/>
      <c r="C129" s="242"/>
      <c r="D129" s="242"/>
      <c r="E129" s="242"/>
      <c r="F129" s="242"/>
      <c r="G129" s="242"/>
      <c r="H129" s="242"/>
      <c r="I129" s="242"/>
      <c r="J129" s="242"/>
      <c r="K129" s="242"/>
      <c r="L129" s="242"/>
      <c r="M129" s="242"/>
      <c r="N129" s="242"/>
      <c r="O129" s="242"/>
      <c r="P129" s="242"/>
      <c r="Q129" s="242"/>
      <c r="R129" s="242"/>
      <c r="S129" s="242"/>
      <c r="T129" s="242"/>
      <c r="U129" s="242"/>
    </row>
    <row r="130" spans="2:21" x14ac:dyDescent="0.4">
      <c r="B130" s="242"/>
      <c r="C130" s="242"/>
      <c r="D130" s="242"/>
      <c r="E130" s="242"/>
      <c r="F130" s="242"/>
      <c r="G130" s="242"/>
      <c r="H130" s="242"/>
      <c r="I130" s="242"/>
      <c r="J130" s="242"/>
      <c r="K130" s="242"/>
      <c r="L130" s="242"/>
      <c r="M130" s="242"/>
      <c r="N130" s="242"/>
      <c r="O130" s="242"/>
      <c r="P130" s="242"/>
      <c r="Q130" s="242"/>
      <c r="R130" s="242"/>
      <c r="S130" s="242"/>
      <c r="T130" s="242"/>
      <c r="U130" s="242"/>
    </row>
    <row r="131" spans="2:21" x14ac:dyDescent="0.4">
      <c r="B131" s="242"/>
      <c r="C131" s="242"/>
      <c r="D131" s="242"/>
      <c r="E131" s="242"/>
      <c r="F131" s="242"/>
      <c r="G131" s="242"/>
      <c r="H131" s="242"/>
      <c r="I131" s="242"/>
      <c r="J131" s="242"/>
      <c r="K131" s="242"/>
      <c r="L131" s="242"/>
      <c r="M131" s="242"/>
      <c r="N131" s="242"/>
      <c r="O131" s="242"/>
      <c r="P131" s="242"/>
      <c r="Q131" s="242"/>
      <c r="R131" s="242"/>
      <c r="S131" s="242"/>
      <c r="T131" s="242"/>
      <c r="U131" s="242"/>
    </row>
    <row r="132" spans="2:21" x14ac:dyDescent="0.4">
      <c r="B132" s="242"/>
      <c r="C132" s="242"/>
      <c r="D132" s="242"/>
      <c r="E132" s="242"/>
      <c r="F132" s="242"/>
      <c r="G132" s="242"/>
      <c r="H132" s="242"/>
      <c r="I132" s="242"/>
      <c r="J132" s="242"/>
      <c r="K132" s="242"/>
      <c r="L132" s="242"/>
      <c r="M132" s="242"/>
      <c r="N132" s="242"/>
      <c r="O132" s="242"/>
      <c r="P132" s="242"/>
      <c r="Q132" s="242"/>
      <c r="R132" s="242"/>
      <c r="S132" s="242"/>
      <c r="T132" s="242"/>
      <c r="U132" s="242"/>
    </row>
    <row r="133" spans="2:21" x14ac:dyDescent="0.4">
      <c r="B133" s="242"/>
      <c r="C133" s="242"/>
      <c r="D133" s="242"/>
      <c r="E133" s="242"/>
      <c r="F133" s="242"/>
      <c r="G133" s="242"/>
      <c r="H133" s="242"/>
      <c r="I133" s="242"/>
      <c r="J133" s="242"/>
      <c r="K133" s="242"/>
      <c r="L133" s="242"/>
      <c r="M133" s="242"/>
      <c r="N133" s="242"/>
      <c r="O133" s="242"/>
      <c r="P133" s="242"/>
      <c r="Q133" s="242"/>
      <c r="R133" s="242"/>
      <c r="S133" s="242"/>
      <c r="T133" s="242"/>
      <c r="U133" s="242"/>
    </row>
    <row r="134" spans="2:21" x14ac:dyDescent="0.4">
      <c r="B134" s="242"/>
      <c r="C134" s="242"/>
      <c r="D134" s="242"/>
      <c r="E134" s="242"/>
      <c r="F134" s="242"/>
      <c r="G134" s="242"/>
      <c r="H134" s="242"/>
      <c r="I134" s="242"/>
      <c r="J134" s="242"/>
      <c r="K134" s="242"/>
      <c r="L134" s="242"/>
      <c r="M134" s="242"/>
      <c r="N134" s="242"/>
      <c r="O134" s="242"/>
      <c r="P134" s="242"/>
      <c r="Q134" s="242"/>
      <c r="R134" s="242"/>
      <c r="S134" s="242"/>
      <c r="T134" s="242"/>
      <c r="U134" s="242"/>
    </row>
    <row r="135" spans="2:21" x14ac:dyDescent="0.4">
      <c r="B135" s="242"/>
      <c r="C135" s="242"/>
      <c r="D135" s="242"/>
      <c r="E135" s="242"/>
      <c r="F135" s="242"/>
      <c r="G135" s="242"/>
      <c r="H135" s="242"/>
      <c r="I135" s="242"/>
      <c r="J135" s="242"/>
      <c r="K135" s="242"/>
      <c r="L135" s="242"/>
      <c r="M135" s="242"/>
      <c r="N135" s="242"/>
      <c r="O135" s="242"/>
      <c r="P135" s="242"/>
      <c r="Q135" s="242"/>
      <c r="R135" s="242"/>
      <c r="S135" s="242"/>
      <c r="T135" s="242"/>
      <c r="U135" s="242"/>
    </row>
    <row r="136" spans="2:21" x14ac:dyDescent="0.4">
      <c r="B136" s="242"/>
      <c r="C136" s="242"/>
      <c r="D136" s="242"/>
      <c r="E136" s="242"/>
      <c r="F136" s="242"/>
      <c r="G136" s="242"/>
      <c r="H136" s="242"/>
      <c r="I136" s="242"/>
      <c r="J136" s="242"/>
      <c r="K136" s="242"/>
      <c r="L136" s="242"/>
      <c r="M136" s="242"/>
      <c r="N136" s="242"/>
      <c r="O136" s="242"/>
      <c r="P136" s="242"/>
      <c r="Q136" s="242"/>
      <c r="R136" s="242"/>
      <c r="S136" s="242"/>
      <c r="T136" s="242"/>
      <c r="U136" s="242"/>
    </row>
    <row r="137" spans="2:21" x14ac:dyDescent="0.4">
      <c r="B137" s="242"/>
      <c r="C137" s="242"/>
      <c r="D137" s="242"/>
      <c r="E137" s="242"/>
      <c r="F137" s="242"/>
      <c r="G137" s="242"/>
      <c r="H137" s="242"/>
      <c r="I137" s="242"/>
      <c r="J137" s="242"/>
      <c r="K137" s="242"/>
      <c r="L137" s="242"/>
      <c r="M137" s="242"/>
      <c r="N137" s="242"/>
      <c r="O137" s="242"/>
      <c r="P137" s="242"/>
      <c r="Q137" s="242"/>
      <c r="R137" s="242"/>
      <c r="S137" s="242"/>
      <c r="T137" s="242"/>
      <c r="U137" s="242"/>
    </row>
    <row r="138" spans="2:21" x14ac:dyDescent="0.4">
      <c r="B138" s="242"/>
      <c r="C138" s="242"/>
      <c r="D138" s="242"/>
      <c r="E138" s="242"/>
      <c r="F138" s="242"/>
      <c r="G138" s="242"/>
      <c r="H138" s="242"/>
      <c r="I138" s="242"/>
      <c r="J138" s="242"/>
      <c r="K138" s="242"/>
      <c r="L138" s="242"/>
      <c r="M138" s="242"/>
      <c r="N138" s="242"/>
      <c r="O138" s="242"/>
      <c r="P138" s="242"/>
      <c r="Q138" s="242"/>
      <c r="R138" s="242"/>
      <c r="S138" s="242"/>
      <c r="T138" s="242"/>
      <c r="U138" s="242"/>
    </row>
    <row r="139" spans="2:21" x14ac:dyDescent="0.4">
      <c r="B139" s="242"/>
      <c r="C139" s="242"/>
      <c r="D139" s="242"/>
      <c r="E139" s="242"/>
      <c r="F139" s="242"/>
      <c r="G139" s="242"/>
      <c r="H139" s="242"/>
      <c r="I139" s="242"/>
      <c r="J139" s="242"/>
      <c r="K139" s="242"/>
      <c r="L139" s="242"/>
      <c r="M139" s="242"/>
      <c r="N139" s="242"/>
      <c r="O139" s="242"/>
      <c r="P139" s="242"/>
      <c r="Q139" s="242"/>
      <c r="R139" s="242"/>
      <c r="S139" s="242"/>
      <c r="T139" s="242"/>
      <c r="U139" s="242"/>
    </row>
    <row r="140" spans="2:21" x14ac:dyDescent="0.4">
      <c r="B140" s="242"/>
      <c r="C140" s="242"/>
      <c r="D140" s="242"/>
      <c r="E140" s="242"/>
      <c r="F140" s="242"/>
      <c r="G140" s="242"/>
      <c r="H140" s="242"/>
      <c r="I140" s="242"/>
      <c r="J140" s="242"/>
      <c r="K140" s="242"/>
      <c r="L140" s="242"/>
      <c r="M140" s="242"/>
      <c r="N140" s="242"/>
      <c r="O140" s="242"/>
      <c r="P140" s="242"/>
      <c r="Q140" s="242"/>
      <c r="R140" s="242"/>
      <c r="S140" s="242"/>
      <c r="T140" s="242"/>
      <c r="U140" s="242"/>
    </row>
    <row r="141" spans="2:21" x14ac:dyDescent="0.4">
      <c r="B141" s="242"/>
      <c r="C141" s="242"/>
      <c r="D141" s="242"/>
      <c r="E141" s="242"/>
      <c r="F141" s="242"/>
      <c r="G141" s="242"/>
      <c r="H141" s="242"/>
      <c r="I141" s="242"/>
      <c r="J141" s="242"/>
      <c r="K141" s="242"/>
      <c r="L141" s="242"/>
      <c r="M141" s="242"/>
      <c r="N141" s="242"/>
      <c r="O141" s="242"/>
      <c r="P141" s="242"/>
      <c r="Q141" s="242"/>
      <c r="R141" s="242"/>
      <c r="S141" s="242"/>
      <c r="T141" s="242"/>
      <c r="U141" s="242"/>
    </row>
    <row r="142" spans="2:21" x14ac:dyDescent="0.4">
      <c r="B142" s="242"/>
      <c r="C142" s="242"/>
      <c r="D142" s="242"/>
      <c r="E142" s="242"/>
      <c r="F142" s="242"/>
      <c r="G142" s="242"/>
      <c r="H142" s="242"/>
      <c r="I142" s="242"/>
      <c r="J142" s="242"/>
      <c r="K142" s="242"/>
      <c r="L142" s="242"/>
      <c r="M142" s="242"/>
      <c r="N142" s="242"/>
      <c r="O142" s="242"/>
      <c r="P142" s="242"/>
      <c r="Q142" s="242"/>
      <c r="R142" s="242"/>
      <c r="S142" s="242"/>
      <c r="T142" s="242"/>
      <c r="U142" s="242"/>
    </row>
    <row r="143" spans="2:21" x14ac:dyDescent="0.4">
      <c r="B143" s="242"/>
      <c r="C143" s="242"/>
      <c r="D143" s="242"/>
      <c r="E143" s="242"/>
      <c r="F143" s="242"/>
      <c r="G143" s="242"/>
      <c r="H143" s="242"/>
      <c r="I143" s="242"/>
      <c r="J143" s="242"/>
      <c r="K143" s="242"/>
      <c r="L143" s="242"/>
      <c r="M143" s="242"/>
      <c r="N143" s="242"/>
      <c r="O143" s="242"/>
      <c r="P143" s="242"/>
      <c r="Q143" s="242"/>
      <c r="R143" s="242"/>
      <c r="S143" s="242"/>
      <c r="T143" s="242"/>
      <c r="U143" s="242"/>
    </row>
    <row r="144" spans="2:21" x14ac:dyDescent="0.4">
      <c r="B144" s="242"/>
      <c r="C144" s="242"/>
      <c r="D144" s="242"/>
      <c r="E144" s="242"/>
      <c r="F144" s="242"/>
      <c r="G144" s="242"/>
      <c r="H144" s="242"/>
      <c r="I144" s="242"/>
      <c r="J144" s="242"/>
      <c r="K144" s="242"/>
      <c r="L144" s="242"/>
      <c r="M144" s="242"/>
      <c r="N144" s="242"/>
      <c r="O144" s="242"/>
      <c r="P144" s="242"/>
      <c r="Q144" s="242"/>
      <c r="R144" s="242"/>
      <c r="S144" s="242"/>
      <c r="T144" s="242"/>
      <c r="U144" s="242"/>
    </row>
    <row r="145" spans="2:21" x14ac:dyDescent="0.4">
      <c r="B145" s="242"/>
      <c r="C145" s="242"/>
      <c r="D145" s="242"/>
      <c r="E145" s="242"/>
      <c r="F145" s="242"/>
      <c r="G145" s="242"/>
      <c r="H145" s="242"/>
      <c r="I145" s="242"/>
      <c r="J145" s="242"/>
      <c r="K145" s="242"/>
      <c r="L145" s="242"/>
      <c r="M145" s="242"/>
      <c r="N145" s="242"/>
      <c r="O145" s="242"/>
      <c r="P145" s="242"/>
      <c r="Q145" s="242"/>
      <c r="R145" s="242"/>
      <c r="S145" s="242"/>
      <c r="T145" s="242"/>
      <c r="U145" s="242"/>
    </row>
    <row r="146" spans="2:21" x14ac:dyDescent="0.4">
      <c r="B146" s="242"/>
      <c r="C146" s="242"/>
      <c r="D146" s="242"/>
      <c r="E146" s="242"/>
      <c r="F146" s="242"/>
      <c r="G146" s="242"/>
      <c r="H146" s="242"/>
      <c r="I146" s="242"/>
      <c r="J146" s="242"/>
      <c r="K146" s="242"/>
      <c r="L146" s="242"/>
      <c r="M146" s="242"/>
      <c r="N146" s="242"/>
      <c r="O146" s="242"/>
      <c r="P146" s="242"/>
      <c r="Q146" s="242"/>
      <c r="R146" s="242"/>
      <c r="S146" s="242"/>
      <c r="T146" s="242"/>
      <c r="U146" s="242"/>
    </row>
    <row r="147" spans="2:21" x14ac:dyDescent="0.4">
      <c r="B147" s="242"/>
      <c r="C147" s="242"/>
      <c r="D147" s="242"/>
      <c r="E147" s="242"/>
      <c r="F147" s="242"/>
      <c r="G147" s="242"/>
      <c r="H147" s="242"/>
      <c r="I147" s="242"/>
      <c r="J147" s="242"/>
      <c r="K147" s="242"/>
      <c r="L147" s="242"/>
      <c r="M147" s="242"/>
      <c r="N147" s="242"/>
      <c r="O147" s="242"/>
      <c r="P147" s="242"/>
      <c r="Q147" s="242"/>
      <c r="R147" s="242"/>
      <c r="S147" s="242"/>
      <c r="T147" s="242"/>
      <c r="U147" s="242"/>
    </row>
    <row r="148" spans="2:21" x14ac:dyDescent="0.4">
      <c r="B148" s="242"/>
      <c r="C148" s="242"/>
      <c r="D148" s="242"/>
      <c r="E148" s="242"/>
      <c r="F148" s="242"/>
      <c r="G148" s="242"/>
      <c r="H148" s="242"/>
      <c r="I148" s="242"/>
      <c r="J148" s="242"/>
      <c r="K148" s="242"/>
      <c r="L148" s="242"/>
      <c r="M148" s="242"/>
      <c r="N148" s="242"/>
      <c r="O148" s="242"/>
      <c r="P148" s="242"/>
      <c r="Q148" s="242"/>
      <c r="R148" s="242"/>
      <c r="S148" s="242"/>
      <c r="T148" s="242"/>
      <c r="U148" s="242"/>
    </row>
    <row r="149" spans="2:21" x14ac:dyDescent="0.4">
      <c r="B149" s="242"/>
      <c r="C149" s="242"/>
      <c r="D149" s="242"/>
      <c r="E149" s="242"/>
      <c r="F149" s="242"/>
      <c r="G149" s="242"/>
      <c r="H149" s="242"/>
      <c r="I149" s="242"/>
      <c r="J149" s="242"/>
      <c r="K149" s="242"/>
      <c r="L149" s="242"/>
      <c r="M149" s="242"/>
      <c r="N149" s="242"/>
      <c r="O149" s="242"/>
      <c r="P149" s="242"/>
      <c r="Q149" s="242"/>
      <c r="R149" s="242"/>
      <c r="S149" s="242"/>
      <c r="T149" s="242"/>
      <c r="U149" s="242"/>
    </row>
    <row r="150" spans="2:21" x14ac:dyDescent="0.4">
      <c r="B150" s="242"/>
      <c r="C150" s="242"/>
      <c r="D150" s="242"/>
      <c r="E150" s="242"/>
      <c r="F150" s="242"/>
      <c r="G150" s="242"/>
      <c r="H150" s="242"/>
      <c r="I150" s="242"/>
      <c r="J150" s="242"/>
      <c r="K150" s="242"/>
      <c r="L150" s="242"/>
      <c r="M150" s="242"/>
      <c r="N150" s="242"/>
      <c r="O150" s="242"/>
      <c r="P150" s="242"/>
      <c r="Q150" s="242"/>
      <c r="R150" s="242"/>
      <c r="S150" s="242"/>
      <c r="T150" s="242"/>
      <c r="U150" s="242"/>
    </row>
    <row r="151" spans="2:21" x14ac:dyDescent="0.4">
      <c r="B151" s="242"/>
      <c r="C151" s="242"/>
      <c r="D151" s="242"/>
      <c r="E151" s="242"/>
      <c r="F151" s="242"/>
      <c r="G151" s="242"/>
      <c r="H151" s="242"/>
      <c r="I151" s="242"/>
      <c r="J151" s="242"/>
      <c r="K151" s="242"/>
      <c r="L151" s="242"/>
      <c r="M151" s="242"/>
      <c r="N151" s="242"/>
      <c r="O151" s="242"/>
      <c r="P151" s="242"/>
      <c r="Q151" s="242"/>
      <c r="R151" s="242"/>
      <c r="S151" s="242"/>
      <c r="T151" s="242"/>
      <c r="U151" s="242"/>
    </row>
    <row r="152" spans="2:21" x14ac:dyDescent="0.4">
      <c r="B152" s="242"/>
      <c r="C152" s="242"/>
      <c r="D152" s="242"/>
      <c r="E152" s="242"/>
      <c r="F152" s="242"/>
      <c r="G152" s="242"/>
      <c r="H152" s="242"/>
      <c r="I152" s="242"/>
      <c r="J152" s="242"/>
      <c r="K152" s="242"/>
      <c r="L152" s="242"/>
      <c r="M152" s="242"/>
      <c r="N152" s="242"/>
      <c r="O152" s="242"/>
      <c r="P152" s="242"/>
      <c r="Q152" s="242"/>
      <c r="R152" s="242"/>
      <c r="S152" s="242"/>
      <c r="T152" s="242"/>
      <c r="U152" s="242"/>
    </row>
    <row r="153" spans="2:21" x14ac:dyDescent="0.4">
      <c r="B153" s="242"/>
      <c r="C153" s="242"/>
      <c r="D153" s="242"/>
      <c r="E153" s="242"/>
      <c r="F153" s="242"/>
      <c r="G153" s="242"/>
      <c r="H153" s="242"/>
      <c r="I153" s="242"/>
      <c r="J153" s="242"/>
      <c r="K153" s="242"/>
      <c r="L153" s="242"/>
      <c r="M153" s="242"/>
      <c r="N153" s="242"/>
      <c r="O153" s="242"/>
      <c r="P153" s="242"/>
      <c r="Q153" s="242"/>
      <c r="R153" s="242"/>
      <c r="S153" s="242"/>
      <c r="T153" s="242"/>
      <c r="U153" s="242"/>
    </row>
    <row r="154" spans="2:21" x14ac:dyDescent="0.4">
      <c r="B154" s="242"/>
      <c r="C154" s="242"/>
      <c r="D154" s="242"/>
      <c r="E154" s="242"/>
      <c r="F154" s="242"/>
      <c r="G154" s="242"/>
      <c r="H154" s="242"/>
      <c r="I154" s="242"/>
      <c r="J154" s="242"/>
      <c r="K154" s="242"/>
      <c r="L154" s="242"/>
      <c r="M154" s="242"/>
      <c r="N154" s="242"/>
      <c r="O154" s="242"/>
      <c r="P154" s="242"/>
      <c r="Q154" s="242"/>
      <c r="R154" s="242"/>
      <c r="S154" s="242"/>
      <c r="T154" s="242"/>
      <c r="U154" s="242"/>
    </row>
    <row r="155" spans="2:21" x14ac:dyDescent="0.4">
      <c r="B155" s="242"/>
      <c r="C155" s="242"/>
      <c r="D155" s="242"/>
      <c r="E155" s="242"/>
      <c r="F155" s="242"/>
      <c r="G155" s="242"/>
      <c r="H155" s="242"/>
      <c r="I155" s="242"/>
      <c r="J155" s="242"/>
      <c r="K155" s="242"/>
      <c r="L155" s="242"/>
      <c r="M155" s="242"/>
      <c r="N155" s="242"/>
      <c r="O155" s="242"/>
      <c r="P155" s="242"/>
      <c r="Q155" s="242"/>
      <c r="R155" s="242"/>
      <c r="S155" s="242"/>
      <c r="T155" s="242"/>
      <c r="U155" s="242"/>
    </row>
  </sheetData>
  <mergeCells count="31">
    <mergeCell ref="B20:S20"/>
    <mergeCell ref="D21:N21"/>
    <mergeCell ref="R21:S21"/>
    <mergeCell ref="C23:G23"/>
    <mergeCell ref="C24:G24"/>
    <mergeCell ref="C25:G25"/>
    <mergeCell ref="J14:K14"/>
    <mergeCell ref="M14:N14"/>
    <mergeCell ref="J15:K15"/>
    <mergeCell ref="M15:N15"/>
    <mergeCell ref="J16:K16"/>
    <mergeCell ref="M16:N16"/>
    <mergeCell ref="J11:K11"/>
    <mergeCell ref="M11:N11"/>
    <mergeCell ref="J12:K12"/>
    <mergeCell ref="M12:N12"/>
    <mergeCell ref="J13:K13"/>
    <mergeCell ref="M13:N13"/>
    <mergeCell ref="B9:C10"/>
    <mergeCell ref="D9:D10"/>
    <mergeCell ref="F9:F10"/>
    <mergeCell ref="J9:L10"/>
    <mergeCell ref="M9:N10"/>
    <mergeCell ref="P9:P10"/>
    <mergeCell ref="B2:U2"/>
    <mergeCell ref="B3:I3"/>
    <mergeCell ref="J3:U3"/>
    <mergeCell ref="B4:I4"/>
    <mergeCell ref="J4:U4"/>
    <mergeCell ref="B7:P7"/>
    <mergeCell ref="R7:S7"/>
  </mergeCells>
  <conditionalFormatting sqref="P21">
    <cfRule type="containsText" dxfId="647" priority="1" operator="containsText" text="Non validé">
      <formula>NOT(ISERROR(SEARCH("Non validé",P21)))</formula>
    </cfRule>
    <cfRule type="containsText" dxfId="646" priority="2" operator="containsText" text="réserve">
      <formula>NOT(ISERROR(SEARCH("réserve",P21)))</formula>
    </cfRule>
    <cfRule type="containsText" dxfId="645" priority="3" operator="containsText" text="Validé">
      <formula>NOT(ISERROR(SEARCH("Validé",P21)))</formula>
    </cfRule>
  </conditionalFormatting>
  <dataValidations count="4">
    <dataValidation allowBlank="1" showInputMessage="1" showErrorMessage="1" promptTitle="Paramète supplémentaire" sqref="B18:B19" xr:uid="{62F06EB3-2B62-42E6-A906-37765A331B3B}"/>
    <dataValidation errorStyle="information" allowBlank="1" showInputMessage="1" sqref="F11:F16 L23:L25 P11:P16" xr:uid="{FCABA419-F2D4-466D-8BCD-A5F92D55F79E}"/>
    <dataValidation type="list" allowBlank="1" showInputMessage="1" showErrorMessage="1" sqref="P21" xr:uid="{7C639DA1-B273-4CDD-B3E8-C35B7DA23300}">
      <formula1>INDIRECT("LISTE_3")</formula1>
    </dataValidation>
    <dataValidation type="list" allowBlank="1" showInputMessage="1" showErrorMessage="1" prompt="Si OUI, alors compléter le tableau et évaluer chaque paramètre" sqref="H23:H25 C11:C16 L11:L16" xr:uid="{CAA1DAA8-3D4B-4462-91BA-DD8C823C671F}">
      <formula1>"Oui, Non"</formula1>
    </dataValidation>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9D23-15C9-43FE-85A0-5272914F3AC9}">
  <sheetPr codeName="Feuil5">
    <tabColor rgb="FF00B0AC"/>
  </sheetPr>
  <dimension ref="A1:LA37"/>
  <sheetViews>
    <sheetView showGridLines="0" zoomScaleNormal="100" workbookViewId="0">
      <pane ySplit="3" topLeftCell="A19" activePane="bottomLeft" state="frozenSplit"/>
      <selection pane="bottomLeft" activeCell="E8" sqref="E8"/>
    </sheetView>
  </sheetViews>
  <sheetFormatPr baseColWidth="10" defaultColWidth="11.41015625" defaultRowHeight="12.7" x14ac:dyDescent="0.4"/>
  <cols>
    <col min="1" max="1" width="2.703125" style="113" customWidth="1"/>
    <col min="2" max="2" width="90.703125" style="114" customWidth="1"/>
    <col min="3" max="3" width="13.41015625" style="51" customWidth="1"/>
    <col min="4" max="4" width="6.703125" style="51" customWidth="1"/>
    <col min="5" max="5" width="6.29296875" style="51" customWidth="1"/>
    <col min="6" max="6" width="2.703125" style="113" customWidth="1"/>
    <col min="7" max="7" width="90.703125" style="51" customWidth="1"/>
    <col min="8" max="8" width="13.29296875" style="51" customWidth="1"/>
    <col min="9" max="9" width="6.703125" style="51" customWidth="1"/>
    <col min="10" max="10" width="3.1171875" style="51" hidden="1" customWidth="1"/>
    <col min="11" max="11" width="2.703125" style="113" customWidth="1"/>
    <col min="12" max="12" width="90.703125" style="51" customWidth="1"/>
    <col min="13" max="13" width="13.29296875" style="51" customWidth="1"/>
    <col min="14" max="14" width="6.703125" style="51" customWidth="1"/>
    <col min="15" max="15" width="4.87890625" style="51" hidden="1" customWidth="1"/>
    <col min="16" max="16" width="2.703125" style="113" customWidth="1"/>
    <col min="17" max="17" width="90.703125" style="51" customWidth="1"/>
    <col min="18" max="18" width="13.29296875" style="51" customWidth="1"/>
    <col min="19" max="19" width="6.703125" style="51" customWidth="1"/>
    <col min="20" max="20" width="4.87890625" style="51" hidden="1" customWidth="1"/>
    <col min="21" max="21" width="2.703125" style="51" customWidth="1"/>
    <col min="22" max="22" width="90.703125" style="51" customWidth="1"/>
    <col min="23" max="23" width="13.29296875" style="51" customWidth="1"/>
    <col min="24" max="24" width="6.703125" style="51" customWidth="1"/>
    <col min="25" max="25" width="4.87890625" style="51" hidden="1" customWidth="1"/>
    <col min="26" max="26" width="2.703125" style="51" customWidth="1"/>
    <col min="27" max="27" width="90.703125" style="51" customWidth="1"/>
    <col min="28" max="28" width="13.29296875" style="51" customWidth="1"/>
    <col min="29" max="29" width="6.703125" style="51" customWidth="1"/>
    <col min="30" max="30" width="4.87890625" style="51" hidden="1" customWidth="1"/>
    <col min="31" max="31" width="2.703125" style="51" customWidth="1"/>
    <col min="32" max="32" width="90.703125" style="51" customWidth="1"/>
    <col min="33" max="33" width="13.29296875" style="51" customWidth="1"/>
    <col min="34" max="34" width="6.703125" style="51" customWidth="1"/>
    <col min="35" max="35" width="4.87890625" style="51" hidden="1" customWidth="1"/>
    <col min="36" max="36" width="2.703125" style="51" customWidth="1"/>
    <col min="37" max="37" width="90.703125" style="51" customWidth="1"/>
    <col min="38" max="38" width="13.29296875" style="51" customWidth="1"/>
    <col min="39" max="39" width="6.703125" style="51" customWidth="1"/>
    <col min="40" max="40" width="4.87890625" style="51" hidden="1" customWidth="1"/>
    <col min="41" max="41" width="2.703125" style="51" customWidth="1"/>
    <col min="42" max="42" width="90.703125" style="51" customWidth="1"/>
    <col min="43" max="43" width="13.29296875" style="51" customWidth="1"/>
    <col min="44" max="44" width="6.703125" style="51" customWidth="1"/>
    <col min="45" max="45" width="4.87890625" style="51" hidden="1" customWidth="1"/>
    <col min="46" max="46" width="2.703125" style="51" customWidth="1"/>
    <col min="47" max="47" width="90.703125" style="51" customWidth="1"/>
    <col min="48" max="48" width="13.29296875" style="51" customWidth="1"/>
    <col min="49" max="49" width="6.703125" style="51" customWidth="1"/>
    <col min="50" max="50" width="4.87890625" style="51" hidden="1" customWidth="1"/>
    <col min="51" max="51" width="2.703125" style="51" customWidth="1"/>
    <col min="52" max="52" width="90.703125" style="51" customWidth="1"/>
    <col min="53" max="53" width="13.29296875" style="51" customWidth="1"/>
    <col min="54" max="54" width="6.703125" style="51" customWidth="1"/>
    <col min="55" max="55" width="4.87890625" style="51" hidden="1" customWidth="1"/>
    <col min="56" max="56" width="2.703125" style="51" customWidth="1"/>
    <col min="57" max="57" width="90.703125" style="51" customWidth="1"/>
    <col min="58" max="58" width="13.29296875" style="51" customWidth="1"/>
    <col min="59" max="59" width="6.703125" style="51" customWidth="1"/>
    <col min="60" max="60" width="4.87890625" style="51" hidden="1" customWidth="1"/>
    <col min="61" max="313" width="11.41015625" style="89"/>
    <col min="314" max="16384" width="11.41015625" style="51"/>
  </cols>
  <sheetData>
    <row r="1" spans="1:60" s="62" customFormat="1" ht="16.5" customHeight="1" thickBot="1" x14ac:dyDescent="0.55000000000000004">
      <c r="A1" s="1391" t="s">
        <v>29</v>
      </c>
      <c r="B1" s="1392"/>
      <c r="C1" s="1392"/>
      <c r="D1" s="1393"/>
      <c r="F1" s="1391" t="s">
        <v>30</v>
      </c>
      <c r="G1" s="1392"/>
      <c r="H1" s="1392"/>
      <c r="I1" s="1393"/>
      <c r="K1" s="1391" t="s">
        <v>31</v>
      </c>
      <c r="L1" s="1392"/>
      <c r="M1" s="1392"/>
      <c r="N1" s="1393"/>
      <c r="P1" s="1391" t="s">
        <v>46</v>
      </c>
      <c r="Q1" s="1392"/>
      <c r="R1" s="1392"/>
      <c r="S1" s="1393"/>
      <c r="U1" s="1391" t="s">
        <v>47</v>
      </c>
      <c r="V1" s="1392"/>
      <c r="W1" s="1392"/>
      <c r="X1" s="1393"/>
      <c r="Z1" s="1391" t="s">
        <v>48</v>
      </c>
      <c r="AA1" s="1392"/>
      <c r="AB1" s="1392"/>
      <c r="AC1" s="1393"/>
      <c r="AE1" s="1391" t="s">
        <v>49</v>
      </c>
      <c r="AF1" s="1392"/>
      <c r="AG1" s="1392"/>
      <c r="AH1" s="1393"/>
      <c r="AJ1" s="1391" t="s">
        <v>50</v>
      </c>
      <c r="AK1" s="1392"/>
      <c r="AL1" s="1392"/>
      <c r="AM1" s="1393"/>
      <c r="AO1" s="1391" t="s">
        <v>51</v>
      </c>
      <c r="AP1" s="1392"/>
      <c r="AQ1" s="1392"/>
      <c r="AR1" s="1393"/>
      <c r="AT1" s="1391" t="s">
        <v>52</v>
      </c>
      <c r="AU1" s="1392"/>
      <c r="AV1" s="1392"/>
      <c r="AW1" s="1393"/>
      <c r="AY1" s="1391" t="s">
        <v>53</v>
      </c>
      <c r="AZ1" s="1392"/>
      <c r="BA1" s="1392"/>
      <c r="BB1" s="1393"/>
      <c r="BD1" s="1391" t="s">
        <v>54</v>
      </c>
      <c r="BE1" s="1392"/>
      <c r="BF1" s="1394"/>
      <c r="BG1" s="1395"/>
    </row>
    <row r="2" spans="1:60" ht="15" customHeight="1" thickBot="1" x14ac:dyDescent="0.45">
      <c r="A2" s="1423" t="s">
        <v>55</v>
      </c>
      <c r="B2" s="1424"/>
      <c r="C2" s="1387" t="s">
        <v>56</v>
      </c>
      <c r="D2" s="1388"/>
      <c r="F2" s="1423" t="s">
        <v>55</v>
      </c>
      <c r="G2" s="1424"/>
      <c r="H2" s="1397" t="s">
        <v>56</v>
      </c>
      <c r="I2" s="1398"/>
      <c r="K2" s="1417" t="s">
        <v>55</v>
      </c>
      <c r="L2" s="1422"/>
      <c r="M2" s="1397" t="s">
        <v>56</v>
      </c>
      <c r="N2" s="1398"/>
      <c r="P2" s="1425" t="s">
        <v>55</v>
      </c>
      <c r="Q2" s="1426"/>
      <c r="R2" s="1397" t="s">
        <v>56</v>
      </c>
      <c r="S2" s="1398"/>
      <c r="U2" s="1417" t="s">
        <v>55</v>
      </c>
      <c r="V2" s="1422"/>
      <c r="W2" s="1397" t="s">
        <v>56</v>
      </c>
      <c r="X2" s="1398"/>
      <c r="Z2" s="1417" t="s">
        <v>55</v>
      </c>
      <c r="AA2" s="1422"/>
      <c r="AB2" s="1397" t="s">
        <v>56</v>
      </c>
      <c r="AC2" s="1398"/>
      <c r="AE2" s="1417" t="s">
        <v>55</v>
      </c>
      <c r="AF2" s="1422"/>
      <c r="AG2" s="1397" t="s">
        <v>56</v>
      </c>
      <c r="AH2" s="1398"/>
      <c r="AJ2" s="1417" t="s">
        <v>55</v>
      </c>
      <c r="AK2" s="1422"/>
      <c r="AL2" s="1397" t="s">
        <v>56</v>
      </c>
      <c r="AM2" s="1398"/>
      <c r="AO2" s="1417" t="s">
        <v>55</v>
      </c>
      <c r="AP2" s="1422"/>
      <c r="AQ2" s="1397" t="s">
        <v>56</v>
      </c>
      <c r="AR2" s="1398"/>
      <c r="AT2" s="1417" t="s">
        <v>55</v>
      </c>
      <c r="AU2" s="1422"/>
      <c r="AV2" s="1397" t="s">
        <v>56</v>
      </c>
      <c r="AW2" s="1398"/>
      <c r="AY2" s="1417" t="s">
        <v>55</v>
      </c>
      <c r="AZ2" s="1422"/>
      <c r="BA2" s="1397" t="s">
        <v>56</v>
      </c>
      <c r="BB2" s="1398"/>
      <c r="BD2" s="1417" t="s">
        <v>55</v>
      </c>
      <c r="BE2" s="1418"/>
      <c r="BF2" s="1406" t="s">
        <v>56</v>
      </c>
      <c r="BG2" s="1407"/>
    </row>
    <row r="3" spans="1:60" s="139" customFormat="1" ht="20.350000000000001" thickBot="1" x14ac:dyDescent="0.45">
      <c r="A3" s="1381"/>
      <c r="B3" s="1382"/>
      <c r="C3" s="1389"/>
      <c r="D3" s="1390"/>
      <c r="E3" s="124"/>
      <c r="F3" s="1381"/>
      <c r="G3" s="1382"/>
      <c r="H3" s="1389"/>
      <c r="I3" s="1390"/>
      <c r="J3" s="124"/>
      <c r="K3" s="1381"/>
      <c r="L3" s="1382"/>
      <c r="M3" s="1389"/>
      <c r="N3" s="1390"/>
      <c r="O3" s="124"/>
      <c r="P3" s="1377"/>
      <c r="Q3" s="1378"/>
      <c r="R3" s="1389"/>
      <c r="S3" s="1390"/>
      <c r="T3" s="124"/>
      <c r="U3" s="1377"/>
      <c r="V3" s="1378"/>
      <c r="W3" s="1389"/>
      <c r="X3" s="1390"/>
      <c r="Y3" s="124"/>
      <c r="Z3" s="1377"/>
      <c r="AA3" s="1378"/>
      <c r="AB3" s="1389"/>
      <c r="AC3" s="1390"/>
      <c r="AD3" s="124"/>
      <c r="AE3" s="1377"/>
      <c r="AF3" s="1378"/>
      <c r="AG3" s="1389"/>
      <c r="AH3" s="1390"/>
      <c r="AI3" s="124"/>
      <c r="AJ3" s="1377"/>
      <c r="AK3" s="1378"/>
      <c r="AL3" s="1389"/>
      <c r="AM3" s="1390"/>
      <c r="AN3" s="124"/>
      <c r="AO3" s="1377"/>
      <c r="AP3" s="1378"/>
      <c r="AQ3" s="1389"/>
      <c r="AR3" s="1390"/>
      <c r="AS3" s="124"/>
      <c r="AT3" s="1377"/>
      <c r="AU3" s="1378"/>
      <c r="AV3" s="1389"/>
      <c r="AW3" s="1390"/>
      <c r="AX3" s="124"/>
      <c r="AY3" s="1377"/>
      <c r="AZ3" s="1378"/>
      <c r="BA3" s="1389"/>
      <c r="BB3" s="1390"/>
      <c r="BC3" s="124"/>
      <c r="BD3" s="1377"/>
      <c r="BE3" s="1378"/>
      <c r="BF3" s="1389"/>
      <c r="BG3" s="1390"/>
      <c r="BH3" s="124"/>
    </row>
    <row r="4" spans="1:60" s="131" customFormat="1" ht="15" customHeight="1" x14ac:dyDescent="0.4">
      <c r="A4" s="1419" t="s">
        <v>236</v>
      </c>
      <c r="B4" s="1420"/>
      <c r="C4" s="1420"/>
      <c r="D4" s="1421"/>
      <c r="F4" s="1419" t="s">
        <v>236</v>
      </c>
      <c r="G4" s="1420"/>
      <c r="H4" s="1420"/>
      <c r="I4" s="1421"/>
      <c r="K4" s="1419" t="s">
        <v>236</v>
      </c>
      <c r="L4" s="1420"/>
      <c r="M4" s="1420"/>
      <c r="N4" s="1421"/>
      <c r="P4" s="1419" t="s">
        <v>236</v>
      </c>
      <c r="Q4" s="1420"/>
      <c r="R4" s="1420"/>
      <c r="S4" s="1421"/>
      <c r="U4" s="1419" t="s">
        <v>236</v>
      </c>
      <c r="V4" s="1420"/>
      <c r="W4" s="1420"/>
      <c r="X4" s="1421"/>
      <c r="Z4" s="1419" t="s">
        <v>236</v>
      </c>
      <c r="AA4" s="1420"/>
      <c r="AB4" s="1420"/>
      <c r="AC4" s="1421"/>
      <c r="AE4" s="1419" t="s">
        <v>236</v>
      </c>
      <c r="AF4" s="1420"/>
      <c r="AG4" s="1420"/>
      <c r="AH4" s="1421"/>
      <c r="AJ4" s="1419" t="s">
        <v>236</v>
      </c>
      <c r="AK4" s="1420"/>
      <c r="AL4" s="1420"/>
      <c r="AM4" s="1421"/>
      <c r="AO4" s="1419" t="s">
        <v>236</v>
      </c>
      <c r="AP4" s="1420"/>
      <c r="AQ4" s="1420"/>
      <c r="AR4" s="1421"/>
      <c r="AT4" s="1419" t="s">
        <v>236</v>
      </c>
      <c r="AU4" s="1420"/>
      <c r="AV4" s="1420"/>
      <c r="AW4" s="1421"/>
      <c r="AY4" s="1419" t="s">
        <v>236</v>
      </c>
      <c r="AZ4" s="1420"/>
      <c r="BA4" s="1420"/>
      <c r="BB4" s="1421"/>
      <c r="BD4" s="1419" t="s">
        <v>236</v>
      </c>
      <c r="BE4" s="1420"/>
      <c r="BF4" s="1420"/>
      <c r="BG4" s="1421"/>
    </row>
    <row r="5" spans="1:60" s="125" customFormat="1" ht="18" customHeight="1" x14ac:dyDescent="0.55000000000000004">
      <c r="A5" s="1399" t="s">
        <v>57</v>
      </c>
      <c r="B5" s="1400"/>
      <c r="C5" s="1400"/>
      <c r="D5" s="1401"/>
      <c r="F5" s="1399"/>
      <c r="G5" s="1400"/>
      <c r="H5" s="1400"/>
      <c r="I5" s="1401"/>
      <c r="K5" s="1399"/>
      <c r="L5" s="1400"/>
      <c r="M5" s="1400"/>
      <c r="N5" s="1401"/>
      <c r="P5" s="1399"/>
      <c r="Q5" s="1400"/>
      <c r="R5" s="1400"/>
      <c r="S5" s="1401"/>
      <c r="U5" s="1399"/>
      <c r="V5" s="1400"/>
      <c r="W5" s="1400"/>
      <c r="X5" s="1401"/>
      <c r="Z5" s="1399"/>
      <c r="AA5" s="1400"/>
      <c r="AB5" s="1400"/>
      <c r="AC5" s="1401"/>
      <c r="AE5" s="1399"/>
      <c r="AF5" s="1400"/>
      <c r="AG5" s="1400"/>
      <c r="AH5" s="1401"/>
      <c r="AJ5" s="1399"/>
      <c r="AK5" s="1400"/>
      <c r="AL5" s="1400"/>
      <c r="AM5" s="1401"/>
      <c r="AO5" s="1399"/>
      <c r="AP5" s="1400"/>
      <c r="AQ5" s="1400"/>
      <c r="AR5" s="1401"/>
      <c r="AT5" s="1399"/>
      <c r="AU5" s="1400"/>
      <c r="AV5" s="1400"/>
      <c r="AW5" s="1401"/>
      <c r="AY5" s="1399"/>
      <c r="AZ5" s="1400"/>
      <c r="BA5" s="1400"/>
      <c r="BB5" s="1401"/>
      <c r="BD5" s="1399"/>
      <c r="BE5" s="1400"/>
      <c r="BF5" s="1400"/>
      <c r="BG5" s="1401"/>
    </row>
    <row r="6" spans="1:60" ht="1.5" customHeight="1" x14ac:dyDescent="0.4">
      <c r="A6" s="65"/>
      <c r="B6" s="66"/>
      <c r="C6" s="66"/>
      <c r="D6" s="67"/>
      <c r="F6" s="65"/>
      <c r="G6" s="66"/>
      <c r="H6" s="66"/>
      <c r="I6" s="68"/>
      <c r="K6" s="65"/>
      <c r="L6" s="66"/>
      <c r="M6" s="69"/>
      <c r="N6" s="68"/>
      <c r="P6" s="65"/>
      <c r="Q6" s="66"/>
      <c r="R6" s="66"/>
      <c r="S6" s="67"/>
      <c r="U6" s="65"/>
      <c r="V6" s="66"/>
      <c r="W6" s="66"/>
      <c r="X6" s="67"/>
      <c r="Z6" s="65"/>
      <c r="AA6" s="66"/>
      <c r="AB6" s="66"/>
      <c r="AC6" s="67"/>
      <c r="AE6" s="65"/>
      <c r="AF6" s="66"/>
      <c r="AG6" s="66"/>
      <c r="AH6" s="67"/>
      <c r="AJ6" s="65"/>
      <c r="AK6" s="66"/>
      <c r="AL6" s="66"/>
      <c r="AM6" s="67"/>
      <c r="AO6" s="65"/>
      <c r="AP6" s="66"/>
      <c r="AQ6" s="66"/>
      <c r="AR6" s="67"/>
      <c r="AT6" s="65"/>
      <c r="AU6" s="66"/>
      <c r="AV6" s="66"/>
      <c r="AW6" s="67"/>
      <c r="AY6" s="65"/>
      <c r="AZ6" s="66"/>
      <c r="BA6" s="66"/>
      <c r="BB6" s="67"/>
      <c r="BD6" s="65"/>
      <c r="BE6" s="66"/>
      <c r="BF6" s="66"/>
      <c r="BG6" s="70"/>
    </row>
    <row r="7" spans="1:60" ht="24" customHeight="1" x14ac:dyDescent="0.4">
      <c r="A7" s="1402" t="s">
        <v>59</v>
      </c>
      <c r="B7" s="1403"/>
      <c r="C7" s="132" t="s">
        <v>11</v>
      </c>
      <c r="D7" s="133" t="s">
        <v>60</v>
      </c>
      <c r="E7" s="71" t="s">
        <v>61</v>
      </c>
      <c r="F7" s="1402" t="s">
        <v>59</v>
      </c>
      <c r="G7" s="1403"/>
      <c r="H7" s="132" t="s">
        <v>11</v>
      </c>
      <c r="I7" s="134" t="s">
        <v>60</v>
      </c>
      <c r="J7" s="71" t="s">
        <v>61</v>
      </c>
      <c r="K7" s="1402" t="s">
        <v>59</v>
      </c>
      <c r="L7" s="1403"/>
      <c r="M7" s="132" t="s">
        <v>11</v>
      </c>
      <c r="N7" s="134" t="s">
        <v>60</v>
      </c>
      <c r="O7" s="71" t="s">
        <v>61</v>
      </c>
      <c r="P7" s="1402" t="s">
        <v>59</v>
      </c>
      <c r="Q7" s="1403"/>
      <c r="R7" s="132" t="s">
        <v>11</v>
      </c>
      <c r="S7" s="134" t="s">
        <v>60</v>
      </c>
      <c r="T7" s="71" t="s">
        <v>61</v>
      </c>
      <c r="U7" s="1402" t="s">
        <v>59</v>
      </c>
      <c r="V7" s="1403"/>
      <c r="W7" s="132" t="s">
        <v>11</v>
      </c>
      <c r="X7" s="134" t="s">
        <v>60</v>
      </c>
      <c r="Y7" s="71" t="s">
        <v>61</v>
      </c>
      <c r="Z7" s="1402" t="s">
        <v>59</v>
      </c>
      <c r="AA7" s="1403"/>
      <c r="AB7" s="132" t="s">
        <v>11</v>
      </c>
      <c r="AC7" s="134" t="s">
        <v>60</v>
      </c>
      <c r="AD7" s="71" t="s">
        <v>61</v>
      </c>
      <c r="AE7" s="1402" t="s">
        <v>59</v>
      </c>
      <c r="AF7" s="1403"/>
      <c r="AG7" s="132" t="s">
        <v>11</v>
      </c>
      <c r="AH7" s="134" t="s">
        <v>60</v>
      </c>
      <c r="AI7" s="71" t="s">
        <v>61</v>
      </c>
      <c r="AJ7" s="1402" t="s">
        <v>59</v>
      </c>
      <c r="AK7" s="1403"/>
      <c r="AL7" s="132" t="s">
        <v>11</v>
      </c>
      <c r="AM7" s="134" t="s">
        <v>60</v>
      </c>
      <c r="AN7" s="71" t="s">
        <v>61</v>
      </c>
      <c r="AO7" s="1402" t="s">
        <v>59</v>
      </c>
      <c r="AP7" s="1403"/>
      <c r="AQ7" s="132" t="s">
        <v>11</v>
      </c>
      <c r="AR7" s="134" t="s">
        <v>60</v>
      </c>
      <c r="AS7" s="71" t="s">
        <v>61</v>
      </c>
      <c r="AT7" s="1402" t="s">
        <v>59</v>
      </c>
      <c r="AU7" s="1403"/>
      <c r="AV7" s="132" t="s">
        <v>11</v>
      </c>
      <c r="AW7" s="134" t="s">
        <v>60</v>
      </c>
      <c r="AX7" s="71" t="s">
        <v>61</v>
      </c>
      <c r="AY7" s="1402" t="s">
        <v>59</v>
      </c>
      <c r="AZ7" s="1403"/>
      <c r="BA7" s="132" t="s">
        <v>11</v>
      </c>
      <c r="BB7" s="134" t="s">
        <v>60</v>
      </c>
      <c r="BC7" s="71" t="s">
        <v>61</v>
      </c>
      <c r="BD7" s="1402" t="s">
        <v>59</v>
      </c>
      <c r="BE7" s="1403"/>
      <c r="BF7" s="132" t="s">
        <v>11</v>
      </c>
      <c r="BG7" s="134" t="s">
        <v>60</v>
      </c>
      <c r="BH7" s="72" t="s">
        <v>61</v>
      </c>
    </row>
    <row r="8" spans="1:60" ht="20.100000000000001" customHeight="1" x14ac:dyDescent="0.4">
      <c r="A8" s="216">
        <v>0</v>
      </c>
      <c r="B8" s="9" t="str">
        <f>IFERROR(HLOOKUP(A$5,#REF!,[2]SA_GRILLE_STEU!$A8+2,FALSE),"")</f>
        <v/>
      </c>
      <c r="C8" s="121"/>
      <c r="D8" s="151"/>
      <c r="E8" s="73" t="str">
        <f>IFERROR(HLOOKUP(A$5,#REF!,$A8+2,FALSE),"")</f>
        <v/>
      </c>
      <c r="F8" s="216">
        <v>0</v>
      </c>
      <c r="G8" s="8" t="str">
        <f>IFERROR(HLOOKUP(F$5,#REF!,[2]SA_GRILLE_STEU!$A8+2,FALSE),"")</f>
        <v/>
      </c>
      <c r="H8" s="121"/>
      <c r="I8" s="74"/>
      <c r="J8" s="73" t="str">
        <f>IFERROR(HLOOKUP(F$5,#REF!,[2]SA_GRILLE_STEU!$A8+2,FALSE),"")</f>
        <v/>
      </c>
      <c r="K8" s="216">
        <v>0</v>
      </c>
      <c r="L8" s="8" t="str">
        <f>IFERROR(HLOOKUP(K$5,#REF!,[2]SA_GRILLE_STEU!$A8+2,FALSE),"")</f>
        <v/>
      </c>
      <c r="M8" s="121"/>
      <c r="N8" s="74"/>
      <c r="O8" s="73" t="str">
        <f>IFERROR(HLOOKUP(K$5,#REF!,[2]SA_GRILLE_STEU!$A8+2,FALSE),"")</f>
        <v/>
      </c>
      <c r="P8" s="216">
        <v>0</v>
      </c>
      <c r="Q8" s="8" t="str">
        <f>IFERROR(HLOOKUP(P$5,#REF!,[2]SA_GRILLE_STEU!$A8+2,FALSE),"")</f>
        <v/>
      </c>
      <c r="R8" s="121"/>
      <c r="S8" s="74"/>
      <c r="T8" s="73" t="str">
        <f>IFERROR(HLOOKUP(P$5,#REF!,[2]SA_GRILLE_STEU!$A8+2,FALSE),"")</f>
        <v/>
      </c>
      <c r="U8" s="216">
        <v>0</v>
      </c>
      <c r="V8" s="8" t="str">
        <f>IFERROR(HLOOKUP(U$5,#REF!,[2]SA_GRILLE_STEU!$A8+2,FALSE),"")</f>
        <v/>
      </c>
      <c r="W8" s="121"/>
      <c r="X8" s="74"/>
      <c r="Y8" s="73" t="str">
        <f>IFERROR(HLOOKUP(U$5,#REF!,[2]SA_GRILLE_STEU!$A8+2,FALSE),"")</f>
        <v/>
      </c>
      <c r="Z8" s="216">
        <v>0</v>
      </c>
      <c r="AA8" s="8" t="str">
        <f>IFERROR(HLOOKUP(Z$5,#REF!,[2]SA_GRILLE_STEU!$A8+2,FALSE),"")</f>
        <v/>
      </c>
      <c r="AB8" s="121"/>
      <c r="AC8" s="74"/>
      <c r="AD8" s="73" t="str">
        <f>IFERROR(HLOOKUP(Z$5,#REF!,[2]SA_GRILLE_STEU!$A8+2,FALSE),"")</f>
        <v/>
      </c>
      <c r="AE8" s="216">
        <v>0</v>
      </c>
      <c r="AF8" s="8" t="str">
        <f>IFERROR(HLOOKUP(AE$5,#REF!,[2]SA_GRILLE_STEU!$A8+2,FALSE),"")</f>
        <v/>
      </c>
      <c r="AG8" s="121"/>
      <c r="AH8" s="74"/>
      <c r="AI8" s="73" t="str">
        <f>IFERROR(HLOOKUP(AE$5,#REF!,[2]SA_GRILLE_STEU!$A8+2,FALSE),"")</f>
        <v/>
      </c>
      <c r="AJ8" s="216">
        <v>0</v>
      </c>
      <c r="AK8" s="8" t="str">
        <f>IFERROR(HLOOKUP(AJ$5,#REF!,[2]SA_GRILLE_STEU!$A8+2,FALSE),"")</f>
        <v/>
      </c>
      <c r="AL8" s="121"/>
      <c r="AM8" s="74"/>
      <c r="AN8" s="73" t="str">
        <f>IFERROR(HLOOKUP(AJ$5,#REF!,[2]SA_GRILLE_STEU!$A8+2,FALSE),"")</f>
        <v/>
      </c>
      <c r="AO8" s="216">
        <v>0</v>
      </c>
      <c r="AP8" s="8" t="str">
        <f>IFERROR(HLOOKUP(AO$5,#REF!,[2]SA_GRILLE_STEU!$A8+2,FALSE),"")</f>
        <v/>
      </c>
      <c r="AQ8" s="121"/>
      <c r="AR8" s="74"/>
      <c r="AS8" s="73" t="str">
        <f>IFERROR(HLOOKUP(AO$5,#REF!,[2]SA_GRILLE_STEU!$A8+2,FALSE),"")</f>
        <v/>
      </c>
      <c r="AT8" s="216">
        <v>0</v>
      </c>
      <c r="AU8" s="8" t="str">
        <f>IFERROR(HLOOKUP(AT$5,#REF!,[2]SA_GRILLE_STEU!$A8+2,FALSE),"")</f>
        <v/>
      </c>
      <c r="AV8" s="121"/>
      <c r="AW8" s="74"/>
      <c r="AX8" s="73" t="str">
        <f>IFERROR(HLOOKUP(AT$5,#REF!,[2]SA_GRILLE_STEU!$A8+2,FALSE),"")</f>
        <v/>
      </c>
      <c r="AY8" s="216">
        <v>0</v>
      </c>
      <c r="AZ8" s="8" t="str">
        <f>IFERROR(HLOOKUP(AY$5,#REF!,[2]SA_GRILLE_STEU!$A8+2,FALSE),"")</f>
        <v/>
      </c>
      <c r="BA8" s="121"/>
      <c r="BB8" s="74"/>
      <c r="BC8" s="73" t="str">
        <f>IFERROR(HLOOKUP(AY$5,#REF!,[2]SA_GRILLE_STEU!$A8+2,FALSE),"")</f>
        <v/>
      </c>
      <c r="BD8" s="216">
        <v>0</v>
      </c>
      <c r="BE8" s="8" t="str">
        <f>IFERROR(HLOOKUP(BD$5,#REF!,[2]SA_GRILLE_STEU!$A8+2,FALSE),"")</f>
        <v/>
      </c>
      <c r="BF8" s="121"/>
      <c r="BG8" s="75"/>
      <c r="BH8" s="76" t="str">
        <f>IFERROR(HLOOKUP(BD$5,#REF!,[2]SA_GRILLE_STEU!$A8+2,FALSE),"")</f>
        <v/>
      </c>
    </row>
    <row r="9" spans="1:60" ht="30" customHeight="1" x14ac:dyDescent="0.4">
      <c r="A9" s="217">
        <v>1</v>
      </c>
      <c r="B9" s="9" t="str">
        <f>IFERROR(HLOOKUP(A$5,#REF!,[2]SA_GRILLE_STEU!$A9+2,FALSE),"")</f>
        <v/>
      </c>
      <c r="C9" s="116"/>
      <c r="D9" s="152" t="str">
        <f>IFERROR(HLOOKUP(A$5,#REF!,[2]SA_GRILLE_STEU!$A9+2,FALSE),"")</f>
        <v/>
      </c>
      <c r="E9" s="73" t="str">
        <f>IFERROR(HLOOKUP(A$5,#REF!,[2]SA_GRILLE_STEU!$A9+2,FALSE),"")</f>
        <v/>
      </c>
      <c r="F9" s="217">
        <v>1</v>
      </c>
      <c r="G9" s="8" t="str">
        <f>IFERROR(HLOOKUP(F$5,#REF!,[2]SA_GRILLE_STEU!$A9+2,FALSE),"")</f>
        <v/>
      </c>
      <c r="H9" s="116"/>
      <c r="I9" s="74" t="str">
        <f>IFERROR(HLOOKUP(F$5,#REF!,[2]SA_GRILLE_STEU!$A9+2,FALSE),"")</f>
        <v/>
      </c>
      <c r="J9" s="73" t="str">
        <f>IFERROR(HLOOKUP(F$5,#REF!,[2]SA_GRILLE_STEU!$A9+2,FALSE),"")</f>
        <v/>
      </c>
      <c r="K9" s="217">
        <v>1</v>
      </c>
      <c r="L9" s="8" t="str">
        <f>IFERROR(HLOOKUP(K$5,#REF!,[2]SA_GRILLE_STEU!$A9+2,FALSE),"")</f>
        <v/>
      </c>
      <c r="M9" s="116"/>
      <c r="N9" s="74" t="str">
        <f>IFERROR(HLOOKUP(K$5,#REF!,[2]SA_GRILLE_STEU!$A9+2,FALSE),"")</f>
        <v/>
      </c>
      <c r="O9" s="73" t="str">
        <f>IFERROR(HLOOKUP(K$5,#REF!,[2]SA_GRILLE_STEU!$A9+2,FALSE),"")</f>
        <v/>
      </c>
      <c r="P9" s="217">
        <v>1</v>
      </c>
      <c r="Q9" s="8" t="str">
        <f>IFERROR(HLOOKUP(P$5,#REF!,[2]SA_GRILLE_STEU!$A9+2,FALSE),"")</f>
        <v/>
      </c>
      <c r="R9" s="116"/>
      <c r="S9" s="74" t="str">
        <f>IFERROR(HLOOKUP(P$5,#REF!,[2]SA_GRILLE_STEU!$A9+2,FALSE),"")</f>
        <v/>
      </c>
      <c r="T9" s="73" t="str">
        <f>IFERROR(HLOOKUP(P$5,#REF!,[2]SA_GRILLE_STEU!$A9+2,FALSE),"")</f>
        <v/>
      </c>
      <c r="U9" s="217">
        <v>1</v>
      </c>
      <c r="V9" s="8" t="str">
        <f>IFERROR(HLOOKUP(U$5,#REF!,[2]SA_GRILLE_STEU!$A9+2,FALSE),"")</f>
        <v/>
      </c>
      <c r="W9" s="116"/>
      <c r="X9" s="74" t="str">
        <f>IFERROR(HLOOKUP(U$5,#REF!,[2]SA_GRILLE_STEU!$A9+2,FALSE),"")</f>
        <v/>
      </c>
      <c r="Y9" s="73" t="str">
        <f>IFERROR(HLOOKUP(U$5,#REF!,[2]SA_GRILLE_STEU!$A9+2,FALSE),"")</f>
        <v/>
      </c>
      <c r="Z9" s="217">
        <v>1</v>
      </c>
      <c r="AA9" s="8" t="str">
        <f>IFERROR(HLOOKUP(Z$5,#REF!,[2]SA_GRILLE_STEU!$A9+2,FALSE),"")</f>
        <v/>
      </c>
      <c r="AB9" s="116"/>
      <c r="AC9" s="74" t="str">
        <f>IFERROR(HLOOKUP(Z$5,#REF!,[2]SA_GRILLE_STEU!$A9+2,FALSE),"")</f>
        <v/>
      </c>
      <c r="AD9" s="73" t="str">
        <f>IFERROR(HLOOKUP(Z$5,#REF!,[2]SA_GRILLE_STEU!$A9+2,FALSE),"")</f>
        <v/>
      </c>
      <c r="AE9" s="217">
        <v>1</v>
      </c>
      <c r="AF9" s="8" t="str">
        <f>IFERROR(HLOOKUP(AE$5,#REF!,[2]SA_GRILLE_STEU!$A9+2,FALSE),"")</f>
        <v/>
      </c>
      <c r="AG9" s="116"/>
      <c r="AH9" s="74" t="str">
        <f>IFERROR(HLOOKUP(AE$5,#REF!,[2]SA_GRILLE_STEU!$A9+2,FALSE),"")</f>
        <v/>
      </c>
      <c r="AI9" s="73" t="str">
        <f>IFERROR(HLOOKUP(AE$5,#REF!,[2]SA_GRILLE_STEU!$A9+2,FALSE),"")</f>
        <v/>
      </c>
      <c r="AJ9" s="217">
        <v>1</v>
      </c>
      <c r="AK9" s="8" t="str">
        <f>IFERROR(HLOOKUP(AJ$5,#REF!,[2]SA_GRILLE_STEU!$A9+2,FALSE),"")</f>
        <v/>
      </c>
      <c r="AL9" s="116"/>
      <c r="AM9" s="74" t="str">
        <f>IFERROR(HLOOKUP(AJ$5,#REF!,[2]SA_GRILLE_STEU!$A9+2,FALSE),"")</f>
        <v/>
      </c>
      <c r="AN9" s="73" t="str">
        <f>IFERROR(HLOOKUP(AJ$5,#REF!,[2]SA_GRILLE_STEU!$A9+2,FALSE),"")</f>
        <v/>
      </c>
      <c r="AO9" s="217">
        <v>1</v>
      </c>
      <c r="AP9" s="8" t="str">
        <f>IFERROR(HLOOKUP(AO$5,#REF!,[2]SA_GRILLE_STEU!$A9+2,FALSE),"")</f>
        <v/>
      </c>
      <c r="AQ9" s="116"/>
      <c r="AR9" s="74" t="str">
        <f>IFERROR(HLOOKUP(AO$5,#REF!,[2]SA_GRILLE_STEU!$A9+2,FALSE),"")</f>
        <v/>
      </c>
      <c r="AS9" s="73" t="str">
        <f>IFERROR(HLOOKUP(AO$5,#REF!,[2]SA_GRILLE_STEU!$A9+2,FALSE),"")</f>
        <v/>
      </c>
      <c r="AT9" s="217">
        <v>1</v>
      </c>
      <c r="AU9" s="8" t="str">
        <f>IFERROR(HLOOKUP(AT$5,#REF!,[2]SA_GRILLE_STEU!$A9+2,FALSE),"")</f>
        <v/>
      </c>
      <c r="AV9" s="116"/>
      <c r="AW9" s="74" t="str">
        <f>IFERROR(HLOOKUP(AT$5,#REF!,[2]SA_GRILLE_STEU!$A9+2,FALSE),"")</f>
        <v/>
      </c>
      <c r="AX9" s="73" t="str">
        <f>IFERROR(HLOOKUP(AT$5,#REF!,[2]SA_GRILLE_STEU!$A9+2,FALSE),"")</f>
        <v/>
      </c>
      <c r="AY9" s="217">
        <v>1</v>
      </c>
      <c r="AZ9" s="8" t="str">
        <f>IFERROR(HLOOKUP(AY$5,#REF!,[2]SA_GRILLE_STEU!$A9+2,FALSE),"")</f>
        <v/>
      </c>
      <c r="BA9" s="116"/>
      <c r="BB9" s="74" t="str">
        <f>IFERROR(HLOOKUP(AY$5,#REF!,[2]SA_GRILLE_STEU!$A9+2,FALSE),"")</f>
        <v/>
      </c>
      <c r="BC9" s="73" t="str">
        <f>IFERROR(HLOOKUP(AY$5,#REF!,[2]SA_GRILLE_STEU!$A9+2,FALSE),"")</f>
        <v/>
      </c>
      <c r="BD9" s="217">
        <v>1</v>
      </c>
      <c r="BE9" s="8" t="str">
        <f>IFERROR(HLOOKUP(BD$5,#REF!,[2]SA_GRILLE_STEU!$A9+2,FALSE),"")</f>
        <v/>
      </c>
      <c r="BF9" s="116"/>
      <c r="BG9" s="77" t="str">
        <f>IFERROR(HLOOKUP(BD$5,#REF!,[2]SA_GRILLE_STEU!$A9+2,FALSE),"")</f>
        <v/>
      </c>
      <c r="BH9" s="76" t="str">
        <f>IFERROR(HLOOKUP(BD$5,#REF!,[2]SA_GRILLE_STEU!$A9+2,FALSE),"")</f>
        <v/>
      </c>
    </row>
    <row r="10" spans="1:60" ht="30.75" customHeight="1" x14ac:dyDescent="0.4">
      <c r="A10" s="217">
        <v>2</v>
      </c>
      <c r="B10" s="9" t="str">
        <f>IFERROR(HLOOKUP(A$5,#REF!,[2]SA_GRILLE_STEU!$A10+2,FALSE),"")</f>
        <v/>
      </c>
      <c r="C10" s="116"/>
      <c r="D10" s="152" t="str">
        <f>IFERROR(HLOOKUP(A$5,#REF!,[2]SA_GRILLE_STEU!$A10+2,FALSE),"")</f>
        <v/>
      </c>
      <c r="E10" s="73" t="str">
        <f>IFERROR(HLOOKUP(A$5,#REF!,[2]SA_GRILLE_STEU!$A10+2,FALSE),"")</f>
        <v/>
      </c>
      <c r="F10" s="217">
        <v>2</v>
      </c>
      <c r="G10" s="8" t="str">
        <f>IFERROR(HLOOKUP(F$5,#REF!,[2]SA_GRILLE_STEU!$A10+2,FALSE),"")</f>
        <v/>
      </c>
      <c r="H10" s="116"/>
      <c r="I10" s="74" t="str">
        <f>IFERROR(HLOOKUP(F$5,#REF!,[2]SA_GRILLE_STEU!$A10+2,FALSE),"")</f>
        <v/>
      </c>
      <c r="J10" s="73" t="str">
        <f>IFERROR(HLOOKUP(F$5,#REF!,[2]SA_GRILLE_STEU!$A10+2,FALSE),"")</f>
        <v/>
      </c>
      <c r="K10" s="217">
        <v>2</v>
      </c>
      <c r="L10" s="8" t="str">
        <f>IFERROR(HLOOKUP(K$5,#REF!,[2]SA_GRILLE_STEU!$A10+2,FALSE),"")</f>
        <v/>
      </c>
      <c r="M10" s="116"/>
      <c r="N10" s="74" t="str">
        <f>IFERROR(HLOOKUP(K$5,#REF!,[2]SA_GRILLE_STEU!$A10+2,FALSE),"")</f>
        <v/>
      </c>
      <c r="O10" s="73" t="str">
        <f>IFERROR(HLOOKUP(K$5,#REF!,[2]SA_GRILLE_STEU!$A10+2,FALSE),"")</f>
        <v/>
      </c>
      <c r="P10" s="217">
        <v>2</v>
      </c>
      <c r="Q10" s="8" t="str">
        <f>IFERROR(HLOOKUP(P$5,#REF!,[2]SA_GRILLE_STEU!$A10+2,FALSE),"")</f>
        <v/>
      </c>
      <c r="R10" s="116"/>
      <c r="S10" s="74" t="str">
        <f>IFERROR(HLOOKUP(P$5,#REF!,[2]SA_GRILLE_STEU!$A10+2,FALSE),"")</f>
        <v/>
      </c>
      <c r="T10" s="73" t="str">
        <f>IFERROR(HLOOKUP(P$5,#REF!,[2]SA_GRILLE_STEU!$A10+2,FALSE),"")</f>
        <v/>
      </c>
      <c r="U10" s="217">
        <v>2</v>
      </c>
      <c r="V10" s="8" t="str">
        <f>IFERROR(HLOOKUP(U$5,#REF!,[2]SA_GRILLE_STEU!$A10+2,FALSE),"")</f>
        <v/>
      </c>
      <c r="W10" s="116"/>
      <c r="X10" s="74" t="str">
        <f>IFERROR(HLOOKUP(U$5,#REF!,[2]SA_GRILLE_STEU!$A10+2,FALSE),"")</f>
        <v/>
      </c>
      <c r="Y10" s="73" t="str">
        <f>IFERROR(HLOOKUP(U$5,#REF!,[2]SA_GRILLE_STEU!$A10+2,FALSE),"")</f>
        <v/>
      </c>
      <c r="Z10" s="217">
        <v>2</v>
      </c>
      <c r="AA10" s="8" t="str">
        <f>IFERROR(HLOOKUP(Z$5,#REF!,[2]SA_GRILLE_STEU!$A10+2,FALSE),"")</f>
        <v/>
      </c>
      <c r="AB10" s="116"/>
      <c r="AC10" s="74" t="str">
        <f>IFERROR(HLOOKUP(Z$5,#REF!,[2]SA_GRILLE_STEU!$A10+2,FALSE),"")</f>
        <v/>
      </c>
      <c r="AD10" s="73" t="str">
        <f>IFERROR(HLOOKUP(Z$5,#REF!,[2]SA_GRILLE_STEU!$A10+2,FALSE),"")</f>
        <v/>
      </c>
      <c r="AE10" s="217">
        <v>2</v>
      </c>
      <c r="AF10" s="8" t="str">
        <f>IFERROR(HLOOKUP(AE$5,#REF!,[2]SA_GRILLE_STEU!$A10+2,FALSE),"")</f>
        <v/>
      </c>
      <c r="AG10" s="116"/>
      <c r="AH10" s="74" t="str">
        <f>IFERROR(HLOOKUP(AE$5,#REF!,[2]SA_GRILLE_STEU!$A10+2,FALSE),"")</f>
        <v/>
      </c>
      <c r="AI10" s="73" t="str">
        <f>IFERROR(HLOOKUP(AE$5,#REF!,[2]SA_GRILLE_STEU!$A10+2,FALSE),"")</f>
        <v/>
      </c>
      <c r="AJ10" s="217">
        <v>2</v>
      </c>
      <c r="AK10" s="8" t="str">
        <f>IFERROR(HLOOKUP(AJ$5,#REF!,[2]SA_GRILLE_STEU!$A10+2,FALSE),"")</f>
        <v/>
      </c>
      <c r="AL10" s="116"/>
      <c r="AM10" s="74" t="str">
        <f>IFERROR(HLOOKUP(AJ$5,#REF!,[2]SA_GRILLE_STEU!$A10+2,FALSE),"")</f>
        <v/>
      </c>
      <c r="AN10" s="73" t="str">
        <f>IFERROR(HLOOKUP(AJ$5,#REF!,[2]SA_GRILLE_STEU!$A10+2,FALSE),"")</f>
        <v/>
      </c>
      <c r="AO10" s="217">
        <v>2</v>
      </c>
      <c r="AP10" s="8" t="str">
        <f>IFERROR(HLOOKUP(AO$5,#REF!,[2]SA_GRILLE_STEU!$A10+2,FALSE),"")</f>
        <v/>
      </c>
      <c r="AQ10" s="116"/>
      <c r="AR10" s="74" t="str">
        <f>IFERROR(HLOOKUP(AO$5,#REF!,[2]SA_GRILLE_STEU!$A10+2,FALSE),"")</f>
        <v/>
      </c>
      <c r="AS10" s="73" t="str">
        <f>IFERROR(HLOOKUP(AO$5,#REF!,[2]SA_GRILLE_STEU!$A10+2,FALSE),"")</f>
        <v/>
      </c>
      <c r="AT10" s="217">
        <v>2</v>
      </c>
      <c r="AU10" s="8" t="str">
        <f>IFERROR(HLOOKUP(AT$5,#REF!,[2]SA_GRILLE_STEU!$A10+2,FALSE),"")</f>
        <v/>
      </c>
      <c r="AV10" s="116"/>
      <c r="AW10" s="74" t="str">
        <f>IFERROR(HLOOKUP(AT$5,#REF!,[2]SA_GRILLE_STEU!$A10+2,FALSE),"")</f>
        <v/>
      </c>
      <c r="AX10" s="73" t="str">
        <f>IFERROR(HLOOKUP(AT$5,#REF!,[2]SA_GRILLE_STEU!$A10+2,FALSE),"")</f>
        <v/>
      </c>
      <c r="AY10" s="217">
        <v>2</v>
      </c>
      <c r="AZ10" s="8" t="str">
        <f>IFERROR(HLOOKUP(AY$5,#REF!,[2]SA_GRILLE_STEU!$A10+2,FALSE),"")</f>
        <v/>
      </c>
      <c r="BA10" s="116"/>
      <c r="BB10" s="74" t="str">
        <f>IFERROR(HLOOKUP(AY$5,#REF!,[2]SA_GRILLE_STEU!$A10+2,FALSE),"")</f>
        <v/>
      </c>
      <c r="BC10" s="73" t="str">
        <f>IFERROR(HLOOKUP(AY$5,#REF!,[2]SA_GRILLE_STEU!$A10+2,FALSE),"")</f>
        <v/>
      </c>
      <c r="BD10" s="217">
        <v>2</v>
      </c>
      <c r="BE10" s="8" t="str">
        <f>IFERROR(HLOOKUP(BD$5,#REF!,[2]SA_GRILLE_STEU!$A10+2,FALSE),"")</f>
        <v/>
      </c>
      <c r="BF10" s="116"/>
      <c r="BG10" s="77" t="str">
        <f>IFERROR(HLOOKUP(BD$5,#REF!,[2]SA_GRILLE_STEU!$A10+2,FALSE),"")</f>
        <v/>
      </c>
      <c r="BH10" s="76" t="str">
        <f>IFERROR(HLOOKUP(BD$5,#REF!,[2]SA_GRILLE_STEU!$A10+2,FALSE),"")</f>
        <v/>
      </c>
    </row>
    <row r="11" spans="1:60" ht="58.5" customHeight="1" x14ac:dyDescent="0.4">
      <c r="A11" s="217">
        <v>3</v>
      </c>
      <c r="B11" s="9" t="str">
        <f>IFERROR(HLOOKUP(A$5,#REF!,[2]SA_GRILLE_STEU!$A11+2,FALSE),"")</f>
        <v/>
      </c>
      <c r="C11" s="116"/>
      <c r="D11" s="152" t="str">
        <f>IFERROR(HLOOKUP(A$5,#REF!,[2]SA_GRILLE_STEU!$A11+2,FALSE),"")</f>
        <v/>
      </c>
      <c r="E11" s="73" t="str">
        <f>IFERROR(HLOOKUP(A$5,#REF!,[2]SA_GRILLE_STEU!$A11+2,FALSE),"")</f>
        <v/>
      </c>
      <c r="F11" s="217">
        <v>3</v>
      </c>
      <c r="G11" s="8" t="str">
        <f>IFERROR(HLOOKUP(F$5,#REF!,[2]SA_GRILLE_STEU!$A11+2,FALSE),"")</f>
        <v/>
      </c>
      <c r="H11" s="116"/>
      <c r="I11" s="74" t="str">
        <f>IFERROR(HLOOKUP(F$5,#REF!,[2]SA_GRILLE_STEU!$A11+2,FALSE),"")</f>
        <v/>
      </c>
      <c r="J11" s="73" t="str">
        <f>IFERROR(HLOOKUP(F$5,#REF!,[2]SA_GRILLE_STEU!$A11+2,FALSE),"")</f>
        <v/>
      </c>
      <c r="K11" s="217">
        <v>3</v>
      </c>
      <c r="L11" s="8" t="str">
        <f>IFERROR(HLOOKUP(K$5,#REF!,[2]SA_GRILLE_STEU!$A11+2,FALSE),"")</f>
        <v/>
      </c>
      <c r="M11" s="116"/>
      <c r="N11" s="74" t="str">
        <f>IFERROR(HLOOKUP(K$5,#REF!,[2]SA_GRILLE_STEU!$A11+2,FALSE),"")</f>
        <v/>
      </c>
      <c r="O11" s="73" t="str">
        <f>IFERROR(HLOOKUP(K$5,#REF!,[2]SA_GRILLE_STEU!$A11+2,FALSE),"")</f>
        <v/>
      </c>
      <c r="P11" s="217">
        <v>3</v>
      </c>
      <c r="Q11" s="8" t="str">
        <f>IFERROR(HLOOKUP(P$5,#REF!,[2]SA_GRILLE_STEU!$A11+2,FALSE),"")</f>
        <v/>
      </c>
      <c r="R11" s="116"/>
      <c r="S11" s="74" t="str">
        <f>IFERROR(HLOOKUP(P$5,#REF!,[2]SA_GRILLE_STEU!$A11+2,FALSE),"")</f>
        <v/>
      </c>
      <c r="T11" s="73" t="str">
        <f>IFERROR(HLOOKUP(P$5,#REF!,[2]SA_GRILLE_STEU!$A11+2,FALSE),"")</f>
        <v/>
      </c>
      <c r="U11" s="217">
        <v>3</v>
      </c>
      <c r="V11" s="8" t="str">
        <f>IFERROR(HLOOKUP(U$5,#REF!,[2]SA_GRILLE_STEU!$A11+2,FALSE),"")</f>
        <v/>
      </c>
      <c r="W11" s="116"/>
      <c r="X11" s="74" t="str">
        <f>IFERROR(HLOOKUP(U$5,#REF!,[2]SA_GRILLE_STEU!$A11+2,FALSE),"")</f>
        <v/>
      </c>
      <c r="Y11" s="73" t="str">
        <f>IFERROR(HLOOKUP(U$5,#REF!,[2]SA_GRILLE_STEU!$A11+2,FALSE),"")</f>
        <v/>
      </c>
      <c r="Z11" s="217">
        <v>3</v>
      </c>
      <c r="AA11" s="8" t="str">
        <f>IFERROR(HLOOKUP(Z$5,#REF!,[2]SA_GRILLE_STEU!$A11+2,FALSE),"")</f>
        <v/>
      </c>
      <c r="AB11" s="116"/>
      <c r="AC11" s="74" t="str">
        <f>IFERROR(HLOOKUP(Z$5,#REF!,[2]SA_GRILLE_STEU!$A11+2,FALSE),"")</f>
        <v/>
      </c>
      <c r="AD11" s="73" t="str">
        <f>IFERROR(HLOOKUP(Z$5,#REF!,[2]SA_GRILLE_STEU!$A11+2,FALSE),"")</f>
        <v/>
      </c>
      <c r="AE11" s="217">
        <v>3</v>
      </c>
      <c r="AF11" s="8" t="str">
        <f>IFERROR(HLOOKUP(AE$5,#REF!,[2]SA_GRILLE_STEU!$A11+2,FALSE),"")</f>
        <v/>
      </c>
      <c r="AG11" s="116"/>
      <c r="AH11" s="74" t="str">
        <f>IFERROR(HLOOKUP(AE$5,#REF!,[2]SA_GRILLE_STEU!$A11+2,FALSE),"")</f>
        <v/>
      </c>
      <c r="AI11" s="73" t="str">
        <f>IFERROR(HLOOKUP(AE$5,#REF!,[2]SA_GRILLE_STEU!$A11+2,FALSE),"")</f>
        <v/>
      </c>
      <c r="AJ11" s="217">
        <v>3</v>
      </c>
      <c r="AK11" s="8" t="str">
        <f>IFERROR(HLOOKUP(AJ$5,#REF!,[2]SA_GRILLE_STEU!$A11+2,FALSE),"")</f>
        <v/>
      </c>
      <c r="AL11" s="116"/>
      <c r="AM11" s="74" t="str">
        <f>IFERROR(HLOOKUP(AJ$5,#REF!,[2]SA_GRILLE_STEU!$A11+2,FALSE),"")</f>
        <v/>
      </c>
      <c r="AN11" s="73" t="str">
        <f>IFERROR(HLOOKUP(AJ$5,#REF!,[2]SA_GRILLE_STEU!$A11+2,FALSE),"")</f>
        <v/>
      </c>
      <c r="AO11" s="217">
        <v>3</v>
      </c>
      <c r="AP11" s="8" t="str">
        <f>IFERROR(HLOOKUP(AO$5,#REF!,[2]SA_GRILLE_STEU!$A11+2,FALSE),"")</f>
        <v/>
      </c>
      <c r="AQ11" s="116"/>
      <c r="AR11" s="74" t="str">
        <f>IFERROR(HLOOKUP(AO$5,#REF!,[2]SA_GRILLE_STEU!$A11+2,FALSE),"")</f>
        <v/>
      </c>
      <c r="AS11" s="73" t="str">
        <f>IFERROR(HLOOKUP(AO$5,#REF!,[2]SA_GRILLE_STEU!$A11+2,FALSE),"")</f>
        <v/>
      </c>
      <c r="AT11" s="217">
        <v>3</v>
      </c>
      <c r="AU11" s="8" t="str">
        <f>IFERROR(HLOOKUP(AT$5,#REF!,[2]SA_GRILLE_STEU!$A11+2,FALSE),"")</f>
        <v/>
      </c>
      <c r="AV11" s="116"/>
      <c r="AW11" s="74" t="str">
        <f>IFERROR(HLOOKUP(AT$5,#REF!,[2]SA_GRILLE_STEU!$A11+2,FALSE),"")</f>
        <v/>
      </c>
      <c r="AX11" s="73" t="str">
        <f>IFERROR(HLOOKUP(AT$5,#REF!,[2]SA_GRILLE_STEU!$A11+2,FALSE),"")</f>
        <v/>
      </c>
      <c r="AY11" s="217">
        <v>3</v>
      </c>
      <c r="AZ11" s="8" t="str">
        <f>IFERROR(HLOOKUP(AY$5,#REF!,[2]SA_GRILLE_STEU!$A11+2,FALSE),"")</f>
        <v/>
      </c>
      <c r="BA11" s="116"/>
      <c r="BB11" s="74" t="str">
        <f>IFERROR(HLOOKUP(AY$5,#REF!,[2]SA_GRILLE_STEU!$A11+2,FALSE),"")</f>
        <v/>
      </c>
      <c r="BC11" s="73" t="str">
        <f>IFERROR(HLOOKUP(AY$5,#REF!,[2]SA_GRILLE_STEU!$A11+2,FALSE),"")</f>
        <v/>
      </c>
      <c r="BD11" s="217">
        <v>3</v>
      </c>
      <c r="BE11" s="8" t="str">
        <f>IFERROR(HLOOKUP(BD$5,#REF!,[2]SA_GRILLE_STEU!$A11+2,FALSE),"")</f>
        <v/>
      </c>
      <c r="BF11" s="116"/>
      <c r="BG11" s="77" t="str">
        <f>IFERROR(HLOOKUP(BD$5,#REF!,[2]SA_GRILLE_STEU!$A11+2,FALSE),"")</f>
        <v/>
      </c>
      <c r="BH11" s="76" t="str">
        <f>IFERROR(HLOOKUP(BD$5,#REF!,[2]SA_GRILLE_STEU!$A11+2,FALSE),"")</f>
        <v/>
      </c>
    </row>
    <row r="12" spans="1:60" ht="30" customHeight="1" x14ac:dyDescent="0.4">
      <c r="A12" s="217">
        <v>4</v>
      </c>
      <c r="B12" s="9" t="str">
        <f>IFERROR(HLOOKUP(A$5,#REF!,[2]SA_GRILLE_STEU!$A12+2,FALSE),"")</f>
        <v/>
      </c>
      <c r="C12" s="116"/>
      <c r="D12" s="152" t="str">
        <f>IFERROR(HLOOKUP(A$5,#REF!,[2]SA_GRILLE_STEU!$A12+2,FALSE),"")</f>
        <v/>
      </c>
      <c r="E12" s="73" t="str">
        <f>IFERROR(HLOOKUP(A$5,#REF!,[2]SA_GRILLE_STEU!$A12+2,FALSE),"")</f>
        <v/>
      </c>
      <c r="F12" s="217">
        <v>4</v>
      </c>
      <c r="G12" s="8" t="str">
        <f>IFERROR(HLOOKUP(F$5,#REF!,[2]SA_GRILLE_STEU!$A12+2,FALSE),"")</f>
        <v/>
      </c>
      <c r="H12" s="116"/>
      <c r="I12" s="74" t="str">
        <f>IFERROR(HLOOKUP(F$5,#REF!,[2]SA_GRILLE_STEU!$A12+2,FALSE),"")</f>
        <v/>
      </c>
      <c r="J12" s="73" t="str">
        <f>IFERROR(HLOOKUP(F$5,#REF!,[2]SA_GRILLE_STEU!$A12+2,FALSE),"")</f>
        <v/>
      </c>
      <c r="K12" s="217">
        <v>4</v>
      </c>
      <c r="L12" s="8" t="str">
        <f>IFERROR(HLOOKUP(K$5,#REF!,[2]SA_GRILLE_STEU!$A12+2,FALSE),"")</f>
        <v/>
      </c>
      <c r="M12" s="116"/>
      <c r="N12" s="74" t="str">
        <f>IFERROR(HLOOKUP(K$5,#REF!,[2]SA_GRILLE_STEU!$A12+2,FALSE),"")</f>
        <v/>
      </c>
      <c r="O12" s="73" t="str">
        <f>IFERROR(HLOOKUP(K$5,#REF!,[2]SA_GRILLE_STEU!$A12+2,FALSE),"")</f>
        <v/>
      </c>
      <c r="P12" s="217">
        <v>4</v>
      </c>
      <c r="Q12" s="8" t="str">
        <f>IFERROR(HLOOKUP(P$5,#REF!,[2]SA_GRILLE_STEU!$A12+2,FALSE),"")</f>
        <v/>
      </c>
      <c r="R12" s="116"/>
      <c r="S12" s="74" t="str">
        <f>IFERROR(HLOOKUP(P$5,#REF!,[2]SA_GRILLE_STEU!$A12+2,FALSE),"")</f>
        <v/>
      </c>
      <c r="T12" s="73" t="str">
        <f>IFERROR(HLOOKUP(P$5,#REF!,[2]SA_GRILLE_STEU!$A12+2,FALSE),"")</f>
        <v/>
      </c>
      <c r="U12" s="217">
        <v>4</v>
      </c>
      <c r="V12" s="8" t="str">
        <f>IFERROR(HLOOKUP(U$5,#REF!,[2]SA_GRILLE_STEU!$A12+2,FALSE),"")</f>
        <v/>
      </c>
      <c r="W12" s="116"/>
      <c r="X12" s="74" t="str">
        <f>IFERROR(HLOOKUP(U$5,#REF!,[2]SA_GRILLE_STEU!$A12+2,FALSE),"")</f>
        <v/>
      </c>
      <c r="Y12" s="73" t="str">
        <f>IFERROR(HLOOKUP(U$5,#REF!,[2]SA_GRILLE_STEU!$A12+2,FALSE),"")</f>
        <v/>
      </c>
      <c r="Z12" s="217">
        <v>4</v>
      </c>
      <c r="AA12" s="8" t="str">
        <f>IFERROR(HLOOKUP(Z$5,#REF!,[2]SA_GRILLE_STEU!$A12+2,FALSE),"")</f>
        <v/>
      </c>
      <c r="AB12" s="116"/>
      <c r="AC12" s="74" t="str">
        <f>IFERROR(HLOOKUP(Z$5,#REF!,[2]SA_GRILLE_STEU!$A12+2,FALSE),"")</f>
        <v/>
      </c>
      <c r="AD12" s="73" t="str">
        <f>IFERROR(HLOOKUP(Z$5,#REF!,[2]SA_GRILLE_STEU!$A12+2,FALSE),"")</f>
        <v/>
      </c>
      <c r="AE12" s="217">
        <v>4</v>
      </c>
      <c r="AF12" s="8" t="str">
        <f>IFERROR(HLOOKUP(AE$5,#REF!,[2]SA_GRILLE_STEU!$A12+2,FALSE),"")</f>
        <v/>
      </c>
      <c r="AG12" s="116"/>
      <c r="AH12" s="74" t="str">
        <f>IFERROR(HLOOKUP(AE$5,#REF!,[2]SA_GRILLE_STEU!$A12+2,FALSE),"")</f>
        <v/>
      </c>
      <c r="AI12" s="73" t="str">
        <f>IFERROR(HLOOKUP(AE$5,#REF!,[2]SA_GRILLE_STEU!$A12+2,FALSE),"")</f>
        <v/>
      </c>
      <c r="AJ12" s="217">
        <v>4</v>
      </c>
      <c r="AK12" s="8" t="str">
        <f>IFERROR(HLOOKUP(AJ$5,#REF!,[2]SA_GRILLE_STEU!$A12+2,FALSE),"")</f>
        <v/>
      </c>
      <c r="AL12" s="116"/>
      <c r="AM12" s="74" t="str">
        <f>IFERROR(HLOOKUP(AJ$5,#REF!,[2]SA_GRILLE_STEU!$A12+2,FALSE),"")</f>
        <v/>
      </c>
      <c r="AN12" s="73" t="str">
        <f>IFERROR(HLOOKUP(AJ$5,#REF!,[2]SA_GRILLE_STEU!$A12+2,FALSE),"")</f>
        <v/>
      </c>
      <c r="AO12" s="217">
        <v>4</v>
      </c>
      <c r="AP12" s="8" t="str">
        <f>IFERROR(HLOOKUP(AO$5,#REF!,[2]SA_GRILLE_STEU!$A12+2,FALSE),"")</f>
        <v/>
      </c>
      <c r="AQ12" s="116"/>
      <c r="AR12" s="74" t="str">
        <f>IFERROR(HLOOKUP(AO$5,#REF!,[2]SA_GRILLE_STEU!$A12+2,FALSE),"")</f>
        <v/>
      </c>
      <c r="AS12" s="73" t="str">
        <f>IFERROR(HLOOKUP(AO$5,#REF!,[2]SA_GRILLE_STEU!$A12+2,FALSE),"")</f>
        <v/>
      </c>
      <c r="AT12" s="217">
        <v>4</v>
      </c>
      <c r="AU12" s="8" t="str">
        <f>IFERROR(HLOOKUP(AT$5,#REF!,[2]SA_GRILLE_STEU!$A12+2,FALSE),"")</f>
        <v/>
      </c>
      <c r="AV12" s="116"/>
      <c r="AW12" s="74" t="str">
        <f>IFERROR(HLOOKUP(AT$5,#REF!,[2]SA_GRILLE_STEU!$A12+2,FALSE),"")</f>
        <v/>
      </c>
      <c r="AX12" s="73" t="str">
        <f>IFERROR(HLOOKUP(AT$5,#REF!,[2]SA_GRILLE_STEU!$A12+2,FALSE),"")</f>
        <v/>
      </c>
      <c r="AY12" s="217">
        <v>4</v>
      </c>
      <c r="AZ12" s="8" t="str">
        <f>IFERROR(HLOOKUP(AY$5,#REF!,[2]SA_GRILLE_STEU!$A12+2,FALSE),"")</f>
        <v/>
      </c>
      <c r="BA12" s="116"/>
      <c r="BB12" s="74" t="str">
        <f>IFERROR(HLOOKUP(AY$5,#REF!,[2]SA_GRILLE_STEU!$A12+2,FALSE),"")</f>
        <v/>
      </c>
      <c r="BC12" s="73" t="str">
        <f>IFERROR(HLOOKUP(AY$5,#REF!,[2]SA_GRILLE_STEU!$A12+2,FALSE),"")</f>
        <v/>
      </c>
      <c r="BD12" s="217">
        <v>4</v>
      </c>
      <c r="BE12" s="8" t="str">
        <f>IFERROR(HLOOKUP(BD$5,#REF!,[2]SA_GRILLE_STEU!$A12+2,FALSE),"")</f>
        <v/>
      </c>
      <c r="BF12" s="116"/>
      <c r="BG12" s="77" t="str">
        <f>IFERROR(HLOOKUP(BD$5,#REF!,[2]SA_GRILLE_STEU!$A12+2,FALSE),"")</f>
        <v/>
      </c>
      <c r="BH12" s="76" t="str">
        <f>IFERROR(HLOOKUP(BD$5,#REF!,[2]SA_GRILLE_STEU!$A12+2,FALSE),"")</f>
        <v/>
      </c>
    </row>
    <row r="13" spans="1:60" ht="80.25" customHeight="1" x14ac:dyDescent="0.4">
      <c r="A13" s="217">
        <v>5</v>
      </c>
      <c r="B13" s="9" t="str">
        <f>IFERROR(HLOOKUP(A$5,#REF!,[2]SA_GRILLE_STEU!$A13+2,FALSE),"")</f>
        <v/>
      </c>
      <c r="C13" s="116"/>
      <c r="D13" s="152" t="str">
        <f>IFERROR(HLOOKUP(A$5,#REF!,[2]SA_GRILLE_STEU!$A13+2,FALSE),"")</f>
        <v/>
      </c>
      <c r="E13" s="73" t="str">
        <f>IFERROR(HLOOKUP(A$5,#REF!,[2]SA_GRILLE_STEU!$A13+2,FALSE),"")</f>
        <v/>
      </c>
      <c r="F13" s="217">
        <v>5</v>
      </c>
      <c r="G13" s="8" t="str">
        <f>IFERROR(HLOOKUP(F$5,#REF!,[2]SA_GRILLE_STEU!$A13+2,FALSE),"")</f>
        <v/>
      </c>
      <c r="H13" s="116"/>
      <c r="I13" s="74" t="str">
        <f>IFERROR(HLOOKUP(F$5,#REF!,[2]SA_GRILLE_STEU!$A13+2,FALSE),"")</f>
        <v/>
      </c>
      <c r="J13" s="73" t="str">
        <f>IFERROR(HLOOKUP(F$5,#REF!,[2]SA_GRILLE_STEU!$A13+2,FALSE),"")</f>
        <v/>
      </c>
      <c r="K13" s="217">
        <v>5</v>
      </c>
      <c r="L13" s="8" t="str">
        <f>IFERROR(HLOOKUP(K$5,#REF!,[2]SA_GRILLE_STEU!$A13+2,FALSE),"")</f>
        <v/>
      </c>
      <c r="M13" s="116"/>
      <c r="N13" s="74" t="str">
        <f>IFERROR(HLOOKUP(K$5,#REF!,[2]SA_GRILLE_STEU!$A13+2,FALSE),"")</f>
        <v/>
      </c>
      <c r="O13" s="73" t="str">
        <f>IFERROR(HLOOKUP(K$5,#REF!,[2]SA_GRILLE_STEU!$A13+2,FALSE),"")</f>
        <v/>
      </c>
      <c r="P13" s="217">
        <v>5</v>
      </c>
      <c r="Q13" s="8" t="str">
        <f>IFERROR(HLOOKUP(P$5,#REF!,[2]SA_GRILLE_STEU!$A13+2,FALSE),"")</f>
        <v/>
      </c>
      <c r="R13" s="116"/>
      <c r="S13" s="74" t="str">
        <f>IFERROR(HLOOKUP(P$5,#REF!,[2]SA_GRILLE_STEU!$A13+2,FALSE),"")</f>
        <v/>
      </c>
      <c r="T13" s="73" t="str">
        <f>IFERROR(HLOOKUP(P$5,#REF!,[2]SA_GRILLE_STEU!$A13+2,FALSE),"")</f>
        <v/>
      </c>
      <c r="U13" s="217">
        <v>5</v>
      </c>
      <c r="V13" s="8" t="str">
        <f>IFERROR(HLOOKUP(U$5,#REF!,[2]SA_GRILLE_STEU!$A13+2,FALSE),"")</f>
        <v/>
      </c>
      <c r="W13" s="116"/>
      <c r="X13" s="74" t="str">
        <f>IFERROR(HLOOKUP(U$5,#REF!,[2]SA_GRILLE_STEU!$A13+2,FALSE),"")</f>
        <v/>
      </c>
      <c r="Y13" s="73" t="str">
        <f>IFERROR(HLOOKUP(U$5,#REF!,[2]SA_GRILLE_STEU!$A13+2,FALSE),"")</f>
        <v/>
      </c>
      <c r="Z13" s="217">
        <v>5</v>
      </c>
      <c r="AA13" s="8" t="str">
        <f>IFERROR(HLOOKUP(Z$5,#REF!,[2]SA_GRILLE_STEU!$A13+2,FALSE),"")</f>
        <v/>
      </c>
      <c r="AB13" s="116"/>
      <c r="AC13" s="74" t="str">
        <f>IFERROR(HLOOKUP(Z$5,#REF!,[2]SA_GRILLE_STEU!$A13+2,FALSE),"")</f>
        <v/>
      </c>
      <c r="AD13" s="73" t="str">
        <f>IFERROR(HLOOKUP(Z$5,#REF!,[2]SA_GRILLE_STEU!$A13+2,FALSE),"")</f>
        <v/>
      </c>
      <c r="AE13" s="217">
        <v>5</v>
      </c>
      <c r="AF13" s="8" t="str">
        <f>IFERROR(HLOOKUP(AE$5,#REF!,[2]SA_GRILLE_STEU!$A13+2,FALSE),"")</f>
        <v/>
      </c>
      <c r="AG13" s="116"/>
      <c r="AH13" s="74" t="str">
        <f>IFERROR(HLOOKUP(AE$5,#REF!,[2]SA_GRILLE_STEU!$A13+2,FALSE),"")</f>
        <v/>
      </c>
      <c r="AI13" s="73" t="str">
        <f>IFERROR(HLOOKUP(AE$5,#REF!,[2]SA_GRILLE_STEU!$A13+2,FALSE),"")</f>
        <v/>
      </c>
      <c r="AJ13" s="217">
        <v>5</v>
      </c>
      <c r="AK13" s="8" t="str">
        <f>IFERROR(HLOOKUP(AJ$5,#REF!,[2]SA_GRILLE_STEU!$A13+2,FALSE),"")</f>
        <v/>
      </c>
      <c r="AL13" s="116"/>
      <c r="AM13" s="74" t="str">
        <f>IFERROR(HLOOKUP(AJ$5,#REF!,[2]SA_GRILLE_STEU!$A13+2,FALSE),"")</f>
        <v/>
      </c>
      <c r="AN13" s="73" t="str">
        <f>IFERROR(HLOOKUP(AJ$5,#REF!,[2]SA_GRILLE_STEU!$A13+2,FALSE),"")</f>
        <v/>
      </c>
      <c r="AO13" s="217">
        <v>5</v>
      </c>
      <c r="AP13" s="8" t="str">
        <f>IFERROR(HLOOKUP(AO$5,#REF!,[2]SA_GRILLE_STEU!$A13+2,FALSE),"")</f>
        <v/>
      </c>
      <c r="AQ13" s="116"/>
      <c r="AR13" s="74" t="str">
        <f>IFERROR(HLOOKUP(AO$5,#REF!,[2]SA_GRILLE_STEU!$A13+2,FALSE),"")</f>
        <v/>
      </c>
      <c r="AS13" s="73" t="str">
        <f>IFERROR(HLOOKUP(AO$5,#REF!,[2]SA_GRILLE_STEU!$A13+2,FALSE),"")</f>
        <v/>
      </c>
      <c r="AT13" s="217">
        <v>5</v>
      </c>
      <c r="AU13" s="8" t="str">
        <f>IFERROR(HLOOKUP(AT$5,#REF!,[2]SA_GRILLE_STEU!$A13+2,FALSE),"")</f>
        <v/>
      </c>
      <c r="AV13" s="116"/>
      <c r="AW13" s="74" t="str">
        <f>IFERROR(HLOOKUP(AT$5,#REF!,[2]SA_GRILLE_STEU!$A13+2,FALSE),"")</f>
        <v/>
      </c>
      <c r="AX13" s="73" t="str">
        <f>IFERROR(HLOOKUP(AT$5,#REF!,[2]SA_GRILLE_STEU!$A13+2,FALSE),"")</f>
        <v/>
      </c>
      <c r="AY13" s="217">
        <v>5</v>
      </c>
      <c r="AZ13" s="8" t="str">
        <f>IFERROR(HLOOKUP(AY$5,#REF!,[2]SA_GRILLE_STEU!$A13+2,FALSE),"")</f>
        <v/>
      </c>
      <c r="BA13" s="116"/>
      <c r="BB13" s="74" t="str">
        <f>IFERROR(HLOOKUP(AY$5,#REF!,[2]SA_GRILLE_STEU!$A13+2,FALSE),"")</f>
        <v/>
      </c>
      <c r="BC13" s="73" t="str">
        <f>IFERROR(HLOOKUP(AY$5,#REF!,[2]SA_GRILLE_STEU!$A13+2,FALSE),"")</f>
        <v/>
      </c>
      <c r="BD13" s="217">
        <v>5</v>
      </c>
      <c r="BE13" s="8" t="str">
        <f>IFERROR(HLOOKUP(BD$5,#REF!,[2]SA_GRILLE_STEU!$A13+2,FALSE),"")</f>
        <v/>
      </c>
      <c r="BF13" s="116"/>
      <c r="BG13" s="77" t="str">
        <f>IFERROR(HLOOKUP(BD$5,#REF!,[2]SA_GRILLE_STEU!$A13+2,FALSE),"")</f>
        <v/>
      </c>
      <c r="BH13" s="76" t="str">
        <f>IFERROR(HLOOKUP(BD$5,#REF!,[2]SA_GRILLE_STEU!$A13+2,FALSE),"")</f>
        <v/>
      </c>
    </row>
    <row r="14" spans="1:60" ht="64.5" customHeight="1" x14ac:dyDescent="0.4">
      <c r="A14" s="217">
        <v>6</v>
      </c>
      <c r="B14" s="9" t="str">
        <f>IFERROR(HLOOKUP(A$5,#REF!,[2]SA_GRILLE_STEU!$A14+2,FALSE),"")</f>
        <v/>
      </c>
      <c r="C14" s="116"/>
      <c r="D14" s="152" t="str">
        <f>IFERROR(HLOOKUP(A$5,#REF!,[2]SA_GRILLE_STEU!$A14+2,FALSE),"")</f>
        <v/>
      </c>
      <c r="E14" s="73" t="str">
        <f>IFERROR(HLOOKUP(A$5,#REF!,[2]SA_GRILLE_STEU!$A14+2,FALSE),"")</f>
        <v/>
      </c>
      <c r="F14" s="217">
        <v>6</v>
      </c>
      <c r="G14" s="8" t="str">
        <f>IFERROR(HLOOKUP(F$5,#REF!,[2]SA_GRILLE_STEU!$A14+2,FALSE),"")</f>
        <v/>
      </c>
      <c r="H14" s="116"/>
      <c r="I14" s="74" t="str">
        <f>IFERROR(HLOOKUP(F$5,#REF!,[2]SA_GRILLE_STEU!$A14+2,FALSE),"")</f>
        <v/>
      </c>
      <c r="J14" s="73" t="str">
        <f>IFERROR(HLOOKUP(F$5,#REF!,[2]SA_GRILLE_STEU!$A14+2,FALSE),"")</f>
        <v/>
      </c>
      <c r="K14" s="217">
        <v>6</v>
      </c>
      <c r="L14" s="8" t="str">
        <f>IFERROR(HLOOKUP(K$5,#REF!,[2]SA_GRILLE_STEU!$A14+2,FALSE),"")</f>
        <v/>
      </c>
      <c r="M14" s="116"/>
      <c r="N14" s="74" t="str">
        <f>IFERROR(HLOOKUP(K$5,#REF!,[2]SA_GRILLE_STEU!$A14+2,FALSE),"")</f>
        <v/>
      </c>
      <c r="O14" s="73" t="str">
        <f>IFERROR(HLOOKUP(K$5,#REF!,[2]SA_GRILLE_STEU!$A14+2,FALSE),"")</f>
        <v/>
      </c>
      <c r="P14" s="217">
        <v>6</v>
      </c>
      <c r="Q14" s="8" t="str">
        <f>IFERROR(HLOOKUP(P$5,#REF!,[2]SA_GRILLE_STEU!$A14+2,FALSE),"")</f>
        <v/>
      </c>
      <c r="R14" s="116"/>
      <c r="S14" s="74" t="str">
        <f>IFERROR(HLOOKUP(P$5,#REF!,[2]SA_GRILLE_STEU!$A14+2,FALSE),"")</f>
        <v/>
      </c>
      <c r="T14" s="73" t="str">
        <f>IFERROR(HLOOKUP(P$5,#REF!,[2]SA_GRILLE_STEU!$A14+2,FALSE),"")</f>
        <v/>
      </c>
      <c r="U14" s="217">
        <v>6</v>
      </c>
      <c r="V14" s="8" t="str">
        <f>IFERROR(HLOOKUP(U$5,#REF!,[2]SA_GRILLE_STEU!$A14+2,FALSE),"")</f>
        <v/>
      </c>
      <c r="W14" s="116"/>
      <c r="X14" s="74" t="str">
        <f>IFERROR(HLOOKUP(U$5,#REF!,[2]SA_GRILLE_STEU!$A14+2,FALSE),"")</f>
        <v/>
      </c>
      <c r="Y14" s="73" t="str">
        <f>IFERROR(HLOOKUP(U$5,#REF!,[2]SA_GRILLE_STEU!$A14+2,FALSE),"")</f>
        <v/>
      </c>
      <c r="Z14" s="217">
        <v>6</v>
      </c>
      <c r="AA14" s="8" t="str">
        <f>IFERROR(HLOOKUP(Z$5,#REF!,[2]SA_GRILLE_STEU!$A14+2,FALSE),"")</f>
        <v/>
      </c>
      <c r="AB14" s="116"/>
      <c r="AC14" s="74" t="str">
        <f>IFERROR(HLOOKUP(Z$5,#REF!,[2]SA_GRILLE_STEU!$A14+2,FALSE),"")</f>
        <v/>
      </c>
      <c r="AD14" s="73" t="str">
        <f>IFERROR(HLOOKUP(Z$5,#REF!,[2]SA_GRILLE_STEU!$A14+2,FALSE),"")</f>
        <v/>
      </c>
      <c r="AE14" s="217">
        <v>6</v>
      </c>
      <c r="AF14" s="8" t="str">
        <f>IFERROR(HLOOKUP(AE$5,#REF!,[2]SA_GRILLE_STEU!$A14+2,FALSE),"")</f>
        <v/>
      </c>
      <c r="AG14" s="116"/>
      <c r="AH14" s="74" t="str">
        <f>IFERROR(HLOOKUP(AE$5,#REF!,[2]SA_GRILLE_STEU!$A14+2,FALSE),"")</f>
        <v/>
      </c>
      <c r="AI14" s="73" t="str">
        <f>IFERROR(HLOOKUP(AE$5,#REF!,[2]SA_GRILLE_STEU!$A14+2,FALSE),"")</f>
        <v/>
      </c>
      <c r="AJ14" s="217">
        <v>6</v>
      </c>
      <c r="AK14" s="8" t="str">
        <f>IFERROR(HLOOKUP(AJ$5,#REF!,[2]SA_GRILLE_STEU!$A14+2,FALSE),"")</f>
        <v/>
      </c>
      <c r="AL14" s="116"/>
      <c r="AM14" s="74" t="str">
        <f>IFERROR(HLOOKUP(AJ$5,#REF!,[2]SA_GRILLE_STEU!$A14+2,FALSE),"")</f>
        <v/>
      </c>
      <c r="AN14" s="73" t="str">
        <f>IFERROR(HLOOKUP(AJ$5,#REF!,[2]SA_GRILLE_STEU!$A14+2,FALSE),"")</f>
        <v/>
      </c>
      <c r="AO14" s="217">
        <v>6</v>
      </c>
      <c r="AP14" s="8" t="str">
        <f>IFERROR(HLOOKUP(AO$5,#REF!,[2]SA_GRILLE_STEU!$A14+2,FALSE),"")</f>
        <v/>
      </c>
      <c r="AQ14" s="116"/>
      <c r="AR14" s="74" t="str">
        <f>IFERROR(HLOOKUP(AO$5,#REF!,[2]SA_GRILLE_STEU!$A14+2,FALSE),"")</f>
        <v/>
      </c>
      <c r="AS14" s="73" t="str">
        <f>IFERROR(HLOOKUP(AO$5,#REF!,[2]SA_GRILLE_STEU!$A14+2,FALSE),"")</f>
        <v/>
      </c>
      <c r="AT14" s="217">
        <v>6</v>
      </c>
      <c r="AU14" s="8" t="str">
        <f>IFERROR(HLOOKUP(AT$5,#REF!,[2]SA_GRILLE_STEU!$A14+2,FALSE),"")</f>
        <v/>
      </c>
      <c r="AV14" s="116"/>
      <c r="AW14" s="74" t="str">
        <f>IFERROR(HLOOKUP(AT$5,#REF!,[2]SA_GRILLE_STEU!$A14+2,FALSE),"")</f>
        <v/>
      </c>
      <c r="AX14" s="73" t="str">
        <f>IFERROR(HLOOKUP(AT$5,#REF!,[2]SA_GRILLE_STEU!$A14+2,FALSE),"")</f>
        <v/>
      </c>
      <c r="AY14" s="217">
        <v>6</v>
      </c>
      <c r="AZ14" s="8" t="str">
        <f>IFERROR(HLOOKUP(AY$5,#REF!,[2]SA_GRILLE_STEU!$A14+2,FALSE),"")</f>
        <v/>
      </c>
      <c r="BA14" s="116"/>
      <c r="BB14" s="74" t="str">
        <f>IFERROR(HLOOKUP(AY$5,#REF!,[2]SA_GRILLE_STEU!$A14+2,FALSE),"")</f>
        <v/>
      </c>
      <c r="BC14" s="73" t="str">
        <f>IFERROR(HLOOKUP(AY$5,#REF!,[2]SA_GRILLE_STEU!$A14+2,FALSE),"")</f>
        <v/>
      </c>
      <c r="BD14" s="217">
        <v>6</v>
      </c>
      <c r="BE14" s="8" t="str">
        <f>IFERROR(HLOOKUP(BD$5,#REF!,[2]SA_GRILLE_STEU!$A14+2,FALSE),"")</f>
        <v/>
      </c>
      <c r="BF14" s="116"/>
      <c r="BG14" s="77" t="str">
        <f>IFERROR(HLOOKUP(BD$5,#REF!,[2]SA_GRILLE_STEU!$A14+2,FALSE),"")</f>
        <v/>
      </c>
      <c r="BH14" s="76" t="str">
        <f>IFERROR(HLOOKUP(BD$5,#REF!,[2]SA_GRILLE_STEU!$A14+2,FALSE),"")</f>
        <v/>
      </c>
    </row>
    <row r="15" spans="1:60" ht="45" customHeight="1" x14ac:dyDescent="0.4">
      <c r="A15" s="217">
        <v>7</v>
      </c>
      <c r="B15" s="9" t="str">
        <f>IFERROR(HLOOKUP(A$5,#REF!,[2]SA_GRILLE_STEU!$A15+2,FALSE),"")</f>
        <v/>
      </c>
      <c r="C15" s="116"/>
      <c r="D15" s="152" t="str">
        <f>IFERROR(HLOOKUP(A$5,#REF!,[2]SA_GRILLE_STEU!$A15+2,FALSE),"")</f>
        <v/>
      </c>
      <c r="E15" s="73" t="str">
        <f>IFERROR(HLOOKUP(A$5,#REF!,[2]SA_GRILLE_STEU!$A15+2,FALSE),"")</f>
        <v/>
      </c>
      <c r="F15" s="217">
        <v>7</v>
      </c>
      <c r="G15" s="8" t="str">
        <f>IFERROR(HLOOKUP(F$5,#REF!,[2]SA_GRILLE_STEU!$A15+2,FALSE),"")</f>
        <v/>
      </c>
      <c r="H15" s="116"/>
      <c r="I15" s="74" t="str">
        <f>IFERROR(HLOOKUP(F$5,#REF!,[2]SA_GRILLE_STEU!$A15+2,FALSE),"")</f>
        <v/>
      </c>
      <c r="J15" s="73" t="str">
        <f>IFERROR(HLOOKUP(F$5,#REF!,[2]SA_GRILLE_STEU!$A15+2,FALSE),"")</f>
        <v/>
      </c>
      <c r="K15" s="217">
        <v>7</v>
      </c>
      <c r="L15" s="8" t="str">
        <f>IFERROR(HLOOKUP(K$5,#REF!,[2]SA_GRILLE_STEU!$A15+2,FALSE),"")</f>
        <v/>
      </c>
      <c r="M15" s="116"/>
      <c r="N15" s="74" t="str">
        <f>IFERROR(HLOOKUP(K$5,#REF!,[2]SA_GRILLE_STEU!$A15+2,FALSE),"")</f>
        <v/>
      </c>
      <c r="O15" s="73" t="str">
        <f>IFERROR(HLOOKUP(K$5,#REF!,[2]SA_GRILLE_STEU!$A15+2,FALSE),"")</f>
        <v/>
      </c>
      <c r="P15" s="217">
        <v>7</v>
      </c>
      <c r="Q15" s="8" t="str">
        <f>IFERROR(HLOOKUP(P$5,#REF!,[2]SA_GRILLE_STEU!$A15+2,FALSE),"")</f>
        <v/>
      </c>
      <c r="R15" s="116"/>
      <c r="S15" s="74" t="str">
        <f>IFERROR(HLOOKUP(P$5,#REF!,[2]SA_GRILLE_STEU!$A15+2,FALSE),"")</f>
        <v/>
      </c>
      <c r="T15" s="73" t="str">
        <f>IFERROR(HLOOKUP(P$5,#REF!,[2]SA_GRILLE_STEU!$A15+2,FALSE),"")</f>
        <v/>
      </c>
      <c r="U15" s="217">
        <v>7</v>
      </c>
      <c r="V15" s="8" t="str">
        <f>IFERROR(HLOOKUP(U$5,#REF!,[2]SA_GRILLE_STEU!$A15+2,FALSE),"")</f>
        <v/>
      </c>
      <c r="W15" s="116"/>
      <c r="X15" s="74" t="str">
        <f>IFERROR(HLOOKUP(U$5,#REF!,[2]SA_GRILLE_STEU!$A15+2,FALSE),"")</f>
        <v/>
      </c>
      <c r="Y15" s="73" t="str">
        <f>IFERROR(HLOOKUP(U$5,#REF!,[2]SA_GRILLE_STEU!$A15+2,FALSE),"")</f>
        <v/>
      </c>
      <c r="Z15" s="217">
        <v>7</v>
      </c>
      <c r="AA15" s="8" t="str">
        <f>IFERROR(HLOOKUP(Z$5,#REF!,[2]SA_GRILLE_STEU!$A15+2,FALSE),"")</f>
        <v/>
      </c>
      <c r="AB15" s="116"/>
      <c r="AC15" s="74" t="str">
        <f>IFERROR(HLOOKUP(Z$5,#REF!,[2]SA_GRILLE_STEU!$A15+2,FALSE),"")</f>
        <v/>
      </c>
      <c r="AD15" s="73" t="str">
        <f>IFERROR(HLOOKUP(Z$5,#REF!,[2]SA_GRILLE_STEU!$A15+2,FALSE),"")</f>
        <v/>
      </c>
      <c r="AE15" s="217">
        <v>7</v>
      </c>
      <c r="AF15" s="8" t="str">
        <f>IFERROR(HLOOKUP(AE$5,#REF!,[2]SA_GRILLE_STEU!$A15+2,FALSE),"")</f>
        <v/>
      </c>
      <c r="AG15" s="116"/>
      <c r="AH15" s="74" t="str">
        <f>IFERROR(HLOOKUP(AE$5,#REF!,[2]SA_GRILLE_STEU!$A15+2,FALSE),"")</f>
        <v/>
      </c>
      <c r="AI15" s="73" t="str">
        <f>IFERROR(HLOOKUP(AE$5,#REF!,[2]SA_GRILLE_STEU!$A15+2,FALSE),"")</f>
        <v/>
      </c>
      <c r="AJ15" s="217">
        <v>7</v>
      </c>
      <c r="AK15" s="8" t="str">
        <f>IFERROR(HLOOKUP(AJ$5,#REF!,[2]SA_GRILLE_STEU!$A15+2,FALSE),"")</f>
        <v/>
      </c>
      <c r="AL15" s="116"/>
      <c r="AM15" s="74" t="str">
        <f>IFERROR(HLOOKUP(AJ$5,#REF!,[2]SA_GRILLE_STEU!$A15+2,FALSE),"")</f>
        <v/>
      </c>
      <c r="AN15" s="73" t="str">
        <f>IFERROR(HLOOKUP(AJ$5,#REF!,[2]SA_GRILLE_STEU!$A15+2,FALSE),"")</f>
        <v/>
      </c>
      <c r="AO15" s="217">
        <v>7</v>
      </c>
      <c r="AP15" s="8" t="str">
        <f>IFERROR(HLOOKUP(AO$5,#REF!,[2]SA_GRILLE_STEU!$A15+2,FALSE),"")</f>
        <v/>
      </c>
      <c r="AQ15" s="116"/>
      <c r="AR15" s="74" t="str">
        <f>IFERROR(HLOOKUP(AO$5,#REF!,[2]SA_GRILLE_STEU!$A15+2,FALSE),"")</f>
        <v/>
      </c>
      <c r="AS15" s="73" t="str">
        <f>IFERROR(HLOOKUP(AO$5,#REF!,[2]SA_GRILLE_STEU!$A15+2,FALSE),"")</f>
        <v/>
      </c>
      <c r="AT15" s="217">
        <v>7</v>
      </c>
      <c r="AU15" s="8" t="str">
        <f>IFERROR(HLOOKUP(AT$5,#REF!,[2]SA_GRILLE_STEU!$A15+2,FALSE),"")</f>
        <v/>
      </c>
      <c r="AV15" s="116"/>
      <c r="AW15" s="74" t="str">
        <f>IFERROR(HLOOKUP(AT$5,#REF!,[2]SA_GRILLE_STEU!$A15+2,FALSE),"")</f>
        <v/>
      </c>
      <c r="AX15" s="73" t="str">
        <f>IFERROR(HLOOKUP(AT$5,#REF!,[2]SA_GRILLE_STEU!$A15+2,FALSE),"")</f>
        <v/>
      </c>
      <c r="AY15" s="217">
        <v>7</v>
      </c>
      <c r="AZ15" s="8" t="str">
        <f>IFERROR(HLOOKUP(AY$5,#REF!,[2]SA_GRILLE_STEU!$A15+2,FALSE),"")</f>
        <v/>
      </c>
      <c r="BA15" s="116"/>
      <c r="BB15" s="74" t="str">
        <f>IFERROR(HLOOKUP(AY$5,#REF!,[2]SA_GRILLE_STEU!$A15+2,FALSE),"")</f>
        <v/>
      </c>
      <c r="BC15" s="73" t="str">
        <f>IFERROR(HLOOKUP(AY$5,#REF!,[2]SA_GRILLE_STEU!$A15+2,FALSE),"")</f>
        <v/>
      </c>
      <c r="BD15" s="217">
        <v>7</v>
      </c>
      <c r="BE15" s="8" t="str">
        <f>IFERROR(HLOOKUP(BD$5,#REF!,[2]SA_GRILLE_STEU!$A15+2,FALSE),"")</f>
        <v/>
      </c>
      <c r="BF15" s="116"/>
      <c r="BG15" s="77" t="str">
        <f>IFERROR(HLOOKUP(BD$5,#REF!,[2]SA_GRILLE_STEU!$A15+2,FALSE),"")</f>
        <v/>
      </c>
      <c r="BH15" s="76" t="str">
        <f>IFERROR(HLOOKUP(BD$5,#REF!,[2]SA_GRILLE_STEU!$A15+2,FALSE),"")</f>
        <v/>
      </c>
    </row>
    <row r="16" spans="1:60" ht="38.25" customHeight="1" x14ac:dyDescent="0.4">
      <c r="A16" s="217">
        <v>8</v>
      </c>
      <c r="B16" s="9" t="str">
        <f>IFERROR(HLOOKUP(A$5,#REF!,[2]SA_GRILLE_STEU!$A16+2,FALSE),"")</f>
        <v/>
      </c>
      <c r="C16" s="116"/>
      <c r="D16" s="152" t="str">
        <f>IFERROR(HLOOKUP(A$5,#REF!,[2]SA_GRILLE_STEU!$A16+2,FALSE),"")</f>
        <v/>
      </c>
      <c r="E16" s="73" t="str">
        <f>IFERROR(HLOOKUP(A$5,#REF!,[2]SA_GRILLE_STEU!$A16+2,FALSE),"")</f>
        <v/>
      </c>
      <c r="F16" s="217">
        <v>8</v>
      </c>
      <c r="G16" s="8" t="str">
        <f>IFERROR(HLOOKUP(F$5,#REF!,[2]SA_GRILLE_STEU!$A16+2,FALSE),"")</f>
        <v/>
      </c>
      <c r="H16" s="116"/>
      <c r="I16" s="74" t="str">
        <f>IFERROR(HLOOKUP(F$5,#REF!,[2]SA_GRILLE_STEU!$A16+2,FALSE),"")</f>
        <v/>
      </c>
      <c r="J16" s="73" t="str">
        <f>IFERROR(HLOOKUP(F$5,#REF!,[2]SA_GRILLE_STEU!$A16+2,FALSE),"")</f>
        <v/>
      </c>
      <c r="K16" s="217">
        <v>8</v>
      </c>
      <c r="L16" s="8" t="str">
        <f>IFERROR(HLOOKUP(K$5,#REF!,[2]SA_GRILLE_STEU!$A16+2,FALSE),"")</f>
        <v/>
      </c>
      <c r="M16" s="116"/>
      <c r="N16" s="74" t="str">
        <f>IFERROR(HLOOKUP(K$5,#REF!,[2]SA_GRILLE_STEU!$A16+2,FALSE),"")</f>
        <v/>
      </c>
      <c r="O16" s="73" t="str">
        <f>IFERROR(HLOOKUP(K$5,#REF!,[2]SA_GRILLE_STEU!$A16+2,FALSE),"")</f>
        <v/>
      </c>
      <c r="P16" s="217">
        <v>8</v>
      </c>
      <c r="Q16" s="8" t="str">
        <f>IFERROR(HLOOKUP(P$5,#REF!,[2]SA_GRILLE_STEU!$A16+2,FALSE),"")</f>
        <v/>
      </c>
      <c r="R16" s="116"/>
      <c r="S16" s="74" t="str">
        <f>IFERROR(HLOOKUP(P$5,#REF!,[2]SA_GRILLE_STEU!$A16+2,FALSE),"")</f>
        <v/>
      </c>
      <c r="T16" s="73" t="str">
        <f>IFERROR(HLOOKUP(P$5,#REF!,[2]SA_GRILLE_STEU!$A16+2,FALSE),"")</f>
        <v/>
      </c>
      <c r="U16" s="217">
        <v>8</v>
      </c>
      <c r="V16" s="8" t="str">
        <f>IFERROR(HLOOKUP(U$5,#REF!,[2]SA_GRILLE_STEU!$A16+2,FALSE),"")</f>
        <v/>
      </c>
      <c r="W16" s="116"/>
      <c r="X16" s="74" t="str">
        <f>IFERROR(HLOOKUP(U$5,#REF!,[2]SA_GRILLE_STEU!$A16+2,FALSE),"")</f>
        <v/>
      </c>
      <c r="Y16" s="73" t="str">
        <f>IFERROR(HLOOKUP(U$5,#REF!,[2]SA_GRILLE_STEU!$A16+2,FALSE),"")</f>
        <v/>
      </c>
      <c r="Z16" s="217">
        <v>8</v>
      </c>
      <c r="AA16" s="8" t="str">
        <f>IFERROR(HLOOKUP(Z$5,#REF!,[2]SA_GRILLE_STEU!$A16+2,FALSE),"")</f>
        <v/>
      </c>
      <c r="AB16" s="116"/>
      <c r="AC16" s="74" t="str">
        <f>IFERROR(HLOOKUP(Z$5,#REF!,[2]SA_GRILLE_STEU!$A16+2,FALSE),"")</f>
        <v/>
      </c>
      <c r="AD16" s="73" t="str">
        <f>IFERROR(HLOOKUP(Z$5,#REF!,[2]SA_GRILLE_STEU!$A16+2,FALSE),"")</f>
        <v/>
      </c>
      <c r="AE16" s="217">
        <v>8</v>
      </c>
      <c r="AF16" s="8" t="str">
        <f>IFERROR(HLOOKUP(AE$5,#REF!,[2]SA_GRILLE_STEU!$A16+2,FALSE),"")</f>
        <v/>
      </c>
      <c r="AG16" s="116"/>
      <c r="AH16" s="74" t="str">
        <f>IFERROR(HLOOKUP(AE$5,#REF!,[2]SA_GRILLE_STEU!$A16+2,FALSE),"")</f>
        <v/>
      </c>
      <c r="AI16" s="73" t="str">
        <f>IFERROR(HLOOKUP(AE$5,#REF!,[2]SA_GRILLE_STEU!$A16+2,FALSE),"")</f>
        <v/>
      </c>
      <c r="AJ16" s="217">
        <v>8</v>
      </c>
      <c r="AK16" s="8" t="str">
        <f>IFERROR(HLOOKUP(AJ$5,#REF!,[2]SA_GRILLE_STEU!$A16+2,FALSE),"")</f>
        <v/>
      </c>
      <c r="AL16" s="116"/>
      <c r="AM16" s="74" t="str">
        <f>IFERROR(HLOOKUP(AJ$5,#REF!,[2]SA_GRILLE_STEU!$A16+2,FALSE),"")</f>
        <v/>
      </c>
      <c r="AN16" s="73" t="str">
        <f>IFERROR(HLOOKUP(AJ$5,#REF!,[2]SA_GRILLE_STEU!$A16+2,FALSE),"")</f>
        <v/>
      </c>
      <c r="AO16" s="217">
        <v>8</v>
      </c>
      <c r="AP16" s="8" t="str">
        <f>IFERROR(HLOOKUP(AO$5,#REF!,[2]SA_GRILLE_STEU!$A16+2,FALSE),"")</f>
        <v/>
      </c>
      <c r="AQ16" s="116"/>
      <c r="AR16" s="74" t="str">
        <f>IFERROR(HLOOKUP(AO$5,#REF!,[2]SA_GRILLE_STEU!$A16+2,FALSE),"")</f>
        <v/>
      </c>
      <c r="AS16" s="73" t="str">
        <f>IFERROR(HLOOKUP(AO$5,#REF!,[2]SA_GRILLE_STEU!$A16+2,FALSE),"")</f>
        <v/>
      </c>
      <c r="AT16" s="217">
        <v>8</v>
      </c>
      <c r="AU16" s="8" t="str">
        <f>IFERROR(HLOOKUP(AT$5,#REF!,[2]SA_GRILLE_STEU!$A16+2,FALSE),"")</f>
        <v/>
      </c>
      <c r="AV16" s="116"/>
      <c r="AW16" s="74" t="str">
        <f>IFERROR(HLOOKUP(AT$5,#REF!,[2]SA_GRILLE_STEU!$A16+2,FALSE),"")</f>
        <v/>
      </c>
      <c r="AX16" s="73" t="str">
        <f>IFERROR(HLOOKUP(AT$5,#REF!,[2]SA_GRILLE_STEU!$A16+2,FALSE),"")</f>
        <v/>
      </c>
      <c r="AY16" s="217">
        <v>8</v>
      </c>
      <c r="AZ16" s="8" t="str">
        <f>IFERROR(HLOOKUP(AY$5,#REF!,[2]SA_GRILLE_STEU!$A16+2,FALSE),"")</f>
        <v/>
      </c>
      <c r="BA16" s="116"/>
      <c r="BB16" s="74" t="str">
        <f>IFERROR(HLOOKUP(AY$5,#REF!,[2]SA_GRILLE_STEU!$A16+2,FALSE),"")</f>
        <v/>
      </c>
      <c r="BC16" s="73" t="str">
        <f>IFERROR(HLOOKUP(AY$5,#REF!,[2]SA_GRILLE_STEU!$A16+2,FALSE),"")</f>
        <v/>
      </c>
      <c r="BD16" s="217">
        <v>8</v>
      </c>
      <c r="BE16" s="8" t="str">
        <f>IFERROR(HLOOKUP(BD$5,#REF!,[2]SA_GRILLE_STEU!$A16+2,FALSE),"")</f>
        <v/>
      </c>
      <c r="BF16" s="116"/>
      <c r="BG16" s="77" t="str">
        <f>IFERROR(HLOOKUP(BD$5,#REF!,[2]SA_GRILLE_STEU!$A16+2,FALSE),"")</f>
        <v/>
      </c>
      <c r="BH16" s="76" t="str">
        <f>IFERROR(HLOOKUP(BD$5,#REF!,[2]SA_GRILLE_STEU!$A16+2,FALSE),"")</f>
        <v/>
      </c>
    </row>
    <row r="17" spans="1:60" ht="20.100000000000001" customHeight="1" x14ac:dyDescent="0.4">
      <c r="A17" s="217">
        <v>9</v>
      </c>
      <c r="B17" s="9" t="str">
        <f>IFERROR(HLOOKUP(A$5,#REF!,[2]SA_GRILLE_STEU!$A17+2,FALSE),"")</f>
        <v/>
      </c>
      <c r="C17" s="116"/>
      <c r="D17" s="152" t="str">
        <f>IFERROR(HLOOKUP(A$5,#REF!,[2]SA_GRILLE_STEU!$A17+2,FALSE),"")</f>
        <v/>
      </c>
      <c r="E17" s="73" t="str">
        <f>IFERROR(HLOOKUP(A$5,#REF!,[2]SA_GRILLE_STEU!$A17+2,FALSE),"")</f>
        <v/>
      </c>
      <c r="F17" s="217">
        <v>9</v>
      </c>
      <c r="G17" s="8" t="str">
        <f>IFERROR(HLOOKUP(F$5,#REF!,[2]SA_GRILLE_STEU!$A17+2,FALSE),"")</f>
        <v/>
      </c>
      <c r="H17" s="116"/>
      <c r="I17" s="74" t="str">
        <f>IFERROR(HLOOKUP(F$5,#REF!,[2]SA_GRILLE_STEU!$A17+2,FALSE),"")</f>
        <v/>
      </c>
      <c r="J17" s="73" t="str">
        <f>IFERROR(HLOOKUP(F$5,#REF!,[2]SA_GRILLE_STEU!$A17+2,FALSE),"")</f>
        <v/>
      </c>
      <c r="K17" s="217">
        <v>9</v>
      </c>
      <c r="L17" s="8" t="str">
        <f>IFERROR(HLOOKUP(K$5,#REF!,[2]SA_GRILLE_STEU!$A17+2,FALSE),"")</f>
        <v/>
      </c>
      <c r="M17" s="116"/>
      <c r="N17" s="74" t="str">
        <f>IFERROR(HLOOKUP(K$5,#REF!,[2]SA_GRILLE_STEU!$A17+2,FALSE),"")</f>
        <v/>
      </c>
      <c r="O17" s="73" t="str">
        <f>IFERROR(HLOOKUP(K$5,#REF!,[2]SA_GRILLE_STEU!$A17+2,FALSE),"")</f>
        <v/>
      </c>
      <c r="P17" s="217">
        <v>9</v>
      </c>
      <c r="Q17" s="8" t="str">
        <f>IFERROR(HLOOKUP(P$5,#REF!,[2]SA_GRILLE_STEU!$A17+2,FALSE),"")</f>
        <v/>
      </c>
      <c r="R17" s="116"/>
      <c r="S17" s="74" t="str">
        <f>IFERROR(HLOOKUP(P$5,#REF!,[2]SA_GRILLE_STEU!$A17+2,FALSE),"")</f>
        <v/>
      </c>
      <c r="T17" s="73" t="str">
        <f>IFERROR(HLOOKUP(P$5,#REF!,[2]SA_GRILLE_STEU!$A17+2,FALSE),"")</f>
        <v/>
      </c>
      <c r="U17" s="217">
        <v>9</v>
      </c>
      <c r="V17" s="8" t="str">
        <f>IFERROR(HLOOKUP(U$5,#REF!,[2]SA_GRILLE_STEU!$A17+2,FALSE),"")</f>
        <v/>
      </c>
      <c r="W17" s="116"/>
      <c r="X17" s="74" t="str">
        <f>IFERROR(HLOOKUP(U$5,#REF!,[2]SA_GRILLE_STEU!$A17+2,FALSE),"")</f>
        <v/>
      </c>
      <c r="Y17" s="73" t="str">
        <f>IFERROR(HLOOKUP(U$5,#REF!,[2]SA_GRILLE_STEU!$A17+2,FALSE),"")</f>
        <v/>
      </c>
      <c r="Z17" s="217">
        <v>9</v>
      </c>
      <c r="AA17" s="8" t="str">
        <f>IFERROR(HLOOKUP(Z$5,#REF!,[2]SA_GRILLE_STEU!$A17+2,FALSE),"")</f>
        <v/>
      </c>
      <c r="AB17" s="116"/>
      <c r="AC17" s="74" t="str">
        <f>IFERROR(HLOOKUP(Z$5,#REF!,[2]SA_GRILLE_STEU!$A17+2,FALSE),"")</f>
        <v/>
      </c>
      <c r="AD17" s="73" t="str">
        <f>IFERROR(HLOOKUP(Z$5,#REF!,[2]SA_GRILLE_STEU!$A17+2,FALSE),"")</f>
        <v/>
      </c>
      <c r="AE17" s="217">
        <v>9</v>
      </c>
      <c r="AF17" s="8" t="str">
        <f>IFERROR(HLOOKUP(AE$5,#REF!,[2]SA_GRILLE_STEU!$A17+2,FALSE),"")</f>
        <v/>
      </c>
      <c r="AG17" s="116"/>
      <c r="AH17" s="74" t="str">
        <f>IFERROR(HLOOKUP(AE$5,#REF!,[2]SA_GRILLE_STEU!$A17+2,FALSE),"")</f>
        <v/>
      </c>
      <c r="AI17" s="73" t="str">
        <f>IFERROR(HLOOKUP(AE$5,#REF!,[2]SA_GRILLE_STEU!$A17+2,FALSE),"")</f>
        <v/>
      </c>
      <c r="AJ17" s="217">
        <v>9</v>
      </c>
      <c r="AK17" s="8" t="str">
        <f>IFERROR(HLOOKUP(AJ$5,#REF!,[2]SA_GRILLE_STEU!$A17+2,FALSE),"")</f>
        <v/>
      </c>
      <c r="AL17" s="116"/>
      <c r="AM17" s="74" t="str">
        <f>IFERROR(HLOOKUP(AJ$5,#REF!,[2]SA_GRILLE_STEU!$A17+2,FALSE),"")</f>
        <v/>
      </c>
      <c r="AN17" s="73" t="str">
        <f>IFERROR(HLOOKUP(AJ$5,#REF!,[2]SA_GRILLE_STEU!$A17+2,FALSE),"")</f>
        <v/>
      </c>
      <c r="AO17" s="217">
        <v>9</v>
      </c>
      <c r="AP17" s="8" t="str">
        <f>IFERROR(HLOOKUP(AO$5,#REF!,[2]SA_GRILLE_STEU!$A17+2,FALSE),"")</f>
        <v/>
      </c>
      <c r="AQ17" s="116"/>
      <c r="AR17" s="74" t="str">
        <f>IFERROR(HLOOKUP(AO$5,#REF!,[2]SA_GRILLE_STEU!$A17+2,FALSE),"")</f>
        <v/>
      </c>
      <c r="AS17" s="73" t="str">
        <f>IFERROR(HLOOKUP(AO$5,#REF!,[2]SA_GRILLE_STEU!$A17+2,FALSE),"")</f>
        <v/>
      </c>
      <c r="AT17" s="217">
        <v>9</v>
      </c>
      <c r="AU17" s="8" t="str">
        <f>IFERROR(HLOOKUP(AT$5,#REF!,[2]SA_GRILLE_STEU!$A17+2,FALSE),"")</f>
        <v/>
      </c>
      <c r="AV17" s="116"/>
      <c r="AW17" s="74" t="str">
        <f>IFERROR(HLOOKUP(AT$5,#REF!,[2]SA_GRILLE_STEU!$A17+2,FALSE),"")</f>
        <v/>
      </c>
      <c r="AX17" s="73" t="str">
        <f>IFERROR(HLOOKUP(AT$5,#REF!,[2]SA_GRILLE_STEU!$A17+2,FALSE),"")</f>
        <v/>
      </c>
      <c r="AY17" s="217">
        <v>9</v>
      </c>
      <c r="AZ17" s="8" t="str">
        <f>IFERROR(HLOOKUP(AY$5,#REF!,[2]SA_GRILLE_STEU!$A17+2,FALSE),"")</f>
        <v/>
      </c>
      <c r="BA17" s="116"/>
      <c r="BB17" s="74" t="str">
        <f>IFERROR(HLOOKUP(AY$5,#REF!,[2]SA_GRILLE_STEU!$A17+2,FALSE),"")</f>
        <v/>
      </c>
      <c r="BC17" s="73" t="str">
        <f>IFERROR(HLOOKUP(AY$5,#REF!,[2]SA_GRILLE_STEU!$A17+2,FALSE),"")</f>
        <v/>
      </c>
      <c r="BD17" s="217">
        <v>9</v>
      </c>
      <c r="BE17" s="8" t="str">
        <f>IFERROR(HLOOKUP(BD$5,#REF!,[2]SA_GRILLE_STEU!$A17+2,FALSE),"")</f>
        <v/>
      </c>
      <c r="BF17" s="116"/>
      <c r="BG17" s="77" t="str">
        <f>IFERROR(HLOOKUP(BD$5,#REF!,[2]SA_GRILLE_STEU!$A17+2,FALSE),"")</f>
        <v/>
      </c>
      <c r="BH17" s="76" t="str">
        <f>IFERROR(HLOOKUP(BD$5,#REF!,[2]SA_GRILLE_STEU!$A17+2,FALSE),"")</f>
        <v/>
      </c>
    </row>
    <row r="18" spans="1:60" s="138" customFormat="1" ht="38.25" customHeight="1" x14ac:dyDescent="0.4">
      <c r="A18" s="1415" t="s">
        <v>62</v>
      </c>
      <c r="B18" s="1416"/>
      <c r="C18" s="135" t="s">
        <v>63</v>
      </c>
      <c r="D18" s="136" t="s">
        <v>64</v>
      </c>
      <c r="E18" s="137"/>
      <c r="F18" s="1415" t="s">
        <v>62</v>
      </c>
      <c r="G18" s="1416"/>
      <c r="H18" s="135" t="s">
        <v>63</v>
      </c>
      <c r="I18" s="136" t="s">
        <v>64</v>
      </c>
      <c r="J18" s="137"/>
      <c r="K18" s="1415" t="s">
        <v>62</v>
      </c>
      <c r="L18" s="1416"/>
      <c r="M18" s="135" t="s">
        <v>63</v>
      </c>
      <c r="N18" s="136" t="s">
        <v>64</v>
      </c>
      <c r="O18" s="137"/>
      <c r="P18" s="1415" t="s">
        <v>62</v>
      </c>
      <c r="Q18" s="1416"/>
      <c r="R18" s="135" t="s">
        <v>63</v>
      </c>
      <c r="S18" s="136" t="s">
        <v>64</v>
      </c>
      <c r="T18" s="137"/>
      <c r="U18" s="1415" t="s">
        <v>62</v>
      </c>
      <c r="V18" s="1416"/>
      <c r="W18" s="135" t="s">
        <v>63</v>
      </c>
      <c r="X18" s="136" t="s">
        <v>64</v>
      </c>
      <c r="Y18" s="137"/>
      <c r="Z18" s="1415" t="s">
        <v>62</v>
      </c>
      <c r="AA18" s="1416"/>
      <c r="AB18" s="135" t="s">
        <v>63</v>
      </c>
      <c r="AC18" s="136" t="s">
        <v>64</v>
      </c>
      <c r="AD18" s="137"/>
      <c r="AE18" s="1415" t="s">
        <v>62</v>
      </c>
      <c r="AF18" s="1416"/>
      <c r="AG18" s="135" t="s">
        <v>63</v>
      </c>
      <c r="AH18" s="136" t="s">
        <v>64</v>
      </c>
      <c r="AI18" s="137"/>
      <c r="AJ18" s="1415" t="s">
        <v>62</v>
      </c>
      <c r="AK18" s="1416"/>
      <c r="AL18" s="135" t="s">
        <v>63</v>
      </c>
      <c r="AM18" s="136" t="s">
        <v>64</v>
      </c>
      <c r="AN18" s="137"/>
      <c r="AO18" s="1415" t="s">
        <v>62</v>
      </c>
      <c r="AP18" s="1416"/>
      <c r="AQ18" s="135" t="s">
        <v>63</v>
      </c>
      <c r="AR18" s="136" t="s">
        <v>64</v>
      </c>
      <c r="AS18" s="137"/>
      <c r="AT18" s="1415" t="s">
        <v>62</v>
      </c>
      <c r="AU18" s="1416"/>
      <c r="AV18" s="135" t="s">
        <v>63</v>
      </c>
      <c r="AW18" s="136" t="s">
        <v>64</v>
      </c>
      <c r="AX18" s="137"/>
      <c r="AY18" s="1415" t="s">
        <v>62</v>
      </c>
      <c r="AZ18" s="1416"/>
      <c r="BA18" s="135" t="s">
        <v>63</v>
      </c>
      <c r="BB18" s="136" t="s">
        <v>64</v>
      </c>
      <c r="BC18" s="137"/>
      <c r="BD18" s="1415" t="s">
        <v>62</v>
      </c>
      <c r="BE18" s="1416"/>
      <c r="BF18" s="135" t="s">
        <v>63</v>
      </c>
      <c r="BG18" s="136" t="s">
        <v>64</v>
      </c>
    </row>
    <row r="19" spans="1:60" s="83" customFormat="1" ht="60" customHeight="1" thickBot="1" x14ac:dyDescent="0.45">
      <c r="A19" s="220"/>
      <c r="B19" s="129"/>
      <c r="C19" s="119"/>
      <c r="D19" s="81">
        <f>IF(OR(A5="",C19="Non contrôlé"),"",IF((SUMIF(C9:C17,"Validé",D9:D17)+SUMIF(C9:C17,"Validé avec réserve",D9:D17))&gt;100,100,SUMIF(C9:C17,"Validé",D9:D17)+SUMIF(C9:C17,"Validé avec réserve",D9:D17)))</f>
        <v>0</v>
      </c>
      <c r="E19" s="82"/>
      <c r="F19" s="221"/>
      <c r="G19" s="123"/>
      <c r="H19" s="119"/>
      <c r="I19" s="81" t="str">
        <f>IF(F5="","",IF((SUMIF(H9:H17,"Validé",I9:I17)+SUMIF(H9:H17,"Validé avec réserve",I9:I17))&gt;100,100,SUMIF(H9:H17,"Validé",I9:I17)+SUMIF(H9:H17,"Validé avec réserve",I9:I17)))</f>
        <v/>
      </c>
      <c r="J19" s="82"/>
      <c r="K19" s="221"/>
      <c r="L19" s="123"/>
      <c r="M19" s="119"/>
      <c r="N19" s="81" t="str">
        <f>IF(K5="","",IF((SUMIF(M9:M17,"Validé",N9:N17)+SUMIF(M9:M17,"Validé avec réserve",N9:N17))&gt;100,100,SUMIF(M9:M17,"Validé",N9:N17)+SUMIF(M9:M17,"Validé avec réserve",N9:N17)))</f>
        <v/>
      </c>
      <c r="O19" s="82"/>
      <c r="P19" s="222"/>
      <c r="Q19" s="123"/>
      <c r="R19" s="119"/>
      <c r="S19" s="81" t="str">
        <f>IF(P5="","",IF((SUMIF(R9:R17,"Validé",S9:S17)+SUMIF(R9:R17,"Validé avec réserve",S9:S17))&gt;100,100,SUMIF(R9:R17,"Validé",S9:S17)+SUMIF(R9:R17,"Validé avec réserve",S9:S17)))</f>
        <v/>
      </c>
      <c r="T19" s="82"/>
      <c r="U19" s="223"/>
      <c r="V19" s="123"/>
      <c r="W19" s="119"/>
      <c r="X19" s="81" t="str">
        <f>IF(U5="","",IF((SUMIF(W9:W17,"Validé",X9:X17)+SUMIF(W9:W17,"Validé avec réserve",X9:X17))&gt;100,100,SUMIF(W9:W17,"Validé",X9:X17)+SUMIF(W9:W17,"Validé avec réserve",X9:X17)))</f>
        <v/>
      </c>
      <c r="Y19" s="82"/>
      <c r="Z19" s="223"/>
      <c r="AA19" s="122"/>
      <c r="AB19" s="119"/>
      <c r="AC19" s="81" t="str">
        <f>IF(Z5="","",IF((SUMIF(AB9:AB17,"Validé",AC9:AC17)+SUMIF(AB9:AB17,"Validé avec réserve",AC9:AC17))&gt;100,100,SUMIF(AB9:AB17,"Validé",AC9:AC17)+SUMIF(AB9:AB17,"Validé avec réserve",AC9:AC17)))</f>
        <v/>
      </c>
      <c r="AD19" s="82"/>
      <c r="AE19" s="223"/>
      <c r="AF19" s="123"/>
      <c r="AG19" s="119"/>
      <c r="AH19" s="81" t="str">
        <f>IF(AE5="","",IF((SUMIF(AG9:AG17,"Validé",AH9:AH17)+SUMIF(AG9:AG17,"Validé avec réserve",AH9:AH17))&gt;100,100,SUMIF(AG9:AG17,"Validé",AH9:AH17)+SUMIF(AG9:AG17,"Validé avec réserve",AH9:AH17)))</f>
        <v/>
      </c>
      <c r="AI19" s="82"/>
      <c r="AJ19" s="223"/>
      <c r="AK19" s="123"/>
      <c r="AL19" s="119"/>
      <c r="AM19" s="81" t="str">
        <f>IF(AJ5="","",IF((SUMIF(AL9:AL17,"Validé",AM9:AM17)+SUMIF(AL9:AL17,"Validé avec réserve",AM9:AM17))&gt;100,100,SUMIF(AL9:AL17,"Validé",AM9:AM17)+SUMIF(AL9:AL17,"Validé avec réserve",AM9:AM17)))</f>
        <v/>
      </c>
      <c r="AN19" s="82"/>
      <c r="AO19" s="223"/>
      <c r="AP19" s="123"/>
      <c r="AQ19" s="119"/>
      <c r="AR19" s="81" t="str">
        <f>IF(AO5="","",IF((SUMIF(AQ9:AQ17,"Validé",AR9:AR17)+SUMIF(AQ9:AQ17,"Validé avec réserve",AR9:AR17))&gt;100,100,SUMIF(AQ9:AQ17,"Validé",AR9:AR17)+SUMIF(AQ9:AQ17,"Validé avec réserve",AR9:AR17)))</f>
        <v/>
      </c>
      <c r="AS19" s="82"/>
      <c r="AT19" s="223"/>
      <c r="AU19" s="123"/>
      <c r="AV19" s="119"/>
      <c r="AW19" s="81" t="str">
        <f>IF(AT5="","",IF((SUMIF(AV9:AV17,"Validé",AW9:AW17)+SUMIF(AV9:AV17,"Validé avec réserve",AW9:AW17))&gt;100,100,SUMIF(AV9:AV17,"Validé",AW9:AW17)+SUMIF(AV9:AV17,"Validé avec réserve",AW9:AW17)))</f>
        <v/>
      </c>
      <c r="AX19" s="82"/>
      <c r="AY19" s="223"/>
      <c r="AZ19" s="123"/>
      <c r="BA19" s="119"/>
      <c r="BB19" s="81" t="str">
        <f>IF(AY5="","",IF((SUMIF(BA9:BA17,"Validé",BB9:BB17)+SUMIF(BA9:BA17,"Validé avec réserve",BB9:BB17))&gt;100,100,SUMIF(BA9:BA17,"Validé",BB9:BB17)+SUMIF(BA9:BA17,"Validé avec réserve",BB9:BB17)))</f>
        <v/>
      </c>
      <c r="BC19" s="82"/>
      <c r="BD19" s="223"/>
      <c r="BE19" s="120"/>
      <c r="BF19" s="119"/>
      <c r="BG19" s="81" t="str">
        <f>IF(BD5="","",IF((SUMIF(BF9:BF17,"Validé",BG9:BG17)+SUMIF(BF9:BF17,"Validé avec réserve",BG9:BG17))&gt;100,100,SUMIF(BF9:BF17,"Validé",BG9:BG17)+SUMIF(BF9:BF17,"Validé avec réserve",BG9:BG17)))</f>
        <v/>
      </c>
      <c r="BH19" s="82"/>
    </row>
    <row r="20" spans="1:60" s="90" customFormat="1" ht="15" customHeight="1" thickBot="1" x14ac:dyDescent="0.45">
      <c r="A20" s="84"/>
      <c r="B20" s="85"/>
      <c r="C20" s="86"/>
      <c r="D20" s="87"/>
      <c r="E20" s="88"/>
      <c r="F20" s="84"/>
      <c r="G20" s="85"/>
      <c r="H20" s="86"/>
      <c r="I20" s="87"/>
      <c r="J20" s="88"/>
      <c r="K20" s="84"/>
      <c r="L20" s="85"/>
      <c r="M20" s="86"/>
      <c r="N20" s="87"/>
      <c r="O20" s="88"/>
      <c r="P20" s="84"/>
      <c r="Q20" s="85"/>
      <c r="R20" s="85"/>
      <c r="S20" s="87"/>
      <c r="T20" s="85"/>
      <c r="U20" s="85"/>
      <c r="V20" s="85"/>
      <c r="W20" s="85"/>
      <c r="X20" s="87"/>
      <c r="Y20" s="85"/>
      <c r="Z20" s="85"/>
      <c r="AA20" s="85"/>
      <c r="AB20" s="85"/>
      <c r="AC20" s="87"/>
      <c r="AD20" s="85"/>
      <c r="AE20" s="85"/>
      <c r="AF20" s="85"/>
      <c r="AG20" s="85"/>
      <c r="AH20" s="87"/>
      <c r="AI20" s="85"/>
      <c r="AJ20" s="85"/>
      <c r="AK20" s="85"/>
      <c r="AL20" s="85"/>
      <c r="AM20" s="87"/>
      <c r="AN20" s="85"/>
      <c r="AO20" s="85"/>
      <c r="AP20" s="85"/>
      <c r="AQ20" s="85"/>
      <c r="AR20" s="87"/>
      <c r="AS20" s="85"/>
      <c r="AT20" s="85"/>
      <c r="AU20" s="85"/>
      <c r="AV20" s="85"/>
      <c r="AW20" s="87"/>
      <c r="AX20" s="85"/>
      <c r="AY20" s="85"/>
      <c r="AZ20" s="85"/>
      <c r="BA20" s="85"/>
      <c r="BB20" s="87"/>
      <c r="BC20" s="85"/>
      <c r="BD20" s="85"/>
      <c r="BE20" s="85"/>
      <c r="BF20" s="85"/>
      <c r="BG20" s="85"/>
      <c r="BH20" s="89"/>
    </row>
    <row r="21" spans="1:60" ht="12" customHeight="1" thickBot="1" x14ac:dyDescent="0.45">
      <c r="A21" s="1408" t="s">
        <v>236</v>
      </c>
      <c r="B21" s="1409"/>
      <c r="C21" s="1409"/>
      <c r="D21" s="1410"/>
      <c r="E21" s="91"/>
      <c r="F21" s="1408" t="s">
        <v>236</v>
      </c>
      <c r="G21" s="1409"/>
      <c r="H21" s="1409"/>
      <c r="I21" s="1410"/>
      <c r="J21" s="91"/>
      <c r="K21" s="1408" t="s">
        <v>236</v>
      </c>
      <c r="L21" s="1409"/>
      <c r="M21" s="1409"/>
      <c r="N21" s="1410"/>
      <c r="O21" s="91"/>
      <c r="P21" s="1408" t="s">
        <v>236</v>
      </c>
      <c r="Q21" s="1409"/>
      <c r="R21" s="1409"/>
      <c r="S21" s="1410"/>
      <c r="T21" s="91"/>
      <c r="U21" s="1408" t="s">
        <v>236</v>
      </c>
      <c r="V21" s="1409"/>
      <c r="W21" s="1409"/>
      <c r="X21" s="1410"/>
      <c r="Y21" s="91"/>
      <c r="Z21" s="1408" t="s">
        <v>236</v>
      </c>
      <c r="AA21" s="1409"/>
      <c r="AB21" s="1409"/>
      <c r="AC21" s="1410"/>
      <c r="AD21" s="91"/>
      <c r="AE21" s="1408" t="s">
        <v>236</v>
      </c>
      <c r="AF21" s="1409"/>
      <c r="AG21" s="1409"/>
      <c r="AH21" s="1410"/>
      <c r="AI21" s="91"/>
      <c r="AJ21" s="1408" t="s">
        <v>236</v>
      </c>
      <c r="AK21" s="1409"/>
      <c r="AL21" s="1409"/>
      <c r="AM21" s="1410"/>
      <c r="AN21" s="91"/>
      <c r="AO21" s="1408" t="s">
        <v>236</v>
      </c>
      <c r="AP21" s="1409"/>
      <c r="AQ21" s="1409"/>
      <c r="AR21" s="1410"/>
      <c r="AS21" s="91"/>
      <c r="AT21" s="1408" t="s">
        <v>236</v>
      </c>
      <c r="AU21" s="1409"/>
      <c r="AV21" s="1409"/>
      <c r="AW21" s="1410"/>
      <c r="AX21" s="91"/>
      <c r="AY21" s="1408" t="s">
        <v>236</v>
      </c>
      <c r="AZ21" s="1409"/>
      <c r="BA21" s="1409"/>
      <c r="BB21" s="1410"/>
      <c r="BC21" s="91"/>
      <c r="BD21" s="1408" t="s">
        <v>236</v>
      </c>
      <c r="BE21" s="1409"/>
      <c r="BF21" s="1409"/>
      <c r="BG21" s="1410"/>
    </row>
    <row r="22" spans="1:60" s="125" customFormat="1" ht="18" customHeight="1" x14ac:dyDescent="0.55000000000000004">
      <c r="A22" s="1399" t="s">
        <v>139</v>
      </c>
      <c r="B22" s="1400"/>
      <c r="C22" s="1400"/>
      <c r="D22" s="1401"/>
      <c r="F22" s="1399"/>
      <c r="G22" s="1400"/>
      <c r="H22" s="1400"/>
      <c r="I22" s="1401"/>
      <c r="K22" s="1399"/>
      <c r="L22" s="1400"/>
      <c r="M22" s="1400"/>
      <c r="N22" s="1401"/>
      <c r="P22" s="1399"/>
      <c r="Q22" s="1400"/>
      <c r="R22" s="1400"/>
      <c r="S22" s="1401"/>
      <c r="U22" s="1399"/>
      <c r="V22" s="1400"/>
      <c r="W22" s="1400"/>
      <c r="X22" s="1401"/>
      <c r="Z22" s="1399"/>
      <c r="AA22" s="1400"/>
      <c r="AB22" s="1400"/>
      <c r="AC22" s="1401"/>
      <c r="AE22" s="1399"/>
      <c r="AF22" s="1400"/>
      <c r="AG22" s="1400"/>
      <c r="AH22" s="1401"/>
      <c r="AJ22" s="1399"/>
      <c r="AK22" s="1400"/>
      <c r="AL22" s="1400"/>
      <c r="AM22" s="1401"/>
      <c r="AO22" s="1399"/>
      <c r="AP22" s="1400"/>
      <c r="AQ22" s="1400"/>
      <c r="AR22" s="1401"/>
      <c r="AT22" s="1399"/>
      <c r="AU22" s="1400"/>
      <c r="AV22" s="1400"/>
      <c r="AW22" s="1401"/>
      <c r="AY22" s="1399"/>
      <c r="AZ22" s="1400"/>
      <c r="BA22" s="1400"/>
      <c r="BB22" s="1401"/>
      <c r="BD22" s="1399"/>
      <c r="BE22" s="1400"/>
      <c r="BF22" s="1400"/>
      <c r="BG22" s="1401"/>
    </row>
    <row r="23" spans="1:60" ht="1.5" customHeight="1" x14ac:dyDescent="0.4">
      <c r="A23" s="65"/>
      <c r="B23" s="66"/>
      <c r="C23" s="66"/>
      <c r="D23" s="67"/>
      <c r="F23" s="65"/>
      <c r="G23" s="66"/>
      <c r="H23" s="69"/>
      <c r="I23" s="68"/>
      <c r="K23" s="65"/>
      <c r="L23" s="66"/>
      <c r="M23" s="69"/>
      <c r="N23" s="68"/>
      <c r="P23" s="65"/>
      <c r="Q23" s="66"/>
      <c r="R23" s="69"/>
      <c r="S23" s="68"/>
      <c r="U23" s="65"/>
      <c r="V23" s="66"/>
      <c r="W23" s="66"/>
      <c r="X23" s="67"/>
      <c r="Z23" s="65"/>
      <c r="AA23" s="66"/>
      <c r="AB23" s="66"/>
      <c r="AC23" s="67"/>
      <c r="AE23" s="65"/>
      <c r="AF23" s="66"/>
      <c r="AG23" s="92"/>
      <c r="AH23" s="68"/>
      <c r="AJ23" s="65"/>
      <c r="AK23" s="66"/>
      <c r="AL23" s="66"/>
      <c r="AM23" s="67"/>
      <c r="AO23" s="65"/>
      <c r="AP23" s="66"/>
      <c r="AQ23" s="66"/>
      <c r="AR23" s="67"/>
      <c r="AT23" s="65"/>
      <c r="AU23" s="66"/>
      <c r="AV23" s="66"/>
      <c r="AW23" s="67"/>
      <c r="AY23" s="65"/>
      <c r="AZ23" s="66"/>
      <c r="BA23" s="66"/>
      <c r="BB23" s="67"/>
      <c r="BD23" s="65"/>
      <c r="BE23" s="66"/>
      <c r="BF23" s="66"/>
      <c r="BG23" s="70"/>
    </row>
    <row r="24" spans="1:60" ht="24" customHeight="1" x14ac:dyDescent="0.4">
      <c r="A24" s="1402" t="s">
        <v>65</v>
      </c>
      <c r="B24" s="1403"/>
      <c r="C24" s="93" t="s">
        <v>11</v>
      </c>
      <c r="D24" s="94" t="s">
        <v>60</v>
      </c>
      <c r="E24" s="71" t="s">
        <v>61</v>
      </c>
      <c r="F24" s="1402" t="s">
        <v>65</v>
      </c>
      <c r="G24" s="1403"/>
      <c r="H24" s="93" t="s">
        <v>11</v>
      </c>
      <c r="I24" s="94" t="s">
        <v>60</v>
      </c>
      <c r="J24" s="71" t="s">
        <v>61</v>
      </c>
      <c r="K24" s="1411" t="s">
        <v>65</v>
      </c>
      <c r="L24" s="1412"/>
      <c r="M24" s="93" t="s">
        <v>11</v>
      </c>
      <c r="N24" s="94" t="s">
        <v>60</v>
      </c>
      <c r="O24" s="71" t="s">
        <v>61</v>
      </c>
      <c r="P24" s="1411" t="s">
        <v>65</v>
      </c>
      <c r="Q24" s="1412"/>
      <c r="R24" s="93" t="s">
        <v>11</v>
      </c>
      <c r="S24" s="94" t="s">
        <v>60</v>
      </c>
      <c r="T24" s="71" t="s">
        <v>61</v>
      </c>
      <c r="U24" s="1411" t="s">
        <v>65</v>
      </c>
      <c r="V24" s="1412"/>
      <c r="W24" s="95" t="s">
        <v>11</v>
      </c>
      <c r="X24" s="96" t="s">
        <v>60</v>
      </c>
      <c r="Y24" s="71" t="s">
        <v>61</v>
      </c>
      <c r="Z24" s="1402" t="s">
        <v>65</v>
      </c>
      <c r="AA24" s="1403"/>
      <c r="AB24" s="93" t="s">
        <v>11</v>
      </c>
      <c r="AC24" s="94" t="s">
        <v>60</v>
      </c>
      <c r="AD24" s="71" t="s">
        <v>61</v>
      </c>
      <c r="AE24" s="1402" t="s">
        <v>65</v>
      </c>
      <c r="AF24" s="1403"/>
      <c r="AG24" s="93" t="s">
        <v>11</v>
      </c>
      <c r="AH24" s="94" t="s">
        <v>60</v>
      </c>
      <c r="AI24" s="71" t="s">
        <v>61</v>
      </c>
      <c r="AJ24" s="1402" t="s">
        <v>65</v>
      </c>
      <c r="AK24" s="1403"/>
      <c r="AL24" s="93" t="s">
        <v>11</v>
      </c>
      <c r="AM24" s="94" t="s">
        <v>60</v>
      </c>
      <c r="AN24" s="71" t="s">
        <v>61</v>
      </c>
      <c r="AO24" s="1402" t="s">
        <v>65</v>
      </c>
      <c r="AP24" s="1403"/>
      <c r="AQ24" s="93" t="s">
        <v>11</v>
      </c>
      <c r="AR24" s="94" t="s">
        <v>60</v>
      </c>
      <c r="AS24" s="71" t="s">
        <v>61</v>
      </c>
      <c r="AT24" s="1402" t="s">
        <v>65</v>
      </c>
      <c r="AU24" s="1403"/>
      <c r="AV24" s="93" t="s">
        <v>11</v>
      </c>
      <c r="AW24" s="94" t="s">
        <v>60</v>
      </c>
      <c r="AX24" s="71" t="s">
        <v>61</v>
      </c>
      <c r="AY24" s="1402" t="s">
        <v>65</v>
      </c>
      <c r="AZ24" s="1403"/>
      <c r="BA24" s="93" t="s">
        <v>11</v>
      </c>
      <c r="BB24" s="94" t="s">
        <v>60</v>
      </c>
      <c r="BC24" s="71" t="s">
        <v>61</v>
      </c>
      <c r="BD24" s="1402" t="s">
        <v>65</v>
      </c>
      <c r="BE24" s="1403"/>
      <c r="BF24" s="93" t="s">
        <v>11</v>
      </c>
      <c r="BG24" s="94" t="s">
        <v>60</v>
      </c>
      <c r="BH24" s="72" t="s">
        <v>61</v>
      </c>
    </row>
    <row r="25" spans="1:60" s="102" customFormat="1" ht="20.100000000000001" customHeight="1" x14ac:dyDescent="0.4">
      <c r="A25" s="224">
        <v>0</v>
      </c>
      <c r="B25" s="24" t="str">
        <f>IFERROR(HLOOKUP(A$22,#REF!,[2]SA_GRILLE_STEU!$A25+2,FALSE),"")</f>
        <v/>
      </c>
      <c r="C25" s="115"/>
      <c r="D25" s="97"/>
      <c r="E25" s="76" t="str">
        <f>IFERROR(HLOOKUP(A$22,#REF!,[2]SA_GRILLE_STEU!$A25+2,FALSE),"")</f>
        <v/>
      </c>
      <c r="F25" s="224">
        <v>0</v>
      </c>
      <c r="G25" s="10" t="str">
        <f>IFERROR(HLOOKUP(F$22,#REF!,[2]SA_GRILLE_STEU!$A25+2,FALSE),"")</f>
        <v/>
      </c>
      <c r="H25" s="115"/>
      <c r="I25" s="98"/>
      <c r="J25" s="76" t="str">
        <f>IFERROR(HLOOKUP(F$22,#REF!,[2]SA_GRILLE_STEU!$A25+2,FALSE),"")</f>
        <v/>
      </c>
      <c r="K25" s="99">
        <v>0</v>
      </c>
      <c r="L25" s="24" t="str">
        <f>IFERROR(HLOOKUP(K$22,#REF!,[2]SA_GRILLE_STEU!$A25+2,FALSE),"")</f>
        <v/>
      </c>
      <c r="M25" s="115"/>
      <c r="N25" s="98"/>
      <c r="O25" s="76" t="str">
        <f>IFERROR(HLOOKUP(K$22,#REF!,[2]SA_GRILLE_STEU!$A25+2,FALSE),"")</f>
        <v/>
      </c>
      <c r="P25" s="99">
        <v>0</v>
      </c>
      <c r="Q25" s="24" t="str">
        <f>IFERROR(HLOOKUP(P$22,#REF!,[2]SA_GRILLE_STEU!$A25+2,FALSE),"")</f>
        <v/>
      </c>
      <c r="R25" s="115"/>
      <c r="S25" s="98"/>
      <c r="T25" s="76" t="str">
        <f>IFERROR(HLOOKUP(P$22,#REF!,[2]SA_GRILLE_STEU!$A25+2,FALSE),"")</f>
        <v/>
      </c>
      <c r="U25" s="99">
        <v>0</v>
      </c>
      <c r="V25" s="10" t="str">
        <f>IFERROR(HLOOKUP(U$22,#REF!,[2]SA_GRILLE_STEU!$A25+2,FALSE),"")</f>
        <v/>
      </c>
      <c r="W25" s="115"/>
      <c r="X25" s="98"/>
      <c r="Y25" s="76" t="str">
        <f>IFERROR(HLOOKUP(U$22,#REF!,[2]SA_GRILLE_STEU!$A25+2,FALSE),"")</f>
        <v/>
      </c>
      <c r="Z25" s="224">
        <v>0</v>
      </c>
      <c r="AA25" s="10" t="str">
        <f>IFERROR(HLOOKUP(Z$22,#REF!,[2]SA_GRILLE_STEU!$A25+2,FALSE),"")</f>
        <v/>
      </c>
      <c r="AB25" s="115"/>
      <c r="AC25" s="98"/>
      <c r="AD25" s="76" t="str">
        <f>IFERROR(HLOOKUP(Z$22,#REF!,[2]SA_GRILLE_STEU!$A25+2,FALSE),"")</f>
        <v/>
      </c>
      <c r="AE25" s="224">
        <v>0</v>
      </c>
      <c r="AF25" s="10" t="str">
        <f>IFERROR(HLOOKUP(AE$22,#REF!,[2]SA_GRILLE_STEU!$A25+2,FALSE),"")</f>
        <v/>
      </c>
      <c r="AG25" s="115"/>
      <c r="AH25" s="98"/>
      <c r="AI25" s="76" t="str">
        <f>IFERROR(HLOOKUP(AE$22,#REF!,[2]SA_GRILLE_STEU!$A25+2,FALSE),"")</f>
        <v/>
      </c>
      <c r="AJ25" s="224">
        <v>0</v>
      </c>
      <c r="AK25" s="41" t="str">
        <f>IFERROR(HLOOKUP(AJ$22,#REF!,[2]SA_GRILLE_STEU!$A25+2,FALSE),"")</f>
        <v/>
      </c>
      <c r="AL25" s="126"/>
      <c r="AM25" s="100"/>
      <c r="AN25" s="76" t="str">
        <f>IFERROR(HLOOKUP(AJ$22,#REF!,[2]SA_GRILLE_STEU!$A25+2,FALSE),"")</f>
        <v/>
      </c>
      <c r="AO25" s="224">
        <v>0</v>
      </c>
      <c r="AP25" s="10" t="str">
        <f>IFERROR(HLOOKUP(AO$22,#REF!,[2]SA_GRILLE_STEU!$A25+2,FALSE),"")</f>
        <v/>
      </c>
      <c r="AQ25" s="115"/>
      <c r="AR25" s="100"/>
      <c r="AS25" s="76" t="str">
        <f>IFERROR(HLOOKUP(AO$22,#REF!,[2]SA_GRILLE_STEU!$A25+2,FALSE),"")</f>
        <v/>
      </c>
      <c r="AT25" s="224">
        <v>0</v>
      </c>
      <c r="AU25" s="10" t="str">
        <f>IFERROR(HLOOKUP(AT$22,#REF!,[2]SA_GRILLE_STEU!$A25+2,FALSE),"")</f>
        <v/>
      </c>
      <c r="AV25" s="115"/>
      <c r="AW25" s="100"/>
      <c r="AX25" s="76" t="str">
        <f>IFERROR(HLOOKUP(AT$22,#REF!,[2]SA_GRILLE_STEU!$A25+2,FALSE),"")</f>
        <v/>
      </c>
      <c r="AY25" s="224">
        <v>0</v>
      </c>
      <c r="AZ25" s="41" t="str">
        <f>IFERROR(HLOOKUP(AY$22,#REF!,[2]SA_GRILLE_STEU!$A25+2,FALSE),"")</f>
        <v/>
      </c>
      <c r="BA25" s="115"/>
      <c r="BB25" s="100"/>
      <c r="BC25" s="76" t="str">
        <f>IFERROR(HLOOKUP(AY$22,#REF!,[2]SA_GRILLE_STEU!$A25+2,FALSE),"")</f>
        <v/>
      </c>
      <c r="BD25" s="224">
        <v>0</v>
      </c>
      <c r="BE25" s="10" t="str">
        <f>IFERROR(HLOOKUP(BD$22,#REF!,[2]SA_GRILLE_STEU!$A25+2,FALSE),"")</f>
        <v/>
      </c>
      <c r="BF25" s="115"/>
      <c r="BG25" s="101"/>
      <c r="BH25" s="76" t="str">
        <f>IFERROR(HLOOKUP(BD$22,#REF!,[2]SA_GRILLE_STEU!$A25+2,FALSE),"")</f>
        <v/>
      </c>
    </row>
    <row r="26" spans="1:60" s="102" customFormat="1" ht="30" customHeight="1" x14ac:dyDescent="0.4">
      <c r="A26" s="225">
        <v>1</v>
      </c>
      <c r="B26" s="3" t="str">
        <f>IFERROR(HLOOKUP(A$22,#REF!,[2]SA_GRILLE_STEU!$A26+2,FALSE),"")</f>
        <v/>
      </c>
      <c r="C26" s="116"/>
      <c r="D26" s="74" t="str">
        <f>IFERROR(HLOOKUP(A$22,#REF!,[2]SA_GRILLE_STEU!$A26+2,FALSE),"")</f>
        <v/>
      </c>
      <c r="E26" s="76" t="str">
        <f>IFERROR(HLOOKUP(A$22,#REF!,[2]SA_GRILLE_STEU!$A26+2,FALSE),"")</f>
        <v/>
      </c>
      <c r="F26" s="225">
        <v>1</v>
      </c>
      <c r="G26" s="9" t="str">
        <f>IFERROR(HLOOKUP(F$22,#REF!,[2]SA_GRILLE_STEU!$A26+2,FALSE),"")</f>
        <v/>
      </c>
      <c r="H26" s="116"/>
      <c r="I26" s="74" t="str">
        <f>IFERROR(HLOOKUP(F$22,#REF!,[2]SA_GRILLE_STEU!$A26+2,FALSE),"")</f>
        <v/>
      </c>
      <c r="J26" s="76" t="str">
        <f>IFERROR(HLOOKUP(F$22,#REF!,[2]SA_GRILLE_STEU!$A26+2,FALSE),"")</f>
        <v/>
      </c>
      <c r="K26" s="103">
        <v>1</v>
      </c>
      <c r="L26" s="3" t="str">
        <f>IFERROR(HLOOKUP(K$22,#REF!,[2]SA_GRILLE_STEU!$A26+2,FALSE),"")</f>
        <v/>
      </c>
      <c r="M26" s="116"/>
      <c r="N26" s="74" t="str">
        <f>IFERROR(HLOOKUP(K$22,#REF!,[2]SA_GRILLE_STEU!$A26+2,FALSE),"")</f>
        <v/>
      </c>
      <c r="O26" s="76" t="str">
        <f>IFERROR(HLOOKUP(K$22,#REF!,[2]SA_GRILLE_STEU!$A26+2,FALSE),"")</f>
        <v/>
      </c>
      <c r="P26" s="103">
        <v>1</v>
      </c>
      <c r="Q26" s="3" t="str">
        <f>IFERROR(HLOOKUP(P$22,#REF!,[2]SA_GRILLE_STEU!$A26+2,FALSE),"")</f>
        <v/>
      </c>
      <c r="R26" s="116"/>
      <c r="S26" s="74" t="str">
        <f>IFERROR(HLOOKUP(P$22,#REF!,[2]SA_GRILLE_STEU!$A26+2,FALSE),"")</f>
        <v/>
      </c>
      <c r="T26" s="76" t="str">
        <f>IFERROR(HLOOKUP(P$22,#REF!,[2]SA_GRILLE_STEU!$A26+2,FALSE),"")</f>
        <v/>
      </c>
      <c r="U26" s="103">
        <v>1</v>
      </c>
      <c r="V26" s="9" t="str">
        <f>IFERROR(HLOOKUP(U$22,#REF!,[2]SA_GRILLE_STEU!$A26+2,FALSE),"")</f>
        <v/>
      </c>
      <c r="W26" s="116"/>
      <c r="X26" s="74" t="str">
        <f>IFERROR(HLOOKUP(U$22,#REF!,[2]SA_GRILLE_STEU!$A26+2,FALSE),"")</f>
        <v/>
      </c>
      <c r="Y26" s="76" t="str">
        <f>IFERROR(HLOOKUP(U$22,#REF!,[2]SA_GRILLE_STEU!$A26+2,FALSE),"")</f>
        <v/>
      </c>
      <c r="Z26" s="225">
        <v>1</v>
      </c>
      <c r="AA26" s="9" t="str">
        <f>IFERROR(HLOOKUP(Z$22,#REF!,[2]SA_GRILLE_STEU!$A26+2,FALSE),"")</f>
        <v/>
      </c>
      <c r="AB26" s="116"/>
      <c r="AC26" s="74" t="str">
        <f>IFERROR(HLOOKUP(Z$22,#REF!,[2]SA_GRILLE_STEU!$A26+2,FALSE),"")</f>
        <v/>
      </c>
      <c r="AD26" s="76" t="str">
        <f>IFERROR(HLOOKUP(Z$22,#REF!,[2]SA_GRILLE_STEU!$A26+2,FALSE),"")</f>
        <v/>
      </c>
      <c r="AE26" s="225">
        <v>1</v>
      </c>
      <c r="AF26" s="9" t="str">
        <f>IFERROR(HLOOKUP(AE$22,#REF!,[2]SA_GRILLE_STEU!$A26+2,FALSE),"")</f>
        <v/>
      </c>
      <c r="AG26" s="116"/>
      <c r="AH26" s="74" t="str">
        <f>IFERROR(HLOOKUP(AE$22,#REF!,[2]SA_GRILLE_STEU!$A26+2,FALSE),"")</f>
        <v/>
      </c>
      <c r="AI26" s="76" t="str">
        <f>IFERROR(HLOOKUP(AE$22,#REF!,[2]SA_GRILLE_STEU!$A26+2,FALSE),"")</f>
        <v/>
      </c>
      <c r="AJ26" s="225">
        <v>1</v>
      </c>
      <c r="AK26" s="42" t="str">
        <f>IFERROR(HLOOKUP(AJ$22,#REF!,[2]SA_GRILLE_STEU!$A26+2,FALSE),"")</f>
        <v/>
      </c>
      <c r="AL26" s="127"/>
      <c r="AM26" s="74" t="str">
        <f>IFERROR(HLOOKUP(AJ$22,#REF!,[2]SA_GRILLE_STEU!$A26+2,FALSE),"")</f>
        <v/>
      </c>
      <c r="AN26" s="76" t="str">
        <f>IFERROR(HLOOKUP(AJ$22,#REF!,[2]SA_GRILLE_STEU!$A26+2,FALSE),"")</f>
        <v/>
      </c>
      <c r="AO26" s="225">
        <v>1</v>
      </c>
      <c r="AP26" s="9" t="str">
        <f>IFERROR(HLOOKUP(AO$22,#REF!,[2]SA_GRILLE_STEU!$A26+2,FALSE),"")</f>
        <v/>
      </c>
      <c r="AQ26" s="116"/>
      <c r="AR26" s="74" t="str">
        <f>IFERROR(HLOOKUP(AO$22,#REF!,[2]SA_GRILLE_STEU!$A26+2,FALSE),"")</f>
        <v/>
      </c>
      <c r="AS26" s="76" t="str">
        <f>IFERROR(HLOOKUP(AO$22,#REF!,[2]SA_GRILLE_STEU!$A26+2,FALSE),"")</f>
        <v/>
      </c>
      <c r="AT26" s="225">
        <v>1</v>
      </c>
      <c r="AU26" s="9" t="str">
        <f>IFERROR(HLOOKUP(AT$22,#REF!,[2]SA_GRILLE_STEU!$A26+2,FALSE),"")</f>
        <v/>
      </c>
      <c r="AV26" s="116"/>
      <c r="AW26" s="74" t="str">
        <f>IFERROR(HLOOKUP(AT$22,#REF!,[2]SA_GRILLE_STEU!$A26+2,FALSE),"")</f>
        <v/>
      </c>
      <c r="AX26" s="76" t="str">
        <f>IFERROR(HLOOKUP(AT$22,#REF!,[2]SA_GRILLE_STEU!$A26+2,FALSE),"")</f>
        <v/>
      </c>
      <c r="AY26" s="225">
        <v>1</v>
      </c>
      <c r="AZ26" s="42" t="str">
        <f>IFERROR(HLOOKUP(AY$22,#REF!,[2]SA_GRILLE_STEU!$A26+2,FALSE),"")</f>
        <v/>
      </c>
      <c r="BA26" s="116"/>
      <c r="BB26" s="74" t="str">
        <f>IFERROR(HLOOKUP(AY$22,#REF!,[2]SA_GRILLE_STEU!$A26+2,FALSE),"")</f>
        <v/>
      </c>
      <c r="BC26" s="76" t="str">
        <f>IFERROR(HLOOKUP(AY$22,#REF!,[2]SA_GRILLE_STEU!$A26+2,FALSE),"")</f>
        <v/>
      </c>
      <c r="BD26" s="225">
        <v>1</v>
      </c>
      <c r="BE26" s="9" t="str">
        <f>IFERROR(HLOOKUP(BD$22,#REF!,[2]SA_GRILLE_STEU!$A26+2,FALSE),"")</f>
        <v/>
      </c>
      <c r="BF26" s="116"/>
      <c r="BG26" s="77" t="str">
        <f>IFERROR(HLOOKUP(BD$22,#REF!,[2]SA_GRILLE_STEU!$A26+2,FALSE),"")</f>
        <v/>
      </c>
      <c r="BH26" s="76" t="str">
        <f>IFERROR(HLOOKUP(BD$22,#REF!,[2]SA_GRILLE_STEU!$A26+2,FALSE),"")</f>
        <v/>
      </c>
    </row>
    <row r="27" spans="1:60" s="102" customFormat="1" ht="20.100000000000001" customHeight="1" x14ac:dyDescent="0.4">
      <c r="A27" s="225">
        <v>2</v>
      </c>
      <c r="B27" s="3" t="str">
        <f>IFERROR(HLOOKUP(A$22,#REF!,[2]SA_GRILLE_STEU!$A27+2,FALSE),"")</f>
        <v/>
      </c>
      <c r="C27" s="116"/>
      <c r="D27" s="74" t="str">
        <f>IFERROR(HLOOKUP(A$22,#REF!,[2]SA_GRILLE_STEU!$A27+2,FALSE),"")</f>
        <v/>
      </c>
      <c r="E27" s="76" t="str">
        <f>IFERROR(HLOOKUP(A$22,#REF!,[2]SA_GRILLE_STEU!$A27+2,FALSE),"")</f>
        <v/>
      </c>
      <c r="F27" s="225">
        <v>2</v>
      </c>
      <c r="G27" s="9" t="str">
        <f>IFERROR(HLOOKUP(F$22,#REF!,[2]SA_GRILLE_STEU!$A27+2,FALSE),"")</f>
        <v/>
      </c>
      <c r="H27" s="116"/>
      <c r="I27" s="74" t="str">
        <f>IFERROR(HLOOKUP(F$22,#REF!,[2]SA_GRILLE_STEU!$A27+2,FALSE),"")</f>
        <v/>
      </c>
      <c r="J27" s="76" t="str">
        <f>IFERROR(HLOOKUP(F$22,#REF!,[2]SA_GRILLE_STEU!$A27+2,FALSE),"")</f>
        <v/>
      </c>
      <c r="K27" s="103">
        <v>2</v>
      </c>
      <c r="L27" s="3" t="str">
        <f>IFERROR(HLOOKUP(K$22,#REF!,[2]SA_GRILLE_STEU!$A27+2,FALSE),"")</f>
        <v/>
      </c>
      <c r="M27" s="116"/>
      <c r="N27" s="74" t="str">
        <f>IFERROR(HLOOKUP(K$22,#REF!,[2]SA_GRILLE_STEU!$A27+2,FALSE),"")</f>
        <v/>
      </c>
      <c r="O27" s="76" t="str">
        <f>IFERROR(HLOOKUP(K$22,#REF!,[2]SA_GRILLE_STEU!$A27+2,FALSE),"")</f>
        <v/>
      </c>
      <c r="P27" s="103">
        <v>2</v>
      </c>
      <c r="Q27" s="3" t="str">
        <f>IFERROR(HLOOKUP(P$22,#REF!,[2]SA_GRILLE_STEU!$A27+2,FALSE),"")</f>
        <v/>
      </c>
      <c r="R27" s="116"/>
      <c r="S27" s="74" t="str">
        <f>IFERROR(HLOOKUP(P$22,#REF!,[2]SA_GRILLE_STEU!$A27+2,FALSE),"")</f>
        <v/>
      </c>
      <c r="T27" s="76" t="str">
        <f>IFERROR(HLOOKUP(P$22,#REF!,[2]SA_GRILLE_STEU!$A27+2,FALSE),"")</f>
        <v/>
      </c>
      <c r="U27" s="103">
        <v>2</v>
      </c>
      <c r="V27" s="9" t="str">
        <f>IFERROR(HLOOKUP(U$22,#REF!,[2]SA_GRILLE_STEU!$A27+2,FALSE),"")</f>
        <v/>
      </c>
      <c r="W27" s="116"/>
      <c r="X27" s="74" t="str">
        <f>IFERROR(HLOOKUP(U$22,#REF!,[2]SA_GRILLE_STEU!$A27+2,FALSE),"")</f>
        <v/>
      </c>
      <c r="Y27" s="76" t="str">
        <f>IFERROR(HLOOKUP(U$22,#REF!,[2]SA_GRILLE_STEU!$A27+2,FALSE),"")</f>
        <v/>
      </c>
      <c r="Z27" s="225">
        <v>2</v>
      </c>
      <c r="AA27" s="9" t="str">
        <f>IFERROR(HLOOKUP(Z$22,#REF!,[2]SA_GRILLE_STEU!$A27+2,FALSE),"")</f>
        <v/>
      </c>
      <c r="AB27" s="116"/>
      <c r="AC27" s="74" t="str">
        <f>IFERROR(HLOOKUP(Z$22,#REF!,[2]SA_GRILLE_STEU!$A27+2,FALSE),"")</f>
        <v/>
      </c>
      <c r="AD27" s="76" t="str">
        <f>IFERROR(HLOOKUP(Z$22,#REF!,[2]SA_GRILLE_STEU!$A27+2,FALSE),"")</f>
        <v/>
      </c>
      <c r="AE27" s="225">
        <v>2</v>
      </c>
      <c r="AF27" s="9" t="str">
        <f>IFERROR(HLOOKUP(AE$22,#REF!,[2]SA_GRILLE_STEU!$A27+2,FALSE),"")</f>
        <v/>
      </c>
      <c r="AG27" s="116"/>
      <c r="AH27" s="74" t="str">
        <f>IFERROR(HLOOKUP(AE$22,#REF!,[2]SA_GRILLE_STEU!$A27+2,FALSE),"")</f>
        <v/>
      </c>
      <c r="AI27" s="76" t="str">
        <f>IFERROR(HLOOKUP(AE$22,#REF!,[2]SA_GRILLE_STEU!$A27+2,FALSE),"")</f>
        <v/>
      </c>
      <c r="AJ27" s="225">
        <v>2</v>
      </c>
      <c r="AK27" s="42" t="str">
        <f>IFERROR(HLOOKUP(AJ$22,#REF!,[2]SA_GRILLE_STEU!$A27+2,FALSE),"")</f>
        <v/>
      </c>
      <c r="AL27" s="127"/>
      <c r="AM27" s="74" t="str">
        <f>IFERROR(HLOOKUP(AJ$22,#REF!,[2]SA_GRILLE_STEU!$A27+2,FALSE),"")</f>
        <v/>
      </c>
      <c r="AN27" s="76" t="str">
        <f>IFERROR(HLOOKUP(AJ$22,#REF!,[2]SA_GRILLE_STEU!$A27+2,FALSE),"")</f>
        <v/>
      </c>
      <c r="AO27" s="225">
        <v>2</v>
      </c>
      <c r="AP27" s="9" t="str">
        <f>IFERROR(HLOOKUP(AO$22,#REF!,[2]SA_GRILLE_STEU!$A27+2,FALSE),"")</f>
        <v/>
      </c>
      <c r="AQ27" s="116"/>
      <c r="AR27" s="74" t="str">
        <f>IFERROR(HLOOKUP(AO$22,#REF!,[2]SA_GRILLE_STEU!$A27+2,FALSE),"")</f>
        <v/>
      </c>
      <c r="AS27" s="76" t="str">
        <f>IFERROR(HLOOKUP(AO$22,#REF!,[2]SA_GRILLE_STEU!$A27+2,FALSE),"")</f>
        <v/>
      </c>
      <c r="AT27" s="225">
        <v>2</v>
      </c>
      <c r="AU27" s="9" t="str">
        <f>IFERROR(HLOOKUP(AT$22,#REF!,[2]SA_GRILLE_STEU!$A27+2,FALSE),"")</f>
        <v/>
      </c>
      <c r="AV27" s="116"/>
      <c r="AW27" s="74" t="str">
        <f>IFERROR(HLOOKUP(AT$22,#REF!,[2]SA_GRILLE_STEU!$A27+2,FALSE),"")</f>
        <v/>
      </c>
      <c r="AX27" s="76" t="str">
        <f>IFERROR(HLOOKUP(AT$22,#REF!,[2]SA_GRILLE_STEU!$A27+2,FALSE),"")</f>
        <v/>
      </c>
      <c r="AY27" s="225">
        <v>2</v>
      </c>
      <c r="AZ27" s="42" t="str">
        <f>IFERROR(HLOOKUP(AY$22,#REF!,[2]SA_GRILLE_STEU!$A27+2,FALSE),"")</f>
        <v/>
      </c>
      <c r="BA27" s="116"/>
      <c r="BB27" s="74" t="str">
        <f>IFERROR(HLOOKUP(AY$22,#REF!,[2]SA_GRILLE_STEU!$A27+2,FALSE),"")</f>
        <v/>
      </c>
      <c r="BC27" s="76" t="str">
        <f>IFERROR(HLOOKUP(AY$22,#REF!,[2]SA_GRILLE_STEU!$A27+2,FALSE),"")</f>
        <v/>
      </c>
      <c r="BD27" s="225">
        <v>2</v>
      </c>
      <c r="BE27" s="9" t="str">
        <f>IFERROR(HLOOKUP(BD$22,#REF!,[2]SA_GRILLE_STEU!$A27+2,FALSE),"")</f>
        <v/>
      </c>
      <c r="BF27" s="116"/>
      <c r="BG27" s="77" t="str">
        <f>IFERROR(HLOOKUP(BD$22,#REF!,[2]SA_GRILLE_STEU!$A27+2,FALSE),"")</f>
        <v/>
      </c>
      <c r="BH27" s="76" t="str">
        <f>IFERROR(HLOOKUP(BD$22,#REF!,[2]SA_GRILLE_STEU!$A27+2,FALSE),"")</f>
        <v/>
      </c>
    </row>
    <row r="28" spans="1:60" s="102" customFormat="1" ht="30" customHeight="1" x14ac:dyDescent="0.4">
      <c r="A28" s="225">
        <v>3</v>
      </c>
      <c r="B28" s="3" t="str">
        <f>IFERROR(HLOOKUP(A$22,#REF!,[2]SA_GRILLE_STEU!$A28+2,FALSE),"")</f>
        <v/>
      </c>
      <c r="C28" s="116"/>
      <c r="D28" s="74" t="str">
        <f>IFERROR(HLOOKUP(A$22,#REF!,[2]SA_GRILLE_STEU!$A28+2,FALSE),"")</f>
        <v/>
      </c>
      <c r="E28" s="76" t="str">
        <f>IFERROR(HLOOKUP(A$22,#REF!,[2]SA_GRILLE_STEU!$A28+2,FALSE),"")</f>
        <v/>
      </c>
      <c r="F28" s="225">
        <v>3</v>
      </c>
      <c r="G28" s="9" t="str">
        <f>IFERROR(HLOOKUP(F$22,#REF!,[2]SA_GRILLE_STEU!$A28+2,FALSE),"")</f>
        <v/>
      </c>
      <c r="H28" s="116"/>
      <c r="I28" s="74" t="str">
        <f>IFERROR(HLOOKUP(F$22,#REF!,[2]SA_GRILLE_STEU!$A28+2,FALSE),"")</f>
        <v/>
      </c>
      <c r="J28" s="76" t="str">
        <f>IFERROR(HLOOKUP(F$22,#REF!,[2]SA_GRILLE_STEU!$A28+2,FALSE),"")</f>
        <v/>
      </c>
      <c r="K28" s="103">
        <v>3</v>
      </c>
      <c r="L28" s="3" t="str">
        <f>IFERROR(HLOOKUP(K$22,#REF!,[2]SA_GRILLE_STEU!$A28+2,FALSE),"")</f>
        <v/>
      </c>
      <c r="M28" s="116"/>
      <c r="N28" s="74" t="str">
        <f>IFERROR(HLOOKUP(K$22,#REF!,[2]SA_GRILLE_STEU!$A28+2,FALSE),"")</f>
        <v/>
      </c>
      <c r="O28" s="76" t="str">
        <f>IFERROR(HLOOKUP(K$22,#REF!,[2]SA_GRILLE_STEU!$A28+2,FALSE),"")</f>
        <v/>
      </c>
      <c r="P28" s="103">
        <v>3</v>
      </c>
      <c r="Q28" s="3" t="str">
        <f>IFERROR(HLOOKUP(P$22,#REF!,[2]SA_GRILLE_STEU!$A28+2,FALSE),"")</f>
        <v/>
      </c>
      <c r="R28" s="116"/>
      <c r="S28" s="74" t="str">
        <f>IFERROR(HLOOKUP(P$22,#REF!,[2]SA_GRILLE_STEU!$A28+2,FALSE),"")</f>
        <v/>
      </c>
      <c r="T28" s="76" t="str">
        <f>IFERROR(HLOOKUP(P$22,#REF!,[2]SA_GRILLE_STEU!$A28+2,FALSE),"")</f>
        <v/>
      </c>
      <c r="U28" s="103">
        <v>3</v>
      </c>
      <c r="V28" s="9" t="str">
        <f>IFERROR(HLOOKUP(U$22,#REF!,[2]SA_GRILLE_STEU!$A28+2,FALSE),"")</f>
        <v/>
      </c>
      <c r="W28" s="116"/>
      <c r="X28" s="74" t="str">
        <f>IFERROR(HLOOKUP(U$22,#REF!,[2]SA_GRILLE_STEU!$A28+2,FALSE),"")</f>
        <v/>
      </c>
      <c r="Y28" s="76" t="str">
        <f>IFERROR(HLOOKUP(U$22,#REF!,[2]SA_GRILLE_STEU!$A28+2,FALSE),"")</f>
        <v/>
      </c>
      <c r="Z28" s="225">
        <v>3</v>
      </c>
      <c r="AA28" s="9" t="str">
        <f>IFERROR(HLOOKUP(Z$22,#REF!,[2]SA_GRILLE_STEU!$A28+2,FALSE),"")</f>
        <v/>
      </c>
      <c r="AB28" s="116"/>
      <c r="AC28" s="74" t="str">
        <f>IFERROR(HLOOKUP(Z$22,#REF!,[2]SA_GRILLE_STEU!$A28+2,FALSE),"")</f>
        <v/>
      </c>
      <c r="AD28" s="76" t="str">
        <f>IFERROR(HLOOKUP(Z$22,#REF!,[2]SA_GRILLE_STEU!$A28+2,FALSE),"")</f>
        <v/>
      </c>
      <c r="AE28" s="225">
        <v>3</v>
      </c>
      <c r="AF28" s="9" t="str">
        <f>IFERROR(HLOOKUP(AE$22,#REF!,[2]SA_GRILLE_STEU!$A28+2,FALSE),"")</f>
        <v/>
      </c>
      <c r="AG28" s="116"/>
      <c r="AH28" s="74" t="str">
        <f>IFERROR(HLOOKUP(AE$22,#REF!,[2]SA_GRILLE_STEU!$A28+2,FALSE),"")</f>
        <v/>
      </c>
      <c r="AI28" s="76" t="str">
        <f>IFERROR(HLOOKUP(AE$22,#REF!,[2]SA_GRILLE_STEU!$A28+2,FALSE),"")</f>
        <v/>
      </c>
      <c r="AJ28" s="225">
        <v>3</v>
      </c>
      <c r="AK28" s="42" t="str">
        <f>IFERROR(HLOOKUP(AJ$22,#REF!,[2]SA_GRILLE_STEU!$A28+2,FALSE),"")</f>
        <v/>
      </c>
      <c r="AL28" s="127"/>
      <c r="AM28" s="74" t="str">
        <f>IFERROR(HLOOKUP(AJ$22,#REF!,[2]SA_GRILLE_STEU!$A28+2,FALSE),"")</f>
        <v/>
      </c>
      <c r="AN28" s="76" t="str">
        <f>IFERROR(HLOOKUP(AJ$22,#REF!,[2]SA_GRILLE_STEU!$A28+2,FALSE),"")</f>
        <v/>
      </c>
      <c r="AO28" s="225">
        <v>3</v>
      </c>
      <c r="AP28" s="9" t="str">
        <f>IFERROR(HLOOKUP(AO$22,#REF!,[2]SA_GRILLE_STEU!$A28+2,FALSE),"")</f>
        <v/>
      </c>
      <c r="AQ28" s="116"/>
      <c r="AR28" s="74" t="str">
        <f>IFERROR(HLOOKUP(AO$22,#REF!,[2]SA_GRILLE_STEU!$A28+2,FALSE),"")</f>
        <v/>
      </c>
      <c r="AS28" s="76" t="str">
        <f>IFERROR(HLOOKUP(AO$22,#REF!,[2]SA_GRILLE_STEU!$A28+2,FALSE),"")</f>
        <v/>
      </c>
      <c r="AT28" s="225">
        <v>3</v>
      </c>
      <c r="AU28" s="9" t="str">
        <f>IFERROR(HLOOKUP(AT$22,#REF!,[2]SA_GRILLE_STEU!$A28+2,FALSE),"")</f>
        <v/>
      </c>
      <c r="AV28" s="116"/>
      <c r="AW28" s="74" t="str">
        <f>IFERROR(HLOOKUP(AT$22,#REF!,[2]SA_GRILLE_STEU!$A28+2,FALSE),"")</f>
        <v/>
      </c>
      <c r="AX28" s="76" t="str">
        <f>IFERROR(HLOOKUP(AT$22,#REF!,[2]SA_GRILLE_STEU!$A28+2,FALSE),"")</f>
        <v/>
      </c>
      <c r="AY28" s="225">
        <v>3</v>
      </c>
      <c r="AZ28" s="42" t="str">
        <f>IFERROR(HLOOKUP(AY$22,#REF!,[2]SA_GRILLE_STEU!$A28+2,FALSE),"")</f>
        <v/>
      </c>
      <c r="BA28" s="116"/>
      <c r="BB28" s="74" t="str">
        <f>IFERROR(HLOOKUP(AY$22,#REF!,[2]SA_GRILLE_STEU!$A28+2,FALSE),"")</f>
        <v/>
      </c>
      <c r="BC28" s="76" t="str">
        <f>IFERROR(HLOOKUP(AY$22,#REF!,[2]SA_GRILLE_STEU!$A28+2,FALSE),"")</f>
        <v/>
      </c>
      <c r="BD28" s="225">
        <v>3</v>
      </c>
      <c r="BE28" s="9" t="str">
        <f>IFERROR(HLOOKUP(BD$22,#REF!,[2]SA_GRILLE_STEU!$A28+2,FALSE),"")</f>
        <v/>
      </c>
      <c r="BF28" s="116"/>
      <c r="BG28" s="77" t="str">
        <f>IFERROR(HLOOKUP(BD$22,#REF!,[2]SA_GRILLE_STEU!$A28+2,FALSE),"")</f>
        <v/>
      </c>
      <c r="BH28" s="76" t="str">
        <f>IFERROR(HLOOKUP(BD$22,#REF!,[2]SA_GRILLE_STEU!$A28+2,FALSE),"")</f>
        <v/>
      </c>
    </row>
    <row r="29" spans="1:60" s="102" customFormat="1" ht="20.100000000000001" customHeight="1" x14ac:dyDescent="0.4">
      <c r="A29" s="225">
        <v>4</v>
      </c>
      <c r="B29" s="3" t="str">
        <f>IFERROR(HLOOKUP(A$22,#REF!,[2]SA_GRILLE_STEU!$A29+2,FALSE),"")</f>
        <v/>
      </c>
      <c r="C29" s="116"/>
      <c r="D29" s="74" t="str">
        <f>IFERROR(HLOOKUP(A$22,#REF!,[2]SA_GRILLE_STEU!$A29+2,FALSE),"")</f>
        <v/>
      </c>
      <c r="E29" s="76" t="str">
        <f>IFERROR(HLOOKUP(A$22,#REF!,[2]SA_GRILLE_STEU!$A29+2,FALSE),"")</f>
        <v/>
      </c>
      <c r="F29" s="225">
        <v>4</v>
      </c>
      <c r="G29" s="9" t="str">
        <f>IFERROR(HLOOKUP(F$22,#REF!,[2]SA_GRILLE_STEU!$A29+2,FALSE),"")</f>
        <v/>
      </c>
      <c r="H29" s="116"/>
      <c r="I29" s="74" t="str">
        <f>IFERROR(HLOOKUP(F$22,#REF!,[2]SA_GRILLE_STEU!$A29+2,FALSE),"")</f>
        <v/>
      </c>
      <c r="J29" s="76" t="str">
        <f>IFERROR(HLOOKUP(F$22,#REF!,[2]SA_GRILLE_STEU!$A29+2,FALSE),"")</f>
        <v/>
      </c>
      <c r="K29" s="103">
        <v>4</v>
      </c>
      <c r="L29" s="3" t="str">
        <f>IFERROR(HLOOKUP(K$22,#REF!,[2]SA_GRILLE_STEU!$A29+2,FALSE),"")</f>
        <v/>
      </c>
      <c r="M29" s="116"/>
      <c r="N29" s="74" t="str">
        <f>IFERROR(HLOOKUP(K$22,#REF!,[2]SA_GRILLE_STEU!$A29+2,FALSE),"")</f>
        <v/>
      </c>
      <c r="O29" s="76" t="str">
        <f>IFERROR(HLOOKUP(K$22,#REF!,[2]SA_GRILLE_STEU!$A29+2,FALSE),"")</f>
        <v/>
      </c>
      <c r="P29" s="103">
        <v>4</v>
      </c>
      <c r="Q29" s="3" t="str">
        <f>IFERROR(HLOOKUP(P$22,#REF!,[2]SA_GRILLE_STEU!$A29+2,FALSE),"")</f>
        <v/>
      </c>
      <c r="R29" s="116"/>
      <c r="S29" s="74" t="str">
        <f>IFERROR(HLOOKUP(P$22,#REF!,[2]SA_GRILLE_STEU!$A29+2,FALSE),"")</f>
        <v/>
      </c>
      <c r="T29" s="76" t="str">
        <f>IFERROR(HLOOKUP(P$22,#REF!,[2]SA_GRILLE_STEU!$A29+2,FALSE),"")</f>
        <v/>
      </c>
      <c r="U29" s="103">
        <v>4</v>
      </c>
      <c r="V29" s="9" t="str">
        <f>IFERROR(HLOOKUP(U$22,#REF!,[2]SA_GRILLE_STEU!$A29+2,FALSE),"")</f>
        <v/>
      </c>
      <c r="W29" s="116"/>
      <c r="X29" s="74" t="str">
        <f>IFERROR(HLOOKUP(U$22,#REF!,[2]SA_GRILLE_STEU!$A29+2,FALSE),"")</f>
        <v/>
      </c>
      <c r="Y29" s="76" t="str">
        <f>IFERROR(HLOOKUP(U$22,#REF!,[2]SA_GRILLE_STEU!$A29+2,FALSE),"")</f>
        <v/>
      </c>
      <c r="Z29" s="225">
        <v>4</v>
      </c>
      <c r="AA29" s="9" t="str">
        <f>IFERROR(HLOOKUP(Z$22,#REF!,[2]SA_GRILLE_STEU!$A29+2,FALSE),"")</f>
        <v/>
      </c>
      <c r="AB29" s="116"/>
      <c r="AC29" s="74" t="str">
        <f>IFERROR(HLOOKUP(Z$22,#REF!,[2]SA_GRILLE_STEU!$A29+2,FALSE),"")</f>
        <v/>
      </c>
      <c r="AD29" s="76" t="str">
        <f>IFERROR(HLOOKUP(Z$22,#REF!,[2]SA_GRILLE_STEU!$A29+2,FALSE),"")</f>
        <v/>
      </c>
      <c r="AE29" s="225">
        <v>4</v>
      </c>
      <c r="AF29" s="9" t="str">
        <f>IFERROR(HLOOKUP(AE$22,#REF!,[2]SA_GRILLE_STEU!$A29+2,FALSE),"")</f>
        <v/>
      </c>
      <c r="AG29" s="116"/>
      <c r="AH29" s="74" t="str">
        <f>IFERROR(HLOOKUP(AE$22,#REF!,[2]SA_GRILLE_STEU!$A29+2,FALSE),"")</f>
        <v/>
      </c>
      <c r="AI29" s="76" t="str">
        <f>IFERROR(HLOOKUP(AE$22,#REF!,[2]SA_GRILLE_STEU!$A29+2,FALSE),"")</f>
        <v/>
      </c>
      <c r="AJ29" s="225">
        <v>4</v>
      </c>
      <c r="AK29" s="42" t="str">
        <f>IFERROR(HLOOKUP(AJ$22,#REF!,[2]SA_GRILLE_STEU!$A29+2,FALSE),"")</f>
        <v/>
      </c>
      <c r="AL29" s="127"/>
      <c r="AM29" s="74" t="str">
        <f>IFERROR(HLOOKUP(AJ$22,#REF!,[2]SA_GRILLE_STEU!$A29+2,FALSE),"")</f>
        <v/>
      </c>
      <c r="AN29" s="76" t="str">
        <f>IFERROR(HLOOKUP(AJ$22,#REF!,[2]SA_GRILLE_STEU!$A29+2,FALSE),"")</f>
        <v/>
      </c>
      <c r="AO29" s="225">
        <v>4</v>
      </c>
      <c r="AP29" s="9" t="str">
        <f>IFERROR(HLOOKUP(AO$22,#REF!,[2]SA_GRILLE_STEU!$A29+2,FALSE),"")</f>
        <v/>
      </c>
      <c r="AQ29" s="116"/>
      <c r="AR29" s="74" t="str">
        <f>IFERROR(HLOOKUP(AO$22,#REF!,[2]SA_GRILLE_STEU!$A29+2,FALSE),"")</f>
        <v/>
      </c>
      <c r="AS29" s="76" t="str">
        <f>IFERROR(HLOOKUP(AO$22,#REF!,[2]SA_GRILLE_STEU!$A29+2,FALSE),"")</f>
        <v/>
      </c>
      <c r="AT29" s="225">
        <v>4</v>
      </c>
      <c r="AU29" s="9" t="str">
        <f>IFERROR(HLOOKUP(AT$22,#REF!,[2]SA_GRILLE_STEU!$A29+2,FALSE),"")</f>
        <v/>
      </c>
      <c r="AV29" s="116"/>
      <c r="AW29" s="74" t="str">
        <f>IFERROR(HLOOKUP(AT$22,#REF!,[2]SA_GRILLE_STEU!$A29+2,FALSE),"")</f>
        <v/>
      </c>
      <c r="AX29" s="76" t="str">
        <f>IFERROR(HLOOKUP(AT$22,#REF!,[2]SA_GRILLE_STEU!$A29+2,FALSE),"")</f>
        <v/>
      </c>
      <c r="AY29" s="225">
        <v>4</v>
      </c>
      <c r="AZ29" s="42" t="str">
        <f>IFERROR(HLOOKUP(AY$22,#REF!,[2]SA_GRILLE_STEU!$A29+2,FALSE),"")</f>
        <v/>
      </c>
      <c r="BA29" s="116"/>
      <c r="BB29" s="74" t="str">
        <f>IFERROR(HLOOKUP(AY$22,#REF!,[2]SA_GRILLE_STEU!$A29+2,FALSE),"")</f>
        <v/>
      </c>
      <c r="BC29" s="76" t="str">
        <f>IFERROR(HLOOKUP(AY$22,#REF!,[2]SA_GRILLE_STEU!$A29+2,FALSE),"")</f>
        <v/>
      </c>
      <c r="BD29" s="225">
        <v>4</v>
      </c>
      <c r="BE29" s="9" t="str">
        <f>IFERROR(HLOOKUP(BD$22,#REF!,[2]SA_GRILLE_STEU!$A29+2,FALSE),"")</f>
        <v/>
      </c>
      <c r="BF29" s="116"/>
      <c r="BG29" s="77" t="str">
        <f>IFERROR(HLOOKUP(BD$22,#REF!,[2]SA_GRILLE_STEU!$A29+2,FALSE),"")</f>
        <v/>
      </c>
      <c r="BH29" s="76" t="str">
        <f>IFERROR(HLOOKUP(BD$22,#REF!,[2]SA_GRILLE_STEU!$A29+2,FALSE),"")</f>
        <v/>
      </c>
    </row>
    <row r="30" spans="1:60" s="102" customFormat="1" ht="20.100000000000001" customHeight="1" x14ac:dyDescent="0.4">
      <c r="A30" s="225">
        <v>5</v>
      </c>
      <c r="B30" s="3" t="str">
        <f>IFERROR(HLOOKUP(A$22,#REF!,[2]SA_GRILLE_STEU!$A30+2,FALSE),"")</f>
        <v/>
      </c>
      <c r="C30" s="116"/>
      <c r="D30" s="74" t="str">
        <f>IFERROR(HLOOKUP(A$22,#REF!,[2]SA_GRILLE_STEU!$A30+2,FALSE),"")</f>
        <v/>
      </c>
      <c r="E30" s="76" t="str">
        <f>IFERROR(HLOOKUP(A$22,#REF!,[2]SA_GRILLE_STEU!$A30+2,FALSE),"")</f>
        <v/>
      </c>
      <c r="F30" s="225">
        <v>5</v>
      </c>
      <c r="G30" s="9" t="str">
        <f>IFERROR(HLOOKUP(F$22,#REF!,[2]SA_GRILLE_STEU!$A30+2,FALSE),"")</f>
        <v/>
      </c>
      <c r="H30" s="116"/>
      <c r="I30" s="74" t="str">
        <f>IFERROR(HLOOKUP(F$22,#REF!,[2]SA_GRILLE_STEU!$A30+2,FALSE),"")</f>
        <v/>
      </c>
      <c r="J30" s="76" t="str">
        <f>IFERROR(HLOOKUP(F$22,#REF!,[2]SA_GRILLE_STEU!$A30+2,FALSE),"")</f>
        <v/>
      </c>
      <c r="K30" s="103">
        <v>5</v>
      </c>
      <c r="L30" s="3" t="str">
        <f>IFERROR(HLOOKUP(K$22,#REF!,[2]SA_GRILLE_STEU!$A30+2,FALSE),"")</f>
        <v/>
      </c>
      <c r="M30" s="116"/>
      <c r="N30" s="74" t="str">
        <f>IFERROR(HLOOKUP(K$22,#REF!,[2]SA_GRILLE_STEU!$A30+2,FALSE),"")</f>
        <v/>
      </c>
      <c r="O30" s="76" t="str">
        <f>IFERROR(HLOOKUP(K$22,#REF!,[2]SA_GRILLE_STEU!$A30+2,FALSE),"")</f>
        <v/>
      </c>
      <c r="P30" s="103">
        <v>5</v>
      </c>
      <c r="Q30" s="3" t="str">
        <f>IFERROR(HLOOKUP(P$22,#REF!,[2]SA_GRILLE_STEU!$A30+2,FALSE),"")</f>
        <v/>
      </c>
      <c r="R30" s="116"/>
      <c r="S30" s="74" t="str">
        <f>IFERROR(HLOOKUP(P$22,#REF!,[2]SA_GRILLE_STEU!$A30+2,FALSE),"")</f>
        <v/>
      </c>
      <c r="T30" s="76" t="str">
        <f>IFERROR(HLOOKUP(P$22,#REF!,[2]SA_GRILLE_STEU!$A30+2,FALSE),"")</f>
        <v/>
      </c>
      <c r="U30" s="103">
        <v>5</v>
      </c>
      <c r="V30" s="9" t="str">
        <f>IFERROR(HLOOKUP(U$22,#REF!,[2]SA_GRILLE_STEU!$A30+2,FALSE),"")</f>
        <v/>
      </c>
      <c r="W30" s="116"/>
      <c r="X30" s="74" t="str">
        <f>IFERROR(HLOOKUP(U$22,#REF!,[2]SA_GRILLE_STEU!$A30+2,FALSE),"")</f>
        <v/>
      </c>
      <c r="Y30" s="76" t="str">
        <f>IFERROR(HLOOKUP(U$22,#REF!,[2]SA_GRILLE_STEU!$A30+2,FALSE),"")</f>
        <v/>
      </c>
      <c r="Z30" s="225">
        <v>5</v>
      </c>
      <c r="AA30" s="9" t="str">
        <f>IFERROR(HLOOKUP(Z$22,#REF!,[2]SA_GRILLE_STEU!$A30+2,FALSE),"")</f>
        <v/>
      </c>
      <c r="AB30" s="116"/>
      <c r="AC30" s="74" t="str">
        <f>IFERROR(HLOOKUP(Z$22,#REF!,[2]SA_GRILLE_STEU!$A30+2,FALSE),"")</f>
        <v/>
      </c>
      <c r="AD30" s="76" t="str">
        <f>IFERROR(HLOOKUP(Z$22,#REF!,[2]SA_GRILLE_STEU!$A30+2,FALSE),"")</f>
        <v/>
      </c>
      <c r="AE30" s="225">
        <v>5</v>
      </c>
      <c r="AF30" s="9" t="str">
        <f>IFERROR(HLOOKUP(AE$22,#REF!,[2]SA_GRILLE_STEU!$A30+2,FALSE),"")</f>
        <v/>
      </c>
      <c r="AG30" s="116"/>
      <c r="AH30" s="74" t="str">
        <f>IFERROR(HLOOKUP(AE$22,#REF!,[2]SA_GRILLE_STEU!$A30+2,FALSE),"")</f>
        <v/>
      </c>
      <c r="AI30" s="76" t="str">
        <f>IFERROR(HLOOKUP(AE$22,#REF!,[2]SA_GRILLE_STEU!$A30+2,FALSE),"")</f>
        <v/>
      </c>
      <c r="AJ30" s="225">
        <v>5</v>
      </c>
      <c r="AK30" s="42" t="str">
        <f>IFERROR(HLOOKUP(AJ$22,#REF!,[2]SA_GRILLE_STEU!$A30+2,FALSE),"")</f>
        <v/>
      </c>
      <c r="AL30" s="127"/>
      <c r="AM30" s="74" t="str">
        <f>IFERROR(HLOOKUP(AJ$22,#REF!,[2]SA_GRILLE_STEU!$A30+2,FALSE),"")</f>
        <v/>
      </c>
      <c r="AN30" s="76" t="str">
        <f>IFERROR(HLOOKUP(AJ$22,#REF!,[2]SA_GRILLE_STEU!$A30+2,FALSE),"")</f>
        <v/>
      </c>
      <c r="AO30" s="225">
        <v>5</v>
      </c>
      <c r="AP30" s="9" t="str">
        <f>IFERROR(HLOOKUP(AO$22,#REF!,[2]SA_GRILLE_STEU!$A30+2,FALSE),"")</f>
        <v/>
      </c>
      <c r="AQ30" s="116"/>
      <c r="AR30" s="74" t="str">
        <f>IFERROR(HLOOKUP(AO$22,#REF!,[2]SA_GRILLE_STEU!$A30+2,FALSE),"")</f>
        <v/>
      </c>
      <c r="AS30" s="76" t="str">
        <f>IFERROR(HLOOKUP(AO$22,#REF!,[2]SA_GRILLE_STEU!$A30+2,FALSE),"")</f>
        <v/>
      </c>
      <c r="AT30" s="225">
        <v>5</v>
      </c>
      <c r="AU30" s="9" t="str">
        <f>IFERROR(HLOOKUP(AT$22,#REF!,[2]SA_GRILLE_STEU!$A30+2,FALSE),"")</f>
        <v/>
      </c>
      <c r="AV30" s="116"/>
      <c r="AW30" s="74" t="str">
        <f>IFERROR(HLOOKUP(AT$22,#REF!,[2]SA_GRILLE_STEU!$A30+2,FALSE),"")</f>
        <v/>
      </c>
      <c r="AX30" s="76" t="str">
        <f>IFERROR(HLOOKUP(AT$22,#REF!,[2]SA_GRILLE_STEU!$A30+2,FALSE),"")</f>
        <v/>
      </c>
      <c r="AY30" s="225">
        <v>5</v>
      </c>
      <c r="AZ30" s="42" t="str">
        <f>IFERROR(HLOOKUP(AY$22,#REF!,[2]SA_GRILLE_STEU!$A30+2,FALSE),"")</f>
        <v/>
      </c>
      <c r="BA30" s="116"/>
      <c r="BB30" s="74" t="str">
        <f>IFERROR(HLOOKUP(AY$22,#REF!,[2]SA_GRILLE_STEU!$A30+2,FALSE),"")</f>
        <v/>
      </c>
      <c r="BC30" s="76" t="str">
        <f>IFERROR(HLOOKUP(AY$22,#REF!,[2]SA_GRILLE_STEU!$A30+2,FALSE),"")</f>
        <v/>
      </c>
      <c r="BD30" s="225">
        <v>5</v>
      </c>
      <c r="BE30" s="9" t="str">
        <f>IFERROR(HLOOKUP(BD$22,#REF!,[2]SA_GRILLE_STEU!$A30+2,FALSE),"")</f>
        <v/>
      </c>
      <c r="BF30" s="116"/>
      <c r="BG30" s="77" t="str">
        <f>IFERROR(HLOOKUP(BD$22,#REF!,[2]SA_GRILLE_STEU!$A30+2,FALSE),"")</f>
        <v/>
      </c>
      <c r="BH30" s="76" t="str">
        <f>IFERROR(HLOOKUP(BD$22,#REF!,[2]SA_GRILLE_STEU!$A30+2,FALSE),"")</f>
        <v/>
      </c>
    </row>
    <row r="31" spans="1:60" s="102" customFormat="1" ht="36" customHeight="1" x14ac:dyDescent="0.4">
      <c r="A31" s="225">
        <v>6</v>
      </c>
      <c r="B31" s="3" t="str">
        <f>IFERROR(HLOOKUP(A$22,#REF!,[2]SA_GRILLE_STEU!$A31+2,FALSE),"")</f>
        <v/>
      </c>
      <c r="C31" s="116"/>
      <c r="D31" s="74" t="str">
        <f>IFERROR(HLOOKUP(A$22,#REF!,[2]SA_GRILLE_STEU!$A31+2,FALSE),"")</f>
        <v/>
      </c>
      <c r="E31" s="76" t="str">
        <f>IFERROR(HLOOKUP(A$22,#REF!,[2]SA_GRILLE_STEU!$A31+2,FALSE),"")</f>
        <v/>
      </c>
      <c r="F31" s="225">
        <v>6</v>
      </c>
      <c r="G31" s="9" t="str">
        <f>IFERROR(HLOOKUP(F$22,#REF!,[2]SA_GRILLE_STEU!$A31+2,FALSE),"")</f>
        <v/>
      </c>
      <c r="H31" s="116"/>
      <c r="I31" s="74" t="str">
        <f>IFERROR(HLOOKUP(F$22,#REF!,[2]SA_GRILLE_STEU!$A31+2,FALSE),"")</f>
        <v/>
      </c>
      <c r="J31" s="76" t="str">
        <f>IFERROR(HLOOKUP(F$22,#REF!,[2]SA_GRILLE_STEU!$A31+2,FALSE),"")</f>
        <v/>
      </c>
      <c r="K31" s="103">
        <v>6</v>
      </c>
      <c r="L31" s="3" t="str">
        <f>IFERROR(HLOOKUP(K$22,#REF!,[2]SA_GRILLE_STEU!$A31+2,FALSE),"")</f>
        <v/>
      </c>
      <c r="M31" s="116"/>
      <c r="N31" s="74" t="str">
        <f>IFERROR(HLOOKUP(K$22,#REF!,[2]SA_GRILLE_STEU!$A31+2,FALSE),"")</f>
        <v/>
      </c>
      <c r="O31" s="76" t="str">
        <f>IFERROR(HLOOKUP(K$22,#REF!,[2]SA_GRILLE_STEU!$A31+2,FALSE),"")</f>
        <v/>
      </c>
      <c r="P31" s="103">
        <v>6</v>
      </c>
      <c r="Q31" s="3" t="str">
        <f>IFERROR(HLOOKUP(P$22,#REF!,[2]SA_GRILLE_STEU!$A31+2,FALSE),"")</f>
        <v/>
      </c>
      <c r="R31" s="116"/>
      <c r="S31" s="74" t="str">
        <f>IFERROR(HLOOKUP(P$22,#REF!,[2]SA_GRILLE_STEU!$A31+2,FALSE),"")</f>
        <v/>
      </c>
      <c r="T31" s="76" t="str">
        <f>IFERROR(HLOOKUP(P$22,#REF!,[2]SA_GRILLE_STEU!$A31+2,FALSE),"")</f>
        <v/>
      </c>
      <c r="U31" s="103">
        <v>6</v>
      </c>
      <c r="V31" s="9" t="str">
        <f>IFERROR(HLOOKUP(U$22,#REF!,[2]SA_GRILLE_STEU!$A31+2,FALSE),"")</f>
        <v/>
      </c>
      <c r="W31" s="116"/>
      <c r="X31" s="74" t="str">
        <f>IFERROR(HLOOKUP(U$22,#REF!,[2]SA_GRILLE_STEU!$A31+2,FALSE),"")</f>
        <v/>
      </c>
      <c r="Y31" s="76" t="str">
        <f>IFERROR(HLOOKUP(U$22,#REF!,[2]SA_GRILLE_STEU!$A31+2,FALSE),"")</f>
        <v/>
      </c>
      <c r="Z31" s="225">
        <v>6</v>
      </c>
      <c r="AA31" s="9" t="str">
        <f>IFERROR(HLOOKUP(Z$22,#REF!,[2]SA_GRILLE_STEU!$A31+2,FALSE),"")</f>
        <v/>
      </c>
      <c r="AB31" s="116"/>
      <c r="AC31" s="74" t="str">
        <f>IFERROR(HLOOKUP(Z$22,#REF!,[2]SA_GRILLE_STEU!$A31+2,FALSE),"")</f>
        <v/>
      </c>
      <c r="AD31" s="76" t="str">
        <f>IFERROR(HLOOKUP(Z$22,#REF!,[2]SA_GRILLE_STEU!$A31+2,FALSE),"")</f>
        <v/>
      </c>
      <c r="AE31" s="225">
        <v>6</v>
      </c>
      <c r="AF31" s="9" t="str">
        <f>IFERROR(HLOOKUP(AE$22,#REF!,[2]SA_GRILLE_STEU!$A31+2,FALSE),"")</f>
        <v/>
      </c>
      <c r="AG31" s="116"/>
      <c r="AH31" s="74" t="str">
        <f>IFERROR(HLOOKUP(AE$22,#REF!,[2]SA_GRILLE_STEU!$A31+2,FALSE),"")</f>
        <v/>
      </c>
      <c r="AI31" s="76" t="str">
        <f>IFERROR(HLOOKUP(AE$22,#REF!,[2]SA_GRILLE_STEU!$A31+2,FALSE),"")</f>
        <v/>
      </c>
      <c r="AJ31" s="225">
        <v>6</v>
      </c>
      <c r="AK31" s="42" t="str">
        <f>IFERROR(HLOOKUP(AJ$22,#REF!,[2]SA_GRILLE_STEU!$A31+2,FALSE),"")</f>
        <v/>
      </c>
      <c r="AL31" s="127"/>
      <c r="AM31" s="74" t="str">
        <f>IFERROR(HLOOKUP(AJ$22,#REF!,[2]SA_GRILLE_STEU!$A31+2,FALSE),"")</f>
        <v/>
      </c>
      <c r="AN31" s="76" t="str">
        <f>IFERROR(HLOOKUP(AJ$22,#REF!,[2]SA_GRILLE_STEU!$A31+2,FALSE),"")</f>
        <v/>
      </c>
      <c r="AO31" s="225">
        <v>6</v>
      </c>
      <c r="AP31" s="9" t="str">
        <f>IFERROR(HLOOKUP(AO$22,#REF!,[2]SA_GRILLE_STEU!$A31+2,FALSE),"")</f>
        <v/>
      </c>
      <c r="AQ31" s="116"/>
      <c r="AR31" s="74" t="str">
        <f>IFERROR(HLOOKUP(AO$22,#REF!,[2]SA_GRILLE_STEU!$A31+2,FALSE),"")</f>
        <v/>
      </c>
      <c r="AS31" s="76" t="str">
        <f>IFERROR(HLOOKUP(AO$22,#REF!,[2]SA_GRILLE_STEU!$A31+2,FALSE),"")</f>
        <v/>
      </c>
      <c r="AT31" s="225">
        <v>6</v>
      </c>
      <c r="AU31" s="9" t="str">
        <f>IFERROR(HLOOKUP(AT$22,#REF!,[2]SA_GRILLE_STEU!$A31+2,FALSE),"")</f>
        <v/>
      </c>
      <c r="AV31" s="116"/>
      <c r="AW31" s="74" t="str">
        <f>IFERROR(HLOOKUP(AT$22,#REF!,[2]SA_GRILLE_STEU!$A31+2,FALSE),"")</f>
        <v/>
      </c>
      <c r="AX31" s="76" t="str">
        <f>IFERROR(HLOOKUP(AT$22,#REF!,[2]SA_GRILLE_STEU!$A31+2,FALSE),"")</f>
        <v/>
      </c>
      <c r="AY31" s="225">
        <v>6</v>
      </c>
      <c r="AZ31" s="42" t="str">
        <f>IFERROR(HLOOKUP(AY$22,#REF!,[2]SA_GRILLE_STEU!$A31+2,FALSE),"")</f>
        <v/>
      </c>
      <c r="BA31" s="116"/>
      <c r="BB31" s="74" t="str">
        <f>IFERROR(HLOOKUP(AY$22,#REF!,[2]SA_GRILLE_STEU!$A31+2,FALSE),"")</f>
        <v/>
      </c>
      <c r="BC31" s="76" t="str">
        <f>IFERROR(HLOOKUP(AY$22,#REF!,[2]SA_GRILLE_STEU!$A31+2,FALSE),"")</f>
        <v/>
      </c>
      <c r="BD31" s="225">
        <v>6</v>
      </c>
      <c r="BE31" s="9" t="str">
        <f>IFERROR(HLOOKUP(BD$22,#REF!,[2]SA_GRILLE_STEU!$A31+2,FALSE),"")</f>
        <v/>
      </c>
      <c r="BF31" s="116"/>
      <c r="BG31" s="77" t="str">
        <f>IFERROR(HLOOKUP(BD$22,#REF!,[2]SA_GRILLE_STEU!$A31+2,FALSE),"")</f>
        <v/>
      </c>
      <c r="BH31" s="76" t="str">
        <f>IFERROR(HLOOKUP(BD$22,#REF!,[2]SA_GRILLE_STEU!$A31+2,FALSE),"")</f>
        <v/>
      </c>
    </row>
    <row r="32" spans="1:60" s="102" customFormat="1" ht="20.100000000000001" customHeight="1" x14ac:dyDescent="0.4">
      <c r="A32" s="225">
        <v>7</v>
      </c>
      <c r="B32" s="3" t="str">
        <f>IFERROR(HLOOKUP(A$22,#REF!,[2]SA_GRILLE_STEU!$A32+2,FALSE),"")</f>
        <v/>
      </c>
      <c r="C32" s="116"/>
      <c r="D32" s="74" t="str">
        <f>IFERROR(HLOOKUP(A$22,#REF!,[2]SA_GRILLE_STEU!$A32+2,FALSE),"")</f>
        <v/>
      </c>
      <c r="E32" s="76" t="str">
        <f>IFERROR(HLOOKUP(A$22,#REF!,[2]SA_GRILLE_STEU!$A32+2,FALSE),"")</f>
        <v/>
      </c>
      <c r="F32" s="225">
        <v>7</v>
      </c>
      <c r="G32" s="9" t="str">
        <f>IFERROR(HLOOKUP(F$22,#REF!,[2]SA_GRILLE_STEU!$A32+2,FALSE),"")</f>
        <v/>
      </c>
      <c r="H32" s="116"/>
      <c r="I32" s="74" t="str">
        <f>IFERROR(HLOOKUP(F$22,#REF!,[2]SA_GRILLE_STEU!$A32+2,FALSE),"")</f>
        <v/>
      </c>
      <c r="J32" s="76" t="str">
        <f>IFERROR(HLOOKUP(F$22,#REF!,[2]SA_GRILLE_STEU!$A32+2,FALSE),"")</f>
        <v/>
      </c>
      <c r="K32" s="103">
        <v>7</v>
      </c>
      <c r="L32" s="3" t="str">
        <f>IFERROR(HLOOKUP(K$22,#REF!,[2]SA_GRILLE_STEU!$A32+2,FALSE),"")</f>
        <v/>
      </c>
      <c r="M32" s="116"/>
      <c r="N32" s="74" t="str">
        <f>IFERROR(HLOOKUP(K$22,#REF!,[2]SA_GRILLE_STEU!$A32+2,FALSE),"")</f>
        <v/>
      </c>
      <c r="O32" s="76" t="str">
        <f>IFERROR(HLOOKUP(K$22,#REF!,[2]SA_GRILLE_STEU!$A32+2,FALSE),"")</f>
        <v/>
      </c>
      <c r="P32" s="103">
        <v>7</v>
      </c>
      <c r="Q32" s="3" t="str">
        <f>IFERROR(HLOOKUP(P$22,#REF!,[2]SA_GRILLE_STEU!$A32+2,FALSE),"")</f>
        <v/>
      </c>
      <c r="R32" s="116"/>
      <c r="S32" s="74" t="str">
        <f>IFERROR(HLOOKUP(P$22,#REF!,[2]SA_GRILLE_STEU!$A32+2,FALSE),"")</f>
        <v/>
      </c>
      <c r="T32" s="76" t="str">
        <f>IFERROR(HLOOKUP(P$22,#REF!,[2]SA_GRILLE_STEU!$A32+2,FALSE),"")</f>
        <v/>
      </c>
      <c r="U32" s="103">
        <v>7</v>
      </c>
      <c r="V32" s="9" t="str">
        <f>IFERROR(HLOOKUP(U$22,#REF!,[2]SA_GRILLE_STEU!$A32+2,FALSE),"")</f>
        <v/>
      </c>
      <c r="W32" s="116"/>
      <c r="X32" s="74" t="str">
        <f>IFERROR(HLOOKUP(U$22,#REF!,[2]SA_GRILLE_STEU!$A32+2,FALSE),"")</f>
        <v/>
      </c>
      <c r="Y32" s="76" t="str">
        <f>IFERROR(HLOOKUP(U$22,#REF!,[2]SA_GRILLE_STEU!$A32+2,FALSE),"")</f>
        <v/>
      </c>
      <c r="Z32" s="225">
        <v>7</v>
      </c>
      <c r="AA32" s="9" t="str">
        <f>IFERROR(HLOOKUP(Z$22,#REF!,[2]SA_GRILLE_STEU!$A32+2,FALSE),"")</f>
        <v/>
      </c>
      <c r="AB32" s="116"/>
      <c r="AC32" s="74" t="str">
        <f>IFERROR(HLOOKUP(Z$22,#REF!,[2]SA_GRILLE_STEU!$A32+2,FALSE),"")</f>
        <v/>
      </c>
      <c r="AD32" s="76" t="str">
        <f>IFERROR(HLOOKUP(Z$22,#REF!,[2]SA_GRILLE_STEU!$A32+2,FALSE),"")</f>
        <v/>
      </c>
      <c r="AE32" s="225">
        <v>7</v>
      </c>
      <c r="AF32" s="9" t="str">
        <f>IFERROR(HLOOKUP(AE$22,#REF!,[2]SA_GRILLE_STEU!$A32+2,FALSE),"")</f>
        <v/>
      </c>
      <c r="AG32" s="116"/>
      <c r="AH32" s="74" t="str">
        <f>IFERROR(HLOOKUP(AE$22,#REF!,[2]SA_GRILLE_STEU!$A32+2,FALSE),"")</f>
        <v/>
      </c>
      <c r="AI32" s="76" t="str">
        <f>IFERROR(HLOOKUP(AE$22,#REF!,[2]SA_GRILLE_STEU!$A32+2,FALSE),"")</f>
        <v/>
      </c>
      <c r="AJ32" s="225">
        <v>7</v>
      </c>
      <c r="AK32" s="42" t="str">
        <f>IFERROR(HLOOKUP(AJ$22,#REF!,[2]SA_GRILLE_STEU!$A32+2,FALSE),"")</f>
        <v/>
      </c>
      <c r="AL32" s="127"/>
      <c r="AM32" s="74" t="str">
        <f>IFERROR(HLOOKUP(AJ$22,#REF!,[2]SA_GRILLE_STEU!$A32+2,FALSE),"")</f>
        <v/>
      </c>
      <c r="AN32" s="76" t="str">
        <f>IFERROR(HLOOKUP(AJ$22,#REF!,[2]SA_GRILLE_STEU!$A32+2,FALSE),"")</f>
        <v/>
      </c>
      <c r="AO32" s="225">
        <v>7</v>
      </c>
      <c r="AP32" s="9" t="str">
        <f>IFERROR(HLOOKUP(AO$22,#REF!,[2]SA_GRILLE_STEU!$A32+2,FALSE),"")</f>
        <v/>
      </c>
      <c r="AQ32" s="116"/>
      <c r="AR32" s="74" t="str">
        <f>IFERROR(HLOOKUP(AO$22,#REF!,[2]SA_GRILLE_STEU!$A32+2,FALSE),"")</f>
        <v/>
      </c>
      <c r="AS32" s="76" t="str">
        <f>IFERROR(HLOOKUP(AO$22,#REF!,[2]SA_GRILLE_STEU!$A32+2,FALSE),"")</f>
        <v/>
      </c>
      <c r="AT32" s="225">
        <v>7</v>
      </c>
      <c r="AU32" s="9" t="str">
        <f>IFERROR(HLOOKUP(AT$22,#REF!,[2]SA_GRILLE_STEU!$A32+2,FALSE),"")</f>
        <v/>
      </c>
      <c r="AV32" s="116"/>
      <c r="AW32" s="74" t="str">
        <f>IFERROR(HLOOKUP(AT$22,#REF!,[2]SA_GRILLE_STEU!$A32+2,FALSE),"")</f>
        <v/>
      </c>
      <c r="AX32" s="76" t="str">
        <f>IFERROR(HLOOKUP(AT$22,#REF!,[2]SA_GRILLE_STEU!$A32+2,FALSE),"")</f>
        <v/>
      </c>
      <c r="AY32" s="225">
        <v>7</v>
      </c>
      <c r="AZ32" s="42" t="str">
        <f>IFERROR(HLOOKUP(AY$22,#REF!,[2]SA_GRILLE_STEU!$A32+2,FALSE),"")</f>
        <v/>
      </c>
      <c r="BA32" s="116"/>
      <c r="BB32" s="74" t="str">
        <f>IFERROR(HLOOKUP(AY$22,#REF!,[2]SA_GRILLE_STEU!$A32+2,FALSE),"")</f>
        <v/>
      </c>
      <c r="BC32" s="76" t="str">
        <f>IFERROR(HLOOKUP(AY$22,#REF!,[2]SA_GRILLE_STEU!$A32+2,FALSE),"")</f>
        <v/>
      </c>
      <c r="BD32" s="225">
        <v>7</v>
      </c>
      <c r="BE32" s="9" t="str">
        <f>IFERROR(HLOOKUP(BD$22,#REF!,[2]SA_GRILLE_STEU!$A32+2,FALSE),"")</f>
        <v/>
      </c>
      <c r="BF32" s="116"/>
      <c r="BG32" s="77" t="str">
        <f>IFERROR(HLOOKUP(BD$22,#REF!,[2]SA_GRILLE_STEU!$A32+2,FALSE),"")</f>
        <v/>
      </c>
      <c r="BH32" s="76" t="str">
        <f>IFERROR(HLOOKUP(BD$22,#REF!,[2]SA_GRILLE_STEU!$A32+2,FALSE),"")</f>
        <v/>
      </c>
    </row>
    <row r="33" spans="1:60" s="102" customFormat="1" ht="20.100000000000001" customHeight="1" x14ac:dyDescent="0.4">
      <c r="A33" s="225">
        <v>8</v>
      </c>
      <c r="B33" s="3" t="str">
        <f>IFERROR(HLOOKUP(A$22,#REF!,[2]SA_GRILLE_STEU!$A33+2,FALSE),"")</f>
        <v/>
      </c>
      <c r="C33" s="116"/>
      <c r="D33" s="74" t="str">
        <f>IFERROR(HLOOKUP(A$22,#REF!,[2]SA_GRILLE_STEU!$A33+2,FALSE),"")</f>
        <v/>
      </c>
      <c r="E33" s="76" t="str">
        <f>IFERROR(HLOOKUP(A$22,#REF!,[2]SA_GRILLE_STEU!$A33+2,FALSE),"")</f>
        <v/>
      </c>
      <c r="F33" s="225">
        <v>8</v>
      </c>
      <c r="G33" s="9" t="str">
        <f>IFERROR(HLOOKUP(F$22,#REF!,[2]SA_GRILLE_STEU!$A33+2,FALSE),"")</f>
        <v/>
      </c>
      <c r="H33" s="116"/>
      <c r="I33" s="74" t="str">
        <f>IFERROR(HLOOKUP(F$22,#REF!,[2]SA_GRILLE_STEU!$A33+2,FALSE),"")</f>
        <v/>
      </c>
      <c r="J33" s="76" t="str">
        <f>IFERROR(HLOOKUP(F$22,#REF!,[2]SA_GRILLE_STEU!$A33+2,FALSE),"")</f>
        <v/>
      </c>
      <c r="K33" s="103">
        <v>8</v>
      </c>
      <c r="L33" s="3" t="str">
        <f>IFERROR(HLOOKUP(K$22,#REF!,[2]SA_GRILLE_STEU!$A33+2,FALSE),"")</f>
        <v/>
      </c>
      <c r="M33" s="116"/>
      <c r="N33" s="74" t="str">
        <f>IFERROR(HLOOKUP(K$22,#REF!,[2]SA_GRILLE_STEU!$A33+2,FALSE),"")</f>
        <v/>
      </c>
      <c r="O33" s="76" t="str">
        <f>IFERROR(HLOOKUP(K$22,#REF!,[2]SA_GRILLE_STEU!$A33+2,FALSE),"")</f>
        <v/>
      </c>
      <c r="P33" s="103">
        <v>8</v>
      </c>
      <c r="Q33" s="3" t="str">
        <f>IFERROR(HLOOKUP(P$22,#REF!,[2]SA_GRILLE_STEU!$A33+2,FALSE),"")</f>
        <v/>
      </c>
      <c r="R33" s="116"/>
      <c r="S33" s="74" t="str">
        <f>IFERROR(HLOOKUP(P$22,#REF!,[2]SA_GRILLE_STEU!$A33+2,FALSE),"")</f>
        <v/>
      </c>
      <c r="T33" s="76" t="str">
        <f>IFERROR(HLOOKUP(P$22,#REF!,[2]SA_GRILLE_STEU!$A33+2,FALSE),"")</f>
        <v/>
      </c>
      <c r="U33" s="103">
        <v>8</v>
      </c>
      <c r="V33" s="9" t="str">
        <f>IFERROR(HLOOKUP(U$22,#REF!,[2]SA_GRILLE_STEU!$A33+2,FALSE),"")</f>
        <v/>
      </c>
      <c r="W33" s="116"/>
      <c r="X33" s="74" t="str">
        <f>IFERROR(HLOOKUP(U$22,#REF!,[2]SA_GRILLE_STEU!$A33+2,FALSE),"")</f>
        <v/>
      </c>
      <c r="Y33" s="76" t="str">
        <f>IFERROR(HLOOKUP(U$22,#REF!,[2]SA_GRILLE_STEU!$A33+2,FALSE),"")</f>
        <v/>
      </c>
      <c r="Z33" s="225">
        <v>8</v>
      </c>
      <c r="AA33" s="9" t="str">
        <f>IFERROR(HLOOKUP(Z$22,#REF!,[2]SA_GRILLE_STEU!$A33+2,FALSE),"")</f>
        <v/>
      </c>
      <c r="AB33" s="116"/>
      <c r="AC33" s="74" t="str">
        <f>IFERROR(HLOOKUP(Z$22,#REF!,[2]SA_GRILLE_STEU!$A33+2,FALSE),"")</f>
        <v/>
      </c>
      <c r="AD33" s="76" t="str">
        <f>IFERROR(HLOOKUP(Z$22,#REF!,[2]SA_GRILLE_STEU!$A33+2,FALSE),"")</f>
        <v/>
      </c>
      <c r="AE33" s="225">
        <v>8</v>
      </c>
      <c r="AF33" s="9" t="str">
        <f>IFERROR(HLOOKUP(AE$22,#REF!,[2]SA_GRILLE_STEU!$A33+2,FALSE),"")</f>
        <v/>
      </c>
      <c r="AG33" s="116"/>
      <c r="AH33" s="74" t="str">
        <f>IFERROR(HLOOKUP(AE$22,#REF!,[2]SA_GRILLE_STEU!$A33+2,FALSE),"")</f>
        <v/>
      </c>
      <c r="AI33" s="76" t="str">
        <f>IFERROR(HLOOKUP(AE$22,#REF!,[2]SA_GRILLE_STEU!$A33+2,FALSE),"")</f>
        <v/>
      </c>
      <c r="AJ33" s="225">
        <v>8</v>
      </c>
      <c r="AK33" s="42" t="str">
        <f>IFERROR(HLOOKUP(AJ$22,#REF!,[2]SA_GRILLE_STEU!$A33+2,FALSE),"")</f>
        <v/>
      </c>
      <c r="AL33" s="127"/>
      <c r="AM33" s="74" t="str">
        <f>IFERROR(HLOOKUP(AJ$22,#REF!,[2]SA_GRILLE_STEU!$A33+2,FALSE),"")</f>
        <v/>
      </c>
      <c r="AN33" s="76" t="str">
        <f>IFERROR(HLOOKUP(AJ$22,#REF!,[2]SA_GRILLE_STEU!$A33+2,FALSE),"")</f>
        <v/>
      </c>
      <c r="AO33" s="225">
        <v>8</v>
      </c>
      <c r="AP33" s="9" t="str">
        <f>IFERROR(HLOOKUP(AO$22,#REF!,[2]SA_GRILLE_STEU!$A33+2,FALSE),"")</f>
        <v/>
      </c>
      <c r="AQ33" s="116"/>
      <c r="AR33" s="74" t="str">
        <f>IFERROR(HLOOKUP(AO$22,#REF!,[2]SA_GRILLE_STEU!$A33+2,FALSE),"")</f>
        <v/>
      </c>
      <c r="AS33" s="76" t="str">
        <f>IFERROR(HLOOKUP(AO$22,#REF!,[2]SA_GRILLE_STEU!$A33+2,FALSE),"")</f>
        <v/>
      </c>
      <c r="AT33" s="225">
        <v>8</v>
      </c>
      <c r="AU33" s="9" t="str">
        <f>IFERROR(HLOOKUP(AT$22,#REF!,[2]SA_GRILLE_STEU!$A33+2,FALSE),"")</f>
        <v/>
      </c>
      <c r="AV33" s="116"/>
      <c r="AW33" s="74" t="str">
        <f>IFERROR(HLOOKUP(AT$22,#REF!,[2]SA_GRILLE_STEU!$A33+2,FALSE),"")</f>
        <v/>
      </c>
      <c r="AX33" s="76" t="str">
        <f>IFERROR(HLOOKUP(AT$22,#REF!,[2]SA_GRILLE_STEU!$A33+2,FALSE),"")</f>
        <v/>
      </c>
      <c r="AY33" s="225">
        <v>8</v>
      </c>
      <c r="AZ33" s="42" t="str">
        <f>IFERROR(HLOOKUP(AY$22,#REF!,[2]SA_GRILLE_STEU!$A33+2,FALSE),"")</f>
        <v/>
      </c>
      <c r="BA33" s="116"/>
      <c r="BB33" s="74" t="str">
        <f>IFERROR(HLOOKUP(AY$22,#REF!,[2]SA_GRILLE_STEU!$A33+2,FALSE),"")</f>
        <v/>
      </c>
      <c r="BC33" s="76" t="str">
        <f>IFERROR(HLOOKUP(AY$22,#REF!,[2]SA_GRILLE_STEU!$A33+2,FALSE),"")</f>
        <v/>
      </c>
      <c r="BD33" s="225">
        <v>8</v>
      </c>
      <c r="BE33" s="9" t="str">
        <f>IFERROR(HLOOKUP(BD$22,#REF!,[2]SA_GRILLE_STEU!$A33+2,FALSE),"")</f>
        <v/>
      </c>
      <c r="BF33" s="116"/>
      <c r="BG33" s="77" t="str">
        <f>IFERROR(HLOOKUP(BD$22,#REF!,[2]SA_GRILLE_STEU!$A33+2,FALSE),"")</f>
        <v/>
      </c>
      <c r="BH33" s="76" t="str">
        <f>IFERROR(HLOOKUP(BD$22,#REF!,[2]SA_GRILLE_STEU!$A33+2,FALSE),"")</f>
        <v/>
      </c>
    </row>
    <row r="34" spans="1:60" s="102" customFormat="1" ht="20.100000000000001" customHeight="1" x14ac:dyDescent="0.4">
      <c r="A34" s="225">
        <v>9</v>
      </c>
      <c r="B34" s="3" t="str">
        <f>IFERROR(HLOOKUP(A$22,#REF!,[2]SA_GRILLE_STEU!$A34+2,FALSE),"")</f>
        <v/>
      </c>
      <c r="C34" s="116"/>
      <c r="D34" s="74" t="str">
        <f>IFERROR(HLOOKUP(A$22,#REF!,[2]SA_GRILLE_STEU!$A34+2,FALSE),"")</f>
        <v/>
      </c>
      <c r="E34" s="76" t="str">
        <f>IFERROR(HLOOKUP(A$22,#REF!,[2]SA_GRILLE_STEU!$A34+2,FALSE),"")</f>
        <v/>
      </c>
      <c r="F34" s="225">
        <v>9</v>
      </c>
      <c r="G34" s="9" t="str">
        <f>IFERROR(HLOOKUP(F$22,#REF!,[2]SA_GRILLE_STEU!$A34+2,FALSE),"")</f>
        <v/>
      </c>
      <c r="H34" s="116"/>
      <c r="I34" s="74" t="str">
        <f>IFERROR(HLOOKUP(F$22,#REF!,[2]SA_GRILLE_STEU!$A34+2,FALSE),"")</f>
        <v/>
      </c>
      <c r="J34" s="76" t="str">
        <f>IFERROR(HLOOKUP(F$22,#REF!,[2]SA_GRILLE_STEU!$A34+2,FALSE),"")</f>
        <v/>
      </c>
      <c r="K34" s="103">
        <v>9</v>
      </c>
      <c r="L34" s="3" t="str">
        <f>IFERROR(HLOOKUP(K$22,#REF!,[2]SA_GRILLE_STEU!$A34+2,FALSE),"")</f>
        <v/>
      </c>
      <c r="M34" s="116"/>
      <c r="N34" s="74" t="str">
        <f>IFERROR(HLOOKUP(K$22,#REF!,[2]SA_GRILLE_STEU!$A34+2,FALSE),"")</f>
        <v/>
      </c>
      <c r="O34" s="76" t="str">
        <f>IFERROR(HLOOKUP(K$22,#REF!,[2]SA_GRILLE_STEU!$A34+2,FALSE),"")</f>
        <v/>
      </c>
      <c r="P34" s="103">
        <v>9</v>
      </c>
      <c r="Q34" s="3" t="str">
        <f>IFERROR(HLOOKUP(P$22,#REF!,[2]SA_GRILLE_STEU!$A34+2,FALSE),"")</f>
        <v/>
      </c>
      <c r="R34" s="116"/>
      <c r="S34" s="74" t="str">
        <f>IFERROR(HLOOKUP(P$22,#REF!,[2]SA_GRILLE_STEU!$A34+2,FALSE),"")</f>
        <v/>
      </c>
      <c r="T34" s="76" t="str">
        <f>IFERROR(HLOOKUP(P$22,#REF!,[2]SA_GRILLE_STEU!$A34+2,FALSE),"")</f>
        <v/>
      </c>
      <c r="U34" s="103">
        <v>9</v>
      </c>
      <c r="V34" s="9" t="str">
        <f>IFERROR(HLOOKUP(U$22,#REF!,[2]SA_GRILLE_STEU!$A34+2,FALSE),"")</f>
        <v/>
      </c>
      <c r="W34" s="116"/>
      <c r="X34" s="74" t="str">
        <f>IFERROR(HLOOKUP(U$22,#REF!,[2]SA_GRILLE_STEU!$A34+2,FALSE),"")</f>
        <v/>
      </c>
      <c r="Y34" s="76" t="str">
        <f>IFERROR(HLOOKUP(U$22,#REF!,[2]SA_GRILLE_STEU!$A34+2,FALSE),"")</f>
        <v/>
      </c>
      <c r="Z34" s="225">
        <v>9</v>
      </c>
      <c r="AA34" s="9" t="str">
        <f>IFERROR(HLOOKUP(Z$22,#REF!,[2]SA_GRILLE_STEU!$A34+2,FALSE),"")</f>
        <v/>
      </c>
      <c r="AB34" s="116"/>
      <c r="AC34" s="74" t="str">
        <f>IFERROR(HLOOKUP(Z$22,#REF!,[2]SA_GRILLE_STEU!$A34+2,FALSE),"")</f>
        <v/>
      </c>
      <c r="AD34" s="76" t="str">
        <f>IFERROR(HLOOKUP(Z$22,#REF!,[2]SA_GRILLE_STEU!$A34+2,FALSE),"")</f>
        <v/>
      </c>
      <c r="AE34" s="225">
        <v>9</v>
      </c>
      <c r="AF34" s="9" t="str">
        <f>IFERROR(HLOOKUP(AE$22,#REF!,[2]SA_GRILLE_STEU!$A34+2,FALSE),"")</f>
        <v/>
      </c>
      <c r="AG34" s="116"/>
      <c r="AH34" s="74" t="str">
        <f>IFERROR(HLOOKUP(AE$22,#REF!,[2]SA_GRILLE_STEU!$A34+2,FALSE),"")</f>
        <v/>
      </c>
      <c r="AI34" s="76" t="str">
        <f>IFERROR(HLOOKUP(AE$22,#REF!,[2]SA_GRILLE_STEU!$A34+2,FALSE),"")</f>
        <v/>
      </c>
      <c r="AJ34" s="225">
        <v>9</v>
      </c>
      <c r="AK34" s="42" t="str">
        <f>IFERROR(HLOOKUP(AJ$22,#REF!,[2]SA_GRILLE_STEU!$A34+2,FALSE),"")</f>
        <v/>
      </c>
      <c r="AL34" s="127"/>
      <c r="AM34" s="74" t="str">
        <f>IFERROR(HLOOKUP(AJ$22,#REF!,[2]SA_GRILLE_STEU!$A34+2,FALSE),"")</f>
        <v/>
      </c>
      <c r="AN34" s="76" t="str">
        <f>IFERROR(HLOOKUP(AJ$22,#REF!,[2]SA_GRILLE_STEU!$A34+2,FALSE),"")</f>
        <v/>
      </c>
      <c r="AO34" s="225">
        <v>9</v>
      </c>
      <c r="AP34" s="9" t="str">
        <f>IFERROR(HLOOKUP(AO$22,#REF!,[2]SA_GRILLE_STEU!$A34+2,FALSE),"")</f>
        <v/>
      </c>
      <c r="AQ34" s="116"/>
      <c r="AR34" s="74" t="str">
        <f>IFERROR(HLOOKUP(AO$22,#REF!,[2]SA_GRILLE_STEU!$A34+2,FALSE),"")</f>
        <v/>
      </c>
      <c r="AS34" s="76" t="str">
        <f>IFERROR(HLOOKUP(AO$22,#REF!,[2]SA_GRILLE_STEU!$A34+2,FALSE),"")</f>
        <v/>
      </c>
      <c r="AT34" s="225">
        <v>9</v>
      </c>
      <c r="AU34" s="9" t="str">
        <f>IFERROR(HLOOKUP(AT$22,#REF!,[2]SA_GRILLE_STEU!$A34+2,FALSE),"")</f>
        <v/>
      </c>
      <c r="AV34" s="116"/>
      <c r="AW34" s="74" t="str">
        <f>IFERROR(HLOOKUP(AT$22,#REF!,[2]SA_GRILLE_STEU!$A34+2,FALSE),"")</f>
        <v/>
      </c>
      <c r="AX34" s="76" t="str">
        <f>IFERROR(HLOOKUP(AT$22,#REF!,[2]SA_GRILLE_STEU!$A34+2,FALSE),"")</f>
        <v/>
      </c>
      <c r="AY34" s="225">
        <v>9</v>
      </c>
      <c r="AZ34" s="42" t="str">
        <f>IFERROR(HLOOKUP(AY$22,#REF!,[2]SA_GRILLE_STEU!$A34+2,FALSE),"")</f>
        <v/>
      </c>
      <c r="BA34" s="116"/>
      <c r="BB34" s="74" t="str">
        <f>IFERROR(HLOOKUP(AY$22,#REF!,[2]SA_GRILLE_STEU!$A34+2,FALSE),"")</f>
        <v/>
      </c>
      <c r="BC34" s="76" t="str">
        <f>IFERROR(HLOOKUP(AY$22,#REF!,[2]SA_GRILLE_STEU!$A34+2,FALSE),"")</f>
        <v/>
      </c>
      <c r="BD34" s="225">
        <v>9</v>
      </c>
      <c r="BE34" s="9" t="str">
        <f>IFERROR(HLOOKUP(BD$22,#REF!,[2]SA_GRILLE_STEU!$A34+2,FALSE),"")</f>
        <v/>
      </c>
      <c r="BF34" s="116"/>
      <c r="BG34" s="77" t="str">
        <f>IFERROR(HLOOKUP(BD$22,#REF!,[2]SA_GRILLE_STEU!$A34+2,FALSE),"")</f>
        <v/>
      </c>
      <c r="BH34" s="76" t="str">
        <f>IFERROR(HLOOKUP(BD$22,#REF!,[2]SA_GRILLE_STEU!$A34+2,FALSE),"")</f>
        <v/>
      </c>
    </row>
    <row r="35" spans="1:60" s="102" customFormat="1" ht="16.5" customHeight="1" x14ac:dyDescent="0.4">
      <c r="A35" s="226"/>
      <c r="B35" s="22"/>
      <c r="C35" s="116"/>
      <c r="D35" s="104"/>
      <c r="E35" s="76"/>
      <c r="F35" s="226"/>
      <c r="G35" s="22"/>
      <c r="H35" s="116"/>
      <c r="I35" s="104"/>
      <c r="J35" s="76"/>
      <c r="K35" s="105"/>
      <c r="L35" s="22"/>
      <c r="M35" s="117"/>
      <c r="N35" s="104"/>
      <c r="O35" s="76"/>
      <c r="P35" s="105"/>
      <c r="Q35" s="22"/>
      <c r="R35" s="117"/>
      <c r="S35" s="104"/>
      <c r="T35" s="76"/>
      <c r="U35" s="106"/>
      <c r="V35" s="22"/>
      <c r="W35" s="117"/>
      <c r="X35" s="104"/>
      <c r="Y35" s="76"/>
      <c r="Z35" s="227"/>
      <c r="AA35" s="22"/>
      <c r="AB35" s="117"/>
      <c r="AC35" s="104"/>
      <c r="AD35" s="76"/>
      <c r="AE35" s="227"/>
      <c r="AF35" s="22"/>
      <c r="AG35" s="117"/>
      <c r="AH35" s="104"/>
      <c r="AI35" s="76"/>
      <c r="AJ35" s="227"/>
      <c r="AK35" s="43"/>
      <c r="AL35" s="128"/>
      <c r="AM35" s="104"/>
      <c r="AN35" s="76"/>
      <c r="AO35" s="227"/>
      <c r="AP35" s="22"/>
      <c r="AQ35" s="117"/>
      <c r="AR35" s="104"/>
      <c r="AS35" s="76"/>
      <c r="AT35" s="227"/>
      <c r="AU35" s="22"/>
      <c r="AV35" s="117"/>
      <c r="AW35" s="104"/>
      <c r="AX35" s="76"/>
      <c r="AY35" s="227"/>
      <c r="AZ35" s="43"/>
      <c r="BA35" s="117"/>
      <c r="BB35" s="104"/>
      <c r="BC35" s="76"/>
      <c r="BD35" s="227"/>
      <c r="BE35" s="22"/>
      <c r="BF35" s="117"/>
      <c r="BG35" s="107"/>
      <c r="BH35" s="76"/>
    </row>
    <row r="36" spans="1:60" ht="35.25" customHeight="1" x14ac:dyDescent="0.4">
      <c r="A36" s="1413" t="s">
        <v>62</v>
      </c>
      <c r="B36" s="1414"/>
      <c r="C36" s="93" t="s">
        <v>63</v>
      </c>
      <c r="D36" s="94" t="s">
        <v>64</v>
      </c>
      <c r="E36" s="108"/>
      <c r="F36" s="1413" t="s">
        <v>62</v>
      </c>
      <c r="G36" s="1414"/>
      <c r="H36" s="93" t="s">
        <v>63</v>
      </c>
      <c r="I36" s="94" t="s">
        <v>64</v>
      </c>
      <c r="J36" s="108"/>
      <c r="K36" s="1413" t="s">
        <v>62</v>
      </c>
      <c r="L36" s="1414"/>
      <c r="M36" s="93" t="s">
        <v>63</v>
      </c>
      <c r="N36" s="94" t="s">
        <v>64</v>
      </c>
      <c r="O36" s="108"/>
      <c r="P36" s="1413" t="s">
        <v>62</v>
      </c>
      <c r="Q36" s="1414"/>
      <c r="R36" s="93" t="s">
        <v>63</v>
      </c>
      <c r="S36" s="94" t="s">
        <v>64</v>
      </c>
      <c r="T36" s="73"/>
      <c r="U36" s="1413" t="s">
        <v>62</v>
      </c>
      <c r="V36" s="1414"/>
      <c r="W36" s="93" t="s">
        <v>63</v>
      </c>
      <c r="X36" s="94" t="s">
        <v>64</v>
      </c>
      <c r="Y36" s="73"/>
      <c r="Z36" s="1413" t="s">
        <v>62</v>
      </c>
      <c r="AA36" s="1414"/>
      <c r="AB36" s="93" t="s">
        <v>63</v>
      </c>
      <c r="AC36" s="94" t="s">
        <v>64</v>
      </c>
      <c r="AD36" s="73"/>
      <c r="AE36" s="1413" t="s">
        <v>62</v>
      </c>
      <c r="AF36" s="1414"/>
      <c r="AG36" s="93" t="s">
        <v>63</v>
      </c>
      <c r="AH36" s="94" t="s">
        <v>64</v>
      </c>
      <c r="AI36" s="73"/>
      <c r="AJ36" s="1413" t="s">
        <v>62</v>
      </c>
      <c r="AK36" s="1414"/>
      <c r="AL36" s="93" t="s">
        <v>63</v>
      </c>
      <c r="AM36" s="94" t="s">
        <v>64</v>
      </c>
      <c r="AN36" s="73"/>
      <c r="AO36" s="1413" t="s">
        <v>62</v>
      </c>
      <c r="AP36" s="1414"/>
      <c r="AQ36" s="93" t="s">
        <v>63</v>
      </c>
      <c r="AR36" s="94" t="s">
        <v>64</v>
      </c>
      <c r="AS36" s="73"/>
      <c r="AT36" s="1413" t="s">
        <v>62</v>
      </c>
      <c r="AU36" s="1414"/>
      <c r="AV36" s="93" t="s">
        <v>63</v>
      </c>
      <c r="AW36" s="94" t="s">
        <v>64</v>
      </c>
      <c r="AX36" s="73"/>
      <c r="AY36" s="1413" t="s">
        <v>62</v>
      </c>
      <c r="AZ36" s="1414"/>
      <c r="BA36" s="93" t="s">
        <v>63</v>
      </c>
      <c r="BB36" s="94" t="s">
        <v>64</v>
      </c>
      <c r="BC36" s="73"/>
      <c r="BD36" s="1413" t="s">
        <v>62</v>
      </c>
      <c r="BE36" s="1414"/>
      <c r="BF36" s="93" t="s">
        <v>63</v>
      </c>
      <c r="BG36" s="94" t="s">
        <v>64</v>
      </c>
      <c r="BH36" s="76"/>
    </row>
    <row r="37" spans="1:60" s="83" customFormat="1" ht="60" customHeight="1" thickBot="1" x14ac:dyDescent="0.45">
      <c r="A37" s="221"/>
      <c r="B37" s="130"/>
      <c r="C37" s="119"/>
      <c r="D37" s="81">
        <f>IF(A22="","",IF(A22="Préleveur A3",#REF!,IF((SUMIF(C26:C34,"Validé",D26:D34)+SUMIF(C26:C34,"Validé avec réserve",D26:D34))&gt;100,100,SUMIF(C26:C34,"Validé",D26:D34)+SUMIF(C26:C34,"Validé avec réserve",D26:D34))))</f>
        <v>0</v>
      </c>
      <c r="E37" s="109"/>
      <c r="F37" s="221"/>
      <c r="G37" s="122"/>
      <c r="H37" s="119"/>
      <c r="I37" s="81" t="str">
        <f>IF(F22="","",IF(F22="Préleveur A3",#REF!,IF((SUMIF(H26:H34,"Validé",I26:I34)+SUMIF(H26:H34,"Validé avec réserve",I26:I34))&gt;100,100,SUMIF(H26:H34,"Validé",I26:I34)+SUMIF(H26:H34,"Validé avec réserve",I26:I34))))</f>
        <v/>
      </c>
      <c r="J37" s="109"/>
      <c r="K37" s="221"/>
      <c r="L37" s="122"/>
      <c r="M37" s="119"/>
      <c r="N37" s="81" t="str">
        <f>IF(K22="","",IF(K22="Préleveur A3",#REF!,IF((SUMIF(M26:M34,"Validé",N26:N34)+SUMIF(M26:M34,"Validé avec réserve",N26:N34))&gt;100,100,SUMIF(M26:M34,"Validé",N26:N34)+SUMIF(M26:M34,"Validé avec réserve",N26:N34))))</f>
        <v/>
      </c>
      <c r="O37" s="109"/>
      <c r="P37" s="110"/>
      <c r="Q37" s="122"/>
      <c r="R37" s="119"/>
      <c r="S37" s="81" t="str">
        <f>IF(P22="","",IF(P22="Préleveur A3",#REF!,IF((SUMIF(R26:R34,"Validé",S26:S34)+SUMIF(R26:R34,"Validé avec réserve",S26:S34))&gt;100,100,SUMIF(R26:R34,"Validé",S26:S34)+SUMIF(R26:R34,"Validé avec réserve",S26:S34))))</f>
        <v/>
      </c>
      <c r="T37" s="109"/>
      <c r="U37" s="111"/>
      <c r="V37" s="122"/>
      <c r="W37" s="119"/>
      <c r="X37" s="81" t="str">
        <f>IF(U22="","",IF(U22="Préleveur A3",#REF!,IF((SUMIF(W26:W34,"Validé",X26:X34)+SUMIF(W26:W34,"Validé avec réserve",X26:X34))&gt;100,100,SUMIF(W26:W34,"Validé",X26:X34)+SUMIF(W26:W34,"Validé avec réserve",X26:X34))))</f>
        <v/>
      </c>
      <c r="Y37" s="109"/>
      <c r="Z37" s="223"/>
      <c r="AA37" s="122"/>
      <c r="AB37" s="119"/>
      <c r="AC37" s="81" t="str">
        <f>IF(Z22="","",IF(Z22="Préleveur A3",#REF!,IF((SUMIF(AB26:AB34,"Validé",AC26:AC34)+SUMIF(AB26:AB34,"Validé avec réserve",AC26:AC34))&gt;100,100,SUMIF(AB26:AB34,"Validé",AC26:AC34)+SUMIF(AB26:AB34,"Validé avec réserve",AC26:AC34))))</f>
        <v/>
      </c>
      <c r="AD37" s="109"/>
      <c r="AE37" s="223"/>
      <c r="AF37" s="122"/>
      <c r="AG37" s="119"/>
      <c r="AH37" s="81" t="str">
        <f>IF(AE22="","",IF(AE22="Préleveur A3",#REF!,IF((SUMIF(AG26:AG34,"Validé",AH26:AH34)+SUMIF(AG26:AG34,"Validé avec réserve",AH26:AH34))&gt;100,100,SUMIF(AG26:AG34,"Validé",AH26:AH34)+SUMIF(AG26:AG34,"Validé avec réserve",AH26:AH34))))</f>
        <v/>
      </c>
      <c r="AI37" s="109"/>
      <c r="AJ37" s="223"/>
      <c r="AK37" s="122"/>
      <c r="AL37" s="119"/>
      <c r="AM37" s="81" t="str">
        <f>IF(AJ22="","",IF(AJ22="Préleveur A3",#REF!,IF((SUMIF(AL26:AL34,"Validé",AM26:AM34)+SUMIF(AL26:AL34,"Validé avec réserve",AM26:AM34))&gt;100,100,SUMIF(AL26:AL34,"Validé",AM26:AM34)+SUMIF(AL26:AL34,"Validé avec réserve",AM26:AM34))))</f>
        <v/>
      </c>
      <c r="AN37" s="109"/>
      <c r="AO37" s="223"/>
      <c r="AP37" s="122"/>
      <c r="AQ37" s="119"/>
      <c r="AR37" s="81" t="str">
        <f>IF(AO22="","",IF(AO22="Préleveur A3",#REF!,IF((SUMIF(AQ26:AQ34,"Validé",AR26:AR34)+SUMIF(AQ26:AQ34,"Validé avec réserve",AR26:AR34))&gt;100,100,SUMIF(AQ26:AQ34,"Validé",AR26:AR34)+SUMIF(AQ26:AQ34,"Validé avec réserve",AR26:AR34))))</f>
        <v/>
      </c>
      <c r="AS37" s="109"/>
      <c r="AT37" s="223"/>
      <c r="AU37" s="122"/>
      <c r="AV37" s="119"/>
      <c r="AW37" s="81" t="str">
        <f>IF(AT22="","",IF(AT22="Préleveur A3",#REF!,IF((SUMIF(AV26:AV34,"Validé",AW26:AW34)+SUMIF(AV26:AV34,"Validé avec réserve",AW26:AW34))&gt;100,100,SUMIF(AV26:AV34,"Validé",AW26:AW34)+SUMIF(AV26:AV34,"Validé avec réserve",AW26:AW34))))</f>
        <v/>
      </c>
      <c r="AX37" s="109"/>
      <c r="AY37" s="223"/>
      <c r="AZ37" s="122"/>
      <c r="BA37" s="119"/>
      <c r="BB37" s="81" t="str">
        <f>IF(AY22="","",IF(AY22="Préleveur A3",#REF!,IF((SUMIF(BA26:BA34,"Validé",BB26:BB34)+SUMIF(BA26:BA34,"Validé avec réserve",BB26:BB34))&gt;100,100,SUMIF(BA26:BA34,"Validé",BB26:BB34)+SUMIF(BA26:BA34,"Validé avec réserve",BB26:BB34))))</f>
        <v/>
      </c>
      <c r="BC37" s="109"/>
      <c r="BD37" s="223"/>
      <c r="BE37" s="118"/>
      <c r="BF37" s="119"/>
      <c r="BG37" s="81" t="str">
        <f>IF(BD22="","",IF(BD22="Préleveur A3",#REF!,IF((SUMIF(BF26:BF34,"Validé",BG26:BG34)+SUMIF(BF26:BF34,"Validé avec réserve",BG26:BG34))&gt;100,100,SUMIF(BF26:BF34,"Validé",BG26:BG34)+SUMIF(BF26:BF34,"Validé avec réserve",BG26:BG34))))</f>
        <v/>
      </c>
      <c r="BH37" s="112"/>
    </row>
  </sheetData>
  <mergeCells count="156">
    <mergeCell ref="AE36:AF36"/>
    <mergeCell ref="AJ36:AK36"/>
    <mergeCell ref="AO36:AP36"/>
    <mergeCell ref="AT36:AU36"/>
    <mergeCell ref="AY36:AZ36"/>
    <mergeCell ref="BD36:BE36"/>
    <mergeCell ref="A36:B36"/>
    <mergeCell ref="F36:G36"/>
    <mergeCell ref="K36:L36"/>
    <mergeCell ref="P36:Q36"/>
    <mergeCell ref="U36:V36"/>
    <mergeCell ref="Z36:AA36"/>
    <mergeCell ref="AE24:AF24"/>
    <mergeCell ref="AJ24:AK24"/>
    <mergeCell ref="AO24:AP24"/>
    <mergeCell ref="AT24:AU24"/>
    <mergeCell ref="AY24:AZ24"/>
    <mergeCell ref="BD24:BE24"/>
    <mergeCell ref="A24:B24"/>
    <mergeCell ref="F24:G24"/>
    <mergeCell ref="K24:L24"/>
    <mergeCell ref="P24:Q24"/>
    <mergeCell ref="U24:V24"/>
    <mergeCell ref="Z24:AA24"/>
    <mergeCell ref="AE22:AH22"/>
    <mergeCell ref="AJ22:AM22"/>
    <mergeCell ref="AO22:AR22"/>
    <mergeCell ref="AT22:AW22"/>
    <mergeCell ref="AY22:BB22"/>
    <mergeCell ref="BD22:BG22"/>
    <mergeCell ref="A22:D22"/>
    <mergeCell ref="F22:I22"/>
    <mergeCell ref="K22:N22"/>
    <mergeCell ref="P22:S22"/>
    <mergeCell ref="U22:X22"/>
    <mergeCell ref="Z22:AC22"/>
    <mergeCell ref="AE21:AH21"/>
    <mergeCell ref="AJ21:AM21"/>
    <mergeCell ref="AO21:AR21"/>
    <mergeCell ref="AT21:AW21"/>
    <mergeCell ref="AY21:BB21"/>
    <mergeCell ref="BD21:BG21"/>
    <mergeCell ref="A21:D21"/>
    <mergeCell ref="F21:I21"/>
    <mergeCell ref="K21:N21"/>
    <mergeCell ref="P21:S21"/>
    <mergeCell ref="U21:X21"/>
    <mergeCell ref="Z21:AC21"/>
    <mergeCell ref="AE18:AF18"/>
    <mergeCell ref="AJ18:AK18"/>
    <mergeCell ref="AO18:AP18"/>
    <mergeCell ref="AT18:AU18"/>
    <mergeCell ref="AY18:AZ18"/>
    <mergeCell ref="BD18:BE18"/>
    <mergeCell ref="A18:B18"/>
    <mergeCell ref="F18:G18"/>
    <mergeCell ref="K18:L18"/>
    <mergeCell ref="P18:Q18"/>
    <mergeCell ref="U18:V18"/>
    <mergeCell ref="Z18:AA18"/>
    <mergeCell ref="AE7:AF7"/>
    <mergeCell ref="AJ7:AK7"/>
    <mergeCell ref="AO7:AP7"/>
    <mergeCell ref="AT7:AU7"/>
    <mergeCell ref="AY7:AZ7"/>
    <mergeCell ref="BD7:BE7"/>
    <mergeCell ref="A7:B7"/>
    <mergeCell ref="F7:G7"/>
    <mergeCell ref="K7:L7"/>
    <mergeCell ref="P7:Q7"/>
    <mergeCell ref="U7:V7"/>
    <mergeCell ref="Z7:AA7"/>
    <mergeCell ref="AE5:AH5"/>
    <mergeCell ref="AJ5:AM5"/>
    <mergeCell ref="AO5:AR5"/>
    <mergeCell ref="AT5:AW5"/>
    <mergeCell ref="AY5:BB5"/>
    <mergeCell ref="BD5:BG5"/>
    <mergeCell ref="A5:D5"/>
    <mergeCell ref="F5:I5"/>
    <mergeCell ref="K5:N5"/>
    <mergeCell ref="P5:S5"/>
    <mergeCell ref="U5:X5"/>
    <mergeCell ref="Z5:AC5"/>
    <mergeCell ref="AE4:AH4"/>
    <mergeCell ref="AJ4:AM4"/>
    <mergeCell ref="AO4:AR4"/>
    <mergeCell ref="AT4:AW4"/>
    <mergeCell ref="AY4:BB4"/>
    <mergeCell ref="BD4:BG4"/>
    <mergeCell ref="A4:D4"/>
    <mergeCell ref="F4:I4"/>
    <mergeCell ref="K4:N4"/>
    <mergeCell ref="P4:S4"/>
    <mergeCell ref="U4:X4"/>
    <mergeCell ref="Z4:AC4"/>
    <mergeCell ref="AT3:AU3"/>
    <mergeCell ref="AV3:AW3"/>
    <mergeCell ref="AY3:AZ3"/>
    <mergeCell ref="BA3:BB3"/>
    <mergeCell ref="BD3:BE3"/>
    <mergeCell ref="BF3:BG3"/>
    <mergeCell ref="AE3:AF3"/>
    <mergeCell ref="AG3:AH3"/>
    <mergeCell ref="AJ3:AK3"/>
    <mergeCell ref="AL3:AM3"/>
    <mergeCell ref="AO3:AP3"/>
    <mergeCell ref="AQ3:AR3"/>
    <mergeCell ref="P3:Q3"/>
    <mergeCell ref="R3:S3"/>
    <mergeCell ref="U3:V3"/>
    <mergeCell ref="W3:X3"/>
    <mergeCell ref="Z3:AA3"/>
    <mergeCell ref="AB3:AC3"/>
    <mergeCell ref="A3:B3"/>
    <mergeCell ref="C3:D3"/>
    <mergeCell ref="F3:G3"/>
    <mergeCell ref="H3:I3"/>
    <mergeCell ref="K3:L3"/>
    <mergeCell ref="M3:N3"/>
    <mergeCell ref="AT2:AU2"/>
    <mergeCell ref="AV2:AW2"/>
    <mergeCell ref="AY2:AZ2"/>
    <mergeCell ref="BA2:BB2"/>
    <mergeCell ref="BD2:BE2"/>
    <mergeCell ref="BF2:BG2"/>
    <mergeCell ref="AE2:AF2"/>
    <mergeCell ref="AG2:AH2"/>
    <mergeCell ref="AJ2:AK2"/>
    <mergeCell ref="AL2:AM2"/>
    <mergeCell ref="AO2:AP2"/>
    <mergeCell ref="AQ2:AR2"/>
    <mergeCell ref="P2:Q2"/>
    <mergeCell ref="R2:S2"/>
    <mergeCell ref="U2:V2"/>
    <mergeCell ref="W2:X2"/>
    <mergeCell ref="Z2:AA2"/>
    <mergeCell ref="AB2:AC2"/>
    <mergeCell ref="A2:B2"/>
    <mergeCell ref="C2:D2"/>
    <mergeCell ref="F2:G2"/>
    <mergeCell ref="H2:I2"/>
    <mergeCell ref="K2:L2"/>
    <mergeCell ref="M2:N2"/>
    <mergeCell ref="AE1:AH1"/>
    <mergeCell ref="AJ1:AM1"/>
    <mergeCell ref="AO1:AR1"/>
    <mergeCell ref="AT1:AW1"/>
    <mergeCell ref="AY1:BB1"/>
    <mergeCell ref="BD1:BG1"/>
    <mergeCell ref="A1:D1"/>
    <mergeCell ref="F1:I1"/>
    <mergeCell ref="K1:N1"/>
    <mergeCell ref="P1:S1"/>
    <mergeCell ref="U1:X1"/>
    <mergeCell ref="Z1:AC1"/>
  </mergeCells>
  <conditionalFormatting sqref="C9:C17">
    <cfRule type="containsText" dxfId="644" priority="109" operator="containsText" text="Non contrôlé">
      <formula>NOT(ISERROR(SEARCH("Non contrôlé",C9)))</formula>
    </cfRule>
    <cfRule type="containsText" dxfId="643" priority="110" operator="containsText" text="Non validé">
      <formula>NOT(ISERROR(SEARCH("Non validé",C9)))</formula>
    </cfRule>
    <cfRule type="containsText" dxfId="642" priority="111" operator="containsText" text="réserve">
      <formula>NOT(ISERROR(SEARCH("réserve",C9)))</formula>
    </cfRule>
    <cfRule type="endsWith" dxfId="641" priority="112" operator="endsWith" text="Validé">
      <formula>RIGHT(C9,LEN("Validé"))="Validé"</formula>
    </cfRule>
  </conditionalFormatting>
  <conditionalFormatting sqref="C19:C20">
    <cfRule type="containsText" dxfId="640" priority="105" operator="containsText" text="Non contrôlé">
      <formula>NOT(ISERROR(SEARCH("Non contrôlé",C19)))</formula>
    </cfRule>
    <cfRule type="containsText" dxfId="639" priority="106" operator="containsText" text="Non validé">
      <formula>NOT(ISERROR(SEARCH("Non validé",C19)))</formula>
    </cfRule>
    <cfRule type="containsText" dxfId="638" priority="107" operator="containsText" text="réserve">
      <formula>NOT(ISERROR(SEARCH("réserve",C19)))</formula>
    </cfRule>
    <cfRule type="endsWith" dxfId="637" priority="108" operator="endsWith" text="Validé">
      <formula>RIGHT(C19,LEN("Validé"))="Validé"</formula>
    </cfRule>
  </conditionalFormatting>
  <conditionalFormatting sqref="C26:C35">
    <cfRule type="containsText" dxfId="636" priority="121" operator="containsText" text="Non contrôlé">
      <formula>NOT(ISERROR(SEARCH("Non contrôlé",C26)))</formula>
    </cfRule>
    <cfRule type="containsText" dxfId="635" priority="122" operator="containsText" text="Non validé">
      <formula>NOT(ISERROR(SEARCH("Non validé",C26)))</formula>
    </cfRule>
    <cfRule type="containsText" dxfId="634" priority="123" operator="containsText" text="réserve">
      <formula>NOT(ISERROR(SEARCH("réserve",C26)))</formula>
    </cfRule>
    <cfRule type="endsWith" dxfId="633" priority="124" operator="endsWith" text="Validé">
      <formula>RIGHT(C26,LEN("Validé"))="Validé"</formula>
    </cfRule>
  </conditionalFormatting>
  <conditionalFormatting sqref="C37">
    <cfRule type="containsText" dxfId="632" priority="117" operator="containsText" text="Non contrôlé">
      <formula>NOT(ISERROR(SEARCH("Non contrôlé",C37)))</formula>
    </cfRule>
    <cfRule type="containsText" dxfId="631" priority="118" operator="containsText" text="Non validé">
      <formula>NOT(ISERROR(SEARCH("Non validé",C37)))</formula>
    </cfRule>
    <cfRule type="containsText" dxfId="630" priority="119" operator="containsText" text="réserve">
      <formula>NOT(ISERROR(SEARCH("réserve",C37)))</formula>
    </cfRule>
    <cfRule type="endsWith" dxfId="629" priority="120" operator="endsWith" text="Validé">
      <formula>RIGHT(C37,LEN("Validé"))="Validé"</formula>
    </cfRule>
  </conditionalFormatting>
  <conditionalFormatting sqref="D19">
    <cfRule type="cellIs" dxfId="628" priority="70" operator="greaterThanOrEqual">
      <formula>80</formula>
    </cfRule>
    <cfRule type="cellIs" dxfId="627" priority="71" operator="between">
      <formula>70</formula>
      <formula>79</formula>
    </cfRule>
    <cfRule type="cellIs" dxfId="626" priority="72" operator="lessThan">
      <formula>69</formula>
    </cfRule>
  </conditionalFormatting>
  <conditionalFormatting sqref="D37">
    <cfRule type="cellIs" dxfId="625" priority="55" operator="greaterThanOrEqual">
      <formula>80</formula>
    </cfRule>
    <cfRule type="cellIs" dxfId="624" priority="56" operator="between">
      <formula>70</formula>
      <formula>79</formula>
    </cfRule>
    <cfRule type="cellIs" dxfId="623" priority="57" operator="lessThan">
      <formula>69</formula>
    </cfRule>
  </conditionalFormatting>
  <conditionalFormatting sqref="H9:H17">
    <cfRule type="containsText" dxfId="622" priority="77" operator="containsText" text="Non contrôlé">
      <formula>NOT(ISERROR(SEARCH("Non contrôlé",H9)))</formula>
    </cfRule>
    <cfRule type="containsText" dxfId="621" priority="78" operator="containsText" text="Non validé">
      <formula>NOT(ISERROR(SEARCH("Non validé",H9)))</formula>
    </cfRule>
    <cfRule type="containsText" dxfId="620" priority="79" operator="containsText" text="réserve">
      <formula>NOT(ISERROR(SEARCH("réserve",H9)))</formula>
    </cfRule>
    <cfRule type="endsWith" dxfId="619" priority="80" operator="endsWith" text="Validé">
      <formula>RIGHT(H9,LEN("Validé"))="Validé"</formula>
    </cfRule>
  </conditionalFormatting>
  <conditionalFormatting sqref="H19:H20">
    <cfRule type="containsText" dxfId="618" priority="221" operator="containsText" text="Non contrôlé">
      <formula>NOT(ISERROR(SEARCH("Non contrôlé",H19)))</formula>
    </cfRule>
    <cfRule type="containsText" dxfId="617" priority="222" operator="containsText" text="Non validé">
      <formula>NOT(ISERROR(SEARCH("Non validé",H19)))</formula>
    </cfRule>
    <cfRule type="containsText" dxfId="616" priority="223" operator="containsText" text="réserve">
      <formula>NOT(ISERROR(SEARCH("réserve",H19)))</formula>
    </cfRule>
    <cfRule type="endsWith" dxfId="615" priority="224" operator="endsWith" text="Validé">
      <formula>RIGHT(H19,LEN("Validé"))="Validé"</formula>
    </cfRule>
  </conditionalFormatting>
  <conditionalFormatting sqref="H26:H35">
    <cfRule type="containsText" dxfId="614" priority="101" operator="containsText" text="Non contrôlé">
      <formula>NOT(ISERROR(SEARCH("Non contrôlé",H26)))</formula>
    </cfRule>
    <cfRule type="containsText" dxfId="613" priority="102" operator="containsText" text="Non validé">
      <formula>NOT(ISERROR(SEARCH("Non validé",H26)))</formula>
    </cfRule>
    <cfRule type="containsText" dxfId="612" priority="103" operator="containsText" text="réserve">
      <formula>NOT(ISERROR(SEARCH("réserve",H26)))</formula>
    </cfRule>
    <cfRule type="endsWith" dxfId="611" priority="104" operator="endsWith" text="Validé">
      <formula>RIGHT(H26,LEN("Validé"))="Validé"</formula>
    </cfRule>
  </conditionalFormatting>
  <conditionalFormatting sqref="H37">
    <cfRule type="containsText" dxfId="610" priority="125" operator="containsText" text="Non contrôlé">
      <formula>NOT(ISERROR(SEARCH("Non contrôlé",H37)))</formula>
    </cfRule>
    <cfRule type="containsText" dxfId="609" priority="126" operator="containsText" text="Non validé">
      <formula>NOT(ISERROR(SEARCH("Non validé",H37)))</formula>
    </cfRule>
    <cfRule type="containsText" dxfId="608" priority="127" operator="containsText" text="réserve">
      <formula>NOT(ISERROR(SEARCH("réserve",H37)))</formula>
    </cfRule>
    <cfRule type="endsWith" dxfId="607" priority="128" operator="endsWith" text="Validé">
      <formula>RIGHT(H37,LEN("Validé"))="Validé"</formula>
    </cfRule>
  </conditionalFormatting>
  <conditionalFormatting sqref="I19">
    <cfRule type="cellIs" dxfId="606" priority="67" operator="greaterThanOrEqual">
      <formula>80</formula>
    </cfRule>
    <cfRule type="cellIs" dxfId="605" priority="68" operator="between">
      <formula>70</formula>
      <formula>79</formula>
    </cfRule>
    <cfRule type="cellIs" dxfId="604" priority="69" operator="lessThan">
      <formula>69</formula>
    </cfRule>
  </conditionalFormatting>
  <conditionalFormatting sqref="I37">
    <cfRule type="cellIs" dxfId="603" priority="52" operator="greaterThanOrEqual">
      <formula>80</formula>
    </cfRule>
    <cfRule type="cellIs" dxfId="602" priority="53" operator="between">
      <formula>70</formula>
      <formula>79</formula>
    </cfRule>
    <cfRule type="cellIs" dxfId="601" priority="54" operator="lessThan">
      <formula>69</formula>
    </cfRule>
  </conditionalFormatting>
  <conditionalFormatting sqref="M9:M17">
    <cfRule type="containsText" dxfId="600" priority="229" operator="containsText" text="Non contrôlé">
      <formula>NOT(ISERROR(SEARCH("Non contrôlé",M9)))</formula>
    </cfRule>
    <cfRule type="containsText" dxfId="599" priority="230" operator="containsText" text="Non validé">
      <formula>NOT(ISERROR(SEARCH("Non validé",M9)))</formula>
    </cfRule>
    <cfRule type="containsText" dxfId="598" priority="231" operator="containsText" text="réserve">
      <formula>NOT(ISERROR(SEARCH("réserve",M9)))</formula>
    </cfRule>
    <cfRule type="endsWith" dxfId="597" priority="232" operator="endsWith" text="Validé">
      <formula>RIGHT(M9,LEN("Validé"))="Validé"</formula>
    </cfRule>
  </conditionalFormatting>
  <conditionalFormatting sqref="M19:M20">
    <cfRule type="containsText" dxfId="596" priority="225" operator="containsText" text="Non contrôlé">
      <formula>NOT(ISERROR(SEARCH("Non contrôlé",M19)))</formula>
    </cfRule>
    <cfRule type="containsText" dxfId="595" priority="226" operator="containsText" text="Non validé">
      <formula>NOT(ISERROR(SEARCH("Non validé",M19)))</formula>
    </cfRule>
    <cfRule type="containsText" dxfId="594" priority="227" operator="containsText" text="réserve">
      <formula>NOT(ISERROR(SEARCH("réserve",M19)))</formula>
    </cfRule>
    <cfRule type="endsWith" dxfId="593" priority="228" operator="endsWith" text="Validé">
      <formula>RIGHT(M19,LEN("Validé"))="Validé"</formula>
    </cfRule>
  </conditionalFormatting>
  <conditionalFormatting sqref="M26:M34">
    <cfRule type="containsText" dxfId="592" priority="133" operator="containsText" text="Non contrôlé">
      <formula>NOT(ISERROR(SEARCH("Non contrôlé",M26)))</formula>
    </cfRule>
    <cfRule type="containsText" dxfId="591" priority="134" operator="containsText" text="Non validé">
      <formula>NOT(ISERROR(SEARCH("Non validé",M26)))</formula>
    </cfRule>
    <cfRule type="containsText" dxfId="590" priority="135" operator="containsText" text="réserve">
      <formula>NOT(ISERROR(SEARCH("réserve",M26)))</formula>
    </cfRule>
    <cfRule type="endsWith" dxfId="589" priority="136" operator="endsWith" text="Validé">
      <formula>RIGHT(M26,LEN("Validé"))="Validé"</formula>
    </cfRule>
  </conditionalFormatting>
  <conditionalFormatting sqref="M35">
    <cfRule type="containsText" dxfId="588" priority="137" operator="containsText" text="Non contrôlé">
      <formula>NOT(ISERROR(SEARCH("Non contrôlé",M35)))</formula>
    </cfRule>
    <cfRule type="containsText" dxfId="587" priority="138" operator="containsText" text="Non validé">
      <formula>NOT(ISERROR(SEARCH("Non validé",M35)))</formula>
    </cfRule>
    <cfRule type="containsText" dxfId="586" priority="139" operator="containsText" text="réserve">
      <formula>NOT(ISERROR(SEARCH("réserve",M35)))</formula>
    </cfRule>
    <cfRule type="endsWith" dxfId="585" priority="140" operator="endsWith" text="Validé">
      <formula>RIGHT(M35,LEN("Validé"))="Validé"</formula>
    </cfRule>
  </conditionalFormatting>
  <conditionalFormatting sqref="M37">
    <cfRule type="containsText" dxfId="584" priority="129" operator="containsText" text="Non contrôlé">
      <formula>NOT(ISERROR(SEARCH("Non contrôlé",M37)))</formula>
    </cfRule>
    <cfRule type="containsText" dxfId="583" priority="130" operator="containsText" text="Non validé">
      <formula>NOT(ISERROR(SEARCH("Non validé",M37)))</formula>
    </cfRule>
    <cfRule type="containsText" dxfId="582" priority="131" operator="containsText" text="réserve">
      <formula>NOT(ISERROR(SEARCH("réserve",M37)))</formula>
    </cfRule>
    <cfRule type="endsWith" dxfId="581" priority="132" operator="endsWith" text="Validé">
      <formula>RIGHT(M37,LEN("Validé"))="Validé"</formula>
    </cfRule>
  </conditionalFormatting>
  <conditionalFormatting sqref="N19">
    <cfRule type="cellIs" dxfId="580" priority="64" operator="greaterThanOrEqual">
      <formula>80</formula>
    </cfRule>
    <cfRule type="cellIs" dxfId="579" priority="65" operator="between">
      <formula>70</formula>
      <formula>79</formula>
    </cfRule>
    <cfRule type="cellIs" dxfId="578" priority="66" operator="lessThan">
      <formula>69</formula>
    </cfRule>
  </conditionalFormatting>
  <conditionalFormatting sqref="N37">
    <cfRule type="cellIs" dxfId="577" priority="49" operator="greaterThanOrEqual">
      <formula>80</formula>
    </cfRule>
    <cfRule type="cellIs" dxfId="576" priority="50" operator="between">
      <formula>70</formula>
      <formula>79</formula>
    </cfRule>
    <cfRule type="cellIs" dxfId="575" priority="51" operator="lessThan">
      <formula>69</formula>
    </cfRule>
  </conditionalFormatting>
  <conditionalFormatting sqref="R9:R17">
    <cfRule type="containsText" dxfId="574" priority="237" operator="containsText" text="Non contrôlé">
      <formula>NOT(ISERROR(SEARCH("Non contrôlé",R9)))</formula>
    </cfRule>
    <cfRule type="containsText" dxfId="573" priority="238" operator="containsText" text="Non validé">
      <formula>NOT(ISERROR(SEARCH("Non validé",R9)))</formula>
    </cfRule>
    <cfRule type="containsText" dxfId="572" priority="239" operator="containsText" text="réserve">
      <formula>NOT(ISERROR(SEARCH("réserve",R9)))</formula>
    </cfRule>
    <cfRule type="endsWith" dxfId="571" priority="240" operator="endsWith" text="Validé">
      <formula>RIGHT(R9,LEN("Validé"))="Validé"</formula>
    </cfRule>
  </conditionalFormatting>
  <conditionalFormatting sqref="R19">
    <cfRule type="containsText" dxfId="570" priority="233" operator="containsText" text="Non contrôlé">
      <formula>NOT(ISERROR(SEARCH("Non contrôlé",R19)))</formula>
    </cfRule>
    <cfRule type="containsText" dxfId="569" priority="234" operator="containsText" text="Non validé">
      <formula>NOT(ISERROR(SEARCH("Non validé",R19)))</formula>
    </cfRule>
    <cfRule type="containsText" dxfId="568" priority="235" operator="containsText" text="réserve">
      <formula>NOT(ISERROR(SEARCH("réserve",R19)))</formula>
    </cfRule>
    <cfRule type="endsWith" dxfId="567" priority="236" operator="endsWith" text="Validé">
      <formula>RIGHT(R19,LEN("Validé"))="Validé"</formula>
    </cfRule>
  </conditionalFormatting>
  <conditionalFormatting sqref="R26:R34">
    <cfRule type="containsText" dxfId="566" priority="145" operator="containsText" text="Non contrôlé">
      <formula>NOT(ISERROR(SEARCH("Non contrôlé",R26)))</formula>
    </cfRule>
    <cfRule type="containsText" dxfId="565" priority="146" operator="containsText" text="Non validé">
      <formula>NOT(ISERROR(SEARCH("Non validé",R26)))</formula>
    </cfRule>
    <cfRule type="containsText" dxfId="564" priority="147" operator="containsText" text="réserve">
      <formula>NOT(ISERROR(SEARCH("réserve",R26)))</formula>
    </cfRule>
    <cfRule type="endsWith" dxfId="563" priority="148" operator="endsWith" text="Validé">
      <formula>RIGHT(R26,LEN("Validé"))="Validé"</formula>
    </cfRule>
  </conditionalFormatting>
  <conditionalFormatting sqref="R35">
    <cfRule type="containsText" dxfId="562" priority="149" operator="containsText" text="Non contrôlé">
      <formula>NOT(ISERROR(SEARCH("Non contrôlé",R35)))</formula>
    </cfRule>
    <cfRule type="containsText" dxfId="561" priority="150" operator="containsText" text="Non validé">
      <formula>NOT(ISERROR(SEARCH("Non validé",R35)))</formula>
    </cfRule>
    <cfRule type="containsText" dxfId="560" priority="151" operator="containsText" text="réserve">
      <formula>NOT(ISERROR(SEARCH("réserve",R35)))</formula>
    </cfRule>
    <cfRule type="endsWith" dxfId="559" priority="152" operator="endsWith" text="Validé">
      <formula>RIGHT(R35,LEN("Validé"))="Validé"</formula>
    </cfRule>
  </conditionalFormatting>
  <conditionalFormatting sqref="R37">
    <cfRule type="containsText" dxfId="558" priority="141" operator="containsText" text="Non contrôlé">
      <formula>NOT(ISERROR(SEARCH("Non contrôlé",R37)))</formula>
    </cfRule>
    <cfRule type="containsText" dxfId="557" priority="142" operator="containsText" text="Non validé">
      <formula>NOT(ISERROR(SEARCH("Non validé",R37)))</formula>
    </cfRule>
    <cfRule type="containsText" dxfId="556" priority="143" operator="containsText" text="réserve">
      <formula>NOT(ISERROR(SEARCH("réserve",R37)))</formula>
    </cfRule>
    <cfRule type="endsWith" dxfId="555" priority="144" operator="endsWith" text="Validé">
      <formula>RIGHT(R37,LEN("Validé"))="Validé"</formula>
    </cfRule>
  </conditionalFormatting>
  <conditionalFormatting sqref="S19">
    <cfRule type="cellIs" dxfId="554" priority="61" operator="greaterThanOrEqual">
      <formula>80</formula>
    </cfRule>
    <cfRule type="cellIs" dxfId="553" priority="62" operator="between">
      <formula>70</formula>
      <formula>79</formula>
    </cfRule>
    <cfRule type="cellIs" dxfId="552" priority="63" operator="lessThan">
      <formula>69</formula>
    </cfRule>
  </conditionalFormatting>
  <conditionalFormatting sqref="S37">
    <cfRule type="cellIs" dxfId="551" priority="46" operator="greaterThanOrEqual">
      <formula>80</formula>
    </cfRule>
    <cfRule type="cellIs" dxfId="550" priority="47" operator="between">
      <formula>70</formula>
      <formula>79</formula>
    </cfRule>
    <cfRule type="cellIs" dxfId="549" priority="48" operator="lessThan">
      <formula>69</formula>
    </cfRule>
  </conditionalFormatting>
  <conditionalFormatting sqref="W9:W17">
    <cfRule type="containsText" dxfId="548" priority="113" operator="containsText" text="Non contrôlé">
      <formula>NOT(ISERROR(SEARCH("Non contrôlé",W9)))</formula>
    </cfRule>
    <cfRule type="containsText" dxfId="547" priority="114" operator="containsText" text="Non validé">
      <formula>NOT(ISERROR(SEARCH("Non validé",W9)))</formula>
    </cfRule>
    <cfRule type="containsText" dxfId="546" priority="115" operator="containsText" text="réserve">
      <formula>NOT(ISERROR(SEARCH("réserve",W9)))</formula>
    </cfRule>
    <cfRule type="endsWith" dxfId="545" priority="116" operator="endsWith" text="Validé">
      <formula>RIGHT(W9,LEN("Validé"))="Validé"</formula>
    </cfRule>
  </conditionalFormatting>
  <conditionalFormatting sqref="W19">
    <cfRule type="containsText" dxfId="544" priority="241" operator="containsText" text="Non contrôlé">
      <formula>NOT(ISERROR(SEARCH("Non contrôlé",W19)))</formula>
    </cfRule>
    <cfRule type="containsText" dxfId="543" priority="242" operator="containsText" text="Non validé">
      <formula>NOT(ISERROR(SEARCH("Non validé",W19)))</formula>
    </cfRule>
    <cfRule type="containsText" dxfId="542" priority="243" operator="containsText" text="réserve">
      <formula>NOT(ISERROR(SEARCH("réserve",W19)))</formula>
    </cfRule>
    <cfRule type="endsWith" dxfId="541" priority="244" operator="endsWith" text="Validé">
      <formula>RIGHT(W19,LEN("Validé"))="Validé"</formula>
    </cfRule>
  </conditionalFormatting>
  <conditionalFormatting sqref="W26:W34">
    <cfRule type="containsText" dxfId="540" priority="157" operator="containsText" text="Non contrôlé">
      <formula>NOT(ISERROR(SEARCH("Non contrôlé",W26)))</formula>
    </cfRule>
    <cfRule type="containsText" dxfId="539" priority="158" operator="containsText" text="Non validé">
      <formula>NOT(ISERROR(SEARCH("Non validé",W26)))</formula>
    </cfRule>
    <cfRule type="containsText" dxfId="538" priority="159" operator="containsText" text="réserve">
      <formula>NOT(ISERROR(SEARCH("réserve",W26)))</formula>
    </cfRule>
    <cfRule type="endsWith" dxfId="537" priority="160" operator="endsWith" text="Validé">
      <formula>RIGHT(W26,LEN("Validé"))="Validé"</formula>
    </cfRule>
  </conditionalFormatting>
  <conditionalFormatting sqref="W35">
    <cfRule type="containsText" dxfId="536" priority="161" operator="containsText" text="Non contrôlé">
      <formula>NOT(ISERROR(SEARCH("Non contrôlé",W35)))</formula>
    </cfRule>
    <cfRule type="containsText" dxfId="535" priority="162" operator="containsText" text="Non validé">
      <formula>NOT(ISERROR(SEARCH("Non validé",W35)))</formula>
    </cfRule>
    <cfRule type="containsText" dxfId="534" priority="163" operator="containsText" text="réserve">
      <formula>NOT(ISERROR(SEARCH("réserve",W35)))</formula>
    </cfRule>
    <cfRule type="endsWith" dxfId="533" priority="164" operator="endsWith" text="Validé">
      <formula>RIGHT(W35,LEN("Validé"))="Validé"</formula>
    </cfRule>
  </conditionalFormatting>
  <conditionalFormatting sqref="W37">
    <cfRule type="containsText" dxfId="532" priority="153" operator="containsText" text="Non contrôlé">
      <formula>NOT(ISERROR(SEARCH("Non contrôlé",W37)))</formula>
    </cfRule>
    <cfRule type="containsText" dxfId="531" priority="154" operator="containsText" text="Non validé">
      <formula>NOT(ISERROR(SEARCH("Non validé",W37)))</formula>
    </cfRule>
    <cfRule type="containsText" dxfId="530" priority="155" operator="containsText" text="réserve">
      <formula>NOT(ISERROR(SEARCH("réserve",W37)))</formula>
    </cfRule>
    <cfRule type="endsWith" dxfId="529" priority="156" operator="endsWith" text="Validé">
      <formula>RIGHT(W37,LEN("Validé"))="Validé"</formula>
    </cfRule>
  </conditionalFormatting>
  <conditionalFormatting sqref="X19">
    <cfRule type="cellIs" dxfId="528" priority="58" operator="greaterThanOrEqual">
      <formula>80</formula>
    </cfRule>
    <cfRule type="cellIs" dxfId="527" priority="59" operator="between">
      <formula>70</formula>
      <formula>79</formula>
    </cfRule>
    <cfRule type="cellIs" dxfId="526" priority="60" operator="lessThan">
      <formula>69</formula>
    </cfRule>
  </conditionalFormatting>
  <conditionalFormatting sqref="X37">
    <cfRule type="cellIs" dxfId="525" priority="43" operator="greaterThanOrEqual">
      <formula>80</formula>
    </cfRule>
    <cfRule type="cellIs" dxfId="524" priority="44" operator="between">
      <formula>70</formula>
      <formula>79</formula>
    </cfRule>
    <cfRule type="cellIs" dxfId="523" priority="45" operator="lessThan">
      <formula>69</formula>
    </cfRule>
  </conditionalFormatting>
  <conditionalFormatting sqref="AB9:AB17">
    <cfRule type="containsText" dxfId="522" priority="249" operator="containsText" text="Non contrôlé">
      <formula>NOT(ISERROR(SEARCH("Non contrôlé",AB9)))</formula>
    </cfRule>
    <cfRule type="containsText" dxfId="521" priority="250" operator="containsText" text="Non validé">
      <formula>NOT(ISERROR(SEARCH("Non validé",AB9)))</formula>
    </cfRule>
    <cfRule type="containsText" dxfId="520" priority="251" operator="containsText" text="réserve">
      <formula>NOT(ISERROR(SEARCH("réserve",AB9)))</formula>
    </cfRule>
    <cfRule type="endsWith" dxfId="519" priority="252" operator="endsWith" text="Validé">
      <formula>RIGHT(AB9,LEN("Validé"))="Validé"</formula>
    </cfRule>
  </conditionalFormatting>
  <conditionalFormatting sqref="AB19">
    <cfRule type="containsText" dxfId="518" priority="245" operator="containsText" text="Non contrôlé">
      <formula>NOT(ISERROR(SEARCH("Non contrôlé",AB19)))</formula>
    </cfRule>
    <cfRule type="containsText" dxfId="517" priority="246" operator="containsText" text="Non validé">
      <formula>NOT(ISERROR(SEARCH("Non validé",AB19)))</formula>
    </cfRule>
    <cfRule type="containsText" dxfId="516" priority="247" operator="containsText" text="réserve">
      <formula>NOT(ISERROR(SEARCH("réserve",AB19)))</formula>
    </cfRule>
    <cfRule type="endsWith" dxfId="515" priority="248" operator="endsWith" text="Validé">
      <formula>RIGHT(AB19,LEN("Validé"))="Validé"</formula>
    </cfRule>
  </conditionalFormatting>
  <conditionalFormatting sqref="AB26:AB34">
    <cfRule type="containsText" dxfId="514" priority="169" operator="containsText" text="Non contrôlé">
      <formula>NOT(ISERROR(SEARCH("Non contrôlé",AB26)))</formula>
    </cfRule>
    <cfRule type="containsText" dxfId="513" priority="170" operator="containsText" text="Non validé">
      <formula>NOT(ISERROR(SEARCH("Non validé",AB26)))</formula>
    </cfRule>
    <cfRule type="containsText" dxfId="512" priority="171" operator="containsText" text="réserve">
      <formula>NOT(ISERROR(SEARCH("réserve",AB26)))</formula>
    </cfRule>
    <cfRule type="endsWith" dxfId="511" priority="172" operator="endsWith" text="Validé">
      <formula>RIGHT(AB26,LEN("Validé"))="Validé"</formula>
    </cfRule>
  </conditionalFormatting>
  <conditionalFormatting sqref="AB35">
    <cfRule type="containsText" dxfId="510" priority="173" operator="containsText" text="Non contrôlé">
      <formula>NOT(ISERROR(SEARCH("Non contrôlé",AB35)))</formula>
    </cfRule>
    <cfRule type="containsText" dxfId="509" priority="174" operator="containsText" text="Non validé">
      <formula>NOT(ISERROR(SEARCH("Non validé",AB35)))</formula>
    </cfRule>
    <cfRule type="containsText" dxfId="508" priority="175" operator="containsText" text="réserve">
      <formula>NOT(ISERROR(SEARCH("réserve",AB35)))</formula>
    </cfRule>
    <cfRule type="endsWith" dxfId="507" priority="176" operator="endsWith" text="Validé">
      <formula>RIGHT(AB35,LEN("Validé"))="Validé"</formula>
    </cfRule>
  </conditionalFormatting>
  <conditionalFormatting sqref="AB37">
    <cfRule type="containsText" dxfId="506" priority="165" operator="containsText" text="Non contrôlé">
      <formula>NOT(ISERROR(SEARCH("Non contrôlé",AB37)))</formula>
    </cfRule>
    <cfRule type="containsText" dxfId="505" priority="166" operator="containsText" text="Non validé">
      <formula>NOT(ISERROR(SEARCH("Non validé",AB37)))</formula>
    </cfRule>
    <cfRule type="containsText" dxfId="504" priority="167" operator="containsText" text="réserve">
      <formula>NOT(ISERROR(SEARCH("réserve",AB37)))</formula>
    </cfRule>
    <cfRule type="endsWith" dxfId="503" priority="168" operator="endsWith" text="Validé">
      <formula>RIGHT(AB37,LEN("Validé"))="Validé"</formula>
    </cfRule>
  </conditionalFormatting>
  <conditionalFormatting sqref="AC19">
    <cfRule type="cellIs" dxfId="502" priority="40" operator="greaterThanOrEqual">
      <formula>80</formula>
    </cfRule>
    <cfRule type="cellIs" dxfId="501" priority="41" operator="between">
      <formula>70</formula>
      <formula>79</formula>
    </cfRule>
    <cfRule type="cellIs" dxfId="500" priority="42" operator="lessThan">
      <formula>69</formula>
    </cfRule>
  </conditionalFormatting>
  <conditionalFormatting sqref="AC37">
    <cfRule type="cellIs" dxfId="499" priority="31" operator="greaterThanOrEqual">
      <formula>80</formula>
    </cfRule>
    <cfRule type="cellIs" dxfId="498" priority="32" operator="between">
      <formula>70</formula>
      <formula>79</formula>
    </cfRule>
    <cfRule type="cellIs" dxfId="497" priority="33" operator="lessThan">
      <formula>69</formula>
    </cfRule>
  </conditionalFormatting>
  <conditionalFormatting sqref="AG9:AG17">
    <cfRule type="containsText" dxfId="496" priority="257" operator="containsText" text="Non contrôlé">
      <formula>NOT(ISERROR(SEARCH("Non contrôlé",AG9)))</formula>
    </cfRule>
    <cfRule type="containsText" dxfId="495" priority="258" operator="containsText" text="Non validé">
      <formula>NOT(ISERROR(SEARCH("Non validé",AG9)))</formula>
    </cfRule>
    <cfRule type="containsText" dxfId="494" priority="259" operator="containsText" text="réserve">
      <formula>NOT(ISERROR(SEARCH("réserve",AG9)))</formula>
    </cfRule>
    <cfRule type="endsWith" dxfId="493" priority="260" operator="endsWith" text="Validé">
      <formula>RIGHT(AG9,LEN("Validé"))="Validé"</formula>
    </cfRule>
  </conditionalFormatting>
  <conditionalFormatting sqref="AG19">
    <cfRule type="containsText" dxfId="492" priority="253" operator="containsText" text="Non contrôlé">
      <formula>NOT(ISERROR(SEARCH("Non contrôlé",AG19)))</formula>
    </cfRule>
    <cfRule type="containsText" dxfId="491" priority="254" operator="containsText" text="Non validé">
      <formula>NOT(ISERROR(SEARCH("Non validé",AG19)))</formula>
    </cfRule>
    <cfRule type="containsText" dxfId="490" priority="255" operator="containsText" text="réserve">
      <formula>NOT(ISERROR(SEARCH("réserve",AG19)))</formula>
    </cfRule>
    <cfRule type="endsWith" dxfId="489" priority="256" operator="endsWith" text="Validé">
      <formula>RIGHT(AG19,LEN("Validé"))="Validé"</formula>
    </cfRule>
  </conditionalFormatting>
  <conditionalFormatting sqref="AG26:AG34">
    <cfRule type="containsText" dxfId="488" priority="181" operator="containsText" text="Non contrôlé">
      <formula>NOT(ISERROR(SEARCH("Non contrôlé",AG26)))</formula>
    </cfRule>
    <cfRule type="containsText" dxfId="487" priority="182" operator="containsText" text="Non validé">
      <formula>NOT(ISERROR(SEARCH("Non validé",AG26)))</formula>
    </cfRule>
    <cfRule type="containsText" dxfId="486" priority="183" operator="containsText" text="réserve">
      <formula>NOT(ISERROR(SEARCH("réserve",AG26)))</formula>
    </cfRule>
    <cfRule type="endsWith" dxfId="485" priority="184" operator="endsWith" text="Validé">
      <formula>RIGHT(AG26,LEN("Validé"))="Validé"</formula>
    </cfRule>
  </conditionalFormatting>
  <conditionalFormatting sqref="AG35">
    <cfRule type="containsText" dxfId="484" priority="185" operator="containsText" text="Non contrôlé">
      <formula>NOT(ISERROR(SEARCH("Non contrôlé",AG35)))</formula>
    </cfRule>
    <cfRule type="containsText" dxfId="483" priority="186" operator="containsText" text="Non validé">
      <formula>NOT(ISERROR(SEARCH("Non validé",AG35)))</formula>
    </cfRule>
    <cfRule type="containsText" dxfId="482" priority="187" operator="containsText" text="réserve">
      <formula>NOT(ISERROR(SEARCH("réserve",AG35)))</formula>
    </cfRule>
    <cfRule type="endsWith" dxfId="481" priority="188" operator="endsWith" text="Validé">
      <formula>RIGHT(AG35,LEN("Validé"))="Validé"</formula>
    </cfRule>
  </conditionalFormatting>
  <conditionalFormatting sqref="AG37">
    <cfRule type="containsText" dxfId="480" priority="177" operator="containsText" text="Non contrôlé">
      <formula>NOT(ISERROR(SEARCH("Non contrôlé",AG37)))</formula>
    </cfRule>
    <cfRule type="containsText" dxfId="479" priority="178" operator="containsText" text="Non validé">
      <formula>NOT(ISERROR(SEARCH("Non validé",AG37)))</formula>
    </cfRule>
    <cfRule type="containsText" dxfId="478" priority="179" operator="containsText" text="réserve">
      <formula>NOT(ISERROR(SEARCH("réserve",AG37)))</formula>
    </cfRule>
    <cfRule type="endsWith" dxfId="477" priority="180" operator="endsWith" text="Validé">
      <formula>RIGHT(AG37,LEN("Validé"))="Validé"</formula>
    </cfRule>
  </conditionalFormatting>
  <conditionalFormatting sqref="AH19">
    <cfRule type="cellIs" dxfId="476" priority="37" operator="greaterThanOrEqual">
      <formula>80</formula>
    </cfRule>
    <cfRule type="cellIs" dxfId="475" priority="38" operator="between">
      <formula>70</formula>
      <formula>79</formula>
    </cfRule>
    <cfRule type="cellIs" dxfId="474" priority="39" operator="lessThan">
      <formula>69</formula>
    </cfRule>
  </conditionalFormatting>
  <conditionalFormatting sqref="AH37">
    <cfRule type="cellIs" dxfId="473" priority="28" operator="greaterThanOrEqual">
      <formula>80</formula>
    </cfRule>
    <cfRule type="cellIs" dxfId="472" priority="29" operator="between">
      <formula>70</formula>
      <formula>79</formula>
    </cfRule>
    <cfRule type="cellIs" dxfId="471" priority="30" operator="lessThan">
      <formula>69</formula>
    </cfRule>
  </conditionalFormatting>
  <conditionalFormatting sqref="AL9:AL17">
    <cfRule type="containsText" dxfId="470" priority="265" operator="containsText" text="Non contrôlé">
      <formula>NOT(ISERROR(SEARCH("Non contrôlé",AL9)))</formula>
    </cfRule>
    <cfRule type="containsText" dxfId="469" priority="266" operator="containsText" text="Non validé">
      <formula>NOT(ISERROR(SEARCH("Non validé",AL9)))</formula>
    </cfRule>
    <cfRule type="containsText" dxfId="468" priority="267" operator="containsText" text="réserve">
      <formula>NOT(ISERROR(SEARCH("réserve",AL9)))</formula>
    </cfRule>
    <cfRule type="endsWith" dxfId="467" priority="268" operator="endsWith" text="Validé">
      <formula>RIGHT(AL9,LEN("Validé"))="Validé"</formula>
    </cfRule>
  </conditionalFormatting>
  <conditionalFormatting sqref="AL19">
    <cfRule type="containsText" dxfId="466" priority="261" operator="containsText" text="Non contrôlé">
      <formula>NOT(ISERROR(SEARCH("Non contrôlé",AL19)))</formula>
    </cfRule>
    <cfRule type="containsText" dxfId="465" priority="262" operator="containsText" text="Non validé">
      <formula>NOT(ISERROR(SEARCH("Non validé",AL19)))</formula>
    </cfRule>
    <cfRule type="containsText" dxfId="464" priority="263" operator="containsText" text="réserve">
      <formula>NOT(ISERROR(SEARCH("réserve",AL19)))</formula>
    </cfRule>
    <cfRule type="endsWith" dxfId="463" priority="264" operator="endsWith" text="Validé">
      <formula>RIGHT(AL19,LEN("Validé"))="Validé"</formula>
    </cfRule>
  </conditionalFormatting>
  <conditionalFormatting sqref="AL26:AL34">
    <cfRule type="containsText" dxfId="462" priority="193" operator="containsText" text="Non contrôlé">
      <formula>NOT(ISERROR(SEARCH("Non contrôlé",AL26)))</formula>
    </cfRule>
    <cfRule type="containsText" dxfId="461" priority="194" operator="containsText" text="Non validé">
      <formula>NOT(ISERROR(SEARCH("Non validé",AL26)))</formula>
    </cfRule>
    <cfRule type="containsText" dxfId="460" priority="195" operator="containsText" text="réserve">
      <formula>NOT(ISERROR(SEARCH("réserve",AL26)))</formula>
    </cfRule>
    <cfRule type="endsWith" dxfId="459" priority="196" operator="endsWith" text="Validé">
      <formula>RIGHT(AL26,LEN("Validé"))="Validé"</formula>
    </cfRule>
  </conditionalFormatting>
  <conditionalFormatting sqref="AL35">
    <cfRule type="containsText" dxfId="458" priority="197" operator="containsText" text="Non contrôlé">
      <formula>NOT(ISERROR(SEARCH("Non contrôlé",AL35)))</formula>
    </cfRule>
    <cfRule type="containsText" dxfId="457" priority="198" operator="containsText" text="Non validé">
      <formula>NOT(ISERROR(SEARCH("Non validé",AL35)))</formula>
    </cfRule>
    <cfRule type="containsText" dxfId="456" priority="199" operator="containsText" text="réserve">
      <formula>NOT(ISERROR(SEARCH("réserve",AL35)))</formula>
    </cfRule>
    <cfRule type="endsWith" dxfId="455" priority="200" operator="endsWith" text="Validé">
      <formula>RIGHT(AL35,LEN("Validé"))="Validé"</formula>
    </cfRule>
  </conditionalFormatting>
  <conditionalFormatting sqref="AL37">
    <cfRule type="containsText" dxfId="454" priority="189" operator="containsText" text="Non contrôlé">
      <formula>NOT(ISERROR(SEARCH("Non contrôlé",AL37)))</formula>
    </cfRule>
    <cfRule type="containsText" dxfId="453" priority="190" operator="containsText" text="Non validé">
      <formula>NOT(ISERROR(SEARCH("Non validé",AL37)))</formula>
    </cfRule>
    <cfRule type="containsText" dxfId="452" priority="191" operator="containsText" text="réserve">
      <formula>NOT(ISERROR(SEARCH("réserve",AL37)))</formula>
    </cfRule>
    <cfRule type="endsWith" dxfId="451" priority="192" operator="endsWith" text="Validé">
      <formula>RIGHT(AL37,LEN("Validé"))="Validé"</formula>
    </cfRule>
  </conditionalFormatting>
  <conditionalFormatting sqref="AM19">
    <cfRule type="cellIs" dxfId="450" priority="34" operator="greaterThanOrEqual">
      <formula>80</formula>
    </cfRule>
    <cfRule type="cellIs" dxfId="449" priority="35" operator="between">
      <formula>70</formula>
      <formula>79</formula>
    </cfRule>
    <cfRule type="cellIs" dxfId="448" priority="36" operator="lessThan">
      <formula>69</formula>
    </cfRule>
  </conditionalFormatting>
  <conditionalFormatting sqref="AM37">
    <cfRule type="cellIs" dxfId="447" priority="25" operator="greaterThanOrEqual">
      <formula>80</formula>
    </cfRule>
    <cfRule type="cellIs" dxfId="446" priority="26" operator="between">
      <formula>70</formula>
      <formula>79</formula>
    </cfRule>
    <cfRule type="cellIs" dxfId="445" priority="27" operator="lessThan">
      <formula>69</formula>
    </cfRule>
  </conditionalFormatting>
  <conditionalFormatting sqref="AQ9:AQ17">
    <cfRule type="containsText" dxfId="444" priority="273" operator="containsText" text="Non contrôlé">
      <formula>NOT(ISERROR(SEARCH("Non contrôlé",AQ9)))</formula>
    </cfRule>
    <cfRule type="containsText" dxfId="443" priority="274" operator="containsText" text="Non validé">
      <formula>NOT(ISERROR(SEARCH("Non validé",AQ9)))</formula>
    </cfRule>
    <cfRule type="containsText" dxfId="442" priority="275" operator="containsText" text="réserve">
      <formula>NOT(ISERROR(SEARCH("réserve",AQ9)))</formula>
    </cfRule>
    <cfRule type="endsWith" dxfId="441" priority="276" operator="endsWith" text="Validé">
      <formula>RIGHT(AQ9,LEN("Validé"))="Validé"</formula>
    </cfRule>
  </conditionalFormatting>
  <conditionalFormatting sqref="AQ19">
    <cfRule type="containsText" dxfId="440" priority="269" operator="containsText" text="Non contrôlé">
      <formula>NOT(ISERROR(SEARCH("Non contrôlé",AQ19)))</formula>
    </cfRule>
    <cfRule type="containsText" dxfId="439" priority="270" operator="containsText" text="Non validé">
      <formula>NOT(ISERROR(SEARCH("Non validé",AQ19)))</formula>
    </cfRule>
    <cfRule type="containsText" dxfId="438" priority="271" operator="containsText" text="réserve">
      <formula>NOT(ISERROR(SEARCH("réserve",AQ19)))</formula>
    </cfRule>
    <cfRule type="endsWith" dxfId="437" priority="272" operator="endsWith" text="Validé">
      <formula>RIGHT(AQ19,LEN("Validé"))="Validé"</formula>
    </cfRule>
  </conditionalFormatting>
  <conditionalFormatting sqref="AQ26:AQ34">
    <cfRule type="containsText" dxfId="436" priority="205" operator="containsText" text="Non contrôlé">
      <formula>NOT(ISERROR(SEARCH("Non contrôlé",AQ26)))</formula>
    </cfRule>
    <cfRule type="containsText" dxfId="435" priority="206" operator="containsText" text="Non validé">
      <formula>NOT(ISERROR(SEARCH("Non validé",AQ26)))</formula>
    </cfRule>
    <cfRule type="containsText" dxfId="434" priority="207" operator="containsText" text="réserve">
      <formula>NOT(ISERROR(SEARCH("réserve",AQ26)))</formula>
    </cfRule>
    <cfRule type="endsWith" dxfId="433" priority="208" operator="endsWith" text="Validé">
      <formula>RIGHT(AQ26,LEN("Validé"))="Validé"</formula>
    </cfRule>
  </conditionalFormatting>
  <conditionalFormatting sqref="AQ35">
    <cfRule type="containsText" dxfId="432" priority="209" operator="containsText" text="Non contrôlé">
      <formula>NOT(ISERROR(SEARCH("Non contrôlé",AQ35)))</formula>
    </cfRule>
    <cfRule type="containsText" dxfId="431" priority="210" operator="containsText" text="Non validé">
      <formula>NOT(ISERROR(SEARCH("Non validé",AQ35)))</formula>
    </cfRule>
    <cfRule type="containsText" dxfId="430" priority="211" operator="containsText" text="réserve">
      <formula>NOT(ISERROR(SEARCH("réserve",AQ35)))</formula>
    </cfRule>
    <cfRule type="endsWith" dxfId="429" priority="212" operator="endsWith" text="Validé">
      <formula>RIGHT(AQ35,LEN("Validé"))="Validé"</formula>
    </cfRule>
  </conditionalFormatting>
  <conditionalFormatting sqref="AQ37">
    <cfRule type="containsText" dxfId="428" priority="201" operator="containsText" text="Non contrôlé">
      <formula>NOT(ISERROR(SEARCH("Non contrôlé",AQ37)))</formula>
    </cfRule>
    <cfRule type="containsText" dxfId="427" priority="202" operator="containsText" text="Non validé">
      <formula>NOT(ISERROR(SEARCH("Non validé",AQ37)))</formula>
    </cfRule>
    <cfRule type="containsText" dxfId="426" priority="203" operator="containsText" text="réserve">
      <formula>NOT(ISERROR(SEARCH("réserve",AQ37)))</formula>
    </cfRule>
    <cfRule type="endsWith" dxfId="425" priority="204" operator="endsWith" text="Validé">
      <formula>RIGHT(AQ37,LEN("Validé"))="Validé"</formula>
    </cfRule>
  </conditionalFormatting>
  <conditionalFormatting sqref="AR19">
    <cfRule type="cellIs" dxfId="424" priority="19" operator="greaterThanOrEqual">
      <formula>80</formula>
    </cfRule>
    <cfRule type="cellIs" dxfId="423" priority="20" operator="between">
      <formula>70</formula>
      <formula>79</formula>
    </cfRule>
    <cfRule type="cellIs" dxfId="422" priority="21" operator="lessThan">
      <formula>69</formula>
    </cfRule>
  </conditionalFormatting>
  <conditionalFormatting sqref="AR37">
    <cfRule type="cellIs" dxfId="421" priority="22" operator="greaterThanOrEqual">
      <formula>80</formula>
    </cfRule>
    <cfRule type="cellIs" dxfId="420" priority="23" operator="between">
      <formula>70</formula>
      <formula>79</formula>
    </cfRule>
    <cfRule type="cellIs" dxfId="419" priority="24" operator="lessThan">
      <formula>69</formula>
    </cfRule>
  </conditionalFormatting>
  <conditionalFormatting sqref="AV9:AV17">
    <cfRule type="containsText" dxfId="418" priority="281" operator="containsText" text="Non contrôlé">
      <formula>NOT(ISERROR(SEARCH("Non contrôlé",AV9)))</formula>
    </cfRule>
    <cfRule type="containsText" dxfId="417" priority="282" operator="containsText" text="Non validé">
      <formula>NOT(ISERROR(SEARCH("Non validé",AV9)))</formula>
    </cfRule>
    <cfRule type="containsText" dxfId="416" priority="283" operator="containsText" text="réserve">
      <formula>NOT(ISERROR(SEARCH("réserve",AV9)))</formula>
    </cfRule>
    <cfRule type="endsWith" dxfId="415" priority="284" operator="endsWith" text="Validé">
      <formula>RIGHT(AV9,LEN("Validé"))="Validé"</formula>
    </cfRule>
  </conditionalFormatting>
  <conditionalFormatting sqref="AV19">
    <cfRule type="containsText" dxfId="414" priority="277" operator="containsText" text="Non contrôlé">
      <formula>NOT(ISERROR(SEARCH("Non contrôlé",AV19)))</formula>
    </cfRule>
    <cfRule type="containsText" dxfId="413" priority="278" operator="containsText" text="Non validé">
      <formula>NOT(ISERROR(SEARCH("Non validé",AV19)))</formula>
    </cfRule>
    <cfRule type="containsText" dxfId="412" priority="279" operator="containsText" text="réserve">
      <formula>NOT(ISERROR(SEARCH("réserve",AV19)))</formula>
    </cfRule>
    <cfRule type="endsWith" dxfId="411" priority="280" operator="endsWith" text="Validé">
      <formula>RIGHT(AV19,LEN("Validé"))="Validé"</formula>
    </cfRule>
  </conditionalFormatting>
  <conditionalFormatting sqref="AV26:AV34">
    <cfRule type="containsText" dxfId="410" priority="85" operator="containsText" text="Non contrôlé">
      <formula>NOT(ISERROR(SEARCH("Non contrôlé",AV26)))</formula>
    </cfRule>
    <cfRule type="containsText" dxfId="409" priority="86" operator="containsText" text="Non validé">
      <formula>NOT(ISERROR(SEARCH("Non validé",AV26)))</formula>
    </cfRule>
    <cfRule type="containsText" dxfId="408" priority="87" operator="containsText" text="réserve">
      <formula>NOT(ISERROR(SEARCH("réserve",AV26)))</formula>
    </cfRule>
    <cfRule type="endsWith" dxfId="407" priority="88" operator="endsWith" text="Validé">
      <formula>RIGHT(AV26,LEN("Validé"))="Validé"</formula>
    </cfRule>
  </conditionalFormatting>
  <conditionalFormatting sqref="AV35">
    <cfRule type="containsText" dxfId="406" priority="89" operator="containsText" text="Non contrôlé">
      <formula>NOT(ISERROR(SEARCH("Non contrôlé",AV35)))</formula>
    </cfRule>
    <cfRule type="containsText" dxfId="405" priority="90" operator="containsText" text="Non validé">
      <formula>NOT(ISERROR(SEARCH("Non validé",AV35)))</formula>
    </cfRule>
    <cfRule type="containsText" dxfId="404" priority="91" operator="containsText" text="réserve">
      <formula>NOT(ISERROR(SEARCH("réserve",AV35)))</formula>
    </cfRule>
    <cfRule type="endsWith" dxfId="403" priority="92" operator="endsWith" text="Validé">
      <formula>RIGHT(AV35,LEN("Validé"))="Validé"</formula>
    </cfRule>
  </conditionalFormatting>
  <conditionalFormatting sqref="AV37">
    <cfRule type="containsText" dxfId="402" priority="213" operator="containsText" text="Non contrôlé">
      <formula>NOT(ISERROR(SEARCH("Non contrôlé",AV37)))</formula>
    </cfRule>
    <cfRule type="containsText" dxfId="401" priority="214" operator="containsText" text="Non validé">
      <formula>NOT(ISERROR(SEARCH("Non validé",AV37)))</formula>
    </cfRule>
    <cfRule type="containsText" dxfId="400" priority="215" operator="containsText" text="réserve">
      <formula>NOT(ISERROR(SEARCH("réserve",AV37)))</formula>
    </cfRule>
    <cfRule type="endsWith" dxfId="399" priority="216" operator="endsWith" text="Validé">
      <formula>RIGHT(AV37,LEN("Validé"))="Validé"</formula>
    </cfRule>
  </conditionalFormatting>
  <conditionalFormatting sqref="AW19">
    <cfRule type="cellIs" dxfId="398" priority="16" operator="greaterThanOrEqual">
      <formula>80</formula>
    </cfRule>
    <cfRule type="cellIs" dxfId="397" priority="17" operator="between">
      <formula>70</formula>
      <formula>79</formula>
    </cfRule>
    <cfRule type="cellIs" dxfId="396" priority="18" operator="lessThan">
      <formula>69</formula>
    </cfRule>
  </conditionalFormatting>
  <conditionalFormatting sqref="AW37">
    <cfRule type="cellIs" dxfId="395" priority="1" operator="greaterThanOrEqual">
      <formula>80</formula>
    </cfRule>
    <cfRule type="cellIs" dxfId="394" priority="2" operator="between">
      <formula>70</formula>
      <formula>79</formula>
    </cfRule>
    <cfRule type="cellIs" dxfId="393" priority="3" operator="lessThan">
      <formula>69</formula>
    </cfRule>
  </conditionalFormatting>
  <conditionalFormatting sqref="BA9:BA17">
    <cfRule type="containsText" dxfId="392" priority="73" operator="containsText" text="Non contrôlé">
      <formula>NOT(ISERROR(SEARCH("Non contrôlé",BA9)))</formula>
    </cfRule>
    <cfRule type="containsText" dxfId="391" priority="74" operator="containsText" text="Non validé">
      <formula>NOT(ISERROR(SEARCH("Non validé",BA9)))</formula>
    </cfRule>
    <cfRule type="containsText" dxfId="390" priority="75" operator="containsText" text="réserve">
      <formula>NOT(ISERROR(SEARCH("réserve",BA9)))</formula>
    </cfRule>
    <cfRule type="endsWith" dxfId="389" priority="76" operator="endsWith" text="Validé">
      <formula>RIGHT(BA9,LEN("Validé"))="Validé"</formula>
    </cfRule>
  </conditionalFormatting>
  <conditionalFormatting sqref="BA19">
    <cfRule type="containsText" dxfId="388" priority="285" operator="containsText" text="Non contrôlé">
      <formula>NOT(ISERROR(SEARCH("Non contrôlé",BA19)))</formula>
    </cfRule>
    <cfRule type="containsText" dxfId="387" priority="286" operator="containsText" text="Non validé">
      <formula>NOT(ISERROR(SEARCH("Non validé",BA19)))</formula>
    </cfRule>
    <cfRule type="containsText" dxfId="386" priority="287" operator="containsText" text="réserve">
      <formula>NOT(ISERROR(SEARCH("réserve",BA19)))</formula>
    </cfRule>
    <cfRule type="endsWith" dxfId="385" priority="288" operator="endsWith" text="Validé">
      <formula>RIGHT(BA19,LEN("Validé"))="Validé"</formula>
    </cfRule>
  </conditionalFormatting>
  <conditionalFormatting sqref="BA26:BA34">
    <cfRule type="containsText" dxfId="384" priority="93" operator="containsText" text="Non contrôlé">
      <formula>NOT(ISERROR(SEARCH("Non contrôlé",BA26)))</formula>
    </cfRule>
    <cfRule type="containsText" dxfId="383" priority="94" operator="containsText" text="Non validé">
      <formula>NOT(ISERROR(SEARCH("Non validé",BA26)))</formula>
    </cfRule>
    <cfRule type="containsText" dxfId="382" priority="95" operator="containsText" text="réserve">
      <formula>NOT(ISERROR(SEARCH("réserve",BA26)))</formula>
    </cfRule>
    <cfRule type="endsWith" dxfId="381" priority="96" operator="endsWith" text="Validé">
      <formula>RIGHT(BA26,LEN("Validé"))="Validé"</formula>
    </cfRule>
  </conditionalFormatting>
  <conditionalFormatting sqref="BA35">
    <cfRule type="containsText" dxfId="380" priority="97" operator="containsText" text="Non contrôlé">
      <formula>NOT(ISERROR(SEARCH("Non contrôlé",BA35)))</formula>
    </cfRule>
    <cfRule type="containsText" dxfId="379" priority="98" operator="containsText" text="Non validé">
      <formula>NOT(ISERROR(SEARCH("Non validé",BA35)))</formula>
    </cfRule>
    <cfRule type="containsText" dxfId="378" priority="99" operator="containsText" text="réserve">
      <formula>NOT(ISERROR(SEARCH("réserve",BA35)))</formula>
    </cfRule>
    <cfRule type="endsWith" dxfId="377" priority="100" operator="endsWith" text="Validé">
      <formula>RIGHT(BA35,LEN("Validé"))="Validé"</formula>
    </cfRule>
  </conditionalFormatting>
  <conditionalFormatting sqref="BA37">
    <cfRule type="containsText" dxfId="376" priority="217" operator="containsText" text="Non contrôlé">
      <formula>NOT(ISERROR(SEARCH("Non contrôlé",BA37)))</formula>
    </cfRule>
    <cfRule type="containsText" dxfId="375" priority="218" operator="containsText" text="Non validé">
      <formula>NOT(ISERROR(SEARCH("Non validé",BA37)))</formula>
    </cfRule>
    <cfRule type="containsText" dxfId="374" priority="219" operator="containsText" text="réserve">
      <formula>NOT(ISERROR(SEARCH("réserve",BA37)))</formula>
    </cfRule>
    <cfRule type="endsWith" dxfId="373" priority="220" operator="endsWith" text="Validé">
      <formula>RIGHT(BA37,LEN("Validé"))="Validé"</formula>
    </cfRule>
  </conditionalFormatting>
  <conditionalFormatting sqref="BB19">
    <cfRule type="cellIs" dxfId="372" priority="13" operator="greaterThanOrEqual">
      <formula>80</formula>
    </cfRule>
    <cfRule type="cellIs" dxfId="371" priority="14" operator="between">
      <formula>70</formula>
      <formula>79</formula>
    </cfRule>
    <cfRule type="cellIs" dxfId="370" priority="15" operator="lessThan">
      <formula>69</formula>
    </cfRule>
  </conditionalFormatting>
  <conditionalFormatting sqref="BB37">
    <cfRule type="cellIs" dxfId="369" priority="4" operator="greaterThanOrEqual">
      <formula>80</formula>
    </cfRule>
    <cfRule type="cellIs" dxfId="368" priority="5" operator="between">
      <formula>70</formula>
      <formula>79</formula>
    </cfRule>
    <cfRule type="cellIs" dxfId="367" priority="6" operator="lessThan">
      <formula>69</formula>
    </cfRule>
  </conditionalFormatting>
  <conditionalFormatting sqref="BF9:BF17">
    <cfRule type="containsText" dxfId="366" priority="297" operator="containsText" text="Non contrôlé">
      <formula>NOT(ISERROR(SEARCH("Non contrôlé",BF9)))</formula>
    </cfRule>
    <cfRule type="containsText" dxfId="365" priority="298" operator="containsText" text="Non validé">
      <formula>NOT(ISERROR(SEARCH("Non validé",BF9)))</formula>
    </cfRule>
    <cfRule type="containsText" dxfId="364" priority="299" operator="containsText" text="réserve">
      <formula>NOT(ISERROR(SEARCH("réserve",BF9)))</formula>
    </cfRule>
    <cfRule type="endsWith" dxfId="363" priority="300" operator="endsWith" text="Validé">
      <formula>RIGHT(BF9,LEN("Validé"))="Validé"</formula>
    </cfRule>
  </conditionalFormatting>
  <conditionalFormatting sqref="BF19">
    <cfRule type="containsText" dxfId="362" priority="293" operator="containsText" text="Non contrôlé">
      <formula>NOT(ISERROR(SEARCH("Non contrôlé",BF19)))</formula>
    </cfRule>
    <cfRule type="containsText" dxfId="361" priority="294" operator="containsText" text="Non validé">
      <formula>NOT(ISERROR(SEARCH("Non validé",BF19)))</formula>
    </cfRule>
    <cfRule type="containsText" dxfId="360" priority="295" operator="containsText" text="réserve">
      <formula>NOT(ISERROR(SEARCH("réserve",BF19)))</formula>
    </cfRule>
    <cfRule type="endsWith" dxfId="359" priority="296" operator="endsWith" text="Validé">
      <formula>RIGHT(BF19,LEN("Validé"))="Validé"</formula>
    </cfRule>
  </conditionalFormatting>
  <conditionalFormatting sqref="BF26:BF34">
    <cfRule type="containsText" dxfId="358" priority="81" operator="containsText" text="Non contrôlé">
      <formula>NOT(ISERROR(SEARCH("Non contrôlé",BF26)))</formula>
    </cfRule>
    <cfRule type="containsText" dxfId="357" priority="82" operator="containsText" text="Non validé">
      <formula>NOT(ISERROR(SEARCH("Non validé",BF26)))</formula>
    </cfRule>
    <cfRule type="containsText" dxfId="356" priority="83" operator="containsText" text="réserve">
      <formula>NOT(ISERROR(SEARCH("réserve",BF26)))</formula>
    </cfRule>
    <cfRule type="endsWith" dxfId="355" priority="84" operator="endsWith" text="Validé">
      <formula>RIGHT(BF26,LEN("Validé"))="Validé"</formula>
    </cfRule>
  </conditionalFormatting>
  <conditionalFormatting sqref="BF35">
    <cfRule type="containsText" dxfId="354" priority="301" operator="containsText" text="Non contrôlé">
      <formula>NOT(ISERROR(SEARCH("Non contrôlé",BF35)))</formula>
    </cfRule>
    <cfRule type="containsText" dxfId="353" priority="302" operator="containsText" text="Non validé">
      <formula>NOT(ISERROR(SEARCH("Non validé",BF35)))</formula>
    </cfRule>
    <cfRule type="containsText" dxfId="352" priority="303" operator="containsText" text="réserve">
      <formula>NOT(ISERROR(SEARCH("réserve",BF35)))</formula>
    </cfRule>
    <cfRule type="endsWith" dxfId="351" priority="304" operator="endsWith" text="Validé">
      <formula>RIGHT(BF35,LEN("Validé"))="Validé"</formula>
    </cfRule>
  </conditionalFormatting>
  <conditionalFormatting sqref="BF37">
    <cfRule type="containsText" dxfId="350" priority="289" operator="containsText" text="Non contrôlé">
      <formula>NOT(ISERROR(SEARCH("Non contrôlé",BF37)))</formula>
    </cfRule>
    <cfRule type="containsText" dxfId="349" priority="290" operator="containsText" text="Non validé">
      <formula>NOT(ISERROR(SEARCH("Non validé",BF37)))</formula>
    </cfRule>
    <cfRule type="containsText" dxfId="348" priority="291" operator="containsText" text="réserve">
      <formula>NOT(ISERROR(SEARCH("réserve",BF37)))</formula>
    </cfRule>
    <cfRule type="endsWith" dxfId="347" priority="292" operator="endsWith" text="Validé">
      <formula>RIGHT(BF37,LEN("Validé"))="Validé"</formula>
    </cfRule>
  </conditionalFormatting>
  <conditionalFormatting sqref="BG19">
    <cfRule type="cellIs" dxfId="346" priority="10" operator="greaterThanOrEqual">
      <formula>80</formula>
    </cfRule>
    <cfRule type="cellIs" dxfId="345" priority="11" operator="between">
      <formula>70</formula>
      <formula>79</formula>
    </cfRule>
    <cfRule type="cellIs" dxfId="344" priority="12" operator="lessThan">
      <formula>69</formula>
    </cfRule>
  </conditionalFormatting>
  <conditionalFormatting sqref="BG37">
    <cfRule type="cellIs" dxfId="343" priority="7" operator="greaterThanOrEqual">
      <formula>80</formula>
    </cfRule>
    <cfRule type="cellIs" dxfId="342" priority="8" operator="between">
      <formula>70</formula>
      <formula>79</formula>
    </cfRule>
    <cfRule type="cellIs" dxfId="341" priority="9" operator="lessThan">
      <formula>69</formula>
    </cfRule>
  </conditionalFormatting>
  <dataValidations count="3">
    <dataValidation type="list" allowBlank="1" showInputMessage="1" showErrorMessage="1" sqref="BD6 AY6 AT6 AO6 AJ6 AE6 Z6 U6 P6 K6 A6:C6 F6 A5:U5 Y5:Z5 AD5:BG5 BF37 H19 M19 R19 W19 AB19 AG19 AL19 AQ19 AV19 BA19 BF19 C37 H37 M37 R37 W37 AB37 AG37 AL37 AQ37 AV37 BA37 C19 C3:D3 H3:I3 M3:N3 R3:S3 W3:X3 AB3:AC3 AG3:AH3 BF3:BG3 BA3:BB3 AV3:AW3 AQ3:AR3 AL3:AM3 K23:M23 A23:C23 F23:H23 P23:R23 Z23:AC23 AE23:AH23 AJ23:AM23 AO23:AR23 AT23:AW23 AY23:BB23 BD23:BG23 U23:W23 A22:BG22" xr:uid="{F8F853E0-1CCB-42BC-9DCA-04D97FF15E26}">
      <formula1>#REF!</formula1>
    </dataValidation>
    <dataValidation type="list" allowBlank="1" showInputMessage="1" showErrorMessage="1" sqref="BA25:BA35 C25:C35 W8:W17 BF8:BF17 M25:M35 W25:W35 AB8:AB17 AG8:AG17 AL8:AL17 AQ8:AQ17 AV8:AV17 C8:C17 AB25:AB35 AG25:AG35 AL25:AL35 AQ25:AQ35 AV25:AV35 R25:R35 BF25:BF35 M8:M17 R8:R17 H25:H35 H8:H17 BA8:BA17" xr:uid="{9FAED663-2B8E-426F-9BC2-B34C79D7ACCE}">
      <formula1>INDIRECT(E8)</formula1>
    </dataValidation>
    <dataValidation type="list" allowBlank="1" showInputMessage="1" showErrorMessage="1" sqref="H20 M20 C20" xr:uid="{CF53689E-EB96-484D-81B1-A1CC8D2A5649}">
      <formula1>INDIRECT("LISTE_4")</formula1>
    </dataValidation>
  </dataValidation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1B69-B922-4917-916F-3BAAD92DCF7A}">
  <sheetPr codeName="Feuil16">
    <tabColor rgb="FF00B0AC"/>
    <pageSetUpPr fitToPage="1"/>
  </sheetPr>
  <dimension ref="A1:V126"/>
  <sheetViews>
    <sheetView zoomScaleNormal="100" zoomScaleSheetLayoutView="100" workbookViewId="0">
      <selection activeCell="B22" sqref="B22:C23"/>
    </sheetView>
  </sheetViews>
  <sheetFormatPr baseColWidth="10" defaultColWidth="0" defaultRowHeight="12.7" zeroHeight="1" x14ac:dyDescent="0.4"/>
  <cols>
    <col min="1" max="1" width="2.703125" style="13" customWidth="1"/>
    <col min="2" max="2" width="13.87890625" style="13" customWidth="1"/>
    <col min="3" max="3" width="8.29296875" style="13" customWidth="1"/>
    <col min="4" max="4" width="14.29296875" style="13" customWidth="1"/>
    <col min="5" max="5" width="3.87890625" style="13" customWidth="1"/>
    <col min="6" max="6" width="14.29296875" style="13" customWidth="1"/>
    <col min="7" max="7" width="3.87890625" style="13" customWidth="1"/>
    <col min="8" max="8" width="9.5859375" style="13" customWidth="1"/>
    <col min="9" max="9" width="9.29296875" style="13" customWidth="1"/>
    <col min="10" max="10" width="16" style="13" customWidth="1"/>
    <col min="11" max="11" width="3.87890625" style="13" customWidth="1"/>
    <col min="12" max="12" width="14.29296875" style="13" customWidth="1"/>
    <col min="13" max="13" width="3.87890625" style="13" customWidth="1"/>
    <col min="14" max="14" width="7.1171875" style="13" customWidth="1"/>
    <col min="15" max="15" width="8.41015625" style="13" customWidth="1"/>
    <col min="16" max="16" width="17.41015625" style="13" customWidth="1"/>
    <col min="17" max="17" width="3.87890625" style="13" customWidth="1"/>
    <col min="18" max="18" width="14.29296875" style="13" customWidth="1"/>
    <col min="19" max="19" width="3.87890625" style="13" customWidth="1"/>
    <col min="20" max="20" width="6.703125" style="13" customWidth="1"/>
    <col min="21" max="21" width="8.41015625" style="13" customWidth="1"/>
    <col min="22" max="22" width="2.703125" style="13" customWidth="1"/>
    <col min="23" max="23" width="11.41015625" style="14" hidden="1" customWidth="1"/>
    <col min="24" max="16384" width="11.41015625" style="14" hidden="1"/>
  </cols>
  <sheetData>
    <row r="1" spans="1:22" ht="9.9499999999999993" customHeight="1" thickBot="1" x14ac:dyDescent="0.45">
      <c r="A1" s="249"/>
      <c r="B1" s="249"/>
      <c r="C1" s="249"/>
      <c r="D1" s="249"/>
      <c r="E1" s="249"/>
      <c r="F1" s="249"/>
      <c r="G1" s="249"/>
      <c r="H1" s="249"/>
      <c r="I1" s="249"/>
      <c r="J1" s="249"/>
      <c r="K1" s="249"/>
      <c r="L1" s="249"/>
      <c r="M1" s="249"/>
      <c r="N1" s="249"/>
      <c r="O1" s="249"/>
      <c r="P1" s="249"/>
      <c r="Q1" s="249"/>
      <c r="R1" s="249"/>
      <c r="S1" s="249"/>
      <c r="T1" s="249"/>
      <c r="U1" s="249"/>
      <c r="V1" s="249"/>
    </row>
    <row r="2" spans="1:22" ht="15.7" thickBot="1" x14ac:dyDescent="0.45">
      <c r="A2" s="249"/>
      <c r="B2" s="842" t="s">
        <v>123</v>
      </c>
      <c r="C2" s="843"/>
      <c r="D2" s="843"/>
      <c r="E2" s="843"/>
      <c r="F2" s="843"/>
      <c r="G2" s="843"/>
      <c r="H2" s="843"/>
      <c r="I2" s="843"/>
      <c r="J2" s="843"/>
      <c r="K2" s="843"/>
      <c r="L2" s="843"/>
      <c r="M2" s="843"/>
      <c r="N2" s="843"/>
      <c r="O2" s="843"/>
      <c r="P2" s="843"/>
      <c r="Q2" s="843"/>
      <c r="R2" s="843"/>
      <c r="S2" s="843"/>
      <c r="T2" s="843"/>
      <c r="U2" s="844"/>
      <c r="V2" s="249"/>
    </row>
    <row r="3" spans="1:22" ht="16.5" customHeight="1" x14ac:dyDescent="0.4">
      <c r="A3" s="249"/>
      <c r="B3" s="845" t="s">
        <v>67</v>
      </c>
      <c r="C3" s="846"/>
      <c r="D3" s="846"/>
      <c r="E3" s="846"/>
      <c r="F3" s="846"/>
      <c r="G3" s="846"/>
      <c r="H3" s="846"/>
      <c r="I3" s="846"/>
      <c r="J3" s="847" t="str">
        <f>IF([2]SYNTHESE_SCL!P6="","",[2]SYNTHESE_SCL!P6)</f>
        <v/>
      </c>
      <c r="K3" s="847"/>
      <c r="L3" s="847"/>
      <c r="M3" s="847"/>
      <c r="N3" s="847"/>
      <c r="O3" s="847"/>
      <c r="P3" s="847"/>
      <c r="Q3" s="847"/>
      <c r="R3" s="847"/>
      <c r="S3" s="847"/>
      <c r="T3" s="847"/>
      <c r="U3" s="848"/>
      <c r="V3" s="249"/>
    </row>
    <row r="4" spans="1:22" ht="16.5" customHeight="1" thickBot="1" x14ac:dyDescent="0.45">
      <c r="A4" s="249"/>
      <c r="B4" s="849" t="s">
        <v>68</v>
      </c>
      <c r="C4" s="850"/>
      <c r="D4" s="850"/>
      <c r="E4" s="850"/>
      <c r="F4" s="850"/>
      <c r="G4" s="850"/>
      <c r="H4" s="850"/>
      <c r="I4" s="850"/>
      <c r="J4" s="851" t="str">
        <f>IF([2]SYNTHESE_SCL!E6="","",[2]SYNTHESE_SCL!E6)</f>
        <v/>
      </c>
      <c r="K4" s="851"/>
      <c r="L4" s="851"/>
      <c r="M4" s="851"/>
      <c r="N4" s="851"/>
      <c r="O4" s="851"/>
      <c r="P4" s="851"/>
      <c r="Q4" s="851"/>
      <c r="R4" s="851"/>
      <c r="S4" s="851"/>
      <c r="T4" s="851"/>
      <c r="U4" s="852"/>
      <c r="V4" s="249"/>
    </row>
    <row r="5" spans="1:22" ht="9.9499999999999993" customHeight="1" x14ac:dyDescent="0.4">
      <c r="A5" s="249"/>
      <c r="B5" s="243"/>
      <c r="C5" s="243"/>
      <c r="D5" s="243"/>
      <c r="E5" s="243"/>
      <c r="F5" s="243"/>
      <c r="G5" s="243"/>
      <c r="H5" s="243"/>
      <c r="I5" s="243"/>
      <c r="J5" s="244"/>
      <c r="K5" s="244"/>
      <c r="L5" s="244"/>
      <c r="M5" s="244"/>
      <c r="N5" s="244"/>
      <c r="O5" s="244"/>
      <c r="P5" s="244"/>
      <c r="Q5" s="244"/>
      <c r="R5" s="244"/>
      <c r="S5" s="244"/>
      <c r="T5" s="244"/>
      <c r="U5" s="244"/>
      <c r="V5" s="249"/>
    </row>
    <row r="6" spans="1:22" ht="16" thickBot="1" x14ac:dyDescent="0.45">
      <c r="A6" s="249"/>
      <c r="B6" s="853" t="s">
        <v>69</v>
      </c>
      <c r="C6" s="853"/>
      <c r="D6" s="853"/>
      <c r="E6" s="853"/>
      <c r="F6" s="853"/>
      <c r="G6" s="853"/>
      <c r="H6" s="853"/>
      <c r="I6" s="853"/>
      <c r="J6" s="853"/>
      <c r="K6" s="853"/>
      <c r="L6" s="853"/>
      <c r="M6" s="853"/>
      <c r="N6" s="853"/>
      <c r="O6" s="853"/>
      <c r="P6" s="853"/>
      <c r="Q6" s="40"/>
      <c r="R6" s="854" t="s">
        <v>70</v>
      </c>
      <c r="S6" s="854"/>
      <c r="T6" s="269"/>
      <c r="U6" s="140" t="s">
        <v>238</v>
      </c>
      <c r="V6" s="249"/>
    </row>
    <row r="7" spans="1:22" ht="15" customHeight="1" thickBot="1" x14ac:dyDescent="0.45">
      <c r="A7" s="249"/>
      <c r="B7" s="270" t="s">
        <v>26</v>
      </c>
      <c r="C7" s="271"/>
      <c r="D7" s="272"/>
      <c r="E7" s="272"/>
      <c r="F7" s="272"/>
      <c r="G7" s="272"/>
      <c r="H7" s="272"/>
      <c r="I7" s="272"/>
      <c r="J7" s="272"/>
      <c r="K7" s="272"/>
      <c r="L7" s="272"/>
      <c r="M7" s="272"/>
      <c r="N7" s="273" t="s">
        <v>71</v>
      </c>
      <c r="O7" s="274"/>
      <c r="P7" s="144"/>
      <c r="Q7" s="249"/>
      <c r="R7" s="855" t="str">
        <f>IF(P7="","",IF(P7="Non validé",0.1,0))</f>
        <v/>
      </c>
      <c r="S7" s="856"/>
      <c r="T7" s="249"/>
      <c r="U7" s="140"/>
      <c r="V7" s="249"/>
    </row>
    <row r="8" spans="1:22" ht="15" customHeight="1" thickBot="1" x14ac:dyDescent="0.45">
      <c r="A8" s="249"/>
      <c r="B8" s="275"/>
      <c r="C8" s="275"/>
      <c r="D8" s="249"/>
      <c r="E8" s="249"/>
      <c r="F8" s="249"/>
      <c r="G8" s="249"/>
      <c r="H8" s="249"/>
      <c r="I8" s="249"/>
      <c r="J8" s="249"/>
      <c r="K8" s="249"/>
      <c r="L8" s="249"/>
      <c r="M8" s="249"/>
      <c r="N8" s="249"/>
      <c r="O8" s="249"/>
      <c r="P8" s="249"/>
      <c r="Q8" s="249"/>
      <c r="R8" s="249"/>
      <c r="S8" s="249"/>
      <c r="T8" s="249"/>
      <c r="U8" s="140"/>
      <c r="V8" s="249"/>
    </row>
    <row r="9" spans="1:22" ht="15" customHeight="1" x14ac:dyDescent="0.4">
      <c r="A9" s="249"/>
      <c r="B9" s="275"/>
      <c r="C9" s="275"/>
      <c r="D9" s="249"/>
      <c r="E9" s="249"/>
      <c r="F9" s="276"/>
      <c r="G9" s="276"/>
      <c r="H9" s="276"/>
      <c r="I9" s="276"/>
      <c r="J9" s="276"/>
      <c r="K9" s="276"/>
      <c r="L9" s="276"/>
      <c r="M9" s="276"/>
      <c r="N9" s="277" t="s">
        <v>72</v>
      </c>
      <c r="O9" s="274"/>
      <c r="P9" s="145"/>
      <c r="Q9" s="249"/>
      <c r="R9" s="857" t="str">
        <f>IF(P9="","",IF(P9="Non validé",0.1,0))</f>
        <v/>
      </c>
      <c r="S9" s="857"/>
      <c r="T9" s="249"/>
      <c r="U9" s="140"/>
      <c r="V9" s="249"/>
    </row>
    <row r="10" spans="1:22" ht="15" customHeight="1" x14ac:dyDescent="0.4">
      <c r="A10" s="249"/>
      <c r="B10" s="275"/>
      <c r="C10" s="275"/>
      <c r="D10" s="249"/>
      <c r="E10" s="249"/>
      <c r="F10" s="249"/>
      <c r="G10" s="249"/>
      <c r="H10" s="249"/>
      <c r="I10" s="249"/>
      <c r="J10" s="249"/>
      <c r="K10" s="249"/>
      <c r="L10" s="249"/>
      <c r="M10" s="249"/>
      <c r="N10" s="277" t="s">
        <v>73</v>
      </c>
      <c r="O10" s="274"/>
      <c r="P10" s="146"/>
      <c r="Q10" s="249"/>
      <c r="R10" s="857" t="str">
        <f>IF(P10="","",IF(P10="Non validé",0.1,0))</f>
        <v/>
      </c>
      <c r="S10" s="857"/>
      <c r="T10" s="249"/>
      <c r="U10" s="140" t="s">
        <v>239</v>
      </c>
      <c r="V10" s="249"/>
    </row>
    <row r="11" spans="1:22" ht="17.25" customHeight="1" thickBot="1" x14ac:dyDescent="0.45">
      <c r="A11" s="249"/>
      <c r="B11" s="275"/>
      <c r="C11" s="275"/>
      <c r="D11" s="858" t="s">
        <v>74</v>
      </c>
      <c r="E11" s="858"/>
      <c r="F11" s="858"/>
      <c r="G11" s="858"/>
      <c r="H11" s="858"/>
      <c r="I11" s="858"/>
      <c r="J11" s="858"/>
      <c r="K11" s="858"/>
      <c r="L11" s="858"/>
      <c r="M11" s="858"/>
      <c r="N11" s="858"/>
      <c r="O11" s="274"/>
      <c r="P11" s="147"/>
      <c r="Q11" s="249"/>
      <c r="R11" s="857" t="str">
        <f>IF(P11="","",IF(P11="Non validé",0.1,0))</f>
        <v/>
      </c>
      <c r="S11" s="857"/>
      <c r="T11" s="249"/>
      <c r="U11" s="140"/>
      <c r="V11" s="249"/>
    </row>
    <row r="12" spans="1:22" ht="14.25" customHeight="1" x14ac:dyDescent="0.4">
      <c r="A12" s="249"/>
      <c r="B12" s="275"/>
      <c r="C12" s="275"/>
      <c r="D12" s="858"/>
      <c r="E12" s="858"/>
      <c r="F12" s="858"/>
      <c r="G12" s="858"/>
      <c r="H12" s="858"/>
      <c r="I12" s="858"/>
      <c r="J12" s="858"/>
      <c r="K12" s="858"/>
      <c r="L12" s="858"/>
      <c r="M12" s="858"/>
      <c r="N12" s="858"/>
      <c r="O12" s="274"/>
      <c r="P12" s="274"/>
      <c r="Q12" s="274"/>
      <c r="R12" s="278"/>
      <c r="S12" s="278"/>
      <c r="T12" s="249"/>
      <c r="U12" s="140"/>
      <c r="V12" s="249"/>
    </row>
    <row r="13" spans="1:22" s="13" customFormat="1" ht="15" customHeight="1" x14ac:dyDescent="0.4">
      <c r="A13" s="249"/>
      <c r="B13" s="249"/>
      <c r="C13" s="249"/>
      <c r="D13" s="249"/>
      <c r="E13" s="249"/>
      <c r="F13" s="249"/>
      <c r="G13" s="249"/>
      <c r="H13" s="249"/>
      <c r="I13" s="249"/>
      <c r="J13" s="279" t="s">
        <v>75</v>
      </c>
      <c r="K13" s="249"/>
      <c r="L13" s="249"/>
      <c r="M13" s="249"/>
      <c r="N13" s="249"/>
      <c r="O13" s="249"/>
      <c r="P13" s="249"/>
      <c r="Q13" s="280"/>
      <c r="R13" s="281"/>
      <c r="S13" s="278"/>
      <c r="T13" s="249"/>
      <c r="U13" s="140"/>
      <c r="V13" s="249"/>
    </row>
    <row r="14" spans="1:22" s="13" customFormat="1" ht="15" customHeight="1" x14ac:dyDescent="0.4">
      <c r="A14" s="249"/>
      <c r="B14" s="249"/>
      <c r="C14" s="249"/>
      <c r="D14" s="249"/>
      <c r="E14" s="249"/>
      <c r="F14" s="249"/>
      <c r="G14" s="249"/>
      <c r="H14" s="249"/>
      <c r="I14" s="249"/>
      <c r="J14" s="833"/>
      <c r="K14" s="834"/>
      <c r="L14" s="834"/>
      <c r="M14" s="834"/>
      <c r="N14" s="834"/>
      <c r="O14" s="834"/>
      <c r="P14" s="834"/>
      <c r="Q14" s="834"/>
      <c r="R14" s="834"/>
      <c r="S14" s="835"/>
      <c r="T14" s="249"/>
      <c r="U14" s="140"/>
      <c r="V14" s="249"/>
    </row>
    <row r="15" spans="1:22" s="13" customFormat="1" ht="15" customHeight="1" x14ac:dyDescent="0.4">
      <c r="A15" s="249"/>
      <c r="B15" s="249"/>
      <c r="C15" s="249"/>
      <c r="D15" s="249"/>
      <c r="E15" s="249"/>
      <c r="F15" s="249"/>
      <c r="G15" s="249"/>
      <c r="H15" s="249"/>
      <c r="I15" s="249"/>
      <c r="J15" s="836"/>
      <c r="K15" s="837"/>
      <c r="L15" s="837"/>
      <c r="M15" s="837"/>
      <c r="N15" s="837"/>
      <c r="O15" s="837"/>
      <c r="P15" s="837"/>
      <c r="Q15" s="837"/>
      <c r="R15" s="837"/>
      <c r="S15" s="838"/>
      <c r="T15" s="249"/>
      <c r="U15" s="140"/>
      <c r="V15" s="249"/>
    </row>
    <row r="16" spans="1:22" s="13" customFormat="1" ht="15" customHeight="1" x14ac:dyDescent="0.4">
      <c r="A16" s="249"/>
      <c r="B16" s="249"/>
      <c r="C16" s="249"/>
      <c r="D16" s="249"/>
      <c r="E16" s="249"/>
      <c r="F16" s="249"/>
      <c r="G16" s="249"/>
      <c r="H16" s="249"/>
      <c r="I16" s="249"/>
      <c r="J16" s="836"/>
      <c r="K16" s="837"/>
      <c r="L16" s="837"/>
      <c r="M16" s="837"/>
      <c r="N16" s="837"/>
      <c r="O16" s="837"/>
      <c r="P16" s="837"/>
      <c r="Q16" s="837"/>
      <c r="R16" s="837"/>
      <c r="S16" s="838"/>
      <c r="T16" s="249"/>
      <c r="U16" s="140"/>
      <c r="V16" s="249"/>
    </row>
    <row r="17" spans="1:22" s="13" customFormat="1" ht="15" customHeight="1" x14ac:dyDescent="0.4">
      <c r="A17" s="249"/>
      <c r="B17" s="249"/>
      <c r="C17" s="249"/>
      <c r="D17" s="249"/>
      <c r="E17" s="249"/>
      <c r="F17" s="249"/>
      <c r="G17" s="249"/>
      <c r="H17" s="249"/>
      <c r="I17" s="249"/>
      <c r="J17" s="839"/>
      <c r="K17" s="840"/>
      <c r="L17" s="840"/>
      <c r="M17" s="840"/>
      <c r="N17" s="840"/>
      <c r="O17" s="840"/>
      <c r="P17" s="840"/>
      <c r="Q17" s="840"/>
      <c r="R17" s="840"/>
      <c r="S17" s="841"/>
      <c r="T17" s="249"/>
      <c r="U17" s="140"/>
      <c r="V17" s="249"/>
    </row>
    <row r="18" spans="1:22" ht="15" customHeight="1" x14ac:dyDescent="0.4">
      <c r="A18" s="249"/>
      <c r="B18" s="249"/>
      <c r="C18" s="275"/>
      <c r="D18" s="249"/>
      <c r="E18" s="249"/>
      <c r="F18" s="249"/>
      <c r="G18" s="249"/>
      <c r="H18" s="249"/>
      <c r="I18" s="249"/>
      <c r="J18" s="249"/>
      <c r="K18" s="249"/>
      <c r="L18" s="249"/>
      <c r="M18" s="249"/>
      <c r="N18" s="282"/>
      <c r="O18" s="249"/>
      <c r="P18" s="283"/>
      <c r="Q18" s="249"/>
      <c r="R18" s="250"/>
      <c r="S18" s="250"/>
      <c r="T18" s="263"/>
      <c r="U18" s="140"/>
      <c r="V18" s="249"/>
    </row>
    <row r="19" spans="1:22" ht="15" customHeight="1" x14ac:dyDescent="0.4">
      <c r="A19" s="249"/>
      <c r="B19" s="284" t="s">
        <v>76</v>
      </c>
      <c r="C19" s="275"/>
      <c r="D19" s="249"/>
      <c r="E19" s="249"/>
      <c r="F19" s="249"/>
      <c r="G19" s="249"/>
      <c r="H19" s="249"/>
      <c r="I19" s="249"/>
      <c r="J19" s="249"/>
      <c r="K19" s="249"/>
      <c r="L19" s="249"/>
      <c r="M19" s="249"/>
      <c r="N19" s="282"/>
      <c r="O19" s="249"/>
      <c r="P19" s="283"/>
      <c r="Q19" s="249"/>
      <c r="R19" s="250"/>
      <c r="S19" s="250"/>
      <c r="T19" s="263"/>
      <c r="U19" s="140"/>
      <c r="V19" s="249"/>
    </row>
    <row r="20" spans="1:22" ht="15.75" customHeight="1" x14ac:dyDescent="0.4">
      <c r="A20" s="249"/>
      <c r="B20" s="853" t="s">
        <v>77</v>
      </c>
      <c r="C20" s="853"/>
      <c r="D20" s="853"/>
      <c r="E20" s="853"/>
      <c r="F20" s="853"/>
      <c r="G20" s="853"/>
      <c r="H20" s="853"/>
      <c r="I20" s="853"/>
      <c r="J20" s="853"/>
      <c r="K20" s="853"/>
      <c r="L20" s="853"/>
      <c r="M20" s="853"/>
      <c r="N20" s="853"/>
      <c r="O20" s="853"/>
      <c r="P20" s="853"/>
      <c r="Q20" s="40"/>
      <c r="R20" s="859"/>
      <c r="S20" s="859"/>
      <c r="T20" s="249"/>
      <c r="U20" s="140"/>
      <c r="V20" s="249"/>
    </row>
    <row r="21" spans="1:22" s="140" customFormat="1" ht="15.75" customHeight="1" x14ac:dyDescent="0.4">
      <c r="A21" s="249"/>
      <c r="B21" s="285"/>
      <c r="C21" s="285"/>
      <c r="D21" s="249"/>
      <c r="E21" s="249"/>
      <c r="F21" s="249"/>
      <c r="G21" s="249"/>
      <c r="H21" s="286"/>
      <c r="I21" s="286"/>
      <c r="J21" s="249"/>
      <c r="K21" s="249"/>
      <c r="L21" s="249"/>
      <c r="M21" s="249"/>
      <c r="N21" s="249"/>
      <c r="O21" s="249"/>
      <c r="P21" s="287"/>
      <c r="Q21" s="287"/>
      <c r="R21" s="287"/>
      <c r="S21" s="249"/>
      <c r="T21" s="249"/>
      <c r="U21" s="249"/>
      <c r="V21" s="249"/>
    </row>
    <row r="22" spans="1:22" s="140" customFormat="1" ht="15" customHeight="1" x14ac:dyDescent="0.4">
      <c r="A22" s="249"/>
      <c r="B22" s="860" t="s">
        <v>241</v>
      </c>
      <c r="C22" s="860"/>
      <c r="D22" s="862" t="s">
        <v>79</v>
      </c>
      <c r="E22" s="249"/>
      <c r="F22" s="864" t="s">
        <v>80</v>
      </c>
      <c r="G22" s="249"/>
      <c r="H22" s="286"/>
      <c r="I22" s="286"/>
      <c r="J22" s="865" t="s">
        <v>78</v>
      </c>
      <c r="K22" s="866"/>
      <c r="L22" s="867"/>
      <c r="M22" s="865" t="s">
        <v>79</v>
      </c>
      <c r="N22" s="867"/>
      <c r="O22" s="249"/>
      <c r="P22" s="864" t="s">
        <v>80</v>
      </c>
      <c r="Q22" s="287"/>
      <c r="R22" s="249"/>
      <c r="S22" s="249"/>
      <c r="T22" s="249"/>
      <c r="U22" s="249"/>
      <c r="V22" s="249"/>
    </row>
    <row r="23" spans="1:22" s="140" customFormat="1" ht="11.25" customHeight="1" x14ac:dyDescent="0.4">
      <c r="A23" s="249"/>
      <c r="B23" s="861"/>
      <c r="C23" s="861"/>
      <c r="D23" s="863"/>
      <c r="E23" s="249"/>
      <c r="F23" s="864"/>
      <c r="G23" s="249"/>
      <c r="H23" s="286"/>
      <c r="I23" s="286"/>
      <c r="J23" s="868"/>
      <c r="K23" s="869"/>
      <c r="L23" s="870"/>
      <c r="M23" s="868"/>
      <c r="N23" s="870"/>
      <c r="O23" s="249"/>
      <c r="P23" s="864"/>
      <c r="Q23" s="287"/>
      <c r="R23" s="249"/>
      <c r="S23" s="249"/>
      <c r="T23" s="249"/>
      <c r="U23" s="249"/>
      <c r="V23" s="249"/>
    </row>
    <row r="24" spans="1:22" s="140" customFormat="1" ht="13.5" customHeight="1" x14ac:dyDescent="0.4">
      <c r="A24" s="249"/>
      <c r="B24" s="141" t="s">
        <v>29</v>
      </c>
      <c r="C24" s="149"/>
      <c r="D24" s="257" t="e">
        <f>IF(C24="Oui",10,IF(#REF!=0,"",ROUND(#REF!/#REF!*10,1)))</f>
        <v>#REF!</v>
      </c>
      <c r="E24" s="142" t="s">
        <v>81</v>
      </c>
      <c r="F24" s="259" t="str">
        <f>IFERROR(IF(#REF!&gt;=0,D24*(1-SUM($R$7:$S$11))*10,100),"")</f>
        <v/>
      </c>
      <c r="G24" s="249"/>
      <c r="H24" s="286"/>
      <c r="I24" s="286"/>
      <c r="J24" s="871" t="s">
        <v>49</v>
      </c>
      <c r="K24" s="872"/>
      <c r="L24" s="148"/>
      <c r="M24" s="873" t="e">
        <f>IF(L24="Oui",10,IF(#REF!=0,"",ROUND(#REF!/#REF!*10,1)))</f>
        <v>#REF!</v>
      </c>
      <c r="N24" s="873"/>
      <c r="O24" s="142" t="s">
        <v>81</v>
      </c>
      <c r="P24" s="259" t="str">
        <f>IFERROR(IF(#REF!&gt;=0,M24*(1-SUM($R$7:$R$11))*10,100),"")</f>
        <v/>
      </c>
      <c r="Q24" s="287"/>
      <c r="R24" s="249"/>
      <c r="S24" s="249"/>
      <c r="T24" s="249"/>
      <c r="U24" s="249"/>
      <c r="V24" s="249"/>
    </row>
    <row r="25" spans="1:22" s="13" customFormat="1" ht="13.5" customHeight="1" x14ac:dyDescent="0.4">
      <c r="A25" s="249"/>
      <c r="B25" s="143" t="s">
        <v>30</v>
      </c>
      <c r="C25" s="148"/>
      <c r="D25" s="260" t="e">
        <f>IF(C25="Oui",10,IF(#REF!=0,"",ROUND(#REF!/#REF!*10,1)))</f>
        <v>#REF!</v>
      </c>
      <c r="E25" s="142" t="s">
        <v>81</v>
      </c>
      <c r="F25" s="259" t="str">
        <f>IFERROR(IF(#REF!&gt;=0,D25*(1-SUM($R$7:$R$11))*10,100),"")</f>
        <v/>
      </c>
      <c r="G25" s="249"/>
      <c r="H25" s="286"/>
      <c r="I25" s="286"/>
      <c r="J25" s="874" t="s">
        <v>50</v>
      </c>
      <c r="K25" s="875"/>
      <c r="L25" s="148"/>
      <c r="M25" s="873" t="e">
        <f>IF(L25="Oui",10,IF(#REF!=0,"",ROUND(#REF!/#REF!*10,1)))</f>
        <v>#REF!</v>
      </c>
      <c r="N25" s="873"/>
      <c r="O25" s="142" t="s">
        <v>81</v>
      </c>
      <c r="P25" s="259" t="str">
        <f>IFERROR(IF(#REF!&gt;=0,M25*(1-SUM($R$7:$R$11))*10,100),"")</f>
        <v/>
      </c>
      <c r="Q25" s="287"/>
      <c r="R25" s="249"/>
      <c r="S25" s="249"/>
      <c r="T25" s="249"/>
      <c r="U25" s="249"/>
      <c r="V25" s="249"/>
    </row>
    <row r="26" spans="1:22" s="13" customFormat="1" ht="13.5" customHeight="1" x14ac:dyDescent="0.4">
      <c r="A26" s="249"/>
      <c r="B26" s="143" t="s">
        <v>31</v>
      </c>
      <c r="C26" s="148"/>
      <c r="D26" s="260" t="e">
        <f>IF(C26="Oui",10,IF(#REF!=0,"",ROUND(#REF!/#REF!*10,1)))</f>
        <v>#REF!</v>
      </c>
      <c r="E26" s="142" t="s">
        <v>81</v>
      </c>
      <c r="F26" s="259" t="str">
        <f>IFERROR(IF(#REF!&gt;=0,D26*(1-SUM($R$7:$R$11))*10,100),"")</f>
        <v/>
      </c>
      <c r="G26" s="249"/>
      <c r="H26" s="286"/>
      <c r="I26" s="286"/>
      <c r="J26" s="874" t="s">
        <v>51</v>
      </c>
      <c r="K26" s="875"/>
      <c r="L26" s="148"/>
      <c r="M26" s="873" t="e">
        <f>IF(L26="Oui",10,IF(#REF!=0,"",ROUND(#REF!/#REF!*10,1)))</f>
        <v>#REF!</v>
      </c>
      <c r="N26" s="873"/>
      <c r="O26" s="142" t="s">
        <v>81</v>
      </c>
      <c r="P26" s="259" t="str">
        <f>IFERROR(IF(#REF!&gt;=0,M26*(1-SUM($R$7:$R$11))*10,100),"")</f>
        <v/>
      </c>
      <c r="Q26" s="287"/>
      <c r="R26" s="249"/>
      <c r="S26" s="249"/>
      <c r="T26" s="249"/>
      <c r="U26" s="249"/>
      <c r="V26" s="249"/>
    </row>
    <row r="27" spans="1:22" s="13" customFormat="1" ht="13.5" customHeight="1" x14ac:dyDescent="0.4">
      <c r="A27" s="249"/>
      <c r="B27" s="143" t="s">
        <v>46</v>
      </c>
      <c r="C27" s="148"/>
      <c r="D27" s="260" t="e">
        <f>IF(C27="Oui",10,IF(#REF!=0,"",ROUND(#REF!/#REF!*10,1)))</f>
        <v>#REF!</v>
      </c>
      <c r="E27" s="142" t="s">
        <v>81</v>
      </c>
      <c r="F27" s="259" t="str">
        <f>IFERROR(IF(#REF!&gt;=0,D27*(1-SUM($R$7:$R$11))*10,100),"")</f>
        <v/>
      </c>
      <c r="G27" s="249"/>
      <c r="H27" s="286"/>
      <c r="I27" s="286"/>
      <c r="J27" s="874" t="s">
        <v>52</v>
      </c>
      <c r="K27" s="875"/>
      <c r="L27" s="148"/>
      <c r="M27" s="873" t="e">
        <f>IF(L27="Oui",10,IF(#REF!=0,"",ROUND(#REF!/#REF!*10,1)))</f>
        <v>#REF!</v>
      </c>
      <c r="N27" s="873"/>
      <c r="O27" s="142" t="s">
        <v>81</v>
      </c>
      <c r="P27" s="259" t="str">
        <f>IFERROR(IF(#REF!&gt;=0,M27*(1-SUM($R$7:$R$11))*10,100),"")</f>
        <v/>
      </c>
      <c r="Q27" s="287"/>
      <c r="R27" s="249"/>
      <c r="S27" s="249"/>
      <c r="T27" s="249"/>
      <c r="U27" s="249"/>
      <c r="V27" s="249"/>
    </row>
    <row r="28" spans="1:22" ht="13.5" customHeight="1" x14ac:dyDescent="0.4">
      <c r="A28" s="249"/>
      <c r="B28" s="143" t="s">
        <v>47</v>
      </c>
      <c r="C28" s="148"/>
      <c r="D28" s="260" t="e">
        <f>IF(C28="Oui",10,IF(#REF!=0,"",ROUND(#REF!/#REF!*10,1)))</f>
        <v>#REF!</v>
      </c>
      <c r="E28" s="142" t="s">
        <v>81</v>
      </c>
      <c r="F28" s="259" t="str">
        <f>IFERROR(IF(#REF!&gt;=0,D28*(1-SUM($R$7:$R$11))*10,100),"")</f>
        <v/>
      </c>
      <c r="G28" s="249"/>
      <c r="H28" s="286"/>
      <c r="I28" s="286"/>
      <c r="J28" s="874" t="s">
        <v>53</v>
      </c>
      <c r="K28" s="875"/>
      <c r="L28" s="148"/>
      <c r="M28" s="873" t="e">
        <f>IF(L28="Oui",10,IF(#REF!=0,"",ROUND(#REF!/#REF!*10,1)))</f>
        <v>#REF!</v>
      </c>
      <c r="N28" s="873"/>
      <c r="O28" s="142" t="s">
        <v>81</v>
      </c>
      <c r="P28" s="259" t="str">
        <f>IFERROR(IF(#REF!&gt;=0,M28*(1-SUM($R$7:$R$11))*10,100),"")</f>
        <v/>
      </c>
      <c r="Q28" s="287"/>
      <c r="R28" s="249"/>
      <c r="S28" s="249"/>
      <c r="T28" s="249"/>
      <c r="U28" s="249"/>
      <c r="V28" s="249"/>
    </row>
    <row r="29" spans="1:22" s="13" customFormat="1" ht="13.5" customHeight="1" x14ac:dyDescent="0.4">
      <c r="A29" s="249"/>
      <c r="B29" s="143" t="s">
        <v>48</v>
      </c>
      <c r="C29" s="148"/>
      <c r="D29" s="260" t="e">
        <f>IF(C29="Oui",10,IF(#REF!=0,"",ROUND(#REF!/#REF!*10,1)))</f>
        <v>#REF!</v>
      </c>
      <c r="E29" s="142" t="s">
        <v>81</v>
      </c>
      <c r="F29" s="259" t="str">
        <f>IFERROR(IF(#REF!&gt;=0,D29*(1-SUM($R$7:$R$11))*10,100),"")</f>
        <v/>
      </c>
      <c r="G29" s="249"/>
      <c r="H29" s="249"/>
      <c r="I29" s="249"/>
      <c r="J29" s="874" t="s">
        <v>54</v>
      </c>
      <c r="K29" s="875"/>
      <c r="L29" s="148"/>
      <c r="M29" s="873" t="e">
        <f>IF(L29="Oui",10,IF(#REF!=0,"",ROUND(#REF!/#REF!*10,1)))</f>
        <v>#REF!</v>
      </c>
      <c r="N29" s="873"/>
      <c r="O29" s="142" t="s">
        <v>81</v>
      </c>
      <c r="P29" s="259" t="str">
        <f>IFERROR(IF(#REF!&gt;=0,M29*(1-SUM($R$7:$R$11))*10,100),"")</f>
        <v/>
      </c>
      <c r="Q29" s="287"/>
      <c r="R29" s="249"/>
      <c r="S29" s="249"/>
      <c r="T29" s="249"/>
      <c r="U29" s="249"/>
      <c r="V29" s="249"/>
    </row>
    <row r="30" spans="1:22" s="13" customFormat="1" ht="13.5" customHeight="1" x14ac:dyDescent="0.4">
      <c r="A30" s="249"/>
      <c r="B30" s="249"/>
      <c r="C30" s="249"/>
      <c r="D30" s="249"/>
      <c r="E30" s="249"/>
      <c r="F30" s="249"/>
      <c r="G30" s="249"/>
      <c r="H30" s="249"/>
      <c r="I30" s="249"/>
      <c r="J30" s="249"/>
      <c r="K30" s="249"/>
      <c r="L30" s="249"/>
      <c r="M30" s="249"/>
      <c r="N30" s="249"/>
      <c r="O30" s="249"/>
      <c r="P30" s="249"/>
      <c r="Q30" s="249"/>
      <c r="R30" s="249"/>
      <c r="S30" s="249"/>
      <c r="T30" s="249"/>
      <c r="U30" s="249"/>
      <c r="V30" s="249"/>
    </row>
    <row r="31" spans="1:22" s="13" customFormat="1" ht="13.5" customHeight="1" x14ac:dyDescent="0.4">
      <c r="A31" s="249"/>
      <c r="B31" s="279" t="s">
        <v>82</v>
      </c>
      <c r="C31" s="249"/>
      <c r="D31" s="249"/>
      <c r="E31" s="249"/>
      <c r="F31" s="249"/>
      <c r="G31" s="249"/>
      <c r="H31" s="249"/>
      <c r="I31" s="249"/>
      <c r="J31" s="249"/>
      <c r="K31" s="249"/>
      <c r="L31" s="249"/>
      <c r="M31" s="249"/>
      <c r="N31" s="249"/>
      <c r="O31" s="249"/>
      <c r="P31" s="249"/>
      <c r="Q31" s="249"/>
      <c r="R31" s="249"/>
      <c r="S31" s="249"/>
      <c r="T31" s="249"/>
      <c r="U31" s="249"/>
      <c r="V31" s="249"/>
    </row>
    <row r="32" spans="1:22" ht="15" customHeight="1" x14ac:dyDescent="0.4">
      <c r="A32" s="249"/>
      <c r="B32" s="279" t="s">
        <v>83</v>
      </c>
      <c r="C32" s="249"/>
      <c r="D32" s="249"/>
      <c r="E32" s="249"/>
      <c r="F32" s="249"/>
      <c r="G32" s="249"/>
      <c r="H32" s="249"/>
      <c r="I32" s="249"/>
      <c r="J32" s="249"/>
      <c r="K32" s="249"/>
      <c r="L32" s="249"/>
      <c r="M32" s="249"/>
      <c r="N32" s="249"/>
      <c r="O32" s="249"/>
      <c r="P32" s="249"/>
      <c r="Q32" s="249"/>
      <c r="R32" s="249"/>
      <c r="S32" s="249"/>
      <c r="T32" s="249"/>
      <c r="U32" s="249"/>
      <c r="V32" s="249"/>
    </row>
    <row r="33" spans="1:22" ht="15" customHeight="1" x14ac:dyDescent="0.4">
      <c r="A33" s="249"/>
      <c r="B33" s="249"/>
      <c r="C33" s="249"/>
      <c r="D33" s="249"/>
      <c r="E33" s="249"/>
      <c r="F33" s="249"/>
      <c r="G33" s="249"/>
      <c r="H33" s="249"/>
      <c r="I33" s="249"/>
      <c r="J33" s="249"/>
      <c r="K33" s="249"/>
      <c r="L33" s="249"/>
      <c r="M33" s="249"/>
      <c r="N33" s="249"/>
      <c r="O33" s="249"/>
      <c r="P33" s="249"/>
      <c r="Q33" s="249"/>
      <c r="R33" s="249"/>
      <c r="S33" s="249"/>
      <c r="T33" s="249"/>
      <c r="U33" s="249"/>
      <c r="V33" s="249"/>
    </row>
    <row r="34" spans="1:22" ht="28.5" customHeight="1" x14ac:dyDescent="0.4">
      <c r="A34" s="249"/>
      <c r="B34" s="249"/>
      <c r="C34" s="249"/>
      <c r="D34" s="249"/>
      <c r="E34" s="249"/>
      <c r="F34" s="249"/>
      <c r="G34" s="249"/>
      <c r="H34" s="249"/>
      <c r="I34" s="249"/>
      <c r="J34" s="249"/>
      <c r="K34" s="249"/>
      <c r="L34" s="249"/>
      <c r="M34" s="249"/>
      <c r="N34" s="249"/>
      <c r="O34" s="249"/>
      <c r="P34" s="249"/>
      <c r="Q34" s="249"/>
      <c r="R34" s="249"/>
      <c r="S34" s="249"/>
      <c r="T34" s="249"/>
      <c r="U34" s="249"/>
      <c r="V34" s="249"/>
    </row>
    <row r="35" spans="1:22" x14ac:dyDescent="0.4">
      <c r="A35" s="249"/>
      <c r="B35" s="249"/>
      <c r="C35" s="249"/>
      <c r="D35" s="249"/>
      <c r="E35" s="249"/>
      <c r="F35" s="249"/>
      <c r="G35" s="249"/>
      <c r="H35" s="249"/>
      <c r="I35" s="249"/>
      <c r="J35" s="249"/>
      <c r="K35" s="249"/>
      <c r="L35" s="249"/>
      <c r="M35" s="249"/>
      <c r="N35" s="249"/>
      <c r="O35" s="249"/>
      <c r="P35" s="249"/>
      <c r="Q35" s="249"/>
      <c r="R35" s="249"/>
      <c r="S35" s="249"/>
      <c r="T35" s="249"/>
      <c r="U35" s="249"/>
      <c r="V35" s="249"/>
    </row>
    <row r="36" spans="1:22" x14ac:dyDescent="0.4">
      <c r="A36" s="249"/>
      <c r="B36" s="249"/>
      <c r="C36" s="249"/>
      <c r="D36" s="249"/>
      <c r="E36" s="249"/>
      <c r="F36" s="249"/>
      <c r="G36" s="249"/>
      <c r="H36" s="249"/>
      <c r="I36" s="249"/>
      <c r="J36" s="249"/>
      <c r="K36" s="249"/>
      <c r="L36" s="249"/>
      <c r="M36" s="249"/>
      <c r="N36" s="249"/>
      <c r="O36" s="249"/>
      <c r="P36" s="249"/>
      <c r="Q36" s="249"/>
      <c r="R36" s="249"/>
      <c r="S36" s="249"/>
      <c r="T36" s="249"/>
      <c r="U36" s="249"/>
      <c r="V36" s="249"/>
    </row>
    <row r="37" spans="1:22" x14ac:dyDescent="0.4">
      <c r="A37" s="249"/>
      <c r="B37" s="249"/>
      <c r="C37" s="249"/>
      <c r="D37" s="249"/>
      <c r="E37" s="249"/>
      <c r="F37" s="249"/>
      <c r="G37" s="249"/>
      <c r="H37" s="249"/>
      <c r="I37" s="249"/>
      <c r="J37" s="249"/>
      <c r="K37" s="249"/>
      <c r="L37" s="249"/>
      <c r="M37" s="249"/>
      <c r="N37" s="249"/>
      <c r="O37" s="249"/>
      <c r="P37" s="249"/>
      <c r="Q37" s="249"/>
      <c r="R37" s="249"/>
      <c r="S37" s="249"/>
      <c r="T37" s="249"/>
      <c r="U37" s="249"/>
      <c r="V37" s="249"/>
    </row>
    <row r="38" spans="1:22" x14ac:dyDescent="0.4">
      <c r="A38" s="249"/>
      <c r="B38" s="249"/>
      <c r="C38" s="249"/>
      <c r="D38" s="249"/>
      <c r="E38" s="249"/>
      <c r="F38" s="249"/>
      <c r="G38" s="249"/>
      <c r="H38" s="249"/>
      <c r="I38" s="249"/>
      <c r="J38" s="249"/>
      <c r="K38" s="249"/>
      <c r="L38" s="249"/>
      <c r="M38" s="249"/>
      <c r="N38" s="249"/>
      <c r="O38" s="249"/>
      <c r="P38" s="249"/>
      <c r="Q38" s="249"/>
      <c r="R38" s="249"/>
      <c r="S38" s="249"/>
      <c r="T38" s="249"/>
      <c r="U38" s="249"/>
      <c r="V38" s="249"/>
    </row>
    <row r="39" spans="1:22" x14ac:dyDescent="0.4">
      <c r="A39" s="249"/>
      <c r="B39" s="249"/>
      <c r="C39" s="249"/>
      <c r="D39" s="249"/>
      <c r="E39" s="249"/>
      <c r="F39" s="249"/>
      <c r="G39" s="249"/>
      <c r="H39" s="249"/>
      <c r="I39" s="249"/>
      <c r="J39" s="249"/>
      <c r="K39" s="249"/>
      <c r="L39" s="249"/>
      <c r="M39" s="249"/>
      <c r="N39" s="249"/>
      <c r="O39" s="249"/>
      <c r="P39" s="249"/>
      <c r="Q39" s="249"/>
      <c r="R39" s="249"/>
      <c r="S39" s="249"/>
      <c r="T39" s="249"/>
      <c r="U39" s="249"/>
      <c r="V39" s="249"/>
    </row>
    <row r="40" spans="1:22" x14ac:dyDescent="0.4">
      <c r="A40" s="249"/>
      <c r="B40" s="249"/>
      <c r="C40" s="249"/>
      <c r="D40" s="249"/>
      <c r="E40" s="249"/>
      <c r="F40" s="249"/>
      <c r="G40" s="249"/>
      <c r="H40" s="249"/>
      <c r="I40" s="249"/>
      <c r="J40" s="249"/>
      <c r="K40" s="249"/>
      <c r="L40" s="249"/>
      <c r="M40" s="249"/>
      <c r="N40" s="249"/>
      <c r="O40" s="249"/>
      <c r="P40" s="249"/>
      <c r="Q40" s="249"/>
      <c r="R40" s="249"/>
      <c r="S40" s="249"/>
      <c r="T40" s="249"/>
      <c r="U40" s="249"/>
      <c r="V40" s="249"/>
    </row>
    <row r="41" spans="1:22" x14ac:dyDescent="0.4">
      <c r="A41" s="249"/>
      <c r="B41" s="249"/>
      <c r="C41" s="249"/>
      <c r="D41" s="249"/>
      <c r="E41" s="249"/>
      <c r="F41" s="249"/>
      <c r="G41" s="249"/>
      <c r="H41" s="249"/>
      <c r="I41" s="249"/>
      <c r="J41" s="249"/>
      <c r="K41" s="249"/>
      <c r="L41" s="249"/>
      <c r="M41" s="249"/>
      <c r="N41" s="249"/>
      <c r="O41" s="249"/>
      <c r="P41" s="249"/>
      <c r="Q41" s="249"/>
      <c r="R41" s="249"/>
      <c r="S41" s="249"/>
      <c r="T41" s="249"/>
      <c r="U41" s="249"/>
      <c r="V41" s="249"/>
    </row>
    <row r="42" spans="1:22" x14ac:dyDescent="0.4">
      <c r="A42" s="249"/>
      <c r="B42" s="249"/>
      <c r="C42" s="249"/>
      <c r="D42" s="249"/>
      <c r="E42" s="249"/>
      <c r="F42" s="249"/>
      <c r="G42" s="249"/>
      <c r="H42" s="249"/>
      <c r="I42" s="249"/>
      <c r="J42" s="249"/>
      <c r="K42" s="249"/>
      <c r="L42" s="249"/>
      <c r="M42" s="249"/>
      <c r="N42" s="249"/>
      <c r="O42" s="249"/>
      <c r="P42" s="249"/>
      <c r="Q42" s="249"/>
      <c r="R42" s="249"/>
      <c r="S42" s="249"/>
      <c r="T42" s="249"/>
      <c r="U42" s="249"/>
      <c r="V42" s="249"/>
    </row>
    <row r="43" spans="1:22" x14ac:dyDescent="0.4">
      <c r="A43" s="249"/>
      <c r="B43" s="249"/>
      <c r="C43" s="249"/>
      <c r="D43" s="249"/>
      <c r="E43" s="249"/>
      <c r="F43" s="249"/>
      <c r="G43" s="249"/>
      <c r="H43" s="249"/>
      <c r="I43" s="249"/>
      <c r="J43" s="249"/>
      <c r="K43" s="249"/>
      <c r="L43" s="249"/>
      <c r="M43" s="249"/>
      <c r="N43" s="249"/>
      <c r="O43" s="249"/>
      <c r="P43" s="249"/>
      <c r="Q43" s="249"/>
      <c r="R43" s="249"/>
      <c r="S43" s="249"/>
      <c r="T43" s="249"/>
      <c r="U43" s="249"/>
      <c r="V43" s="249"/>
    </row>
    <row r="44" spans="1:22" x14ac:dyDescent="0.4">
      <c r="A44" s="249"/>
      <c r="B44" s="249"/>
      <c r="C44" s="249"/>
      <c r="D44" s="249"/>
      <c r="E44" s="249"/>
      <c r="F44" s="249"/>
      <c r="G44" s="249"/>
      <c r="H44" s="249"/>
      <c r="I44" s="249"/>
      <c r="J44" s="249"/>
      <c r="K44" s="249"/>
      <c r="L44" s="249"/>
      <c r="M44" s="249"/>
      <c r="N44" s="249"/>
      <c r="O44" s="249"/>
      <c r="P44" s="249"/>
      <c r="Q44" s="249"/>
      <c r="R44" s="249"/>
      <c r="S44" s="249"/>
      <c r="T44" s="249"/>
      <c r="U44" s="249"/>
      <c r="V44" s="249"/>
    </row>
    <row r="45" spans="1:22" x14ac:dyDescent="0.4">
      <c r="A45" s="249"/>
      <c r="B45" s="249"/>
      <c r="C45" s="249"/>
      <c r="D45" s="249"/>
      <c r="E45" s="249"/>
      <c r="F45" s="249"/>
      <c r="G45" s="249"/>
      <c r="H45" s="249"/>
      <c r="I45" s="249"/>
      <c r="J45" s="249"/>
      <c r="K45" s="249"/>
      <c r="L45" s="249"/>
      <c r="M45" s="249"/>
      <c r="N45" s="249"/>
      <c r="O45" s="249"/>
      <c r="P45" s="249"/>
      <c r="Q45" s="249"/>
      <c r="R45" s="249"/>
      <c r="S45" s="249"/>
      <c r="T45" s="249"/>
      <c r="U45" s="249"/>
      <c r="V45" s="249"/>
    </row>
    <row r="46" spans="1:22" x14ac:dyDescent="0.4">
      <c r="A46" s="249"/>
      <c r="B46" s="249"/>
      <c r="C46" s="249"/>
      <c r="D46" s="249"/>
      <c r="E46" s="249"/>
      <c r="F46" s="249"/>
      <c r="G46" s="249"/>
      <c r="H46" s="249"/>
      <c r="I46" s="249"/>
      <c r="J46" s="249"/>
      <c r="K46" s="249"/>
      <c r="L46" s="249"/>
      <c r="M46" s="249"/>
      <c r="N46" s="249"/>
      <c r="O46" s="249"/>
      <c r="P46" s="249"/>
      <c r="Q46" s="249"/>
      <c r="R46" s="249"/>
      <c r="S46" s="249"/>
      <c r="T46" s="249"/>
      <c r="U46" s="249"/>
      <c r="V46" s="249"/>
    </row>
    <row r="47" spans="1:22" x14ac:dyDescent="0.4">
      <c r="A47" s="249"/>
      <c r="B47" s="249"/>
      <c r="C47" s="249"/>
      <c r="D47" s="249"/>
      <c r="E47" s="249"/>
      <c r="F47" s="249"/>
      <c r="G47" s="249"/>
      <c r="H47" s="249"/>
      <c r="I47" s="249"/>
      <c r="J47" s="249"/>
      <c r="K47" s="249"/>
      <c r="L47" s="249"/>
      <c r="M47" s="249"/>
      <c r="N47" s="249"/>
      <c r="O47" s="249"/>
      <c r="P47" s="249"/>
      <c r="Q47" s="249"/>
      <c r="R47" s="249"/>
      <c r="S47" s="249"/>
      <c r="T47" s="249"/>
      <c r="U47" s="249"/>
      <c r="V47" s="249"/>
    </row>
    <row r="48" spans="1:22" x14ac:dyDescent="0.4">
      <c r="A48" s="249"/>
      <c r="B48" s="249"/>
      <c r="C48" s="249"/>
      <c r="D48" s="249"/>
      <c r="E48" s="249"/>
      <c r="F48" s="249"/>
      <c r="G48" s="249"/>
      <c r="H48" s="249"/>
      <c r="I48" s="249"/>
      <c r="J48" s="249"/>
      <c r="K48" s="249"/>
      <c r="L48" s="249"/>
      <c r="M48" s="249"/>
      <c r="N48" s="249"/>
      <c r="O48" s="249"/>
      <c r="P48" s="249"/>
      <c r="Q48" s="249"/>
      <c r="R48" s="249"/>
      <c r="S48" s="249"/>
      <c r="T48" s="249"/>
      <c r="U48" s="249"/>
      <c r="V48" s="249"/>
    </row>
    <row r="49" spans="1:22" x14ac:dyDescent="0.4">
      <c r="A49" s="249"/>
      <c r="B49" s="249"/>
      <c r="C49" s="249"/>
      <c r="D49" s="249"/>
      <c r="E49" s="249"/>
      <c r="F49" s="249"/>
      <c r="G49" s="249"/>
      <c r="H49" s="249"/>
      <c r="I49" s="249"/>
      <c r="J49" s="249"/>
      <c r="K49" s="249"/>
      <c r="L49" s="249"/>
      <c r="M49" s="249"/>
      <c r="N49" s="249"/>
      <c r="O49" s="249"/>
      <c r="P49" s="249"/>
      <c r="Q49" s="249"/>
      <c r="R49" s="249"/>
      <c r="S49" s="249"/>
      <c r="T49" s="249"/>
      <c r="U49" s="249"/>
      <c r="V49" s="249"/>
    </row>
    <row r="50" spans="1:22" x14ac:dyDescent="0.4">
      <c r="A50" s="249"/>
      <c r="B50" s="249"/>
      <c r="C50" s="249"/>
      <c r="D50" s="249"/>
      <c r="E50" s="249"/>
      <c r="F50" s="249"/>
      <c r="G50" s="249"/>
      <c r="H50" s="249"/>
      <c r="I50" s="249"/>
      <c r="J50" s="249"/>
      <c r="K50" s="249"/>
      <c r="L50" s="249"/>
      <c r="M50" s="249"/>
      <c r="N50" s="249"/>
      <c r="O50" s="249"/>
      <c r="P50" s="249"/>
      <c r="Q50" s="249"/>
      <c r="R50" s="249"/>
      <c r="S50" s="249"/>
      <c r="T50" s="249"/>
      <c r="U50" s="249"/>
      <c r="V50" s="249"/>
    </row>
    <row r="51" spans="1:22" x14ac:dyDescent="0.4">
      <c r="A51" s="249"/>
      <c r="B51" s="249"/>
      <c r="C51" s="249"/>
      <c r="D51" s="249"/>
      <c r="E51" s="249"/>
      <c r="F51" s="249"/>
      <c r="G51" s="249"/>
      <c r="H51" s="249"/>
      <c r="I51" s="249"/>
      <c r="J51" s="249"/>
      <c r="K51" s="249"/>
      <c r="L51" s="249"/>
      <c r="M51" s="249"/>
      <c r="N51" s="249"/>
      <c r="O51" s="249"/>
      <c r="P51" s="249"/>
      <c r="Q51" s="249"/>
      <c r="R51" s="249"/>
      <c r="S51" s="249"/>
      <c r="T51" s="249"/>
      <c r="U51" s="249"/>
      <c r="V51" s="249"/>
    </row>
    <row r="52" spans="1:22" x14ac:dyDescent="0.4">
      <c r="A52" s="249"/>
      <c r="B52" s="249"/>
      <c r="C52" s="249"/>
      <c r="D52" s="249"/>
      <c r="E52" s="249"/>
      <c r="F52" s="249"/>
      <c r="G52" s="249"/>
      <c r="H52" s="249"/>
      <c r="I52" s="249"/>
      <c r="J52" s="249"/>
      <c r="K52" s="249"/>
      <c r="L52" s="249"/>
      <c r="M52" s="249"/>
      <c r="N52" s="249"/>
      <c r="O52" s="249"/>
      <c r="P52" s="249"/>
      <c r="Q52" s="249"/>
      <c r="R52" s="249"/>
      <c r="S52" s="249"/>
      <c r="T52" s="249"/>
      <c r="U52" s="249"/>
      <c r="V52" s="249"/>
    </row>
    <row r="53" spans="1:22" x14ac:dyDescent="0.4">
      <c r="A53" s="249"/>
      <c r="B53" s="249"/>
      <c r="C53" s="249"/>
      <c r="D53" s="249"/>
      <c r="E53" s="249"/>
      <c r="F53" s="249"/>
      <c r="G53" s="249"/>
      <c r="H53" s="249"/>
      <c r="I53" s="249"/>
      <c r="J53" s="249"/>
      <c r="K53" s="249"/>
      <c r="L53" s="249"/>
      <c r="M53" s="249"/>
      <c r="N53" s="249"/>
      <c r="O53" s="249"/>
      <c r="P53" s="249"/>
      <c r="Q53" s="249"/>
      <c r="R53" s="249"/>
      <c r="S53" s="249"/>
      <c r="T53" s="249"/>
      <c r="U53" s="249"/>
      <c r="V53" s="249"/>
    </row>
    <row r="54" spans="1:22" x14ac:dyDescent="0.4">
      <c r="A54" s="249"/>
      <c r="B54" s="249"/>
      <c r="C54" s="249"/>
      <c r="D54" s="249"/>
      <c r="E54" s="249"/>
      <c r="F54" s="249"/>
      <c r="G54" s="249"/>
      <c r="H54" s="249"/>
      <c r="I54" s="249"/>
      <c r="J54" s="249"/>
      <c r="K54" s="249"/>
      <c r="L54" s="249"/>
      <c r="M54" s="249"/>
      <c r="N54" s="249"/>
      <c r="O54" s="249"/>
      <c r="P54" s="249"/>
      <c r="Q54" s="249"/>
      <c r="R54" s="249"/>
      <c r="S54" s="249"/>
      <c r="T54" s="249"/>
      <c r="U54" s="249"/>
      <c r="V54" s="249"/>
    </row>
    <row r="55" spans="1:22" x14ac:dyDescent="0.4">
      <c r="A55" s="249"/>
      <c r="B55" s="249"/>
      <c r="C55" s="249"/>
      <c r="D55" s="249"/>
      <c r="E55" s="249"/>
      <c r="F55" s="249"/>
      <c r="G55" s="249"/>
      <c r="H55" s="249"/>
      <c r="I55" s="249"/>
      <c r="J55" s="249"/>
      <c r="K55" s="249"/>
      <c r="L55" s="249"/>
      <c r="M55" s="249"/>
      <c r="N55" s="249"/>
      <c r="O55" s="249"/>
      <c r="P55" s="249"/>
      <c r="Q55" s="249"/>
      <c r="R55" s="249"/>
      <c r="S55" s="249"/>
      <c r="T55" s="249"/>
      <c r="U55" s="249"/>
      <c r="V55" s="249"/>
    </row>
    <row r="56" spans="1:22" x14ac:dyDescent="0.4">
      <c r="A56" s="249"/>
      <c r="B56" s="249"/>
      <c r="C56" s="249"/>
      <c r="D56" s="249"/>
      <c r="E56" s="249"/>
      <c r="F56" s="249"/>
      <c r="G56" s="249"/>
      <c r="H56" s="249"/>
      <c r="I56" s="249"/>
      <c r="J56" s="249"/>
      <c r="K56" s="249"/>
      <c r="L56" s="249"/>
      <c r="M56" s="249"/>
      <c r="N56" s="249"/>
      <c r="O56" s="249"/>
      <c r="P56" s="249"/>
      <c r="Q56" s="249"/>
      <c r="R56" s="249"/>
      <c r="S56" s="249"/>
      <c r="T56" s="249"/>
      <c r="U56" s="249"/>
      <c r="V56" s="249"/>
    </row>
    <row r="57" spans="1:22" hidden="1" x14ac:dyDescent="0.4">
      <c r="A57" s="249"/>
      <c r="B57" s="249"/>
      <c r="C57" s="249"/>
      <c r="D57" s="249"/>
      <c r="E57" s="249"/>
      <c r="F57" s="249"/>
      <c r="G57" s="249"/>
      <c r="H57" s="249"/>
      <c r="I57" s="249"/>
      <c r="J57" s="249"/>
      <c r="K57" s="249"/>
      <c r="L57" s="249"/>
      <c r="M57" s="249"/>
      <c r="N57" s="249"/>
      <c r="O57" s="249"/>
      <c r="P57" s="249"/>
      <c r="Q57" s="249"/>
      <c r="R57" s="249"/>
      <c r="S57" s="249"/>
      <c r="T57" s="249"/>
      <c r="U57" s="249"/>
      <c r="V57" s="249"/>
    </row>
    <row r="58" spans="1:22" hidden="1" x14ac:dyDescent="0.4">
      <c r="A58" s="249"/>
      <c r="B58" s="249"/>
      <c r="C58" s="249"/>
      <c r="D58" s="249"/>
      <c r="E58" s="249"/>
      <c r="F58" s="249"/>
      <c r="G58" s="249"/>
      <c r="H58" s="249"/>
      <c r="I58" s="249"/>
      <c r="J58" s="249"/>
      <c r="K58" s="249"/>
      <c r="L58" s="249"/>
      <c r="M58" s="249"/>
      <c r="N58" s="249"/>
      <c r="O58" s="249"/>
      <c r="P58" s="249"/>
      <c r="Q58" s="249"/>
      <c r="R58" s="249"/>
      <c r="S58" s="249"/>
      <c r="T58" s="249"/>
      <c r="U58" s="249"/>
      <c r="V58" s="249"/>
    </row>
    <row r="59" spans="1:22" hidden="1" x14ac:dyDescent="0.4">
      <c r="A59" s="249"/>
      <c r="B59" s="249"/>
      <c r="C59" s="249"/>
      <c r="D59" s="249"/>
      <c r="E59" s="249"/>
      <c r="F59" s="249"/>
      <c r="G59" s="249"/>
      <c r="H59" s="249"/>
      <c r="I59" s="249"/>
      <c r="J59" s="249"/>
      <c r="K59" s="249"/>
      <c r="L59" s="249"/>
      <c r="M59" s="249"/>
      <c r="N59" s="249"/>
      <c r="O59" s="249"/>
      <c r="P59" s="249"/>
      <c r="Q59" s="249"/>
      <c r="R59" s="249"/>
      <c r="S59" s="249"/>
      <c r="T59" s="249"/>
      <c r="U59" s="249"/>
      <c r="V59" s="249"/>
    </row>
    <row r="60" spans="1:22" hidden="1" x14ac:dyDescent="0.4">
      <c r="A60" s="249"/>
      <c r="B60" s="249"/>
      <c r="C60" s="249"/>
      <c r="D60" s="249"/>
      <c r="E60" s="249"/>
      <c r="F60" s="249"/>
      <c r="G60" s="249"/>
      <c r="H60" s="249"/>
      <c r="I60" s="249"/>
      <c r="J60" s="249"/>
      <c r="K60" s="249"/>
      <c r="L60" s="249"/>
      <c r="M60" s="249"/>
      <c r="N60" s="249"/>
      <c r="O60" s="249"/>
      <c r="P60" s="249"/>
      <c r="Q60" s="249"/>
      <c r="R60" s="249"/>
      <c r="S60" s="249"/>
      <c r="T60" s="249"/>
      <c r="U60" s="249"/>
      <c r="V60" s="249"/>
    </row>
    <row r="61" spans="1:22" hidden="1" x14ac:dyDescent="0.4">
      <c r="A61" s="249"/>
      <c r="B61" s="249"/>
      <c r="C61" s="249"/>
      <c r="D61" s="249"/>
      <c r="E61" s="249"/>
      <c r="F61" s="249"/>
      <c r="G61" s="249"/>
      <c r="H61" s="249"/>
      <c r="I61" s="249"/>
      <c r="J61" s="249"/>
      <c r="K61" s="249"/>
      <c r="L61" s="249"/>
      <c r="M61" s="249"/>
      <c r="N61" s="249"/>
      <c r="O61" s="249"/>
      <c r="P61" s="249"/>
      <c r="Q61" s="249"/>
      <c r="R61" s="249"/>
      <c r="S61" s="249"/>
      <c r="T61" s="249"/>
      <c r="U61" s="249"/>
      <c r="V61" s="249"/>
    </row>
    <row r="62" spans="1:22" hidden="1" x14ac:dyDescent="0.4">
      <c r="A62" s="249"/>
      <c r="B62" s="249"/>
      <c r="C62" s="249"/>
      <c r="D62" s="249"/>
      <c r="E62" s="249"/>
      <c r="F62" s="249"/>
      <c r="G62" s="249"/>
      <c r="H62" s="249"/>
      <c r="I62" s="249"/>
      <c r="J62" s="249"/>
      <c r="K62" s="249"/>
      <c r="L62" s="249"/>
      <c r="M62" s="249"/>
      <c r="N62" s="249"/>
      <c r="O62" s="249"/>
      <c r="P62" s="249"/>
      <c r="Q62" s="249"/>
      <c r="R62" s="249"/>
      <c r="S62" s="249"/>
      <c r="T62" s="249"/>
      <c r="U62" s="249"/>
      <c r="V62" s="249"/>
    </row>
    <row r="63" spans="1:22" hidden="1" x14ac:dyDescent="0.4">
      <c r="A63" s="249"/>
      <c r="B63" s="249"/>
      <c r="C63" s="249"/>
      <c r="D63" s="249"/>
      <c r="E63" s="249"/>
      <c r="F63" s="249"/>
      <c r="G63" s="249"/>
      <c r="H63" s="249"/>
      <c r="I63" s="249"/>
      <c r="J63" s="249"/>
      <c r="K63" s="249"/>
      <c r="L63" s="249"/>
      <c r="M63" s="249"/>
      <c r="N63" s="249"/>
      <c r="O63" s="249"/>
      <c r="P63" s="249"/>
      <c r="Q63" s="249"/>
      <c r="R63" s="249"/>
      <c r="S63" s="249"/>
      <c r="T63" s="249"/>
      <c r="U63" s="249"/>
      <c r="V63" s="249"/>
    </row>
    <row r="64" spans="1:22" hidden="1" x14ac:dyDescent="0.4">
      <c r="A64" s="249"/>
      <c r="B64" s="249"/>
      <c r="C64" s="249"/>
      <c r="D64" s="249"/>
      <c r="E64" s="249"/>
      <c r="F64" s="249"/>
      <c r="G64" s="249"/>
      <c r="H64" s="249"/>
      <c r="I64" s="249"/>
      <c r="J64" s="249"/>
      <c r="K64" s="249"/>
      <c r="L64" s="249"/>
      <c r="M64" s="249"/>
      <c r="N64" s="249"/>
      <c r="O64" s="249"/>
      <c r="P64" s="249"/>
      <c r="Q64" s="249"/>
      <c r="R64" s="249"/>
      <c r="S64" s="249"/>
      <c r="T64" s="249"/>
      <c r="U64" s="249"/>
      <c r="V64" s="249"/>
    </row>
    <row r="65" spans="1:22" hidden="1" x14ac:dyDescent="0.4">
      <c r="A65" s="249"/>
      <c r="B65" s="249"/>
      <c r="C65" s="249"/>
      <c r="D65" s="249"/>
      <c r="E65" s="249"/>
      <c r="F65" s="249"/>
      <c r="G65" s="249"/>
      <c r="H65" s="249"/>
      <c r="I65" s="249"/>
      <c r="J65" s="249"/>
      <c r="K65" s="249"/>
      <c r="L65" s="249"/>
      <c r="M65" s="249"/>
      <c r="N65" s="249"/>
      <c r="O65" s="249"/>
      <c r="P65" s="249"/>
      <c r="Q65" s="249"/>
      <c r="R65" s="249"/>
      <c r="S65" s="249"/>
      <c r="T65" s="249"/>
      <c r="U65" s="249"/>
      <c r="V65" s="249"/>
    </row>
    <row r="66" spans="1:22" hidden="1" x14ac:dyDescent="0.4">
      <c r="A66" s="249"/>
      <c r="B66" s="249"/>
      <c r="C66" s="249"/>
      <c r="D66" s="249"/>
      <c r="E66" s="249"/>
      <c r="F66" s="249"/>
      <c r="G66" s="249"/>
      <c r="H66" s="249"/>
      <c r="I66" s="249"/>
      <c r="J66" s="249"/>
      <c r="K66" s="249"/>
      <c r="L66" s="249"/>
      <c r="M66" s="249"/>
      <c r="N66" s="249"/>
      <c r="O66" s="249"/>
      <c r="P66" s="249"/>
      <c r="Q66" s="249"/>
      <c r="R66" s="249"/>
      <c r="S66" s="249"/>
      <c r="T66" s="249"/>
      <c r="U66" s="249"/>
      <c r="V66" s="249"/>
    </row>
    <row r="67" spans="1:22" hidden="1" x14ac:dyDescent="0.4">
      <c r="A67" s="249"/>
      <c r="B67" s="249"/>
      <c r="C67" s="249"/>
      <c r="D67" s="249"/>
      <c r="E67" s="249"/>
      <c r="F67" s="249"/>
      <c r="G67" s="249"/>
      <c r="H67" s="249"/>
      <c r="I67" s="249"/>
      <c r="J67" s="249"/>
      <c r="K67" s="249"/>
      <c r="L67" s="249"/>
      <c r="M67" s="249"/>
      <c r="N67" s="249"/>
      <c r="O67" s="249"/>
      <c r="P67" s="249"/>
      <c r="Q67" s="249"/>
      <c r="R67" s="249"/>
      <c r="S67" s="249"/>
      <c r="T67" s="249"/>
      <c r="U67" s="249"/>
      <c r="V67" s="249"/>
    </row>
    <row r="68" spans="1:22" hidden="1" x14ac:dyDescent="0.4">
      <c r="A68" s="249"/>
      <c r="B68" s="249"/>
      <c r="C68" s="249"/>
      <c r="D68" s="249"/>
      <c r="E68" s="249"/>
      <c r="F68" s="249"/>
      <c r="G68" s="249"/>
      <c r="H68" s="249"/>
      <c r="I68" s="249"/>
      <c r="J68" s="249"/>
      <c r="K68" s="249"/>
      <c r="L68" s="249"/>
      <c r="M68" s="249"/>
      <c r="N68" s="249"/>
      <c r="O68" s="249"/>
      <c r="P68" s="249"/>
      <c r="Q68" s="249"/>
      <c r="R68" s="249"/>
      <c r="S68" s="249"/>
      <c r="T68" s="249"/>
      <c r="U68" s="249"/>
      <c r="V68" s="249"/>
    </row>
    <row r="69" spans="1:22" hidden="1" x14ac:dyDescent="0.4">
      <c r="A69" s="249"/>
      <c r="B69" s="249"/>
      <c r="C69" s="249"/>
      <c r="D69" s="249"/>
      <c r="E69" s="249"/>
      <c r="F69" s="249"/>
      <c r="G69" s="249"/>
      <c r="H69" s="249"/>
      <c r="I69" s="249"/>
      <c r="J69" s="249"/>
      <c r="K69" s="249"/>
      <c r="L69" s="249"/>
      <c r="M69" s="249"/>
      <c r="N69" s="249"/>
      <c r="O69" s="249"/>
      <c r="P69" s="249"/>
      <c r="Q69" s="249"/>
      <c r="R69" s="249"/>
      <c r="S69" s="249"/>
      <c r="T69" s="249"/>
      <c r="U69" s="249"/>
      <c r="V69" s="249"/>
    </row>
    <row r="70" spans="1:22" hidden="1" x14ac:dyDescent="0.4">
      <c r="A70" s="249"/>
      <c r="B70" s="249"/>
      <c r="C70" s="249"/>
      <c r="D70" s="249"/>
      <c r="E70" s="249"/>
      <c r="F70" s="249"/>
      <c r="G70" s="249"/>
      <c r="H70" s="249"/>
      <c r="I70" s="249"/>
      <c r="J70" s="249"/>
      <c r="K70" s="249"/>
      <c r="L70" s="249"/>
      <c r="M70" s="249"/>
      <c r="N70" s="249"/>
      <c r="O70" s="249"/>
      <c r="P70" s="249"/>
      <c r="Q70" s="249"/>
      <c r="R70" s="249"/>
      <c r="S70" s="249"/>
      <c r="T70" s="249"/>
      <c r="U70" s="249"/>
      <c r="V70" s="249"/>
    </row>
    <row r="71" spans="1:22" hidden="1" x14ac:dyDescent="0.4">
      <c r="A71" s="249"/>
      <c r="B71" s="249"/>
      <c r="C71" s="249"/>
      <c r="D71" s="249"/>
      <c r="E71" s="249"/>
      <c r="F71" s="249"/>
      <c r="G71" s="249"/>
      <c r="H71" s="249"/>
      <c r="I71" s="249"/>
      <c r="J71" s="249"/>
      <c r="K71" s="249"/>
      <c r="L71" s="249"/>
      <c r="M71" s="249"/>
      <c r="N71" s="249"/>
      <c r="O71" s="249"/>
      <c r="P71" s="249"/>
      <c r="Q71" s="249"/>
      <c r="R71" s="249"/>
      <c r="S71" s="249"/>
      <c r="T71" s="249"/>
      <c r="U71" s="249"/>
      <c r="V71" s="249"/>
    </row>
    <row r="72" spans="1:22" hidden="1" x14ac:dyDescent="0.4">
      <c r="A72" s="249"/>
      <c r="B72" s="249"/>
      <c r="C72" s="249"/>
      <c r="D72" s="249"/>
      <c r="E72" s="249"/>
      <c r="F72" s="249"/>
      <c r="G72" s="249"/>
      <c r="H72" s="249"/>
      <c r="I72" s="249"/>
      <c r="J72" s="249"/>
      <c r="K72" s="249"/>
      <c r="L72" s="249"/>
      <c r="M72" s="249"/>
      <c r="N72" s="249"/>
      <c r="O72" s="249"/>
      <c r="P72" s="249"/>
      <c r="Q72" s="249"/>
      <c r="R72" s="249"/>
      <c r="S72" s="249"/>
      <c r="T72" s="249"/>
      <c r="U72" s="249"/>
      <c r="V72" s="249"/>
    </row>
    <row r="73" spans="1:22" hidden="1" x14ac:dyDescent="0.4">
      <c r="A73" s="249"/>
      <c r="B73" s="249"/>
      <c r="C73" s="249"/>
      <c r="D73" s="249"/>
      <c r="E73" s="249"/>
      <c r="F73" s="249"/>
      <c r="G73" s="249"/>
      <c r="H73" s="249"/>
      <c r="I73" s="249"/>
      <c r="J73" s="249"/>
      <c r="K73" s="249"/>
      <c r="L73" s="249"/>
      <c r="M73" s="249"/>
      <c r="N73" s="249"/>
      <c r="O73" s="249"/>
      <c r="P73" s="249"/>
      <c r="Q73" s="249"/>
      <c r="R73" s="249"/>
      <c r="S73" s="249"/>
      <c r="T73" s="249"/>
      <c r="U73" s="249"/>
      <c r="V73" s="249"/>
    </row>
    <row r="74" spans="1:22" hidden="1" x14ac:dyDescent="0.4">
      <c r="A74" s="249"/>
      <c r="B74" s="249"/>
      <c r="C74" s="249"/>
      <c r="D74" s="249"/>
      <c r="E74" s="249"/>
      <c r="F74" s="249"/>
      <c r="G74" s="249"/>
      <c r="H74" s="249"/>
      <c r="I74" s="249"/>
      <c r="J74" s="249"/>
      <c r="K74" s="249"/>
      <c r="L74" s="249"/>
      <c r="M74" s="249"/>
      <c r="N74" s="249"/>
      <c r="O74" s="249"/>
      <c r="P74" s="249"/>
      <c r="Q74" s="249"/>
      <c r="R74" s="249"/>
      <c r="S74" s="249"/>
      <c r="T74" s="249"/>
      <c r="U74" s="249"/>
      <c r="V74" s="249"/>
    </row>
    <row r="75" spans="1:22" hidden="1" x14ac:dyDescent="0.4">
      <c r="A75" s="249"/>
      <c r="B75" s="249"/>
      <c r="C75" s="249"/>
      <c r="D75" s="249"/>
      <c r="E75" s="249"/>
      <c r="F75" s="249"/>
      <c r="G75" s="249"/>
      <c r="H75" s="249"/>
      <c r="I75" s="249"/>
      <c r="J75" s="249"/>
      <c r="K75" s="249"/>
      <c r="L75" s="249"/>
      <c r="M75" s="249"/>
      <c r="N75" s="249"/>
      <c r="O75" s="249"/>
      <c r="P75" s="249"/>
      <c r="Q75" s="249"/>
      <c r="R75" s="249"/>
      <c r="S75" s="249"/>
      <c r="T75" s="249"/>
      <c r="U75" s="249"/>
      <c r="V75" s="249"/>
    </row>
    <row r="76" spans="1:22" hidden="1" x14ac:dyDescent="0.4">
      <c r="A76" s="249"/>
      <c r="B76" s="249"/>
      <c r="C76" s="249"/>
      <c r="D76" s="249"/>
      <c r="E76" s="249"/>
      <c r="F76" s="249"/>
      <c r="G76" s="249"/>
      <c r="H76" s="249"/>
      <c r="I76" s="249"/>
      <c r="J76" s="249"/>
      <c r="K76" s="249"/>
      <c r="L76" s="249"/>
      <c r="M76" s="249"/>
      <c r="N76" s="249"/>
      <c r="O76" s="249"/>
      <c r="P76" s="249"/>
      <c r="Q76" s="249"/>
      <c r="R76" s="249"/>
      <c r="S76" s="249"/>
      <c r="T76" s="249"/>
      <c r="U76" s="249"/>
      <c r="V76" s="249"/>
    </row>
    <row r="77" spans="1:22" hidden="1" x14ac:dyDescent="0.4">
      <c r="A77" s="249"/>
      <c r="B77" s="249"/>
      <c r="C77" s="249"/>
      <c r="D77" s="249"/>
      <c r="E77" s="249"/>
      <c r="F77" s="249"/>
      <c r="G77" s="249"/>
      <c r="H77" s="249"/>
      <c r="I77" s="249"/>
      <c r="J77" s="249"/>
      <c r="K77" s="249"/>
      <c r="L77" s="249"/>
      <c r="M77" s="249"/>
      <c r="N77" s="249"/>
      <c r="O77" s="249"/>
      <c r="P77" s="249"/>
      <c r="Q77" s="249"/>
      <c r="R77" s="249"/>
      <c r="S77" s="249"/>
      <c r="T77" s="249"/>
      <c r="U77" s="249"/>
      <c r="V77" s="249"/>
    </row>
    <row r="78" spans="1:22" hidden="1" x14ac:dyDescent="0.4">
      <c r="A78" s="249"/>
      <c r="B78" s="249"/>
      <c r="C78" s="249"/>
      <c r="D78" s="249"/>
      <c r="E78" s="249"/>
      <c r="F78" s="249"/>
      <c r="G78" s="249"/>
      <c r="H78" s="249"/>
      <c r="I78" s="249"/>
      <c r="J78" s="249"/>
      <c r="K78" s="249"/>
      <c r="L78" s="249"/>
      <c r="M78" s="249"/>
      <c r="N78" s="249"/>
      <c r="O78" s="249"/>
      <c r="P78" s="249"/>
      <c r="Q78" s="249"/>
      <c r="R78" s="249"/>
      <c r="S78" s="249"/>
      <c r="T78" s="249"/>
      <c r="U78" s="249"/>
      <c r="V78" s="249"/>
    </row>
    <row r="79" spans="1:22" hidden="1" x14ac:dyDescent="0.4">
      <c r="A79" s="249"/>
      <c r="B79" s="249"/>
      <c r="C79" s="249"/>
      <c r="D79" s="249"/>
      <c r="E79" s="249"/>
      <c r="F79" s="249"/>
      <c r="G79" s="249"/>
      <c r="H79" s="249"/>
      <c r="I79" s="249"/>
      <c r="J79" s="249"/>
      <c r="K79" s="249"/>
      <c r="L79" s="249"/>
      <c r="M79" s="249"/>
      <c r="N79" s="249"/>
      <c r="O79" s="249"/>
      <c r="P79" s="249"/>
      <c r="Q79" s="249"/>
      <c r="R79" s="249"/>
      <c r="S79" s="249"/>
      <c r="T79" s="249"/>
      <c r="U79" s="249"/>
      <c r="V79" s="249"/>
    </row>
    <row r="80" spans="1:22" hidden="1" x14ac:dyDescent="0.4">
      <c r="A80" s="249"/>
      <c r="B80" s="249"/>
      <c r="C80" s="249"/>
      <c r="D80" s="249"/>
      <c r="E80" s="249"/>
      <c r="F80" s="249"/>
      <c r="G80" s="249"/>
      <c r="H80" s="249"/>
      <c r="I80" s="249"/>
      <c r="J80" s="249"/>
      <c r="K80" s="249"/>
      <c r="L80" s="249"/>
      <c r="M80" s="249"/>
      <c r="N80" s="249"/>
      <c r="O80" s="249"/>
      <c r="P80" s="249"/>
      <c r="Q80" s="249"/>
      <c r="R80" s="249"/>
      <c r="S80" s="249"/>
      <c r="T80" s="249"/>
      <c r="U80" s="249"/>
      <c r="V80" s="249"/>
    </row>
    <row r="81" spans="1:22" hidden="1" x14ac:dyDescent="0.4">
      <c r="A81" s="249"/>
      <c r="B81" s="249"/>
      <c r="C81" s="249"/>
      <c r="D81" s="249"/>
      <c r="E81" s="249"/>
      <c r="F81" s="249"/>
      <c r="G81" s="249"/>
      <c r="H81" s="249"/>
      <c r="I81" s="249"/>
      <c r="J81" s="249"/>
      <c r="K81" s="249"/>
      <c r="L81" s="249"/>
      <c r="M81" s="249"/>
      <c r="N81" s="249"/>
      <c r="O81" s="249"/>
      <c r="P81" s="249"/>
      <c r="Q81" s="249"/>
      <c r="R81" s="249"/>
      <c r="S81" s="249"/>
      <c r="T81" s="249"/>
      <c r="U81" s="249"/>
      <c r="V81" s="249"/>
    </row>
    <row r="82" spans="1:22" hidden="1" x14ac:dyDescent="0.4">
      <c r="A82" s="249"/>
      <c r="B82" s="249"/>
      <c r="C82" s="249"/>
      <c r="D82" s="249"/>
      <c r="E82" s="249"/>
      <c r="F82" s="249"/>
      <c r="G82" s="249"/>
      <c r="H82" s="249"/>
      <c r="I82" s="249"/>
      <c r="J82" s="249"/>
      <c r="K82" s="249"/>
      <c r="L82" s="249"/>
      <c r="M82" s="249"/>
      <c r="N82" s="249"/>
      <c r="O82" s="249"/>
      <c r="P82" s="249"/>
      <c r="Q82" s="249"/>
      <c r="R82" s="249"/>
      <c r="S82" s="249"/>
      <c r="T82" s="249"/>
      <c r="U82" s="249"/>
      <c r="V82" s="249"/>
    </row>
    <row r="83" spans="1:22" hidden="1" x14ac:dyDescent="0.4">
      <c r="A83" s="249"/>
      <c r="B83" s="249"/>
      <c r="C83" s="249"/>
      <c r="D83" s="249"/>
      <c r="E83" s="249"/>
      <c r="F83" s="249"/>
      <c r="G83" s="249"/>
      <c r="H83" s="249"/>
      <c r="I83" s="249"/>
      <c r="J83" s="249"/>
      <c r="K83" s="249"/>
      <c r="L83" s="249"/>
      <c r="M83" s="249"/>
      <c r="N83" s="249"/>
      <c r="O83" s="249"/>
      <c r="P83" s="249"/>
      <c r="Q83" s="249"/>
      <c r="R83" s="249"/>
      <c r="S83" s="249"/>
      <c r="T83" s="249"/>
      <c r="U83" s="249"/>
      <c r="V83" s="249"/>
    </row>
    <row r="84" spans="1:22" hidden="1" x14ac:dyDescent="0.4">
      <c r="A84" s="249"/>
      <c r="B84" s="249"/>
      <c r="C84" s="249"/>
      <c r="D84" s="249"/>
      <c r="E84" s="249"/>
      <c r="F84" s="249"/>
      <c r="G84" s="249"/>
      <c r="H84" s="249"/>
      <c r="I84" s="249"/>
      <c r="J84" s="249"/>
      <c r="K84" s="249"/>
      <c r="L84" s="249"/>
      <c r="M84" s="249"/>
      <c r="N84" s="249"/>
      <c r="O84" s="249"/>
      <c r="P84" s="249"/>
      <c r="Q84" s="249"/>
      <c r="R84" s="249"/>
      <c r="S84" s="249"/>
      <c r="T84" s="249"/>
      <c r="U84" s="249"/>
      <c r="V84" s="249"/>
    </row>
    <row r="85" spans="1:22" hidden="1" x14ac:dyDescent="0.4">
      <c r="A85" s="249"/>
      <c r="B85" s="249"/>
      <c r="C85" s="249"/>
      <c r="D85" s="249"/>
      <c r="E85" s="249"/>
      <c r="F85" s="249"/>
      <c r="G85" s="249"/>
      <c r="H85" s="249"/>
      <c r="I85" s="249"/>
      <c r="J85" s="249"/>
      <c r="K85" s="249"/>
      <c r="L85" s="249"/>
      <c r="M85" s="249"/>
      <c r="N85" s="249"/>
      <c r="O85" s="249"/>
      <c r="P85" s="249"/>
      <c r="Q85" s="249"/>
      <c r="R85" s="249"/>
      <c r="S85" s="249"/>
      <c r="T85" s="249"/>
      <c r="U85" s="249"/>
      <c r="V85" s="249"/>
    </row>
    <row r="86" spans="1:22" hidden="1" x14ac:dyDescent="0.4">
      <c r="A86" s="249"/>
      <c r="B86" s="249"/>
      <c r="C86" s="249"/>
      <c r="D86" s="249"/>
      <c r="E86" s="249"/>
      <c r="F86" s="249"/>
      <c r="G86" s="249"/>
      <c r="H86" s="249"/>
      <c r="I86" s="249"/>
      <c r="J86" s="249"/>
      <c r="K86" s="249"/>
      <c r="L86" s="249"/>
      <c r="M86" s="249"/>
      <c r="N86" s="249"/>
      <c r="O86" s="249"/>
      <c r="P86" s="249"/>
      <c r="Q86" s="249"/>
      <c r="R86" s="249"/>
      <c r="S86" s="249"/>
      <c r="T86" s="249"/>
      <c r="U86" s="249"/>
      <c r="V86" s="249"/>
    </row>
    <row r="87" spans="1:22" hidden="1" x14ac:dyDescent="0.4">
      <c r="A87" s="249"/>
      <c r="B87" s="249"/>
      <c r="C87" s="249"/>
      <c r="D87" s="249"/>
      <c r="E87" s="249"/>
      <c r="F87" s="249"/>
      <c r="G87" s="249"/>
      <c r="H87" s="249"/>
      <c r="I87" s="249"/>
      <c r="J87" s="249"/>
      <c r="K87" s="249"/>
      <c r="L87" s="249"/>
      <c r="M87" s="249"/>
      <c r="N87" s="249"/>
      <c r="O87" s="249"/>
      <c r="P87" s="249"/>
      <c r="Q87" s="249"/>
      <c r="R87" s="249"/>
      <c r="S87" s="249"/>
      <c r="T87" s="249"/>
      <c r="U87" s="249"/>
      <c r="V87" s="249"/>
    </row>
    <row r="88" spans="1:22" hidden="1" x14ac:dyDescent="0.4">
      <c r="A88" s="249"/>
      <c r="B88" s="249"/>
      <c r="C88" s="249"/>
      <c r="D88" s="249"/>
      <c r="E88" s="249"/>
      <c r="F88" s="249"/>
      <c r="G88" s="249"/>
      <c r="H88" s="249"/>
      <c r="I88" s="249"/>
      <c r="J88" s="249"/>
      <c r="K88" s="249"/>
      <c r="L88" s="249"/>
      <c r="M88" s="249"/>
      <c r="N88" s="249"/>
      <c r="O88" s="249"/>
      <c r="P88" s="249"/>
      <c r="Q88" s="249"/>
      <c r="R88" s="249"/>
      <c r="S88" s="249"/>
      <c r="T88" s="249"/>
      <c r="U88" s="249"/>
      <c r="V88" s="249"/>
    </row>
    <row r="89" spans="1:22" hidden="1" x14ac:dyDescent="0.4">
      <c r="A89" s="249"/>
      <c r="B89" s="249"/>
      <c r="C89" s="249"/>
      <c r="D89" s="249"/>
      <c r="E89" s="249"/>
      <c r="F89" s="249"/>
      <c r="G89" s="249"/>
      <c r="H89" s="249"/>
      <c r="I89" s="249"/>
      <c r="J89" s="249"/>
      <c r="K89" s="249"/>
      <c r="L89" s="249"/>
      <c r="M89" s="249"/>
      <c r="N89" s="249"/>
      <c r="O89" s="249"/>
      <c r="P89" s="249"/>
      <c r="Q89" s="249"/>
      <c r="R89" s="249"/>
      <c r="S89" s="249"/>
      <c r="T89" s="249"/>
      <c r="U89" s="249"/>
      <c r="V89" s="249"/>
    </row>
    <row r="90" spans="1:22" hidden="1" x14ac:dyDescent="0.4">
      <c r="A90" s="249"/>
      <c r="B90" s="249"/>
      <c r="C90" s="249"/>
      <c r="D90" s="249"/>
      <c r="E90" s="249"/>
      <c r="F90" s="249"/>
      <c r="G90" s="249"/>
      <c r="H90" s="249"/>
      <c r="I90" s="249"/>
      <c r="J90" s="249"/>
      <c r="K90" s="249"/>
      <c r="L90" s="249"/>
      <c r="M90" s="249"/>
      <c r="N90" s="249"/>
      <c r="O90" s="249"/>
      <c r="P90" s="249"/>
      <c r="Q90" s="249"/>
      <c r="R90" s="249"/>
      <c r="S90" s="249"/>
      <c r="T90" s="249"/>
      <c r="U90" s="249"/>
      <c r="V90" s="249"/>
    </row>
    <row r="91" spans="1:22" hidden="1" x14ac:dyDescent="0.4">
      <c r="A91" s="249"/>
      <c r="B91" s="249"/>
      <c r="C91" s="249"/>
      <c r="D91" s="249"/>
      <c r="E91" s="249"/>
      <c r="F91" s="249"/>
      <c r="G91" s="249"/>
      <c r="H91" s="249"/>
      <c r="I91" s="249"/>
      <c r="J91" s="249"/>
      <c r="K91" s="249"/>
      <c r="L91" s="249"/>
      <c r="M91" s="249"/>
      <c r="N91" s="249"/>
      <c r="O91" s="249"/>
      <c r="P91" s="249"/>
      <c r="Q91" s="249"/>
      <c r="R91" s="249"/>
      <c r="S91" s="249"/>
      <c r="T91" s="249"/>
      <c r="U91" s="249"/>
      <c r="V91" s="249"/>
    </row>
    <row r="92" spans="1:22" hidden="1" x14ac:dyDescent="0.4">
      <c r="A92" s="249"/>
      <c r="B92" s="249"/>
      <c r="C92" s="249"/>
      <c r="D92" s="249"/>
      <c r="E92" s="249"/>
      <c r="F92" s="249"/>
      <c r="G92" s="249"/>
      <c r="H92" s="249"/>
      <c r="I92" s="249"/>
      <c r="J92" s="249"/>
      <c r="K92" s="249"/>
      <c r="L92" s="249"/>
      <c r="M92" s="249"/>
      <c r="N92" s="249"/>
      <c r="O92" s="249"/>
      <c r="P92" s="249"/>
      <c r="Q92" s="249"/>
      <c r="R92" s="249"/>
      <c r="S92" s="249"/>
      <c r="T92" s="249"/>
      <c r="U92" s="249"/>
      <c r="V92" s="249"/>
    </row>
    <row r="93" spans="1:22" hidden="1" x14ac:dyDescent="0.4">
      <c r="A93" s="249"/>
      <c r="B93" s="249"/>
      <c r="C93" s="249"/>
      <c r="D93" s="249"/>
      <c r="E93" s="249"/>
      <c r="F93" s="249"/>
      <c r="G93" s="249"/>
      <c r="H93" s="249"/>
      <c r="I93" s="249"/>
      <c r="J93" s="249"/>
      <c r="K93" s="249"/>
      <c r="L93" s="249"/>
      <c r="M93" s="249"/>
      <c r="N93" s="249"/>
      <c r="O93" s="249"/>
      <c r="P93" s="249"/>
      <c r="Q93" s="249"/>
      <c r="R93" s="249"/>
      <c r="S93" s="249"/>
      <c r="T93" s="249"/>
      <c r="U93" s="249"/>
      <c r="V93" s="249"/>
    </row>
    <row r="94" spans="1:22" hidden="1" x14ac:dyDescent="0.4">
      <c r="A94" s="249"/>
      <c r="B94" s="249"/>
      <c r="C94" s="249"/>
      <c r="D94" s="249"/>
      <c r="E94" s="249"/>
      <c r="F94" s="249"/>
      <c r="G94" s="249"/>
      <c r="H94" s="249"/>
      <c r="I94" s="249"/>
      <c r="J94" s="249"/>
      <c r="K94" s="249"/>
      <c r="L94" s="249"/>
      <c r="M94" s="249"/>
      <c r="N94" s="249"/>
      <c r="O94" s="249"/>
      <c r="P94" s="249"/>
      <c r="Q94" s="249"/>
      <c r="R94" s="249"/>
      <c r="S94" s="249"/>
      <c r="T94" s="249"/>
      <c r="U94" s="249"/>
      <c r="V94" s="249"/>
    </row>
    <row r="95" spans="1:22" hidden="1" x14ac:dyDescent="0.4">
      <c r="A95" s="249"/>
      <c r="B95" s="249"/>
      <c r="C95" s="249"/>
      <c r="D95" s="249"/>
      <c r="E95" s="249"/>
      <c r="F95" s="249"/>
      <c r="G95" s="249"/>
      <c r="H95" s="249"/>
      <c r="I95" s="249"/>
      <c r="J95" s="249"/>
      <c r="K95" s="249"/>
      <c r="L95" s="249"/>
      <c r="M95" s="249"/>
      <c r="N95" s="249"/>
      <c r="O95" s="249"/>
      <c r="P95" s="249"/>
      <c r="Q95" s="249"/>
      <c r="R95" s="249"/>
      <c r="S95" s="249"/>
      <c r="T95" s="249"/>
      <c r="U95" s="249"/>
      <c r="V95" s="249"/>
    </row>
    <row r="96" spans="1:22" hidden="1" x14ac:dyDescent="0.4">
      <c r="A96" s="249"/>
      <c r="B96" s="249"/>
      <c r="C96" s="249"/>
      <c r="D96" s="249"/>
      <c r="E96" s="249"/>
      <c r="F96" s="249"/>
      <c r="G96" s="249"/>
      <c r="H96" s="249"/>
      <c r="I96" s="249"/>
      <c r="J96" s="249"/>
      <c r="K96" s="249"/>
      <c r="L96" s="249"/>
      <c r="M96" s="249"/>
      <c r="N96" s="249"/>
      <c r="O96" s="249"/>
      <c r="P96" s="249"/>
      <c r="Q96" s="249"/>
      <c r="R96" s="249"/>
      <c r="S96" s="249"/>
      <c r="T96" s="249"/>
      <c r="U96" s="249"/>
      <c r="V96" s="249"/>
    </row>
    <row r="97" spans="1:22" hidden="1" x14ac:dyDescent="0.4">
      <c r="A97" s="249"/>
      <c r="B97" s="249"/>
      <c r="C97" s="249"/>
      <c r="D97" s="249"/>
      <c r="E97" s="249"/>
      <c r="F97" s="249"/>
      <c r="G97" s="249"/>
      <c r="H97" s="249"/>
      <c r="I97" s="249"/>
      <c r="J97" s="249"/>
      <c r="K97" s="249"/>
      <c r="L97" s="249"/>
      <c r="M97" s="249"/>
      <c r="N97" s="249"/>
      <c r="O97" s="249"/>
      <c r="P97" s="249"/>
      <c r="Q97" s="249"/>
      <c r="R97" s="249"/>
      <c r="S97" s="249"/>
      <c r="T97" s="249"/>
      <c r="U97" s="249"/>
      <c r="V97" s="249"/>
    </row>
    <row r="98" spans="1:22" hidden="1" x14ac:dyDescent="0.4">
      <c r="A98" s="249"/>
      <c r="B98" s="249"/>
      <c r="C98" s="249"/>
      <c r="D98" s="249"/>
      <c r="E98" s="249"/>
      <c r="F98" s="249"/>
      <c r="G98" s="249"/>
      <c r="H98" s="249"/>
      <c r="I98" s="249"/>
      <c r="J98" s="249"/>
      <c r="K98" s="249"/>
      <c r="L98" s="249"/>
      <c r="M98" s="249"/>
      <c r="N98" s="249"/>
      <c r="O98" s="249"/>
      <c r="P98" s="249"/>
      <c r="Q98" s="249"/>
      <c r="R98" s="249"/>
      <c r="S98" s="249"/>
      <c r="T98" s="249"/>
      <c r="U98" s="249"/>
      <c r="V98" s="249"/>
    </row>
    <row r="99" spans="1:22" hidden="1" x14ac:dyDescent="0.4">
      <c r="A99" s="249"/>
      <c r="B99" s="249"/>
      <c r="C99" s="249"/>
      <c r="D99" s="249"/>
      <c r="E99" s="249"/>
      <c r="F99" s="249"/>
      <c r="G99" s="249"/>
      <c r="H99" s="249"/>
      <c r="I99" s="249"/>
      <c r="J99" s="249"/>
      <c r="K99" s="249"/>
      <c r="L99" s="249"/>
      <c r="M99" s="249"/>
      <c r="N99" s="249"/>
      <c r="O99" s="249"/>
      <c r="P99" s="249"/>
      <c r="Q99" s="249"/>
      <c r="R99" s="249"/>
      <c r="S99" s="249"/>
      <c r="T99" s="249"/>
      <c r="U99" s="249"/>
      <c r="V99" s="249"/>
    </row>
    <row r="100" spans="1:22" hidden="1" x14ac:dyDescent="0.4">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row>
    <row r="101" spans="1:22" hidden="1" x14ac:dyDescent="0.4">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row>
    <row r="102" spans="1:22" hidden="1" x14ac:dyDescent="0.4">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row>
    <row r="103" spans="1:22" hidden="1" x14ac:dyDescent="0.4">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row>
    <row r="104" spans="1:22" hidden="1" x14ac:dyDescent="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row>
    <row r="105" spans="1:22" hidden="1" x14ac:dyDescent="0.4">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row>
    <row r="106" spans="1:22" hidden="1" x14ac:dyDescent="0.4">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row>
    <row r="107" spans="1:22" hidden="1" x14ac:dyDescent="0.4">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row>
    <row r="108" spans="1:22" hidden="1" x14ac:dyDescent="0.4">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row>
    <row r="109" spans="1:22" hidden="1" x14ac:dyDescent="0.4">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row>
    <row r="110" spans="1:22" hidden="1" x14ac:dyDescent="0.4">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row>
    <row r="111" spans="1:22" hidden="1" x14ac:dyDescent="0.4">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row>
    <row r="112" spans="1:22" hidden="1" x14ac:dyDescent="0.4">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row>
    <row r="113" spans="1:22" hidden="1" x14ac:dyDescent="0.4">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row>
    <row r="114" spans="1:22" hidden="1" x14ac:dyDescent="0.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row>
    <row r="115" spans="1:22" hidden="1" x14ac:dyDescent="0.4">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row>
    <row r="116" spans="1:22" hidden="1" x14ac:dyDescent="0.4">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row>
    <row r="117" spans="1:22" hidden="1" x14ac:dyDescent="0.4">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row>
    <row r="118" spans="1:22" hidden="1" x14ac:dyDescent="0.4">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row>
    <row r="119" spans="1:22" hidden="1" x14ac:dyDescent="0.4">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row>
    <row r="120" spans="1:22" hidden="1" x14ac:dyDescent="0.4">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row>
    <row r="121" spans="1:22" hidden="1" x14ac:dyDescent="0.4">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row>
    <row r="122" spans="1:22" hidden="1" x14ac:dyDescent="0.4">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row>
    <row r="123" spans="1:22" hidden="1" x14ac:dyDescent="0.4">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row>
    <row r="124" spans="1:22" hidden="1" x14ac:dyDescent="0.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row>
    <row r="125" spans="1:22" x14ac:dyDescent="0.4">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row>
    <row r="126" spans="1:22" x14ac:dyDescent="0.4">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row>
  </sheetData>
  <mergeCells count="33">
    <mergeCell ref="J27:K27"/>
    <mergeCell ref="M27:N27"/>
    <mergeCell ref="J28:K28"/>
    <mergeCell ref="M28:N28"/>
    <mergeCell ref="J29:K29"/>
    <mergeCell ref="M29:N29"/>
    <mergeCell ref="J24:K24"/>
    <mergeCell ref="M24:N24"/>
    <mergeCell ref="J25:K25"/>
    <mergeCell ref="M25:N25"/>
    <mergeCell ref="J26:K26"/>
    <mergeCell ref="M26:N26"/>
    <mergeCell ref="B20:P20"/>
    <mergeCell ref="R20:S20"/>
    <mergeCell ref="B22:C23"/>
    <mergeCell ref="D22:D23"/>
    <mergeCell ref="F22:F23"/>
    <mergeCell ref="J22:L23"/>
    <mergeCell ref="M22:N23"/>
    <mergeCell ref="P22:P23"/>
    <mergeCell ref="R7:S7"/>
    <mergeCell ref="R9:S9"/>
    <mergeCell ref="R10:S10"/>
    <mergeCell ref="D11:N12"/>
    <mergeCell ref="R11:S11"/>
    <mergeCell ref="J14:S17"/>
    <mergeCell ref="B2:U2"/>
    <mergeCell ref="B3:I3"/>
    <mergeCell ref="J3:U3"/>
    <mergeCell ref="B4:I4"/>
    <mergeCell ref="J4:U4"/>
    <mergeCell ref="B6:P6"/>
    <mergeCell ref="R6:S6"/>
  </mergeCells>
  <conditionalFormatting sqref="P7">
    <cfRule type="containsText" dxfId="340" priority="4" operator="containsText" text="Non validé">
      <formula>NOT(ISERROR(SEARCH("Non validé",P7)))</formula>
    </cfRule>
    <cfRule type="containsText" dxfId="339" priority="5" operator="containsText" text="réserve">
      <formula>NOT(ISERROR(SEARCH("réserve",P7)))</formula>
    </cfRule>
    <cfRule type="containsText" dxfId="338" priority="6" operator="containsText" text="Validé">
      <formula>NOT(ISERROR(SEARCH("Validé",P7)))</formula>
    </cfRule>
  </conditionalFormatting>
  <conditionalFormatting sqref="P9:P11">
    <cfRule type="containsText" dxfId="337" priority="1" operator="containsText" text="Non validé">
      <formula>NOT(ISERROR(SEARCH("Non validé",P9)))</formula>
    </cfRule>
    <cfRule type="containsText" dxfId="336" priority="2" operator="containsText" text="réserve">
      <formula>NOT(ISERROR(SEARCH("réserve",P9)))</formula>
    </cfRule>
    <cfRule type="containsText" dxfId="335" priority="3" operator="containsText" text="Validé">
      <formula>NOT(ISERROR(SEARCH("Validé",P9)))</formula>
    </cfRule>
  </conditionalFormatting>
  <dataValidations count="4">
    <dataValidation type="list" allowBlank="1" showInputMessage="1" showErrorMessage="1" prompt="Si OUI, alors compléter le tableau et évaluer chaque paramètre" sqref="L24:L29 C24:C29" xr:uid="{E403A1EA-02AD-4481-B376-195CCDE3B4E5}">
      <formula1>"Oui, Non"</formula1>
    </dataValidation>
    <dataValidation type="list" errorStyle="information" allowBlank="1" showInputMessage="1" sqref="P9:P11 P7" xr:uid="{F87AAC7E-E14F-41C5-B206-9641F048BAD4}">
      <formula1>INDIRECT("LISTE_3")</formula1>
    </dataValidation>
    <dataValidation errorStyle="information" allowBlank="1" showInputMessage="1" sqref="F24:F29 P24:P29" xr:uid="{D8F8F2E3-9881-4338-A781-3B4F81BFE5B3}"/>
    <dataValidation allowBlank="1" showInputMessage="1" showErrorMessage="1" promptTitle="Paramète supplémentaire" sqref="B31:B32" xr:uid="{138864AA-8975-45E7-80EE-EB3EC951C1E4}"/>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C06C-EB35-4766-9B6E-EEB8A8E4827D}">
  <sheetPr codeName="Feuil2">
    <tabColor rgb="FFFF0000"/>
    <pageSetUpPr fitToPage="1"/>
  </sheetPr>
  <dimension ref="A2:Z57"/>
  <sheetViews>
    <sheetView topLeftCell="A14" zoomScaleNormal="100" workbookViewId="0">
      <selection activeCell="U54" sqref="U54"/>
    </sheetView>
  </sheetViews>
  <sheetFormatPr baseColWidth="10" defaultColWidth="0" defaultRowHeight="12.75" customHeight="1" zeroHeight="1" outlineLevelRow="1" x14ac:dyDescent="0.4"/>
  <cols>
    <col min="1" max="1" width="2.1171875" style="50" customWidth="1"/>
    <col min="2" max="2" width="7.5859375" style="50" customWidth="1"/>
    <col min="3" max="3" width="6.29296875" style="50" customWidth="1"/>
    <col min="4" max="4" width="16.703125" style="50" customWidth="1"/>
    <col min="5" max="5" width="10.41015625" style="50" customWidth="1"/>
    <col min="6" max="6" width="14.41015625" style="50" customWidth="1"/>
    <col min="7" max="7" width="10.703125" style="50" customWidth="1"/>
    <col min="8" max="9" width="4.29296875" style="50" customWidth="1"/>
    <col min="10" max="10" width="4.87890625" style="50" customWidth="1"/>
    <col min="11" max="19" width="4.29296875" style="50" customWidth="1"/>
    <col min="20" max="20" width="5.87890625" style="50" customWidth="1"/>
    <col min="21" max="21" width="31.5859375" style="50" customWidth="1"/>
    <col min="22" max="22" width="13.1171875" style="50" customWidth="1"/>
    <col min="23" max="23" width="5.1171875" style="50" customWidth="1"/>
    <col min="24" max="24" width="1" style="50" customWidth="1"/>
    <col min="25" max="25" width="0.41015625" style="50" customWidth="1"/>
    <col min="26" max="26" width="13.703125" style="50" hidden="1" customWidth="1"/>
    <col min="27" max="27" width="1.703125" style="50" hidden="1" customWidth="1"/>
    <col min="28" max="16384" width="1.703125" style="50" hidden="1"/>
  </cols>
  <sheetData>
    <row r="2" spans="1:26" s="51" customFormat="1" ht="77.25" customHeight="1" thickBot="1" x14ac:dyDescent="0.45">
      <c r="B2" s="1455"/>
      <c r="C2" s="1456"/>
      <c r="D2" s="1457" t="s">
        <v>114</v>
      </c>
      <c r="E2" s="1458"/>
      <c r="F2" s="1458"/>
      <c r="G2" s="1458"/>
      <c r="H2" s="1458"/>
      <c r="I2" s="1458"/>
      <c r="J2" s="1458"/>
      <c r="K2" s="1458"/>
      <c r="L2" s="1458"/>
      <c r="M2" s="1458"/>
      <c r="N2" s="1458"/>
      <c r="O2" s="1458"/>
      <c r="P2" s="1458"/>
      <c r="Q2" s="1458"/>
      <c r="R2" s="1458"/>
      <c r="S2" s="1458"/>
      <c r="T2" s="1458"/>
      <c r="U2" s="1458"/>
      <c r="V2" s="1458"/>
      <c r="W2" s="1459"/>
    </row>
    <row r="3" spans="1:26" s="51" customFormat="1" ht="35.25" customHeight="1" x14ac:dyDescent="0.4">
      <c r="B3" s="1460" t="s">
        <v>115</v>
      </c>
      <c r="C3" s="1461"/>
      <c r="D3" s="1462"/>
      <c r="E3" s="1469"/>
      <c r="F3" s="1470"/>
      <c r="G3" s="1470"/>
      <c r="H3" s="1470"/>
      <c r="I3" s="1470"/>
      <c r="J3" s="1470"/>
      <c r="K3" s="1470"/>
      <c r="L3" s="1470"/>
      <c r="M3" s="1470"/>
      <c r="N3" s="1470"/>
      <c r="O3" s="1470"/>
      <c r="P3" s="1470"/>
      <c r="Q3" s="1470"/>
      <c r="R3" s="1470"/>
      <c r="S3" s="1470"/>
      <c r="T3" s="1470"/>
      <c r="U3" s="1470"/>
      <c r="V3" s="1471" t="s">
        <v>3</v>
      </c>
      <c r="W3" s="1472"/>
    </row>
    <row r="4" spans="1:26" s="51" customFormat="1" ht="24.75" customHeight="1" x14ac:dyDescent="0.4">
      <c r="B4" s="1463" t="s">
        <v>116</v>
      </c>
      <c r="C4" s="1464"/>
      <c r="D4" s="1465" t="e">
        <f>IF(#REF!="","",#REF!)</f>
        <v>#REF!</v>
      </c>
      <c r="E4" s="1466"/>
      <c r="F4" s="1467"/>
      <c r="G4" s="1467"/>
      <c r="H4" s="1468" t="s">
        <v>4</v>
      </c>
      <c r="I4" s="1464"/>
      <c r="J4" s="1464"/>
      <c r="K4" s="1464"/>
      <c r="L4" s="1464"/>
      <c r="M4" s="1464"/>
      <c r="N4" s="1464"/>
      <c r="O4" s="1465"/>
      <c r="P4" s="1475"/>
      <c r="Q4" s="1476"/>
      <c r="R4" s="1476"/>
      <c r="S4" s="1476"/>
      <c r="T4" s="1476"/>
      <c r="U4" s="1477"/>
      <c r="V4" s="1473"/>
      <c r="W4" s="1474"/>
    </row>
    <row r="5" spans="1:26" s="51" customFormat="1" ht="24.75" customHeight="1" x14ac:dyDescent="0.4">
      <c r="B5" s="1463" t="s">
        <v>5</v>
      </c>
      <c r="C5" s="1464"/>
      <c r="D5" s="1465" t="e">
        <f>IF(#REF!="","",#REF!)</f>
        <v>#REF!</v>
      </c>
      <c r="E5" s="1498"/>
      <c r="F5" s="1499"/>
      <c r="G5" s="1499"/>
      <c r="H5" s="1468" t="s">
        <v>6</v>
      </c>
      <c r="I5" s="1464"/>
      <c r="J5" s="1464"/>
      <c r="K5" s="1464"/>
      <c r="L5" s="1464"/>
      <c r="M5" s="1464"/>
      <c r="N5" s="1464"/>
      <c r="O5" s="1465"/>
      <c r="P5" s="1475"/>
      <c r="Q5" s="1476"/>
      <c r="R5" s="1476"/>
      <c r="S5" s="1476"/>
      <c r="T5" s="1476"/>
      <c r="U5" s="1477"/>
      <c r="V5" s="1478"/>
      <c r="W5" s="1474"/>
    </row>
    <row r="6" spans="1:26" s="51" customFormat="1" ht="27.75" customHeight="1" thickBot="1" x14ac:dyDescent="0.45">
      <c r="B6" s="1479" t="s">
        <v>7</v>
      </c>
      <c r="C6" s="1480"/>
      <c r="D6" s="1481" t="e">
        <f>IF(#REF!="","",#REF!)</f>
        <v>#REF!</v>
      </c>
      <c r="E6" s="1482"/>
      <c r="F6" s="1483"/>
      <c r="G6" s="1483"/>
      <c r="H6" s="1500" t="s">
        <v>8</v>
      </c>
      <c r="I6" s="1501"/>
      <c r="J6" s="1501"/>
      <c r="K6" s="1501"/>
      <c r="L6" s="1501"/>
      <c r="M6" s="1501"/>
      <c r="N6" s="1501"/>
      <c r="O6" s="1501"/>
      <c r="P6" s="1487"/>
      <c r="Q6" s="1488"/>
      <c r="R6" s="1488"/>
      <c r="S6" s="1488"/>
      <c r="T6" s="1489"/>
      <c r="U6" s="52"/>
      <c r="V6" s="1496"/>
      <c r="W6" s="1497"/>
    </row>
    <row r="7" spans="1:26" s="51" customFormat="1" ht="17.25" customHeight="1" x14ac:dyDescent="0.4">
      <c r="B7" s="228"/>
      <c r="C7" s="228"/>
      <c r="D7" s="228"/>
      <c r="E7" s="229"/>
      <c r="F7" s="229"/>
      <c r="G7" s="229"/>
      <c r="H7" s="229"/>
      <c r="I7" s="229"/>
      <c r="J7" s="229"/>
      <c r="K7" s="229"/>
      <c r="L7" s="229"/>
      <c r="M7" s="229"/>
      <c r="N7" s="229"/>
      <c r="O7" s="229"/>
      <c r="P7" s="229"/>
      <c r="Q7" s="229"/>
      <c r="R7" s="229"/>
      <c r="S7" s="229"/>
      <c r="T7" s="229"/>
      <c r="U7" s="230"/>
      <c r="V7" s="229"/>
      <c r="W7" s="229"/>
    </row>
    <row r="8" spans="1:26" s="51" customFormat="1" ht="38.25" customHeight="1" thickBot="1" x14ac:dyDescent="0.45">
      <c r="B8" s="1486" t="s">
        <v>9</v>
      </c>
      <c r="C8" s="1486"/>
      <c r="D8" s="1486"/>
      <c r="E8" s="1486"/>
      <c r="F8" s="231"/>
      <c r="G8" s="231" t="s">
        <v>10</v>
      </c>
      <c r="H8" s="231"/>
      <c r="I8" s="231"/>
      <c r="J8" s="231"/>
      <c r="K8" s="231"/>
      <c r="L8" s="231"/>
      <c r="M8" s="231"/>
      <c r="N8" s="232" t="s">
        <v>11</v>
      </c>
      <c r="O8" s="229"/>
      <c r="P8" s="233"/>
      <c r="Q8" s="233"/>
      <c r="R8" s="231"/>
      <c r="S8" s="231"/>
      <c r="T8" s="231"/>
      <c r="U8" s="234" t="s">
        <v>12</v>
      </c>
      <c r="V8" s="235"/>
      <c r="W8" s="235"/>
    </row>
    <row r="9" spans="1:26" s="51" customFormat="1" ht="36.75" customHeight="1" thickBot="1" x14ac:dyDescent="0.55000000000000004">
      <c r="B9" s="1484" t="s">
        <v>117</v>
      </c>
      <c r="C9" s="1484"/>
      <c r="D9" s="1485"/>
      <c r="E9" s="150" t="s">
        <v>14</v>
      </c>
      <c r="F9" s="236"/>
      <c r="G9" s="1430" t="s">
        <v>15</v>
      </c>
      <c r="H9" s="1430"/>
      <c r="I9" s="1430"/>
      <c r="J9" s="1430"/>
      <c r="K9" s="1431"/>
      <c r="L9" s="1432"/>
      <c r="M9" s="1432"/>
      <c r="N9" s="1432"/>
      <c r="O9" s="1432"/>
      <c r="P9" s="1432"/>
      <c r="Q9" s="1433"/>
      <c r="R9" s="231"/>
      <c r="S9" s="231"/>
      <c r="T9" s="231"/>
      <c r="U9" s="1490"/>
      <c r="V9" s="1491"/>
      <c r="W9" s="1492"/>
    </row>
    <row r="10" spans="1:26" ht="36.75" customHeight="1" thickBot="1" x14ac:dyDescent="0.55000000000000004">
      <c r="A10" s="229"/>
      <c r="B10" s="1533" t="s">
        <v>29</v>
      </c>
      <c r="C10" s="1534"/>
      <c r="D10" s="60"/>
      <c r="E10" s="156" t="e" cm="1">
        <f t="array" ref="E10">_xlfn.IFS(I34="","",$K$10="Validé",AVERAGE(I34:I35,J34),$K$10="Non validé",AVERAGE(I34:I35,J34)*0.9)</f>
        <v>#N/A</v>
      </c>
      <c r="F10" s="236"/>
      <c r="G10" s="1430" t="s">
        <v>17</v>
      </c>
      <c r="H10" s="1430"/>
      <c r="I10" s="1430"/>
      <c r="J10" s="1430"/>
      <c r="K10" s="1493"/>
      <c r="L10" s="1494"/>
      <c r="M10" s="1494"/>
      <c r="N10" s="1494"/>
      <c r="O10" s="1494"/>
      <c r="P10" s="1494"/>
      <c r="Q10" s="1495"/>
      <c r="R10" s="229"/>
      <c r="S10" s="231"/>
      <c r="T10" s="229"/>
      <c r="U10" s="1490"/>
      <c r="V10" s="1491"/>
      <c r="W10" s="1492"/>
      <c r="X10" s="229"/>
      <c r="Y10" s="229"/>
      <c r="Z10" s="229"/>
    </row>
    <row r="11" spans="1:26" ht="36.75" customHeight="1" x14ac:dyDescent="0.4">
      <c r="A11" s="229"/>
      <c r="B11" s="1453" t="s">
        <v>30</v>
      </c>
      <c r="C11" s="1454"/>
      <c r="D11" s="153"/>
      <c r="E11" s="155" t="str" cm="1">
        <f t="array" ref="E11">_xlfn.IFS(I36="","",$K$10="Validé",AVERAGE(I36:I37,J36),$K$10="Non validé",AVERAGE(I36:I37,J36)*0.9)</f>
        <v/>
      </c>
      <c r="F11" s="237"/>
      <c r="G11" s="160" t="s">
        <v>240</v>
      </c>
      <c r="H11" s="160"/>
      <c r="I11" s="160"/>
      <c r="J11" s="160"/>
      <c r="K11" s="160"/>
      <c r="L11" s="160"/>
      <c r="M11" s="160"/>
      <c r="N11" s="160"/>
      <c r="O11" s="160"/>
      <c r="P11" s="160"/>
      <c r="Q11" s="229"/>
      <c r="R11" s="229"/>
      <c r="S11" s="229"/>
      <c r="T11" s="229"/>
      <c r="U11" s="238"/>
      <c r="V11" s="238"/>
      <c r="W11" s="238"/>
      <c r="X11" s="229"/>
      <c r="Y11" s="229"/>
      <c r="Z11" s="229"/>
    </row>
    <row r="12" spans="1:26" ht="36.75" customHeight="1" thickBot="1" x14ac:dyDescent="0.45">
      <c r="A12" s="229"/>
      <c r="B12" s="1453" t="s">
        <v>31</v>
      </c>
      <c r="C12" s="1454"/>
      <c r="D12" s="153"/>
      <c r="E12" s="155" t="e" cm="1">
        <f t="array" ref="E12">_xlfn.IFS(I38="","",$K$10="Validé",AVERAGE(I38:I39,J38),$K$10="Non validé",AVERAGE(I38:I39,J38)*0.9)</f>
        <v>#N/A</v>
      </c>
      <c r="F12" s="229"/>
      <c r="G12" s="231" t="s">
        <v>118</v>
      </c>
      <c r="H12" s="229"/>
      <c r="I12" s="229"/>
      <c r="J12" s="229"/>
      <c r="K12" s="229"/>
      <c r="L12" s="229"/>
      <c r="M12" s="229"/>
      <c r="N12" s="229"/>
      <c r="O12" s="229"/>
      <c r="P12" s="229"/>
      <c r="Q12" s="229"/>
      <c r="R12" s="229"/>
      <c r="S12" s="229"/>
      <c r="T12" s="231"/>
      <c r="U12" s="239" t="s">
        <v>75</v>
      </c>
      <c r="V12" s="238"/>
      <c r="W12" s="238"/>
      <c r="X12" s="229"/>
      <c r="Y12" s="229"/>
      <c r="Z12" s="229"/>
    </row>
    <row r="13" spans="1:26" ht="36.75" customHeight="1" thickBot="1" x14ac:dyDescent="0.45">
      <c r="A13" s="229"/>
      <c r="B13" s="1453" t="s">
        <v>46</v>
      </c>
      <c r="C13" s="1454"/>
      <c r="D13" s="153"/>
      <c r="E13" s="155" t="str" cm="1">
        <f t="array" ref="E13">_xlfn.IFS(I40="","",$K$10="Validé",AVERAGE(I40:I41,J40),$K$10="Non validé",AVERAGE(I40:I41,J40)*0.9)</f>
        <v/>
      </c>
      <c r="F13" s="229"/>
      <c r="G13" s="1430" t="s">
        <v>119</v>
      </c>
      <c r="H13" s="1430"/>
      <c r="I13" s="1430"/>
      <c r="J13" s="1430"/>
      <c r="K13" s="1532"/>
      <c r="L13" s="1532"/>
      <c r="M13" s="1532"/>
      <c r="N13" s="1532"/>
      <c r="O13" s="1532"/>
      <c r="P13" s="1532"/>
      <c r="Q13" s="1532"/>
      <c r="R13" s="229"/>
      <c r="S13" s="229"/>
      <c r="T13" s="229"/>
      <c r="U13" s="1490"/>
      <c r="V13" s="1491"/>
      <c r="W13" s="1492"/>
      <c r="X13" s="229"/>
      <c r="Y13" s="229"/>
      <c r="Z13" s="229"/>
    </row>
    <row r="14" spans="1:26" s="51" customFormat="1" ht="36.75" customHeight="1" thickBot="1" x14ac:dyDescent="0.45">
      <c r="B14" s="1453" t="s">
        <v>47</v>
      </c>
      <c r="C14" s="1454"/>
      <c r="D14" s="153"/>
      <c r="E14" s="155" t="str" cm="1">
        <f t="array" ref="E14">_xlfn.IFS(I42="","",$K$10="Validé",AVERAGE(I42:I43,J42),$K$10="Non validé",AVERAGE(I42:I43,J42)*0.9)</f>
        <v/>
      </c>
      <c r="F14" s="229"/>
      <c r="G14" s="1430" t="s">
        <v>120</v>
      </c>
      <c r="H14" s="1430"/>
      <c r="I14" s="1430"/>
      <c r="J14" s="1430"/>
      <c r="K14" s="1532"/>
      <c r="L14" s="1532"/>
      <c r="M14" s="1532"/>
      <c r="N14" s="1532"/>
      <c r="O14" s="1532"/>
      <c r="P14" s="1532"/>
      <c r="Q14" s="1532"/>
      <c r="R14" s="229"/>
      <c r="S14" s="229"/>
      <c r="T14" s="229"/>
      <c r="U14" s="1490"/>
      <c r="V14" s="1491"/>
      <c r="W14" s="1492"/>
    </row>
    <row r="15" spans="1:26" ht="36.75" customHeight="1" thickBot="1" x14ac:dyDescent="0.45">
      <c r="A15" s="229"/>
      <c r="B15" s="1453" t="s">
        <v>48</v>
      </c>
      <c r="C15" s="1454"/>
      <c r="D15" s="153"/>
      <c r="E15" s="155" t="str" cm="1">
        <f t="array" ref="E15">_xlfn.IFS(I44="","",$K$10="Validé",AVERAGE(I44:I45,J44),$K$10="Non validé",AVERAGE(I44:I45,J44)*0.9)</f>
        <v/>
      </c>
      <c r="F15" s="229"/>
      <c r="G15" s="1430" t="s">
        <v>121</v>
      </c>
      <c r="H15" s="1430"/>
      <c r="I15" s="1430"/>
      <c r="J15" s="1430"/>
      <c r="K15" s="1532"/>
      <c r="L15" s="1532"/>
      <c r="M15" s="1532"/>
      <c r="N15" s="1532"/>
      <c r="O15" s="1532"/>
      <c r="P15" s="1532"/>
      <c r="Q15" s="1532"/>
      <c r="R15" s="229"/>
      <c r="S15" s="229"/>
      <c r="T15" s="229"/>
      <c r="U15" s="1490"/>
      <c r="V15" s="1491"/>
      <c r="W15" s="1492"/>
      <c r="X15" s="229"/>
      <c r="Y15" s="229"/>
      <c r="Z15" s="229"/>
    </row>
    <row r="16" spans="1:26" ht="36.75" customHeight="1" thickBot="1" x14ac:dyDescent="0.45">
      <c r="A16" s="229"/>
      <c r="B16" s="1453" t="s">
        <v>49</v>
      </c>
      <c r="C16" s="1454"/>
      <c r="D16" s="153"/>
      <c r="E16" s="155" t="str" cm="1">
        <f t="array" ref="E16">_xlfn.IFS(I46="","",$K$10="Validé",AVERAGE(I46:I47,J46),$K$10="Non validé",AVERAGE(I46:I47,J46)*0.9)</f>
        <v/>
      </c>
      <c r="F16" s="229"/>
      <c r="G16" s="231" t="s">
        <v>20</v>
      </c>
      <c r="H16" s="229"/>
      <c r="I16" s="229"/>
      <c r="J16" s="229"/>
      <c r="K16" s="229"/>
      <c r="L16" s="229"/>
      <c r="M16" s="229"/>
      <c r="N16" s="229"/>
      <c r="O16" s="229"/>
      <c r="P16" s="229"/>
      <c r="Q16" s="229"/>
      <c r="R16" s="229"/>
      <c r="S16" s="229"/>
      <c r="T16" s="229"/>
      <c r="U16" s="229"/>
      <c r="V16" s="229"/>
      <c r="W16" s="229"/>
      <c r="X16" s="229"/>
      <c r="Y16" s="229"/>
      <c r="Z16" s="229"/>
    </row>
    <row r="17" spans="1:26" ht="36.75" customHeight="1" thickBot="1" x14ac:dyDescent="0.45">
      <c r="A17" s="229"/>
      <c r="B17" s="1453" t="s">
        <v>50</v>
      </c>
      <c r="C17" s="1454"/>
      <c r="D17" s="153"/>
      <c r="E17" s="155" t="str" cm="1">
        <f t="array" ref="E17">_xlfn.IFS(I48="","",$K$10="Validé",AVERAGE(I48:I49,J48),$K$10="Non validé",AVERAGE(I48:I49,J48)*0.9)</f>
        <v/>
      </c>
      <c r="F17" s="229"/>
      <c r="G17" s="229"/>
      <c r="H17" s="53" t="s">
        <v>21</v>
      </c>
      <c r="I17" s="54" t="s">
        <v>22</v>
      </c>
      <c r="J17" s="55" t="s">
        <v>23</v>
      </c>
      <c r="K17" s="229"/>
      <c r="L17" s="229"/>
      <c r="M17" s="239" t="s">
        <v>75</v>
      </c>
      <c r="N17" s="229"/>
      <c r="O17" s="229"/>
      <c r="P17" s="229"/>
      <c r="Q17" s="229"/>
      <c r="R17" s="229"/>
      <c r="S17" s="229"/>
      <c r="T17" s="229"/>
      <c r="U17" s="229"/>
      <c r="V17" s="229"/>
      <c r="W17" s="229"/>
      <c r="X17" s="229"/>
      <c r="Y17" s="229"/>
      <c r="Z17" s="229"/>
    </row>
    <row r="18" spans="1:26" ht="36.75" customHeight="1" x14ac:dyDescent="0.4">
      <c r="A18" s="229"/>
      <c r="B18" s="1453" t="s">
        <v>51</v>
      </c>
      <c r="C18" s="1454"/>
      <c r="D18" s="153"/>
      <c r="E18" s="155" t="str" cm="1">
        <f t="array" ref="E18">_xlfn.IFS(I50="","",$K$10="Validé",AVERAGE(I50:I51,J50),$K$10="Non validé",AVERAGE(I50:I51,J50)*0.9)</f>
        <v/>
      </c>
      <c r="F18" s="229"/>
      <c r="G18" s="1530" t="s">
        <v>25</v>
      </c>
      <c r="H18" s="1526" t="str">
        <f>IF([2]AnalysesComparatives_SCL!P9="","",[2]AnalysesComparatives_SCL!P9)</f>
        <v/>
      </c>
      <c r="I18" s="1526" t="str">
        <f>IF([2]AnalysesComparatives_SCL!P10=0,"",[2]AnalysesComparatives_SCL!P10)</f>
        <v/>
      </c>
      <c r="J18" s="1528" t="str">
        <f>IF([2]AnalysesComparatives_SCL!P11=0,"",[2]AnalysesComparatives_SCL!P11)</f>
        <v/>
      </c>
      <c r="K18" s="229"/>
      <c r="L18" s="229"/>
      <c r="M18" s="1517">
        <f>[2]AnalysesComparatives_SCL!J14</f>
        <v>0</v>
      </c>
      <c r="N18" s="1518"/>
      <c r="O18" s="1518"/>
      <c r="P18" s="1518"/>
      <c r="Q18" s="1518"/>
      <c r="R18" s="1518"/>
      <c r="S18" s="1518"/>
      <c r="T18" s="1518"/>
      <c r="U18" s="1518"/>
      <c r="V18" s="1518"/>
      <c r="W18" s="1519"/>
      <c r="X18" s="229"/>
      <c r="Y18" s="229"/>
      <c r="Z18" s="229"/>
    </row>
    <row r="19" spans="1:26" ht="36.75" customHeight="1" thickBot="1" x14ac:dyDescent="0.45">
      <c r="A19" s="229"/>
      <c r="B19" s="1453" t="s">
        <v>52</v>
      </c>
      <c r="C19" s="1454"/>
      <c r="D19" s="153"/>
      <c r="E19" s="155" t="str" cm="1">
        <f t="array" ref="E19">_xlfn.IFS(I52="","",$K$10="Validé",AVERAGE(I52:I53,J52),$K$10="Non validé",AVERAGE(I52:I53,J52)*0.9)</f>
        <v/>
      </c>
      <c r="F19" s="229"/>
      <c r="G19" s="1531"/>
      <c r="H19" s="1527"/>
      <c r="I19" s="1527"/>
      <c r="J19" s="1529"/>
      <c r="K19" s="229"/>
      <c r="L19" s="229"/>
      <c r="M19" s="1520"/>
      <c r="N19" s="1521"/>
      <c r="O19" s="1521"/>
      <c r="P19" s="1521"/>
      <c r="Q19" s="1521"/>
      <c r="R19" s="1521"/>
      <c r="S19" s="1521"/>
      <c r="T19" s="1521"/>
      <c r="U19" s="1521"/>
      <c r="V19" s="1521"/>
      <c r="W19" s="1522"/>
      <c r="X19" s="229"/>
      <c r="Y19" s="229"/>
      <c r="Z19" s="229"/>
    </row>
    <row r="20" spans="1:26" ht="36.75" customHeight="1" x14ac:dyDescent="0.4">
      <c r="A20" s="229"/>
      <c r="B20" s="1453" t="s">
        <v>53</v>
      </c>
      <c r="C20" s="1454"/>
      <c r="D20" s="153"/>
      <c r="E20" s="155" t="str" cm="1">
        <f t="array" ref="E20">_xlfn.IFS(I54="","",$K$10="Validé",AVERAGE(I54:I55,J54),$K$10="Non validé",AVERAGE(I54:I55,J54)*0.9)</f>
        <v/>
      </c>
      <c r="F20" s="229"/>
      <c r="G20" s="229"/>
      <c r="H20" s="229"/>
      <c r="I20" s="229"/>
      <c r="J20" s="229"/>
      <c r="K20" s="229"/>
      <c r="L20" s="229"/>
      <c r="M20" s="1520"/>
      <c r="N20" s="1521"/>
      <c r="O20" s="1521"/>
      <c r="P20" s="1521"/>
      <c r="Q20" s="1521"/>
      <c r="R20" s="1521"/>
      <c r="S20" s="1521"/>
      <c r="T20" s="1521"/>
      <c r="U20" s="1521"/>
      <c r="V20" s="1521"/>
      <c r="W20" s="1522"/>
      <c r="X20" s="229"/>
      <c r="Y20" s="229"/>
      <c r="Z20" s="229"/>
    </row>
    <row r="21" spans="1:26" ht="36.75" customHeight="1" thickBot="1" x14ac:dyDescent="0.45">
      <c r="A21" s="229"/>
      <c r="B21" s="1535" t="s">
        <v>54</v>
      </c>
      <c r="C21" s="1536"/>
      <c r="D21" s="61"/>
      <c r="E21" s="154" t="str" cm="1">
        <f t="array" ref="E21">_xlfn.IFS(I56="","",$K$10="Validé",AVERAGE(I56:I57,J56),$K$10="Non validé",AVERAGE(I56:I57,J56)*0.9)</f>
        <v/>
      </c>
      <c r="F21" s="229"/>
      <c r="G21" s="229"/>
      <c r="H21" s="229"/>
      <c r="I21" s="229"/>
      <c r="J21" s="229"/>
      <c r="K21" s="229"/>
      <c r="L21" s="229"/>
      <c r="M21" s="1520"/>
      <c r="N21" s="1521"/>
      <c r="O21" s="1521"/>
      <c r="P21" s="1521"/>
      <c r="Q21" s="1521"/>
      <c r="R21" s="1521"/>
      <c r="S21" s="1521"/>
      <c r="T21" s="1521"/>
      <c r="U21" s="1521"/>
      <c r="V21" s="1521"/>
      <c r="W21" s="1522"/>
      <c r="X21" s="229"/>
      <c r="Y21" s="229"/>
      <c r="Z21" s="229"/>
    </row>
    <row r="22" spans="1:26" ht="24.75" customHeight="1" x14ac:dyDescent="0.4">
      <c r="A22" s="229"/>
      <c r="B22" s="229"/>
      <c r="C22" s="229"/>
      <c r="D22" s="229"/>
      <c r="E22" s="229"/>
      <c r="F22" s="229"/>
      <c r="G22" s="229"/>
      <c r="H22" s="229"/>
      <c r="I22" s="229"/>
      <c r="J22" s="229"/>
      <c r="K22" s="229"/>
      <c r="L22" s="229"/>
      <c r="M22" s="1520"/>
      <c r="N22" s="1521"/>
      <c r="O22" s="1521"/>
      <c r="P22" s="1521"/>
      <c r="Q22" s="1521"/>
      <c r="R22" s="1521"/>
      <c r="S22" s="1521"/>
      <c r="T22" s="1521"/>
      <c r="U22" s="1521"/>
      <c r="V22" s="1521"/>
      <c r="W22" s="1522"/>
      <c r="X22" s="229"/>
      <c r="Y22" s="229"/>
      <c r="Z22" s="229"/>
    </row>
    <row r="23" spans="1:26" ht="24.75" customHeight="1" x14ac:dyDescent="0.4">
      <c r="A23" s="229"/>
      <c r="B23" s="229"/>
      <c r="C23" s="229"/>
      <c r="D23" s="229"/>
      <c r="E23" s="229"/>
      <c r="F23" s="229"/>
      <c r="G23" s="240"/>
      <c r="H23" s="240"/>
      <c r="I23" s="240"/>
      <c r="J23" s="240"/>
      <c r="K23" s="240"/>
      <c r="L23" s="240"/>
      <c r="M23" s="1520"/>
      <c r="N23" s="1521"/>
      <c r="O23" s="1521"/>
      <c r="P23" s="1521"/>
      <c r="Q23" s="1521"/>
      <c r="R23" s="1521"/>
      <c r="S23" s="1521"/>
      <c r="T23" s="1521"/>
      <c r="U23" s="1521"/>
      <c r="V23" s="1521"/>
      <c r="W23" s="1522"/>
      <c r="X23" s="229"/>
      <c r="Y23" s="229"/>
      <c r="Z23" s="229"/>
    </row>
    <row r="24" spans="1:26" ht="24.75" customHeight="1" x14ac:dyDescent="0.4">
      <c r="A24" s="229"/>
      <c r="B24" s="229"/>
      <c r="C24" s="229"/>
      <c r="D24" s="229"/>
      <c r="E24" s="229"/>
      <c r="F24" s="229"/>
      <c r="G24" s="229"/>
      <c r="H24" s="229"/>
      <c r="I24" s="229"/>
      <c r="J24" s="229"/>
      <c r="K24" s="229"/>
      <c r="L24" s="229"/>
      <c r="M24" s="1520"/>
      <c r="N24" s="1521"/>
      <c r="O24" s="1521"/>
      <c r="P24" s="1521"/>
      <c r="Q24" s="1521"/>
      <c r="R24" s="1521"/>
      <c r="S24" s="1521"/>
      <c r="T24" s="1521"/>
      <c r="U24" s="1521"/>
      <c r="V24" s="1521"/>
      <c r="W24" s="1522"/>
      <c r="X24" s="229"/>
      <c r="Y24" s="229"/>
      <c r="Z24" s="229"/>
    </row>
    <row r="25" spans="1:26" ht="24.75" customHeight="1" x14ac:dyDescent="0.4">
      <c r="A25" s="229"/>
      <c r="B25" s="229"/>
      <c r="C25" s="229"/>
      <c r="D25" s="229"/>
      <c r="E25" s="229"/>
      <c r="F25" s="229"/>
      <c r="G25" s="229"/>
      <c r="H25" s="229"/>
      <c r="I25" s="229"/>
      <c r="J25" s="229"/>
      <c r="K25" s="229"/>
      <c r="L25" s="229"/>
      <c r="M25" s="1523"/>
      <c r="N25" s="1524"/>
      <c r="O25" s="1524"/>
      <c r="P25" s="1524"/>
      <c r="Q25" s="1524"/>
      <c r="R25" s="1524"/>
      <c r="S25" s="1524"/>
      <c r="T25" s="1524"/>
      <c r="U25" s="1524"/>
      <c r="V25" s="1524"/>
      <c r="W25" s="1525"/>
      <c r="X25" s="229"/>
      <c r="Y25" s="229"/>
      <c r="Z25" s="229"/>
    </row>
    <row r="26" spans="1:26" ht="22.5" customHeight="1" thickBot="1" x14ac:dyDescent="0.45">
      <c r="A26" s="229"/>
      <c r="B26" s="231"/>
      <c r="C26" s="231"/>
      <c r="D26" s="231"/>
      <c r="E26" s="231"/>
      <c r="F26" s="231"/>
      <c r="G26" s="231"/>
      <c r="H26" s="231"/>
      <c r="I26" s="231"/>
      <c r="J26" s="231"/>
      <c r="K26" s="231"/>
      <c r="L26" s="231"/>
      <c r="M26" s="231"/>
      <c r="N26" s="231"/>
      <c r="O26" s="231"/>
      <c r="P26" s="231"/>
      <c r="Q26" s="231"/>
      <c r="R26" s="231"/>
      <c r="S26" s="231"/>
      <c r="T26" s="231"/>
      <c r="U26" s="231"/>
      <c r="V26" s="231"/>
      <c r="W26" s="231"/>
      <c r="X26" s="229"/>
      <c r="Y26" s="229"/>
      <c r="Z26" s="229"/>
    </row>
    <row r="27" spans="1:26" s="51" customFormat="1" ht="19.5" customHeight="1" x14ac:dyDescent="0.4">
      <c r="B27" s="1508" t="s">
        <v>122</v>
      </c>
      <c r="C27" s="1509"/>
      <c r="D27" s="1509"/>
      <c r="E27" s="1509"/>
      <c r="F27" s="1509"/>
      <c r="G27" s="1509"/>
      <c r="H27" s="1509"/>
      <c r="I27" s="1509"/>
      <c r="J27" s="1509"/>
      <c r="K27" s="1509"/>
      <c r="L27" s="1509"/>
      <c r="M27" s="1509"/>
      <c r="N27" s="1509"/>
      <c r="O27" s="1509"/>
      <c r="P27" s="1509"/>
      <c r="Q27" s="1509"/>
      <c r="R27" s="1509"/>
      <c r="S27" s="1509"/>
      <c r="T27" s="1509"/>
      <c r="U27" s="1509"/>
      <c r="V27" s="1509"/>
      <c r="W27" s="1510"/>
      <c r="X27" s="229"/>
      <c r="Y27" s="229"/>
    </row>
    <row r="28" spans="1:26" s="51" customFormat="1" ht="19.5" customHeight="1" thickBot="1" x14ac:dyDescent="0.45">
      <c r="B28" s="1511"/>
      <c r="C28" s="1512"/>
      <c r="D28" s="1512"/>
      <c r="E28" s="1512"/>
      <c r="F28" s="1512"/>
      <c r="G28" s="1512"/>
      <c r="H28" s="1512"/>
      <c r="I28" s="1512"/>
      <c r="J28" s="1512"/>
      <c r="K28" s="1512"/>
      <c r="L28" s="1512"/>
      <c r="M28" s="1512"/>
      <c r="N28" s="1512"/>
      <c r="O28" s="1512"/>
      <c r="P28" s="1512"/>
      <c r="Q28" s="1512"/>
      <c r="R28" s="1512"/>
      <c r="S28" s="1512"/>
      <c r="T28" s="1512"/>
      <c r="U28" s="1512"/>
      <c r="V28" s="1512"/>
      <c r="W28" s="1513"/>
      <c r="X28" s="229"/>
      <c r="Y28" s="229"/>
    </row>
    <row r="29" spans="1:26" s="51" customFormat="1" ht="3" customHeight="1" x14ac:dyDescent="0.4">
      <c r="B29" s="241"/>
      <c r="C29" s="229"/>
      <c r="D29" s="229"/>
      <c r="E29" s="229"/>
      <c r="F29" s="229"/>
      <c r="G29" s="229"/>
      <c r="H29" s="229"/>
      <c r="I29" s="229"/>
      <c r="J29" s="229"/>
      <c r="K29" s="229"/>
      <c r="L29" s="229"/>
      <c r="M29" s="229"/>
      <c r="N29" s="229"/>
      <c r="O29" s="229"/>
      <c r="P29" s="229"/>
      <c r="Q29" s="229"/>
      <c r="R29" s="229"/>
      <c r="S29" s="229"/>
      <c r="T29" s="229"/>
      <c r="U29" s="229"/>
      <c r="V29" s="229"/>
      <c r="W29" s="229"/>
      <c r="X29" s="229"/>
      <c r="Y29" s="229"/>
    </row>
    <row r="30" spans="1:26" s="51" customFormat="1" ht="3" customHeight="1" x14ac:dyDescent="0.4">
      <c r="B30" s="241"/>
      <c r="C30" s="229"/>
      <c r="D30" s="229"/>
      <c r="E30" s="229"/>
      <c r="F30" s="229"/>
      <c r="G30" s="229"/>
      <c r="H30" s="229"/>
      <c r="I30" s="229"/>
      <c r="J30" s="229"/>
      <c r="K30" s="229"/>
      <c r="L30" s="229"/>
      <c r="M30" s="229"/>
      <c r="N30" s="229"/>
      <c r="O30" s="229"/>
      <c r="P30" s="229"/>
      <c r="Q30" s="229"/>
      <c r="R30" s="229"/>
      <c r="S30" s="229"/>
      <c r="T30" s="229"/>
      <c r="U30" s="229"/>
      <c r="V30" s="229"/>
      <c r="W30" s="229"/>
      <c r="X30" s="229"/>
      <c r="Y30" s="229"/>
    </row>
    <row r="31" spans="1:26" s="51" customFormat="1" ht="3" customHeight="1" thickBot="1" x14ac:dyDescent="0.45">
      <c r="B31" s="241"/>
      <c r="C31" s="229"/>
      <c r="D31" s="229"/>
      <c r="E31" s="229"/>
      <c r="F31" s="229"/>
      <c r="G31" s="229"/>
      <c r="H31" s="229"/>
      <c r="I31" s="229"/>
      <c r="J31" s="229"/>
      <c r="K31" s="229"/>
      <c r="L31" s="229"/>
      <c r="M31" s="229"/>
      <c r="N31" s="229"/>
      <c r="O31" s="229"/>
      <c r="P31" s="229"/>
      <c r="Q31" s="229"/>
      <c r="R31" s="229"/>
      <c r="S31" s="229"/>
      <c r="T31" s="229"/>
      <c r="U31" s="229"/>
      <c r="V31" s="229"/>
      <c r="W31" s="229"/>
      <c r="X31" s="229"/>
      <c r="Y31" s="229"/>
    </row>
    <row r="32" spans="1:26" ht="20.25" customHeight="1" thickBot="1" x14ac:dyDescent="0.45">
      <c r="A32" s="51"/>
      <c r="B32" s="1434" t="s">
        <v>39</v>
      </c>
      <c r="C32" s="1435"/>
      <c r="D32" s="1435"/>
      <c r="E32" s="1435"/>
      <c r="F32" s="1435"/>
      <c r="G32" s="1435"/>
      <c r="H32" s="1436"/>
      <c r="I32" s="1437" t="s">
        <v>14</v>
      </c>
      <c r="J32" s="1514" t="s">
        <v>40</v>
      </c>
      <c r="K32" s="1537" t="s">
        <v>41</v>
      </c>
      <c r="L32" s="1538"/>
      <c r="M32" s="1539"/>
      <c r="N32" s="229"/>
      <c r="O32" s="229"/>
      <c r="P32" s="229"/>
      <c r="Q32" s="229"/>
      <c r="R32" s="229"/>
      <c r="S32" s="229"/>
      <c r="T32" s="229"/>
      <c r="U32" s="229"/>
      <c r="V32" s="229"/>
      <c r="W32" s="229"/>
      <c r="X32" s="229"/>
      <c r="Y32" s="229"/>
      <c r="Z32" s="229"/>
    </row>
    <row r="33" spans="1:26" ht="29.25" customHeight="1" outlineLevel="1" thickBot="1" x14ac:dyDescent="0.45">
      <c r="A33" s="51"/>
      <c r="B33" s="1439" t="s">
        <v>42</v>
      </c>
      <c r="C33" s="1440"/>
      <c r="D33" s="56" t="s">
        <v>43</v>
      </c>
      <c r="E33" s="57"/>
      <c r="F33" s="56" t="s">
        <v>44</v>
      </c>
      <c r="G33" s="1441" t="s">
        <v>11</v>
      </c>
      <c r="H33" s="1442"/>
      <c r="I33" s="1438"/>
      <c r="J33" s="1515"/>
      <c r="K33" s="1540"/>
      <c r="L33" s="1541"/>
      <c r="M33" s="1542"/>
      <c r="N33" s="229"/>
      <c r="O33" s="229"/>
      <c r="P33" s="229"/>
      <c r="Q33" s="229"/>
      <c r="R33" s="229"/>
      <c r="S33" s="229"/>
      <c r="T33" s="229"/>
      <c r="U33" s="229"/>
      <c r="V33" s="229"/>
      <c r="W33" s="229"/>
      <c r="X33" s="229"/>
      <c r="Y33" s="229"/>
      <c r="Z33" s="229"/>
    </row>
    <row r="34" spans="1:26" ht="28.5" customHeight="1" outlineLevel="1" x14ac:dyDescent="0.4">
      <c r="A34" s="51"/>
      <c r="B34" s="1445" t="s">
        <v>29</v>
      </c>
      <c r="C34" s="1443" t="str">
        <f>IF([2]SA_GRILLE_SCL!$C$3="","",[2]SA_GRILLE_SCL!$C$3)</f>
        <v/>
      </c>
      <c r="D34" s="1447" t="str">
        <f>IF([2]SA_GRILLE_SCL!$A$3="","",[2]SA_GRILLE_SCL!$A$3)</f>
        <v/>
      </c>
      <c r="E34" s="45" t="s">
        <v>19</v>
      </c>
      <c r="F34" s="58" t="str">
        <f>IF([2]SA_GRILLE_SCL!$A$5="","",[2]SA_GRILLE_SCL!$A$5)</f>
        <v>Caisson</v>
      </c>
      <c r="G34" s="1449" t="str">
        <f>IF([2]SA_GRILLE_SCL!$C$19="","",[2]SA_GRILLE_SCL!$C$19)</f>
        <v/>
      </c>
      <c r="H34" s="1450"/>
      <c r="I34" s="46">
        <f>IF([2]SA_GRILLE_SCL!D19="","",[2]SA_GRILLE_SCL!D19)</f>
        <v>0</v>
      </c>
      <c r="J34" s="1516" t="str">
        <f>IF([2]AnalysesComparatives_SCL!F24="","",[2]AnalysesComparatives_SCL!F24)</f>
        <v/>
      </c>
      <c r="K34" s="1502" t="str">
        <f>IF([2]SA_GRILLE_SCL!B$19="","",[2]SA_GRILLE_SCL!B$19)</f>
        <v/>
      </c>
      <c r="L34" s="1503"/>
      <c r="M34" s="1504"/>
      <c r="N34" s="229"/>
      <c r="O34" s="229"/>
      <c r="P34" s="229"/>
      <c r="Q34" s="229"/>
      <c r="R34" s="229"/>
      <c r="S34" s="229"/>
      <c r="T34" s="229"/>
      <c r="U34" s="229"/>
      <c r="V34" s="229"/>
      <c r="W34" s="229"/>
      <c r="X34" s="229"/>
      <c r="Y34" s="229"/>
      <c r="Z34" s="229"/>
    </row>
    <row r="35" spans="1:26" ht="28.5" customHeight="1" outlineLevel="1" thickBot="1" x14ac:dyDescent="0.45">
      <c r="A35" s="51"/>
      <c r="B35" s="1446"/>
      <c r="C35" s="1444"/>
      <c r="D35" s="1448"/>
      <c r="E35" s="48" t="s">
        <v>45</v>
      </c>
      <c r="F35" s="59" t="str">
        <f>IF([2]SA_GRILLE_SCL!$A$22="","",[2]SA_GRILLE_SCL!$A$22)</f>
        <v>Préleveur Automatique</v>
      </c>
      <c r="G35" s="1451" t="str">
        <f>IF([2]SA_GRILLE_SCL!$C$37="","",[2]SA_GRILLE_SCL!$C$37)</f>
        <v/>
      </c>
      <c r="H35" s="1452"/>
      <c r="I35" s="49">
        <f>IF([2]SA_GRILLE_SCL!D37="","",[2]SA_GRILLE_SCL!D37)</f>
        <v>0</v>
      </c>
      <c r="J35" s="1429"/>
      <c r="K35" s="1505" t="str">
        <f>IF([2]SA_GRILLE_SCL!B$37="","",[2]SA_GRILLE_SCL!B$37)</f>
        <v/>
      </c>
      <c r="L35" s="1506"/>
      <c r="M35" s="1507"/>
      <c r="N35" s="229"/>
      <c r="O35" s="229"/>
      <c r="P35" s="229"/>
      <c r="Q35" s="229"/>
      <c r="R35" s="229"/>
      <c r="S35" s="229"/>
      <c r="T35" s="229"/>
      <c r="U35" s="229"/>
      <c r="V35" s="229"/>
      <c r="W35" s="229"/>
      <c r="X35" s="229"/>
      <c r="Y35" s="229"/>
      <c r="Z35" s="229"/>
    </row>
    <row r="36" spans="1:26" ht="28.5" customHeight="1" outlineLevel="1" thickBot="1" x14ac:dyDescent="0.65">
      <c r="A36" s="51"/>
      <c r="B36" s="1445" t="s">
        <v>30</v>
      </c>
      <c r="C36" s="44" t="str">
        <f>IF([2]SA_GRILLE_SCL!$H$3="","",[2]SA_GRILLE_SCL!$H$3)</f>
        <v/>
      </c>
      <c r="D36" s="1447" t="str">
        <f>IF([2]SA_GRILLE_SCL!$F$3="","",[2]SA_GRILLE_SCL!$F$3)</f>
        <v/>
      </c>
      <c r="E36" s="45" t="s">
        <v>19</v>
      </c>
      <c r="F36" s="58" t="str">
        <f>IF([2]SA_GRILLE_SCL!$F$5="","",[2]SA_GRILLE_SCL!$F$5)</f>
        <v/>
      </c>
      <c r="G36" s="1449" t="str">
        <f>IF([2]SA_GRILLE_SCL!$H$19="","",[2]SA_GRILLE_SCL!$H$19)</f>
        <v/>
      </c>
      <c r="H36" s="1450"/>
      <c r="I36" s="46" t="str">
        <f>IF([2]SA_GRILLE_SCL!I$19="","",[2]SA_GRILLE_SCL!I$19)</f>
        <v/>
      </c>
      <c r="J36" s="1427" t="str">
        <f>IF([2]AnalysesComparatives_SCL!F25="","",[2]AnalysesComparatives_SCL!F25)</f>
        <v/>
      </c>
      <c r="K36" s="1502" t="str">
        <f>IF([2]SA_GRILLE_SCL!G$19="","",[2]SA_GRILLE_SCL!G$19)</f>
        <v/>
      </c>
      <c r="L36" s="1503"/>
      <c r="M36" s="1504"/>
      <c r="N36" s="229"/>
      <c r="O36" s="229"/>
      <c r="P36" s="229"/>
      <c r="Q36" s="229"/>
      <c r="R36" s="229"/>
      <c r="S36" s="229"/>
      <c r="T36" s="229"/>
      <c r="U36" s="229"/>
      <c r="V36" s="229"/>
      <c r="W36" s="229"/>
      <c r="X36" s="229"/>
      <c r="Y36" s="229"/>
      <c r="Z36" s="229"/>
    </row>
    <row r="37" spans="1:26" ht="28.5" customHeight="1" outlineLevel="1" thickBot="1" x14ac:dyDescent="0.65">
      <c r="A37" s="51"/>
      <c r="B37" s="1446"/>
      <c r="C37" s="47" t="str">
        <f>C36</f>
        <v/>
      </c>
      <c r="D37" s="1448"/>
      <c r="E37" s="48" t="s">
        <v>45</v>
      </c>
      <c r="F37" s="59" t="str">
        <f>IF([2]SA_GRILLE_SCL!$F$22="","",[2]SA_GRILLE_SCL!$F$22)</f>
        <v/>
      </c>
      <c r="G37" s="1451" t="str">
        <f>IF([2]SA_GRILLE_SCL!$H$37="","",[2]SA_GRILLE_SCL!$H$37)</f>
        <v/>
      </c>
      <c r="H37" s="1452"/>
      <c r="I37" s="49" t="str">
        <f>IF([2]SA_GRILLE_SCL!I$37="","",[2]SA_GRILLE_SCL!I$37)</f>
        <v/>
      </c>
      <c r="J37" s="1427"/>
      <c r="K37" s="1505" t="str">
        <f>IF([2]SA_GRILLE_SCL!G$37="","",[2]SA_GRILLE_SCL!G$37)</f>
        <v/>
      </c>
      <c r="L37" s="1506"/>
      <c r="M37" s="1507"/>
      <c r="N37" s="229"/>
      <c r="O37" s="229"/>
      <c r="P37" s="229"/>
      <c r="Q37" s="229"/>
      <c r="R37" s="229"/>
      <c r="S37" s="229"/>
      <c r="T37" s="229"/>
      <c r="U37" s="229"/>
      <c r="V37" s="229"/>
      <c r="W37" s="229"/>
      <c r="X37" s="229"/>
      <c r="Y37" s="229"/>
      <c r="Z37" s="229"/>
    </row>
    <row r="38" spans="1:26" ht="28.5" customHeight="1" outlineLevel="1" thickBot="1" x14ac:dyDescent="0.65">
      <c r="A38" s="51"/>
      <c r="B38" s="1445" t="s">
        <v>31</v>
      </c>
      <c r="C38" s="44" t="str">
        <f>IF([2]SA_GRILLE_SCL!$M$3="","",[2]SA_GRILLE_SCL!$M$3)</f>
        <v/>
      </c>
      <c r="D38" s="1447" t="str">
        <f>IF([2]SA_GRILLE_SCL!$K$3="","",[2]SA_GRILLE_SCL!$K$3)</f>
        <v/>
      </c>
      <c r="E38" s="45" t="s">
        <v>19</v>
      </c>
      <c r="F38" s="58" t="str">
        <f>IF([2]SA_GRILLE_SCL!$K$5="","",[2]SA_GRILLE_SCL!$K$5)</f>
        <v/>
      </c>
      <c r="G38" s="1449" t="str">
        <f>IF([2]SA_GRILLE_SCL!$M$19="","",[2]SA_GRILLE_SCL!$M$19)</f>
        <v/>
      </c>
      <c r="H38" s="1450"/>
      <c r="I38" s="159" t="s">
        <v>237</v>
      </c>
      <c r="J38" s="1427" t="str">
        <f>IF([2]AnalysesComparatives_SCL!F26="","",[2]AnalysesComparatives_SCL!F26)</f>
        <v/>
      </c>
      <c r="K38" s="1502" t="str">
        <f>IF([2]SA_GRILLE_SCL!L$19="","",[2]SA_GRILLE_SCL!L$19)</f>
        <v/>
      </c>
      <c r="L38" s="1503"/>
      <c r="M38" s="1504"/>
      <c r="N38" s="229"/>
      <c r="O38" s="229"/>
      <c r="P38" s="229"/>
      <c r="Q38" s="229"/>
      <c r="R38" s="229"/>
      <c r="S38" s="229"/>
      <c r="T38" s="229"/>
      <c r="U38" s="229"/>
      <c r="V38" s="229"/>
      <c r="W38" s="229"/>
      <c r="X38" s="229"/>
      <c r="Y38" s="229"/>
      <c r="Z38" s="229"/>
    </row>
    <row r="39" spans="1:26" ht="28.5" customHeight="1" outlineLevel="1" thickBot="1" x14ac:dyDescent="0.65">
      <c r="A39" s="51"/>
      <c r="B39" s="1446"/>
      <c r="C39" s="47" t="str">
        <f>C38</f>
        <v/>
      </c>
      <c r="D39" s="1448"/>
      <c r="E39" s="48" t="s">
        <v>45</v>
      </c>
      <c r="F39" s="59" t="str">
        <f>IF([2]SA_GRILLE_SCL!$K$22="","",[2]SA_GRILLE_SCL!$K$22)</f>
        <v/>
      </c>
      <c r="G39" s="1451" t="str">
        <f>IF([2]SA_GRILLE_SCL!$M$37="","",[2]SA_GRILLE_SCL!$M$37)</f>
        <v/>
      </c>
      <c r="H39" s="1452"/>
      <c r="I39" s="49" t="str">
        <f>IF([2]SA_GRILLE_SCL!N$37="","",[2]SA_GRILLE_SCL!N$37)</f>
        <v/>
      </c>
      <c r="J39" s="1427"/>
      <c r="K39" s="1505" t="str">
        <f>IF([2]SA_GRILLE_SCL!L$37="","",[2]SA_GRILLE_SCL!L$37)</f>
        <v/>
      </c>
      <c r="L39" s="1506"/>
      <c r="M39" s="1507"/>
      <c r="N39" s="229"/>
      <c r="O39" s="229"/>
      <c r="P39" s="229"/>
      <c r="Q39" s="229"/>
      <c r="R39" s="229"/>
      <c r="S39" s="229"/>
      <c r="T39" s="229"/>
      <c r="U39" s="229"/>
      <c r="V39" s="229"/>
      <c r="W39" s="229"/>
      <c r="X39" s="229"/>
      <c r="Y39" s="229"/>
      <c r="Z39" s="229"/>
    </row>
    <row r="40" spans="1:26" ht="28.5" customHeight="1" outlineLevel="1" thickBot="1" x14ac:dyDescent="0.65">
      <c r="A40" s="51"/>
      <c r="B40" s="1445" t="s">
        <v>46</v>
      </c>
      <c r="C40" s="44" t="str">
        <f>IF([2]SA_GRILLE_SCL!$R$3="","",[2]SA_GRILLE_SCL!$R$3)</f>
        <v/>
      </c>
      <c r="D40" s="1447" t="str">
        <f>IF([2]SA_GRILLE_SCL!$P$3="","",[2]SA_GRILLE_SCL!$P$3)</f>
        <v/>
      </c>
      <c r="E40" s="45" t="s">
        <v>19</v>
      </c>
      <c r="F40" s="58" t="str">
        <f>IF([2]SA_GRILLE_SCL!$P$5="","",[2]SA_GRILLE_SCL!$P$5)</f>
        <v/>
      </c>
      <c r="G40" s="1449" t="str">
        <f>IF([2]SA_GRILLE_SCL!$R$19="","",[2]SA_GRILLE_SCL!$R$19)</f>
        <v/>
      </c>
      <c r="H40" s="1450"/>
      <c r="I40" s="46" t="str">
        <f>IF([2]SA_GRILLE_SCL!S$19="","",[2]SA_GRILLE_SCL!S$19)</f>
        <v/>
      </c>
      <c r="J40" s="1427" t="str">
        <f>IF([2]AnalysesComparatives_SCL!F27="","",[2]AnalysesComparatives_SCL!F27)</f>
        <v/>
      </c>
      <c r="K40" s="1502" t="str">
        <f>IF([2]SA_GRILLE_SCL!Q$19="","",[2]SA_GRILLE_SCL!Q$19)</f>
        <v/>
      </c>
      <c r="L40" s="1503"/>
      <c r="M40" s="1504"/>
      <c r="N40" s="229"/>
      <c r="O40" s="229"/>
      <c r="P40" s="229"/>
      <c r="Q40" s="229"/>
      <c r="R40" s="229"/>
      <c r="S40" s="229"/>
      <c r="T40" s="229"/>
      <c r="U40" s="229"/>
      <c r="V40" s="229"/>
      <c r="W40" s="229"/>
      <c r="X40" s="229"/>
      <c r="Y40" s="229"/>
      <c r="Z40" s="229"/>
    </row>
    <row r="41" spans="1:26" ht="28.5" customHeight="1" outlineLevel="1" thickBot="1" x14ac:dyDescent="0.65">
      <c r="A41" s="51"/>
      <c r="B41" s="1446"/>
      <c r="C41" s="47" t="str">
        <f>C40</f>
        <v/>
      </c>
      <c r="D41" s="1448"/>
      <c r="E41" s="48" t="s">
        <v>45</v>
      </c>
      <c r="F41" s="59" t="str">
        <f>IF([2]SA_GRILLE_SCL!$P$22="","",[2]SA_GRILLE_SCL!$P$22)</f>
        <v/>
      </c>
      <c r="G41" s="1451" t="str">
        <f>IF([2]SA_GRILLE_SCL!$R$37="","",[2]SA_GRILLE_SCL!$R$37)</f>
        <v/>
      </c>
      <c r="H41" s="1452"/>
      <c r="I41" s="49" t="str">
        <f>IF([2]SA_GRILLE_SCL!S$37="","",[2]SA_GRILLE_SCL!S$37)</f>
        <v/>
      </c>
      <c r="J41" s="1427"/>
      <c r="K41" s="1505" t="str">
        <f>IF([2]SA_GRILLE_SCL!Q$37="","",[2]SA_GRILLE_SCL!Q$37)</f>
        <v/>
      </c>
      <c r="L41" s="1506"/>
      <c r="M41" s="1507"/>
      <c r="N41" s="229"/>
      <c r="O41" s="229"/>
      <c r="P41" s="229"/>
      <c r="Q41" s="229"/>
      <c r="R41" s="229"/>
      <c r="S41" s="229"/>
      <c r="T41" s="229"/>
      <c r="U41" s="229"/>
      <c r="V41" s="229"/>
      <c r="W41" s="229"/>
      <c r="X41" s="229"/>
      <c r="Y41" s="229"/>
      <c r="Z41" s="229"/>
    </row>
    <row r="42" spans="1:26" ht="28.5" customHeight="1" outlineLevel="1" thickBot="1" x14ac:dyDescent="0.65">
      <c r="A42" s="51"/>
      <c r="B42" s="1445" t="s">
        <v>47</v>
      </c>
      <c r="C42" s="44" t="str">
        <f>IF([2]SA_GRILLE_SCL!$W$3="","",[2]SA_GRILLE_SCL!$W$3)</f>
        <v/>
      </c>
      <c r="D42" s="1447" t="str">
        <f>IF([2]SA_GRILLE_SCL!$U$3="","",[2]SA_GRILLE_SCL!$U$3)</f>
        <v/>
      </c>
      <c r="E42" s="45" t="s">
        <v>19</v>
      </c>
      <c r="F42" s="58" t="str">
        <f>IF([2]SA_GRILLE_SCL!$U$5="","",[2]SA_GRILLE_SCL!$U$5)</f>
        <v/>
      </c>
      <c r="G42" s="1449" t="str">
        <f>IF([2]SA_GRILLE_SCL!$W$19="","",[2]SA_GRILLE_SCL!$W$19)</f>
        <v/>
      </c>
      <c r="H42" s="1450"/>
      <c r="I42" s="46" t="str">
        <f>IF([2]SA_GRILLE_SCL!X$19="","",[2]SA_GRILLE_SCL!X$19)</f>
        <v/>
      </c>
      <c r="J42" s="1427" t="str">
        <f>IF([2]AnalysesComparatives_SCL!F28="","",[2]AnalysesComparatives_SCL!F28)</f>
        <v/>
      </c>
      <c r="K42" s="1502" t="str">
        <f>IF([2]SA_GRILLE_SCL!V$19="","",[2]SA_GRILLE_SCL!V$19)</f>
        <v/>
      </c>
      <c r="L42" s="1503"/>
      <c r="M42" s="1504"/>
      <c r="N42" s="229"/>
      <c r="O42" s="229"/>
      <c r="P42" s="229"/>
      <c r="Q42" s="229"/>
      <c r="R42" s="229"/>
      <c r="S42" s="229"/>
      <c r="T42" s="229"/>
      <c r="U42" s="229"/>
      <c r="V42" s="229"/>
      <c r="W42" s="229"/>
      <c r="X42" s="229"/>
      <c r="Y42" s="229"/>
      <c r="Z42" s="229"/>
    </row>
    <row r="43" spans="1:26" ht="28.5" customHeight="1" outlineLevel="1" thickBot="1" x14ac:dyDescent="0.65">
      <c r="A43" s="51"/>
      <c r="B43" s="1446"/>
      <c r="C43" s="47" t="str">
        <f>C42</f>
        <v/>
      </c>
      <c r="D43" s="1448"/>
      <c r="E43" s="48" t="s">
        <v>45</v>
      </c>
      <c r="F43" s="59" t="str">
        <f>IF([2]SA_GRILLE_SCL!$U$22="","",[2]SA_GRILLE_SCL!$U$22)</f>
        <v/>
      </c>
      <c r="G43" s="1451" t="str">
        <f>IF([2]SA_GRILLE_SCL!$W$37="","",[2]SA_GRILLE_SCL!$W$37)</f>
        <v/>
      </c>
      <c r="H43" s="1452"/>
      <c r="I43" s="49" t="str">
        <f>IF([2]SA_GRILLE_SCL!X$37="","",[2]SA_GRILLE_SCL!X$37)</f>
        <v/>
      </c>
      <c r="J43" s="1427"/>
      <c r="K43" s="1505" t="str">
        <f>IF([2]SA_GRILLE_SCL!V$37="","",[2]SA_GRILLE_SCL!V$37)</f>
        <v/>
      </c>
      <c r="L43" s="1506"/>
      <c r="M43" s="1507"/>
      <c r="N43" s="229"/>
      <c r="O43" s="229"/>
      <c r="P43" s="229"/>
      <c r="Q43" s="229"/>
      <c r="R43" s="229"/>
      <c r="S43" s="229"/>
      <c r="T43" s="229"/>
      <c r="U43" s="229"/>
      <c r="V43" s="229"/>
      <c r="W43" s="229"/>
      <c r="X43" s="229"/>
      <c r="Y43" s="229"/>
      <c r="Z43" s="229"/>
    </row>
    <row r="44" spans="1:26" ht="28.5" customHeight="1" outlineLevel="1" thickBot="1" x14ac:dyDescent="0.65">
      <c r="A44" s="51"/>
      <c r="B44" s="1445" t="s">
        <v>48</v>
      </c>
      <c r="C44" s="44" t="str">
        <f>IF([2]SA_GRILLE_SCL!$AB$3="","",[2]SA_GRILLE_SCL!$AB$3)</f>
        <v/>
      </c>
      <c r="D44" s="1447" t="str">
        <f>IF([2]SA_GRILLE_SCL!$Z$3="","",[2]SA_GRILLE_SCL!$Z$3)</f>
        <v/>
      </c>
      <c r="E44" s="45" t="s">
        <v>19</v>
      </c>
      <c r="F44" s="58" t="str">
        <f>IF([2]SA_GRILLE_SCL!$Z$5="","",[2]SA_GRILLE_SCL!$Z$5)</f>
        <v/>
      </c>
      <c r="G44" s="1449" t="str">
        <f>IF([2]SA_GRILLE_SCL!$AB$19="","",[2]SA_GRILLE_SCL!$AB$19)</f>
        <v/>
      </c>
      <c r="H44" s="1450"/>
      <c r="I44" s="46" t="str">
        <f>IF([2]SA_GRILLE_SCL!AC$19="","",[2]SA_GRILLE_SCL!AC$19)</f>
        <v/>
      </c>
      <c r="J44" s="1427" t="str">
        <f>IF([2]AnalysesComparatives_SCL!F29="","",[2]AnalysesComparatives_SCL!F29)</f>
        <v/>
      </c>
      <c r="K44" s="1502" t="str">
        <f>IF([2]SA_GRILLE_SCL!AA$19="","",[2]SA_GRILLE_SCL!AA$19)</f>
        <v/>
      </c>
      <c r="L44" s="1503"/>
      <c r="M44" s="1504"/>
      <c r="N44" s="229"/>
      <c r="O44" s="229"/>
      <c r="P44" s="229"/>
      <c r="Q44" s="229"/>
      <c r="R44" s="229"/>
      <c r="S44" s="229"/>
      <c r="T44" s="229"/>
      <c r="U44" s="229"/>
      <c r="V44" s="229"/>
      <c r="W44" s="229"/>
      <c r="X44" s="229"/>
      <c r="Y44" s="229"/>
      <c r="Z44" s="229"/>
    </row>
    <row r="45" spans="1:26" ht="28.5" customHeight="1" outlineLevel="1" thickBot="1" x14ac:dyDescent="0.65">
      <c r="A45" s="51"/>
      <c r="B45" s="1446"/>
      <c r="C45" s="47" t="str">
        <f>C44</f>
        <v/>
      </c>
      <c r="D45" s="1448"/>
      <c r="E45" s="48" t="s">
        <v>45</v>
      </c>
      <c r="F45" s="59" t="str">
        <f>IF([2]SA_GRILLE_SCL!$Z$22="","",[2]SA_GRILLE_SCL!$Z$22)</f>
        <v/>
      </c>
      <c r="G45" s="1451" t="str">
        <f>IF([2]SA_GRILLE_SCL!$AB$37="","",[2]SA_GRILLE_SCL!$AB$37)</f>
        <v/>
      </c>
      <c r="H45" s="1452"/>
      <c r="I45" s="49" t="str">
        <f>IF([2]SA_GRILLE_SCL!AC$37="","",[2]SA_GRILLE_SCL!AC$37)</f>
        <v/>
      </c>
      <c r="J45" s="1427"/>
      <c r="K45" s="1505" t="str">
        <f>IF([2]SA_GRILLE_SCL!AA$37="","",[2]SA_GRILLE_SCL!AA$37)</f>
        <v/>
      </c>
      <c r="L45" s="1506"/>
      <c r="M45" s="1507"/>
      <c r="N45" s="229"/>
      <c r="O45" s="229"/>
      <c r="P45" s="229"/>
      <c r="Q45" s="229"/>
      <c r="R45" s="229"/>
      <c r="S45" s="229"/>
      <c r="T45" s="229"/>
      <c r="U45" s="229"/>
      <c r="V45" s="229"/>
      <c r="W45" s="229"/>
      <c r="X45" s="229"/>
      <c r="Y45" s="229"/>
      <c r="Z45" s="229"/>
    </row>
    <row r="46" spans="1:26" ht="28.5" customHeight="1" outlineLevel="1" thickBot="1" x14ac:dyDescent="0.65">
      <c r="A46" s="51"/>
      <c r="B46" s="1445" t="s">
        <v>49</v>
      </c>
      <c r="C46" s="44" t="str">
        <f>IF([2]SA_GRILLE_SCL!$AG$3="","",[2]SA_GRILLE_SCL!$AG$3)</f>
        <v/>
      </c>
      <c r="D46" s="1447" t="str">
        <f>IF([2]SA_GRILLE_SCL!$AE$3="","",[2]SA_GRILLE_SCL!$AE$3)</f>
        <v/>
      </c>
      <c r="E46" s="45" t="s">
        <v>19</v>
      </c>
      <c r="F46" s="58" t="str">
        <f>IF([2]SA_GRILLE_SCL!$AE$5="","",[2]SA_GRILLE_SCL!$AE$5)</f>
        <v/>
      </c>
      <c r="G46" s="1449" t="str">
        <f>IF([2]SA_GRILLE_SCL!$AG$19="","",[2]SA_GRILLE_SCL!$AG$19)</f>
        <v/>
      </c>
      <c r="H46" s="1450"/>
      <c r="I46" s="46" t="str">
        <f>IF([2]SA_GRILLE_SCL!AH$19="","",[2]SA_GRILLE_SCL!AH$19)</f>
        <v/>
      </c>
      <c r="J46" s="1427" t="str">
        <f>IF([2]AnalysesComparatives_SCL!P24="","",[2]AnalysesComparatives_SCL!P24)</f>
        <v/>
      </c>
      <c r="K46" s="1502" t="str">
        <f>IF([2]SA_GRILLE_SCL!AF$19="","",[2]SA_GRILLE_SCL!AF$19)</f>
        <v/>
      </c>
      <c r="L46" s="1503"/>
      <c r="M46" s="1504"/>
      <c r="N46" s="229"/>
      <c r="O46" s="229"/>
      <c r="P46" s="229"/>
      <c r="Q46" s="229"/>
      <c r="R46" s="229"/>
      <c r="S46" s="229"/>
      <c r="T46" s="229"/>
      <c r="U46" s="229"/>
      <c r="V46" s="229"/>
      <c r="W46" s="229"/>
      <c r="X46" s="229"/>
      <c r="Y46" s="229"/>
      <c r="Z46" s="229"/>
    </row>
    <row r="47" spans="1:26" ht="28.5" customHeight="1" outlineLevel="1" thickBot="1" x14ac:dyDescent="0.65">
      <c r="A47" s="51"/>
      <c r="B47" s="1446"/>
      <c r="C47" s="47" t="str">
        <f>C46</f>
        <v/>
      </c>
      <c r="D47" s="1448"/>
      <c r="E47" s="48" t="s">
        <v>45</v>
      </c>
      <c r="F47" s="59" t="str">
        <f>IF([2]SA_GRILLE_SCL!$AE$22="","",[2]SA_GRILLE_SCL!$AE$22)</f>
        <v/>
      </c>
      <c r="G47" s="1451" t="str">
        <f>IF([2]SA_GRILLE_SCL!$AG$37="","",[2]SA_GRILLE_SCL!$AG$37)</f>
        <v/>
      </c>
      <c r="H47" s="1452"/>
      <c r="I47" s="49" t="str">
        <f>IF([2]SA_GRILLE_SCL!AH$37="","",[2]SA_GRILLE_SCL!AH$37)</f>
        <v/>
      </c>
      <c r="J47" s="1427"/>
      <c r="K47" s="1505" t="str">
        <f>IF([2]SA_GRILLE_SCL!AF$37="","",[2]SA_GRILLE_SCL!AF$37)</f>
        <v/>
      </c>
      <c r="L47" s="1506"/>
      <c r="M47" s="1507"/>
      <c r="N47" s="229"/>
      <c r="O47" s="229"/>
      <c r="P47" s="229"/>
      <c r="Q47" s="229"/>
      <c r="R47" s="229"/>
      <c r="S47" s="229"/>
      <c r="T47" s="229"/>
      <c r="U47" s="229"/>
      <c r="V47" s="229"/>
      <c r="W47" s="229"/>
      <c r="X47" s="229"/>
      <c r="Y47" s="229"/>
      <c r="Z47" s="229"/>
    </row>
    <row r="48" spans="1:26" ht="28.5" customHeight="1" outlineLevel="1" thickBot="1" x14ac:dyDescent="0.65">
      <c r="A48" s="51"/>
      <c r="B48" s="1445" t="s">
        <v>50</v>
      </c>
      <c r="C48" s="44" t="str">
        <f>IF([2]SA_GRILLE_SCL!$AL$3="","",[2]SA_GRILLE_SCL!$AL$3)</f>
        <v/>
      </c>
      <c r="D48" s="1447" t="str">
        <f>IF([2]SA_GRILLE_SCL!$AJ$3="","",[2]SA_GRILLE_SCL!$AJ$3)</f>
        <v/>
      </c>
      <c r="E48" s="45" t="s">
        <v>19</v>
      </c>
      <c r="F48" s="58" t="str">
        <f>IF([2]SA_GRILLE_SCL!$AJ$5="","",[2]SA_GRILLE_SCL!$AJ$5)</f>
        <v/>
      </c>
      <c r="G48" s="1449" t="str">
        <f>IF([2]SA_GRILLE_SCL!$AL$19="","",[2]SA_GRILLE_SCL!$AL$19)</f>
        <v/>
      </c>
      <c r="H48" s="1450"/>
      <c r="I48" s="46" t="str">
        <f>IF([2]SA_GRILLE_SCL!AM$19="","",[2]SA_GRILLE_SCL!AM$19)</f>
        <v/>
      </c>
      <c r="J48" s="1427" t="str">
        <f>IF([2]AnalysesComparatives_SCL!P25="","",[2]AnalysesComparatives_SCL!P25)</f>
        <v/>
      </c>
      <c r="K48" s="1502" t="str">
        <f>IF([2]SA_GRILLE_SCL!AK$19="","",[2]SA_GRILLE_SCL!AK$19)</f>
        <v/>
      </c>
      <c r="L48" s="1503"/>
      <c r="M48" s="1504"/>
      <c r="N48" s="229"/>
      <c r="O48" s="229"/>
      <c r="P48" s="229"/>
      <c r="Q48" s="229"/>
      <c r="R48" s="229"/>
      <c r="S48" s="229"/>
      <c r="T48" s="229"/>
      <c r="U48" s="229"/>
      <c r="V48" s="229"/>
      <c r="W48" s="229"/>
      <c r="X48" s="229"/>
      <c r="Y48" s="229"/>
      <c r="Z48" s="229"/>
    </row>
    <row r="49" spans="1:26" ht="28.5" customHeight="1" outlineLevel="1" thickBot="1" x14ac:dyDescent="0.65">
      <c r="A49" s="51"/>
      <c r="B49" s="1446"/>
      <c r="C49" s="47" t="str">
        <f>C48</f>
        <v/>
      </c>
      <c r="D49" s="1448"/>
      <c r="E49" s="48" t="s">
        <v>45</v>
      </c>
      <c r="F49" s="59" t="str">
        <f>IF([2]SA_GRILLE_SCL!$AJ$22="","",[2]SA_GRILLE_SCL!$AJ$22)</f>
        <v/>
      </c>
      <c r="G49" s="1451" t="str">
        <f>IF([2]SA_GRILLE_SCL!$AL$37="","",[2]SA_GRILLE_SCL!$AL$37)</f>
        <v/>
      </c>
      <c r="H49" s="1452"/>
      <c r="I49" s="49" t="str">
        <f>IF([2]SA_GRILLE_SCL!AM$37="","",[2]SA_GRILLE_SCL!AM$37)</f>
        <v/>
      </c>
      <c r="J49" s="1427"/>
      <c r="K49" s="1505" t="str">
        <f>IF([2]SA_GRILLE_SCL!AK$37="","",[2]SA_GRILLE_SCL!AK$37)</f>
        <v/>
      </c>
      <c r="L49" s="1506"/>
      <c r="M49" s="1507"/>
      <c r="N49" s="229"/>
      <c r="O49" s="229"/>
      <c r="P49" s="229"/>
      <c r="Q49" s="229"/>
      <c r="R49" s="229"/>
      <c r="S49" s="229"/>
      <c r="T49" s="229"/>
      <c r="U49" s="229"/>
      <c r="V49" s="229"/>
      <c r="W49" s="229"/>
      <c r="X49" s="229"/>
      <c r="Y49" s="229"/>
      <c r="Z49" s="229"/>
    </row>
    <row r="50" spans="1:26" ht="28.5" customHeight="1" outlineLevel="1" thickBot="1" x14ac:dyDescent="0.65">
      <c r="A50" s="51"/>
      <c r="B50" s="1445" t="s">
        <v>51</v>
      </c>
      <c r="C50" s="44" t="str">
        <f>IF([2]SA_GRILLE_SCL!$AQ$3="","",[2]SA_GRILLE_SCL!$AQ$3)</f>
        <v/>
      </c>
      <c r="D50" s="1447" t="str">
        <f>IF([2]SA_GRILLE_SCL!$AO$3="","",[2]SA_GRILLE_SCL!$AO$3)</f>
        <v/>
      </c>
      <c r="E50" s="45" t="s">
        <v>19</v>
      </c>
      <c r="F50" s="58" t="str">
        <f>IF([2]SA_GRILLE_SCL!$AO$5="","",[2]SA_GRILLE_SCL!$AO$5)</f>
        <v/>
      </c>
      <c r="G50" s="1449" t="str">
        <f>IF([2]SA_GRILLE_SCL!$AQ$19="","",[2]SA_GRILLE_SCL!$AQ$19)</f>
        <v/>
      </c>
      <c r="H50" s="1450"/>
      <c r="I50" s="46" t="str">
        <f>IF([2]SA_GRILLE_SCL!AR$19="","",[2]SA_GRILLE_SCL!AR$19)</f>
        <v/>
      </c>
      <c r="J50" s="1427" t="str">
        <f>IF([2]AnalysesComparatives_SCL!P26="","",[2]AnalysesComparatives_SCL!P26)</f>
        <v/>
      </c>
      <c r="K50" s="1502" t="str">
        <f>IF([2]SA_GRILLE_SCL!AP$19="","",[2]SA_GRILLE_SCL!AP$19)</f>
        <v/>
      </c>
      <c r="L50" s="1503"/>
      <c r="M50" s="1504"/>
      <c r="N50" s="229"/>
      <c r="O50" s="229"/>
      <c r="P50" s="229"/>
      <c r="Q50" s="229"/>
      <c r="R50" s="229"/>
      <c r="S50" s="229"/>
      <c r="T50" s="229"/>
      <c r="U50" s="229"/>
      <c r="V50" s="229"/>
      <c r="W50" s="229"/>
      <c r="X50" s="229"/>
      <c r="Y50" s="229"/>
      <c r="Z50" s="229"/>
    </row>
    <row r="51" spans="1:26" ht="28.5" customHeight="1" outlineLevel="1" thickBot="1" x14ac:dyDescent="0.65">
      <c r="A51" s="51"/>
      <c r="B51" s="1446"/>
      <c r="C51" s="47" t="str">
        <f>C50</f>
        <v/>
      </c>
      <c r="D51" s="1448"/>
      <c r="E51" s="48" t="s">
        <v>45</v>
      </c>
      <c r="F51" s="59" t="str">
        <f>IF([2]SA_GRILLE_SCL!$AO$22="","",[2]SA_GRILLE_SCL!$AO$22)</f>
        <v/>
      </c>
      <c r="G51" s="1451" t="str">
        <f>IF([2]SA_GRILLE_SCL!$AQ$37="","",[2]SA_GRILLE_SCL!$AQ$37)</f>
        <v/>
      </c>
      <c r="H51" s="1452"/>
      <c r="I51" s="49" t="str">
        <f>IF([2]SA_GRILLE_SCL!AR$37="","",[2]SA_GRILLE_SCL!AR$37)</f>
        <v/>
      </c>
      <c r="J51" s="1427"/>
      <c r="K51" s="1505" t="str">
        <f>IF([2]SA_GRILLE_SCL!AP$37="","",[2]SA_GRILLE_SCL!AP$37)</f>
        <v/>
      </c>
      <c r="L51" s="1506"/>
      <c r="M51" s="1507"/>
      <c r="N51" s="229"/>
      <c r="O51" s="229"/>
      <c r="P51" s="229"/>
      <c r="Q51" s="229"/>
      <c r="R51" s="229"/>
      <c r="S51" s="229"/>
      <c r="T51" s="229"/>
      <c r="U51" s="229"/>
      <c r="V51" s="229"/>
      <c r="W51" s="229"/>
      <c r="X51" s="229"/>
      <c r="Y51" s="229"/>
      <c r="Z51" s="229"/>
    </row>
    <row r="52" spans="1:26" ht="28.5" customHeight="1" outlineLevel="1" thickBot="1" x14ac:dyDescent="0.65">
      <c r="A52" s="51"/>
      <c r="B52" s="1445" t="s">
        <v>52</v>
      </c>
      <c r="C52" s="44" t="str">
        <f>IF([2]SA_GRILLE_SCL!$AV$3="","",[2]SA_GRILLE_SCL!$AV$3)</f>
        <v/>
      </c>
      <c r="D52" s="1447" t="str">
        <f>IF([2]SA_GRILLE_SCL!$AT$3="","",[2]SA_GRILLE_SCL!$AT$3)</f>
        <v/>
      </c>
      <c r="E52" s="45" t="s">
        <v>19</v>
      </c>
      <c r="F52" s="58" t="str">
        <f>IF([2]SA_GRILLE_SCL!$AT$5="","",[2]SA_GRILLE_SCL!$AT$5)</f>
        <v/>
      </c>
      <c r="G52" s="1449" t="str">
        <f>IF([2]SA_GRILLE_SCL!$AV$19="","",[2]SA_GRILLE_SCL!$AV$19)</f>
        <v/>
      </c>
      <c r="H52" s="1450"/>
      <c r="I52" s="46" t="str">
        <f>IF([2]SA_GRILLE_SCL!AW$19="","",[2]SA_GRILLE_SCL!AW$19)</f>
        <v/>
      </c>
      <c r="J52" s="1427" t="str">
        <f>IF([2]AnalysesComparatives_SCL!P27="","",[2]AnalysesComparatives_SCL!P27)</f>
        <v/>
      </c>
      <c r="K52" s="1502" t="str">
        <f>IF([2]SA_GRILLE_SCL!AU$19="","",[2]SA_GRILLE_SCL!AU$19)</f>
        <v/>
      </c>
      <c r="L52" s="1503"/>
      <c r="M52" s="1504"/>
      <c r="N52" s="229"/>
      <c r="O52" s="229"/>
      <c r="P52" s="229"/>
      <c r="Q52" s="229"/>
      <c r="R52" s="229"/>
      <c r="S52" s="229"/>
      <c r="T52" s="229"/>
      <c r="U52" s="229"/>
      <c r="V52" s="229"/>
      <c r="W52" s="229"/>
      <c r="X52" s="229"/>
      <c r="Y52" s="229"/>
      <c r="Z52" s="229"/>
    </row>
    <row r="53" spans="1:26" ht="28.5" customHeight="1" outlineLevel="1" thickBot="1" x14ac:dyDescent="0.65">
      <c r="A53" s="51"/>
      <c r="B53" s="1446"/>
      <c r="C53" s="47" t="str">
        <f>C52</f>
        <v/>
      </c>
      <c r="D53" s="1448"/>
      <c r="E53" s="48" t="s">
        <v>45</v>
      </c>
      <c r="F53" s="59" t="str">
        <f>IF([2]SA_GRILLE_SCL!$AT$22="","",[2]SA_GRILLE_SCL!$AT$22)</f>
        <v/>
      </c>
      <c r="G53" s="1451" t="str">
        <f>IF([2]SA_GRILLE_SCL!$AV$37="","",[2]SA_GRILLE_SCL!$AV$37)</f>
        <v/>
      </c>
      <c r="H53" s="1452"/>
      <c r="I53" s="49" t="str">
        <f>IF([2]SA_GRILLE_SCL!AW$37="","",[2]SA_GRILLE_SCL!AW$37)</f>
        <v/>
      </c>
      <c r="J53" s="1427"/>
      <c r="K53" s="1505" t="str">
        <f>IF([2]SA_GRILLE_SCL!AU$37="","",[2]SA_GRILLE_SCL!AU$37)</f>
        <v/>
      </c>
      <c r="L53" s="1506"/>
      <c r="M53" s="1507"/>
      <c r="N53" s="229"/>
      <c r="O53" s="229"/>
      <c r="P53" s="229"/>
      <c r="Q53" s="229"/>
      <c r="R53" s="229"/>
      <c r="S53" s="229"/>
      <c r="T53" s="229"/>
      <c r="U53" s="229"/>
      <c r="V53" s="229"/>
      <c r="W53" s="229"/>
      <c r="X53" s="229"/>
      <c r="Y53" s="229"/>
      <c r="Z53" s="229"/>
    </row>
    <row r="54" spans="1:26" ht="28.5" customHeight="1" outlineLevel="1" thickBot="1" x14ac:dyDescent="0.65">
      <c r="A54" s="51"/>
      <c r="B54" s="1445" t="s">
        <v>53</v>
      </c>
      <c r="C54" s="44" t="str">
        <f>IF([2]SA_GRILLE_SCL!$BA$3="","",[2]SA_GRILLE_SCL!$BA$3)</f>
        <v/>
      </c>
      <c r="D54" s="1447" t="str">
        <f>IF([2]SA_GRILLE_SCL!$AY$3="","",[2]SA_GRILLE_SCL!$AY$3)</f>
        <v/>
      </c>
      <c r="E54" s="45" t="s">
        <v>19</v>
      </c>
      <c r="F54" s="58" t="str">
        <f>IF([2]SA_GRILLE_SCL!$AY$5="","",[2]SA_GRILLE_SCL!$AY$5)</f>
        <v/>
      </c>
      <c r="G54" s="1449" t="str">
        <f>IF([2]SA_GRILLE_SCL!$BA$19="","",[2]SA_GRILLE_SCL!$BA$19)</f>
        <v/>
      </c>
      <c r="H54" s="1450"/>
      <c r="I54" s="46" t="str">
        <f>IF([2]SA_GRILLE_SCL!BB$19="","",[2]SA_GRILLE_SCL!BB$19)</f>
        <v/>
      </c>
      <c r="J54" s="1427" t="str">
        <f>IF([2]AnalysesComparatives_SCL!P28="","",[2]AnalysesComparatives_SCL!P28)</f>
        <v/>
      </c>
      <c r="K54" s="1502" t="str">
        <f>IF([2]SA_GRILLE_SCL!AZ$19="","",[2]SA_GRILLE_SCL!AZ$19)</f>
        <v/>
      </c>
      <c r="L54" s="1503"/>
      <c r="M54" s="1504"/>
      <c r="N54" s="229"/>
      <c r="O54" s="229"/>
      <c r="P54" s="229"/>
      <c r="Q54" s="229"/>
      <c r="R54" s="229"/>
      <c r="S54" s="229"/>
      <c r="T54" s="229"/>
      <c r="U54" s="229"/>
      <c r="V54" s="229"/>
      <c r="W54" s="229"/>
      <c r="X54" s="229"/>
      <c r="Y54" s="229"/>
      <c r="Z54" s="229"/>
    </row>
    <row r="55" spans="1:26" ht="28.5" customHeight="1" outlineLevel="1" thickBot="1" x14ac:dyDescent="0.65">
      <c r="A55" s="51"/>
      <c r="B55" s="1446"/>
      <c r="C55" s="47" t="str">
        <f>C54</f>
        <v/>
      </c>
      <c r="D55" s="1448"/>
      <c r="E55" s="48" t="s">
        <v>45</v>
      </c>
      <c r="F55" s="59" t="str">
        <f>IF([2]SA_GRILLE_SCL!$AY$22="","",[2]SA_GRILLE_SCL!$AY$22)</f>
        <v/>
      </c>
      <c r="G55" s="1451" t="str">
        <f>IF([2]SA_GRILLE_SCL!$BA$37="","",[2]SA_GRILLE_SCL!$BA$37)</f>
        <v/>
      </c>
      <c r="H55" s="1452"/>
      <c r="I55" s="49" t="str">
        <f>IF([2]SA_GRILLE_SCL!BB$37="","",[2]SA_GRILLE_SCL!BB$37)</f>
        <v/>
      </c>
      <c r="J55" s="1427"/>
      <c r="K55" s="1505" t="str">
        <f>IF([2]SA_GRILLE_SCL!AZ$37="","",[2]SA_GRILLE_SCL!AZ$37)</f>
        <v/>
      </c>
      <c r="L55" s="1506"/>
      <c r="M55" s="1507"/>
      <c r="N55" s="229"/>
      <c r="O55" s="229"/>
      <c r="P55" s="229"/>
      <c r="Q55" s="229"/>
      <c r="R55" s="229"/>
      <c r="S55" s="229"/>
      <c r="T55" s="229"/>
      <c r="U55" s="229"/>
      <c r="V55" s="229"/>
      <c r="W55" s="229"/>
      <c r="X55" s="229"/>
      <c r="Y55" s="229"/>
      <c r="Z55" s="229"/>
    </row>
    <row r="56" spans="1:26" ht="28.5" customHeight="1" outlineLevel="1" x14ac:dyDescent="0.6">
      <c r="A56" s="51"/>
      <c r="B56" s="1445" t="s">
        <v>54</v>
      </c>
      <c r="C56" s="44" t="str">
        <f>IF([2]SA_GRILLE_SCL!$BF$3="","",[2]SA_GRILLE_SCL!$BF$3)</f>
        <v/>
      </c>
      <c r="D56" s="1447" t="str">
        <f>IF([2]SA_GRILLE_SCL!$BC$3="","",[2]SA_GRILLE_SCL!$BC$3)</f>
        <v/>
      </c>
      <c r="E56" s="45" t="s">
        <v>19</v>
      </c>
      <c r="F56" s="58" t="str">
        <f>IF([2]SA_GRILLE_SCL!$BD$5="","",[2]SA_GRILLE_SCL!$BD$5)</f>
        <v/>
      </c>
      <c r="G56" s="1449" t="str">
        <f>IF([2]SA_GRILLE_SCL!$BF$19="","",[2]SA_GRILLE_SCL!$BF$19)</f>
        <v/>
      </c>
      <c r="H56" s="1450"/>
      <c r="I56" s="46" t="str">
        <f>IF([2]SA_GRILLE_SCL!BG$19="","",[2]SA_GRILLE_SCL!BG$19)</f>
        <v/>
      </c>
      <c r="J56" s="1428" t="str">
        <f>IF([2]AnalysesComparatives_SCL!P29="","",[2]AnalysesComparatives_SCL!P29)</f>
        <v/>
      </c>
      <c r="K56" s="1502" t="str">
        <f>IF([2]SA_GRILLE_SCL!BE$19="","",[2]SA_GRILLE_SCL!BE$19)</f>
        <v/>
      </c>
      <c r="L56" s="1503"/>
      <c r="M56" s="1504"/>
      <c r="N56" s="229"/>
      <c r="O56" s="229"/>
      <c r="P56" s="229"/>
      <c r="Q56" s="229"/>
      <c r="R56" s="229"/>
      <c r="S56" s="229"/>
      <c r="T56" s="229"/>
      <c r="U56" s="229"/>
      <c r="V56" s="229"/>
      <c r="W56" s="229"/>
      <c r="X56" s="229"/>
      <c r="Y56" s="229"/>
      <c r="Z56" s="229"/>
    </row>
    <row r="57" spans="1:26" ht="28.5" customHeight="1" outlineLevel="1" thickBot="1" x14ac:dyDescent="0.65">
      <c r="A57" s="51"/>
      <c r="B57" s="1446"/>
      <c r="C57" s="47" t="str">
        <f>C56</f>
        <v/>
      </c>
      <c r="D57" s="1448"/>
      <c r="E57" s="48" t="s">
        <v>45</v>
      </c>
      <c r="F57" s="59" t="str">
        <f>IF([2]SA_GRILLE_SCL!$BD$22="","",[2]SA_GRILLE_SCL!$BD$22)</f>
        <v/>
      </c>
      <c r="G57" s="1451" t="str">
        <f>IF([2]SA_GRILLE_SCL!$BF$37="","",[2]SA_GRILLE_SCL!$BF$37)</f>
        <v/>
      </c>
      <c r="H57" s="1452"/>
      <c r="I57" s="49" t="str">
        <f>IF([2]SA_GRILLE_SCL!BG$37="","",[2]SA_GRILLE_SCL!BG$37)</f>
        <v/>
      </c>
      <c r="J57" s="1429"/>
      <c r="K57" s="1505" t="str">
        <f>IF([2]SA_GRILLE_STEU!BE$37="","",[2]SA_GRILLE_STEU!BE$37)</f>
        <v/>
      </c>
      <c r="L57" s="1506"/>
      <c r="M57" s="1507"/>
      <c r="N57" s="229"/>
      <c r="O57" s="229"/>
      <c r="P57" s="229"/>
      <c r="Q57" s="229"/>
      <c r="R57" s="229"/>
      <c r="S57" s="229"/>
      <c r="T57" s="229"/>
      <c r="U57" s="229"/>
      <c r="V57" s="229"/>
      <c r="W57" s="229"/>
      <c r="X57" s="229"/>
      <c r="Y57" s="229"/>
      <c r="Z57" s="229"/>
    </row>
  </sheetData>
  <mergeCells count="146">
    <mergeCell ref="B56:B57"/>
    <mergeCell ref="D56:D57"/>
    <mergeCell ref="G56:H56"/>
    <mergeCell ref="J56:J57"/>
    <mergeCell ref="K56:M56"/>
    <mergeCell ref="G57:H57"/>
    <mergeCell ref="K57:M57"/>
    <mergeCell ref="B54:B55"/>
    <mergeCell ref="D54:D55"/>
    <mergeCell ref="G54:H54"/>
    <mergeCell ref="J54:J55"/>
    <mergeCell ref="K54:M54"/>
    <mergeCell ref="G55:H55"/>
    <mergeCell ref="K55:M55"/>
    <mergeCell ref="B52:B53"/>
    <mergeCell ref="D52:D53"/>
    <mergeCell ref="G52:H52"/>
    <mergeCell ref="J52:J53"/>
    <mergeCell ref="K52:M52"/>
    <mergeCell ref="G53:H53"/>
    <mergeCell ref="K53:M53"/>
    <mergeCell ref="B50:B51"/>
    <mergeCell ref="D50:D51"/>
    <mergeCell ref="G50:H50"/>
    <mergeCell ref="J50:J51"/>
    <mergeCell ref="K50:M50"/>
    <mergeCell ref="G51:H51"/>
    <mergeCell ref="K51:M51"/>
    <mergeCell ref="B48:B49"/>
    <mergeCell ref="D48:D49"/>
    <mergeCell ref="G48:H48"/>
    <mergeCell ref="J48:J49"/>
    <mergeCell ref="K48:M48"/>
    <mergeCell ref="G49:H49"/>
    <mergeCell ref="K49:M49"/>
    <mergeCell ref="B46:B47"/>
    <mergeCell ref="D46:D47"/>
    <mergeCell ref="G46:H46"/>
    <mergeCell ref="J46:J47"/>
    <mergeCell ref="K46:M46"/>
    <mergeCell ref="G47:H47"/>
    <mergeCell ref="K47:M47"/>
    <mergeCell ref="B44:B45"/>
    <mergeCell ref="D44:D45"/>
    <mergeCell ref="G44:H44"/>
    <mergeCell ref="J44:J45"/>
    <mergeCell ref="K44:M44"/>
    <mergeCell ref="G45:H45"/>
    <mergeCell ref="K45:M45"/>
    <mergeCell ref="B42:B43"/>
    <mergeCell ref="D42:D43"/>
    <mergeCell ref="G42:H42"/>
    <mergeCell ref="J42:J43"/>
    <mergeCell ref="K42:M42"/>
    <mergeCell ref="G43:H43"/>
    <mergeCell ref="K43:M43"/>
    <mergeCell ref="B40:B41"/>
    <mergeCell ref="D40:D41"/>
    <mergeCell ref="G40:H40"/>
    <mergeCell ref="J40:J41"/>
    <mergeCell ref="K40:M40"/>
    <mergeCell ref="G41:H41"/>
    <mergeCell ref="K41:M41"/>
    <mergeCell ref="B38:B39"/>
    <mergeCell ref="D38:D39"/>
    <mergeCell ref="G38:H38"/>
    <mergeCell ref="J38:J39"/>
    <mergeCell ref="K38:M38"/>
    <mergeCell ref="G39:H39"/>
    <mergeCell ref="K39:M39"/>
    <mergeCell ref="B36:B37"/>
    <mergeCell ref="D36:D37"/>
    <mergeCell ref="G36:H36"/>
    <mergeCell ref="J36:J37"/>
    <mergeCell ref="K36:M36"/>
    <mergeCell ref="G37:H37"/>
    <mergeCell ref="K37:M37"/>
    <mergeCell ref="B34:B35"/>
    <mergeCell ref="C34:C35"/>
    <mergeCell ref="D34:D35"/>
    <mergeCell ref="G34:H34"/>
    <mergeCell ref="J34:J35"/>
    <mergeCell ref="K34:M34"/>
    <mergeCell ref="G35:H35"/>
    <mergeCell ref="K35:M35"/>
    <mergeCell ref="B32:H32"/>
    <mergeCell ref="I32:I33"/>
    <mergeCell ref="J32:J33"/>
    <mergeCell ref="K32:M33"/>
    <mergeCell ref="B33:C33"/>
    <mergeCell ref="G33:H33"/>
    <mergeCell ref="J18:J19"/>
    <mergeCell ref="M18:W25"/>
    <mergeCell ref="B19:C19"/>
    <mergeCell ref="B20:C20"/>
    <mergeCell ref="B21:C21"/>
    <mergeCell ref="B27:W28"/>
    <mergeCell ref="B16:C16"/>
    <mergeCell ref="B17:C17"/>
    <mergeCell ref="B18:C18"/>
    <mergeCell ref="G18:G19"/>
    <mergeCell ref="H18:H19"/>
    <mergeCell ref="I18:I19"/>
    <mergeCell ref="B14:C14"/>
    <mergeCell ref="G14:J14"/>
    <mergeCell ref="K14:Q14"/>
    <mergeCell ref="U14:W14"/>
    <mergeCell ref="B15:C15"/>
    <mergeCell ref="G15:J15"/>
    <mergeCell ref="K15:Q15"/>
    <mergeCell ref="U15:W15"/>
    <mergeCell ref="B11:C11"/>
    <mergeCell ref="B12:C12"/>
    <mergeCell ref="B13:C13"/>
    <mergeCell ref="G13:J13"/>
    <mergeCell ref="K13:Q13"/>
    <mergeCell ref="U13:W13"/>
    <mergeCell ref="B8:E8"/>
    <mergeCell ref="B9:D9"/>
    <mergeCell ref="G9:J9"/>
    <mergeCell ref="K9:Q9"/>
    <mergeCell ref="U9:W9"/>
    <mergeCell ref="B10:C10"/>
    <mergeCell ref="G10:J10"/>
    <mergeCell ref="K10:Q10"/>
    <mergeCell ref="U10:W10"/>
    <mergeCell ref="B5:D5"/>
    <mergeCell ref="E5:G5"/>
    <mergeCell ref="H5:O5"/>
    <mergeCell ref="P5:U5"/>
    <mergeCell ref="V5:W5"/>
    <mergeCell ref="B6:D6"/>
    <mergeCell ref="E6:G6"/>
    <mergeCell ref="H6:O6"/>
    <mergeCell ref="P6:T6"/>
    <mergeCell ref="V6:W6"/>
    <mergeCell ref="B2:C2"/>
    <mergeCell ref="D2:W2"/>
    <mergeCell ref="B3:D3"/>
    <mergeCell ref="E3:U3"/>
    <mergeCell ref="V3:W3"/>
    <mergeCell ref="B4:D4"/>
    <mergeCell ref="E4:G4"/>
    <mergeCell ref="H4:O4"/>
    <mergeCell ref="P4:U4"/>
    <mergeCell ref="V4:W4"/>
  </mergeCells>
  <conditionalFormatting sqref="B10:B21">
    <cfRule type="beginsWith" dxfId="334" priority="22" operator="beginsWith" text="Validé">
      <formula>LEFT(B10,LEN("Validé"))="Validé"</formula>
    </cfRule>
    <cfRule type="containsText" dxfId="333" priority="23" operator="containsText" text="Non validé">
      <formula>NOT(ISERROR(SEARCH("Non validé",B10)))</formula>
    </cfRule>
  </conditionalFormatting>
  <conditionalFormatting sqref="D10:D21">
    <cfRule type="containsText" dxfId="332" priority="16" operator="containsText" text="contrôlé">
      <formula>NOT(ISERROR(SEARCH("contrôlé",D10)))</formula>
    </cfRule>
    <cfRule type="containsText" dxfId="331" priority="17" operator="containsText" text="Non validé">
      <formula>NOT(ISERROR(SEARCH("Non validé",D10)))</formula>
    </cfRule>
    <cfRule type="containsText" dxfId="330" priority="18" operator="containsText" text="réserve">
      <formula>NOT(ISERROR(SEARCH("réserve",D10)))</formula>
    </cfRule>
    <cfRule type="beginsWith" dxfId="329" priority="19" operator="beginsWith" text="Validé">
      <formula>LEFT(D10,LEN("Validé"))="Validé"</formula>
    </cfRule>
  </conditionalFormatting>
  <conditionalFormatting sqref="E10:E21">
    <cfRule type="cellIs" dxfId="328" priority="1" operator="greaterThan">
      <formula>80</formula>
    </cfRule>
    <cfRule type="cellIs" dxfId="327" priority="2" operator="greaterThanOrEqual">
      <formula>70</formula>
    </cfRule>
    <cfRule type="cellIs" dxfId="326" priority="3" operator="lessThan">
      <formula>70</formula>
    </cfRule>
    <cfRule type="expression" dxfId="325" priority="4">
      <formula>IF($I9="",1,0)</formula>
    </cfRule>
  </conditionalFormatting>
  <conditionalFormatting sqref="G9:G10">
    <cfRule type="beginsWith" dxfId="324" priority="20" operator="beginsWith" text="Validé">
      <formula>LEFT(G9,LEN("Validé"))="Validé"</formula>
    </cfRule>
    <cfRule type="containsText" dxfId="323" priority="21" operator="containsText" text="Non validé">
      <formula>NOT(ISERROR(SEARCH("Non validé",G9)))</formula>
    </cfRule>
  </conditionalFormatting>
  <conditionalFormatting sqref="G13:G15">
    <cfRule type="beginsWith" dxfId="322" priority="30" operator="beginsWith" text="Validé">
      <formula>LEFT(G13,LEN("Validé"))="Validé"</formula>
    </cfRule>
    <cfRule type="containsText" dxfId="321" priority="31" operator="containsText" text="Non validé">
      <formula>NOT(ISERROR(SEARCH("Non validé",G13)))</formula>
    </cfRule>
  </conditionalFormatting>
  <conditionalFormatting sqref="G34:H57">
    <cfRule type="containsText" dxfId="320" priority="24" operator="containsText" text="contrôlé">
      <formula>NOT(ISERROR(SEARCH("contrôlé",G34)))</formula>
    </cfRule>
    <cfRule type="containsText" dxfId="319" priority="25" operator="containsText" text="Non validé">
      <formula>NOT(ISERROR(SEARCH("Non validé",G34)))</formula>
    </cfRule>
    <cfRule type="containsText" dxfId="318" priority="26" operator="containsText" text="réserve">
      <formula>NOT(ISERROR(SEARCH("réserve",G34)))</formula>
    </cfRule>
    <cfRule type="beginsWith" dxfId="317" priority="27" operator="beginsWith" text="Validé">
      <formula>LEFT(G34,LEN("Validé"))="Validé"</formula>
    </cfRule>
  </conditionalFormatting>
  <conditionalFormatting sqref="H18:J18">
    <cfRule type="containsText" dxfId="316" priority="8" operator="containsText" text="contrôlé">
      <formula>NOT(ISERROR(SEARCH("contrôlé",H18)))</formula>
    </cfRule>
    <cfRule type="containsText" dxfId="315" priority="9" operator="containsText" text="Non validé">
      <formula>NOT(ISERROR(SEARCH("Non validé",H18)))</formula>
    </cfRule>
    <cfRule type="containsText" dxfId="314" priority="10" operator="containsText" text="réserve">
      <formula>NOT(ISERROR(SEARCH("réserve",H18)))</formula>
    </cfRule>
    <cfRule type="beginsWith" dxfId="313" priority="11" operator="beginsWith" text="Validé">
      <formula>LEFT(H18,LEN("Validé"))="Validé"</formula>
    </cfRule>
  </conditionalFormatting>
  <conditionalFormatting sqref="I34:I57">
    <cfRule type="expression" dxfId="312" priority="28">
      <formula>IF($I34="",1,0)</formula>
    </cfRule>
    <cfRule type="cellIs" dxfId="311" priority="29" operator="between">
      <formula>0</formula>
      <formula>60.1</formula>
    </cfRule>
  </conditionalFormatting>
  <conditionalFormatting sqref="K9">
    <cfRule type="expression" dxfId="310" priority="7">
      <formula>IF(#REF!="Industriel",1,0)</formula>
    </cfRule>
  </conditionalFormatting>
  <conditionalFormatting sqref="K10">
    <cfRule type="containsText" dxfId="309" priority="12" operator="containsText" text="contrôlé">
      <formula>NOT(ISERROR(SEARCH("contrôlé",K10)))</formula>
    </cfRule>
    <cfRule type="containsText" dxfId="308" priority="13" operator="containsText" text="Non validé">
      <formula>NOT(ISERROR(SEARCH("Non validé",K10)))</formula>
    </cfRule>
    <cfRule type="containsText" dxfId="307" priority="14" operator="containsText" text="réserve">
      <formula>NOT(ISERROR(SEARCH("réserve",K10)))</formula>
    </cfRule>
    <cfRule type="beginsWith" dxfId="306" priority="15" operator="beginsWith" text="Validé">
      <formula>LEFT(K10,LEN("Validé"))="Validé"</formula>
    </cfRule>
  </conditionalFormatting>
  <conditionalFormatting sqref="K9:Q9">
    <cfRule type="containsText" dxfId="305" priority="5" operator="containsText" text="Non">
      <formula>NOT(ISERROR(SEARCH("Non",K9)))</formula>
    </cfRule>
    <cfRule type="containsText" dxfId="304" priority="6" operator="containsText" text="Oui">
      <formula>NOT(ISERROR(SEARCH("Oui",K9)))</formula>
    </cfRule>
  </conditionalFormatting>
  <dataValidations count="4">
    <dataValidation type="list" allowBlank="1" showInputMessage="1" showErrorMessage="1" sqref="U6 D10:D21" xr:uid="{172505EB-BD60-4594-8725-117CD45EB17F}">
      <formula1>#REF!</formula1>
    </dataValidation>
    <dataValidation allowBlank="1" showInputMessage="1" showErrorMessage="1" sqref="K9:Q9" xr:uid="{ACF1D26C-4C7A-4B61-92C3-988B27B707E9}"/>
    <dataValidation type="list" allowBlank="1" showInputMessage="1" showErrorMessage="1" sqref="K10" xr:uid="{8948BAAD-64B7-47BC-88D7-4B170D9110D5}">
      <formula1>LISTE_2</formula1>
    </dataValidation>
    <dataValidation errorStyle="information" allowBlank="1" showInputMessage="1" sqref="D42:D57 D36 D34 D38 D40 H18:J18" xr:uid="{D5AABE7D-187A-468B-8B61-3BE300291593}"/>
  </dataValidations>
  <pageMargins left="0.23622047244094488" right="0.23622047244094488" top="0.19685039370078741" bottom="0.15748031496062992" header="0.31496062992125984" footer="0.31496062992125984"/>
  <pageSetup paperSize="9" scale="61" fitToHeight="0" orientation="portrait" r:id="rId1"/>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75A0-351B-4803-A359-DEC492621555}">
  <sheetPr codeName="Feuil4">
    <tabColor rgb="FF008080"/>
  </sheetPr>
  <dimension ref="A1:BH37"/>
  <sheetViews>
    <sheetView showGridLines="0" zoomScaleNormal="100" workbookViewId="0">
      <pane ySplit="3" topLeftCell="A4" activePane="bottomLeft" state="frozen"/>
      <selection pane="bottomLeft" activeCell="D9" sqref="D9"/>
    </sheetView>
  </sheetViews>
  <sheetFormatPr baseColWidth="10" defaultColWidth="11.41015625" defaultRowHeight="12.7" x14ac:dyDescent="0.4"/>
  <cols>
    <col min="1" max="1" width="15.87890625" style="113" customWidth="1"/>
    <col min="2" max="2" width="90.703125" style="114" customWidth="1"/>
    <col min="3" max="3" width="13.41015625" style="51" customWidth="1"/>
    <col min="4" max="4" width="6.703125" style="51" customWidth="1"/>
    <col min="5" max="5" width="5.703125" style="51" customWidth="1"/>
    <col min="6" max="6" width="2.703125" style="113" customWidth="1"/>
    <col min="7" max="7" width="90.703125" style="51" customWidth="1"/>
    <col min="8" max="8" width="13.29296875" style="51" customWidth="1"/>
    <col min="9" max="9" width="6.703125" style="51" customWidth="1"/>
    <col min="10" max="10" width="3.1171875" style="51" hidden="1" customWidth="1"/>
    <col min="11" max="11" width="2.703125" style="113" customWidth="1"/>
    <col min="12" max="12" width="90.703125" style="51" customWidth="1"/>
    <col min="13" max="13" width="13.29296875" style="51" customWidth="1"/>
    <col min="14" max="14" width="6.703125" style="51" customWidth="1"/>
    <col min="15" max="15" width="4.87890625" style="51" hidden="1" customWidth="1"/>
    <col min="16" max="16" width="2.703125" style="113" customWidth="1"/>
    <col min="17" max="17" width="90.703125" style="51" customWidth="1"/>
    <col min="18" max="18" width="13.29296875" style="51" customWidth="1"/>
    <col min="19" max="19" width="6.703125" style="51" customWidth="1"/>
    <col min="20" max="20" width="4.87890625" style="51" hidden="1" customWidth="1"/>
    <col min="21" max="21" width="2.703125" style="51" customWidth="1"/>
    <col min="22" max="22" width="90.703125" style="51" customWidth="1"/>
    <col min="23" max="23" width="13.29296875" style="51" customWidth="1"/>
    <col min="24" max="24" width="6.703125" style="51" customWidth="1"/>
    <col min="25" max="25" width="4.87890625" style="51" hidden="1" customWidth="1"/>
    <col min="26" max="26" width="2.703125" style="51" customWidth="1"/>
    <col min="27" max="27" width="90.703125" style="51" customWidth="1"/>
    <col min="28" max="28" width="13.29296875" style="51" customWidth="1"/>
    <col min="29" max="29" width="6.703125" style="51" customWidth="1"/>
    <col min="30" max="30" width="4.87890625" style="51" hidden="1" customWidth="1"/>
    <col min="31" max="31" width="2.703125" style="51" customWidth="1"/>
    <col min="32" max="32" width="90.703125" style="51" customWidth="1"/>
    <col min="33" max="33" width="13.29296875" style="51" customWidth="1"/>
    <col min="34" max="34" width="6.703125" style="51" customWidth="1"/>
    <col min="35" max="35" width="4.87890625" style="51" hidden="1" customWidth="1"/>
    <col min="36" max="36" width="2.703125" style="51" customWidth="1"/>
    <col min="37" max="37" width="90.703125" style="51" customWidth="1"/>
    <col min="38" max="38" width="13.29296875" style="51" customWidth="1"/>
    <col min="39" max="39" width="6.703125" style="51" customWidth="1"/>
    <col min="40" max="40" width="4.87890625" style="51" hidden="1" customWidth="1"/>
    <col min="41" max="41" width="2.703125" style="51" customWidth="1"/>
    <col min="42" max="42" width="90.703125" style="51" customWidth="1"/>
    <col min="43" max="43" width="13.29296875" style="51" customWidth="1"/>
    <col min="44" max="44" width="6.703125" style="51" customWidth="1"/>
    <col min="45" max="45" width="4.87890625" style="51" hidden="1" customWidth="1"/>
    <col min="46" max="46" width="2.703125" style="51" customWidth="1"/>
    <col min="47" max="47" width="90.703125" style="51" customWidth="1"/>
    <col min="48" max="48" width="13.29296875" style="51" customWidth="1"/>
    <col min="49" max="49" width="6.703125" style="51" customWidth="1"/>
    <col min="50" max="50" width="4.87890625" style="51" hidden="1" customWidth="1"/>
    <col min="51" max="51" width="2.703125" style="51" customWidth="1"/>
    <col min="52" max="52" width="90.703125" style="51" customWidth="1"/>
    <col min="53" max="53" width="13.29296875" style="51" customWidth="1"/>
    <col min="54" max="54" width="6.703125" style="51" customWidth="1"/>
    <col min="55" max="55" width="4.87890625" style="51" hidden="1" customWidth="1"/>
    <col min="56" max="56" width="2.703125" style="51" customWidth="1"/>
    <col min="57" max="57" width="90.703125" style="51" customWidth="1"/>
    <col min="58" max="58" width="13.29296875" style="51" customWidth="1"/>
    <col min="59" max="59" width="6.703125" style="51" customWidth="1"/>
    <col min="60" max="60" width="4.87890625" style="51" hidden="1" customWidth="1"/>
    <col min="61" max="16384" width="11.41015625" style="51"/>
  </cols>
  <sheetData>
    <row r="1" spans="1:60" s="62" customFormat="1" ht="16.5" customHeight="1" thickBot="1" x14ac:dyDescent="0.55000000000000004">
      <c r="A1" s="1391" t="s">
        <v>29</v>
      </c>
      <c r="B1" s="1392"/>
      <c r="C1" s="1392"/>
      <c r="D1" s="1393"/>
      <c r="F1" s="1391" t="s">
        <v>30</v>
      </c>
      <c r="G1" s="1392"/>
      <c r="H1" s="1392"/>
      <c r="I1" s="1393"/>
      <c r="K1" s="1391" t="s">
        <v>31</v>
      </c>
      <c r="L1" s="1392"/>
      <c r="M1" s="1392"/>
      <c r="N1" s="1393"/>
      <c r="P1" s="1391" t="s">
        <v>46</v>
      </c>
      <c r="Q1" s="1392"/>
      <c r="R1" s="1392"/>
      <c r="S1" s="1393"/>
      <c r="U1" s="1391" t="s">
        <v>47</v>
      </c>
      <c r="V1" s="1392"/>
      <c r="W1" s="1392"/>
      <c r="X1" s="1393"/>
      <c r="Z1" s="1391" t="s">
        <v>48</v>
      </c>
      <c r="AA1" s="1392"/>
      <c r="AB1" s="1392"/>
      <c r="AC1" s="1393"/>
      <c r="AE1" s="1391" t="s">
        <v>49</v>
      </c>
      <c r="AF1" s="1392"/>
      <c r="AG1" s="1392"/>
      <c r="AH1" s="1393"/>
      <c r="AJ1" s="1391" t="s">
        <v>50</v>
      </c>
      <c r="AK1" s="1392"/>
      <c r="AL1" s="1392"/>
      <c r="AM1" s="1393"/>
      <c r="AO1" s="1391" t="s">
        <v>51</v>
      </c>
      <c r="AP1" s="1392"/>
      <c r="AQ1" s="1392"/>
      <c r="AR1" s="1393"/>
      <c r="AT1" s="1391" t="s">
        <v>52</v>
      </c>
      <c r="AU1" s="1392"/>
      <c r="AV1" s="1392"/>
      <c r="AW1" s="1393"/>
      <c r="AY1" s="1391" t="s">
        <v>53</v>
      </c>
      <c r="AZ1" s="1392"/>
      <c r="BA1" s="1392"/>
      <c r="BB1" s="1393"/>
      <c r="BD1" s="1391" t="s">
        <v>54</v>
      </c>
      <c r="BE1" s="1392"/>
      <c r="BF1" s="1394"/>
      <c r="BG1" s="1395"/>
    </row>
    <row r="2" spans="1:60" ht="15" customHeight="1" thickBot="1" x14ac:dyDescent="0.45">
      <c r="A2" s="1379" t="s">
        <v>55</v>
      </c>
      <c r="B2" s="1380"/>
      <c r="C2" s="1387" t="s">
        <v>56</v>
      </c>
      <c r="D2" s="1388"/>
      <c r="F2" s="1379" t="s">
        <v>55</v>
      </c>
      <c r="G2" s="1380"/>
      <c r="H2" s="1397" t="s">
        <v>56</v>
      </c>
      <c r="I2" s="1398"/>
      <c r="K2" s="1383" t="s">
        <v>55</v>
      </c>
      <c r="L2" s="1384"/>
      <c r="M2" s="1397" t="s">
        <v>56</v>
      </c>
      <c r="N2" s="1398"/>
      <c r="P2" s="1385" t="s">
        <v>55</v>
      </c>
      <c r="Q2" s="1386"/>
      <c r="R2" s="1397" t="s">
        <v>56</v>
      </c>
      <c r="S2" s="1398"/>
      <c r="U2" s="1383" t="s">
        <v>55</v>
      </c>
      <c r="V2" s="1384"/>
      <c r="W2" s="1397" t="s">
        <v>56</v>
      </c>
      <c r="X2" s="1398"/>
      <c r="Z2" s="1383" t="s">
        <v>55</v>
      </c>
      <c r="AA2" s="1384"/>
      <c r="AB2" s="1397" t="s">
        <v>56</v>
      </c>
      <c r="AC2" s="1398"/>
      <c r="AE2" s="1383" t="s">
        <v>55</v>
      </c>
      <c r="AF2" s="1384"/>
      <c r="AG2" s="1397" t="s">
        <v>56</v>
      </c>
      <c r="AH2" s="1398"/>
      <c r="AJ2" s="1383" t="s">
        <v>55</v>
      </c>
      <c r="AK2" s="1384"/>
      <c r="AL2" s="1397" t="s">
        <v>56</v>
      </c>
      <c r="AM2" s="1398"/>
      <c r="AO2" s="1383" t="s">
        <v>55</v>
      </c>
      <c r="AP2" s="1384"/>
      <c r="AQ2" s="1397" t="s">
        <v>56</v>
      </c>
      <c r="AR2" s="1398"/>
      <c r="AT2" s="1383" t="s">
        <v>55</v>
      </c>
      <c r="AU2" s="1384"/>
      <c r="AV2" s="1397" t="s">
        <v>56</v>
      </c>
      <c r="AW2" s="1398"/>
      <c r="AY2" s="1383" t="s">
        <v>55</v>
      </c>
      <c r="AZ2" s="1384"/>
      <c r="BA2" s="1397" t="s">
        <v>56</v>
      </c>
      <c r="BB2" s="1398"/>
      <c r="BD2" s="1383" t="s">
        <v>55</v>
      </c>
      <c r="BE2" s="1396"/>
      <c r="BF2" s="1406" t="s">
        <v>56</v>
      </c>
      <c r="BG2" s="1407"/>
    </row>
    <row r="3" spans="1:60" s="63" customFormat="1" ht="20.350000000000001" thickBot="1" x14ac:dyDescent="0.45">
      <c r="A3" s="1381"/>
      <c r="B3" s="1382"/>
      <c r="C3" s="1389"/>
      <c r="D3" s="1390"/>
      <c r="E3" s="51"/>
      <c r="F3" s="1381"/>
      <c r="G3" s="1382"/>
      <c r="H3" s="1389"/>
      <c r="I3" s="1390"/>
      <c r="J3" s="51"/>
      <c r="K3" s="1381"/>
      <c r="L3" s="1382"/>
      <c r="M3" s="1389"/>
      <c r="N3" s="1390"/>
      <c r="O3" s="51"/>
      <c r="P3" s="1377"/>
      <c r="Q3" s="1378"/>
      <c r="R3" s="1389"/>
      <c r="S3" s="1390"/>
      <c r="T3" s="51"/>
      <c r="U3" s="1377"/>
      <c r="V3" s="1378"/>
      <c r="W3" s="1389"/>
      <c r="X3" s="1390"/>
      <c r="Y3" s="51"/>
      <c r="Z3" s="1377"/>
      <c r="AA3" s="1378"/>
      <c r="AB3" s="1389"/>
      <c r="AC3" s="1390"/>
      <c r="AD3" s="51"/>
      <c r="AE3" s="1377"/>
      <c r="AF3" s="1378"/>
      <c r="AG3" s="1389"/>
      <c r="AH3" s="1390"/>
      <c r="AI3" s="51"/>
      <c r="AJ3" s="1377"/>
      <c r="AK3" s="1378"/>
      <c r="AL3" s="1389"/>
      <c r="AM3" s="1390"/>
      <c r="AN3" s="51"/>
      <c r="AO3" s="1377"/>
      <c r="AP3" s="1378"/>
      <c r="AQ3" s="1389"/>
      <c r="AR3" s="1390"/>
      <c r="AS3" s="124"/>
      <c r="AT3" s="1377"/>
      <c r="AU3" s="1378"/>
      <c r="AV3" s="1389"/>
      <c r="AW3" s="1390"/>
      <c r="AX3" s="124"/>
      <c r="AY3" s="1377"/>
      <c r="AZ3" s="1378"/>
      <c r="BA3" s="1389"/>
      <c r="BB3" s="1390"/>
      <c r="BC3" s="51"/>
      <c r="BD3" s="1377"/>
      <c r="BE3" s="1378"/>
      <c r="BF3" s="1389"/>
      <c r="BG3" s="1390"/>
      <c r="BH3" s="51"/>
    </row>
    <row r="4" spans="1:60" ht="15" customHeight="1" x14ac:dyDescent="0.4">
      <c r="A4" s="1374" t="s">
        <v>236</v>
      </c>
      <c r="B4" s="1375"/>
      <c r="C4" s="1375"/>
      <c r="D4" s="1376"/>
      <c r="F4" s="1374" t="s">
        <v>236</v>
      </c>
      <c r="G4" s="1375"/>
      <c r="H4" s="1375"/>
      <c r="I4" s="1376"/>
      <c r="K4" s="1374" t="s">
        <v>236</v>
      </c>
      <c r="L4" s="1375"/>
      <c r="M4" s="1375"/>
      <c r="N4" s="1376"/>
      <c r="P4" s="1374" t="s">
        <v>236</v>
      </c>
      <c r="Q4" s="1375"/>
      <c r="R4" s="1375"/>
      <c r="S4" s="1376"/>
      <c r="U4" s="1374" t="s">
        <v>236</v>
      </c>
      <c r="V4" s="1375"/>
      <c r="W4" s="1375"/>
      <c r="X4" s="1376"/>
      <c r="Z4" s="1374" t="s">
        <v>236</v>
      </c>
      <c r="AA4" s="1375"/>
      <c r="AB4" s="1375"/>
      <c r="AC4" s="1376"/>
      <c r="AE4" s="1374" t="s">
        <v>236</v>
      </c>
      <c r="AF4" s="1375"/>
      <c r="AG4" s="1375"/>
      <c r="AH4" s="1376"/>
      <c r="AJ4" s="1374" t="s">
        <v>236</v>
      </c>
      <c r="AK4" s="1375"/>
      <c r="AL4" s="1375"/>
      <c r="AM4" s="1376"/>
      <c r="AO4" s="1374" t="s">
        <v>236</v>
      </c>
      <c r="AP4" s="1375"/>
      <c r="AQ4" s="1375"/>
      <c r="AR4" s="1376"/>
      <c r="AT4" s="1374" t="s">
        <v>236</v>
      </c>
      <c r="AU4" s="1375"/>
      <c r="AV4" s="1375"/>
      <c r="AW4" s="1376"/>
      <c r="AY4" s="1374" t="s">
        <v>236</v>
      </c>
      <c r="AZ4" s="1375"/>
      <c r="BA4" s="1375"/>
      <c r="BB4" s="1376"/>
      <c r="BD4" s="1374" t="s">
        <v>236</v>
      </c>
      <c r="BE4" s="1375"/>
      <c r="BF4" s="1375"/>
      <c r="BG4" s="1376"/>
    </row>
    <row r="5" spans="1:60" s="64" customFormat="1" ht="18" customHeight="1" x14ac:dyDescent="0.55000000000000004">
      <c r="A5" s="1399" t="s">
        <v>57</v>
      </c>
      <c r="B5" s="1400"/>
      <c r="C5" s="1400"/>
      <c r="D5" s="1401"/>
      <c r="F5" s="1399" t="s">
        <v>58</v>
      </c>
      <c r="G5" s="1400"/>
      <c r="H5" s="1400"/>
      <c r="I5" s="1401"/>
      <c r="K5" s="1399"/>
      <c r="L5" s="1400"/>
      <c r="M5" s="1400"/>
      <c r="N5" s="1401"/>
      <c r="P5" s="1399"/>
      <c r="Q5" s="1400"/>
      <c r="R5" s="1400"/>
      <c r="S5" s="1401"/>
      <c r="U5" s="1399"/>
      <c r="V5" s="1400"/>
      <c r="W5" s="1400"/>
      <c r="X5" s="1401"/>
      <c r="Z5" s="1399"/>
      <c r="AA5" s="1400"/>
      <c r="AB5" s="1400"/>
      <c r="AC5" s="1401"/>
      <c r="AE5" s="1399"/>
      <c r="AF5" s="1400"/>
      <c r="AG5" s="1400"/>
      <c r="AH5" s="1401"/>
      <c r="AJ5" s="1399"/>
      <c r="AK5" s="1400"/>
      <c r="AL5" s="1400"/>
      <c r="AM5" s="1401"/>
      <c r="AO5" s="1399"/>
      <c r="AP5" s="1400"/>
      <c r="AQ5" s="1400"/>
      <c r="AR5" s="1401"/>
      <c r="AS5" s="125"/>
      <c r="AT5" s="1399"/>
      <c r="AU5" s="1400"/>
      <c r="AV5" s="1400"/>
      <c r="AW5" s="1401"/>
      <c r="AY5" s="1399"/>
      <c r="AZ5" s="1400"/>
      <c r="BA5" s="1400"/>
      <c r="BB5" s="1401"/>
      <c r="BD5" s="1399"/>
      <c r="BE5" s="1400"/>
      <c r="BF5" s="1400"/>
      <c r="BG5" s="1401"/>
    </row>
    <row r="6" spans="1:60" ht="1.5" customHeight="1" x14ac:dyDescent="0.4">
      <c r="A6" s="65"/>
      <c r="B6" s="66"/>
      <c r="C6" s="66"/>
      <c r="D6" s="67"/>
      <c r="F6" s="65"/>
      <c r="G6" s="66"/>
      <c r="H6" s="66"/>
      <c r="I6" s="68"/>
      <c r="K6" s="65"/>
      <c r="L6" s="66"/>
      <c r="M6" s="69"/>
      <c r="N6" s="68"/>
      <c r="P6" s="65"/>
      <c r="Q6" s="66"/>
      <c r="R6" s="66"/>
      <c r="S6" s="67"/>
      <c r="U6" s="65"/>
      <c r="V6" s="66"/>
      <c r="W6" s="66"/>
      <c r="X6" s="67"/>
      <c r="Z6" s="65"/>
      <c r="AA6" s="66"/>
      <c r="AB6" s="66"/>
      <c r="AC6" s="67"/>
      <c r="AE6" s="65"/>
      <c r="AF6" s="66"/>
      <c r="AG6" s="66"/>
      <c r="AH6" s="67"/>
      <c r="AJ6" s="65"/>
      <c r="AK6" s="66"/>
      <c r="AL6" s="66"/>
      <c r="AM6" s="67"/>
      <c r="AO6" s="65"/>
      <c r="AP6" s="66"/>
      <c r="AQ6" s="66"/>
      <c r="AR6" s="67"/>
      <c r="AT6" s="65"/>
      <c r="AU6" s="66"/>
      <c r="AV6" s="66"/>
      <c r="AW6" s="67"/>
      <c r="AY6" s="65"/>
      <c r="AZ6" s="66"/>
      <c r="BA6" s="66"/>
      <c r="BB6" s="67"/>
      <c r="BD6" s="65"/>
      <c r="BE6" s="66"/>
      <c r="BF6" s="66"/>
      <c r="BG6" s="70"/>
    </row>
    <row r="7" spans="1:60" ht="24" customHeight="1" x14ac:dyDescent="0.4">
      <c r="A7" s="1402" t="s">
        <v>59</v>
      </c>
      <c r="B7" s="1403"/>
      <c r="C7" s="213" t="s">
        <v>11</v>
      </c>
      <c r="D7" s="214" t="s">
        <v>60</v>
      </c>
      <c r="E7" s="71" t="s">
        <v>61</v>
      </c>
      <c r="F7" s="1402" t="s">
        <v>59</v>
      </c>
      <c r="G7" s="1403"/>
      <c r="H7" s="213" t="s">
        <v>11</v>
      </c>
      <c r="I7" s="215" t="s">
        <v>60</v>
      </c>
      <c r="J7" s="71" t="s">
        <v>61</v>
      </c>
      <c r="K7" s="1402" t="s">
        <v>59</v>
      </c>
      <c r="L7" s="1403"/>
      <c r="M7" s="213" t="s">
        <v>11</v>
      </c>
      <c r="N7" s="215" t="s">
        <v>60</v>
      </c>
      <c r="O7" s="71" t="s">
        <v>61</v>
      </c>
      <c r="P7" s="1402" t="s">
        <v>59</v>
      </c>
      <c r="Q7" s="1403"/>
      <c r="R7" s="213" t="s">
        <v>11</v>
      </c>
      <c r="S7" s="215" t="s">
        <v>60</v>
      </c>
      <c r="T7" s="71" t="s">
        <v>61</v>
      </c>
      <c r="U7" s="1402" t="s">
        <v>59</v>
      </c>
      <c r="V7" s="1403"/>
      <c r="W7" s="213" t="s">
        <v>11</v>
      </c>
      <c r="X7" s="215" t="s">
        <v>60</v>
      </c>
      <c r="Y7" s="71" t="s">
        <v>61</v>
      </c>
      <c r="Z7" s="1402" t="s">
        <v>59</v>
      </c>
      <c r="AA7" s="1403"/>
      <c r="AB7" s="213" t="s">
        <v>11</v>
      </c>
      <c r="AC7" s="215" t="s">
        <v>60</v>
      </c>
      <c r="AD7" s="71" t="s">
        <v>61</v>
      </c>
      <c r="AE7" s="1402" t="s">
        <v>59</v>
      </c>
      <c r="AF7" s="1403"/>
      <c r="AG7" s="213" t="s">
        <v>11</v>
      </c>
      <c r="AH7" s="215" t="s">
        <v>60</v>
      </c>
      <c r="AI7" s="71" t="s">
        <v>61</v>
      </c>
      <c r="AJ7" s="1402" t="s">
        <v>59</v>
      </c>
      <c r="AK7" s="1403"/>
      <c r="AL7" s="213" t="s">
        <v>11</v>
      </c>
      <c r="AM7" s="215" t="s">
        <v>60</v>
      </c>
      <c r="AN7" s="71" t="s">
        <v>61</v>
      </c>
      <c r="AO7" s="1402" t="s">
        <v>59</v>
      </c>
      <c r="AP7" s="1403"/>
      <c r="AQ7" s="213" t="s">
        <v>11</v>
      </c>
      <c r="AR7" s="215" t="s">
        <v>60</v>
      </c>
      <c r="AS7" s="71" t="s">
        <v>61</v>
      </c>
      <c r="AT7" s="1402" t="s">
        <v>59</v>
      </c>
      <c r="AU7" s="1403"/>
      <c r="AV7" s="213" t="s">
        <v>11</v>
      </c>
      <c r="AW7" s="215" t="s">
        <v>60</v>
      </c>
      <c r="AX7" s="71" t="s">
        <v>61</v>
      </c>
      <c r="AY7" s="1402" t="s">
        <v>59</v>
      </c>
      <c r="AZ7" s="1403"/>
      <c r="BA7" s="213" t="s">
        <v>11</v>
      </c>
      <c r="BB7" s="215" t="s">
        <v>60</v>
      </c>
      <c r="BC7" s="71" t="s">
        <v>61</v>
      </c>
      <c r="BD7" s="1402" t="s">
        <v>59</v>
      </c>
      <c r="BE7" s="1403"/>
      <c r="BF7" s="213" t="s">
        <v>11</v>
      </c>
      <c r="BG7" s="215" t="s">
        <v>60</v>
      </c>
      <c r="BH7" s="72" t="s">
        <v>61</v>
      </c>
    </row>
    <row r="8" spans="1:60" ht="20.100000000000001" customHeight="1" x14ac:dyDescent="0.4">
      <c r="A8" s="216">
        <v>0</v>
      </c>
      <c r="B8" s="28" t="str">
        <f>IFERROR(HLOOKUP(A$5,#REF!,SA_GRILLE_STEU!$A8+2,FALSE),"")</f>
        <v/>
      </c>
      <c r="C8" s="121" t="s">
        <v>124</v>
      </c>
      <c r="D8" s="157"/>
      <c r="E8" s="73" t="str">
        <f>IFERROR(HLOOKUP(A$5,#REF!,$A8+2,FALSE),"")</f>
        <v/>
      </c>
      <c r="F8" s="216">
        <v>0</v>
      </c>
      <c r="G8" s="29" t="str">
        <f>IFERROR(HLOOKUP(F$5,#REF!,SA_GRILLE_STEU!$A8+2,FALSE),"")</f>
        <v/>
      </c>
      <c r="H8" s="121"/>
      <c r="I8" s="158"/>
      <c r="J8" s="73" t="str">
        <f>IFERROR(HLOOKUP(F$5,#REF!,SA_GRILLE_STEU!$A8+2,FALSE),"")</f>
        <v/>
      </c>
      <c r="K8" s="216">
        <v>0</v>
      </c>
      <c r="L8" s="29" t="str">
        <f>IFERROR(HLOOKUP(K$5,#REF!,SA_GRILLE_STEU!$A8+2,FALSE),"")</f>
        <v/>
      </c>
      <c r="M8" s="121"/>
      <c r="N8" s="158"/>
      <c r="O8" s="73" t="str">
        <f>IFERROR(HLOOKUP(K$5,#REF!,SA_GRILLE_STEU!$A8+2,FALSE),"")</f>
        <v/>
      </c>
      <c r="P8" s="216">
        <v>0</v>
      </c>
      <c r="Q8" s="29" t="str">
        <f>IFERROR(HLOOKUP(P$5,#REF!,SA_GRILLE_STEU!$A8+2,FALSE),"")</f>
        <v/>
      </c>
      <c r="R8" s="121"/>
      <c r="S8" s="158"/>
      <c r="T8" s="73" t="str">
        <f>IFERROR(HLOOKUP(P$5,#REF!,SA_GRILLE_STEU!$A8+2,FALSE),"")</f>
        <v/>
      </c>
      <c r="U8" s="216">
        <v>0</v>
      </c>
      <c r="V8" s="29" t="str">
        <f>IFERROR(HLOOKUP(U$5,#REF!,SA_GRILLE_STEU!$A8+2,FALSE),"")</f>
        <v/>
      </c>
      <c r="W8" s="121"/>
      <c r="X8" s="158"/>
      <c r="Y8" s="73" t="str">
        <f>IFERROR(HLOOKUP(U$5,#REF!,SA_GRILLE_STEU!$A8+2,FALSE),"")</f>
        <v/>
      </c>
      <c r="Z8" s="216">
        <v>0</v>
      </c>
      <c r="AA8" s="29" t="str">
        <f>IFERROR(HLOOKUP(Z$5,#REF!,SA_GRILLE_STEU!$A8+2,FALSE),"")</f>
        <v/>
      </c>
      <c r="AB8" s="121"/>
      <c r="AC8" s="158"/>
      <c r="AD8" s="73" t="str">
        <f>IFERROR(HLOOKUP(Z$5,#REF!,SA_GRILLE_STEU!$A8+2,FALSE),"")</f>
        <v/>
      </c>
      <c r="AE8" s="216">
        <v>0</v>
      </c>
      <c r="AF8" s="29" t="str">
        <f>IFERROR(HLOOKUP(AE$5,#REF!,SA_GRILLE_STEU!$A8+2,FALSE),"")</f>
        <v/>
      </c>
      <c r="AG8" s="121"/>
      <c r="AH8" s="158"/>
      <c r="AI8" s="73" t="str">
        <f>IFERROR(HLOOKUP(AE$5,#REF!,SA_GRILLE_STEU!$A8+2,FALSE),"")</f>
        <v/>
      </c>
      <c r="AJ8" s="216">
        <v>0</v>
      </c>
      <c r="AK8" s="29" t="str">
        <f>IFERROR(HLOOKUP(AJ$5,#REF!,SA_GRILLE_STEU!$A8+2,FALSE),"")</f>
        <v/>
      </c>
      <c r="AL8" s="121"/>
      <c r="AM8" s="74"/>
      <c r="AN8" s="73" t="str">
        <f>IFERROR(HLOOKUP(AJ$5,#REF!,SA_GRILLE_STEU!$A8+2,FALSE),"")</f>
        <v/>
      </c>
      <c r="AO8" s="216">
        <v>0</v>
      </c>
      <c r="AP8" s="29" t="str">
        <f>IFERROR(HLOOKUP(AO$5,#REF!,SA_GRILLE_STEU!$A8+2,FALSE),"")</f>
        <v/>
      </c>
      <c r="AQ8" s="121"/>
      <c r="AR8" s="74"/>
      <c r="AS8" s="73" t="str">
        <f>IFERROR(HLOOKUP(AO$5,#REF!,SA_GRILLE_STEU!$A8+2,FALSE),"")</f>
        <v/>
      </c>
      <c r="AT8" s="216">
        <v>0</v>
      </c>
      <c r="AU8" s="29" t="str">
        <f>IFERROR(HLOOKUP(AT$5,#REF!,SA_GRILLE_STEU!$A8+2,FALSE),"")</f>
        <v/>
      </c>
      <c r="AV8" s="121"/>
      <c r="AW8" s="74"/>
      <c r="AX8" s="73" t="str">
        <f>IFERROR(HLOOKUP(AT$5,#REF!,SA_GRILLE_STEU!$A8+2,FALSE),"")</f>
        <v/>
      </c>
      <c r="AY8" s="216">
        <v>0</v>
      </c>
      <c r="AZ8" s="29" t="str">
        <f>IFERROR(HLOOKUP(AY$5,#REF!,SA_GRILLE_STEU!$A8+2,FALSE),"")</f>
        <v/>
      </c>
      <c r="BA8" s="121"/>
      <c r="BB8" s="74"/>
      <c r="BC8" s="73" t="str">
        <f>IFERROR(HLOOKUP(AY$5,#REF!,SA_GRILLE_STEU!$A8+2,FALSE),"")</f>
        <v/>
      </c>
      <c r="BD8" s="216">
        <v>0</v>
      </c>
      <c r="BE8" s="29" t="str">
        <f>IFERROR(HLOOKUP(BD$5,#REF!,SA_GRILLE_STEU!$A8+2,FALSE),"")</f>
        <v/>
      </c>
      <c r="BF8" s="121"/>
      <c r="BG8" s="75"/>
      <c r="BH8" s="76" t="str">
        <f>IFERROR(HLOOKUP(BD$5,#REF!,SA_GRILLE_STEU!$A8+2,FALSE),"")</f>
        <v/>
      </c>
    </row>
    <row r="9" spans="1:60" ht="30" customHeight="1" x14ac:dyDescent="0.4">
      <c r="A9" s="217">
        <v>1</v>
      </c>
      <c r="B9" s="28" t="str">
        <f>IFERROR(HLOOKUP(A$5,#REF!,SA_GRILLE_STEU!$A9+2,FALSE),"")</f>
        <v/>
      </c>
      <c r="C9" s="116"/>
      <c r="D9" s="158" t="str">
        <f>IFERROR(HLOOKUP(A$5,#REF!,SA_GRILLE_STEU!$A9+2,FALSE),"")</f>
        <v/>
      </c>
      <c r="E9" s="73" t="str">
        <f>IFERROR(HLOOKUP(A$5,#REF!,SA_GRILLE_STEU!$A9+2,FALSE),"")</f>
        <v/>
      </c>
      <c r="F9" s="217">
        <v>1</v>
      </c>
      <c r="G9" s="29" t="str">
        <f>IFERROR(HLOOKUP(F$5,#REF!,SA_GRILLE_STEU!$A9+2,FALSE),"")</f>
        <v/>
      </c>
      <c r="H9" s="116"/>
      <c r="I9" s="158" t="str">
        <f>IFERROR(HLOOKUP(F$5,#REF!,SA_GRILLE_STEU!$A9+2,FALSE),"")</f>
        <v/>
      </c>
      <c r="J9" s="73" t="str">
        <f>IFERROR(HLOOKUP(F$5,#REF!,SA_GRILLE_STEU!$A9+2,FALSE),"")</f>
        <v/>
      </c>
      <c r="K9" s="217">
        <v>1</v>
      </c>
      <c r="L9" s="29" t="str">
        <f>IFERROR(HLOOKUP(K$5,#REF!,SA_GRILLE_STEU!$A9+2,FALSE),"")</f>
        <v/>
      </c>
      <c r="M9" s="116"/>
      <c r="N9" s="158" t="str">
        <f>IFERROR(HLOOKUP(K$5,#REF!,SA_GRILLE_STEU!$A9+2,FALSE),"")</f>
        <v/>
      </c>
      <c r="O9" s="73" t="str">
        <f>IFERROR(HLOOKUP(K$5,#REF!,SA_GRILLE_STEU!$A9+2,FALSE),"")</f>
        <v/>
      </c>
      <c r="P9" s="217">
        <v>1</v>
      </c>
      <c r="Q9" s="29" t="str">
        <f>IFERROR(HLOOKUP(P$5,#REF!,SA_GRILLE_STEU!$A9+2,FALSE),"")</f>
        <v/>
      </c>
      <c r="R9" s="116"/>
      <c r="S9" s="158" t="str">
        <f>IFERROR(HLOOKUP(P$5,#REF!,SA_GRILLE_STEU!$A9+2,FALSE),"")</f>
        <v/>
      </c>
      <c r="T9" s="73" t="str">
        <f>IFERROR(HLOOKUP(P$5,#REF!,SA_GRILLE_STEU!$A9+2,FALSE),"")</f>
        <v/>
      </c>
      <c r="U9" s="217">
        <v>1</v>
      </c>
      <c r="V9" s="29" t="str">
        <f>IFERROR(HLOOKUP(U$5,#REF!,SA_GRILLE_STEU!$A9+2,FALSE),"")</f>
        <v/>
      </c>
      <c r="W9" s="116"/>
      <c r="X9" s="158" t="str">
        <f>IFERROR(HLOOKUP(U$5,#REF!,SA_GRILLE_STEU!$A9+2,FALSE),"")</f>
        <v/>
      </c>
      <c r="Y9" s="73" t="str">
        <f>IFERROR(HLOOKUP(U$5,#REF!,SA_GRILLE_STEU!$A9+2,FALSE),"")</f>
        <v/>
      </c>
      <c r="Z9" s="217">
        <v>1</v>
      </c>
      <c r="AA9" s="29" t="str">
        <f>IFERROR(HLOOKUP(Z$5,#REF!,SA_GRILLE_STEU!$A9+2,FALSE),"")</f>
        <v/>
      </c>
      <c r="AB9" s="116"/>
      <c r="AC9" s="158" t="str">
        <f>IFERROR(HLOOKUP(Z$5,#REF!,SA_GRILLE_STEU!$A9+2,FALSE),"")</f>
        <v/>
      </c>
      <c r="AD9" s="73" t="str">
        <f>IFERROR(HLOOKUP(Z$5,#REF!,SA_GRILLE_STEU!$A9+2,FALSE),"")</f>
        <v/>
      </c>
      <c r="AE9" s="217">
        <v>1</v>
      </c>
      <c r="AF9" s="29" t="str">
        <f>IFERROR(HLOOKUP(AE$5,#REF!,SA_GRILLE_STEU!$A9+2,FALSE),"")</f>
        <v/>
      </c>
      <c r="AG9" s="116"/>
      <c r="AH9" s="158" t="str">
        <f>IFERROR(HLOOKUP(AE$5,#REF!,SA_GRILLE_STEU!$A9+2,FALSE),"")</f>
        <v/>
      </c>
      <c r="AI9" s="73" t="str">
        <f>IFERROR(HLOOKUP(AE$5,#REF!,SA_GRILLE_STEU!$A9+2,FALSE),"")</f>
        <v/>
      </c>
      <c r="AJ9" s="217">
        <v>1</v>
      </c>
      <c r="AK9" s="29" t="str">
        <f>IFERROR(HLOOKUP(AJ$5,#REF!,SA_GRILLE_STEU!$A9+2,FALSE),"")</f>
        <v/>
      </c>
      <c r="AL9" s="116"/>
      <c r="AM9" s="74" t="str">
        <f>IFERROR(HLOOKUP(AJ$5,#REF!,SA_GRILLE_STEU!$A9+2,FALSE),"")</f>
        <v/>
      </c>
      <c r="AN9" s="73" t="str">
        <f>IFERROR(HLOOKUP(AJ$5,#REF!,SA_GRILLE_STEU!$A9+2,FALSE),"")</f>
        <v/>
      </c>
      <c r="AO9" s="217">
        <v>1</v>
      </c>
      <c r="AP9" s="29" t="str">
        <f>IFERROR(HLOOKUP(AO$5,#REF!,SA_GRILLE_STEU!$A9+2,FALSE),"")</f>
        <v/>
      </c>
      <c r="AQ9" s="116"/>
      <c r="AR9" s="74" t="str">
        <f>IFERROR(HLOOKUP(AO$5,#REF!,SA_GRILLE_STEU!$A9+2,FALSE),"")</f>
        <v/>
      </c>
      <c r="AS9" s="73" t="str">
        <f>IFERROR(HLOOKUP(AO$5,#REF!,SA_GRILLE_STEU!$A9+2,FALSE),"")</f>
        <v/>
      </c>
      <c r="AT9" s="217">
        <v>1</v>
      </c>
      <c r="AU9" s="29" t="str">
        <f>IFERROR(HLOOKUP(AT$5,#REF!,SA_GRILLE_STEU!$A9+2,FALSE),"")</f>
        <v/>
      </c>
      <c r="AV9" s="116"/>
      <c r="AW9" s="74" t="str">
        <f>IFERROR(HLOOKUP(AT$5,#REF!,SA_GRILLE_STEU!$A9+2,FALSE),"")</f>
        <v/>
      </c>
      <c r="AX9" s="73" t="str">
        <f>IFERROR(HLOOKUP(AT$5,#REF!,SA_GRILLE_STEU!$A9+2,FALSE),"")</f>
        <v/>
      </c>
      <c r="AY9" s="217">
        <v>1</v>
      </c>
      <c r="AZ9" s="29" t="str">
        <f>IFERROR(HLOOKUP(AY$5,#REF!,SA_GRILLE_STEU!$A9+2,FALSE),"")</f>
        <v/>
      </c>
      <c r="BA9" s="116"/>
      <c r="BB9" s="74" t="str">
        <f>IFERROR(HLOOKUP(AY$5,#REF!,SA_GRILLE_STEU!$A9+2,FALSE),"")</f>
        <v/>
      </c>
      <c r="BC9" s="73" t="str">
        <f>IFERROR(HLOOKUP(AY$5,#REF!,SA_GRILLE_STEU!$A9+2,FALSE),"")</f>
        <v/>
      </c>
      <c r="BD9" s="217">
        <v>1</v>
      </c>
      <c r="BE9" s="29" t="str">
        <f>IFERROR(HLOOKUP(BD$5,#REF!,SA_GRILLE_STEU!$A9+2,FALSE),"")</f>
        <v/>
      </c>
      <c r="BF9" s="116"/>
      <c r="BG9" s="77" t="str">
        <f>IFERROR(HLOOKUP(BD$5,#REF!,SA_GRILLE_STEU!$A9+2,FALSE),"")</f>
        <v/>
      </c>
      <c r="BH9" s="76" t="str">
        <f>IFERROR(HLOOKUP(BD$5,#REF!,SA_GRILLE_STEU!$A9+2,FALSE),"")</f>
        <v/>
      </c>
    </row>
    <row r="10" spans="1:60" ht="30.75" customHeight="1" x14ac:dyDescent="0.4">
      <c r="A10" s="217">
        <v>2</v>
      </c>
      <c r="B10" s="28" t="str">
        <f>IFERROR(HLOOKUP(A$5,#REF!,SA_GRILLE_STEU!$A10+2,FALSE),"")</f>
        <v/>
      </c>
      <c r="C10" s="116"/>
      <c r="D10" s="158" t="str">
        <f>IFERROR(HLOOKUP(A$5,#REF!,SA_GRILLE_STEU!$A10+2,FALSE),"")</f>
        <v/>
      </c>
      <c r="E10" s="73" t="str">
        <f>IFERROR(HLOOKUP(A$5,#REF!,SA_GRILLE_STEU!$A10+2,FALSE),"")</f>
        <v/>
      </c>
      <c r="F10" s="217">
        <v>2</v>
      </c>
      <c r="G10" s="29" t="str">
        <f>IFERROR(HLOOKUP(F$5,#REF!,SA_GRILLE_STEU!$A10+2,FALSE),"")</f>
        <v/>
      </c>
      <c r="H10" s="116"/>
      <c r="I10" s="158" t="str">
        <f>IFERROR(HLOOKUP(F$5,#REF!,SA_GRILLE_STEU!$A10+2,FALSE),"")</f>
        <v/>
      </c>
      <c r="J10" s="73" t="str">
        <f>IFERROR(HLOOKUP(F$5,#REF!,SA_GRILLE_STEU!$A10+2,FALSE),"")</f>
        <v/>
      </c>
      <c r="K10" s="217">
        <v>2</v>
      </c>
      <c r="L10" s="29" t="str">
        <f>IFERROR(HLOOKUP(K$5,#REF!,SA_GRILLE_STEU!$A10+2,FALSE),"")</f>
        <v/>
      </c>
      <c r="M10" s="116"/>
      <c r="N10" s="158" t="str">
        <f>IFERROR(HLOOKUP(K$5,#REF!,SA_GRILLE_STEU!$A10+2,FALSE),"")</f>
        <v/>
      </c>
      <c r="O10" s="73" t="str">
        <f>IFERROR(HLOOKUP(K$5,#REF!,SA_GRILLE_STEU!$A10+2,FALSE),"")</f>
        <v/>
      </c>
      <c r="P10" s="217">
        <v>2</v>
      </c>
      <c r="Q10" s="29" t="str">
        <f>IFERROR(HLOOKUP(P$5,#REF!,SA_GRILLE_STEU!$A10+2,FALSE),"")</f>
        <v/>
      </c>
      <c r="R10" s="116"/>
      <c r="S10" s="158" t="str">
        <f>IFERROR(HLOOKUP(P$5,#REF!,SA_GRILLE_STEU!$A10+2,FALSE),"")</f>
        <v/>
      </c>
      <c r="T10" s="73" t="str">
        <f>IFERROR(HLOOKUP(P$5,#REF!,SA_GRILLE_STEU!$A10+2,FALSE),"")</f>
        <v/>
      </c>
      <c r="U10" s="217">
        <v>2</v>
      </c>
      <c r="V10" s="29" t="str">
        <f>IFERROR(HLOOKUP(U$5,#REF!,SA_GRILLE_STEU!$A10+2,FALSE),"")</f>
        <v/>
      </c>
      <c r="W10" s="116"/>
      <c r="X10" s="158" t="str">
        <f>IFERROR(HLOOKUP(U$5,#REF!,SA_GRILLE_STEU!$A10+2,FALSE),"")</f>
        <v/>
      </c>
      <c r="Y10" s="73" t="str">
        <f>IFERROR(HLOOKUP(U$5,#REF!,SA_GRILLE_STEU!$A10+2,FALSE),"")</f>
        <v/>
      </c>
      <c r="Z10" s="217">
        <v>2</v>
      </c>
      <c r="AA10" s="29" t="str">
        <f>IFERROR(HLOOKUP(Z$5,#REF!,SA_GRILLE_STEU!$A10+2,FALSE),"")</f>
        <v/>
      </c>
      <c r="AB10" s="116"/>
      <c r="AC10" s="158" t="str">
        <f>IFERROR(HLOOKUP(Z$5,#REF!,SA_GRILLE_STEU!$A10+2,FALSE),"")</f>
        <v/>
      </c>
      <c r="AD10" s="73" t="str">
        <f>IFERROR(HLOOKUP(Z$5,#REF!,SA_GRILLE_STEU!$A10+2,FALSE),"")</f>
        <v/>
      </c>
      <c r="AE10" s="217">
        <v>2</v>
      </c>
      <c r="AF10" s="29" t="str">
        <f>IFERROR(HLOOKUP(AE$5,#REF!,SA_GRILLE_STEU!$A10+2,FALSE),"")</f>
        <v/>
      </c>
      <c r="AG10" s="116"/>
      <c r="AH10" s="158" t="str">
        <f>IFERROR(HLOOKUP(AE$5,#REF!,SA_GRILLE_STEU!$A10+2,FALSE),"")</f>
        <v/>
      </c>
      <c r="AI10" s="73" t="str">
        <f>IFERROR(HLOOKUP(AE$5,#REF!,SA_GRILLE_STEU!$A10+2,FALSE),"")</f>
        <v/>
      </c>
      <c r="AJ10" s="217">
        <v>2</v>
      </c>
      <c r="AK10" s="29" t="str">
        <f>IFERROR(HLOOKUP(AJ$5,#REF!,SA_GRILLE_STEU!$A10+2,FALSE),"")</f>
        <v/>
      </c>
      <c r="AL10" s="116"/>
      <c r="AM10" s="74" t="str">
        <f>IFERROR(HLOOKUP(AJ$5,#REF!,SA_GRILLE_STEU!$A10+2,FALSE),"")</f>
        <v/>
      </c>
      <c r="AN10" s="73" t="str">
        <f>IFERROR(HLOOKUP(AJ$5,#REF!,SA_GRILLE_STEU!$A10+2,FALSE),"")</f>
        <v/>
      </c>
      <c r="AO10" s="217">
        <v>2</v>
      </c>
      <c r="AP10" s="29" t="str">
        <f>IFERROR(HLOOKUP(AO$5,#REF!,SA_GRILLE_STEU!$A10+2,FALSE),"")</f>
        <v/>
      </c>
      <c r="AQ10" s="116"/>
      <c r="AR10" s="74" t="str">
        <f>IFERROR(HLOOKUP(AO$5,#REF!,SA_GRILLE_STEU!$A10+2,FALSE),"")</f>
        <v/>
      </c>
      <c r="AS10" s="73" t="str">
        <f>IFERROR(HLOOKUP(AO$5,#REF!,SA_GRILLE_STEU!$A10+2,FALSE),"")</f>
        <v/>
      </c>
      <c r="AT10" s="217">
        <v>2</v>
      </c>
      <c r="AU10" s="29" t="str">
        <f>IFERROR(HLOOKUP(AT$5,#REF!,SA_GRILLE_STEU!$A10+2,FALSE),"")</f>
        <v/>
      </c>
      <c r="AV10" s="116"/>
      <c r="AW10" s="74" t="str">
        <f>IFERROR(HLOOKUP(AT$5,#REF!,SA_GRILLE_STEU!$A10+2,FALSE),"")</f>
        <v/>
      </c>
      <c r="AX10" s="73" t="str">
        <f>IFERROR(HLOOKUP(AT$5,#REF!,SA_GRILLE_STEU!$A10+2,FALSE),"")</f>
        <v/>
      </c>
      <c r="AY10" s="217">
        <v>2</v>
      </c>
      <c r="AZ10" s="29" t="str">
        <f>IFERROR(HLOOKUP(AY$5,#REF!,SA_GRILLE_STEU!$A10+2,FALSE),"")</f>
        <v/>
      </c>
      <c r="BA10" s="116"/>
      <c r="BB10" s="74" t="str">
        <f>IFERROR(HLOOKUP(AY$5,#REF!,SA_GRILLE_STEU!$A10+2,FALSE),"")</f>
        <v/>
      </c>
      <c r="BC10" s="73" t="str">
        <f>IFERROR(HLOOKUP(AY$5,#REF!,SA_GRILLE_STEU!$A10+2,FALSE),"")</f>
        <v/>
      </c>
      <c r="BD10" s="217">
        <v>2</v>
      </c>
      <c r="BE10" s="29" t="str">
        <f>IFERROR(HLOOKUP(BD$5,#REF!,SA_GRILLE_STEU!$A10+2,FALSE),"")</f>
        <v/>
      </c>
      <c r="BF10" s="116"/>
      <c r="BG10" s="77" t="str">
        <f>IFERROR(HLOOKUP(BD$5,#REF!,SA_GRILLE_STEU!$A10+2,FALSE),"")</f>
        <v/>
      </c>
      <c r="BH10" s="76" t="str">
        <f>IFERROR(HLOOKUP(BD$5,#REF!,SA_GRILLE_STEU!$A10+2,FALSE),"")</f>
        <v/>
      </c>
    </row>
    <row r="11" spans="1:60" ht="58.5" customHeight="1" x14ac:dyDescent="0.4">
      <c r="A11" s="217">
        <v>3</v>
      </c>
      <c r="B11" s="28" t="str">
        <f>IFERROR(HLOOKUP(A$5,#REF!,SA_GRILLE_STEU!$A11+2,FALSE),"")</f>
        <v/>
      </c>
      <c r="C11" s="116"/>
      <c r="D11" s="158" t="str">
        <f>IFERROR(HLOOKUP(A$5,#REF!,SA_GRILLE_STEU!$A11+2,FALSE),"")</f>
        <v/>
      </c>
      <c r="E11" s="73" t="str">
        <f>IFERROR(HLOOKUP(A$5,#REF!,SA_GRILLE_STEU!$A11+2,FALSE),"")</f>
        <v/>
      </c>
      <c r="F11" s="217">
        <v>3</v>
      </c>
      <c r="G11" s="29" t="str">
        <f>IFERROR(HLOOKUP(F$5,#REF!,SA_GRILLE_STEU!$A11+2,FALSE),"")</f>
        <v/>
      </c>
      <c r="H11" s="116"/>
      <c r="I11" s="158" t="str">
        <f>IFERROR(HLOOKUP(F$5,#REF!,SA_GRILLE_STEU!$A11+2,FALSE),"")</f>
        <v/>
      </c>
      <c r="J11" s="73" t="str">
        <f>IFERROR(HLOOKUP(F$5,#REF!,SA_GRILLE_STEU!$A11+2,FALSE),"")</f>
        <v/>
      </c>
      <c r="K11" s="217">
        <v>3</v>
      </c>
      <c r="L11" s="29" t="str">
        <f>IFERROR(HLOOKUP(K$5,#REF!,SA_GRILLE_STEU!$A11+2,FALSE),"")</f>
        <v/>
      </c>
      <c r="M11" s="116"/>
      <c r="N11" s="158" t="str">
        <f>IFERROR(HLOOKUP(K$5,#REF!,SA_GRILLE_STEU!$A11+2,FALSE),"")</f>
        <v/>
      </c>
      <c r="O11" s="73" t="str">
        <f>IFERROR(HLOOKUP(K$5,#REF!,SA_GRILLE_STEU!$A11+2,FALSE),"")</f>
        <v/>
      </c>
      <c r="P11" s="217">
        <v>3</v>
      </c>
      <c r="Q11" s="29" t="str">
        <f>IFERROR(HLOOKUP(P$5,#REF!,SA_GRILLE_STEU!$A11+2,FALSE),"")</f>
        <v/>
      </c>
      <c r="R11" s="116"/>
      <c r="S11" s="158" t="str">
        <f>IFERROR(HLOOKUP(P$5,#REF!,SA_GRILLE_STEU!$A11+2,FALSE),"")</f>
        <v/>
      </c>
      <c r="T11" s="73" t="str">
        <f>IFERROR(HLOOKUP(P$5,#REF!,SA_GRILLE_STEU!$A11+2,FALSE),"")</f>
        <v/>
      </c>
      <c r="U11" s="217">
        <v>3</v>
      </c>
      <c r="V11" s="29" t="str">
        <f>IFERROR(HLOOKUP(U$5,#REF!,SA_GRILLE_STEU!$A11+2,FALSE),"")</f>
        <v/>
      </c>
      <c r="W11" s="116"/>
      <c r="X11" s="158" t="str">
        <f>IFERROR(HLOOKUP(U$5,#REF!,SA_GRILLE_STEU!$A11+2,FALSE),"")</f>
        <v/>
      </c>
      <c r="Y11" s="73" t="str">
        <f>IFERROR(HLOOKUP(U$5,#REF!,SA_GRILLE_STEU!$A11+2,FALSE),"")</f>
        <v/>
      </c>
      <c r="Z11" s="217">
        <v>3</v>
      </c>
      <c r="AA11" s="29" t="str">
        <f>IFERROR(HLOOKUP(Z$5,#REF!,SA_GRILLE_STEU!$A11+2,FALSE),"")</f>
        <v/>
      </c>
      <c r="AB11" s="116"/>
      <c r="AC11" s="158" t="str">
        <f>IFERROR(HLOOKUP(Z$5,#REF!,SA_GRILLE_STEU!$A11+2,FALSE),"")</f>
        <v/>
      </c>
      <c r="AD11" s="73" t="str">
        <f>IFERROR(HLOOKUP(Z$5,#REF!,SA_GRILLE_STEU!$A11+2,FALSE),"")</f>
        <v/>
      </c>
      <c r="AE11" s="217">
        <v>3</v>
      </c>
      <c r="AF11" s="29" t="str">
        <f>IFERROR(HLOOKUP(AE$5,#REF!,SA_GRILLE_STEU!$A11+2,FALSE),"")</f>
        <v/>
      </c>
      <c r="AG11" s="116"/>
      <c r="AH11" s="158" t="str">
        <f>IFERROR(HLOOKUP(AE$5,#REF!,SA_GRILLE_STEU!$A11+2,FALSE),"")</f>
        <v/>
      </c>
      <c r="AI11" s="73" t="str">
        <f>IFERROR(HLOOKUP(AE$5,#REF!,SA_GRILLE_STEU!$A11+2,FALSE),"")</f>
        <v/>
      </c>
      <c r="AJ11" s="217">
        <v>3</v>
      </c>
      <c r="AK11" s="29" t="str">
        <f>IFERROR(HLOOKUP(AJ$5,#REF!,SA_GRILLE_STEU!$A11+2,FALSE),"")</f>
        <v/>
      </c>
      <c r="AL11" s="116"/>
      <c r="AM11" s="74" t="str">
        <f>IFERROR(HLOOKUP(AJ$5,#REF!,SA_GRILLE_STEU!$A11+2,FALSE),"")</f>
        <v/>
      </c>
      <c r="AN11" s="73" t="str">
        <f>IFERROR(HLOOKUP(AJ$5,#REF!,SA_GRILLE_STEU!$A11+2,FALSE),"")</f>
        <v/>
      </c>
      <c r="AO11" s="217">
        <v>3</v>
      </c>
      <c r="AP11" s="29" t="str">
        <f>IFERROR(HLOOKUP(AO$5,#REF!,SA_GRILLE_STEU!$A11+2,FALSE),"")</f>
        <v/>
      </c>
      <c r="AQ11" s="116"/>
      <c r="AR11" s="74" t="str">
        <f>IFERROR(HLOOKUP(AO$5,#REF!,SA_GRILLE_STEU!$A11+2,FALSE),"")</f>
        <v/>
      </c>
      <c r="AS11" s="73" t="str">
        <f>IFERROR(HLOOKUP(AO$5,#REF!,SA_GRILLE_STEU!$A11+2,FALSE),"")</f>
        <v/>
      </c>
      <c r="AT11" s="217">
        <v>3</v>
      </c>
      <c r="AU11" s="29" t="str">
        <f>IFERROR(HLOOKUP(AT$5,#REF!,SA_GRILLE_STEU!$A11+2,FALSE),"")</f>
        <v/>
      </c>
      <c r="AV11" s="116"/>
      <c r="AW11" s="74" t="str">
        <f>IFERROR(HLOOKUP(AT$5,#REF!,SA_GRILLE_STEU!$A11+2,FALSE),"")</f>
        <v/>
      </c>
      <c r="AX11" s="73" t="str">
        <f>IFERROR(HLOOKUP(AT$5,#REF!,SA_GRILLE_STEU!$A11+2,FALSE),"")</f>
        <v/>
      </c>
      <c r="AY11" s="217">
        <v>3</v>
      </c>
      <c r="AZ11" s="29" t="str">
        <f>IFERROR(HLOOKUP(AY$5,#REF!,SA_GRILLE_STEU!$A11+2,FALSE),"")</f>
        <v/>
      </c>
      <c r="BA11" s="116"/>
      <c r="BB11" s="74" t="str">
        <f>IFERROR(HLOOKUP(AY$5,#REF!,SA_GRILLE_STEU!$A11+2,FALSE),"")</f>
        <v/>
      </c>
      <c r="BC11" s="73" t="str">
        <f>IFERROR(HLOOKUP(AY$5,#REF!,SA_GRILLE_STEU!$A11+2,FALSE),"")</f>
        <v/>
      </c>
      <c r="BD11" s="217">
        <v>3</v>
      </c>
      <c r="BE11" s="29" t="str">
        <f>IFERROR(HLOOKUP(BD$5,#REF!,SA_GRILLE_STEU!$A11+2,FALSE),"")</f>
        <v/>
      </c>
      <c r="BF11" s="116"/>
      <c r="BG11" s="77" t="str">
        <f>IFERROR(HLOOKUP(BD$5,#REF!,SA_GRILLE_STEU!$A11+2,FALSE),"")</f>
        <v/>
      </c>
      <c r="BH11" s="76" t="str">
        <f>IFERROR(HLOOKUP(BD$5,#REF!,SA_GRILLE_STEU!$A11+2,FALSE),"")</f>
        <v/>
      </c>
    </row>
    <row r="12" spans="1:60" ht="30" customHeight="1" x14ac:dyDescent="0.4">
      <c r="A12" s="217">
        <v>4</v>
      </c>
      <c r="B12" s="28" t="str">
        <f>IFERROR(HLOOKUP(A$5,#REF!,SA_GRILLE_STEU!$A12+2,FALSE),"")</f>
        <v/>
      </c>
      <c r="C12" s="116"/>
      <c r="D12" s="158" t="str">
        <f>IFERROR(HLOOKUP(A$5,#REF!,SA_GRILLE_STEU!$A12+2,FALSE),"")</f>
        <v/>
      </c>
      <c r="E12" s="73" t="str">
        <f>IFERROR(HLOOKUP(A$5,#REF!,SA_GRILLE_STEU!$A12+2,FALSE),"")</f>
        <v/>
      </c>
      <c r="F12" s="217">
        <v>4</v>
      </c>
      <c r="G12" s="29" t="str">
        <f>IFERROR(HLOOKUP(F$5,#REF!,SA_GRILLE_STEU!$A12+2,FALSE),"")</f>
        <v/>
      </c>
      <c r="H12" s="116"/>
      <c r="I12" s="158" t="str">
        <f>IFERROR(HLOOKUP(F$5,#REF!,SA_GRILLE_STEU!$A12+2,FALSE),"")</f>
        <v/>
      </c>
      <c r="J12" s="73" t="str">
        <f>IFERROR(HLOOKUP(F$5,#REF!,SA_GRILLE_STEU!$A12+2,FALSE),"")</f>
        <v/>
      </c>
      <c r="K12" s="217">
        <v>4</v>
      </c>
      <c r="L12" s="29" t="str">
        <f>IFERROR(HLOOKUP(K$5,#REF!,SA_GRILLE_STEU!$A12+2,FALSE),"")</f>
        <v/>
      </c>
      <c r="M12" s="116"/>
      <c r="N12" s="158" t="str">
        <f>IFERROR(HLOOKUP(K$5,#REF!,SA_GRILLE_STEU!$A12+2,FALSE),"")</f>
        <v/>
      </c>
      <c r="O12" s="73" t="str">
        <f>IFERROR(HLOOKUP(K$5,#REF!,SA_GRILLE_STEU!$A12+2,FALSE),"")</f>
        <v/>
      </c>
      <c r="P12" s="217">
        <v>4</v>
      </c>
      <c r="Q12" s="29" t="str">
        <f>IFERROR(HLOOKUP(P$5,#REF!,SA_GRILLE_STEU!$A12+2,FALSE),"")</f>
        <v/>
      </c>
      <c r="R12" s="116"/>
      <c r="S12" s="158" t="str">
        <f>IFERROR(HLOOKUP(P$5,#REF!,SA_GRILLE_STEU!$A12+2,FALSE),"")</f>
        <v/>
      </c>
      <c r="T12" s="73" t="str">
        <f>IFERROR(HLOOKUP(P$5,#REF!,SA_GRILLE_STEU!$A12+2,FALSE),"")</f>
        <v/>
      </c>
      <c r="U12" s="217">
        <v>4</v>
      </c>
      <c r="V12" s="29" t="str">
        <f>IFERROR(HLOOKUP(U$5,#REF!,SA_GRILLE_STEU!$A12+2,FALSE),"")</f>
        <v/>
      </c>
      <c r="W12" s="116"/>
      <c r="X12" s="158" t="str">
        <f>IFERROR(HLOOKUP(U$5,#REF!,SA_GRILLE_STEU!$A12+2,FALSE),"")</f>
        <v/>
      </c>
      <c r="Y12" s="73" t="str">
        <f>IFERROR(HLOOKUP(U$5,#REF!,SA_GRILLE_STEU!$A12+2,FALSE),"")</f>
        <v/>
      </c>
      <c r="Z12" s="217">
        <v>4</v>
      </c>
      <c r="AA12" s="29" t="str">
        <f>IFERROR(HLOOKUP(Z$5,#REF!,SA_GRILLE_STEU!$A12+2,FALSE),"")</f>
        <v/>
      </c>
      <c r="AB12" s="116"/>
      <c r="AC12" s="158" t="str">
        <f>IFERROR(HLOOKUP(Z$5,#REF!,SA_GRILLE_STEU!$A12+2,FALSE),"")</f>
        <v/>
      </c>
      <c r="AD12" s="73" t="str">
        <f>IFERROR(HLOOKUP(Z$5,#REF!,SA_GRILLE_STEU!$A12+2,FALSE),"")</f>
        <v/>
      </c>
      <c r="AE12" s="217">
        <v>4</v>
      </c>
      <c r="AF12" s="29" t="str">
        <f>IFERROR(HLOOKUP(AE$5,#REF!,SA_GRILLE_STEU!$A12+2,FALSE),"")</f>
        <v/>
      </c>
      <c r="AG12" s="116"/>
      <c r="AH12" s="158" t="str">
        <f>IFERROR(HLOOKUP(AE$5,#REF!,SA_GRILLE_STEU!$A12+2,FALSE),"")</f>
        <v/>
      </c>
      <c r="AI12" s="73" t="str">
        <f>IFERROR(HLOOKUP(AE$5,#REF!,SA_GRILLE_STEU!$A12+2,FALSE),"")</f>
        <v/>
      </c>
      <c r="AJ12" s="217">
        <v>4</v>
      </c>
      <c r="AK12" s="29" t="str">
        <f>IFERROR(HLOOKUP(AJ$5,#REF!,SA_GRILLE_STEU!$A12+2,FALSE),"")</f>
        <v/>
      </c>
      <c r="AL12" s="116"/>
      <c r="AM12" s="74" t="str">
        <f>IFERROR(HLOOKUP(AJ$5,#REF!,SA_GRILLE_STEU!$A12+2,FALSE),"")</f>
        <v/>
      </c>
      <c r="AN12" s="73" t="str">
        <f>IFERROR(HLOOKUP(AJ$5,#REF!,SA_GRILLE_STEU!$A12+2,FALSE),"")</f>
        <v/>
      </c>
      <c r="AO12" s="217">
        <v>4</v>
      </c>
      <c r="AP12" s="29" t="str">
        <f>IFERROR(HLOOKUP(AO$5,#REF!,SA_GRILLE_STEU!$A12+2,FALSE),"")</f>
        <v/>
      </c>
      <c r="AQ12" s="116"/>
      <c r="AR12" s="74" t="str">
        <f>IFERROR(HLOOKUP(AO$5,#REF!,SA_GRILLE_STEU!$A12+2,FALSE),"")</f>
        <v/>
      </c>
      <c r="AS12" s="73" t="str">
        <f>IFERROR(HLOOKUP(AO$5,#REF!,SA_GRILLE_STEU!$A12+2,FALSE),"")</f>
        <v/>
      </c>
      <c r="AT12" s="217">
        <v>4</v>
      </c>
      <c r="AU12" s="29" t="str">
        <f>IFERROR(HLOOKUP(AT$5,#REF!,SA_GRILLE_STEU!$A12+2,FALSE),"")</f>
        <v/>
      </c>
      <c r="AV12" s="116"/>
      <c r="AW12" s="74" t="str">
        <f>IFERROR(HLOOKUP(AT$5,#REF!,SA_GRILLE_STEU!$A12+2,FALSE),"")</f>
        <v/>
      </c>
      <c r="AX12" s="73" t="str">
        <f>IFERROR(HLOOKUP(AT$5,#REF!,SA_GRILLE_STEU!$A12+2,FALSE),"")</f>
        <v/>
      </c>
      <c r="AY12" s="217">
        <v>4</v>
      </c>
      <c r="AZ12" s="29" t="str">
        <f>IFERROR(HLOOKUP(AY$5,#REF!,SA_GRILLE_STEU!$A12+2,FALSE),"")</f>
        <v/>
      </c>
      <c r="BA12" s="116"/>
      <c r="BB12" s="74" t="str">
        <f>IFERROR(HLOOKUP(AY$5,#REF!,SA_GRILLE_STEU!$A12+2,FALSE),"")</f>
        <v/>
      </c>
      <c r="BC12" s="73" t="str">
        <f>IFERROR(HLOOKUP(AY$5,#REF!,SA_GRILLE_STEU!$A12+2,FALSE),"")</f>
        <v/>
      </c>
      <c r="BD12" s="217">
        <v>4</v>
      </c>
      <c r="BE12" s="29" t="str">
        <f>IFERROR(HLOOKUP(BD$5,#REF!,SA_GRILLE_STEU!$A12+2,FALSE),"")</f>
        <v/>
      </c>
      <c r="BF12" s="116"/>
      <c r="BG12" s="77" t="str">
        <f>IFERROR(HLOOKUP(BD$5,#REF!,SA_GRILLE_STEU!$A12+2,FALSE),"")</f>
        <v/>
      </c>
      <c r="BH12" s="76" t="str">
        <f>IFERROR(HLOOKUP(BD$5,#REF!,SA_GRILLE_STEU!$A12+2,FALSE),"")</f>
        <v/>
      </c>
    </row>
    <row r="13" spans="1:60" ht="80.25" customHeight="1" x14ac:dyDescent="0.4">
      <c r="A13" s="217">
        <v>5</v>
      </c>
      <c r="B13" s="28" t="str">
        <f>IFERROR(HLOOKUP(A$5,#REF!,SA_GRILLE_STEU!$A13+2,FALSE),"")</f>
        <v/>
      </c>
      <c r="C13" s="116"/>
      <c r="D13" s="158" t="str">
        <f>IFERROR(HLOOKUP(A$5,#REF!,SA_GRILLE_STEU!$A13+2,FALSE),"")</f>
        <v/>
      </c>
      <c r="E13" s="73" t="str">
        <f>IFERROR(HLOOKUP(A$5,#REF!,SA_GRILLE_STEU!$A13+2,FALSE),"")</f>
        <v/>
      </c>
      <c r="F13" s="217">
        <v>5</v>
      </c>
      <c r="G13" s="29" t="str">
        <f>IFERROR(HLOOKUP(F$5,#REF!,SA_GRILLE_STEU!$A13+2,FALSE),"")</f>
        <v/>
      </c>
      <c r="H13" s="116"/>
      <c r="I13" s="158" t="str">
        <f>IFERROR(HLOOKUP(F$5,#REF!,SA_GRILLE_STEU!$A13+2,FALSE),"")</f>
        <v/>
      </c>
      <c r="J13" s="73" t="str">
        <f>IFERROR(HLOOKUP(F$5,#REF!,SA_GRILLE_STEU!$A13+2,FALSE),"")</f>
        <v/>
      </c>
      <c r="K13" s="217">
        <v>5</v>
      </c>
      <c r="L13" s="29" t="str">
        <f>IFERROR(HLOOKUP(K$5,#REF!,SA_GRILLE_STEU!$A13+2,FALSE),"")</f>
        <v/>
      </c>
      <c r="M13" s="116"/>
      <c r="N13" s="158" t="str">
        <f>IFERROR(HLOOKUP(K$5,#REF!,SA_GRILLE_STEU!$A13+2,FALSE),"")</f>
        <v/>
      </c>
      <c r="O13" s="73" t="str">
        <f>IFERROR(HLOOKUP(K$5,#REF!,SA_GRILLE_STEU!$A13+2,FALSE),"")</f>
        <v/>
      </c>
      <c r="P13" s="217">
        <v>5</v>
      </c>
      <c r="Q13" s="29" t="str">
        <f>IFERROR(HLOOKUP(P$5,#REF!,SA_GRILLE_STEU!$A13+2,FALSE),"")</f>
        <v/>
      </c>
      <c r="R13" s="116"/>
      <c r="S13" s="158" t="str">
        <f>IFERROR(HLOOKUP(P$5,#REF!,SA_GRILLE_STEU!$A13+2,FALSE),"")</f>
        <v/>
      </c>
      <c r="T13" s="73" t="str">
        <f>IFERROR(HLOOKUP(P$5,#REF!,SA_GRILLE_STEU!$A13+2,FALSE),"")</f>
        <v/>
      </c>
      <c r="U13" s="217">
        <v>5</v>
      </c>
      <c r="V13" s="29" t="str">
        <f>IFERROR(HLOOKUP(U$5,#REF!,SA_GRILLE_STEU!$A13+2,FALSE),"")</f>
        <v/>
      </c>
      <c r="W13" s="116"/>
      <c r="X13" s="158" t="str">
        <f>IFERROR(HLOOKUP(U$5,#REF!,SA_GRILLE_STEU!$A13+2,FALSE),"")</f>
        <v/>
      </c>
      <c r="Y13" s="73" t="str">
        <f>IFERROR(HLOOKUP(U$5,#REF!,SA_GRILLE_STEU!$A13+2,FALSE),"")</f>
        <v/>
      </c>
      <c r="Z13" s="217">
        <v>5</v>
      </c>
      <c r="AA13" s="29" t="str">
        <f>IFERROR(HLOOKUP(Z$5,#REF!,SA_GRILLE_STEU!$A13+2,FALSE),"")</f>
        <v/>
      </c>
      <c r="AB13" s="116"/>
      <c r="AC13" s="158" t="str">
        <f>IFERROR(HLOOKUP(Z$5,#REF!,SA_GRILLE_STEU!$A13+2,FALSE),"")</f>
        <v/>
      </c>
      <c r="AD13" s="73" t="str">
        <f>IFERROR(HLOOKUP(Z$5,#REF!,SA_GRILLE_STEU!$A13+2,FALSE),"")</f>
        <v/>
      </c>
      <c r="AE13" s="217">
        <v>5</v>
      </c>
      <c r="AF13" s="29" t="str">
        <f>IFERROR(HLOOKUP(AE$5,#REF!,SA_GRILLE_STEU!$A13+2,FALSE),"")</f>
        <v/>
      </c>
      <c r="AG13" s="116"/>
      <c r="AH13" s="158" t="str">
        <f>IFERROR(HLOOKUP(AE$5,#REF!,SA_GRILLE_STEU!$A13+2,FALSE),"")</f>
        <v/>
      </c>
      <c r="AI13" s="73" t="str">
        <f>IFERROR(HLOOKUP(AE$5,#REF!,SA_GRILLE_STEU!$A13+2,FALSE),"")</f>
        <v/>
      </c>
      <c r="AJ13" s="217">
        <v>5</v>
      </c>
      <c r="AK13" s="29" t="str">
        <f>IFERROR(HLOOKUP(AJ$5,#REF!,SA_GRILLE_STEU!$A13+2,FALSE),"")</f>
        <v/>
      </c>
      <c r="AL13" s="116"/>
      <c r="AM13" s="74" t="str">
        <f>IFERROR(HLOOKUP(AJ$5,#REF!,SA_GRILLE_STEU!$A13+2,FALSE),"")</f>
        <v/>
      </c>
      <c r="AN13" s="73" t="str">
        <f>IFERROR(HLOOKUP(AJ$5,#REF!,SA_GRILLE_STEU!$A13+2,FALSE),"")</f>
        <v/>
      </c>
      <c r="AO13" s="217">
        <v>5</v>
      </c>
      <c r="AP13" s="29" t="str">
        <f>IFERROR(HLOOKUP(AO$5,#REF!,SA_GRILLE_STEU!$A13+2,FALSE),"")</f>
        <v/>
      </c>
      <c r="AQ13" s="116"/>
      <c r="AR13" s="74" t="str">
        <f>IFERROR(HLOOKUP(AO$5,#REF!,SA_GRILLE_STEU!$A13+2,FALSE),"")</f>
        <v/>
      </c>
      <c r="AS13" s="73" t="str">
        <f>IFERROR(HLOOKUP(AO$5,#REF!,SA_GRILLE_STEU!$A13+2,FALSE),"")</f>
        <v/>
      </c>
      <c r="AT13" s="217">
        <v>5</v>
      </c>
      <c r="AU13" s="29" t="str">
        <f>IFERROR(HLOOKUP(AT$5,#REF!,SA_GRILLE_STEU!$A13+2,FALSE),"")</f>
        <v/>
      </c>
      <c r="AV13" s="116"/>
      <c r="AW13" s="74" t="str">
        <f>IFERROR(HLOOKUP(AT$5,#REF!,SA_GRILLE_STEU!$A13+2,FALSE),"")</f>
        <v/>
      </c>
      <c r="AX13" s="73" t="str">
        <f>IFERROR(HLOOKUP(AT$5,#REF!,SA_GRILLE_STEU!$A13+2,FALSE),"")</f>
        <v/>
      </c>
      <c r="AY13" s="217">
        <v>5</v>
      </c>
      <c r="AZ13" s="29" t="str">
        <f>IFERROR(HLOOKUP(AY$5,#REF!,SA_GRILLE_STEU!$A13+2,FALSE),"")</f>
        <v/>
      </c>
      <c r="BA13" s="116"/>
      <c r="BB13" s="74" t="str">
        <f>IFERROR(HLOOKUP(AY$5,#REF!,SA_GRILLE_STEU!$A13+2,FALSE),"")</f>
        <v/>
      </c>
      <c r="BC13" s="73" t="str">
        <f>IFERROR(HLOOKUP(AY$5,#REF!,SA_GRILLE_STEU!$A13+2,FALSE),"")</f>
        <v/>
      </c>
      <c r="BD13" s="217">
        <v>5</v>
      </c>
      <c r="BE13" s="29" t="str">
        <f>IFERROR(HLOOKUP(BD$5,#REF!,SA_GRILLE_STEU!$A13+2,FALSE),"")</f>
        <v/>
      </c>
      <c r="BF13" s="116"/>
      <c r="BG13" s="77" t="str">
        <f>IFERROR(HLOOKUP(BD$5,#REF!,SA_GRILLE_STEU!$A13+2,FALSE),"")</f>
        <v/>
      </c>
      <c r="BH13" s="76" t="str">
        <f>IFERROR(HLOOKUP(BD$5,#REF!,SA_GRILLE_STEU!$A13+2,FALSE),"")</f>
        <v/>
      </c>
    </row>
    <row r="14" spans="1:60" ht="64.5" customHeight="1" x14ac:dyDescent="0.4">
      <c r="A14" s="217">
        <v>6</v>
      </c>
      <c r="B14" s="28" t="str">
        <f>IFERROR(HLOOKUP(A$5,#REF!,SA_GRILLE_STEU!$A14+2,FALSE),"")</f>
        <v/>
      </c>
      <c r="C14" s="116"/>
      <c r="D14" s="158" t="str">
        <f>IFERROR(HLOOKUP(A$5,#REF!,SA_GRILLE_STEU!$A14+2,FALSE),"")</f>
        <v/>
      </c>
      <c r="E14" s="73" t="str">
        <f>IFERROR(HLOOKUP(A$5,#REF!,SA_GRILLE_STEU!$A14+2,FALSE),"")</f>
        <v/>
      </c>
      <c r="F14" s="217">
        <v>6</v>
      </c>
      <c r="G14" s="29" t="str">
        <f>IFERROR(HLOOKUP(F$5,#REF!,SA_GRILLE_STEU!$A14+2,FALSE),"")</f>
        <v/>
      </c>
      <c r="H14" s="116"/>
      <c r="I14" s="158" t="str">
        <f>IFERROR(HLOOKUP(F$5,#REF!,SA_GRILLE_STEU!$A14+2,FALSE),"")</f>
        <v/>
      </c>
      <c r="J14" s="73" t="str">
        <f>IFERROR(HLOOKUP(F$5,#REF!,SA_GRILLE_STEU!$A14+2,FALSE),"")</f>
        <v/>
      </c>
      <c r="K14" s="217">
        <v>6</v>
      </c>
      <c r="L14" s="29" t="str">
        <f>IFERROR(HLOOKUP(K$5,#REF!,SA_GRILLE_STEU!$A14+2,FALSE),"")</f>
        <v/>
      </c>
      <c r="M14" s="116"/>
      <c r="N14" s="158" t="str">
        <f>IFERROR(HLOOKUP(K$5,#REF!,SA_GRILLE_STEU!$A14+2,FALSE),"")</f>
        <v/>
      </c>
      <c r="O14" s="73" t="str">
        <f>IFERROR(HLOOKUP(K$5,#REF!,SA_GRILLE_STEU!$A14+2,FALSE),"")</f>
        <v/>
      </c>
      <c r="P14" s="217">
        <v>6</v>
      </c>
      <c r="Q14" s="29" t="str">
        <f>IFERROR(HLOOKUP(P$5,#REF!,SA_GRILLE_STEU!$A14+2,FALSE),"")</f>
        <v/>
      </c>
      <c r="R14" s="116"/>
      <c r="S14" s="158" t="str">
        <f>IFERROR(HLOOKUP(P$5,#REF!,SA_GRILLE_STEU!$A14+2,FALSE),"")</f>
        <v/>
      </c>
      <c r="T14" s="73" t="str">
        <f>IFERROR(HLOOKUP(P$5,#REF!,SA_GRILLE_STEU!$A14+2,FALSE),"")</f>
        <v/>
      </c>
      <c r="U14" s="217">
        <v>6</v>
      </c>
      <c r="V14" s="29" t="str">
        <f>IFERROR(HLOOKUP(U$5,#REF!,SA_GRILLE_STEU!$A14+2,FALSE),"")</f>
        <v/>
      </c>
      <c r="W14" s="116"/>
      <c r="X14" s="158" t="str">
        <f>IFERROR(HLOOKUP(U$5,#REF!,SA_GRILLE_STEU!$A14+2,FALSE),"")</f>
        <v/>
      </c>
      <c r="Y14" s="73" t="str">
        <f>IFERROR(HLOOKUP(U$5,#REF!,SA_GRILLE_STEU!$A14+2,FALSE),"")</f>
        <v/>
      </c>
      <c r="Z14" s="217">
        <v>6</v>
      </c>
      <c r="AA14" s="29" t="str">
        <f>IFERROR(HLOOKUP(Z$5,#REF!,SA_GRILLE_STEU!$A14+2,FALSE),"")</f>
        <v/>
      </c>
      <c r="AB14" s="116"/>
      <c r="AC14" s="158" t="str">
        <f>IFERROR(HLOOKUP(Z$5,#REF!,SA_GRILLE_STEU!$A14+2,FALSE),"")</f>
        <v/>
      </c>
      <c r="AD14" s="73" t="str">
        <f>IFERROR(HLOOKUP(Z$5,#REF!,SA_GRILLE_STEU!$A14+2,FALSE),"")</f>
        <v/>
      </c>
      <c r="AE14" s="217">
        <v>6</v>
      </c>
      <c r="AF14" s="29" t="str">
        <f>IFERROR(HLOOKUP(AE$5,#REF!,SA_GRILLE_STEU!$A14+2,FALSE),"")</f>
        <v/>
      </c>
      <c r="AG14" s="116"/>
      <c r="AH14" s="158" t="str">
        <f>IFERROR(HLOOKUP(AE$5,#REF!,SA_GRILLE_STEU!$A14+2,FALSE),"")</f>
        <v/>
      </c>
      <c r="AI14" s="73" t="str">
        <f>IFERROR(HLOOKUP(AE$5,#REF!,SA_GRILLE_STEU!$A14+2,FALSE),"")</f>
        <v/>
      </c>
      <c r="AJ14" s="217">
        <v>6</v>
      </c>
      <c r="AK14" s="29" t="str">
        <f>IFERROR(HLOOKUP(AJ$5,#REF!,SA_GRILLE_STEU!$A14+2,FALSE),"")</f>
        <v/>
      </c>
      <c r="AL14" s="116"/>
      <c r="AM14" s="74" t="str">
        <f>IFERROR(HLOOKUP(AJ$5,#REF!,SA_GRILLE_STEU!$A14+2,FALSE),"")</f>
        <v/>
      </c>
      <c r="AN14" s="73" t="str">
        <f>IFERROR(HLOOKUP(AJ$5,#REF!,SA_GRILLE_STEU!$A14+2,FALSE),"")</f>
        <v/>
      </c>
      <c r="AO14" s="217">
        <v>6</v>
      </c>
      <c r="AP14" s="29" t="str">
        <f>IFERROR(HLOOKUP(AO$5,#REF!,SA_GRILLE_STEU!$A14+2,FALSE),"")</f>
        <v/>
      </c>
      <c r="AQ14" s="116"/>
      <c r="AR14" s="74" t="str">
        <f>IFERROR(HLOOKUP(AO$5,#REF!,SA_GRILLE_STEU!$A14+2,FALSE),"")</f>
        <v/>
      </c>
      <c r="AS14" s="73" t="str">
        <f>IFERROR(HLOOKUP(AO$5,#REF!,SA_GRILLE_STEU!$A14+2,FALSE),"")</f>
        <v/>
      </c>
      <c r="AT14" s="217">
        <v>6</v>
      </c>
      <c r="AU14" s="29" t="str">
        <f>IFERROR(HLOOKUP(AT$5,#REF!,SA_GRILLE_STEU!$A14+2,FALSE),"")</f>
        <v/>
      </c>
      <c r="AV14" s="116"/>
      <c r="AW14" s="74" t="str">
        <f>IFERROR(HLOOKUP(AT$5,#REF!,SA_GRILLE_STEU!$A14+2,FALSE),"")</f>
        <v/>
      </c>
      <c r="AX14" s="73" t="str">
        <f>IFERROR(HLOOKUP(AT$5,#REF!,SA_GRILLE_STEU!$A14+2,FALSE),"")</f>
        <v/>
      </c>
      <c r="AY14" s="217">
        <v>6</v>
      </c>
      <c r="AZ14" s="29" t="str">
        <f>IFERROR(HLOOKUP(AY$5,#REF!,SA_GRILLE_STEU!$A14+2,FALSE),"")</f>
        <v/>
      </c>
      <c r="BA14" s="116"/>
      <c r="BB14" s="74" t="str">
        <f>IFERROR(HLOOKUP(AY$5,#REF!,SA_GRILLE_STEU!$A14+2,FALSE),"")</f>
        <v/>
      </c>
      <c r="BC14" s="73" t="str">
        <f>IFERROR(HLOOKUP(AY$5,#REF!,SA_GRILLE_STEU!$A14+2,FALSE),"")</f>
        <v/>
      </c>
      <c r="BD14" s="217">
        <v>6</v>
      </c>
      <c r="BE14" s="29" t="str">
        <f>IFERROR(HLOOKUP(BD$5,#REF!,SA_GRILLE_STEU!$A14+2,FALSE),"")</f>
        <v/>
      </c>
      <c r="BF14" s="116"/>
      <c r="BG14" s="77" t="str">
        <f>IFERROR(HLOOKUP(BD$5,#REF!,SA_GRILLE_STEU!$A14+2,FALSE),"")</f>
        <v/>
      </c>
      <c r="BH14" s="76" t="str">
        <f>IFERROR(HLOOKUP(BD$5,#REF!,SA_GRILLE_STEU!$A14+2,FALSE),"")</f>
        <v/>
      </c>
    </row>
    <row r="15" spans="1:60" x14ac:dyDescent="0.4">
      <c r="A15" s="217">
        <v>7</v>
      </c>
      <c r="B15" s="28" t="str">
        <f>IFERROR(HLOOKUP(A$5,#REF!,SA_GRILLE_STEU!$A15+2,FALSE),"")</f>
        <v/>
      </c>
      <c r="C15" s="116"/>
      <c r="D15" s="158" t="str">
        <f>IFERROR(HLOOKUP(A$5,#REF!,SA_GRILLE_STEU!$A15+2,FALSE),"")</f>
        <v/>
      </c>
      <c r="E15" s="73" t="str">
        <f>IFERROR(HLOOKUP(A$5,#REF!,SA_GRILLE_STEU!$A15+2,FALSE),"")</f>
        <v/>
      </c>
      <c r="F15" s="217">
        <v>7</v>
      </c>
      <c r="G15" s="29" t="str">
        <f>IFERROR(HLOOKUP(F$5,#REF!,SA_GRILLE_STEU!$A15+2,FALSE),"")</f>
        <v/>
      </c>
      <c r="H15" s="116"/>
      <c r="I15" s="158" t="str">
        <f>IFERROR(HLOOKUP(F$5,#REF!,SA_GRILLE_STEU!$A15+2,FALSE),"")</f>
        <v/>
      </c>
      <c r="J15" s="73" t="str">
        <f>IFERROR(HLOOKUP(F$5,#REF!,SA_GRILLE_STEU!$A15+2,FALSE),"")</f>
        <v/>
      </c>
      <c r="K15" s="217">
        <v>7</v>
      </c>
      <c r="L15" s="29" t="str">
        <f>IFERROR(HLOOKUP(K$5,#REF!,SA_GRILLE_STEU!$A15+2,FALSE),"")</f>
        <v/>
      </c>
      <c r="M15" s="116"/>
      <c r="N15" s="158" t="str">
        <f>IFERROR(HLOOKUP(K$5,#REF!,SA_GRILLE_STEU!$A15+2,FALSE),"")</f>
        <v/>
      </c>
      <c r="O15" s="73" t="str">
        <f>IFERROR(HLOOKUP(K$5,#REF!,SA_GRILLE_STEU!$A15+2,FALSE),"")</f>
        <v/>
      </c>
      <c r="P15" s="217">
        <v>7</v>
      </c>
      <c r="Q15" s="29" t="str">
        <f>IFERROR(HLOOKUP(P$5,#REF!,SA_GRILLE_STEU!$A15+2,FALSE),"")</f>
        <v/>
      </c>
      <c r="R15" s="116"/>
      <c r="S15" s="158" t="str">
        <f>IFERROR(HLOOKUP(P$5,#REF!,SA_GRILLE_STEU!$A15+2,FALSE),"")</f>
        <v/>
      </c>
      <c r="T15" s="73" t="str">
        <f>IFERROR(HLOOKUP(P$5,#REF!,SA_GRILLE_STEU!$A15+2,FALSE),"")</f>
        <v/>
      </c>
      <c r="U15" s="217">
        <v>7</v>
      </c>
      <c r="V15" s="29" t="str">
        <f>IFERROR(HLOOKUP(U$5,#REF!,SA_GRILLE_STEU!$A15+2,FALSE),"")</f>
        <v/>
      </c>
      <c r="W15" s="116"/>
      <c r="X15" s="158" t="str">
        <f>IFERROR(HLOOKUP(U$5,#REF!,SA_GRILLE_STEU!$A15+2,FALSE),"")</f>
        <v/>
      </c>
      <c r="Y15" s="73" t="str">
        <f>IFERROR(HLOOKUP(U$5,#REF!,SA_GRILLE_STEU!$A15+2,FALSE),"")</f>
        <v/>
      </c>
      <c r="Z15" s="217">
        <v>7</v>
      </c>
      <c r="AA15" s="29" t="str">
        <f>IFERROR(HLOOKUP(Z$5,#REF!,SA_GRILLE_STEU!$A15+2,FALSE),"")</f>
        <v/>
      </c>
      <c r="AB15" s="116"/>
      <c r="AC15" s="158" t="str">
        <f>IFERROR(HLOOKUP(Z$5,#REF!,SA_GRILLE_STEU!$A15+2,FALSE),"")</f>
        <v/>
      </c>
      <c r="AD15" s="73" t="str">
        <f>IFERROR(HLOOKUP(Z$5,#REF!,SA_GRILLE_STEU!$A15+2,FALSE),"")</f>
        <v/>
      </c>
      <c r="AE15" s="217">
        <v>7</v>
      </c>
      <c r="AF15" s="29" t="str">
        <f>IFERROR(HLOOKUP(AE$5,#REF!,SA_GRILLE_STEU!$A15+2,FALSE),"")</f>
        <v/>
      </c>
      <c r="AG15" s="116"/>
      <c r="AH15" s="158" t="str">
        <f>IFERROR(HLOOKUP(AE$5,#REF!,SA_GRILLE_STEU!$A15+2,FALSE),"")</f>
        <v/>
      </c>
      <c r="AI15" s="73" t="str">
        <f>IFERROR(HLOOKUP(AE$5,#REF!,SA_GRILLE_STEU!$A15+2,FALSE),"")</f>
        <v/>
      </c>
      <c r="AJ15" s="217">
        <v>7</v>
      </c>
      <c r="AK15" s="29" t="str">
        <f>IFERROR(HLOOKUP(AJ$5,#REF!,SA_GRILLE_STEU!$A15+2,FALSE),"")</f>
        <v/>
      </c>
      <c r="AL15" s="116"/>
      <c r="AM15" s="74" t="str">
        <f>IFERROR(HLOOKUP(AJ$5,#REF!,SA_GRILLE_STEU!$A15+2,FALSE),"")</f>
        <v/>
      </c>
      <c r="AN15" s="73" t="str">
        <f>IFERROR(HLOOKUP(AJ$5,#REF!,SA_GRILLE_STEU!$A15+2,FALSE),"")</f>
        <v/>
      </c>
      <c r="AO15" s="217">
        <v>7</v>
      </c>
      <c r="AP15" s="29" t="str">
        <f>IFERROR(HLOOKUP(AO$5,#REF!,SA_GRILLE_STEU!$A15+2,FALSE),"")</f>
        <v/>
      </c>
      <c r="AQ15" s="116"/>
      <c r="AR15" s="74" t="str">
        <f>IFERROR(HLOOKUP(AO$5,#REF!,SA_GRILLE_STEU!$A15+2,FALSE),"")</f>
        <v/>
      </c>
      <c r="AS15" s="73" t="str">
        <f>IFERROR(HLOOKUP(AO$5,#REF!,SA_GRILLE_STEU!$A15+2,FALSE),"")</f>
        <v/>
      </c>
      <c r="AT15" s="217">
        <v>7</v>
      </c>
      <c r="AU15" s="29" t="str">
        <f>IFERROR(HLOOKUP(AT$5,#REF!,SA_GRILLE_STEU!$A15+2,FALSE),"")</f>
        <v/>
      </c>
      <c r="AV15" s="116"/>
      <c r="AW15" s="74" t="str">
        <f>IFERROR(HLOOKUP(AT$5,#REF!,SA_GRILLE_STEU!$A15+2,FALSE),"")</f>
        <v/>
      </c>
      <c r="AX15" s="73" t="str">
        <f>IFERROR(HLOOKUP(AT$5,#REF!,SA_GRILLE_STEU!$A15+2,FALSE),"")</f>
        <v/>
      </c>
      <c r="AY15" s="217">
        <v>7</v>
      </c>
      <c r="AZ15" s="29" t="str">
        <f>IFERROR(HLOOKUP(AY$5,#REF!,SA_GRILLE_STEU!$A15+2,FALSE),"")</f>
        <v/>
      </c>
      <c r="BA15" s="116"/>
      <c r="BB15" s="74" t="str">
        <f>IFERROR(HLOOKUP(AY$5,#REF!,SA_GRILLE_STEU!$A15+2,FALSE),"")</f>
        <v/>
      </c>
      <c r="BC15" s="73" t="str">
        <f>IFERROR(HLOOKUP(AY$5,#REF!,SA_GRILLE_STEU!$A15+2,FALSE),"")</f>
        <v/>
      </c>
      <c r="BD15" s="217">
        <v>7</v>
      </c>
      <c r="BE15" s="29" t="str">
        <f>IFERROR(HLOOKUP(BD$5,#REF!,SA_GRILLE_STEU!$A15+2,FALSE),"")</f>
        <v/>
      </c>
      <c r="BF15" s="116"/>
      <c r="BG15" s="77" t="str">
        <f>IFERROR(HLOOKUP(BD$5,#REF!,SA_GRILLE_STEU!$A15+2,FALSE),"")</f>
        <v/>
      </c>
      <c r="BH15" s="76" t="str">
        <f>IFERROR(HLOOKUP(BD$5,#REF!,SA_GRILLE_STEU!$A15+2,FALSE),"")</f>
        <v/>
      </c>
    </row>
    <row r="16" spans="1:60" x14ac:dyDescent="0.4">
      <c r="A16" s="217">
        <v>8</v>
      </c>
      <c r="B16" s="28" t="str">
        <f>IFERROR(HLOOKUP(A$5,#REF!,SA_GRILLE_STEU!$A16+2,FALSE),"")</f>
        <v/>
      </c>
      <c r="C16" s="116"/>
      <c r="D16" s="158" t="str">
        <f>IFERROR(HLOOKUP(A$5,#REF!,SA_GRILLE_STEU!$A16+2,FALSE),"")</f>
        <v/>
      </c>
      <c r="E16" s="73" t="str">
        <f>IFERROR(HLOOKUP(A$5,#REF!,SA_GRILLE_STEU!$A16+2,FALSE),"")</f>
        <v/>
      </c>
      <c r="F16" s="217">
        <v>8</v>
      </c>
      <c r="G16" s="29" t="str">
        <f>IFERROR(HLOOKUP(F$5,#REF!,SA_GRILLE_STEU!$A16+2,FALSE),"")</f>
        <v/>
      </c>
      <c r="H16" s="116"/>
      <c r="I16" s="158" t="str">
        <f>IFERROR(HLOOKUP(F$5,#REF!,SA_GRILLE_STEU!$A16+2,FALSE),"")</f>
        <v/>
      </c>
      <c r="J16" s="73" t="str">
        <f>IFERROR(HLOOKUP(F$5,#REF!,SA_GRILLE_STEU!$A16+2,FALSE),"")</f>
        <v/>
      </c>
      <c r="K16" s="217">
        <v>8</v>
      </c>
      <c r="L16" s="29" t="str">
        <f>IFERROR(HLOOKUP(K$5,#REF!,SA_GRILLE_STEU!$A16+2,FALSE),"")</f>
        <v/>
      </c>
      <c r="M16" s="116"/>
      <c r="N16" s="158" t="str">
        <f>IFERROR(HLOOKUP(K$5,#REF!,SA_GRILLE_STEU!$A16+2,FALSE),"")</f>
        <v/>
      </c>
      <c r="O16" s="73" t="str">
        <f>IFERROR(HLOOKUP(K$5,#REF!,SA_GRILLE_STEU!$A16+2,FALSE),"")</f>
        <v/>
      </c>
      <c r="P16" s="217">
        <v>8</v>
      </c>
      <c r="Q16" s="29" t="str">
        <f>IFERROR(HLOOKUP(P$5,#REF!,SA_GRILLE_STEU!$A16+2,FALSE),"")</f>
        <v/>
      </c>
      <c r="R16" s="116"/>
      <c r="S16" s="158" t="str">
        <f>IFERROR(HLOOKUP(P$5,#REF!,SA_GRILLE_STEU!$A16+2,FALSE),"")</f>
        <v/>
      </c>
      <c r="T16" s="73" t="str">
        <f>IFERROR(HLOOKUP(P$5,#REF!,SA_GRILLE_STEU!$A16+2,FALSE),"")</f>
        <v/>
      </c>
      <c r="U16" s="217">
        <v>8</v>
      </c>
      <c r="V16" s="29" t="str">
        <f>IFERROR(HLOOKUP(U$5,#REF!,SA_GRILLE_STEU!$A16+2,FALSE),"")</f>
        <v/>
      </c>
      <c r="W16" s="116"/>
      <c r="X16" s="158" t="str">
        <f>IFERROR(HLOOKUP(U$5,#REF!,SA_GRILLE_STEU!$A16+2,FALSE),"")</f>
        <v/>
      </c>
      <c r="Y16" s="73" t="str">
        <f>IFERROR(HLOOKUP(U$5,#REF!,SA_GRILLE_STEU!$A16+2,FALSE),"")</f>
        <v/>
      </c>
      <c r="Z16" s="217">
        <v>8</v>
      </c>
      <c r="AA16" s="29" t="str">
        <f>IFERROR(HLOOKUP(Z$5,#REF!,SA_GRILLE_STEU!$A16+2,FALSE),"")</f>
        <v/>
      </c>
      <c r="AB16" s="116"/>
      <c r="AC16" s="158" t="str">
        <f>IFERROR(HLOOKUP(Z$5,#REF!,SA_GRILLE_STEU!$A16+2,FALSE),"")</f>
        <v/>
      </c>
      <c r="AD16" s="73" t="str">
        <f>IFERROR(HLOOKUP(Z$5,#REF!,SA_GRILLE_STEU!$A16+2,FALSE),"")</f>
        <v/>
      </c>
      <c r="AE16" s="217">
        <v>8</v>
      </c>
      <c r="AF16" s="29" t="str">
        <f>IFERROR(HLOOKUP(AE$5,#REF!,SA_GRILLE_STEU!$A16+2,FALSE),"")</f>
        <v/>
      </c>
      <c r="AG16" s="116"/>
      <c r="AH16" s="158" t="str">
        <f>IFERROR(HLOOKUP(AE$5,#REF!,SA_GRILLE_STEU!$A16+2,FALSE),"")</f>
        <v/>
      </c>
      <c r="AI16" s="73" t="str">
        <f>IFERROR(HLOOKUP(AE$5,#REF!,SA_GRILLE_STEU!$A16+2,FALSE),"")</f>
        <v/>
      </c>
      <c r="AJ16" s="217">
        <v>8</v>
      </c>
      <c r="AK16" s="29" t="str">
        <f>IFERROR(HLOOKUP(AJ$5,#REF!,SA_GRILLE_STEU!$A16+2,FALSE),"")</f>
        <v/>
      </c>
      <c r="AL16" s="116"/>
      <c r="AM16" s="74" t="str">
        <f>IFERROR(HLOOKUP(AJ$5,#REF!,SA_GRILLE_STEU!$A16+2,FALSE),"")</f>
        <v/>
      </c>
      <c r="AN16" s="73" t="str">
        <f>IFERROR(HLOOKUP(AJ$5,#REF!,SA_GRILLE_STEU!$A16+2,FALSE),"")</f>
        <v/>
      </c>
      <c r="AO16" s="217">
        <v>8</v>
      </c>
      <c r="AP16" s="29" t="str">
        <f>IFERROR(HLOOKUP(AO$5,#REF!,SA_GRILLE_STEU!$A16+2,FALSE),"")</f>
        <v/>
      </c>
      <c r="AQ16" s="116"/>
      <c r="AR16" s="74" t="str">
        <f>IFERROR(HLOOKUP(AO$5,#REF!,SA_GRILLE_STEU!$A16+2,FALSE),"")</f>
        <v/>
      </c>
      <c r="AS16" s="73" t="str">
        <f>IFERROR(HLOOKUP(AO$5,#REF!,SA_GRILLE_STEU!$A16+2,FALSE),"")</f>
        <v/>
      </c>
      <c r="AT16" s="217">
        <v>8</v>
      </c>
      <c r="AU16" s="29" t="str">
        <f>IFERROR(HLOOKUP(AT$5,#REF!,SA_GRILLE_STEU!$A16+2,FALSE),"")</f>
        <v/>
      </c>
      <c r="AV16" s="116"/>
      <c r="AW16" s="74" t="str">
        <f>IFERROR(HLOOKUP(AT$5,#REF!,SA_GRILLE_STEU!$A16+2,FALSE),"")</f>
        <v/>
      </c>
      <c r="AX16" s="73" t="str">
        <f>IFERROR(HLOOKUP(AT$5,#REF!,SA_GRILLE_STEU!$A16+2,FALSE),"")</f>
        <v/>
      </c>
      <c r="AY16" s="217">
        <v>8</v>
      </c>
      <c r="AZ16" s="29" t="str">
        <f>IFERROR(HLOOKUP(AY$5,#REF!,SA_GRILLE_STEU!$A16+2,FALSE),"")</f>
        <v/>
      </c>
      <c r="BA16" s="116"/>
      <c r="BB16" s="74" t="str">
        <f>IFERROR(HLOOKUP(AY$5,#REF!,SA_GRILLE_STEU!$A16+2,FALSE),"")</f>
        <v/>
      </c>
      <c r="BC16" s="73" t="str">
        <f>IFERROR(HLOOKUP(AY$5,#REF!,SA_GRILLE_STEU!$A16+2,FALSE),"")</f>
        <v/>
      </c>
      <c r="BD16" s="217">
        <v>8</v>
      </c>
      <c r="BE16" s="29" t="str">
        <f>IFERROR(HLOOKUP(BD$5,#REF!,SA_GRILLE_STEU!$A16+2,FALSE),"")</f>
        <v/>
      </c>
      <c r="BF16" s="116"/>
      <c r="BG16" s="77" t="str">
        <f>IFERROR(HLOOKUP(BD$5,#REF!,SA_GRILLE_STEU!$A16+2,FALSE),"")</f>
        <v/>
      </c>
      <c r="BH16" s="76" t="str">
        <f>IFERROR(HLOOKUP(BD$5,#REF!,SA_GRILLE_STEU!$A16+2,FALSE),"")</f>
        <v/>
      </c>
    </row>
    <row r="17" spans="1:60" ht="20.100000000000001" customHeight="1" x14ac:dyDescent="0.4">
      <c r="A17" s="217">
        <v>9</v>
      </c>
      <c r="B17" s="28" t="str">
        <f>IFERROR(HLOOKUP(A$5,#REF!,SA_GRILLE_STEU!$A17+2,FALSE),"")</f>
        <v/>
      </c>
      <c r="C17" s="116"/>
      <c r="D17" s="158" t="str">
        <f>IFERROR(HLOOKUP(A$5,#REF!,SA_GRILLE_STEU!$A17+2,FALSE),"")</f>
        <v/>
      </c>
      <c r="E17" s="73" t="str">
        <f>IFERROR(HLOOKUP(A$5,#REF!,SA_GRILLE_STEU!$A17+2,FALSE),"")</f>
        <v/>
      </c>
      <c r="F17" s="217">
        <v>9</v>
      </c>
      <c r="G17" s="29" t="str">
        <f>IFERROR(HLOOKUP(F$5,#REF!,SA_GRILLE_STEU!$A17+2,FALSE),"")</f>
        <v/>
      </c>
      <c r="H17" s="116"/>
      <c r="I17" s="158" t="str">
        <f>IFERROR(HLOOKUP(F$5,#REF!,SA_GRILLE_STEU!$A17+2,FALSE),"")</f>
        <v/>
      </c>
      <c r="J17" s="73" t="str">
        <f>IFERROR(HLOOKUP(F$5,#REF!,SA_GRILLE_STEU!$A17+2,FALSE),"")</f>
        <v/>
      </c>
      <c r="K17" s="217">
        <v>9</v>
      </c>
      <c r="L17" s="29" t="str">
        <f>IFERROR(HLOOKUP(K$5,#REF!,SA_GRILLE_STEU!$A17+2,FALSE),"")</f>
        <v/>
      </c>
      <c r="M17" s="116"/>
      <c r="N17" s="158" t="str">
        <f>IFERROR(HLOOKUP(K$5,#REF!,SA_GRILLE_STEU!$A17+2,FALSE),"")</f>
        <v/>
      </c>
      <c r="O17" s="73" t="str">
        <f>IFERROR(HLOOKUP(K$5,#REF!,SA_GRILLE_STEU!$A17+2,FALSE),"")</f>
        <v/>
      </c>
      <c r="P17" s="217">
        <v>9</v>
      </c>
      <c r="Q17" s="29" t="str">
        <f>IFERROR(HLOOKUP(P$5,#REF!,SA_GRILLE_STEU!$A17+2,FALSE),"")</f>
        <v/>
      </c>
      <c r="R17" s="116"/>
      <c r="S17" s="158" t="str">
        <f>IFERROR(HLOOKUP(P$5,#REF!,SA_GRILLE_STEU!$A17+2,FALSE),"")</f>
        <v/>
      </c>
      <c r="T17" s="73" t="str">
        <f>IFERROR(HLOOKUP(P$5,#REF!,SA_GRILLE_STEU!$A17+2,FALSE),"")</f>
        <v/>
      </c>
      <c r="U17" s="217">
        <v>9</v>
      </c>
      <c r="V17" s="29" t="str">
        <f>IFERROR(HLOOKUP(U$5,#REF!,SA_GRILLE_STEU!$A17+2,FALSE),"")</f>
        <v/>
      </c>
      <c r="W17" s="116"/>
      <c r="X17" s="158" t="str">
        <f>IFERROR(HLOOKUP(U$5,#REF!,SA_GRILLE_STEU!$A17+2,FALSE),"")</f>
        <v/>
      </c>
      <c r="Y17" s="73" t="str">
        <f>IFERROR(HLOOKUP(U$5,#REF!,SA_GRILLE_STEU!$A17+2,FALSE),"")</f>
        <v/>
      </c>
      <c r="Z17" s="217">
        <v>9</v>
      </c>
      <c r="AA17" s="29" t="str">
        <f>IFERROR(HLOOKUP(Z$5,#REF!,SA_GRILLE_STEU!$A17+2,FALSE),"")</f>
        <v/>
      </c>
      <c r="AB17" s="116"/>
      <c r="AC17" s="158" t="str">
        <f>IFERROR(HLOOKUP(Z$5,#REF!,SA_GRILLE_STEU!$A17+2,FALSE),"")</f>
        <v/>
      </c>
      <c r="AD17" s="73" t="str">
        <f>IFERROR(HLOOKUP(Z$5,#REF!,SA_GRILLE_STEU!$A17+2,FALSE),"")</f>
        <v/>
      </c>
      <c r="AE17" s="217">
        <v>9</v>
      </c>
      <c r="AF17" s="29" t="str">
        <f>IFERROR(HLOOKUP(AE$5,#REF!,SA_GRILLE_STEU!$A17+2,FALSE),"")</f>
        <v/>
      </c>
      <c r="AG17" s="116"/>
      <c r="AH17" s="74" t="str">
        <f>IFERROR(HLOOKUP(AE$5,#REF!,SA_GRILLE_STEU!$A17+2,FALSE),"")</f>
        <v/>
      </c>
      <c r="AI17" s="73" t="str">
        <f>IFERROR(HLOOKUP(AE$5,#REF!,SA_GRILLE_STEU!$A17+2,FALSE),"")</f>
        <v/>
      </c>
      <c r="AJ17" s="217">
        <v>9</v>
      </c>
      <c r="AK17" s="29" t="str">
        <f>IFERROR(HLOOKUP(AJ$5,#REF!,SA_GRILLE_STEU!$A17+2,FALSE),"")</f>
        <v/>
      </c>
      <c r="AL17" s="116"/>
      <c r="AM17" s="74" t="str">
        <f>IFERROR(HLOOKUP(AJ$5,#REF!,SA_GRILLE_STEU!$A17+2,FALSE),"")</f>
        <v/>
      </c>
      <c r="AN17" s="73" t="str">
        <f>IFERROR(HLOOKUP(AJ$5,#REF!,SA_GRILLE_STEU!$A17+2,FALSE),"")</f>
        <v/>
      </c>
      <c r="AO17" s="217">
        <v>9</v>
      </c>
      <c r="AP17" s="29" t="str">
        <f>IFERROR(HLOOKUP(AO$5,#REF!,SA_GRILLE_STEU!$A17+2,FALSE),"")</f>
        <v/>
      </c>
      <c r="AQ17" s="116"/>
      <c r="AR17" s="74" t="str">
        <f>IFERROR(HLOOKUP(AO$5,#REF!,SA_GRILLE_STEU!$A17+2,FALSE),"")</f>
        <v/>
      </c>
      <c r="AS17" s="73" t="str">
        <f>IFERROR(HLOOKUP(AO$5,#REF!,SA_GRILLE_STEU!$A17+2,FALSE),"")</f>
        <v/>
      </c>
      <c r="AT17" s="217">
        <v>9</v>
      </c>
      <c r="AU17" s="29" t="str">
        <f>IFERROR(HLOOKUP(AT$5,#REF!,SA_GRILLE_STEU!$A17+2,FALSE),"")</f>
        <v/>
      </c>
      <c r="AV17" s="116"/>
      <c r="AW17" s="74" t="str">
        <f>IFERROR(HLOOKUP(AT$5,#REF!,SA_GRILLE_STEU!$A17+2,FALSE),"")</f>
        <v/>
      </c>
      <c r="AX17" s="73" t="str">
        <f>IFERROR(HLOOKUP(AT$5,#REF!,SA_GRILLE_STEU!$A17+2,FALSE),"")</f>
        <v/>
      </c>
      <c r="AY17" s="217">
        <v>9</v>
      </c>
      <c r="AZ17" s="8" t="str">
        <f>IFERROR(HLOOKUP(AY$5,#REF!,SA_GRILLE_STEU!$A17+2,FALSE),"")</f>
        <v/>
      </c>
      <c r="BA17" s="116"/>
      <c r="BB17" s="74" t="str">
        <f>IFERROR(HLOOKUP(AY$5,#REF!,SA_GRILLE_STEU!$A17+2,FALSE),"")</f>
        <v/>
      </c>
      <c r="BC17" s="73" t="str">
        <f>IFERROR(HLOOKUP(AY$5,#REF!,SA_GRILLE_STEU!$A17+2,FALSE),"")</f>
        <v/>
      </c>
      <c r="BD17" s="217">
        <v>9</v>
      </c>
      <c r="BE17" s="29" t="str">
        <f>IFERROR(HLOOKUP(BD$5,#REF!,SA_GRILLE_STEU!$A17+2,FALSE),"")</f>
        <v/>
      </c>
      <c r="BF17" s="116"/>
      <c r="BG17" s="77" t="str">
        <f>IFERROR(HLOOKUP(BD$5,#REF!,SA_GRILLE_STEU!$A17+2,FALSE),"")</f>
        <v/>
      </c>
      <c r="BH17" s="76" t="str">
        <f>IFERROR(HLOOKUP(BD$5,#REF!,SA_GRILLE_STEU!$A17+2,FALSE),"")</f>
        <v/>
      </c>
    </row>
    <row r="18" spans="1:60" s="80" customFormat="1" ht="38.25" customHeight="1" x14ac:dyDescent="0.4">
      <c r="A18" s="1404" t="s">
        <v>62</v>
      </c>
      <c r="B18" s="1405"/>
      <c r="C18" s="218" t="s">
        <v>63</v>
      </c>
      <c r="D18" s="219" t="s">
        <v>64</v>
      </c>
      <c r="E18" s="78"/>
      <c r="F18" s="1404" t="s">
        <v>62</v>
      </c>
      <c r="G18" s="1405"/>
      <c r="H18" s="218" t="s">
        <v>63</v>
      </c>
      <c r="I18" s="219" t="s">
        <v>64</v>
      </c>
      <c r="J18" s="78"/>
      <c r="K18" s="1404" t="s">
        <v>62</v>
      </c>
      <c r="L18" s="1405"/>
      <c r="M18" s="218" t="s">
        <v>63</v>
      </c>
      <c r="N18" s="219" t="s">
        <v>64</v>
      </c>
      <c r="O18" s="78"/>
      <c r="P18" s="1404" t="s">
        <v>62</v>
      </c>
      <c r="Q18" s="1405"/>
      <c r="R18" s="218" t="s">
        <v>63</v>
      </c>
      <c r="S18" s="219" t="s">
        <v>64</v>
      </c>
      <c r="T18" s="78"/>
      <c r="U18" s="1404" t="s">
        <v>62</v>
      </c>
      <c r="V18" s="1405"/>
      <c r="W18" s="218" t="s">
        <v>63</v>
      </c>
      <c r="X18" s="219" t="s">
        <v>64</v>
      </c>
      <c r="Y18" s="78"/>
      <c r="Z18" s="1404" t="s">
        <v>62</v>
      </c>
      <c r="AA18" s="1405"/>
      <c r="AB18" s="218" t="s">
        <v>63</v>
      </c>
      <c r="AC18" s="219" t="s">
        <v>64</v>
      </c>
      <c r="AD18" s="78"/>
      <c r="AE18" s="1404" t="s">
        <v>62</v>
      </c>
      <c r="AF18" s="1405"/>
      <c r="AG18" s="218" t="s">
        <v>63</v>
      </c>
      <c r="AH18" s="219" t="s">
        <v>64</v>
      </c>
      <c r="AI18" s="78"/>
      <c r="AJ18" s="1404" t="s">
        <v>62</v>
      </c>
      <c r="AK18" s="1405"/>
      <c r="AL18" s="218" t="s">
        <v>63</v>
      </c>
      <c r="AM18" s="219" t="s">
        <v>64</v>
      </c>
      <c r="AN18" s="78"/>
      <c r="AO18" s="1404" t="s">
        <v>62</v>
      </c>
      <c r="AP18" s="1405"/>
      <c r="AQ18" s="218" t="s">
        <v>63</v>
      </c>
      <c r="AR18" s="219" t="s">
        <v>64</v>
      </c>
      <c r="AS18" s="78"/>
      <c r="AT18" s="1404" t="s">
        <v>62</v>
      </c>
      <c r="AU18" s="1405"/>
      <c r="AV18" s="218" t="s">
        <v>63</v>
      </c>
      <c r="AW18" s="219" t="s">
        <v>64</v>
      </c>
      <c r="AX18" s="78"/>
      <c r="AY18" s="1404" t="s">
        <v>62</v>
      </c>
      <c r="AZ18" s="1405"/>
      <c r="BA18" s="218" t="s">
        <v>63</v>
      </c>
      <c r="BB18" s="219" t="s">
        <v>64</v>
      </c>
      <c r="BC18" s="78"/>
      <c r="BD18" s="1404" t="s">
        <v>62</v>
      </c>
      <c r="BE18" s="1405"/>
      <c r="BF18" s="218" t="s">
        <v>63</v>
      </c>
      <c r="BG18" s="219" t="s">
        <v>64</v>
      </c>
      <c r="BH18" s="79"/>
    </row>
    <row r="19" spans="1:60" s="83" customFormat="1" ht="60" customHeight="1" thickBot="1" x14ac:dyDescent="0.45">
      <c r="A19" s="220"/>
      <c r="B19" s="129"/>
      <c r="C19" s="119"/>
      <c r="D19" s="81">
        <f>IF(OR(A5="",C19="Non contrôlé"),"",IF((SUMIF(C9:C17,"Validé",D9:D17)+SUMIF(C9:C17,"Validé avec réserve",D9:D17))&gt;100,100,SUMIF(C9:C17,"Validé",D9:D17)+SUMIF(C9:C17,"Validé avec réserve",D9:D17)))</f>
        <v>0</v>
      </c>
      <c r="E19" s="82"/>
      <c r="F19" s="221"/>
      <c r="G19" s="123"/>
      <c r="H19" s="119"/>
      <c r="I19" s="81">
        <f>IF(F5="","",IF((SUMIF(H9:H17,"Validé",I9:I17)+SUMIF(H9:H17,"Validé avec réserve",I9:I17))&gt;100,100,SUMIF(H9:H17,"Validé",I9:I17)+SUMIF(H9:H17,"Validé avec réserve",I9:I17)))</f>
        <v>0</v>
      </c>
      <c r="J19" s="82"/>
      <c r="K19" s="221"/>
      <c r="L19" s="123"/>
      <c r="M19" s="119"/>
      <c r="N19" s="81" t="str">
        <f>IF(K5="","",IF((SUMIF(M9:M17,"Validé",N9:N17)+SUMIF(M9:M17,"Validé avec réserve",N9:N17))&gt;100,100,SUMIF(M9:M17,"Validé",N9:N17)+SUMIF(M9:M17,"Validé avec réserve",N9:N17)))</f>
        <v/>
      </c>
      <c r="O19" s="82"/>
      <c r="P19" s="222"/>
      <c r="Q19" s="123"/>
      <c r="R19" s="119"/>
      <c r="S19" s="81" t="str">
        <f>IF(P5="","",IF((SUMIF(R9:R17,"Validé",S9:S17)+SUMIF(R9:R17,"Validé avec réserve",S9:S17))&gt;100,100,SUMIF(R9:R17,"Validé",S9:S17)+SUMIF(R9:R17,"Validé avec réserve",S9:S17)))</f>
        <v/>
      </c>
      <c r="T19" s="82"/>
      <c r="U19" s="223"/>
      <c r="V19" s="123"/>
      <c r="W19" s="119"/>
      <c r="X19" s="81" t="str">
        <f>IF(U5="","",IF((SUMIF(W9:W17,"Validé",X9:X17)+SUMIF(W9:W17,"Validé avec réserve",X9:X17))&gt;100,100,SUMIF(W9:W17,"Validé",X9:X17)+SUMIF(W9:W17,"Validé avec réserve",X9:X17)))</f>
        <v/>
      </c>
      <c r="Y19" s="82"/>
      <c r="Z19" s="223"/>
      <c r="AA19" s="122"/>
      <c r="AB19" s="119"/>
      <c r="AC19" s="81" t="str">
        <f>IF(Z5="","",IF((SUMIF(AB9:AB17,"Validé",AC9:AC17)+SUMIF(AB9:AB17,"Validé avec réserve",AC9:AC17))&gt;100,100,SUMIF(AB9:AB17,"Validé",AC9:AC17)+SUMIF(AB9:AB17,"Validé avec réserve",AC9:AC17)))</f>
        <v/>
      </c>
      <c r="AD19" s="82"/>
      <c r="AE19" s="223"/>
      <c r="AF19" s="123"/>
      <c r="AG19" s="119"/>
      <c r="AH19" s="81" t="str">
        <f>IF(AE5="","",IF((SUMIF(AG9:AG17,"Validé",AH9:AH17)+SUMIF(AG9:AG17,"Validé avec réserve",AH9:AH17))&gt;100,100,SUMIF(AG9:AG17,"Validé",AH9:AH17)+SUMIF(AG9:AG17,"Validé avec réserve",AH9:AH17)))</f>
        <v/>
      </c>
      <c r="AI19" s="82"/>
      <c r="AJ19" s="223"/>
      <c r="AK19" s="123"/>
      <c r="AL19" s="119"/>
      <c r="AM19" s="81" t="str">
        <f>IF(AJ5="","",IF((SUMIF(AL9:AL17,"Validé",AM9:AM17)+SUMIF(AL9:AL17,"Validé avec réserve",AM9:AM17))&gt;100,100,SUMIF(AL9:AL17,"Validé",AM9:AM17)+SUMIF(AL9:AL17,"Validé avec réserve",AM9:AM17)))</f>
        <v/>
      </c>
      <c r="AN19" s="82"/>
      <c r="AO19" s="223"/>
      <c r="AP19" s="123"/>
      <c r="AQ19" s="119"/>
      <c r="AR19" s="81" t="str">
        <f>IF(AO5="","",IF((SUMIF(AQ9:AQ17,"Validé",AR9:AR17)+SUMIF(AQ9:AQ17,"Validé avec réserve",AR9:AR17))&gt;100,100,SUMIF(AQ9:AQ17,"Validé",AR9:AR17)+SUMIF(AQ9:AQ17,"Validé avec réserve",AR9:AR17)))</f>
        <v/>
      </c>
      <c r="AS19" s="82"/>
      <c r="AT19" s="223"/>
      <c r="AU19" s="123"/>
      <c r="AV19" s="119"/>
      <c r="AW19" s="81" t="str">
        <f>IF(AT5="","",IF((SUMIF(AV9:AV17,"Validé",AW9:AW17)+SUMIF(AV9:AV17,"Validé avec réserve",AW9:AW17))&gt;100,100,SUMIF(AV9:AV17,"Validé",AW9:AW17)+SUMIF(AV9:AV17,"Validé avec réserve",AW9:AW17)))</f>
        <v/>
      </c>
      <c r="AX19" s="82"/>
      <c r="AY19" s="223"/>
      <c r="AZ19" s="123"/>
      <c r="BA19" s="119"/>
      <c r="BB19" s="81" t="str">
        <f>IF(AY5="","",IF((SUMIF(BA9:BA17,"Validé",BB9:BB17)+SUMIF(BA9:BA17,"Validé avec réserve",BB9:BB17))&gt;100,100,SUMIF(BA9:BA17,"Validé",BB9:BB17)+SUMIF(BA9:BA17,"Validé avec réserve",BB9:BB17)))</f>
        <v/>
      </c>
      <c r="BC19" s="81"/>
      <c r="BD19" s="223"/>
      <c r="BE19" s="120"/>
      <c r="BF19" s="119"/>
      <c r="BG19" s="81" t="str">
        <f>IF(BD5="","",IF((SUMIF(BF9:BF17,"Validé",BG9:BG17)+SUMIF(BF9:BF17,"Validé avec réserve",BG9:BG17))&gt;100,100,SUMIF(BF9:BF17,"Validé",BG9:BG17)+SUMIF(BF9:BF17,"Validé avec réserve",BG9:BG17)))</f>
        <v/>
      </c>
      <c r="BH19" s="81"/>
    </row>
    <row r="20" spans="1:60" s="90" customFormat="1" ht="15" customHeight="1" thickBot="1" x14ac:dyDescent="0.45">
      <c r="A20" s="84"/>
      <c r="B20" s="85"/>
      <c r="C20" s="86"/>
      <c r="D20" s="87"/>
      <c r="E20" s="88"/>
      <c r="F20" s="84"/>
      <c r="G20" s="85"/>
      <c r="H20" s="86"/>
      <c r="I20" s="87"/>
      <c r="J20" s="88"/>
      <c r="K20" s="84"/>
      <c r="L20" s="85"/>
      <c r="M20" s="86"/>
      <c r="N20" s="87"/>
      <c r="O20" s="88"/>
      <c r="P20" s="84"/>
      <c r="Q20" s="85"/>
      <c r="R20" s="85"/>
      <c r="S20" s="87"/>
      <c r="T20" s="85"/>
      <c r="U20" s="85"/>
      <c r="V20" s="85"/>
      <c r="W20" s="85"/>
      <c r="X20" s="87"/>
      <c r="Y20" s="85"/>
      <c r="Z20" s="85"/>
      <c r="AA20" s="85"/>
      <c r="AB20" s="85"/>
      <c r="AC20" s="87"/>
      <c r="AD20" s="85"/>
      <c r="AE20" s="85"/>
      <c r="AF20" s="85"/>
      <c r="AG20" s="85"/>
      <c r="AH20" s="87"/>
      <c r="AI20" s="85"/>
      <c r="AJ20" s="85"/>
      <c r="AK20" s="85"/>
      <c r="AL20" s="85"/>
      <c r="AM20" s="87"/>
      <c r="AN20" s="85"/>
      <c r="AO20" s="85"/>
      <c r="AP20" s="85"/>
      <c r="AQ20" s="85"/>
      <c r="AR20" s="87"/>
      <c r="AS20" s="85"/>
      <c r="AT20" s="85"/>
      <c r="AU20" s="85"/>
      <c r="AV20" s="85"/>
      <c r="AW20" s="87"/>
      <c r="AX20" s="85"/>
      <c r="AY20" s="85"/>
      <c r="AZ20" s="85"/>
      <c r="BA20" s="85"/>
      <c r="BB20" s="87"/>
      <c r="BC20" s="85"/>
      <c r="BD20" s="85"/>
      <c r="BE20" s="85"/>
      <c r="BF20" s="85"/>
      <c r="BG20" s="85"/>
      <c r="BH20" s="89"/>
    </row>
    <row r="21" spans="1:60" ht="12" customHeight="1" thickBot="1" x14ac:dyDescent="0.45">
      <c r="A21" s="1408" t="s">
        <v>236</v>
      </c>
      <c r="B21" s="1409"/>
      <c r="C21" s="1409"/>
      <c r="D21" s="1410"/>
      <c r="E21" s="91"/>
      <c r="F21" s="1408" t="s">
        <v>236</v>
      </c>
      <c r="G21" s="1409"/>
      <c r="H21" s="1409"/>
      <c r="I21" s="1410"/>
      <c r="J21" s="91"/>
      <c r="K21" s="1408" t="s">
        <v>236</v>
      </c>
      <c r="L21" s="1409"/>
      <c r="M21" s="1409"/>
      <c r="N21" s="1410"/>
      <c r="O21" s="91"/>
      <c r="P21" s="1408" t="s">
        <v>236</v>
      </c>
      <c r="Q21" s="1409"/>
      <c r="R21" s="1409"/>
      <c r="S21" s="1410"/>
      <c r="T21" s="91"/>
      <c r="U21" s="1408" t="s">
        <v>236</v>
      </c>
      <c r="V21" s="1409"/>
      <c r="W21" s="1409"/>
      <c r="X21" s="1410"/>
      <c r="Y21" s="91"/>
      <c r="Z21" s="1408" t="s">
        <v>236</v>
      </c>
      <c r="AA21" s="1409"/>
      <c r="AB21" s="1409"/>
      <c r="AC21" s="1410"/>
      <c r="AD21" s="91"/>
      <c r="AE21" s="1408" t="s">
        <v>236</v>
      </c>
      <c r="AF21" s="1409"/>
      <c r="AG21" s="1409"/>
      <c r="AH21" s="1410"/>
      <c r="AI21" s="91"/>
      <c r="AJ21" s="1408" t="s">
        <v>236</v>
      </c>
      <c r="AK21" s="1409"/>
      <c r="AL21" s="1409"/>
      <c r="AM21" s="1410"/>
      <c r="AN21" s="91"/>
      <c r="AO21" s="1408" t="s">
        <v>236</v>
      </c>
      <c r="AP21" s="1409"/>
      <c r="AQ21" s="1409"/>
      <c r="AR21" s="1410"/>
      <c r="AS21" s="91"/>
      <c r="AT21" s="1408" t="s">
        <v>236</v>
      </c>
      <c r="AU21" s="1409"/>
      <c r="AV21" s="1409"/>
      <c r="AW21" s="1410"/>
      <c r="AX21" s="91"/>
      <c r="AY21" s="1408" t="s">
        <v>236</v>
      </c>
      <c r="AZ21" s="1409"/>
      <c r="BA21" s="1409"/>
      <c r="BB21" s="1410"/>
      <c r="BC21" s="91"/>
      <c r="BD21" s="1408" t="s">
        <v>236</v>
      </c>
      <c r="BE21" s="1409"/>
      <c r="BF21" s="1409"/>
      <c r="BG21" s="1410"/>
    </row>
    <row r="22" spans="1:60" s="64" customFormat="1" ht="18" customHeight="1" x14ac:dyDescent="0.55000000000000004">
      <c r="A22" s="1399" t="s">
        <v>140</v>
      </c>
      <c r="B22" s="1400"/>
      <c r="C22" s="1400"/>
      <c r="D22" s="1401"/>
      <c r="F22" s="1399"/>
      <c r="G22" s="1400"/>
      <c r="H22" s="1400"/>
      <c r="I22" s="1401"/>
      <c r="K22" s="1399"/>
      <c r="L22" s="1400"/>
      <c r="M22" s="1400"/>
      <c r="N22" s="1401"/>
      <c r="P22" s="1399"/>
      <c r="Q22" s="1400"/>
      <c r="R22" s="1400"/>
      <c r="S22" s="1401"/>
      <c r="U22" s="1399"/>
      <c r="V22" s="1400"/>
      <c r="W22" s="1400"/>
      <c r="X22" s="1401"/>
      <c r="Z22" s="1399"/>
      <c r="AA22" s="1400"/>
      <c r="AB22" s="1400"/>
      <c r="AC22" s="1401"/>
      <c r="AE22" s="1399"/>
      <c r="AF22" s="1400"/>
      <c r="AG22" s="1400"/>
      <c r="AH22" s="1401"/>
      <c r="AJ22" s="1399"/>
      <c r="AK22" s="1400"/>
      <c r="AL22" s="1400"/>
      <c r="AM22" s="1401"/>
      <c r="AO22" s="1399"/>
      <c r="AP22" s="1400"/>
      <c r="AQ22" s="1400"/>
      <c r="AR22" s="1401"/>
      <c r="AT22" s="1399"/>
      <c r="AU22" s="1400"/>
      <c r="AV22" s="1400"/>
      <c r="AW22" s="1401"/>
      <c r="AY22" s="1399"/>
      <c r="AZ22" s="1400"/>
      <c r="BA22" s="1400"/>
      <c r="BB22" s="1401"/>
      <c r="BD22" s="1399"/>
      <c r="BE22" s="1400"/>
      <c r="BF22" s="1400"/>
      <c r="BG22" s="1401"/>
    </row>
    <row r="23" spans="1:60" ht="1.5" customHeight="1" x14ac:dyDescent="0.4">
      <c r="A23" s="65"/>
      <c r="B23" s="66"/>
      <c r="C23" s="66"/>
      <c r="D23" s="67"/>
      <c r="F23" s="65"/>
      <c r="G23" s="66"/>
      <c r="H23" s="69"/>
      <c r="I23" s="68"/>
      <c r="K23" s="65"/>
      <c r="L23" s="66"/>
      <c r="M23" s="69"/>
      <c r="N23" s="68"/>
      <c r="P23" s="65"/>
      <c r="Q23" s="66"/>
      <c r="R23" s="69"/>
      <c r="S23" s="68"/>
      <c r="U23" s="65"/>
      <c r="V23" s="66"/>
      <c r="W23" s="66"/>
      <c r="X23" s="67"/>
      <c r="Z23" s="65"/>
      <c r="AA23" s="66"/>
      <c r="AB23" s="66"/>
      <c r="AC23" s="67"/>
      <c r="AE23" s="65"/>
      <c r="AF23" s="66"/>
      <c r="AG23" s="92"/>
      <c r="AH23" s="68"/>
      <c r="AJ23" s="65"/>
      <c r="AK23" s="66"/>
      <c r="AL23" s="66"/>
      <c r="AM23" s="67"/>
      <c r="AO23" s="65"/>
      <c r="AP23" s="66"/>
      <c r="AQ23" s="66"/>
      <c r="AR23" s="67"/>
      <c r="AT23" s="65"/>
      <c r="AU23" s="66"/>
      <c r="AV23" s="66"/>
      <c r="AW23" s="67"/>
      <c r="AY23" s="65"/>
      <c r="AZ23" s="66"/>
      <c r="BA23" s="66"/>
      <c r="BB23" s="67"/>
      <c r="BD23" s="65"/>
      <c r="BE23" s="66"/>
      <c r="BF23" s="66"/>
      <c r="BG23" s="70"/>
    </row>
    <row r="24" spans="1:60" ht="24" customHeight="1" x14ac:dyDescent="0.4">
      <c r="A24" s="1402" t="s">
        <v>65</v>
      </c>
      <c r="B24" s="1403"/>
      <c r="C24" s="93" t="s">
        <v>11</v>
      </c>
      <c r="D24" s="94" t="s">
        <v>60</v>
      </c>
      <c r="E24" s="71" t="s">
        <v>61</v>
      </c>
      <c r="F24" s="1402" t="s">
        <v>65</v>
      </c>
      <c r="G24" s="1403"/>
      <c r="H24" s="93" t="s">
        <v>11</v>
      </c>
      <c r="I24" s="94" t="s">
        <v>60</v>
      </c>
      <c r="J24" s="71" t="s">
        <v>61</v>
      </c>
      <c r="K24" s="1411" t="s">
        <v>65</v>
      </c>
      <c r="L24" s="1412"/>
      <c r="M24" s="93" t="s">
        <v>11</v>
      </c>
      <c r="N24" s="94" t="s">
        <v>60</v>
      </c>
      <c r="O24" s="71" t="s">
        <v>61</v>
      </c>
      <c r="P24" s="1411" t="s">
        <v>65</v>
      </c>
      <c r="Q24" s="1412"/>
      <c r="R24" s="93" t="s">
        <v>11</v>
      </c>
      <c r="S24" s="94" t="s">
        <v>60</v>
      </c>
      <c r="T24" s="71" t="s">
        <v>61</v>
      </c>
      <c r="U24" s="1411" t="s">
        <v>65</v>
      </c>
      <c r="V24" s="1412"/>
      <c r="W24" s="95" t="s">
        <v>11</v>
      </c>
      <c r="X24" s="96" t="s">
        <v>60</v>
      </c>
      <c r="Y24" s="71" t="s">
        <v>61</v>
      </c>
      <c r="Z24" s="1402" t="s">
        <v>65</v>
      </c>
      <c r="AA24" s="1403"/>
      <c r="AB24" s="93" t="s">
        <v>11</v>
      </c>
      <c r="AC24" s="94" t="s">
        <v>60</v>
      </c>
      <c r="AD24" s="71" t="s">
        <v>61</v>
      </c>
      <c r="AE24" s="1402" t="s">
        <v>65</v>
      </c>
      <c r="AF24" s="1403"/>
      <c r="AG24" s="93" t="s">
        <v>11</v>
      </c>
      <c r="AH24" s="94" t="s">
        <v>60</v>
      </c>
      <c r="AI24" s="71" t="s">
        <v>61</v>
      </c>
      <c r="AJ24" s="1402" t="s">
        <v>65</v>
      </c>
      <c r="AK24" s="1403"/>
      <c r="AL24" s="93" t="s">
        <v>11</v>
      </c>
      <c r="AM24" s="94" t="s">
        <v>60</v>
      </c>
      <c r="AN24" s="71" t="s">
        <v>61</v>
      </c>
      <c r="AO24" s="1402" t="s">
        <v>65</v>
      </c>
      <c r="AP24" s="1403"/>
      <c r="AQ24" s="93" t="s">
        <v>11</v>
      </c>
      <c r="AR24" s="94" t="s">
        <v>60</v>
      </c>
      <c r="AS24" s="71" t="s">
        <v>61</v>
      </c>
      <c r="AT24" s="1402" t="s">
        <v>65</v>
      </c>
      <c r="AU24" s="1403"/>
      <c r="AV24" s="93" t="s">
        <v>11</v>
      </c>
      <c r="AW24" s="94" t="s">
        <v>60</v>
      </c>
      <c r="AX24" s="71" t="s">
        <v>61</v>
      </c>
      <c r="AY24" s="1402" t="s">
        <v>65</v>
      </c>
      <c r="AZ24" s="1403"/>
      <c r="BA24" s="93" t="s">
        <v>11</v>
      </c>
      <c r="BB24" s="94" t="s">
        <v>60</v>
      </c>
      <c r="BC24" s="71" t="s">
        <v>61</v>
      </c>
      <c r="BD24" s="1402" t="s">
        <v>65</v>
      </c>
      <c r="BE24" s="1403"/>
      <c r="BF24" s="93" t="s">
        <v>11</v>
      </c>
      <c r="BG24" s="94" t="s">
        <v>60</v>
      </c>
      <c r="BH24" s="72" t="s">
        <v>61</v>
      </c>
    </row>
    <row r="25" spans="1:60" s="102" customFormat="1" ht="20.100000000000001" customHeight="1" x14ac:dyDescent="0.4">
      <c r="A25" s="224">
        <v>0</v>
      </c>
      <c r="B25" s="31" t="str">
        <f>IFERROR(HLOOKUP(A$22,#REF!,SA_GRILLE_STEU!$A25+2,FALSE),"")</f>
        <v/>
      </c>
      <c r="C25" s="115" t="s">
        <v>124</v>
      </c>
      <c r="D25" s="97"/>
      <c r="E25" s="76" t="str">
        <f>IFERROR(HLOOKUP(A$22,#REF!,SA_GRILLE_STEU!$A25+2,FALSE),"")</f>
        <v/>
      </c>
      <c r="F25" s="224">
        <v>0</v>
      </c>
      <c r="G25" s="27" t="str">
        <f>IFERROR(HLOOKUP(F$22,#REF!,SA_GRILLE_STEU!$A25+2,FALSE),"")</f>
        <v/>
      </c>
      <c r="H25" s="115"/>
      <c r="I25" s="98"/>
      <c r="J25" s="76" t="str">
        <f>IFERROR(HLOOKUP(F$22,#REF!,SA_GRILLE_STEU!$A25+2,FALSE),"")</f>
        <v/>
      </c>
      <c r="K25" s="99">
        <v>0</v>
      </c>
      <c r="L25" s="31" t="str">
        <f>IFERROR(HLOOKUP(K$22,#REF!,SA_GRILLE_STEU!$A25+2,FALSE),"")</f>
        <v/>
      </c>
      <c r="M25" s="115"/>
      <c r="N25" s="98"/>
      <c r="O25" s="76" t="str">
        <f>IFERROR(HLOOKUP(K$22,#REF!,SA_GRILLE_STEU!$A25+2,FALSE),"")</f>
        <v/>
      </c>
      <c r="P25" s="99">
        <v>0</v>
      </c>
      <c r="Q25" s="31" t="str">
        <f>IFERROR(HLOOKUP(P$22,#REF!,SA_GRILLE_STEU!$A25+2,FALSE),"")</f>
        <v/>
      </c>
      <c r="R25" s="115"/>
      <c r="S25" s="98"/>
      <c r="T25" s="76" t="str">
        <f>IFERROR(HLOOKUP(P$22,#REF!,SA_GRILLE_STEU!$A25+2,FALSE),"")</f>
        <v/>
      </c>
      <c r="U25" s="99">
        <v>0</v>
      </c>
      <c r="V25" s="27" t="str">
        <f>IFERROR(HLOOKUP(U$22,#REF!,SA_GRILLE_STEU!$A25+2,FALSE),"")</f>
        <v/>
      </c>
      <c r="W25" s="115"/>
      <c r="X25" s="98"/>
      <c r="Y25" s="76" t="str">
        <f>IFERROR(HLOOKUP(U$22,#REF!,SA_GRILLE_STEU!$A25+2,FALSE),"")</f>
        <v/>
      </c>
      <c r="Z25" s="224">
        <v>0</v>
      </c>
      <c r="AA25" s="27" t="str">
        <f>IFERROR(HLOOKUP(Z$22,#REF!,SA_GRILLE_STEU!$A25+2,FALSE),"")</f>
        <v/>
      </c>
      <c r="AB25" s="115"/>
      <c r="AC25" s="98"/>
      <c r="AD25" s="76" t="str">
        <f>IFERROR(HLOOKUP(Z$22,#REF!,SA_GRILLE_STEU!$A25+2,FALSE),"")</f>
        <v/>
      </c>
      <c r="AE25" s="224">
        <v>0</v>
      </c>
      <c r="AF25" s="27" t="str">
        <f>IFERROR(HLOOKUP(AE$22,#REF!,SA_GRILLE_STEU!$A25+2,FALSE),"")</f>
        <v/>
      </c>
      <c r="AG25" s="115"/>
      <c r="AH25" s="98"/>
      <c r="AI25" s="76" t="str">
        <f>IFERROR(HLOOKUP(AE$22,#REF!,SA_GRILLE_STEU!$A25+2,FALSE),"")</f>
        <v/>
      </c>
      <c r="AJ25" s="224">
        <v>0</v>
      </c>
      <c r="AK25" s="34" t="str">
        <f>IFERROR(HLOOKUP(AJ$22,#REF!,SA_GRILLE_STEU!$A25+2,FALSE),"")</f>
        <v/>
      </c>
      <c r="AL25" s="126"/>
      <c r="AM25" s="100"/>
      <c r="AN25" s="76" t="str">
        <f>IFERROR(HLOOKUP(AJ$22,#REF!,SA_GRILLE_STEU!$A25+2,FALSE),"")</f>
        <v/>
      </c>
      <c r="AO25" s="224">
        <v>0</v>
      </c>
      <c r="AP25" s="27" t="str">
        <f>IFERROR(HLOOKUP(AO$22,#REF!,SA_GRILLE_STEU!$A25+2,FALSE),"")</f>
        <v/>
      </c>
      <c r="AQ25" s="115"/>
      <c r="AR25" s="100"/>
      <c r="AS25" s="76" t="str">
        <f>IFERROR(HLOOKUP(AO$22,#REF!,SA_GRILLE_STEU!$A25+2,FALSE),"")</f>
        <v/>
      </c>
      <c r="AT25" s="224">
        <v>0</v>
      </c>
      <c r="AU25" s="27" t="str">
        <f>IFERROR(HLOOKUP(AT$22,#REF!,SA_GRILLE_STEU!$A25+2,FALSE),"")</f>
        <v/>
      </c>
      <c r="AV25" s="115"/>
      <c r="AW25" s="100"/>
      <c r="AX25" s="76" t="str">
        <f>IFERROR(HLOOKUP(AT$22,#REF!,SA_GRILLE_STEU!$A25+2,FALSE),"")</f>
        <v/>
      </c>
      <c r="AY25" s="224">
        <v>0</v>
      </c>
      <c r="AZ25" s="34" t="str">
        <f>IFERROR(HLOOKUP(AY$22,#REF!,SA_GRILLE_STEU!$A25+2,FALSE),"")</f>
        <v/>
      </c>
      <c r="BA25" s="115"/>
      <c r="BB25" s="100"/>
      <c r="BC25" s="76" t="str">
        <f>IFERROR(HLOOKUP(AY$22,#REF!,SA_GRILLE_STEU!$A25+2,FALSE),"")</f>
        <v/>
      </c>
      <c r="BD25" s="224">
        <v>0</v>
      </c>
      <c r="BE25" s="27" t="str">
        <f>IFERROR(HLOOKUP(BD$22,#REF!,SA_GRILLE_STEU!$A25+2,FALSE),"")</f>
        <v/>
      </c>
      <c r="BF25" s="115"/>
      <c r="BG25" s="101"/>
      <c r="BH25" s="76" t="str">
        <f>IFERROR(HLOOKUP(BD$22,#REF!,SA_GRILLE_STEU!$A25+2,FALSE),"")</f>
        <v/>
      </c>
    </row>
    <row r="26" spans="1:60" s="102" customFormat="1" ht="30" customHeight="1" x14ac:dyDescent="0.4">
      <c r="A26" s="225">
        <v>1</v>
      </c>
      <c r="B26" s="32" t="str">
        <f>IFERROR(HLOOKUP(A$22,#REF!,SA_GRILLE_STEU!$A26+2,FALSE),"")</f>
        <v/>
      </c>
      <c r="C26" s="116" t="s">
        <v>167</v>
      </c>
      <c r="D26" s="74" t="str">
        <f>IFERROR(HLOOKUP(A$22,#REF!,SA_GRILLE_STEU!$A26+2,FALSE),"")</f>
        <v/>
      </c>
      <c r="E26" s="76" t="str">
        <f>IFERROR(HLOOKUP(A$22,#REF!,SA_GRILLE_STEU!$A26+2,FALSE),"")</f>
        <v/>
      </c>
      <c r="F26" s="225">
        <v>1</v>
      </c>
      <c r="G26" s="28" t="str">
        <f>IFERROR(HLOOKUP(F$22,#REF!,SA_GRILLE_STEU!$A26+2,FALSE),"")</f>
        <v/>
      </c>
      <c r="H26" s="116"/>
      <c r="I26" s="74" t="str">
        <f>IFERROR(HLOOKUP(F$22,#REF!,SA_GRILLE_STEU!$A26+2,FALSE),"")</f>
        <v/>
      </c>
      <c r="J26" s="76" t="str">
        <f>IFERROR(HLOOKUP(F$22,#REF!,SA_GRILLE_STEU!$A26+2,FALSE),"")</f>
        <v/>
      </c>
      <c r="K26" s="103">
        <v>1</v>
      </c>
      <c r="L26" s="32" t="str">
        <f>IFERROR(HLOOKUP(K$22,#REF!,SA_GRILLE_STEU!$A26+2,FALSE),"")</f>
        <v/>
      </c>
      <c r="M26" s="116"/>
      <c r="N26" s="74" t="str">
        <f>IFERROR(HLOOKUP(K$22,#REF!,SA_GRILLE_STEU!$A26+2,FALSE),"")</f>
        <v/>
      </c>
      <c r="O26" s="76" t="str">
        <f>IFERROR(HLOOKUP(K$22,#REF!,SA_GRILLE_STEU!$A26+2,FALSE),"")</f>
        <v/>
      </c>
      <c r="P26" s="103">
        <v>1</v>
      </c>
      <c r="Q26" s="32" t="str">
        <f>IFERROR(HLOOKUP(P$22,#REF!,SA_GRILLE_STEU!$A26+2,FALSE),"")</f>
        <v/>
      </c>
      <c r="R26" s="116"/>
      <c r="S26" s="74" t="str">
        <f>IFERROR(HLOOKUP(P$22,#REF!,SA_GRILLE_STEU!$A26+2,FALSE),"")</f>
        <v/>
      </c>
      <c r="T26" s="76" t="str">
        <f>IFERROR(HLOOKUP(P$22,#REF!,SA_GRILLE_STEU!$A26+2,FALSE),"")</f>
        <v/>
      </c>
      <c r="U26" s="103">
        <v>1</v>
      </c>
      <c r="V26" s="28" t="str">
        <f>IFERROR(HLOOKUP(U$22,#REF!,SA_GRILLE_STEU!$A26+2,FALSE),"")</f>
        <v/>
      </c>
      <c r="W26" s="116"/>
      <c r="X26" s="74" t="str">
        <f>IFERROR(HLOOKUP(U$22,#REF!,SA_GRILLE_STEU!$A26+2,FALSE),"")</f>
        <v/>
      </c>
      <c r="Y26" s="76" t="str">
        <f>IFERROR(HLOOKUP(U$22,#REF!,SA_GRILLE_STEU!$A26+2,FALSE),"")</f>
        <v/>
      </c>
      <c r="Z26" s="225">
        <v>1</v>
      </c>
      <c r="AA26" s="28" t="str">
        <f>IFERROR(HLOOKUP(Z$22,#REF!,SA_GRILLE_STEU!$A26+2,FALSE),"")</f>
        <v/>
      </c>
      <c r="AB26" s="116"/>
      <c r="AC26" s="74" t="str">
        <f>IFERROR(HLOOKUP(Z$22,#REF!,SA_GRILLE_STEU!$A26+2,FALSE),"")</f>
        <v/>
      </c>
      <c r="AD26" s="76" t="str">
        <f>IFERROR(HLOOKUP(Z$22,#REF!,SA_GRILLE_STEU!$A26+2,FALSE),"")</f>
        <v/>
      </c>
      <c r="AE26" s="225">
        <v>1</v>
      </c>
      <c r="AF26" s="28" t="str">
        <f>IFERROR(HLOOKUP(AE$22,#REF!,SA_GRILLE_STEU!$A26+2,FALSE),"")</f>
        <v/>
      </c>
      <c r="AG26" s="116"/>
      <c r="AH26" s="74" t="str">
        <f>IFERROR(HLOOKUP(AE$22,#REF!,SA_GRILLE_STEU!$A26+2,FALSE),"")</f>
        <v/>
      </c>
      <c r="AI26" s="76" t="str">
        <f>IFERROR(HLOOKUP(AE$22,#REF!,SA_GRILLE_STEU!$A26+2,FALSE),"")</f>
        <v/>
      </c>
      <c r="AJ26" s="225">
        <v>1</v>
      </c>
      <c r="AK26" s="35" t="str">
        <f>IFERROR(HLOOKUP(AJ$22,#REF!,SA_GRILLE_STEU!$A26+2,FALSE),"")</f>
        <v/>
      </c>
      <c r="AL26" s="127"/>
      <c r="AM26" s="74" t="str">
        <f>IFERROR(HLOOKUP(AJ$22,#REF!,SA_GRILLE_STEU!$A26+2,FALSE),"")</f>
        <v/>
      </c>
      <c r="AN26" s="76" t="str">
        <f>IFERROR(HLOOKUP(AJ$22,#REF!,SA_GRILLE_STEU!$A26+2,FALSE),"")</f>
        <v/>
      </c>
      <c r="AO26" s="225">
        <v>1</v>
      </c>
      <c r="AP26" s="28" t="str">
        <f>IFERROR(HLOOKUP(AO$22,#REF!,SA_GRILLE_STEU!$A26+2,FALSE),"")</f>
        <v/>
      </c>
      <c r="AQ26" s="116"/>
      <c r="AR26" s="74" t="str">
        <f>IFERROR(HLOOKUP(AO$22,#REF!,SA_GRILLE_STEU!$A26+2,FALSE),"")</f>
        <v/>
      </c>
      <c r="AS26" s="76" t="str">
        <f>IFERROR(HLOOKUP(AO$22,#REF!,SA_GRILLE_STEU!$A26+2,FALSE),"")</f>
        <v/>
      </c>
      <c r="AT26" s="225">
        <v>1</v>
      </c>
      <c r="AU26" s="28" t="str">
        <f>IFERROR(HLOOKUP(AT$22,#REF!,SA_GRILLE_STEU!$A26+2,FALSE),"")</f>
        <v/>
      </c>
      <c r="AV26" s="116"/>
      <c r="AW26" s="74" t="str">
        <f>IFERROR(HLOOKUP(AT$22,#REF!,SA_GRILLE_STEU!$A26+2,FALSE),"")</f>
        <v/>
      </c>
      <c r="AX26" s="76" t="str">
        <f>IFERROR(HLOOKUP(AT$22,#REF!,SA_GRILLE_STEU!$A26+2,FALSE),"")</f>
        <v/>
      </c>
      <c r="AY26" s="225">
        <v>1</v>
      </c>
      <c r="AZ26" s="35" t="str">
        <f>IFERROR(HLOOKUP(AY$22,#REF!,SA_GRILLE_STEU!$A26+2,FALSE),"")</f>
        <v/>
      </c>
      <c r="BA26" s="116"/>
      <c r="BB26" s="74" t="str">
        <f>IFERROR(HLOOKUP(AY$22,#REF!,SA_GRILLE_STEU!$A26+2,FALSE),"")</f>
        <v/>
      </c>
      <c r="BC26" s="76" t="str">
        <f>IFERROR(HLOOKUP(AY$22,#REF!,SA_GRILLE_STEU!$A26+2,FALSE),"")</f>
        <v/>
      </c>
      <c r="BD26" s="225">
        <v>1</v>
      </c>
      <c r="BE26" s="28" t="str">
        <f>IFERROR(HLOOKUP(BD$22,#REF!,SA_GRILLE_STEU!$A26+2,FALSE),"")</f>
        <v/>
      </c>
      <c r="BF26" s="116"/>
      <c r="BG26" s="77" t="str">
        <f>IFERROR(HLOOKUP(BD$22,#REF!,SA_GRILLE_STEU!$A26+2,FALSE),"")</f>
        <v/>
      </c>
      <c r="BH26" s="76" t="str">
        <f>IFERROR(HLOOKUP(BD$22,#REF!,SA_GRILLE_STEU!$A26+2,FALSE),"")</f>
        <v/>
      </c>
    </row>
    <row r="27" spans="1:60" s="102" customFormat="1" ht="20.100000000000001" customHeight="1" x14ac:dyDescent="0.4">
      <c r="A27" s="225">
        <v>2</v>
      </c>
      <c r="B27" s="32" t="str">
        <f>IFERROR(HLOOKUP(A$22,#REF!,SA_GRILLE_STEU!$A27+2,FALSE),"")</f>
        <v/>
      </c>
      <c r="C27" s="116"/>
      <c r="D27" s="74" t="str">
        <f>IFERROR(HLOOKUP(A$22,#REF!,SA_GRILLE_STEU!$A27+2,FALSE),"")</f>
        <v/>
      </c>
      <c r="E27" s="76" t="str">
        <f>IFERROR(HLOOKUP(A$22,#REF!,SA_GRILLE_STEU!$A27+2,FALSE),"")</f>
        <v/>
      </c>
      <c r="F27" s="225">
        <v>2</v>
      </c>
      <c r="G27" s="28" t="str">
        <f>IFERROR(HLOOKUP(F$22,#REF!,SA_GRILLE_STEU!$A27+2,FALSE),"")</f>
        <v/>
      </c>
      <c r="H27" s="116"/>
      <c r="I27" s="74" t="str">
        <f>IFERROR(HLOOKUP(F$22,#REF!,SA_GRILLE_STEU!$A27+2,FALSE),"")</f>
        <v/>
      </c>
      <c r="J27" s="76" t="str">
        <f>IFERROR(HLOOKUP(F$22,#REF!,SA_GRILLE_STEU!$A27+2,FALSE),"")</f>
        <v/>
      </c>
      <c r="K27" s="103">
        <v>2</v>
      </c>
      <c r="L27" s="32" t="str">
        <f>IFERROR(HLOOKUP(K$22,#REF!,SA_GRILLE_STEU!$A27+2,FALSE),"")</f>
        <v/>
      </c>
      <c r="M27" s="116"/>
      <c r="N27" s="74" t="str">
        <f>IFERROR(HLOOKUP(K$22,#REF!,SA_GRILLE_STEU!$A27+2,FALSE),"")</f>
        <v/>
      </c>
      <c r="O27" s="76" t="str">
        <f>IFERROR(HLOOKUP(K$22,#REF!,SA_GRILLE_STEU!$A27+2,FALSE),"")</f>
        <v/>
      </c>
      <c r="P27" s="103">
        <v>2</v>
      </c>
      <c r="Q27" s="32" t="str">
        <f>IFERROR(HLOOKUP(P$22,#REF!,SA_GRILLE_STEU!$A27+2,FALSE),"")</f>
        <v/>
      </c>
      <c r="R27" s="116"/>
      <c r="S27" s="74" t="str">
        <f>IFERROR(HLOOKUP(P$22,#REF!,SA_GRILLE_STEU!$A27+2,FALSE),"")</f>
        <v/>
      </c>
      <c r="T27" s="76" t="str">
        <f>IFERROR(HLOOKUP(P$22,#REF!,SA_GRILLE_STEU!$A27+2,FALSE),"")</f>
        <v/>
      </c>
      <c r="U27" s="103">
        <v>2</v>
      </c>
      <c r="V27" s="28" t="str">
        <f>IFERROR(HLOOKUP(U$22,#REF!,SA_GRILLE_STEU!$A27+2,FALSE),"")</f>
        <v/>
      </c>
      <c r="W27" s="116"/>
      <c r="X27" s="74" t="str">
        <f>IFERROR(HLOOKUP(U$22,#REF!,SA_GRILLE_STEU!$A27+2,FALSE),"")</f>
        <v/>
      </c>
      <c r="Y27" s="76" t="str">
        <f>IFERROR(HLOOKUP(U$22,#REF!,SA_GRILLE_STEU!$A27+2,FALSE),"")</f>
        <v/>
      </c>
      <c r="Z27" s="225">
        <v>2</v>
      </c>
      <c r="AA27" s="28" t="str">
        <f>IFERROR(HLOOKUP(Z$22,#REF!,SA_GRILLE_STEU!$A27+2,FALSE),"")</f>
        <v/>
      </c>
      <c r="AB27" s="116"/>
      <c r="AC27" s="74" t="str">
        <f>IFERROR(HLOOKUP(Z$22,#REF!,SA_GRILLE_STEU!$A27+2,FALSE),"")</f>
        <v/>
      </c>
      <c r="AD27" s="76" t="str">
        <f>IFERROR(HLOOKUP(Z$22,#REF!,SA_GRILLE_STEU!$A27+2,FALSE),"")</f>
        <v/>
      </c>
      <c r="AE27" s="225">
        <v>2</v>
      </c>
      <c r="AF27" s="28" t="str">
        <f>IFERROR(HLOOKUP(AE$22,#REF!,SA_GRILLE_STEU!$A27+2,FALSE),"")</f>
        <v/>
      </c>
      <c r="AG27" s="116"/>
      <c r="AH27" s="74" t="str">
        <f>IFERROR(HLOOKUP(AE$22,#REF!,SA_GRILLE_STEU!$A27+2,FALSE),"")</f>
        <v/>
      </c>
      <c r="AI27" s="76" t="str">
        <f>IFERROR(HLOOKUP(AE$22,#REF!,SA_GRILLE_STEU!$A27+2,FALSE),"")</f>
        <v/>
      </c>
      <c r="AJ27" s="225">
        <v>2</v>
      </c>
      <c r="AK27" s="35" t="str">
        <f>IFERROR(HLOOKUP(AJ$22,#REF!,SA_GRILLE_STEU!$A27+2,FALSE),"")</f>
        <v/>
      </c>
      <c r="AL27" s="127"/>
      <c r="AM27" s="74" t="str">
        <f>IFERROR(HLOOKUP(AJ$22,#REF!,SA_GRILLE_STEU!$A27+2,FALSE),"")</f>
        <v/>
      </c>
      <c r="AN27" s="76" t="str">
        <f>IFERROR(HLOOKUP(AJ$22,#REF!,SA_GRILLE_STEU!$A27+2,FALSE),"")</f>
        <v/>
      </c>
      <c r="AO27" s="225">
        <v>2</v>
      </c>
      <c r="AP27" s="28" t="str">
        <f>IFERROR(HLOOKUP(AO$22,#REF!,SA_GRILLE_STEU!$A27+2,FALSE),"")</f>
        <v/>
      </c>
      <c r="AQ27" s="116"/>
      <c r="AR27" s="74" t="str">
        <f>IFERROR(HLOOKUP(AO$22,#REF!,SA_GRILLE_STEU!$A27+2,FALSE),"")</f>
        <v/>
      </c>
      <c r="AS27" s="76" t="str">
        <f>IFERROR(HLOOKUP(AO$22,#REF!,SA_GRILLE_STEU!$A27+2,FALSE),"")</f>
        <v/>
      </c>
      <c r="AT27" s="225">
        <v>2</v>
      </c>
      <c r="AU27" s="28" t="str">
        <f>IFERROR(HLOOKUP(AT$22,#REF!,SA_GRILLE_STEU!$A27+2,FALSE),"")</f>
        <v/>
      </c>
      <c r="AV27" s="116"/>
      <c r="AW27" s="74" t="str">
        <f>IFERROR(HLOOKUP(AT$22,#REF!,SA_GRILLE_STEU!$A27+2,FALSE),"")</f>
        <v/>
      </c>
      <c r="AX27" s="76" t="str">
        <f>IFERROR(HLOOKUP(AT$22,#REF!,SA_GRILLE_STEU!$A27+2,FALSE),"")</f>
        <v/>
      </c>
      <c r="AY27" s="225">
        <v>2</v>
      </c>
      <c r="AZ27" s="35" t="str">
        <f>IFERROR(HLOOKUP(AY$22,#REF!,SA_GRILLE_STEU!$A27+2,FALSE),"")</f>
        <v/>
      </c>
      <c r="BA27" s="116"/>
      <c r="BB27" s="74" t="str">
        <f>IFERROR(HLOOKUP(AY$22,#REF!,SA_GRILLE_STEU!$A27+2,FALSE),"")</f>
        <v/>
      </c>
      <c r="BC27" s="76" t="str">
        <f>IFERROR(HLOOKUP(AY$22,#REF!,SA_GRILLE_STEU!$A27+2,FALSE),"")</f>
        <v/>
      </c>
      <c r="BD27" s="225">
        <v>2</v>
      </c>
      <c r="BE27" s="28" t="str">
        <f>IFERROR(HLOOKUP(BD$22,#REF!,SA_GRILLE_STEU!$A27+2,FALSE),"")</f>
        <v/>
      </c>
      <c r="BF27" s="116"/>
      <c r="BG27" s="77" t="str">
        <f>IFERROR(HLOOKUP(BD$22,#REF!,SA_GRILLE_STEU!$A27+2,FALSE),"")</f>
        <v/>
      </c>
      <c r="BH27" s="76" t="str">
        <f>IFERROR(HLOOKUP(BD$22,#REF!,SA_GRILLE_STEU!$A27+2,FALSE),"")</f>
        <v/>
      </c>
    </row>
    <row r="28" spans="1:60" s="102" customFormat="1" ht="30" customHeight="1" x14ac:dyDescent="0.4">
      <c r="A28" s="225">
        <v>3</v>
      </c>
      <c r="B28" s="32" t="str">
        <f>IFERROR(HLOOKUP(A$22,#REF!,SA_GRILLE_STEU!$A28+2,FALSE),"")</f>
        <v/>
      </c>
      <c r="C28" s="116"/>
      <c r="D28" s="74" t="str">
        <f>IFERROR(HLOOKUP(A$22,#REF!,SA_GRILLE_STEU!$A28+2,FALSE),"")</f>
        <v/>
      </c>
      <c r="E28" s="76" t="str">
        <f>IFERROR(HLOOKUP(A$22,#REF!,SA_GRILLE_STEU!$A28+2,FALSE),"")</f>
        <v/>
      </c>
      <c r="F28" s="225">
        <v>3</v>
      </c>
      <c r="G28" s="28" t="str">
        <f>IFERROR(HLOOKUP(F$22,#REF!,SA_GRILLE_STEU!$A28+2,FALSE),"")</f>
        <v/>
      </c>
      <c r="H28" s="116"/>
      <c r="I28" s="74" t="str">
        <f>IFERROR(HLOOKUP(F$22,#REF!,SA_GRILLE_STEU!$A28+2,FALSE),"")</f>
        <v/>
      </c>
      <c r="J28" s="76" t="str">
        <f>IFERROR(HLOOKUP(F$22,#REF!,SA_GRILLE_STEU!$A28+2,FALSE),"")</f>
        <v/>
      </c>
      <c r="K28" s="103">
        <v>3</v>
      </c>
      <c r="L28" s="32" t="str">
        <f>IFERROR(HLOOKUP(K$22,#REF!,SA_GRILLE_STEU!$A28+2,FALSE),"")</f>
        <v/>
      </c>
      <c r="M28" s="116"/>
      <c r="N28" s="74" t="str">
        <f>IFERROR(HLOOKUP(K$22,#REF!,SA_GRILLE_STEU!$A28+2,FALSE),"")</f>
        <v/>
      </c>
      <c r="O28" s="76" t="str">
        <f>IFERROR(HLOOKUP(K$22,#REF!,SA_GRILLE_STEU!$A28+2,FALSE),"")</f>
        <v/>
      </c>
      <c r="P28" s="103">
        <v>3</v>
      </c>
      <c r="Q28" s="32" t="str">
        <f>IFERROR(HLOOKUP(P$22,#REF!,SA_GRILLE_STEU!$A28+2,FALSE),"")</f>
        <v/>
      </c>
      <c r="R28" s="116"/>
      <c r="S28" s="74" t="str">
        <f>IFERROR(HLOOKUP(P$22,#REF!,SA_GRILLE_STEU!$A28+2,FALSE),"")</f>
        <v/>
      </c>
      <c r="T28" s="76" t="str">
        <f>IFERROR(HLOOKUP(P$22,#REF!,SA_GRILLE_STEU!$A28+2,FALSE),"")</f>
        <v/>
      </c>
      <c r="U28" s="103">
        <v>3</v>
      </c>
      <c r="V28" s="28" t="str">
        <f>IFERROR(HLOOKUP(U$22,#REF!,SA_GRILLE_STEU!$A28+2,FALSE),"")</f>
        <v/>
      </c>
      <c r="W28" s="116"/>
      <c r="X28" s="74" t="str">
        <f>IFERROR(HLOOKUP(U$22,#REF!,SA_GRILLE_STEU!$A28+2,FALSE),"")</f>
        <v/>
      </c>
      <c r="Y28" s="76" t="str">
        <f>IFERROR(HLOOKUP(U$22,#REF!,SA_GRILLE_STEU!$A28+2,FALSE),"")</f>
        <v/>
      </c>
      <c r="Z28" s="225">
        <v>3</v>
      </c>
      <c r="AA28" s="28" t="str">
        <f>IFERROR(HLOOKUP(Z$22,#REF!,SA_GRILLE_STEU!$A28+2,FALSE),"")</f>
        <v/>
      </c>
      <c r="AB28" s="116"/>
      <c r="AC28" s="74" t="str">
        <f>IFERROR(HLOOKUP(Z$22,#REF!,SA_GRILLE_STEU!$A28+2,FALSE),"")</f>
        <v/>
      </c>
      <c r="AD28" s="76" t="str">
        <f>IFERROR(HLOOKUP(Z$22,#REF!,SA_GRILLE_STEU!$A28+2,FALSE),"")</f>
        <v/>
      </c>
      <c r="AE28" s="225">
        <v>3</v>
      </c>
      <c r="AF28" s="28" t="str">
        <f>IFERROR(HLOOKUP(AE$22,#REF!,SA_GRILLE_STEU!$A28+2,FALSE),"")</f>
        <v/>
      </c>
      <c r="AG28" s="116"/>
      <c r="AH28" s="74" t="str">
        <f>IFERROR(HLOOKUP(AE$22,#REF!,SA_GRILLE_STEU!$A28+2,FALSE),"")</f>
        <v/>
      </c>
      <c r="AI28" s="76" t="str">
        <f>IFERROR(HLOOKUP(AE$22,#REF!,SA_GRILLE_STEU!$A28+2,FALSE),"")</f>
        <v/>
      </c>
      <c r="AJ28" s="225">
        <v>3</v>
      </c>
      <c r="AK28" s="35" t="str">
        <f>IFERROR(HLOOKUP(AJ$22,#REF!,SA_GRILLE_STEU!$A28+2,FALSE),"")</f>
        <v/>
      </c>
      <c r="AL28" s="127"/>
      <c r="AM28" s="74" t="str">
        <f>IFERROR(HLOOKUP(AJ$22,#REF!,SA_GRILLE_STEU!$A28+2,FALSE),"")</f>
        <v/>
      </c>
      <c r="AN28" s="76" t="str">
        <f>IFERROR(HLOOKUP(AJ$22,#REF!,SA_GRILLE_STEU!$A28+2,FALSE),"")</f>
        <v/>
      </c>
      <c r="AO28" s="225">
        <v>3</v>
      </c>
      <c r="AP28" s="28" t="str">
        <f>IFERROR(HLOOKUP(AO$22,#REF!,SA_GRILLE_STEU!$A28+2,FALSE),"")</f>
        <v/>
      </c>
      <c r="AQ28" s="116"/>
      <c r="AR28" s="74" t="str">
        <f>IFERROR(HLOOKUP(AO$22,#REF!,SA_GRILLE_STEU!$A28+2,FALSE),"")</f>
        <v/>
      </c>
      <c r="AS28" s="76" t="str">
        <f>IFERROR(HLOOKUP(AO$22,#REF!,SA_GRILLE_STEU!$A28+2,FALSE),"")</f>
        <v/>
      </c>
      <c r="AT28" s="225">
        <v>3</v>
      </c>
      <c r="AU28" s="28" t="str">
        <f>IFERROR(HLOOKUP(AT$22,#REF!,SA_GRILLE_STEU!$A28+2,FALSE),"")</f>
        <v/>
      </c>
      <c r="AV28" s="116"/>
      <c r="AW28" s="74" t="str">
        <f>IFERROR(HLOOKUP(AT$22,#REF!,SA_GRILLE_STEU!$A28+2,FALSE),"")</f>
        <v/>
      </c>
      <c r="AX28" s="76" t="str">
        <f>IFERROR(HLOOKUP(AT$22,#REF!,SA_GRILLE_STEU!$A28+2,FALSE),"")</f>
        <v/>
      </c>
      <c r="AY28" s="225">
        <v>3</v>
      </c>
      <c r="AZ28" s="35" t="str">
        <f>IFERROR(HLOOKUP(AY$22,#REF!,SA_GRILLE_STEU!$A28+2,FALSE),"")</f>
        <v/>
      </c>
      <c r="BA28" s="116"/>
      <c r="BB28" s="74" t="str">
        <f>IFERROR(HLOOKUP(AY$22,#REF!,SA_GRILLE_STEU!$A28+2,FALSE),"")</f>
        <v/>
      </c>
      <c r="BC28" s="76" t="str">
        <f>IFERROR(HLOOKUP(AY$22,#REF!,SA_GRILLE_STEU!$A28+2,FALSE),"")</f>
        <v/>
      </c>
      <c r="BD28" s="225">
        <v>3</v>
      </c>
      <c r="BE28" s="28" t="str">
        <f>IFERROR(HLOOKUP(BD$22,#REF!,SA_GRILLE_STEU!$A28+2,FALSE),"")</f>
        <v/>
      </c>
      <c r="BF28" s="116"/>
      <c r="BG28" s="77" t="str">
        <f>IFERROR(HLOOKUP(BD$22,#REF!,SA_GRILLE_STEU!$A28+2,FALSE),"")</f>
        <v/>
      </c>
      <c r="BH28" s="76" t="str">
        <f>IFERROR(HLOOKUP(BD$22,#REF!,SA_GRILLE_STEU!$A28+2,FALSE),"")</f>
        <v/>
      </c>
    </row>
    <row r="29" spans="1:60" s="102" customFormat="1" ht="20.100000000000001" customHeight="1" x14ac:dyDescent="0.4">
      <c r="A29" s="225">
        <v>4</v>
      </c>
      <c r="B29" s="32" t="str">
        <f>IFERROR(HLOOKUP(A$22,#REF!,SA_GRILLE_STEU!$A29+2,FALSE),"")</f>
        <v/>
      </c>
      <c r="C29" s="116"/>
      <c r="D29" s="74" t="str">
        <f>IFERROR(HLOOKUP(A$22,#REF!,SA_GRILLE_STEU!$A29+2,FALSE),"")</f>
        <v/>
      </c>
      <c r="E29" s="76" t="str">
        <f>IFERROR(HLOOKUP(A$22,#REF!,SA_GRILLE_STEU!$A29+2,FALSE),"")</f>
        <v/>
      </c>
      <c r="F29" s="225">
        <v>4</v>
      </c>
      <c r="G29" s="28" t="str">
        <f>IFERROR(HLOOKUP(F$22,#REF!,SA_GRILLE_STEU!$A29+2,FALSE),"")</f>
        <v/>
      </c>
      <c r="H29" s="116"/>
      <c r="I29" s="74" t="str">
        <f>IFERROR(HLOOKUP(F$22,#REF!,SA_GRILLE_STEU!$A29+2,FALSE),"")</f>
        <v/>
      </c>
      <c r="J29" s="76" t="str">
        <f>IFERROR(HLOOKUP(F$22,#REF!,SA_GRILLE_STEU!$A29+2,FALSE),"")</f>
        <v/>
      </c>
      <c r="K29" s="103">
        <v>4</v>
      </c>
      <c r="L29" s="32" t="str">
        <f>IFERROR(HLOOKUP(K$22,#REF!,SA_GRILLE_STEU!$A29+2,FALSE),"")</f>
        <v/>
      </c>
      <c r="M29" s="116"/>
      <c r="N29" s="74" t="str">
        <f>IFERROR(HLOOKUP(K$22,#REF!,SA_GRILLE_STEU!$A29+2,FALSE),"")</f>
        <v/>
      </c>
      <c r="O29" s="76" t="str">
        <f>IFERROR(HLOOKUP(K$22,#REF!,SA_GRILLE_STEU!$A29+2,FALSE),"")</f>
        <v/>
      </c>
      <c r="P29" s="103">
        <v>4</v>
      </c>
      <c r="Q29" s="32" t="str">
        <f>IFERROR(HLOOKUP(P$22,#REF!,SA_GRILLE_STEU!$A29+2,FALSE),"")</f>
        <v/>
      </c>
      <c r="R29" s="116"/>
      <c r="S29" s="74" t="str">
        <f>IFERROR(HLOOKUP(P$22,#REF!,SA_GRILLE_STEU!$A29+2,FALSE),"")</f>
        <v/>
      </c>
      <c r="T29" s="76" t="str">
        <f>IFERROR(HLOOKUP(P$22,#REF!,SA_GRILLE_STEU!$A29+2,FALSE),"")</f>
        <v/>
      </c>
      <c r="U29" s="103">
        <v>4</v>
      </c>
      <c r="V29" s="28" t="str">
        <f>IFERROR(HLOOKUP(U$22,#REF!,SA_GRILLE_STEU!$A29+2,FALSE),"")</f>
        <v/>
      </c>
      <c r="W29" s="116"/>
      <c r="X29" s="74" t="str">
        <f>IFERROR(HLOOKUP(U$22,#REF!,SA_GRILLE_STEU!$A29+2,FALSE),"")</f>
        <v/>
      </c>
      <c r="Y29" s="76" t="str">
        <f>IFERROR(HLOOKUP(U$22,#REF!,SA_GRILLE_STEU!$A29+2,FALSE),"")</f>
        <v/>
      </c>
      <c r="Z29" s="225">
        <v>4</v>
      </c>
      <c r="AA29" s="28" t="str">
        <f>IFERROR(HLOOKUP(Z$22,#REF!,SA_GRILLE_STEU!$A29+2,FALSE),"")</f>
        <v/>
      </c>
      <c r="AB29" s="116"/>
      <c r="AC29" s="74" t="str">
        <f>IFERROR(HLOOKUP(Z$22,#REF!,SA_GRILLE_STEU!$A29+2,FALSE),"")</f>
        <v/>
      </c>
      <c r="AD29" s="76" t="str">
        <f>IFERROR(HLOOKUP(Z$22,#REF!,SA_GRILLE_STEU!$A29+2,FALSE),"")</f>
        <v/>
      </c>
      <c r="AE29" s="225">
        <v>4</v>
      </c>
      <c r="AF29" s="28" t="str">
        <f>IFERROR(HLOOKUP(AE$22,#REF!,SA_GRILLE_STEU!$A29+2,FALSE),"")</f>
        <v/>
      </c>
      <c r="AG29" s="116"/>
      <c r="AH29" s="74" t="str">
        <f>IFERROR(HLOOKUP(AE$22,#REF!,SA_GRILLE_STEU!$A29+2,FALSE),"")</f>
        <v/>
      </c>
      <c r="AI29" s="76" t="str">
        <f>IFERROR(HLOOKUP(AE$22,#REF!,SA_GRILLE_STEU!$A29+2,FALSE),"")</f>
        <v/>
      </c>
      <c r="AJ29" s="225">
        <v>4</v>
      </c>
      <c r="AK29" s="35" t="str">
        <f>IFERROR(HLOOKUP(AJ$22,#REF!,SA_GRILLE_STEU!$A29+2,FALSE),"")</f>
        <v/>
      </c>
      <c r="AL29" s="127"/>
      <c r="AM29" s="74" t="str">
        <f>IFERROR(HLOOKUP(AJ$22,#REF!,SA_GRILLE_STEU!$A29+2,FALSE),"")</f>
        <v/>
      </c>
      <c r="AN29" s="76" t="str">
        <f>IFERROR(HLOOKUP(AJ$22,#REF!,SA_GRILLE_STEU!$A29+2,FALSE),"")</f>
        <v/>
      </c>
      <c r="AO29" s="225">
        <v>4</v>
      </c>
      <c r="AP29" s="28" t="str">
        <f>IFERROR(HLOOKUP(AO$22,#REF!,SA_GRILLE_STEU!$A29+2,FALSE),"")</f>
        <v/>
      </c>
      <c r="AQ29" s="116"/>
      <c r="AR29" s="74" t="str">
        <f>IFERROR(HLOOKUP(AO$22,#REF!,SA_GRILLE_STEU!$A29+2,FALSE),"")</f>
        <v/>
      </c>
      <c r="AS29" s="76" t="str">
        <f>IFERROR(HLOOKUP(AO$22,#REF!,SA_GRILLE_STEU!$A29+2,FALSE),"")</f>
        <v/>
      </c>
      <c r="AT29" s="225">
        <v>4</v>
      </c>
      <c r="AU29" s="28" t="str">
        <f>IFERROR(HLOOKUP(AT$22,#REF!,SA_GRILLE_STEU!$A29+2,FALSE),"")</f>
        <v/>
      </c>
      <c r="AV29" s="116"/>
      <c r="AW29" s="74" t="str">
        <f>IFERROR(HLOOKUP(AT$22,#REF!,SA_GRILLE_STEU!$A29+2,FALSE),"")</f>
        <v/>
      </c>
      <c r="AX29" s="76" t="str">
        <f>IFERROR(HLOOKUP(AT$22,#REF!,SA_GRILLE_STEU!$A29+2,FALSE),"")</f>
        <v/>
      </c>
      <c r="AY29" s="225">
        <v>4</v>
      </c>
      <c r="AZ29" s="35" t="str">
        <f>IFERROR(HLOOKUP(AY$22,#REF!,SA_GRILLE_STEU!$A29+2,FALSE),"")</f>
        <v/>
      </c>
      <c r="BA29" s="116"/>
      <c r="BB29" s="74" t="str">
        <f>IFERROR(HLOOKUP(AY$22,#REF!,SA_GRILLE_STEU!$A29+2,FALSE),"")</f>
        <v/>
      </c>
      <c r="BC29" s="76" t="str">
        <f>IFERROR(HLOOKUP(AY$22,#REF!,SA_GRILLE_STEU!$A29+2,FALSE),"")</f>
        <v/>
      </c>
      <c r="BD29" s="225">
        <v>4</v>
      </c>
      <c r="BE29" s="28" t="str">
        <f>IFERROR(HLOOKUP(BD$22,#REF!,SA_GRILLE_STEU!$A29+2,FALSE),"")</f>
        <v/>
      </c>
      <c r="BF29" s="116"/>
      <c r="BG29" s="77" t="str">
        <f>IFERROR(HLOOKUP(BD$22,#REF!,SA_GRILLE_STEU!$A29+2,FALSE),"")</f>
        <v/>
      </c>
      <c r="BH29" s="76" t="str">
        <f>IFERROR(HLOOKUP(BD$22,#REF!,SA_GRILLE_STEU!$A29+2,FALSE),"")</f>
        <v/>
      </c>
    </row>
    <row r="30" spans="1:60" s="102" customFormat="1" ht="20.100000000000001" customHeight="1" x14ac:dyDescent="0.4">
      <c r="A30" s="225">
        <v>5</v>
      </c>
      <c r="B30" s="32" t="str">
        <f>IFERROR(HLOOKUP(A$22,#REF!,SA_GRILLE_STEU!$A30+2,FALSE),"")</f>
        <v/>
      </c>
      <c r="C30" s="116"/>
      <c r="D30" s="74" t="str">
        <f>IFERROR(HLOOKUP(A$22,#REF!,SA_GRILLE_STEU!$A30+2,FALSE),"")</f>
        <v/>
      </c>
      <c r="E30" s="76" t="str">
        <f>IFERROR(HLOOKUP(A$22,#REF!,SA_GRILLE_STEU!$A30+2,FALSE),"")</f>
        <v/>
      </c>
      <c r="F30" s="225">
        <v>5</v>
      </c>
      <c r="G30" s="28" t="str">
        <f>IFERROR(HLOOKUP(F$22,#REF!,SA_GRILLE_STEU!$A30+2,FALSE),"")</f>
        <v/>
      </c>
      <c r="H30" s="116"/>
      <c r="I30" s="74" t="str">
        <f>IFERROR(HLOOKUP(F$22,#REF!,SA_GRILLE_STEU!$A30+2,FALSE),"")</f>
        <v/>
      </c>
      <c r="J30" s="76" t="str">
        <f>IFERROR(HLOOKUP(F$22,#REF!,SA_GRILLE_STEU!$A30+2,FALSE),"")</f>
        <v/>
      </c>
      <c r="K30" s="103">
        <v>5</v>
      </c>
      <c r="L30" s="32" t="str">
        <f>IFERROR(HLOOKUP(K$22,#REF!,SA_GRILLE_STEU!$A30+2,FALSE),"")</f>
        <v/>
      </c>
      <c r="M30" s="116"/>
      <c r="N30" s="74" t="str">
        <f>IFERROR(HLOOKUP(K$22,#REF!,SA_GRILLE_STEU!$A30+2,FALSE),"")</f>
        <v/>
      </c>
      <c r="O30" s="76" t="str">
        <f>IFERROR(HLOOKUP(K$22,#REF!,SA_GRILLE_STEU!$A30+2,FALSE),"")</f>
        <v/>
      </c>
      <c r="P30" s="103">
        <v>5</v>
      </c>
      <c r="Q30" s="32" t="str">
        <f>IFERROR(HLOOKUP(P$22,#REF!,SA_GRILLE_STEU!$A30+2,FALSE),"")</f>
        <v/>
      </c>
      <c r="R30" s="116"/>
      <c r="S30" s="74" t="str">
        <f>IFERROR(HLOOKUP(P$22,#REF!,SA_GRILLE_STEU!$A30+2,FALSE),"")</f>
        <v/>
      </c>
      <c r="T30" s="76" t="str">
        <f>IFERROR(HLOOKUP(P$22,#REF!,SA_GRILLE_STEU!$A30+2,FALSE),"")</f>
        <v/>
      </c>
      <c r="U30" s="103">
        <v>5</v>
      </c>
      <c r="V30" s="28" t="str">
        <f>IFERROR(HLOOKUP(U$22,#REF!,SA_GRILLE_STEU!$A30+2,FALSE),"")</f>
        <v/>
      </c>
      <c r="W30" s="116"/>
      <c r="X30" s="74" t="str">
        <f>IFERROR(HLOOKUP(U$22,#REF!,SA_GRILLE_STEU!$A30+2,FALSE),"")</f>
        <v/>
      </c>
      <c r="Y30" s="76" t="str">
        <f>IFERROR(HLOOKUP(U$22,#REF!,SA_GRILLE_STEU!$A30+2,FALSE),"")</f>
        <v/>
      </c>
      <c r="Z30" s="225">
        <v>5</v>
      </c>
      <c r="AA30" s="28" t="str">
        <f>IFERROR(HLOOKUP(Z$22,#REF!,SA_GRILLE_STEU!$A30+2,FALSE),"")</f>
        <v/>
      </c>
      <c r="AB30" s="116"/>
      <c r="AC30" s="74" t="str">
        <f>IFERROR(HLOOKUP(Z$22,#REF!,SA_GRILLE_STEU!$A30+2,FALSE),"")</f>
        <v/>
      </c>
      <c r="AD30" s="76" t="str">
        <f>IFERROR(HLOOKUP(Z$22,#REF!,SA_GRILLE_STEU!$A30+2,FALSE),"")</f>
        <v/>
      </c>
      <c r="AE30" s="225">
        <v>5</v>
      </c>
      <c r="AF30" s="28" t="str">
        <f>IFERROR(HLOOKUP(AE$22,#REF!,SA_GRILLE_STEU!$A30+2,FALSE),"")</f>
        <v/>
      </c>
      <c r="AG30" s="116"/>
      <c r="AH30" s="74" t="str">
        <f>IFERROR(HLOOKUP(AE$22,#REF!,SA_GRILLE_STEU!$A30+2,FALSE),"")</f>
        <v/>
      </c>
      <c r="AI30" s="76" t="str">
        <f>IFERROR(HLOOKUP(AE$22,#REF!,SA_GRILLE_STEU!$A30+2,FALSE),"")</f>
        <v/>
      </c>
      <c r="AJ30" s="225">
        <v>5</v>
      </c>
      <c r="AK30" s="35" t="str">
        <f>IFERROR(HLOOKUP(AJ$22,#REF!,SA_GRILLE_STEU!$A30+2,FALSE),"")</f>
        <v/>
      </c>
      <c r="AL30" s="127"/>
      <c r="AM30" s="74" t="str">
        <f>IFERROR(HLOOKUP(AJ$22,#REF!,SA_GRILLE_STEU!$A30+2,FALSE),"")</f>
        <v/>
      </c>
      <c r="AN30" s="76" t="str">
        <f>IFERROR(HLOOKUP(AJ$22,#REF!,SA_GRILLE_STEU!$A30+2,FALSE),"")</f>
        <v/>
      </c>
      <c r="AO30" s="225">
        <v>5</v>
      </c>
      <c r="AP30" s="28" t="str">
        <f>IFERROR(HLOOKUP(AO$22,#REF!,SA_GRILLE_STEU!$A30+2,FALSE),"")</f>
        <v/>
      </c>
      <c r="AQ30" s="116"/>
      <c r="AR30" s="74" t="str">
        <f>IFERROR(HLOOKUP(AO$22,#REF!,SA_GRILLE_STEU!$A30+2,FALSE),"")</f>
        <v/>
      </c>
      <c r="AS30" s="76" t="str">
        <f>IFERROR(HLOOKUP(AO$22,#REF!,SA_GRILLE_STEU!$A30+2,FALSE),"")</f>
        <v/>
      </c>
      <c r="AT30" s="225">
        <v>5</v>
      </c>
      <c r="AU30" s="28" t="str">
        <f>IFERROR(HLOOKUP(AT$22,#REF!,SA_GRILLE_STEU!$A30+2,FALSE),"")</f>
        <v/>
      </c>
      <c r="AV30" s="116"/>
      <c r="AW30" s="74" t="str">
        <f>IFERROR(HLOOKUP(AT$22,#REF!,SA_GRILLE_STEU!$A30+2,FALSE),"")</f>
        <v/>
      </c>
      <c r="AX30" s="76" t="str">
        <f>IFERROR(HLOOKUP(AT$22,#REF!,SA_GRILLE_STEU!$A30+2,FALSE),"")</f>
        <v/>
      </c>
      <c r="AY30" s="225">
        <v>5</v>
      </c>
      <c r="AZ30" s="35" t="str">
        <f>IFERROR(HLOOKUP(AY$22,#REF!,SA_GRILLE_STEU!$A30+2,FALSE),"")</f>
        <v/>
      </c>
      <c r="BA30" s="116"/>
      <c r="BB30" s="74" t="str">
        <f>IFERROR(HLOOKUP(AY$22,#REF!,SA_GRILLE_STEU!$A30+2,FALSE),"")</f>
        <v/>
      </c>
      <c r="BC30" s="76" t="str">
        <f>IFERROR(HLOOKUP(AY$22,#REF!,SA_GRILLE_STEU!$A30+2,FALSE),"")</f>
        <v/>
      </c>
      <c r="BD30" s="225">
        <v>5</v>
      </c>
      <c r="BE30" s="28" t="str">
        <f>IFERROR(HLOOKUP(BD$22,#REF!,SA_GRILLE_STEU!$A30+2,FALSE),"")</f>
        <v/>
      </c>
      <c r="BF30" s="116"/>
      <c r="BG30" s="77" t="str">
        <f>IFERROR(HLOOKUP(BD$22,#REF!,SA_GRILLE_STEU!$A30+2,FALSE),"")</f>
        <v/>
      </c>
      <c r="BH30" s="76" t="str">
        <f>IFERROR(HLOOKUP(BD$22,#REF!,SA_GRILLE_STEU!$A30+2,FALSE),"")</f>
        <v/>
      </c>
    </row>
    <row r="31" spans="1:60" s="102" customFormat="1" ht="36" customHeight="1" x14ac:dyDescent="0.4">
      <c r="A31" s="225">
        <v>6</v>
      </c>
      <c r="B31" s="32" t="str">
        <f>IFERROR(HLOOKUP(A$22,#REF!,SA_GRILLE_STEU!$A31+2,FALSE),"")</f>
        <v/>
      </c>
      <c r="C31" s="116"/>
      <c r="D31" s="74" t="str">
        <f>IFERROR(HLOOKUP(A$22,#REF!,SA_GRILLE_STEU!$A31+2,FALSE),"")</f>
        <v/>
      </c>
      <c r="E31" s="76" t="str">
        <f>IFERROR(HLOOKUP(A$22,#REF!,SA_GRILLE_STEU!$A31+2,FALSE),"")</f>
        <v/>
      </c>
      <c r="F31" s="225">
        <v>6</v>
      </c>
      <c r="G31" s="28" t="str">
        <f>IFERROR(HLOOKUP(F$22,#REF!,SA_GRILLE_STEU!$A31+2,FALSE),"")</f>
        <v/>
      </c>
      <c r="H31" s="116"/>
      <c r="I31" s="74" t="str">
        <f>IFERROR(HLOOKUP(F$22,#REF!,SA_GRILLE_STEU!$A31+2,FALSE),"")</f>
        <v/>
      </c>
      <c r="J31" s="76" t="str">
        <f>IFERROR(HLOOKUP(F$22,#REF!,SA_GRILLE_STEU!$A31+2,FALSE),"")</f>
        <v/>
      </c>
      <c r="K31" s="103">
        <v>6</v>
      </c>
      <c r="L31" s="32" t="str">
        <f>IFERROR(HLOOKUP(K$22,#REF!,SA_GRILLE_STEU!$A31+2,FALSE),"")</f>
        <v/>
      </c>
      <c r="M31" s="116"/>
      <c r="N31" s="74" t="str">
        <f>IFERROR(HLOOKUP(K$22,#REF!,SA_GRILLE_STEU!$A31+2,FALSE),"")</f>
        <v/>
      </c>
      <c r="O31" s="76" t="str">
        <f>IFERROR(HLOOKUP(K$22,#REF!,SA_GRILLE_STEU!$A31+2,FALSE),"")</f>
        <v/>
      </c>
      <c r="P31" s="103">
        <v>6</v>
      </c>
      <c r="Q31" s="32" t="str">
        <f>IFERROR(HLOOKUP(P$22,#REF!,SA_GRILLE_STEU!$A31+2,FALSE),"")</f>
        <v/>
      </c>
      <c r="R31" s="116"/>
      <c r="S31" s="74" t="str">
        <f>IFERROR(HLOOKUP(P$22,#REF!,SA_GRILLE_STEU!$A31+2,FALSE),"")</f>
        <v/>
      </c>
      <c r="T31" s="76" t="str">
        <f>IFERROR(HLOOKUP(P$22,#REF!,SA_GRILLE_STEU!$A31+2,FALSE),"")</f>
        <v/>
      </c>
      <c r="U31" s="103">
        <v>6</v>
      </c>
      <c r="V31" s="28" t="str">
        <f>IFERROR(HLOOKUP(U$22,#REF!,SA_GRILLE_STEU!$A31+2,FALSE),"")</f>
        <v/>
      </c>
      <c r="W31" s="116"/>
      <c r="X31" s="74" t="str">
        <f>IFERROR(HLOOKUP(U$22,#REF!,SA_GRILLE_STEU!$A31+2,FALSE),"")</f>
        <v/>
      </c>
      <c r="Y31" s="76" t="str">
        <f>IFERROR(HLOOKUP(U$22,#REF!,SA_GRILLE_STEU!$A31+2,FALSE),"")</f>
        <v/>
      </c>
      <c r="Z31" s="225">
        <v>6</v>
      </c>
      <c r="AA31" s="28" t="str">
        <f>IFERROR(HLOOKUP(Z$22,#REF!,SA_GRILLE_STEU!$A31+2,FALSE),"")</f>
        <v/>
      </c>
      <c r="AB31" s="116"/>
      <c r="AC31" s="74" t="str">
        <f>IFERROR(HLOOKUP(Z$22,#REF!,SA_GRILLE_STEU!$A31+2,FALSE),"")</f>
        <v/>
      </c>
      <c r="AD31" s="76" t="str">
        <f>IFERROR(HLOOKUP(Z$22,#REF!,SA_GRILLE_STEU!$A31+2,FALSE),"")</f>
        <v/>
      </c>
      <c r="AE31" s="225">
        <v>6</v>
      </c>
      <c r="AF31" s="28" t="str">
        <f>IFERROR(HLOOKUP(AE$22,#REF!,SA_GRILLE_STEU!$A31+2,FALSE),"")</f>
        <v/>
      </c>
      <c r="AG31" s="116"/>
      <c r="AH31" s="74" t="str">
        <f>IFERROR(HLOOKUP(AE$22,#REF!,SA_GRILLE_STEU!$A31+2,FALSE),"")</f>
        <v/>
      </c>
      <c r="AI31" s="76" t="str">
        <f>IFERROR(HLOOKUP(AE$22,#REF!,SA_GRILLE_STEU!$A31+2,FALSE),"")</f>
        <v/>
      </c>
      <c r="AJ31" s="225">
        <v>6</v>
      </c>
      <c r="AK31" s="35" t="str">
        <f>IFERROR(HLOOKUP(AJ$22,#REF!,SA_GRILLE_STEU!$A31+2,FALSE),"")</f>
        <v/>
      </c>
      <c r="AL31" s="127"/>
      <c r="AM31" s="74" t="str">
        <f>IFERROR(HLOOKUP(AJ$22,#REF!,SA_GRILLE_STEU!$A31+2,FALSE),"")</f>
        <v/>
      </c>
      <c r="AN31" s="76" t="str">
        <f>IFERROR(HLOOKUP(AJ$22,#REF!,SA_GRILLE_STEU!$A31+2,FALSE),"")</f>
        <v/>
      </c>
      <c r="AO31" s="225">
        <v>6</v>
      </c>
      <c r="AP31" s="28" t="str">
        <f>IFERROR(HLOOKUP(AO$22,#REF!,SA_GRILLE_STEU!$A31+2,FALSE),"")</f>
        <v/>
      </c>
      <c r="AQ31" s="116"/>
      <c r="AR31" s="74" t="str">
        <f>IFERROR(HLOOKUP(AO$22,#REF!,SA_GRILLE_STEU!$A31+2,FALSE),"")</f>
        <v/>
      </c>
      <c r="AS31" s="76" t="str">
        <f>IFERROR(HLOOKUP(AO$22,#REF!,SA_GRILLE_STEU!$A31+2,FALSE),"")</f>
        <v/>
      </c>
      <c r="AT31" s="225">
        <v>6</v>
      </c>
      <c r="AU31" s="28" t="str">
        <f>IFERROR(HLOOKUP(AT$22,#REF!,SA_GRILLE_STEU!$A31+2,FALSE),"")</f>
        <v/>
      </c>
      <c r="AV31" s="116"/>
      <c r="AW31" s="74" t="str">
        <f>IFERROR(HLOOKUP(AT$22,#REF!,SA_GRILLE_STEU!$A31+2,FALSE),"")</f>
        <v/>
      </c>
      <c r="AX31" s="76" t="str">
        <f>IFERROR(HLOOKUP(AT$22,#REF!,SA_GRILLE_STEU!$A31+2,FALSE),"")</f>
        <v/>
      </c>
      <c r="AY31" s="225">
        <v>6</v>
      </c>
      <c r="AZ31" s="35" t="str">
        <f>IFERROR(HLOOKUP(AY$22,#REF!,SA_GRILLE_STEU!$A31+2,FALSE),"")</f>
        <v/>
      </c>
      <c r="BA31" s="116"/>
      <c r="BB31" s="74" t="str">
        <f>IFERROR(HLOOKUP(AY$22,#REF!,SA_GRILLE_STEU!$A31+2,FALSE),"")</f>
        <v/>
      </c>
      <c r="BC31" s="76" t="str">
        <f>IFERROR(HLOOKUP(AY$22,#REF!,SA_GRILLE_STEU!$A31+2,FALSE),"")</f>
        <v/>
      </c>
      <c r="BD31" s="225">
        <v>6</v>
      </c>
      <c r="BE31" s="28" t="str">
        <f>IFERROR(HLOOKUP(BD$22,#REF!,SA_GRILLE_STEU!$A31+2,FALSE),"")</f>
        <v/>
      </c>
      <c r="BF31" s="116"/>
      <c r="BG31" s="77" t="str">
        <f>IFERROR(HLOOKUP(BD$22,#REF!,SA_GRILLE_STEU!$A31+2,FALSE),"")</f>
        <v/>
      </c>
      <c r="BH31" s="76" t="str">
        <f>IFERROR(HLOOKUP(BD$22,#REF!,SA_GRILLE_STEU!$A31+2,FALSE),"")</f>
        <v/>
      </c>
    </row>
    <row r="32" spans="1:60" s="102" customFormat="1" ht="20.100000000000001" customHeight="1" x14ac:dyDescent="0.4">
      <c r="A32" s="225">
        <v>7</v>
      </c>
      <c r="B32" s="32" t="str">
        <f>IFERROR(HLOOKUP(A$22,#REF!,SA_GRILLE_STEU!$A32+2,FALSE),"")</f>
        <v/>
      </c>
      <c r="C32" s="116"/>
      <c r="D32" s="74" t="str">
        <f>IFERROR(HLOOKUP(A$22,#REF!,SA_GRILLE_STEU!$A32+2,FALSE),"")</f>
        <v/>
      </c>
      <c r="E32" s="76" t="str">
        <f>IFERROR(HLOOKUP(A$22,#REF!,SA_GRILLE_STEU!$A32+2,FALSE),"")</f>
        <v/>
      </c>
      <c r="F32" s="225">
        <v>7</v>
      </c>
      <c r="G32" s="28" t="str">
        <f>IFERROR(HLOOKUP(F$22,#REF!,SA_GRILLE_STEU!$A32+2,FALSE),"")</f>
        <v/>
      </c>
      <c r="H32" s="116"/>
      <c r="I32" s="74" t="str">
        <f>IFERROR(HLOOKUP(F$22,#REF!,SA_GRILLE_STEU!$A32+2,FALSE),"")</f>
        <v/>
      </c>
      <c r="J32" s="76" t="str">
        <f>IFERROR(HLOOKUP(F$22,#REF!,SA_GRILLE_STEU!$A32+2,FALSE),"")</f>
        <v/>
      </c>
      <c r="K32" s="103">
        <v>7</v>
      </c>
      <c r="L32" s="32" t="str">
        <f>IFERROR(HLOOKUP(K$22,#REF!,SA_GRILLE_STEU!$A32+2,FALSE),"")</f>
        <v/>
      </c>
      <c r="M32" s="116"/>
      <c r="N32" s="74" t="str">
        <f>IFERROR(HLOOKUP(K$22,#REF!,SA_GRILLE_STEU!$A32+2,FALSE),"")</f>
        <v/>
      </c>
      <c r="O32" s="76" t="str">
        <f>IFERROR(HLOOKUP(K$22,#REF!,SA_GRILLE_STEU!$A32+2,FALSE),"")</f>
        <v/>
      </c>
      <c r="P32" s="103">
        <v>7</v>
      </c>
      <c r="Q32" s="32" t="str">
        <f>IFERROR(HLOOKUP(P$22,#REF!,SA_GRILLE_STEU!$A32+2,FALSE),"")</f>
        <v/>
      </c>
      <c r="R32" s="116"/>
      <c r="S32" s="74" t="str">
        <f>IFERROR(HLOOKUP(P$22,#REF!,SA_GRILLE_STEU!$A32+2,FALSE),"")</f>
        <v/>
      </c>
      <c r="T32" s="76" t="str">
        <f>IFERROR(HLOOKUP(P$22,#REF!,SA_GRILLE_STEU!$A32+2,FALSE),"")</f>
        <v/>
      </c>
      <c r="U32" s="103">
        <v>7</v>
      </c>
      <c r="V32" s="28" t="str">
        <f>IFERROR(HLOOKUP(U$22,#REF!,SA_GRILLE_STEU!$A32+2,FALSE),"")</f>
        <v/>
      </c>
      <c r="W32" s="116"/>
      <c r="X32" s="74" t="str">
        <f>IFERROR(HLOOKUP(U$22,#REF!,SA_GRILLE_STEU!$A32+2,FALSE),"")</f>
        <v/>
      </c>
      <c r="Y32" s="76" t="str">
        <f>IFERROR(HLOOKUP(U$22,#REF!,SA_GRILLE_STEU!$A32+2,FALSE),"")</f>
        <v/>
      </c>
      <c r="Z32" s="225">
        <v>7</v>
      </c>
      <c r="AA32" s="28" t="str">
        <f>IFERROR(HLOOKUP(Z$22,#REF!,SA_GRILLE_STEU!$A32+2,FALSE),"")</f>
        <v/>
      </c>
      <c r="AB32" s="116"/>
      <c r="AC32" s="74" t="str">
        <f>IFERROR(HLOOKUP(Z$22,#REF!,SA_GRILLE_STEU!$A32+2,FALSE),"")</f>
        <v/>
      </c>
      <c r="AD32" s="76" t="str">
        <f>IFERROR(HLOOKUP(Z$22,#REF!,SA_GRILLE_STEU!$A32+2,FALSE),"")</f>
        <v/>
      </c>
      <c r="AE32" s="225">
        <v>7</v>
      </c>
      <c r="AF32" s="28" t="str">
        <f>IFERROR(HLOOKUP(AE$22,#REF!,SA_GRILLE_STEU!$A32+2,FALSE),"")</f>
        <v/>
      </c>
      <c r="AG32" s="116"/>
      <c r="AH32" s="74" t="str">
        <f>IFERROR(HLOOKUP(AE$22,#REF!,SA_GRILLE_STEU!$A32+2,FALSE),"")</f>
        <v/>
      </c>
      <c r="AI32" s="76" t="str">
        <f>IFERROR(HLOOKUP(AE$22,#REF!,SA_GRILLE_STEU!$A32+2,FALSE),"")</f>
        <v/>
      </c>
      <c r="AJ32" s="225">
        <v>7</v>
      </c>
      <c r="AK32" s="35" t="str">
        <f>IFERROR(HLOOKUP(AJ$22,#REF!,SA_GRILLE_STEU!$A32+2,FALSE),"")</f>
        <v/>
      </c>
      <c r="AL32" s="127"/>
      <c r="AM32" s="74" t="str">
        <f>IFERROR(HLOOKUP(AJ$22,#REF!,SA_GRILLE_STEU!$A32+2,FALSE),"")</f>
        <v/>
      </c>
      <c r="AN32" s="76" t="str">
        <f>IFERROR(HLOOKUP(AJ$22,#REF!,SA_GRILLE_STEU!$A32+2,FALSE),"")</f>
        <v/>
      </c>
      <c r="AO32" s="225">
        <v>7</v>
      </c>
      <c r="AP32" s="28" t="str">
        <f>IFERROR(HLOOKUP(AO$22,#REF!,SA_GRILLE_STEU!$A32+2,FALSE),"")</f>
        <v/>
      </c>
      <c r="AQ32" s="116"/>
      <c r="AR32" s="74" t="str">
        <f>IFERROR(HLOOKUP(AO$22,#REF!,SA_GRILLE_STEU!$A32+2,FALSE),"")</f>
        <v/>
      </c>
      <c r="AS32" s="76" t="str">
        <f>IFERROR(HLOOKUP(AO$22,#REF!,SA_GRILLE_STEU!$A32+2,FALSE),"")</f>
        <v/>
      </c>
      <c r="AT32" s="225">
        <v>7</v>
      </c>
      <c r="AU32" s="28" t="str">
        <f>IFERROR(HLOOKUP(AT$22,#REF!,SA_GRILLE_STEU!$A32+2,FALSE),"")</f>
        <v/>
      </c>
      <c r="AV32" s="116"/>
      <c r="AW32" s="74" t="str">
        <f>IFERROR(HLOOKUP(AT$22,#REF!,SA_GRILLE_STEU!$A32+2,FALSE),"")</f>
        <v/>
      </c>
      <c r="AX32" s="76" t="str">
        <f>IFERROR(HLOOKUP(AT$22,#REF!,SA_GRILLE_STEU!$A32+2,FALSE),"")</f>
        <v/>
      </c>
      <c r="AY32" s="225">
        <v>7</v>
      </c>
      <c r="AZ32" s="35" t="str">
        <f>IFERROR(HLOOKUP(AY$22,#REF!,SA_GRILLE_STEU!$A32+2,FALSE),"")</f>
        <v/>
      </c>
      <c r="BA32" s="116"/>
      <c r="BB32" s="74" t="str">
        <f>IFERROR(HLOOKUP(AY$22,#REF!,SA_GRILLE_STEU!$A32+2,FALSE),"")</f>
        <v/>
      </c>
      <c r="BC32" s="76" t="str">
        <f>IFERROR(HLOOKUP(AY$22,#REF!,SA_GRILLE_STEU!$A32+2,FALSE),"")</f>
        <v/>
      </c>
      <c r="BD32" s="225">
        <v>7</v>
      </c>
      <c r="BE32" s="28" t="str">
        <f>IFERROR(HLOOKUP(BD$22,#REF!,SA_GRILLE_STEU!$A32+2,FALSE),"")</f>
        <v/>
      </c>
      <c r="BF32" s="116"/>
      <c r="BG32" s="77" t="str">
        <f>IFERROR(HLOOKUP(BD$22,#REF!,SA_GRILLE_STEU!$A32+2,FALSE),"")</f>
        <v/>
      </c>
      <c r="BH32" s="76" t="str">
        <f>IFERROR(HLOOKUP(BD$22,#REF!,SA_GRILLE_STEU!$A32+2,FALSE),"")</f>
        <v/>
      </c>
    </row>
    <row r="33" spans="1:60" s="102" customFormat="1" ht="20.100000000000001" customHeight="1" x14ac:dyDescent="0.4">
      <c r="A33" s="225">
        <v>8</v>
      </c>
      <c r="B33" s="32" t="str">
        <f>IFERROR(HLOOKUP(A$22,#REF!,SA_GRILLE_STEU!$A33+2,FALSE),"")</f>
        <v/>
      </c>
      <c r="C33" s="116"/>
      <c r="D33" s="74" t="str">
        <f>IFERROR(HLOOKUP(A$22,#REF!,SA_GRILLE_STEU!$A33+2,FALSE),"")</f>
        <v/>
      </c>
      <c r="E33" s="76" t="str">
        <f>IFERROR(HLOOKUP(A$22,#REF!,SA_GRILLE_STEU!$A33+2,FALSE),"")</f>
        <v/>
      </c>
      <c r="F33" s="225">
        <v>8</v>
      </c>
      <c r="G33" s="28" t="str">
        <f>IFERROR(HLOOKUP(F$22,#REF!,SA_GRILLE_STEU!$A33+2,FALSE),"")</f>
        <v/>
      </c>
      <c r="H33" s="116"/>
      <c r="I33" s="74" t="str">
        <f>IFERROR(HLOOKUP(F$22,#REF!,SA_GRILLE_STEU!$A33+2,FALSE),"")</f>
        <v/>
      </c>
      <c r="J33" s="76" t="str">
        <f>IFERROR(HLOOKUP(F$22,#REF!,SA_GRILLE_STEU!$A33+2,FALSE),"")</f>
        <v/>
      </c>
      <c r="K33" s="103">
        <v>8</v>
      </c>
      <c r="L33" s="32" t="str">
        <f>IFERROR(HLOOKUP(K$22,#REF!,SA_GRILLE_STEU!$A33+2,FALSE),"")</f>
        <v/>
      </c>
      <c r="M33" s="116"/>
      <c r="N33" s="74" t="str">
        <f>IFERROR(HLOOKUP(K$22,#REF!,SA_GRILLE_STEU!$A33+2,FALSE),"")</f>
        <v/>
      </c>
      <c r="O33" s="76" t="str">
        <f>IFERROR(HLOOKUP(K$22,#REF!,SA_GRILLE_STEU!$A33+2,FALSE),"")</f>
        <v/>
      </c>
      <c r="P33" s="103">
        <v>8</v>
      </c>
      <c r="Q33" s="32" t="str">
        <f>IFERROR(HLOOKUP(P$22,#REF!,SA_GRILLE_STEU!$A33+2,FALSE),"")</f>
        <v/>
      </c>
      <c r="R33" s="116"/>
      <c r="S33" s="74" t="str">
        <f>IFERROR(HLOOKUP(P$22,#REF!,SA_GRILLE_STEU!$A33+2,FALSE),"")</f>
        <v/>
      </c>
      <c r="T33" s="76" t="str">
        <f>IFERROR(HLOOKUP(P$22,#REF!,SA_GRILLE_STEU!$A33+2,FALSE),"")</f>
        <v/>
      </c>
      <c r="U33" s="103">
        <v>8</v>
      </c>
      <c r="V33" s="28" t="str">
        <f>IFERROR(HLOOKUP(U$22,#REF!,SA_GRILLE_STEU!$A33+2,FALSE),"")</f>
        <v/>
      </c>
      <c r="W33" s="116"/>
      <c r="X33" s="74" t="str">
        <f>IFERROR(HLOOKUP(U$22,#REF!,SA_GRILLE_STEU!$A33+2,FALSE),"")</f>
        <v/>
      </c>
      <c r="Y33" s="76" t="str">
        <f>IFERROR(HLOOKUP(U$22,#REF!,SA_GRILLE_STEU!$A33+2,FALSE),"")</f>
        <v/>
      </c>
      <c r="Z33" s="225">
        <v>8</v>
      </c>
      <c r="AA33" s="28" t="str">
        <f>IFERROR(HLOOKUP(Z$22,#REF!,SA_GRILLE_STEU!$A33+2,FALSE),"")</f>
        <v/>
      </c>
      <c r="AB33" s="116"/>
      <c r="AC33" s="74" t="str">
        <f>IFERROR(HLOOKUP(Z$22,#REF!,SA_GRILLE_STEU!$A33+2,FALSE),"")</f>
        <v/>
      </c>
      <c r="AD33" s="76" t="str">
        <f>IFERROR(HLOOKUP(Z$22,#REF!,SA_GRILLE_STEU!$A33+2,FALSE),"")</f>
        <v/>
      </c>
      <c r="AE33" s="225">
        <v>8</v>
      </c>
      <c r="AF33" s="28" t="str">
        <f>IFERROR(HLOOKUP(AE$22,#REF!,SA_GRILLE_STEU!$A33+2,FALSE),"")</f>
        <v/>
      </c>
      <c r="AG33" s="116"/>
      <c r="AH33" s="74" t="str">
        <f>IFERROR(HLOOKUP(AE$22,#REF!,SA_GRILLE_STEU!$A33+2,FALSE),"")</f>
        <v/>
      </c>
      <c r="AI33" s="76" t="str">
        <f>IFERROR(HLOOKUP(AE$22,#REF!,SA_GRILLE_STEU!$A33+2,FALSE),"")</f>
        <v/>
      </c>
      <c r="AJ33" s="225">
        <v>8</v>
      </c>
      <c r="AK33" s="35" t="str">
        <f>IFERROR(HLOOKUP(AJ$22,#REF!,SA_GRILLE_STEU!$A33+2,FALSE),"")</f>
        <v/>
      </c>
      <c r="AL33" s="127"/>
      <c r="AM33" s="74" t="str">
        <f>IFERROR(HLOOKUP(AJ$22,#REF!,SA_GRILLE_STEU!$A33+2,FALSE),"")</f>
        <v/>
      </c>
      <c r="AN33" s="76" t="str">
        <f>IFERROR(HLOOKUP(AJ$22,#REF!,SA_GRILLE_STEU!$A33+2,FALSE),"")</f>
        <v/>
      </c>
      <c r="AO33" s="225">
        <v>8</v>
      </c>
      <c r="AP33" s="28" t="str">
        <f>IFERROR(HLOOKUP(AO$22,#REF!,SA_GRILLE_STEU!$A33+2,FALSE),"")</f>
        <v/>
      </c>
      <c r="AQ33" s="116"/>
      <c r="AR33" s="74" t="str">
        <f>IFERROR(HLOOKUP(AO$22,#REF!,SA_GRILLE_STEU!$A33+2,FALSE),"")</f>
        <v/>
      </c>
      <c r="AS33" s="76" t="str">
        <f>IFERROR(HLOOKUP(AO$22,#REF!,SA_GRILLE_STEU!$A33+2,FALSE),"")</f>
        <v/>
      </c>
      <c r="AT33" s="225">
        <v>8</v>
      </c>
      <c r="AU33" s="28" t="str">
        <f>IFERROR(HLOOKUP(AT$22,#REF!,SA_GRILLE_STEU!$A33+2,FALSE),"")</f>
        <v/>
      </c>
      <c r="AV33" s="116"/>
      <c r="AW33" s="74" t="str">
        <f>IFERROR(HLOOKUP(AT$22,#REF!,SA_GRILLE_STEU!$A33+2,FALSE),"")</f>
        <v/>
      </c>
      <c r="AX33" s="76" t="str">
        <f>IFERROR(HLOOKUP(AT$22,#REF!,SA_GRILLE_STEU!$A33+2,FALSE),"")</f>
        <v/>
      </c>
      <c r="AY33" s="225">
        <v>8</v>
      </c>
      <c r="AZ33" s="35" t="str">
        <f>IFERROR(HLOOKUP(AY$22,#REF!,SA_GRILLE_STEU!$A33+2,FALSE),"")</f>
        <v/>
      </c>
      <c r="BA33" s="116"/>
      <c r="BB33" s="74" t="str">
        <f>IFERROR(HLOOKUP(AY$22,#REF!,SA_GRILLE_STEU!$A33+2,FALSE),"")</f>
        <v/>
      </c>
      <c r="BC33" s="76" t="str">
        <f>IFERROR(HLOOKUP(AY$22,#REF!,SA_GRILLE_STEU!$A33+2,FALSE),"")</f>
        <v/>
      </c>
      <c r="BD33" s="225">
        <v>8</v>
      </c>
      <c r="BE33" s="28" t="str">
        <f>IFERROR(HLOOKUP(BD$22,#REF!,SA_GRILLE_STEU!$A33+2,FALSE),"")</f>
        <v/>
      </c>
      <c r="BF33" s="116"/>
      <c r="BG33" s="77" t="str">
        <f>IFERROR(HLOOKUP(BD$22,#REF!,SA_GRILLE_STEU!$A33+2,FALSE),"")</f>
        <v/>
      </c>
      <c r="BH33" s="76" t="str">
        <f>IFERROR(HLOOKUP(BD$22,#REF!,SA_GRILLE_STEU!$A33+2,FALSE),"")</f>
        <v/>
      </c>
    </row>
    <row r="34" spans="1:60" s="102" customFormat="1" ht="20.100000000000001" customHeight="1" x14ac:dyDescent="0.4">
      <c r="A34" s="225">
        <v>9</v>
      </c>
      <c r="B34" s="32" t="str">
        <f>IFERROR(HLOOKUP(A$22,#REF!,SA_GRILLE_STEU!$A34+2,FALSE),"")</f>
        <v/>
      </c>
      <c r="C34" s="116"/>
      <c r="D34" s="74" t="str">
        <f>IFERROR(HLOOKUP(A$22,#REF!,SA_GRILLE_STEU!$A34+2,FALSE),"")</f>
        <v/>
      </c>
      <c r="E34" s="76" t="str">
        <f>IFERROR(HLOOKUP(A$22,#REF!,SA_GRILLE_STEU!$A34+2,FALSE),"")</f>
        <v/>
      </c>
      <c r="F34" s="225">
        <v>9</v>
      </c>
      <c r="G34" s="28" t="str">
        <f>IFERROR(HLOOKUP(F$22,#REF!,SA_GRILLE_STEU!$A34+2,FALSE),"")</f>
        <v/>
      </c>
      <c r="H34" s="116"/>
      <c r="I34" s="74" t="str">
        <f>IFERROR(HLOOKUP(F$22,#REF!,SA_GRILLE_STEU!$A34+2,FALSE),"")</f>
        <v/>
      </c>
      <c r="J34" s="76" t="str">
        <f>IFERROR(HLOOKUP(F$22,#REF!,SA_GRILLE_STEU!$A34+2,FALSE),"")</f>
        <v/>
      </c>
      <c r="K34" s="103">
        <v>9</v>
      </c>
      <c r="L34" s="32" t="str">
        <f>IFERROR(HLOOKUP(K$22,#REF!,SA_GRILLE_STEU!$A34+2,FALSE),"")</f>
        <v/>
      </c>
      <c r="M34" s="116"/>
      <c r="N34" s="74" t="str">
        <f>IFERROR(HLOOKUP(K$22,#REF!,SA_GRILLE_STEU!$A34+2,FALSE),"")</f>
        <v/>
      </c>
      <c r="O34" s="76" t="str">
        <f>IFERROR(HLOOKUP(K$22,#REF!,SA_GRILLE_STEU!$A34+2,FALSE),"")</f>
        <v/>
      </c>
      <c r="P34" s="103">
        <v>9</v>
      </c>
      <c r="Q34" s="32" t="str">
        <f>IFERROR(HLOOKUP(P$22,#REF!,SA_GRILLE_STEU!$A34+2,FALSE),"")</f>
        <v/>
      </c>
      <c r="R34" s="116"/>
      <c r="S34" s="74" t="str">
        <f>IFERROR(HLOOKUP(P$22,#REF!,SA_GRILLE_STEU!$A34+2,FALSE),"")</f>
        <v/>
      </c>
      <c r="T34" s="76" t="str">
        <f>IFERROR(HLOOKUP(P$22,#REF!,SA_GRILLE_STEU!$A34+2,FALSE),"")</f>
        <v/>
      </c>
      <c r="U34" s="103">
        <v>9</v>
      </c>
      <c r="V34" s="28" t="str">
        <f>IFERROR(HLOOKUP(U$22,#REF!,SA_GRILLE_STEU!$A34+2,FALSE),"")</f>
        <v/>
      </c>
      <c r="W34" s="116"/>
      <c r="X34" s="74" t="str">
        <f>IFERROR(HLOOKUP(U$22,#REF!,SA_GRILLE_STEU!$A34+2,FALSE),"")</f>
        <v/>
      </c>
      <c r="Y34" s="76" t="str">
        <f>IFERROR(HLOOKUP(U$22,#REF!,SA_GRILLE_STEU!$A34+2,FALSE),"")</f>
        <v/>
      </c>
      <c r="Z34" s="225">
        <v>9</v>
      </c>
      <c r="AA34" s="28" t="str">
        <f>IFERROR(HLOOKUP(Z$22,#REF!,SA_GRILLE_STEU!$A34+2,FALSE),"")</f>
        <v/>
      </c>
      <c r="AB34" s="116"/>
      <c r="AC34" s="74" t="str">
        <f>IFERROR(HLOOKUP(Z$22,#REF!,SA_GRILLE_STEU!$A34+2,FALSE),"")</f>
        <v/>
      </c>
      <c r="AD34" s="76" t="str">
        <f>IFERROR(HLOOKUP(Z$22,#REF!,SA_GRILLE_STEU!$A34+2,FALSE),"")</f>
        <v/>
      </c>
      <c r="AE34" s="225">
        <v>9</v>
      </c>
      <c r="AF34" s="28" t="str">
        <f>IFERROR(HLOOKUP(AE$22,#REF!,SA_GRILLE_STEU!$A34+2,FALSE),"")</f>
        <v/>
      </c>
      <c r="AG34" s="116"/>
      <c r="AH34" s="74" t="str">
        <f>IFERROR(HLOOKUP(AE$22,#REF!,SA_GRILLE_STEU!$A34+2,FALSE),"")</f>
        <v/>
      </c>
      <c r="AI34" s="76" t="str">
        <f>IFERROR(HLOOKUP(AE$22,#REF!,SA_GRILLE_STEU!$A34+2,FALSE),"")</f>
        <v/>
      </c>
      <c r="AJ34" s="225">
        <v>9</v>
      </c>
      <c r="AK34" s="35" t="str">
        <f>IFERROR(HLOOKUP(AJ$22,#REF!,SA_GRILLE_STEU!$A34+2,FALSE),"")</f>
        <v/>
      </c>
      <c r="AL34" s="127"/>
      <c r="AM34" s="74" t="str">
        <f>IFERROR(HLOOKUP(AJ$22,#REF!,SA_GRILLE_STEU!$A34+2,FALSE),"")</f>
        <v/>
      </c>
      <c r="AN34" s="76" t="str">
        <f>IFERROR(HLOOKUP(AJ$22,#REF!,SA_GRILLE_STEU!$A34+2,FALSE),"")</f>
        <v/>
      </c>
      <c r="AO34" s="225">
        <v>9</v>
      </c>
      <c r="AP34" s="28" t="str">
        <f>IFERROR(HLOOKUP(AO$22,#REF!,SA_GRILLE_STEU!$A34+2,FALSE),"")</f>
        <v/>
      </c>
      <c r="AQ34" s="116"/>
      <c r="AR34" s="74" t="str">
        <f>IFERROR(HLOOKUP(AO$22,#REF!,SA_GRILLE_STEU!$A34+2,FALSE),"")</f>
        <v/>
      </c>
      <c r="AS34" s="76" t="str">
        <f>IFERROR(HLOOKUP(AO$22,#REF!,SA_GRILLE_STEU!$A34+2,FALSE),"")</f>
        <v/>
      </c>
      <c r="AT34" s="225">
        <v>9</v>
      </c>
      <c r="AU34" s="28" t="str">
        <f>IFERROR(HLOOKUP(AT$22,#REF!,SA_GRILLE_STEU!$A34+2,FALSE),"")</f>
        <v/>
      </c>
      <c r="AV34" s="116"/>
      <c r="AW34" s="74" t="str">
        <f>IFERROR(HLOOKUP(AT$22,#REF!,SA_GRILLE_STEU!$A34+2,FALSE),"")</f>
        <v/>
      </c>
      <c r="AX34" s="76" t="str">
        <f>IFERROR(HLOOKUP(AT$22,#REF!,SA_GRILLE_STEU!$A34+2,FALSE),"")</f>
        <v/>
      </c>
      <c r="AY34" s="225">
        <v>9</v>
      </c>
      <c r="AZ34" s="35" t="str">
        <f>IFERROR(HLOOKUP(AY$22,#REF!,SA_GRILLE_STEU!$A34+2,FALSE),"")</f>
        <v/>
      </c>
      <c r="BA34" s="116"/>
      <c r="BB34" s="74" t="str">
        <f>IFERROR(HLOOKUP(AY$22,#REF!,SA_GRILLE_STEU!$A34+2,FALSE),"")</f>
        <v/>
      </c>
      <c r="BC34" s="76" t="str">
        <f>IFERROR(HLOOKUP(AY$22,#REF!,SA_GRILLE_STEU!$A34+2,FALSE),"")</f>
        <v/>
      </c>
      <c r="BD34" s="225">
        <v>9</v>
      </c>
      <c r="BE34" s="28" t="str">
        <f>IFERROR(HLOOKUP(BD$22,#REF!,SA_GRILLE_STEU!$A34+2,FALSE),"")</f>
        <v/>
      </c>
      <c r="BF34" s="116"/>
      <c r="BG34" s="77" t="str">
        <f>IFERROR(HLOOKUP(BD$22,#REF!,SA_GRILLE_STEU!$A34+2,FALSE),"")</f>
        <v/>
      </c>
      <c r="BH34" s="76" t="str">
        <f>IFERROR(HLOOKUP(BD$22,#REF!,SA_GRILLE_STEU!$A34+2,FALSE),"")</f>
        <v/>
      </c>
    </row>
    <row r="35" spans="1:60" s="102" customFormat="1" ht="16.5" customHeight="1" x14ac:dyDescent="0.4">
      <c r="A35" s="226"/>
      <c r="B35" s="33"/>
      <c r="C35" s="116"/>
      <c r="D35" s="104"/>
      <c r="E35" s="76"/>
      <c r="F35" s="226"/>
      <c r="G35" s="33"/>
      <c r="H35" s="116"/>
      <c r="I35" s="104"/>
      <c r="J35" s="76"/>
      <c r="K35" s="105"/>
      <c r="L35" s="33"/>
      <c r="M35" s="117"/>
      <c r="N35" s="104"/>
      <c r="O35" s="76"/>
      <c r="P35" s="105"/>
      <c r="Q35" s="33"/>
      <c r="R35" s="117"/>
      <c r="S35" s="104"/>
      <c r="T35" s="76"/>
      <c r="U35" s="106"/>
      <c r="V35" s="33"/>
      <c r="W35" s="117"/>
      <c r="X35" s="104"/>
      <c r="Y35" s="76"/>
      <c r="Z35" s="227"/>
      <c r="AA35" s="33"/>
      <c r="AB35" s="117"/>
      <c r="AC35" s="104"/>
      <c r="AD35" s="76"/>
      <c r="AE35" s="227"/>
      <c r="AF35" s="33"/>
      <c r="AG35" s="117"/>
      <c r="AH35" s="104"/>
      <c r="AI35" s="76"/>
      <c r="AJ35" s="227"/>
      <c r="AK35" s="36"/>
      <c r="AL35" s="128"/>
      <c r="AM35" s="104"/>
      <c r="AN35" s="76"/>
      <c r="AO35" s="227"/>
      <c r="AP35" s="33"/>
      <c r="AQ35" s="117"/>
      <c r="AR35" s="104"/>
      <c r="AS35" s="76"/>
      <c r="AT35" s="227"/>
      <c r="AU35" s="33"/>
      <c r="AV35" s="117"/>
      <c r="AW35" s="104"/>
      <c r="AX35" s="76"/>
      <c r="AY35" s="227"/>
      <c r="AZ35" s="36"/>
      <c r="BA35" s="117"/>
      <c r="BB35" s="104"/>
      <c r="BC35" s="76"/>
      <c r="BD35" s="227"/>
      <c r="BE35" s="33"/>
      <c r="BF35" s="117"/>
      <c r="BG35" s="107"/>
      <c r="BH35" s="76"/>
    </row>
    <row r="36" spans="1:60" ht="25.5" customHeight="1" x14ac:dyDescent="0.4">
      <c r="A36" s="1413" t="s">
        <v>62</v>
      </c>
      <c r="B36" s="1414"/>
      <c r="C36" s="93" t="s">
        <v>63</v>
      </c>
      <c r="D36" s="94" t="s">
        <v>64</v>
      </c>
      <c r="E36" s="108"/>
      <c r="F36" s="1413" t="s">
        <v>62</v>
      </c>
      <c r="G36" s="1414"/>
      <c r="H36" s="93" t="s">
        <v>63</v>
      </c>
      <c r="I36" s="94" t="s">
        <v>64</v>
      </c>
      <c r="J36" s="108"/>
      <c r="K36" s="1413" t="s">
        <v>62</v>
      </c>
      <c r="L36" s="1414"/>
      <c r="M36" s="93" t="s">
        <v>63</v>
      </c>
      <c r="N36" s="94" t="s">
        <v>64</v>
      </c>
      <c r="O36" s="108"/>
      <c r="P36" s="1413" t="s">
        <v>62</v>
      </c>
      <c r="Q36" s="1414"/>
      <c r="R36" s="93" t="s">
        <v>63</v>
      </c>
      <c r="S36" s="94" t="s">
        <v>64</v>
      </c>
      <c r="T36" s="73"/>
      <c r="U36" s="1413" t="s">
        <v>62</v>
      </c>
      <c r="V36" s="1414"/>
      <c r="W36" s="93" t="s">
        <v>63</v>
      </c>
      <c r="X36" s="94" t="s">
        <v>64</v>
      </c>
      <c r="Y36" s="73"/>
      <c r="Z36" s="1413" t="s">
        <v>62</v>
      </c>
      <c r="AA36" s="1414"/>
      <c r="AB36" s="93" t="s">
        <v>63</v>
      </c>
      <c r="AC36" s="94" t="s">
        <v>64</v>
      </c>
      <c r="AD36" s="73"/>
      <c r="AE36" s="1413" t="s">
        <v>62</v>
      </c>
      <c r="AF36" s="1414"/>
      <c r="AG36" s="93" t="s">
        <v>63</v>
      </c>
      <c r="AH36" s="94" t="s">
        <v>64</v>
      </c>
      <c r="AI36" s="73"/>
      <c r="AJ36" s="1413" t="s">
        <v>62</v>
      </c>
      <c r="AK36" s="1414"/>
      <c r="AL36" s="93" t="s">
        <v>63</v>
      </c>
      <c r="AM36" s="94" t="s">
        <v>64</v>
      </c>
      <c r="AN36" s="73"/>
      <c r="AO36" s="1413" t="s">
        <v>62</v>
      </c>
      <c r="AP36" s="1414"/>
      <c r="AQ36" s="93" t="s">
        <v>63</v>
      </c>
      <c r="AR36" s="94" t="s">
        <v>64</v>
      </c>
      <c r="AS36" s="73"/>
      <c r="AT36" s="1413" t="s">
        <v>62</v>
      </c>
      <c r="AU36" s="1414"/>
      <c r="AV36" s="93" t="s">
        <v>63</v>
      </c>
      <c r="AW36" s="94" t="s">
        <v>64</v>
      </c>
      <c r="AX36" s="73"/>
      <c r="AY36" s="1413" t="s">
        <v>62</v>
      </c>
      <c r="AZ36" s="1414"/>
      <c r="BA36" s="93" t="s">
        <v>63</v>
      </c>
      <c r="BB36" s="94" t="s">
        <v>64</v>
      </c>
      <c r="BC36" s="73"/>
      <c r="BD36" s="1413" t="s">
        <v>62</v>
      </c>
      <c r="BE36" s="1414"/>
      <c r="BF36" s="93" t="s">
        <v>63</v>
      </c>
      <c r="BG36" s="94" t="s">
        <v>64</v>
      </c>
      <c r="BH36" s="76"/>
    </row>
    <row r="37" spans="1:60" s="83" customFormat="1" ht="60" customHeight="1" thickBot="1" x14ac:dyDescent="0.45">
      <c r="A37" s="221"/>
      <c r="B37" s="130"/>
      <c r="C37" s="119"/>
      <c r="D37" s="81">
        <f>IF(A22="","",IF(A22="Préleveur A3",#REF!,IF((SUMIF(C26:C34,"Validé",D26:D34)+SUMIF(C26:C34,"Validé avec réserve",D26:D34))&gt;100,100,SUMIF(C26:C34,"Validé",D26:D34)+SUMIF(C26:C34,"Validé avec réserve",D26:D34))))</f>
        <v>0</v>
      </c>
      <c r="E37" s="109"/>
      <c r="F37" s="221"/>
      <c r="G37" s="122"/>
      <c r="H37" s="119"/>
      <c r="I37" s="81" t="str">
        <f>IF(F22="","",IF(F22="Préleveur A3",#REF!,IF((SUMIF(H26:H34,"Validé",I26:I34)+SUMIF(H26:H34,"Validé avec réserve",I26:I34))&gt;100,100,SUMIF(H26:H34,"Validé",I26:I34)+SUMIF(H26:H34,"Validé avec réserve",I26:I34))))</f>
        <v/>
      </c>
      <c r="J37" s="109"/>
      <c r="K37" s="221"/>
      <c r="L37" s="122"/>
      <c r="M37" s="119"/>
      <c r="N37" s="81" t="str">
        <f>IF(K22="","",IF(K22="Préleveur A3",#REF!,IF((SUMIF(M26:M34,"Validé",N26:N34)+SUMIF(M26:M34,"Validé avec réserve",N26:N34))&gt;100,100,SUMIF(M26:M34,"Validé",N26:N34)+SUMIF(M26:M34,"Validé avec réserve",N26:N34))))</f>
        <v/>
      </c>
      <c r="O37" s="109"/>
      <c r="P37" s="110"/>
      <c r="Q37" s="122"/>
      <c r="R37" s="119"/>
      <c r="S37" s="81" t="str">
        <f>IF(P22="","",IF(P22="Préleveur A3",#REF!,IF((SUMIF(R26:R34,"Validé",S26:S34)+SUMIF(R26:R34,"Validé avec réserve",S26:S34))&gt;100,100,SUMIF(R26:R34,"Validé",S26:S34)+SUMIF(R26:R34,"Validé avec réserve",S26:S34))))</f>
        <v/>
      </c>
      <c r="T37" s="109"/>
      <c r="U37" s="111"/>
      <c r="V37" s="122"/>
      <c r="W37" s="119"/>
      <c r="X37" s="81" t="str">
        <f>IF(U22="","",IF(U22="Préleveur A3",#REF!,IF((SUMIF(W26:W34,"Validé",X26:X34)+SUMIF(W26:W34,"Validé avec réserve",X26:X34))&gt;100,100,SUMIF(W26:W34,"Validé",X26:X34)+SUMIF(W26:W34,"Validé avec réserve",X26:X34))))</f>
        <v/>
      </c>
      <c r="Y37" s="109"/>
      <c r="Z37" s="223"/>
      <c r="AA37" s="122"/>
      <c r="AB37" s="119"/>
      <c r="AC37" s="81" t="str">
        <f>IF(Z22="","",IF(Z22="Préleveur A3",#REF!,IF((SUMIF(AB26:AB34,"Validé",AC26:AC34)+SUMIF(AB26:AB34,"Validé avec réserve",AC26:AC34))&gt;100,100,SUMIF(AB26:AB34,"Validé",AC26:AC34)+SUMIF(AB26:AB34,"Validé avec réserve",AC26:AC34))))</f>
        <v/>
      </c>
      <c r="AD37" s="81"/>
      <c r="AE37" s="223"/>
      <c r="AF37" s="122"/>
      <c r="AG37" s="119"/>
      <c r="AH37" s="81" t="str">
        <f>IF(AE22="","",IF(AE22="Préleveur A3",#REF!,IF((SUMIF(AG26:AG34,"Validé",AH26:AH34)+SUMIF(AG26:AG34,"Validé avec réserve",AH26:AH34))&gt;100,100,SUMIF(AG26:AG34,"Validé",AH26:AH34)+SUMIF(AG26:AG34,"Validé avec réserve",AH26:AH34))))</f>
        <v/>
      </c>
      <c r="AI37" s="109"/>
      <c r="AJ37" s="223"/>
      <c r="AK37" s="122"/>
      <c r="AL37" s="119"/>
      <c r="AM37" s="81" t="str">
        <f>IF(AJ22="","",IF(AJ22="Préleveur A3",#REF!,IF((SUMIF(AL26:AL34,"Validé",AM26:AM34)+SUMIF(AL26:AL34,"Validé avec réserve",AM26:AM34))&gt;100,100,SUMIF(AL26:AL34,"Validé",AM26:AM34)+SUMIF(AL26:AL34,"Validé avec réserve",AM26:AM34))))</f>
        <v/>
      </c>
      <c r="AN37" s="109"/>
      <c r="AO37" s="223"/>
      <c r="AP37" s="122"/>
      <c r="AQ37" s="119"/>
      <c r="AR37" s="81" t="str">
        <f>IF(AO22="","",IF(AO22="Préleveur A3",#REF!,IF((SUMIF(AQ26:AQ34,"Validé",AR26:AR34)+SUMIF(AQ26:AQ34,"Validé avec réserve",AR26:AR34))&gt;100,100,SUMIF(AQ26:AQ34,"Validé",AR26:AR34)+SUMIF(AQ26:AQ34,"Validé avec réserve",AR26:AR34))))</f>
        <v/>
      </c>
      <c r="AS37" s="81"/>
      <c r="AT37" s="223"/>
      <c r="AU37" s="122"/>
      <c r="AV37" s="119"/>
      <c r="AW37" s="81" t="str">
        <f>IF(AT22="","",IF(AT22="Préleveur A3",#REF!,IF((SUMIF(AV26:AV34,"Validé",AW26:AW34)+SUMIF(AV26:AV34,"Validé avec réserve",AW26:AW34))&gt;100,100,SUMIF(AV26:AV34,"Validé",AW26:AW34)+SUMIF(AV26:AV34,"Validé avec réserve",AW26:AW34))))</f>
        <v/>
      </c>
      <c r="AX37" s="81"/>
      <c r="AY37" s="223"/>
      <c r="AZ37" s="122"/>
      <c r="BA37" s="119"/>
      <c r="BB37" s="81" t="str">
        <f>IF(AY22="","",IF(AY22="Préleveur A3",#REF!,IF((SUMIF(BA26:BA34,"Validé",BB26:BB34)+SUMIF(BA26:BA34,"Validé avec réserve",BB26:BB34))&gt;100,100,SUMIF(BA26:BA34,"Validé",BB26:BB34)+SUMIF(BA26:BA34,"Validé avec réserve",BB26:BB34))))</f>
        <v/>
      </c>
      <c r="BC37" s="81"/>
      <c r="BD37" s="223"/>
      <c r="BE37" s="118"/>
      <c r="BF37" s="119"/>
      <c r="BG37" s="81" t="str">
        <f>IF(BD22="","",IF(BD22="Préleveur A3",#REF!,IF((SUMIF(BF26:BF34,"Validé",BG26:BG34)+SUMIF(BF26:BF34,"Validé avec réserve",BG26:BG34))&gt;100,100,SUMIF(BF26:BF34,"Validé",BG26:BG34)+SUMIF(BF26:BF34,"Validé avec réserve",BG26:BG34))))</f>
        <v/>
      </c>
      <c r="BH37" s="81"/>
    </row>
  </sheetData>
  <mergeCells count="156">
    <mergeCell ref="AE36:AF36"/>
    <mergeCell ref="AJ36:AK36"/>
    <mergeCell ref="AO36:AP36"/>
    <mergeCell ref="AT36:AU36"/>
    <mergeCell ref="AY36:AZ36"/>
    <mergeCell ref="BD36:BE36"/>
    <mergeCell ref="A36:B36"/>
    <mergeCell ref="F36:G36"/>
    <mergeCell ref="K36:L36"/>
    <mergeCell ref="P36:Q36"/>
    <mergeCell ref="U36:V36"/>
    <mergeCell ref="Z36:AA36"/>
    <mergeCell ref="AE24:AF24"/>
    <mergeCell ref="AJ24:AK24"/>
    <mergeCell ref="AO24:AP24"/>
    <mergeCell ref="AT24:AU24"/>
    <mergeCell ref="AY24:AZ24"/>
    <mergeCell ref="BD24:BE24"/>
    <mergeCell ref="A24:B24"/>
    <mergeCell ref="F24:G24"/>
    <mergeCell ref="K24:L24"/>
    <mergeCell ref="P24:Q24"/>
    <mergeCell ref="U24:V24"/>
    <mergeCell ref="Z24:AA24"/>
    <mergeCell ref="AE22:AH22"/>
    <mergeCell ref="AJ22:AM22"/>
    <mergeCell ref="AO22:AR22"/>
    <mergeCell ref="AT22:AW22"/>
    <mergeCell ref="AY22:BB22"/>
    <mergeCell ref="BD22:BG22"/>
    <mergeCell ref="A22:D22"/>
    <mergeCell ref="F22:I22"/>
    <mergeCell ref="K22:N22"/>
    <mergeCell ref="P22:S22"/>
    <mergeCell ref="U22:X22"/>
    <mergeCell ref="Z22:AC22"/>
    <mergeCell ref="AE21:AH21"/>
    <mergeCell ref="AJ21:AM21"/>
    <mergeCell ref="AO21:AR21"/>
    <mergeCell ref="AT21:AW21"/>
    <mergeCell ref="AY21:BB21"/>
    <mergeCell ref="BD21:BG21"/>
    <mergeCell ref="A21:D21"/>
    <mergeCell ref="F21:I21"/>
    <mergeCell ref="K21:N21"/>
    <mergeCell ref="P21:S21"/>
    <mergeCell ref="U21:X21"/>
    <mergeCell ref="Z21:AC21"/>
    <mergeCell ref="AE18:AF18"/>
    <mergeCell ref="AJ18:AK18"/>
    <mergeCell ref="AO18:AP18"/>
    <mergeCell ref="AT18:AU18"/>
    <mergeCell ref="AY18:AZ18"/>
    <mergeCell ref="BD18:BE18"/>
    <mergeCell ref="A18:B18"/>
    <mergeCell ref="F18:G18"/>
    <mergeCell ref="K18:L18"/>
    <mergeCell ref="P18:Q18"/>
    <mergeCell ref="U18:V18"/>
    <mergeCell ref="Z18:AA18"/>
    <mergeCell ref="AE7:AF7"/>
    <mergeCell ref="AJ7:AK7"/>
    <mergeCell ref="AO7:AP7"/>
    <mergeCell ref="AT7:AU7"/>
    <mergeCell ref="AY7:AZ7"/>
    <mergeCell ref="BD7:BE7"/>
    <mergeCell ref="A7:B7"/>
    <mergeCell ref="F7:G7"/>
    <mergeCell ref="K7:L7"/>
    <mergeCell ref="P7:Q7"/>
    <mergeCell ref="U7:V7"/>
    <mergeCell ref="Z7:AA7"/>
    <mergeCell ref="AE5:AH5"/>
    <mergeCell ref="AJ5:AM5"/>
    <mergeCell ref="AO5:AR5"/>
    <mergeCell ref="AT5:AW5"/>
    <mergeCell ref="AY5:BB5"/>
    <mergeCell ref="BD5:BG5"/>
    <mergeCell ref="A5:D5"/>
    <mergeCell ref="F5:I5"/>
    <mergeCell ref="K5:N5"/>
    <mergeCell ref="P5:S5"/>
    <mergeCell ref="U5:X5"/>
    <mergeCell ref="Z5:AC5"/>
    <mergeCell ref="AE4:AH4"/>
    <mergeCell ref="AJ4:AM4"/>
    <mergeCell ref="AO4:AR4"/>
    <mergeCell ref="AT4:AW4"/>
    <mergeCell ref="AY4:BB4"/>
    <mergeCell ref="BD4:BG4"/>
    <mergeCell ref="A4:D4"/>
    <mergeCell ref="F4:I4"/>
    <mergeCell ref="K4:N4"/>
    <mergeCell ref="P4:S4"/>
    <mergeCell ref="U4:X4"/>
    <mergeCell ref="Z4:AC4"/>
    <mergeCell ref="AT3:AU3"/>
    <mergeCell ref="AV3:AW3"/>
    <mergeCell ref="AY3:AZ3"/>
    <mergeCell ref="BA3:BB3"/>
    <mergeCell ref="BD3:BE3"/>
    <mergeCell ref="BF3:BG3"/>
    <mergeCell ref="AE3:AF3"/>
    <mergeCell ref="AG3:AH3"/>
    <mergeCell ref="AJ3:AK3"/>
    <mergeCell ref="AL3:AM3"/>
    <mergeCell ref="AO3:AP3"/>
    <mergeCell ref="AQ3:AR3"/>
    <mergeCell ref="P3:Q3"/>
    <mergeCell ref="R3:S3"/>
    <mergeCell ref="U3:V3"/>
    <mergeCell ref="W3:X3"/>
    <mergeCell ref="Z3:AA3"/>
    <mergeCell ref="AB3:AC3"/>
    <mergeCell ref="A3:B3"/>
    <mergeCell ref="C3:D3"/>
    <mergeCell ref="F3:G3"/>
    <mergeCell ref="H3:I3"/>
    <mergeCell ref="K3:L3"/>
    <mergeCell ref="M3:N3"/>
    <mergeCell ref="AT2:AU2"/>
    <mergeCell ref="AV2:AW2"/>
    <mergeCell ref="AY2:AZ2"/>
    <mergeCell ref="BA2:BB2"/>
    <mergeCell ref="BD2:BE2"/>
    <mergeCell ref="BF2:BG2"/>
    <mergeCell ref="AE2:AF2"/>
    <mergeCell ref="AG2:AH2"/>
    <mergeCell ref="AJ2:AK2"/>
    <mergeCell ref="AL2:AM2"/>
    <mergeCell ref="AO2:AP2"/>
    <mergeCell ref="AQ2:AR2"/>
    <mergeCell ref="P2:Q2"/>
    <mergeCell ref="R2:S2"/>
    <mergeCell ref="U2:V2"/>
    <mergeCell ref="W2:X2"/>
    <mergeCell ref="Z2:AA2"/>
    <mergeCell ref="AB2:AC2"/>
    <mergeCell ref="A2:B2"/>
    <mergeCell ref="C2:D2"/>
    <mergeCell ref="F2:G2"/>
    <mergeCell ref="H2:I2"/>
    <mergeCell ref="K2:L2"/>
    <mergeCell ref="M2:N2"/>
    <mergeCell ref="AE1:AH1"/>
    <mergeCell ref="AJ1:AM1"/>
    <mergeCell ref="AO1:AR1"/>
    <mergeCell ref="AT1:AW1"/>
    <mergeCell ref="AY1:BB1"/>
    <mergeCell ref="BD1:BG1"/>
    <mergeCell ref="A1:D1"/>
    <mergeCell ref="F1:I1"/>
    <mergeCell ref="K1:N1"/>
    <mergeCell ref="P1:S1"/>
    <mergeCell ref="U1:X1"/>
    <mergeCell ref="Z1:AC1"/>
  </mergeCells>
  <conditionalFormatting sqref="C9:C17">
    <cfRule type="containsText" dxfId="303" priority="105" operator="containsText" text="Non contrôlé">
      <formula>NOT(ISERROR(SEARCH("Non contrôlé",C9)))</formula>
    </cfRule>
    <cfRule type="containsText" dxfId="302" priority="106" operator="containsText" text="Non validé">
      <formula>NOT(ISERROR(SEARCH("Non validé",C9)))</formula>
    </cfRule>
    <cfRule type="containsText" dxfId="301" priority="107" operator="containsText" text="réserve">
      <formula>NOT(ISERROR(SEARCH("réserve",C9)))</formula>
    </cfRule>
    <cfRule type="endsWith" dxfId="300" priority="108" operator="endsWith" text="Validé">
      <formula>RIGHT(C9,LEN("Validé"))="Validé"</formula>
    </cfRule>
  </conditionalFormatting>
  <conditionalFormatting sqref="C19:C20">
    <cfRule type="containsText" dxfId="299" priority="101" operator="containsText" text="Non contrôlé">
      <formula>NOT(ISERROR(SEARCH("Non contrôlé",C19)))</formula>
    </cfRule>
    <cfRule type="containsText" dxfId="298" priority="102" operator="containsText" text="Non validé">
      <formula>NOT(ISERROR(SEARCH("Non validé",C19)))</formula>
    </cfRule>
    <cfRule type="containsText" dxfId="297" priority="103" operator="containsText" text="réserve">
      <formula>NOT(ISERROR(SEARCH("réserve",C19)))</formula>
    </cfRule>
    <cfRule type="endsWith" dxfId="296" priority="104" operator="endsWith" text="Validé">
      <formula>RIGHT(C19,LEN("Validé"))="Validé"</formula>
    </cfRule>
  </conditionalFormatting>
  <conditionalFormatting sqref="C26:C35">
    <cfRule type="containsText" dxfId="295" priority="117" operator="containsText" text="Non contrôlé">
      <formula>NOT(ISERROR(SEARCH("Non contrôlé",C26)))</formula>
    </cfRule>
    <cfRule type="containsText" dxfId="294" priority="118" operator="containsText" text="Non validé">
      <formula>NOT(ISERROR(SEARCH("Non validé",C26)))</formula>
    </cfRule>
    <cfRule type="containsText" dxfId="293" priority="119" operator="containsText" text="réserve">
      <formula>NOT(ISERROR(SEARCH("réserve",C26)))</formula>
    </cfRule>
    <cfRule type="endsWith" dxfId="292" priority="120" operator="endsWith" text="Validé">
      <formula>RIGHT(C26,LEN("Validé"))="Validé"</formula>
    </cfRule>
  </conditionalFormatting>
  <conditionalFormatting sqref="C37">
    <cfRule type="containsText" dxfId="291" priority="113" operator="containsText" text="Non contrôlé">
      <formula>NOT(ISERROR(SEARCH("Non contrôlé",C37)))</formula>
    </cfRule>
    <cfRule type="containsText" dxfId="290" priority="114" operator="containsText" text="Non validé">
      <formula>NOT(ISERROR(SEARCH("Non validé",C37)))</formula>
    </cfRule>
    <cfRule type="containsText" dxfId="289" priority="115" operator="containsText" text="réserve">
      <formula>NOT(ISERROR(SEARCH("réserve",C37)))</formula>
    </cfRule>
    <cfRule type="endsWith" dxfId="288" priority="116" operator="endsWith" text="Validé">
      <formula>RIGHT(C37,LEN("Validé"))="Validé"</formula>
    </cfRule>
  </conditionalFormatting>
  <conditionalFormatting sqref="D19">
    <cfRule type="cellIs" dxfId="287" priority="70" operator="greaterThanOrEqual">
      <formula>80</formula>
    </cfRule>
    <cfRule type="cellIs" dxfId="286" priority="71" operator="between">
      <formula>70</formula>
      <formula>79</formula>
    </cfRule>
    <cfRule type="cellIs" dxfId="285" priority="72" operator="lessThan">
      <formula>69</formula>
    </cfRule>
  </conditionalFormatting>
  <conditionalFormatting sqref="D37">
    <cfRule type="cellIs" dxfId="284" priority="1" operator="greaterThanOrEqual">
      <formula>80</formula>
    </cfRule>
    <cfRule type="cellIs" dxfId="283" priority="2" operator="between">
      <formula>70</formula>
      <formula>79</formula>
    </cfRule>
    <cfRule type="cellIs" dxfId="282" priority="3" operator="lessThan">
      <formula>69</formula>
    </cfRule>
  </conditionalFormatting>
  <conditionalFormatting sqref="H9:H17">
    <cfRule type="containsText" dxfId="281" priority="221" operator="containsText" text="Non contrôlé">
      <formula>NOT(ISERROR(SEARCH("Non contrôlé",H9)))</formula>
    </cfRule>
    <cfRule type="containsText" dxfId="280" priority="222" operator="containsText" text="Non validé">
      <formula>NOT(ISERROR(SEARCH("Non validé",H9)))</formula>
    </cfRule>
    <cfRule type="containsText" dxfId="279" priority="223" operator="containsText" text="réserve">
      <formula>NOT(ISERROR(SEARCH("réserve",H9)))</formula>
    </cfRule>
    <cfRule type="endsWith" dxfId="278" priority="224" operator="endsWith" text="Validé">
      <formula>RIGHT(H9,LEN("Validé"))="Validé"</formula>
    </cfRule>
  </conditionalFormatting>
  <conditionalFormatting sqref="H19:H20">
    <cfRule type="containsText" dxfId="277" priority="217" operator="containsText" text="Non contrôlé">
      <formula>NOT(ISERROR(SEARCH("Non contrôlé",H19)))</formula>
    </cfRule>
    <cfRule type="containsText" dxfId="276" priority="218" operator="containsText" text="Non validé">
      <formula>NOT(ISERROR(SEARCH("Non validé",H19)))</formula>
    </cfRule>
    <cfRule type="containsText" dxfId="275" priority="219" operator="containsText" text="réserve">
      <formula>NOT(ISERROR(SEARCH("réserve",H19)))</formula>
    </cfRule>
    <cfRule type="endsWith" dxfId="274" priority="220" operator="endsWith" text="Validé">
      <formula>RIGHT(H19,LEN("Validé"))="Validé"</formula>
    </cfRule>
  </conditionalFormatting>
  <conditionalFormatting sqref="H26:H35">
    <cfRule type="containsText" dxfId="273" priority="97" operator="containsText" text="Non contrôlé">
      <formula>NOT(ISERROR(SEARCH("Non contrôlé",H26)))</formula>
    </cfRule>
    <cfRule type="containsText" dxfId="272" priority="98" operator="containsText" text="Non validé">
      <formula>NOT(ISERROR(SEARCH("Non validé",H26)))</formula>
    </cfRule>
    <cfRule type="containsText" dxfId="271" priority="99" operator="containsText" text="réserve">
      <formula>NOT(ISERROR(SEARCH("réserve",H26)))</formula>
    </cfRule>
    <cfRule type="endsWith" dxfId="270" priority="100" operator="endsWith" text="Validé">
      <formula>RIGHT(H26,LEN("Validé"))="Validé"</formula>
    </cfRule>
  </conditionalFormatting>
  <conditionalFormatting sqref="H37">
    <cfRule type="containsText" dxfId="269" priority="121" operator="containsText" text="Non contrôlé">
      <formula>NOT(ISERROR(SEARCH("Non contrôlé",H37)))</formula>
    </cfRule>
    <cfRule type="containsText" dxfId="268" priority="122" operator="containsText" text="Non validé">
      <formula>NOT(ISERROR(SEARCH("Non validé",H37)))</formula>
    </cfRule>
    <cfRule type="containsText" dxfId="267" priority="123" operator="containsText" text="réserve">
      <formula>NOT(ISERROR(SEARCH("réserve",H37)))</formula>
    </cfRule>
    <cfRule type="endsWith" dxfId="266" priority="124" operator="endsWith" text="Validé">
      <formula>RIGHT(H37,LEN("Validé"))="Validé"</formula>
    </cfRule>
  </conditionalFormatting>
  <conditionalFormatting sqref="I19">
    <cfRule type="cellIs" dxfId="265" priority="67" operator="greaterThanOrEqual">
      <formula>80</formula>
    </cfRule>
    <cfRule type="cellIs" dxfId="264" priority="68" operator="between">
      <formula>70</formula>
      <formula>79</formula>
    </cfRule>
    <cfRule type="cellIs" dxfId="263" priority="69" operator="lessThan">
      <formula>69</formula>
    </cfRule>
  </conditionalFormatting>
  <conditionalFormatting sqref="I37">
    <cfRule type="cellIs" dxfId="262" priority="4" operator="greaterThanOrEqual">
      <formula>80</formula>
    </cfRule>
    <cfRule type="cellIs" dxfId="261" priority="5" operator="between">
      <formula>70</formula>
      <formula>79</formula>
    </cfRule>
    <cfRule type="cellIs" dxfId="260" priority="6" operator="lessThan">
      <formula>69</formula>
    </cfRule>
  </conditionalFormatting>
  <conditionalFormatting sqref="M9:M17">
    <cfRule type="containsText" dxfId="259" priority="229" operator="containsText" text="Non contrôlé">
      <formula>NOT(ISERROR(SEARCH("Non contrôlé",M9)))</formula>
    </cfRule>
    <cfRule type="containsText" dxfId="258" priority="230" operator="containsText" text="Non validé">
      <formula>NOT(ISERROR(SEARCH("Non validé",M9)))</formula>
    </cfRule>
    <cfRule type="containsText" dxfId="257" priority="231" operator="containsText" text="réserve">
      <formula>NOT(ISERROR(SEARCH("réserve",M9)))</formula>
    </cfRule>
    <cfRule type="endsWith" dxfId="256" priority="232" operator="endsWith" text="Validé">
      <formula>RIGHT(M9,LEN("Validé"))="Validé"</formula>
    </cfRule>
  </conditionalFormatting>
  <conditionalFormatting sqref="M19:M20">
    <cfRule type="containsText" dxfId="255" priority="225" operator="containsText" text="Non contrôlé">
      <formula>NOT(ISERROR(SEARCH("Non contrôlé",M19)))</formula>
    </cfRule>
    <cfRule type="containsText" dxfId="254" priority="226" operator="containsText" text="Non validé">
      <formula>NOT(ISERROR(SEARCH("Non validé",M19)))</formula>
    </cfRule>
    <cfRule type="containsText" dxfId="253" priority="227" operator="containsText" text="réserve">
      <formula>NOT(ISERROR(SEARCH("réserve",M19)))</formula>
    </cfRule>
    <cfRule type="endsWith" dxfId="252" priority="228" operator="endsWith" text="Validé">
      <formula>RIGHT(M19,LEN("Validé"))="Validé"</formula>
    </cfRule>
  </conditionalFormatting>
  <conditionalFormatting sqref="M26:M34">
    <cfRule type="containsText" dxfId="251" priority="129" operator="containsText" text="Non contrôlé">
      <formula>NOT(ISERROR(SEARCH("Non contrôlé",M26)))</formula>
    </cfRule>
    <cfRule type="containsText" dxfId="250" priority="130" operator="containsText" text="Non validé">
      <formula>NOT(ISERROR(SEARCH("Non validé",M26)))</formula>
    </cfRule>
    <cfRule type="containsText" dxfId="249" priority="131" operator="containsText" text="réserve">
      <formula>NOT(ISERROR(SEARCH("réserve",M26)))</formula>
    </cfRule>
    <cfRule type="endsWith" dxfId="248" priority="132" operator="endsWith" text="Validé">
      <formula>RIGHT(M26,LEN("Validé"))="Validé"</formula>
    </cfRule>
  </conditionalFormatting>
  <conditionalFormatting sqref="M35">
    <cfRule type="containsText" dxfId="247" priority="133" operator="containsText" text="Non contrôlé">
      <formula>NOT(ISERROR(SEARCH("Non contrôlé",M35)))</formula>
    </cfRule>
    <cfRule type="containsText" dxfId="246" priority="134" operator="containsText" text="Non validé">
      <formula>NOT(ISERROR(SEARCH("Non validé",M35)))</formula>
    </cfRule>
    <cfRule type="containsText" dxfId="245" priority="135" operator="containsText" text="réserve">
      <formula>NOT(ISERROR(SEARCH("réserve",M35)))</formula>
    </cfRule>
    <cfRule type="endsWith" dxfId="244" priority="136" operator="endsWith" text="Validé">
      <formula>RIGHT(M35,LEN("Validé"))="Validé"</formula>
    </cfRule>
  </conditionalFormatting>
  <conditionalFormatting sqref="M37">
    <cfRule type="containsText" dxfId="243" priority="125" operator="containsText" text="Non contrôlé">
      <formula>NOT(ISERROR(SEARCH("Non contrôlé",M37)))</formula>
    </cfRule>
    <cfRule type="containsText" dxfId="242" priority="126" operator="containsText" text="Non validé">
      <formula>NOT(ISERROR(SEARCH("Non validé",M37)))</formula>
    </cfRule>
    <cfRule type="containsText" dxfId="241" priority="127" operator="containsText" text="réserve">
      <formula>NOT(ISERROR(SEARCH("réserve",M37)))</formula>
    </cfRule>
    <cfRule type="endsWith" dxfId="240" priority="128" operator="endsWith" text="Validé">
      <formula>RIGHT(M37,LEN("Validé"))="Validé"</formula>
    </cfRule>
  </conditionalFormatting>
  <conditionalFormatting sqref="N19">
    <cfRule type="cellIs" dxfId="239" priority="64" operator="greaterThanOrEqual">
      <formula>80</formula>
    </cfRule>
    <cfRule type="cellIs" dxfId="238" priority="65" operator="between">
      <formula>70</formula>
      <formula>79</formula>
    </cfRule>
    <cfRule type="cellIs" dxfId="237" priority="66" operator="lessThan">
      <formula>69</formula>
    </cfRule>
  </conditionalFormatting>
  <conditionalFormatting sqref="N37">
    <cfRule type="cellIs" dxfId="236" priority="7" operator="greaterThanOrEqual">
      <formula>80</formula>
    </cfRule>
    <cfRule type="cellIs" dxfId="235" priority="8" operator="between">
      <formula>70</formula>
      <formula>79</formula>
    </cfRule>
    <cfRule type="cellIs" dxfId="234" priority="9" operator="lessThan">
      <formula>69</formula>
    </cfRule>
  </conditionalFormatting>
  <conditionalFormatting sqref="R9:R17">
    <cfRule type="containsText" dxfId="233" priority="237" operator="containsText" text="Non contrôlé">
      <formula>NOT(ISERROR(SEARCH("Non contrôlé",R9)))</formula>
    </cfRule>
    <cfRule type="containsText" dxfId="232" priority="238" operator="containsText" text="Non validé">
      <formula>NOT(ISERROR(SEARCH("Non validé",R9)))</formula>
    </cfRule>
    <cfRule type="containsText" dxfId="231" priority="239" operator="containsText" text="réserve">
      <formula>NOT(ISERROR(SEARCH("réserve",R9)))</formula>
    </cfRule>
    <cfRule type="endsWith" dxfId="230" priority="240" operator="endsWith" text="Validé">
      <formula>RIGHT(R9,LEN("Validé"))="Validé"</formula>
    </cfRule>
  </conditionalFormatting>
  <conditionalFormatting sqref="R19">
    <cfRule type="containsText" dxfId="229" priority="233" operator="containsText" text="Non contrôlé">
      <formula>NOT(ISERROR(SEARCH("Non contrôlé",R19)))</formula>
    </cfRule>
    <cfRule type="containsText" dxfId="228" priority="234" operator="containsText" text="Non validé">
      <formula>NOT(ISERROR(SEARCH("Non validé",R19)))</formula>
    </cfRule>
    <cfRule type="containsText" dxfId="227" priority="235" operator="containsText" text="réserve">
      <formula>NOT(ISERROR(SEARCH("réserve",R19)))</formula>
    </cfRule>
    <cfRule type="endsWith" dxfId="226" priority="236" operator="endsWith" text="Validé">
      <formula>RIGHT(R19,LEN("Validé"))="Validé"</formula>
    </cfRule>
  </conditionalFormatting>
  <conditionalFormatting sqref="R26:R34">
    <cfRule type="containsText" dxfId="225" priority="141" operator="containsText" text="Non contrôlé">
      <formula>NOT(ISERROR(SEARCH("Non contrôlé",R26)))</formula>
    </cfRule>
    <cfRule type="containsText" dxfId="224" priority="142" operator="containsText" text="Non validé">
      <formula>NOT(ISERROR(SEARCH("Non validé",R26)))</formula>
    </cfRule>
    <cfRule type="containsText" dxfId="223" priority="143" operator="containsText" text="réserve">
      <formula>NOT(ISERROR(SEARCH("réserve",R26)))</formula>
    </cfRule>
    <cfRule type="endsWith" dxfId="222" priority="144" operator="endsWith" text="Validé">
      <formula>RIGHT(R26,LEN("Validé"))="Validé"</formula>
    </cfRule>
  </conditionalFormatting>
  <conditionalFormatting sqref="R35">
    <cfRule type="containsText" dxfId="221" priority="145" operator="containsText" text="Non contrôlé">
      <formula>NOT(ISERROR(SEARCH("Non contrôlé",R35)))</formula>
    </cfRule>
    <cfRule type="containsText" dxfId="220" priority="146" operator="containsText" text="Non validé">
      <formula>NOT(ISERROR(SEARCH("Non validé",R35)))</formula>
    </cfRule>
    <cfRule type="containsText" dxfId="219" priority="147" operator="containsText" text="réserve">
      <formula>NOT(ISERROR(SEARCH("réserve",R35)))</formula>
    </cfRule>
    <cfRule type="endsWith" dxfId="218" priority="148" operator="endsWith" text="Validé">
      <formula>RIGHT(R35,LEN("Validé"))="Validé"</formula>
    </cfRule>
  </conditionalFormatting>
  <conditionalFormatting sqref="R37">
    <cfRule type="containsText" dxfId="217" priority="137" operator="containsText" text="Non contrôlé">
      <formula>NOT(ISERROR(SEARCH("Non contrôlé",R37)))</formula>
    </cfRule>
    <cfRule type="containsText" dxfId="216" priority="138" operator="containsText" text="Non validé">
      <formula>NOT(ISERROR(SEARCH("Non validé",R37)))</formula>
    </cfRule>
    <cfRule type="containsText" dxfId="215" priority="139" operator="containsText" text="réserve">
      <formula>NOT(ISERROR(SEARCH("réserve",R37)))</formula>
    </cfRule>
    <cfRule type="endsWith" dxfId="214" priority="140" operator="endsWith" text="Validé">
      <formula>RIGHT(R37,LEN("Validé"))="Validé"</formula>
    </cfRule>
  </conditionalFormatting>
  <conditionalFormatting sqref="S19">
    <cfRule type="cellIs" dxfId="213" priority="61" operator="greaterThanOrEqual">
      <formula>80</formula>
    </cfRule>
    <cfRule type="cellIs" dxfId="212" priority="62" operator="between">
      <formula>70</formula>
      <formula>79</formula>
    </cfRule>
    <cfRule type="cellIs" dxfId="211" priority="63" operator="lessThan">
      <formula>69</formula>
    </cfRule>
  </conditionalFormatting>
  <conditionalFormatting sqref="S37">
    <cfRule type="cellIs" dxfId="210" priority="10" operator="greaterThanOrEqual">
      <formula>80</formula>
    </cfRule>
    <cfRule type="cellIs" dxfId="209" priority="11" operator="between">
      <formula>70</formula>
      <formula>79</formula>
    </cfRule>
    <cfRule type="cellIs" dxfId="208" priority="12" operator="lessThan">
      <formula>69</formula>
    </cfRule>
  </conditionalFormatting>
  <conditionalFormatting sqref="W9:W17">
    <cfRule type="containsText" dxfId="207" priority="109" operator="containsText" text="Non contrôlé">
      <formula>NOT(ISERROR(SEARCH("Non contrôlé",W9)))</formula>
    </cfRule>
    <cfRule type="containsText" dxfId="206" priority="110" operator="containsText" text="Non validé">
      <formula>NOT(ISERROR(SEARCH("Non validé",W9)))</formula>
    </cfRule>
    <cfRule type="containsText" dxfId="205" priority="111" operator="containsText" text="réserve">
      <formula>NOT(ISERROR(SEARCH("réserve",W9)))</formula>
    </cfRule>
    <cfRule type="endsWith" dxfId="204" priority="112" operator="endsWith" text="Validé">
      <formula>RIGHT(W9,LEN("Validé"))="Validé"</formula>
    </cfRule>
  </conditionalFormatting>
  <conditionalFormatting sqref="W19">
    <cfRule type="containsText" dxfId="203" priority="241" operator="containsText" text="Non contrôlé">
      <formula>NOT(ISERROR(SEARCH("Non contrôlé",W19)))</formula>
    </cfRule>
    <cfRule type="containsText" dxfId="202" priority="242" operator="containsText" text="Non validé">
      <formula>NOT(ISERROR(SEARCH("Non validé",W19)))</formula>
    </cfRule>
    <cfRule type="containsText" dxfId="201" priority="243" operator="containsText" text="réserve">
      <formula>NOT(ISERROR(SEARCH("réserve",W19)))</formula>
    </cfRule>
    <cfRule type="endsWith" dxfId="200" priority="244" operator="endsWith" text="Validé">
      <formula>RIGHT(W19,LEN("Validé"))="Validé"</formula>
    </cfRule>
  </conditionalFormatting>
  <conditionalFormatting sqref="W26:W34">
    <cfRule type="containsText" dxfId="199" priority="153" operator="containsText" text="Non contrôlé">
      <formula>NOT(ISERROR(SEARCH("Non contrôlé",W26)))</formula>
    </cfRule>
    <cfRule type="containsText" dxfId="198" priority="154" operator="containsText" text="Non validé">
      <formula>NOT(ISERROR(SEARCH("Non validé",W26)))</formula>
    </cfRule>
    <cfRule type="containsText" dxfId="197" priority="155" operator="containsText" text="réserve">
      <formula>NOT(ISERROR(SEARCH("réserve",W26)))</formula>
    </cfRule>
    <cfRule type="endsWith" dxfId="196" priority="156" operator="endsWith" text="Validé">
      <formula>RIGHT(W26,LEN("Validé"))="Validé"</formula>
    </cfRule>
  </conditionalFormatting>
  <conditionalFormatting sqref="W35">
    <cfRule type="containsText" dxfId="195" priority="157" operator="containsText" text="Non contrôlé">
      <formula>NOT(ISERROR(SEARCH("Non contrôlé",W35)))</formula>
    </cfRule>
    <cfRule type="containsText" dxfId="194" priority="158" operator="containsText" text="Non validé">
      <formula>NOT(ISERROR(SEARCH("Non validé",W35)))</formula>
    </cfRule>
    <cfRule type="containsText" dxfId="193" priority="159" operator="containsText" text="réserve">
      <formula>NOT(ISERROR(SEARCH("réserve",W35)))</formula>
    </cfRule>
    <cfRule type="endsWith" dxfId="192" priority="160" operator="endsWith" text="Validé">
      <formula>RIGHT(W35,LEN("Validé"))="Validé"</formula>
    </cfRule>
  </conditionalFormatting>
  <conditionalFormatting sqref="W37">
    <cfRule type="containsText" dxfId="191" priority="149" operator="containsText" text="Non contrôlé">
      <formula>NOT(ISERROR(SEARCH("Non contrôlé",W37)))</formula>
    </cfRule>
    <cfRule type="containsText" dxfId="190" priority="150" operator="containsText" text="Non validé">
      <formula>NOT(ISERROR(SEARCH("Non validé",W37)))</formula>
    </cfRule>
    <cfRule type="containsText" dxfId="189" priority="151" operator="containsText" text="réserve">
      <formula>NOT(ISERROR(SEARCH("réserve",W37)))</formula>
    </cfRule>
    <cfRule type="endsWith" dxfId="188" priority="152" operator="endsWith" text="Validé">
      <formula>RIGHT(W37,LEN("Validé"))="Validé"</formula>
    </cfRule>
  </conditionalFormatting>
  <conditionalFormatting sqref="X19">
    <cfRule type="cellIs" dxfId="187" priority="58" operator="greaterThanOrEqual">
      <formula>80</formula>
    </cfRule>
    <cfRule type="cellIs" dxfId="186" priority="59" operator="between">
      <formula>70</formula>
      <formula>79</formula>
    </cfRule>
    <cfRule type="cellIs" dxfId="185" priority="60" operator="lessThan">
      <formula>69</formula>
    </cfRule>
  </conditionalFormatting>
  <conditionalFormatting sqref="X37">
    <cfRule type="cellIs" dxfId="184" priority="13" operator="greaterThanOrEqual">
      <formula>80</formula>
    </cfRule>
    <cfRule type="cellIs" dxfId="183" priority="14" operator="between">
      <formula>70</formula>
      <formula>79</formula>
    </cfRule>
    <cfRule type="cellIs" dxfId="182" priority="15" operator="lessThan">
      <formula>69</formula>
    </cfRule>
  </conditionalFormatting>
  <conditionalFormatting sqref="AB9:AB17">
    <cfRule type="containsText" dxfId="181" priority="249" operator="containsText" text="Non contrôlé">
      <formula>NOT(ISERROR(SEARCH("Non contrôlé",AB9)))</formula>
    </cfRule>
    <cfRule type="containsText" dxfId="180" priority="250" operator="containsText" text="Non validé">
      <formula>NOT(ISERROR(SEARCH("Non validé",AB9)))</formula>
    </cfRule>
    <cfRule type="containsText" dxfId="179" priority="251" operator="containsText" text="réserve">
      <formula>NOT(ISERROR(SEARCH("réserve",AB9)))</formula>
    </cfRule>
    <cfRule type="endsWith" dxfId="178" priority="252" operator="endsWith" text="Validé">
      <formula>RIGHT(AB9,LEN("Validé"))="Validé"</formula>
    </cfRule>
  </conditionalFormatting>
  <conditionalFormatting sqref="AB19">
    <cfRule type="containsText" dxfId="177" priority="245" operator="containsText" text="Non contrôlé">
      <formula>NOT(ISERROR(SEARCH("Non contrôlé",AB19)))</formula>
    </cfRule>
    <cfRule type="containsText" dxfId="176" priority="246" operator="containsText" text="Non validé">
      <formula>NOT(ISERROR(SEARCH("Non validé",AB19)))</formula>
    </cfRule>
    <cfRule type="containsText" dxfId="175" priority="247" operator="containsText" text="réserve">
      <formula>NOT(ISERROR(SEARCH("réserve",AB19)))</formula>
    </cfRule>
    <cfRule type="endsWith" dxfId="174" priority="248" operator="endsWith" text="Validé">
      <formula>RIGHT(AB19,LEN("Validé"))="Validé"</formula>
    </cfRule>
  </conditionalFormatting>
  <conditionalFormatting sqref="AB26:AB34">
    <cfRule type="containsText" dxfId="173" priority="165" operator="containsText" text="Non contrôlé">
      <formula>NOT(ISERROR(SEARCH("Non contrôlé",AB26)))</formula>
    </cfRule>
    <cfRule type="containsText" dxfId="172" priority="166" operator="containsText" text="Non validé">
      <formula>NOT(ISERROR(SEARCH("Non validé",AB26)))</formula>
    </cfRule>
    <cfRule type="containsText" dxfId="171" priority="167" operator="containsText" text="réserve">
      <formula>NOT(ISERROR(SEARCH("réserve",AB26)))</formula>
    </cfRule>
    <cfRule type="endsWith" dxfId="170" priority="168" operator="endsWith" text="Validé">
      <formula>RIGHT(AB26,LEN("Validé"))="Validé"</formula>
    </cfRule>
  </conditionalFormatting>
  <conditionalFormatting sqref="AB35">
    <cfRule type="containsText" dxfId="169" priority="169" operator="containsText" text="Non contrôlé">
      <formula>NOT(ISERROR(SEARCH("Non contrôlé",AB35)))</formula>
    </cfRule>
    <cfRule type="containsText" dxfId="168" priority="170" operator="containsText" text="Non validé">
      <formula>NOT(ISERROR(SEARCH("Non validé",AB35)))</formula>
    </cfRule>
    <cfRule type="containsText" dxfId="167" priority="171" operator="containsText" text="réserve">
      <formula>NOT(ISERROR(SEARCH("réserve",AB35)))</formula>
    </cfRule>
    <cfRule type="endsWith" dxfId="166" priority="172" operator="endsWith" text="Validé">
      <formula>RIGHT(AB35,LEN("Validé"))="Validé"</formula>
    </cfRule>
  </conditionalFormatting>
  <conditionalFormatting sqref="AB37">
    <cfRule type="containsText" dxfId="165" priority="161" operator="containsText" text="Non contrôlé">
      <formula>NOT(ISERROR(SEARCH("Non contrôlé",AB37)))</formula>
    </cfRule>
    <cfRule type="containsText" dxfId="164" priority="162" operator="containsText" text="Non validé">
      <formula>NOT(ISERROR(SEARCH("Non validé",AB37)))</formula>
    </cfRule>
    <cfRule type="containsText" dxfId="163" priority="163" operator="containsText" text="réserve">
      <formula>NOT(ISERROR(SEARCH("réserve",AB37)))</formula>
    </cfRule>
    <cfRule type="endsWith" dxfId="162" priority="164" operator="endsWith" text="Validé">
      <formula>RIGHT(AB37,LEN("Validé"))="Validé"</formula>
    </cfRule>
  </conditionalFormatting>
  <conditionalFormatting sqref="AC19">
    <cfRule type="cellIs" dxfId="161" priority="55" operator="greaterThanOrEqual">
      <formula>80</formula>
    </cfRule>
    <cfRule type="cellIs" dxfId="160" priority="56" operator="between">
      <formula>70</formula>
      <formula>79</formula>
    </cfRule>
    <cfRule type="cellIs" dxfId="159" priority="57" operator="lessThan">
      <formula>69</formula>
    </cfRule>
  </conditionalFormatting>
  <conditionalFormatting sqref="AC37:AD37">
    <cfRule type="cellIs" dxfId="158" priority="16" operator="greaterThanOrEqual">
      <formula>80</formula>
    </cfRule>
    <cfRule type="cellIs" dxfId="157" priority="17" operator="between">
      <formula>70</formula>
      <formula>79</formula>
    </cfRule>
    <cfRule type="cellIs" dxfId="156" priority="18" operator="lessThan">
      <formula>69</formula>
    </cfRule>
  </conditionalFormatting>
  <conditionalFormatting sqref="AG9:AG17">
    <cfRule type="containsText" dxfId="155" priority="257" operator="containsText" text="Non contrôlé">
      <formula>NOT(ISERROR(SEARCH("Non contrôlé",AG9)))</formula>
    </cfRule>
    <cfRule type="containsText" dxfId="154" priority="258" operator="containsText" text="Non validé">
      <formula>NOT(ISERROR(SEARCH("Non validé",AG9)))</formula>
    </cfRule>
    <cfRule type="containsText" dxfId="153" priority="259" operator="containsText" text="réserve">
      <formula>NOT(ISERROR(SEARCH("réserve",AG9)))</formula>
    </cfRule>
    <cfRule type="endsWith" dxfId="152" priority="260" operator="endsWith" text="Validé">
      <formula>RIGHT(AG9,LEN("Validé"))="Validé"</formula>
    </cfRule>
  </conditionalFormatting>
  <conditionalFormatting sqref="AG19">
    <cfRule type="containsText" dxfId="151" priority="253" operator="containsText" text="Non contrôlé">
      <formula>NOT(ISERROR(SEARCH("Non contrôlé",AG19)))</formula>
    </cfRule>
    <cfRule type="containsText" dxfId="150" priority="254" operator="containsText" text="Non validé">
      <formula>NOT(ISERROR(SEARCH("Non validé",AG19)))</formula>
    </cfRule>
    <cfRule type="containsText" dxfId="149" priority="255" operator="containsText" text="réserve">
      <formula>NOT(ISERROR(SEARCH("réserve",AG19)))</formula>
    </cfRule>
    <cfRule type="endsWith" dxfId="148" priority="256" operator="endsWith" text="Validé">
      <formula>RIGHT(AG19,LEN("Validé"))="Validé"</formula>
    </cfRule>
  </conditionalFormatting>
  <conditionalFormatting sqref="AG26:AG34">
    <cfRule type="containsText" dxfId="147" priority="177" operator="containsText" text="Non contrôlé">
      <formula>NOT(ISERROR(SEARCH("Non contrôlé",AG26)))</formula>
    </cfRule>
    <cfRule type="containsText" dxfId="146" priority="178" operator="containsText" text="Non validé">
      <formula>NOT(ISERROR(SEARCH("Non validé",AG26)))</formula>
    </cfRule>
    <cfRule type="containsText" dxfId="145" priority="179" operator="containsText" text="réserve">
      <formula>NOT(ISERROR(SEARCH("réserve",AG26)))</formula>
    </cfRule>
    <cfRule type="endsWith" dxfId="144" priority="180" operator="endsWith" text="Validé">
      <formula>RIGHT(AG26,LEN("Validé"))="Validé"</formula>
    </cfRule>
  </conditionalFormatting>
  <conditionalFormatting sqref="AG35">
    <cfRule type="containsText" dxfId="143" priority="181" operator="containsText" text="Non contrôlé">
      <formula>NOT(ISERROR(SEARCH("Non contrôlé",AG35)))</formula>
    </cfRule>
    <cfRule type="containsText" dxfId="142" priority="182" operator="containsText" text="Non validé">
      <formula>NOT(ISERROR(SEARCH("Non validé",AG35)))</formula>
    </cfRule>
    <cfRule type="containsText" dxfId="141" priority="183" operator="containsText" text="réserve">
      <formula>NOT(ISERROR(SEARCH("réserve",AG35)))</formula>
    </cfRule>
    <cfRule type="endsWith" dxfId="140" priority="184" operator="endsWith" text="Validé">
      <formula>RIGHT(AG35,LEN("Validé"))="Validé"</formula>
    </cfRule>
  </conditionalFormatting>
  <conditionalFormatting sqref="AG37">
    <cfRule type="containsText" dxfId="139" priority="173" operator="containsText" text="Non contrôlé">
      <formula>NOT(ISERROR(SEARCH("Non contrôlé",AG37)))</formula>
    </cfRule>
    <cfRule type="containsText" dxfId="138" priority="174" operator="containsText" text="Non validé">
      <formula>NOT(ISERROR(SEARCH("Non validé",AG37)))</formula>
    </cfRule>
    <cfRule type="containsText" dxfId="137" priority="175" operator="containsText" text="réserve">
      <formula>NOT(ISERROR(SEARCH("réserve",AG37)))</formula>
    </cfRule>
    <cfRule type="endsWith" dxfId="136" priority="176" operator="endsWith" text="Validé">
      <formula>RIGHT(AG37,LEN("Validé"))="Validé"</formula>
    </cfRule>
  </conditionalFormatting>
  <conditionalFormatting sqref="AH19">
    <cfRule type="cellIs" dxfId="135" priority="52" operator="greaterThanOrEqual">
      <formula>80</formula>
    </cfRule>
    <cfRule type="cellIs" dxfId="134" priority="53" operator="between">
      <formula>70</formula>
      <formula>79</formula>
    </cfRule>
    <cfRule type="cellIs" dxfId="133" priority="54" operator="lessThan">
      <formula>69</formula>
    </cfRule>
  </conditionalFormatting>
  <conditionalFormatting sqref="AH37">
    <cfRule type="cellIs" dxfId="132" priority="19" operator="greaterThanOrEqual">
      <formula>80</formula>
    </cfRule>
    <cfRule type="cellIs" dxfId="131" priority="20" operator="between">
      <formula>70</formula>
      <formula>79</formula>
    </cfRule>
    <cfRule type="cellIs" dxfId="130" priority="21" operator="lessThan">
      <formula>69</formula>
    </cfRule>
  </conditionalFormatting>
  <conditionalFormatting sqref="AL9:AL17">
    <cfRule type="containsText" dxfId="129" priority="265" operator="containsText" text="Non contrôlé">
      <formula>NOT(ISERROR(SEARCH("Non contrôlé",AL9)))</formula>
    </cfRule>
    <cfRule type="containsText" dxfId="128" priority="266" operator="containsText" text="Non validé">
      <formula>NOT(ISERROR(SEARCH("Non validé",AL9)))</formula>
    </cfRule>
    <cfRule type="containsText" dxfId="127" priority="267" operator="containsText" text="réserve">
      <formula>NOT(ISERROR(SEARCH("réserve",AL9)))</formula>
    </cfRule>
    <cfRule type="endsWith" dxfId="126" priority="268" operator="endsWith" text="Validé">
      <formula>RIGHT(AL9,LEN("Validé"))="Validé"</formula>
    </cfRule>
  </conditionalFormatting>
  <conditionalFormatting sqref="AL19">
    <cfRule type="containsText" dxfId="125" priority="261" operator="containsText" text="Non contrôlé">
      <formula>NOT(ISERROR(SEARCH("Non contrôlé",AL19)))</formula>
    </cfRule>
    <cfRule type="containsText" dxfId="124" priority="262" operator="containsText" text="Non validé">
      <formula>NOT(ISERROR(SEARCH("Non validé",AL19)))</formula>
    </cfRule>
    <cfRule type="containsText" dxfId="123" priority="263" operator="containsText" text="réserve">
      <formula>NOT(ISERROR(SEARCH("réserve",AL19)))</formula>
    </cfRule>
    <cfRule type="endsWith" dxfId="122" priority="264" operator="endsWith" text="Validé">
      <formula>RIGHT(AL19,LEN("Validé"))="Validé"</formula>
    </cfRule>
  </conditionalFormatting>
  <conditionalFormatting sqref="AL26:AL34">
    <cfRule type="containsText" dxfId="121" priority="189" operator="containsText" text="Non contrôlé">
      <formula>NOT(ISERROR(SEARCH("Non contrôlé",AL26)))</formula>
    </cfRule>
    <cfRule type="containsText" dxfId="120" priority="190" operator="containsText" text="Non validé">
      <formula>NOT(ISERROR(SEARCH("Non validé",AL26)))</formula>
    </cfRule>
    <cfRule type="containsText" dxfId="119" priority="191" operator="containsText" text="réserve">
      <formula>NOT(ISERROR(SEARCH("réserve",AL26)))</formula>
    </cfRule>
    <cfRule type="endsWith" dxfId="118" priority="192" operator="endsWith" text="Validé">
      <formula>RIGHT(AL26,LEN("Validé"))="Validé"</formula>
    </cfRule>
  </conditionalFormatting>
  <conditionalFormatting sqref="AL35">
    <cfRule type="containsText" dxfId="117" priority="193" operator="containsText" text="Non contrôlé">
      <formula>NOT(ISERROR(SEARCH("Non contrôlé",AL35)))</formula>
    </cfRule>
    <cfRule type="containsText" dxfId="116" priority="194" operator="containsText" text="Non validé">
      <formula>NOT(ISERROR(SEARCH("Non validé",AL35)))</formula>
    </cfRule>
    <cfRule type="containsText" dxfId="115" priority="195" operator="containsText" text="réserve">
      <formula>NOT(ISERROR(SEARCH("réserve",AL35)))</formula>
    </cfRule>
    <cfRule type="endsWith" dxfId="114" priority="196" operator="endsWith" text="Validé">
      <formula>RIGHT(AL35,LEN("Validé"))="Validé"</formula>
    </cfRule>
  </conditionalFormatting>
  <conditionalFormatting sqref="AL37">
    <cfRule type="containsText" dxfId="113" priority="185" operator="containsText" text="Non contrôlé">
      <formula>NOT(ISERROR(SEARCH("Non contrôlé",AL37)))</formula>
    </cfRule>
    <cfRule type="containsText" dxfId="112" priority="186" operator="containsText" text="Non validé">
      <formula>NOT(ISERROR(SEARCH("Non validé",AL37)))</formula>
    </cfRule>
    <cfRule type="containsText" dxfId="111" priority="187" operator="containsText" text="réserve">
      <formula>NOT(ISERROR(SEARCH("réserve",AL37)))</formula>
    </cfRule>
    <cfRule type="endsWith" dxfId="110" priority="188" operator="endsWith" text="Validé">
      <formula>RIGHT(AL37,LEN("Validé"))="Validé"</formula>
    </cfRule>
  </conditionalFormatting>
  <conditionalFormatting sqref="AM19">
    <cfRule type="cellIs" dxfId="109" priority="49" operator="greaterThanOrEqual">
      <formula>80</formula>
    </cfRule>
    <cfRule type="cellIs" dxfId="108" priority="50" operator="between">
      <formula>70</formula>
      <formula>79</formula>
    </cfRule>
    <cfRule type="cellIs" dxfId="107" priority="51" operator="lessThan">
      <formula>69</formula>
    </cfRule>
  </conditionalFormatting>
  <conditionalFormatting sqref="AM37">
    <cfRule type="cellIs" dxfId="106" priority="22" operator="greaterThanOrEqual">
      <formula>80</formula>
    </cfRule>
    <cfRule type="cellIs" dxfId="105" priority="23" operator="between">
      <formula>70</formula>
      <formula>79</formula>
    </cfRule>
    <cfRule type="cellIs" dxfId="104" priority="24" operator="lessThan">
      <formula>69</formula>
    </cfRule>
  </conditionalFormatting>
  <conditionalFormatting sqref="AQ9:AQ17">
    <cfRule type="containsText" dxfId="103" priority="273" operator="containsText" text="Non contrôlé">
      <formula>NOT(ISERROR(SEARCH("Non contrôlé",AQ9)))</formula>
    </cfRule>
    <cfRule type="containsText" dxfId="102" priority="274" operator="containsText" text="Non validé">
      <formula>NOT(ISERROR(SEARCH("Non validé",AQ9)))</formula>
    </cfRule>
    <cfRule type="containsText" dxfId="101" priority="275" operator="containsText" text="réserve">
      <formula>NOT(ISERROR(SEARCH("réserve",AQ9)))</formula>
    </cfRule>
    <cfRule type="endsWith" dxfId="100" priority="276" operator="endsWith" text="Validé">
      <formula>RIGHT(AQ9,LEN("Validé"))="Validé"</formula>
    </cfRule>
  </conditionalFormatting>
  <conditionalFormatting sqref="AQ19">
    <cfRule type="containsText" dxfId="99" priority="269" operator="containsText" text="Non contrôlé">
      <formula>NOT(ISERROR(SEARCH("Non contrôlé",AQ19)))</formula>
    </cfRule>
    <cfRule type="containsText" dxfId="98" priority="270" operator="containsText" text="Non validé">
      <formula>NOT(ISERROR(SEARCH("Non validé",AQ19)))</formula>
    </cfRule>
    <cfRule type="containsText" dxfId="97" priority="271" operator="containsText" text="réserve">
      <formula>NOT(ISERROR(SEARCH("réserve",AQ19)))</formula>
    </cfRule>
    <cfRule type="endsWith" dxfId="96" priority="272" operator="endsWith" text="Validé">
      <formula>RIGHT(AQ19,LEN("Validé"))="Validé"</formula>
    </cfRule>
  </conditionalFormatting>
  <conditionalFormatting sqref="AQ26:AQ34">
    <cfRule type="containsText" dxfId="95" priority="201" operator="containsText" text="Non contrôlé">
      <formula>NOT(ISERROR(SEARCH("Non contrôlé",AQ26)))</formula>
    </cfRule>
    <cfRule type="containsText" dxfId="94" priority="202" operator="containsText" text="Non validé">
      <formula>NOT(ISERROR(SEARCH("Non validé",AQ26)))</formula>
    </cfRule>
    <cfRule type="containsText" dxfId="93" priority="203" operator="containsText" text="réserve">
      <formula>NOT(ISERROR(SEARCH("réserve",AQ26)))</formula>
    </cfRule>
    <cfRule type="endsWith" dxfId="92" priority="204" operator="endsWith" text="Validé">
      <formula>RIGHT(AQ26,LEN("Validé"))="Validé"</formula>
    </cfRule>
  </conditionalFormatting>
  <conditionalFormatting sqref="AQ35">
    <cfRule type="containsText" dxfId="91" priority="205" operator="containsText" text="Non contrôlé">
      <formula>NOT(ISERROR(SEARCH("Non contrôlé",AQ35)))</formula>
    </cfRule>
    <cfRule type="containsText" dxfId="90" priority="206" operator="containsText" text="Non validé">
      <formula>NOT(ISERROR(SEARCH("Non validé",AQ35)))</formula>
    </cfRule>
    <cfRule type="containsText" dxfId="89" priority="207" operator="containsText" text="réserve">
      <formula>NOT(ISERROR(SEARCH("réserve",AQ35)))</formula>
    </cfRule>
    <cfRule type="endsWith" dxfId="88" priority="208" operator="endsWith" text="Validé">
      <formula>RIGHT(AQ35,LEN("Validé"))="Validé"</formula>
    </cfRule>
  </conditionalFormatting>
  <conditionalFormatting sqref="AQ37">
    <cfRule type="containsText" dxfId="87" priority="197" operator="containsText" text="Non contrôlé">
      <formula>NOT(ISERROR(SEARCH("Non contrôlé",AQ37)))</formula>
    </cfRule>
    <cfRule type="containsText" dxfId="86" priority="198" operator="containsText" text="Non validé">
      <formula>NOT(ISERROR(SEARCH("Non validé",AQ37)))</formula>
    </cfRule>
    <cfRule type="containsText" dxfId="85" priority="199" operator="containsText" text="réserve">
      <formula>NOT(ISERROR(SEARCH("réserve",AQ37)))</formula>
    </cfRule>
    <cfRule type="endsWith" dxfId="84" priority="200" operator="endsWith" text="Validé">
      <formula>RIGHT(AQ37,LEN("Validé"))="Validé"</formula>
    </cfRule>
  </conditionalFormatting>
  <conditionalFormatting sqref="AR19">
    <cfRule type="cellIs" dxfId="83" priority="46" operator="greaterThanOrEqual">
      <formula>80</formula>
    </cfRule>
    <cfRule type="cellIs" dxfId="82" priority="47" operator="between">
      <formula>70</formula>
      <formula>79</formula>
    </cfRule>
    <cfRule type="cellIs" dxfId="81" priority="48" operator="lessThan">
      <formula>69</formula>
    </cfRule>
  </conditionalFormatting>
  <conditionalFormatting sqref="AR37:AS37">
    <cfRule type="cellIs" dxfId="80" priority="25" operator="greaterThanOrEqual">
      <formula>80</formula>
    </cfRule>
    <cfRule type="cellIs" dxfId="79" priority="26" operator="between">
      <formula>70</formula>
      <formula>79</formula>
    </cfRule>
    <cfRule type="cellIs" dxfId="78" priority="27" operator="lessThan">
      <formula>69</formula>
    </cfRule>
  </conditionalFormatting>
  <conditionalFormatting sqref="AV9:AV17">
    <cfRule type="containsText" dxfId="77" priority="281" operator="containsText" text="Non contrôlé">
      <formula>NOT(ISERROR(SEARCH("Non contrôlé",AV9)))</formula>
    </cfRule>
    <cfRule type="containsText" dxfId="76" priority="282" operator="containsText" text="Non validé">
      <formula>NOT(ISERROR(SEARCH("Non validé",AV9)))</formula>
    </cfRule>
    <cfRule type="containsText" dxfId="75" priority="283" operator="containsText" text="réserve">
      <formula>NOT(ISERROR(SEARCH("réserve",AV9)))</formula>
    </cfRule>
    <cfRule type="endsWith" dxfId="74" priority="284" operator="endsWith" text="Validé">
      <formula>RIGHT(AV9,LEN("Validé"))="Validé"</formula>
    </cfRule>
  </conditionalFormatting>
  <conditionalFormatting sqref="AV19">
    <cfRule type="containsText" dxfId="73" priority="277" operator="containsText" text="Non contrôlé">
      <formula>NOT(ISERROR(SEARCH("Non contrôlé",AV19)))</formula>
    </cfRule>
    <cfRule type="containsText" dxfId="72" priority="278" operator="containsText" text="Non validé">
      <formula>NOT(ISERROR(SEARCH("Non validé",AV19)))</formula>
    </cfRule>
    <cfRule type="containsText" dxfId="71" priority="279" operator="containsText" text="réserve">
      <formula>NOT(ISERROR(SEARCH("réserve",AV19)))</formula>
    </cfRule>
    <cfRule type="endsWith" dxfId="70" priority="280" operator="endsWith" text="Validé">
      <formula>RIGHT(AV19,LEN("Validé"))="Validé"</formula>
    </cfRule>
  </conditionalFormatting>
  <conditionalFormatting sqref="AV26:AV34">
    <cfRule type="containsText" dxfId="69" priority="77" operator="containsText" text="Non contrôlé">
      <formula>NOT(ISERROR(SEARCH("Non contrôlé",AV26)))</formula>
    </cfRule>
    <cfRule type="containsText" dxfId="68" priority="78" operator="containsText" text="Non validé">
      <formula>NOT(ISERROR(SEARCH("Non validé",AV26)))</formula>
    </cfRule>
    <cfRule type="containsText" dxfId="67" priority="79" operator="containsText" text="réserve">
      <formula>NOT(ISERROR(SEARCH("réserve",AV26)))</formula>
    </cfRule>
    <cfRule type="endsWith" dxfId="66" priority="80" operator="endsWith" text="Validé">
      <formula>RIGHT(AV26,LEN("Validé"))="Validé"</formula>
    </cfRule>
  </conditionalFormatting>
  <conditionalFormatting sqref="AV35">
    <cfRule type="containsText" dxfId="65" priority="81" operator="containsText" text="Non contrôlé">
      <formula>NOT(ISERROR(SEARCH("Non contrôlé",AV35)))</formula>
    </cfRule>
    <cfRule type="containsText" dxfId="64" priority="82" operator="containsText" text="Non validé">
      <formula>NOT(ISERROR(SEARCH("Non validé",AV35)))</formula>
    </cfRule>
    <cfRule type="containsText" dxfId="63" priority="83" operator="containsText" text="réserve">
      <formula>NOT(ISERROR(SEARCH("réserve",AV35)))</formula>
    </cfRule>
    <cfRule type="endsWith" dxfId="62" priority="84" operator="endsWith" text="Validé">
      <formula>RIGHT(AV35,LEN("Validé"))="Validé"</formula>
    </cfRule>
  </conditionalFormatting>
  <conditionalFormatting sqref="AV37">
    <cfRule type="containsText" dxfId="61" priority="209" operator="containsText" text="Non contrôlé">
      <formula>NOT(ISERROR(SEARCH("Non contrôlé",AV37)))</formula>
    </cfRule>
    <cfRule type="containsText" dxfId="60" priority="210" operator="containsText" text="Non validé">
      <formula>NOT(ISERROR(SEARCH("Non validé",AV37)))</formula>
    </cfRule>
    <cfRule type="containsText" dxfId="59" priority="211" operator="containsText" text="réserve">
      <formula>NOT(ISERROR(SEARCH("réserve",AV37)))</formula>
    </cfRule>
    <cfRule type="endsWith" dxfId="58" priority="212" operator="endsWith" text="Validé">
      <formula>RIGHT(AV37,LEN("Validé"))="Validé"</formula>
    </cfRule>
  </conditionalFormatting>
  <conditionalFormatting sqref="AW19">
    <cfRule type="cellIs" dxfId="57" priority="43" operator="greaterThanOrEqual">
      <formula>80</formula>
    </cfRule>
    <cfRule type="cellIs" dxfId="56" priority="44" operator="between">
      <formula>70</formula>
      <formula>79</formula>
    </cfRule>
    <cfRule type="cellIs" dxfId="55" priority="45" operator="lessThan">
      <formula>69</formula>
    </cfRule>
  </conditionalFormatting>
  <conditionalFormatting sqref="AW37:AX37">
    <cfRule type="cellIs" dxfId="54" priority="28" operator="greaterThanOrEqual">
      <formula>80</formula>
    </cfRule>
    <cfRule type="cellIs" dxfId="53" priority="29" operator="between">
      <formula>70</formula>
      <formula>79</formula>
    </cfRule>
    <cfRule type="cellIs" dxfId="52" priority="30" operator="lessThan">
      <formula>69</formula>
    </cfRule>
  </conditionalFormatting>
  <conditionalFormatting sqref="BA9:BA17">
    <cfRule type="containsText" dxfId="51" priority="93" operator="containsText" text="Non contrôlé">
      <formula>NOT(ISERROR(SEARCH("Non contrôlé",BA9)))</formula>
    </cfRule>
    <cfRule type="containsText" dxfId="50" priority="94" operator="containsText" text="Non validé">
      <formula>NOT(ISERROR(SEARCH("Non validé",BA9)))</formula>
    </cfRule>
    <cfRule type="containsText" dxfId="49" priority="95" operator="containsText" text="réserve">
      <formula>NOT(ISERROR(SEARCH("réserve",BA9)))</formula>
    </cfRule>
    <cfRule type="endsWith" dxfId="48" priority="96" operator="endsWith" text="Validé">
      <formula>RIGHT(BA9,LEN("Validé"))="Validé"</formula>
    </cfRule>
  </conditionalFormatting>
  <conditionalFormatting sqref="BA19">
    <cfRule type="containsText" dxfId="47" priority="285" operator="containsText" text="Non contrôlé">
      <formula>NOT(ISERROR(SEARCH("Non contrôlé",BA19)))</formula>
    </cfRule>
    <cfRule type="containsText" dxfId="46" priority="286" operator="containsText" text="Non validé">
      <formula>NOT(ISERROR(SEARCH("Non validé",BA19)))</formula>
    </cfRule>
    <cfRule type="containsText" dxfId="45" priority="287" operator="containsText" text="réserve">
      <formula>NOT(ISERROR(SEARCH("réserve",BA19)))</formula>
    </cfRule>
    <cfRule type="endsWith" dxfId="44" priority="288" operator="endsWith" text="Validé">
      <formula>RIGHT(BA19,LEN("Validé"))="Validé"</formula>
    </cfRule>
  </conditionalFormatting>
  <conditionalFormatting sqref="BA26:BA34">
    <cfRule type="containsText" dxfId="43" priority="85" operator="containsText" text="Non contrôlé">
      <formula>NOT(ISERROR(SEARCH("Non contrôlé",BA26)))</formula>
    </cfRule>
    <cfRule type="containsText" dxfId="42" priority="86" operator="containsText" text="Non validé">
      <formula>NOT(ISERROR(SEARCH("Non validé",BA26)))</formula>
    </cfRule>
    <cfRule type="containsText" dxfId="41" priority="87" operator="containsText" text="réserve">
      <formula>NOT(ISERROR(SEARCH("réserve",BA26)))</formula>
    </cfRule>
    <cfRule type="endsWith" dxfId="40" priority="88" operator="endsWith" text="Validé">
      <formula>RIGHT(BA26,LEN("Validé"))="Validé"</formula>
    </cfRule>
  </conditionalFormatting>
  <conditionalFormatting sqref="BA35">
    <cfRule type="containsText" dxfId="39" priority="89" operator="containsText" text="Non contrôlé">
      <formula>NOT(ISERROR(SEARCH("Non contrôlé",BA35)))</formula>
    </cfRule>
    <cfRule type="containsText" dxfId="38" priority="90" operator="containsText" text="Non validé">
      <formula>NOT(ISERROR(SEARCH("Non validé",BA35)))</formula>
    </cfRule>
    <cfRule type="containsText" dxfId="37" priority="91" operator="containsText" text="réserve">
      <formula>NOT(ISERROR(SEARCH("réserve",BA35)))</formula>
    </cfRule>
    <cfRule type="endsWith" dxfId="36" priority="92" operator="endsWith" text="Validé">
      <formula>RIGHT(BA35,LEN("Validé"))="Validé"</formula>
    </cfRule>
  </conditionalFormatting>
  <conditionalFormatting sqref="BA37">
    <cfRule type="containsText" dxfId="35" priority="213" operator="containsText" text="Non contrôlé">
      <formula>NOT(ISERROR(SEARCH("Non contrôlé",BA37)))</formula>
    </cfRule>
    <cfRule type="containsText" dxfId="34" priority="214" operator="containsText" text="Non validé">
      <formula>NOT(ISERROR(SEARCH("Non validé",BA37)))</formula>
    </cfRule>
    <cfRule type="containsText" dxfId="33" priority="215" operator="containsText" text="réserve">
      <formula>NOT(ISERROR(SEARCH("réserve",BA37)))</formula>
    </cfRule>
    <cfRule type="endsWith" dxfId="32" priority="216" operator="endsWith" text="Validé">
      <formula>RIGHT(BA37,LEN("Validé"))="Validé"</formula>
    </cfRule>
  </conditionalFormatting>
  <conditionalFormatting sqref="BB19:BC19">
    <cfRule type="cellIs" dxfId="31" priority="40" operator="greaterThanOrEqual">
      <formula>80</formula>
    </cfRule>
    <cfRule type="cellIs" dxfId="30" priority="41" operator="between">
      <formula>70</formula>
      <formula>79</formula>
    </cfRule>
    <cfRule type="cellIs" dxfId="29" priority="42" operator="lessThan">
      <formula>69</formula>
    </cfRule>
  </conditionalFormatting>
  <conditionalFormatting sqref="BB37:BC37">
    <cfRule type="cellIs" dxfId="28" priority="31" operator="greaterThanOrEqual">
      <formula>80</formula>
    </cfRule>
    <cfRule type="cellIs" dxfId="27" priority="32" operator="between">
      <formula>70</formula>
      <formula>79</formula>
    </cfRule>
    <cfRule type="cellIs" dxfId="26" priority="33" operator="lessThan">
      <formula>69</formula>
    </cfRule>
  </conditionalFormatting>
  <conditionalFormatting sqref="BF9:BF17">
    <cfRule type="containsText" dxfId="25" priority="297" operator="containsText" text="Non contrôlé">
      <formula>NOT(ISERROR(SEARCH("Non contrôlé",BF9)))</formula>
    </cfRule>
    <cfRule type="containsText" dxfId="24" priority="298" operator="containsText" text="Non validé">
      <formula>NOT(ISERROR(SEARCH("Non validé",BF9)))</formula>
    </cfRule>
    <cfRule type="containsText" dxfId="23" priority="299" operator="containsText" text="réserve">
      <formula>NOT(ISERROR(SEARCH("réserve",BF9)))</formula>
    </cfRule>
    <cfRule type="endsWith" dxfId="22" priority="300" operator="endsWith" text="Validé">
      <formula>RIGHT(BF9,LEN("Validé"))="Validé"</formula>
    </cfRule>
  </conditionalFormatting>
  <conditionalFormatting sqref="BF19">
    <cfRule type="containsText" dxfId="21" priority="293" operator="containsText" text="Non contrôlé">
      <formula>NOT(ISERROR(SEARCH("Non contrôlé",BF19)))</formula>
    </cfRule>
    <cfRule type="containsText" dxfId="20" priority="294" operator="containsText" text="Non validé">
      <formula>NOT(ISERROR(SEARCH("Non validé",BF19)))</formula>
    </cfRule>
    <cfRule type="containsText" dxfId="19" priority="295" operator="containsText" text="réserve">
      <formula>NOT(ISERROR(SEARCH("réserve",BF19)))</formula>
    </cfRule>
    <cfRule type="endsWith" dxfId="18" priority="296" operator="endsWith" text="Validé">
      <formula>RIGHT(BF19,LEN("Validé"))="Validé"</formula>
    </cfRule>
  </conditionalFormatting>
  <conditionalFormatting sqref="BF26:BF34">
    <cfRule type="containsText" dxfId="17" priority="73" operator="containsText" text="Non contrôlé">
      <formula>NOT(ISERROR(SEARCH("Non contrôlé",BF26)))</formula>
    </cfRule>
    <cfRule type="containsText" dxfId="16" priority="74" operator="containsText" text="Non validé">
      <formula>NOT(ISERROR(SEARCH("Non validé",BF26)))</formula>
    </cfRule>
    <cfRule type="containsText" dxfId="15" priority="75" operator="containsText" text="réserve">
      <formula>NOT(ISERROR(SEARCH("réserve",BF26)))</formula>
    </cfRule>
    <cfRule type="endsWith" dxfId="14" priority="76" operator="endsWith" text="Validé">
      <formula>RIGHT(BF26,LEN("Validé"))="Validé"</formula>
    </cfRule>
  </conditionalFormatting>
  <conditionalFormatting sqref="BF35">
    <cfRule type="containsText" dxfId="13" priority="301" operator="containsText" text="Non contrôlé">
      <formula>NOT(ISERROR(SEARCH("Non contrôlé",BF35)))</formula>
    </cfRule>
    <cfRule type="containsText" dxfId="12" priority="302" operator="containsText" text="Non validé">
      <formula>NOT(ISERROR(SEARCH("Non validé",BF35)))</formula>
    </cfRule>
    <cfRule type="containsText" dxfId="11" priority="303" operator="containsText" text="réserve">
      <formula>NOT(ISERROR(SEARCH("réserve",BF35)))</formula>
    </cfRule>
    <cfRule type="endsWith" dxfId="10" priority="304" operator="endsWith" text="Validé">
      <formula>RIGHT(BF35,LEN("Validé"))="Validé"</formula>
    </cfRule>
  </conditionalFormatting>
  <conditionalFormatting sqref="BF37">
    <cfRule type="containsText" dxfId="9" priority="289" operator="containsText" text="Non contrôlé">
      <formula>NOT(ISERROR(SEARCH("Non contrôlé",BF37)))</formula>
    </cfRule>
    <cfRule type="containsText" dxfId="8" priority="290" operator="containsText" text="Non validé">
      <formula>NOT(ISERROR(SEARCH("Non validé",BF37)))</formula>
    </cfRule>
    <cfRule type="containsText" dxfId="7" priority="291" operator="containsText" text="réserve">
      <formula>NOT(ISERROR(SEARCH("réserve",BF37)))</formula>
    </cfRule>
    <cfRule type="endsWith" dxfId="6" priority="292" operator="endsWith" text="Validé">
      <formula>RIGHT(BF37,LEN("Validé"))="Validé"</formula>
    </cfRule>
  </conditionalFormatting>
  <conditionalFormatting sqref="BG19:BH19">
    <cfRule type="cellIs" dxfId="5" priority="37" operator="greaterThanOrEqual">
      <formula>80</formula>
    </cfRule>
    <cfRule type="cellIs" dxfId="4" priority="38" operator="between">
      <formula>70</formula>
      <formula>79</formula>
    </cfRule>
    <cfRule type="cellIs" dxfId="3" priority="39" operator="lessThan">
      <formula>69</formula>
    </cfRule>
  </conditionalFormatting>
  <conditionalFormatting sqref="BG37:BH37">
    <cfRule type="cellIs" dxfId="2" priority="34" operator="greaterThanOrEqual">
      <formula>80</formula>
    </cfRule>
    <cfRule type="cellIs" dxfId="1" priority="35" operator="between">
      <formula>70</formula>
      <formula>79</formula>
    </cfRule>
    <cfRule type="cellIs" dxfId="0" priority="36" operator="lessThan">
      <formula>69</formula>
    </cfRule>
  </conditionalFormatting>
  <dataValidations count="3">
    <dataValidation type="list" allowBlank="1" showInputMessage="1" showErrorMessage="1" sqref="K23:M23 A23:C23 F23:H23 P23:R23 Z23:AC23 AE23:AH23 AJ23:AM23 AO23:AR23 AT23:AW23 AY23:BB23 BD23:BG23 U23:W23 A22:BG22 C3:D3 H3:I3 M3:N3 R3:S3 W3:X3 AB3:AC3 AG3:AH3 AL3:AM3 AQ3:AR3 AV3:AW3 BA3:BB3 BF3:BG3 BF37 H19 M19 R19 W19 AB19 AG19 AL19 AQ19 AV19 BA19 BF19 C37 H37 M37 R37 W37 AB37 AG37 AL37 AQ37 AV37 BA37 C19 BD6 AY6 AT6 AO6 AJ6 AE6 Z6 U6 P6 K6 A6:C6 F6 AD5:BG5 Y5:Z5 A5:U5" xr:uid="{5F382C0B-7529-4349-8057-F66F6DD845A6}">
      <formula1>#REF!</formula1>
    </dataValidation>
    <dataValidation type="list" allowBlank="1" showInputMessage="1" showErrorMessage="1" sqref="H20 M20 C20" xr:uid="{4D290D13-B6C5-41B7-BDEF-86B98C1DD4E1}">
      <formula1>INDIRECT("LISTE_4")</formula1>
    </dataValidation>
    <dataValidation type="list" allowBlank="1" showInputMessage="1" showErrorMessage="1" sqref="BA25:BA35 C25:C35 W8:W17 BF25:BF35 M25:M35 W25:W35 AB8:AB17 AG8:AG17 AL8:AL17 AQ8:AQ17 AV8:AV17 BF8:BF17 AB25:AB35 AG25:AG35 AL25:AL35 AQ25:AQ35 AV25:AV35 R25:R35 H8:H17 M8:M17 R8:R17 H25:H35 BA8:BA17 C8:C17" xr:uid="{DD28D506-DCF4-4D7D-912F-C9C230C32250}">
      <formula1>INDIRECT(E8)</formula1>
    </dataValidation>
  </dataValidation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85" zoomScaleNormal="85" workbookViewId="0">
      <pane xSplit="1" ySplit="4" topLeftCell="BH7" activePane="bottomRight" state="frozen"/>
      <selection pane="topRight" activeCell="B1" sqref="B1"/>
      <selection pane="bottomLeft" activeCell="A5" sqref="A5"/>
      <selection pane="bottomRight" activeCell="BJ10" sqref="BJ10"/>
    </sheetView>
  </sheetViews>
  <sheetFormatPr baseColWidth="10" defaultColWidth="11.41015625" defaultRowHeight="12.7" x14ac:dyDescent="0.4"/>
  <cols>
    <col min="1" max="1" width="5.41015625" style="201" bestFit="1" customWidth="1"/>
    <col min="2" max="3" width="40.703125" style="201" customWidth="1"/>
    <col min="4" max="4" width="14.29296875" style="201" customWidth="1"/>
    <col min="5" max="5" width="10.703125" style="201" customWidth="1"/>
    <col min="6" max="7" width="40.703125" style="201" customWidth="1"/>
    <col min="8" max="8" width="15.703125" style="201" customWidth="1"/>
    <col min="9" max="9" width="10.703125" style="201" customWidth="1"/>
    <col min="10" max="11" width="40.703125" style="204" customWidth="1"/>
    <col min="12" max="12" width="15.703125" style="205" customWidth="1"/>
    <col min="13" max="13" width="10.703125" style="205" customWidth="1"/>
    <col min="14" max="15" width="40.703125" style="204" customWidth="1"/>
    <col min="16" max="16" width="15.703125" style="205" customWidth="1"/>
    <col min="17" max="17" width="10.703125" style="205" customWidth="1"/>
    <col min="18" max="19" width="40.703125" style="204" customWidth="1"/>
    <col min="20" max="20" width="15.703125" style="205" customWidth="1"/>
    <col min="21" max="21" width="10.703125" style="205" customWidth="1"/>
    <col min="22" max="23" width="40.703125" style="204" customWidth="1"/>
    <col min="24" max="24" width="15.703125" style="205" customWidth="1"/>
    <col min="25" max="25" width="10.703125" style="205" customWidth="1"/>
    <col min="26" max="27" width="40.703125" style="204" customWidth="1"/>
    <col min="28" max="28" width="15.703125" style="205" customWidth="1"/>
    <col min="29" max="29" width="10.703125" style="205" customWidth="1"/>
    <col min="30" max="31" width="40.703125" style="204" customWidth="1"/>
    <col min="32" max="32" width="15.703125" style="205" customWidth="1"/>
    <col min="33" max="33" width="10.703125" style="205" customWidth="1"/>
    <col min="34" max="35" width="40.703125" style="204" customWidth="1"/>
    <col min="36" max="36" width="15.703125" style="205" customWidth="1"/>
    <col min="37" max="37" width="10.703125" style="205" customWidth="1"/>
    <col min="38" max="39" width="40.703125" style="204" customWidth="1"/>
    <col min="40" max="40" width="15.703125" style="205" customWidth="1"/>
    <col min="41" max="41" width="10.703125" style="205" customWidth="1"/>
    <col min="42" max="43" width="40.703125" style="204" customWidth="1"/>
    <col min="44" max="44" width="15.703125" style="205" customWidth="1"/>
    <col min="45" max="45" width="10.703125" style="205" customWidth="1"/>
    <col min="46" max="47" width="40.703125" style="204" customWidth="1"/>
    <col min="48" max="48" width="15.703125" style="205" customWidth="1"/>
    <col min="49" max="49" width="10.703125" style="205" customWidth="1"/>
    <col min="50" max="51" width="40.703125" style="204" customWidth="1"/>
    <col min="52" max="52" width="15.703125" style="205" customWidth="1"/>
    <col min="53" max="53" width="10.703125" style="205" customWidth="1"/>
    <col min="54" max="55" width="40.703125" style="204" customWidth="1"/>
    <col min="56" max="56" width="15.703125" style="205" customWidth="1"/>
    <col min="57" max="57" width="10.703125" style="205" customWidth="1"/>
    <col min="58" max="59" width="40.703125" style="204" customWidth="1"/>
    <col min="60" max="60" width="15.703125" style="204" customWidth="1"/>
    <col min="61" max="61" width="10.703125" style="204" customWidth="1"/>
    <col min="62" max="63" width="40.703125" style="204" customWidth="1"/>
    <col min="64" max="64" width="15.703125" style="204" customWidth="1"/>
    <col min="65" max="65" width="10.703125" style="204" customWidth="1"/>
    <col min="66" max="66" width="40.703125" style="204" customWidth="1"/>
    <col min="67" max="68" width="7.703125" style="204" customWidth="1"/>
    <col min="69" max="69" width="35.703125" style="204" customWidth="1"/>
    <col min="70" max="70" width="40.703125" style="204" customWidth="1"/>
    <col min="71" max="72" width="7.703125" style="204" customWidth="1"/>
    <col min="73" max="73" width="35.703125" style="204" customWidth="1"/>
    <col min="74" max="74" width="40.703125" style="204" customWidth="1"/>
    <col min="75" max="76" width="7.703125" style="204" customWidth="1"/>
    <col min="77" max="77" width="35.703125" style="204" customWidth="1"/>
    <col min="78" max="78" width="40.703125" style="204" customWidth="1"/>
    <col min="79" max="80" width="7.703125" style="204" customWidth="1"/>
    <col min="81" max="81" width="35.703125" style="204" customWidth="1"/>
    <col min="82" max="82" width="40.703125" style="204" customWidth="1"/>
    <col min="83" max="84" width="7.703125" style="204" customWidth="1"/>
    <col min="85" max="85" width="35.703125" style="204" customWidth="1"/>
    <col min="86" max="86" width="40.703125" style="204" customWidth="1"/>
    <col min="87" max="88" width="7.703125" style="204" customWidth="1"/>
    <col min="89" max="89" width="35.703125" style="204" customWidth="1"/>
    <col min="90" max="90" width="40.703125" style="204" customWidth="1"/>
    <col min="91" max="92" width="7.703125" style="204" customWidth="1"/>
    <col min="93" max="93" width="35.703125" style="204" customWidth="1"/>
    <col min="94" max="94" width="40.703125" style="204" customWidth="1"/>
    <col min="95" max="96" width="7.703125" style="204" customWidth="1"/>
    <col min="97" max="97" width="40.703125" style="204" customWidth="1"/>
    <col min="98" max="99" width="7.703125" style="204" customWidth="1"/>
    <col min="100" max="100" width="35.703125" style="204" customWidth="1"/>
    <col min="101" max="101" width="40.703125" style="204" customWidth="1"/>
    <col min="102" max="103" width="7.703125" style="204" customWidth="1"/>
    <col min="104" max="104" width="35.703125" style="204" customWidth="1"/>
    <col min="105" max="105" width="40.703125" style="204" customWidth="1"/>
    <col min="106" max="107" width="7.703125" style="204" customWidth="1"/>
    <col min="108" max="108" width="35.703125" style="204" customWidth="1"/>
    <col min="109" max="109" width="40.703125" style="204" customWidth="1"/>
    <col min="110" max="111" width="7.703125" style="204" customWidth="1"/>
    <col min="112" max="112" width="35.703125" style="204" customWidth="1"/>
    <col min="113" max="113" width="40.703125" style="204" customWidth="1"/>
    <col min="114" max="115" width="7.703125" style="204" customWidth="1"/>
    <col min="116" max="116" width="35.703125" style="204" customWidth="1"/>
    <col min="117" max="117" width="40.703125" style="204" customWidth="1"/>
    <col min="118" max="119" width="7.703125" style="204" customWidth="1"/>
    <col min="120" max="120" width="35.703125" style="204" customWidth="1"/>
    <col min="121" max="121" width="40.703125" style="204" customWidth="1"/>
    <col min="122" max="123" width="7.703125" style="204" customWidth="1"/>
    <col min="124" max="124" width="35.703125" style="204" customWidth="1"/>
    <col min="125" max="125" width="40.703125" style="204" customWidth="1"/>
    <col min="126" max="127" width="7.703125" style="204" customWidth="1"/>
    <col min="128" max="128" width="35.703125" style="204" customWidth="1"/>
    <col min="129" max="129" width="40.703125" style="204" customWidth="1"/>
    <col min="130" max="131" width="7.703125" style="204" customWidth="1"/>
    <col min="132" max="132" width="35.703125" style="204" customWidth="1"/>
    <col min="133" max="133" width="40.703125" style="204" customWidth="1"/>
    <col min="134" max="135" width="7.703125" style="204" customWidth="1"/>
    <col min="136" max="136" width="40.703125" style="204" customWidth="1"/>
    <col min="137" max="138" width="7.703125" style="204" customWidth="1"/>
    <col min="139" max="139" width="35.703125" style="204" customWidth="1"/>
    <col min="140" max="140" width="40.703125" style="204" customWidth="1"/>
    <col min="141" max="142" width="7.703125" style="204" customWidth="1"/>
    <col min="143" max="143" width="35.703125" style="204" customWidth="1"/>
    <col min="144" max="144" width="40.703125" style="204" customWidth="1"/>
    <col min="145" max="146" width="7.703125" style="204" customWidth="1"/>
    <col min="147" max="147" width="35.703125" style="204" customWidth="1"/>
    <col min="148" max="148" width="40.703125" style="204" customWidth="1"/>
    <col min="149" max="150" width="7.703125" style="204" customWidth="1"/>
    <col min="151" max="151" width="35.703125" style="204" customWidth="1"/>
    <col min="152" max="152" width="40.703125" style="204" customWidth="1"/>
    <col min="153" max="154" width="7.703125" style="204" customWidth="1"/>
    <col min="155" max="155" width="35.703125" style="204" customWidth="1"/>
    <col min="156" max="156" width="40.703125" style="204" customWidth="1"/>
    <col min="157" max="158" width="7.703125" style="204" customWidth="1"/>
    <col min="159" max="159" width="35.703125" style="204" customWidth="1"/>
    <col min="160" max="160" width="40.703125" style="204" customWidth="1"/>
    <col min="161" max="162" width="7.703125" style="204" customWidth="1"/>
    <col min="163" max="163" width="35.703125" style="204" customWidth="1"/>
    <col min="164" max="164" width="40.703125" style="204" customWidth="1"/>
    <col min="165" max="166" width="7.703125" style="204" customWidth="1"/>
    <col min="167" max="167" width="35.703125" style="204" customWidth="1"/>
    <col min="168" max="168" width="40.703125" style="204" customWidth="1"/>
    <col min="169" max="170" width="7.703125" style="204" customWidth="1"/>
    <col min="171" max="171" width="35.703125" style="204" customWidth="1"/>
    <col min="172" max="172" width="40.703125" style="204" customWidth="1"/>
    <col min="173" max="174" width="7.703125" style="204" customWidth="1"/>
    <col min="175" max="175" width="40.703125" style="204" customWidth="1"/>
    <col min="176" max="177" width="7.703125" style="204" customWidth="1"/>
    <col min="178" max="178" width="35.703125" style="204" customWidth="1"/>
    <col min="179" max="179" width="40.703125" style="204" customWidth="1"/>
    <col min="180" max="181" width="7.703125" style="204" customWidth="1"/>
    <col min="182" max="182" width="35.703125" style="204" customWidth="1"/>
    <col min="183" max="183" width="40.703125" style="204" customWidth="1"/>
    <col min="184" max="185" width="7.703125" style="204" customWidth="1"/>
    <col min="186" max="186" width="35.703125" style="204" customWidth="1"/>
    <col min="187" max="187" width="40.703125" style="204" customWidth="1"/>
    <col min="188" max="189" width="7.703125" style="204" customWidth="1"/>
    <col min="190" max="190" width="35.703125" style="204" customWidth="1"/>
    <col min="191" max="191" width="40.703125" style="204" customWidth="1"/>
    <col min="192" max="193" width="7.703125" style="204" customWidth="1"/>
    <col min="194" max="194" width="35.703125" style="204" customWidth="1"/>
    <col min="195" max="195" width="40.703125" style="204" customWidth="1"/>
    <col min="196" max="197" width="7.703125" style="204" customWidth="1"/>
    <col min="198" max="198" width="35.703125" style="204" customWidth="1"/>
    <col min="199" max="199" width="40.703125" style="204" customWidth="1"/>
    <col min="200" max="201" width="7.703125" style="204" customWidth="1"/>
    <col min="202" max="202" width="35.703125" style="204" customWidth="1"/>
    <col min="203" max="203" width="40.703125" style="204" customWidth="1"/>
    <col min="204" max="205" width="7.703125" style="204" customWidth="1"/>
    <col min="206" max="206" width="35.703125" style="204" customWidth="1"/>
    <col min="207" max="207" width="40.703125" style="204" customWidth="1"/>
    <col min="208" max="209" width="7.703125" style="204" customWidth="1"/>
    <col min="210" max="210" width="35.703125" style="204" customWidth="1"/>
    <col min="211" max="211" width="40.703125" style="204" customWidth="1"/>
    <col min="212" max="213" width="7.703125" style="204" customWidth="1"/>
    <col min="214" max="214" width="40.703125" style="204" customWidth="1"/>
    <col min="215" max="216" width="7.703125" style="204" customWidth="1"/>
    <col min="217" max="217" width="35.703125" style="204" customWidth="1"/>
    <col min="218" max="218" width="40.703125" style="204" customWidth="1"/>
    <col min="219" max="220" width="7.703125" style="204" customWidth="1"/>
    <col min="221" max="221" width="35.703125" style="204" customWidth="1"/>
    <col min="222" max="222" width="40.703125" style="204" customWidth="1"/>
    <col min="223" max="224" width="7.703125" style="204" customWidth="1"/>
    <col min="225" max="225" width="35.703125" style="204" customWidth="1"/>
    <col min="226" max="226" width="40.703125" style="204" customWidth="1"/>
    <col min="227" max="228" width="7.703125" style="204" customWidth="1"/>
    <col min="229" max="229" width="35.703125" style="204" customWidth="1"/>
    <col min="230" max="230" width="40.703125" style="204" customWidth="1"/>
    <col min="231" max="232" width="7.703125" style="204" customWidth="1"/>
    <col min="233" max="233" width="35.703125" style="204" customWidth="1"/>
    <col min="234" max="234" width="40.703125" style="204" customWidth="1"/>
    <col min="235" max="236" width="7.703125" style="204" customWidth="1"/>
    <col min="237" max="237" width="35.703125" style="204" customWidth="1"/>
    <col min="238" max="238" width="40.703125" style="204" customWidth="1"/>
    <col min="239" max="240" width="7.703125" style="204" customWidth="1"/>
    <col min="241" max="241" width="35.703125" style="204" customWidth="1"/>
    <col min="242" max="242" width="40.703125" style="204" customWidth="1"/>
    <col min="243" max="244" width="7.703125" style="204" customWidth="1"/>
    <col min="245" max="245" width="35.703125" style="204" customWidth="1"/>
    <col min="246" max="246" width="40.703125" style="204" customWidth="1"/>
    <col min="247" max="248" width="7.703125" style="204" customWidth="1"/>
    <col min="249" max="249" width="35.703125" style="204" customWidth="1"/>
    <col min="250" max="250" width="40.703125" style="204" customWidth="1"/>
    <col min="251" max="252" width="7.703125" style="204" customWidth="1"/>
    <col min="253" max="253" width="40.703125" style="204" customWidth="1"/>
    <col min="254" max="255" width="7.703125" style="204" customWidth="1"/>
    <col min="256" max="256" width="35.703125" style="204" customWidth="1"/>
    <col min="257" max="257" width="40.703125" style="204" customWidth="1"/>
    <col min="258" max="259" width="7.703125" style="204" customWidth="1"/>
    <col min="260" max="260" width="35.703125" style="204" customWidth="1"/>
    <col min="261" max="261" width="40.703125" style="204" customWidth="1"/>
    <col min="262" max="263" width="7.703125" style="204" customWidth="1"/>
    <col min="264" max="264" width="35.703125" style="204" customWidth="1"/>
    <col min="265" max="265" width="40.703125" style="204" customWidth="1"/>
    <col min="266" max="267" width="7.703125" style="204" customWidth="1"/>
    <col min="268" max="268" width="35.703125" style="204" customWidth="1"/>
    <col min="269" max="269" width="40.703125" style="204" customWidth="1"/>
    <col min="270" max="271" width="7.703125" style="204" customWidth="1"/>
    <col min="272" max="272" width="35.703125" style="204" customWidth="1"/>
    <col min="273" max="273" width="40.703125" style="204" customWidth="1"/>
    <col min="274" max="275" width="7.703125" style="204" customWidth="1"/>
    <col min="276" max="276" width="35.703125" style="204" customWidth="1"/>
    <col min="277" max="277" width="40.703125" style="204" customWidth="1"/>
    <col min="278" max="279" width="7.703125" style="204" customWidth="1"/>
    <col min="280" max="280" width="35.703125" style="204" customWidth="1"/>
    <col min="281" max="281" width="40.703125" style="204" customWidth="1"/>
    <col min="282" max="283" width="7.703125" style="204" customWidth="1"/>
    <col min="284" max="284" width="35.703125" style="204" customWidth="1"/>
    <col min="285" max="285" width="40.703125" style="204" customWidth="1"/>
    <col min="286" max="287" width="7.703125" style="204" customWidth="1"/>
    <col min="288" max="288" width="35.703125" style="204" customWidth="1"/>
    <col min="289" max="289" width="40.703125" style="204" customWidth="1"/>
    <col min="290" max="291" width="7.703125" style="204" customWidth="1"/>
    <col min="292" max="292" width="40.703125" style="204" customWidth="1"/>
    <col min="293" max="294" width="7.703125" style="204" customWidth="1"/>
    <col min="295" max="295" width="35.703125" style="204" customWidth="1"/>
    <col min="296" max="296" width="40.703125" style="204" customWidth="1"/>
    <col min="297" max="298" width="7.703125" style="204" customWidth="1"/>
    <col min="299" max="299" width="35.703125" style="204" customWidth="1"/>
    <col min="300" max="300" width="40.703125" style="204" customWidth="1"/>
    <col min="301" max="302" width="7.703125" style="204" customWidth="1"/>
    <col min="303" max="303" width="35.703125" style="204" customWidth="1"/>
    <col min="304" max="304" width="40.703125" style="204" customWidth="1"/>
    <col min="305" max="306" width="7.703125" style="204" customWidth="1"/>
    <col min="307" max="307" width="35.703125" style="204" customWidth="1"/>
    <col min="308" max="308" width="40.703125" style="204" customWidth="1"/>
    <col min="309" max="310" width="7.703125" style="204" customWidth="1"/>
    <col min="311" max="311" width="35.703125" style="204" customWidth="1"/>
    <col min="312" max="312" width="40.703125" style="204" customWidth="1"/>
    <col min="313" max="314" width="7.703125" style="204" customWidth="1"/>
    <col min="315" max="315" width="35.703125" style="204" customWidth="1"/>
    <col min="316" max="316" width="40.703125" style="204" customWidth="1"/>
    <col min="317" max="318" width="7.703125" style="204" customWidth="1"/>
    <col min="319" max="319" width="35.703125" style="204" customWidth="1"/>
    <col min="320" max="320" width="40.703125" style="204" customWidth="1"/>
    <col min="321" max="322" width="7.703125" style="204" customWidth="1"/>
    <col min="323" max="323" width="35.703125" style="206" customWidth="1"/>
    <col min="324" max="324" width="40.703125" style="204" customWidth="1"/>
    <col min="325" max="326" width="7.703125" style="204" customWidth="1"/>
    <col min="327" max="327" width="35.703125" style="204" customWidth="1"/>
    <col min="328" max="328" width="40.703125" style="204" customWidth="1"/>
    <col min="329" max="330" width="7.703125" style="204" customWidth="1"/>
    <col min="331" max="331" width="40.703125" style="204" customWidth="1"/>
    <col min="332" max="333" width="7.703125" style="204" customWidth="1"/>
    <col min="334" max="334" width="35.703125" style="204" customWidth="1"/>
    <col min="335" max="335" width="40.703125" style="204" customWidth="1"/>
    <col min="336" max="337" width="7.703125" style="204" customWidth="1"/>
    <col min="338" max="338" width="35.703125" style="204" customWidth="1"/>
    <col min="339" max="339" width="40.703125" style="204" customWidth="1"/>
    <col min="340" max="341" width="7.703125" style="204" customWidth="1"/>
    <col min="342" max="342" width="35.703125" style="206" customWidth="1"/>
    <col min="343" max="343" width="40.703125" style="204" customWidth="1"/>
    <col min="344" max="345" width="7.703125" style="204" customWidth="1"/>
    <col min="346" max="346" width="35.703125" style="204" customWidth="1"/>
    <col min="347" max="347" width="40.703125" style="204" customWidth="1"/>
    <col min="348" max="349" width="7.703125" style="204" customWidth="1"/>
    <col min="350" max="350" width="35.703125" style="204" customWidth="1"/>
    <col min="351" max="351" width="40.703125" style="204" customWidth="1"/>
    <col min="352" max="353" width="7.703125" style="204" customWidth="1"/>
    <col min="354" max="354" width="35.703125" style="204" customWidth="1"/>
    <col min="355" max="355" width="40.703125" style="204" customWidth="1"/>
    <col min="356" max="357" width="7.703125" style="204" customWidth="1"/>
    <col min="358" max="358" width="35.703125" style="206" customWidth="1"/>
    <col min="359" max="359" width="40.703125" style="206" customWidth="1"/>
    <col min="360" max="361" width="7.703125" style="206" customWidth="1"/>
    <col min="362" max="362" width="35.703125" style="206" customWidth="1"/>
    <col min="363" max="363" width="40.703125" style="204" customWidth="1"/>
    <col min="364" max="365" width="7.703125" style="204" customWidth="1"/>
    <col min="366" max="366" width="35.703125" style="204" customWidth="1"/>
    <col min="367" max="367" width="40.703125" style="204" customWidth="1"/>
    <col min="368" max="368" width="7.703125" style="206" customWidth="1"/>
    <col min="369" max="369" width="7.703125" style="204" customWidth="1"/>
    <col min="370" max="370" width="40.703125" style="204" customWidth="1"/>
    <col min="371" max="371" width="7.703125" style="204" customWidth="1"/>
    <col min="372" max="372" width="7.703125" style="206" customWidth="1"/>
    <col min="373" max="373" width="35.703125" style="204" customWidth="1"/>
    <col min="374" max="374" width="40.703125" style="204" customWidth="1"/>
    <col min="375" max="375" width="7.703125" style="204" customWidth="1"/>
    <col min="376" max="376" width="7.703125" style="206" customWidth="1"/>
    <col min="377" max="377" width="35.703125" style="204" customWidth="1"/>
    <col min="378" max="378" width="40.703125" style="204" customWidth="1"/>
    <col min="379" max="379" width="7.703125" style="204" customWidth="1"/>
    <col min="380" max="380" width="7.703125" style="206" customWidth="1"/>
    <col min="381" max="381" width="35.703125" style="206" customWidth="1"/>
    <col min="382" max="382" width="40.703125" style="204" customWidth="1"/>
    <col min="383" max="383" width="7.703125" style="204" customWidth="1"/>
    <col min="384" max="384" width="7.703125" style="206" customWidth="1"/>
    <col min="385" max="385" width="35.703125" style="204" customWidth="1"/>
    <col min="386" max="386" width="40.703125" style="204" customWidth="1"/>
    <col min="387" max="387" width="7.703125" style="204" customWidth="1"/>
    <col min="388" max="388" width="7.703125" style="206" customWidth="1"/>
    <col min="389" max="389" width="35.703125" style="204" customWidth="1"/>
    <col min="390" max="390" width="40.703125" style="204" customWidth="1"/>
    <col min="391" max="391" width="7.703125" style="204" customWidth="1"/>
    <col min="392" max="392" width="7.703125" style="206" customWidth="1"/>
    <col min="393" max="393" width="35.703125" style="204" customWidth="1"/>
    <col min="394" max="394" width="40.703125" style="204" customWidth="1"/>
    <col min="395" max="395" width="7.703125" style="204" customWidth="1"/>
    <col min="396" max="396" width="7.703125" style="206" customWidth="1"/>
    <col min="397" max="397" width="35.703125" style="206" customWidth="1"/>
    <col min="398" max="398" width="40.703125" style="204" customWidth="1"/>
    <col min="399" max="399" width="7.703125" style="204" customWidth="1"/>
    <col min="400" max="400" width="7.703125" style="206" customWidth="1"/>
    <col min="401" max="401" width="35.703125" style="204" customWidth="1"/>
    <col min="402" max="402" width="40.703125" style="204" customWidth="1"/>
    <col min="403" max="403" width="7.703125" style="204" customWidth="1"/>
    <col min="404" max="404" width="7.703125" style="206" customWidth="1"/>
    <col min="405" max="405" width="35.703125" style="204" customWidth="1"/>
    <col min="406" max="406" width="40.703125" style="204" customWidth="1"/>
    <col min="407" max="408" width="7.703125" style="206" customWidth="1"/>
    <col min="409" max="409" width="40.703125" style="204" customWidth="1"/>
    <col min="410" max="410" width="7.703125" style="204" customWidth="1"/>
    <col min="411" max="411" width="7.703125" style="206" customWidth="1"/>
    <col min="412" max="412" width="35.703125" style="204" customWidth="1"/>
    <col min="413" max="413" width="40.703125" style="204" customWidth="1"/>
    <col min="414" max="414" width="7.703125" style="204" customWidth="1"/>
    <col min="415" max="415" width="7.703125" style="206" customWidth="1"/>
    <col min="416" max="416" width="35.703125" style="204" customWidth="1"/>
    <col min="417" max="417" width="40.703125" style="204" customWidth="1"/>
    <col min="418" max="418" width="7.703125" style="204" customWidth="1"/>
    <col min="419" max="419" width="7.703125" style="206" customWidth="1"/>
    <col min="420" max="420" width="35.703125" style="204" customWidth="1"/>
    <col min="421" max="421" width="40.703125" style="204" customWidth="1"/>
    <col min="422" max="422" width="7.703125" style="204" customWidth="1"/>
    <col min="423" max="423" width="7.703125" style="206" customWidth="1"/>
    <col min="424" max="424" width="35.703125" style="204" customWidth="1"/>
    <col min="425" max="425" width="40.703125" style="204" customWidth="1"/>
    <col min="426" max="426" width="7.703125" style="204" customWidth="1"/>
    <col min="427" max="427" width="7.703125" style="206" customWidth="1"/>
    <col min="428" max="428" width="35.703125" style="204" customWidth="1"/>
    <col min="429" max="429" width="40.703125" style="204" customWidth="1"/>
    <col min="430" max="430" width="7.703125" style="204" customWidth="1"/>
    <col min="431" max="431" width="7.703125" style="206" customWidth="1"/>
    <col min="432" max="432" width="35.703125" style="204" customWidth="1"/>
    <col min="433" max="433" width="40.703125" style="204" customWidth="1"/>
    <col min="434" max="434" width="7.703125" style="204" customWidth="1"/>
    <col min="435" max="435" width="7.703125" style="206" customWidth="1"/>
    <col min="436" max="436" width="35.703125" style="204" customWidth="1"/>
    <col min="437" max="437" width="40.703125" style="204" customWidth="1"/>
    <col min="438" max="438" width="7.703125" style="204" customWidth="1"/>
    <col min="439" max="439" width="7.703125" style="206" customWidth="1"/>
    <col min="440" max="440" width="35.703125" style="204" customWidth="1"/>
    <col min="441" max="441" width="40.703125" style="204" customWidth="1"/>
    <col min="442" max="442" width="7.703125" style="204" customWidth="1"/>
    <col min="443" max="443" width="7.703125" style="206" customWidth="1"/>
    <col min="444" max="444" width="35.703125" style="204" customWidth="1"/>
    <col min="445" max="445" width="40.703125" style="204" customWidth="1"/>
    <col min="446" max="446" width="7.703125" style="204" customWidth="1"/>
    <col min="447" max="447" width="7.703125" style="206" customWidth="1"/>
    <col min="448" max="448" width="40.703125" style="204" customWidth="1"/>
    <col min="449" max="450" width="7.703125" style="204" customWidth="1"/>
    <col min="451" max="452" width="40.703125" style="204" customWidth="1"/>
    <col min="453" max="454" width="7.703125" style="204" customWidth="1"/>
    <col min="455" max="456" width="40.703125" style="204" customWidth="1"/>
    <col min="457" max="458" width="7.703125" style="204" customWidth="1"/>
    <col min="459" max="460" width="40.703125" style="204" customWidth="1"/>
    <col min="461" max="462" width="7.703125" style="204" customWidth="1"/>
    <col min="463" max="464" width="40.703125" style="204" customWidth="1"/>
    <col min="465" max="466" width="7.703125" style="204" customWidth="1"/>
    <col min="467" max="468" width="40.703125" style="204" customWidth="1"/>
    <col min="469" max="470" width="7.703125" style="204" customWidth="1"/>
    <col min="471" max="472" width="40.703125" style="204" customWidth="1"/>
    <col min="473" max="474" width="7.703125" style="204" customWidth="1"/>
    <col min="475" max="476" width="40.703125" style="204" customWidth="1"/>
    <col min="477" max="478" width="7.703125" style="204" customWidth="1"/>
    <col min="479" max="480" width="40.703125" style="204" customWidth="1"/>
    <col min="481" max="482" width="7.703125" style="204" customWidth="1"/>
    <col min="483" max="484" width="40.703125" style="204" customWidth="1"/>
    <col min="485" max="486" width="7.703125" style="204" customWidth="1"/>
    <col min="487" max="487" width="40.703125" style="204" customWidth="1"/>
    <col min="488" max="489" width="7.703125" style="204" customWidth="1"/>
    <col min="490" max="491" width="40.703125" style="204" customWidth="1"/>
    <col min="492" max="493" width="7.703125" style="204" customWidth="1"/>
    <col min="494" max="495" width="40.703125" style="204" customWidth="1"/>
    <col min="496" max="497" width="7.703125" style="204" customWidth="1"/>
    <col min="498" max="499" width="40.703125" style="204" customWidth="1"/>
    <col min="500" max="501" width="7.703125" style="204" customWidth="1"/>
    <col min="502" max="503" width="40.703125" style="204" customWidth="1"/>
    <col min="504" max="505" width="7.703125" style="204" customWidth="1"/>
    <col min="506" max="507" width="40.703125" style="204" customWidth="1"/>
    <col min="508" max="509" width="7.703125" style="204" customWidth="1"/>
    <col min="510" max="511" width="40.703125" style="204" customWidth="1"/>
    <col min="512" max="513" width="7.703125" style="204" customWidth="1"/>
    <col min="514" max="515" width="40.703125" style="204" customWidth="1"/>
    <col min="516" max="517" width="7.703125" style="204" customWidth="1"/>
    <col min="518" max="519" width="40.703125" style="204" customWidth="1"/>
    <col min="520" max="521" width="7.703125" style="204" customWidth="1"/>
    <col min="522" max="523" width="40.703125" style="204" customWidth="1"/>
    <col min="524" max="525" width="7.703125" style="204" customWidth="1"/>
    <col min="526" max="526" width="40.703125" style="204" customWidth="1"/>
    <col min="527" max="528" width="7.703125" style="204" customWidth="1"/>
    <col min="529" max="530" width="40.703125" style="204" customWidth="1"/>
    <col min="531" max="532" width="7.703125" style="204" customWidth="1"/>
    <col min="533" max="534" width="40.703125" style="204" customWidth="1"/>
    <col min="535" max="536" width="7.703125" style="204" customWidth="1"/>
    <col min="537" max="538" width="40.703125" style="204" customWidth="1"/>
    <col min="539" max="540" width="7.703125" style="204" customWidth="1"/>
    <col min="541" max="542" width="40.703125" style="204" customWidth="1"/>
    <col min="543" max="544" width="7.703125" style="204" customWidth="1"/>
    <col min="545" max="546" width="40.703125" style="204" customWidth="1"/>
    <col min="547" max="548" width="7.703125" style="204" customWidth="1"/>
    <col min="549" max="550" width="40.703125" style="204" customWidth="1"/>
    <col min="551" max="552" width="7.703125" style="204" customWidth="1"/>
    <col min="553" max="554" width="40.703125" style="204" customWidth="1"/>
    <col min="555" max="556" width="7.703125" style="204" customWidth="1"/>
    <col min="557" max="558" width="40.703125" style="204" customWidth="1"/>
    <col min="559" max="560" width="7.703125" style="204" customWidth="1"/>
    <col min="561" max="562" width="40.703125" style="204" customWidth="1"/>
    <col min="563" max="564" width="7.703125" style="204" customWidth="1"/>
    <col min="565" max="565" width="40.703125" style="204" customWidth="1"/>
    <col min="566" max="567" width="7.703125" style="204" customWidth="1"/>
    <col min="568" max="569" width="40.703125" style="204" customWidth="1"/>
    <col min="570" max="571" width="7.703125" style="204" customWidth="1"/>
    <col min="572" max="573" width="40.703125" style="204" customWidth="1"/>
    <col min="574" max="575" width="7.703125" style="204" customWidth="1"/>
    <col min="576" max="577" width="40.703125" style="204" customWidth="1"/>
    <col min="578" max="579" width="7.703125" style="204" customWidth="1"/>
    <col min="580" max="581" width="40.703125" style="204" customWidth="1"/>
    <col min="582" max="583" width="7.703125" style="204" customWidth="1"/>
    <col min="584" max="585" width="40.703125" style="204" customWidth="1"/>
    <col min="586" max="587" width="7.703125" style="204" customWidth="1"/>
    <col min="588" max="589" width="40.703125" style="204" customWidth="1"/>
    <col min="590" max="591" width="7.703125" style="204" customWidth="1"/>
    <col min="592" max="593" width="40.703125" style="204" customWidth="1"/>
    <col min="594" max="595" width="7.703125" style="204" customWidth="1"/>
    <col min="596" max="597" width="40.703125" style="204" customWidth="1"/>
    <col min="598" max="599" width="7.703125" style="204" customWidth="1"/>
    <col min="600" max="601" width="40.703125" style="204" customWidth="1"/>
    <col min="602" max="603" width="7.703125" style="204" customWidth="1"/>
    <col min="604" max="604" width="40.703125" style="204" customWidth="1"/>
    <col min="605" max="606" width="7.703125" style="204" customWidth="1"/>
    <col min="607" max="608" width="40.703125" style="204" customWidth="1"/>
    <col min="609" max="610" width="7.703125" style="204" customWidth="1"/>
    <col min="611" max="612" width="40.703125" style="204" customWidth="1"/>
    <col min="613" max="614" width="7.703125" style="204" customWidth="1"/>
    <col min="615" max="616" width="40.703125" style="204" customWidth="1"/>
    <col min="617" max="618" width="7.703125" style="204" customWidth="1"/>
    <col min="619" max="620" width="40.703125" style="204" customWidth="1"/>
    <col min="621" max="622" width="7.703125" style="204" customWidth="1"/>
    <col min="623" max="624" width="40.703125" style="204" customWidth="1"/>
    <col min="625" max="626" width="7.703125" style="204" customWidth="1"/>
    <col min="627" max="628" width="40.703125" style="204" customWidth="1"/>
    <col min="629" max="630" width="7.703125" style="204" customWidth="1"/>
    <col min="631" max="632" width="40.703125" style="204" customWidth="1"/>
    <col min="633" max="634" width="7.703125" style="204" customWidth="1"/>
    <col min="635" max="636" width="40.703125" style="204" customWidth="1"/>
    <col min="637" max="638" width="7.703125" style="204" customWidth="1"/>
    <col min="639" max="640" width="40.703125" style="204" customWidth="1"/>
    <col min="641" max="642" width="7.703125" style="204" customWidth="1"/>
    <col min="643" max="643" width="40.703125" style="204" customWidth="1"/>
    <col min="644" max="645" width="7.703125" style="204" customWidth="1"/>
    <col min="646" max="647" width="40.703125" style="204" customWidth="1"/>
    <col min="648" max="649" width="7.703125" style="204" customWidth="1"/>
    <col min="650" max="651" width="40.703125" style="204" customWidth="1"/>
    <col min="652" max="653" width="7.703125" style="204" customWidth="1"/>
    <col min="654" max="655" width="40.703125" style="204" customWidth="1"/>
    <col min="656" max="657" width="7.703125" style="204" customWidth="1"/>
    <col min="658" max="659" width="40.703125" style="204" customWidth="1"/>
    <col min="660" max="661" width="7.703125" style="204" customWidth="1"/>
    <col min="662" max="663" width="40.703125" style="204" customWidth="1"/>
    <col min="664" max="665" width="7.703125" style="204" customWidth="1"/>
    <col min="666" max="667" width="40.703125" style="204" customWidth="1"/>
    <col min="668" max="669" width="7.703125" style="204" customWidth="1"/>
    <col min="670" max="671" width="40.703125" style="204" customWidth="1"/>
    <col min="672" max="673" width="7.703125" style="204" customWidth="1"/>
    <col min="674" max="675" width="40.703125" style="204" customWidth="1"/>
    <col min="676" max="677" width="7.703125" style="204" customWidth="1"/>
    <col min="678" max="679" width="40.703125" style="204" customWidth="1"/>
    <col min="680" max="681" width="7.703125" style="204" customWidth="1"/>
    <col min="682" max="682" width="40.703125" style="204" customWidth="1"/>
    <col min="683" max="684" width="7.703125" style="204" customWidth="1"/>
    <col min="685" max="686" width="40.703125" style="204" customWidth="1"/>
    <col min="687" max="688" width="7.703125" style="204" customWidth="1"/>
    <col min="689" max="690" width="40.703125" style="204" customWidth="1"/>
    <col min="691" max="692" width="7.703125" style="204" customWidth="1"/>
    <col min="693" max="694" width="40.703125" style="204" customWidth="1"/>
    <col min="695" max="696" width="7.703125" style="204" customWidth="1"/>
    <col min="697" max="698" width="40.703125" style="204" customWidth="1"/>
    <col min="699" max="700" width="7.703125" style="204" customWidth="1"/>
    <col min="701" max="702" width="40.703125" style="204" customWidth="1"/>
    <col min="703" max="704" width="7.703125" style="204" customWidth="1"/>
    <col min="705" max="706" width="40.703125" style="204" customWidth="1"/>
    <col min="707" max="708" width="7.703125" style="204" customWidth="1"/>
    <col min="709" max="710" width="40.703125" style="204" customWidth="1"/>
    <col min="711" max="712" width="7.703125" style="204" customWidth="1"/>
    <col min="713" max="714" width="40.703125" style="204" customWidth="1"/>
    <col min="715" max="716" width="7.703125" style="204" customWidth="1"/>
    <col min="717" max="718" width="40.703125" style="204" customWidth="1"/>
    <col min="719" max="720" width="7.703125" style="204" customWidth="1"/>
    <col min="721" max="721" width="60.703125" style="204" customWidth="1"/>
    <col min="722" max="723" width="8.703125" style="204" customWidth="1"/>
    <col min="724" max="725" width="60.703125" style="204" customWidth="1"/>
    <col min="726" max="727" width="8.703125" style="204" customWidth="1"/>
    <col min="728" max="729" width="60.703125" style="204" customWidth="1"/>
    <col min="730" max="731" width="8.703125" style="204" customWidth="1"/>
    <col min="732" max="733" width="60.703125" style="204" customWidth="1"/>
    <col min="734" max="735" width="8.703125" style="204" customWidth="1"/>
    <col min="736" max="737" width="60.703125" style="204" customWidth="1"/>
    <col min="738" max="739" width="8.703125" style="204" customWidth="1"/>
    <col min="740" max="741" width="60.703125" style="204" customWidth="1"/>
    <col min="742" max="743" width="8.703125" style="204" customWidth="1"/>
    <col min="744" max="745" width="60.703125" style="204" customWidth="1"/>
    <col min="746" max="747" width="8.703125" style="204" customWidth="1"/>
    <col min="748" max="749" width="60.703125" style="204" customWidth="1"/>
    <col min="750" max="751" width="8.703125" style="204" customWidth="1"/>
    <col min="752" max="753" width="60.703125" style="204" customWidth="1"/>
    <col min="754" max="755" width="8.703125" style="204" customWidth="1"/>
    <col min="756" max="757" width="60.703125" style="204" customWidth="1"/>
    <col min="758" max="759" width="8.703125" style="204" customWidth="1"/>
    <col min="760" max="760" width="80.703125" style="204" customWidth="1"/>
    <col min="761" max="762" width="10.703125" style="204" customWidth="1"/>
    <col min="763" max="764" width="80.703125" style="204" customWidth="1"/>
    <col min="765" max="766" width="10.703125" style="204" customWidth="1"/>
    <col min="767" max="768" width="80.703125" style="204" customWidth="1"/>
    <col min="769" max="770" width="10.703125" style="204" customWidth="1"/>
    <col min="771" max="772" width="80.703125" style="204" customWidth="1"/>
    <col min="773" max="774" width="10.703125" style="204" customWidth="1"/>
    <col min="775" max="776" width="80.703125" style="204" customWidth="1"/>
    <col min="777" max="778" width="10.703125" style="204" customWidth="1"/>
    <col min="779" max="780" width="80.703125" style="204" customWidth="1"/>
    <col min="781" max="782" width="10.703125" style="204" customWidth="1"/>
    <col min="783" max="784" width="80.703125" style="204" customWidth="1"/>
    <col min="785" max="786" width="10.703125" style="204" customWidth="1"/>
    <col min="787" max="788" width="80.703125" style="204" customWidth="1"/>
    <col min="789" max="790" width="10.703125" style="204" customWidth="1"/>
    <col min="791" max="792" width="80.703125" style="204" customWidth="1"/>
    <col min="793" max="794" width="10.703125" style="204" customWidth="1"/>
    <col min="795" max="796" width="80.703125" style="204" customWidth="1"/>
    <col min="797" max="798" width="10.703125" style="204" customWidth="1"/>
    <col min="799" max="799" width="150.703125" style="204" customWidth="1"/>
    <col min="800" max="801" width="50.703125" style="204" customWidth="1"/>
    <col min="802" max="803" width="150.703125" style="204" customWidth="1"/>
    <col min="804" max="805" width="50.703125" style="204" customWidth="1"/>
    <col min="806" max="807" width="150.703125" style="204" customWidth="1"/>
    <col min="808" max="809" width="50.703125" style="204" customWidth="1"/>
    <col min="810" max="811" width="150.703125" style="204" customWidth="1"/>
    <col min="812" max="813" width="50.703125" style="204" customWidth="1"/>
    <col min="814" max="815" width="150.703125" style="204" customWidth="1"/>
    <col min="816" max="817" width="50.703125" style="204" customWidth="1"/>
    <col min="818" max="819" width="150.703125" style="204" customWidth="1"/>
    <col min="820" max="821" width="50.703125" style="204" customWidth="1"/>
    <col min="822" max="823" width="150.703125" style="204" customWidth="1"/>
    <col min="824" max="825" width="50.703125" style="204" customWidth="1"/>
    <col min="826" max="827" width="150.703125" style="204" customWidth="1"/>
    <col min="828" max="829" width="50.703125" style="204" customWidth="1"/>
    <col min="830" max="831" width="150.703125" style="204" customWidth="1"/>
    <col min="832" max="833" width="50.703125" style="204" customWidth="1"/>
    <col min="834" max="835" width="150.703125" style="204" customWidth="1"/>
    <col min="836" max="837" width="50.703125" style="204" customWidth="1"/>
    <col min="838" max="914" width="33.41015625" style="204" customWidth="1"/>
    <col min="915" max="930" width="30.87890625" style="204" customWidth="1"/>
    <col min="931" max="946" width="26.703125" style="204" customWidth="1"/>
    <col min="947" max="16384" width="11.41015625" style="204"/>
  </cols>
  <sheetData>
    <row r="1" spans="1:603" ht="22.7" x14ac:dyDescent="0.4">
      <c r="B1" s="202" t="s">
        <v>376</v>
      </c>
      <c r="C1" s="203"/>
      <c r="D1" s="203"/>
      <c r="E1" s="203"/>
      <c r="F1" s="203"/>
      <c r="G1" s="203"/>
      <c r="H1" s="203"/>
      <c r="I1" s="203"/>
    </row>
    <row r="2" spans="1:603" ht="13" thickBot="1" x14ac:dyDescent="0.45">
      <c r="LK2" s="204"/>
      <c r="MD2" s="204"/>
      <c r="MT2" s="204"/>
      <c r="MU2" s="204"/>
      <c r="MV2" s="204"/>
      <c r="MW2" s="204"/>
      <c r="MX2" s="204"/>
      <c r="ND2" s="204"/>
      <c r="NH2" s="204"/>
      <c r="NL2" s="204"/>
      <c r="NP2" s="204"/>
      <c r="NQ2" s="204"/>
      <c r="NT2" s="204"/>
      <c r="NX2" s="204"/>
      <c r="OB2" s="204"/>
      <c r="OF2" s="204"/>
      <c r="OG2" s="204"/>
      <c r="OJ2" s="204"/>
      <c r="ON2" s="204"/>
      <c r="OQ2" s="204"/>
      <c r="OR2" s="204"/>
      <c r="OU2" s="204"/>
      <c r="OY2" s="204"/>
      <c r="PC2" s="204"/>
      <c r="PG2" s="204"/>
      <c r="PK2" s="204"/>
      <c r="PO2" s="204"/>
      <c r="PS2" s="204"/>
      <c r="PW2" s="204"/>
      <c r="QA2" s="204"/>
      <c r="QE2" s="204"/>
    </row>
    <row r="3" spans="1:603" s="30" customFormat="1" ht="21.7" thickTop="1" x14ac:dyDescent="0.4">
      <c r="A3" s="288" t="s">
        <v>129</v>
      </c>
      <c r="B3" s="289" t="s">
        <v>290</v>
      </c>
      <c r="C3" s="289"/>
      <c r="D3" s="290"/>
      <c r="E3" s="291"/>
      <c r="F3" s="289" t="s">
        <v>291</v>
      </c>
      <c r="G3" s="289"/>
      <c r="H3" s="290"/>
      <c r="I3" s="291"/>
      <c r="J3" s="292" t="s">
        <v>130</v>
      </c>
      <c r="K3" s="289"/>
      <c r="L3" s="290"/>
      <c r="M3" s="291"/>
      <c r="N3" s="293" t="s">
        <v>133</v>
      </c>
      <c r="O3" s="294"/>
      <c r="P3" s="295"/>
      <c r="Q3" s="296"/>
      <c r="R3" s="293" t="s">
        <v>57</v>
      </c>
      <c r="S3" s="294"/>
      <c r="T3" s="295"/>
      <c r="U3" s="296"/>
      <c r="V3" s="293" t="s">
        <v>134</v>
      </c>
      <c r="W3" s="294"/>
      <c r="X3" s="295"/>
      <c r="Y3" s="296"/>
      <c r="Z3" s="293" t="s">
        <v>135</v>
      </c>
      <c r="AA3" s="294"/>
      <c r="AB3" s="295"/>
      <c r="AC3" s="296"/>
      <c r="AD3" s="293" t="s">
        <v>136</v>
      </c>
      <c r="AE3" s="289"/>
      <c r="AF3" s="290"/>
      <c r="AG3" s="291"/>
      <c r="AH3" s="293" t="s">
        <v>58</v>
      </c>
      <c r="AI3" s="294"/>
      <c r="AJ3" s="295"/>
      <c r="AK3" s="296"/>
      <c r="AL3" s="293" t="s">
        <v>137</v>
      </c>
      <c r="AM3" s="294"/>
      <c r="AN3" s="295"/>
      <c r="AO3" s="296"/>
      <c r="AP3" s="293" t="s">
        <v>138</v>
      </c>
      <c r="AQ3" s="294"/>
      <c r="AR3" s="295"/>
      <c r="AS3" s="296"/>
      <c r="AT3" s="293" t="s">
        <v>139</v>
      </c>
      <c r="AU3" s="294"/>
      <c r="AV3" s="295"/>
      <c r="AW3" s="296"/>
      <c r="AX3" s="293" t="s">
        <v>140</v>
      </c>
      <c r="AY3" s="294"/>
      <c r="AZ3" s="295"/>
      <c r="BA3" s="296"/>
      <c r="BB3" s="293" t="s">
        <v>141</v>
      </c>
      <c r="BC3" s="289"/>
      <c r="BD3" s="290"/>
      <c r="BE3" s="291"/>
      <c r="BF3" s="293" t="s">
        <v>390</v>
      </c>
      <c r="BG3" s="289"/>
      <c r="BH3" s="290"/>
      <c r="BI3" s="291"/>
      <c r="BJ3" s="293" t="s">
        <v>37</v>
      </c>
      <c r="BK3" s="289"/>
      <c r="BL3" s="290"/>
      <c r="BM3" s="291"/>
    </row>
    <row r="4" spans="1:603" s="201" customFormat="1" ht="21.7" thickBot="1" x14ac:dyDescent="0.45">
      <c r="A4" s="297"/>
      <c r="B4" s="298" t="s">
        <v>43</v>
      </c>
      <c r="C4" s="298" t="s">
        <v>292</v>
      </c>
      <c r="D4" s="298" t="s">
        <v>293</v>
      </c>
      <c r="E4" s="299" t="s">
        <v>294</v>
      </c>
      <c r="F4" s="298" t="s">
        <v>43</v>
      </c>
      <c r="G4" s="298" t="s">
        <v>292</v>
      </c>
      <c r="H4" s="298" t="s">
        <v>293</v>
      </c>
      <c r="I4" s="299" t="s">
        <v>294</v>
      </c>
      <c r="J4" s="300" t="s">
        <v>43</v>
      </c>
      <c r="K4" s="298" t="s">
        <v>292</v>
      </c>
      <c r="L4" s="298" t="s">
        <v>293</v>
      </c>
      <c r="M4" s="299" t="s">
        <v>294</v>
      </c>
      <c r="N4" s="298" t="s">
        <v>43</v>
      </c>
      <c r="O4" s="298" t="s">
        <v>292</v>
      </c>
      <c r="P4" s="298" t="s">
        <v>293</v>
      </c>
      <c r="Q4" s="299" t="s">
        <v>294</v>
      </c>
      <c r="R4" s="298" t="s">
        <v>43</v>
      </c>
      <c r="S4" s="298" t="s">
        <v>292</v>
      </c>
      <c r="T4" s="298" t="s">
        <v>293</v>
      </c>
      <c r="U4" s="299" t="s">
        <v>294</v>
      </c>
      <c r="V4" s="298" t="s">
        <v>43</v>
      </c>
      <c r="W4" s="298" t="s">
        <v>292</v>
      </c>
      <c r="X4" s="298" t="s">
        <v>293</v>
      </c>
      <c r="Y4" s="299" t="s">
        <v>294</v>
      </c>
      <c r="Z4" s="298" t="s">
        <v>43</v>
      </c>
      <c r="AA4" s="298" t="s">
        <v>292</v>
      </c>
      <c r="AB4" s="298" t="s">
        <v>293</v>
      </c>
      <c r="AC4" s="299" t="s">
        <v>294</v>
      </c>
      <c r="AD4" s="298" t="s">
        <v>43</v>
      </c>
      <c r="AE4" s="298" t="s">
        <v>292</v>
      </c>
      <c r="AF4" s="298" t="s">
        <v>293</v>
      </c>
      <c r="AG4" s="299" t="s">
        <v>294</v>
      </c>
      <c r="AH4" s="298" t="s">
        <v>43</v>
      </c>
      <c r="AI4" s="298" t="s">
        <v>292</v>
      </c>
      <c r="AJ4" s="298" t="s">
        <v>293</v>
      </c>
      <c r="AK4" s="299" t="s">
        <v>294</v>
      </c>
      <c r="AL4" s="298" t="s">
        <v>43</v>
      </c>
      <c r="AM4" s="298" t="s">
        <v>292</v>
      </c>
      <c r="AN4" s="298" t="s">
        <v>293</v>
      </c>
      <c r="AO4" s="299" t="s">
        <v>294</v>
      </c>
      <c r="AP4" s="298" t="s">
        <v>43</v>
      </c>
      <c r="AQ4" s="298" t="s">
        <v>292</v>
      </c>
      <c r="AR4" s="298" t="s">
        <v>293</v>
      </c>
      <c r="AS4" s="299" t="s">
        <v>294</v>
      </c>
      <c r="AT4" s="298" t="s">
        <v>43</v>
      </c>
      <c r="AU4" s="298" t="s">
        <v>292</v>
      </c>
      <c r="AV4" s="298" t="s">
        <v>293</v>
      </c>
      <c r="AW4" s="299" t="s">
        <v>294</v>
      </c>
      <c r="AX4" s="298" t="s">
        <v>43</v>
      </c>
      <c r="AY4" s="298" t="s">
        <v>292</v>
      </c>
      <c r="AZ4" s="298" t="s">
        <v>293</v>
      </c>
      <c r="BA4" s="299" t="s">
        <v>294</v>
      </c>
      <c r="BB4" s="298" t="s">
        <v>43</v>
      </c>
      <c r="BC4" s="298" t="s">
        <v>292</v>
      </c>
      <c r="BD4" s="298" t="s">
        <v>293</v>
      </c>
      <c r="BE4" s="299" t="s">
        <v>294</v>
      </c>
      <c r="BF4" s="298" t="s">
        <v>43</v>
      </c>
      <c r="BG4" s="298" t="s">
        <v>292</v>
      </c>
      <c r="BH4" s="298" t="s">
        <v>293</v>
      </c>
      <c r="BI4" s="299" t="s">
        <v>294</v>
      </c>
      <c r="BJ4" s="298" t="s">
        <v>43</v>
      </c>
      <c r="BK4" s="298" t="s">
        <v>292</v>
      </c>
      <c r="BL4" s="298" t="s">
        <v>293</v>
      </c>
      <c r="BM4" s="299" t="s">
        <v>294</v>
      </c>
    </row>
    <row r="5" spans="1:603" s="207" customFormat="1" ht="51" thickTop="1" x14ac:dyDescent="0.4">
      <c r="A5" s="164">
        <v>1</v>
      </c>
      <c r="B5" s="165" t="s">
        <v>295</v>
      </c>
      <c r="C5" s="166" t="s">
        <v>624</v>
      </c>
      <c r="D5" s="167">
        <v>10</v>
      </c>
      <c r="E5" s="168" t="s">
        <v>159</v>
      </c>
      <c r="F5" s="165" t="s">
        <v>295</v>
      </c>
      <c r="G5" s="166" t="s">
        <v>624</v>
      </c>
      <c r="H5" s="167">
        <v>10</v>
      </c>
      <c r="I5" s="168" t="s">
        <v>159</v>
      </c>
      <c r="J5" s="169" t="s">
        <v>295</v>
      </c>
      <c r="K5" s="166" t="s">
        <v>624</v>
      </c>
      <c r="L5" s="167">
        <v>10</v>
      </c>
      <c r="M5" s="168" t="s">
        <v>159</v>
      </c>
      <c r="N5" s="165" t="s">
        <v>295</v>
      </c>
      <c r="O5" s="166" t="s">
        <v>624</v>
      </c>
      <c r="P5" s="167">
        <v>10</v>
      </c>
      <c r="Q5" s="168" t="s">
        <v>159</v>
      </c>
      <c r="R5" s="165" t="s">
        <v>295</v>
      </c>
      <c r="S5" s="166" t="s">
        <v>624</v>
      </c>
      <c r="T5" s="167">
        <v>10</v>
      </c>
      <c r="U5" s="168" t="s">
        <v>159</v>
      </c>
      <c r="V5" s="165" t="s">
        <v>295</v>
      </c>
      <c r="W5" s="166" t="s">
        <v>624</v>
      </c>
      <c r="X5" s="167">
        <v>10</v>
      </c>
      <c r="Y5" s="168" t="s">
        <v>159</v>
      </c>
      <c r="Z5" s="165" t="s">
        <v>295</v>
      </c>
      <c r="AA5" s="166" t="s">
        <v>624</v>
      </c>
      <c r="AB5" s="167">
        <v>10</v>
      </c>
      <c r="AC5" s="168" t="s">
        <v>159</v>
      </c>
      <c r="AD5" s="169" t="s">
        <v>295</v>
      </c>
      <c r="AE5" s="166" t="s">
        <v>624</v>
      </c>
      <c r="AF5" s="167">
        <v>10</v>
      </c>
      <c r="AG5" s="168" t="s">
        <v>159</v>
      </c>
      <c r="AH5" s="169" t="s">
        <v>295</v>
      </c>
      <c r="AI5" s="166" t="s">
        <v>624</v>
      </c>
      <c r="AJ5" s="167">
        <v>10</v>
      </c>
      <c r="AK5" s="168" t="s">
        <v>159</v>
      </c>
      <c r="AL5" s="165" t="s">
        <v>295</v>
      </c>
      <c r="AM5" s="166" t="s">
        <v>624</v>
      </c>
      <c r="AN5" s="167">
        <v>10</v>
      </c>
      <c r="AO5" s="168" t="s">
        <v>159</v>
      </c>
      <c r="AP5" s="165" t="s">
        <v>295</v>
      </c>
      <c r="AQ5" s="166" t="s">
        <v>624</v>
      </c>
      <c r="AR5" s="167">
        <v>10</v>
      </c>
      <c r="AS5" s="168" t="s">
        <v>159</v>
      </c>
      <c r="AT5" s="165" t="s">
        <v>295</v>
      </c>
      <c r="AU5" s="166" t="s">
        <v>624</v>
      </c>
      <c r="AV5" s="167">
        <v>10</v>
      </c>
      <c r="AW5" s="168" t="s">
        <v>159</v>
      </c>
      <c r="AX5" s="165" t="s">
        <v>295</v>
      </c>
      <c r="AY5" s="166" t="s">
        <v>624</v>
      </c>
      <c r="AZ5" s="167">
        <v>10</v>
      </c>
      <c r="BA5" s="168" t="s">
        <v>159</v>
      </c>
      <c r="BB5" s="169" t="s">
        <v>295</v>
      </c>
      <c r="BC5" s="166" t="s">
        <v>624</v>
      </c>
      <c r="BD5" s="167">
        <v>10</v>
      </c>
      <c r="BE5" s="168" t="s">
        <v>159</v>
      </c>
      <c r="BF5" s="169" t="s">
        <v>295</v>
      </c>
      <c r="BG5" s="166" t="s">
        <v>624</v>
      </c>
      <c r="BH5" s="167">
        <v>10</v>
      </c>
      <c r="BI5" s="168" t="s">
        <v>159</v>
      </c>
      <c r="BJ5" s="169" t="s">
        <v>295</v>
      </c>
      <c r="BK5" s="166" t="s">
        <v>624</v>
      </c>
      <c r="BL5" s="167">
        <v>10</v>
      </c>
      <c r="BM5" s="168" t="s">
        <v>159</v>
      </c>
    </row>
    <row r="6" spans="1:603" s="185" customFormat="1" ht="114" x14ac:dyDescent="0.4">
      <c r="A6" s="301">
        <v>2</v>
      </c>
      <c r="B6" s="302" t="s">
        <v>296</v>
      </c>
      <c r="C6" s="303"/>
      <c r="D6" s="304">
        <v>10</v>
      </c>
      <c r="E6" s="305" t="s">
        <v>159</v>
      </c>
      <c r="F6" s="302" t="s">
        <v>296</v>
      </c>
      <c r="G6" s="303"/>
      <c r="H6" s="304">
        <v>10</v>
      </c>
      <c r="I6" s="305" t="s">
        <v>159</v>
      </c>
      <c r="J6" s="306" t="s">
        <v>297</v>
      </c>
      <c r="K6" s="303"/>
      <c r="L6" s="304">
        <v>10</v>
      </c>
      <c r="M6" s="305" t="s">
        <v>159</v>
      </c>
      <c r="N6" s="302" t="s">
        <v>297</v>
      </c>
      <c r="O6" s="303"/>
      <c r="P6" s="304">
        <v>10</v>
      </c>
      <c r="Q6" s="305" t="s">
        <v>159</v>
      </c>
      <c r="R6" s="302" t="s">
        <v>142</v>
      </c>
      <c r="S6" s="303"/>
      <c r="T6" s="304">
        <v>10</v>
      </c>
      <c r="U6" s="305" t="s">
        <v>159</v>
      </c>
      <c r="V6" s="302" t="s">
        <v>298</v>
      </c>
      <c r="W6" s="307"/>
      <c r="X6" s="304">
        <v>10</v>
      </c>
      <c r="Y6" s="305" t="s">
        <v>159</v>
      </c>
      <c r="Z6" s="302" t="s">
        <v>299</v>
      </c>
      <c r="AA6" s="307"/>
      <c r="AB6" s="304">
        <v>10</v>
      </c>
      <c r="AC6" s="305" t="s">
        <v>159</v>
      </c>
      <c r="AD6" s="302" t="s">
        <v>296</v>
      </c>
      <c r="AE6" s="303"/>
      <c r="AF6" s="304">
        <v>10</v>
      </c>
      <c r="AG6" s="305" t="s">
        <v>159</v>
      </c>
      <c r="AH6" s="302" t="s">
        <v>300</v>
      </c>
      <c r="AI6" s="303"/>
      <c r="AJ6" s="304">
        <v>10</v>
      </c>
      <c r="AK6" s="305" t="s">
        <v>159</v>
      </c>
      <c r="AL6" s="302" t="s">
        <v>301</v>
      </c>
      <c r="AM6" s="307"/>
      <c r="AN6" s="304">
        <v>10</v>
      </c>
      <c r="AO6" s="305" t="s">
        <v>159</v>
      </c>
      <c r="AP6" s="302" t="s">
        <v>302</v>
      </c>
      <c r="AQ6" s="307"/>
      <c r="AR6" s="304">
        <v>20</v>
      </c>
      <c r="AS6" s="305" t="s">
        <v>159</v>
      </c>
      <c r="AT6" s="302" t="s">
        <v>143</v>
      </c>
      <c r="AU6" s="303"/>
      <c r="AV6" s="304">
        <v>15</v>
      </c>
      <c r="AW6" s="305" t="s">
        <v>159</v>
      </c>
      <c r="AX6" s="302" t="s">
        <v>144</v>
      </c>
      <c r="AY6" s="303"/>
      <c r="AZ6" s="304">
        <v>15</v>
      </c>
      <c r="BA6" s="305" t="s">
        <v>159</v>
      </c>
      <c r="BB6" s="306" t="s">
        <v>145</v>
      </c>
      <c r="BC6" s="303"/>
      <c r="BD6" s="304">
        <v>20</v>
      </c>
      <c r="BE6" s="305" t="s">
        <v>159</v>
      </c>
      <c r="BF6" s="306" t="s">
        <v>391</v>
      </c>
      <c r="BG6" s="303" t="s">
        <v>392</v>
      </c>
      <c r="BH6" s="304">
        <v>30</v>
      </c>
      <c r="BI6" s="305" t="s">
        <v>159</v>
      </c>
      <c r="BJ6" s="302" t="s">
        <v>393</v>
      </c>
      <c r="BK6" s="303" t="s">
        <v>394</v>
      </c>
      <c r="BL6" s="304">
        <v>20</v>
      </c>
      <c r="BM6" s="305" t="s">
        <v>159</v>
      </c>
      <c r="BN6" s="308"/>
      <c r="BO6" s="308"/>
      <c r="BP6" s="308"/>
      <c r="BQ6" s="308"/>
      <c r="BR6" s="308"/>
      <c r="BS6" s="308"/>
      <c r="BT6" s="308"/>
      <c r="BU6" s="308"/>
      <c r="BV6" s="308"/>
      <c r="BW6" s="308"/>
      <c r="BX6" s="308"/>
      <c r="BY6" s="308"/>
      <c r="BZ6" s="308"/>
      <c r="CA6" s="308"/>
      <c r="CB6" s="308"/>
      <c r="CC6" s="308"/>
      <c r="CD6" s="308"/>
      <c r="CE6" s="308"/>
      <c r="CF6" s="308"/>
      <c r="CG6" s="308"/>
      <c r="CH6" s="308"/>
      <c r="CI6" s="308"/>
      <c r="CJ6" s="308"/>
      <c r="CK6" s="308"/>
      <c r="CL6" s="308"/>
      <c r="CM6" s="308"/>
      <c r="CN6" s="308"/>
      <c r="CO6" s="308"/>
      <c r="CP6" s="308"/>
      <c r="CQ6" s="308"/>
      <c r="CR6" s="308"/>
      <c r="CS6" s="308"/>
      <c r="CT6" s="308"/>
      <c r="CU6" s="308"/>
      <c r="CV6" s="308"/>
      <c r="CW6" s="308"/>
      <c r="CX6" s="308"/>
      <c r="CY6" s="308"/>
      <c r="CZ6" s="308"/>
      <c r="DA6" s="308"/>
      <c r="DB6" s="308"/>
      <c r="DC6" s="308"/>
      <c r="DD6" s="308"/>
      <c r="DE6" s="308"/>
      <c r="DF6" s="308"/>
      <c r="DG6" s="308"/>
      <c r="DH6" s="308"/>
      <c r="DI6" s="308"/>
      <c r="DJ6" s="308"/>
      <c r="DK6" s="308"/>
      <c r="DL6" s="308"/>
      <c r="DM6" s="308"/>
      <c r="DN6" s="308"/>
      <c r="DO6" s="308"/>
      <c r="DP6" s="308"/>
      <c r="DQ6" s="308"/>
      <c r="DR6" s="308"/>
      <c r="DS6" s="308"/>
      <c r="DT6" s="308"/>
      <c r="DU6" s="308"/>
      <c r="DV6" s="308"/>
      <c r="DW6" s="308"/>
      <c r="DX6" s="308"/>
      <c r="DY6" s="308"/>
      <c r="DZ6" s="308"/>
      <c r="EA6" s="308"/>
      <c r="EB6" s="308"/>
      <c r="EC6" s="308"/>
      <c r="ED6" s="308"/>
      <c r="EE6" s="308"/>
      <c r="EF6" s="308"/>
      <c r="EG6" s="308"/>
      <c r="EH6" s="308"/>
      <c r="EI6" s="308"/>
      <c r="EJ6" s="308"/>
      <c r="EK6" s="308"/>
      <c r="EL6" s="308"/>
      <c r="EM6" s="308"/>
      <c r="EN6" s="308"/>
      <c r="EO6" s="308"/>
      <c r="EP6" s="308"/>
      <c r="EQ6" s="308"/>
      <c r="ER6" s="308"/>
      <c r="ES6" s="308"/>
      <c r="ET6" s="308"/>
      <c r="EU6" s="308"/>
      <c r="EV6" s="308"/>
      <c r="EW6" s="308"/>
      <c r="EX6" s="308"/>
      <c r="EY6" s="308"/>
      <c r="EZ6" s="308"/>
      <c r="FA6" s="308"/>
      <c r="FB6" s="308"/>
      <c r="FC6" s="308"/>
      <c r="FD6" s="308"/>
      <c r="FE6" s="308"/>
      <c r="FF6" s="308"/>
      <c r="FG6" s="308"/>
      <c r="FH6" s="308"/>
      <c r="FI6" s="308"/>
      <c r="FJ6" s="308"/>
      <c r="FK6" s="308"/>
      <c r="FL6" s="308"/>
      <c r="FM6" s="308"/>
      <c r="FN6" s="308"/>
      <c r="FO6" s="308"/>
      <c r="FP6" s="308"/>
      <c r="FQ6" s="308"/>
      <c r="FR6" s="308"/>
      <c r="FS6" s="308"/>
      <c r="FT6" s="308"/>
      <c r="FU6" s="308"/>
      <c r="FV6" s="308"/>
      <c r="FW6" s="308"/>
      <c r="FX6" s="308"/>
      <c r="FY6" s="308"/>
      <c r="FZ6" s="308"/>
      <c r="GA6" s="308"/>
      <c r="GB6" s="308"/>
      <c r="GC6" s="308"/>
      <c r="GD6" s="308"/>
      <c r="GE6" s="308"/>
      <c r="GF6" s="308"/>
      <c r="GG6" s="308"/>
      <c r="GH6" s="308"/>
      <c r="GI6" s="308"/>
      <c r="GJ6" s="308"/>
      <c r="GK6" s="308"/>
      <c r="GL6" s="308"/>
      <c r="GM6" s="308"/>
      <c r="GN6" s="308"/>
      <c r="GO6" s="308"/>
      <c r="GP6" s="308"/>
      <c r="GQ6" s="308"/>
      <c r="GR6" s="308"/>
      <c r="GS6" s="308"/>
      <c r="GT6" s="308"/>
      <c r="GU6" s="308"/>
      <c r="GV6" s="308"/>
      <c r="GW6" s="308"/>
      <c r="GX6" s="308"/>
      <c r="GY6" s="308"/>
      <c r="GZ6" s="308"/>
      <c r="HA6" s="308"/>
      <c r="HB6" s="308"/>
      <c r="HC6" s="308"/>
      <c r="HD6" s="308"/>
      <c r="HE6" s="308"/>
      <c r="HF6" s="308"/>
      <c r="HG6" s="308"/>
      <c r="HH6" s="308"/>
      <c r="HI6" s="308"/>
      <c r="HJ6" s="308"/>
      <c r="HK6" s="308"/>
      <c r="HL6" s="308"/>
      <c r="HM6" s="308"/>
      <c r="HN6" s="308"/>
      <c r="HO6" s="308"/>
      <c r="HP6" s="308"/>
      <c r="HQ6" s="308"/>
      <c r="HR6" s="308"/>
      <c r="HS6" s="308"/>
      <c r="HT6" s="308"/>
      <c r="HU6" s="308"/>
      <c r="HV6" s="308"/>
      <c r="HW6" s="308"/>
      <c r="HX6" s="308"/>
      <c r="HY6" s="308"/>
      <c r="HZ6" s="308"/>
      <c r="IA6" s="308"/>
      <c r="IB6" s="308"/>
      <c r="IC6" s="308"/>
      <c r="ID6" s="308"/>
      <c r="IE6" s="308"/>
      <c r="IF6" s="308"/>
      <c r="IG6" s="308"/>
      <c r="IH6" s="308"/>
      <c r="II6" s="308"/>
      <c r="IJ6" s="308"/>
      <c r="IK6" s="308"/>
      <c r="IL6" s="308"/>
      <c r="IM6" s="308"/>
      <c r="IN6" s="308"/>
      <c r="IO6" s="308"/>
      <c r="IP6" s="308"/>
      <c r="IQ6" s="308"/>
      <c r="IR6" s="308"/>
      <c r="IS6" s="308"/>
      <c r="IT6" s="308"/>
      <c r="IU6" s="308"/>
      <c r="IV6" s="308"/>
      <c r="IW6" s="308"/>
      <c r="IX6" s="308"/>
      <c r="IY6" s="308"/>
      <c r="IZ6" s="308"/>
      <c r="JA6" s="308"/>
      <c r="JB6" s="308"/>
      <c r="JC6" s="308"/>
      <c r="JD6" s="308"/>
      <c r="JE6" s="308"/>
      <c r="JF6" s="308"/>
      <c r="JG6" s="308"/>
      <c r="JH6" s="308"/>
      <c r="JI6" s="308"/>
      <c r="JJ6" s="308"/>
      <c r="JK6" s="308"/>
      <c r="JL6" s="308"/>
      <c r="JM6" s="308"/>
      <c r="JN6" s="308"/>
      <c r="JO6" s="308"/>
      <c r="JP6" s="308"/>
      <c r="JQ6" s="308"/>
      <c r="JR6" s="308"/>
      <c r="JS6" s="308"/>
      <c r="JT6" s="308"/>
      <c r="JU6" s="308"/>
      <c r="JV6" s="308"/>
      <c r="JW6" s="308"/>
      <c r="JX6" s="308"/>
      <c r="JY6" s="308"/>
      <c r="JZ6" s="308"/>
      <c r="KA6" s="308"/>
      <c r="KB6" s="308"/>
      <c r="KC6" s="308"/>
      <c r="KD6" s="308"/>
      <c r="KE6" s="308"/>
      <c r="KF6" s="308"/>
      <c r="KG6" s="308"/>
      <c r="KH6" s="308"/>
      <c r="KI6" s="308"/>
      <c r="KJ6" s="308"/>
      <c r="KK6" s="308"/>
      <c r="KL6" s="308"/>
      <c r="KM6" s="308"/>
      <c r="KN6" s="308"/>
      <c r="KO6" s="308"/>
      <c r="KP6" s="308"/>
      <c r="KQ6" s="308"/>
      <c r="KR6" s="308"/>
      <c r="KS6" s="308"/>
      <c r="KT6" s="308"/>
      <c r="KU6" s="308"/>
      <c r="KV6" s="308"/>
      <c r="KW6" s="308"/>
      <c r="KX6" s="308"/>
      <c r="KY6" s="308"/>
      <c r="KZ6" s="308"/>
      <c r="LA6" s="308"/>
      <c r="LB6" s="308"/>
      <c r="LC6" s="308"/>
      <c r="LD6" s="308"/>
      <c r="LE6" s="308"/>
      <c r="LF6" s="308"/>
      <c r="LG6" s="308"/>
      <c r="LH6" s="308"/>
      <c r="LI6" s="308"/>
      <c r="LJ6" s="308"/>
      <c r="LK6" s="308"/>
      <c r="LL6" s="308"/>
      <c r="LM6" s="308"/>
      <c r="LN6" s="308"/>
      <c r="LO6" s="308"/>
      <c r="LP6" s="308"/>
      <c r="LQ6" s="308"/>
      <c r="LR6" s="308"/>
      <c r="LS6" s="308"/>
      <c r="LT6" s="308"/>
      <c r="LU6" s="308"/>
      <c r="LV6" s="308"/>
      <c r="LW6" s="308"/>
      <c r="LX6" s="308"/>
      <c r="LY6" s="308"/>
      <c r="LZ6" s="308"/>
      <c r="MA6" s="308"/>
      <c r="MB6" s="308"/>
      <c r="MC6" s="308"/>
      <c r="MD6" s="308"/>
      <c r="ME6" s="308"/>
      <c r="MF6" s="308"/>
      <c r="MG6" s="308"/>
      <c r="MH6" s="308"/>
      <c r="MI6" s="308"/>
      <c r="MJ6" s="308"/>
      <c r="MK6" s="308"/>
      <c r="ML6" s="308"/>
      <c r="MM6" s="308"/>
      <c r="MN6" s="308"/>
      <c r="MO6" s="308"/>
      <c r="MP6" s="308"/>
      <c r="MQ6" s="308"/>
      <c r="MR6" s="308"/>
      <c r="MS6" s="308"/>
      <c r="MT6" s="308"/>
      <c r="MU6" s="308"/>
      <c r="MV6" s="308"/>
      <c r="MW6" s="308"/>
      <c r="MX6" s="308"/>
      <c r="MY6" s="308"/>
      <c r="MZ6" s="308"/>
      <c r="NA6" s="308"/>
      <c r="NB6" s="308"/>
      <c r="NC6" s="308"/>
      <c r="ND6" s="308"/>
      <c r="NE6" s="308"/>
      <c r="NF6" s="308"/>
      <c r="NG6" s="308"/>
      <c r="NH6" s="308"/>
      <c r="NI6" s="308"/>
      <c r="NJ6" s="308"/>
      <c r="NK6" s="308"/>
      <c r="NL6" s="308"/>
      <c r="NM6" s="308"/>
      <c r="NN6" s="308"/>
      <c r="NO6" s="308"/>
      <c r="NP6" s="308"/>
      <c r="NQ6" s="308"/>
      <c r="NR6" s="308"/>
      <c r="NS6" s="308"/>
      <c r="NT6" s="308"/>
      <c r="NU6" s="308"/>
      <c r="NV6" s="308"/>
      <c r="NW6" s="308"/>
      <c r="NX6" s="308"/>
      <c r="NY6" s="308"/>
      <c r="NZ6" s="308"/>
      <c r="OA6" s="308"/>
      <c r="OB6" s="308"/>
      <c r="OC6" s="308"/>
      <c r="OD6" s="308"/>
      <c r="OE6" s="308"/>
      <c r="OF6" s="308"/>
      <c r="OG6" s="308"/>
      <c r="OH6" s="308"/>
      <c r="OI6" s="308"/>
      <c r="OJ6" s="308"/>
      <c r="OK6" s="308"/>
      <c r="OL6" s="308"/>
      <c r="OM6" s="308"/>
      <c r="ON6" s="308"/>
      <c r="OO6" s="308"/>
      <c r="OP6" s="308"/>
      <c r="OQ6" s="308"/>
      <c r="OR6" s="308"/>
      <c r="OS6" s="308"/>
      <c r="OT6" s="308"/>
      <c r="OU6" s="308"/>
      <c r="OV6" s="308"/>
      <c r="OW6" s="308"/>
      <c r="OX6" s="308"/>
      <c r="OY6" s="308"/>
      <c r="OZ6" s="308"/>
      <c r="PA6" s="308"/>
      <c r="PB6" s="308"/>
      <c r="PC6" s="308"/>
      <c r="PD6" s="308"/>
      <c r="PE6" s="308"/>
      <c r="PF6" s="308"/>
      <c r="PG6" s="308"/>
      <c r="PH6" s="308"/>
      <c r="PI6" s="308"/>
      <c r="PJ6" s="308"/>
      <c r="PK6" s="308"/>
      <c r="PL6" s="308"/>
      <c r="PM6" s="308"/>
      <c r="PN6" s="308"/>
      <c r="PO6" s="308"/>
      <c r="PP6" s="308"/>
      <c r="PQ6" s="308"/>
      <c r="PR6" s="308"/>
      <c r="PS6" s="308"/>
      <c r="PT6" s="308"/>
      <c r="PU6" s="308"/>
      <c r="PV6" s="308"/>
      <c r="PW6" s="308"/>
      <c r="PX6" s="308"/>
      <c r="PY6" s="308"/>
      <c r="PZ6" s="308"/>
      <c r="QA6" s="308"/>
      <c r="QB6" s="308"/>
      <c r="QC6" s="308"/>
      <c r="QD6" s="308"/>
      <c r="QE6" s="308"/>
      <c r="QF6" s="308"/>
      <c r="QG6" s="308"/>
      <c r="QH6" s="308"/>
      <c r="QI6" s="308"/>
      <c r="QJ6" s="308"/>
      <c r="QK6" s="308"/>
      <c r="QL6" s="308"/>
      <c r="QM6" s="308"/>
      <c r="QN6" s="308"/>
      <c r="QO6" s="308"/>
      <c r="QP6" s="308"/>
      <c r="QQ6" s="308"/>
      <c r="QR6" s="308"/>
      <c r="QS6" s="308"/>
      <c r="QT6" s="308"/>
      <c r="QU6" s="308"/>
      <c r="QV6" s="308"/>
      <c r="QW6" s="308"/>
      <c r="QX6" s="308"/>
      <c r="QY6" s="308"/>
      <c r="QZ6" s="308"/>
      <c r="RA6" s="308"/>
      <c r="RB6" s="308"/>
      <c r="RC6" s="308"/>
      <c r="RD6" s="308"/>
      <c r="RE6" s="308"/>
      <c r="RF6" s="308"/>
      <c r="RG6" s="308"/>
      <c r="RH6" s="308"/>
      <c r="RI6" s="308"/>
      <c r="RJ6" s="308"/>
      <c r="RK6" s="308"/>
      <c r="RL6" s="308"/>
      <c r="RM6" s="308"/>
      <c r="RN6" s="308"/>
      <c r="RO6" s="308"/>
      <c r="RP6" s="308"/>
      <c r="RQ6" s="308"/>
      <c r="RR6" s="308"/>
      <c r="RS6" s="308"/>
      <c r="RT6" s="308"/>
      <c r="RU6" s="308"/>
      <c r="RV6" s="308"/>
      <c r="RW6" s="308"/>
      <c r="RX6" s="308"/>
      <c r="RY6" s="308"/>
      <c r="RZ6" s="308"/>
      <c r="SA6" s="308"/>
      <c r="SB6" s="308"/>
      <c r="SC6" s="308"/>
      <c r="SD6" s="308"/>
      <c r="SE6" s="308"/>
      <c r="SF6" s="308"/>
      <c r="SG6" s="308"/>
      <c r="SH6" s="308"/>
      <c r="SI6" s="308"/>
      <c r="SJ6" s="308"/>
      <c r="SK6" s="308"/>
      <c r="SL6" s="308"/>
      <c r="SM6" s="308"/>
      <c r="SN6" s="308"/>
      <c r="SO6" s="308"/>
      <c r="SP6" s="308"/>
      <c r="SQ6" s="308"/>
      <c r="SR6" s="308"/>
      <c r="SS6" s="308"/>
      <c r="ST6" s="308"/>
      <c r="SU6" s="308"/>
      <c r="SV6" s="308"/>
      <c r="SW6" s="308"/>
      <c r="SX6" s="308"/>
      <c r="SY6" s="308"/>
      <c r="SZ6" s="308"/>
      <c r="TA6" s="308"/>
      <c r="TB6" s="308"/>
      <c r="TC6" s="308"/>
      <c r="TD6" s="308"/>
      <c r="TE6" s="308"/>
      <c r="TF6" s="308"/>
      <c r="TG6" s="308"/>
      <c r="TH6" s="308"/>
      <c r="TI6" s="308"/>
      <c r="TJ6" s="308"/>
      <c r="TK6" s="308"/>
      <c r="TL6" s="308"/>
      <c r="TM6" s="308"/>
      <c r="TN6" s="308"/>
      <c r="TO6" s="308"/>
      <c r="TP6" s="308"/>
      <c r="TQ6" s="308"/>
      <c r="TR6" s="308"/>
      <c r="TS6" s="308"/>
      <c r="TT6" s="308"/>
      <c r="TU6" s="308"/>
      <c r="TV6" s="308"/>
      <c r="TW6" s="308"/>
      <c r="TX6" s="308"/>
      <c r="TY6" s="308"/>
      <c r="TZ6" s="308"/>
      <c r="UA6" s="308"/>
      <c r="UB6" s="308"/>
      <c r="UC6" s="308"/>
      <c r="UD6" s="308"/>
      <c r="UE6" s="308"/>
      <c r="UF6" s="308"/>
      <c r="UG6" s="308"/>
      <c r="UH6" s="308"/>
      <c r="UI6" s="308"/>
      <c r="UJ6" s="308"/>
      <c r="UK6" s="308"/>
      <c r="UL6" s="308"/>
      <c r="UM6" s="308"/>
      <c r="UN6" s="308"/>
      <c r="UO6" s="308"/>
      <c r="UP6" s="308"/>
      <c r="UQ6" s="308"/>
      <c r="UR6" s="308"/>
      <c r="US6" s="308"/>
      <c r="UT6" s="308"/>
      <c r="UU6" s="308"/>
      <c r="UV6" s="308"/>
      <c r="UW6" s="308"/>
      <c r="UX6" s="308"/>
      <c r="UY6" s="308"/>
      <c r="UZ6" s="308"/>
      <c r="VA6" s="308"/>
      <c r="VB6" s="308"/>
      <c r="VC6" s="308"/>
      <c r="VD6" s="308"/>
      <c r="VE6" s="308"/>
      <c r="VF6" s="308"/>
      <c r="VG6" s="308"/>
      <c r="VH6" s="308"/>
      <c r="VI6" s="308"/>
      <c r="VJ6" s="308"/>
      <c r="VK6" s="308"/>
      <c r="VL6" s="308"/>
      <c r="VM6" s="308"/>
      <c r="VN6" s="308"/>
      <c r="VO6" s="308"/>
      <c r="VP6" s="308"/>
      <c r="VQ6" s="308"/>
      <c r="VR6" s="308"/>
      <c r="VS6" s="308"/>
      <c r="VT6" s="308"/>
      <c r="VU6" s="308"/>
      <c r="VV6" s="308"/>
      <c r="VW6" s="308"/>
      <c r="VX6" s="308"/>
      <c r="VY6" s="308"/>
      <c r="VZ6" s="308"/>
      <c r="WA6" s="308"/>
      <c r="WB6" s="308"/>
      <c r="WC6" s="308"/>
      <c r="WD6" s="308"/>
      <c r="WE6" s="308"/>
    </row>
    <row r="7" spans="1:603" s="207" customFormat="1" ht="114" x14ac:dyDescent="0.4">
      <c r="A7" s="170">
        <v>3</v>
      </c>
      <c r="B7" s="171" t="s">
        <v>303</v>
      </c>
      <c r="C7" s="172"/>
      <c r="D7" s="173">
        <v>10</v>
      </c>
      <c r="E7" s="174" t="s">
        <v>159</v>
      </c>
      <c r="F7" s="171" t="s">
        <v>303</v>
      </c>
      <c r="G7" s="172"/>
      <c r="H7" s="173">
        <v>10</v>
      </c>
      <c r="I7" s="174" t="s">
        <v>159</v>
      </c>
      <c r="J7" s="175" t="s">
        <v>304</v>
      </c>
      <c r="K7" s="172" t="s">
        <v>305</v>
      </c>
      <c r="L7" s="173">
        <v>10</v>
      </c>
      <c r="M7" s="174" t="s">
        <v>159</v>
      </c>
      <c r="N7" s="171" t="s">
        <v>304</v>
      </c>
      <c r="O7" s="172" t="s">
        <v>305</v>
      </c>
      <c r="P7" s="173">
        <v>10</v>
      </c>
      <c r="Q7" s="174" t="s">
        <v>159</v>
      </c>
      <c r="R7" s="171" t="s">
        <v>306</v>
      </c>
      <c r="S7" s="172"/>
      <c r="T7" s="173">
        <v>10</v>
      </c>
      <c r="U7" s="174" t="s">
        <v>159</v>
      </c>
      <c r="V7" s="171" t="s">
        <v>307</v>
      </c>
      <c r="W7" s="172"/>
      <c r="X7" s="173">
        <v>10</v>
      </c>
      <c r="Y7" s="174" t="s">
        <v>160</v>
      </c>
      <c r="Z7" s="171" t="s">
        <v>308</v>
      </c>
      <c r="AA7" s="172"/>
      <c r="AB7" s="173">
        <v>10</v>
      </c>
      <c r="AC7" s="174" t="s">
        <v>160</v>
      </c>
      <c r="AD7" s="171" t="s">
        <v>309</v>
      </c>
      <c r="AE7" s="172"/>
      <c r="AF7" s="173">
        <v>10</v>
      </c>
      <c r="AG7" s="174" t="s">
        <v>159</v>
      </c>
      <c r="AH7" s="171" t="s">
        <v>310</v>
      </c>
      <c r="AI7" s="176"/>
      <c r="AJ7" s="173">
        <v>10</v>
      </c>
      <c r="AK7" s="174" t="s">
        <v>159</v>
      </c>
      <c r="AL7" s="171" t="s">
        <v>311</v>
      </c>
      <c r="AM7" s="172"/>
      <c r="AN7" s="173">
        <v>10</v>
      </c>
      <c r="AO7" s="174" t="s">
        <v>160</v>
      </c>
      <c r="AP7" s="171" t="s">
        <v>312</v>
      </c>
      <c r="AQ7" s="172"/>
      <c r="AR7" s="173">
        <v>20</v>
      </c>
      <c r="AS7" s="174" t="s">
        <v>160</v>
      </c>
      <c r="AT7" s="171" t="s">
        <v>313</v>
      </c>
      <c r="AU7" s="172" t="s">
        <v>314</v>
      </c>
      <c r="AV7" s="173">
        <v>5</v>
      </c>
      <c r="AW7" s="174" t="s">
        <v>159</v>
      </c>
      <c r="AX7" s="171" t="s">
        <v>313</v>
      </c>
      <c r="AY7" s="172" t="s">
        <v>314</v>
      </c>
      <c r="AZ7" s="173">
        <v>5</v>
      </c>
      <c r="BA7" s="174" t="s">
        <v>159</v>
      </c>
      <c r="BB7" s="175" t="s">
        <v>315</v>
      </c>
      <c r="BC7" s="172"/>
      <c r="BD7" s="173">
        <v>30</v>
      </c>
      <c r="BE7" s="174" t="s">
        <v>159</v>
      </c>
      <c r="BF7" s="211" t="s">
        <v>395</v>
      </c>
      <c r="BG7" s="172" t="s">
        <v>319</v>
      </c>
      <c r="BH7" s="173">
        <v>30</v>
      </c>
      <c r="BI7" s="174" t="s">
        <v>159</v>
      </c>
      <c r="BJ7" s="211" t="s">
        <v>396</v>
      </c>
      <c r="BK7" s="212" t="s">
        <v>397</v>
      </c>
      <c r="BL7" s="173">
        <v>20</v>
      </c>
      <c r="BM7" s="174" t="s">
        <v>159</v>
      </c>
    </row>
    <row r="8" spans="1:603" s="185" customFormat="1" ht="101.35" x14ac:dyDescent="0.4">
      <c r="A8" s="301">
        <v>4</v>
      </c>
      <c r="B8" s="302" t="s">
        <v>316</v>
      </c>
      <c r="C8" s="303" t="s">
        <v>317</v>
      </c>
      <c r="D8" s="304">
        <v>40</v>
      </c>
      <c r="E8" s="305" t="s">
        <v>161</v>
      </c>
      <c r="F8" s="302" t="s">
        <v>318</v>
      </c>
      <c r="G8" s="303" t="s">
        <v>317</v>
      </c>
      <c r="H8" s="304">
        <v>40</v>
      </c>
      <c r="I8" s="305" t="s">
        <v>161</v>
      </c>
      <c r="J8" s="306" t="s">
        <v>147</v>
      </c>
      <c r="K8" s="303" t="s">
        <v>319</v>
      </c>
      <c r="L8" s="304">
        <v>10</v>
      </c>
      <c r="M8" s="305" t="s">
        <v>159</v>
      </c>
      <c r="N8" s="302" t="s">
        <v>147</v>
      </c>
      <c r="O8" s="303" t="s">
        <v>319</v>
      </c>
      <c r="P8" s="304">
        <v>10</v>
      </c>
      <c r="Q8" s="305" t="s">
        <v>159</v>
      </c>
      <c r="R8" s="302" t="s">
        <v>148</v>
      </c>
      <c r="S8" s="303" t="s">
        <v>319</v>
      </c>
      <c r="T8" s="304">
        <v>10</v>
      </c>
      <c r="U8" s="305" t="s">
        <v>159</v>
      </c>
      <c r="V8" s="302" t="s">
        <v>149</v>
      </c>
      <c r="W8" s="303" t="s">
        <v>319</v>
      </c>
      <c r="X8" s="304">
        <v>10</v>
      </c>
      <c r="Y8" s="305" t="s">
        <v>159</v>
      </c>
      <c r="Z8" s="302" t="s">
        <v>149</v>
      </c>
      <c r="AA8" s="303" t="s">
        <v>319</v>
      </c>
      <c r="AB8" s="304">
        <v>10</v>
      </c>
      <c r="AC8" s="305" t="s">
        <v>159</v>
      </c>
      <c r="AD8" s="306" t="s">
        <v>320</v>
      </c>
      <c r="AE8" s="303" t="s">
        <v>319</v>
      </c>
      <c r="AF8" s="304">
        <v>10</v>
      </c>
      <c r="AG8" s="305" t="s">
        <v>159</v>
      </c>
      <c r="AH8" s="302" t="s">
        <v>321</v>
      </c>
      <c r="AI8" s="303" t="s">
        <v>319</v>
      </c>
      <c r="AJ8" s="304">
        <v>10</v>
      </c>
      <c r="AK8" s="305" t="s">
        <v>159</v>
      </c>
      <c r="AL8" s="302" t="s">
        <v>150</v>
      </c>
      <c r="AM8" s="303" t="s">
        <v>319</v>
      </c>
      <c r="AN8" s="304">
        <v>10</v>
      </c>
      <c r="AO8" s="305" t="s">
        <v>160</v>
      </c>
      <c r="AP8" s="302" t="s">
        <v>322</v>
      </c>
      <c r="AQ8" s="303"/>
      <c r="AR8" s="304">
        <v>20</v>
      </c>
      <c r="AS8" s="305" t="s">
        <v>159</v>
      </c>
      <c r="AT8" s="302" t="s">
        <v>146</v>
      </c>
      <c r="AU8" s="303"/>
      <c r="AV8" s="304">
        <v>5</v>
      </c>
      <c r="AW8" s="305" t="s">
        <v>159</v>
      </c>
      <c r="AX8" s="302" t="s">
        <v>323</v>
      </c>
      <c r="AY8" s="303"/>
      <c r="AZ8" s="304">
        <v>5</v>
      </c>
      <c r="BA8" s="305" t="s">
        <v>159</v>
      </c>
      <c r="BB8" s="306" t="s">
        <v>151</v>
      </c>
      <c r="BC8" s="303" t="s">
        <v>314</v>
      </c>
      <c r="BD8" s="304">
        <v>20</v>
      </c>
      <c r="BE8" s="305" t="s">
        <v>159</v>
      </c>
      <c r="BF8" s="306" t="s">
        <v>398</v>
      </c>
      <c r="BG8" s="303"/>
      <c r="BH8" s="304">
        <v>30</v>
      </c>
      <c r="BI8" s="305" t="s">
        <v>159</v>
      </c>
      <c r="BJ8" s="302" t="s">
        <v>399</v>
      </c>
      <c r="BK8" s="172" t="s">
        <v>319</v>
      </c>
      <c r="BL8" s="304">
        <v>20</v>
      </c>
      <c r="BM8" s="305" t="s">
        <v>159</v>
      </c>
      <c r="BN8" s="308"/>
      <c r="BO8" s="308"/>
      <c r="BP8" s="308"/>
      <c r="BQ8" s="308"/>
      <c r="BR8" s="308"/>
      <c r="BS8" s="308"/>
      <c r="BT8" s="308"/>
      <c r="BU8" s="308"/>
      <c r="BV8" s="308"/>
      <c r="BW8" s="308"/>
      <c r="BX8" s="308"/>
      <c r="BY8" s="308"/>
      <c r="BZ8" s="308"/>
      <c r="CA8" s="308"/>
      <c r="CB8" s="308"/>
      <c r="CC8" s="308"/>
      <c r="CD8" s="308"/>
      <c r="CE8" s="308"/>
      <c r="CF8" s="308"/>
      <c r="CG8" s="308"/>
      <c r="CH8" s="308"/>
      <c r="CI8" s="308"/>
      <c r="CJ8" s="308"/>
      <c r="CK8" s="308"/>
      <c r="CL8" s="308"/>
      <c r="CM8" s="308"/>
      <c r="CN8" s="308"/>
      <c r="CO8" s="308"/>
      <c r="CP8" s="308"/>
      <c r="CQ8" s="308"/>
      <c r="CR8" s="308"/>
      <c r="CS8" s="308"/>
      <c r="CT8" s="308"/>
      <c r="CU8" s="308"/>
      <c r="CV8" s="308"/>
      <c r="CW8" s="308"/>
      <c r="CX8" s="308"/>
      <c r="CY8" s="308"/>
      <c r="CZ8" s="308"/>
      <c r="DA8" s="308"/>
      <c r="DB8" s="308"/>
      <c r="DC8" s="308"/>
      <c r="DD8" s="308"/>
      <c r="DE8" s="308"/>
      <c r="DF8" s="308"/>
      <c r="DG8" s="308"/>
      <c r="DH8" s="308"/>
      <c r="DI8" s="308"/>
      <c r="DJ8" s="308"/>
      <c r="DK8" s="308"/>
      <c r="DL8" s="308"/>
      <c r="DM8" s="308"/>
      <c r="DN8" s="308"/>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8"/>
      <c r="EV8" s="308"/>
      <c r="EW8" s="308"/>
      <c r="EX8" s="308"/>
      <c r="EY8" s="308"/>
      <c r="EZ8" s="308"/>
      <c r="FA8" s="308"/>
      <c r="FB8" s="308"/>
      <c r="FC8" s="308"/>
      <c r="FD8" s="308"/>
      <c r="FE8" s="308"/>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08"/>
      <c r="GI8" s="308"/>
      <c r="GJ8" s="308"/>
      <c r="GK8" s="308"/>
      <c r="GL8" s="308"/>
      <c r="GM8" s="308"/>
      <c r="GN8" s="308"/>
      <c r="GO8" s="308"/>
      <c r="GP8" s="308"/>
      <c r="GQ8" s="308"/>
      <c r="GR8" s="308"/>
      <c r="GS8" s="308"/>
      <c r="GT8" s="308"/>
      <c r="GU8" s="308"/>
      <c r="GV8" s="308"/>
      <c r="GW8" s="308"/>
      <c r="GX8" s="308"/>
      <c r="GY8" s="308"/>
      <c r="GZ8" s="308"/>
      <c r="HA8" s="308"/>
      <c r="HB8" s="308"/>
      <c r="HC8" s="308"/>
      <c r="HD8" s="308"/>
      <c r="HE8" s="308"/>
      <c r="HF8" s="308"/>
      <c r="HG8" s="308"/>
      <c r="HH8" s="308"/>
      <c r="HI8" s="308"/>
      <c r="HJ8" s="308"/>
      <c r="HK8" s="308"/>
      <c r="HL8" s="308"/>
      <c r="HM8" s="308"/>
      <c r="HN8" s="308"/>
      <c r="HO8" s="308"/>
      <c r="HP8" s="308"/>
      <c r="HQ8" s="308"/>
      <c r="HR8" s="308"/>
      <c r="HS8" s="308"/>
      <c r="HT8" s="308"/>
      <c r="HU8" s="308"/>
      <c r="HV8" s="308"/>
      <c r="HW8" s="308"/>
      <c r="HX8" s="308"/>
      <c r="HY8" s="308"/>
      <c r="HZ8" s="308"/>
      <c r="IA8" s="308"/>
      <c r="IB8" s="308"/>
      <c r="IC8" s="308"/>
      <c r="ID8" s="308"/>
      <c r="IE8" s="308"/>
      <c r="IF8" s="308"/>
      <c r="IG8" s="308"/>
      <c r="IH8" s="308"/>
      <c r="II8" s="308"/>
      <c r="IJ8" s="308"/>
      <c r="IK8" s="308"/>
      <c r="IL8" s="308"/>
      <c r="IM8" s="308"/>
      <c r="IN8" s="308"/>
      <c r="IO8" s="308"/>
      <c r="IP8" s="308"/>
      <c r="IQ8" s="308"/>
      <c r="IR8" s="308"/>
      <c r="IS8" s="308"/>
      <c r="IT8" s="308"/>
      <c r="IU8" s="308"/>
      <c r="IV8" s="308"/>
      <c r="IW8" s="308"/>
      <c r="IX8" s="308"/>
      <c r="IY8" s="308"/>
      <c r="IZ8" s="308"/>
      <c r="JA8" s="308"/>
      <c r="JB8" s="308"/>
      <c r="JC8" s="308"/>
      <c r="JD8" s="308"/>
      <c r="JE8" s="308"/>
      <c r="JF8" s="308"/>
      <c r="JG8" s="308"/>
      <c r="JH8" s="308"/>
      <c r="JI8" s="308"/>
      <c r="JJ8" s="308"/>
      <c r="JK8" s="308"/>
      <c r="JL8" s="308"/>
      <c r="JM8" s="308"/>
      <c r="JN8" s="308"/>
      <c r="JO8" s="308"/>
      <c r="JP8" s="308"/>
      <c r="JQ8" s="308"/>
      <c r="JR8" s="308"/>
      <c r="JS8" s="308"/>
      <c r="JT8" s="308"/>
      <c r="JU8" s="308"/>
      <c r="JV8" s="308"/>
      <c r="JW8" s="308"/>
      <c r="JX8" s="308"/>
      <c r="JY8" s="308"/>
      <c r="JZ8" s="308"/>
      <c r="KA8" s="308"/>
      <c r="KB8" s="308"/>
      <c r="KC8" s="308"/>
      <c r="KD8" s="308"/>
      <c r="KE8" s="308"/>
      <c r="KF8" s="308"/>
      <c r="KG8" s="308"/>
      <c r="KH8" s="308"/>
      <c r="KI8" s="308"/>
      <c r="KJ8" s="308"/>
      <c r="KK8" s="308"/>
      <c r="KL8" s="308"/>
      <c r="KM8" s="308"/>
      <c r="KN8" s="308"/>
      <c r="KO8" s="308"/>
      <c r="KP8" s="308"/>
      <c r="KQ8" s="308"/>
      <c r="KR8" s="308"/>
      <c r="KS8" s="308"/>
      <c r="KT8" s="308"/>
      <c r="KU8" s="308"/>
      <c r="KV8" s="308"/>
      <c r="KW8" s="308"/>
      <c r="KX8" s="308"/>
      <c r="KY8" s="308"/>
      <c r="KZ8" s="308"/>
      <c r="LA8" s="308"/>
      <c r="LB8" s="308"/>
      <c r="LC8" s="308"/>
      <c r="LD8" s="308"/>
      <c r="LE8" s="308"/>
      <c r="LF8" s="308"/>
      <c r="LG8" s="308"/>
      <c r="LH8" s="308"/>
      <c r="LI8" s="308"/>
      <c r="LJ8" s="308"/>
      <c r="LK8" s="308"/>
      <c r="LL8" s="308"/>
      <c r="LM8" s="308"/>
      <c r="LN8" s="308"/>
      <c r="LO8" s="308"/>
      <c r="LP8" s="308"/>
      <c r="LQ8" s="308"/>
      <c r="LR8" s="308"/>
      <c r="LS8" s="308"/>
      <c r="LT8" s="308"/>
      <c r="LU8" s="308"/>
      <c r="LV8" s="308"/>
      <c r="LW8" s="308"/>
      <c r="LX8" s="308"/>
      <c r="LY8" s="308"/>
      <c r="LZ8" s="308"/>
      <c r="MA8" s="308"/>
      <c r="MB8" s="308"/>
      <c r="MC8" s="308"/>
      <c r="MD8" s="308"/>
      <c r="ME8" s="308"/>
      <c r="MF8" s="308"/>
      <c r="MG8" s="308"/>
      <c r="MH8" s="308"/>
      <c r="MI8" s="308"/>
      <c r="MJ8" s="308"/>
      <c r="MK8" s="308"/>
      <c r="ML8" s="308"/>
      <c r="MM8" s="308"/>
      <c r="MN8" s="308"/>
      <c r="MO8" s="308"/>
      <c r="MP8" s="308"/>
      <c r="MQ8" s="308"/>
      <c r="MR8" s="308"/>
      <c r="MS8" s="308"/>
      <c r="MT8" s="308"/>
      <c r="MU8" s="308"/>
      <c r="MV8" s="308"/>
      <c r="MW8" s="308"/>
      <c r="MX8" s="308"/>
      <c r="MY8" s="308"/>
      <c r="MZ8" s="308"/>
      <c r="NA8" s="308"/>
      <c r="NB8" s="308"/>
      <c r="NC8" s="308"/>
      <c r="ND8" s="308"/>
      <c r="NE8" s="308"/>
      <c r="NF8" s="308"/>
      <c r="NG8" s="308"/>
      <c r="NH8" s="308"/>
      <c r="NI8" s="308"/>
      <c r="NJ8" s="308"/>
      <c r="NK8" s="308"/>
      <c r="NL8" s="308"/>
      <c r="NM8" s="308"/>
      <c r="NN8" s="308"/>
      <c r="NO8" s="308"/>
      <c r="NP8" s="308"/>
      <c r="NQ8" s="308"/>
      <c r="NR8" s="308"/>
      <c r="NS8" s="308"/>
      <c r="NT8" s="308"/>
      <c r="NU8" s="308"/>
      <c r="NV8" s="308"/>
      <c r="NW8" s="308"/>
      <c r="NX8" s="308"/>
      <c r="NY8" s="308"/>
      <c r="NZ8" s="308"/>
      <c r="OA8" s="308"/>
      <c r="OB8" s="308"/>
      <c r="OC8" s="308"/>
      <c r="OD8" s="308"/>
      <c r="OE8" s="308"/>
      <c r="OF8" s="308"/>
      <c r="OG8" s="308"/>
      <c r="OH8" s="308"/>
      <c r="OI8" s="308"/>
      <c r="OJ8" s="308"/>
      <c r="OK8" s="308"/>
      <c r="OL8" s="308"/>
      <c r="OM8" s="308"/>
      <c r="ON8" s="308"/>
      <c r="OO8" s="308"/>
      <c r="OP8" s="308"/>
      <c r="OQ8" s="308"/>
      <c r="OR8" s="308"/>
      <c r="OS8" s="308"/>
      <c r="OT8" s="308"/>
      <c r="OU8" s="308"/>
      <c r="OV8" s="308"/>
      <c r="OW8" s="308"/>
      <c r="OX8" s="308"/>
      <c r="OY8" s="308"/>
      <c r="OZ8" s="308"/>
      <c r="PA8" s="308"/>
      <c r="PB8" s="308"/>
      <c r="PC8" s="308"/>
      <c r="PD8" s="308"/>
      <c r="PE8" s="308"/>
      <c r="PF8" s="308"/>
      <c r="PG8" s="308"/>
      <c r="PH8" s="308"/>
      <c r="PI8" s="308"/>
      <c r="PJ8" s="308"/>
      <c r="PK8" s="308"/>
      <c r="PL8" s="308"/>
      <c r="PM8" s="308"/>
      <c r="PN8" s="308"/>
      <c r="PO8" s="308"/>
      <c r="PP8" s="308"/>
      <c r="PQ8" s="308"/>
      <c r="PR8" s="308"/>
      <c r="PS8" s="308"/>
      <c r="PT8" s="308"/>
      <c r="PU8" s="308"/>
      <c r="PV8" s="308"/>
      <c r="PW8" s="308"/>
      <c r="PX8" s="308"/>
      <c r="PY8" s="308"/>
      <c r="PZ8" s="308"/>
      <c r="QA8" s="308"/>
      <c r="QB8" s="308"/>
      <c r="QC8" s="308"/>
      <c r="QD8" s="308"/>
      <c r="QE8" s="308"/>
      <c r="QF8" s="308"/>
      <c r="QG8" s="308"/>
      <c r="QH8" s="308"/>
      <c r="QI8" s="308"/>
      <c r="QJ8" s="308"/>
      <c r="QK8" s="308"/>
      <c r="QL8" s="308"/>
      <c r="QM8" s="308"/>
      <c r="QN8" s="308"/>
      <c r="QO8" s="308"/>
      <c r="QP8" s="308"/>
      <c r="QQ8" s="308"/>
      <c r="QR8" s="308"/>
      <c r="QS8" s="308"/>
      <c r="QT8" s="308"/>
      <c r="QU8" s="308"/>
      <c r="QV8" s="308"/>
      <c r="QW8" s="308"/>
      <c r="QX8" s="308"/>
      <c r="QY8" s="308"/>
      <c r="QZ8" s="308"/>
      <c r="RA8" s="308"/>
      <c r="RB8" s="308"/>
      <c r="RC8" s="308"/>
      <c r="RD8" s="308"/>
      <c r="RE8" s="308"/>
      <c r="RF8" s="308"/>
      <c r="RG8" s="308"/>
      <c r="RH8" s="308"/>
      <c r="RI8" s="308"/>
      <c r="RJ8" s="308"/>
      <c r="RK8" s="308"/>
      <c r="RL8" s="308"/>
      <c r="RM8" s="308"/>
      <c r="RN8" s="308"/>
      <c r="RO8" s="308"/>
      <c r="RP8" s="308"/>
      <c r="RQ8" s="308"/>
      <c r="RR8" s="308"/>
      <c r="RS8" s="308"/>
      <c r="RT8" s="308"/>
      <c r="RU8" s="308"/>
      <c r="RV8" s="308"/>
      <c r="RW8" s="308"/>
      <c r="RX8" s="308"/>
      <c r="RY8" s="308"/>
      <c r="RZ8" s="308"/>
      <c r="SA8" s="308"/>
      <c r="SB8" s="308"/>
      <c r="SC8" s="308"/>
      <c r="SD8" s="308"/>
      <c r="SE8" s="308"/>
      <c r="SF8" s="308"/>
      <c r="SG8" s="308"/>
      <c r="SH8" s="308"/>
      <c r="SI8" s="308"/>
      <c r="SJ8" s="308"/>
      <c r="SK8" s="308"/>
      <c r="SL8" s="308"/>
      <c r="SM8" s="308"/>
      <c r="SN8" s="308"/>
      <c r="SO8" s="308"/>
      <c r="SP8" s="308"/>
      <c r="SQ8" s="308"/>
      <c r="SR8" s="308"/>
      <c r="SS8" s="308"/>
      <c r="ST8" s="308"/>
      <c r="SU8" s="308"/>
      <c r="SV8" s="308"/>
      <c r="SW8" s="308"/>
      <c r="SX8" s="308"/>
      <c r="SY8" s="308"/>
      <c r="SZ8" s="308"/>
      <c r="TA8" s="308"/>
      <c r="TB8" s="308"/>
      <c r="TC8" s="308"/>
      <c r="TD8" s="308"/>
      <c r="TE8" s="308"/>
      <c r="TF8" s="308"/>
      <c r="TG8" s="308"/>
      <c r="TH8" s="308"/>
      <c r="TI8" s="308"/>
      <c r="TJ8" s="308"/>
      <c r="TK8" s="308"/>
      <c r="TL8" s="308"/>
      <c r="TM8" s="308"/>
      <c r="TN8" s="308"/>
      <c r="TO8" s="308"/>
      <c r="TP8" s="308"/>
      <c r="TQ8" s="308"/>
      <c r="TR8" s="308"/>
      <c r="TS8" s="308"/>
      <c r="TT8" s="308"/>
      <c r="TU8" s="308"/>
      <c r="TV8" s="308"/>
      <c r="TW8" s="308"/>
      <c r="TX8" s="308"/>
      <c r="TY8" s="308"/>
      <c r="TZ8" s="308"/>
      <c r="UA8" s="308"/>
      <c r="UB8" s="308"/>
      <c r="UC8" s="308"/>
      <c r="UD8" s="308"/>
      <c r="UE8" s="308"/>
      <c r="UF8" s="308"/>
      <c r="UG8" s="308"/>
      <c r="UH8" s="308"/>
      <c r="UI8" s="308"/>
      <c r="UJ8" s="308"/>
      <c r="UK8" s="308"/>
      <c r="UL8" s="308"/>
      <c r="UM8" s="308"/>
      <c r="UN8" s="308"/>
      <c r="UO8" s="308"/>
      <c r="UP8" s="308"/>
      <c r="UQ8" s="308"/>
      <c r="UR8" s="308"/>
      <c r="US8" s="308"/>
      <c r="UT8" s="308"/>
      <c r="UU8" s="308"/>
      <c r="UV8" s="308"/>
      <c r="UW8" s="308"/>
      <c r="UX8" s="308"/>
      <c r="UY8" s="308"/>
      <c r="UZ8" s="308"/>
      <c r="VA8" s="308"/>
      <c r="VB8" s="308"/>
      <c r="VC8" s="308"/>
      <c r="VD8" s="308"/>
      <c r="VE8" s="308"/>
      <c r="VF8" s="308"/>
      <c r="VG8" s="308"/>
      <c r="VH8" s="308"/>
      <c r="VI8" s="308"/>
      <c r="VJ8" s="308"/>
      <c r="VK8" s="308"/>
      <c r="VL8" s="308"/>
      <c r="VM8" s="308"/>
      <c r="VN8" s="308"/>
      <c r="VO8" s="308"/>
      <c r="VP8" s="308"/>
      <c r="VQ8" s="308"/>
      <c r="VR8" s="308"/>
      <c r="VS8" s="308"/>
      <c r="VT8" s="308"/>
      <c r="VU8" s="308"/>
      <c r="VV8" s="308"/>
      <c r="VW8" s="308"/>
      <c r="VX8" s="308"/>
      <c r="VY8" s="308"/>
      <c r="VZ8" s="308"/>
      <c r="WA8" s="308"/>
      <c r="WB8" s="308"/>
      <c r="WC8" s="308"/>
      <c r="WD8" s="308"/>
      <c r="WE8" s="308"/>
    </row>
    <row r="9" spans="1:603" s="207" customFormat="1" ht="114.7" x14ac:dyDescent="0.4">
      <c r="A9" s="170">
        <v>5</v>
      </c>
      <c r="B9" s="177" t="s">
        <v>324</v>
      </c>
      <c r="C9" s="178" t="s">
        <v>325</v>
      </c>
      <c r="D9" s="179">
        <v>20</v>
      </c>
      <c r="E9" s="180" t="s">
        <v>160</v>
      </c>
      <c r="F9" s="177" t="s">
        <v>326</v>
      </c>
      <c r="G9" s="178" t="s">
        <v>325</v>
      </c>
      <c r="H9" s="179">
        <v>20</v>
      </c>
      <c r="I9" s="180" t="s">
        <v>160</v>
      </c>
      <c r="J9" s="175" t="s">
        <v>152</v>
      </c>
      <c r="K9" s="172" t="s">
        <v>327</v>
      </c>
      <c r="L9" s="173">
        <v>10</v>
      </c>
      <c r="M9" s="174" t="s">
        <v>159</v>
      </c>
      <c r="N9" s="171" t="s">
        <v>152</v>
      </c>
      <c r="O9" s="172" t="s">
        <v>327</v>
      </c>
      <c r="P9" s="173">
        <v>10</v>
      </c>
      <c r="Q9" s="174" t="s">
        <v>159</v>
      </c>
      <c r="R9" s="171" t="s">
        <v>152</v>
      </c>
      <c r="S9" s="172" t="s">
        <v>328</v>
      </c>
      <c r="T9" s="173">
        <v>10</v>
      </c>
      <c r="U9" s="174" t="s">
        <v>159</v>
      </c>
      <c r="V9" s="171" t="s">
        <v>329</v>
      </c>
      <c r="W9" s="172" t="s">
        <v>328</v>
      </c>
      <c r="X9" s="173">
        <v>10</v>
      </c>
      <c r="Y9" s="174" t="s">
        <v>159</v>
      </c>
      <c r="Z9" s="171" t="s">
        <v>329</v>
      </c>
      <c r="AA9" s="172" t="s">
        <v>328</v>
      </c>
      <c r="AB9" s="173">
        <v>10</v>
      </c>
      <c r="AC9" s="174" t="s">
        <v>159</v>
      </c>
      <c r="AD9" s="175" t="s">
        <v>330</v>
      </c>
      <c r="AE9" s="172" t="s">
        <v>331</v>
      </c>
      <c r="AF9" s="173">
        <v>10</v>
      </c>
      <c r="AG9" s="174" t="s">
        <v>159</v>
      </c>
      <c r="AH9" s="171" t="s">
        <v>332</v>
      </c>
      <c r="AI9" s="181" t="s">
        <v>333</v>
      </c>
      <c r="AJ9" s="173">
        <v>10</v>
      </c>
      <c r="AK9" s="174" t="s">
        <v>159</v>
      </c>
      <c r="AL9" s="171" t="s">
        <v>334</v>
      </c>
      <c r="AM9" s="181" t="s">
        <v>333</v>
      </c>
      <c r="AN9" s="173">
        <v>10</v>
      </c>
      <c r="AO9" s="174" t="s">
        <v>159</v>
      </c>
      <c r="AP9" s="171" t="s">
        <v>335</v>
      </c>
      <c r="AQ9" s="176"/>
      <c r="AR9" s="173">
        <v>20</v>
      </c>
      <c r="AS9" s="174" t="s">
        <v>159</v>
      </c>
      <c r="AT9" s="171" t="s">
        <v>336</v>
      </c>
      <c r="AU9" s="172" t="s">
        <v>337</v>
      </c>
      <c r="AV9" s="173">
        <v>5</v>
      </c>
      <c r="AW9" s="174" t="s">
        <v>160</v>
      </c>
      <c r="AX9" s="171" t="s">
        <v>336</v>
      </c>
      <c r="AY9" s="172" t="s">
        <v>337</v>
      </c>
      <c r="AZ9" s="173">
        <v>5</v>
      </c>
      <c r="BA9" s="174" t="s">
        <v>160</v>
      </c>
      <c r="BB9" s="182" t="s">
        <v>338</v>
      </c>
      <c r="BC9" s="178"/>
      <c r="BD9" s="179">
        <v>20</v>
      </c>
      <c r="BE9" s="180" t="s">
        <v>159</v>
      </c>
      <c r="BF9" s="175"/>
      <c r="BG9" s="178"/>
      <c r="BH9" s="179"/>
      <c r="BI9" s="180"/>
      <c r="BJ9" s="175" t="s">
        <v>804</v>
      </c>
      <c r="BK9" s="178"/>
      <c r="BL9" s="173">
        <v>30</v>
      </c>
      <c r="BM9" s="174" t="s">
        <v>159</v>
      </c>
    </row>
    <row r="10" spans="1:603" s="185" customFormat="1" ht="101.35" x14ac:dyDescent="0.4">
      <c r="A10" s="301">
        <v>6</v>
      </c>
      <c r="B10" s="309" t="s">
        <v>339</v>
      </c>
      <c r="C10" s="310"/>
      <c r="D10" s="311">
        <v>20</v>
      </c>
      <c r="E10" s="312" t="s">
        <v>160</v>
      </c>
      <c r="F10" s="309" t="s">
        <v>340</v>
      </c>
      <c r="G10" s="310"/>
      <c r="H10" s="311">
        <v>20</v>
      </c>
      <c r="I10" s="312" t="s">
        <v>160</v>
      </c>
      <c r="J10" s="306" t="s">
        <v>341</v>
      </c>
      <c r="K10" s="307"/>
      <c r="L10" s="304">
        <v>10</v>
      </c>
      <c r="M10" s="305" t="s">
        <v>159</v>
      </c>
      <c r="N10" s="302" t="s">
        <v>342</v>
      </c>
      <c r="O10" s="303"/>
      <c r="P10" s="304">
        <v>10</v>
      </c>
      <c r="Q10" s="305" t="s">
        <v>159</v>
      </c>
      <c r="R10" s="302" t="s">
        <v>342</v>
      </c>
      <c r="S10" s="303"/>
      <c r="T10" s="304">
        <v>10</v>
      </c>
      <c r="U10" s="305" t="s">
        <v>159</v>
      </c>
      <c r="V10" s="302" t="s">
        <v>342</v>
      </c>
      <c r="W10" s="303"/>
      <c r="X10" s="304">
        <v>10</v>
      </c>
      <c r="Y10" s="305" t="s">
        <v>159</v>
      </c>
      <c r="Z10" s="302" t="s">
        <v>342</v>
      </c>
      <c r="AA10" s="303"/>
      <c r="AB10" s="304">
        <v>10</v>
      </c>
      <c r="AC10" s="305" t="s">
        <v>159</v>
      </c>
      <c r="AD10" s="306" t="s">
        <v>341</v>
      </c>
      <c r="AE10" s="307"/>
      <c r="AF10" s="304">
        <v>10</v>
      </c>
      <c r="AG10" s="305" t="s">
        <v>159</v>
      </c>
      <c r="AH10" s="302" t="s">
        <v>343</v>
      </c>
      <c r="AI10" s="303"/>
      <c r="AJ10" s="304">
        <v>10</v>
      </c>
      <c r="AK10" s="305" t="s">
        <v>159</v>
      </c>
      <c r="AL10" s="302" t="s">
        <v>344</v>
      </c>
      <c r="AM10" s="303"/>
      <c r="AN10" s="304">
        <v>20</v>
      </c>
      <c r="AO10" s="305" t="s">
        <v>160</v>
      </c>
      <c r="AP10" s="302" t="s">
        <v>345</v>
      </c>
      <c r="AQ10" s="303"/>
      <c r="AR10" s="304">
        <v>5</v>
      </c>
      <c r="AS10" s="305" t="s">
        <v>160</v>
      </c>
      <c r="AT10" s="302" t="s">
        <v>153</v>
      </c>
      <c r="AU10" s="303" t="s">
        <v>337</v>
      </c>
      <c r="AV10" s="304">
        <v>5</v>
      </c>
      <c r="AW10" s="305" t="s">
        <v>160</v>
      </c>
      <c r="AX10" s="302" t="s">
        <v>346</v>
      </c>
      <c r="AY10" s="303" t="s">
        <v>347</v>
      </c>
      <c r="AZ10" s="304">
        <v>10</v>
      </c>
      <c r="BA10" s="305" t="s">
        <v>159</v>
      </c>
      <c r="BB10" s="306"/>
      <c r="BC10" s="303"/>
      <c r="BD10" s="304"/>
      <c r="BE10" s="305"/>
      <c r="BF10" s="306"/>
      <c r="BG10" s="303"/>
      <c r="BH10" s="304"/>
      <c r="BI10" s="305"/>
      <c r="BJ10" s="306"/>
      <c r="BK10" s="303"/>
      <c r="BL10" s="304"/>
      <c r="BM10" s="305"/>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L10" s="308"/>
      <c r="CM10" s="308"/>
      <c r="CN10" s="308"/>
      <c r="CO10" s="308"/>
      <c r="CP10" s="308"/>
      <c r="CQ10" s="308"/>
      <c r="CR10" s="308"/>
      <c r="CS10" s="308"/>
      <c r="CT10" s="308"/>
      <c r="CU10" s="308"/>
      <c r="CV10" s="308"/>
      <c r="CW10" s="308"/>
      <c r="CX10" s="308"/>
      <c r="CY10" s="308"/>
      <c r="CZ10" s="308"/>
      <c r="DA10" s="308"/>
      <c r="DB10" s="308"/>
      <c r="DC10" s="308"/>
      <c r="DD10" s="308"/>
      <c r="DE10" s="308"/>
      <c r="DF10" s="308"/>
      <c r="DG10" s="308"/>
      <c r="DH10" s="308"/>
      <c r="DI10" s="308"/>
      <c r="DJ10" s="308"/>
      <c r="DK10" s="308"/>
      <c r="DL10" s="308"/>
      <c r="DM10" s="308"/>
      <c r="DN10" s="308"/>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8"/>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308"/>
      <c r="GI10" s="308"/>
      <c r="GJ10" s="308"/>
      <c r="GK10" s="308"/>
      <c r="GL10" s="308"/>
      <c r="GM10" s="308"/>
      <c r="GN10" s="308"/>
      <c r="GO10" s="308"/>
      <c r="GP10" s="308"/>
      <c r="GQ10" s="308"/>
      <c r="GR10" s="308"/>
      <c r="GS10" s="308"/>
      <c r="GT10" s="308"/>
      <c r="GU10" s="308"/>
      <c r="GV10" s="308"/>
      <c r="GW10" s="308"/>
      <c r="GX10" s="308"/>
      <c r="GY10" s="308"/>
      <c r="GZ10" s="308"/>
      <c r="HA10" s="308"/>
      <c r="HB10" s="308"/>
      <c r="HC10" s="308"/>
      <c r="HD10" s="308"/>
      <c r="HE10" s="308"/>
      <c r="HF10" s="308"/>
      <c r="HG10" s="308"/>
      <c r="HH10" s="308"/>
      <c r="HI10" s="308"/>
      <c r="HJ10" s="308"/>
      <c r="HK10" s="308"/>
      <c r="HL10" s="308"/>
      <c r="HM10" s="308"/>
      <c r="HN10" s="308"/>
      <c r="HO10" s="308"/>
      <c r="HP10" s="308"/>
      <c r="HQ10" s="308"/>
      <c r="HR10" s="308"/>
      <c r="HS10" s="308"/>
      <c r="HT10" s="308"/>
      <c r="HU10" s="308"/>
      <c r="HV10" s="308"/>
      <c r="HW10" s="308"/>
      <c r="HX10" s="308"/>
      <c r="HY10" s="308"/>
      <c r="HZ10" s="308"/>
      <c r="IA10" s="308"/>
      <c r="IB10" s="308"/>
      <c r="IC10" s="308"/>
      <c r="ID10" s="308"/>
      <c r="IE10" s="308"/>
      <c r="IF10" s="308"/>
      <c r="IG10" s="308"/>
      <c r="IH10" s="308"/>
      <c r="II10" s="308"/>
      <c r="IJ10" s="308"/>
      <c r="IK10" s="308"/>
      <c r="IL10" s="308"/>
      <c r="IM10" s="308"/>
      <c r="IN10" s="308"/>
      <c r="IO10" s="308"/>
      <c r="IP10" s="308"/>
      <c r="IQ10" s="308"/>
      <c r="IR10" s="308"/>
      <c r="IS10" s="308"/>
      <c r="IT10" s="308"/>
      <c r="IU10" s="308"/>
      <c r="IV10" s="308"/>
      <c r="IW10" s="308"/>
      <c r="IX10" s="308"/>
      <c r="IY10" s="308"/>
      <c r="IZ10" s="308"/>
      <c r="JA10" s="308"/>
      <c r="JB10" s="308"/>
      <c r="JC10" s="308"/>
      <c r="JD10" s="308"/>
      <c r="JE10" s="308"/>
      <c r="JF10" s="308"/>
      <c r="JG10" s="308"/>
      <c r="JH10" s="308"/>
      <c r="JI10" s="308"/>
      <c r="JJ10" s="308"/>
      <c r="JK10" s="308"/>
      <c r="JL10" s="308"/>
      <c r="JM10" s="308"/>
      <c r="JN10" s="308"/>
      <c r="JO10" s="308"/>
      <c r="JP10" s="308"/>
      <c r="JQ10" s="308"/>
      <c r="JR10" s="308"/>
      <c r="JS10" s="308"/>
      <c r="JT10" s="308"/>
      <c r="JU10" s="308"/>
      <c r="JV10" s="308"/>
      <c r="JW10" s="308"/>
      <c r="JX10" s="308"/>
      <c r="JY10" s="308"/>
      <c r="JZ10" s="308"/>
      <c r="KA10" s="308"/>
      <c r="KB10" s="308"/>
      <c r="KC10" s="308"/>
      <c r="KD10" s="308"/>
      <c r="KE10" s="308"/>
      <c r="KF10" s="308"/>
      <c r="KG10" s="308"/>
      <c r="KH10" s="308"/>
      <c r="KI10" s="308"/>
      <c r="KJ10" s="308"/>
      <c r="KK10" s="308"/>
      <c r="KL10" s="308"/>
      <c r="KM10" s="308"/>
      <c r="KN10" s="308"/>
      <c r="KO10" s="308"/>
      <c r="KP10" s="308"/>
      <c r="KQ10" s="308"/>
      <c r="KR10" s="308"/>
      <c r="KS10" s="308"/>
      <c r="KT10" s="308"/>
      <c r="KU10" s="308"/>
      <c r="KV10" s="308"/>
      <c r="KW10" s="308"/>
      <c r="KX10" s="308"/>
      <c r="KY10" s="308"/>
      <c r="KZ10" s="308"/>
      <c r="LA10" s="308"/>
      <c r="LB10" s="308"/>
      <c r="LC10" s="308"/>
      <c r="LD10" s="308"/>
      <c r="LE10" s="308"/>
      <c r="LF10" s="308"/>
      <c r="LG10" s="308"/>
      <c r="LH10" s="308"/>
      <c r="LI10" s="308"/>
      <c r="LJ10" s="308"/>
      <c r="LK10" s="308"/>
      <c r="LL10" s="308"/>
      <c r="LM10" s="308"/>
      <c r="LN10" s="308"/>
      <c r="LO10" s="308"/>
      <c r="LP10" s="308"/>
      <c r="LQ10" s="308"/>
      <c r="LR10" s="308"/>
      <c r="LS10" s="308"/>
      <c r="LT10" s="308"/>
      <c r="LU10" s="308"/>
      <c r="LV10" s="308"/>
      <c r="LW10" s="308"/>
      <c r="LX10" s="308"/>
      <c r="LY10" s="308"/>
      <c r="LZ10" s="308"/>
      <c r="MA10" s="308"/>
      <c r="MB10" s="308"/>
      <c r="MC10" s="308"/>
      <c r="MD10" s="308"/>
      <c r="ME10" s="308"/>
      <c r="MF10" s="308"/>
      <c r="MG10" s="308"/>
      <c r="MH10" s="308"/>
      <c r="MI10" s="308"/>
      <c r="MJ10" s="308"/>
      <c r="MK10" s="308"/>
      <c r="ML10" s="308"/>
      <c r="MM10" s="308"/>
      <c r="MN10" s="308"/>
      <c r="MO10" s="308"/>
      <c r="MP10" s="308"/>
      <c r="MQ10" s="308"/>
      <c r="MR10" s="308"/>
      <c r="MS10" s="308"/>
      <c r="MT10" s="308"/>
      <c r="MU10" s="308"/>
      <c r="MV10" s="308"/>
      <c r="MW10" s="308"/>
      <c r="MX10" s="308"/>
      <c r="MY10" s="308"/>
      <c r="MZ10" s="308"/>
      <c r="NA10" s="308"/>
      <c r="NB10" s="308"/>
      <c r="NC10" s="308"/>
      <c r="ND10" s="308"/>
      <c r="NE10" s="308"/>
      <c r="NF10" s="308"/>
      <c r="NG10" s="308"/>
      <c r="NH10" s="308"/>
      <c r="NI10" s="308"/>
      <c r="NJ10" s="308"/>
      <c r="NK10" s="308"/>
      <c r="NL10" s="308"/>
      <c r="NM10" s="308"/>
      <c r="NN10" s="308"/>
      <c r="NO10" s="308"/>
      <c r="NP10" s="308"/>
      <c r="NQ10" s="308"/>
      <c r="NR10" s="308"/>
      <c r="NS10" s="308"/>
      <c r="NT10" s="308"/>
      <c r="NU10" s="308"/>
      <c r="NV10" s="308"/>
      <c r="NW10" s="308"/>
      <c r="NX10" s="308"/>
      <c r="NY10" s="308"/>
      <c r="NZ10" s="308"/>
      <c r="OA10" s="308"/>
      <c r="OB10" s="308"/>
      <c r="OC10" s="308"/>
      <c r="OD10" s="308"/>
      <c r="OE10" s="308"/>
      <c r="OF10" s="308"/>
      <c r="OG10" s="308"/>
      <c r="OH10" s="308"/>
      <c r="OI10" s="308"/>
      <c r="OJ10" s="308"/>
      <c r="OK10" s="308"/>
      <c r="OL10" s="308"/>
      <c r="OM10" s="308"/>
      <c r="ON10" s="308"/>
      <c r="OO10" s="308"/>
      <c r="OP10" s="308"/>
      <c r="OQ10" s="308"/>
      <c r="OR10" s="308"/>
      <c r="OS10" s="308"/>
      <c r="OT10" s="308"/>
      <c r="OU10" s="308"/>
      <c r="OV10" s="308"/>
      <c r="OW10" s="308"/>
      <c r="OX10" s="308"/>
      <c r="OY10" s="308"/>
      <c r="OZ10" s="308"/>
      <c r="PA10" s="308"/>
      <c r="PB10" s="308"/>
      <c r="PC10" s="308"/>
      <c r="PD10" s="308"/>
      <c r="PE10" s="308"/>
      <c r="PF10" s="308"/>
      <c r="PG10" s="308"/>
      <c r="PH10" s="308"/>
      <c r="PI10" s="308"/>
      <c r="PJ10" s="308"/>
      <c r="PK10" s="308"/>
      <c r="PL10" s="308"/>
      <c r="PM10" s="308"/>
      <c r="PN10" s="308"/>
      <c r="PO10" s="308"/>
      <c r="PP10" s="308"/>
      <c r="PQ10" s="308"/>
      <c r="PR10" s="308"/>
      <c r="PS10" s="308"/>
      <c r="PT10" s="308"/>
      <c r="PU10" s="308"/>
      <c r="PV10" s="308"/>
      <c r="PW10" s="308"/>
      <c r="PX10" s="308"/>
      <c r="PY10" s="308"/>
      <c r="PZ10" s="308"/>
      <c r="QA10" s="308"/>
      <c r="QB10" s="308"/>
      <c r="QC10" s="308"/>
      <c r="QD10" s="308"/>
      <c r="QE10" s="308"/>
      <c r="QF10" s="308"/>
      <c r="QG10" s="308"/>
      <c r="QH10" s="308"/>
      <c r="QI10" s="308"/>
      <c r="QJ10" s="308"/>
      <c r="QK10" s="308"/>
      <c r="QL10" s="308"/>
      <c r="QM10" s="308"/>
      <c r="QN10" s="308"/>
      <c r="QO10" s="308"/>
      <c r="QP10" s="308"/>
      <c r="QQ10" s="308"/>
      <c r="QR10" s="308"/>
      <c r="QS10" s="308"/>
      <c r="QT10" s="308"/>
      <c r="QU10" s="308"/>
      <c r="QV10" s="308"/>
      <c r="QW10" s="308"/>
      <c r="QX10" s="308"/>
      <c r="QY10" s="308"/>
      <c r="QZ10" s="308"/>
      <c r="RA10" s="308"/>
      <c r="RB10" s="308"/>
      <c r="RC10" s="308"/>
      <c r="RD10" s="308"/>
      <c r="RE10" s="308"/>
      <c r="RF10" s="308"/>
      <c r="RG10" s="308"/>
      <c r="RH10" s="308"/>
      <c r="RI10" s="308"/>
      <c r="RJ10" s="308"/>
      <c r="RK10" s="308"/>
      <c r="RL10" s="308"/>
      <c r="RM10" s="308"/>
      <c r="RN10" s="308"/>
      <c r="RO10" s="308"/>
      <c r="RP10" s="308"/>
      <c r="RQ10" s="308"/>
      <c r="RR10" s="308"/>
      <c r="RS10" s="308"/>
      <c r="RT10" s="308"/>
      <c r="RU10" s="308"/>
      <c r="RV10" s="308"/>
      <c r="RW10" s="308"/>
      <c r="RX10" s="308"/>
      <c r="RY10" s="308"/>
      <c r="RZ10" s="308"/>
      <c r="SA10" s="308"/>
      <c r="SB10" s="308"/>
      <c r="SC10" s="308"/>
      <c r="SD10" s="308"/>
      <c r="SE10" s="308"/>
      <c r="SF10" s="308"/>
      <c r="SG10" s="308"/>
      <c r="SH10" s="308"/>
      <c r="SI10" s="308"/>
      <c r="SJ10" s="308"/>
      <c r="SK10" s="308"/>
      <c r="SL10" s="308"/>
      <c r="SM10" s="308"/>
      <c r="SN10" s="308"/>
      <c r="SO10" s="308"/>
      <c r="SP10" s="308"/>
      <c r="SQ10" s="308"/>
      <c r="SR10" s="308"/>
      <c r="SS10" s="308"/>
      <c r="ST10" s="308"/>
      <c r="SU10" s="308"/>
      <c r="SV10" s="308"/>
      <c r="SW10" s="308"/>
      <c r="SX10" s="308"/>
      <c r="SY10" s="308"/>
      <c r="SZ10" s="308"/>
      <c r="TA10" s="308"/>
      <c r="TB10" s="308"/>
      <c r="TC10" s="308"/>
      <c r="TD10" s="308"/>
      <c r="TE10" s="308"/>
      <c r="TF10" s="308"/>
      <c r="TG10" s="308"/>
      <c r="TH10" s="308"/>
      <c r="TI10" s="308"/>
      <c r="TJ10" s="308"/>
      <c r="TK10" s="308"/>
      <c r="TL10" s="308"/>
      <c r="TM10" s="308"/>
      <c r="TN10" s="308"/>
      <c r="TO10" s="308"/>
      <c r="TP10" s="308"/>
      <c r="TQ10" s="308"/>
      <c r="TR10" s="308"/>
      <c r="TS10" s="308"/>
      <c r="TT10" s="308"/>
      <c r="TU10" s="308"/>
      <c r="TV10" s="308"/>
      <c r="TW10" s="308"/>
      <c r="TX10" s="308"/>
      <c r="TY10" s="308"/>
      <c r="TZ10" s="308"/>
      <c r="UA10" s="308"/>
      <c r="UB10" s="308"/>
      <c r="UC10" s="308"/>
      <c r="UD10" s="308"/>
      <c r="UE10" s="308"/>
      <c r="UF10" s="308"/>
      <c r="UG10" s="308"/>
      <c r="UH10" s="308"/>
      <c r="UI10" s="308"/>
      <c r="UJ10" s="308"/>
      <c r="UK10" s="308"/>
      <c r="UL10" s="308"/>
      <c r="UM10" s="308"/>
      <c r="UN10" s="308"/>
      <c r="UO10" s="308"/>
      <c r="UP10" s="308"/>
      <c r="UQ10" s="308"/>
      <c r="UR10" s="308"/>
      <c r="US10" s="308"/>
      <c r="UT10" s="308"/>
      <c r="UU10" s="308"/>
      <c r="UV10" s="308"/>
      <c r="UW10" s="308"/>
      <c r="UX10" s="308"/>
      <c r="UY10" s="308"/>
      <c r="UZ10" s="308"/>
      <c r="VA10" s="308"/>
      <c r="VB10" s="308"/>
      <c r="VC10" s="308"/>
      <c r="VD10" s="308"/>
      <c r="VE10" s="308"/>
      <c r="VF10" s="308"/>
      <c r="VG10" s="308"/>
      <c r="VH10" s="308"/>
      <c r="VI10" s="308"/>
      <c r="VJ10" s="308"/>
      <c r="VK10" s="308"/>
      <c r="VL10" s="308"/>
      <c r="VM10" s="308"/>
      <c r="VN10" s="308"/>
      <c r="VO10" s="308"/>
      <c r="VP10" s="308"/>
      <c r="VQ10" s="308"/>
      <c r="VR10" s="308"/>
      <c r="VS10" s="308"/>
      <c r="VT10" s="308"/>
      <c r="VU10" s="308"/>
      <c r="VV10" s="308"/>
      <c r="VW10" s="308"/>
      <c r="VX10" s="308"/>
      <c r="VY10" s="308"/>
      <c r="VZ10" s="308"/>
      <c r="WA10" s="308"/>
      <c r="WB10" s="308"/>
      <c r="WC10" s="308"/>
      <c r="WD10" s="308"/>
      <c r="WE10" s="308"/>
    </row>
    <row r="11" spans="1:603" s="207" customFormat="1" ht="140.35" x14ac:dyDescent="0.4">
      <c r="A11" s="170">
        <v>7</v>
      </c>
      <c r="B11" s="177" t="s">
        <v>348</v>
      </c>
      <c r="C11" s="178"/>
      <c r="D11" s="179">
        <v>20</v>
      </c>
      <c r="E11" s="180" t="s">
        <v>160</v>
      </c>
      <c r="F11" s="177" t="s">
        <v>349</v>
      </c>
      <c r="G11" s="178"/>
      <c r="H11" s="179">
        <v>20</v>
      </c>
      <c r="I11" s="180" t="s">
        <v>160</v>
      </c>
      <c r="J11" s="175" t="s">
        <v>350</v>
      </c>
      <c r="K11" s="172"/>
      <c r="L11" s="173">
        <v>10</v>
      </c>
      <c r="M11" s="174" t="s">
        <v>160</v>
      </c>
      <c r="N11" s="171" t="s">
        <v>350</v>
      </c>
      <c r="O11" s="172"/>
      <c r="P11" s="173">
        <v>10</v>
      </c>
      <c r="Q11" s="174" t="s">
        <v>160</v>
      </c>
      <c r="R11" s="171" t="s">
        <v>351</v>
      </c>
      <c r="S11" s="172"/>
      <c r="T11" s="173">
        <v>15</v>
      </c>
      <c r="U11" s="174" t="s">
        <v>160</v>
      </c>
      <c r="V11" s="171" t="s">
        <v>351</v>
      </c>
      <c r="W11" s="172"/>
      <c r="X11" s="173">
        <v>15</v>
      </c>
      <c r="Y11" s="174" t="s">
        <v>160</v>
      </c>
      <c r="Z11" s="171" t="s">
        <v>351</v>
      </c>
      <c r="AA11" s="172"/>
      <c r="AB11" s="173">
        <v>15</v>
      </c>
      <c r="AC11" s="174" t="s">
        <v>160</v>
      </c>
      <c r="AD11" s="175" t="s">
        <v>350</v>
      </c>
      <c r="AE11" s="172"/>
      <c r="AF11" s="173">
        <v>10</v>
      </c>
      <c r="AG11" s="174" t="s">
        <v>160</v>
      </c>
      <c r="AH11" s="171" t="s">
        <v>352</v>
      </c>
      <c r="AI11" s="176"/>
      <c r="AJ11" s="173">
        <v>15</v>
      </c>
      <c r="AK11" s="174" t="s">
        <v>160</v>
      </c>
      <c r="AL11" s="183" t="s">
        <v>353</v>
      </c>
      <c r="AM11" s="172"/>
      <c r="AN11" s="173">
        <v>20</v>
      </c>
      <c r="AO11" s="174" t="s">
        <v>160</v>
      </c>
      <c r="AP11" s="171" t="s">
        <v>354</v>
      </c>
      <c r="AQ11" s="172"/>
      <c r="AR11" s="173">
        <v>5</v>
      </c>
      <c r="AS11" s="174" t="s">
        <v>160</v>
      </c>
      <c r="AT11" s="171" t="s">
        <v>346</v>
      </c>
      <c r="AU11" s="172" t="s">
        <v>347</v>
      </c>
      <c r="AV11" s="173">
        <v>10</v>
      </c>
      <c r="AW11" s="174" t="s">
        <v>159</v>
      </c>
      <c r="AX11" s="175" t="s">
        <v>154</v>
      </c>
      <c r="AY11" s="172"/>
      <c r="AZ11" s="173">
        <v>5</v>
      </c>
      <c r="BA11" s="184" t="s">
        <v>160</v>
      </c>
      <c r="BB11" s="175"/>
      <c r="BC11" s="172"/>
      <c r="BD11" s="173"/>
      <c r="BE11" s="174"/>
      <c r="BF11" s="175"/>
      <c r="BG11" s="172"/>
      <c r="BH11" s="173"/>
      <c r="BI11" s="174"/>
      <c r="BJ11" s="175"/>
      <c r="BK11" s="172"/>
      <c r="BL11" s="173"/>
      <c r="BM11" s="174"/>
    </row>
    <row r="12" spans="1:603" s="185" customFormat="1" ht="178.35" x14ac:dyDescent="0.4">
      <c r="A12" s="301">
        <v>8</v>
      </c>
      <c r="B12" s="313" t="s">
        <v>355</v>
      </c>
      <c r="C12" s="308" t="s">
        <v>356</v>
      </c>
      <c r="D12" s="304">
        <v>10</v>
      </c>
      <c r="E12" s="305" t="s">
        <v>160</v>
      </c>
      <c r="F12" s="302" t="s">
        <v>355</v>
      </c>
      <c r="G12" s="303" t="s">
        <v>356</v>
      </c>
      <c r="H12" s="304">
        <v>10</v>
      </c>
      <c r="I12" s="305" t="s">
        <v>160</v>
      </c>
      <c r="J12" s="306" t="s">
        <v>357</v>
      </c>
      <c r="K12" s="303" t="s">
        <v>358</v>
      </c>
      <c r="L12" s="304">
        <v>10</v>
      </c>
      <c r="M12" s="305" t="s">
        <v>160</v>
      </c>
      <c r="N12" s="302" t="s">
        <v>357</v>
      </c>
      <c r="O12" s="303" t="s">
        <v>358</v>
      </c>
      <c r="P12" s="304">
        <v>10</v>
      </c>
      <c r="Q12" s="305" t="s">
        <v>160</v>
      </c>
      <c r="R12" s="302" t="s">
        <v>359</v>
      </c>
      <c r="S12" s="303" t="s">
        <v>358</v>
      </c>
      <c r="T12" s="304">
        <v>15</v>
      </c>
      <c r="U12" s="305" t="s">
        <v>160</v>
      </c>
      <c r="V12" s="302" t="s">
        <v>360</v>
      </c>
      <c r="W12" s="303" t="s">
        <v>358</v>
      </c>
      <c r="X12" s="304">
        <v>15</v>
      </c>
      <c r="Y12" s="305" t="s">
        <v>160</v>
      </c>
      <c r="Z12" s="302" t="s">
        <v>360</v>
      </c>
      <c r="AA12" s="303" t="s">
        <v>358</v>
      </c>
      <c r="AB12" s="304">
        <v>15</v>
      </c>
      <c r="AC12" s="305" t="s">
        <v>160</v>
      </c>
      <c r="AD12" s="306" t="s">
        <v>361</v>
      </c>
      <c r="AE12" s="303"/>
      <c r="AF12" s="304">
        <v>10</v>
      </c>
      <c r="AG12" s="305" t="s">
        <v>160</v>
      </c>
      <c r="AH12" s="302" t="s">
        <v>362</v>
      </c>
      <c r="AI12" s="303" t="s">
        <v>363</v>
      </c>
      <c r="AJ12" s="304">
        <v>15</v>
      </c>
      <c r="AK12" s="305" t="s">
        <v>160</v>
      </c>
      <c r="AL12" s="309" t="s">
        <v>364</v>
      </c>
      <c r="AM12" s="310" t="s">
        <v>365</v>
      </c>
      <c r="AN12" s="311">
        <v>20</v>
      </c>
      <c r="AO12" s="312" t="s">
        <v>160</v>
      </c>
      <c r="AP12" s="302"/>
      <c r="AQ12" s="303"/>
      <c r="AR12" s="304"/>
      <c r="AS12" s="305"/>
      <c r="AT12" s="302" t="s">
        <v>154</v>
      </c>
      <c r="AU12" s="303"/>
      <c r="AV12" s="304">
        <v>5</v>
      </c>
      <c r="AW12" s="305" t="s">
        <v>160</v>
      </c>
      <c r="AX12" s="302" t="s">
        <v>366</v>
      </c>
      <c r="AY12" s="303"/>
      <c r="AZ12" s="304">
        <v>15</v>
      </c>
      <c r="BA12" s="305" t="s">
        <v>160</v>
      </c>
      <c r="BB12" s="306"/>
      <c r="BC12" s="303"/>
      <c r="BD12" s="304"/>
      <c r="BE12" s="305"/>
      <c r="BF12" s="306"/>
      <c r="BG12" s="303"/>
      <c r="BH12" s="304"/>
      <c r="BI12" s="305"/>
      <c r="BJ12" s="306"/>
      <c r="BK12" s="303"/>
      <c r="BL12" s="304"/>
      <c r="BM12" s="305"/>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08"/>
      <c r="CP12" s="308"/>
      <c r="CQ12" s="308"/>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308"/>
      <c r="GQ12" s="308"/>
      <c r="GR12" s="308"/>
      <c r="GS12" s="308"/>
      <c r="GT12" s="308"/>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308"/>
      <c r="HQ12" s="308"/>
      <c r="HR12" s="308"/>
      <c r="HS12" s="308"/>
      <c r="HT12" s="308"/>
      <c r="HU12" s="308"/>
      <c r="HV12" s="308"/>
      <c r="HW12" s="308"/>
      <c r="HX12" s="308"/>
      <c r="HY12" s="308"/>
      <c r="HZ12" s="308"/>
      <c r="IA12" s="308"/>
      <c r="IB12" s="308"/>
      <c r="IC12" s="308"/>
      <c r="ID12" s="308"/>
      <c r="IE12" s="308"/>
      <c r="IF12" s="308"/>
      <c r="IG12" s="308"/>
      <c r="IH12" s="308"/>
      <c r="II12" s="308"/>
      <c r="IJ12" s="308"/>
      <c r="IK12" s="308"/>
      <c r="IL12" s="308"/>
      <c r="IM12" s="308"/>
      <c r="IN12" s="308"/>
      <c r="IO12" s="308"/>
      <c r="IP12" s="308"/>
      <c r="IQ12" s="308"/>
      <c r="IR12" s="308"/>
      <c r="IS12" s="308"/>
      <c r="IT12" s="308"/>
      <c r="IU12" s="308"/>
      <c r="IV12" s="308"/>
      <c r="IW12" s="308"/>
      <c r="IX12" s="308"/>
      <c r="IY12" s="308"/>
      <c r="IZ12" s="308"/>
      <c r="JA12" s="308"/>
      <c r="JB12" s="308"/>
      <c r="JC12" s="308"/>
      <c r="JD12" s="308"/>
      <c r="JE12" s="308"/>
      <c r="JF12" s="308"/>
      <c r="JG12" s="308"/>
      <c r="JH12" s="308"/>
      <c r="JI12" s="308"/>
      <c r="JJ12" s="308"/>
      <c r="JK12" s="308"/>
      <c r="JL12" s="308"/>
      <c r="JM12" s="308"/>
      <c r="JN12" s="308"/>
      <c r="JO12" s="308"/>
      <c r="JP12" s="308"/>
      <c r="JQ12" s="308"/>
      <c r="JR12" s="308"/>
      <c r="JS12" s="308"/>
      <c r="JT12" s="308"/>
      <c r="JU12" s="308"/>
      <c r="JV12" s="308"/>
      <c r="JW12" s="308"/>
      <c r="JX12" s="308"/>
      <c r="JY12" s="308"/>
      <c r="JZ12" s="308"/>
      <c r="KA12" s="308"/>
      <c r="KB12" s="308"/>
      <c r="KC12" s="308"/>
      <c r="KD12" s="308"/>
      <c r="KE12" s="308"/>
      <c r="KF12" s="308"/>
      <c r="KG12" s="308"/>
      <c r="KH12" s="308"/>
      <c r="KI12" s="308"/>
      <c r="KJ12" s="308"/>
      <c r="KK12" s="308"/>
      <c r="KL12" s="308"/>
      <c r="KM12" s="308"/>
      <c r="KN12" s="308"/>
      <c r="KO12" s="308"/>
      <c r="KP12" s="308"/>
      <c r="KQ12" s="308"/>
      <c r="KR12" s="308"/>
      <c r="KS12" s="308"/>
      <c r="KT12" s="308"/>
      <c r="KU12" s="308"/>
      <c r="KV12" s="308"/>
      <c r="KW12" s="308"/>
      <c r="KX12" s="308"/>
      <c r="KY12" s="308"/>
      <c r="KZ12" s="308"/>
      <c r="LA12" s="308"/>
      <c r="LB12" s="308"/>
      <c r="LC12" s="308"/>
      <c r="LD12" s="308"/>
      <c r="LE12" s="308"/>
      <c r="LF12" s="308"/>
      <c r="LG12" s="308"/>
      <c r="LH12" s="308"/>
      <c r="LI12" s="308"/>
      <c r="LJ12" s="308"/>
      <c r="LK12" s="308"/>
      <c r="LL12" s="308"/>
      <c r="LM12" s="308"/>
      <c r="LN12" s="308"/>
      <c r="LO12" s="308"/>
      <c r="LP12" s="308"/>
      <c r="LQ12" s="308"/>
      <c r="LR12" s="308"/>
      <c r="LS12" s="308"/>
      <c r="LT12" s="308"/>
      <c r="LU12" s="308"/>
      <c r="LV12" s="308"/>
      <c r="LW12" s="308"/>
      <c r="LX12" s="308"/>
      <c r="LY12" s="308"/>
      <c r="LZ12" s="308"/>
      <c r="MA12" s="308"/>
      <c r="MB12" s="308"/>
      <c r="MC12" s="308"/>
      <c r="MD12" s="308"/>
      <c r="ME12" s="308"/>
      <c r="MF12" s="308"/>
      <c r="MG12" s="308"/>
      <c r="MH12" s="308"/>
      <c r="MI12" s="308"/>
      <c r="MJ12" s="308"/>
      <c r="MK12" s="308"/>
      <c r="ML12" s="308"/>
      <c r="MM12" s="308"/>
      <c r="MN12" s="308"/>
      <c r="MO12" s="308"/>
      <c r="MP12" s="308"/>
      <c r="MQ12" s="308"/>
      <c r="MR12" s="308"/>
      <c r="MS12" s="308"/>
      <c r="MT12" s="308"/>
      <c r="MU12" s="308"/>
      <c r="MV12" s="308"/>
      <c r="MW12" s="308"/>
      <c r="MX12" s="308"/>
      <c r="MY12" s="308"/>
      <c r="MZ12" s="308"/>
      <c r="NA12" s="308"/>
      <c r="NB12" s="308"/>
      <c r="NC12" s="308"/>
      <c r="ND12" s="308"/>
      <c r="NE12" s="308"/>
      <c r="NF12" s="308"/>
      <c r="NG12" s="308"/>
      <c r="NH12" s="308"/>
      <c r="NI12" s="308"/>
      <c r="NJ12" s="308"/>
      <c r="NK12" s="308"/>
      <c r="NL12" s="308"/>
      <c r="NM12" s="308"/>
      <c r="NN12" s="308"/>
      <c r="NO12" s="308"/>
      <c r="NP12" s="308"/>
      <c r="NQ12" s="308"/>
      <c r="NR12" s="308"/>
      <c r="NS12" s="308"/>
      <c r="NT12" s="308"/>
      <c r="NU12" s="308"/>
      <c r="NV12" s="308"/>
      <c r="NW12" s="308"/>
      <c r="NX12" s="308"/>
      <c r="NY12" s="308"/>
      <c r="NZ12" s="308"/>
      <c r="OA12" s="308"/>
      <c r="OB12" s="308"/>
      <c r="OC12" s="308"/>
      <c r="OD12" s="308"/>
      <c r="OE12" s="308"/>
      <c r="OF12" s="308"/>
      <c r="OG12" s="308"/>
      <c r="OH12" s="308"/>
      <c r="OI12" s="308"/>
      <c r="OJ12" s="308"/>
      <c r="OK12" s="308"/>
      <c r="OL12" s="308"/>
      <c r="OM12" s="308"/>
      <c r="ON12" s="308"/>
      <c r="OO12" s="308"/>
      <c r="OP12" s="308"/>
      <c r="OQ12" s="308"/>
      <c r="OR12" s="308"/>
      <c r="OS12" s="308"/>
      <c r="OT12" s="308"/>
      <c r="OU12" s="308"/>
      <c r="OV12" s="308"/>
      <c r="OW12" s="308"/>
      <c r="OX12" s="308"/>
      <c r="OY12" s="308"/>
      <c r="OZ12" s="308"/>
      <c r="PA12" s="308"/>
      <c r="PB12" s="308"/>
      <c r="PC12" s="308"/>
      <c r="PD12" s="308"/>
      <c r="PE12" s="308"/>
      <c r="PF12" s="308"/>
      <c r="PG12" s="308"/>
      <c r="PH12" s="308"/>
      <c r="PI12" s="308"/>
      <c r="PJ12" s="308"/>
      <c r="PK12" s="308"/>
      <c r="PL12" s="308"/>
      <c r="PM12" s="308"/>
      <c r="PN12" s="308"/>
      <c r="PO12" s="308"/>
      <c r="PP12" s="308"/>
      <c r="PQ12" s="308"/>
      <c r="PR12" s="308"/>
      <c r="PS12" s="308"/>
      <c r="PT12" s="308"/>
      <c r="PU12" s="308"/>
      <c r="PV12" s="308"/>
      <c r="PW12" s="308"/>
      <c r="PX12" s="308"/>
      <c r="PY12" s="308"/>
      <c r="PZ12" s="308"/>
      <c r="QA12" s="308"/>
      <c r="QB12" s="308"/>
      <c r="QC12" s="308"/>
      <c r="QD12" s="308"/>
      <c r="QE12" s="308"/>
      <c r="QF12" s="308"/>
      <c r="QG12" s="308"/>
      <c r="QH12" s="308"/>
      <c r="QI12" s="308"/>
      <c r="QJ12" s="308"/>
      <c r="QK12" s="308"/>
      <c r="QL12" s="308"/>
      <c r="QM12" s="308"/>
      <c r="QN12" s="308"/>
      <c r="QO12" s="308"/>
      <c r="QP12" s="308"/>
      <c r="QQ12" s="308"/>
      <c r="QR12" s="308"/>
      <c r="QS12" s="308"/>
      <c r="QT12" s="308"/>
      <c r="QU12" s="308"/>
      <c r="QV12" s="308"/>
      <c r="QW12" s="308"/>
      <c r="QX12" s="308"/>
      <c r="QY12" s="308"/>
      <c r="QZ12" s="308"/>
      <c r="RA12" s="308"/>
      <c r="RB12" s="308"/>
      <c r="RC12" s="308"/>
      <c r="RD12" s="308"/>
      <c r="RE12" s="308"/>
      <c r="RF12" s="308"/>
      <c r="RG12" s="308"/>
      <c r="RH12" s="308"/>
      <c r="RI12" s="308"/>
      <c r="RJ12" s="308"/>
      <c r="RK12" s="308"/>
      <c r="RL12" s="308"/>
      <c r="RM12" s="308"/>
      <c r="RN12" s="308"/>
      <c r="RO12" s="308"/>
      <c r="RP12" s="308"/>
      <c r="RQ12" s="308"/>
      <c r="RR12" s="308"/>
      <c r="RS12" s="308"/>
      <c r="RT12" s="308"/>
      <c r="RU12" s="308"/>
      <c r="RV12" s="308"/>
      <c r="RW12" s="308"/>
      <c r="RX12" s="308"/>
      <c r="RY12" s="308"/>
      <c r="RZ12" s="308"/>
      <c r="SA12" s="308"/>
      <c r="SB12" s="308"/>
      <c r="SC12" s="308"/>
      <c r="SD12" s="308"/>
      <c r="SE12" s="308"/>
      <c r="SF12" s="308"/>
      <c r="SG12" s="308"/>
      <c r="SH12" s="308"/>
      <c r="SI12" s="308"/>
      <c r="SJ12" s="308"/>
      <c r="SK12" s="308"/>
      <c r="SL12" s="308"/>
      <c r="SM12" s="308"/>
      <c r="SN12" s="308"/>
      <c r="SO12" s="308"/>
      <c r="SP12" s="308"/>
      <c r="SQ12" s="308"/>
      <c r="SR12" s="308"/>
      <c r="SS12" s="308"/>
      <c r="ST12" s="308"/>
      <c r="SU12" s="308"/>
      <c r="SV12" s="308"/>
      <c r="SW12" s="308"/>
      <c r="SX12" s="308"/>
      <c r="SY12" s="308"/>
      <c r="SZ12" s="308"/>
      <c r="TA12" s="308"/>
      <c r="TB12" s="308"/>
      <c r="TC12" s="308"/>
      <c r="TD12" s="308"/>
      <c r="TE12" s="308"/>
      <c r="TF12" s="308"/>
      <c r="TG12" s="308"/>
      <c r="TH12" s="308"/>
      <c r="TI12" s="308"/>
      <c r="TJ12" s="308"/>
      <c r="TK12" s="308"/>
      <c r="TL12" s="308"/>
      <c r="TM12" s="308"/>
      <c r="TN12" s="308"/>
      <c r="TO12" s="308"/>
      <c r="TP12" s="308"/>
      <c r="TQ12" s="308"/>
      <c r="TR12" s="308"/>
      <c r="TS12" s="308"/>
      <c r="TT12" s="308"/>
      <c r="TU12" s="308"/>
      <c r="TV12" s="308"/>
      <c r="TW12" s="308"/>
      <c r="TX12" s="308"/>
      <c r="TY12" s="308"/>
      <c r="TZ12" s="308"/>
      <c r="UA12" s="308"/>
      <c r="UB12" s="308"/>
      <c r="UC12" s="308"/>
      <c r="UD12" s="308"/>
      <c r="UE12" s="308"/>
      <c r="UF12" s="308"/>
      <c r="UG12" s="308"/>
      <c r="UH12" s="308"/>
      <c r="UI12" s="308"/>
      <c r="UJ12" s="308"/>
      <c r="UK12" s="308"/>
      <c r="UL12" s="308"/>
      <c r="UM12" s="308"/>
      <c r="UN12" s="308"/>
      <c r="UO12" s="308"/>
      <c r="UP12" s="308"/>
      <c r="UQ12" s="308"/>
      <c r="UR12" s="308"/>
      <c r="US12" s="308"/>
      <c r="UT12" s="308"/>
      <c r="UU12" s="308"/>
      <c r="UV12" s="308"/>
      <c r="UW12" s="308"/>
      <c r="UX12" s="308"/>
      <c r="UY12" s="308"/>
      <c r="UZ12" s="308"/>
      <c r="VA12" s="308"/>
      <c r="VB12" s="308"/>
      <c r="VC12" s="308"/>
      <c r="VD12" s="308"/>
      <c r="VE12" s="308"/>
      <c r="VF12" s="308"/>
      <c r="VG12" s="308"/>
      <c r="VH12" s="308"/>
      <c r="VI12" s="308"/>
      <c r="VJ12" s="308"/>
      <c r="VK12" s="308"/>
      <c r="VL12" s="308"/>
      <c r="VM12" s="308"/>
      <c r="VN12" s="308"/>
      <c r="VO12" s="308"/>
      <c r="VP12" s="308"/>
      <c r="VQ12" s="308"/>
      <c r="VR12" s="308"/>
      <c r="VS12" s="308"/>
      <c r="VT12" s="308"/>
      <c r="VU12" s="308"/>
      <c r="VV12" s="308"/>
      <c r="VW12" s="308"/>
      <c r="VX12" s="308"/>
      <c r="VY12" s="308"/>
      <c r="VZ12" s="308"/>
      <c r="WA12" s="308"/>
      <c r="WB12" s="308"/>
      <c r="WC12" s="308"/>
      <c r="WD12" s="308"/>
      <c r="WE12" s="308"/>
    </row>
    <row r="13" spans="1:603" s="207" customFormat="1" ht="93.35" x14ac:dyDescent="0.4">
      <c r="A13" s="186">
        <v>9</v>
      </c>
      <c r="B13" s="187" t="s">
        <v>155</v>
      </c>
      <c r="C13" s="188"/>
      <c r="D13" s="189">
        <v>20</v>
      </c>
      <c r="E13" s="190" t="s">
        <v>158</v>
      </c>
      <c r="F13" s="191" t="s">
        <v>155</v>
      </c>
      <c r="G13" s="192"/>
      <c r="H13" s="193">
        <v>20</v>
      </c>
      <c r="I13" s="194" t="s">
        <v>158</v>
      </c>
      <c r="J13" s="195" t="s">
        <v>367</v>
      </c>
      <c r="K13" s="192" t="s">
        <v>368</v>
      </c>
      <c r="L13" s="193">
        <v>10</v>
      </c>
      <c r="M13" s="194" t="s">
        <v>160</v>
      </c>
      <c r="N13" s="191" t="s">
        <v>367</v>
      </c>
      <c r="O13" s="192" t="s">
        <v>368</v>
      </c>
      <c r="P13" s="193">
        <v>10</v>
      </c>
      <c r="Q13" s="194" t="s">
        <v>160</v>
      </c>
      <c r="R13" s="187" t="s">
        <v>369</v>
      </c>
      <c r="S13" s="188"/>
      <c r="T13" s="189">
        <v>10</v>
      </c>
      <c r="U13" s="190" t="s">
        <v>158</v>
      </c>
      <c r="V13" s="187" t="s">
        <v>369</v>
      </c>
      <c r="W13" s="192"/>
      <c r="X13" s="193">
        <v>10</v>
      </c>
      <c r="Y13" s="190" t="s">
        <v>158</v>
      </c>
      <c r="Z13" s="187" t="s">
        <v>369</v>
      </c>
      <c r="AA13" s="192"/>
      <c r="AB13" s="193">
        <v>10</v>
      </c>
      <c r="AC13" s="190" t="s">
        <v>158</v>
      </c>
      <c r="AD13" s="195" t="s">
        <v>367</v>
      </c>
      <c r="AE13" s="192" t="s">
        <v>368</v>
      </c>
      <c r="AF13" s="193">
        <v>10</v>
      </c>
      <c r="AG13" s="194" t="s">
        <v>160</v>
      </c>
      <c r="AH13" s="191" t="s">
        <v>370</v>
      </c>
      <c r="AI13" s="192"/>
      <c r="AJ13" s="193">
        <v>10</v>
      </c>
      <c r="AK13" s="194" t="s">
        <v>158</v>
      </c>
      <c r="AL13" s="196" t="s">
        <v>371</v>
      </c>
      <c r="AM13" s="197"/>
      <c r="AN13" s="198">
        <v>20</v>
      </c>
      <c r="AO13" s="199" t="s">
        <v>160</v>
      </c>
      <c r="AP13" s="171"/>
      <c r="AQ13" s="192"/>
      <c r="AR13" s="193"/>
      <c r="AS13" s="194" t="s">
        <v>159</v>
      </c>
      <c r="AT13" s="191" t="s">
        <v>366</v>
      </c>
      <c r="AU13" s="200"/>
      <c r="AV13" s="193">
        <v>15</v>
      </c>
      <c r="AW13" s="194" t="s">
        <v>160</v>
      </c>
      <c r="AX13" s="191" t="s">
        <v>157</v>
      </c>
      <c r="AY13" s="192"/>
      <c r="AZ13" s="193">
        <v>30</v>
      </c>
      <c r="BA13" s="194" t="s">
        <v>160</v>
      </c>
      <c r="BB13" s="195"/>
      <c r="BC13" s="192"/>
      <c r="BD13" s="193"/>
      <c r="BE13" s="194"/>
      <c r="BF13" s="195"/>
      <c r="BG13" s="192"/>
      <c r="BH13" s="193"/>
      <c r="BI13" s="194"/>
      <c r="BJ13" s="195"/>
      <c r="BK13" s="192"/>
      <c r="BL13" s="193"/>
      <c r="BM13" s="194"/>
    </row>
    <row r="14" spans="1:603" s="185" customFormat="1" ht="38.35" thickBot="1" x14ac:dyDescent="0.45">
      <c r="A14" s="314">
        <v>10</v>
      </c>
      <c r="B14" s="315"/>
      <c r="C14" s="316"/>
      <c r="D14" s="317"/>
      <c r="E14" s="318"/>
      <c r="F14" s="315"/>
      <c r="G14" s="316"/>
      <c r="H14" s="317"/>
      <c r="I14" s="318"/>
      <c r="J14" s="319" t="s">
        <v>369</v>
      </c>
      <c r="K14" s="316"/>
      <c r="L14" s="317">
        <v>10</v>
      </c>
      <c r="M14" s="318" t="s">
        <v>158</v>
      </c>
      <c r="N14" s="315" t="s">
        <v>369</v>
      </c>
      <c r="O14" s="316"/>
      <c r="P14" s="317">
        <v>10</v>
      </c>
      <c r="Q14" s="318" t="s">
        <v>158</v>
      </c>
      <c r="R14" s="315"/>
      <c r="S14" s="316"/>
      <c r="T14" s="317"/>
      <c r="U14" s="318"/>
      <c r="V14" s="315"/>
      <c r="W14" s="316"/>
      <c r="X14" s="317"/>
      <c r="Y14" s="318"/>
      <c r="Z14" s="315"/>
      <c r="AA14" s="316"/>
      <c r="AB14" s="317"/>
      <c r="AC14" s="318"/>
      <c r="AD14" s="315" t="s">
        <v>369</v>
      </c>
      <c r="AE14" s="316"/>
      <c r="AF14" s="317">
        <v>10</v>
      </c>
      <c r="AG14" s="318" t="s">
        <v>158</v>
      </c>
      <c r="AH14" s="315"/>
      <c r="AI14" s="316"/>
      <c r="AJ14" s="317"/>
      <c r="AK14" s="318"/>
      <c r="AL14" s="315" t="s">
        <v>372</v>
      </c>
      <c r="AM14" s="316"/>
      <c r="AN14" s="317">
        <v>10</v>
      </c>
      <c r="AO14" s="318" t="s">
        <v>158</v>
      </c>
      <c r="AP14" s="315"/>
      <c r="AQ14" s="316"/>
      <c r="AR14" s="317"/>
      <c r="AS14" s="318"/>
      <c r="AT14" s="315" t="s">
        <v>157</v>
      </c>
      <c r="AU14" s="316"/>
      <c r="AV14" s="317">
        <v>25</v>
      </c>
      <c r="AW14" s="318" t="s">
        <v>160</v>
      </c>
      <c r="AX14" s="315"/>
      <c r="AY14" s="316"/>
      <c r="AZ14" s="317"/>
      <c r="BA14" s="318"/>
      <c r="BB14" s="319"/>
      <c r="BC14" s="316"/>
      <c r="BD14" s="317"/>
      <c r="BE14" s="318"/>
      <c r="BF14" s="319"/>
      <c r="BG14" s="316"/>
      <c r="BH14" s="317"/>
      <c r="BI14" s="318"/>
      <c r="BJ14" s="319"/>
      <c r="BK14" s="316"/>
      <c r="BL14" s="317"/>
      <c r="BM14" s="318"/>
      <c r="BN14" s="308"/>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08"/>
      <c r="DN14" s="308"/>
      <c r="DO14" s="308"/>
      <c r="DP14" s="308"/>
      <c r="DQ14" s="308"/>
      <c r="DR14" s="308"/>
      <c r="DS14" s="308"/>
      <c r="DT14" s="308"/>
      <c r="DU14" s="308"/>
      <c r="DV14" s="308"/>
      <c r="DW14" s="308"/>
      <c r="DX14" s="308"/>
      <c r="DY14" s="308"/>
      <c r="DZ14" s="308"/>
      <c r="EA14" s="308"/>
      <c r="EB14" s="308"/>
      <c r="EC14" s="308"/>
      <c r="ED14" s="308"/>
      <c r="EE14" s="308"/>
      <c r="EF14" s="308"/>
      <c r="EG14" s="308"/>
      <c r="EH14" s="308"/>
      <c r="EI14" s="308"/>
      <c r="EJ14" s="308"/>
      <c r="EK14" s="308"/>
      <c r="EL14" s="308"/>
      <c r="EM14" s="308"/>
      <c r="EN14" s="308"/>
      <c r="EO14" s="308"/>
      <c r="EP14" s="308"/>
      <c r="EQ14" s="308"/>
      <c r="ER14" s="308"/>
      <c r="ES14" s="308"/>
      <c r="ET14" s="308"/>
      <c r="EU14" s="308"/>
      <c r="EV14" s="308"/>
      <c r="EW14" s="308"/>
      <c r="EX14" s="308"/>
      <c r="EY14" s="308"/>
      <c r="EZ14" s="308"/>
      <c r="FA14" s="308"/>
      <c r="FB14" s="308"/>
      <c r="FC14" s="308"/>
      <c r="FD14" s="308"/>
      <c r="FE14" s="308"/>
      <c r="FF14" s="308"/>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308"/>
      <c r="HQ14" s="308"/>
      <c r="HR14" s="308"/>
      <c r="HS14" s="308"/>
      <c r="HT14" s="308"/>
      <c r="HU14" s="308"/>
      <c r="HV14" s="308"/>
      <c r="HW14" s="308"/>
      <c r="HX14" s="308"/>
      <c r="HY14" s="308"/>
      <c r="HZ14" s="308"/>
      <c r="IA14" s="308"/>
      <c r="IB14" s="308"/>
      <c r="IC14" s="308"/>
      <c r="ID14" s="308"/>
      <c r="IE14" s="308"/>
      <c r="IF14" s="308"/>
      <c r="IG14" s="308"/>
      <c r="IH14" s="308"/>
      <c r="II14" s="308"/>
      <c r="IJ14" s="308"/>
      <c r="IK14" s="308"/>
      <c r="IL14" s="308"/>
      <c r="IM14" s="308"/>
      <c r="IN14" s="308"/>
      <c r="IO14" s="308"/>
      <c r="IP14" s="308"/>
      <c r="IQ14" s="308"/>
      <c r="IR14" s="308"/>
      <c r="IS14" s="308"/>
      <c r="IT14" s="308"/>
      <c r="IU14" s="308"/>
      <c r="IV14" s="308"/>
      <c r="IW14" s="308"/>
      <c r="IX14" s="308"/>
      <c r="IY14" s="308"/>
      <c r="IZ14" s="308"/>
      <c r="JA14" s="308"/>
      <c r="JB14" s="308"/>
      <c r="JC14" s="308"/>
      <c r="JD14" s="308"/>
      <c r="JE14" s="308"/>
      <c r="JF14" s="308"/>
      <c r="JG14" s="308"/>
      <c r="JH14" s="308"/>
      <c r="JI14" s="308"/>
      <c r="JJ14" s="308"/>
      <c r="JK14" s="308"/>
      <c r="JL14" s="308"/>
      <c r="JM14" s="308"/>
      <c r="JN14" s="308"/>
      <c r="JO14" s="308"/>
      <c r="JP14" s="308"/>
      <c r="JQ14" s="308"/>
      <c r="JR14" s="308"/>
      <c r="JS14" s="308"/>
      <c r="JT14" s="308"/>
      <c r="JU14" s="308"/>
      <c r="JV14" s="308"/>
      <c r="JW14" s="308"/>
      <c r="JX14" s="308"/>
      <c r="JY14" s="308"/>
      <c r="JZ14" s="308"/>
      <c r="KA14" s="308"/>
      <c r="KB14" s="308"/>
      <c r="KC14" s="308"/>
      <c r="KD14" s="308"/>
      <c r="KE14" s="308"/>
      <c r="KF14" s="308"/>
      <c r="KG14" s="308"/>
      <c r="KH14" s="308"/>
      <c r="KI14" s="308"/>
      <c r="KJ14" s="308"/>
      <c r="KK14" s="308"/>
      <c r="KL14" s="308"/>
      <c r="KM14" s="308"/>
      <c r="KN14" s="308"/>
      <c r="KO14" s="308"/>
      <c r="KP14" s="308"/>
      <c r="KQ14" s="308"/>
      <c r="KR14" s="308"/>
      <c r="KS14" s="308"/>
      <c r="KT14" s="308"/>
      <c r="KU14" s="308"/>
      <c r="KV14" s="308"/>
      <c r="KW14" s="308"/>
      <c r="KX14" s="308"/>
      <c r="KY14" s="308"/>
      <c r="KZ14" s="308"/>
      <c r="LA14" s="308"/>
      <c r="LB14" s="308"/>
      <c r="LC14" s="308"/>
      <c r="LD14" s="308"/>
      <c r="LE14" s="308"/>
      <c r="LF14" s="308"/>
      <c r="LG14" s="308"/>
      <c r="LH14" s="308"/>
      <c r="LI14" s="308"/>
      <c r="LJ14" s="308"/>
      <c r="LK14" s="308"/>
      <c r="LL14" s="308"/>
      <c r="LM14" s="308"/>
      <c r="LN14" s="308"/>
      <c r="LO14" s="308"/>
      <c r="LP14" s="308"/>
      <c r="LQ14" s="308"/>
      <c r="LR14" s="308"/>
      <c r="LS14" s="308"/>
      <c r="LT14" s="308"/>
      <c r="LU14" s="308"/>
      <c r="LV14" s="308"/>
      <c r="LW14" s="308"/>
      <c r="LX14" s="308"/>
      <c r="LY14" s="308"/>
      <c r="LZ14" s="308"/>
      <c r="MA14" s="308"/>
      <c r="MB14" s="308"/>
      <c r="MC14" s="308"/>
      <c r="MD14" s="308"/>
      <c r="ME14" s="308"/>
      <c r="MF14" s="308"/>
      <c r="MG14" s="308"/>
      <c r="MH14" s="308"/>
      <c r="MI14" s="308"/>
      <c r="MJ14" s="308"/>
      <c r="MK14" s="308"/>
      <c r="ML14" s="308"/>
      <c r="MM14" s="308"/>
      <c r="MN14" s="308"/>
      <c r="MO14" s="308"/>
      <c r="MP14" s="308"/>
      <c r="MQ14" s="308"/>
      <c r="MR14" s="308"/>
      <c r="MS14" s="308"/>
      <c r="MT14" s="308"/>
      <c r="MU14" s="308"/>
      <c r="MV14" s="308"/>
      <c r="MW14" s="308"/>
      <c r="MX14" s="308"/>
      <c r="MY14" s="308"/>
      <c r="MZ14" s="308"/>
      <c r="NA14" s="308"/>
      <c r="NB14" s="308"/>
      <c r="NC14" s="308"/>
      <c r="ND14" s="308"/>
      <c r="NE14" s="308"/>
      <c r="NF14" s="308"/>
      <c r="NG14" s="308"/>
      <c r="NH14" s="308"/>
      <c r="NI14" s="308"/>
      <c r="NJ14" s="308"/>
      <c r="NK14" s="308"/>
      <c r="NL14" s="308"/>
      <c r="NM14" s="308"/>
      <c r="NN14" s="308"/>
      <c r="NO14" s="308"/>
      <c r="NP14" s="308"/>
      <c r="NQ14" s="308"/>
      <c r="NR14" s="308"/>
      <c r="NS14" s="308"/>
      <c r="NT14" s="308"/>
      <c r="NU14" s="308"/>
      <c r="NV14" s="308"/>
      <c r="NW14" s="308"/>
      <c r="NX14" s="308"/>
      <c r="NY14" s="308"/>
      <c r="NZ14" s="308"/>
      <c r="OA14" s="308"/>
      <c r="OB14" s="308"/>
      <c r="OC14" s="308"/>
      <c r="OD14" s="308"/>
      <c r="OE14" s="308"/>
      <c r="OF14" s="308"/>
      <c r="OG14" s="308"/>
      <c r="OH14" s="308"/>
      <c r="OI14" s="308"/>
      <c r="OJ14" s="308"/>
      <c r="OK14" s="308"/>
      <c r="OL14" s="308"/>
      <c r="OM14" s="308"/>
      <c r="ON14" s="308"/>
      <c r="OO14" s="308"/>
      <c r="OP14" s="308"/>
      <c r="OQ14" s="308"/>
      <c r="OR14" s="308"/>
      <c r="OS14" s="308"/>
      <c r="OT14" s="308"/>
      <c r="OU14" s="308"/>
      <c r="OV14" s="308"/>
      <c r="OW14" s="308"/>
      <c r="OX14" s="308"/>
      <c r="OY14" s="308"/>
      <c r="OZ14" s="308"/>
      <c r="PA14" s="308"/>
      <c r="PB14" s="308"/>
      <c r="PC14" s="308"/>
      <c r="PD14" s="308"/>
      <c r="PE14" s="308"/>
      <c r="PF14" s="308"/>
      <c r="PG14" s="308"/>
      <c r="PH14" s="308"/>
      <c r="PI14" s="308"/>
      <c r="PJ14" s="308"/>
      <c r="PK14" s="308"/>
      <c r="PL14" s="308"/>
      <c r="PM14" s="308"/>
      <c r="PN14" s="308"/>
      <c r="PO14" s="308"/>
      <c r="PP14" s="308"/>
      <c r="PQ14" s="308"/>
      <c r="PR14" s="308"/>
      <c r="PS14" s="308"/>
      <c r="PT14" s="308"/>
      <c r="PU14" s="308"/>
      <c r="PV14" s="308"/>
      <c r="PW14" s="308"/>
      <c r="PX14" s="308"/>
      <c r="PY14" s="308"/>
      <c r="PZ14" s="308"/>
      <c r="QA14" s="308"/>
      <c r="QB14" s="308"/>
      <c r="QC14" s="308"/>
      <c r="QD14" s="308"/>
      <c r="QE14" s="308"/>
      <c r="QF14" s="308"/>
      <c r="QG14" s="308"/>
      <c r="QH14" s="308"/>
      <c r="QI14" s="308"/>
      <c r="QJ14" s="308"/>
      <c r="QK14" s="308"/>
      <c r="QL14" s="308"/>
      <c r="QM14" s="308"/>
      <c r="QN14" s="308"/>
      <c r="QO14" s="308"/>
      <c r="QP14" s="308"/>
      <c r="QQ14" s="308"/>
      <c r="QR14" s="308"/>
      <c r="QS14" s="308"/>
      <c r="QT14" s="308"/>
      <c r="QU14" s="308"/>
      <c r="QV14" s="308"/>
      <c r="QW14" s="308"/>
      <c r="QX14" s="308"/>
      <c r="QY14" s="308"/>
      <c r="QZ14" s="308"/>
      <c r="RA14" s="308"/>
      <c r="RB14" s="308"/>
      <c r="RC14" s="308"/>
      <c r="RD14" s="308"/>
      <c r="RE14" s="308"/>
      <c r="RF14" s="308"/>
      <c r="RG14" s="308"/>
      <c r="RH14" s="308"/>
      <c r="RI14" s="308"/>
      <c r="RJ14" s="308"/>
      <c r="RK14" s="308"/>
      <c r="RL14" s="308"/>
      <c r="RM14" s="308"/>
      <c r="RN14" s="308"/>
      <c r="RO14" s="308"/>
      <c r="RP14" s="308"/>
      <c r="RQ14" s="308"/>
      <c r="RR14" s="308"/>
      <c r="RS14" s="308"/>
      <c r="RT14" s="308"/>
      <c r="RU14" s="308"/>
      <c r="RV14" s="308"/>
      <c r="RW14" s="308"/>
      <c r="RX14" s="308"/>
      <c r="RY14" s="308"/>
      <c r="RZ14" s="308"/>
      <c r="SA14" s="308"/>
      <c r="SB14" s="308"/>
      <c r="SC14" s="308"/>
      <c r="SD14" s="308"/>
      <c r="SE14" s="308"/>
      <c r="SF14" s="308"/>
      <c r="SG14" s="308"/>
      <c r="SH14" s="308"/>
      <c r="SI14" s="308"/>
      <c r="SJ14" s="308"/>
      <c r="SK14" s="308"/>
      <c r="SL14" s="308"/>
      <c r="SM14" s="308"/>
      <c r="SN14" s="308"/>
      <c r="SO14" s="308"/>
      <c r="SP14" s="308"/>
      <c r="SQ14" s="308"/>
      <c r="SR14" s="308"/>
      <c r="SS14" s="308"/>
      <c r="ST14" s="308"/>
      <c r="SU14" s="308"/>
      <c r="SV14" s="308"/>
      <c r="SW14" s="308"/>
      <c r="SX14" s="308"/>
      <c r="SY14" s="308"/>
      <c r="SZ14" s="308"/>
      <c r="TA14" s="308"/>
      <c r="TB14" s="308"/>
      <c r="TC14" s="308"/>
      <c r="TD14" s="308"/>
      <c r="TE14" s="308"/>
      <c r="TF14" s="308"/>
      <c r="TG14" s="308"/>
      <c r="TH14" s="308"/>
      <c r="TI14" s="308"/>
      <c r="TJ14" s="308"/>
      <c r="TK14" s="308"/>
      <c r="TL14" s="308"/>
      <c r="TM14" s="308"/>
      <c r="TN14" s="308"/>
      <c r="TO14" s="308"/>
      <c r="TP14" s="308"/>
      <c r="TQ14" s="308"/>
      <c r="TR14" s="308"/>
      <c r="TS14" s="308"/>
      <c r="TT14" s="308"/>
      <c r="TU14" s="308"/>
      <c r="TV14" s="308"/>
      <c r="TW14" s="308"/>
      <c r="TX14" s="308"/>
      <c r="TY14" s="308"/>
      <c r="TZ14" s="308"/>
      <c r="UA14" s="308"/>
      <c r="UB14" s="308"/>
      <c r="UC14" s="308"/>
      <c r="UD14" s="308"/>
      <c r="UE14" s="308"/>
      <c r="UF14" s="308"/>
      <c r="UG14" s="308"/>
      <c r="UH14" s="308"/>
      <c r="UI14" s="308"/>
      <c r="UJ14" s="308"/>
      <c r="UK14" s="308"/>
      <c r="UL14" s="308"/>
      <c r="UM14" s="308"/>
      <c r="UN14" s="308"/>
      <c r="UO14" s="308"/>
      <c r="UP14" s="308"/>
      <c r="UQ14" s="308"/>
      <c r="UR14" s="308"/>
      <c r="US14" s="308"/>
      <c r="UT14" s="308"/>
      <c r="UU14" s="308"/>
      <c r="UV14" s="308"/>
      <c r="UW14" s="308"/>
      <c r="UX14" s="308"/>
      <c r="UY14" s="308"/>
      <c r="UZ14" s="308"/>
      <c r="VA14" s="308"/>
      <c r="VB14" s="308"/>
      <c r="VC14" s="308"/>
      <c r="VD14" s="308"/>
      <c r="VE14" s="308"/>
      <c r="VF14" s="308"/>
      <c r="VG14" s="308"/>
      <c r="VH14" s="308"/>
      <c r="VI14" s="308"/>
      <c r="VJ14" s="308"/>
      <c r="VK14" s="308"/>
      <c r="VL14" s="308"/>
      <c r="VM14" s="308"/>
      <c r="VN14" s="308"/>
      <c r="VO14" s="308"/>
      <c r="VP14" s="308"/>
      <c r="VQ14" s="308"/>
      <c r="VR14" s="308"/>
      <c r="VS14" s="308"/>
      <c r="VT14" s="308"/>
      <c r="VU14" s="308"/>
      <c r="VV14" s="308"/>
      <c r="VW14" s="308"/>
      <c r="VX14" s="308"/>
      <c r="VY14" s="308"/>
      <c r="VZ14" s="308"/>
      <c r="WA14" s="308"/>
      <c r="WB14" s="308"/>
      <c r="WC14" s="308"/>
      <c r="WD14" s="308"/>
      <c r="WE14" s="308"/>
    </row>
    <row r="15" spans="1:603" s="185" customFormat="1" x14ac:dyDescent="0.4">
      <c r="A15" s="201"/>
      <c r="B15" s="201"/>
      <c r="C15" s="201"/>
      <c r="D15" s="201"/>
      <c r="E15" s="201"/>
      <c r="F15" s="201"/>
      <c r="G15" s="201"/>
      <c r="H15" s="201"/>
      <c r="I15" s="201"/>
      <c r="J15" s="204"/>
      <c r="K15" s="204"/>
      <c r="L15" s="205"/>
      <c r="M15" s="205"/>
      <c r="N15" s="204"/>
      <c r="O15" s="204"/>
      <c r="P15" s="205"/>
      <c r="Q15" s="205"/>
      <c r="R15" s="204"/>
      <c r="S15" s="204"/>
      <c r="T15" s="205"/>
      <c r="U15" s="205"/>
      <c r="V15" s="204"/>
      <c r="W15" s="204"/>
      <c r="X15" s="205"/>
      <c r="Y15" s="205"/>
      <c r="Z15" s="204"/>
      <c r="AA15" s="204"/>
      <c r="AB15" s="205"/>
      <c r="AC15" s="205"/>
      <c r="AD15" s="204"/>
      <c r="AE15" s="204"/>
      <c r="AF15" s="205"/>
      <c r="AG15" s="205"/>
      <c r="AH15" s="204"/>
      <c r="AI15" s="204"/>
      <c r="AJ15" s="205"/>
      <c r="AK15" s="205"/>
      <c r="AL15" s="204"/>
      <c r="AM15" s="204"/>
      <c r="AN15" s="205"/>
      <c r="AO15" s="205"/>
      <c r="AP15" s="204"/>
      <c r="AQ15" s="204"/>
      <c r="AR15" s="205"/>
      <c r="AS15" s="205"/>
      <c r="AT15" s="204"/>
      <c r="AU15" s="204"/>
      <c r="AV15" s="205"/>
      <c r="AW15" s="205"/>
      <c r="AX15" s="204"/>
      <c r="AY15" s="204"/>
      <c r="AZ15" s="205"/>
      <c r="BA15" s="205"/>
      <c r="BB15" s="204"/>
      <c r="BC15" s="204"/>
      <c r="BD15" s="205"/>
      <c r="BE15" s="205"/>
      <c r="BF15" s="204"/>
      <c r="BG15" s="204"/>
      <c r="BH15" s="204"/>
      <c r="BI15" s="204"/>
      <c r="BJ15" s="204"/>
      <c r="BK15" s="204"/>
      <c r="BL15" s="204"/>
      <c r="BM15" s="204"/>
      <c r="BN15" s="204"/>
      <c r="BO15" s="204"/>
      <c r="BP15" s="204"/>
      <c r="BQ15" s="204"/>
      <c r="BR15" s="204"/>
      <c r="BS15" s="204"/>
      <c r="BT15" s="204"/>
      <c r="BU15" s="204"/>
      <c r="BV15" s="204"/>
      <c r="BW15" s="204"/>
      <c r="BX15" s="204"/>
      <c r="BY15" s="204"/>
      <c r="BZ15" s="204"/>
      <c r="CA15" s="204"/>
      <c r="CB15" s="204"/>
      <c r="CC15" s="204"/>
      <c r="CD15" s="204"/>
      <c r="CE15" s="204"/>
      <c r="CF15" s="204"/>
      <c r="CG15" s="204"/>
      <c r="CH15" s="204"/>
      <c r="CI15" s="204"/>
      <c r="CJ15" s="204"/>
      <c r="CK15" s="204"/>
      <c r="CL15" s="204"/>
      <c r="CM15" s="204"/>
      <c r="CN15" s="204"/>
      <c r="CO15" s="204"/>
      <c r="CP15" s="204"/>
      <c r="CQ15" s="204"/>
      <c r="CR15" s="204"/>
      <c r="CS15" s="204"/>
      <c r="CT15" s="204"/>
      <c r="CU15" s="204"/>
      <c r="CV15" s="204"/>
      <c r="CW15" s="204"/>
      <c r="CX15" s="204"/>
      <c r="CY15" s="204"/>
      <c r="CZ15" s="204"/>
      <c r="DA15" s="204"/>
      <c r="DB15" s="204"/>
      <c r="DC15" s="204"/>
      <c r="DD15" s="204"/>
      <c r="DE15" s="204"/>
      <c r="DF15" s="204"/>
      <c r="DG15" s="204"/>
      <c r="DH15" s="204"/>
      <c r="DI15" s="204"/>
      <c r="DJ15" s="204"/>
      <c r="DK15" s="204"/>
      <c r="DL15" s="204"/>
      <c r="DM15" s="204"/>
      <c r="DN15" s="204"/>
      <c r="DO15" s="204"/>
      <c r="DP15" s="204"/>
      <c r="DQ15" s="204"/>
      <c r="DR15" s="204"/>
      <c r="DS15" s="204"/>
      <c r="DT15" s="204"/>
      <c r="DU15" s="204"/>
      <c r="DV15" s="204"/>
      <c r="DW15" s="204"/>
      <c r="DX15" s="204"/>
      <c r="DY15" s="204"/>
      <c r="DZ15" s="204"/>
      <c r="EA15" s="204"/>
      <c r="EB15" s="204"/>
      <c r="EC15" s="204"/>
      <c r="ED15" s="204"/>
      <c r="EE15" s="204"/>
      <c r="EF15" s="204"/>
      <c r="EG15" s="204"/>
      <c r="EH15" s="204"/>
      <c r="EI15" s="204"/>
      <c r="EJ15" s="204"/>
      <c r="EK15" s="204"/>
      <c r="EL15" s="204"/>
      <c r="EM15" s="204"/>
      <c r="EN15" s="204"/>
      <c r="EO15" s="204"/>
      <c r="EP15" s="204"/>
      <c r="EQ15" s="204"/>
      <c r="ER15" s="204"/>
      <c r="ES15" s="204"/>
      <c r="ET15" s="204"/>
      <c r="EU15" s="204"/>
      <c r="EV15" s="204"/>
      <c r="EW15" s="204"/>
      <c r="EX15" s="204"/>
      <c r="EY15" s="204"/>
      <c r="EZ15" s="204"/>
      <c r="FA15" s="204"/>
      <c r="FB15" s="204"/>
      <c r="FC15" s="204"/>
      <c r="FD15" s="204"/>
      <c r="FE15" s="204"/>
      <c r="FF15" s="204"/>
      <c r="FG15" s="204"/>
      <c r="FH15" s="204"/>
      <c r="FI15" s="204"/>
      <c r="FJ15" s="204"/>
      <c r="FK15" s="204"/>
      <c r="FL15" s="204"/>
      <c r="FM15" s="204"/>
      <c r="FN15" s="204"/>
      <c r="FO15" s="204"/>
      <c r="FP15" s="204"/>
      <c r="FQ15" s="204"/>
      <c r="FR15" s="204"/>
      <c r="FS15" s="204"/>
      <c r="FT15" s="204"/>
      <c r="FU15" s="204"/>
      <c r="FV15" s="204"/>
      <c r="FW15" s="204"/>
      <c r="FX15" s="204"/>
      <c r="FY15" s="204"/>
      <c r="FZ15" s="204"/>
      <c r="GA15" s="204"/>
      <c r="GB15" s="204"/>
      <c r="GC15" s="204"/>
      <c r="GD15" s="204"/>
      <c r="GE15" s="204"/>
      <c r="GF15" s="204"/>
      <c r="GG15" s="204"/>
      <c r="GH15" s="204"/>
      <c r="GI15" s="204"/>
      <c r="GJ15" s="204"/>
      <c r="GK15" s="204"/>
      <c r="GL15" s="204"/>
      <c r="GM15" s="204"/>
      <c r="GN15" s="204"/>
      <c r="GO15" s="204"/>
      <c r="GP15" s="204"/>
      <c r="GQ15" s="204"/>
      <c r="GR15" s="204"/>
      <c r="GS15" s="204"/>
      <c r="GT15" s="204"/>
      <c r="GU15" s="204"/>
      <c r="GV15" s="204"/>
      <c r="GW15" s="204"/>
      <c r="GX15" s="204"/>
      <c r="GY15" s="204"/>
      <c r="GZ15" s="204"/>
      <c r="HA15" s="204"/>
      <c r="HB15" s="204"/>
      <c r="HC15" s="204"/>
      <c r="HD15" s="204"/>
      <c r="HE15" s="204"/>
      <c r="HF15" s="204"/>
      <c r="HG15" s="204"/>
      <c r="HH15" s="204"/>
      <c r="HI15" s="204"/>
      <c r="HJ15" s="204"/>
      <c r="HK15" s="204"/>
      <c r="HL15" s="204"/>
      <c r="HM15" s="204"/>
      <c r="HN15" s="204"/>
      <c r="HO15" s="204"/>
      <c r="HP15" s="204"/>
      <c r="HQ15" s="204"/>
      <c r="HR15" s="204"/>
      <c r="HS15" s="204"/>
      <c r="HT15" s="204"/>
      <c r="HU15" s="204"/>
      <c r="HV15" s="204"/>
      <c r="HW15" s="204"/>
      <c r="HX15" s="204"/>
      <c r="HY15" s="204"/>
      <c r="HZ15" s="204"/>
      <c r="IA15" s="204"/>
      <c r="IB15" s="204"/>
      <c r="IC15" s="204"/>
      <c r="ID15" s="204"/>
      <c r="IE15" s="204"/>
      <c r="IF15" s="204"/>
      <c r="IG15" s="204"/>
      <c r="IH15" s="204"/>
      <c r="II15" s="204"/>
      <c r="IJ15" s="204"/>
      <c r="IK15" s="204"/>
      <c r="IL15" s="204"/>
      <c r="IM15" s="204"/>
      <c r="IN15" s="204"/>
      <c r="IO15" s="204"/>
      <c r="IP15" s="204"/>
      <c r="IQ15" s="204"/>
      <c r="IR15" s="204"/>
      <c r="IS15" s="204"/>
      <c r="IT15" s="204"/>
      <c r="IU15" s="204"/>
      <c r="IV15" s="204"/>
      <c r="IW15" s="204"/>
      <c r="IX15" s="204"/>
      <c r="IY15" s="204"/>
      <c r="IZ15" s="204"/>
      <c r="JA15" s="204"/>
      <c r="JB15" s="204"/>
      <c r="JC15" s="204"/>
      <c r="JD15" s="204"/>
      <c r="JE15" s="204"/>
      <c r="JF15" s="204"/>
      <c r="JG15" s="204"/>
      <c r="JH15" s="204"/>
      <c r="JI15" s="204"/>
      <c r="JJ15" s="204"/>
      <c r="JK15" s="204"/>
      <c r="JL15" s="204"/>
      <c r="JM15" s="204"/>
      <c r="JN15" s="204"/>
      <c r="JO15" s="204"/>
      <c r="JP15" s="204"/>
      <c r="JQ15" s="204"/>
      <c r="JR15" s="204"/>
      <c r="JS15" s="204"/>
      <c r="JT15" s="204"/>
      <c r="JU15" s="204"/>
      <c r="JV15" s="204"/>
      <c r="JW15" s="204"/>
      <c r="JX15" s="204"/>
      <c r="JY15" s="204"/>
      <c r="JZ15" s="204"/>
      <c r="KA15" s="204"/>
      <c r="KB15" s="204"/>
      <c r="KC15" s="204"/>
      <c r="KD15" s="204"/>
      <c r="KE15" s="204"/>
      <c r="KF15" s="204"/>
      <c r="KG15" s="204"/>
      <c r="KH15" s="204"/>
      <c r="KI15" s="204"/>
      <c r="KJ15" s="204"/>
      <c r="KK15" s="204"/>
      <c r="KL15" s="204"/>
      <c r="KM15" s="204"/>
      <c r="KN15" s="204"/>
      <c r="KO15" s="204"/>
      <c r="KP15" s="204"/>
      <c r="KQ15" s="204"/>
      <c r="KR15" s="204"/>
      <c r="KS15" s="204"/>
      <c r="KT15" s="204"/>
      <c r="KU15" s="204"/>
      <c r="KV15" s="204"/>
      <c r="KW15" s="204"/>
      <c r="KX15" s="204"/>
      <c r="KY15" s="204"/>
      <c r="KZ15" s="204"/>
      <c r="LA15" s="204"/>
      <c r="LB15" s="204"/>
      <c r="LC15" s="204"/>
      <c r="LD15" s="204"/>
      <c r="LE15" s="204"/>
      <c r="LF15" s="204"/>
      <c r="LG15" s="204"/>
      <c r="LH15" s="204"/>
      <c r="LI15" s="204"/>
      <c r="LJ15" s="204"/>
      <c r="LK15" s="204"/>
      <c r="LL15" s="204"/>
      <c r="LM15" s="204"/>
      <c r="LN15" s="204"/>
      <c r="LO15" s="204"/>
      <c r="LP15" s="204"/>
      <c r="LQ15" s="204"/>
      <c r="LR15" s="204"/>
      <c r="LS15" s="204"/>
      <c r="LT15" s="204"/>
      <c r="LU15" s="204"/>
      <c r="LV15" s="204"/>
      <c r="LW15" s="204"/>
      <c r="LX15" s="204"/>
      <c r="LY15" s="204"/>
      <c r="LZ15" s="204"/>
      <c r="MA15" s="204"/>
      <c r="MB15" s="204"/>
      <c r="MC15" s="204"/>
      <c r="MD15" s="204"/>
      <c r="ME15" s="204"/>
      <c r="MF15" s="204"/>
      <c r="MG15" s="204"/>
      <c r="MH15" s="204"/>
      <c r="MI15" s="204"/>
      <c r="MJ15" s="204"/>
      <c r="MK15" s="204"/>
      <c r="ML15" s="204"/>
      <c r="MM15" s="204"/>
      <c r="MN15" s="204"/>
      <c r="MO15" s="204"/>
      <c r="MP15" s="204"/>
      <c r="MQ15" s="204"/>
      <c r="MR15" s="204"/>
      <c r="MS15" s="204"/>
      <c r="MT15" s="204"/>
      <c r="MU15" s="204"/>
      <c r="MV15" s="204"/>
      <c r="MW15" s="204"/>
      <c r="MX15" s="204"/>
      <c r="MY15" s="204"/>
      <c r="MZ15" s="204"/>
      <c r="NA15" s="204"/>
      <c r="NB15" s="204"/>
      <c r="NC15" s="204"/>
      <c r="ND15" s="204"/>
      <c r="NE15" s="204"/>
      <c r="NF15" s="204"/>
      <c r="NG15" s="204"/>
      <c r="NH15" s="204"/>
      <c r="NI15" s="204"/>
      <c r="NJ15" s="204"/>
      <c r="NK15" s="204"/>
      <c r="NL15" s="204"/>
      <c r="NM15" s="204"/>
      <c r="NN15" s="204"/>
      <c r="NO15" s="204"/>
      <c r="NP15" s="204"/>
      <c r="NQ15" s="204"/>
      <c r="NR15" s="204"/>
      <c r="NS15" s="204"/>
      <c r="NT15" s="204"/>
      <c r="NU15" s="204"/>
      <c r="NV15" s="204"/>
      <c r="NW15" s="204"/>
      <c r="NX15" s="204"/>
      <c r="NY15" s="204"/>
      <c r="NZ15" s="204"/>
      <c r="OA15" s="204"/>
      <c r="OB15" s="204"/>
      <c r="OC15" s="204"/>
      <c r="OD15" s="204"/>
      <c r="OE15" s="204"/>
      <c r="OF15" s="204"/>
      <c r="OG15" s="204"/>
      <c r="OH15" s="204"/>
      <c r="OI15" s="204"/>
      <c r="OJ15" s="204"/>
      <c r="OK15" s="204"/>
      <c r="OL15" s="204"/>
      <c r="OM15" s="204"/>
      <c r="ON15" s="204"/>
      <c r="OO15" s="204"/>
      <c r="OP15" s="204"/>
      <c r="OQ15" s="204"/>
      <c r="OR15" s="204"/>
      <c r="OS15" s="204"/>
      <c r="OT15" s="204"/>
      <c r="OU15" s="204"/>
      <c r="OV15" s="204"/>
      <c r="OW15" s="204"/>
      <c r="OX15" s="204"/>
      <c r="OY15" s="204"/>
      <c r="OZ15" s="204"/>
      <c r="PA15" s="204"/>
      <c r="PB15" s="204"/>
      <c r="PC15" s="204"/>
      <c r="PD15" s="204"/>
      <c r="PE15" s="204"/>
      <c r="PF15" s="204"/>
      <c r="PG15" s="204"/>
      <c r="PH15" s="204"/>
      <c r="PI15" s="204"/>
      <c r="PJ15" s="204"/>
      <c r="PK15" s="204"/>
      <c r="PL15" s="204"/>
      <c r="PM15" s="204"/>
      <c r="PN15" s="204"/>
      <c r="PO15" s="204"/>
      <c r="PP15" s="204"/>
      <c r="PQ15" s="204"/>
      <c r="PR15" s="204"/>
      <c r="PS15" s="204"/>
      <c r="PT15" s="204"/>
      <c r="PU15" s="204"/>
      <c r="PV15" s="204"/>
      <c r="PW15" s="204"/>
      <c r="PX15" s="204"/>
      <c r="PY15" s="204"/>
      <c r="PZ15" s="204"/>
      <c r="QA15" s="204"/>
      <c r="QB15" s="204"/>
      <c r="QC15" s="204"/>
      <c r="QD15" s="204"/>
      <c r="QE15" s="204"/>
      <c r="QF15" s="204"/>
      <c r="QG15" s="204"/>
      <c r="QH15" s="204"/>
      <c r="QI15" s="204"/>
      <c r="QJ15" s="204"/>
      <c r="QK15" s="204"/>
      <c r="QL15" s="204"/>
      <c r="QM15" s="204"/>
      <c r="QN15" s="204"/>
      <c r="QO15" s="204"/>
      <c r="QP15" s="204"/>
      <c r="QQ15" s="204"/>
      <c r="QR15" s="204"/>
      <c r="QS15" s="204"/>
      <c r="QT15" s="204"/>
      <c r="QU15" s="204"/>
      <c r="QV15" s="204"/>
      <c r="QW15" s="204"/>
      <c r="QX15" s="204"/>
      <c r="QY15" s="204"/>
      <c r="QZ15" s="204"/>
      <c r="RA15" s="204"/>
      <c r="RB15" s="204"/>
      <c r="RC15" s="204"/>
      <c r="RD15" s="204"/>
      <c r="RE15" s="204"/>
      <c r="RF15" s="204"/>
      <c r="RG15" s="204"/>
      <c r="RH15" s="204"/>
      <c r="RI15" s="204"/>
      <c r="RJ15" s="204"/>
      <c r="RK15" s="204"/>
      <c r="RL15" s="204"/>
      <c r="RM15" s="204"/>
      <c r="RN15" s="204"/>
      <c r="RO15" s="204"/>
      <c r="RP15" s="204"/>
      <c r="RQ15" s="204"/>
      <c r="RR15" s="204"/>
      <c r="RS15" s="204"/>
      <c r="RT15" s="204"/>
      <c r="RU15" s="204"/>
      <c r="RV15" s="204"/>
      <c r="RW15" s="204"/>
      <c r="RX15" s="204"/>
      <c r="RY15" s="204"/>
      <c r="RZ15" s="204"/>
      <c r="SA15" s="204"/>
      <c r="SB15" s="204"/>
      <c r="SC15" s="204"/>
      <c r="SD15" s="204"/>
      <c r="SE15" s="204"/>
      <c r="SF15" s="204"/>
      <c r="SG15" s="204"/>
      <c r="SH15" s="204"/>
      <c r="SI15" s="204"/>
      <c r="SJ15" s="204"/>
      <c r="SK15" s="204"/>
      <c r="SL15" s="204"/>
      <c r="SM15" s="204"/>
      <c r="SN15" s="204"/>
      <c r="SO15" s="204"/>
      <c r="SP15" s="204"/>
      <c r="SQ15" s="204"/>
      <c r="SR15" s="204"/>
      <c r="SS15" s="204"/>
      <c r="ST15" s="204"/>
      <c r="SU15" s="204"/>
      <c r="SV15" s="204"/>
      <c r="SW15" s="204"/>
      <c r="SX15" s="204"/>
      <c r="SY15" s="204"/>
      <c r="SZ15" s="204"/>
      <c r="TA15" s="204"/>
      <c r="TB15" s="204"/>
      <c r="TC15" s="204"/>
      <c r="TD15" s="204"/>
      <c r="TE15" s="204"/>
      <c r="TF15" s="204"/>
      <c r="TG15" s="204"/>
      <c r="TH15" s="204"/>
      <c r="TI15" s="204"/>
      <c r="TJ15" s="204"/>
      <c r="TK15" s="204"/>
      <c r="TL15" s="204"/>
      <c r="TM15" s="204"/>
      <c r="TN15" s="204"/>
      <c r="TO15" s="204"/>
      <c r="TP15" s="204"/>
      <c r="TQ15" s="204"/>
      <c r="TR15" s="204"/>
      <c r="TS15" s="204"/>
      <c r="TT15" s="204"/>
      <c r="TU15" s="204"/>
      <c r="TV15" s="204"/>
      <c r="TW15" s="204"/>
      <c r="TX15" s="204"/>
      <c r="TY15" s="204"/>
      <c r="TZ15" s="204"/>
      <c r="UA15" s="204"/>
      <c r="UB15" s="204"/>
      <c r="UC15" s="204"/>
      <c r="UD15" s="204"/>
      <c r="UE15" s="204"/>
      <c r="UF15" s="204"/>
      <c r="UG15" s="204"/>
      <c r="UH15" s="204"/>
      <c r="UI15" s="204"/>
      <c r="UJ15" s="204"/>
      <c r="UK15" s="204"/>
      <c r="UL15" s="204"/>
      <c r="UM15" s="204"/>
      <c r="UN15" s="204"/>
      <c r="UO15" s="204"/>
      <c r="UP15" s="204"/>
      <c r="UQ15" s="204"/>
      <c r="UR15" s="204"/>
      <c r="US15" s="204"/>
      <c r="UT15" s="204"/>
      <c r="UU15" s="204"/>
      <c r="UV15" s="204"/>
      <c r="UW15" s="204"/>
      <c r="UX15" s="204"/>
      <c r="UY15" s="204"/>
      <c r="UZ15" s="204"/>
      <c r="VA15" s="204"/>
      <c r="VB15" s="204"/>
      <c r="VC15" s="204"/>
      <c r="VD15" s="204"/>
      <c r="VE15" s="204"/>
      <c r="VF15" s="204"/>
      <c r="VG15" s="204"/>
      <c r="VH15" s="204"/>
      <c r="VI15" s="204"/>
      <c r="VJ15" s="204"/>
      <c r="VK15" s="204"/>
      <c r="VL15" s="204"/>
      <c r="VM15" s="204"/>
      <c r="VN15" s="204"/>
      <c r="VO15" s="204"/>
      <c r="VP15" s="204"/>
      <c r="VQ15" s="204"/>
      <c r="VR15" s="204"/>
      <c r="VS15" s="204"/>
      <c r="VT15" s="204"/>
      <c r="VU15" s="204"/>
      <c r="VV15" s="204"/>
      <c r="VW15" s="204"/>
      <c r="VX15" s="204"/>
      <c r="VY15" s="204"/>
      <c r="VZ15" s="204"/>
      <c r="WA15" s="204"/>
      <c r="WB15" s="204"/>
      <c r="WC15" s="204"/>
      <c r="WD15" s="204"/>
      <c r="WE15" s="204"/>
    </row>
    <row r="16" spans="1:603" s="185" customFormat="1" x14ac:dyDescent="0.4">
      <c r="A16" s="201"/>
      <c r="B16" s="201"/>
      <c r="C16" s="201"/>
      <c r="D16" s="201"/>
      <c r="E16" s="201"/>
      <c r="F16" s="201"/>
      <c r="G16" s="201"/>
      <c r="H16" s="201"/>
      <c r="I16" s="201"/>
      <c r="J16" s="204"/>
      <c r="K16" s="204"/>
      <c r="L16" s="205"/>
      <c r="M16" s="205"/>
      <c r="N16" s="204"/>
      <c r="O16" s="204"/>
      <c r="P16" s="205"/>
      <c r="Q16" s="205"/>
      <c r="R16" s="204"/>
      <c r="S16" s="204"/>
      <c r="T16" s="205"/>
      <c r="U16" s="205"/>
      <c r="V16" s="204"/>
      <c r="W16" s="204"/>
      <c r="X16" s="205"/>
      <c r="Y16" s="205"/>
      <c r="Z16" s="204"/>
      <c r="AA16" s="204"/>
      <c r="AB16" s="205"/>
      <c r="AC16" s="205"/>
      <c r="AD16" s="204"/>
      <c r="AE16" s="204"/>
      <c r="AF16" s="205"/>
      <c r="AG16" s="205"/>
      <c r="AH16" s="204"/>
      <c r="AI16" s="204"/>
      <c r="AJ16" s="205"/>
      <c r="AK16" s="205"/>
      <c r="AL16" s="204"/>
      <c r="AM16" s="204"/>
      <c r="AN16" s="205"/>
      <c r="AO16" s="205"/>
      <c r="AP16" s="204"/>
      <c r="AQ16" s="204"/>
      <c r="AR16" s="205"/>
      <c r="AS16" s="205"/>
      <c r="AT16" s="204"/>
      <c r="AU16" s="204"/>
      <c r="AV16" s="205"/>
      <c r="AW16" s="205"/>
      <c r="AX16" s="204"/>
      <c r="AY16" s="204"/>
      <c r="AZ16" s="205"/>
      <c r="BA16" s="205"/>
      <c r="BB16" s="204"/>
      <c r="BC16" s="204"/>
      <c r="BD16" s="205"/>
      <c r="BE16" s="205"/>
      <c r="BF16" s="204"/>
      <c r="BG16" s="204"/>
      <c r="BH16" s="204"/>
      <c r="BI16" s="204"/>
      <c r="BJ16" s="204"/>
      <c r="BK16" s="204"/>
      <c r="BL16" s="204"/>
      <c r="BM16" s="204"/>
      <c r="BN16" s="204"/>
      <c r="BO16" s="204"/>
      <c r="BP16" s="204"/>
      <c r="BQ16" s="204"/>
      <c r="BR16" s="204"/>
      <c r="BS16" s="204"/>
      <c r="BT16" s="204"/>
      <c r="BU16" s="204"/>
      <c r="BV16" s="204"/>
      <c r="BW16" s="204"/>
      <c r="BX16" s="204"/>
      <c r="BY16" s="204"/>
      <c r="BZ16" s="204"/>
      <c r="CA16" s="204"/>
      <c r="CB16" s="204"/>
      <c r="CC16" s="204"/>
      <c r="CD16" s="204"/>
      <c r="CE16" s="204"/>
      <c r="CF16" s="204"/>
      <c r="CG16" s="204"/>
      <c r="CH16" s="204"/>
      <c r="CI16" s="204"/>
      <c r="CJ16" s="204"/>
      <c r="CK16" s="204"/>
      <c r="CL16" s="204"/>
      <c r="CM16" s="204"/>
      <c r="CN16" s="204"/>
      <c r="CO16" s="204"/>
      <c r="CP16" s="204"/>
      <c r="CQ16" s="204"/>
      <c r="CR16" s="204"/>
      <c r="CS16" s="204"/>
      <c r="CT16" s="204"/>
      <c r="CU16" s="204"/>
      <c r="CV16" s="204"/>
      <c r="CW16" s="204"/>
      <c r="CX16" s="204"/>
      <c r="CY16" s="204"/>
      <c r="CZ16" s="204"/>
      <c r="DA16" s="204"/>
      <c r="DB16" s="204"/>
      <c r="DC16" s="204"/>
      <c r="DD16" s="204"/>
      <c r="DE16" s="204"/>
      <c r="DF16" s="204"/>
      <c r="DG16" s="204"/>
      <c r="DH16" s="204"/>
      <c r="DI16" s="204"/>
      <c r="DJ16" s="204"/>
      <c r="DK16" s="204"/>
      <c r="DL16" s="204"/>
      <c r="DM16" s="204"/>
      <c r="DN16" s="204"/>
      <c r="DO16" s="204"/>
      <c r="DP16" s="204"/>
      <c r="DQ16" s="204"/>
      <c r="DR16" s="204"/>
      <c r="DS16" s="204"/>
      <c r="DT16" s="204"/>
      <c r="DU16" s="204"/>
      <c r="DV16" s="204"/>
      <c r="DW16" s="204"/>
      <c r="DX16" s="204"/>
      <c r="DY16" s="204"/>
      <c r="DZ16" s="204"/>
      <c r="EA16" s="204"/>
      <c r="EB16" s="204"/>
      <c r="EC16" s="204"/>
      <c r="ED16" s="204"/>
      <c r="EE16" s="204"/>
      <c r="EF16" s="204"/>
      <c r="EG16" s="204"/>
      <c r="EH16" s="204"/>
      <c r="EI16" s="204"/>
      <c r="EJ16" s="204"/>
      <c r="EK16" s="204"/>
      <c r="EL16" s="204"/>
      <c r="EM16" s="204"/>
      <c r="EN16" s="204"/>
      <c r="EO16" s="204"/>
      <c r="EP16" s="204"/>
      <c r="EQ16" s="204"/>
      <c r="ER16" s="204"/>
      <c r="ES16" s="204"/>
      <c r="ET16" s="204"/>
      <c r="EU16" s="204"/>
      <c r="EV16" s="204"/>
      <c r="EW16" s="204"/>
      <c r="EX16" s="204"/>
      <c r="EY16" s="204"/>
      <c r="EZ16" s="204"/>
      <c r="FA16" s="204"/>
      <c r="FB16" s="204"/>
      <c r="FC16" s="204"/>
      <c r="FD16" s="204"/>
      <c r="FE16" s="204"/>
      <c r="FF16" s="204"/>
      <c r="FG16" s="204"/>
      <c r="FH16" s="204"/>
      <c r="FI16" s="204"/>
      <c r="FJ16" s="204"/>
      <c r="FK16" s="204"/>
      <c r="FL16" s="204"/>
      <c r="FM16" s="204"/>
      <c r="FN16" s="204"/>
      <c r="FO16" s="204"/>
      <c r="FP16" s="204"/>
      <c r="FQ16" s="204"/>
      <c r="FR16" s="204"/>
      <c r="FS16" s="204"/>
      <c r="FT16" s="204"/>
      <c r="FU16" s="204"/>
      <c r="FV16" s="204"/>
      <c r="FW16" s="204"/>
      <c r="FX16" s="204"/>
      <c r="FY16" s="204"/>
      <c r="FZ16" s="204"/>
      <c r="GA16" s="204"/>
      <c r="GB16" s="204"/>
      <c r="GC16" s="204"/>
      <c r="GD16" s="204"/>
      <c r="GE16" s="204"/>
      <c r="GF16" s="204"/>
      <c r="GG16" s="204"/>
      <c r="GH16" s="204"/>
      <c r="GI16" s="204"/>
      <c r="GJ16" s="204"/>
      <c r="GK16" s="204"/>
      <c r="GL16" s="204"/>
      <c r="GM16" s="204"/>
      <c r="GN16" s="204"/>
      <c r="GO16" s="204"/>
      <c r="GP16" s="204"/>
      <c r="GQ16" s="204"/>
      <c r="GR16" s="204"/>
      <c r="GS16" s="204"/>
      <c r="GT16" s="204"/>
      <c r="GU16" s="204"/>
      <c r="GV16" s="204"/>
      <c r="GW16" s="204"/>
      <c r="GX16" s="204"/>
      <c r="GY16" s="204"/>
      <c r="GZ16" s="204"/>
      <c r="HA16" s="204"/>
      <c r="HB16" s="204"/>
      <c r="HC16" s="204"/>
      <c r="HD16" s="204"/>
      <c r="HE16" s="204"/>
      <c r="HF16" s="204"/>
      <c r="HG16" s="204"/>
      <c r="HH16" s="204"/>
      <c r="HI16" s="204"/>
      <c r="HJ16" s="204"/>
      <c r="HK16" s="204"/>
      <c r="HL16" s="204"/>
      <c r="HM16" s="204"/>
      <c r="HN16" s="204"/>
      <c r="HO16" s="204"/>
      <c r="HP16" s="204"/>
      <c r="HQ16" s="204"/>
      <c r="HR16" s="204"/>
      <c r="HS16" s="204"/>
      <c r="HT16" s="204"/>
      <c r="HU16" s="204"/>
      <c r="HV16" s="204"/>
      <c r="HW16" s="204"/>
      <c r="HX16" s="204"/>
      <c r="HY16" s="204"/>
      <c r="HZ16" s="204"/>
      <c r="IA16" s="204"/>
      <c r="IB16" s="204"/>
      <c r="IC16" s="204"/>
      <c r="ID16" s="204"/>
      <c r="IE16" s="204"/>
      <c r="IF16" s="204"/>
      <c r="IG16" s="204"/>
      <c r="IH16" s="204"/>
      <c r="II16" s="204"/>
      <c r="IJ16" s="204"/>
      <c r="IK16" s="204"/>
      <c r="IL16" s="204"/>
      <c r="IM16" s="204"/>
      <c r="IN16" s="204"/>
      <c r="IO16" s="204"/>
      <c r="IP16" s="204"/>
      <c r="IQ16" s="204"/>
      <c r="IR16" s="204"/>
      <c r="IS16" s="204"/>
      <c r="IT16" s="204"/>
      <c r="IU16" s="204"/>
      <c r="IV16" s="204"/>
      <c r="IW16" s="204"/>
      <c r="IX16" s="204"/>
      <c r="IY16" s="204"/>
      <c r="IZ16" s="204"/>
      <c r="JA16" s="204"/>
      <c r="JB16" s="204"/>
      <c r="JC16" s="204"/>
      <c r="JD16" s="204"/>
      <c r="JE16" s="204"/>
      <c r="JF16" s="204"/>
      <c r="JG16" s="204"/>
      <c r="JH16" s="204"/>
      <c r="JI16" s="204"/>
      <c r="JJ16" s="204"/>
      <c r="JK16" s="204"/>
      <c r="JL16" s="204"/>
      <c r="JM16" s="204"/>
      <c r="JN16" s="204"/>
      <c r="JO16" s="204"/>
      <c r="JP16" s="204"/>
      <c r="JQ16" s="204"/>
      <c r="JR16" s="204"/>
      <c r="JS16" s="204"/>
      <c r="JT16" s="204"/>
      <c r="JU16" s="204"/>
      <c r="JV16" s="204"/>
      <c r="JW16" s="204"/>
      <c r="JX16" s="204"/>
      <c r="JY16" s="204"/>
      <c r="JZ16" s="204"/>
      <c r="KA16" s="204"/>
      <c r="KB16" s="204"/>
      <c r="KC16" s="204"/>
      <c r="KD16" s="204"/>
      <c r="KE16" s="204"/>
      <c r="KF16" s="204"/>
      <c r="KG16" s="204"/>
      <c r="KH16" s="204"/>
      <c r="KI16" s="204"/>
      <c r="KJ16" s="204"/>
      <c r="KK16" s="204"/>
      <c r="KL16" s="204"/>
      <c r="KM16" s="204"/>
      <c r="KN16" s="204"/>
      <c r="KO16" s="204"/>
      <c r="KP16" s="204"/>
      <c r="KQ16" s="204"/>
      <c r="KR16" s="204"/>
      <c r="KS16" s="204"/>
      <c r="KT16" s="204"/>
      <c r="KU16" s="204"/>
      <c r="KV16" s="204"/>
      <c r="KW16" s="204"/>
      <c r="KX16" s="204"/>
      <c r="KY16" s="204"/>
      <c r="KZ16" s="204"/>
      <c r="LA16" s="204"/>
      <c r="LB16" s="204"/>
      <c r="LC16" s="204"/>
      <c r="LD16" s="204"/>
      <c r="LE16" s="204"/>
      <c r="LF16" s="204"/>
      <c r="LG16" s="204"/>
      <c r="LH16" s="204"/>
      <c r="LI16" s="204"/>
      <c r="LJ16" s="204"/>
      <c r="LK16" s="204"/>
      <c r="LL16" s="204"/>
      <c r="LM16" s="204"/>
      <c r="LN16" s="204"/>
      <c r="LO16" s="204"/>
      <c r="LP16" s="204"/>
      <c r="LQ16" s="204"/>
      <c r="LR16" s="204"/>
      <c r="LS16" s="204"/>
      <c r="LT16" s="204"/>
      <c r="LU16" s="204"/>
      <c r="LV16" s="204"/>
      <c r="LW16" s="204"/>
      <c r="LX16" s="204"/>
      <c r="LY16" s="204"/>
      <c r="LZ16" s="204"/>
      <c r="MA16" s="204"/>
      <c r="MB16" s="204"/>
      <c r="MC16" s="204"/>
      <c r="MD16" s="204"/>
      <c r="ME16" s="204"/>
      <c r="MF16" s="204"/>
      <c r="MG16" s="204"/>
      <c r="MH16" s="204"/>
      <c r="MI16" s="204"/>
      <c r="MJ16" s="204"/>
      <c r="MK16" s="204"/>
      <c r="ML16" s="204"/>
      <c r="MM16" s="204"/>
      <c r="MN16" s="204"/>
      <c r="MO16" s="204"/>
      <c r="MP16" s="204"/>
      <c r="MQ16" s="204"/>
      <c r="MR16" s="204"/>
      <c r="MS16" s="204"/>
      <c r="MT16" s="204"/>
      <c r="MU16" s="204"/>
      <c r="MV16" s="204"/>
      <c r="MW16" s="204"/>
      <c r="MX16" s="204"/>
      <c r="MY16" s="204"/>
      <c r="MZ16" s="204"/>
      <c r="NA16" s="204"/>
      <c r="NB16" s="204"/>
      <c r="NC16" s="204"/>
      <c r="ND16" s="204"/>
      <c r="NE16" s="204"/>
      <c r="NF16" s="204"/>
      <c r="NG16" s="204"/>
      <c r="NH16" s="204"/>
      <c r="NI16" s="204"/>
      <c r="NJ16" s="204"/>
      <c r="NK16" s="204"/>
      <c r="NL16" s="204"/>
      <c r="NM16" s="204"/>
      <c r="NN16" s="204"/>
      <c r="NO16" s="204"/>
      <c r="NP16" s="204"/>
      <c r="NQ16" s="204"/>
      <c r="NR16" s="204"/>
      <c r="NS16" s="204"/>
      <c r="NT16" s="204"/>
      <c r="NU16" s="204"/>
      <c r="NV16" s="204"/>
      <c r="NW16" s="204"/>
      <c r="NX16" s="204"/>
      <c r="NY16" s="204"/>
      <c r="NZ16" s="204"/>
      <c r="OA16" s="204"/>
      <c r="OB16" s="204"/>
      <c r="OC16" s="204"/>
      <c r="OD16" s="204"/>
      <c r="OE16" s="204"/>
      <c r="OF16" s="204"/>
      <c r="OG16" s="204"/>
      <c r="OH16" s="204"/>
      <c r="OI16" s="204"/>
      <c r="OJ16" s="204"/>
      <c r="OK16" s="204"/>
      <c r="OL16" s="204"/>
      <c r="OM16" s="204"/>
      <c r="ON16" s="204"/>
      <c r="OO16" s="204"/>
      <c r="OP16" s="204"/>
      <c r="OQ16" s="204"/>
      <c r="OR16" s="204"/>
      <c r="OS16" s="204"/>
      <c r="OT16" s="204"/>
      <c r="OU16" s="204"/>
      <c r="OV16" s="204"/>
      <c r="OW16" s="204"/>
      <c r="OX16" s="204"/>
      <c r="OY16" s="204"/>
      <c r="OZ16" s="204"/>
      <c r="PA16" s="204"/>
      <c r="PB16" s="204"/>
      <c r="PC16" s="204"/>
      <c r="PD16" s="204"/>
      <c r="PE16" s="204"/>
      <c r="PF16" s="204"/>
      <c r="PG16" s="204"/>
      <c r="PH16" s="204"/>
      <c r="PI16" s="204"/>
      <c r="PJ16" s="204"/>
      <c r="PK16" s="204"/>
      <c r="PL16" s="204"/>
      <c r="PM16" s="204"/>
      <c r="PN16" s="204"/>
      <c r="PO16" s="204"/>
      <c r="PP16" s="204"/>
      <c r="PQ16" s="204"/>
      <c r="PR16" s="204"/>
      <c r="PS16" s="204"/>
      <c r="PT16" s="204"/>
      <c r="PU16" s="204"/>
      <c r="PV16" s="204"/>
      <c r="PW16" s="204"/>
      <c r="PX16" s="204"/>
      <c r="PY16" s="204"/>
      <c r="PZ16" s="204"/>
      <c r="QA16" s="204"/>
      <c r="QB16" s="204"/>
      <c r="QC16" s="204"/>
      <c r="QD16" s="204"/>
      <c r="QE16" s="204"/>
      <c r="QF16" s="204"/>
      <c r="QG16" s="204"/>
      <c r="QH16" s="204"/>
      <c r="QI16" s="204"/>
      <c r="QJ16" s="204"/>
      <c r="QK16" s="204"/>
      <c r="QL16" s="204"/>
      <c r="QM16" s="204"/>
      <c r="QN16" s="204"/>
      <c r="QO16" s="204"/>
      <c r="QP16" s="204"/>
      <c r="QQ16" s="204"/>
      <c r="QR16" s="204"/>
      <c r="QS16" s="204"/>
      <c r="QT16" s="204"/>
      <c r="QU16" s="204"/>
      <c r="QV16" s="204"/>
      <c r="QW16" s="204"/>
      <c r="QX16" s="204"/>
      <c r="QY16" s="204"/>
      <c r="QZ16" s="204"/>
      <c r="RA16" s="204"/>
      <c r="RB16" s="204"/>
      <c r="RC16" s="204"/>
      <c r="RD16" s="204"/>
      <c r="RE16" s="204"/>
      <c r="RF16" s="204"/>
      <c r="RG16" s="204"/>
      <c r="RH16" s="204"/>
      <c r="RI16" s="204"/>
      <c r="RJ16" s="204"/>
      <c r="RK16" s="204"/>
      <c r="RL16" s="204"/>
      <c r="RM16" s="204"/>
      <c r="RN16" s="204"/>
      <c r="RO16" s="204"/>
      <c r="RP16" s="204"/>
      <c r="RQ16" s="204"/>
      <c r="RR16" s="204"/>
      <c r="RS16" s="204"/>
      <c r="RT16" s="204"/>
      <c r="RU16" s="204"/>
      <c r="RV16" s="204"/>
      <c r="RW16" s="204"/>
      <c r="RX16" s="204"/>
      <c r="RY16" s="204"/>
      <c r="RZ16" s="204"/>
      <c r="SA16" s="204"/>
      <c r="SB16" s="204"/>
      <c r="SC16" s="204"/>
      <c r="SD16" s="204"/>
      <c r="SE16" s="204"/>
      <c r="SF16" s="204"/>
      <c r="SG16" s="204"/>
      <c r="SH16" s="204"/>
      <c r="SI16" s="204"/>
      <c r="SJ16" s="204"/>
      <c r="SK16" s="204"/>
      <c r="SL16" s="204"/>
      <c r="SM16" s="204"/>
      <c r="SN16" s="204"/>
      <c r="SO16" s="204"/>
      <c r="SP16" s="204"/>
      <c r="SQ16" s="204"/>
      <c r="SR16" s="204"/>
      <c r="SS16" s="204"/>
      <c r="ST16" s="204"/>
      <c r="SU16" s="204"/>
      <c r="SV16" s="204"/>
      <c r="SW16" s="204"/>
      <c r="SX16" s="204"/>
      <c r="SY16" s="204"/>
      <c r="SZ16" s="204"/>
      <c r="TA16" s="204"/>
      <c r="TB16" s="204"/>
      <c r="TC16" s="204"/>
      <c r="TD16" s="204"/>
      <c r="TE16" s="204"/>
      <c r="TF16" s="204"/>
      <c r="TG16" s="204"/>
      <c r="TH16" s="204"/>
      <c r="TI16" s="204"/>
      <c r="TJ16" s="204"/>
      <c r="TK16" s="204"/>
      <c r="TL16" s="204"/>
      <c r="TM16" s="204"/>
      <c r="TN16" s="204"/>
      <c r="TO16" s="204"/>
      <c r="TP16" s="204"/>
      <c r="TQ16" s="204"/>
      <c r="TR16" s="204"/>
      <c r="TS16" s="204"/>
      <c r="TT16" s="204"/>
      <c r="TU16" s="204"/>
      <c r="TV16" s="204"/>
      <c r="TW16" s="204"/>
      <c r="TX16" s="204"/>
      <c r="TY16" s="204"/>
      <c r="TZ16" s="204"/>
      <c r="UA16" s="204"/>
      <c r="UB16" s="204"/>
      <c r="UC16" s="204"/>
      <c r="UD16" s="204"/>
      <c r="UE16" s="204"/>
      <c r="UF16" s="204"/>
      <c r="UG16" s="204"/>
      <c r="UH16" s="204"/>
      <c r="UI16" s="204"/>
      <c r="UJ16" s="204"/>
      <c r="UK16" s="204"/>
      <c r="UL16" s="204"/>
      <c r="UM16" s="204"/>
      <c r="UN16" s="204"/>
      <c r="UO16" s="204"/>
      <c r="UP16" s="204"/>
      <c r="UQ16" s="204"/>
      <c r="UR16" s="204"/>
      <c r="US16" s="204"/>
      <c r="UT16" s="204"/>
      <c r="UU16" s="204"/>
      <c r="UV16" s="204"/>
      <c r="UW16" s="204"/>
      <c r="UX16" s="204"/>
      <c r="UY16" s="204"/>
      <c r="UZ16" s="204"/>
      <c r="VA16" s="204"/>
      <c r="VB16" s="204"/>
      <c r="VC16" s="204"/>
      <c r="VD16" s="204"/>
      <c r="VE16" s="204"/>
      <c r="VF16" s="204"/>
      <c r="VG16" s="204"/>
      <c r="VH16" s="204"/>
      <c r="VI16" s="204"/>
      <c r="VJ16" s="204"/>
      <c r="VK16" s="204"/>
      <c r="VL16" s="204"/>
      <c r="VM16" s="204"/>
      <c r="VN16" s="204"/>
      <c r="VO16" s="204"/>
      <c r="VP16" s="204"/>
      <c r="VQ16" s="204"/>
      <c r="VR16" s="204"/>
      <c r="VS16" s="204"/>
      <c r="VT16" s="204"/>
      <c r="VU16" s="204"/>
      <c r="VV16" s="204"/>
      <c r="VW16" s="204"/>
      <c r="VX16" s="204"/>
      <c r="VY16" s="204"/>
      <c r="VZ16" s="204"/>
      <c r="WA16" s="204"/>
      <c r="WB16" s="204"/>
      <c r="WC16" s="204"/>
      <c r="WD16" s="204"/>
      <c r="WE16" s="204"/>
    </row>
    <row r="17" spans="1:603" s="185" customFormat="1" x14ac:dyDescent="0.4">
      <c r="A17" s="201"/>
      <c r="B17" s="201"/>
      <c r="C17" s="201"/>
      <c r="D17" s="201"/>
      <c r="E17" s="201"/>
      <c r="F17" s="201"/>
      <c r="G17" s="201"/>
      <c r="H17" s="201"/>
      <c r="I17" s="201"/>
      <c r="J17" s="204"/>
      <c r="K17" s="204"/>
      <c r="L17" s="205"/>
      <c r="M17" s="205"/>
      <c r="N17" s="204"/>
      <c r="O17" s="204"/>
      <c r="P17" s="205"/>
      <c r="Q17" s="205"/>
      <c r="R17" s="204"/>
      <c r="S17" s="204"/>
      <c r="T17" s="205"/>
      <c r="U17" s="205"/>
      <c r="V17" s="204"/>
      <c r="W17" s="204"/>
      <c r="X17" s="205"/>
      <c r="Y17" s="205"/>
      <c r="Z17" s="204"/>
      <c r="AA17" s="204"/>
      <c r="AB17" s="205"/>
      <c r="AC17" s="205"/>
      <c r="AD17" s="204"/>
      <c r="AE17" s="204"/>
      <c r="AF17" s="205"/>
      <c r="AG17" s="205"/>
      <c r="AH17" s="204"/>
      <c r="AI17" s="204"/>
      <c r="AJ17" s="205"/>
      <c r="AK17" s="205"/>
      <c r="AL17" s="204"/>
      <c r="AM17" s="204"/>
      <c r="AN17" s="205"/>
      <c r="AO17" s="205"/>
      <c r="AP17" s="204"/>
      <c r="AQ17" s="204"/>
      <c r="AR17" s="205"/>
      <c r="AS17" s="205"/>
      <c r="AT17" s="204"/>
      <c r="AU17" s="204"/>
      <c r="AV17" s="205"/>
      <c r="AW17" s="205"/>
      <c r="AX17" s="204"/>
      <c r="AY17" s="204"/>
      <c r="AZ17" s="205"/>
      <c r="BA17" s="205"/>
      <c r="BB17" s="204"/>
      <c r="BC17" s="204"/>
      <c r="BD17" s="205"/>
      <c r="BE17" s="205"/>
      <c r="BF17" s="204"/>
      <c r="BG17" s="204"/>
      <c r="BH17" s="204"/>
      <c r="BI17" s="204"/>
      <c r="BJ17" s="204"/>
      <c r="BK17" s="204"/>
      <c r="BL17" s="204"/>
      <c r="BM17" s="204"/>
      <c r="BN17" s="204"/>
      <c r="BO17" s="204"/>
      <c r="BP17" s="204"/>
      <c r="BQ17" s="204"/>
      <c r="BR17" s="204"/>
      <c r="BS17" s="204"/>
      <c r="BT17" s="204"/>
      <c r="BU17" s="204"/>
      <c r="BV17" s="204"/>
      <c r="BW17" s="204"/>
      <c r="BX17" s="204"/>
      <c r="BY17" s="204"/>
      <c r="BZ17" s="204"/>
      <c r="CA17" s="204"/>
      <c r="CB17" s="204"/>
      <c r="CC17" s="204"/>
      <c r="CD17" s="204"/>
      <c r="CE17" s="204"/>
      <c r="CF17" s="204"/>
      <c r="CG17" s="204"/>
      <c r="CH17" s="204"/>
      <c r="CI17" s="204"/>
      <c r="CJ17" s="204"/>
      <c r="CK17" s="204"/>
      <c r="CL17" s="204"/>
      <c r="CM17" s="204"/>
      <c r="CN17" s="204"/>
      <c r="CO17" s="204"/>
      <c r="CP17" s="204"/>
      <c r="CQ17" s="204"/>
      <c r="CR17" s="204"/>
      <c r="CS17" s="204"/>
      <c r="CT17" s="204"/>
      <c r="CU17" s="204"/>
      <c r="CV17" s="204"/>
      <c r="CW17" s="204"/>
      <c r="CX17" s="204"/>
      <c r="CY17" s="204"/>
      <c r="CZ17" s="204"/>
      <c r="DA17" s="204"/>
      <c r="DB17" s="204"/>
      <c r="DC17" s="204"/>
      <c r="DD17" s="204"/>
      <c r="DE17" s="204"/>
      <c r="DF17" s="204"/>
      <c r="DG17" s="204"/>
      <c r="DH17" s="204"/>
      <c r="DI17" s="204"/>
      <c r="DJ17" s="204"/>
      <c r="DK17" s="204"/>
      <c r="DL17" s="204"/>
      <c r="DM17" s="204"/>
      <c r="DN17" s="204"/>
      <c r="DO17" s="204"/>
      <c r="DP17" s="204"/>
      <c r="DQ17" s="204"/>
      <c r="DR17" s="204"/>
      <c r="DS17" s="204"/>
      <c r="DT17" s="204"/>
      <c r="DU17" s="204"/>
      <c r="DV17" s="204"/>
      <c r="DW17" s="204"/>
      <c r="DX17" s="204"/>
      <c r="DY17" s="204"/>
      <c r="DZ17" s="204"/>
      <c r="EA17" s="204"/>
      <c r="EB17" s="204"/>
      <c r="EC17" s="204"/>
      <c r="ED17" s="204"/>
      <c r="EE17" s="204"/>
      <c r="EF17" s="204"/>
      <c r="EG17" s="204"/>
      <c r="EH17" s="204"/>
      <c r="EI17" s="204"/>
      <c r="EJ17" s="204"/>
      <c r="EK17" s="204"/>
      <c r="EL17" s="204"/>
      <c r="EM17" s="204"/>
      <c r="EN17" s="204"/>
      <c r="EO17" s="204"/>
      <c r="EP17" s="204"/>
      <c r="EQ17" s="204"/>
      <c r="ER17" s="204"/>
      <c r="ES17" s="204"/>
      <c r="ET17" s="204"/>
      <c r="EU17" s="204"/>
      <c r="EV17" s="204"/>
      <c r="EW17" s="204"/>
      <c r="EX17" s="204"/>
      <c r="EY17" s="204"/>
      <c r="EZ17" s="204"/>
      <c r="FA17" s="204"/>
      <c r="FB17" s="204"/>
      <c r="FC17" s="204"/>
      <c r="FD17" s="204"/>
      <c r="FE17" s="204"/>
      <c r="FF17" s="204"/>
      <c r="FG17" s="204"/>
      <c r="FH17" s="204"/>
      <c r="FI17" s="204"/>
      <c r="FJ17" s="204"/>
      <c r="FK17" s="204"/>
      <c r="FL17" s="204"/>
      <c r="FM17" s="204"/>
      <c r="FN17" s="204"/>
      <c r="FO17" s="204"/>
      <c r="FP17" s="204"/>
      <c r="FQ17" s="204"/>
      <c r="FR17" s="204"/>
      <c r="FS17" s="204"/>
      <c r="FT17" s="204"/>
      <c r="FU17" s="204"/>
      <c r="FV17" s="204"/>
      <c r="FW17" s="204"/>
      <c r="FX17" s="204"/>
      <c r="FY17" s="204"/>
      <c r="FZ17" s="204"/>
      <c r="GA17" s="204"/>
      <c r="GB17" s="204"/>
      <c r="GC17" s="204"/>
      <c r="GD17" s="204"/>
      <c r="GE17" s="204"/>
      <c r="GF17" s="204"/>
      <c r="GG17" s="204"/>
      <c r="GH17" s="204"/>
      <c r="GI17" s="204"/>
      <c r="GJ17" s="204"/>
      <c r="GK17" s="204"/>
      <c r="GL17" s="204"/>
      <c r="GM17" s="204"/>
      <c r="GN17" s="204"/>
      <c r="GO17" s="204"/>
      <c r="GP17" s="204"/>
      <c r="GQ17" s="204"/>
      <c r="GR17" s="204"/>
      <c r="GS17" s="204"/>
      <c r="GT17" s="204"/>
      <c r="GU17" s="204"/>
      <c r="GV17" s="204"/>
      <c r="GW17" s="204"/>
      <c r="GX17" s="204"/>
      <c r="GY17" s="204"/>
      <c r="GZ17" s="204"/>
      <c r="HA17" s="204"/>
      <c r="HB17" s="204"/>
      <c r="HC17" s="204"/>
      <c r="HD17" s="204"/>
      <c r="HE17" s="204"/>
      <c r="HF17" s="204"/>
      <c r="HG17" s="204"/>
      <c r="HH17" s="204"/>
      <c r="HI17" s="204"/>
      <c r="HJ17" s="204"/>
      <c r="HK17" s="204"/>
      <c r="HL17" s="204"/>
      <c r="HM17" s="204"/>
      <c r="HN17" s="204"/>
      <c r="HO17" s="204"/>
      <c r="HP17" s="204"/>
      <c r="HQ17" s="204"/>
      <c r="HR17" s="204"/>
      <c r="HS17" s="204"/>
      <c r="HT17" s="204"/>
      <c r="HU17" s="204"/>
      <c r="HV17" s="204"/>
      <c r="HW17" s="204"/>
      <c r="HX17" s="204"/>
      <c r="HY17" s="204"/>
      <c r="HZ17" s="204"/>
      <c r="IA17" s="204"/>
      <c r="IB17" s="204"/>
      <c r="IC17" s="204"/>
      <c r="ID17" s="204"/>
      <c r="IE17" s="204"/>
      <c r="IF17" s="204"/>
      <c r="IG17" s="204"/>
      <c r="IH17" s="204"/>
      <c r="II17" s="204"/>
      <c r="IJ17" s="204"/>
      <c r="IK17" s="204"/>
      <c r="IL17" s="204"/>
      <c r="IM17" s="204"/>
      <c r="IN17" s="204"/>
      <c r="IO17" s="204"/>
      <c r="IP17" s="204"/>
      <c r="IQ17" s="204"/>
      <c r="IR17" s="204"/>
      <c r="IS17" s="204"/>
      <c r="IT17" s="204"/>
      <c r="IU17" s="204"/>
      <c r="IV17" s="204"/>
      <c r="IW17" s="204"/>
      <c r="IX17" s="204"/>
      <c r="IY17" s="204"/>
      <c r="IZ17" s="204"/>
      <c r="JA17" s="204"/>
      <c r="JB17" s="204"/>
      <c r="JC17" s="204"/>
      <c r="JD17" s="204"/>
      <c r="JE17" s="204"/>
      <c r="JF17" s="204"/>
      <c r="JG17" s="204"/>
      <c r="JH17" s="204"/>
      <c r="JI17" s="204"/>
      <c r="JJ17" s="204"/>
      <c r="JK17" s="204"/>
      <c r="JL17" s="204"/>
      <c r="JM17" s="204"/>
      <c r="JN17" s="204"/>
      <c r="JO17" s="204"/>
      <c r="JP17" s="204"/>
      <c r="JQ17" s="204"/>
      <c r="JR17" s="204"/>
      <c r="JS17" s="204"/>
      <c r="JT17" s="204"/>
      <c r="JU17" s="204"/>
      <c r="JV17" s="204"/>
      <c r="JW17" s="204"/>
      <c r="JX17" s="204"/>
      <c r="JY17" s="204"/>
      <c r="JZ17" s="204"/>
      <c r="KA17" s="204"/>
      <c r="KB17" s="204"/>
      <c r="KC17" s="204"/>
      <c r="KD17" s="204"/>
      <c r="KE17" s="204"/>
      <c r="KF17" s="204"/>
      <c r="KG17" s="204"/>
      <c r="KH17" s="204"/>
      <c r="KI17" s="204"/>
      <c r="KJ17" s="204"/>
      <c r="KK17" s="204"/>
      <c r="KL17" s="204"/>
      <c r="KM17" s="204"/>
      <c r="KN17" s="204"/>
      <c r="KO17" s="204"/>
      <c r="KP17" s="204"/>
      <c r="KQ17" s="204"/>
      <c r="KR17" s="204"/>
      <c r="KS17" s="204"/>
      <c r="KT17" s="204"/>
      <c r="KU17" s="204"/>
      <c r="KV17" s="204"/>
      <c r="KW17" s="204"/>
      <c r="KX17" s="204"/>
      <c r="KY17" s="204"/>
      <c r="KZ17" s="204"/>
      <c r="LA17" s="204"/>
      <c r="LB17" s="204"/>
      <c r="LC17" s="204"/>
      <c r="LD17" s="204"/>
      <c r="LE17" s="204"/>
      <c r="LF17" s="204"/>
      <c r="LG17" s="204"/>
      <c r="LH17" s="204"/>
      <c r="LI17" s="204"/>
      <c r="LJ17" s="204"/>
      <c r="LK17" s="204"/>
      <c r="LL17" s="204"/>
      <c r="LM17" s="204"/>
      <c r="LN17" s="204"/>
      <c r="LO17" s="204"/>
      <c r="LP17" s="204"/>
      <c r="LQ17" s="204"/>
      <c r="LR17" s="204"/>
      <c r="LS17" s="204"/>
      <c r="LT17" s="204"/>
      <c r="LU17" s="204"/>
      <c r="LV17" s="204"/>
      <c r="LW17" s="204"/>
      <c r="LX17" s="204"/>
      <c r="LY17" s="204"/>
      <c r="LZ17" s="204"/>
      <c r="MA17" s="204"/>
      <c r="MB17" s="204"/>
      <c r="MC17" s="204"/>
      <c r="MD17" s="204"/>
      <c r="ME17" s="204"/>
      <c r="MF17" s="204"/>
      <c r="MG17" s="204"/>
      <c r="MH17" s="204"/>
      <c r="MI17" s="204"/>
      <c r="MJ17" s="204"/>
      <c r="MK17" s="204"/>
      <c r="ML17" s="204"/>
      <c r="MM17" s="204"/>
      <c r="MN17" s="204"/>
      <c r="MO17" s="204"/>
      <c r="MP17" s="204"/>
      <c r="MQ17" s="204"/>
      <c r="MR17" s="204"/>
      <c r="MS17" s="204"/>
      <c r="MT17" s="204"/>
      <c r="MU17" s="204"/>
      <c r="MV17" s="204"/>
      <c r="MW17" s="204"/>
      <c r="MX17" s="204"/>
      <c r="MY17" s="204"/>
      <c r="MZ17" s="204"/>
      <c r="NA17" s="204"/>
      <c r="NB17" s="204"/>
      <c r="NC17" s="204"/>
      <c r="ND17" s="204"/>
      <c r="NE17" s="204"/>
      <c r="NF17" s="204"/>
      <c r="NG17" s="204"/>
      <c r="NH17" s="204"/>
      <c r="NI17" s="204"/>
      <c r="NJ17" s="204"/>
      <c r="NK17" s="204"/>
      <c r="NL17" s="204"/>
      <c r="NM17" s="204"/>
      <c r="NN17" s="204"/>
      <c r="NO17" s="204"/>
      <c r="NP17" s="204"/>
      <c r="NQ17" s="204"/>
      <c r="NR17" s="204"/>
      <c r="NS17" s="204"/>
      <c r="NT17" s="204"/>
      <c r="NU17" s="204"/>
      <c r="NV17" s="204"/>
      <c r="NW17" s="204"/>
      <c r="NX17" s="204"/>
      <c r="NY17" s="204"/>
      <c r="NZ17" s="204"/>
      <c r="OA17" s="204"/>
      <c r="OB17" s="204"/>
      <c r="OC17" s="204"/>
      <c r="OD17" s="204"/>
      <c r="OE17" s="204"/>
      <c r="OF17" s="204"/>
      <c r="OG17" s="204"/>
      <c r="OH17" s="204"/>
      <c r="OI17" s="204"/>
      <c r="OJ17" s="204"/>
      <c r="OK17" s="204"/>
      <c r="OL17" s="204"/>
      <c r="OM17" s="204"/>
      <c r="ON17" s="204"/>
      <c r="OO17" s="204"/>
      <c r="OP17" s="204"/>
      <c r="OQ17" s="204"/>
      <c r="OR17" s="204"/>
      <c r="OS17" s="204"/>
      <c r="OT17" s="204"/>
      <c r="OU17" s="204"/>
      <c r="OV17" s="204"/>
      <c r="OW17" s="204"/>
      <c r="OX17" s="204"/>
      <c r="OY17" s="204"/>
      <c r="OZ17" s="204"/>
      <c r="PA17" s="204"/>
      <c r="PB17" s="204"/>
      <c r="PC17" s="204"/>
      <c r="PD17" s="204"/>
      <c r="PE17" s="204"/>
      <c r="PF17" s="204"/>
      <c r="PG17" s="204"/>
      <c r="PH17" s="204"/>
      <c r="PI17" s="204"/>
      <c r="PJ17" s="204"/>
      <c r="PK17" s="204"/>
      <c r="PL17" s="204"/>
      <c r="PM17" s="204"/>
      <c r="PN17" s="204"/>
      <c r="PO17" s="204"/>
      <c r="PP17" s="204"/>
      <c r="PQ17" s="204"/>
      <c r="PR17" s="204"/>
      <c r="PS17" s="204"/>
      <c r="PT17" s="204"/>
      <c r="PU17" s="204"/>
      <c r="PV17" s="204"/>
      <c r="PW17" s="204"/>
      <c r="PX17" s="204"/>
      <c r="PY17" s="204"/>
      <c r="PZ17" s="204"/>
      <c r="QA17" s="204"/>
      <c r="QB17" s="204"/>
      <c r="QC17" s="204"/>
      <c r="QD17" s="204"/>
      <c r="QE17" s="204"/>
      <c r="QF17" s="204"/>
      <c r="QG17" s="204"/>
      <c r="QH17" s="204"/>
      <c r="QI17" s="204"/>
      <c r="QJ17" s="204"/>
      <c r="QK17" s="204"/>
      <c r="QL17" s="204"/>
      <c r="QM17" s="204"/>
      <c r="QN17" s="204"/>
      <c r="QO17" s="204"/>
      <c r="QP17" s="204"/>
      <c r="QQ17" s="204"/>
      <c r="QR17" s="204"/>
      <c r="QS17" s="204"/>
      <c r="QT17" s="204"/>
      <c r="QU17" s="204"/>
      <c r="QV17" s="204"/>
      <c r="QW17" s="204"/>
      <c r="QX17" s="204"/>
      <c r="QY17" s="204"/>
      <c r="QZ17" s="204"/>
      <c r="RA17" s="204"/>
      <c r="RB17" s="204"/>
      <c r="RC17" s="204"/>
      <c r="RD17" s="204"/>
      <c r="RE17" s="204"/>
      <c r="RF17" s="204"/>
      <c r="RG17" s="204"/>
      <c r="RH17" s="204"/>
      <c r="RI17" s="204"/>
      <c r="RJ17" s="204"/>
      <c r="RK17" s="204"/>
      <c r="RL17" s="204"/>
      <c r="RM17" s="204"/>
      <c r="RN17" s="204"/>
      <c r="RO17" s="204"/>
      <c r="RP17" s="204"/>
      <c r="RQ17" s="204"/>
      <c r="RR17" s="204"/>
      <c r="RS17" s="204"/>
      <c r="RT17" s="204"/>
      <c r="RU17" s="204"/>
      <c r="RV17" s="204"/>
      <c r="RW17" s="204"/>
      <c r="RX17" s="204"/>
      <c r="RY17" s="204"/>
      <c r="RZ17" s="204"/>
      <c r="SA17" s="204"/>
      <c r="SB17" s="204"/>
      <c r="SC17" s="204"/>
      <c r="SD17" s="204"/>
      <c r="SE17" s="204"/>
      <c r="SF17" s="204"/>
      <c r="SG17" s="204"/>
      <c r="SH17" s="204"/>
      <c r="SI17" s="204"/>
      <c r="SJ17" s="204"/>
      <c r="SK17" s="204"/>
      <c r="SL17" s="204"/>
      <c r="SM17" s="204"/>
      <c r="SN17" s="204"/>
      <c r="SO17" s="204"/>
      <c r="SP17" s="204"/>
      <c r="SQ17" s="204"/>
      <c r="SR17" s="204"/>
      <c r="SS17" s="204"/>
      <c r="ST17" s="204"/>
      <c r="SU17" s="204"/>
      <c r="SV17" s="204"/>
      <c r="SW17" s="204"/>
      <c r="SX17" s="204"/>
      <c r="SY17" s="204"/>
      <c r="SZ17" s="204"/>
      <c r="TA17" s="204"/>
      <c r="TB17" s="204"/>
      <c r="TC17" s="204"/>
      <c r="TD17" s="204"/>
      <c r="TE17" s="204"/>
      <c r="TF17" s="204"/>
      <c r="TG17" s="204"/>
      <c r="TH17" s="204"/>
      <c r="TI17" s="204"/>
      <c r="TJ17" s="204"/>
      <c r="TK17" s="204"/>
      <c r="TL17" s="204"/>
      <c r="TM17" s="204"/>
      <c r="TN17" s="204"/>
      <c r="TO17" s="204"/>
      <c r="TP17" s="204"/>
      <c r="TQ17" s="204"/>
      <c r="TR17" s="204"/>
      <c r="TS17" s="204"/>
      <c r="TT17" s="204"/>
      <c r="TU17" s="204"/>
      <c r="TV17" s="204"/>
      <c r="TW17" s="204"/>
      <c r="TX17" s="204"/>
      <c r="TY17" s="204"/>
      <c r="TZ17" s="204"/>
      <c r="UA17" s="204"/>
      <c r="UB17" s="204"/>
      <c r="UC17" s="204"/>
      <c r="UD17" s="204"/>
      <c r="UE17" s="204"/>
      <c r="UF17" s="204"/>
      <c r="UG17" s="204"/>
      <c r="UH17" s="204"/>
      <c r="UI17" s="204"/>
      <c r="UJ17" s="204"/>
      <c r="UK17" s="204"/>
      <c r="UL17" s="204"/>
      <c r="UM17" s="204"/>
      <c r="UN17" s="204"/>
      <c r="UO17" s="204"/>
      <c r="UP17" s="204"/>
      <c r="UQ17" s="204"/>
      <c r="UR17" s="204"/>
      <c r="US17" s="204"/>
      <c r="UT17" s="204"/>
      <c r="UU17" s="204"/>
      <c r="UV17" s="204"/>
      <c r="UW17" s="204"/>
      <c r="UX17" s="204"/>
      <c r="UY17" s="204"/>
      <c r="UZ17" s="204"/>
      <c r="VA17" s="204"/>
      <c r="VB17" s="204"/>
      <c r="VC17" s="204"/>
      <c r="VD17" s="204"/>
      <c r="VE17" s="204"/>
      <c r="VF17" s="204"/>
      <c r="VG17" s="204"/>
      <c r="VH17" s="204"/>
      <c r="VI17" s="204"/>
      <c r="VJ17" s="204"/>
      <c r="VK17" s="204"/>
      <c r="VL17" s="204"/>
      <c r="VM17" s="204"/>
      <c r="VN17" s="204"/>
      <c r="VO17" s="204"/>
      <c r="VP17" s="204"/>
      <c r="VQ17" s="204"/>
      <c r="VR17" s="204"/>
      <c r="VS17" s="204"/>
      <c r="VT17" s="204"/>
      <c r="VU17" s="204"/>
      <c r="VV17" s="204"/>
      <c r="VW17" s="204"/>
      <c r="VX17" s="204"/>
      <c r="VY17" s="204"/>
      <c r="VZ17" s="204"/>
      <c r="WA17" s="204"/>
      <c r="WB17" s="204"/>
      <c r="WC17" s="204"/>
      <c r="WD17" s="204"/>
      <c r="WE17" s="204"/>
    </row>
    <row r="18" spans="1:603" s="185" customFormat="1" x14ac:dyDescent="0.4">
      <c r="A18" s="201"/>
      <c r="B18" s="201"/>
      <c r="C18" s="201"/>
      <c r="D18" s="201"/>
      <c r="E18" s="201"/>
      <c r="F18" s="201"/>
      <c r="G18" s="201"/>
      <c r="H18" s="201"/>
      <c r="I18" s="201"/>
      <c r="J18" s="204"/>
      <c r="K18" s="204"/>
      <c r="L18" s="205"/>
      <c r="M18" s="205"/>
      <c r="N18" s="204"/>
      <c r="O18" s="204"/>
      <c r="P18" s="205"/>
      <c r="Q18" s="205"/>
      <c r="R18" s="204"/>
      <c r="S18" s="204"/>
      <c r="T18" s="205"/>
      <c r="U18" s="205"/>
      <c r="V18" s="204"/>
      <c r="W18" s="204"/>
      <c r="X18" s="205"/>
      <c r="Y18" s="205"/>
      <c r="Z18" s="204"/>
      <c r="AA18" s="204"/>
      <c r="AB18" s="205"/>
      <c r="AC18" s="205"/>
      <c r="AD18" s="204"/>
      <c r="AE18" s="204"/>
      <c r="AF18" s="205"/>
      <c r="AG18" s="205"/>
      <c r="AH18" s="204"/>
      <c r="AI18" s="204"/>
      <c r="AJ18" s="205"/>
      <c r="AK18" s="205"/>
      <c r="AL18" s="204"/>
      <c r="AM18" s="204"/>
      <c r="AN18" s="205"/>
      <c r="AO18" s="205"/>
      <c r="AP18" s="204"/>
      <c r="AQ18" s="204"/>
      <c r="AR18" s="205"/>
      <c r="AS18" s="205"/>
      <c r="AT18" s="204"/>
      <c r="AU18" s="204"/>
      <c r="AV18" s="205"/>
      <c r="AW18" s="205"/>
      <c r="AX18" s="204"/>
      <c r="AY18" s="204"/>
      <c r="AZ18" s="205"/>
      <c r="BA18" s="205"/>
      <c r="BB18" s="204"/>
      <c r="BC18" s="204"/>
      <c r="BD18" s="205"/>
      <c r="BE18" s="205"/>
      <c r="BF18" s="204"/>
      <c r="BG18" s="204"/>
      <c r="BH18" s="204"/>
      <c r="BI18" s="204"/>
      <c r="BJ18" s="204"/>
      <c r="BK18" s="204"/>
      <c r="BL18" s="204"/>
      <c r="BM18" s="204"/>
      <c r="BN18" s="204"/>
      <c r="BO18" s="204"/>
      <c r="BP18" s="204"/>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c r="DT18" s="204"/>
      <c r="DU18" s="204"/>
      <c r="DV18" s="204"/>
      <c r="DW18" s="204"/>
      <c r="DX18" s="204"/>
      <c r="DY18" s="204"/>
      <c r="DZ18" s="204"/>
      <c r="EA18" s="204"/>
      <c r="EB18" s="204"/>
      <c r="EC18" s="204"/>
      <c r="ED18" s="204"/>
      <c r="EE18" s="204"/>
      <c r="EF18" s="204"/>
      <c r="EG18" s="204"/>
      <c r="EH18" s="204"/>
      <c r="EI18" s="204"/>
      <c r="EJ18" s="204"/>
      <c r="EK18" s="204"/>
      <c r="EL18" s="204"/>
      <c r="EM18" s="204"/>
      <c r="EN18" s="204"/>
      <c r="EO18" s="204"/>
      <c r="EP18" s="204"/>
      <c r="EQ18" s="204"/>
      <c r="ER18" s="204"/>
      <c r="ES18" s="204"/>
      <c r="ET18" s="204"/>
      <c r="EU18" s="204"/>
      <c r="EV18" s="204"/>
      <c r="EW18" s="204"/>
      <c r="EX18" s="204"/>
      <c r="EY18" s="204"/>
      <c r="EZ18" s="204"/>
      <c r="FA18" s="204"/>
      <c r="FB18" s="204"/>
      <c r="FC18" s="204"/>
      <c r="FD18" s="204"/>
      <c r="FE18" s="204"/>
      <c r="FF18" s="204"/>
      <c r="FG18" s="204"/>
      <c r="FH18" s="204"/>
      <c r="FI18" s="204"/>
      <c r="FJ18" s="204"/>
      <c r="FK18" s="204"/>
      <c r="FL18" s="204"/>
      <c r="FM18" s="204"/>
      <c r="FN18" s="204"/>
      <c r="FO18" s="204"/>
      <c r="FP18" s="204"/>
      <c r="FQ18" s="204"/>
      <c r="FR18" s="204"/>
      <c r="FS18" s="204"/>
      <c r="FT18" s="204"/>
      <c r="FU18" s="204"/>
      <c r="FV18" s="204"/>
      <c r="FW18" s="204"/>
      <c r="FX18" s="204"/>
      <c r="FY18" s="204"/>
      <c r="FZ18" s="204"/>
      <c r="GA18" s="204"/>
      <c r="GB18" s="204"/>
      <c r="GC18" s="204"/>
      <c r="GD18" s="204"/>
      <c r="GE18" s="204"/>
      <c r="GF18" s="204"/>
      <c r="GG18" s="204"/>
      <c r="GH18" s="204"/>
      <c r="GI18" s="204"/>
      <c r="GJ18" s="204"/>
      <c r="GK18" s="204"/>
      <c r="GL18" s="204"/>
      <c r="GM18" s="204"/>
      <c r="GN18" s="204"/>
      <c r="GO18" s="204"/>
      <c r="GP18" s="204"/>
      <c r="GQ18" s="204"/>
      <c r="GR18" s="204"/>
      <c r="GS18" s="204"/>
      <c r="GT18" s="204"/>
      <c r="GU18" s="204"/>
      <c r="GV18" s="204"/>
      <c r="GW18" s="204"/>
      <c r="GX18" s="204"/>
      <c r="GY18" s="204"/>
      <c r="GZ18" s="204"/>
      <c r="HA18" s="204"/>
      <c r="HB18" s="204"/>
      <c r="HC18" s="204"/>
      <c r="HD18" s="204"/>
      <c r="HE18" s="204"/>
      <c r="HF18" s="204"/>
      <c r="HG18" s="204"/>
      <c r="HH18" s="204"/>
      <c r="HI18" s="204"/>
      <c r="HJ18" s="204"/>
      <c r="HK18" s="204"/>
      <c r="HL18" s="204"/>
      <c r="HM18" s="204"/>
      <c r="HN18" s="204"/>
      <c r="HO18" s="204"/>
      <c r="HP18" s="204"/>
      <c r="HQ18" s="204"/>
      <c r="HR18" s="204"/>
      <c r="HS18" s="204"/>
      <c r="HT18" s="204"/>
      <c r="HU18" s="204"/>
      <c r="HV18" s="204"/>
      <c r="HW18" s="204"/>
      <c r="HX18" s="204"/>
      <c r="HY18" s="204"/>
      <c r="HZ18" s="204"/>
      <c r="IA18" s="204"/>
      <c r="IB18" s="204"/>
      <c r="IC18" s="204"/>
      <c r="ID18" s="204"/>
      <c r="IE18" s="204"/>
      <c r="IF18" s="204"/>
      <c r="IG18" s="204"/>
      <c r="IH18" s="204"/>
      <c r="II18" s="204"/>
      <c r="IJ18" s="204"/>
      <c r="IK18" s="204"/>
      <c r="IL18" s="204"/>
      <c r="IM18" s="204"/>
      <c r="IN18" s="204"/>
      <c r="IO18" s="204"/>
      <c r="IP18" s="204"/>
      <c r="IQ18" s="204"/>
      <c r="IR18" s="204"/>
      <c r="IS18" s="204"/>
      <c r="IT18" s="204"/>
      <c r="IU18" s="204"/>
      <c r="IV18" s="204"/>
      <c r="IW18" s="204"/>
      <c r="IX18" s="204"/>
      <c r="IY18" s="204"/>
      <c r="IZ18" s="204"/>
      <c r="JA18" s="204"/>
      <c r="JB18" s="204"/>
      <c r="JC18" s="204"/>
      <c r="JD18" s="204"/>
      <c r="JE18" s="204"/>
      <c r="JF18" s="204"/>
      <c r="JG18" s="204"/>
      <c r="JH18" s="204"/>
      <c r="JI18" s="204"/>
      <c r="JJ18" s="204"/>
      <c r="JK18" s="204"/>
      <c r="JL18" s="204"/>
      <c r="JM18" s="204"/>
      <c r="JN18" s="204"/>
      <c r="JO18" s="204"/>
      <c r="JP18" s="204"/>
      <c r="JQ18" s="204"/>
      <c r="JR18" s="204"/>
      <c r="JS18" s="204"/>
      <c r="JT18" s="204"/>
      <c r="JU18" s="204"/>
      <c r="JV18" s="204"/>
      <c r="JW18" s="204"/>
      <c r="JX18" s="204"/>
      <c r="JY18" s="204"/>
      <c r="JZ18" s="204"/>
      <c r="KA18" s="204"/>
      <c r="KB18" s="204"/>
      <c r="KC18" s="204"/>
      <c r="KD18" s="204"/>
      <c r="KE18" s="204"/>
      <c r="KF18" s="204"/>
      <c r="KG18" s="204"/>
      <c r="KH18" s="204"/>
      <c r="KI18" s="204"/>
      <c r="KJ18" s="204"/>
      <c r="KK18" s="204"/>
      <c r="KL18" s="204"/>
      <c r="KM18" s="204"/>
      <c r="KN18" s="204"/>
      <c r="KO18" s="204"/>
      <c r="KP18" s="204"/>
      <c r="KQ18" s="204"/>
      <c r="KR18" s="204"/>
      <c r="KS18" s="204"/>
      <c r="KT18" s="204"/>
      <c r="KU18" s="204"/>
      <c r="KV18" s="204"/>
      <c r="KW18" s="204"/>
      <c r="KX18" s="204"/>
      <c r="KY18" s="204"/>
      <c r="KZ18" s="204"/>
      <c r="LA18" s="204"/>
      <c r="LB18" s="204"/>
      <c r="LC18" s="204"/>
      <c r="LD18" s="204"/>
      <c r="LE18" s="204"/>
      <c r="LF18" s="204"/>
      <c r="LG18" s="204"/>
      <c r="LH18" s="204"/>
      <c r="LI18" s="204"/>
      <c r="LJ18" s="204"/>
      <c r="LK18" s="204"/>
      <c r="LL18" s="204"/>
      <c r="LM18" s="204"/>
      <c r="LN18" s="204"/>
      <c r="LO18" s="204"/>
      <c r="LP18" s="204"/>
      <c r="LQ18" s="204"/>
      <c r="LR18" s="204"/>
      <c r="LS18" s="204"/>
      <c r="LT18" s="204"/>
      <c r="LU18" s="204"/>
      <c r="LV18" s="204"/>
      <c r="LW18" s="204"/>
      <c r="LX18" s="204"/>
      <c r="LY18" s="204"/>
      <c r="LZ18" s="204"/>
      <c r="MA18" s="204"/>
      <c r="MB18" s="204"/>
      <c r="MC18" s="204"/>
      <c r="MD18" s="204"/>
      <c r="ME18" s="204"/>
      <c r="MF18" s="204"/>
      <c r="MG18" s="204"/>
      <c r="MH18" s="204"/>
      <c r="MI18" s="204"/>
      <c r="MJ18" s="204"/>
      <c r="MK18" s="204"/>
      <c r="ML18" s="204"/>
      <c r="MM18" s="204"/>
      <c r="MN18" s="204"/>
      <c r="MO18" s="204"/>
      <c r="MP18" s="204"/>
      <c r="MQ18" s="204"/>
      <c r="MR18" s="204"/>
      <c r="MS18" s="204"/>
      <c r="MT18" s="204"/>
      <c r="MU18" s="204"/>
      <c r="MV18" s="204"/>
      <c r="MW18" s="204"/>
      <c r="MX18" s="204"/>
      <c r="MY18" s="204"/>
      <c r="MZ18" s="204"/>
      <c r="NA18" s="204"/>
      <c r="NB18" s="204"/>
      <c r="NC18" s="204"/>
      <c r="ND18" s="204"/>
      <c r="NE18" s="204"/>
      <c r="NF18" s="204"/>
      <c r="NG18" s="204"/>
      <c r="NH18" s="204"/>
      <c r="NI18" s="204"/>
      <c r="NJ18" s="204"/>
      <c r="NK18" s="204"/>
      <c r="NL18" s="204"/>
      <c r="NM18" s="204"/>
      <c r="NN18" s="204"/>
      <c r="NO18" s="204"/>
      <c r="NP18" s="204"/>
      <c r="NQ18" s="204"/>
      <c r="NR18" s="204"/>
      <c r="NS18" s="204"/>
      <c r="NT18" s="204"/>
      <c r="NU18" s="204"/>
      <c r="NV18" s="204"/>
      <c r="NW18" s="204"/>
      <c r="NX18" s="204"/>
      <c r="NY18" s="204"/>
      <c r="NZ18" s="204"/>
      <c r="OA18" s="204"/>
      <c r="OB18" s="204"/>
      <c r="OC18" s="204"/>
      <c r="OD18" s="204"/>
      <c r="OE18" s="204"/>
      <c r="OF18" s="204"/>
      <c r="OG18" s="204"/>
      <c r="OH18" s="204"/>
      <c r="OI18" s="204"/>
      <c r="OJ18" s="204"/>
      <c r="OK18" s="204"/>
      <c r="OL18" s="204"/>
      <c r="OM18" s="204"/>
      <c r="ON18" s="204"/>
      <c r="OO18" s="204"/>
      <c r="OP18" s="204"/>
      <c r="OQ18" s="204"/>
      <c r="OR18" s="204"/>
      <c r="OS18" s="204"/>
      <c r="OT18" s="204"/>
      <c r="OU18" s="204"/>
      <c r="OV18" s="204"/>
      <c r="OW18" s="204"/>
      <c r="OX18" s="204"/>
      <c r="OY18" s="204"/>
      <c r="OZ18" s="204"/>
      <c r="PA18" s="204"/>
      <c r="PB18" s="204"/>
      <c r="PC18" s="204"/>
      <c r="PD18" s="204"/>
      <c r="PE18" s="204"/>
      <c r="PF18" s="204"/>
      <c r="PG18" s="204"/>
      <c r="PH18" s="204"/>
      <c r="PI18" s="204"/>
      <c r="PJ18" s="204"/>
      <c r="PK18" s="204"/>
      <c r="PL18" s="204"/>
      <c r="PM18" s="204"/>
      <c r="PN18" s="204"/>
      <c r="PO18" s="204"/>
      <c r="PP18" s="204"/>
      <c r="PQ18" s="204"/>
      <c r="PR18" s="204"/>
      <c r="PS18" s="204"/>
      <c r="PT18" s="204"/>
      <c r="PU18" s="204"/>
      <c r="PV18" s="204"/>
      <c r="PW18" s="204"/>
      <c r="PX18" s="204"/>
      <c r="PY18" s="204"/>
      <c r="PZ18" s="204"/>
      <c r="QA18" s="204"/>
      <c r="QB18" s="204"/>
      <c r="QC18" s="204"/>
      <c r="QD18" s="204"/>
      <c r="QE18" s="204"/>
      <c r="QF18" s="204"/>
      <c r="QG18" s="204"/>
      <c r="QH18" s="204"/>
      <c r="QI18" s="204"/>
      <c r="QJ18" s="204"/>
      <c r="QK18" s="204"/>
      <c r="QL18" s="204"/>
      <c r="QM18" s="204"/>
      <c r="QN18" s="204"/>
      <c r="QO18" s="204"/>
      <c r="QP18" s="204"/>
      <c r="QQ18" s="204"/>
      <c r="QR18" s="204"/>
      <c r="QS18" s="204"/>
      <c r="QT18" s="204"/>
      <c r="QU18" s="204"/>
      <c r="QV18" s="204"/>
      <c r="QW18" s="204"/>
      <c r="QX18" s="204"/>
      <c r="QY18" s="204"/>
      <c r="QZ18" s="204"/>
      <c r="RA18" s="204"/>
      <c r="RB18" s="204"/>
      <c r="RC18" s="204"/>
      <c r="RD18" s="204"/>
      <c r="RE18" s="204"/>
      <c r="RF18" s="204"/>
      <c r="RG18" s="204"/>
      <c r="RH18" s="204"/>
      <c r="RI18" s="204"/>
      <c r="RJ18" s="204"/>
      <c r="RK18" s="204"/>
      <c r="RL18" s="204"/>
      <c r="RM18" s="204"/>
      <c r="RN18" s="204"/>
      <c r="RO18" s="204"/>
      <c r="RP18" s="204"/>
      <c r="RQ18" s="204"/>
      <c r="RR18" s="204"/>
      <c r="RS18" s="204"/>
      <c r="RT18" s="204"/>
      <c r="RU18" s="204"/>
      <c r="RV18" s="204"/>
      <c r="RW18" s="204"/>
      <c r="RX18" s="204"/>
      <c r="RY18" s="204"/>
      <c r="RZ18" s="204"/>
      <c r="SA18" s="204"/>
      <c r="SB18" s="204"/>
      <c r="SC18" s="204"/>
      <c r="SD18" s="204"/>
      <c r="SE18" s="204"/>
      <c r="SF18" s="204"/>
      <c r="SG18" s="204"/>
      <c r="SH18" s="204"/>
      <c r="SI18" s="204"/>
      <c r="SJ18" s="204"/>
      <c r="SK18" s="204"/>
      <c r="SL18" s="204"/>
      <c r="SM18" s="204"/>
      <c r="SN18" s="204"/>
      <c r="SO18" s="204"/>
      <c r="SP18" s="204"/>
      <c r="SQ18" s="204"/>
      <c r="SR18" s="204"/>
      <c r="SS18" s="204"/>
      <c r="ST18" s="204"/>
      <c r="SU18" s="204"/>
      <c r="SV18" s="204"/>
      <c r="SW18" s="204"/>
      <c r="SX18" s="204"/>
      <c r="SY18" s="204"/>
      <c r="SZ18" s="204"/>
      <c r="TA18" s="204"/>
      <c r="TB18" s="204"/>
      <c r="TC18" s="204"/>
      <c r="TD18" s="204"/>
      <c r="TE18" s="204"/>
      <c r="TF18" s="204"/>
      <c r="TG18" s="204"/>
      <c r="TH18" s="204"/>
      <c r="TI18" s="204"/>
      <c r="TJ18" s="204"/>
      <c r="TK18" s="204"/>
      <c r="TL18" s="204"/>
      <c r="TM18" s="204"/>
      <c r="TN18" s="204"/>
      <c r="TO18" s="204"/>
      <c r="TP18" s="204"/>
      <c r="TQ18" s="204"/>
      <c r="TR18" s="204"/>
      <c r="TS18" s="204"/>
      <c r="TT18" s="204"/>
      <c r="TU18" s="204"/>
      <c r="TV18" s="204"/>
      <c r="TW18" s="204"/>
      <c r="TX18" s="204"/>
      <c r="TY18" s="204"/>
      <c r="TZ18" s="204"/>
      <c r="UA18" s="204"/>
      <c r="UB18" s="204"/>
      <c r="UC18" s="204"/>
      <c r="UD18" s="204"/>
      <c r="UE18" s="204"/>
      <c r="UF18" s="204"/>
      <c r="UG18" s="204"/>
      <c r="UH18" s="204"/>
      <c r="UI18" s="204"/>
      <c r="UJ18" s="204"/>
      <c r="UK18" s="204"/>
      <c r="UL18" s="204"/>
      <c r="UM18" s="204"/>
      <c r="UN18" s="204"/>
      <c r="UO18" s="204"/>
      <c r="UP18" s="204"/>
      <c r="UQ18" s="204"/>
      <c r="UR18" s="204"/>
      <c r="US18" s="204"/>
      <c r="UT18" s="204"/>
      <c r="UU18" s="204"/>
      <c r="UV18" s="204"/>
      <c r="UW18" s="204"/>
      <c r="UX18" s="204"/>
      <c r="UY18" s="204"/>
      <c r="UZ18" s="204"/>
      <c r="VA18" s="204"/>
      <c r="VB18" s="204"/>
      <c r="VC18" s="204"/>
      <c r="VD18" s="204"/>
      <c r="VE18" s="204"/>
      <c r="VF18" s="204"/>
      <c r="VG18" s="204"/>
      <c r="VH18" s="204"/>
      <c r="VI18" s="204"/>
      <c r="VJ18" s="204"/>
      <c r="VK18" s="204"/>
      <c r="VL18" s="204"/>
      <c r="VM18" s="204"/>
      <c r="VN18" s="204"/>
      <c r="VO18" s="204"/>
      <c r="VP18" s="204"/>
      <c r="VQ18" s="204"/>
      <c r="VR18" s="204"/>
      <c r="VS18" s="204"/>
      <c r="VT18" s="204"/>
      <c r="VU18" s="204"/>
      <c r="VV18" s="204"/>
      <c r="VW18" s="204"/>
      <c r="VX18" s="204"/>
      <c r="VY18" s="204"/>
      <c r="VZ18" s="204"/>
      <c r="WA18" s="204"/>
      <c r="WB18" s="204"/>
      <c r="WC18" s="204"/>
      <c r="WD18" s="204"/>
      <c r="WE18" s="204"/>
    </row>
    <row r="19" spans="1:603" s="185" customFormat="1" x14ac:dyDescent="0.4">
      <c r="A19" s="201"/>
      <c r="B19" s="201"/>
      <c r="C19" s="201"/>
      <c r="D19" s="201"/>
      <c r="E19" s="201"/>
      <c r="F19" s="201"/>
      <c r="G19" s="201"/>
      <c r="H19" s="201"/>
      <c r="I19" s="201"/>
      <c r="J19" s="204"/>
      <c r="K19" s="204"/>
      <c r="L19" s="205"/>
      <c r="M19" s="205"/>
      <c r="N19" s="204"/>
      <c r="O19" s="204"/>
      <c r="P19" s="205"/>
      <c r="Q19" s="205"/>
      <c r="R19" s="204"/>
      <c r="S19" s="204"/>
      <c r="T19" s="205"/>
      <c r="U19" s="205"/>
      <c r="V19" s="204"/>
      <c r="W19" s="204"/>
      <c r="X19" s="205"/>
      <c r="Y19" s="205"/>
      <c r="Z19" s="204"/>
      <c r="AA19" s="204"/>
      <c r="AB19" s="205"/>
      <c r="AC19" s="205"/>
      <c r="AD19" s="204"/>
      <c r="AE19" s="204"/>
      <c r="AF19" s="205"/>
      <c r="AG19" s="205"/>
      <c r="AH19" s="204"/>
      <c r="AI19" s="204"/>
      <c r="AJ19" s="205"/>
      <c r="AK19" s="205"/>
      <c r="AL19" s="204"/>
      <c r="AM19" s="204"/>
      <c r="AN19" s="205"/>
      <c r="AO19" s="205"/>
      <c r="AP19" s="204"/>
      <c r="AQ19" s="204"/>
      <c r="AR19" s="205"/>
      <c r="AS19" s="205"/>
      <c r="AT19" s="204"/>
      <c r="AU19" s="204"/>
      <c r="AV19" s="205"/>
      <c r="AW19" s="205"/>
      <c r="AX19" s="204"/>
      <c r="AY19" s="204"/>
      <c r="AZ19" s="205"/>
      <c r="BA19" s="205"/>
      <c r="BB19" s="204"/>
      <c r="BC19" s="204"/>
      <c r="BD19" s="205"/>
      <c r="BE19" s="205"/>
      <c r="BF19" s="204"/>
      <c r="BG19" s="204"/>
      <c r="BH19" s="204"/>
      <c r="BI19" s="204"/>
      <c r="BJ19" s="204"/>
      <c r="BK19" s="204"/>
      <c r="BL19" s="204"/>
      <c r="BM19" s="204"/>
      <c r="BN19" s="204"/>
      <c r="BO19" s="204"/>
      <c r="BP19" s="204"/>
      <c r="BQ19" s="204"/>
      <c r="BR19" s="204"/>
      <c r="BS19" s="204"/>
      <c r="BT19" s="204"/>
      <c r="BU19" s="204"/>
      <c r="BV19" s="204"/>
      <c r="BW19" s="204"/>
      <c r="BX19" s="204"/>
      <c r="BY19" s="204"/>
      <c r="BZ19" s="204"/>
      <c r="CA19" s="204"/>
      <c r="CB19" s="204"/>
      <c r="CC19" s="204"/>
      <c r="CD19" s="204"/>
      <c r="CE19" s="204"/>
      <c r="CF19" s="204"/>
      <c r="CG19" s="204"/>
      <c r="CH19" s="204"/>
      <c r="CI19" s="204"/>
      <c r="CJ19" s="204"/>
      <c r="CK19" s="204"/>
      <c r="CL19" s="204"/>
      <c r="CM19" s="204"/>
      <c r="CN19" s="204"/>
      <c r="CO19" s="204"/>
      <c r="CP19" s="204"/>
      <c r="CQ19" s="204"/>
      <c r="CR19" s="204"/>
      <c r="CS19" s="204"/>
      <c r="CT19" s="204"/>
      <c r="CU19" s="204"/>
      <c r="CV19" s="204"/>
      <c r="CW19" s="204"/>
      <c r="CX19" s="204"/>
      <c r="CY19" s="204"/>
      <c r="CZ19" s="204"/>
      <c r="DA19" s="204"/>
      <c r="DB19" s="204"/>
      <c r="DC19" s="204"/>
      <c r="DD19" s="204"/>
      <c r="DE19" s="204"/>
      <c r="DF19" s="204"/>
      <c r="DG19" s="204"/>
      <c r="DH19" s="204"/>
      <c r="DI19" s="204"/>
      <c r="DJ19" s="204"/>
      <c r="DK19" s="204"/>
      <c r="DL19" s="204"/>
      <c r="DM19" s="204"/>
      <c r="DN19" s="204"/>
      <c r="DO19" s="204"/>
      <c r="DP19" s="204"/>
      <c r="DQ19" s="204"/>
      <c r="DR19" s="204"/>
      <c r="DS19" s="204"/>
      <c r="DT19" s="204"/>
      <c r="DU19" s="204"/>
      <c r="DV19" s="204"/>
      <c r="DW19" s="204"/>
      <c r="DX19" s="204"/>
      <c r="DY19" s="204"/>
      <c r="DZ19" s="204"/>
      <c r="EA19" s="204"/>
      <c r="EB19" s="204"/>
      <c r="EC19" s="204"/>
      <c r="ED19" s="204"/>
      <c r="EE19" s="204"/>
      <c r="EF19" s="204"/>
      <c r="EG19" s="204"/>
      <c r="EH19" s="204"/>
      <c r="EI19" s="204"/>
      <c r="EJ19" s="204"/>
      <c r="EK19" s="204"/>
      <c r="EL19" s="204"/>
      <c r="EM19" s="204"/>
      <c r="EN19" s="204"/>
      <c r="EO19" s="204"/>
      <c r="EP19" s="204"/>
      <c r="EQ19" s="204"/>
      <c r="ER19" s="204"/>
      <c r="ES19" s="204"/>
      <c r="ET19" s="204"/>
      <c r="EU19" s="204"/>
      <c r="EV19" s="204"/>
      <c r="EW19" s="204"/>
      <c r="EX19" s="204"/>
      <c r="EY19" s="204"/>
      <c r="EZ19" s="204"/>
      <c r="FA19" s="204"/>
      <c r="FB19" s="204"/>
      <c r="FC19" s="204"/>
      <c r="FD19" s="204"/>
      <c r="FE19" s="204"/>
      <c r="FF19" s="204"/>
      <c r="FG19" s="204"/>
      <c r="FH19" s="204"/>
      <c r="FI19" s="204"/>
      <c r="FJ19" s="204"/>
      <c r="FK19" s="204"/>
      <c r="FL19" s="204"/>
      <c r="FM19" s="204"/>
      <c r="FN19" s="204"/>
      <c r="FO19" s="204"/>
      <c r="FP19" s="204"/>
      <c r="FQ19" s="204"/>
      <c r="FR19" s="204"/>
      <c r="FS19" s="204"/>
      <c r="FT19" s="204"/>
      <c r="FU19" s="204"/>
      <c r="FV19" s="204"/>
      <c r="FW19" s="204"/>
      <c r="FX19" s="204"/>
      <c r="FY19" s="204"/>
      <c r="FZ19" s="204"/>
      <c r="GA19" s="204"/>
      <c r="GB19" s="204"/>
      <c r="GC19" s="204"/>
      <c r="GD19" s="204"/>
      <c r="GE19" s="204"/>
      <c r="GF19" s="204"/>
      <c r="GG19" s="204"/>
      <c r="GH19" s="204"/>
      <c r="GI19" s="204"/>
      <c r="GJ19" s="204"/>
      <c r="GK19" s="204"/>
      <c r="GL19" s="204"/>
      <c r="GM19" s="204"/>
      <c r="GN19" s="204"/>
      <c r="GO19" s="204"/>
      <c r="GP19" s="204"/>
      <c r="GQ19" s="204"/>
      <c r="GR19" s="204"/>
      <c r="GS19" s="204"/>
      <c r="GT19" s="204"/>
      <c r="GU19" s="204"/>
      <c r="GV19" s="204"/>
      <c r="GW19" s="204"/>
      <c r="GX19" s="204"/>
      <c r="GY19" s="204"/>
      <c r="GZ19" s="204"/>
      <c r="HA19" s="204"/>
      <c r="HB19" s="204"/>
      <c r="HC19" s="204"/>
      <c r="HD19" s="204"/>
      <c r="HE19" s="204"/>
      <c r="HF19" s="204"/>
      <c r="HG19" s="204"/>
      <c r="HH19" s="204"/>
      <c r="HI19" s="204"/>
      <c r="HJ19" s="204"/>
      <c r="HK19" s="204"/>
      <c r="HL19" s="204"/>
      <c r="HM19" s="204"/>
      <c r="HN19" s="204"/>
      <c r="HO19" s="204"/>
      <c r="HP19" s="204"/>
      <c r="HQ19" s="204"/>
      <c r="HR19" s="204"/>
      <c r="HS19" s="204"/>
      <c r="HT19" s="204"/>
      <c r="HU19" s="204"/>
      <c r="HV19" s="204"/>
      <c r="HW19" s="204"/>
      <c r="HX19" s="204"/>
      <c r="HY19" s="204"/>
      <c r="HZ19" s="204"/>
      <c r="IA19" s="204"/>
      <c r="IB19" s="204"/>
      <c r="IC19" s="204"/>
      <c r="ID19" s="204"/>
      <c r="IE19" s="204"/>
      <c r="IF19" s="204"/>
      <c r="IG19" s="204"/>
      <c r="IH19" s="204"/>
      <c r="II19" s="204"/>
      <c r="IJ19" s="204"/>
      <c r="IK19" s="204"/>
      <c r="IL19" s="204"/>
      <c r="IM19" s="204"/>
      <c r="IN19" s="204"/>
      <c r="IO19" s="204"/>
      <c r="IP19" s="204"/>
      <c r="IQ19" s="204"/>
      <c r="IR19" s="204"/>
      <c r="IS19" s="204"/>
      <c r="IT19" s="204"/>
      <c r="IU19" s="204"/>
      <c r="IV19" s="204"/>
      <c r="IW19" s="204"/>
      <c r="IX19" s="204"/>
      <c r="IY19" s="204"/>
      <c r="IZ19" s="204"/>
      <c r="JA19" s="204"/>
      <c r="JB19" s="204"/>
      <c r="JC19" s="204"/>
      <c r="JD19" s="204"/>
      <c r="JE19" s="204"/>
      <c r="JF19" s="204"/>
      <c r="JG19" s="204"/>
      <c r="JH19" s="204"/>
      <c r="JI19" s="204"/>
      <c r="JJ19" s="204"/>
      <c r="JK19" s="204"/>
      <c r="JL19" s="204"/>
      <c r="JM19" s="204"/>
      <c r="JN19" s="204"/>
      <c r="JO19" s="204"/>
      <c r="JP19" s="204"/>
      <c r="JQ19" s="204"/>
      <c r="JR19" s="204"/>
      <c r="JS19" s="204"/>
      <c r="JT19" s="204"/>
      <c r="JU19" s="204"/>
      <c r="JV19" s="204"/>
      <c r="JW19" s="204"/>
      <c r="JX19" s="204"/>
      <c r="JY19" s="204"/>
      <c r="JZ19" s="204"/>
      <c r="KA19" s="204"/>
      <c r="KB19" s="204"/>
      <c r="KC19" s="204"/>
      <c r="KD19" s="204"/>
      <c r="KE19" s="204"/>
      <c r="KF19" s="204"/>
      <c r="KG19" s="204"/>
      <c r="KH19" s="204"/>
      <c r="KI19" s="204"/>
      <c r="KJ19" s="204"/>
      <c r="KK19" s="204"/>
      <c r="KL19" s="204"/>
      <c r="KM19" s="204"/>
      <c r="KN19" s="204"/>
      <c r="KO19" s="204"/>
      <c r="KP19" s="204"/>
      <c r="KQ19" s="204"/>
      <c r="KR19" s="204"/>
      <c r="KS19" s="204"/>
      <c r="KT19" s="204"/>
      <c r="KU19" s="204"/>
      <c r="KV19" s="204"/>
      <c r="KW19" s="204"/>
      <c r="KX19" s="204"/>
      <c r="KY19" s="204"/>
      <c r="KZ19" s="204"/>
      <c r="LA19" s="204"/>
      <c r="LB19" s="204"/>
      <c r="LC19" s="204"/>
      <c r="LD19" s="204"/>
      <c r="LE19" s="204"/>
      <c r="LF19" s="204"/>
      <c r="LG19" s="204"/>
      <c r="LH19" s="204"/>
      <c r="LI19" s="204"/>
      <c r="LJ19" s="204"/>
      <c r="LK19" s="204"/>
      <c r="LL19" s="204"/>
      <c r="LM19" s="204"/>
      <c r="LN19" s="204"/>
      <c r="LO19" s="204"/>
      <c r="LP19" s="204"/>
      <c r="LQ19" s="204"/>
      <c r="LR19" s="204"/>
      <c r="LS19" s="204"/>
      <c r="LT19" s="204"/>
      <c r="LU19" s="204"/>
      <c r="LV19" s="204"/>
      <c r="LW19" s="204"/>
      <c r="LX19" s="204"/>
      <c r="LY19" s="204"/>
      <c r="LZ19" s="204"/>
      <c r="MA19" s="204"/>
      <c r="MB19" s="204"/>
      <c r="MC19" s="204"/>
      <c r="MD19" s="204"/>
      <c r="ME19" s="204"/>
      <c r="MF19" s="204"/>
      <c r="MG19" s="204"/>
      <c r="MH19" s="204"/>
      <c r="MI19" s="204"/>
      <c r="MJ19" s="204"/>
      <c r="MK19" s="204"/>
      <c r="ML19" s="204"/>
      <c r="MM19" s="204"/>
      <c r="MN19" s="204"/>
      <c r="MO19" s="204"/>
      <c r="MP19" s="204"/>
      <c r="MQ19" s="204"/>
      <c r="MR19" s="204"/>
      <c r="MS19" s="204"/>
      <c r="MT19" s="204"/>
      <c r="MU19" s="204"/>
      <c r="MV19" s="204"/>
      <c r="MW19" s="204"/>
      <c r="MX19" s="204"/>
      <c r="MY19" s="204"/>
      <c r="MZ19" s="204"/>
      <c r="NA19" s="204"/>
      <c r="NB19" s="204"/>
      <c r="NC19" s="204"/>
      <c r="ND19" s="204"/>
      <c r="NE19" s="204"/>
      <c r="NF19" s="204"/>
      <c r="NG19" s="204"/>
      <c r="NH19" s="204"/>
      <c r="NI19" s="204"/>
      <c r="NJ19" s="204"/>
      <c r="NK19" s="204"/>
      <c r="NL19" s="204"/>
      <c r="NM19" s="204"/>
      <c r="NN19" s="204"/>
      <c r="NO19" s="204"/>
      <c r="NP19" s="204"/>
      <c r="NQ19" s="204"/>
      <c r="NR19" s="204"/>
      <c r="NS19" s="204"/>
      <c r="NT19" s="204"/>
      <c r="NU19" s="204"/>
      <c r="NV19" s="204"/>
      <c r="NW19" s="204"/>
      <c r="NX19" s="204"/>
      <c r="NY19" s="204"/>
      <c r="NZ19" s="204"/>
      <c r="OA19" s="204"/>
      <c r="OB19" s="204"/>
      <c r="OC19" s="204"/>
      <c r="OD19" s="204"/>
      <c r="OE19" s="204"/>
      <c r="OF19" s="204"/>
      <c r="OG19" s="204"/>
      <c r="OH19" s="204"/>
      <c r="OI19" s="204"/>
      <c r="OJ19" s="204"/>
      <c r="OK19" s="204"/>
      <c r="OL19" s="204"/>
      <c r="OM19" s="204"/>
      <c r="ON19" s="204"/>
      <c r="OO19" s="204"/>
      <c r="OP19" s="204"/>
      <c r="OQ19" s="204"/>
      <c r="OR19" s="204"/>
      <c r="OS19" s="204"/>
      <c r="OT19" s="204"/>
      <c r="OU19" s="204"/>
      <c r="OV19" s="204"/>
      <c r="OW19" s="204"/>
      <c r="OX19" s="204"/>
      <c r="OY19" s="204"/>
      <c r="OZ19" s="204"/>
      <c r="PA19" s="204"/>
      <c r="PB19" s="204"/>
      <c r="PC19" s="204"/>
      <c r="PD19" s="204"/>
      <c r="PE19" s="204"/>
      <c r="PF19" s="204"/>
      <c r="PG19" s="204"/>
      <c r="PH19" s="204"/>
      <c r="PI19" s="204"/>
      <c r="PJ19" s="204"/>
      <c r="PK19" s="204"/>
      <c r="PL19" s="204"/>
      <c r="PM19" s="204"/>
      <c r="PN19" s="204"/>
      <c r="PO19" s="204"/>
      <c r="PP19" s="204"/>
      <c r="PQ19" s="204"/>
      <c r="PR19" s="204"/>
      <c r="PS19" s="204"/>
      <c r="PT19" s="204"/>
      <c r="PU19" s="204"/>
      <c r="PV19" s="204"/>
      <c r="PW19" s="204"/>
      <c r="PX19" s="204"/>
      <c r="PY19" s="204"/>
      <c r="PZ19" s="204"/>
      <c r="QA19" s="204"/>
      <c r="QB19" s="204"/>
      <c r="QC19" s="204"/>
      <c r="QD19" s="204"/>
      <c r="QE19" s="204"/>
      <c r="QF19" s="204"/>
      <c r="QG19" s="204"/>
      <c r="QH19" s="204"/>
      <c r="QI19" s="204"/>
      <c r="QJ19" s="204"/>
      <c r="QK19" s="204"/>
      <c r="QL19" s="204"/>
      <c r="QM19" s="204"/>
      <c r="QN19" s="204"/>
      <c r="QO19" s="204"/>
      <c r="QP19" s="204"/>
      <c r="QQ19" s="204"/>
      <c r="QR19" s="204"/>
      <c r="QS19" s="204"/>
      <c r="QT19" s="204"/>
      <c r="QU19" s="204"/>
      <c r="QV19" s="204"/>
      <c r="QW19" s="204"/>
      <c r="QX19" s="204"/>
      <c r="QY19" s="204"/>
      <c r="QZ19" s="204"/>
      <c r="RA19" s="204"/>
      <c r="RB19" s="204"/>
      <c r="RC19" s="204"/>
      <c r="RD19" s="204"/>
      <c r="RE19" s="204"/>
      <c r="RF19" s="204"/>
      <c r="RG19" s="204"/>
      <c r="RH19" s="204"/>
      <c r="RI19" s="204"/>
      <c r="RJ19" s="204"/>
      <c r="RK19" s="204"/>
      <c r="RL19" s="204"/>
      <c r="RM19" s="204"/>
      <c r="RN19" s="204"/>
      <c r="RO19" s="204"/>
      <c r="RP19" s="204"/>
      <c r="RQ19" s="204"/>
      <c r="RR19" s="204"/>
      <c r="RS19" s="204"/>
      <c r="RT19" s="204"/>
      <c r="RU19" s="204"/>
      <c r="RV19" s="204"/>
      <c r="RW19" s="204"/>
      <c r="RX19" s="204"/>
      <c r="RY19" s="204"/>
      <c r="RZ19" s="204"/>
      <c r="SA19" s="204"/>
      <c r="SB19" s="204"/>
      <c r="SC19" s="204"/>
      <c r="SD19" s="204"/>
      <c r="SE19" s="204"/>
      <c r="SF19" s="204"/>
      <c r="SG19" s="204"/>
      <c r="SH19" s="204"/>
      <c r="SI19" s="204"/>
      <c r="SJ19" s="204"/>
      <c r="SK19" s="204"/>
      <c r="SL19" s="204"/>
      <c r="SM19" s="204"/>
      <c r="SN19" s="204"/>
      <c r="SO19" s="204"/>
      <c r="SP19" s="204"/>
      <c r="SQ19" s="204"/>
      <c r="SR19" s="204"/>
      <c r="SS19" s="204"/>
      <c r="ST19" s="204"/>
      <c r="SU19" s="204"/>
      <c r="SV19" s="204"/>
      <c r="SW19" s="204"/>
      <c r="SX19" s="204"/>
      <c r="SY19" s="204"/>
      <c r="SZ19" s="204"/>
      <c r="TA19" s="204"/>
      <c r="TB19" s="204"/>
      <c r="TC19" s="204"/>
      <c r="TD19" s="204"/>
      <c r="TE19" s="204"/>
      <c r="TF19" s="204"/>
      <c r="TG19" s="204"/>
      <c r="TH19" s="204"/>
      <c r="TI19" s="204"/>
      <c r="TJ19" s="204"/>
      <c r="TK19" s="204"/>
      <c r="TL19" s="204"/>
      <c r="TM19" s="204"/>
      <c r="TN19" s="204"/>
      <c r="TO19" s="204"/>
      <c r="TP19" s="204"/>
      <c r="TQ19" s="204"/>
      <c r="TR19" s="204"/>
      <c r="TS19" s="204"/>
      <c r="TT19" s="204"/>
      <c r="TU19" s="204"/>
      <c r="TV19" s="204"/>
      <c r="TW19" s="204"/>
      <c r="TX19" s="204"/>
      <c r="TY19" s="204"/>
      <c r="TZ19" s="204"/>
      <c r="UA19" s="204"/>
      <c r="UB19" s="204"/>
      <c r="UC19" s="204"/>
      <c r="UD19" s="204"/>
      <c r="UE19" s="204"/>
      <c r="UF19" s="204"/>
      <c r="UG19" s="204"/>
      <c r="UH19" s="204"/>
      <c r="UI19" s="204"/>
      <c r="UJ19" s="204"/>
      <c r="UK19" s="204"/>
      <c r="UL19" s="204"/>
      <c r="UM19" s="204"/>
      <c r="UN19" s="204"/>
      <c r="UO19" s="204"/>
      <c r="UP19" s="204"/>
      <c r="UQ19" s="204"/>
      <c r="UR19" s="204"/>
      <c r="US19" s="204"/>
      <c r="UT19" s="204"/>
      <c r="UU19" s="204"/>
      <c r="UV19" s="204"/>
      <c r="UW19" s="204"/>
      <c r="UX19" s="204"/>
      <c r="UY19" s="204"/>
      <c r="UZ19" s="204"/>
      <c r="VA19" s="204"/>
      <c r="VB19" s="204"/>
      <c r="VC19" s="204"/>
      <c r="VD19" s="204"/>
      <c r="VE19" s="204"/>
      <c r="VF19" s="204"/>
      <c r="VG19" s="204"/>
      <c r="VH19" s="204"/>
      <c r="VI19" s="204"/>
      <c r="VJ19" s="204"/>
      <c r="VK19" s="204"/>
      <c r="VL19" s="204"/>
      <c r="VM19" s="204"/>
      <c r="VN19" s="204"/>
      <c r="VO19" s="204"/>
      <c r="VP19" s="204"/>
      <c r="VQ19" s="204"/>
      <c r="VR19" s="204"/>
      <c r="VS19" s="204"/>
      <c r="VT19" s="204"/>
      <c r="VU19" s="204"/>
      <c r="VV19" s="204"/>
      <c r="VW19" s="204"/>
      <c r="VX19" s="204"/>
      <c r="VY19" s="204"/>
      <c r="VZ19" s="204"/>
      <c r="WA19" s="204"/>
      <c r="WB19" s="204"/>
      <c r="WC19" s="204"/>
      <c r="WD19" s="204"/>
      <c r="WE19" s="204"/>
    </row>
    <row r="20" spans="1:603" s="185" customFormat="1" x14ac:dyDescent="0.4">
      <c r="A20" s="201"/>
      <c r="B20" s="201"/>
      <c r="C20" s="201"/>
      <c r="D20" s="201"/>
      <c r="E20" s="201"/>
      <c r="F20" s="201"/>
      <c r="G20" s="201"/>
      <c r="H20" s="201"/>
      <c r="I20" s="201"/>
      <c r="J20" s="204"/>
      <c r="K20" s="204"/>
      <c r="L20" s="205"/>
      <c r="M20" s="205"/>
      <c r="N20" s="204"/>
      <c r="O20" s="204"/>
      <c r="P20" s="205"/>
      <c r="Q20" s="205"/>
      <c r="R20" s="204"/>
      <c r="S20" s="204"/>
      <c r="T20" s="205"/>
      <c r="U20" s="205"/>
      <c r="V20" s="204"/>
      <c r="W20" s="204"/>
      <c r="X20" s="205"/>
      <c r="Y20" s="205"/>
      <c r="Z20" s="204"/>
      <c r="AA20" s="204"/>
      <c r="AB20" s="205"/>
      <c r="AC20" s="205"/>
      <c r="AD20" s="204"/>
      <c r="AE20" s="204"/>
      <c r="AF20" s="205"/>
      <c r="AG20" s="205"/>
      <c r="AH20" s="204"/>
      <c r="AI20" s="204"/>
      <c r="AJ20" s="205"/>
      <c r="AK20" s="205"/>
      <c r="AL20" s="204"/>
      <c r="AM20" s="204"/>
      <c r="AN20" s="205"/>
      <c r="AO20" s="205"/>
      <c r="AP20" s="204"/>
      <c r="AQ20" s="204"/>
      <c r="AR20" s="205"/>
      <c r="AS20" s="205"/>
      <c r="AT20" s="204"/>
      <c r="AU20" s="204"/>
      <c r="AV20" s="205"/>
      <c r="AW20" s="205"/>
      <c r="AX20" s="204"/>
      <c r="AY20" s="204"/>
      <c r="AZ20" s="205"/>
      <c r="BA20" s="205"/>
      <c r="BB20" s="204"/>
      <c r="BC20" s="204"/>
      <c r="BD20" s="205"/>
      <c r="BE20" s="205"/>
      <c r="BF20" s="204"/>
      <c r="BG20" s="204"/>
      <c r="BH20" s="204"/>
      <c r="BI20" s="204"/>
      <c r="BJ20" s="204"/>
      <c r="BK20" s="204"/>
      <c r="BL20" s="204"/>
      <c r="BM20" s="204"/>
      <c r="BN20" s="204"/>
      <c r="BO20" s="204"/>
      <c r="BP20" s="204"/>
      <c r="BQ20" s="204"/>
      <c r="BR20" s="204"/>
      <c r="BS20" s="204"/>
      <c r="BT20" s="204"/>
      <c r="BU20" s="204"/>
      <c r="BV20" s="204"/>
      <c r="BW20" s="204"/>
      <c r="BX20" s="204"/>
      <c r="BY20" s="204"/>
      <c r="BZ20" s="204"/>
      <c r="CA20" s="204"/>
      <c r="CB20" s="204"/>
      <c r="CC20" s="204"/>
      <c r="CD20" s="204"/>
      <c r="CE20" s="204"/>
      <c r="CF20" s="204"/>
      <c r="CG20" s="204"/>
      <c r="CH20" s="204"/>
      <c r="CI20" s="204"/>
      <c r="CJ20" s="204"/>
      <c r="CK20" s="204"/>
      <c r="CL20" s="204"/>
      <c r="CM20" s="204"/>
      <c r="CN20" s="204"/>
      <c r="CO20" s="204"/>
      <c r="CP20" s="204"/>
      <c r="CQ20" s="204"/>
      <c r="CR20" s="204"/>
      <c r="CS20" s="204"/>
      <c r="CT20" s="204"/>
      <c r="CU20" s="204"/>
      <c r="CV20" s="204"/>
      <c r="CW20" s="204"/>
      <c r="CX20" s="204"/>
      <c r="CY20" s="204"/>
      <c r="CZ20" s="204"/>
      <c r="DA20" s="204"/>
      <c r="DB20" s="204"/>
      <c r="DC20" s="204"/>
      <c r="DD20" s="204"/>
      <c r="DE20" s="204"/>
      <c r="DF20" s="204"/>
      <c r="DG20" s="204"/>
      <c r="DH20" s="204"/>
      <c r="DI20" s="204"/>
      <c r="DJ20" s="204"/>
      <c r="DK20" s="204"/>
      <c r="DL20" s="204"/>
      <c r="DM20" s="204"/>
      <c r="DN20" s="204"/>
      <c r="DO20" s="204"/>
      <c r="DP20" s="204"/>
      <c r="DQ20" s="204"/>
      <c r="DR20" s="204"/>
      <c r="DS20" s="204"/>
      <c r="DT20" s="204"/>
      <c r="DU20" s="204"/>
      <c r="DV20" s="204"/>
      <c r="DW20" s="204"/>
      <c r="DX20" s="204"/>
      <c r="DY20" s="204"/>
      <c r="DZ20" s="204"/>
      <c r="EA20" s="204"/>
      <c r="EB20" s="204"/>
      <c r="EC20" s="204"/>
      <c r="ED20" s="204"/>
      <c r="EE20" s="204"/>
      <c r="EF20" s="204"/>
      <c r="EG20" s="204"/>
      <c r="EH20" s="204"/>
      <c r="EI20" s="204"/>
      <c r="EJ20" s="204"/>
      <c r="EK20" s="204"/>
      <c r="EL20" s="204"/>
      <c r="EM20" s="204"/>
      <c r="EN20" s="204"/>
      <c r="EO20" s="204"/>
      <c r="EP20" s="204"/>
      <c r="EQ20" s="204"/>
      <c r="ER20" s="204"/>
      <c r="ES20" s="204"/>
      <c r="ET20" s="204"/>
      <c r="EU20" s="204"/>
      <c r="EV20" s="204"/>
      <c r="EW20" s="204"/>
      <c r="EX20" s="204"/>
      <c r="EY20" s="204"/>
      <c r="EZ20" s="204"/>
      <c r="FA20" s="204"/>
      <c r="FB20" s="204"/>
      <c r="FC20" s="204"/>
      <c r="FD20" s="204"/>
      <c r="FE20" s="204"/>
      <c r="FF20" s="204"/>
      <c r="FG20" s="204"/>
      <c r="FH20" s="204"/>
      <c r="FI20" s="204"/>
      <c r="FJ20" s="204"/>
      <c r="FK20" s="204"/>
      <c r="FL20" s="204"/>
      <c r="FM20" s="204"/>
      <c r="FN20" s="204"/>
      <c r="FO20" s="204"/>
      <c r="FP20" s="204"/>
      <c r="FQ20" s="204"/>
      <c r="FR20" s="204"/>
      <c r="FS20" s="204"/>
      <c r="FT20" s="204"/>
      <c r="FU20" s="204"/>
      <c r="FV20" s="204"/>
      <c r="FW20" s="204"/>
      <c r="FX20" s="204"/>
      <c r="FY20" s="204"/>
      <c r="FZ20" s="204"/>
      <c r="GA20" s="204"/>
      <c r="GB20" s="204"/>
      <c r="GC20" s="204"/>
      <c r="GD20" s="204"/>
      <c r="GE20" s="204"/>
      <c r="GF20" s="204"/>
      <c r="GG20" s="204"/>
      <c r="GH20" s="204"/>
      <c r="GI20" s="204"/>
      <c r="GJ20" s="204"/>
      <c r="GK20" s="204"/>
      <c r="GL20" s="204"/>
      <c r="GM20" s="204"/>
      <c r="GN20" s="204"/>
      <c r="GO20" s="204"/>
      <c r="GP20" s="204"/>
      <c r="GQ20" s="204"/>
      <c r="GR20" s="204"/>
      <c r="GS20" s="204"/>
      <c r="GT20" s="204"/>
      <c r="GU20" s="204"/>
      <c r="GV20" s="204"/>
      <c r="GW20" s="204"/>
      <c r="GX20" s="204"/>
      <c r="GY20" s="204"/>
      <c r="GZ20" s="204"/>
      <c r="HA20" s="204"/>
      <c r="HB20" s="204"/>
      <c r="HC20" s="204"/>
      <c r="HD20" s="204"/>
      <c r="HE20" s="204"/>
      <c r="HF20" s="204"/>
      <c r="HG20" s="204"/>
      <c r="HH20" s="204"/>
      <c r="HI20" s="204"/>
      <c r="HJ20" s="204"/>
      <c r="HK20" s="204"/>
      <c r="HL20" s="204"/>
      <c r="HM20" s="204"/>
      <c r="HN20" s="204"/>
      <c r="HO20" s="204"/>
      <c r="HP20" s="204"/>
      <c r="HQ20" s="204"/>
      <c r="HR20" s="204"/>
      <c r="HS20" s="204"/>
      <c r="HT20" s="204"/>
      <c r="HU20" s="204"/>
      <c r="HV20" s="204"/>
      <c r="HW20" s="204"/>
      <c r="HX20" s="204"/>
      <c r="HY20" s="204"/>
      <c r="HZ20" s="204"/>
      <c r="IA20" s="204"/>
      <c r="IB20" s="204"/>
      <c r="IC20" s="204"/>
      <c r="ID20" s="204"/>
      <c r="IE20" s="204"/>
      <c r="IF20" s="204"/>
      <c r="IG20" s="204"/>
      <c r="IH20" s="204"/>
      <c r="II20" s="204"/>
      <c r="IJ20" s="204"/>
      <c r="IK20" s="204"/>
      <c r="IL20" s="204"/>
      <c r="IM20" s="204"/>
      <c r="IN20" s="204"/>
      <c r="IO20" s="204"/>
      <c r="IP20" s="204"/>
      <c r="IQ20" s="204"/>
      <c r="IR20" s="204"/>
      <c r="IS20" s="204"/>
      <c r="IT20" s="204"/>
      <c r="IU20" s="204"/>
      <c r="IV20" s="204"/>
      <c r="IW20" s="204"/>
      <c r="IX20" s="204"/>
      <c r="IY20" s="204"/>
      <c r="IZ20" s="204"/>
      <c r="JA20" s="204"/>
      <c r="JB20" s="204"/>
      <c r="JC20" s="204"/>
      <c r="JD20" s="204"/>
      <c r="JE20" s="204"/>
      <c r="JF20" s="204"/>
      <c r="JG20" s="204"/>
      <c r="JH20" s="204"/>
      <c r="JI20" s="204"/>
      <c r="JJ20" s="204"/>
      <c r="JK20" s="204"/>
      <c r="JL20" s="204"/>
      <c r="JM20" s="204"/>
      <c r="JN20" s="204"/>
      <c r="JO20" s="204"/>
      <c r="JP20" s="204"/>
      <c r="JQ20" s="204"/>
      <c r="JR20" s="204"/>
      <c r="JS20" s="204"/>
      <c r="JT20" s="204"/>
      <c r="JU20" s="204"/>
      <c r="JV20" s="204"/>
      <c r="JW20" s="204"/>
      <c r="JX20" s="204"/>
      <c r="JY20" s="204"/>
      <c r="JZ20" s="204"/>
      <c r="KA20" s="204"/>
      <c r="KB20" s="204"/>
      <c r="KC20" s="204"/>
      <c r="KD20" s="204"/>
      <c r="KE20" s="204"/>
      <c r="KF20" s="204"/>
      <c r="KG20" s="204"/>
      <c r="KH20" s="204"/>
      <c r="KI20" s="204"/>
      <c r="KJ20" s="204"/>
      <c r="KK20" s="204"/>
      <c r="KL20" s="204"/>
      <c r="KM20" s="204"/>
      <c r="KN20" s="204"/>
      <c r="KO20" s="204"/>
      <c r="KP20" s="204"/>
      <c r="KQ20" s="204"/>
      <c r="KR20" s="204"/>
      <c r="KS20" s="204"/>
      <c r="KT20" s="204"/>
      <c r="KU20" s="204"/>
      <c r="KV20" s="204"/>
      <c r="KW20" s="204"/>
      <c r="KX20" s="204"/>
      <c r="KY20" s="204"/>
      <c r="KZ20" s="204"/>
      <c r="LA20" s="204"/>
      <c r="LB20" s="204"/>
      <c r="LC20" s="204"/>
      <c r="LD20" s="204"/>
      <c r="LE20" s="204"/>
      <c r="LF20" s="204"/>
      <c r="LG20" s="204"/>
      <c r="LH20" s="204"/>
      <c r="LI20" s="204"/>
      <c r="LJ20" s="204"/>
      <c r="LK20" s="204"/>
      <c r="LL20" s="204"/>
      <c r="LM20" s="204"/>
      <c r="LN20" s="204"/>
      <c r="LO20" s="204"/>
      <c r="LP20" s="204"/>
      <c r="LQ20" s="204"/>
      <c r="LR20" s="204"/>
      <c r="LS20" s="204"/>
      <c r="LT20" s="204"/>
      <c r="LU20" s="204"/>
      <c r="LV20" s="204"/>
      <c r="LW20" s="204"/>
      <c r="LX20" s="204"/>
      <c r="LY20" s="204"/>
      <c r="LZ20" s="204"/>
      <c r="MA20" s="204"/>
      <c r="MB20" s="204"/>
      <c r="MC20" s="204"/>
      <c r="MD20" s="204"/>
      <c r="ME20" s="204"/>
      <c r="MF20" s="204"/>
      <c r="MG20" s="204"/>
      <c r="MH20" s="204"/>
      <c r="MI20" s="204"/>
      <c r="MJ20" s="204"/>
      <c r="MK20" s="204"/>
      <c r="ML20" s="204"/>
      <c r="MM20" s="204"/>
      <c r="MN20" s="204"/>
      <c r="MO20" s="204"/>
      <c r="MP20" s="204"/>
      <c r="MQ20" s="204"/>
      <c r="MR20" s="204"/>
      <c r="MS20" s="204"/>
      <c r="MT20" s="204"/>
      <c r="MU20" s="204"/>
      <c r="MV20" s="204"/>
      <c r="MW20" s="204"/>
      <c r="MX20" s="204"/>
      <c r="MY20" s="204"/>
      <c r="MZ20" s="204"/>
      <c r="NA20" s="204"/>
      <c r="NB20" s="204"/>
      <c r="NC20" s="204"/>
      <c r="ND20" s="204"/>
      <c r="NE20" s="204"/>
      <c r="NF20" s="204"/>
      <c r="NG20" s="204"/>
      <c r="NH20" s="204"/>
      <c r="NI20" s="204"/>
      <c r="NJ20" s="204"/>
      <c r="NK20" s="204"/>
      <c r="NL20" s="204"/>
      <c r="NM20" s="204"/>
      <c r="NN20" s="204"/>
      <c r="NO20" s="204"/>
      <c r="NP20" s="204"/>
      <c r="NQ20" s="204"/>
      <c r="NR20" s="204"/>
      <c r="NS20" s="204"/>
      <c r="NT20" s="204"/>
      <c r="NU20" s="204"/>
      <c r="NV20" s="204"/>
      <c r="NW20" s="204"/>
      <c r="NX20" s="204"/>
      <c r="NY20" s="204"/>
      <c r="NZ20" s="204"/>
      <c r="OA20" s="204"/>
      <c r="OB20" s="204"/>
      <c r="OC20" s="204"/>
      <c r="OD20" s="204"/>
      <c r="OE20" s="204"/>
      <c r="OF20" s="204"/>
      <c r="OG20" s="204"/>
      <c r="OH20" s="204"/>
      <c r="OI20" s="204"/>
      <c r="OJ20" s="204"/>
      <c r="OK20" s="204"/>
      <c r="OL20" s="204"/>
      <c r="OM20" s="204"/>
      <c r="ON20" s="204"/>
      <c r="OO20" s="204"/>
      <c r="OP20" s="204"/>
      <c r="OQ20" s="204"/>
      <c r="OR20" s="204"/>
      <c r="OS20" s="204"/>
      <c r="OT20" s="204"/>
      <c r="OU20" s="204"/>
      <c r="OV20" s="204"/>
      <c r="OW20" s="204"/>
      <c r="OX20" s="204"/>
      <c r="OY20" s="204"/>
      <c r="OZ20" s="204"/>
      <c r="PA20" s="204"/>
      <c r="PB20" s="204"/>
      <c r="PC20" s="204"/>
      <c r="PD20" s="204"/>
      <c r="PE20" s="204"/>
      <c r="PF20" s="204"/>
      <c r="PG20" s="204"/>
      <c r="PH20" s="204"/>
      <c r="PI20" s="204"/>
      <c r="PJ20" s="204"/>
      <c r="PK20" s="204"/>
      <c r="PL20" s="204"/>
      <c r="PM20" s="204"/>
      <c r="PN20" s="204"/>
      <c r="PO20" s="204"/>
      <c r="PP20" s="204"/>
      <c r="PQ20" s="204"/>
      <c r="PR20" s="204"/>
      <c r="PS20" s="204"/>
      <c r="PT20" s="204"/>
      <c r="PU20" s="204"/>
      <c r="PV20" s="204"/>
      <c r="PW20" s="204"/>
      <c r="PX20" s="204"/>
      <c r="PY20" s="204"/>
      <c r="PZ20" s="204"/>
      <c r="QA20" s="204"/>
      <c r="QB20" s="204"/>
      <c r="QC20" s="204"/>
      <c r="QD20" s="204"/>
      <c r="QE20" s="204"/>
      <c r="QF20" s="204"/>
      <c r="QG20" s="204"/>
      <c r="QH20" s="204"/>
      <c r="QI20" s="204"/>
      <c r="QJ20" s="204"/>
      <c r="QK20" s="204"/>
      <c r="QL20" s="204"/>
      <c r="QM20" s="204"/>
      <c r="QN20" s="204"/>
      <c r="QO20" s="204"/>
      <c r="QP20" s="204"/>
      <c r="QQ20" s="204"/>
      <c r="QR20" s="204"/>
      <c r="QS20" s="204"/>
      <c r="QT20" s="204"/>
      <c r="QU20" s="204"/>
      <c r="QV20" s="204"/>
      <c r="QW20" s="204"/>
      <c r="QX20" s="204"/>
      <c r="QY20" s="204"/>
      <c r="QZ20" s="204"/>
      <c r="RA20" s="204"/>
      <c r="RB20" s="204"/>
      <c r="RC20" s="204"/>
      <c r="RD20" s="204"/>
      <c r="RE20" s="204"/>
      <c r="RF20" s="204"/>
      <c r="RG20" s="204"/>
      <c r="RH20" s="204"/>
      <c r="RI20" s="204"/>
      <c r="RJ20" s="204"/>
      <c r="RK20" s="204"/>
      <c r="RL20" s="204"/>
      <c r="RM20" s="204"/>
      <c r="RN20" s="204"/>
      <c r="RO20" s="204"/>
      <c r="RP20" s="204"/>
      <c r="RQ20" s="204"/>
      <c r="RR20" s="204"/>
      <c r="RS20" s="204"/>
      <c r="RT20" s="204"/>
      <c r="RU20" s="204"/>
      <c r="RV20" s="204"/>
      <c r="RW20" s="204"/>
      <c r="RX20" s="204"/>
      <c r="RY20" s="204"/>
      <c r="RZ20" s="204"/>
      <c r="SA20" s="204"/>
      <c r="SB20" s="204"/>
      <c r="SC20" s="204"/>
      <c r="SD20" s="204"/>
      <c r="SE20" s="204"/>
      <c r="SF20" s="204"/>
      <c r="SG20" s="204"/>
      <c r="SH20" s="204"/>
      <c r="SI20" s="204"/>
      <c r="SJ20" s="204"/>
      <c r="SK20" s="204"/>
      <c r="SL20" s="204"/>
      <c r="SM20" s="204"/>
      <c r="SN20" s="204"/>
      <c r="SO20" s="204"/>
      <c r="SP20" s="204"/>
      <c r="SQ20" s="204"/>
      <c r="SR20" s="204"/>
      <c r="SS20" s="204"/>
      <c r="ST20" s="204"/>
      <c r="SU20" s="204"/>
      <c r="SV20" s="204"/>
      <c r="SW20" s="204"/>
      <c r="SX20" s="204"/>
      <c r="SY20" s="204"/>
      <c r="SZ20" s="204"/>
      <c r="TA20" s="204"/>
      <c r="TB20" s="204"/>
      <c r="TC20" s="204"/>
      <c r="TD20" s="204"/>
      <c r="TE20" s="204"/>
      <c r="TF20" s="204"/>
      <c r="TG20" s="204"/>
      <c r="TH20" s="204"/>
      <c r="TI20" s="204"/>
      <c r="TJ20" s="204"/>
      <c r="TK20" s="204"/>
      <c r="TL20" s="204"/>
      <c r="TM20" s="204"/>
      <c r="TN20" s="204"/>
      <c r="TO20" s="204"/>
      <c r="TP20" s="204"/>
      <c r="TQ20" s="204"/>
      <c r="TR20" s="204"/>
      <c r="TS20" s="204"/>
      <c r="TT20" s="204"/>
      <c r="TU20" s="204"/>
      <c r="TV20" s="204"/>
      <c r="TW20" s="204"/>
      <c r="TX20" s="204"/>
      <c r="TY20" s="204"/>
      <c r="TZ20" s="204"/>
      <c r="UA20" s="204"/>
      <c r="UB20" s="204"/>
      <c r="UC20" s="204"/>
      <c r="UD20" s="204"/>
      <c r="UE20" s="204"/>
      <c r="UF20" s="204"/>
      <c r="UG20" s="204"/>
      <c r="UH20" s="204"/>
      <c r="UI20" s="204"/>
      <c r="UJ20" s="204"/>
      <c r="UK20" s="204"/>
      <c r="UL20" s="204"/>
      <c r="UM20" s="204"/>
      <c r="UN20" s="204"/>
      <c r="UO20" s="204"/>
      <c r="UP20" s="204"/>
      <c r="UQ20" s="204"/>
      <c r="UR20" s="204"/>
      <c r="US20" s="204"/>
      <c r="UT20" s="204"/>
      <c r="UU20" s="204"/>
      <c r="UV20" s="204"/>
      <c r="UW20" s="204"/>
      <c r="UX20" s="204"/>
      <c r="UY20" s="204"/>
      <c r="UZ20" s="204"/>
      <c r="VA20" s="204"/>
      <c r="VB20" s="204"/>
      <c r="VC20" s="204"/>
      <c r="VD20" s="204"/>
      <c r="VE20" s="204"/>
      <c r="VF20" s="204"/>
      <c r="VG20" s="204"/>
      <c r="VH20" s="204"/>
      <c r="VI20" s="204"/>
      <c r="VJ20" s="204"/>
      <c r="VK20" s="204"/>
      <c r="VL20" s="204"/>
      <c r="VM20" s="204"/>
      <c r="VN20" s="204"/>
      <c r="VO20" s="204"/>
      <c r="VP20" s="204"/>
      <c r="VQ20" s="204"/>
      <c r="VR20" s="204"/>
      <c r="VS20" s="204"/>
      <c r="VT20" s="204"/>
      <c r="VU20" s="204"/>
      <c r="VV20" s="204"/>
      <c r="VW20" s="204"/>
      <c r="VX20" s="204"/>
      <c r="VY20" s="204"/>
      <c r="VZ20" s="204"/>
      <c r="WA20" s="204"/>
      <c r="WB20" s="204"/>
      <c r="WC20" s="204"/>
      <c r="WD20" s="204"/>
      <c r="WE20" s="204"/>
    </row>
    <row r="21" spans="1:603" s="185" customFormat="1" x14ac:dyDescent="0.4">
      <c r="A21" s="201"/>
      <c r="B21" s="201"/>
      <c r="C21" s="201"/>
      <c r="D21" s="201"/>
      <c r="E21" s="201"/>
      <c r="F21" s="201"/>
      <c r="G21" s="201"/>
      <c r="H21" s="201"/>
      <c r="I21" s="201"/>
      <c r="J21" s="204"/>
      <c r="K21" s="204"/>
      <c r="L21" s="205"/>
      <c r="M21" s="205"/>
      <c r="N21" s="204"/>
      <c r="O21" s="204"/>
      <c r="P21" s="205"/>
      <c r="Q21" s="205"/>
      <c r="R21" s="204"/>
      <c r="S21" s="204"/>
      <c r="T21" s="205"/>
      <c r="U21" s="205"/>
      <c r="V21" s="204"/>
      <c r="W21" s="204"/>
      <c r="X21" s="205"/>
      <c r="Y21" s="205"/>
      <c r="Z21" s="204"/>
      <c r="AA21" s="204"/>
      <c r="AB21" s="205"/>
      <c r="AC21" s="205"/>
      <c r="AD21" s="204"/>
      <c r="AE21" s="204"/>
      <c r="AF21" s="205"/>
      <c r="AG21" s="205"/>
      <c r="AH21" s="204"/>
      <c r="AI21" s="204"/>
      <c r="AJ21" s="205"/>
      <c r="AK21" s="205"/>
      <c r="AL21" s="204"/>
      <c r="AM21" s="204"/>
      <c r="AN21" s="205"/>
      <c r="AO21" s="205"/>
      <c r="AP21" s="204"/>
      <c r="AQ21" s="204"/>
      <c r="AR21" s="205"/>
      <c r="AS21" s="205"/>
      <c r="AT21" s="204"/>
      <c r="AU21" s="204"/>
      <c r="AV21" s="205"/>
      <c r="AW21" s="205"/>
      <c r="AX21" s="204"/>
      <c r="AY21" s="204"/>
      <c r="AZ21" s="205"/>
      <c r="BA21" s="205"/>
      <c r="BB21" s="204"/>
      <c r="BC21" s="204"/>
      <c r="BD21" s="205"/>
      <c r="BE21" s="205"/>
      <c r="BF21" s="204"/>
      <c r="BG21" s="204"/>
      <c r="BH21" s="204"/>
      <c r="BI21" s="204"/>
      <c r="BJ21" s="204"/>
      <c r="BK21" s="204"/>
      <c r="BL21" s="204"/>
      <c r="BM21" s="204"/>
      <c r="BN21" s="204"/>
      <c r="BO21" s="204"/>
      <c r="BP21" s="204"/>
      <c r="BQ21" s="204"/>
      <c r="BR21" s="204"/>
      <c r="BS21" s="204"/>
      <c r="BT21" s="204"/>
      <c r="BU21" s="204"/>
      <c r="BV21" s="204"/>
      <c r="BW21" s="204"/>
      <c r="BX21" s="204"/>
      <c r="BY21" s="204"/>
      <c r="BZ21" s="204"/>
      <c r="CA21" s="204"/>
      <c r="CB21" s="204"/>
      <c r="CC21" s="204"/>
      <c r="CD21" s="204"/>
      <c r="CE21" s="204"/>
      <c r="CF21" s="204"/>
      <c r="CG21" s="204"/>
      <c r="CH21" s="204"/>
      <c r="CI21" s="204"/>
      <c r="CJ21" s="204"/>
      <c r="CK21" s="204"/>
      <c r="CL21" s="204"/>
      <c r="CM21" s="204"/>
      <c r="CN21" s="204"/>
      <c r="CO21" s="204"/>
      <c r="CP21" s="204"/>
      <c r="CQ21" s="204"/>
      <c r="CR21" s="204"/>
      <c r="CS21" s="204"/>
      <c r="CT21" s="204"/>
      <c r="CU21" s="204"/>
      <c r="CV21" s="204"/>
      <c r="CW21" s="204"/>
      <c r="CX21" s="204"/>
      <c r="CY21" s="204"/>
      <c r="CZ21" s="204"/>
      <c r="DA21" s="204"/>
      <c r="DB21" s="204"/>
      <c r="DC21" s="204"/>
      <c r="DD21" s="204"/>
      <c r="DE21" s="204"/>
      <c r="DF21" s="204"/>
      <c r="DG21" s="204"/>
      <c r="DH21" s="204"/>
      <c r="DI21" s="204"/>
      <c r="DJ21" s="204"/>
      <c r="DK21" s="204"/>
      <c r="DL21" s="204"/>
      <c r="DM21" s="204"/>
      <c r="DN21" s="204"/>
      <c r="DO21" s="204"/>
      <c r="DP21" s="204"/>
      <c r="DQ21" s="204"/>
      <c r="DR21" s="204"/>
      <c r="DS21" s="204"/>
      <c r="DT21" s="204"/>
      <c r="DU21" s="204"/>
      <c r="DV21" s="204"/>
      <c r="DW21" s="204"/>
      <c r="DX21" s="204"/>
      <c r="DY21" s="204"/>
      <c r="DZ21" s="204"/>
      <c r="EA21" s="204"/>
      <c r="EB21" s="204"/>
      <c r="EC21" s="204"/>
      <c r="ED21" s="204"/>
      <c r="EE21" s="204"/>
      <c r="EF21" s="204"/>
      <c r="EG21" s="204"/>
      <c r="EH21" s="204"/>
      <c r="EI21" s="204"/>
      <c r="EJ21" s="204"/>
      <c r="EK21" s="204"/>
      <c r="EL21" s="204"/>
      <c r="EM21" s="204"/>
      <c r="EN21" s="204"/>
      <c r="EO21" s="204"/>
      <c r="EP21" s="204"/>
      <c r="EQ21" s="204"/>
      <c r="ER21" s="204"/>
      <c r="ES21" s="204"/>
      <c r="ET21" s="204"/>
      <c r="EU21" s="204"/>
      <c r="EV21" s="204"/>
      <c r="EW21" s="204"/>
      <c r="EX21" s="204"/>
      <c r="EY21" s="204"/>
      <c r="EZ21" s="204"/>
      <c r="FA21" s="204"/>
      <c r="FB21" s="204"/>
      <c r="FC21" s="204"/>
      <c r="FD21" s="204"/>
      <c r="FE21" s="204"/>
      <c r="FF21" s="204"/>
      <c r="FG21" s="204"/>
      <c r="FH21" s="204"/>
      <c r="FI21" s="204"/>
      <c r="FJ21" s="204"/>
      <c r="FK21" s="204"/>
      <c r="FL21" s="204"/>
      <c r="FM21" s="204"/>
      <c r="FN21" s="204"/>
      <c r="FO21" s="204"/>
      <c r="FP21" s="204"/>
      <c r="FQ21" s="204"/>
      <c r="FR21" s="204"/>
      <c r="FS21" s="204"/>
      <c r="FT21" s="204"/>
      <c r="FU21" s="204"/>
      <c r="FV21" s="204"/>
      <c r="FW21" s="204"/>
      <c r="FX21" s="204"/>
      <c r="FY21" s="204"/>
      <c r="FZ21" s="204"/>
      <c r="GA21" s="204"/>
      <c r="GB21" s="204"/>
      <c r="GC21" s="204"/>
      <c r="GD21" s="204"/>
      <c r="GE21" s="204"/>
      <c r="GF21" s="204"/>
      <c r="GG21" s="204"/>
      <c r="GH21" s="204"/>
      <c r="GI21" s="204"/>
      <c r="GJ21" s="204"/>
      <c r="GK21" s="204"/>
      <c r="GL21" s="204"/>
      <c r="GM21" s="204"/>
      <c r="GN21" s="204"/>
      <c r="GO21" s="204"/>
      <c r="GP21" s="204"/>
      <c r="GQ21" s="204"/>
      <c r="GR21" s="204"/>
      <c r="GS21" s="204"/>
      <c r="GT21" s="204"/>
      <c r="GU21" s="204"/>
      <c r="GV21" s="204"/>
      <c r="GW21" s="204"/>
      <c r="GX21" s="204"/>
      <c r="GY21" s="204"/>
      <c r="GZ21" s="204"/>
      <c r="HA21" s="204"/>
      <c r="HB21" s="204"/>
      <c r="HC21" s="204"/>
      <c r="HD21" s="204"/>
      <c r="HE21" s="204"/>
      <c r="HF21" s="204"/>
      <c r="HG21" s="204"/>
      <c r="HH21" s="204"/>
      <c r="HI21" s="204"/>
      <c r="HJ21" s="204"/>
      <c r="HK21" s="204"/>
      <c r="HL21" s="204"/>
      <c r="HM21" s="204"/>
      <c r="HN21" s="204"/>
      <c r="HO21" s="204"/>
      <c r="HP21" s="204"/>
      <c r="HQ21" s="204"/>
      <c r="HR21" s="204"/>
      <c r="HS21" s="204"/>
      <c r="HT21" s="204"/>
      <c r="HU21" s="204"/>
      <c r="HV21" s="204"/>
      <c r="HW21" s="204"/>
      <c r="HX21" s="204"/>
      <c r="HY21" s="204"/>
      <c r="HZ21" s="204"/>
      <c r="IA21" s="204"/>
      <c r="IB21" s="204"/>
      <c r="IC21" s="204"/>
      <c r="ID21" s="204"/>
      <c r="IE21" s="204"/>
      <c r="IF21" s="204"/>
      <c r="IG21" s="204"/>
      <c r="IH21" s="204"/>
      <c r="II21" s="204"/>
      <c r="IJ21" s="204"/>
      <c r="IK21" s="204"/>
      <c r="IL21" s="204"/>
      <c r="IM21" s="204"/>
      <c r="IN21" s="204"/>
      <c r="IO21" s="204"/>
      <c r="IP21" s="204"/>
      <c r="IQ21" s="204"/>
      <c r="IR21" s="204"/>
      <c r="IS21" s="204"/>
      <c r="IT21" s="204"/>
      <c r="IU21" s="204"/>
      <c r="IV21" s="204"/>
      <c r="IW21" s="204"/>
      <c r="IX21" s="204"/>
      <c r="IY21" s="204"/>
      <c r="IZ21" s="204"/>
      <c r="JA21" s="204"/>
      <c r="JB21" s="204"/>
      <c r="JC21" s="204"/>
      <c r="JD21" s="204"/>
      <c r="JE21" s="204"/>
      <c r="JF21" s="204"/>
      <c r="JG21" s="204"/>
      <c r="JH21" s="204"/>
      <c r="JI21" s="204"/>
      <c r="JJ21" s="204"/>
      <c r="JK21" s="204"/>
      <c r="JL21" s="204"/>
      <c r="JM21" s="204"/>
      <c r="JN21" s="204"/>
      <c r="JO21" s="204"/>
      <c r="JP21" s="204"/>
      <c r="JQ21" s="204"/>
      <c r="JR21" s="204"/>
      <c r="JS21" s="204"/>
      <c r="JT21" s="204"/>
      <c r="JU21" s="204"/>
      <c r="JV21" s="204"/>
      <c r="JW21" s="204"/>
      <c r="JX21" s="204"/>
      <c r="JY21" s="204"/>
      <c r="JZ21" s="204"/>
      <c r="KA21" s="204"/>
      <c r="KB21" s="204"/>
      <c r="KC21" s="204"/>
      <c r="KD21" s="204"/>
      <c r="KE21" s="204"/>
      <c r="KF21" s="204"/>
      <c r="KG21" s="204"/>
      <c r="KH21" s="204"/>
      <c r="KI21" s="204"/>
      <c r="KJ21" s="204"/>
      <c r="KK21" s="204"/>
      <c r="KL21" s="204"/>
      <c r="KM21" s="204"/>
      <c r="KN21" s="204"/>
      <c r="KO21" s="204"/>
      <c r="KP21" s="204"/>
      <c r="KQ21" s="204"/>
      <c r="KR21" s="204"/>
      <c r="KS21" s="204"/>
      <c r="KT21" s="204"/>
      <c r="KU21" s="204"/>
      <c r="KV21" s="204"/>
      <c r="KW21" s="204"/>
      <c r="KX21" s="204"/>
      <c r="KY21" s="204"/>
      <c r="KZ21" s="204"/>
      <c r="LA21" s="204"/>
      <c r="LB21" s="204"/>
      <c r="LC21" s="204"/>
      <c r="LD21" s="204"/>
      <c r="LE21" s="204"/>
      <c r="LF21" s="204"/>
      <c r="LG21" s="204"/>
      <c r="LH21" s="204"/>
      <c r="LI21" s="204"/>
      <c r="LJ21" s="204"/>
      <c r="LK21" s="204"/>
      <c r="LL21" s="204"/>
      <c r="LM21" s="204"/>
      <c r="LN21" s="204"/>
      <c r="LO21" s="204"/>
      <c r="LP21" s="204"/>
      <c r="LQ21" s="204"/>
      <c r="LR21" s="204"/>
      <c r="LS21" s="204"/>
      <c r="LT21" s="204"/>
      <c r="LU21" s="204"/>
      <c r="LV21" s="204"/>
      <c r="LW21" s="204"/>
      <c r="LX21" s="204"/>
      <c r="LY21" s="204"/>
      <c r="LZ21" s="204"/>
      <c r="MA21" s="204"/>
      <c r="MB21" s="204"/>
      <c r="MC21" s="204"/>
      <c r="MD21" s="204"/>
      <c r="ME21" s="204"/>
      <c r="MF21" s="204"/>
      <c r="MG21" s="204"/>
      <c r="MH21" s="204"/>
      <c r="MI21" s="204"/>
      <c r="MJ21" s="204"/>
      <c r="MK21" s="204"/>
      <c r="ML21" s="204"/>
      <c r="MM21" s="204"/>
      <c r="MN21" s="204"/>
      <c r="MO21" s="204"/>
      <c r="MP21" s="204"/>
      <c r="MQ21" s="204"/>
      <c r="MR21" s="204"/>
      <c r="MS21" s="204"/>
      <c r="MT21" s="204"/>
      <c r="MU21" s="204"/>
      <c r="MV21" s="204"/>
      <c r="MW21" s="204"/>
      <c r="MX21" s="204"/>
      <c r="MY21" s="204"/>
      <c r="MZ21" s="204"/>
      <c r="NA21" s="204"/>
      <c r="NB21" s="204"/>
      <c r="NC21" s="204"/>
      <c r="ND21" s="204"/>
      <c r="NE21" s="204"/>
      <c r="NF21" s="204"/>
      <c r="NG21" s="204"/>
      <c r="NH21" s="204"/>
      <c r="NI21" s="204"/>
      <c r="NJ21" s="204"/>
      <c r="NK21" s="204"/>
      <c r="NL21" s="204"/>
      <c r="NM21" s="204"/>
      <c r="NN21" s="204"/>
      <c r="NO21" s="204"/>
      <c r="NP21" s="204"/>
      <c r="NQ21" s="204"/>
      <c r="NR21" s="204"/>
      <c r="NS21" s="204"/>
      <c r="NT21" s="204"/>
      <c r="NU21" s="204"/>
      <c r="NV21" s="204"/>
      <c r="NW21" s="204"/>
      <c r="NX21" s="204"/>
      <c r="NY21" s="204"/>
      <c r="NZ21" s="204"/>
      <c r="OA21" s="204"/>
      <c r="OB21" s="204"/>
      <c r="OC21" s="204"/>
      <c r="OD21" s="204"/>
      <c r="OE21" s="204"/>
      <c r="OF21" s="204"/>
      <c r="OG21" s="204"/>
      <c r="OH21" s="204"/>
      <c r="OI21" s="204"/>
      <c r="OJ21" s="204"/>
      <c r="OK21" s="204"/>
      <c r="OL21" s="204"/>
      <c r="OM21" s="204"/>
      <c r="ON21" s="204"/>
      <c r="OO21" s="204"/>
      <c r="OP21" s="204"/>
      <c r="OQ21" s="204"/>
      <c r="OR21" s="204"/>
      <c r="OS21" s="204"/>
      <c r="OT21" s="204"/>
      <c r="OU21" s="204"/>
      <c r="OV21" s="204"/>
      <c r="OW21" s="204"/>
      <c r="OX21" s="204"/>
      <c r="OY21" s="204"/>
      <c r="OZ21" s="204"/>
      <c r="PA21" s="204"/>
      <c r="PB21" s="204"/>
      <c r="PC21" s="204"/>
      <c r="PD21" s="204"/>
      <c r="PE21" s="204"/>
      <c r="PF21" s="204"/>
      <c r="PG21" s="204"/>
      <c r="PH21" s="204"/>
      <c r="PI21" s="204"/>
      <c r="PJ21" s="204"/>
      <c r="PK21" s="204"/>
      <c r="PL21" s="204"/>
      <c r="PM21" s="204"/>
      <c r="PN21" s="204"/>
      <c r="PO21" s="204"/>
      <c r="PP21" s="204"/>
      <c r="PQ21" s="204"/>
      <c r="PR21" s="204"/>
      <c r="PS21" s="204"/>
      <c r="PT21" s="204"/>
      <c r="PU21" s="204"/>
      <c r="PV21" s="204"/>
      <c r="PW21" s="204"/>
      <c r="PX21" s="204"/>
      <c r="PY21" s="204"/>
      <c r="PZ21" s="204"/>
      <c r="QA21" s="204"/>
      <c r="QB21" s="204"/>
      <c r="QC21" s="204"/>
      <c r="QD21" s="204"/>
      <c r="QE21" s="204"/>
      <c r="QF21" s="204"/>
      <c r="QG21" s="204"/>
      <c r="QH21" s="204"/>
      <c r="QI21" s="204"/>
      <c r="QJ21" s="204"/>
      <c r="QK21" s="204"/>
      <c r="QL21" s="204"/>
      <c r="QM21" s="204"/>
      <c r="QN21" s="204"/>
      <c r="QO21" s="204"/>
      <c r="QP21" s="204"/>
      <c r="QQ21" s="204"/>
      <c r="QR21" s="204"/>
      <c r="QS21" s="204"/>
      <c r="QT21" s="204"/>
      <c r="QU21" s="204"/>
      <c r="QV21" s="204"/>
      <c r="QW21" s="204"/>
      <c r="QX21" s="204"/>
      <c r="QY21" s="204"/>
      <c r="QZ21" s="204"/>
      <c r="RA21" s="204"/>
      <c r="RB21" s="204"/>
      <c r="RC21" s="204"/>
      <c r="RD21" s="204"/>
      <c r="RE21" s="204"/>
      <c r="RF21" s="204"/>
      <c r="RG21" s="204"/>
      <c r="RH21" s="204"/>
      <c r="RI21" s="204"/>
      <c r="RJ21" s="204"/>
      <c r="RK21" s="204"/>
      <c r="RL21" s="204"/>
      <c r="RM21" s="204"/>
      <c r="RN21" s="204"/>
      <c r="RO21" s="204"/>
      <c r="RP21" s="204"/>
      <c r="RQ21" s="204"/>
      <c r="RR21" s="204"/>
      <c r="RS21" s="204"/>
      <c r="RT21" s="204"/>
      <c r="RU21" s="204"/>
      <c r="RV21" s="204"/>
      <c r="RW21" s="204"/>
      <c r="RX21" s="204"/>
      <c r="RY21" s="204"/>
      <c r="RZ21" s="204"/>
      <c r="SA21" s="204"/>
      <c r="SB21" s="204"/>
      <c r="SC21" s="204"/>
      <c r="SD21" s="204"/>
      <c r="SE21" s="204"/>
      <c r="SF21" s="204"/>
      <c r="SG21" s="204"/>
      <c r="SH21" s="204"/>
      <c r="SI21" s="204"/>
      <c r="SJ21" s="204"/>
      <c r="SK21" s="204"/>
      <c r="SL21" s="204"/>
      <c r="SM21" s="204"/>
      <c r="SN21" s="204"/>
      <c r="SO21" s="204"/>
      <c r="SP21" s="204"/>
      <c r="SQ21" s="204"/>
      <c r="SR21" s="204"/>
      <c r="SS21" s="204"/>
      <c r="ST21" s="204"/>
      <c r="SU21" s="204"/>
      <c r="SV21" s="204"/>
      <c r="SW21" s="204"/>
      <c r="SX21" s="204"/>
      <c r="SY21" s="204"/>
      <c r="SZ21" s="204"/>
      <c r="TA21" s="204"/>
      <c r="TB21" s="204"/>
      <c r="TC21" s="204"/>
      <c r="TD21" s="204"/>
      <c r="TE21" s="204"/>
      <c r="TF21" s="204"/>
      <c r="TG21" s="204"/>
      <c r="TH21" s="204"/>
      <c r="TI21" s="204"/>
      <c r="TJ21" s="204"/>
      <c r="TK21" s="204"/>
      <c r="TL21" s="204"/>
      <c r="TM21" s="204"/>
      <c r="TN21" s="204"/>
      <c r="TO21" s="204"/>
      <c r="TP21" s="204"/>
      <c r="TQ21" s="204"/>
      <c r="TR21" s="204"/>
      <c r="TS21" s="204"/>
      <c r="TT21" s="204"/>
      <c r="TU21" s="204"/>
      <c r="TV21" s="204"/>
      <c r="TW21" s="204"/>
      <c r="TX21" s="204"/>
      <c r="TY21" s="204"/>
      <c r="TZ21" s="204"/>
      <c r="UA21" s="204"/>
      <c r="UB21" s="204"/>
      <c r="UC21" s="204"/>
      <c r="UD21" s="204"/>
      <c r="UE21" s="204"/>
      <c r="UF21" s="204"/>
      <c r="UG21" s="204"/>
      <c r="UH21" s="204"/>
      <c r="UI21" s="204"/>
      <c r="UJ21" s="204"/>
      <c r="UK21" s="204"/>
      <c r="UL21" s="204"/>
      <c r="UM21" s="204"/>
      <c r="UN21" s="204"/>
      <c r="UO21" s="204"/>
      <c r="UP21" s="204"/>
      <c r="UQ21" s="204"/>
      <c r="UR21" s="204"/>
      <c r="US21" s="204"/>
      <c r="UT21" s="204"/>
      <c r="UU21" s="204"/>
      <c r="UV21" s="204"/>
      <c r="UW21" s="204"/>
      <c r="UX21" s="204"/>
      <c r="UY21" s="204"/>
      <c r="UZ21" s="204"/>
      <c r="VA21" s="204"/>
      <c r="VB21" s="204"/>
      <c r="VC21" s="204"/>
      <c r="VD21" s="204"/>
      <c r="VE21" s="204"/>
      <c r="VF21" s="204"/>
      <c r="VG21" s="204"/>
      <c r="VH21" s="204"/>
      <c r="VI21" s="204"/>
      <c r="VJ21" s="204"/>
      <c r="VK21" s="204"/>
      <c r="VL21" s="204"/>
      <c r="VM21" s="204"/>
      <c r="VN21" s="204"/>
      <c r="VO21" s="204"/>
      <c r="VP21" s="204"/>
      <c r="VQ21" s="204"/>
      <c r="VR21" s="204"/>
      <c r="VS21" s="204"/>
      <c r="VT21" s="204"/>
      <c r="VU21" s="204"/>
      <c r="VV21" s="204"/>
      <c r="VW21" s="204"/>
      <c r="VX21" s="204"/>
      <c r="VY21" s="204"/>
      <c r="VZ21" s="204"/>
      <c r="WA21" s="204"/>
      <c r="WB21" s="204"/>
      <c r="WC21" s="204"/>
      <c r="WD21" s="204"/>
      <c r="WE21" s="204"/>
    </row>
    <row r="22" spans="1:603" s="185" customFormat="1" x14ac:dyDescent="0.4">
      <c r="A22" s="201"/>
      <c r="B22" s="201"/>
      <c r="C22" s="201"/>
      <c r="D22" s="201"/>
      <c r="E22" s="201"/>
      <c r="F22" s="201"/>
      <c r="G22" s="201"/>
      <c r="H22" s="201"/>
      <c r="I22" s="201"/>
      <c r="J22" s="204"/>
      <c r="K22" s="204"/>
      <c r="L22" s="205"/>
      <c r="M22" s="205"/>
      <c r="N22" s="204"/>
      <c r="O22" s="204"/>
      <c r="P22" s="205"/>
      <c r="Q22" s="205"/>
      <c r="R22" s="204"/>
      <c r="S22" s="204"/>
      <c r="T22" s="205"/>
      <c r="U22" s="205"/>
      <c r="V22" s="204"/>
      <c r="W22" s="204"/>
      <c r="X22" s="205"/>
      <c r="Y22" s="205"/>
      <c r="Z22" s="204"/>
      <c r="AA22" s="204"/>
      <c r="AB22" s="205"/>
      <c r="AC22" s="205"/>
      <c r="AD22" s="204"/>
      <c r="AE22" s="204"/>
      <c r="AF22" s="205"/>
      <c r="AG22" s="205"/>
      <c r="AH22" s="204"/>
      <c r="AI22" s="204"/>
      <c r="AJ22" s="205"/>
      <c r="AK22" s="205"/>
      <c r="AL22" s="204"/>
      <c r="AM22" s="204"/>
      <c r="AN22" s="205"/>
      <c r="AO22" s="205"/>
      <c r="AP22" s="204"/>
      <c r="AQ22" s="204"/>
      <c r="AR22" s="205"/>
      <c r="AS22" s="205"/>
      <c r="AT22" s="204"/>
      <c r="AU22" s="204"/>
      <c r="AV22" s="205"/>
      <c r="AW22" s="205"/>
      <c r="AX22" s="204"/>
      <c r="AY22" s="204"/>
      <c r="AZ22" s="205"/>
      <c r="BA22" s="205"/>
      <c r="BB22" s="204"/>
      <c r="BC22" s="204"/>
      <c r="BD22" s="205"/>
      <c r="BE22" s="205"/>
      <c r="BF22" s="204"/>
      <c r="BG22" s="204"/>
      <c r="BH22" s="204"/>
      <c r="BI22" s="204"/>
      <c r="BJ22" s="204"/>
      <c r="BK22" s="204"/>
      <c r="BL22" s="204"/>
      <c r="BM22" s="204"/>
      <c r="BN22" s="204"/>
      <c r="BO22" s="204"/>
      <c r="BP22" s="204"/>
      <c r="BQ22" s="204"/>
      <c r="BR22" s="204"/>
      <c r="BS22" s="204"/>
      <c r="BT22" s="204"/>
      <c r="BU22" s="204"/>
      <c r="BV22" s="204"/>
      <c r="BW22" s="204"/>
      <c r="BX22" s="204"/>
      <c r="BY22" s="204"/>
      <c r="BZ22" s="204"/>
      <c r="CA22" s="204"/>
      <c r="CB22" s="204"/>
      <c r="CC22" s="204"/>
      <c r="CD22" s="204"/>
      <c r="CE22" s="204"/>
      <c r="CF22" s="204"/>
      <c r="CG22" s="204"/>
      <c r="CH22" s="204"/>
      <c r="CI22" s="204"/>
      <c r="CJ22" s="204"/>
      <c r="CK22" s="204"/>
      <c r="CL22" s="204"/>
      <c r="CM22" s="204"/>
      <c r="CN22" s="204"/>
      <c r="CO22" s="204"/>
      <c r="CP22" s="204"/>
      <c r="CQ22" s="204"/>
      <c r="CR22" s="204"/>
      <c r="CS22" s="204"/>
      <c r="CT22" s="204"/>
      <c r="CU22" s="204"/>
      <c r="CV22" s="204"/>
      <c r="CW22" s="204"/>
      <c r="CX22" s="204"/>
      <c r="CY22" s="204"/>
      <c r="CZ22" s="204"/>
      <c r="DA22" s="204"/>
      <c r="DB22" s="204"/>
      <c r="DC22" s="204"/>
      <c r="DD22" s="204"/>
      <c r="DE22" s="204"/>
      <c r="DF22" s="204"/>
      <c r="DG22" s="204"/>
      <c r="DH22" s="204"/>
      <c r="DI22" s="204"/>
      <c r="DJ22" s="204"/>
      <c r="DK22" s="204"/>
      <c r="DL22" s="204"/>
      <c r="DM22" s="204"/>
      <c r="DN22" s="204"/>
      <c r="DO22" s="204"/>
      <c r="DP22" s="204"/>
      <c r="DQ22" s="204"/>
      <c r="DR22" s="204"/>
      <c r="DS22" s="204"/>
      <c r="DT22" s="204"/>
      <c r="DU22" s="204"/>
      <c r="DV22" s="204"/>
      <c r="DW22" s="204"/>
      <c r="DX22" s="204"/>
      <c r="DY22" s="204"/>
      <c r="DZ22" s="204"/>
      <c r="EA22" s="204"/>
      <c r="EB22" s="204"/>
      <c r="EC22" s="204"/>
      <c r="ED22" s="204"/>
      <c r="EE22" s="204"/>
      <c r="EF22" s="204"/>
      <c r="EG22" s="204"/>
      <c r="EH22" s="204"/>
      <c r="EI22" s="204"/>
      <c r="EJ22" s="204"/>
      <c r="EK22" s="204"/>
      <c r="EL22" s="204"/>
      <c r="EM22" s="204"/>
      <c r="EN22" s="204"/>
      <c r="EO22" s="204"/>
      <c r="EP22" s="204"/>
      <c r="EQ22" s="204"/>
      <c r="ER22" s="204"/>
      <c r="ES22" s="204"/>
      <c r="ET22" s="204"/>
      <c r="EU22" s="204"/>
      <c r="EV22" s="204"/>
      <c r="EW22" s="204"/>
      <c r="EX22" s="204"/>
      <c r="EY22" s="204"/>
      <c r="EZ22" s="204"/>
      <c r="FA22" s="204"/>
      <c r="FB22" s="204"/>
      <c r="FC22" s="204"/>
      <c r="FD22" s="204"/>
      <c r="FE22" s="204"/>
      <c r="FF22" s="204"/>
      <c r="FG22" s="204"/>
      <c r="FH22" s="204"/>
      <c r="FI22" s="204"/>
      <c r="FJ22" s="204"/>
      <c r="FK22" s="204"/>
      <c r="FL22" s="204"/>
      <c r="FM22" s="204"/>
      <c r="FN22" s="204"/>
      <c r="FO22" s="204"/>
      <c r="FP22" s="204"/>
      <c r="FQ22" s="204"/>
      <c r="FR22" s="204"/>
      <c r="FS22" s="204"/>
      <c r="FT22" s="204"/>
      <c r="FU22" s="204"/>
      <c r="FV22" s="204"/>
      <c r="FW22" s="204"/>
      <c r="FX22" s="204"/>
      <c r="FY22" s="204"/>
      <c r="FZ22" s="204"/>
      <c r="GA22" s="204"/>
      <c r="GB22" s="204"/>
      <c r="GC22" s="204"/>
      <c r="GD22" s="204"/>
      <c r="GE22" s="204"/>
      <c r="GF22" s="204"/>
      <c r="GG22" s="204"/>
      <c r="GH22" s="204"/>
      <c r="GI22" s="204"/>
      <c r="GJ22" s="204"/>
      <c r="GK22" s="204"/>
      <c r="GL22" s="204"/>
      <c r="GM22" s="204"/>
      <c r="GN22" s="204"/>
      <c r="GO22" s="204"/>
      <c r="GP22" s="204"/>
      <c r="GQ22" s="204"/>
      <c r="GR22" s="204"/>
      <c r="GS22" s="204"/>
      <c r="GT22" s="204"/>
      <c r="GU22" s="204"/>
      <c r="GV22" s="204"/>
      <c r="GW22" s="204"/>
      <c r="GX22" s="204"/>
      <c r="GY22" s="204"/>
      <c r="GZ22" s="204"/>
      <c r="HA22" s="204"/>
      <c r="HB22" s="204"/>
      <c r="HC22" s="204"/>
      <c r="HD22" s="204"/>
      <c r="HE22" s="204"/>
      <c r="HF22" s="204"/>
      <c r="HG22" s="204"/>
      <c r="HH22" s="204"/>
      <c r="HI22" s="204"/>
      <c r="HJ22" s="204"/>
      <c r="HK22" s="204"/>
      <c r="HL22" s="204"/>
      <c r="HM22" s="204"/>
      <c r="HN22" s="204"/>
      <c r="HO22" s="204"/>
      <c r="HP22" s="204"/>
      <c r="HQ22" s="204"/>
      <c r="HR22" s="204"/>
      <c r="HS22" s="204"/>
      <c r="HT22" s="204"/>
      <c r="HU22" s="204"/>
      <c r="HV22" s="204"/>
      <c r="HW22" s="204"/>
      <c r="HX22" s="204"/>
      <c r="HY22" s="204"/>
      <c r="HZ22" s="204"/>
      <c r="IA22" s="204"/>
      <c r="IB22" s="204"/>
      <c r="IC22" s="204"/>
      <c r="ID22" s="204"/>
      <c r="IE22" s="204"/>
      <c r="IF22" s="204"/>
      <c r="IG22" s="204"/>
      <c r="IH22" s="204"/>
      <c r="II22" s="204"/>
      <c r="IJ22" s="204"/>
      <c r="IK22" s="204"/>
      <c r="IL22" s="204"/>
      <c r="IM22" s="204"/>
      <c r="IN22" s="204"/>
      <c r="IO22" s="204"/>
      <c r="IP22" s="204"/>
      <c r="IQ22" s="204"/>
      <c r="IR22" s="204"/>
      <c r="IS22" s="204"/>
      <c r="IT22" s="204"/>
      <c r="IU22" s="204"/>
      <c r="IV22" s="204"/>
      <c r="IW22" s="204"/>
      <c r="IX22" s="204"/>
      <c r="IY22" s="204"/>
      <c r="IZ22" s="204"/>
      <c r="JA22" s="204"/>
      <c r="JB22" s="204"/>
      <c r="JC22" s="204"/>
      <c r="JD22" s="204"/>
      <c r="JE22" s="204"/>
      <c r="JF22" s="204"/>
      <c r="JG22" s="204"/>
      <c r="JH22" s="204"/>
      <c r="JI22" s="204"/>
      <c r="JJ22" s="204"/>
      <c r="JK22" s="204"/>
      <c r="JL22" s="204"/>
      <c r="JM22" s="204"/>
      <c r="JN22" s="204"/>
      <c r="JO22" s="204"/>
      <c r="JP22" s="204"/>
      <c r="JQ22" s="204"/>
      <c r="JR22" s="204"/>
      <c r="JS22" s="204"/>
      <c r="JT22" s="204"/>
      <c r="JU22" s="204"/>
      <c r="JV22" s="204"/>
      <c r="JW22" s="204"/>
      <c r="JX22" s="204"/>
      <c r="JY22" s="204"/>
      <c r="JZ22" s="204"/>
      <c r="KA22" s="204"/>
      <c r="KB22" s="204"/>
      <c r="KC22" s="204"/>
      <c r="KD22" s="204"/>
      <c r="KE22" s="204"/>
      <c r="KF22" s="204"/>
      <c r="KG22" s="204"/>
      <c r="KH22" s="204"/>
      <c r="KI22" s="204"/>
      <c r="KJ22" s="204"/>
      <c r="KK22" s="204"/>
      <c r="KL22" s="204"/>
      <c r="KM22" s="204"/>
      <c r="KN22" s="204"/>
      <c r="KO22" s="204"/>
      <c r="KP22" s="204"/>
      <c r="KQ22" s="204"/>
      <c r="KR22" s="204"/>
      <c r="KS22" s="204"/>
      <c r="KT22" s="204"/>
      <c r="KU22" s="204"/>
      <c r="KV22" s="204"/>
      <c r="KW22" s="204"/>
      <c r="KX22" s="204"/>
      <c r="KY22" s="204"/>
      <c r="KZ22" s="204"/>
      <c r="LA22" s="204"/>
      <c r="LB22" s="204"/>
      <c r="LC22" s="204"/>
      <c r="LD22" s="204"/>
      <c r="LE22" s="204"/>
      <c r="LF22" s="204"/>
      <c r="LG22" s="204"/>
      <c r="LH22" s="204"/>
      <c r="LI22" s="204"/>
      <c r="LJ22" s="204"/>
      <c r="LK22" s="204"/>
      <c r="LL22" s="204"/>
      <c r="LM22" s="204"/>
      <c r="LN22" s="204"/>
      <c r="LO22" s="204"/>
      <c r="LP22" s="204"/>
      <c r="LQ22" s="204"/>
      <c r="LR22" s="204"/>
      <c r="LS22" s="204"/>
      <c r="LT22" s="204"/>
      <c r="LU22" s="204"/>
      <c r="LV22" s="204"/>
      <c r="LW22" s="204"/>
      <c r="LX22" s="204"/>
      <c r="LY22" s="204"/>
      <c r="LZ22" s="204"/>
      <c r="MA22" s="204"/>
      <c r="MB22" s="204"/>
      <c r="MC22" s="204"/>
      <c r="MD22" s="204"/>
      <c r="ME22" s="204"/>
      <c r="MF22" s="204"/>
      <c r="MG22" s="204"/>
      <c r="MH22" s="204"/>
      <c r="MI22" s="204"/>
      <c r="MJ22" s="204"/>
      <c r="MK22" s="204"/>
      <c r="ML22" s="204"/>
      <c r="MM22" s="204"/>
      <c r="MN22" s="204"/>
      <c r="MO22" s="204"/>
      <c r="MP22" s="204"/>
      <c r="MQ22" s="204"/>
      <c r="MR22" s="204"/>
      <c r="MS22" s="204"/>
      <c r="MT22" s="204"/>
      <c r="MU22" s="204"/>
      <c r="MV22" s="204"/>
      <c r="MW22" s="204"/>
      <c r="MX22" s="204"/>
      <c r="MY22" s="204"/>
      <c r="MZ22" s="204"/>
      <c r="NA22" s="204"/>
      <c r="NB22" s="204"/>
      <c r="NC22" s="204"/>
      <c r="ND22" s="204"/>
      <c r="NE22" s="204"/>
      <c r="NF22" s="204"/>
      <c r="NG22" s="204"/>
      <c r="NH22" s="204"/>
      <c r="NI22" s="204"/>
      <c r="NJ22" s="204"/>
      <c r="NK22" s="204"/>
      <c r="NL22" s="204"/>
      <c r="NM22" s="204"/>
      <c r="NN22" s="204"/>
      <c r="NO22" s="204"/>
      <c r="NP22" s="204"/>
      <c r="NQ22" s="204"/>
      <c r="NR22" s="204"/>
      <c r="NS22" s="204"/>
      <c r="NT22" s="204"/>
      <c r="NU22" s="204"/>
      <c r="NV22" s="204"/>
      <c r="NW22" s="204"/>
      <c r="NX22" s="204"/>
      <c r="NY22" s="204"/>
      <c r="NZ22" s="204"/>
      <c r="OA22" s="204"/>
      <c r="OB22" s="204"/>
      <c r="OC22" s="204"/>
      <c r="OD22" s="204"/>
      <c r="OE22" s="204"/>
      <c r="OF22" s="204"/>
      <c r="OG22" s="204"/>
      <c r="OH22" s="204"/>
      <c r="OI22" s="204"/>
      <c r="OJ22" s="204"/>
      <c r="OK22" s="204"/>
      <c r="OL22" s="204"/>
      <c r="OM22" s="204"/>
      <c r="ON22" s="204"/>
      <c r="OO22" s="204"/>
      <c r="OP22" s="204"/>
      <c r="OQ22" s="204"/>
      <c r="OR22" s="204"/>
      <c r="OS22" s="204"/>
      <c r="OT22" s="204"/>
      <c r="OU22" s="204"/>
      <c r="OV22" s="204"/>
      <c r="OW22" s="204"/>
      <c r="OX22" s="204"/>
      <c r="OY22" s="204"/>
      <c r="OZ22" s="204"/>
      <c r="PA22" s="204"/>
      <c r="PB22" s="204"/>
      <c r="PC22" s="204"/>
      <c r="PD22" s="204"/>
      <c r="PE22" s="204"/>
      <c r="PF22" s="204"/>
      <c r="PG22" s="204"/>
      <c r="PH22" s="204"/>
      <c r="PI22" s="204"/>
      <c r="PJ22" s="204"/>
      <c r="PK22" s="204"/>
      <c r="PL22" s="204"/>
      <c r="PM22" s="204"/>
      <c r="PN22" s="204"/>
      <c r="PO22" s="204"/>
      <c r="PP22" s="204"/>
      <c r="PQ22" s="204"/>
      <c r="PR22" s="204"/>
      <c r="PS22" s="204"/>
      <c r="PT22" s="204"/>
      <c r="PU22" s="204"/>
      <c r="PV22" s="204"/>
      <c r="PW22" s="204"/>
      <c r="PX22" s="204"/>
      <c r="PY22" s="204"/>
      <c r="PZ22" s="204"/>
      <c r="QA22" s="204"/>
      <c r="QB22" s="204"/>
      <c r="QC22" s="204"/>
      <c r="QD22" s="204"/>
      <c r="QE22" s="204"/>
      <c r="QF22" s="204"/>
      <c r="QG22" s="204"/>
      <c r="QH22" s="204"/>
      <c r="QI22" s="204"/>
      <c r="QJ22" s="204"/>
      <c r="QK22" s="204"/>
      <c r="QL22" s="204"/>
      <c r="QM22" s="204"/>
      <c r="QN22" s="204"/>
      <c r="QO22" s="204"/>
      <c r="QP22" s="204"/>
      <c r="QQ22" s="204"/>
      <c r="QR22" s="204"/>
      <c r="QS22" s="204"/>
      <c r="QT22" s="204"/>
      <c r="QU22" s="204"/>
      <c r="QV22" s="204"/>
      <c r="QW22" s="204"/>
      <c r="QX22" s="204"/>
      <c r="QY22" s="204"/>
      <c r="QZ22" s="204"/>
      <c r="RA22" s="204"/>
      <c r="RB22" s="204"/>
      <c r="RC22" s="204"/>
      <c r="RD22" s="204"/>
      <c r="RE22" s="204"/>
      <c r="RF22" s="204"/>
      <c r="RG22" s="204"/>
      <c r="RH22" s="204"/>
      <c r="RI22" s="204"/>
      <c r="RJ22" s="204"/>
      <c r="RK22" s="204"/>
      <c r="RL22" s="204"/>
      <c r="RM22" s="204"/>
      <c r="RN22" s="204"/>
      <c r="RO22" s="204"/>
      <c r="RP22" s="204"/>
      <c r="RQ22" s="204"/>
      <c r="RR22" s="204"/>
      <c r="RS22" s="204"/>
      <c r="RT22" s="204"/>
      <c r="RU22" s="204"/>
      <c r="RV22" s="204"/>
      <c r="RW22" s="204"/>
      <c r="RX22" s="204"/>
      <c r="RY22" s="204"/>
      <c r="RZ22" s="204"/>
      <c r="SA22" s="204"/>
      <c r="SB22" s="204"/>
      <c r="SC22" s="204"/>
      <c r="SD22" s="204"/>
      <c r="SE22" s="204"/>
      <c r="SF22" s="204"/>
      <c r="SG22" s="204"/>
      <c r="SH22" s="204"/>
      <c r="SI22" s="204"/>
      <c r="SJ22" s="204"/>
      <c r="SK22" s="204"/>
      <c r="SL22" s="204"/>
      <c r="SM22" s="204"/>
      <c r="SN22" s="204"/>
      <c r="SO22" s="204"/>
      <c r="SP22" s="204"/>
      <c r="SQ22" s="204"/>
      <c r="SR22" s="204"/>
      <c r="SS22" s="204"/>
      <c r="ST22" s="204"/>
      <c r="SU22" s="204"/>
      <c r="SV22" s="204"/>
      <c r="SW22" s="204"/>
      <c r="SX22" s="204"/>
      <c r="SY22" s="204"/>
      <c r="SZ22" s="204"/>
      <c r="TA22" s="204"/>
      <c r="TB22" s="204"/>
      <c r="TC22" s="204"/>
      <c r="TD22" s="204"/>
      <c r="TE22" s="204"/>
      <c r="TF22" s="204"/>
      <c r="TG22" s="204"/>
      <c r="TH22" s="204"/>
      <c r="TI22" s="204"/>
      <c r="TJ22" s="204"/>
      <c r="TK22" s="204"/>
      <c r="TL22" s="204"/>
      <c r="TM22" s="204"/>
      <c r="TN22" s="204"/>
      <c r="TO22" s="204"/>
      <c r="TP22" s="204"/>
      <c r="TQ22" s="204"/>
      <c r="TR22" s="204"/>
      <c r="TS22" s="204"/>
      <c r="TT22" s="204"/>
      <c r="TU22" s="204"/>
      <c r="TV22" s="204"/>
      <c r="TW22" s="204"/>
      <c r="TX22" s="204"/>
      <c r="TY22" s="204"/>
      <c r="TZ22" s="204"/>
      <c r="UA22" s="204"/>
      <c r="UB22" s="204"/>
      <c r="UC22" s="204"/>
      <c r="UD22" s="204"/>
      <c r="UE22" s="204"/>
      <c r="UF22" s="204"/>
      <c r="UG22" s="204"/>
      <c r="UH22" s="204"/>
      <c r="UI22" s="204"/>
      <c r="UJ22" s="204"/>
      <c r="UK22" s="204"/>
      <c r="UL22" s="204"/>
      <c r="UM22" s="204"/>
      <c r="UN22" s="204"/>
      <c r="UO22" s="204"/>
      <c r="UP22" s="204"/>
      <c r="UQ22" s="204"/>
      <c r="UR22" s="204"/>
      <c r="US22" s="204"/>
      <c r="UT22" s="204"/>
      <c r="UU22" s="204"/>
      <c r="UV22" s="204"/>
      <c r="UW22" s="204"/>
      <c r="UX22" s="204"/>
      <c r="UY22" s="204"/>
      <c r="UZ22" s="204"/>
      <c r="VA22" s="204"/>
      <c r="VB22" s="204"/>
      <c r="VC22" s="204"/>
      <c r="VD22" s="204"/>
      <c r="VE22" s="204"/>
      <c r="VF22" s="204"/>
      <c r="VG22" s="204"/>
      <c r="VH22" s="204"/>
      <c r="VI22" s="204"/>
      <c r="VJ22" s="204"/>
      <c r="VK22" s="204"/>
      <c r="VL22" s="204"/>
      <c r="VM22" s="204"/>
      <c r="VN22" s="204"/>
      <c r="VO22" s="204"/>
      <c r="VP22" s="204"/>
      <c r="VQ22" s="204"/>
      <c r="VR22" s="204"/>
      <c r="VS22" s="204"/>
      <c r="VT22" s="204"/>
      <c r="VU22" s="204"/>
      <c r="VV22" s="204"/>
      <c r="VW22" s="204"/>
      <c r="VX22" s="204"/>
      <c r="VY22" s="204"/>
      <c r="VZ22" s="204"/>
      <c r="WA22" s="204"/>
      <c r="WB22" s="204"/>
      <c r="WC22" s="204"/>
      <c r="WD22" s="204"/>
      <c r="WE22" s="204"/>
    </row>
    <row r="23" spans="1:603" s="185" customFormat="1" x14ac:dyDescent="0.4">
      <c r="A23" s="201"/>
      <c r="B23" s="201"/>
      <c r="C23" s="201"/>
      <c r="D23" s="201"/>
      <c r="E23" s="201"/>
      <c r="F23" s="201"/>
      <c r="G23" s="201"/>
      <c r="H23" s="201"/>
      <c r="I23" s="201"/>
      <c r="J23" s="204"/>
      <c r="K23" s="204"/>
      <c r="L23" s="205"/>
      <c r="M23" s="205"/>
      <c r="N23" s="204"/>
      <c r="O23" s="204"/>
      <c r="P23" s="205"/>
      <c r="Q23" s="205"/>
      <c r="R23" s="204"/>
      <c r="S23" s="204"/>
      <c r="T23" s="205"/>
      <c r="U23" s="205"/>
      <c r="V23" s="204"/>
      <c r="W23" s="204"/>
      <c r="X23" s="205"/>
      <c r="Y23" s="205"/>
      <c r="Z23" s="204"/>
      <c r="AA23" s="204"/>
      <c r="AB23" s="205"/>
      <c r="AC23" s="205"/>
      <c r="AD23" s="204"/>
      <c r="AE23" s="204"/>
      <c r="AF23" s="205"/>
      <c r="AG23" s="205"/>
      <c r="AH23" s="204"/>
      <c r="AI23" s="204"/>
      <c r="AJ23" s="205"/>
      <c r="AK23" s="205"/>
      <c r="AL23" s="204"/>
      <c r="AM23" s="204"/>
      <c r="AN23" s="205"/>
      <c r="AO23" s="205"/>
      <c r="AP23" s="204"/>
      <c r="AQ23" s="204"/>
      <c r="AR23" s="205"/>
      <c r="AS23" s="205"/>
      <c r="AT23" s="204"/>
      <c r="AU23" s="204"/>
      <c r="AV23" s="205"/>
      <c r="AW23" s="205"/>
      <c r="AX23" s="204"/>
      <c r="AY23" s="204"/>
      <c r="AZ23" s="205"/>
      <c r="BA23" s="205"/>
      <c r="BB23" s="204"/>
      <c r="BC23" s="204"/>
      <c r="BD23" s="205"/>
      <c r="BE23" s="205"/>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c r="DT23" s="204"/>
      <c r="DU23" s="204"/>
      <c r="DV23" s="204"/>
      <c r="DW23" s="204"/>
      <c r="DX23" s="204"/>
      <c r="DY23" s="204"/>
      <c r="DZ23" s="204"/>
      <c r="EA23" s="204"/>
      <c r="EB23" s="204"/>
      <c r="EC23" s="204"/>
      <c r="ED23" s="204"/>
      <c r="EE23" s="204"/>
      <c r="EF23" s="204"/>
      <c r="EG23" s="204"/>
      <c r="EH23" s="204"/>
      <c r="EI23" s="204"/>
      <c r="EJ23" s="204"/>
      <c r="EK23" s="204"/>
      <c r="EL23" s="204"/>
      <c r="EM23" s="204"/>
      <c r="EN23" s="204"/>
      <c r="EO23" s="204"/>
      <c r="EP23" s="204"/>
      <c r="EQ23" s="204"/>
      <c r="ER23" s="204"/>
      <c r="ES23" s="204"/>
      <c r="ET23" s="204"/>
      <c r="EU23" s="204"/>
      <c r="EV23" s="204"/>
      <c r="EW23" s="204"/>
      <c r="EX23" s="204"/>
      <c r="EY23" s="204"/>
      <c r="EZ23" s="204"/>
      <c r="FA23" s="204"/>
      <c r="FB23" s="204"/>
      <c r="FC23" s="204"/>
      <c r="FD23" s="204"/>
      <c r="FE23" s="204"/>
      <c r="FF23" s="204"/>
      <c r="FG23" s="204"/>
      <c r="FH23" s="204"/>
      <c r="FI23" s="204"/>
      <c r="FJ23" s="204"/>
      <c r="FK23" s="204"/>
      <c r="FL23" s="204"/>
      <c r="FM23" s="204"/>
      <c r="FN23" s="204"/>
      <c r="FO23" s="204"/>
      <c r="FP23" s="204"/>
      <c r="FQ23" s="204"/>
      <c r="FR23" s="204"/>
      <c r="FS23" s="204"/>
      <c r="FT23" s="204"/>
      <c r="FU23" s="204"/>
      <c r="FV23" s="204"/>
      <c r="FW23" s="204"/>
      <c r="FX23" s="204"/>
      <c r="FY23" s="204"/>
      <c r="FZ23" s="204"/>
      <c r="GA23" s="204"/>
      <c r="GB23" s="204"/>
      <c r="GC23" s="204"/>
      <c r="GD23" s="204"/>
      <c r="GE23" s="204"/>
      <c r="GF23" s="204"/>
      <c r="GG23" s="204"/>
      <c r="GH23" s="204"/>
      <c r="GI23" s="204"/>
      <c r="GJ23" s="204"/>
      <c r="GK23" s="204"/>
      <c r="GL23" s="204"/>
      <c r="GM23" s="204"/>
      <c r="GN23" s="204"/>
      <c r="GO23" s="204"/>
      <c r="GP23" s="204"/>
      <c r="GQ23" s="204"/>
      <c r="GR23" s="204"/>
      <c r="GS23" s="204"/>
      <c r="GT23" s="204"/>
      <c r="GU23" s="204"/>
      <c r="GV23" s="204"/>
      <c r="GW23" s="204"/>
      <c r="GX23" s="204"/>
      <c r="GY23" s="204"/>
      <c r="GZ23" s="204"/>
      <c r="HA23" s="204"/>
      <c r="HB23" s="204"/>
      <c r="HC23" s="204"/>
      <c r="HD23" s="204"/>
      <c r="HE23" s="204"/>
      <c r="HF23" s="204"/>
      <c r="HG23" s="204"/>
      <c r="HH23" s="204"/>
      <c r="HI23" s="204"/>
      <c r="HJ23" s="204"/>
      <c r="HK23" s="204"/>
      <c r="HL23" s="204"/>
      <c r="HM23" s="204"/>
      <c r="HN23" s="204"/>
      <c r="HO23" s="204"/>
      <c r="HP23" s="204"/>
      <c r="HQ23" s="204"/>
      <c r="HR23" s="204"/>
      <c r="HS23" s="204"/>
      <c r="HT23" s="204"/>
      <c r="HU23" s="204"/>
      <c r="HV23" s="204"/>
      <c r="HW23" s="204"/>
      <c r="HX23" s="204"/>
      <c r="HY23" s="204"/>
      <c r="HZ23" s="204"/>
      <c r="IA23" s="204"/>
      <c r="IB23" s="204"/>
      <c r="IC23" s="204"/>
      <c r="ID23" s="204"/>
      <c r="IE23" s="204"/>
      <c r="IF23" s="204"/>
      <c r="IG23" s="204"/>
      <c r="IH23" s="204"/>
      <c r="II23" s="204"/>
      <c r="IJ23" s="204"/>
      <c r="IK23" s="204"/>
      <c r="IL23" s="204"/>
      <c r="IM23" s="204"/>
      <c r="IN23" s="204"/>
      <c r="IO23" s="204"/>
      <c r="IP23" s="204"/>
      <c r="IQ23" s="204"/>
      <c r="IR23" s="204"/>
      <c r="IS23" s="204"/>
      <c r="IT23" s="204"/>
      <c r="IU23" s="204"/>
      <c r="IV23" s="204"/>
      <c r="IW23" s="204"/>
      <c r="IX23" s="204"/>
      <c r="IY23" s="204"/>
      <c r="IZ23" s="204"/>
      <c r="JA23" s="204"/>
      <c r="JB23" s="204"/>
      <c r="JC23" s="204"/>
      <c r="JD23" s="204"/>
      <c r="JE23" s="204"/>
      <c r="JF23" s="204"/>
      <c r="JG23" s="204"/>
      <c r="JH23" s="204"/>
      <c r="JI23" s="204"/>
      <c r="JJ23" s="204"/>
      <c r="JK23" s="204"/>
      <c r="JL23" s="204"/>
      <c r="JM23" s="204"/>
      <c r="JN23" s="204"/>
      <c r="JO23" s="204"/>
      <c r="JP23" s="204"/>
      <c r="JQ23" s="204"/>
      <c r="JR23" s="204"/>
      <c r="JS23" s="204"/>
      <c r="JT23" s="204"/>
      <c r="JU23" s="204"/>
      <c r="JV23" s="204"/>
      <c r="JW23" s="204"/>
      <c r="JX23" s="204"/>
      <c r="JY23" s="204"/>
      <c r="JZ23" s="204"/>
      <c r="KA23" s="204"/>
      <c r="KB23" s="204"/>
      <c r="KC23" s="204"/>
      <c r="KD23" s="204"/>
      <c r="KE23" s="204"/>
      <c r="KF23" s="204"/>
      <c r="KG23" s="204"/>
      <c r="KH23" s="204"/>
      <c r="KI23" s="204"/>
      <c r="KJ23" s="204"/>
      <c r="KK23" s="204"/>
      <c r="KL23" s="204"/>
      <c r="KM23" s="204"/>
      <c r="KN23" s="204"/>
      <c r="KO23" s="204"/>
      <c r="KP23" s="204"/>
      <c r="KQ23" s="204"/>
      <c r="KR23" s="204"/>
      <c r="KS23" s="204"/>
      <c r="KT23" s="204"/>
      <c r="KU23" s="204"/>
      <c r="KV23" s="204"/>
      <c r="KW23" s="204"/>
      <c r="KX23" s="204"/>
      <c r="KY23" s="204"/>
      <c r="KZ23" s="204"/>
      <c r="LA23" s="204"/>
      <c r="LB23" s="204"/>
      <c r="LC23" s="204"/>
      <c r="LD23" s="204"/>
      <c r="LE23" s="204"/>
      <c r="LF23" s="204"/>
      <c r="LG23" s="204"/>
      <c r="LH23" s="204"/>
      <c r="LI23" s="204"/>
      <c r="LJ23" s="204"/>
      <c r="LK23" s="204"/>
      <c r="LL23" s="204"/>
      <c r="LM23" s="204"/>
      <c r="LN23" s="204"/>
      <c r="LO23" s="204"/>
      <c r="LP23" s="204"/>
      <c r="LQ23" s="204"/>
      <c r="LR23" s="204"/>
      <c r="LS23" s="204"/>
      <c r="LT23" s="204"/>
      <c r="LU23" s="204"/>
      <c r="LV23" s="204"/>
      <c r="LW23" s="204"/>
      <c r="LX23" s="204"/>
      <c r="LY23" s="204"/>
      <c r="LZ23" s="204"/>
      <c r="MA23" s="204"/>
      <c r="MB23" s="204"/>
      <c r="MC23" s="204"/>
      <c r="MD23" s="204"/>
      <c r="ME23" s="204"/>
      <c r="MF23" s="204"/>
      <c r="MG23" s="204"/>
      <c r="MH23" s="204"/>
      <c r="MI23" s="204"/>
      <c r="MJ23" s="204"/>
      <c r="MK23" s="204"/>
      <c r="ML23" s="204"/>
      <c r="MM23" s="204"/>
      <c r="MN23" s="204"/>
      <c r="MO23" s="204"/>
      <c r="MP23" s="204"/>
      <c r="MQ23" s="204"/>
      <c r="MR23" s="204"/>
      <c r="MS23" s="204"/>
      <c r="MT23" s="204"/>
      <c r="MU23" s="204"/>
      <c r="MV23" s="204"/>
      <c r="MW23" s="204"/>
      <c r="MX23" s="204"/>
      <c r="MY23" s="204"/>
      <c r="MZ23" s="204"/>
      <c r="NA23" s="204"/>
      <c r="NB23" s="204"/>
      <c r="NC23" s="204"/>
      <c r="ND23" s="204"/>
      <c r="NE23" s="204"/>
      <c r="NF23" s="204"/>
      <c r="NG23" s="204"/>
      <c r="NH23" s="204"/>
      <c r="NI23" s="204"/>
      <c r="NJ23" s="204"/>
      <c r="NK23" s="204"/>
      <c r="NL23" s="204"/>
      <c r="NM23" s="204"/>
      <c r="NN23" s="204"/>
      <c r="NO23" s="204"/>
      <c r="NP23" s="204"/>
      <c r="NQ23" s="204"/>
      <c r="NR23" s="204"/>
      <c r="NS23" s="204"/>
      <c r="NT23" s="204"/>
      <c r="NU23" s="204"/>
      <c r="NV23" s="204"/>
      <c r="NW23" s="204"/>
      <c r="NX23" s="204"/>
      <c r="NY23" s="204"/>
      <c r="NZ23" s="204"/>
      <c r="OA23" s="204"/>
      <c r="OB23" s="204"/>
      <c r="OC23" s="204"/>
      <c r="OD23" s="204"/>
      <c r="OE23" s="204"/>
      <c r="OF23" s="204"/>
      <c r="OG23" s="204"/>
      <c r="OH23" s="204"/>
      <c r="OI23" s="204"/>
      <c r="OJ23" s="204"/>
      <c r="OK23" s="204"/>
      <c r="OL23" s="204"/>
      <c r="OM23" s="204"/>
      <c r="ON23" s="204"/>
      <c r="OO23" s="204"/>
      <c r="OP23" s="204"/>
      <c r="OQ23" s="204"/>
      <c r="OR23" s="204"/>
      <c r="OS23" s="204"/>
      <c r="OT23" s="204"/>
      <c r="OU23" s="204"/>
      <c r="OV23" s="204"/>
      <c r="OW23" s="204"/>
      <c r="OX23" s="204"/>
      <c r="OY23" s="204"/>
      <c r="OZ23" s="204"/>
      <c r="PA23" s="204"/>
      <c r="PB23" s="204"/>
      <c r="PC23" s="204"/>
      <c r="PD23" s="204"/>
      <c r="PE23" s="204"/>
      <c r="PF23" s="204"/>
      <c r="PG23" s="204"/>
      <c r="PH23" s="204"/>
      <c r="PI23" s="204"/>
      <c r="PJ23" s="204"/>
      <c r="PK23" s="204"/>
      <c r="PL23" s="204"/>
      <c r="PM23" s="204"/>
      <c r="PN23" s="204"/>
      <c r="PO23" s="204"/>
      <c r="PP23" s="204"/>
      <c r="PQ23" s="204"/>
      <c r="PR23" s="204"/>
      <c r="PS23" s="204"/>
      <c r="PT23" s="204"/>
      <c r="PU23" s="204"/>
      <c r="PV23" s="204"/>
      <c r="PW23" s="204"/>
      <c r="PX23" s="204"/>
      <c r="PY23" s="204"/>
      <c r="PZ23" s="204"/>
      <c r="QA23" s="204"/>
      <c r="QB23" s="204"/>
      <c r="QC23" s="204"/>
      <c r="QD23" s="204"/>
      <c r="QE23" s="204"/>
      <c r="QF23" s="204"/>
      <c r="QG23" s="204"/>
      <c r="QH23" s="204"/>
      <c r="QI23" s="204"/>
      <c r="QJ23" s="204"/>
      <c r="QK23" s="204"/>
      <c r="QL23" s="204"/>
      <c r="QM23" s="204"/>
      <c r="QN23" s="204"/>
      <c r="QO23" s="204"/>
      <c r="QP23" s="204"/>
      <c r="QQ23" s="204"/>
      <c r="QR23" s="204"/>
      <c r="QS23" s="204"/>
      <c r="QT23" s="204"/>
      <c r="QU23" s="204"/>
      <c r="QV23" s="204"/>
      <c r="QW23" s="204"/>
      <c r="QX23" s="204"/>
      <c r="QY23" s="204"/>
      <c r="QZ23" s="204"/>
      <c r="RA23" s="204"/>
      <c r="RB23" s="204"/>
      <c r="RC23" s="204"/>
      <c r="RD23" s="204"/>
      <c r="RE23" s="204"/>
      <c r="RF23" s="204"/>
      <c r="RG23" s="204"/>
      <c r="RH23" s="204"/>
      <c r="RI23" s="204"/>
      <c r="RJ23" s="204"/>
      <c r="RK23" s="204"/>
      <c r="RL23" s="204"/>
      <c r="RM23" s="204"/>
      <c r="RN23" s="204"/>
      <c r="RO23" s="204"/>
      <c r="RP23" s="204"/>
      <c r="RQ23" s="204"/>
      <c r="RR23" s="204"/>
      <c r="RS23" s="204"/>
      <c r="RT23" s="204"/>
      <c r="RU23" s="204"/>
      <c r="RV23" s="204"/>
      <c r="RW23" s="204"/>
      <c r="RX23" s="204"/>
      <c r="RY23" s="204"/>
      <c r="RZ23" s="204"/>
      <c r="SA23" s="204"/>
      <c r="SB23" s="204"/>
      <c r="SC23" s="204"/>
      <c r="SD23" s="204"/>
      <c r="SE23" s="204"/>
      <c r="SF23" s="204"/>
      <c r="SG23" s="204"/>
      <c r="SH23" s="204"/>
      <c r="SI23" s="204"/>
      <c r="SJ23" s="204"/>
      <c r="SK23" s="204"/>
      <c r="SL23" s="204"/>
      <c r="SM23" s="204"/>
      <c r="SN23" s="204"/>
      <c r="SO23" s="204"/>
      <c r="SP23" s="204"/>
      <c r="SQ23" s="204"/>
      <c r="SR23" s="204"/>
      <c r="SS23" s="204"/>
      <c r="ST23" s="204"/>
      <c r="SU23" s="204"/>
      <c r="SV23" s="204"/>
      <c r="SW23" s="204"/>
      <c r="SX23" s="204"/>
      <c r="SY23" s="204"/>
      <c r="SZ23" s="204"/>
      <c r="TA23" s="204"/>
      <c r="TB23" s="204"/>
      <c r="TC23" s="204"/>
      <c r="TD23" s="204"/>
      <c r="TE23" s="204"/>
      <c r="TF23" s="204"/>
      <c r="TG23" s="204"/>
      <c r="TH23" s="204"/>
      <c r="TI23" s="204"/>
      <c r="TJ23" s="204"/>
      <c r="TK23" s="204"/>
      <c r="TL23" s="204"/>
      <c r="TM23" s="204"/>
      <c r="TN23" s="204"/>
      <c r="TO23" s="204"/>
      <c r="TP23" s="204"/>
      <c r="TQ23" s="204"/>
      <c r="TR23" s="204"/>
      <c r="TS23" s="204"/>
      <c r="TT23" s="204"/>
      <c r="TU23" s="204"/>
      <c r="TV23" s="204"/>
      <c r="TW23" s="204"/>
      <c r="TX23" s="204"/>
      <c r="TY23" s="204"/>
      <c r="TZ23" s="204"/>
      <c r="UA23" s="204"/>
      <c r="UB23" s="204"/>
      <c r="UC23" s="204"/>
      <c r="UD23" s="204"/>
      <c r="UE23" s="204"/>
      <c r="UF23" s="204"/>
      <c r="UG23" s="204"/>
      <c r="UH23" s="204"/>
      <c r="UI23" s="204"/>
      <c r="UJ23" s="204"/>
      <c r="UK23" s="204"/>
      <c r="UL23" s="204"/>
      <c r="UM23" s="204"/>
      <c r="UN23" s="204"/>
      <c r="UO23" s="204"/>
      <c r="UP23" s="204"/>
      <c r="UQ23" s="204"/>
      <c r="UR23" s="204"/>
      <c r="US23" s="204"/>
      <c r="UT23" s="204"/>
      <c r="UU23" s="204"/>
      <c r="UV23" s="204"/>
      <c r="UW23" s="204"/>
      <c r="UX23" s="204"/>
      <c r="UY23" s="204"/>
      <c r="UZ23" s="204"/>
      <c r="VA23" s="204"/>
      <c r="VB23" s="204"/>
      <c r="VC23" s="204"/>
      <c r="VD23" s="204"/>
      <c r="VE23" s="204"/>
      <c r="VF23" s="204"/>
      <c r="VG23" s="204"/>
      <c r="VH23" s="204"/>
      <c r="VI23" s="204"/>
      <c r="VJ23" s="204"/>
      <c r="VK23" s="204"/>
      <c r="VL23" s="204"/>
      <c r="VM23" s="204"/>
      <c r="VN23" s="204"/>
      <c r="VO23" s="204"/>
      <c r="VP23" s="204"/>
      <c r="VQ23" s="204"/>
      <c r="VR23" s="204"/>
      <c r="VS23" s="204"/>
      <c r="VT23" s="204"/>
      <c r="VU23" s="204"/>
      <c r="VV23" s="204"/>
      <c r="VW23" s="204"/>
      <c r="VX23" s="204"/>
      <c r="VY23" s="204"/>
      <c r="VZ23" s="204"/>
      <c r="WA23" s="204"/>
      <c r="WB23" s="204"/>
      <c r="WC23" s="204"/>
      <c r="WD23" s="204"/>
      <c r="WE23" s="204"/>
    </row>
    <row r="24" spans="1:603" s="208" customFormat="1" x14ac:dyDescent="0.4">
      <c r="A24" s="201"/>
      <c r="B24" s="201"/>
      <c r="C24" s="201"/>
      <c r="D24" s="201"/>
      <c r="E24" s="201"/>
      <c r="F24" s="201"/>
      <c r="G24" s="201"/>
      <c r="H24" s="201"/>
      <c r="I24" s="201"/>
      <c r="J24" s="204"/>
      <c r="K24" s="204"/>
      <c r="L24" s="205"/>
      <c r="M24" s="205"/>
      <c r="N24" s="204"/>
      <c r="O24" s="204"/>
      <c r="P24" s="205"/>
      <c r="Q24" s="205"/>
      <c r="R24" s="204"/>
      <c r="S24" s="204"/>
      <c r="T24" s="205"/>
      <c r="U24" s="205"/>
      <c r="V24" s="204"/>
      <c r="W24" s="204"/>
      <c r="X24" s="205"/>
      <c r="Y24" s="205"/>
      <c r="Z24" s="204"/>
      <c r="AA24" s="204"/>
      <c r="AB24" s="205"/>
      <c r="AC24" s="205"/>
      <c r="AD24" s="204"/>
      <c r="AE24" s="204"/>
      <c r="AF24" s="205"/>
      <c r="AG24" s="205"/>
      <c r="AH24" s="204"/>
      <c r="AI24" s="204"/>
      <c r="AJ24" s="205"/>
      <c r="AK24" s="205"/>
      <c r="AL24" s="204"/>
      <c r="AM24" s="204"/>
      <c r="AN24" s="205"/>
      <c r="AO24" s="205"/>
      <c r="AP24" s="204"/>
      <c r="AQ24" s="204"/>
      <c r="AR24" s="205"/>
      <c r="AS24" s="205"/>
      <c r="AT24" s="204"/>
      <c r="AU24" s="204"/>
      <c r="AV24" s="205"/>
      <c r="AW24" s="205"/>
      <c r="AX24" s="204"/>
      <c r="AY24" s="204"/>
      <c r="AZ24" s="205"/>
      <c r="BA24" s="205"/>
      <c r="BB24" s="204"/>
      <c r="BC24" s="204"/>
      <c r="BD24" s="205"/>
      <c r="BE24" s="205"/>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04"/>
      <c r="EJ24" s="204"/>
      <c r="EK24" s="204"/>
      <c r="EL24" s="204"/>
      <c r="EM24" s="204"/>
      <c r="EN24" s="204"/>
      <c r="EO24" s="204"/>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c r="FL24" s="204"/>
      <c r="FM24" s="204"/>
      <c r="FN24" s="204"/>
      <c r="FO24" s="204"/>
      <c r="FP24" s="204"/>
      <c r="FQ24" s="204"/>
      <c r="FR24" s="204"/>
      <c r="FS24" s="204"/>
      <c r="FT24" s="204"/>
      <c r="FU24" s="204"/>
      <c r="FV24" s="204"/>
      <c r="FW24" s="204"/>
      <c r="FX24" s="204"/>
      <c r="FY24" s="204"/>
      <c r="FZ24" s="204"/>
      <c r="GA24" s="204"/>
      <c r="GB24" s="204"/>
      <c r="GC24" s="204"/>
      <c r="GD24" s="204"/>
      <c r="GE24" s="204"/>
      <c r="GF24" s="204"/>
      <c r="GG24" s="204"/>
      <c r="GH24" s="204"/>
      <c r="GI24" s="204"/>
      <c r="GJ24" s="204"/>
      <c r="GK24" s="204"/>
      <c r="GL24" s="204"/>
      <c r="GM24" s="204"/>
      <c r="GN24" s="204"/>
      <c r="GO24" s="204"/>
      <c r="GP24" s="204"/>
      <c r="GQ24" s="204"/>
      <c r="GR24" s="204"/>
      <c r="GS24" s="204"/>
      <c r="GT24" s="204"/>
      <c r="GU24" s="204"/>
      <c r="GV24" s="204"/>
      <c r="GW24" s="204"/>
      <c r="GX24" s="204"/>
      <c r="GY24" s="204"/>
      <c r="GZ24" s="204"/>
      <c r="HA24" s="204"/>
      <c r="HB24" s="204"/>
      <c r="HC24" s="204"/>
      <c r="HD24" s="204"/>
      <c r="HE24" s="204"/>
      <c r="HF24" s="204"/>
      <c r="HG24" s="204"/>
      <c r="HH24" s="204"/>
      <c r="HI24" s="204"/>
      <c r="HJ24" s="204"/>
      <c r="HK24" s="204"/>
      <c r="HL24" s="204"/>
      <c r="HM24" s="204"/>
      <c r="HN24" s="204"/>
      <c r="HO24" s="204"/>
      <c r="HP24" s="204"/>
      <c r="HQ24" s="204"/>
      <c r="HR24" s="204"/>
      <c r="HS24" s="204"/>
      <c r="HT24" s="204"/>
      <c r="HU24" s="204"/>
      <c r="HV24" s="204"/>
      <c r="HW24" s="204"/>
      <c r="HX24" s="204"/>
      <c r="HY24" s="204"/>
      <c r="HZ24" s="204"/>
      <c r="IA24" s="204"/>
      <c r="IB24" s="204"/>
      <c r="IC24" s="204"/>
      <c r="ID24" s="204"/>
      <c r="IE24" s="204"/>
      <c r="IF24" s="204"/>
      <c r="IG24" s="204"/>
      <c r="IH24" s="204"/>
      <c r="II24" s="204"/>
      <c r="IJ24" s="204"/>
      <c r="IK24" s="204"/>
      <c r="IL24" s="204"/>
      <c r="IM24" s="204"/>
      <c r="IN24" s="204"/>
      <c r="IO24" s="204"/>
      <c r="IP24" s="204"/>
      <c r="IQ24" s="204"/>
      <c r="IR24" s="204"/>
      <c r="IS24" s="204"/>
      <c r="IT24" s="204"/>
      <c r="IU24" s="204"/>
      <c r="IV24" s="204"/>
      <c r="IW24" s="204"/>
      <c r="IX24" s="204"/>
      <c r="IY24" s="204"/>
      <c r="IZ24" s="204"/>
      <c r="JA24" s="204"/>
      <c r="JB24" s="204"/>
      <c r="JC24" s="204"/>
      <c r="JD24" s="204"/>
      <c r="JE24" s="204"/>
      <c r="JF24" s="204"/>
      <c r="JG24" s="204"/>
      <c r="JH24" s="204"/>
      <c r="JI24" s="204"/>
      <c r="JJ24" s="204"/>
      <c r="JK24" s="204"/>
      <c r="JL24" s="204"/>
      <c r="JM24" s="204"/>
      <c r="JN24" s="204"/>
      <c r="JO24" s="204"/>
      <c r="JP24" s="204"/>
      <c r="JQ24" s="204"/>
      <c r="JR24" s="204"/>
      <c r="JS24" s="204"/>
      <c r="JT24" s="204"/>
      <c r="JU24" s="204"/>
      <c r="JV24" s="204"/>
      <c r="JW24" s="204"/>
      <c r="JX24" s="204"/>
      <c r="JY24" s="204"/>
      <c r="JZ24" s="204"/>
      <c r="KA24" s="204"/>
      <c r="KB24" s="204"/>
      <c r="KC24" s="204"/>
      <c r="KD24" s="204"/>
      <c r="KE24" s="204"/>
      <c r="KF24" s="204"/>
      <c r="KG24" s="204"/>
      <c r="KH24" s="204"/>
      <c r="KI24" s="204"/>
      <c r="KJ24" s="204"/>
      <c r="KK24" s="204"/>
      <c r="KL24" s="204"/>
      <c r="KM24" s="204"/>
      <c r="KN24" s="204"/>
      <c r="KO24" s="204"/>
      <c r="KP24" s="204"/>
      <c r="KQ24" s="204"/>
      <c r="KR24" s="204"/>
      <c r="KS24" s="204"/>
      <c r="KT24" s="204"/>
      <c r="KU24" s="204"/>
      <c r="KV24" s="204"/>
      <c r="KW24" s="204"/>
      <c r="KX24" s="204"/>
      <c r="KY24" s="204"/>
      <c r="KZ24" s="204"/>
      <c r="LA24" s="204"/>
      <c r="LB24" s="204"/>
      <c r="LC24" s="204"/>
      <c r="LD24" s="204"/>
      <c r="LE24" s="204"/>
      <c r="LF24" s="204"/>
      <c r="LG24" s="204"/>
      <c r="LH24" s="204"/>
      <c r="LI24" s="204"/>
      <c r="LJ24" s="204"/>
      <c r="LK24" s="204"/>
      <c r="LL24" s="204"/>
      <c r="LM24" s="204"/>
      <c r="LN24" s="204"/>
      <c r="LO24" s="204"/>
      <c r="LP24" s="204"/>
      <c r="LQ24" s="204"/>
      <c r="LR24" s="204"/>
      <c r="LS24" s="204"/>
      <c r="LT24" s="204"/>
      <c r="LU24" s="204"/>
      <c r="LV24" s="204"/>
      <c r="LW24" s="204"/>
      <c r="LX24" s="204"/>
      <c r="LY24" s="204"/>
      <c r="LZ24" s="204"/>
      <c r="MA24" s="204"/>
      <c r="MB24" s="204"/>
      <c r="MC24" s="204"/>
      <c r="MD24" s="204"/>
      <c r="ME24" s="204"/>
      <c r="MF24" s="204"/>
      <c r="MG24" s="204"/>
      <c r="MH24" s="204"/>
      <c r="MI24" s="204"/>
      <c r="MJ24" s="204"/>
      <c r="MK24" s="204"/>
      <c r="ML24" s="204"/>
      <c r="MM24" s="204"/>
      <c r="MN24" s="204"/>
      <c r="MO24" s="204"/>
      <c r="MP24" s="204"/>
      <c r="MQ24" s="204"/>
      <c r="MR24" s="204"/>
      <c r="MS24" s="204"/>
      <c r="MT24" s="204"/>
      <c r="MU24" s="204"/>
      <c r="MV24" s="204"/>
      <c r="MW24" s="204"/>
      <c r="MX24" s="204"/>
      <c r="MY24" s="204"/>
      <c r="MZ24" s="204"/>
      <c r="NA24" s="204"/>
      <c r="NB24" s="204"/>
      <c r="NC24" s="204"/>
      <c r="ND24" s="204"/>
      <c r="NE24" s="204"/>
      <c r="NF24" s="204"/>
      <c r="NG24" s="204"/>
      <c r="NH24" s="204"/>
      <c r="NI24" s="204"/>
      <c r="NJ24" s="204"/>
      <c r="NK24" s="204"/>
      <c r="NL24" s="204"/>
      <c r="NM24" s="204"/>
      <c r="NN24" s="204"/>
      <c r="NO24" s="204"/>
      <c r="NP24" s="204"/>
      <c r="NQ24" s="204"/>
      <c r="NR24" s="204"/>
      <c r="NS24" s="204"/>
      <c r="NT24" s="204"/>
      <c r="NU24" s="204"/>
      <c r="NV24" s="204"/>
      <c r="NW24" s="204"/>
      <c r="NX24" s="204"/>
      <c r="NY24" s="204"/>
      <c r="NZ24" s="204"/>
      <c r="OA24" s="204"/>
      <c r="OB24" s="204"/>
      <c r="OC24" s="204"/>
      <c r="OD24" s="204"/>
      <c r="OE24" s="204"/>
      <c r="OF24" s="204"/>
      <c r="OG24" s="204"/>
      <c r="OH24" s="204"/>
      <c r="OI24" s="204"/>
      <c r="OJ24" s="204"/>
      <c r="OK24" s="204"/>
      <c r="OL24" s="204"/>
      <c r="OM24" s="204"/>
      <c r="ON24" s="204"/>
      <c r="OO24" s="204"/>
      <c r="OP24" s="204"/>
      <c r="OQ24" s="204"/>
      <c r="OR24" s="204"/>
      <c r="OS24" s="204"/>
      <c r="OT24" s="204"/>
      <c r="OU24" s="204"/>
      <c r="OV24" s="204"/>
      <c r="OW24" s="204"/>
      <c r="OX24" s="204"/>
      <c r="OY24" s="204"/>
      <c r="OZ24" s="204"/>
      <c r="PA24" s="204"/>
      <c r="PB24" s="204"/>
      <c r="PC24" s="204"/>
      <c r="PD24" s="204"/>
      <c r="PE24" s="204"/>
      <c r="PF24" s="204"/>
      <c r="PG24" s="204"/>
      <c r="PH24" s="204"/>
      <c r="PI24" s="204"/>
      <c r="PJ24" s="204"/>
      <c r="PK24" s="204"/>
      <c r="PL24" s="204"/>
      <c r="PM24" s="204"/>
      <c r="PN24" s="204"/>
      <c r="PO24" s="204"/>
      <c r="PP24" s="204"/>
      <c r="PQ24" s="204"/>
      <c r="PR24" s="204"/>
      <c r="PS24" s="204"/>
      <c r="PT24" s="204"/>
      <c r="PU24" s="204"/>
      <c r="PV24" s="204"/>
      <c r="PW24" s="204"/>
      <c r="PX24" s="204"/>
      <c r="PY24" s="204"/>
      <c r="PZ24" s="204"/>
      <c r="QA24" s="204"/>
      <c r="QB24" s="204"/>
      <c r="QC24" s="204"/>
      <c r="QD24" s="204"/>
      <c r="QE24" s="204"/>
      <c r="QF24" s="204"/>
      <c r="QG24" s="204"/>
      <c r="QH24" s="204"/>
      <c r="QI24" s="204"/>
      <c r="QJ24" s="204"/>
      <c r="QK24" s="204"/>
      <c r="QL24" s="204"/>
      <c r="QM24" s="204"/>
      <c r="QN24" s="204"/>
      <c r="QO24" s="204"/>
      <c r="QP24" s="204"/>
      <c r="QQ24" s="204"/>
      <c r="QR24" s="204"/>
      <c r="QS24" s="204"/>
      <c r="QT24" s="204"/>
      <c r="QU24" s="204"/>
      <c r="QV24" s="204"/>
      <c r="QW24" s="204"/>
      <c r="QX24" s="204"/>
      <c r="QY24" s="204"/>
      <c r="QZ24" s="204"/>
      <c r="RA24" s="204"/>
      <c r="RB24" s="204"/>
      <c r="RC24" s="204"/>
      <c r="RD24" s="204"/>
      <c r="RE24" s="204"/>
      <c r="RF24" s="204"/>
      <c r="RG24" s="204"/>
      <c r="RH24" s="204"/>
      <c r="RI24" s="204"/>
      <c r="RJ24" s="204"/>
      <c r="RK24" s="204"/>
      <c r="RL24" s="204"/>
      <c r="RM24" s="204"/>
      <c r="RN24" s="204"/>
      <c r="RO24" s="204"/>
      <c r="RP24" s="204"/>
      <c r="RQ24" s="204"/>
      <c r="RR24" s="204"/>
      <c r="RS24" s="204"/>
      <c r="RT24" s="204"/>
      <c r="RU24" s="204"/>
      <c r="RV24" s="204"/>
      <c r="RW24" s="204"/>
      <c r="RX24" s="204"/>
      <c r="RY24" s="204"/>
      <c r="RZ24" s="204"/>
      <c r="SA24" s="204"/>
      <c r="SB24" s="204"/>
      <c r="SC24" s="204"/>
      <c r="SD24" s="204"/>
      <c r="SE24" s="204"/>
      <c r="SF24" s="204"/>
      <c r="SG24" s="204"/>
      <c r="SH24" s="204"/>
      <c r="SI24" s="204"/>
      <c r="SJ24" s="204"/>
      <c r="SK24" s="204"/>
      <c r="SL24" s="204"/>
      <c r="SM24" s="204"/>
      <c r="SN24" s="204"/>
      <c r="SO24" s="204"/>
      <c r="SP24" s="204"/>
      <c r="SQ24" s="204"/>
      <c r="SR24" s="204"/>
      <c r="SS24" s="204"/>
      <c r="ST24" s="204"/>
      <c r="SU24" s="204"/>
      <c r="SV24" s="204"/>
      <c r="SW24" s="204"/>
      <c r="SX24" s="204"/>
      <c r="SY24" s="204"/>
      <c r="SZ24" s="204"/>
      <c r="TA24" s="204"/>
      <c r="TB24" s="204"/>
      <c r="TC24" s="204"/>
      <c r="TD24" s="204"/>
      <c r="TE24" s="204"/>
      <c r="TF24" s="204"/>
      <c r="TG24" s="204"/>
      <c r="TH24" s="204"/>
      <c r="TI24" s="204"/>
      <c r="TJ24" s="204"/>
      <c r="TK24" s="204"/>
      <c r="TL24" s="204"/>
      <c r="TM24" s="204"/>
      <c r="TN24" s="204"/>
      <c r="TO24" s="204"/>
      <c r="TP24" s="204"/>
      <c r="TQ24" s="204"/>
      <c r="TR24" s="204"/>
      <c r="TS24" s="204"/>
      <c r="TT24" s="204"/>
      <c r="TU24" s="204"/>
      <c r="TV24" s="204"/>
      <c r="TW24" s="204"/>
      <c r="TX24" s="204"/>
      <c r="TY24" s="204"/>
      <c r="TZ24" s="204"/>
      <c r="UA24" s="204"/>
      <c r="UB24" s="204"/>
      <c r="UC24" s="204"/>
      <c r="UD24" s="204"/>
      <c r="UE24" s="204"/>
      <c r="UF24" s="204"/>
      <c r="UG24" s="204"/>
      <c r="UH24" s="204"/>
      <c r="UI24" s="204"/>
      <c r="UJ24" s="204"/>
      <c r="UK24" s="204"/>
      <c r="UL24" s="204"/>
      <c r="UM24" s="204"/>
      <c r="UN24" s="204"/>
      <c r="UO24" s="204"/>
      <c r="UP24" s="204"/>
      <c r="UQ24" s="204"/>
      <c r="UR24" s="204"/>
      <c r="US24" s="204"/>
      <c r="UT24" s="204"/>
      <c r="UU24" s="204"/>
      <c r="UV24" s="204"/>
      <c r="UW24" s="204"/>
      <c r="UX24" s="204"/>
      <c r="UY24" s="204"/>
      <c r="UZ24" s="204"/>
      <c r="VA24" s="204"/>
      <c r="VB24" s="204"/>
      <c r="VC24" s="204"/>
      <c r="VD24" s="204"/>
      <c r="VE24" s="204"/>
      <c r="VF24" s="204"/>
      <c r="VG24" s="204"/>
      <c r="VH24" s="204"/>
      <c r="VI24" s="204"/>
      <c r="VJ24" s="204"/>
      <c r="VK24" s="204"/>
      <c r="VL24" s="204"/>
      <c r="VM24" s="204"/>
      <c r="VN24" s="204"/>
      <c r="VO24" s="204"/>
      <c r="VP24" s="204"/>
      <c r="VQ24" s="204"/>
      <c r="VR24" s="204"/>
      <c r="VS24" s="204"/>
      <c r="VT24" s="204"/>
      <c r="VU24" s="204"/>
      <c r="VV24" s="204"/>
      <c r="VW24" s="204"/>
      <c r="VX24" s="204"/>
      <c r="VY24" s="204"/>
      <c r="VZ24" s="204"/>
      <c r="WA24" s="204"/>
      <c r="WB24" s="204"/>
      <c r="WC24" s="204"/>
      <c r="WD24" s="204"/>
      <c r="WE24" s="204"/>
    </row>
    <row r="25" spans="1:603" s="209" customFormat="1" x14ac:dyDescent="0.4">
      <c r="A25" s="201"/>
      <c r="B25" s="201"/>
      <c r="C25" s="201"/>
      <c r="D25" s="201"/>
      <c r="E25" s="201"/>
      <c r="F25" s="201"/>
      <c r="G25" s="201"/>
      <c r="H25" s="201"/>
      <c r="I25" s="201"/>
      <c r="J25" s="204"/>
      <c r="K25" s="204"/>
      <c r="L25" s="205"/>
      <c r="M25" s="205"/>
      <c r="N25" s="204"/>
      <c r="O25" s="204"/>
      <c r="P25" s="205"/>
      <c r="Q25" s="205"/>
      <c r="R25" s="204"/>
      <c r="S25" s="204"/>
      <c r="T25" s="205"/>
      <c r="U25" s="205"/>
      <c r="V25" s="204"/>
      <c r="W25" s="204"/>
      <c r="X25" s="205"/>
      <c r="Y25" s="205"/>
      <c r="Z25" s="204"/>
      <c r="AA25" s="204"/>
      <c r="AB25" s="205"/>
      <c r="AC25" s="205"/>
      <c r="AD25" s="204"/>
      <c r="AE25" s="204"/>
      <c r="AF25" s="205"/>
      <c r="AG25" s="205"/>
      <c r="AH25" s="204"/>
      <c r="AI25" s="204"/>
      <c r="AJ25" s="205"/>
      <c r="AK25" s="205"/>
      <c r="AL25" s="204"/>
      <c r="AM25" s="204"/>
      <c r="AN25" s="205"/>
      <c r="AO25" s="205"/>
      <c r="AP25" s="204"/>
      <c r="AQ25" s="204"/>
      <c r="AR25" s="205"/>
      <c r="AS25" s="205"/>
      <c r="AT25" s="204"/>
      <c r="AU25" s="204"/>
      <c r="AV25" s="205"/>
      <c r="AW25" s="205"/>
      <c r="AX25" s="204"/>
      <c r="AY25" s="204"/>
      <c r="AZ25" s="205"/>
      <c r="BA25" s="205"/>
      <c r="BB25" s="204"/>
      <c r="BC25" s="204"/>
      <c r="BD25" s="205"/>
      <c r="BE25" s="205"/>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c r="DT25" s="204"/>
      <c r="DU25" s="204"/>
      <c r="DV25" s="204"/>
      <c r="DW25" s="204"/>
      <c r="DX25" s="204"/>
      <c r="DY25" s="204"/>
      <c r="DZ25" s="204"/>
      <c r="EA25" s="204"/>
      <c r="EB25" s="204"/>
      <c r="EC25" s="204"/>
      <c r="ED25" s="204"/>
      <c r="EE25" s="204"/>
      <c r="EF25" s="204"/>
      <c r="EG25" s="204"/>
      <c r="EH25" s="204"/>
      <c r="EI25" s="204"/>
      <c r="EJ25" s="204"/>
      <c r="EK25" s="204"/>
      <c r="EL25" s="204"/>
      <c r="EM25" s="204"/>
      <c r="EN25" s="204"/>
      <c r="EO25" s="204"/>
      <c r="EP25" s="204"/>
      <c r="EQ25" s="204"/>
      <c r="ER25" s="204"/>
      <c r="ES25" s="204"/>
      <c r="ET25" s="204"/>
      <c r="EU25" s="204"/>
      <c r="EV25" s="204"/>
      <c r="EW25" s="204"/>
      <c r="EX25" s="204"/>
      <c r="EY25" s="204"/>
      <c r="EZ25" s="204"/>
      <c r="FA25" s="204"/>
      <c r="FB25" s="204"/>
      <c r="FC25" s="204"/>
      <c r="FD25" s="204"/>
      <c r="FE25" s="204"/>
      <c r="FF25" s="204"/>
      <c r="FG25" s="204"/>
      <c r="FH25" s="204"/>
      <c r="FI25" s="204"/>
      <c r="FJ25" s="204"/>
      <c r="FK25" s="204"/>
      <c r="FL25" s="204"/>
      <c r="FM25" s="204"/>
      <c r="FN25" s="204"/>
      <c r="FO25" s="204"/>
      <c r="FP25" s="204"/>
      <c r="FQ25" s="204"/>
      <c r="FR25" s="204"/>
      <c r="FS25" s="204"/>
      <c r="FT25" s="204"/>
      <c r="FU25" s="204"/>
      <c r="FV25" s="204"/>
      <c r="FW25" s="204"/>
      <c r="FX25" s="204"/>
      <c r="FY25" s="204"/>
      <c r="FZ25" s="204"/>
      <c r="GA25" s="204"/>
      <c r="GB25" s="204"/>
      <c r="GC25" s="204"/>
      <c r="GD25" s="204"/>
      <c r="GE25" s="204"/>
      <c r="GF25" s="204"/>
      <c r="GG25" s="204"/>
      <c r="GH25" s="204"/>
      <c r="GI25" s="204"/>
      <c r="GJ25" s="204"/>
      <c r="GK25" s="204"/>
      <c r="GL25" s="204"/>
      <c r="GM25" s="204"/>
      <c r="GN25" s="204"/>
      <c r="GO25" s="204"/>
      <c r="GP25" s="204"/>
      <c r="GQ25" s="204"/>
      <c r="GR25" s="204"/>
      <c r="GS25" s="204"/>
      <c r="GT25" s="204"/>
      <c r="GU25" s="204"/>
      <c r="GV25" s="204"/>
      <c r="GW25" s="204"/>
      <c r="GX25" s="204"/>
      <c r="GY25" s="204"/>
      <c r="GZ25" s="204"/>
      <c r="HA25" s="204"/>
      <c r="HB25" s="204"/>
      <c r="HC25" s="204"/>
      <c r="HD25" s="204"/>
      <c r="HE25" s="204"/>
      <c r="HF25" s="204"/>
      <c r="HG25" s="204"/>
      <c r="HH25" s="204"/>
      <c r="HI25" s="204"/>
      <c r="HJ25" s="204"/>
      <c r="HK25" s="204"/>
      <c r="HL25" s="204"/>
      <c r="HM25" s="204"/>
      <c r="HN25" s="204"/>
      <c r="HO25" s="204"/>
      <c r="HP25" s="204"/>
      <c r="HQ25" s="204"/>
      <c r="HR25" s="204"/>
      <c r="HS25" s="204"/>
      <c r="HT25" s="204"/>
      <c r="HU25" s="204"/>
      <c r="HV25" s="204"/>
      <c r="HW25" s="204"/>
      <c r="HX25" s="204"/>
      <c r="HY25" s="204"/>
      <c r="HZ25" s="204"/>
      <c r="IA25" s="204"/>
      <c r="IB25" s="204"/>
      <c r="IC25" s="204"/>
      <c r="ID25" s="204"/>
      <c r="IE25" s="204"/>
      <c r="IF25" s="204"/>
      <c r="IG25" s="204"/>
      <c r="IH25" s="204"/>
      <c r="II25" s="204"/>
      <c r="IJ25" s="204"/>
      <c r="IK25" s="204"/>
      <c r="IL25" s="204"/>
      <c r="IM25" s="204"/>
      <c r="IN25" s="204"/>
      <c r="IO25" s="204"/>
      <c r="IP25" s="204"/>
      <c r="IQ25" s="204"/>
      <c r="IR25" s="204"/>
      <c r="IS25" s="204"/>
      <c r="IT25" s="204"/>
      <c r="IU25" s="204"/>
      <c r="IV25" s="204"/>
      <c r="IW25" s="204"/>
      <c r="IX25" s="204"/>
      <c r="IY25" s="204"/>
      <c r="IZ25" s="204"/>
      <c r="JA25" s="204"/>
      <c r="JB25" s="204"/>
      <c r="JC25" s="204"/>
      <c r="JD25" s="204"/>
      <c r="JE25" s="204"/>
      <c r="JF25" s="204"/>
      <c r="JG25" s="204"/>
      <c r="JH25" s="204"/>
      <c r="JI25" s="204"/>
      <c r="JJ25" s="204"/>
      <c r="JK25" s="204"/>
      <c r="JL25" s="204"/>
      <c r="JM25" s="204"/>
      <c r="JN25" s="204"/>
      <c r="JO25" s="204"/>
      <c r="JP25" s="204"/>
      <c r="JQ25" s="204"/>
      <c r="JR25" s="204"/>
      <c r="JS25" s="204"/>
      <c r="JT25" s="204"/>
      <c r="JU25" s="204"/>
      <c r="JV25" s="204"/>
      <c r="JW25" s="204"/>
      <c r="JX25" s="204"/>
      <c r="JY25" s="204"/>
      <c r="JZ25" s="204"/>
      <c r="KA25" s="204"/>
      <c r="KB25" s="204"/>
      <c r="KC25" s="204"/>
      <c r="KD25" s="204"/>
      <c r="KE25" s="204"/>
      <c r="KF25" s="204"/>
      <c r="KG25" s="204"/>
      <c r="KH25" s="204"/>
      <c r="KI25" s="204"/>
      <c r="KJ25" s="204"/>
      <c r="KK25" s="204"/>
      <c r="KL25" s="204"/>
      <c r="KM25" s="204"/>
      <c r="KN25" s="204"/>
      <c r="KO25" s="204"/>
      <c r="KP25" s="204"/>
      <c r="KQ25" s="204"/>
      <c r="KR25" s="204"/>
      <c r="KS25" s="204"/>
      <c r="KT25" s="204"/>
      <c r="KU25" s="204"/>
      <c r="KV25" s="204"/>
      <c r="KW25" s="204"/>
      <c r="KX25" s="204"/>
      <c r="KY25" s="204"/>
      <c r="KZ25" s="204"/>
      <c r="LA25" s="204"/>
      <c r="LB25" s="204"/>
      <c r="LC25" s="204"/>
      <c r="LD25" s="204"/>
      <c r="LE25" s="204"/>
      <c r="LF25" s="204"/>
      <c r="LG25" s="204"/>
      <c r="LH25" s="204"/>
      <c r="LI25" s="204"/>
      <c r="LJ25" s="204"/>
      <c r="LK25" s="204"/>
      <c r="LL25" s="204"/>
      <c r="LM25" s="204"/>
      <c r="LN25" s="204"/>
      <c r="LO25" s="204"/>
      <c r="LP25" s="204"/>
      <c r="LQ25" s="204"/>
      <c r="LR25" s="204"/>
      <c r="LS25" s="204"/>
      <c r="LT25" s="204"/>
      <c r="LU25" s="204"/>
      <c r="LV25" s="204"/>
      <c r="LW25" s="204"/>
      <c r="LX25" s="204"/>
      <c r="LY25" s="204"/>
      <c r="LZ25" s="204"/>
      <c r="MA25" s="204"/>
      <c r="MB25" s="204"/>
      <c r="MC25" s="204"/>
      <c r="MD25" s="204"/>
      <c r="ME25" s="204"/>
      <c r="MF25" s="204"/>
      <c r="MG25" s="204"/>
      <c r="MH25" s="204"/>
      <c r="MI25" s="204"/>
      <c r="MJ25" s="204"/>
      <c r="MK25" s="204"/>
      <c r="ML25" s="204"/>
      <c r="MM25" s="204"/>
      <c r="MN25" s="204"/>
      <c r="MO25" s="204"/>
      <c r="MP25" s="204"/>
      <c r="MQ25" s="204"/>
      <c r="MR25" s="204"/>
      <c r="MS25" s="204"/>
      <c r="MT25" s="204"/>
      <c r="MU25" s="204"/>
      <c r="MV25" s="204"/>
      <c r="MW25" s="204"/>
      <c r="MX25" s="204"/>
      <c r="MY25" s="204"/>
      <c r="MZ25" s="204"/>
      <c r="NA25" s="204"/>
      <c r="NB25" s="204"/>
      <c r="NC25" s="204"/>
      <c r="ND25" s="204"/>
      <c r="NE25" s="204"/>
      <c r="NF25" s="204"/>
      <c r="NG25" s="204"/>
      <c r="NH25" s="204"/>
      <c r="NI25" s="204"/>
      <c r="NJ25" s="204"/>
      <c r="NK25" s="204"/>
      <c r="NL25" s="204"/>
      <c r="NM25" s="204"/>
      <c r="NN25" s="204"/>
      <c r="NO25" s="204"/>
      <c r="NP25" s="204"/>
      <c r="NQ25" s="204"/>
      <c r="NR25" s="204"/>
      <c r="NS25" s="204"/>
      <c r="NT25" s="204"/>
      <c r="NU25" s="204"/>
      <c r="NV25" s="204"/>
      <c r="NW25" s="204"/>
      <c r="NX25" s="204"/>
      <c r="NY25" s="204"/>
      <c r="NZ25" s="204"/>
      <c r="OA25" s="204"/>
      <c r="OB25" s="204"/>
      <c r="OC25" s="204"/>
      <c r="OD25" s="204"/>
      <c r="OE25" s="204"/>
      <c r="OF25" s="204"/>
      <c r="OG25" s="204"/>
      <c r="OH25" s="204"/>
      <c r="OI25" s="204"/>
      <c r="OJ25" s="204"/>
      <c r="OK25" s="204"/>
      <c r="OL25" s="204"/>
      <c r="OM25" s="204"/>
      <c r="ON25" s="204"/>
      <c r="OO25" s="204"/>
      <c r="OP25" s="204"/>
      <c r="OQ25" s="204"/>
      <c r="OR25" s="204"/>
      <c r="OS25" s="204"/>
      <c r="OT25" s="204"/>
      <c r="OU25" s="204"/>
      <c r="OV25" s="204"/>
      <c r="OW25" s="204"/>
      <c r="OX25" s="204"/>
      <c r="OY25" s="204"/>
      <c r="OZ25" s="204"/>
      <c r="PA25" s="204"/>
      <c r="PB25" s="204"/>
      <c r="PC25" s="204"/>
      <c r="PD25" s="204"/>
      <c r="PE25" s="204"/>
      <c r="PF25" s="204"/>
      <c r="PG25" s="204"/>
      <c r="PH25" s="204"/>
      <c r="PI25" s="204"/>
      <c r="PJ25" s="204"/>
      <c r="PK25" s="204"/>
      <c r="PL25" s="204"/>
      <c r="PM25" s="204"/>
      <c r="PN25" s="204"/>
      <c r="PO25" s="204"/>
      <c r="PP25" s="204"/>
      <c r="PQ25" s="204"/>
      <c r="PR25" s="204"/>
      <c r="PS25" s="204"/>
      <c r="PT25" s="204"/>
      <c r="PU25" s="204"/>
      <c r="PV25" s="204"/>
      <c r="PW25" s="204"/>
      <c r="PX25" s="204"/>
      <c r="PY25" s="204"/>
      <c r="PZ25" s="204"/>
      <c r="QA25" s="204"/>
      <c r="QB25" s="204"/>
      <c r="QC25" s="204"/>
      <c r="QD25" s="204"/>
      <c r="QE25" s="204"/>
      <c r="QF25" s="204"/>
      <c r="QG25" s="204"/>
      <c r="QH25" s="204"/>
      <c r="QI25" s="204"/>
      <c r="QJ25" s="204"/>
      <c r="QK25" s="204"/>
      <c r="QL25" s="204"/>
      <c r="QM25" s="204"/>
      <c r="QN25" s="204"/>
      <c r="QO25" s="204"/>
      <c r="QP25" s="204"/>
      <c r="QQ25" s="204"/>
      <c r="QR25" s="204"/>
      <c r="QS25" s="204"/>
      <c r="QT25" s="204"/>
      <c r="QU25" s="204"/>
      <c r="QV25" s="204"/>
      <c r="QW25" s="204"/>
      <c r="QX25" s="204"/>
      <c r="QY25" s="204"/>
      <c r="QZ25" s="204"/>
      <c r="RA25" s="204"/>
      <c r="RB25" s="204"/>
      <c r="RC25" s="204"/>
      <c r="RD25" s="204"/>
      <c r="RE25" s="204"/>
      <c r="RF25" s="204"/>
      <c r="RG25" s="204"/>
      <c r="RH25" s="204"/>
      <c r="RI25" s="204"/>
      <c r="RJ25" s="204"/>
      <c r="RK25" s="204"/>
      <c r="RL25" s="204"/>
      <c r="RM25" s="204"/>
      <c r="RN25" s="204"/>
      <c r="RO25" s="204"/>
      <c r="RP25" s="204"/>
      <c r="RQ25" s="204"/>
      <c r="RR25" s="204"/>
      <c r="RS25" s="204"/>
      <c r="RT25" s="204"/>
      <c r="RU25" s="204"/>
      <c r="RV25" s="204"/>
      <c r="RW25" s="204"/>
      <c r="RX25" s="204"/>
      <c r="RY25" s="204"/>
      <c r="RZ25" s="204"/>
      <c r="SA25" s="204"/>
      <c r="SB25" s="204"/>
      <c r="SC25" s="204"/>
      <c r="SD25" s="204"/>
      <c r="SE25" s="204"/>
      <c r="SF25" s="204"/>
      <c r="SG25" s="204"/>
      <c r="SH25" s="204"/>
      <c r="SI25" s="204"/>
      <c r="SJ25" s="204"/>
      <c r="SK25" s="204"/>
      <c r="SL25" s="204"/>
      <c r="SM25" s="204"/>
      <c r="SN25" s="204"/>
      <c r="SO25" s="204"/>
      <c r="SP25" s="204"/>
      <c r="SQ25" s="204"/>
      <c r="SR25" s="204"/>
      <c r="SS25" s="204"/>
      <c r="ST25" s="204"/>
      <c r="SU25" s="204"/>
      <c r="SV25" s="204"/>
      <c r="SW25" s="204"/>
      <c r="SX25" s="204"/>
      <c r="SY25" s="204"/>
      <c r="SZ25" s="204"/>
      <c r="TA25" s="204"/>
      <c r="TB25" s="204"/>
      <c r="TC25" s="204"/>
      <c r="TD25" s="204"/>
      <c r="TE25" s="204"/>
      <c r="TF25" s="204"/>
      <c r="TG25" s="204"/>
      <c r="TH25" s="204"/>
      <c r="TI25" s="204"/>
      <c r="TJ25" s="204"/>
      <c r="TK25" s="204"/>
      <c r="TL25" s="204"/>
      <c r="TM25" s="204"/>
      <c r="TN25" s="204"/>
      <c r="TO25" s="204"/>
      <c r="TP25" s="204"/>
      <c r="TQ25" s="204"/>
      <c r="TR25" s="204"/>
      <c r="TS25" s="204"/>
      <c r="TT25" s="204"/>
      <c r="TU25" s="204"/>
      <c r="TV25" s="204"/>
      <c r="TW25" s="204"/>
      <c r="TX25" s="204"/>
      <c r="TY25" s="204"/>
      <c r="TZ25" s="204"/>
      <c r="UA25" s="204"/>
      <c r="UB25" s="204"/>
      <c r="UC25" s="204"/>
      <c r="UD25" s="204"/>
      <c r="UE25" s="204"/>
      <c r="UF25" s="204"/>
      <c r="UG25" s="204"/>
      <c r="UH25" s="204"/>
      <c r="UI25" s="204"/>
      <c r="UJ25" s="204"/>
      <c r="UK25" s="204"/>
      <c r="UL25" s="204"/>
      <c r="UM25" s="204"/>
      <c r="UN25" s="204"/>
      <c r="UO25" s="204"/>
      <c r="UP25" s="204"/>
      <c r="UQ25" s="204"/>
      <c r="UR25" s="204"/>
      <c r="US25" s="204"/>
      <c r="UT25" s="204"/>
      <c r="UU25" s="204"/>
      <c r="UV25" s="204"/>
      <c r="UW25" s="204"/>
      <c r="UX25" s="204"/>
      <c r="UY25" s="204"/>
      <c r="UZ25" s="204"/>
      <c r="VA25" s="204"/>
      <c r="VB25" s="204"/>
      <c r="VC25" s="204"/>
      <c r="VD25" s="204"/>
      <c r="VE25" s="204"/>
      <c r="VF25" s="204"/>
      <c r="VG25" s="204"/>
      <c r="VH25" s="204"/>
      <c r="VI25" s="204"/>
      <c r="VJ25" s="204"/>
      <c r="VK25" s="204"/>
      <c r="VL25" s="204"/>
      <c r="VM25" s="204"/>
      <c r="VN25" s="204"/>
      <c r="VO25" s="204"/>
      <c r="VP25" s="204"/>
      <c r="VQ25" s="204"/>
      <c r="VR25" s="204"/>
      <c r="VS25" s="204"/>
      <c r="VT25" s="204"/>
      <c r="VU25" s="204"/>
      <c r="VV25" s="204"/>
      <c r="VW25" s="204"/>
      <c r="VX25" s="204"/>
      <c r="VY25" s="204"/>
      <c r="VZ25" s="204"/>
      <c r="WA25" s="204"/>
      <c r="WB25" s="204"/>
      <c r="WC25" s="204"/>
      <c r="WD25" s="204"/>
      <c r="WE25" s="204"/>
    </row>
    <row r="26" spans="1:603" s="209" customFormat="1" x14ac:dyDescent="0.4">
      <c r="A26" s="201"/>
      <c r="B26" s="201"/>
      <c r="C26" s="201"/>
      <c r="D26" s="201"/>
      <c r="E26" s="201"/>
      <c r="F26" s="201"/>
      <c r="G26" s="201"/>
      <c r="H26" s="201"/>
      <c r="I26" s="201"/>
      <c r="J26" s="204"/>
      <c r="K26" s="204"/>
      <c r="L26" s="205"/>
      <c r="M26" s="205"/>
      <c r="N26" s="204"/>
      <c r="O26" s="204"/>
      <c r="P26" s="205"/>
      <c r="Q26" s="205"/>
      <c r="R26" s="204"/>
      <c r="S26" s="204"/>
      <c r="T26" s="205"/>
      <c r="U26" s="205"/>
      <c r="V26" s="204"/>
      <c r="W26" s="204"/>
      <c r="X26" s="205"/>
      <c r="Y26" s="205"/>
      <c r="Z26" s="204"/>
      <c r="AA26" s="204"/>
      <c r="AB26" s="205"/>
      <c r="AC26" s="205"/>
      <c r="AD26" s="204"/>
      <c r="AE26" s="204"/>
      <c r="AF26" s="205"/>
      <c r="AG26" s="205"/>
      <c r="AH26" s="204"/>
      <c r="AI26" s="204"/>
      <c r="AJ26" s="205"/>
      <c r="AK26" s="205"/>
      <c r="AL26" s="204"/>
      <c r="AM26" s="204"/>
      <c r="AN26" s="205"/>
      <c r="AO26" s="205"/>
      <c r="AP26" s="204"/>
      <c r="AQ26" s="204"/>
      <c r="AR26" s="205"/>
      <c r="AS26" s="205"/>
      <c r="AT26" s="204"/>
      <c r="AU26" s="204"/>
      <c r="AV26" s="205"/>
      <c r="AW26" s="205"/>
      <c r="AX26" s="204"/>
      <c r="AY26" s="204"/>
      <c r="AZ26" s="205"/>
      <c r="BA26" s="205"/>
      <c r="BB26" s="204"/>
      <c r="BC26" s="204"/>
      <c r="BD26" s="205"/>
      <c r="BE26" s="205"/>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4"/>
      <c r="CC26" s="204"/>
      <c r="CD26" s="204"/>
      <c r="CE26" s="204"/>
      <c r="CF26" s="204"/>
      <c r="CG26" s="204"/>
      <c r="CH26" s="204"/>
      <c r="CI26" s="204"/>
      <c r="CJ26" s="204"/>
      <c r="CK26" s="204"/>
      <c r="CL26" s="204"/>
      <c r="CM26" s="204"/>
      <c r="CN26" s="204"/>
      <c r="CO26" s="204"/>
      <c r="CP26" s="204"/>
      <c r="CQ26" s="204"/>
      <c r="CR26" s="204"/>
      <c r="CS26" s="204"/>
      <c r="CT26" s="204"/>
      <c r="CU26" s="204"/>
      <c r="CV26" s="204"/>
      <c r="CW26" s="204"/>
      <c r="CX26" s="204"/>
      <c r="CY26" s="204"/>
      <c r="CZ26" s="204"/>
      <c r="DA26" s="204"/>
      <c r="DB26" s="204"/>
      <c r="DC26" s="204"/>
      <c r="DD26" s="204"/>
      <c r="DE26" s="204"/>
      <c r="DF26" s="204"/>
      <c r="DG26" s="204"/>
      <c r="DH26" s="204"/>
      <c r="DI26" s="204"/>
      <c r="DJ26" s="204"/>
      <c r="DK26" s="204"/>
      <c r="DL26" s="204"/>
      <c r="DM26" s="204"/>
      <c r="DN26" s="204"/>
      <c r="DO26" s="204"/>
      <c r="DP26" s="204"/>
      <c r="DQ26" s="204"/>
      <c r="DR26" s="204"/>
      <c r="DS26" s="204"/>
      <c r="DT26" s="204"/>
      <c r="DU26" s="204"/>
      <c r="DV26" s="204"/>
      <c r="DW26" s="204"/>
      <c r="DX26" s="204"/>
      <c r="DY26" s="204"/>
      <c r="DZ26" s="204"/>
      <c r="EA26" s="204"/>
      <c r="EB26" s="204"/>
      <c r="EC26" s="204"/>
      <c r="ED26" s="204"/>
      <c r="EE26" s="204"/>
      <c r="EF26" s="204"/>
      <c r="EG26" s="204"/>
      <c r="EH26" s="204"/>
      <c r="EI26" s="204"/>
      <c r="EJ26" s="204"/>
      <c r="EK26" s="204"/>
      <c r="EL26" s="204"/>
      <c r="EM26" s="204"/>
      <c r="EN26" s="204"/>
      <c r="EO26" s="204"/>
      <c r="EP26" s="204"/>
      <c r="EQ26" s="204"/>
      <c r="ER26" s="204"/>
      <c r="ES26" s="204"/>
      <c r="ET26" s="204"/>
      <c r="EU26" s="204"/>
      <c r="EV26" s="204"/>
      <c r="EW26" s="204"/>
      <c r="EX26" s="204"/>
      <c r="EY26" s="204"/>
      <c r="EZ26" s="204"/>
      <c r="FA26" s="204"/>
      <c r="FB26" s="204"/>
      <c r="FC26" s="204"/>
      <c r="FD26" s="204"/>
      <c r="FE26" s="204"/>
      <c r="FF26" s="204"/>
      <c r="FG26" s="204"/>
      <c r="FH26" s="204"/>
      <c r="FI26" s="204"/>
      <c r="FJ26" s="204"/>
      <c r="FK26" s="204"/>
      <c r="FL26" s="204"/>
      <c r="FM26" s="204"/>
      <c r="FN26" s="204"/>
      <c r="FO26" s="204"/>
      <c r="FP26" s="204"/>
      <c r="FQ26" s="204"/>
      <c r="FR26" s="204"/>
      <c r="FS26" s="204"/>
      <c r="FT26" s="204"/>
      <c r="FU26" s="204"/>
      <c r="FV26" s="204"/>
      <c r="FW26" s="204"/>
      <c r="FX26" s="204"/>
      <c r="FY26" s="204"/>
      <c r="FZ26" s="204"/>
      <c r="GA26" s="204"/>
      <c r="GB26" s="204"/>
      <c r="GC26" s="204"/>
      <c r="GD26" s="204"/>
      <c r="GE26" s="204"/>
      <c r="GF26" s="204"/>
      <c r="GG26" s="204"/>
      <c r="GH26" s="204"/>
      <c r="GI26" s="204"/>
      <c r="GJ26" s="204"/>
      <c r="GK26" s="204"/>
      <c r="GL26" s="204"/>
      <c r="GM26" s="204"/>
      <c r="GN26" s="204"/>
      <c r="GO26" s="204"/>
      <c r="GP26" s="204"/>
      <c r="GQ26" s="204"/>
      <c r="GR26" s="204"/>
      <c r="GS26" s="204"/>
      <c r="GT26" s="204"/>
      <c r="GU26" s="204"/>
      <c r="GV26" s="204"/>
      <c r="GW26" s="204"/>
      <c r="GX26" s="204"/>
      <c r="GY26" s="204"/>
      <c r="GZ26" s="204"/>
      <c r="HA26" s="204"/>
      <c r="HB26" s="204"/>
      <c r="HC26" s="204"/>
      <c r="HD26" s="204"/>
      <c r="HE26" s="204"/>
      <c r="HF26" s="204"/>
      <c r="HG26" s="204"/>
      <c r="HH26" s="204"/>
      <c r="HI26" s="204"/>
      <c r="HJ26" s="204"/>
      <c r="HK26" s="204"/>
      <c r="HL26" s="204"/>
      <c r="HM26" s="204"/>
      <c r="HN26" s="204"/>
      <c r="HO26" s="204"/>
      <c r="HP26" s="204"/>
      <c r="HQ26" s="204"/>
      <c r="HR26" s="204"/>
      <c r="HS26" s="204"/>
      <c r="HT26" s="204"/>
      <c r="HU26" s="204"/>
      <c r="HV26" s="204"/>
      <c r="HW26" s="204"/>
      <c r="HX26" s="204"/>
      <c r="HY26" s="204"/>
      <c r="HZ26" s="204"/>
      <c r="IA26" s="204"/>
      <c r="IB26" s="204"/>
      <c r="IC26" s="204"/>
      <c r="ID26" s="204"/>
      <c r="IE26" s="204"/>
      <c r="IF26" s="204"/>
      <c r="IG26" s="204"/>
      <c r="IH26" s="204"/>
      <c r="II26" s="204"/>
      <c r="IJ26" s="204"/>
      <c r="IK26" s="204"/>
      <c r="IL26" s="204"/>
      <c r="IM26" s="204"/>
      <c r="IN26" s="204"/>
      <c r="IO26" s="204"/>
      <c r="IP26" s="204"/>
      <c r="IQ26" s="204"/>
      <c r="IR26" s="204"/>
      <c r="IS26" s="204"/>
      <c r="IT26" s="204"/>
      <c r="IU26" s="204"/>
      <c r="IV26" s="204"/>
      <c r="IW26" s="204"/>
      <c r="IX26" s="204"/>
      <c r="IY26" s="204"/>
      <c r="IZ26" s="204"/>
      <c r="JA26" s="204"/>
      <c r="JB26" s="204"/>
      <c r="JC26" s="204"/>
      <c r="JD26" s="204"/>
      <c r="JE26" s="204"/>
      <c r="JF26" s="204"/>
      <c r="JG26" s="204"/>
      <c r="JH26" s="204"/>
      <c r="JI26" s="204"/>
      <c r="JJ26" s="204"/>
      <c r="JK26" s="204"/>
      <c r="JL26" s="204"/>
      <c r="JM26" s="204"/>
      <c r="JN26" s="204"/>
      <c r="JO26" s="204"/>
      <c r="JP26" s="204"/>
      <c r="JQ26" s="204"/>
      <c r="JR26" s="204"/>
      <c r="JS26" s="204"/>
      <c r="JT26" s="204"/>
      <c r="JU26" s="204"/>
      <c r="JV26" s="204"/>
      <c r="JW26" s="204"/>
      <c r="JX26" s="204"/>
      <c r="JY26" s="204"/>
      <c r="JZ26" s="204"/>
      <c r="KA26" s="204"/>
      <c r="KB26" s="204"/>
      <c r="KC26" s="204"/>
      <c r="KD26" s="204"/>
      <c r="KE26" s="204"/>
      <c r="KF26" s="204"/>
      <c r="KG26" s="204"/>
      <c r="KH26" s="204"/>
      <c r="KI26" s="204"/>
      <c r="KJ26" s="204"/>
      <c r="KK26" s="204"/>
      <c r="KL26" s="204"/>
      <c r="KM26" s="204"/>
      <c r="KN26" s="204"/>
      <c r="KO26" s="204"/>
      <c r="KP26" s="204"/>
      <c r="KQ26" s="204"/>
      <c r="KR26" s="204"/>
      <c r="KS26" s="204"/>
      <c r="KT26" s="204"/>
      <c r="KU26" s="204"/>
      <c r="KV26" s="204"/>
      <c r="KW26" s="204"/>
      <c r="KX26" s="204"/>
      <c r="KY26" s="204"/>
      <c r="KZ26" s="204"/>
      <c r="LA26" s="204"/>
      <c r="LB26" s="204"/>
      <c r="LC26" s="204"/>
      <c r="LD26" s="204"/>
      <c r="LE26" s="204"/>
      <c r="LF26" s="204"/>
      <c r="LG26" s="204"/>
      <c r="LH26" s="204"/>
      <c r="LI26" s="204"/>
      <c r="LJ26" s="204"/>
      <c r="LK26" s="204"/>
      <c r="LL26" s="204"/>
      <c r="LM26" s="204"/>
      <c r="LN26" s="204"/>
      <c r="LO26" s="204"/>
      <c r="LP26" s="204"/>
      <c r="LQ26" s="204"/>
      <c r="LR26" s="204"/>
      <c r="LS26" s="204"/>
      <c r="LT26" s="204"/>
      <c r="LU26" s="204"/>
      <c r="LV26" s="204"/>
      <c r="LW26" s="204"/>
      <c r="LX26" s="204"/>
      <c r="LY26" s="204"/>
      <c r="LZ26" s="204"/>
      <c r="MA26" s="204"/>
      <c r="MB26" s="204"/>
      <c r="MC26" s="204"/>
      <c r="MD26" s="204"/>
      <c r="ME26" s="204"/>
      <c r="MF26" s="204"/>
      <c r="MG26" s="204"/>
      <c r="MH26" s="204"/>
      <c r="MI26" s="204"/>
      <c r="MJ26" s="204"/>
      <c r="MK26" s="204"/>
      <c r="ML26" s="204"/>
      <c r="MM26" s="204"/>
      <c r="MN26" s="204"/>
      <c r="MO26" s="204"/>
      <c r="MP26" s="204"/>
      <c r="MQ26" s="204"/>
      <c r="MR26" s="204"/>
      <c r="MS26" s="204"/>
      <c r="MT26" s="204"/>
      <c r="MU26" s="204"/>
      <c r="MV26" s="204"/>
      <c r="MW26" s="204"/>
      <c r="MX26" s="204"/>
      <c r="MY26" s="204"/>
      <c r="MZ26" s="204"/>
      <c r="NA26" s="204"/>
      <c r="NB26" s="204"/>
      <c r="NC26" s="204"/>
      <c r="ND26" s="204"/>
      <c r="NE26" s="204"/>
      <c r="NF26" s="204"/>
      <c r="NG26" s="204"/>
      <c r="NH26" s="204"/>
      <c r="NI26" s="204"/>
      <c r="NJ26" s="204"/>
      <c r="NK26" s="204"/>
      <c r="NL26" s="204"/>
      <c r="NM26" s="204"/>
      <c r="NN26" s="204"/>
      <c r="NO26" s="204"/>
      <c r="NP26" s="204"/>
      <c r="NQ26" s="204"/>
      <c r="NR26" s="204"/>
      <c r="NS26" s="204"/>
      <c r="NT26" s="204"/>
      <c r="NU26" s="204"/>
      <c r="NV26" s="204"/>
      <c r="NW26" s="204"/>
      <c r="NX26" s="204"/>
      <c r="NY26" s="204"/>
      <c r="NZ26" s="204"/>
      <c r="OA26" s="204"/>
      <c r="OB26" s="204"/>
      <c r="OC26" s="204"/>
      <c r="OD26" s="204"/>
      <c r="OE26" s="204"/>
      <c r="OF26" s="204"/>
      <c r="OG26" s="204"/>
      <c r="OH26" s="204"/>
      <c r="OI26" s="204"/>
      <c r="OJ26" s="204"/>
      <c r="OK26" s="204"/>
      <c r="OL26" s="204"/>
      <c r="OM26" s="204"/>
      <c r="ON26" s="204"/>
      <c r="OO26" s="204"/>
      <c r="OP26" s="204"/>
      <c r="OQ26" s="204"/>
      <c r="OR26" s="204"/>
      <c r="OS26" s="204"/>
      <c r="OT26" s="204"/>
      <c r="OU26" s="204"/>
      <c r="OV26" s="204"/>
      <c r="OW26" s="204"/>
      <c r="OX26" s="204"/>
      <c r="OY26" s="204"/>
      <c r="OZ26" s="204"/>
      <c r="PA26" s="204"/>
      <c r="PB26" s="204"/>
      <c r="PC26" s="204"/>
      <c r="PD26" s="204"/>
      <c r="PE26" s="204"/>
      <c r="PF26" s="204"/>
      <c r="PG26" s="204"/>
      <c r="PH26" s="204"/>
      <c r="PI26" s="204"/>
      <c r="PJ26" s="204"/>
      <c r="PK26" s="204"/>
      <c r="PL26" s="204"/>
      <c r="PM26" s="204"/>
      <c r="PN26" s="204"/>
      <c r="PO26" s="204"/>
      <c r="PP26" s="204"/>
      <c r="PQ26" s="204"/>
      <c r="PR26" s="204"/>
      <c r="PS26" s="204"/>
      <c r="PT26" s="204"/>
      <c r="PU26" s="204"/>
      <c r="PV26" s="204"/>
      <c r="PW26" s="204"/>
      <c r="PX26" s="204"/>
      <c r="PY26" s="204"/>
      <c r="PZ26" s="204"/>
      <c r="QA26" s="204"/>
      <c r="QB26" s="204"/>
      <c r="QC26" s="204"/>
      <c r="QD26" s="204"/>
      <c r="QE26" s="204"/>
      <c r="QF26" s="204"/>
      <c r="QG26" s="204"/>
      <c r="QH26" s="204"/>
      <c r="QI26" s="204"/>
      <c r="QJ26" s="204"/>
      <c r="QK26" s="204"/>
      <c r="QL26" s="204"/>
      <c r="QM26" s="204"/>
      <c r="QN26" s="204"/>
      <c r="QO26" s="204"/>
      <c r="QP26" s="204"/>
      <c r="QQ26" s="204"/>
      <c r="QR26" s="204"/>
      <c r="QS26" s="204"/>
      <c r="QT26" s="204"/>
      <c r="QU26" s="204"/>
      <c r="QV26" s="204"/>
      <c r="QW26" s="204"/>
      <c r="QX26" s="204"/>
      <c r="QY26" s="204"/>
      <c r="QZ26" s="204"/>
      <c r="RA26" s="204"/>
      <c r="RB26" s="204"/>
      <c r="RC26" s="204"/>
      <c r="RD26" s="204"/>
      <c r="RE26" s="204"/>
      <c r="RF26" s="204"/>
      <c r="RG26" s="204"/>
      <c r="RH26" s="204"/>
      <c r="RI26" s="204"/>
      <c r="RJ26" s="204"/>
      <c r="RK26" s="204"/>
      <c r="RL26" s="204"/>
      <c r="RM26" s="204"/>
      <c r="RN26" s="204"/>
      <c r="RO26" s="204"/>
      <c r="RP26" s="204"/>
      <c r="RQ26" s="204"/>
      <c r="RR26" s="204"/>
      <c r="RS26" s="204"/>
      <c r="RT26" s="204"/>
      <c r="RU26" s="204"/>
      <c r="RV26" s="204"/>
      <c r="RW26" s="204"/>
      <c r="RX26" s="204"/>
      <c r="RY26" s="204"/>
      <c r="RZ26" s="204"/>
      <c r="SA26" s="204"/>
      <c r="SB26" s="204"/>
      <c r="SC26" s="204"/>
      <c r="SD26" s="204"/>
      <c r="SE26" s="204"/>
      <c r="SF26" s="204"/>
      <c r="SG26" s="204"/>
      <c r="SH26" s="204"/>
      <c r="SI26" s="204"/>
      <c r="SJ26" s="204"/>
      <c r="SK26" s="204"/>
      <c r="SL26" s="204"/>
      <c r="SM26" s="204"/>
      <c r="SN26" s="204"/>
      <c r="SO26" s="204"/>
      <c r="SP26" s="204"/>
      <c r="SQ26" s="204"/>
      <c r="SR26" s="204"/>
      <c r="SS26" s="204"/>
      <c r="ST26" s="204"/>
      <c r="SU26" s="204"/>
      <c r="SV26" s="204"/>
      <c r="SW26" s="204"/>
      <c r="SX26" s="204"/>
      <c r="SY26" s="204"/>
      <c r="SZ26" s="204"/>
      <c r="TA26" s="204"/>
      <c r="TB26" s="204"/>
      <c r="TC26" s="204"/>
      <c r="TD26" s="204"/>
      <c r="TE26" s="204"/>
      <c r="TF26" s="204"/>
      <c r="TG26" s="204"/>
      <c r="TH26" s="204"/>
      <c r="TI26" s="204"/>
      <c r="TJ26" s="204"/>
      <c r="TK26" s="204"/>
      <c r="TL26" s="204"/>
      <c r="TM26" s="204"/>
      <c r="TN26" s="204"/>
      <c r="TO26" s="204"/>
      <c r="TP26" s="204"/>
      <c r="TQ26" s="204"/>
      <c r="TR26" s="204"/>
      <c r="TS26" s="204"/>
      <c r="TT26" s="204"/>
      <c r="TU26" s="204"/>
      <c r="TV26" s="204"/>
      <c r="TW26" s="204"/>
      <c r="TX26" s="204"/>
      <c r="TY26" s="204"/>
      <c r="TZ26" s="204"/>
      <c r="UA26" s="204"/>
      <c r="UB26" s="204"/>
      <c r="UC26" s="204"/>
      <c r="UD26" s="204"/>
      <c r="UE26" s="204"/>
      <c r="UF26" s="204"/>
      <c r="UG26" s="204"/>
      <c r="UH26" s="204"/>
      <c r="UI26" s="204"/>
      <c r="UJ26" s="204"/>
      <c r="UK26" s="204"/>
      <c r="UL26" s="204"/>
      <c r="UM26" s="204"/>
      <c r="UN26" s="204"/>
      <c r="UO26" s="204"/>
      <c r="UP26" s="204"/>
      <c r="UQ26" s="204"/>
      <c r="UR26" s="204"/>
      <c r="US26" s="204"/>
      <c r="UT26" s="204"/>
      <c r="UU26" s="204"/>
      <c r="UV26" s="204"/>
      <c r="UW26" s="204"/>
      <c r="UX26" s="204"/>
      <c r="UY26" s="204"/>
      <c r="UZ26" s="204"/>
      <c r="VA26" s="204"/>
      <c r="VB26" s="204"/>
      <c r="VC26" s="204"/>
      <c r="VD26" s="204"/>
      <c r="VE26" s="204"/>
      <c r="VF26" s="204"/>
      <c r="VG26" s="204"/>
      <c r="VH26" s="204"/>
      <c r="VI26" s="204"/>
      <c r="VJ26" s="204"/>
      <c r="VK26" s="204"/>
      <c r="VL26" s="204"/>
      <c r="VM26" s="204"/>
      <c r="VN26" s="204"/>
      <c r="VO26" s="204"/>
      <c r="VP26" s="204"/>
      <c r="VQ26" s="204"/>
      <c r="VR26" s="204"/>
      <c r="VS26" s="204"/>
      <c r="VT26" s="204"/>
      <c r="VU26" s="204"/>
      <c r="VV26" s="204"/>
      <c r="VW26" s="204"/>
      <c r="VX26" s="204"/>
      <c r="VY26" s="204"/>
      <c r="VZ26" s="204"/>
      <c r="WA26" s="204"/>
      <c r="WB26" s="204"/>
      <c r="WC26" s="204"/>
      <c r="WD26" s="204"/>
      <c r="WE26" s="204"/>
    </row>
    <row r="27" spans="1:603" s="209" customFormat="1" x14ac:dyDescent="0.4">
      <c r="A27" s="201"/>
      <c r="B27" s="201"/>
      <c r="C27" s="201"/>
      <c r="D27" s="201"/>
      <c r="E27" s="201"/>
      <c r="F27" s="201"/>
      <c r="G27" s="201"/>
      <c r="H27" s="201"/>
      <c r="I27" s="201"/>
      <c r="J27" s="204"/>
      <c r="K27" s="204"/>
      <c r="L27" s="205"/>
      <c r="M27" s="205"/>
      <c r="N27" s="204"/>
      <c r="O27" s="204"/>
      <c r="P27" s="205"/>
      <c r="Q27" s="205"/>
      <c r="R27" s="204"/>
      <c r="S27" s="204"/>
      <c r="T27" s="205"/>
      <c r="U27" s="205"/>
      <c r="V27" s="204"/>
      <c r="W27" s="204"/>
      <c r="X27" s="205"/>
      <c r="Y27" s="205"/>
      <c r="Z27" s="204"/>
      <c r="AA27" s="204"/>
      <c r="AB27" s="205"/>
      <c r="AC27" s="205"/>
      <c r="AD27" s="204"/>
      <c r="AE27" s="204"/>
      <c r="AF27" s="205"/>
      <c r="AG27" s="205"/>
      <c r="AH27" s="204"/>
      <c r="AI27" s="204"/>
      <c r="AJ27" s="205"/>
      <c r="AK27" s="205"/>
      <c r="AL27" s="204"/>
      <c r="AM27" s="204"/>
      <c r="AN27" s="205"/>
      <c r="AO27" s="205"/>
      <c r="AP27" s="204"/>
      <c r="AQ27" s="204"/>
      <c r="AR27" s="205"/>
      <c r="AS27" s="205"/>
      <c r="AT27" s="204"/>
      <c r="AU27" s="204"/>
      <c r="AV27" s="205"/>
      <c r="AW27" s="205"/>
      <c r="AX27" s="204"/>
      <c r="AY27" s="204"/>
      <c r="AZ27" s="205"/>
      <c r="BA27" s="205"/>
      <c r="BB27" s="204"/>
      <c r="BC27" s="204"/>
      <c r="BD27" s="205"/>
      <c r="BE27" s="205"/>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4"/>
      <c r="CC27" s="204"/>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04"/>
      <c r="DE27" s="204"/>
      <c r="DF27" s="204"/>
      <c r="DG27" s="204"/>
      <c r="DH27" s="204"/>
      <c r="DI27" s="204"/>
      <c r="DJ27" s="204"/>
      <c r="DK27" s="204"/>
      <c r="DL27" s="204"/>
      <c r="DM27" s="204"/>
      <c r="DN27" s="204"/>
      <c r="DO27" s="204"/>
      <c r="DP27" s="204"/>
      <c r="DQ27" s="204"/>
      <c r="DR27" s="204"/>
      <c r="DS27" s="204"/>
      <c r="DT27" s="204"/>
      <c r="DU27" s="204"/>
      <c r="DV27" s="204"/>
      <c r="DW27" s="204"/>
      <c r="DX27" s="204"/>
      <c r="DY27" s="204"/>
      <c r="DZ27" s="204"/>
      <c r="EA27" s="204"/>
      <c r="EB27" s="204"/>
      <c r="EC27" s="204"/>
      <c r="ED27" s="204"/>
      <c r="EE27" s="204"/>
      <c r="EF27" s="204"/>
      <c r="EG27" s="204"/>
      <c r="EH27" s="204"/>
      <c r="EI27" s="204"/>
      <c r="EJ27" s="204"/>
      <c r="EK27" s="204"/>
      <c r="EL27" s="204"/>
      <c r="EM27" s="204"/>
      <c r="EN27" s="204"/>
      <c r="EO27" s="204"/>
      <c r="EP27" s="204"/>
      <c r="EQ27" s="204"/>
      <c r="ER27" s="204"/>
      <c r="ES27" s="204"/>
      <c r="ET27" s="204"/>
      <c r="EU27" s="204"/>
      <c r="EV27" s="204"/>
      <c r="EW27" s="204"/>
      <c r="EX27" s="204"/>
      <c r="EY27" s="204"/>
      <c r="EZ27" s="204"/>
      <c r="FA27" s="204"/>
      <c r="FB27" s="204"/>
      <c r="FC27" s="204"/>
      <c r="FD27" s="204"/>
      <c r="FE27" s="204"/>
      <c r="FF27" s="204"/>
      <c r="FG27" s="204"/>
      <c r="FH27" s="204"/>
      <c r="FI27" s="204"/>
      <c r="FJ27" s="204"/>
      <c r="FK27" s="204"/>
      <c r="FL27" s="204"/>
      <c r="FM27" s="204"/>
      <c r="FN27" s="204"/>
      <c r="FO27" s="204"/>
      <c r="FP27" s="204"/>
      <c r="FQ27" s="204"/>
      <c r="FR27" s="204"/>
      <c r="FS27" s="204"/>
      <c r="FT27" s="204"/>
      <c r="FU27" s="204"/>
      <c r="FV27" s="204"/>
      <c r="FW27" s="204"/>
      <c r="FX27" s="204"/>
      <c r="FY27" s="204"/>
      <c r="FZ27" s="204"/>
      <c r="GA27" s="204"/>
      <c r="GB27" s="204"/>
      <c r="GC27" s="204"/>
      <c r="GD27" s="204"/>
      <c r="GE27" s="204"/>
      <c r="GF27" s="204"/>
      <c r="GG27" s="204"/>
      <c r="GH27" s="204"/>
      <c r="GI27" s="204"/>
      <c r="GJ27" s="204"/>
      <c r="GK27" s="204"/>
      <c r="GL27" s="204"/>
      <c r="GM27" s="204"/>
      <c r="GN27" s="204"/>
      <c r="GO27" s="204"/>
      <c r="GP27" s="204"/>
      <c r="GQ27" s="204"/>
      <c r="GR27" s="204"/>
      <c r="GS27" s="204"/>
      <c r="GT27" s="204"/>
      <c r="GU27" s="204"/>
      <c r="GV27" s="204"/>
      <c r="GW27" s="204"/>
      <c r="GX27" s="204"/>
      <c r="GY27" s="204"/>
      <c r="GZ27" s="204"/>
      <c r="HA27" s="204"/>
      <c r="HB27" s="204"/>
      <c r="HC27" s="204"/>
      <c r="HD27" s="204"/>
      <c r="HE27" s="204"/>
      <c r="HF27" s="204"/>
      <c r="HG27" s="204"/>
      <c r="HH27" s="204"/>
      <c r="HI27" s="204"/>
      <c r="HJ27" s="204"/>
      <c r="HK27" s="204"/>
      <c r="HL27" s="204"/>
      <c r="HM27" s="204"/>
      <c r="HN27" s="204"/>
      <c r="HO27" s="204"/>
      <c r="HP27" s="204"/>
      <c r="HQ27" s="204"/>
      <c r="HR27" s="204"/>
      <c r="HS27" s="204"/>
      <c r="HT27" s="204"/>
      <c r="HU27" s="204"/>
      <c r="HV27" s="204"/>
      <c r="HW27" s="204"/>
      <c r="HX27" s="204"/>
      <c r="HY27" s="204"/>
      <c r="HZ27" s="204"/>
      <c r="IA27" s="204"/>
      <c r="IB27" s="204"/>
      <c r="IC27" s="204"/>
      <c r="ID27" s="204"/>
      <c r="IE27" s="204"/>
      <c r="IF27" s="204"/>
      <c r="IG27" s="204"/>
      <c r="IH27" s="204"/>
      <c r="II27" s="204"/>
      <c r="IJ27" s="204"/>
      <c r="IK27" s="204"/>
      <c r="IL27" s="204"/>
      <c r="IM27" s="204"/>
      <c r="IN27" s="204"/>
      <c r="IO27" s="204"/>
      <c r="IP27" s="204"/>
      <c r="IQ27" s="204"/>
      <c r="IR27" s="204"/>
      <c r="IS27" s="204"/>
      <c r="IT27" s="204"/>
      <c r="IU27" s="204"/>
      <c r="IV27" s="204"/>
      <c r="IW27" s="204"/>
      <c r="IX27" s="204"/>
      <c r="IY27" s="204"/>
      <c r="IZ27" s="204"/>
      <c r="JA27" s="204"/>
      <c r="JB27" s="204"/>
      <c r="JC27" s="204"/>
      <c r="JD27" s="204"/>
      <c r="JE27" s="204"/>
      <c r="JF27" s="204"/>
      <c r="JG27" s="204"/>
      <c r="JH27" s="204"/>
      <c r="JI27" s="204"/>
      <c r="JJ27" s="204"/>
      <c r="JK27" s="204"/>
      <c r="JL27" s="204"/>
      <c r="JM27" s="204"/>
      <c r="JN27" s="204"/>
      <c r="JO27" s="204"/>
      <c r="JP27" s="204"/>
      <c r="JQ27" s="204"/>
      <c r="JR27" s="204"/>
      <c r="JS27" s="204"/>
      <c r="JT27" s="204"/>
      <c r="JU27" s="204"/>
      <c r="JV27" s="204"/>
      <c r="JW27" s="204"/>
      <c r="JX27" s="204"/>
      <c r="JY27" s="204"/>
      <c r="JZ27" s="204"/>
      <c r="KA27" s="204"/>
      <c r="KB27" s="204"/>
      <c r="KC27" s="204"/>
      <c r="KD27" s="204"/>
      <c r="KE27" s="204"/>
      <c r="KF27" s="204"/>
      <c r="KG27" s="204"/>
      <c r="KH27" s="204"/>
      <c r="KI27" s="204"/>
      <c r="KJ27" s="204"/>
      <c r="KK27" s="204"/>
      <c r="KL27" s="204"/>
      <c r="KM27" s="204"/>
      <c r="KN27" s="204"/>
      <c r="KO27" s="204"/>
      <c r="KP27" s="204"/>
      <c r="KQ27" s="204"/>
      <c r="KR27" s="204"/>
      <c r="KS27" s="204"/>
      <c r="KT27" s="204"/>
      <c r="KU27" s="204"/>
      <c r="KV27" s="204"/>
      <c r="KW27" s="204"/>
      <c r="KX27" s="204"/>
      <c r="KY27" s="204"/>
      <c r="KZ27" s="204"/>
      <c r="LA27" s="204"/>
      <c r="LB27" s="204"/>
      <c r="LC27" s="204"/>
      <c r="LD27" s="204"/>
      <c r="LE27" s="204"/>
      <c r="LF27" s="204"/>
      <c r="LG27" s="204"/>
      <c r="LH27" s="204"/>
      <c r="LI27" s="204"/>
      <c r="LJ27" s="204"/>
      <c r="LK27" s="204"/>
      <c r="LL27" s="204"/>
      <c r="LM27" s="204"/>
      <c r="LN27" s="204"/>
      <c r="LO27" s="204"/>
      <c r="LP27" s="204"/>
      <c r="LQ27" s="204"/>
      <c r="LR27" s="204"/>
      <c r="LS27" s="204"/>
      <c r="LT27" s="204"/>
      <c r="LU27" s="204"/>
      <c r="LV27" s="204"/>
      <c r="LW27" s="204"/>
      <c r="LX27" s="204"/>
      <c r="LY27" s="204"/>
      <c r="LZ27" s="204"/>
      <c r="MA27" s="204"/>
      <c r="MB27" s="204"/>
      <c r="MC27" s="204"/>
      <c r="MD27" s="204"/>
      <c r="ME27" s="204"/>
      <c r="MF27" s="204"/>
      <c r="MG27" s="204"/>
      <c r="MH27" s="204"/>
      <c r="MI27" s="204"/>
      <c r="MJ27" s="204"/>
      <c r="MK27" s="204"/>
      <c r="ML27" s="204"/>
      <c r="MM27" s="204"/>
      <c r="MN27" s="204"/>
      <c r="MO27" s="204"/>
      <c r="MP27" s="204"/>
      <c r="MQ27" s="204"/>
      <c r="MR27" s="204"/>
      <c r="MS27" s="204"/>
      <c r="MT27" s="204"/>
      <c r="MU27" s="204"/>
      <c r="MV27" s="204"/>
      <c r="MW27" s="204"/>
      <c r="MX27" s="204"/>
      <c r="MY27" s="204"/>
      <c r="MZ27" s="204"/>
      <c r="NA27" s="204"/>
      <c r="NB27" s="204"/>
      <c r="NC27" s="204"/>
      <c r="ND27" s="204"/>
      <c r="NE27" s="204"/>
      <c r="NF27" s="204"/>
      <c r="NG27" s="204"/>
      <c r="NH27" s="204"/>
      <c r="NI27" s="204"/>
      <c r="NJ27" s="204"/>
      <c r="NK27" s="204"/>
      <c r="NL27" s="204"/>
      <c r="NM27" s="204"/>
      <c r="NN27" s="204"/>
      <c r="NO27" s="204"/>
      <c r="NP27" s="204"/>
      <c r="NQ27" s="204"/>
      <c r="NR27" s="204"/>
      <c r="NS27" s="204"/>
      <c r="NT27" s="204"/>
      <c r="NU27" s="204"/>
      <c r="NV27" s="204"/>
      <c r="NW27" s="204"/>
      <c r="NX27" s="204"/>
      <c r="NY27" s="204"/>
      <c r="NZ27" s="204"/>
      <c r="OA27" s="204"/>
      <c r="OB27" s="204"/>
      <c r="OC27" s="204"/>
      <c r="OD27" s="204"/>
      <c r="OE27" s="204"/>
      <c r="OF27" s="204"/>
      <c r="OG27" s="204"/>
      <c r="OH27" s="204"/>
      <c r="OI27" s="204"/>
      <c r="OJ27" s="204"/>
      <c r="OK27" s="204"/>
      <c r="OL27" s="204"/>
      <c r="OM27" s="204"/>
      <c r="ON27" s="204"/>
      <c r="OO27" s="204"/>
      <c r="OP27" s="204"/>
      <c r="OQ27" s="204"/>
      <c r="OR27" s="204"/>
      <c r="OS27" s="204"/>
      <c r="OT27" s="204"/>
      <c r="OU27" s="204"/>
      <c r="OV27" s="204"/>
      <c r="OW27" s="204"/>
      <c r="OX27" s="204"/>
      <c r="OY27" s="204"/>
      <c r="OZ27" s="204"/>
      <c r="PA27" s="204"/>
      <c r="PB27" s="204"/>
      <c r="PC27" s="204"/>
      <c r="PD27" s="204"/>
      <c r="PE27" s="204"/>
      <c r="PF27" s="204"/>
      <c r="PG27" s="204"/>
      <c r="PH27" s="204"/>
      <c r="PI27" s="204"/>
      <c r="PJ27" s="204"/>
      <c r="PK27" s="204"/>
      <c r="PL27" s="204"/>
      <c r="PM27" s="204"/>
      <c r="PN27" s="204"/>
      <c r="PO27" s="204"/>
      <c r="PP27" s="204"/>
      <c r="PQ27" s="204"/>
      <c r="PR27" s="204"/>
      <c r="PS27" s="204"/>
      <c r="PT27" s="204"/>
      <c r="PU27" s="204"/>
      <c r="PV27" s="204"/>
      <c r="PW27" s="204"/>
      <c r="PX27" s="204"/>
      <c r="PY27" s="204"/>
      <c r="PZ27" s="204"/>
      <c r="QA27" s="204"/>
      <c r="QB27" s="204"/>
      <c r="QC27" s="204"/>
      <c r="QD27" s="204"/>
      <c r="QE27" s="204"/>
      <c r="QF27" s="204"/>
      <c r="QG27" s="204"/>
      <c r="QH27" s="204"/>
      <c r="QI27" s="204"/>
      <c r="QJ27" s="204"/>
      <c r="QK27" s="204"/>
      <c r="QL27" s="204"/>
      <c r="QM27" s="204"/>
      <c r="QN27" s="204"/>
      <c r="QO27" s="204"/>
      <c r="QP27" s="204"/>
      <c r="QQ27" s="204"/>
      <c r="QR27" s="204"/>
      <c r="QS27" s="204"/>
      <c r="QT27" s="204"/>
      <c r="QU27" s="204"/>
      <c r="QV27" s="204"/>
      <c r="QW27" s="204"/>
      <c r="QX27" s="204"/>
      <c r="QY27" s="204"/>
      <c r="QZ27" s="204"/>
      <c r="RA27" s="204"/>
      <c r="RB27" s="204"/>
      <c r="RC27" s="204"/>
      <c r="RD27" s="204"/>
      <c r="RE27" s="204"/>
      <c r="RF27" s="204"/>
      <c r="RG27" s="204"/>
      <c r="RH27" s="204"/>
      <c r="RI27" s="204"/>
      <c r="RJ27" s="204"/>
      <c r="RK27" s="204"/>
      <c r="RL27" s="204"/>
      <c r="RM27" s="204"/>
      <c r="RN27" s="204"/>
      <c r="RO27" s="204"/>
      <c r="RP27" s="204"/>
      <c r="RQ27" s="204"/>
      <c r="RR27" s="204"/>
      <c r="RS27" s="204"/>
      <c r="RT27" s="204"/>
      <c r="RU27" s="204"/>
      <c r="RV27" s="204"/>
      <c r="RW27" s="204"/>
      <c r="RX27" s="204"/>
      <c r="RY27" s="204"/>
      <c r="RZ27" s="204"/>
      <c r="SA27" s="204"/>
      <c r="SB27" s="204"/>
      <c r="SC27" s="204"/>
      <c r="SD27" s="204"/>
      <c r="SE27" s="204"/>
      <c r="SF27" s="204"/>
      <c r="SG27" s="204"/>
      <c r="SH27" s="204"/>
      <c r="SI27" s="204"/>
      <c r="SJ27" s="204"/>
      <c r="SK27" s="204"/>
      <c r="SL27" s="204"/>
      <c r="SM27" s="204"/>
      <c r="SN27" s="204"/>
      <c r="SO27" s="204"/>
      <c r="SP27" s="204"/>
      <c r="SQ27" s="204"/>
      <c r="SR27" s="204"/>
      <c r="SS27" s="204"/>
      <c r="ST27" s="204"/>
      <c r="SU27" s="204"/>
      <c r="SV27" s="204"/>
      <c r="SW27" s="204"/>
      <c r="SX27" s="204"/>
      <c r="SY27" s="204"/>
      <c r="SZ27" s="204"/>
      <c r="TA27" s="204"/>
      <c r="TB27" s="204"/>
      <c r="TC27" s="204"/>
      <c r="TD27" s="204"/>
      <c r="TE27" s="204"/>
      <c r="TF27" s="204"/>
      <c r="TG27" s="204"/>
      <c r="TH27" s="204"/>
      <c r="TI27" s="204"/>
      <c r="TJ27" s="204"/>
      <c r="TK27" s="204"/>
      <c r="TL27" s="204"/>
      <c r="TM27" s="204"/>
      <c r="TN27" s="204"/>
      <c r="TO27" s="204"/>
      <c r="TP27" s="204"/>
      <c r="TQ27" s="204"/>
      <c r="TR27" s="204"/>
      <c r="TS27" s="204"/>
      <c r="TT27" s="204"/>
      <c r="TU27" s="204"/>
      <c r="TV27" s="204"/>
      <c r="TW27" s="204"/>
      <c r="TX27" s="204"/>
      <c r="TY27" s="204"/>
      <c r="TZ27" s="204"/>
      <c r="UA27" s="204"/>
      <c r="UB27" s="204"/>
      <c r="UC27" s="204"/>
      <c r="UD27" s="204"/>
      <c r="UE27" s="204"/>
      <c r="UF27" s="204"/>
      <c r="UG27" s="204"/>
      <c r="UH27" s="204"/>
      <c r="UI27" s="204"/>
      <c r="UJ27" s="204"/>
      <c r="UK27" s="204"/>
      <c r="UL27" s="204"/>
      <c r="UM27" s="204"/>
      <c r="UN27" s="204"/>
      <c r="UO27" s="204"/>
      <c r="UP27" s="204"/>
      <c r="UQ27" s="204"/>
      <c r="UR27" s="204"/>
      <c r="US27" s="204"/>
      <c r="UT27" s="204"/>
      <c r="UU27" s="204"/>
      <c r="UV27" s="204"/>
      <c r="UW27" s="204"/>
      <c r="UX27" s="204"/>
      <c r="UY27" s="204"/>
      <c r="UZ27" s="204"/>
      <c r="VA27" s="204"/>
      <c r="VB27" s="204"/>
      <c r="VC27" s="204"/>
      <c r="VD27" s="204"/>
      <c r="VE27" s="204"/>
      <c r="VF27" s="204"/>
      <c r="VG27" s="204"/>
      <c r="VH27" s="204"/>
      <c r="VI27" s="204"/>
      <c r="VJ27" s="204"/>
      <c r="VK27" s="204"/>
      <c r="VL27" s="204"/>
      <c r="VM27" s="204"/>
      <c r="VN27" s="204"/>
      <c r="VO27" s="204"/>
      <c r="VP27" s="204"/>
      <c r="VQ27" s="204"/>
      <c r="VR27" s="204"/>
      <c r="VS27" s="204"/>
      <c r="VT27" s="204"/>
      <c r="VU27" s="204"/>
      <c r="VV27" s="204"/>
      <c r="VW27" s="204"/>
      <c r="VX27" s="204"/>
      <c r="VY27" s="204"/>
      <c r="VZ27" s="204"/>
      <c r="WA27" s="204"/>
      <c r="WB27" s="204"/>
      <c r="WC27" s="204"/>
      <c r="WD27" s="204"/>
      <c r="WE27" s="204"/>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election activeCell="B27" sqref="B27"/>
    </sheetView>
  </sheetViews>
  <sheetFormatPr baseColWidth="10" defaultColWidth="0" defaultRowHeight="12.75" customHeight="1" zeroHeight="1" x14ac:dyDescent="0.4"/>
  <cols>
    <col min="1" max="1" width="2.703125" style="14" customWidth="1"/>
    <col min="2" max="2" width="10.1171875" style="14" bestFit="1" customWidth="1"/>
    <col min="3" max="3" width="10.5859375" style="18" bestFit="1" customWidth="1"/>
    <col min="4" max="4" width="14" style="18" bestFit="1" customWidth="1"/>
    <col min="5" max="5" width="11.87890625" style="14" bestFit="1" customWidth="1"/>
    <col min="6" max="6" width="11.5859375" style="14" bestFit="1" customWidth="1"/>
    <col min="7" max="7" width="17.87890625" style="14" customWidth="1"/>
    <col min="8" max="8" width="9.1171875" style="14" bestFit="1" customWidth="1"/>
    <col min="9" max="9" width="12.41015625" style="14" bestFit="1" customWidth="1"/>
    <col min="10" max="10" width="9.1171875" style="14" bestFit="1" customWidth="1"/>
    <col min="11" max="11" width="7.5859375" style="14" customWidth="1"/>
    <col min="12" max="14" width="0" style="14" hidden="1" customWidth="1"/>
    <col min="15" max="16384" width="11.41015625" style="14" hidden="1"/>
  </cols>
  <sheetData>
    <row r="1" spans="1:11" ht="13" thickBot="1" x14ac:dyDescent="0.45">
      <c r="A1" s="249"/>
      <c r="B1" s="249"/>
      <c r="C1" s="342"/>
      <c r="D1" s="342"/>
      <c r="E1" s="249"/>
      <c r="F1" s="249"/>
      <c r="G1" s="249"/>
      <c r="H1" s="249"/>
      <c r="I1" s="249"/>
      <c r="J1" s="249"/>
      <c r="K1" s="249"/>
    </row>
    <row r="2" spans="1:11" ht="15.7" thickBot="1" x14ac:dyDescent="0.45">
      <c r="A2" s="249"/>
      <c r="B2" s="881" t="s">
        <v>195</v>
      </c>
      <c r="C2" s="882"/>
      <c r="D2" s="882"/>
      <c r="E2" s="882"/>
      <c r="F2" s="882"/>
      <c r="G2" s="882"/>
      <c r="H2" s="882"/>
      <c r="I2" s="882"/>
      <c r="J2" s="883"/>
      <c r="K2" s="249"/>
    </row>
    <row r="3" spans="1:11" ht="13" thickBot="1" x14ac:dyDescent="0.45">
      <c r="A3" s="249"/>
      <c r="B3" s="249"/>
      <c r="C3" s="342"/>
      <c r="D3" s="342"/>
      <c r="E3" s="249"/>
      <c r="F3" s="249"/>
      <c r="G3" s="249"/>
      <c r="H3" s="249"/>
      <c r="I3" s="249"/>
      <c r="J3" s="249"/>
      <c r="K3" s="249"/>
    </row>
    <row r="4" spans="1:11" s="15" customFormat="1" ht="51" thickBot="1" x14ac:dyDescent="0.45">
      <c r="A4" s="322"/>
      <c r="B4" s="323" t="s">
        <v>56</v>
      </c>
      <c r="C4" s="323" t="s">
        <v>87</v>
      </c>
      <c r="D4" s="323" t="s">
        <v>196</v>
      </c>
      <c r="E4" s="344" t="s">
        <v>197</v>
      </c>
      <c r="F4" s="345" t="s">
        <v>198</v>
      </c>
      <c r="G4" s="346" t="s">
        <v>199</v>
      </c>
      <c r="H4" s="347" t="s">
        <v>200</v>
      </c>
      <c r="I4" s="346" t="s">
        <v>201</v>
      </c>
      <c r="J4" s="347" t="s">
        <v>200</v>
      </c>
      <c r="K4" s="348"/>
    </row>
    <row r="5" spans="1:11" ht="14.7" x14ac:dyDescent="0.4">
      <c r="A5" s="249"/>
      <c r="B5" s="349">
        <v>1313</v>
      </c>
      <c r="C5" s="349" t="s">
        <v>93</v>
      </c>
      <c r="D5" s="350" t="s">
        <v>202</v>
      </c>
      <c r="E5" s="351">
        <v>3</v>
      </c>
      <c r="F5" s="350">
        <v>15</v>
      </c>
      <c r="G5" s="352">
        <v>80</v>
      </c>
      <c r="H5" s="353">
        <v>0.3</v>
      </c>
      <c r="I5" s="354">
        <v>80</v>
      </c>
      <c r="J5" s="355">
        <v>0.2</v>
      </c>
      <c r="K5" s="249"/>
    </row>
    <row r="6" spans="1:11" ht="14.7" x14ac:dyDescent="0.4">
      <c r="A6" s="249"/>
      <c r="B6" s="356">
        <v>1314</v>
      </c>
      <c r="C6" s="356" t="s">
        <v>94</v>
      </c>
      <c r="D6" s="357" t="s">
        <v>202</v>
      </c>
      <c r="E6" s="358">
        <v>30</v>
      </c>
      <c r="F6" s="357">
        <v>80</v>
      </c>
      <c r="G6" s="359">
        <v>250</v>
      </c>
      <c r="H6" s="360">
        <v>0.2</v>
      </c>
      <c r="I6" s="359">
        <v>250</v>
      </c>
      <c r="J6" s="360">
        <v>0.1</v>
      </c>
      <c r="K6" s="249"/>
    </row>
    <row r="7" spans="1:11" ht="14.7" x14ac:dyDescent="0.4">
      <c r="A7" s="249"/>
      <c r="B7" s="356">
        <v>6396</v>
      </c>
      <c r="C7" s="356" t="s">
        <v>95</v>
      </c>
      <c r="D7" s="357" t="s">
        <v>202</v>
      </c>
      <c r="E7" s="358">
        <v>10</v>
      </c>
      <c r="F7" s="357">
        <v>20</v>
      </c>
      <c r="G7" s="359">
        <v>150</v>
      </c>
      <c r="H7" s="360">
        <v>0.2</v>
      </c>
      <c r="I7" s="359">
        <v>150</v>
      </c>
      <c r="J7" s="360">
        <v>0.1</v>
      </c>
      <c r="K7" s="249"/>
    </row>
    <row r="8" spans="1:11" ht="12.7" x14ac:dyDescent="0.4">
      <c r="A8" s="249"/>
      <c r="B8" s="356">
        <v>1305</v>
      </c>
      <c r="C8" s="356" t="s">
        <v>97</v>
      </c>
      <c r="D8" s="357" t="s">
        <v>203</v>
      </c>
      <c r="E8" s="358">
        <v>2</v>
      </c>
      <c r="F8" s="357">
        <v>15</v>
      </c>
      <c r="G8" s="359">
        <v>60</v>
      </c>
      <c r="H8" s="360">
        <v>0.3</v>
      </c>
      <c r="I8" s="359">
        <v>60</v>
      </c>
      <c r="J8" s="360">
        <v>0.2</v>
      </c>
      <c r="K8" s="249"/>
    </row>
    <row r="9" spans="1:11" ht="12.7" x14ac:dyDescent="0.4">
      <c r="A9" s="249"/>
      <c r="B9" s="361">
        <v>1319</v>
      </c>
      <c r="C9" s="361" t="s">
        <v>98</v>
      </c>
      <c r="D9" s="357" t="s">
        <v>204</v>
      </c>
      <c r="E9" s="358">
        <v>0.5</v>
      </c>
      <c r="F9" s="357">
        <v>6</v>
      </c>
      <c r="G9" s="16"/>
      <c r="H9" s="17"/>
      <c r="I9" s="359">
        <v>6</v>
      </c>
      <c r="J9" s="360">
        <v>0.1</v>
      </c>
      <c r="K9" s="249"/>
    </row>
    <row r="10" spans="1:11" ht="12.7" x14ac:dyDescent="0.4">
      <c r="A10" s="249"/>
      <c r="B10" s="356">
        <v>1551</v>
      </c>
      <c r="C10" s="356" t="s">
        <v>102</v>
      </c>
      <c r="D10" s="357" t="s">
        <v>204</v>
      </c>
      <c r="E10" s="358">
        <v>1</v>
      </c>
      <c r="F10" s="357">
        <v>6</v>
      </c>
      <c r="G10" s="16"/>
      <c r="H10" s="17"/>
      <c r="I10" s="359">
        <v>6</v>
      </c>
      <c r="J10" s="360">
        <v>0.2</v>
      </c>
      <c r="K10" s="249"/>
    </row>
    <row r="11" spans="1:11" ht="14.7" x14ac:dyDescent="0.4">
      <c r="A11" s="249"/>
      <c r="B11" s="361">
        <v>1335</v>
      </c>
      <c r="C11" s="361" t="s">
        <v>99</v>
      </c>
      <c r="D11" s="357" t="s">
        <v>205</v>
      </c>
      <c r="E11" s="358">
        <v>0.5</v>
      </c>
      <c r="F11" s="357">
        <v>6</v>
      </c>
      <c r="G11" s="16"/>
      <c r="H11" s="17"/>
      <c r="I11" s="359">
        <v>6</v>
      </c>
      <c r="J11" s="360">
        <v>0.1</v>
      </c>
      <c r="K11" s="249"/>
    </row>
    <row r="12" spans="1:11" ht="14.7" x14ac:dyDescent="0.4">
      <c r="A12" s="249"/>
      <c r="B12" s="361">
        <v>1339</v>
      </c>
      <c r="C12" s="361" t="s">
        <v>100</v>
      </c>
      <c r="D12" s="357" t="s">
        <v>206</v>
      </c>
      <c r="E12" s="358">
        <v>0.05</v>
      </c>
      <c r="F12" s="357">
        <v>1</v>
      </c>
      <c r="G12" s="16"/>
      <c r="H12" s="17"/>
      <c r="I12" s="359">
        <v>1</v>
      </c>
      <c r="J12" s="360">
        <v>0.2</v>
      </c>
      <c r="K12" s="249"/>
    </row>
    <row r="13" spans="1:11" ht="14.7" x14ac:dyDescent="0.4">
      <c r="A13" s="249"/>
      <c r="B13" s="361">
        <v>1340</v>
      </c>
      <c r="C13" s="361" t="s">
        <v>101</v>
      </c>
      <c r="D13" s="357" t="s">
        <v>207</v>
      </c>
      <c r="E13" s="358">
        <v>1</v>
      </c>
      <c r="F13" s="357">
        <v>5</v>
      </c>
      <c r="G13" s="16"/>
      <c r="H13" s="17"/>
      <c r="I13" s="359">
        <v>5</v>
      </c>
      <c r="J13" s="360">
        <v>0.2</v>
      </c>
      <c r="K13" s="249"/>
    </row>
    <row r="14" spans="1:11" ht="12.7" x14ac:dyDescent="0.4">
      <c r="A14" s="249"/>
      <c r="B14" s="356">
        <v>1350</v>
      </c>
      <c r="C14" s="356" t="s">
        <v>103</v>
      </c>
      <c r="D14" s="357" t="s">
        <v>208</v>
      </c>
      <c r="E14" s="358">
        <v>0.05</v>
      </c>
      <c r="F14" s="357">
        <v>1</v>
      </c>
      <c r="G14" s="16"/>
      <c r="H14" s="17"/>
      <c r="I14" s="359">
        <v>1</v>
      </c>
      <c r="J14" s="360">
        <v>0.2</v>
      </c>
      <c r="K14" s="249"/>
    </row>
    <row r="15" spans="1:11" ht="12.7" x14ac:dyDescent="0.4">
      <c r="A15" s="249"/>
      <c r="B15" s="356">
        <v>1369</v>
      </c>
      <c r="C15" s="356" t="s">
        <v>105</v>
      </c>
      <c r="D15" s="362" t="s">
        <v>203</v>
      </c>
      <c r="E15" s="358">
        <v>5.0000000000000001E-3</v>
      </c>
      <c r="F15" s="357">
        <v>0.5</v>
      </c>
      <c r="G15" s="359">
        <v>1</v>
      </c>
      <c r="H15" s="360">
        <v>0.6</v>
      </c>
      <c r="I15" s="359">
        <v>1</v>
      </c>
      <c r="J15" s="360">
        <v>0.3</v>
      </c>
      <c r="K15" s="249"/>
    </row>
    <row r="16" spans="1:11" ht="12.7" x14ac:dyDescent="0.4">
      <c r="A16" s="249"/>
      <c r="B16" s="356">
        <v>1388</v>
      </c>
      <c r="C16" s="356" t="s">
        <v>106</v>
      </c>
      <c r="D16" s="362" t="s">
        <v>203</v>
      </c>
      <c r="E16" s="358">
        <v>1E-3</v>
      </c>
      <c r="F16" s="357">
        <v>0.5</v>
      </c>
      <c r="G16" s="359">
        <v>1</v>
      </c>
      <c r="H16" s="360">
        <v>0.6</v>
      </c>
      <c r="I16" s="359">
        <v>1</v>
      </c>
      <c r="J16" s="360">
        <v>0.3</v>
      </c>
      <c r="K16" s="249"/>
    </row>
    <row r="17" spans="1:11" ht="12.7" x14ac:dyDescent="0.4">
      <c r="A17" s="249"/>
      <c r="B17" s="356">
        <v>1389</v>
      </c>
      <c r="C17" s="356" t="s">
        <v>107</v>
      </c>
      <c r="D17" s="362" t="s">
        <v>203</v>
      </c>
      <c r="E17" s="358">
        <v>5.0000000000000001E-3</v>
      </c>
      <c r="F17" s="357">
        <v>0.5</v>
      </c>
      <c r="G17" s="359">
        <v>1</v>
      </c>
      <c r="H17" s="360">
        <v>0.6</v>
      </c>
      <c r="I17" s="359">
        <v>1</v>
      </c>
      <c r="J17" s="360">
        <v>0.3</v>
      </c>
      <c r="K17" s="249"/>
    </row>
    <row r="18" spans="1:11" ht="12.7" x14ac:dyDescent="0.4">
      <c r="A18" s="249"/>
      <c r="B18" s="356">
        <v>1392</v>
      </c>
      <c r="C18" s="356" t="s">
        <v>108</v>
      </c>
      <c r="D18" s="362" t="s">
        <v>203</v>
      </c>
      <c r="E18" s="358">
        <v>5.0000000000000001E-3</v>
      </c>
      <c r="F18" s="357">
        <v>0.5</v>
      </c>
      <c r="G18" s="359">
        <v>1</v>
      </c>
      <c r="H18" s="360">
        <v>0.6</v>
      </c>
      <c r="I18" s="359">
        <v>1</v>
      </c>
      <c r="J18" s="360">
        <v>0.3</v>
      </c>
      <c r="K18" s="249"/>
    </row>
    <row r="19" spans="1:11" ht="12.7" x14ac:dyDescent="0.4">
      <c r="A19" s="249"/>
      <c r="B19" s="356">
        <v>1387</v>
      </c>
      <c r="C19" s="356" t="s">
        <v>109</v>
      </c>
      <c r="D19" s="362" t="s">
        <v>203</v>
      </c>
      <c r="E19" s="358">
        <v>2.0000000000000001E-4</v>
      </c>
      <c r="F19" s="357">
        <v>5.0000000000000001E-3</v>
      </c>
      <c r="G19" s="359">
        <v>0.01</v>
      </c>
      <c r="H19" s="360">
        <v>0.6</v>
      </c>
      <c r="I19" s="359">
        <v>0.01</v>
      </c>
      <c r="J19" s="360">
        <v>0.3</v>
      </c>
      <c r="K19" s="249"/>
    </row>
    <row r="20" spans="1:11" ht="12.7" x14ac:dyDescent="0.4">
      <c r="A20" s="249"/>
      <c r="B20" s="356">
        <v>1386</v>
      </c>
      <c r="C20" s="356" t="s">
        <v>110</v>
      </c>
      <c r="D20" s="362" t="s">
        <v>203</v>
      </c>
      <c r="E20" s="358">
        <v>5.0000000000000001E-3</v>
      </c>
      <c r="F20" s="357">
        <v>0.5</v>
      </c>
      <c r="G20" s="359">
        <v>1</v>
      </c>
      <c r="H20" s="360">
        <v>0.6</v>
      </c>
      <c r="I20" s="359">
        <v>1</v>
      </c>
      <c r="J20" s="360">
        <v>0.3</v>
      </c>
      <c r="K20" s="249"/>
    </row>
    <row r="21" spans="1:11" ht="12.7" x14ac:dyDescent="0.4">
      <c r="A21" s="249"/>
      <c r="B21" s="356">
        <v>1382</v>
      </c>
      <c r="C21" s="356" t="s">
        <v>111</v>
      </c>
      <c r="D21" s="362" t="s">
        <v>203</v>
      </c>
      <c r="E21" s="358">
        <v>2E-3</v>
      </c>
      <c r="F21" s="357">
        <v>0.5</v>
      </c>
      <c r="G21" s="359">
        <v>1</v>
      </c>
      <c r="H21" s="360">
        <v>0.6</v>
      </c>
      <c r="I21" s="359">
        <v>1</v>
      </c>
      <c r="J21" s="360">
        <v>0.3</v>
      </c>
      <c r="K21" s="249"/>
    </row>
    <row r="22" spans="1:11" ht="12.7" x14ac:dyDescent="0.4">
      <c r="A22" s="249"/>
      <c r="B22" s="356">
        <v>1383</v>
      </c>
      <c r="C22" s="356" t="s">
        <v>112</v>
      </c>
      <c r="D22" s="362" t="s">
        <v>203</v>
      </c>
      <c r="E22" s="358">
        <v>5.0000000000000001E-3</v>
      </c>
      <c r="F22" s="357">
        <v>0.5</v>
      </c>
      <c r="G22" s="359">
        <v>1</v>
      </c>
      <c r="H22" s="360">
        <v>0.6</v>
      </c>
      <c r="I22" s="359">
        <v>1</v>
      </c>
      <c r="J22" s="360">
        <v>0.3</v>
      </c>
      <c r="K22" s="249"/>
    </row>
    <row r="23" spans="1:11" ht="12.7" x14ac:dyDescent="0.4">
      <c r="A23" s="249"/>
      <c r="B23" s="356">
        <v>1106</v>
      </c>
      <c r="C23" s="356" t="s">
        <v>104</v>
      </c>
      <c r="D23" s="362" t="s">
        <v>203</v>
      </c>
      <c r="E23" s="358">
        <v>0.01</v>
      </c>
      <c r="F23" s="357">
        <v>0.05</v>
      </c>
      <c r="G23" s="359">
        <v>0.5</v>
      </c>
      <c r="H23" s="360">
        <v>0.6</v>
      </c>
      <c r="I23" s="359">
        <v>0.5</v>
      </c>
      <c r="J23" s="360">
        <v>0.3</v>
      </c>
      <c r="K23" s="249"/>
    </row>
    <row r="24" spans="1:11" ht="12.7" x14ac:dyDescent="0.4">
      <c r="A24" s="249"/>
      <c r="B24" s="356">
        <v>1841</v>
      </c>
      <c r="C24" s="356" t="s">
        <v>96</v>
      </c>
      <c r="D24" s="362" t="s">
        <v>203</v>
      </c>
      <c r="E24" s="358">
        <v>0.3</v>
      </c>
      <c r="F24" s="357">
        <v>5</v>
      </c>
      <c r="G24" s="359">
        <v>15</v>
      </c>
      <c r="H24" s="360">
        <v>0.3</v>
      </c>
      <c r="I24" s="359">
        <v>15</v>
      </c>
      <c r="J24" s="360">
        <v>0.1</v>
      </c>
      <c r="K24" s="249"/>
    </row>
    <row r="25" spans="1:11" ht="12.7" x14ac:dyDescent="0.4">
      <c r="A25" s="249"/>
      <c r="B25" s="356">
        <v>1798</v>
      </c>
      <c r="C25" s="356" t="s">
        <v>403</v>
      </c>
      <c r="D25" s="362"/>
      <c r="E25" s="358"/>
      <c r="F25" s="357"/>
      <c r="G25" s="359"/>
      <c r="H25" s="360"/>
      <c r="I25" s="359"/>
      <c r="J25" s="360"/>
      <c r="K25" s="249"/>
    </row>
    <row r="26" spans="1:11" ht="13" thickBot="1" x14ac:dyDescent="0.45">
      <c r="A26" s="249"/>
      <c r="B26" s="370">
        <v>1337</v>
      </c>
      <c r="C26" s="370" t="s">
        <v>404</v>
      </c>
      <c r="D26" s="371" t="s">
        <v>203</v>
      </c>
      <c r="E26" s="372">
        <v>5</v>
      </c>
      <c r="F26" s="373"/>
      <c r="G26" s="374"/>
      <c r="H26" s="375"/>
      <c r="I26" s="374"/>
      <c r="J26" s="375"/>
      <c r="K26" s="249"/>
    </row>
    <row r="27" spans="1:11" ht="13" thickBot="1" x14ac:dyDescent="0.45">
      <c r="A27" s="249"/>
      <c r="B27" s="376">
        <v>1799</v>
      </c>
      <c r="C27" s="376" t="s">
        <v>113</v>
      </c>
      <c r="D27" s="377" t="s">
        <v>478</v>
      </c>
      <c r="E27" s="376"/>
      <c r="F27" s="378"/>
      <c r="G27" s="379"/>
      <c r="H27" s="380">
        <v>0.2</v>
      </c>
      <c r="I27" s="379"/>
      <c r="J27" s="380">
        <v>0.05</v>
      </c>
      <c r="K27" s="275" t="s">
        <v>479</v>
      </c>
    </row>
    <row r="28" spans="1:11" ht="12.75" customHeight="1" x14ac:dyDescent="0.4">
      <c r="A28" s="249"/>
      <c r="B28" s="1570" t="s">
        <v>209</v>
      </c>
      <c r="C28" s="1570"/>
      <c r="D28" s="1570"/>
      <c r="E28" s="1570"/>
      <c r="F28" s="1570"/>
      <c r="G28" s="1570"/>
      <c r="H28" s="1570"/>
      <c r="I28" s="1570"/>
      <c r="J28" s="1570"/>
      <c r="K28" s="249"/>
    </row>
    <row r="29" spans="1:11" ht="14.45" customHeight="1" x14ac:dyDescent="0.4">
      <c r="A29" s="249"/>
      <c r="B29" s="1570"/>
      <c r="C29" s="1570"/>
      <c r="D29" s="1570"/>
      <c r="E29" s="1570"/>
      <c r="F29" s="1570"/>
      <c r="G29" s="1570"/>
      <c r="H29" s="1570"/>
      <c r="I29" s="1570"/>
      <c r="J29" s="1570"/>
      <c r="K29" s="249"/>
    </row>
    <row r="33" spans="4:9" ht="2.1" customHeight="1" x14ac:dyDescent="0.4"/>
    <row r="34" spans="4:9" ht="66.75" hidden="1" customHeight="1" x14ac:dyDescent="0.4"/>
    <row r="37" spans="4:9" ht="12.7" hidden="1" x14ac:dyDescent="0.4">
      <c r="D37" s="1571"/>
      <c r="E37" s="1572"/>
      <c r="F37" s="1572"/>
      <c r="G37" s="1572"/>
      <c r="H37" s="1572"/>
      <c r="I37" s="1572"/>
    </row>
    <row r="38" spans="4:9" ht="12.7" hidden="1" x14ac:dyDescent="0.4">
      <c r="D38" s="1572"/>
      <c r="E38" s="1572"/>
      <c r="F38" s="1572"/>
      <c r="G38" s="1572"/>
      <c r="H38" s="1572"/>
      <c r="I38" s="1572"/>
    </row>
    <row r="39" spans="4:9" ht="12.7" hidden="1" x14ac:dyDescent="0.4">
      <c r="D39" s="1572"/>
      <c r="E39" s="1572"/>
      <c r="F39" s="1572"/>
      <c r="G39" s="1572"/>
      <c r="H39" s="1572"/>
      <c r="I39" s="1572"/>
    </row>
    <row r="40" spans="4:9" ht="12.7" hidden="1" x14ac:dyDescent="0.4">
      <c r="D40" s="1572"/>
      <c r="E40" s="1572"/>
      <c r="F40" s="1572"/>
      <c r="G40" s="1572"/>
      <c r="H40" s="1572"/>
      <c r="I40" s="1572"/>
    </row>
    <row r="41" spans="4:9" ht="12.7" hidden="1" x14ac:dyDescent="0.4">
      <c r="D41" s="1572"/>
      <c r="E41" s="1572"/>
      <c r="F41" s="1572"/>
      <c r="G41" s="1572"/>
      <c r="H41" s="1572"/>
      <c r="I41" s="1572"/>
    </row>
    <row r="42" spans="4:9" ht="12.7" hidden="1" x14ac:dyDescent="0.4">
      <c r="D42" s="1572"/>
      <c r="E42" s="1572"/>
      <c r="F42" s="1572"/>
      <c r="G42" s="1572"/>
      <c r="H42" s="1572"/>
      <c r="I42" s="1572"/>
    </row>
    <row r="43" spans="4:9" ht="12.7" hidden="1" x14ac:dyDescent="0.4">
      <c r="D43" s="1572"/>
      <c r="E43" s="1572"/>
      <c r="F43" s="1572"/>
      <c r="G43" s="1572"/>
      <c r="H43" s="1572"/>
      <c r="I43" s="1572"/>
    </row>
    <row r="44" spans="4:9" ht="12.7" hidden="1" x14ac:dyDescent="0.4">
      <c r="D44" s="1572"/>
      <c r="E44" s="1572"/>
      <c r="F44" s="1572"/>
      <c r="G44" s="1572"/>
      <c r="H44" s="1572"/>
      <c r="I44" s="1572"/>
    </row>
    <row r="45" spans="4:9" ht="12.7" hidden="1" x14ac:dyDescent="0.4">
      <c r="D45" s="1572"/>
      <c r="E45" s="1572"/>
      <c r="F45" s="1572"/>
      <c r="G45" s="1572"/>
      <c r="H45" s="1572"/>
      <c r="I45" s="1572"/>
    </row>
    <row r="46" spans="4:9" ht="12.7" hidden="1" x14ac:dyDescent="0.4">
      <c r="D46" s="1572"/>
      <c r="E46" s="1572"/>
      <c r="F46" s="1572"/>
      <c r="G46" s="1572"/>
      <c r="H46" s="1572"/>
      <c r="I46" s="1572"/>
    </row>
    <row r="47" spans="4:9" ht="12.7" hidden="1" x14ac:dyDescent="0.4">
      <c r="D47" s="1572"/>
      <c r="E47" s="1572"/>
      <c r="F47" s="1572"/>
      <c r="G47" s="1572"/>
      <c r="H47" s="1572"/>
      <c r="I47" s="1572"/>
    </row>
  </sheetData>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14" customWidth="1"/>
    <col min="2" max="2" width="8.703125" style="14" bestFit="1" customWidth="1"/>
    <col min="3" max="3" width="26.5859375" style="14" bestFit="1" customWidth="1"/>
    <col min="4" max="4" width="19" style="14" customWidth="1"/>
    <col min="5" max="5" width="13" style="20" customWidth="1"/>
    <col min="6" max="6" width="2.703125" style="14" customWidth="1"/>
    <col min="7" max="7" width="12.1171875" style="14" hidden="1" customWidth="1"/>
    <col min="8" max="11" width="0" style="14" hidden="1" customWidth="1"/>
    <col min="12" max="16384" width="11.41015625" style="14" hidden="1"/>
  </cols>
  <sheetData>
    <row r="1" spans="1:6" ht="13" thickBot="1" x14ac:dyDescent="0.45">
      <c r="A1" s="249"/>
      <c r="B1" s="249"/>
      <c r="C1" s="249"/>
      <c r="D1" s="249"/>
      <c r="E1" s="320"/>
      <c r="F1" s="249"/>
    </row>
    <row r="2" spans="1:6" ht="15.7" thickBot="1" x14ac:dyDescent="0.45">
      <c r="A2" s="249"/>
      <c r="B2" s="881" t="s">
        <v>210</v>
      </c>
      <c r="C2" s="882"/>
      <c r="D2" s="882"/>
      <c r="E2" s="883"/>
      <c r="F2" s="321"/>
    </row>
    <row r="3" spans="1:6" ht="13" thickBot="1" x14ac:dyDescent="0.45">
      <c r="A3" s="249"/>
      <c r="B3" s="249"/>
      <c r="C3" s="249"/>
      <c r="D3" s="249"/>
      <c r="E3" s="320"/>
      <c r="F3" s="249"/>
    </row>
    <row r="4" spans="1:6" s="15" customFormat="1" ht="51" thickBot="1" x14ac:dyDescent="0.45">
      <c r="A4" s="322"/>
      <c r="B4" s="323" t="s">
        <v>56</v>
      </c>
      <c r="C4" s="324" t="s">
        <v>87</v>
      </c>
      <c r="D4" s="324" t="s">
        <v>197</v>
      </c>
      <c r="E4" s="325" t="s">
        <v>211</v>
      </c>
      <c r="F4" s="322"/>
    </row>
    <row r="5" spans="1:6" ht="20.100000000000001" customHeight="1" x14ac:dyDescent="0.4">
      <c r="A5" s="249"/>
      <c r="B5" s="326">
        <v>1458</v>
      </c>
      <c r="C5" s="327" t="s">
        <v>212</v>
      </c>
      <c r="D5" s="328" t="s">
        <v>213</v>
      </c>
      <c r="E5" s="329">
        <v>100</v>
      </c>
      <c r="F5" s="249"/>
    </row>
    <row r="6" spans="1:6" ht="20.100000000000001" customHeight="1" x14ac:dyDescent="0.4">
      <c r="A6" s="249"/>
      <c r="B6" s="330">
        <v>1114</v>
      </c>
      <c r="C6" s="331" t="s">
        <v>214</v>
      </c>
      <c r="D6" s="332" t="s">
        <v>215</v>
      </c>
      <c r="E6" s="333">
        <v>10</v>
      </c>
      <c r="F6" s="249"/>
    </row>
    <row r="7" spans="1:6" ht="20.100000000000001" customHeight="1" x14ac:dyDescent="0.4">
      <c r="A7" s="249"/>
      <c r="B7" s="330">
        <v>1115</v>
      </c>
      <c r="C7" s="331" t="s">
        <v>216</v>
      </c>
      <c r="D7" s="332" t="s">
        <v>213</v>
      </c>
      <c r="E7" s="333">
        <v>100</v>
      </c>
      <c r="F7" s="249"/>
    </row>
    <row r="8" spans="1:6" ht="20.100000000000001" customHeight="1" x14ac:dyDescent="0.4">
      <c r="A8" s="249"/>
      <c r="B8" s="330">
        <v>1116</v>
      </c>
      <c r="C8" s="331" t="s">
        <v>217</v>
      </c>
      <c r="D8" s="332" t="s">
        <v>218</v>
      </c>
      <c r="E8" s="333">
        <v>100</v>
      </c>
      <c r="F8" s="249"/>
    </row>
    <row r="9" spans="1:6" ht="20.100000000000001" customHeight="1" x14ac:dyDescent="0.4">
      <c r="A9" s="249"/>
      <c r="B9" s="330">
        <v>1117</v>
      </c>
      <c r="C9" s="331" t="s">
        <v>219</v>
      </c>
      <c r="D9" s="332" t="s">
        <v>218</v>
      </c>
      <c r="E9" s="333">
        <v>100</v>
      </c>
      <c r="F9" s="249"/>
    </row>
    <row r="10" spans="1:6" ht="20.100000000000001" customHeight="1" x14ac:dyDescent="0.4">
      <c r="A10" s="249"/>
      <c r="B10" s="330">
        <v>1118</v>
      </c>
      <c r="C10" s="331" t="s">
        <v>220</v>
      </c>
      <c r="D10" s="332" t="s">
        <v>218</v>
      </c>
      <c r="E10" s="333">
        <v>1000</v>
      </c>
      <c r="F10" s="249"/>
    </row>
    <row r="11" spans="1:6" ht="20.100000000000001" customHeight="1" x14ac:dyDescent="0.4">
      <c r="A11" s="249"/>
      <c r="B11" s="330">
        <v>6616</v>
      </c>
      <c r="C11" s="331" t="s">
        <v>221</v>
      </c>
      <c r="D11" s="332" t="s">
        <v>215</v>
      </c>
      <c r="E11" s="333">
        <v>10</v>
      </c>
      <c r="F11" s="249"/>
    </row>
    <row r="12" spans="1:6" ht="20.100000000000001" customHeight="1" x14ac:dyDescent="0.4">
      <c r="A12" s="249"/>
      <c r="B12" s="330">
        <v>1497</v>
      </c>
      <c r="C12" s="331" t="s">
        <v>222</v>
      </c>
      <c r="D12" s="332" t="s">
        <v>215</v>
      </c>
      <c r="E12" s="333">
        <v>10</v>
      </c>
      <c r="F12" s="249"/>
    </row>
    <row r="13" spans="1:6" ht="20.100000000000001" customHeight="1" x14ac:dyDescent="0.4">
      <c r="A13" s="249"/>
      <c r="B13" s="330">
        <v>1191</v>
      </c>
      <c r="C13" s="331" t="s">
        <v>223</v>
      </c>
      <c r="D13" s="332" t="s">
        <v>213</v>
      </c>
      <c r="E13" s="333">
        <v>100</v>
      </c>
      <c r="F13" s="249"/>
    </row>
    <row r="14" spans="1:6" ht="20.100000000000001" customHeight="1" x14ac:dyDescent="0.4">
      <c r="A14" s="249"/>
      <c r="B14" s="334">
        <v>1204</v>
      </c>
      <c r="C14" s="335" t="s">
        <v>224</v>
      </c>
      <c r="D14" s="332" t="s">
        <v>218</v>
      </c>
      <c r="E14" s="333">
        <v>1000</v>
      </c>
      <c r="F14" s="249"/>
    </row>
    <row r="15" spans="1:6" ht="20.100000000000001" customHeight="1" x14ac:dyDescent="0.4">
      <c r="A15" s="249"/>
      <c r="B15" s="334">
        <v>1517</v>
      </c>
      <c r="C15" s="335" t="s">
        <v>225</v>
      </c>
      <c r="D15" s="332" t="s">
        <v>226</v>
      </c>
      <c r="E15" s="333">
        <v>10</v>
      </c>
      <c r="F15" s="249"/>
    </row>
    <row r="16" spans="1:6" ht="20.100000000000001" customHeight="1" x14ac:dyDescent="0.4">
      <c r="A16" s="249"/>
      <c r="B16" s="334">
        <v>6598</v>
      </c>
      <c r="C16" s="335" t="s">
        <v>227</v>
      </c>
      <c r="D16" s="332" t="s">
        <v>228</v>
      </c>
      <c r="E16" s="333">
        <v>50</v>
      </c>
      <c r="F16" s="249"/>
    </row>
    <row r="17" spans="1:6" s="19" customFormat="1" ht="20.100000000000001" customHeight="1" x14ac:dyDescent="0.4">
      <c r="A17" s="336"/>
      <c r="B17" s="334">
        <v>6600</v>
      </c>
      <c r="C17" s="335" t="s">
        <v>229</v>
      </c>
      <c r="D17" s="332" t="s">
        <v>228</v>
      </c>
      <c r="E17" s="333">
        <v>100</v>
      </c>
      <c r="F17" s="336"/>
    </row>
    <row r="18" spans="1:6" ht="20.100000000000001" customHeight="1" x14ac:dyDescent="0.4">
      <c r="A18" s="249"/>
      <c r="B18" s="334">
        <v>1278</v>
      </c>
      <c r="C18" s="335" t="s">
        <v>230</v>
      </c>
      <c r="D18" s="332" t="s">
        <v>231</v>
      </c>
      <c r="E18" s="333">
        <v>10</v>
      </c>
      <c r="F18" s="249"/>
    </row>
    <row r="19" spans="1:6" ht="20.100000000000001" customHeight="1" x14ac:dyDescent="0.4">
      <c r="A19" s="249"/>
      <c r="B19" s="334">
        <v>2879</v>
      </c>
      <c r="C19" s="335" t="s">
        <v>232</v>
      </c>
      <c r="D19" s="332" t="s">
        <v>233</v>
      </c>
      <c r="E19" s="333">
        <v>1000</v>
      </c>
      <c r="F19" s="249"/>
    </row>
    <row r="20" spans="1:6" ht="20.100000000000001" customHeight="1" thickBot="1" x14ac:dyDescent="0.45">
      <c r="A20" s="249"/>
      <c r="B20" s="337">
        <v>1780</v>
      </c>
      <c r="C20" s="338" t="s">
        <v>234</v>
      </c>
      <c r="D20" s="339" t="s">
        <v>235</v>
      </c>
      <c r="E20" s="340">
        <v>10</v>
      </c>
      <c r="F20" s="249"/>
    </row>
    <row r="21" spans="1:6" ht="12.7" x14ac:dyDescent="0.4">
      <c r="A21" s="249"/>
      <c r="B21" s="249"/>
      <c r="C21" s="341"/>
      <c r="D21" s="342"/>
      <c r="E21" s="343"/>
      <c r="F21" s="249"/>
    </row>
  </sheetData>
  <mergeCells count="1">
    <mergeCell ref="B2:E2"/>
  </mergeCells>
  <pageMargins left="0.78740157499999996" right="0.78740157499999996" top="0.984251969" bottom="0.984251969" header="0.4921259845" footer="0.492125984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customXml/itemProps3.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104</vt:i4>
      </vt:variant>
    </vt:vector>
  </HeadingPairs>
  <TitlesOfParts>
    <vt:vector size="133" baseType="lpstr">
      <vt:lpstr>Descriptif</vt:lpstr>
      <vt:lpstr>SYNTHESE</vt:lpstr>
      <vt:lpstr>PARAM</vt:lpstr>
      <vt:lpstr>Recap_equipements</vt:lpstr>
      <vt:lpstr>Equipements</vt:lpstr>
      <vt:lpstr>Analytique</vt:lpstr>
      <vt:lpstr>Qualité</vt:lpstr>
      <vt:lpstr>A1_DO1_Q_Grav</vt:lpstr>
      <vt:lpstr>A2_P100_Q_Grav</vt:lpstr>
      <vt:lpstr>A3_P102_PREL</vt:lpstr>
      <vt:lpstr>A3_P102_Q_DEM</vt:lpstr>
      <vt:lpstr>A4_P103_PREL</vt:lpstr>
      <vt:lpstr>A4_P103_Q_Grav</vt:lpstr>
      <vt:lpstr>A4_P103_TEMP</vt:lpstr>
      <vt:lpstr>A6_P104_Q_DEM</vt:lpstr>
      <vt:lpstr>PLUVIO_SCL_aaa</vt:lpstr>
      <vt:lpstr>PLUVIO_SCL_ooo</vt:lpstr>
      <vt:lpstr>PLUVIO_STEU_ee</vt:lpstr>
      <vt:lpstr>PLUVIO_STEU_P1</vt:lpstr>
      <vt:lpstr>REX controleurs</vt:lpstr>
      <vt:lpstr>Controle_Pluvio_Thermo</vt:lpstr>
      <vt:lpstr>AnalysesComparatives</vt:lpstr>
      <vt:lpstr>SA_GRILLE_SCL</vt:lpstr>
      <vt:lpstr>AnalysesComparatives_SCL</vt:lpstr>
      <vt:lpstr>SYNTHESE_SCL</vt:lpstr>
      <vt:lpstr>SA_GRILLE_STEU</vt:lpstr>
      <vt:lpstr>Critères</vt:lpstr>
      <vt:lpstr>SeuilsComparaison-EMT</vt:lpstr>
      <vt:lpstr>LimitequantificationSDE</vt:lpstr>
      <vt:lpstr>Asservissement</vt:lpstr>
      <vt:lpstr>CODE_SANDRE_3</vt:lpstr>
      <vt:lpstr>CODE_SANDRE_SCL</vt:lpstr>
      <vt:lpstr>CODE_SANDRE_STEU</vt:lpstr>
      <vt:lpstr>conditions_meteo</vt:lpstr>
      <vt:lpstr>A2_P100_Q_Grav!Conformité</vt:lpstr>
      <vt:lpstr>A4_P103_Q_Grav!Conformité</vt:lpstr>
      <vt:lpstr>Conformité</vt:lpstr>
      <vt:lpstr>A1_DO1_Q_Grav!Eq_h_controle</vt:lpstr>
      <vt:lpstr>A2_P100_Q_Grav!Eq_h_controle</vt:lpstr>
      <vt:lpstr>A4_P103_Q_Grav!Eq_h_controle</vt:lpstr>
      <vt:lpstr>Eq_h_controle</vt:lpstr>
      <vt:lpstr>A3_P102_PREL!EQUIPEMENT_PREL</vt:lpstr>
      <vt:lpstr>A4_P103_PREL!EQUIPEMENT_PREL</vt:lpstr>
      <vt:lpstr>EQUIPEMENT_PREL</vt:lpstr>
      <vt:lpstr>EQUIPEMENT_Q</vt:lpstr>
      <vt:lpstr>A1_DO1_Q_Grav!Frequence</vt:lpstr>
      <vt:lpstr>A2_P100_Q_Grav!Frequence</vt:lpstr>
      <vt:lpstr>A3_P102_Q_DEM!Frequence</vt:lpstr>
      <vt:lpstr>A4_P103_Q_Grav!Frequence</vt:lpstr>
      <vt:lpstr>A6_P104_Q_DEM!Frequence</vt:lpstr>
      <vt:lpstr>Frequence</vt:lpstr>
      <vt:lpstr>A1_DO1_Q_Grav!LISTE_1</vt:lpstr>
      <vt:lpstr>A2_P100_Q_Grav!LISTE_1</vt:lpstr>
      <vt:lpstr>A3_P102_PREL!LISTE_1</vt:lpstr>
      <vt:lpstr>A3_P102_Q_DEM!LISTE_1</vt:lpstr>
      <vt:lpstr>A4_P103_PREL!LISTE_1</vt:lpstr>
      <vt:lpstr>A4_P103_Q_Grav!LISTE_1</vt:lpstr>
      <vt:lpstr>A4_P103_TEMP!LISTE_1</vt:lpstr>
      <vt:lpstr>A6_P104_Q_DEM!LISTE_1</vt:lpstr>
      <vt:lpstr>PLUVIO_SCL_aaa!LISTE_1</vt:lpstr>
      <vt:lpstr>PLUVIO_SCL_ooo!LISTE_1</vt:lpstr>
      <vt:lpstr>PLUVIO_STEU_ee!LISTE_1</vt:lpstr>
      <vt:lpstr>PLUVIO_STEU_P1!LISTE_1</vt:lpstr>
      <vt:lpstr>LISTE_1</vt:lpstr>
      <vt:lpstr>A1_DO1_Q_Grav!LISTE_2</vt:lpstr>
      <vt:lpstr>A2_P100_Q_Grav!LISTE_2</vt:lpstr>
      <vt:lpstr>A3_P102_PREL!LISTE_2</vt:lpstr>
      <vt:lpstr>A3_P102_Q_DEM!LISTE_2</vt:lpstr>
      <vt:lpstr>A4_P103_PREL!LISTE_2</vt:lpstr>
      <vt:lpstr>A4_P103_Q_Grav!LISTE_2</vt:lpstr>
      <vt:lpstr>A4_P103_TEMP!LISTE_2</vt:lpstr>
      <vt:lpstr>A6_P104_Q_DEM!LISTE_2</vt:lpstr>
      <vt:lpstr>PLUVIO_SCL_aaa!LISTE_2</vt:lpstr>
      <vt:lpstr>PLUVIO_SCL_ooo!LISTE_2</vt:lpstr>
      <vt:lpstr>PLUVIO_STEU_ee!LISTE_2</vt:lpstr>
      <vt:lpstr>PLUVIO_STEU_P1!LISTE_2</vt:lpstr>
      <vt:lpstr>LISTE_2</vt:lpstr>
      <vt:lpstr>A1_DO1_Q_Grav!LISTE_3</vt:lpstr>
      <vt:lpstr>A2_P100_Q_Grav!LISTE_3</vt:lpstr>
      <vt:lpstr>A3_P102_PREL!LISTE_3</vt:lpstr>
      <vt:lpstr>A3_P102_Q_DEM!LISTE_3</vt:lpstr>
      <vt:lpstr>A4_P103_PREL!LISTE_3</vt:lpstr>
      <vt:lpstr>A4_P103_Q_Grav!LISTE_3</vt:lpstr>
      <vt:lpstr>A4_P103_TEMP!LISTE_3</vt:lpstr>
      <vt:lpstr>A6_P104_Q_DEM!LISTE_3</vt:lpstr>
      <vt:lpstr>PLUVIO_SCL_aaa!LISTE_3</vt:lpstr>
      <vt:lpstr>PLUVIO_SCL_ooo!LISTE_3</vt:lpstr>
      <vt:lpstr>PLUVIO_STEU_ee!LISTE_3</vt:lpstr>
      <vt:lpstr>PLUVIO_STEU_P1!LISTE_3</vt:lpstr>
      <vt:lpstr>LISTE_3</vt:lpstr>
      <vt:lpstr>A1_DO1_Q_Grav!LISTE_4</vt:lpstr>
      <vt:lpstr>A2_P100_Q_Grav!LISTE_4</vt:lpstr>
      <vt:lpstr>A3_P102_PREL!LISTE_4</vt:lpstr>
      <vt:lpstr>A3_P102_Q_DEM!LISTE_4</vt:lpstr>
      <vt:lpstr>A4_P103_PREL!LISTE_4</vt:lpstr>
      <vt:lpstr>A4_P103_Q_Grav!LISTE_4</vt:lpstr>
      <vt:lpstr>A4_P103_TEMP!LISTE_4</vt:lpstr>
      <vt:lpstr>A6_P104_Q_DEM!LISTE_4</vt:lpstr>
      <vt:lpstr>PLUVIO_SCL_aaa!LISTE_4</vt:lpstr>
      <vt:lpstr>PLUVIO_SCL_ooo!LISTE_4</vt:lpstr>
      <vt:lpstr>PLUVIO_STEU_ee!LISTE_4</vt:lpstr>
      <vt:lpstr>PLUVIO_STEU_P1!LISTE_4</vt:lpstr>
      <vt:lpstr>LISTE_4</vt:lpstr>
      <vt:lpstr>LISTE_5</vt:lpstr>
      <vt:lpstr>A1_DO1_Q_Grav!Méthode</vt:lpstr>
      <vt:lpstr>A2_P100_Q_Grav!Méthode</vt:lpstr>
      <vt:lpstr>A4_P103_Q_Grav!Méthode</vt:lpstr>
      <vt:lpstr>Méthode</vt:lpstr>
      <vt:lpstr>A3_P102_Q_DEM!Montage_sonde</vt:lpstr>
      <vt:lpstr>A6_P104_Q_DEM!Montage_sonde</vt:lpstr>
      <vt:lpstr>Montage_sonde</vt:lpstr>
      <vt:lpstr>PLUVIO_SCL</vt:lpstr>
      <vt:lpstr>AnalysesComparatives!Print_Area</vt:lpstr>
      <vt:lpstr>AnalysesComparatives_SCL!Print_Area</vt:lpstr>
      <vt:lpstr>LimitequantificationSDE!Print_Area</vt:lpstr>
      <vt:lpstr>'SeuilsComparaison-EMT'!Print_Area</vt:lpstr>
      <vt:lpstr>A3_P102_Q_DEM!Q_en_charge</vt:lpstr>
      <vt:lpstr>A6_P104_Q_DEM!Q_en_charge</vt:lpstr>
      <vt:lpstr>Q_en_charge</vt:lpstr>
      <vt:lpstr>A1_DO1_Q_Grav!Q_Gravitaire</vt:lpstr>
      <vt:lpstr>A2_P100_Q_Grav!Q_Gravitaire</vt:lpstr>
      <vt:lpstr>A4_P103_Q_Grav!Q_Gravitaire</vt:lpstr>
      <vt:lpstr>Q_Gravitaire</vt:lpstr>
      <vt:lpstr>Satisfaction</vt:lpstr>
      <vt:lpstr>A1_DO1_Q_Grav!Type_capteur</vt:lpstr>
      <vt:lpstr>A2_P100_Q_Grav!Type_capteur</vt:lpstr>
      <vt:lpstr>A4_P103_Q_Grav!Type_capteur</vt:lpstr>
      <vt:lpstr>Type_capteur</vt:lpstr>
      <vt:lpstr>Type_equipement</vt:lpstr>
      <vt:lpstr>TypeDeMesure</vt:lpstr>
      <vt:lpstr>A3_P102_Q_DEM!Zone_d_impression</vt:lpstr>
      <vt:lpstr>A4_P103_TEMP!Zone_d_impression</vt:lpstr>
      <vt:lpstr>A6_P104_Q_DEM!Zone_d_impression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2025-11-19T20:12:33Z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