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E7563B25-9A5D-443C-9D58-872E5A9AB2C4}" xr6:coauthVersionLast="47" xr6:coauthVersionMax="47" xr10:uidLastSave="{00000000-0000-0000-0000-000000000000}"/>
  <bookViews>
    <workbookView xWindow="20595" yWindow="-16320" windowWidth="29040" windowHeight="15720" tabRatio="777" xr2:uid="{00000000-000D-0000-FFFF-FFFF00000000}"/>
  </bookViews>
  <sheets>
    <sheet name="Q_DEM" sheetId="51" r:id="rId1"/>
    <sheet name="Critères" sheetId="47" r:id="rId2"/>
    <sheet name="PARAM" sheetId="5" r:id="rId3"/>
    <sheet name="BD Débitmètres" sheetId="52" r:id="rId4"/>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diam_debitmetre">'BD Débitmètres'!$B$10:$B$42</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PARAM!$G$21</definedName>
    <definedName name="LISTE_7">PARAM!$H$21:$H$23</definedName>
    <definedName name="Montage_sonde">PARAM!$G$44:$G$47</definedName>
    <definedName name="Q_en_charge">PARAM!$A$30:$A$34</definedName>
    <definedName name="Q_en_charge_boues">PARAM!$E$30</definedName>
    <definedName name="Q_Gravitaire">PARAM!$B$30:$B$38</definedName>
    <definedName name="Satisfaction">PARAM!$D$44:$D$46</definedName>
    <definedName name="Type_capteur">PARAM!$C$44:$C$48</definedName>
    <definedName name="Type_equipement">PARAM!$C$4:$C$6</definedName>
    <definedName name="_xlnm.Print_Area" localSheetId="3">'BD Débitmètres'!$B$2:$J$42</definedName>
    <definedName name="_xlnm.Print_Area" localSheetId="0">Q_DEM!$B$1:$S$54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35" i="51" l="1" a="1"/>
  <c r="U35" i="51" s="1"/>
  <c r="U36" i="51" a="1"/>
  <c r="U36" i="51" s="1"/>
  <c r="U37" i="51" a="1"/>
  <c r="U37" i="51" s="1"/>
  <c r="U38" i="51" a="1"/>
  <c r="U38" i="51"/>
  <c r="U39" i="51" a="1"/>
  <c r="U39" i="51"/>
  <c r="U40" i="51" a="1"/>
  <c r="U40" i="51"/>
  <c r="U41" i="51" a="1"/>
  <c r="U41" i="51" s="1"/>
  <c r="U42" i="51" a="1"/>
  <c r="U42" i="51" s="1"/>
  <c r="U34" i="51" a="1"/>
  <c r="U34" i="51" s="1"/>
  <c r="BX15" i="47" l="1"/>
  <c r="BT15" i="47"/>
  <c r="BP15" i="47"/>
  <c r="BL15" i="47"/>
  <c r="BH15" i="47"/>
  <c r="BD15" i="47"/>
  <c r="AZ15" i="47"/>
  <c r="AV15" i="47"/>
  <c r="AR15" i="47"/>
  <c r="AN15" i="47"/>
  <c r="AJ15" i="47"/>
  <c r="AF15" i="47"/>
  <c r="AB15" i="47"/>
  <c r="X15" i="47"/>
  <c r="T15" i="47"/>
  <c r="P15" i="47"/>
  <c r="L15" i="47"/>
  <c r="H15" i="47"/>
  <c r="D15" i="47"/>
  <c r="G8" i="52" l="1"/>
  <c r="C8" i="52"/>
  <c r="J42" i="52"/>
  <c r="H42" i="52"/>
  <c r="F42" i="52"/>
  <c r="D42" i="52"/>
  <c r="J41" i="52"/>
  <c r="H41" i="52"/>
  <c r="F41" i="52"/>
  <c r="D41" i="52"/>
  <c r="J40" i="52"/>
  <c r="H40" i="52"/>
  <c r="F40" i="52"/>
  <c r="D40" i="52"/>
  <c r="J39" i="52"/>
  <c r="H39" i="52"/>
  <c r="F39" i="52"/>
  <c r="D39" i="52"/>
  <c r="J38" i="52"/>
  <c r="H38" i="52"/>
  <c r="F38" i="52"/>
  <c r="D38" i="52"/>
  <c r="J37" i="52"/>
  <c r="H37" i="52"/>
  <c r="F37" i="52"/>
  <c r="D37" i="52"/>
  <c r="J36" i="52"/>
  <c r="H36" i="52"/>
  <c r="F36" i="52"/>
  <c r="D36" i="52"/>
  <c r="J35" i="52"/>
  <c r="H35" i="52"/>
  <c r="F35" i="52"/>
  <c r="D35" i="52"/>
  <c r="J34" i="52"/>
  <c r="H34" i="52"/>
  <c r="F34" i="52"/>
  <c r="D34" i="52"/>
  <c r="J33" i="52"/>
  <c r="H33" i="52"/>
  <c r="F33" i="52"/>
  <c r="D33" i="52"/>
  <c r="J32" i="52"/>
  <c r="H32" i="52"/>
  <c r="F32" i="52"/>
  <c r="D32" i="52"/>
  <c r="J31" i="52"/>
  <c r="H31" i="52"/>
  <c r="F31" i="52"/>
  <c r="D31" i="52"/>
  <c r="J30" i="52"/>
  <c r="H30" i="52"/>
  <c r="F30" i="52"/>
  <c r="D30" i="52"/>
  <c r="J29" i="52"/>
  <c r="H29" i="52"/>
  <c r="F29" i="52"/>
  <c r="D29" i="52"/>
  <c r="J28" i="52"/>
  <c r="H28" i="52"/>
  <c r="F28" i="52"/>
  <c r="D28" i="52"/>
  <c r="J27" i="52"/>
  <c r="H27" i="52"/>
  <c r="F27" i="52"/>
  <c r="D27" i="52"/>
  <c r="J26" i="52"/>
  <c r="H26" i="52"/>
  <c r="F26" i="52"/>
  <c r="D26" i="52"/>
  <c r="J25" i="52"/>
  <c r="H25" i="52"/>
  <c r="F25" i="52"/>
  <c r="D25" i="52"/>
  <c r="J24" i="52"/>
  <c r="H24" i="52"/>
  <c r="F24" i="52"/>
  <c r="D24" i="52"/>
  <c r="J23" i="52"/>
  <c r="H23" i="52"/>
  <c r="F23" i="52"/>
  <c r="D23" i="52"/>
  <c r="J22" i="52"/>
  <c r="H22" i="52"/>
  <c r="F22" i="52"/>
  <c r="D22" i="52"/>
  <c r="J21" i="52"/>
  <c r="H21" i="52"/>
  <c r="F21" i="52"/>
  <c r="D21" i="52"/>
  <c r="J20" i="52"/>
  <c r="H20" i="52"/>
  <c r="F20" i="52"/>
  <c r="D20" i="52"/>
  <c r="J19" i="52"/>
  <c r="H19" i="52"/>
  <c r="F19" i="52"/>
  <c r="D19" i="52"/>
  <c r="J18" i="52"/>
  <c r="H18" i="52"/>
  <c r="F18" i="52"/>
  <c r="D18" i="52"/>
  <c r="J17" i="52"/>
  <c r="H17" i="52"/>
  <c r="F17" i="52"/>
  <c r="D17" i="52"/>
  <c r="J16" i="52"/>
  <c r="H16" i="52"/>
  <c r="F16" i="52"/>
  <c r="D16" i="52"/>
  <c r="J15" i="52"/>
  <c r="H15" i="52"/>
  <c r="F15" i="52"/>
  <c r="D15" i="52"/>
  <c r="J14" i="52"/>
  <c r="H14" i="52"/>
  <c r="F14" i="52"/>
  <c r="D14" i="52"/>
  <c r="J13" i="52"/>
  <c r="H13" i="52"/>
  <c r="F13" i="52"/>
  <c r="D13" i="52"/>
  <c r="J12" i="52"/>
  <c r="H12" i="52"/>
  <c r="F12" i="52"/>
  <c r="D12" i="52"/>
  <c r="J11" i="52"/>
  <c r="H11" i="52"/>
  <c r="F11" i="52"/>
  <c r="D11" i="52"/>
  <c r="J10" i="52"/>
  <c r="H10" i="52"/>
  <c r="F10" i="52"/>
  <c r="D10" i="52"/>
  <c r="P36" i="51" l="1"/>
  <c r="P38" i="51"/>
  <c r="P39" i="51"/>
  <c r="P40" i="51"/>
  <c r="P41" i="51"/>
  <c r="P34" i="51"/>
  <c r="F27" i="51"/>
  <c r="P35" i="51"/>
  <c r="J6" i="51" l="1"/>
  <c r="K27" i="51" l="1"/>
  <c r="L27" i="51" s="1"/>
  <c r="M27" i="51" l="1"/>
  <c r="N27" i="51"/>
  <c r="O27" i="51" s="1"/>
  <c r="P27" i="51" l="1"/>
  <c r="P43" i="51"/>
  <c r="Q35" i="51"/>
  <c r="Q36" i="51"/>
  <c r="Q37" i="51"/>
  <c r="Q38" i="51"/>
  <c r="Q39" i="51"/>
  <c r="Q40" i="51"/>
  <c r="Q41" i="51"/>
  <c r="Q42" i="51"/>
  <c r="P42" i="51" s="1"/>
  <c r="Q43" i="51"/>
  <c r="Q34" i="51"/>
  <c r="J35" i="51"/>
  <c r="J36" i="51"/>
  <c r="J37" i="51"/>
  <c r="J38" i="51"/>
  <c r="J39" i="51"/>
  <c r="J40" i="51"/>
  <c r="J41" i="51"/>
  <c r="J42" i="51"/>
  <c r="J43" i="51"/>
  <c r="J34" i="51"/>
  <c r="E35" i="51"/>
  <c r="E36" i="51"/>
  <c r="E37" i="51"/>
  <c r="E38" i="51"/>
  <c r="E39" i="51"/>
  <c r="E40" i="51"/>
  <c r="E41" i="51"/>
  <c r="E42" i="51"/>
  <c r="E43" i="51"/>
  <c r="E34" i="51"/>
  <c r="U27" i="51" l="1"/>
  <c r="N37" i="51" s="1"/>
  <c r="P37" i="51" s="1"/>
  <c r="P45" i="51" l="1"/>
  <c r="N45" i="5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<sst xmlns="http://schemas.openxmlformats.org/spreadsheetml/2006/main" count="960" uniqueCount="345">
  <si>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</si>
  <si>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</si>
  <si>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</si>
  <si>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</si>
  <si>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</si>
  <si>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</si>
  <si>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</si>
  <si>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</si>
  <si>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</si>
  <si>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</si>
  <si>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</si>
  <si>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</si>
  <si>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</si>
  <si>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</si>
  <si>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</si>
  <si>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</si>
  <si>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</si>
  <si>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</si>
  <si>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</si>
  <si>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</si>
  <si>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</si>
  <si>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</si>
  <si>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</si>
  <si>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</si>
  <si>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</si>
  <si>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</si>
  <si>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</si>
  <si>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</si>
  <si>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</si>
  <si>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</si>
  <si>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</si>
  <si>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</si>
  <si>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</si>
  <si>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</si>
  <si>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</si>
  <si>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</si>
  <si>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</si>
  <si>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</si>
  <si>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</si>
  <si>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</si>
  <si>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</si>
  <si>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</si>
  <si>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</si>
  <si>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</si>
  <si>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</si>
  <si>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</si>
  <si>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</si>
  <si>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</si>
  <si>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</si>
  <si>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</si>
  <si>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</si>
  <si>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</si>
  <si>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</si>
  <si>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</si>
  <si>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</si>
  <si>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</si>
  <si>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</si>
  <si>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</si>
  <si>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</si>
  <si>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</si>
  <si>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</si>
  <si>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</si>
  <si>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</si>
  <si>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</si>
  <si>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</si>
  <si>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</si>
  <si>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</si>
  <si>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</si>
  <si>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</si>
  <si>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</si>
  <si>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</si>
  <si>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</si>
  <si>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</si>
  <si>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</si>
  <si>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</si>
  <si>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</si>
  <si>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</si>
  <si>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</si>
  <si>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</si>
  <si>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</si>
  <si>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</si>
  <si>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</si>
  <si>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</si>
  <si>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</si>
  <si>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</si>
  <si>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</si>
  <si>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</si>
  <si>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</si>
  <si>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</si>
  <si>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</si>
  <si>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</si>
  <si>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</si>
  <si>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</si>
  <si>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</si>
  <si>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</si>
  <si>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</si>
  <si>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</si>
  <si>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</si>
  <si>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</si>
  <si>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</si>
  <si>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</si>
  <si>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</si>
  <si>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</si>
  <si>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</si>
  <si>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</si>
  <si>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</si>
  <si>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</si>
  <si>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</si>
  <si>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</si>
  <si>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</si>
  <si>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</si>
  <si>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</si>
  <si>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</si>
  <si>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</si>
  <si>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</si>
  <si>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</si>
  <si>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</si>
  <si>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</si>
  <si>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</si>
  <si>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</si>
  <si>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</si>
  <si>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</si>
  <si>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</si>
  <si>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</si>
  <si>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</si>
  <si>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</si>
  <si>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</si>
  <si>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</si>
  <si>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</si>
  <si>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</si>
  <si>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</si>
  <si>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</si>
  <si>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</si>
  <si>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</si>
  <si>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</si>
  <si>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</si>
  <si>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</si>
  <si>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</si>
  <si>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</si>
  <si>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</si>
  <si>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</si>
  <si>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</si>
  <si>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</si>
  <si>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</si>
  <si>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</si>
  <si>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</si>
  <si>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</si>
  <si>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</si>
  <si>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</si>
  <si>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</si>
  <si>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</si>
  <si>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</si>
  <si>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</si>
  <si>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</si>
  <si>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</si>
  <si>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</si>
  <si>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</si>
  <si>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</si>
  <si>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</si>
  <si>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</si>
  <si>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</si>
  <si>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</si>
  <si>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</si>
  <si>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</si>
  <si>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</si>
  <si>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</si>
  <si>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</si>
  <si>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</si>
  <si>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</si>
  <si>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</si>
  <si>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</si>
  <si>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</si>
  <si>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</si>
  <si>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</si>
  <si>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</si>
  <si>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</si>
  <si>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 xml:space="preserve">Modèle de l'équipement : </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</si>
  <si>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</si>
  <si>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</si>
  <si>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</si>
  <si>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</si>
  <si>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</si>
  <si>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</si>
  <si>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</si>
  <si>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</si>
  <si>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</si>
  <si>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</si>
  <si>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</si>
  <si>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</si>
  <si>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</si>
  <si>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CONTRÔLE DE LA MESURE DE DEBIT - DEM</t>
  </si>
  <si>
    <t xml:space="preserve">
</t>
  </si>
  <si>
    <t xml:space="preserve">Équipement existant sur site : </t>
  </si>
  <si>
    <t xml:space="preserve">Fréquence de vérification sur site : </t>
  </si>
  <si>
    <t xml:space="preserve">Longueur droite amont (mm) : </t>
  </si>
  <si>
    <t xml:space="preserve">Longueur droite aval (mm) : </t>
  </si>
  <si>
    <t>En N</t>
  </si>
  <si>
    <t>Équipement sur site</t>
  </si>
  <si>
    <t>Ecart retenu - Appareil</t>
  </si>
  <si>
    <t>Ecart retenu - Supervision</t>
  </si>
  <si>
    <t>EMT</t>
  </si>
  <si>
    <t>Moyenne</t>
  </si>
  <si>
    <t>Ecart (%)</t>
  </si>
  <si>
    <t>Equipement de contrôle</t>
  </si>
  <si>
    <t>Points</t>
  </si>
  <si>
    <t xml:space="preserve">Équipement de contrôle installé : </t>
  </si>
  <si>
    <t>Listes méthode contrôle</t>
  </si>
  <si>
    <t>Méthode</t>
  </si>
  <si>
    <t>…</t>
  </si>
  <si>
    <t>Simulation d'une hauteur d'eau (plaque)</t>
  </si>
  <si>
    <t>Mesure en parallèle</t>
  </si>
  <si>
    <t>Simulation d'une hauteur d'eau et mesure en parallèle</t>
  </si>
  <si>
    <t>En /</t>
  </si>
  <si>
    <t xml:space="preserve">Période (min) : </t>
  </si>
  <si>
    <t xml:space="preserve">Plage horaire de mesure :  </t>
  </si>
  <si>
    <t xml:space="preserve">CODE SANDRE : </t>
  </si>
  <si>
    <t xml:space="preserve">MAITRE D'OUVRAGE : </t>
  </si>
  <si>
    <t xml:space="preserve">EXPLOITANT : </t>
  </si>
  <si>
    <t xml:space="preserve">LOCALISATION : </t>
  </si>
  <si>
    <t xml:space="preserve">TYPE DE MATERIEL : </t>
  </si>
  <si>
    <t xml:space="preserve">ORGANISME DE CONTRÔLE : </t>
  </si>
  <si>
    <t xml:space="preserve">DATE(S) D'INTERVENTION : </t>
  </si>
  <si>
    <t xml:space="preserve">Marque de l'équipement : </t>
  </si>
  <si>
    <t xml:space="preserve">N° de l'équipement de contrôle : </t>
  </si>
  <si>
    <t xml:space="preserve">Marque de l'équipement de contrôle : </t>
  </si>
  <si>
    <t xml:space="preserve">Modèle de l'équipement de contrôle : </t>
  </si>
  <si>
    <t xml:space="preserve">Principe de mesure : </t>
  </si>
  <si>
    <t xml:space="preserve">Date du dernier étalonnage : </t>
  </si>
  <si>
    <t xml:space="preserve">Type de montage des sondes : </t>
  </si>
  <si>
    <t xml:space="preserve">Positionnement : </t>
  </si>
  <si>
    <t xml:space="preserve">Gain en dB : </t>
  </si>
  <si>
    <t xml:space="preserve">Indice de qualité : </t>
  </si>
  <si>
    <r>
      <t>Plage de mesure (m</t>
    </r>
    <r>
      <rPr>
        <vertAlign val="superscript"/>
        <sz val="10"/>
        <rFont val="Calibri"/>
        <family val="2"/>
        <scheme val="minor"/>
      </rPr>
      <t>3</t>
    </r>
    <r>
      <rPr>
        <sz val="10"/>
        <rFont val="Calibri"/>
        <family val="2"/>
        <scheme val="minor"/>
      </rPr>
      <t xml:space="preserve">/h) : </t>
    </r>
  </si>
  <si>
    <r>
      <t>Débit moyen d'écoulement (m</t>
    </r>
    <r>
      <rPr>
        <vertAlign val="superscript"/>
        <sz val="10"/>
        <rFont val="Calibri"/>
        <family val="2"/>
        <scheme val="minor"/>
      </rPr>
      <t>3</t>
    </r>
    <r>
      <rPr>
        <sz val="10"/>
        <rFont val="Calibri"/>
        <family val="2"/>
        <scheme val="minor"/>
      </rPr>
      <t xml:space="preserve">/h) : </t>
    </r>
  </si>
  <si>
    <r>
      <t>Relevé d'index totalisateur (m</t>
    </r>
    <r>
      <rPr>
        <vertAlign val="superscript"/>
        <sz val="10"/>
        <rFont val="Calibri"/>
        <family val="2"/>
        <scheme val="minor"/>
      </rPr>
      <t>3</t>
    </r>
    <r>
      <rPr>
        <sz val="10"/>
        <rFont val="Calibri"/>
        <family val="2"/>
        <scheme val="minor"/>
      </rPr>
      <t xml:space="preserve">) : </t>
    </r>
  </si>
  <si>
    <r>
      <t>Volume mesuré (m</t>
    </r>
    <r>
      <rPr>
        <vertAlign val="superscript"/>
        <sz val="10"/>
        <rFont val="Calibri"/>
        <family val="2"/>
        <scheme val="minor"/>
      </rPr>
      <t>3</t>
    </r>
    <r>
      <rPr>
        <sz val="10"/>
        <rFont val="Calibri"/>
        <family val="2"/>
        <scheme val="minor"/>
      </rPr>
      <t>)</t>
    </r>
  </si>
  <si>
    <r>
      <t>Volume supervision (m</t>
    </r>
    <r>
      <rPr>
        <vertAlign val="superscript"/>
        <sz val="10"/>
        <rFont val="Calibri"/>
        <family val="2"/>
        <scheme val="minor"/>
      </rPr>
      <t>3</t>
    </r>
    <r>
      <rPr>
        <sz val="10"/>
        <rFont val="Calibri"/>
        <family val="2"/>
        <scheme val="minor"/>
      </rPr>
      <t>)</t>
    </r>
  </si>
  <si>
    <r>
      <t>Ecart (m</t>
    </r>
    <r>
      <rPr>
        <vertAlign val="superscript"/>
        <sz val="10"/>
        <rFont val="Calibri"/>
        <family val="2"/>
        <scheme val="minor"/>
      </rPr>
      <t>3</t>
    </r>
    <r>
      <rPr>
        <sz val="10"/>
        <rFont val="Calibri"/>
        <family val="2"/>
        <scheme val="minor"/>
      </rPr>
      <t>)</t>
    </r>
  </si>
  <si>
    <r>
      <t>STATION / R</t>
    </r>
    <r>
      <rPr>
        <b/>
        <sz val="11"/>
        <color theme="4"/>
        <rFont val="Calibri"/>
        <family val="2"/>
      </rPr>
      <t>É</t>
    </r>
    <r>
      <rPr>
        <b/>
        <sz val="11"/>
        <color theme="4"/>
        <rFont val="Calibri"/>
        <family val="2"/>
        <scheme val="minor"/>
      </rPr>
      <t xml:space="preserve">SEAU : </t>
    </r>
  </si>
  <si>
    <r>
      <t>TYPE D'</t>
    </r>
    <r>
      <rPr>
        <b/>
        <sz val="11"/>
        <color theme="4"/>
        <rFont val="Calibri"/>
        <family val="2"/>
      </rPr>
      <t>É</t>
    </r>
    <r>
      <rPr>
        <b/>
        <sz val="11"/>
        <color theme="4"/>
        <rFont val="Calibri"/>
        <family val="2"/>
        <scheme val="minor"/>
      </rPr>
      <t xml:space="preserve">QUIPEMENT : </t>
    </r>
  </si>
  <si>
    <t xml:space="preserve">CODE DU POINT : </t>
  </si>
  <si>
    <r>
      <t>NOM(S) CONTR</t>
    </r>
    <r>
      <rPr>
        <b/>
        <sz val="11"/>
        <color theme="4"/>
        <rFont val="Calibri"/>
        <family val="2"/>
      </rPr>
      <t>Ô</t>
    </r>
    <r>
      <rPr>
        <b/>
        <sz val="11"/>
        <color theme="4"/>
        <rFont val="Calibri"/>
        <family val="2"/>
        <scheme val="minor"/>
      </rPr>
      <t xml:space="preserve">LEUR(S) : </t>
    </r>
  </si>
  <si>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</si>
  <si>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r>
      <rPr>
        <sz val="10"/>
        <rFont val="Calibri"/>
        <family val="2"/>
      </rPr>
      <t>É</t>
    </r>
    <r>
      <rPr>
        <sz val="10"/>
        <rFont val="Calibri"/>
        <family val="2"/>
        <scheme val="minor"/>
      </rPr>
      <t xml:space="preserve">cartement des sondes (mm) : </t>
    </r>
  </si>
  <si>
    <r>
      <t>Volume appareil (m</t>
    </r>
    <r>
      <rPr>
        <vertAlign val="superscript"/>
        <sz val="10"/>
        <rFont val="Calibri"/>
        <family val="2"/>
        <scheme val="minor"/>
      </rPr>
      <t>3</t>
    </r>
    <r>
      <rPr>
        <sz val="10"/>
        <rFont val="Calibri"/>
        <family val="2"/>
        <scheme val="minor"/>
      </rPr>
      <t>)</t>
    </r>
  </si>
  <si>
    <r>
      <rPr>
        <b/>
        <sz val="18"/>
        <color theme="0"/>
        <rFont val="Calibri"/>
        <family val="2"/>
      </rPr>
      <t>É</t>
    </r>
    <r>
      <rPr>
        <b/>
        <sz val="18"/>
        <color theme="0"/>
        <rFont val="Calibri"/>
        <family val="2"/>
        <scheme val="minor"/>
      </rPr>
      <t>VALUATION</t>
    </r>
  </si>
  <si>
    <t>AXES D'AMÉLIORATION</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</si>
  <si>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</si>
  <si>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</si>
  <si>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</si>
  <si>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</si>
  <si>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</si>
  <si>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</si>
  <si>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</si>
  <si>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</si>
  <si>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</si>
  <si>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</si>
  <si>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</si>
  <si>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</si>
  <si>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</si>
  <si>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</si>
  <si>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Q en charge boues</t>
  </si>
  <si>
    <t>Equipement de contrôle H</t>
  </si>
  <si>
    <t>Type réseau</t>
  </si>
  <si>
    <t>Réglet</t>
  </si>
  <si>
    <t>Mixte</t>
  </si>
  <si>
    <t>Sonde</t>
  </si>
  <si>
    <t>Unitaire</t>
  </si>
  <si>
    <t>Câble</t>
  </si>
  <si>
    <t>Séparatif</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</si>
  <si>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</si>
  <si>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</si>
  <si>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</si>
  <si>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</si>
  <si>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</si>
  <si>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</si>
  <si>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</si>
  <si>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</si>
  <si>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</si>
  <si>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</si>
  <si>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</si>
  <si>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</si>
  <si>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</si>
  <si>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</si>
  <si>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</si>
  <si>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</si>
  <si>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</si>
  <si>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</si>
  <si>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</si>
  <si>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</si>
  <si>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</si>
  <si>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</si>
  <si>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</si>
  <si>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</si>
  <si>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</si>
  <si>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</si>
  <si>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</si>
  <si>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</si>
  <si>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</si>
  <si>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</si>
  <si>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</si>
  <si>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</si>
  <si>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</si>
  <si>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</si>
  <si>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</si>
  <si>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</si>
  <si>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</si>
  <si>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</si>
  <si>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</si>
  <si>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</si>
  <si>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</si>
  <si>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</si>
  <si>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</si>
  <si>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</si>
  <si>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</si>
  <si>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</si>
  <si>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</si>
  <si>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</si>
  <si>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</si>
  <si>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</si>
  <si>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Base de données sur les plages optimales de mesure des débitmètres</t>
  </si>
  <si>
    <t>Canaux Venturi :</t>
  </si>
  <si>
    <t>feuilledecontrole_v7.0_locked.xlsx</t>
  </si>
  <si>
    <t>Débitmètres en charge :</t>
  </si>
  <si>
    <t>Diamètre nominal
en mm</t>
  </si>
  <si>
    <t>Vitesse mini
en m/s</t>
  </si>
  <si>
    <r>
      <t>Débit mini
en m</t>
    </r>
    <r>
      <rPr>
        <vertAlign val="superscript"/>
        <sz val="10"/>
        <color theme="1"/>
        <rFont val="Arial"/>
        <family val="2"/>
      </rPr>
      <t>3</t>
    </r>
    <r>
      <rPr>
        <sz val="10"/>
        <color theme="1"/>
        <rFont val="Arial"/>
        <family val="2"/>
      </rPr>
      <t>/h</t>
    </r>
  </si>
  <si>
    <t>Vitesse maxi
en m/s</t>
  </si>
  <si>
    <r>
      <t>Débit maxi
en m</t>
    </r>
    <r>
      <rPr>
        <vertAlign val="superscript"/>
        <sz val="10"/>
        <color theme="1"/>
        <rFont val="Arial"/>
        <family val="2"/>
      </rPr>
      <t>3</t>
    </r>
    <r>
      <rPr>
        <sz val="10"/>
        <color theme="1"/>
        <rFont val="Arial"/>
        <family val="2"/>
      </rPr>
      <t>/h</t>
    </r>
  </si>
  <si>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</si>
  <si>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</si>
  <si>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</si>
  <si>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</si>
  <si>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</si>
  <si>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</si>
  <si>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</si>
  <si>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</si>
  <si>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</si>
  <si>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</si>
  <si>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</si>
  <si>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</si>
  <si>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 xml:space="preserve">Diamètre du débitmètre (mm) : </t>
  </si>
  <si>
    <t>LISTE_7</t>
  </si>
  <si>
    <t>Entre 10 et 20%</t>
  </si>
  <si>
    <t>Non validé (&gt;20%)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</si>
</sst>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
  </numFmts>
  <fonts count="47"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b/>
      <sz val="11"/>
      <color theme="1"/>
      <name val="Calibri"/>
      <family val="2"/>
      <scheme val="minor"/>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4"/>
      <name val="Calibri"/>
      <family val="2"/>
      <scheme val="minor"/>
    </font>
    <font>
      <sz val="10"/>
      <color theme="2"/>
      <name val="Arial"/>
      <family val="2"/>
    </font>
    <font>
      <b/>
      <sz val="12"/>
      <color theme="3"/>
      <name val="Calibri"/>
      <family val="2"/>
      <scheme val="minor"/>
    </font>
    <font>
      <b/>
      <sz val="20"/>
      <color theme="1"/>
      <name val="Calibri"/>
      <family val="2"/>
      <scheme val="minor"/>
    </font>
    <font>
      <sz val="1"/>
      <color theme="2"/>
      <name val="Calibri"/>
      <family val="2"/>
      <scheme val="minor"/>
    </font>
    <font>
      <vertAlign val="superscript"/>
      <sz val="10"/>
      <name val="Calibri"/>
      <family val="2"/>
      <scheme val="minor"/>
    </font>
    <font>
      <b/>
      <sz val="11"/>
      <color theme="4"/>
      <name val="Calibri"/>
      <family val="2"/>
    </font>
    <font>
      <sz val="10"/>
      <name val="Calibri"/>
      <family val="2"/>
    </font>
    <font>
      <b/>
      <sz val="18"/>
      <color theme="0"/>
      <name val="Calibri"/>
      <family val="2"/>
    </font>
    <font>
      <i/>
      <u/>
      <sz val="10"/>
      <name val="Arial"/>
      <family val="2"/>
    </font>
    <font>
      <b/>
      <sz val="10"/>
      <name val="Arial"/>
      <family val="2"/>
    </font>
    <font>
      <u/>
      <sz val="10"/>
      <color theme="10"/>
      <name val="Arial"/>
      <family val="2"/>
    </font>
    <font>
      <b/>
      <sz val="14"/>
      <color theme="0"/>
      <name val="Arial"/>
      <family val="2"/>
    </font>
    <font>
      <b/>
      <sz val="12"/>
      <color theme="0"/>
      <name val="Arial"/>
      <family val="2"/>
    </font>
    <font>
      <b/>
      <sz val="16"/>
      <color theme="0"/>
      <name val="Arial"/>
      <family val="2"/>
    </font>
  </fonts>
  <fills count="29">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theme="2"/>
        <bgColor indexed="64"/>
      </patternFill>
    </fill>
    <fill>
      <patternFill patternType="solid">
        <fgColor rgb="FF009DE0"/>
        <bgColor indexed="64"/>
      </patternFill>
    </fill>
    <fill>
      <patternFill patternType="solid">
        <fgColor theme="8"/>
        <bgColor indexed="64"/>
      </patternFill>
    </fill>
    <fill>
      <patternFill patternType="solid">
        <fgColor theme="5"/>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249977111117893"/>
        <bgColor indexed="64"/>
      </patternFill>
    </fill>
    <fill>
      <patternFill patternType="solid">
        <fgColor theme="5" tint="0.59999389629810485"/>
        <bgColor indexed="64"/>
      </patternFill>
    </fill>
    <fill>
      <patternFill patternType="gray0625">
        <bgColor theme="2"/>
      </patternFill>
    </fill>
    <fill>
      <patternFill patternType="solid">
        <fgColor theme="0" tint="-0.14999847407452621"/>
        <bgColor indexed="64"/>
      </patternFill>
    </fill>
    <fill>
      <patternFill patternType="solid">
        <fgColor theme="0" tint="-0.499984740745262"/>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118">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hair">
        <color auto="1"/>
      </right>
      <top style="hair">
        <color auto="1"/>
      </top>
      <bottom style="hair">
        <color auto="1"/>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right style="hair">
        <color indexed="64"/>
      </right>
      <top style="hair">
        <color indexed="64"/>
      </top>
      <bottom style="thin">
        <color indexed="64"/>
      </bottom>
      <diagonal/>
    </border>
    <border>
      <left style="thin">
        <color indexed="64"/>
      </left>
      <right/>
      <top style="hair">
        <color indexed="64"/>
      </top>
      <bottom/>
      <diagonal/>
    </border>
    <border>
      <left/>
      <right style="hair">
        <color indexed="64"/>
      </right>
      <top style="hair">
        <color indexed="64"/>
      </top>
      <bottom/>
      <diagonal/>
    </border>
    <border>
      <left style="hair">
        <color indexed="64"/>
      </left>
      <right/>
      <top style="hair">
        <color indexed="64"/>
      </top>
      <bottom/>
      <diagonal/>
    </border>
    <border>
      <left/>
      <right style="thin">
        <color indexed="64"/>
      </right>
      <top style="hair">
        <color indexed="64"/>
      </top>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hair">
        <color indexed="64"/>
      </left>
      <right/>
      <top style="hair">
        <color indexed="64"/>
      </top>
      <bottom style="thin">
        <color indexed="64"/>
      </bottom>
      <diagonal/>
    </border>
    <border>
      <left/>
      <right style="thin">
        <color indexed="64"/>
      </right>
      <top style="hair">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4">
    <xf numFmtId="0" fontId="0" fillId="0" borderId="0"/>
    <xf numFmtId="0" fontId="6" fillId="0" borderId="0"/>
    <xf numFmtId="9" fontId="6" fillId="0" borderId="0" applyFont="0" applyFill="0" applyBorder="0" applyAlignment="0" applyProtection="0"/>
    <xf numFmtId="0" fontId="43" fillId="0" borderId="0" applyNumberFormat="0" applyFill="0" applyBorder="0" applyAlignment="0" applyProtection="0"/>
  </cellStyleXfs>
  <cellXfs count="281">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0" fillId="0" borderId="27" xfId="0" applyBorder="1" applyAlignment="1">
      <alignment vertical="top" wrapText="1"/>
    </xf>
    <xf numFmtId="0" fontId="0" fillId="9" borderId="0" xfId="0" applyFill="1" applyAlignment="1">
      <alignment vertical="top" wrapText="1"/>
    </xf>
    <xf numFmtId="0" fontId="0" fillId="0" borderId="30" xfId="0" applyBorder="1" applyAlignment="1">
      <alignment vertical="top" wrapText="1"/>
    </xf>
    <xf numFmtId="0" fontId="0" fillId="0" borderId="31" xfId="0" applyBorder="1" applyAlignment="1">
      <alignment vertical="top" wrapText="1"/>
    </xf>
    <xf numFmtId="0" fontId="0" fillId="0" borderId="31" xfId="0" applyBorder="1" applyAlignment="1">
      <alignment horizontal="center" vertical="top" wrapText="1"/>
    </xf>
    <xf numFmtId="0" fontId="0" fillId="0" borderId="32"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8" xfId="0" applyBorder="1" applyAlignment="1">
      <alignment wrapText="1"/>
    </xf>
    <xf numFmtId="0" fontId="0" fillId="3" borderId="0" xfId="0" applyFill="1" applyAlignment="1">
      <alignment vertical="top" wrapText="1"/>
    </xf>
    <xf numFmtId="0" fontId="0" fillId="0" borderId="0" xfId="0"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14" fillId="11" borderId="5" xfId="0" applyFont="1" applyFill="1" applyBorder="1" applyAlignment="1">
      <alignment horizontal="center" vertical="center"/>
    </xf>
    <xf numFmtId="0" fontId="14" fillId="11" borderId="11" xfId="0" applyFont="1" applyFill="1" applyBorder="1" applyAlignment="1">
      <alignment vertical="center"/>
    </xf>
    <xf numFmtId="0" fontId="14" fillId="11" borderId="11" xfId="0" applyFont="1" applyFill="1" applyBorder="1" applyAlignment="1">
      <alignment horizontal="center" vertical="center"/>
    </xf>
    <xf numFmtId="0" fontId="14" fillId="11" borderId="12" xfId="0" applyFont="1" applyFill="1" applyBorder="1" applyAlignment="1">
      <alignment horizontal="center" vertical="center"/>
    </xf>
    <xf numFmtId="0" fontId="14" fillId="11" borderId="13" xfId="0" applyFont="1" applyFill="1" applyBorder="1" applyAlignment="1">
      <alignment vertical="center"/>
    </xf>
    <xf numFmtId="0" fontId="15" fillId="11" borderId="11" xfId="0" applyFont="1" applyFill="1" applyBorder="1" applyAlignment="1">
      <alignment vertical="center"/>
    </xf>
    <xf numFmtId="0" fontId="16" fillId="11" borderId="11" xfId="0" applyFont="1" applyFill="1" applyBorder="1" applyAlignment="1">
      <alignment vertical="center"/>
    </xf>
    <xf numFmtId="0" fontId="16" fillId="11" borderId="11" xfId="0" applyFont="1" applyFill="1" applyBorder="1" applyAlignment="1">
      <alignment horizontal="center" vertical="center"/>
    </xf>
    <xf numFmtId="0" fontId="16" fillId="11" borderId="12" xfId="0" applyFont="1" applyFill="1" applyBorder="1" applyAlignment="1">
      <alignment horizontal="center" vertical="center"/>
    </xf>
    <xf numFmtId="0" fontId="14" fillId="11" borderId="14" xfId="0" applyFont="1" applyFill="1" applyBorder="1" applyAlignment="1">
      <alignment horizontal="center" vertical="center" wrapText="1"/>
    </xf>
    <xf numFmtId="0" fontId="17" fillId="11" borderId="15" xfId="0" applyFont="1" applyFill="1" applyBorder="1" applyAlignment="1">
      <alignment horizontal="center" vertical="center" wrapText="1"/>
    </xf>
    <xf numFmtId="0" fontId="17" fillId="11" borderId="16" xfId="0" applyFont="1" applyFill="1" applyBorder="1" applyAlignment="1">
      <alignment horizontal="center" vertical="center" wrapText="1"/>
    </xf>
    <xf numFmtId="0" fontId="17" fillId="11" borderId="17" xfId="0" applyFont="1" applyFill="1" applyBorder="1" applyAlignment="1">
      <alignment horizontal="center" vertical="center" wrapText="1"/>
    </xf>
    <xf numFmtId="0" fontId="3" fillId="10" borderId="23" xfId="0" applyFont="1" applyFill="1" applyBorder="1" applyAlignment="1">
      <alignment horizontal="center" vertical="center" wrapText="1"/>
    </xf>
    <xf numFmtId="0" fontId="0" fillId="10" borderId="24" xfId="0" applyFill="1" applyBorder="1" applyAlignment="1">
      <alignment vertical="top" wrapText="1"/>
    </xf>
    <xf numFmtId="0" fontId="0" fillId="10" borderId="25" xfId="0" applyFill="1" applyBorder="1" applyAlignment="1">
      <alignment vertical="top" wrapText="1"/>
    </xf>
    <xf numFmtId="0" fontId="0" fillId="10" borderId="25" xfId="0" applyFill="1" applyBorder="1" applyAlignment="1">
      <alignment horizontal="center" vertical="top" wrapText="1"/>
    </xf>
    <xf numFmtId="0" fontId="0" fillId="10" borderId="26" xfId="0" applyFill="1" applyBorder="1" applyAlignment="1">
      <alignment horizontal="center" vertical="top" wrapText="1"/>
    </xf>
    <xf numFmtId="0" fontId="0" fillId="10" borderId="27" xfId="0" applyFill="1" applyBorder="1" applyAlignment="1">
      <alignment vertical="top" wrapText="1"/>
    </xf>
    <xf numFmtId="0" fontId="13" fillId="10" borderId="25" xfId="0" applyFont="1" applyFill="1" applyBorder="1" applyAlignment="1">
      <alignment vertical="top" wrapText="1"/>
    </xf>
    <xf numFmtId="0" fontId="0" fillId="10" borderId="0" xfId="0" applyFill="1" applyAlignment="1">
      <alignment vertical="top" wrapText="1"/>
    </xf>
    <xf numFmtId="0" fontId="19" fillId="10" borderId="24" xfId="0" applyFont="1" applyFill="1" applyBorder="1" applyAlignment="1">
      <alignment vertical="top" wrapText="1"/>
    </xf>
    <xf numFmtId="0" fontId="19" fillId="10" borderId="25" xfId="0" applyFont="1" applyFill="1" applyBorder="1" applyAlignment="1">
      <alignment vertical="top" wrapText="1"/>
    </xf>
    <xf numFmtId="0" fontId="19" fillId="10" borderId="25" xfId="0" applyFont="1" applyFill="1" applyBorder="1" applyAlignment="1">
      <alignment horizontal="center" vertical="top" wrapText="1"/>
    </xf>
    <xf numFmtId="0" fontId="19" fillId="10" borderId="26" xfId="0" applyFont="1" applyFill="1" applyBorder="1" applyAlignment="1">
      <alignment horizontal="center" vertical="top" wrapText="1"/>
    </xf>
    <xf numFmtId="0" fontId="0" fillId="10" borderId="28" xfId="0" applyFill="1" applyBorder="1" applyAlignment="1">
      <alignment vertical="top" wrapText="1"/>
    </xf>
    <xf numFmtId="0" fontId="3" fillId="10" borderId="10" xfId="0" applyFont="1" applyFill="1" applyBorder="1" applyAlignment="1">
      <alignment horizontal="center" vertical="center" wrapText="1"/>
    </xf>
    <xf numFmtId="0" fontId="0" fillId="10" borderId="34" xfId="0" applyFill="1" applyBorder="1" applyAlignment="1">
      <alignment vertical="top" wrapText="1"/>
    </xf>
    <xf numFmtId="0" fontId="0" fillId="10" borderId="35" xfId="0" applyFill="1" applyBorder="1" applyAlignment="1">
      <alignment vertical="top" wrapText="1"/>
    </xf>
    <xf numFmtId="0" fontId="0" fillId="10" borderId="35" xfId="0" applyFill="1" applyBorder="1" applyAlignment="1">
      <alignment horizontal="center" vertical="top" wrapText="1"/>
    </xf>
    <xf numFmtId="0" fontId="0" fillId="10" borderId="36" xfId="0" applyFill="1" applyBorder="1" applyAlignment="1">
      <alignment horizontal="center" vertical="top" wrapText="1"/>
    </xf>
    <xf numFmtId="0" fontId="0" fillId="10" borderId="37" xfId="0" applyFill="1" applyBorder="1" applyAlignment="1">
      <alignment vertical="top" wrapText="1"/>
    </xf>
    <xf numFmtId="0" fontId="2" fillId="11" borderId="0" xfId="0" applyFont="1" applyFill="1"/>
    <xf numFmtId="0" fontId="2" fillId="11" borderId="0" xfId="0" applyFont="1" applyFill="1" applyAlignment="1">
      <alignment horizontal="center"/>
    </xf>
    <xf numFmtId="0" fontId="5" fillId="10" borderId="4" xfId="0" applyFont="1" applyFill="1" applyBorder="1" applyAlignment="1">
      <alignment horizontal="center" vertical="center"/>
    </xf>
    <xf numFmtId="0" fontId="4" fillId="10" borderId="0" xfId="0" applyFont="1" applyFill="1"/>
    <xf numFmtId="0" fontId="2" fillId="10" borderId="0" xfId="0" applyFont="1" applyFill="1"/>
    <xf numFmtId="0" fontId="6" fillId="12" borderId="0" xfId="0" applyFont="1" applyFill="1"/>
    <xf numFmtId="0" fontId="6" fillId="0" borderId="0" xfId="0" applyFont="1"/>
    <xf numFmtId="0" fontId="27" fillId="0" borderId="39" xfId="0" applyFont="1" applyBorder="1" applyAlignment="1">
      <alignment horizontal="left" vertical="center"/>
    </xf>
    <xf numFmtId="0" fontId="27" fillId="0" borderId="40" xfId="0" applyFont="1" applyBorder="1" applyAlignment="1">
      <alignment horizontal="left" vertical="center"/>
    </xf>
    <xf numFmtId="0" fontId="27" fillId="0" borderId="41" xfId="0" applyFont="1" applyBorder="1" applyAlignment="1">
      <alignment horizontal="left" vertical="center"/>
    </xf>
    <xf numFmtId="0" fontId="12" fillId="0" borderId="42" xfId="0" applyFont="1" applyBorder="1" applyAlignment="1">
      <alignment vertical="center"/>
    </xf>
    <xf numFmtId="0" fontId="12" fillId="0" borderId="46" xfId="0" applyFont="1" applyBorder="1" applyAlignment="1">
      <alignment vertical="center"/>
    </xf>
    <xf numFmtId="0" fontId="1" fillId="0" borderId="42" xfId="0" applyFont="1" applyBorder="1" applyAlignment="1">
      <alignment horizontal="left" vertical="center"/>
    </xf>
    <xf numFmtId="0" fontId="1" fillId="0" borderId="46" xfId="0" applyFont="1" applyBorder="1" applyAlignment="1">
      <alignment horizontal="left" vertical="center"/>
    </xf>
    <xf numFmtId="0" fontId="28" fillId="0" borderId="42" xfId="0" applyFont="1" applyBorder="1" applyAlignment="1">
      <alignment horizontal="left" vertical="center"/>
    </xf>
    <xf numFmtId="0" fontId="28" fillId="0" borderId="0" xfId="0" applyFont="1" applyAlignment="1">
      <alignment horizontal="left" vertical="center"/>
    </xf>
    <xf numFmtId="0" fontId="28" fillId="0" borderId="46" xfId="0" applyFont="1" applyBorder="1" applyAlignment="1">
      <alignment horizontal="left" vertical="center"/>
    </xf>
    <xf numFmtId="0" fontId="27" fillId="0" borderId="42" xfId="0" applyFont="1" applyBorder="1" applyAlignment="1">
      <alignment horizontal="left" vertical="center"/>
    </xf>
    <xf numFmtId="0" fontId="27" fillId="0" borderId="0" xfId="0" applyFont="1" applyAlignment="1">
      <alignment horizontal="left" vertical="center"/>
    </xf>
    <xf numFmtId="0" fontId="27" fillId="0" borderId="46" xfId="0" applyFont="1" applyBorder="1" applyAlignment="1">
      <alignment horizontal="left" vertical="center"/>
    </xf>
    <xf numFmtId="0" fontId="27" fillId="0" borderId="53" xfId="0" applyFont="1" applyBorder="1" applyAlignment="1">
      <alignment horizontal="left" vertical="center"/>
    </xf>
    <xf numFmtId="0" fontId="27" fillId="0" borderId="54" xfId="0" applyFont="1" applyBorder="1" applyAlignment="1">
      <alignment horizontal="left" vertical="center"/>
    </xf>
    <xf numFmtId="0" fontId="27" fillId="0" borderId="55" xfId="0" applyFont="1" applyBorder="1" applyAlignment="1">
      <alignment horizontal="left" vertical="center"/>
    </xf>
    <xf numFmtId="0" fontId="29" fillId="14" borderId="59" xfId="0" applyFont="1" applyFill="1" applyBorder="1" applyAlignment="1">
      <alignment horizontal="center" vertical="center" wrapText="1"/>
    </xf>
    <xf numFmtId="0" fontId="29" fillId="14" borderId="60" xfId="0" applyFont="1" applyFill="1" applyBorder="1" applyAlignment="1">
      <alignment horizontal="center" vertical="center" wrapText="1"/>
    </xf>
    <xf numFmtId="0" fontId="29" fillId="14" borderId="61" xfId="0" applyFont="1" applyFill="1" applyBorder="1" applyAlignment="1">
      <alignment horizontal="center" vertical="center" wrapText="1"/>
    </xf>
    <xf numFmtId="9" fontId="29" fillId="12" borderId="65" xfId="0" applyNumberFormat="1" applyFont="1" applyFill="1" applyBorder="1" applyAlignment="1">
      <alignment horizontal="center" vertical="center"/>
    </xf>
    <xf numFmtId="0" fontId="29" fillId="12" borderId="63" xfId="0" applyFont="1" applyFill="1" applyBorder="1" applyAlignment="1">
      <alignment horizontal="center" vertical="center"/>
    </xf>
    <xf numFmtId="0" fontId="29" fillId="12" borderId="64" xfId="0" applyFont="1" applyFill="1" applyBorder="1" applyAlignment="1">
      <alignment horizontal="center" vertical="center"/>
    </xf>
    <xf numFmtId="0" fontId="27" fillId="12" borderId="4" xfId="0" applyFont="1" applyFill="1" applyBorder="1" applyAlignment="1">
      <alignment horizontal="center" vertical="center"/>
    </xf>
    <xf numFmtId="0" fontId="29" fillId="16" borderId="61" xfId="0" applyFont="1" applyFill="1" applyBorder="1" applyAlignment="1">
      <alignment horizontal="center" vertical="center" wrapText="1"/>
    </xf>
    <xf numFmtId="0" fontId="26" fillId="16" borderId="4" xfId="0" applyFont="1" applyFill="1" applyBorder="1" applyAlignment="1">
      <alignment horizontal="center" vertical="center"/>
    </xf>
    <xf numFmtId="0" fontId="26" fillId="17" borderId="4" xfId="0" applyFont="1" applyFill="1" applyBorder="1" applyAlignment="1">
      <alignment horizontal="center" vertical="center"/>
    </xf>
    <xf numFmtId="0" fontId="6" fillId="0" borderId="72" xfId="0" applyFont="1" applyBorder="1"/>
    <xf numFmtId="0" fontId="6" fillId="0" borderId="73" xfId="0" applyFont="1" applyBorder="1"/>
    <xf numFmtId="0" fontId="6" fillId="0" borderId="74" xfId="0" applyFont="1" applyBorder="1"/>
    <xf numFmtId="0" fontId="6" fillId="0" borderId="75" xfId="0" applyFont="1" applyBorder="1"/>
    <xf numFmtId="0" fontId="6" fillId="0" borderId="76" xfId="0" applyFont="1" applyBorder="1"/>
    <xf numFmtId="0" fontId="0" fillId="2" borderId="0" xfId="0" applyFill="1"/>
    <xf numFmtId="0" fontId="2" fillId="5" borderId="0" xfId="0" applyFont="1" applyFill="1"/>
    <xf numFmtId="0" fontId="4" fillId="19" borderId="0" xfId="0" applyFont="1" applyFill="1"/>
    <xf numFmtId="10" fontId="29" fillId="12" borderId="65" xfId="0" applyNumberFormat="1" applyFont="1" applyFill="1" applyBorder="1" applyAlignment="1">
      <alignment horizontal="center" vertical="center"/>
    </xf>
    <xf numFmtId="0" fontId="34" fillId="20" borderId="3" xfId="0" applyFont="1" applyFill="1" applyBorder="1" applyAlignment="1" applyProtection="1">
      <alignment horizontal="left" vertical="center"/>
      <protection locked="0"/>
    </xf>
    <xf numFmtId="0" fontId="41" fillId="0" borderId="0" xfId="0" applyFont="1"/>
    <xf numFmtId="0" fontId="6" fillId="10" borderId="0" xfId="0" applyFont="1" applyFill="1"/>
    <xf numFmtId="0" fontId="6" fillId="2" borderId="0" xfId="0" applyFont="1" applyFill="1"/>
    <xf numFmtId="0" fontId="15" fillId="11" borderId="82" xfId="0" applyFont="1" applyFill="1" applyBorder="1" applyAlignment="1">
      <alignment vertical="center"/>
    </xf>
    <xf numFmtId="0" fontId="16" fillId="11" borderId="83" xfId="0" applyFont="1" applyFill="1" applyBorder="1" applyAlignment="1">
      <alignment vertical="center"/>
    </xf>
    <xf numFmtId="0" fontId="16" fillId="11" borderId="83" xfId="0" applyFont="1" applyFill="1" applyBorder="1" applyAlignment="1">
      <alignment horizontal="center" vertical="center"/>
    </xf>
    <xf numFmtId="0" fontId="16" fillId="11" borderId="84" xfId="0" applyFont="1" applyFill="1" applyBorder="1" applyAlignment="1">
      <alignment horizontal="center" vertical="center"/>
    </xf>
    <xf numFmtId="0" fontId="17" fillId="11" borderId="85" xfId="0" applyFont="1" applyFill="1" applyBorder="1" applyAlignment="1">
      <alignment horizontal="center" vertical="center" wrapText="1"/>
    </xf>
    <xf numFmtId="0" fontId="17" fillId="11" borderId="86" xfId="0" applyFont="1" applyFill="1" applyBorder="1" applyAlignment="1">
      <alignment horizontal="center" vertical="center" wrapText="1"/>
    </xf>
    <xf numFmtId="0" fontId="0" fillId="10" borderId="90" xfId="0" applyFill="1" applyBorder="1" applyAlignment="1">
      <alignment horizontal="center" vertical="top" wrapText="1"/>
    </xf>
    <xf numFmtId="0" fontId="0" fillId="10" borderId="91" xfId="0" applyFill="1" applyBorder="1" applyAlignment="1">
      <alignment vertical="top" wrapText="1"/>
    </xf>
    <xf numFmtId="0" fontId="0" fillId="10" borderId="92" xfId="0" applyFill="1" applyBorder="1" applyAlignment="1">
      <alignment horizontal="center" vertical="top" wrapText="1"/>
    </xf>
    <xf numFmtId="0" fontId="0" fillId="10" borderId="94" xfId="0" applyFill="1" applyBorder="1" applyAlignment="1">
      <alignment horizontal="center" vertical="top" wrapText="1"/>
    </xf>
    <xf numFmtId="0" fontId="6" fillId="0" borderId="95" xfId="0" applyFont="1" applyBorder="1" applyAlignment="1">
      <alignment horizontal="center"/>
    </xf>
    <xf numFmtId="0" fontId="6" fillId="0" borderId="96" xfId="0" applyFont="1" applyBorder="1" applyAlignment="1">
      <alignment horizontal="left"/>
    </xf>
    <xf numFmtId="0" fontId="0" fillId="0" borderId="96" xfId="0" applyBorder="1"/>
    <xf numFmtId="0" fontId="6" fillId="22" borderId="95" xfId="0" applyFont="1" applyFill="1" applyBorder="1" applyAlignment="1">
      <alignment horizontal="center"/>
    </xf>
    <xf numFmtId="0" fontId="6" fillId="22" borderId="96" xfId="0" applyFont="1" applyFill="1" applyBorder="1" applyAlignment="1">
      <alignment horizontal="left"/>
    </xf>
    <xf numFmtId="0" fontId="0" fillId="0" borderId="96" xfId="0" applyBorder="1" applyAlignment="1">
      <alignment horizontal="left"/>
    </xf>
    <xf numFmtId="0" fontId="6" fillId="0" borderId="97" xfId="0" applyFont="1" applyBorder="1" applyAlignment="1">
      <alignment horizontal="center"/>
    </xf>
    <xf numFmtId="0" fontId="6" fillId="0" borderId="98" xfId="0" applyFont="1" applyBorder="1" applyAlignment="1">
      <alignment horizontal="left"/>
    </xf>
    <xf numFmtId="0" fontId="3" fillId="0" borderId="18" xfId="0" applyFont="1" applyBorder="1" applyAlignment="1">
      <alignment horizontal="center" vertical="center" wrapText="1"/>
    </xf>
    <xf numFmtId="0" fontId="0" fillId="0" borderId="19" xfId="0" applyBorder="1" applyAlignment="1">
      <alignment vertical="top" wrapText="1"/>
    </xf>
    <xf numFmtId="0" fontId="0" fillId="0" borderId="20" xfId="0" applyBorder="1" applyAlignment="1">
      <alignment vertical="top" wrapText="1"/>
    </xf>
    <xf numFmtId="0" fontId="0" fillId="0" borderId="20" xfId="0" applyBorder="1" applyAlignment="1">
      <alignment horizontal="center" vertical="top" wrapText="1"/>
    </xf>
    <xf numFmtId="0" fontId="0" fillId="0" borderId="21" xfId="0" applyBorder="1" applyAlignment="1">
      <alignment horizontal="center" vertical="top" wrapText="1"/>
    </xf>
    <xf numFmtId="0" fontId="0" fillId="0" borderId="22" xfId="0" applyBorder="1" applyAlignment="1">
      <alignment vertical="top" wrapText="1"/>
    </xf>
    <xf numFmtId="0" fontId="0" fillId="0" borderId="87" xfId="0" applyBorder="1" applyAlignment="1">
      <alignment horizontal="center" vertical="top" wrapText="1"/>
    </xf>
    <xf numFmtId="0" fontId="0" fillId="0" borderId="88" xfId="0" applyBorder="1" applyAlignment="1">
      <alignment vertical="top" wrapText="1"/>
    </xf>
    <xf numFmtId="0" fontId="0" fillId="0" borderId="89" xfId="0" applyBorder="1" applyAlignment="1">
      <alignment horizontal="center" vertical="top" wrapText="1"/>
    </xf>
    <xf numFmtId="0" fontId="3" fillId="0" borderId="23" xfId="0" applyFont="1" applyBorder="1" applyAlignment="1">
      <alignment horizontal="center" vertical="center" wrapText="1"/>
    </xf>
    <xf numFmtId="0" fontId="0" fillId="0" borderId="25" xfId="0" applyBorder="1" applyAlignment="1">
      <alignment horizontal="center" vertical="top" wrapText="1"/>
    </xf>
    <xf numFmtId="0" fontId="0" fillId="0" borderId="26" xfId="0" applyBorder="1" applyAlignment="1">
      <alignment horizontal="center" vertical="top" wrapText="1"/>
    </xf>
    <xf numFmtId="0" fontId="13" fillId="0" borderId="25" xfId="0" applyFont="1" applyBorder="1" applyAlignment="1">
      <alignment vertical="top" wrapText="1"/>
    </xf>
    <xf numFmtId="0" fontId="0" fillId="0" borderId="90" xfId="0" applyBorder="1" applyAlignment="1">
      <alignment horizontal="center" vertical="top" wrapText="1"/>
    </xf>
    <xf numFmtId="0" fontId="0" fillId="0" borderId="91" xfId="0" applyBorder="1" applyAlignment="1">
      <alignment vertical="top" wrapText="1"/>
    </xf>
    <xf numFmtId="0" fontId="0" fillId="0" borderId="92" xfId="0" applyBorder="1" applyAlignment="1">
      <alignment horizontal="center" vertical="top" wrapText="1"/>
    </xf>
    <xf numFmtId="0" fontId="19" fillId="0" borderId="24" xfId="0" applyFont="1" applyBorder="1" applyAlignment="1">
      <alignment vertical="top" wrapText="1"/>
    </xf>
    <xf numFmtId="0" fontId="19" fillId="0" borderId="25" xfId="0" applyFont="1" applyBorder="1" applyAlignment="1">
      <alignment vertical="top" wrapText="1"/>
    </xf>
    <xf numFmtId="0" fontId="19" fillId="0" borderId="25" xfId="0" applyFont="1" applyBorder="1" applyAlignment="1">
      <alignment horizontal="center" vertical="top" wrapText="1"/>
    </xf>
    <xf numFmtId="0" fontId="19" fillId="0" borderId="26" xfId="0" applyFont="1" applyBorder="1" applyAlignment="1">
      <alignment horizontal="center" vertical="top" wrapText="1"/>
    </xf>
    <xf numFmtId="0" fontId="6" fillId="0" borderId="25" xfId="0" applyFont="1" applyBorder="1" applyAlignment="1">
      <alignment vertical="top" wrapText="1"/>
    </xf>
    <xf numFmtId="0" fontId="3" fillId="0" borderId="29" xfId="0" applyFont="1" applyBorder="1" applyAlignment="1">
      <alignment horizontal="center" vertical="center" wrapText="1"/>
    </xf>
    <xf numFmtId="0" fontId="0" fillId="0" borderId="33" xfId="0" applyBorder="1" applyAlignment="1">
      <alignment vertical="top" wrapText="1"/>
    </xf>
    <xf numFmtId="0" fontId="19" fillId="0" borderId="30" xfId="0" applyFont="1" applyBorder="1" applyAlignment="1">
      <alignment vertical="top" wrapText="1"/>
    </xf>
    <xf numFmtId="0" fontId="19" fillId="0" borderId="31" xfId="0" applyFont="1" applyBorder="1" applyAlignment="1">
      <alignment vertical="top" wrapText="1"/>
    </xf>
    <xf numFmtId="0" fontId="19" fillId="0" borderId="31" xfId="0" applyFont="1" applyBorder="1" applyAlignment="1">
      <alignment horizontal="center" vertical="top" wrapText="1"/>
    </xf>
    <xf numFmtId="0" fontId="13" fillId="0" borderId="31" xfId="0" applyFont="1" applyBorder="1" applyAlignment="1">
      <alignment vertical="top" wrapText="1"/>
    </xf>
    <xf numFmtId="0" fontId="0" fillId="0" borderId="93" xfId="0" applyBorder="1" applyAlignment="1">
      <alignment horizontal="center" vertical="top" wrapText="1"/>
    </xf>
    <xf numFmtId="0" fontId="45" fillId="0" borderId="0" xfId="0" applyFont="1" applyAlignment="1">
      <alignment horizontal="center"/>
    </xf>
    <xf numFmtId="0" fontId="43" fillId="0" borderId="0" xfId="3" applyProtection="1"/>
    <xf numFmtId="0" fontId="0" fillId="22" borderId="104" xfId="0" applyFill="1" applyBorder="1" applyAlignment="1">
      <alignment horizontal="center" wrapText="1"/>
    </xf>
    <xf numFmtId="0" fontId="0" fillId="22" borderId="105" xfId="0" applyFill="1" applyBorder="1" applyAlignment="1">
      <alignment horizontal="center" wrapText="1"/>
    </xf>
    <xf numFmtId="0" fontId="0" fillId="22" borderId="106" xfId="0" applyFill="1" applyBorder="1" applyAlignment="1">
      <alignment horizontal="center" wrapText="1"/>
    </xf>
    <xf numFmtId="3" fontId="0" fillId="0" borderId="107" xfId="0" applyNumberFormat="1" applyBorder="1" applyAlignment="1">
      <alignment horizontal="center" vertical="center"/>
    </xf>
    <xf numFmtId="0" fontId="0" fillId="0" borderId="108" xfId="0" applyBorder="1" applyAlignment="1">
      <alignment horizontal="center" vertical="center"/>
    </xf>
    <xf numFmtId="165" fontId="0" fillId="0" borderId="109" xfId="0" applyNumberFormat="1" applyBorder="1" applyAlignment="1">
      <alignment horizontal="center" vertical="center"/>
    </xf>
    <xf numFmtId="0" fontId="0" fillId="0" borderId="109" xfId="0" applyBorder="1" applyAlignment="1">
      <alignment horizontal="center" vertical="center"/>
    </xf>
    <xf numFmtId="165" fontId="0" fillId="0" borderId="110" xfId="0" applyNumberFormat="1" applyBorder="1" applyAlignment="1">
      <alignment horizontal="center" vertical="center"/>
    </xf>
    <xf numFmtId="3" fontId="0" fillId="0" borderId="103" xfId="0" applyNumberFormat="1" applyBorder="1" applyAlignment="1">
      <alignment horizontal="center" vertical="center"/>
    </xf>
    <xf numFmtId="0" fontId="0" fillId="0" borderId="104" xfId="0" applyBorder="1" applyAlignment="1">
      <alignment horizontal="center" vertical="center"/>
    </xf>
    <xf numFmtId="165" fontId="0" fillId="0" borderId="105" xfId="0" applyNumberFormat="1" applyBorder="1" applyAlignment="1">
      <alignment horizontal="center" vertical="center"/>
    </xf>
    <xf numFmtId="0" fontId="0" fillId="0" borderId="105" xfId="0" applyBorder="1" applyAlignment="1">
      <alignment horizontal="center" vertical="center"/>
    </xf>
    <xf numFmtId="165" fontId="0" fillId="0" borderId="106" xfId="0" applyNumberFormat="1" applyBorder="1" applyAlignment="1">
      <alignment horizontal="center" vertical="center"/>
    </xf>
    <xf numFmtId="0" fontId="0" fillId="0" borderId="111" xfId="0" applyBorder="1" applyAlignment="1">
      <alignment horizontal="center" vertical="top" wrapText="1"/>
    </xf>
    <xf numFmtId="0" fontId="0" fillId="10" borderId="111" xfId="0" applyFill="1" applyBorder="1" applyAlignment="1">
      <alignment horizontal="center" vertical="top" wrapText="1"/>
    </xf>
    <xf numFmtId="0" fontId="0" fillId="0" borderId="112" xfId="0" applyBorder="1" applyAlignment="1">
      <alignment horizontal="center" vertical="top" wrapText="1"/>
    </xf>
    <xf numFmtId="0" fontId="0" fillId="10" borderId="113" xfId="0" applyFill="1" applyBorder="1" applyAlignment="1">
      <alignment horizontal="center" vertical="top" wrapText="1"/>
    </xf>
    <xf numFmtId="0" fontId="0" fillId="10" borderId="112" xfId="0" applyFill="1" applyBorder="1" applyAlignment="1">
      <alignment horizontal="center" vertical="top" wrapText="1"/>
    </xf>
    <xf numFmtId="0" fontId="0" fillId="10" borderId="115" xfId="0" applyFill="1" applyBorder="1" applyAlignment="1">
      <alignment vertical="top" wrapText="1"/>
    </xf>
    <xf numFmtId="0" fontId="0" fillId="10" borderId="116" xfId="0" applyFill="1" applyBorder="1" applyAlignment="1">
      <alignment horizontal="center" vertical="top" wrapText="1"/>
    </xf>
    <xf numFmtId="0" fontId="0" fillId="10" borderId="117" xfId="0" applyFill="1" applyBorder="1" applyAlignment="1">
      <alignment horizontal="center" vertical="top" wrapText="1"/>
    </xf>
    <xf numFmtId="0" fontId="0" fillId="24" borderId="0" xfId="0" applyFill="1" applyAlignment="1">
      <alignment horizontal="center" vertical="center" wrapText="1"/>
    </xf>
    <xf numFmtId="0" fontId="46" fillId="25" borderId="0" xfId="0" applyFont="1" applyFill="1" applyAlignment="1">
      <alignment horizontal="center" vertical="center" wrapText="1"/>
    </xf>
    <xf numFmtId="0" fontId="0" fillId="25" borderId="0" xfId="0" applyFill="1" applyAlignment="1">
      <alignment horizontal="center" vertical="center" wrapText="1"/>
    </xf>
    <xf numFmtId="0" fontId="0" fillId="25" borderId="0" xfId="0" applyFill="1" applyAlignment="1">
      <alignment wrapText="1"/>
    </xf>
    <xf numFmtId="0" fontId="0" fillId="25" borderId="0" xfId="0" applyFill="1" applyAlignment="1">
      <alignment horizontal="center" wrapText="1"/>
    </xf>
    <xf numFmtId="0" fontId="46" fillId="26" borderId="0" xfId="0" applyFont="1" applyFill="1" applyAlignment="1">
      <alignment horizontal="center" vertical="center" wrapText="1"/>
    </xf>
    <xf numFmtId="0" fontId="0" fillId="26" borderId="0" xfId="0" applyFill="1" applyAlignment="1">
      <alignment wrapText="1"/>
    </xf>
    <xf numFmtId="0" fontId="0" fillId="26" borderId="0" xfId="0" applyFill="1" applyAlignment="1">
      <alignment horizontal="center" wrapText="1"/>
    </xf>
    <xf numFmtId="0" fontId="46" fillId="27" borderId="0" xfId="0" applyFont="1" applyFill="1" applyAlignment="1">
      <alignment horizontal="center" vertical="center" wrapText="1"/>
    </xf>
    <xf numFmtId="0" fontId="0" fillId="27" borderId="0" xfId="0" applyFill="1" applyAlignment="1">
      <alignment wrapText="1"/>
    </xf>
    <xf numFmtId="0" fontId="46" fillId="28" borderId="0" xfId="0" applyFont="1" applyFill="1" applyAlignment="1">
      <alignment horizontal="center" vertical="center" wrapText="1"/>
    </xf>
    <xf numFmtId="0" fontId="0" fillId="28" borderId="0" xfId="0" applyFill="1" applyAlignment="1">
      <alignment wrapText="1"/>
    </xf>
    <xf numFmtId="0" fontId="0" fillId="2" borderId="91" xfId="0" applyFill="1" applyBorder="1" applyAlignment="1">
      <alignment vertical="top" wrapText="1"/>
    </xf>
    <xf numFmtId="0" fontId="0" fillId="2" borderId="25" xfId="0" applyFill="1" applyBorder="1" applyAlignment="1">
      <alignment vertical="top" wrapText="1"/>
    </xf>
    <xf numFmtId="0" fontId="0" fillId="2" borderId="25" xfId="0" applyFill="1" applyBorder="1" applyAlignment="1">
      <alignment horizontal="center" vertical="top" wrapText="1"/>
    </xf>
    <xf numFmtId="0" fontId="0" fillId="2" borderId="114" xfId="0" applyFill="1" applyBorder="1" applyAlignment="1">
      <alignment vertical="top" wrapText="1"/>
    </xf>
    <xf numFmtId="0" fontId="0" fillId="2" borderId="31" xfId="0" applyFill="1" applyBorder="1" applyAlignment="1">
      <alignment vertical="top" wrapText="1"/>
    </xf>
    <xf numFmtId="0" fontId="0" fillId="2" borderId="31" xfId="0" applyFill="1" applyBorder="1" applyAlignment="1">
      <alignment horizontal="center" vertical="top" wrapText="1"/>
    </xf>
    <xf numFmtId="166" fontId="6" fillId="12" borderId="0" xfId="0" applyNumberFormat="1" applyFont="1" applyFill="1"/>
    <xf numFmtId="166" fontId="33" fillId="12" borderId="0" xfId="0" applyNumberFormat="1" applyFont="1" applyFill="1"/>
    <xf numFmtId="0" fontId="42" fillId="11" borderId="0" xfId="0" applyFont="1" applyFill="1" applyAlignment="1">
      <alignment horizontal="center"/>
    </xf>
    <xf numFmtId="0" fontId="32" fillId="0" borderId="47" xfId="0" applyFont="1" applyBorder="1" applyAlignment="1">
      <alignment horizontal="right" vertical="center"/>
    </xf>
    <xf numFmtId="0" fontId="32" fillId="0" borderId="48" xfId="0" applyFont="1" applyBorder="1" applyAlignment="1">
      <alignment horizontal="right" vertical="center"/>
    </xf>
    <xf numFmtId="0" fontId="10" fillId="0" borderId="48" xfId="0" applyFont="1" applyBorder="1" applyAlignment="1">
      <alignment horizontal="left" vertical="center" wrapText="1"/>
    </xf>
    <xf numFmtId="49" fontId="10" fillId="0" borderId="48" xfId="0" applyNumberFormat="1" applyFont="1" applyBorder="1" applyAlignment="1">
      <alignment horizontal="left" vertical="center" wrapText="1"/>
    </xf>
    <xf numFmtId="0" fontId="10" fillId="0" borderId="48" xfId="0" applyFont="1" applyBorder="1" applyAlignment="1" applyProtection="1">
      <alignment horizontal="left" vertical="center" wrapText="1"/>
      <protection locked="0"/>
    </xf>
    <xf numFmtId="0" fontId="10" fillId="0" borderId="49" xfId="0" applyFont="1" applyBorder="1" applyAlignment="1" applyProtection="1">
      <alignment horizontal="left" vertical="center" wrapText="1"/>
      <protection locked="0"/>
    </xf>
    <xf numFmtId="0" fontId="11" fillId="13" borderId="43" xfId="0" applyFont="1" applyFill="1" applyBorder="1" applyAlignment="1">
      <alignment horizontal="center" vertical="center"/>
    </xf>
    <xf numFmtId="0" fontId="11" fillId="13" borderId="44" xfId="0" applyFont="1" applyFill="1" applyBorder="1" applyAlignment="1">
      <alignment horizontal="center" vertical="center"/>
    </xf>
    <xf numFmtId="0" fontId="11" fillId="13" borderId="45" xfId="0" applyFont="1" applyFill="1" applyBorder="1" applyAlignment="1">
      <alignment horizontal="center" vertical="center"/>
    </xf>
    <xf numFmtId="0" fontId="32" fillId="0" borderId="50" xfId="0" applyFont="1" applyBorder="1" applyAlignment="1">
      <alignment horizontal="right" vertical="center"/>
    </xf>
    <xf numFmtId="0" fontId="32" fillId="0" borderId="51" xfId="0" applyFont="1" applyBorder="1" applyAlignment="1">
      <alignment horizontal="right" vertical="center"/>
    </xf>
    <xf numFmtId="0" fontId="10" fillId="0" borderId="51" xfId="0" applyFont="1" applyBorder="1" applyAlignment="1">
      <alignment horizontal="left" vertical="center" wrapText="1"/>
    </xf>
    <xf numFmtId="14" fontId="10" fillId="0" borderId="51" xfId="0" applyNumberFormat="1" applyFont="1" applyBorder="1" applyAlignment="1" applyProtection="1">
      <alignment horizontal="left" vertical="center" wrapText="1"/>
      <protection locked="0"/>
    </xf>
    <xf numFmtId="14" fontId="10" fillId="0" borderId="52" xfId="0" applyNumberFormat="1" applyFont="1" applyBorder="1" applyAlignment="1" applyProtection="1">
      <alignment horizontal="left" vertical="center" wrapText="1"/>
      <protection locked="0"/>
    </xf>
    <xf numFmtId="14" fontId="10" fillId="0" borderId="48" xfId="0" applyNumberFormat="1" applyFont="1" applyBorder="1" applyAlignment="1" applyProtection="1">
      <alignment horizontal="left" vertical="center" wrapText="1"/>
      <protection locked="0"/>
    </xf>
    <xf numFmtId="14" fontId="10" fillId="0" borderId="49" xfId="0" applyNumberFormat="1" applyFont="1" applyBorder="1" applyAlignment="1" applyProtection="1">
      <alignment horizontal="left" vertical="center" wrapText="1"/>
      <protection locked="0"/>
    </xf>
    <xf numFmtId="0" fontId="12" fillId="18" borderId="77" xfId="0" applyFont="1" applyFill="1" applyBorder="1" applyAlignment="1">
      <alignment horizontal="left" vertical="center"/>
    </xf>
    <xf numFmtId="0" fontId="12" fillId="18" borderId="78" xfId="0" applyFont="1" applyFill="1" applyBorder="1" applyAlignment="1">
      <alignment horizontal="left" vertical="center"/>
    </xf>
    <xf numFmtId="0" fontId="12" fillId="18" borderId="79" xfId="0" applyFont="1" applyFill="1" applyBorder="1" applyAlignment="1">
      <alignment horizontal="left" vertical="center"/>
    </xf>
    <xf numFmtId="0" fontId="29" fillId="0" borderId="72" xfId="0" applyFont="1" applyBorder="1" applyAlignment="1" applyProtection="1">
      <alignment horizontal="center" vertical="center" wrapText="1"/>
      <protection locked="0"/>
    </xf>
    <xf numFmtId="0" fontId="29" fillId="0" borderId="0" xfId="0" applyFont="1" applyAlignment="1" applyProtection="1">
      <alignment horizontal="center" vertical="center" wrapText="1"/>
      <protection locked="0"/>
    </xf>
    <xf numFmtId="0" fontId="29" fillId="0" borderId="73" xfId="0" applyFont="1" applyBorder="1" applyAlignment="1" applyProtection="1">
      <alignment horizontal="center" vertical="center" wrapText="1"/>
      <protection locked="0"/>
    </xf>
    <xf numFmtId="0" fontId="29" fillId="0" borderId="74" xfId="0" applyFont="1" applyBorder="1" applyAlignment="1" applyProtection="1">
      <alignment horizontal="center" vertical="center" wrapText="1"/>
      <protection locked="0"/>
    </xf>
    <xf numFmtId="0" fontId="29" fillId="0" borderId="75" xfId="0" applyFont="1" applyBorder="1" applyAlignment="1" applyProtection="1">
      <alignment horizontal="center" vertical="center" wrapText="1"/>
      <protection locked="0"/>
    </xf>
    <xf numFmtId="0" fontId="29" fillId="0" borderId="76" xfId="0" applyFont="1" applyBorder="1" applyAlignment="1" applyProtection="1">
      <alignment horizontal="center" vertical="center" wrapText="1"/>
      <protection locked="0"/>
    </xf>
    <xf numFmtId="0" fontId="30" fillId="15" borderId="1" xfId="0" applyFont="1" applyFill="1" applyBorder="1" applyAlignment="1">
      <alignment horizontal="left" vertical="center"/>
    </xf>
    <xf numFmtId="0" fontId="30" fillId="15" borderId="2" xfId="0" applyFont="1" applyFill="1" applyBorder="1" applyAlignment="1">
      <alignment horizontal="left" vertical="center"/>
    </xf>
    <xf numFmtId="0" fontId="30" fillId="15" borderId="3" xfId="0" applyFont="1" applyFill="1" applyBorder="1" applyAlignment="1">
      <alignment horizontal="left" vertical="center"/>
    </xf>
    <xf numFmtId="0" fontId="29" fillId="16" borderId="1" xfId="0" applyFont="1" applyFill="1" applyBorder="1" applyAlignment="1">
      <alignment horizontal="right" vertical="center"/>
    </xf>
    <xf numFmtId="0" fontId="29" fillId="16" borderId="2" xfId="0" applyFont="1" applyFill="1" applyBorder="1" applyAlignment="1">
      <alignment horizontal="right" vertical="center"/>
    </xf>
    <xf numFmtId="0" fontId="29" fillId="16" borderId="3" xfId="0" applyFont="1" applyFill="1" applyBorder="1" applyAlignment="1">
      <alignment horizontal="right" vertic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29" fillId="0" borderId="1" xfId="0" applyFont="1" applyBorder="1" applyAlignment="1" applyProtection="1">
      <alignment horizontal="left" vertical="center"/>
      <protection locked="0"/>
    </xf>
    <xf numFmtId="0" fontId="29" fillId="0" borderId="2" xfId="0" applyFont="1" applyBorder="1" applyAlignment="1" applyProtection="1">
      <alignment horizontal="left" vertical="center"/>
      <protection locked="0"/>
    </xf>
    <xf numFmtId="0" fontId="29" fillId="0" borderId="3" xfId="0" applyFont="1" applyBorder="1" applyAlignment="1" applyProtection="1">
      <alignment horizontal="left" vertical="center"/>
      <protection locked="0"/>
    </xf>
    <xf numFmtId="164" fontId="6" fillId="0" borderId="1" xfId="0" applyNumberFormat="1" applyFont="1" applyBorder="1" applyAlignment="1" applyProtection="1">
      <alignment horizontal="left" vertical="center"/>
      <protection locked="0"/>
    </xf>
    <xf numFmtId="164" fontId="6" fillId="0" borderId="2" xfId="0" applyNumberFormat="1" applyFont="1" applyBorder="1" applyAlignment="1" applyProtection="1">
      <alignment horizontal="left" vertical="center"/>
      <protection locked="0"/>
    </xf>
    <xf numFmtId="164" fontId="6" fillId="0" borderId="3" xfId="0" applyNumberFormat="1" applyFont="1" applyBorder="1" applyAlignment="1" applyProtection="1">
      <alignment horizontal="left" vertical="center"/>
      <protection locked="0"/>
    </xf>
    <xf numFmtId="0" fontId="31" fillId="16" borderId="6" xfId="0" applyFont="1" applyFill="1" applyBorder="1" applyAlignment="1">
      <alignment horizontal="center" vertical="center"/>
    </xf>
    <xf numFmtId="0" fontId="31" fillId="16" borderId="7" xfId="0" applyFont="1" applyFill="1" applyBorder="1" applyAlignment="1">
      <alignment horizontal="center" vertical="center"/>
    </xf>
    <xf numFmtId="0" fontId="31" fillId="16" borderId="8" xfId="0" applyFont="1" applyFill="1" applyBorder="1" applyAlignment="1">
      <alignment horizontal="center" vertical="center"/>
    </xf>
    <xf numFmtId="0" fontId="29" fillId="16" borderId="68" xfId="0" applyFont="1" applyFill="1" applyBorder="1" applyAlignment="1">
      <alignment horizontal="center" vertical="center" wrapText="1"/>
    </xf>
    <xf numFmtId="0" fontId="29" fillId="16" borderId="69" xfId="0" applyFont="1" applyFill="1" applyBorder="1" applyAlignment="1">
      <alignment horizontal="center" vertical="center" wrapText="1"/>
    </xf>
    <xf numFmtId="0" fontId="29" fillId="0" borderId="66" xfId="0" applyFont="1" applyBorder="1" applyAlignment="1" applyProtection="1">
      <alignment horizontal="center" vertical="center"/>
      <protection locked="0"/>
    </xf>
    <xf numFmtId="0" fontId="29" fillId="0" borderId="67" xfId="0" applyFont="1" applyBorder="1" applyAlignment="1" applyProtection="1">
      <alignment horizontal="center" vertical="center"/>
      <protection locked="0"/>
    </xf>
    <xf numFmtId="0" fontId="31" fillId="16" borderId="56" xfId="0" applyFont="1" applyFill="1" applyBorder="1" applyAlignment="1">
      <alignment horizontal="center" vertical="center"/>
    </xf>
    <xf numFmtId="0" fontId="31" fillId="16" borderId="57" xfId="0" applyFont="1" applyFill="1" applyBorder="1" applyAlignment="1">
      <alignment horizontal="center" vertical="center"/>
    </xf>
    <xf numFmtId="0" fontId="31" fillId="16" borderId="58" xfId="0" applyFont="1" applyFill="1" applyBorder="1" applyAlignment="1">
      <alignment horizontal="center" vertical="center"/>
    </xf>
    <xf numFmtId="0" fontId="31" fillId="14" borderId="56" xfId="0" applyFont="1" applyFill="1" applyBorder="1" applyAlignment="1">
      <alignment horizontal="center" vertical="center"/>
    </xf>
    <xf numFmtId="0" fontId="31" fillId="14" borderId="57" xfId="0" applyFont="1" applyFill="1" applyBorder="1" applyAlignment="1">
      <alignment horizontal="center" vertical="center"/>
    </xf>
    <xf numFmtId="0" fontId="31" fillId="14" borderId="58" xfId="0" applyFont="1" applyFill="1" applyBorder="1" applyAlignment="1">
      <alignment horizontal="center" vertical="center"/>
    </xf>
    <xf numFmtId="0" fontId="34" fillId="15" borderId="2" xfId="0" applyFont="1" applyFill="1" applyBorder="1" applyAlignment="1">
      <alignment horizontal="right" vertical="center"/>
    </xf>
    <xf numFmtId="0" fontId="12" fillId="15" borderId="4" xfId="0" applyFont="1" applyFill="1" applyBorder="1" applyAlignment="1" applyProtection="1">
      <alignment horizontal="left" vertical="center"/>
      <protection locked="0"/>
    </xf>
    <xf numFmtId="0" fontId="26" fillId="16" borderId="4" xfId="0" applyFont="1" applyFill="1" applyBorder="1" applyAlignment="1">
      <alignment horizontal="center" vertical="center"/>
    </xf>
    <xf numFmtId="0" fontId="27" fillId="0" borderId="1" xfId="0" applyFont="1" applyBorder="1" applyAlignment="1">
      <alignment horizontal="left" vertical="center" wrapText="1"/>
    </xf>
    <xf numFmtId="0" fontId="27" fillId="0" borderId="2" xfId="0" applyFont="1" applyBorder="1" applyAlignment="1">
      <alignment horizontal="left" vertical="center" wrapText="1"/>
    </xf>
    <xf numFmtId="0" fontId="27" fillId="0" borderId="3" xfId="0" applyFont="1" applyBorder="1" applyAlignment="1">
      <alignment horizontal="left" vertical="center" wrapText="1"/>
    </xf>
    <xf numFmtId="0" fontId="27" fillId="0" borderId="1" xfId="0" applyFont="1" applyBorder="1" applyAlignment="1" applyProtection="1">
      <alignment horizontal="center" vertical="center"/>
      <protection locked="0"/>
    </xf>
    <xf numFmtId="0" fontId="27" fillId="0" borderId="3" xfId="0" applyFont="1" applyBorder="1" applyAlignment="1" applyProtection="1">
      <alignment horizontal="center" vertical="center"/>
      <protection locked="0"/>
    </xf>
    <xf numFmtId="0" fontId="29" fillId="16" borderId="70" xfId="0" applyFont="1" applyFill="1" applyBorder="1" applyAlignment="1">
      <alignment horizontal="center" vertical="center" wrapText="1"/>
    </xf>
    <xf numFmtId="0" fontId="29" fillId="16" borderId="71" xfId="0" applyFont="1" applyFill="1" applyBorder="1" applyAlignment="1">
      <alignment horizontal="center" vertical="center" wrapText="1"/>
    </xf>
    <xf numFmtId="0" fontId="29" fillId="0" borderId="80" xfId="0" applyFont="1" applyBorder="1" applyAlignment="1" applyProtection="1">
      <alignment horizontal="center" vertical="center"/>
      <protection locked="0"/>
    </xf>
    <xf numFmtId="0" fontId="29" fillId="0" borderId="81" xfId="0" applyFont="1" applyBorder="1" applyAlignment="1" applyProtection="1">
      <alignment horizontal="center" vertical="center"/>
      <protection locked="0"/>
    </xf>
    <xf numFmtId="0" fontId="29" fillId="16" borderId="62" xfId="0" applyFont="1" applyFill="1" applyBorder="1" applyAlignment="1">
      <alignment horizontal="center" vertical="center" wrapText="1"/>
    </xf>
    <xf numFmtId="0" fontId="29" fillId="16" borderId="9" xfId="0" applyFont="1" applyFill="1" applyBorder="1" applyAlignment="1">
      <alignment horizontal="center" vertical="center" wrapText="1"/>
    </xf>
    <xf numFmtId="0" fontId="27" fillId="0" borderId="1" xfId="0" applyFont="1" applyBorder="1" applyAlignment="1" applyProtection="1">
      <alignment horizontal="center" vertical="center" wrapText="1"/>
      <protection locked="0"/>
    </xf>
    <xf numFmtId="0" fontId="27" fillId="0" borderId="2" xfId="0" applyFont="1" applyBorder="1" applyAlignment="1" applyProtection="1">
      <alignment horizontal="center" vertical="center" wrapText="1"/>
      <protection locked="0"/>
    </xf>
    <xf numFmtId="0" fontId="27" fillId="0" borderId="3" xfId="0" applyFont="1" applyBorder="1" applyAlignment="1" applyProtection="1">
      <alignment horizontal="center" vertical="center" wrapText="1"/>
      <protection locked="0"/>
    </xf>
    <xf numFmtId="0" fontId="36" fillId="21" borderId="4" xfId="0" applyFont="1" applyFill="1" applyBorder="1" applyAlignment="1">
      <alignment horizontal="center" vertical="center"/>
    </xf>
    <xf numFmtId="0" fontId="35" fillId="12" borderId="1" xfId="0" applyFont="1" applyFill="1" applyBorder="1" applyAlignment="1">
      <alignment horizontal="center" vertical="center"/>
    </xf>
    <xf numFmtId="0" fontId="35" fillId="12" borderId="3" xfId="0" applyFont="1" applyFill="1" applyBorder="1" applyAlignment="1">
      <alignment horizontal="center" vertical="center"/>
    </xf>
    <xf numFmtId="0" fontId="26" fillId="15" borderId="1" xfId="0" applyFont="1" applyFill="1" applyBorder="1" applyAlignment="1">
      <alignment horizontal="left" vertical="center"/>
    </xf>
    <xf numFmtId="0" fontId="26" fillId="15" borderId="2" xfId="0" applyFont="1" applyFill="1" applyBorder="1" applyAlignment="1">
      <alignment horizontal="left" vertical="center"/>
    </xf>
    <xf numFmtId="0" fontId="26" fillId="15" borderId="3" xfId="0" applyFont="1" applyFill="1" applyBorder="1" applyAlignment="1">
      <alignment horizontal="left" vertical="center"/>
    </xf>
    <xf numFmtId="0" fontId="26" fillId="14" borderId="4" xfId="0" applyFont="1" applyFill="1" applyBorder="1" applyAlignment="1">
      <alignment horizontal="center" vertical="center"/>
    </xf>
    <xf numFmtId="0" fontId="42" fillId="11" borderId="6" xfId="0" applyFont="1" applyFill="1" applyBorder="1" applyAlignment="1">
      <alignment horizontal="center"/>
    </xf>
    <xf numFmtId="0" fontId="42" fillId="11" borderId="8" xfId="0" applyFont="1" applyFill="1" applyBorder="1" applyAlignment="1">
      <alignment horizontal="center"/>
    </xf>
    <xf numFmtId="0" fontId="44" fillId="23" borderId="0" xfId="0" applyFont="1" applyFill="1" applyAlignment="1">
      <alignment horizontal="center"/>
    </xf>
    <xf numFmtId="0" fontId="3" fillId="22" borderId="0" xfId="0" applyFont="1" applyFill="1" applyAlignment="1">
      <alignment horizontal="center"/>
    </xf>
    <xf numFmtId="0" fontId="3" fillId="22" borderId="99" xfId="0" applyFont="1" applyFill="1" applyBorder="1" applyAlignment="1">
      <alignment horizontal="center" wrapText="1"/>
    </xf>
    <xf numFmtId="0" fontId="3" fillId="22" borderId="103" xfId="0" applyFont="1" applyFill="1" applyBorder="1" applyAlignment="1">
      <alignment horizontal="center" wrapText="1"/>
    </xf>
    <xf numFmtId="0" fontId="3" fillId="22" borderId="100" xfId="0" applyFont="1" applyFill="1" applyBorder="1" applyAlignment="1">
      <alignment horizontal="center" vertical="center"/>
    </xf>
    <xf numFmtId="0" fontId="3" fillId="22" borderId="101" xfId="0" applyFont="1" applyFill="1" applyBorder="1" applyAlignment="1">
      <alignment horizontal="center" vertical="center"/>
    </xf>
    <xf numFmtId="0" fontId="3" fillId="22" borderId="102" xfId="0" applyFont="1" applyFill="1" applyBorder="1" applyAlignment="1">
      <alignment horizontal="center" vertical="center"/>
    </xf>
    <xf numFmtId="166" fontId="33" fillId="12" borderId="0" xfId="0" applyNumberFormat="1" applyFont="1" applyFill="1" applyAlignment="1">
      <alignment vertical="center"/>
    </xf>
  </cellXfs>
  <cellStyles count="4">
    <cellStyle name="Lien hypertexte" xfId="3" builtinId="8"/>
    <cellStyle name="Normal" xfId="0" builtinId="0"/>
    <cellStyle name="Normal 2" xfId="1" xr:uid="{00000000-0005-0000-0000-000001000000}"/>
    <cellStyle name="Pourcentage 2" xfId="2" xr:uid="{00000000-0005-0000-0000-000002000000}"/>
  </cellStyles>
  <dxfs count="14">
    <dxf>
      <fill>
        <patternFill>
          <bgColor theme="7"/>
        </patternFill>
      </fill>
    </dxf>
    <dxf>
      <fill>
        <patternFill>
          <bgColor theme="8"/>
        </patternFill>
      </fill>
    </dxf>
    <dxf>
      <fill>
        <patternFill>
          <bgColor theme="9"/>
        </patternFill>
      </fill>
    </dxf>
    <dxf>
      <font>
        <b/>
        <i val="0"/>
        <color theme="0"/>
      </font>
      <fill>
        <patternFill>
          <fgColor theme="7" tint="0.79989013336588644"/>
          <bgColor theme="7"/>
        </patternFill>
      </fill>
    </dxf>
    <dxf>
      <font>
        <b/>
        <i val="0"/>
        <color theme="0"/>
      </font>
      <fill>
        <patternFill patternType="solid">
          <bgColor rgb="FF81421D"/>
        </patternFill>
      </fill>
    </dxf>
    <dxf>
      <fill>
        <patternFill>
          <bgColor theme="5"/>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fgColor theme="7" tint="0.79992065187536243"/>
          <bgColor theme="7"/>
        </patternFill>
      </fill>
      <border>
        <left/>
        <right/>
        <top/>
        <bottom/>
      </border>
    </dxf>
    <dxf>
      <font>
        <b/>
        <i val="0"/>
        <color theme="0"/>
      </font>
      <fill>
        <patternFill>
          <bgColor rgb="FF81421D"/>
        </patternFill>
      </fill>
      <border>
        <left/>
        <right/>
        <top/>
        <bottom/>
      </border>
    </dxf>
  </dxfs>
  <tableStyles count="0" defaultTableStyle="TableStyleMedium2" defaultPivotStyle="PivotStyleLight16"/>
  <colors>
    <mruColors>
      <color rgb="FF81421D"/>
      <color rgb="FFFFCCFF"/>
      <color rgb="FF9AEFDB"/>
      <color rgb="FF68E6C9"/>
      <color rgb="FFFFFFB9"/>
      <color rgb="FF00B0AC"/>
      <color rgb="FF008080"/>
      <color rgb="FF006699"/>
      <color rgb="FFD9FFFF"/>
      <color rgb="FFF9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view.officeapps.live.com/op/view.aspx?src=https%3A%2F%2Fwww.eaurmc.fr%2Fupload%2Fdocs%2Fapplication%2Fvnd.openxmlformats-officedocument.spreadsheetml.sheet%2F2025-02%2Ffeuilledecontrole_v7.0_locked.xlsx&amp;wdOrigin=BROWSE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B54"/>
  <sheetViews>
    <sheetView showGridLines="0" tabSelected="1" view="pageBreakPreview" zoomScaleNormal="100" zoomScaleSheetLayoutView="100" workbookViewId="0">
      <pane ySplit="7" topLeftCell="A8" activePane="bottomLeft" state="frozen"/>
      <selection pane="bottomLeft" activeCell="U9" sqref="U9"/>
    </sheetView>
  </sheetViews>
  <sheetFormatPr baseColWidth="10" defaultColWidth="10.703125" defaultRowHeight="12.7" outlineLevelRow="1" x14ac:dyDescent="0.4"/>
  <cols>
    <col min="1" max="2" width="2.703125" style="63" customWidth="1"/>
    <col min="3" max="18" width="10.703125" style="63"/>
    <col min="19" max="19" width="2.703125" style="63" customWidth="1"/>
    <col min="20" max="20" width="2.703125" style="191" customWidth="1"/>
    <col min="21" max="21" width="10.703125" style="192"/>
    <col min="22" max="28" width="10.703125" style="191"/>
    <col min="29" max="16384" width="10.703125" style="63"/>
  </cols>
  <sheetData>
    <row r="1" spans="2:19" ht="9.9499999999999993" customHeight="1" thickBot="1" x14ac:dyDescent="0.45">
      <c r="B1" s="65"/>
      <c r="C1" s="66"/>
      <c r="D1" s="66"/>
      <c r="E1" s="66"/>
      <c r="F1" s="66"/>
      <c r="G1" s="66"/>
      <c r="H1" s="66"/>
      <c r="I1" s="66"/>
      <c r="J1" s="66"/>
      <c r="K1" s="66"/>
      <c r="L1" s="66"/>
      <c r="M1" s="66"/>
      <c r="N1" s="66"/>
      <c r="O1" s="66"/>
      <c r="P1" s="66"/>
      <c r="Q1" s="66"/>
      <c r="R1" s="66"/>
      <c r="S1" s="67"/>
    </row>
    <row r="2" spans="2:19" ht="30" customHeight="1" thickTop="1" x14ac:dyDescent="0.4">
      <c r="B2" s="68"/>
      <c r="C2" s="200" t="s">
        <v>273</v>
      </c>
      <c r="D2" s="201"/>
      <c r="E2" s="201"/>
      <c r="F2" s="201"/>
      <c r="G2" s="201"/>
      <c r="H2" s="201"/>
      <c r="I2" s="201"/>
      <c r="J2" s="201"/>
      <c r="K2" s="201"/>
      <c r="L2" s="201"/>
      <c r="M2" s="201"/>
      <c r="N2" s="201"/>
      <c r="O2" s="201"/>
      <c r="P2" s="201"/>
      <c r="Q2" s="201"/>
      <c r="R2" s="202"/>
      <c r="S2" s="69"/>
    </row>
    <row r="3" spans="2:19" ht="20.100000000000001" customHeight="1" x14ac:dyDescent="0.4">
      <c r="B3" s="70"/>
      <c r="C3" s="194" t="s">
        <v>238</v>
      </c>
      <c r="D3" s="195"/>
      <c r="E3" s="196"/>
      <c r="F3" s="196"/>
      <c r="G3" s="196"/>
      <c r="H3" s="195" t="s">
        <v>218</v>
      </c>
      <c r="I3" s="195"/>
      <c r="J3" s="197"/>
      <c r="K3" s="197"/>
      <c r="L3" s="197"/>
      <c r="M3" s="195" t="s">
        <v>220</v>
      </c>
      <c r="N3" s="195"/>
      <c r="O3" s="195"/>
      <c r="P3" s="198"/>
      <c r="Q3" s="198"/>
      <c r="R3" s="199"/>
      <c r="S3" s="71"/>
    </row>
    <row r="4" spans="2:19" ht="20.100000000000001" customHeight="1" x14ac:dyDescent="0.4">
      <c r="B4" s="70"/>
      <c r="C4" s="194" t="s">
        <v>215</v>
      </c>
      <c r="D4" s="195"/>
      <c r="E4" s="196"/>
      <c r="F4" s="196"/>
      <c r="G4" s="196"/>
      <c r="H4" s="195" t="s">
        <v>240</v>
      </c>
      <c r="I4" s="195"/>
      <c r="J4" s="197"/>
      <c r="K4" s="197"/>
      <c r="L4" s="197"/>
      <c r="M4" s="195" t="s">
        <v>241</v>
      </c>
      <c r="N4" s="195"/>
      <c r="O4" s="195"/>
      <c r="P4" s="198"/>
      <c r="Q4" s="198"/>
      <c r="R4" s="199"/>
      <c r="S4" s="71"/>
    </row>
    <row r="5" spans="2:19" ht="20.100000000000001" customHeight="1" x14ac:dyDescent="0.4">
      <c r="B5" s="70"/>
      <c r="C5" s="194" t="s">
        <v>216</v>
      </c>
      <c r="D5" s="195"/>
      <c r="E5" s="196"/>
      <c r="F5" s="196"/>
      <c r="G5" s="196"/>
      <c r="H5" s="195" t="s">
        <v>239</v>
      </c>
      <c r="I5" s="195"/>
      <c r="J5" s="197"/>
      <c r="K5" s="197"/>
      <c r="L5" s="197"/>
      <c r="M5" s="195" t="s">
        <v>221</v>
      </c>
      <c r="N5" s="195"/>
      <c r="O5" s="195"/>
      <c r="P5" s="208"/>
      <c r="Q5" s="208"/>
      <c r="R5" s="209"/>
      <c r="S5" s="71"/>
    </row>
    <row r="6" spans="2:19" ht="30.75" customHeight="1" thickBot="1" x14ac:dyDescent="0.45">
      <c r="B6" s="70"/>
      <c r="C6" s="203" t="s">
        <v>217</v>
      </c>
      <c r="D6" s="204"/>
      <c r="E6" s="205"/>
      <c r="F6" s="205"/>
      <c r="G6" s="205"/>
      <c r="H6" s="204" t="s">
        <v>219</v>
      </c>
      <c r="I6" s="204"/>
      <c r="J6" s="205" t="str">
        <f>IF(D32&lt;&gt;"",D32,"")</f>
        <v/>
      </c>
      <c r="K6" s="205"/>
      <c r="L6" s="205"/>
      <c r="M6" s="204" t="s">
        <v>242</v>
      </c>
      <c r="N6" s="204"/>
      <c r="O6" s="204"/>
      <c r="P6" s="206"/>
      <c r="Q6" s="206"/>
      <c r="R6" s="207"/>
      <c r="S6" s="71"/>
    </row>
    <row r="7" spans="2:19" ht="9.9499999999999993" customHeight="1" thickTop="1" thickBot="1" x14ac:dyDescent="0.45">
      <c r="B7" s="72"/>
      <c r="C7" s="73"/>
      <c r="D7" s="73"/>
      <c r="E7" s="73"/>
      <c r="F7" s="73"/>
      <c r="G7" s="73"/>
      <c r="H7" s="73"/>
      <c r="I7" s="73"/>
      <c r="J7" s="73"/>
      <c r="K7" s="73"/>
      <c r="L7" s="73"/>
      <c r="M7" s="73"/>
      <c r="N7" s="73"/>
      <c r="O7" s="73"/>
      <c r="P7" s="73"/>
      <c r="Q7" s="73"/>
      <c r="R7" s="73"/>
      <c r="S7" s="74"/>
    </row>
    <row r="8" spans="2:19" ht="20.100000000000001" customHeight="1" thickTop="1" thickBot="1" x14ac:dyDescent="0.45">
      <c r="B8" s="72"/>
      <c r="C8" s="210" t="s">
        <v>190</v>
      </c>
      <c r="D8" s="211"/>
      <c r="E8" s="211"/>
      <c r="F8" s="211"/>
      <c r="G8" s="211"/>
      <c r="H8" s="211"/>
      <c r="I8" s="211"/>
      <c r="J8" s="211"/>
      <c r="K8" s="211"/>
      <c r="L8" s="211"/>
      <c r="M8" s="211"/>
      <c r="N8" s="211"/>
      <c r="O8" s="211"/>
      <c r="P8" s="211"/>
      <c r="Q8" s="211"/>
      <c r="R8" s="212"/>
      <c r="S8" s="74"/>
    </row>
    <row r="9" spans="2:19" ht="20.100000000000001" customHeight="1" outlineLevel="1" thickTop="1" x14ac:dyDescent="0.4">
      <c r="B9" s="72"/>
      <c r="C9" s="91"/>
      <c r="D9" s="64"/>
      <c r="E9" s="64"/>
      <c r="F9" s="64"/>
      <c r="G9" s="64"/>
      <c r="H9" s="64"/>
      <c r="I9" s="64"/>
      <c r="J9" s="64"/>
      <c r="K9" s="64"/>
      <c r="L9" s="64"/>
      <c r="M9" s="64"/>
      <c r="N9" s="64"/>
      <c r="O9" s="64"/>
      <c r="P9" s="64"/>
      <c r="Q9" s="64"/>
      <c r="R9" s="92"/>
      <c r="S9" s="74"/>
    </row>
    <row r="10" spans="2:19" ht="20.100000000000001" customHeight="1" outlineLevel="1" x14ac:dyDescent="0.4">
      <c r="B10" s="72"/>
      <c r="C10" s="91"/>
      <c r="D10" s="219" t="s">
        <v>192</v>
      </c>
      <c r="E10" s="220"/>
      <c r="F10" s="220"/>
      <c r="G10" s="220"/>
      <c r="H10" s="220"/>
      <c r="I10" s="220"/>
      <c r="J10" s="220"/>
      <c r="K10" s="220"/>
      <c r="L10" s="220"/>
      <c r="M10" s="220"/>
      <c r="N10" s="220"/>
      <c r="O10" s="220"/>
      <c r="P10" s="220"/>
      <c r="Q10" s="221"/>
      <c r="R10" s="92"/>
      <c r="S10" s="74"/>
    </row>
    <row r="11" spans="2:19" ht="20.100000000000001" customHeight="1" outlineLevel="1" x14ac:dyDescent="0.4">
      <c r="B11" s="72"/>
      <c r="C11" s="91"/>
      <c r="D11" s="222" t="s">
        <v>222</v>
      </c>
      <c r="E11" s="223"/>
      <c r="F11" s="224"/>
      <c r="G11" s="225"/>
      <c r="H11" s="226"/>
      <c r="I11" s="226"/>
      <c r="J11" s="227"/>
      <c r="K11" s="222" t="s">
        <v>193</v>
      </c>
      <c r="L11" s="223"/>
      <c r="M11" s="224"/>
      <c r="N11" s="228"/>
      <c r="O11" s="229"/>
      <c r="P11" s="229"/>
      <c r="Q11" s="230"/>
      <c r="R11" s="92"/>
      <c r="S11" s="74"/>
    </row>
    <row r="12" spans="2:19" ht="20.100000000000001" customHeight="1" outlineLevel="1" x14ac:dyDescent="0.4">
      <c r="B12" s="72"/>
      <c r="C12" s="91"/>
      <c r="D12" s="222" t="s">
        <v>176</v>
      </c>
      <c r="E12" s="223"/>
      <c r="F12" s="224"/>
      <c r="G12" s="225"/>
      <c r="H12" s="226"/>
      <c r="I12" s="226"/>
      <c r="J12" s="227"/>
      <c r="K12" s="222" t="s">
        <v>234</v>
      </c>
      <c r="L12" s="223"/>
      <c r="M12" s="224"/>
      <c r="N12" s="231"/>
      <c r="O12" s="232"/>
      <c r="P12" s="232"/>
      <c r="Q12" s="233"/>
      <c r="R12" s="92"/>
      <c r="S12" s="74"/>
    </row>
    <row r="13" spans="2:19" ht="20.100000000000001" customHeight="1" outlineLevel="1" x14ac:dyDescent="0.4">
      <c r="B13" s="72"/>
      <c r="C13" s="91"/>
      <c r="D13" s="222" t="s">
        <v>232</v>
      </c>
      <c r="E13" s="223"/>
      <c r="F13" s="224"/>
      <c r="G13" s="225"/>
      <c r="H13" s="226"/>
      <c r="I13" s="226"/>
      <c r="J13" s="227"/>
      <c r="K13" s="222" t="s">
        <v>341</v>
      </c>
      <c r="L13" s="223"/>
      <c r="M13" s="224"/>
      <c r="N13" s="225"/>
      <c r="O13" s="226"/>
      <c r="P13" s="226"/>
      <c r="Q13" s="227"/>
      <c r="R13" s="92"/>
      <c r="S13" s="74"/>
    </row>
    <row r="14" spans="2:19" ht="20.100000000000001" customHeight="1" outlineLevel="1" x14ac:dyDescent="0.4">
      <c r="B14" s="72"/>
      <c r="C14" s="91"/>
      <c r="D14" s="222" t="s">
        <v>233</v>
      </c>
      <c r="E14" s="223"/>
      <c r="F14" s="224"/>
      <c r="G14" s="225"/>
      <c r="H14" s="226"/>
      <c r="I14" s="226"/>
      <c r="J14" s="227"/>
      <c r="K14" s="222" t="s">
        <v>194</v>
      </c>
      <c r="L14" s="223"/>
      <c r="M14" s="224"/>
      <c r="N14" s="225"/>
      <c r="O14" s="226"/>
      <c r="P14" s="226"/>
      <c r="Q14" s="227"/>
      <c r="R14" s="92"/>
      <c r="S14" s="74"/>
    </row>
    <row r="15" spans="2:19" ht="20.100000000000001" customHeight="1" outlineLevel="1" x14ac:dyDescent="0.4">
      <c r="B15" s="72"/>
      <c r="C15" s="91"/>
      <c r="D15" s="222" t="s">
        <v>214</v>
      </c>
      <c r="E15" s="223"/>
      <c r="F15" s="224"/>
      <c r="G15" s="225"/>
      <c r="H15" s="226"/>
      <c r="I15" s="226"/>
      <c r="J15" s="227"/>
      <c r="K15" s="222" t="s">
        <v>195</v>
      </c>
      <c r="L15" s="223"/>
      <c r="M15" s="224"/>
      <c r="N15" s="225"/>
      <c r="O15" s="226"/>
      <c r="P15" s="226"/>
      <c r="Q15" s="227"/>
      <c r="R15" s="92"/>
      <c r="S15" s="74"/>
    </row>
    <row r="16" spans="2:19" ht="20.100000000000001" customHeight="1" outlineLevel="1" x14ac:dyDescent="0.4">
      <c r="B16" s="72"/>
      <c r="C16" s="91"/>
      <c r="D16" s="64"/>
      <c r="E16" s="64"/>
      <c r="F16" s="64"/>
      <c r="G16" s="64"/>
      <c r="H16" s="64"/>
      <c r="I16" s="64"/>
      <c r="J16" s="64"/>
      <c r="K16" s="64"/>
      <c r="L16" s="64"/>
      <c r="M16" s="64"/>
      <c r="N16" s="64"/>
      <c r="O16" s="64"/>
      <c r="P16" s="64"/>
      <c r="Q16" s="64"/>
      <c r="R16" s="92"/>
      <c r="S16" s="74"/>
    </row>
    <row r="17" spans="2:24" ht="20.100000000000001" customHeight="1" outlineLevel="1" x14ac:dyDescent="0.4">
      <c r="B17" s="72"/>
      <c r="C17" s="91"/>
      <c r="D17" s="219" t="s">
        <v>205</v>
      </c>
      <c r="E17" s="220"/>
      <c r="F17" s="220"/>
      <c r="G17" s="220"/>
      <c r="H17" s="220"/>
      <c r="I17" s="220"/>
      <c r="J17" s="220"/>
      <c r="K17" s="220"/>
      <c r="L17" s="220"/>
      <c r="M17" s="220"/>
      <c r="N17" s="220"/>
      <c r="O17" s="220"/>
      <c r="P17" s="220"/>
      <c r="Q17" s="221"/>
      <c r="R17" s="92"/>
      <c r="S17" s="74"/>
    </row>
    <row r="18" spans="2:24" ht="20.100000000000001" customHeight="1" outlineLevel="1" x14ac:dyDescent="0.4">
      <c r="B18" s="72"/>
      <c r="C18" s="91"/>
      <c r="D18" s="222" t="s">
        <v>223</v>
      </c>
      <c r="E18" s="223"/>
      <c r="F18" s="224"/>
      <c r="G18" s="228"/>
      <c r="H18" s="229"/>
      <c r="I18" s="229"/>
      <c r="J18" s="230"/>
      <c r="K18" s="222" t="s">
        <v>228</v>
      </c>
      <c r="L18" s="223"/>
      <c r="M18" s="224"/>
      <c r="N18" s="225"/>
      <c r="O18" s="226"/>
      <c r="P18" s="226"/>
      <c r="Q18" s="227"/>
      <c r="R18" s="92"/>
      <c r="S18" s="74"/>
    </row>
    <row r="19" spans="2:24" ht="20.100000000000001" customHeight="1" outlineLevel="1" x14ac:dyDescent="0.4">
      <c r="B19" s="72"/>
      <c r="C19" s="91"/>
      <c r="D19" s="222" t="s">
        <v>224</v>
      </c>
      <c r="E19" s="223"/>
      <c r="F19" s="224"/>
      <c r="G19" s="228"/>
      <c r="H19" s="229"/>
      <c r="I19" s="229"/>
      <c r="J19" s="230"/>
      <c r="K19" s="222" t="s">
        <v>243</v>
      </c>
      <c r="L19" s="223"/>
      <c r="M19" s="224"/>
      <c r="N19" s="225"/>
      <c r="O19" s="226"/>
      <c r="P19" s="226"/>
      <c r="Q19" s="227"/>
      <c r="R19" s="92"/>
      <c r="S19" s="74"/>
    </row>
    <row r="20" spans="2:24" ht="20.100000000000001" customHeight="1" outlineLevel="1" x14ac:dyDescent="0.4">
      <c r="B20" s="72"/>
      <c r="C20" s="91"/>
      <c r="D20" s="222" t="s">
        <v>225</v>
      </c>
      <c r="E20" s="223"/>
      <c r="F20" s="224"/>
      <c r="G20" s="228"/>
      <c r="H20" s="229"/>
      <c r="I20" s="229"/>
      <c r="J20" s="230"/>
      <c r="K20" s="222" t="s">
        <v>229</v>
      </c>
      <c r="L20" s="223"/>
      <c r="M20" s="224"/>
      <c r="N20" s="225"/>
      <c r="O20" s="226"/>
      <c r="P20" s="226"/>
      <c r="Q20" s="227"/>
      <c r="R20" s="92"/>
      <c r="S20" s="74"/>
    </row>
    <row r="21" spans="2:24" ht="20.100000000000001" customHeight="1" outlineLevel="1" x14ac:dyDescent="0.4">
      <c r="B21" s="72"/>
      <c r="C21" s="91"/>
      <c r="D21" s="222" t="s">
        <v>226</v>
      </c>
      <c r="E21" s="223"/>
      <c r="F21" s="224"/>
      <c r="G21" s="228"/>
      <c r="H21" s="229"/>
      <c r="I21" s="229"/>
      <c r="J21" s="230"/>
      <c r="K21" s="222" t="s">
        <v>230</v>
      </c>
      <c r="L21" s="223"/>
      <c r="M21" s="224"/>
      <c r="N21" s="228"/>
      <c r="O21" s="229"/>
      <c r="P21" s="229"/>
      <c r="Q21" s="230"/>
      <c r="R21" s="92"/>
      <c r="S21" s="74"/>
    </row>
    <row r="22" spans="2:24" ht="20.100000000000001" customHeight="1" outlineLevel="1" x14ac:dyDescent="0.4">
      <c r="B22" s="72"/>
      <c r="C22" s="91"/>
      <c r="D22" s="222" t="s">
        <v>227</v>
      </c>
      <c r="E22" s="223"/>
      <c r="F22" s="224"/>
      <c r="G22" s="228"/>
      <c r="H22" s="229"/>
      <c r="I22" s="229"/>
      <c r="J22" s="230"/>
      <c r="K22" s="222" t="s">
        <v>231</v>
      </c>
      <c r="L22" s="223"/>
      <c r="M22" s="224"/>
      <c r="N22" s="228"/>
      <c r="O22" s="229"/>
      <c r="P22" s="229"/>
      <c r="Q22" s="230"/>
      <c r="R22" s="92"/>
      <c r="S22" s="74"/>
    </row>
    <row r="23" spans="2:24" ht="20.100000000000001" customHeight="1" outlineLevel="1" x14ac:dyDescent="0.4">
      <c r="B23" s="72"/>
      <c r="C23" s="91"/>
      <c r="D23" s="64"/>
      <c r="E23" s="64"/>
      <c r="F23" s="64"/>
      <c r="G23" s="64"/>
      <c r="H23" s="64"/>
      <c r="I23" s="64"/>
      <c r="J23" s="64"/>
      <c r="K23" s="64"/>
      <c r="L23" s="64"/>
      <c r="M23" s="64"/>
      <c r="N23" s="64"/>
      <c r="O23" s="64"/>
      <c r="P23" s="64"/>
      <c r="Q23" s="64"/>
      <c r="R23" s="92"/>
      <c r="S23" s="74"/>
    </row>
    <row r="24" spans="2:24" ht="20.100000000000001" customHeight="1" outlineLevel="1" x14ac:dyDescent="0.4">
      <c r="B24" s="72"/>
      <c r="C24" s="91"/>
      <c r="D24" s="219" t="s">
        <v>81</v>
      </c>
      <c r="E24" s="220"/>
      <c r="F24" s="220"/>
      <c r="G24" s="220"/>
      <c r="H24" s="220"/>
      <c r="I24" s="220"/>
      <c r="J24" s="220"/>
      <c r="K24" s="220"/>
      <c r="L24" s="220"/>
      <c r="M24" s="220"/>
      <c r="N24" s="247" t="s">
        <v>213</v>
      </c>
      <c r="O24" s="247"/>
      <c r="P24" s="100"/>
      <c r="Q24" s="64"/>
      <c r="R24" s="92"/>
      <c r="S24" s="74"/>
    </row>
    <row r="25" spans="2:24" ht="20.100000000000001" customHeight="1" outlineLevel="1" x14ac:dyDescent="0.4">
      <c r="B25" s="72"/>
      <c r="C25" s="91"/>
      <c r="D25" s="241" t="s">
        <v>203</v>
      </c>
      <c r="E25" s="242"/>
      <c r="F25" s="243"/>
      <c r="G25" s="234" t="s">
        <v>197</v>
      </c>
      <c r="H25" s="235"/>
      <c r="I25" s="235"/>
      <c r="J25" s="236"/>
      <c r="K25" s="244" t="s">
        <v>198</v>
      </c>
      <c r="L25" s="245"/>
      <c r="M25" s="246"/>
      <c r="N25" s="244" t="s">
        <v>199</v>
      </c>
      <c r="O25" s="245"/>
      <c r="P25" s="246"/>
      <c r="Q25" s="64"/>
      <c r="R25" s="92"/>
      <c r="S25" s="74"/>
    </row>
    <row r="26" spans="2:24" ht="20.100000000000001" customHeight="1" outlineLevel="1" x14ac:dyDescent="0.4">
      <c r="B26" s="72"/>
      <c r="C26" s="91"/>
      <c r="D26" s="259" t="s">
        <v>235</v>
      </c>
      <c r="E26" s="260"/>
      <c r="F26" s="88" t="s">
        <v>200</v>
      </c>
      <c r="G26" s="237" t="s">
        <v>244</v>
      </c>
      <c r="H26" s="238"/>
      <c r="I26" s="255" t="s">
        <v>236</v>
      </c>
      <c r="J26" s="256"/>
      <c r="K26" s="81" t="s">
        <v>201</v>
      </c>
      <c r="L26" s="82" t="s">
        <v>237</v>
      </c>
      <c r="M26" s="83" t="s">
        <v>202</v>
      </c>
      <c r="N26" s="81" t="s">
        <v>201</v>
      </c>
      <c r="O26" s="82" t="s">
        <v>237</v>
      </c>
      <c r="P26" s="83" t="s">
        <v>202</v>
      </c>
      <c r="Q26" s="64"/>
      <c r="R26" s="92"/>
      <c r="S26" s="74"/>
    </row>
    <row r="27" spans="2:24" ht="20.100000000000001" customHeight="1" outlineLevel="1" x14ac:dyDescent="0.4">
      <c r="B27" s="72"/>
      <c r="C27" s="91"/>
      <c r="D27" s="239"/>
      <c r="E27" s="240"/>
      <c r="F27" s="84" t="str">
        <f>IF(D27="","",IF(D32="Débitmètre électromagnétique (Boue/MDV)",0.1,IF(D27&gt;50,0.05,0.1)))</f>
        <v/>
      </c>
      <c r="G27" s="239"/>
      <c r="H27" s="240"/>
      <c r="I27" s="257"/>
      <c r="J27" s="258"/>
      <c r="K27" s="85" t="str">
        <f>IF(AND(D27&lt;&gt;"",G27&lt;&gt;""),(D27+G27)/2,"")</f>
        <v/>
      </c>
      <c r="L27" s="86" t="str">
        <f>IF(AND(K27&lt;&gt;"",G27&lt;&gt;""),(G27-K27),"")</f>
        <v/>
      </c>
      <c r="M27" s="99" t="str">
        <f>IF(AND(K27&lt;&gt;"",K27&lt;&gt;0,L27&lt;&gt;""),L27/K27,"")</f>
        <v/>
      </c>
      <c r="N27" s="85" t="str">
        <f>IF(AND(D27&lt;&gt;"",I27&lt;&gt;""),(D27+I27)/2,IF(AND(I27&lt;&gt;"",D27&lt;&gt;""),(D27+I27)/2,""))</f>
        <v/>
      </c>
      <c r="O27" s="86" t="str">
        <f>IF(AND(N27&lt;&gt;"",I27&lt;&gt;""),(I27-N27),"")</f>
        <v/>
      </c>
      <c r="P27" s="99" t="str">
        <f>IF(AND(N27&lt;&gt;"",N27&lt;&gt;0,O27&lt;&gt;""),O27/N27,"")</f>
        <v/>
      </c>
      <c r="Q27" s="64"/>
      <c r="R27" s="92"/>
      <c r="S27" s="74"/>
      <c r="U27" s="192" t="str">
        <f>IF(OR(M27&lt;&gt;"",P27&lt;&gt;""),IF(OR(ABS(M27)&gt;0.1,ABS(P27)&gt;0.1),"Non validé (&gt;10%)",IF(AND(ABS(M27)&lt;=0.05,ABS(P27)&lt;=0.05),"Validé","Entre 5 et 10%")),"Non contrôlé")</f>
        <v>Non contrôlé</v>
      </c>
    </row>
    <row r="28" spans="2:24" ht="20.100000000000001" customHeight="1" outlineLevel="1" thickBot="1" x14ac:dyDescent="0.45">
      <c r="B28" s="72"/>
      <c r="C28" s="93"/>
      <c r="D28" s="94"/>
      <c r="E28" s="94"/>
      <c r="F28" s="94"/>
      <c r="G28" s="94"/>
      <c r="H28" s="94"/>
      <c r="I28" s="94"/>
      <c r="J28" s="94"/>
      <c r="K28" s="94"/>
      <c r="L28" s="94"/>
      <c r="M28" s="94"/>
      <c r="N28" s="94"/>
      <c r="O28" s="94"/>
      <c r="P28" s="94"/>
      <c r="Q28" s="94"/>
      <c r="R28" s="95"/>
      <c r="S28" s="74"/>
    </row>
    <row r="29" spans="2:24" ht="9.9499999999999993" customHeight="1" thickTop="1" thickBot="1" x14ac:dyDescent="0.45">
      <c r="B29" s="72"/>
      <c r="C29" s="64"/>
      <c r="D29" s="64"/>
      <c r="E29" s="64"/>
      <c r="F29" s="64"/>
      <c r="G29" s="64"/>
      <c r="H29" s="64"/>
      <c r="I29" s="64"/>
      <c r="J29" s="64"/>
      <c r="K29" s="64"/>
      <c r="L29" s="64"/>
      <c r="M29" s="64"/>
      <c r="N29" s="64"/>
      <c r="O29" s="64"/>
      <c r="P29" s="64"/>
      <c r="Q29" s="64"/>
      <c r="R29" s="64"/>
      <c r="S29" s="74"/>
    </row>
    <row r="30" spans="2:24" ht="20.100000000000001" customHeight="1" thickTop="1" thickBot="1" x14ac:dyDescent="0.45">
      <c r="B30" s="72"/>
      <c r="C30" s="210" t="s">
        <v>245</v>
      </c>
      <c r="D30" s="211"/>
      <c r="E30" s="211"/>
      <c r="F30" s="211"/>
      <c r="G30" s="211"/>
      <c r="H30" s="211"/>
      <c r="I30" s="211"/>
      <c r="J30" s="211"/>
      <c r="K30" s="211"/>
      <c r="L30" s="211"/>
      <c r="M30" s="211"/>
      <c r="N30" s="211"/>
      <c r="O30" s="211"/>
      <c r="P30" s="211"/>
      <c r="Q30" s="211"/>
      <c r="R30" s="212"/>
      <c r="S30" s="74"/>
    </row>
    <row r="31" spans="2:24" ht="20.100000000000001" customHeight="1" outlineLevel="1" thickTop="1" x14ac:dyDescent="0.4">
      <c r="B31" s="72"/>
      <c r="C31" s="91"/>
      <c r="D31" s="101"/>
      <c r="E31" s="64"/>
      <c r="F31" s="64"/>
      <c r="G31" s="64"/>
      <c r="H31" s="64"/>
      <c r="I31" s="64"/>
      <c r="J31" s="64"/>
      <c r="K31" s="64"/>
      <c r="L31" s="64"/>
      <c r="M31" s="64"/>
      <c r="N31" s="64"/>
      <c r="O31" s="64"/>
      <c r="P31" s="64"/>
      <c r="Q31" s="64"/>
      <c r="R31" s="92"/>
      <c r="S31" s="74"/>
    </row>
    <row r="32" spans="2:24" ht="30" customHeight="1" outlineLevel="1" x14ac:dyDescent="0.4">
      <c r="B32" s="72"/>
      <c r="C32" s="91"/>
      <c r="D32" s="248"/>
      <c r="E32" s="248"/>
      <c r="F32" s="248"/>
      <c r="G32" s="248"/>
      <c r="H32" s="248"/>
      <c r="I32" s="248"/>
      <c r="J32" s="248"/>
      <c r="K32" s="248"/>
      <c r="L32" s="248"/>
      <c r="M32" s="248"/>
      <c r="N32" s="248"/>
      <c r="O32" s="248"/>
      <c r="P32" s="248"/>
      <c r="Q32" s="248"/>
      <c r="R32" s="92"/>
      <c r="S32" s="74"/>
      <c r="W32" s="192"/>
      <c r="X32" s="192"/>
    </row>
    <row r="33" spans="2:21" ht="20.100000000000001" customHeight="1" outlineLevel="1" x14ac:dyDescent="0.4">
      <c r="B33" s="72"/>
      <c r="C33" s="91"/>
      <c r="D33" s="249" t="s">
        <v>4</v>
      </c>
      <c r="E33" s="249"/>
      <c r="F33" s="249"/>
      <c r="G33" s="249"/>
      <c r="H33" s="249"/>
      <c r="I33" s="249"/>
      <c r="J33" s="249" t="s">
        <v>175</v>
      </c>
      <c r="K33" s="249"/>
      <c r="L33" s="249"/>
      <c r="M33" s="249"/>
      <c r="N33" s="249" t="s">
        <v>75</v>
      </c>
      <c r="O33" s="249"/>
      <c r="P33" s="89" t="s">
        <v>189</v>
      </c>
      <c r="Q33" s="89" t="s">
        <v>204</v>
      </c>
      <c r="R33" s="92"/>
      <c r="S33" s="74"/>
      <c r="U33" s="280" t="s">
        <v>5</v>
      </c>
    </row>
    <row r="34" spans="2:21" ht="99.95" customHeight="1" outlineLevel="1" x14ac:dyDescent="0.4">
      <c r="B34" s="72"/>
      <c r="C34" s="91"/>
      <c r="D34" s="90">
        <v>1</v>
      </c>
      <c r="E34" s="250" t="str">
        <f>IFERROR(HLOOKUP($D$32,Critères!$B$3:$BE$16,D34+2,FALSE),"")</f>
        <v/>
      </c>
      <c r="F34" s="251"/>
      <c r="G34" s="251"/>
      <c r="H34" s="251"/>
      <c r="I34" s="252"/>
      <c r="J34" s="250" t="str">
        <f>IFERROR(IF(INDEX(Critères!$B$3:$BE$16, D34+2, MATCH($D$32, Critères!$B$3:$BE$3, 0) + 1)="", "", INDEX(Critères!$B$3:$BE$16, D34+2, MATCH($D$32, Critères!$B$3:$BE$3, 0) + 1)), "")</f>
        <v/>
      </c>
      <c r="K34" s="251"/>
      <c r="L34" s="251"/>
      <c r="M34" s="252"/>
      <c r="N34" s="253"/>
      <c r="O34" s="254"/>
      <c r="P34" s="87">
        <f>IF(OR(N34="Validé",N34="Réserve",N34="Oui",N34="Entre 5 et 10%"),Q34,0)</f>
        <v>0</v>
      </c>
      <c r="Q34" s="87" t="str">
        <f>IFERROR(INDEX(Critères!$B$3:$BE$16, D34+2, MATCH($D$32, Critères!$B$3:$BE$3, 0) + 2),"")</f>
        <v/>
      </c>
      <c r="R34" s="92"/>
      <c r="S34" s="74"/>
      <c r="U34" s="280" t="str" cm="1">
        <f t="array" ref="U34">IFERROR(INDEX(Critères!$B$3:$BZ$16, D34+2, MATCH($D$32, Critères!$B$3:$BZ$3, 0) + 3),"")</f>
        <v/>
      </c>
    </row>
    <row r="35" spans="2:21" ht="99.95" customHeight="1" outlineLevel="1" x14ac:dyDescent="0.4">
      <c r="B35" s="72"/>
      <c r="C35" s="91"/>
      <c r="D35" s="90">
        <v>2</v>
      </c>
      <c r="E35" s="250" t="str">
        <f>IFERROR(HLOOKUP($D$32,Critères!$B$3:$BE$16,D35+2,FALSE),"")</f>
        <v/>
      </c>
      <c r="F35" s="251"/>
      <c r="G35" s="251"/>
      <c r="H35" s="251"/>
      <c r="I35" s="252"/>
      <c r="J35" s="250" t="str">
        <f>IFERROR(IF(INDEX(Critères!$B$3:$BE$16, D35+2, MATCH($D$32, Critères!$B$3:$BE$3, 0) + 1)="", "", INDEX(Critères!$B$3:$BE$16, D35+2, MATCH($D$32, Critères!$B$3:$BE$3, 0) + 1)), "")</f>
        <v/>
      </c>
      <c r="K35" s="251"/>
      <c r="L35" s="251"/>
      <c r="M35" s="252"/>
      <c r="N35" s="253"/>
      <c r="O35" s="254"/>
      <c r="P35" s="87">
        <f t="shared" ref="P35:P41" si="0">IF(OR(N35="Validé",N35="Réserve"),Q35,0)</f>
        <v>0</v>
      </c>
      <c r="Q35" s="87" t="str">
        <f>IFERROR(INDEX(Critères!$B$3:$BE$16, D35+2, MATCH($D$32, Critères!$B$3:$BE$3, 0) + 2),"")</f>
        <v/>
      </c>
      <c r="R35" s="92"/>
      <c r="S35" s="74"/>
      <c r="U35" s="280" t="str" cm="1">
        <f t="array" ref="U35">IFERROR(INDEX(Critères!$B$3:$BZ$16, D35+2, MATCH($D$32, Critères!$B$3:$BZ$3, 0) + 3),"")</f>
        <v/>
      </c>
    </row>
    <row r="36" spans="2:21" ht="99.95" customHeight="1" outlineLevel="1" x14ac:dyDescent="0.4">
      <c r="B36" s="72"/>
      <c r="C36" s="91"/>
      <c r="D36" s="90">
        <v>3</v>
      </c>
      <c r="E36" s="250" t="str">
        <f>IFERROR(HLOOKUP($D$32,Critères!$B$3:$BE$16,D36+2,FALSE),"")</f>
        <v/>
      </c>
      <c r="F36" s="251"/>
      <c r="G36" s="251"/>
      <c r="H36" s="251"/>
      <c r="I36" s="252"/>
      <c r="J36" s="250" t="str">
        <f>IFERROR(IF(INDEX(Critères!$B$3:$BE$16, D36+2, MATCH($D$32, Critères!$B$3:$BE$3, 0) + 1)="", "", INDEX(Critères!$B$3:$BE$16, D36+2, MATCH($D$32, Critères!$B$3:$BE$3, 0) + 1)), "")</f>
        <v/>
      </c>
      <c r="K36" s="251"/>
      <c r="L36" s="251"/>
      <c r="M36" s="252"/>
      <c r="N36" s="253"/>
      <c r="O36" s="254"/>
      <c r="P36" s="87">
        <f t="shared" si="0"/>
        <v>0</v>
      </c>
      <c r="Q36" s="87" t="str">
        <f>IFERROR(INDEX(Critères!$B$3:$BE$16, D36+2, MATCH($D$32, Critères!$B$3:$BE$3, 0) + 2),"")</f>
        <v/>
      </c>
      <c r="R36" s="92"/>
      <c r="S36" s="74"/>
      <c r="U36" s="280" t="str" cm="1">
        <f t="array" ref="U36">IFERROR(INDEX(Critères!$B$3:$BZ$16, D36+2, MATCH($D$32, Critères!$B$3:$BZ$3, 0) + 3),"")</f>
        <v/>
      </c>
    </row>
    <row r="37" spans="2:21" ht="99.95" customHeight="1" outlineLevel="1" x14ac:dyDescent="0.4">
      <c r="B37" s="72"/>
      <c r="C37" s="91"/>
      <c r="D37" s="90">
        <v>4</v>
      </c>
      <c r="E37" s="250" t="str">
        <f>IFERROR(HLOOKUP($D$32,Critères!$B$3:$BE$16,D37+2,FALSE),"")</f>
        <v/>
      </c>
      <c r="F37" s="251"/>
      <c r="G37" s="251"/>
      <c r="H37" s="251"/>
      <c r="I37" s="252"/>
      <c r="J37" s="250" t="str">
        <f>IFERROR(IF(INDEX(Critères!$B$3:$BE$16, D37+2, MATCH($D$32, Critères!$B$3:$BE$3, 0) + 1)="", "", INDEX(Critères!$B$3:$BE$16, D37+2, MATCH($D$32, Critères!$B$3:$BE$3, 0) + 1)), "")</f>
        <v/>
      </c>
      <c r="K37" s="251"/>
      <c r="L37" s="251"/>
      <c r="M37" s="252"/>
      <c r="N37" s="253" t="str">
        <f>IF(OR(D32 = Critères!B3, D32 = Critères!F3),U27,"Non contrôlé")</f>
        <v>Non contrôlé</v>
      </c>
      <c r="O37" s="254"/>
      <c r="P37" s="87">
        <f t="shared" si="0"/>
        <v>0</v>
      </c>
      <c r="Q37" s="87" t="str">
        <f>IFERROR(INDEX(Critères!$B$3:$BE$16, D37+2, MATCH($D$32, Critères!$B$3:$BE$3, 0) + 2),"")</f>
        <v/>
      </c>
      <c r="R37" s="92"/>
      <c r="S37" s="74"/>
      <c r="U37" s="280" t="str" cm="1">
        <f t="array" ref="U37">IFERROR(INDEX(Critères!$B$3:$BZ$16, D37+2, MATCH($D$32, Critères!$B$3:$BZ$3, 0) + 3),"")</f>
        <v/>
      </c>
    </row>
    <row r="38" spans="2:21" ht="99.95" customHeight="1" outlineLevel="1" x14ac:dyDescent="0.4">
      <c r="B38" s="72"/>
      <c r="C38" s="91"/>
      <c r="D38" s="90">
        <v>5</v>
      </c>
      <c r="E38" s="250" t="str">
        <f>IFERROR(HLOOKUP($D$32,Critères!$B$3:$BE$16,D38+2,FALSE),"")</f>
        <v/>
      </c>
      <c r="F38" s="251"/>
      <c r="G38" s="251"/>
      <c r="H38" s="251"/>
      <c r="I38" s="252"/>
      <c r="J38" s="250" t="str">
        <f>IFERROR(IF(INDEX(Critères!$B$3:$BE$16, D38+2, MATCH($D$32, Critères!$B$3:$BE$3, 0) + 1)="", "", INDEX(Critères!$B$3:$BE$16, D38+2, MATCH($D$32, Critères!$B$3:$BE$3, 0) + 1)), "")</f>
        <v/>
      </c>
      <c r="K38" s="251"/>
      <c r="L38" s="251"/>
      <c r="M38" s="252"/>
      <c r="N38" s="253"/>
      <c r="O38" s="254"/>
      <c r="P38" s="87">
        <f t="shared" si="0"/>
        <v>0</v>
      </c>
      <c r="Q38" s="87" t="str">
        <f>IFERROR(INDEX(Critères!$B$3:$BE$16, D38+2, MATCH($D$32, Critères!$B$3:$BE$3, 0) + 2),"")</f>
        <v/>
      </c>
      <c r="R38" s="92"/>
      <c r="S38" s="74"/>
      <c r="U38" s="280" t="str" cm="1">
        <f t="array" ref="U38">IFERROR(INDEX(Critères!$B$3:$BZ$16, D38+2, MATCH($D$32, Critères!$B$3:$BZ$3, 0) + 3),"")</f>
        <v/>
      </c>
    </row>
    <row r="39" spans="2:21" ht="99.95" customHeight="1" outlineLevel="1" x14ac:dyDescent="0.4">
      <c r="B39" s="72"/>
      <c r="C39" s="91"/>
      <c r="D39" s="90">
        <v>6</v>
      </c>
      <c r="E39" s="250" t="str">
        <f>IFERROR(HLOOKUP($D$32,Critères!$B$3:$BE$16,D39+2,FALSE),"")</f>
        <v/>
      </c>
      <c r="F39" s="251"/>
      <c r="G39" s="251"/>
      <c r="H39" s="251"/>
      <c r="I39" s="252"/>
      <c r="J39" s="250" t="str">
        <f>IFERROR(IF(INDEX(Critères!$B$3:$BE$16, D39+2, MATCH($D$32, Critères!$B$3:$BE$3, 0) + 1)="", "", INDEX(Critères!$B$3:$BE$16, D39+2, MATCH($D$32, Critères!$B$3:$BE$3, 0) + 1)), "")</f>
        <v/>
      </c>
      <c r="K39" s="251"/>
      <c r="L39" s="251"/>
      <c r="M39" s="252"/>
      <c r="N39" s="253"/>
      <c r="O39" s="254"/>
      <c r="P39" s="87">
        <f t="shared" si="0"/>
        <v>0</v>
      </c>
      <c r="Q39" s="87" t="str">
        <f>IFERROR(INDEX(Critères!$B$3:$BE$16, D39+2, MATCH($D$32, Critères!$B$3:$BE$3, 0) + 2),"")</f>
        <v/>
      </c>
      <c r="R39" s="92"/>
      <c r="S39" s="74"/>
      <c r="U39" s="280" t="str" cm="1">
        <f t="array" ref="U39">IFERROR(INDEX(Critères!$B$3:$BZ$16, D39+2, MATCH($D$32, Critères!$B$3:$BZ$3, 0) + 3),"")</f>
        <v/>
      </c>
    </row>
    <row r="40" spans="2:21" ht="99.95" customHeight="1" outlineLevel="1" x14ac:dyDescent="0.4">
      <c r="B40" s="72"/>
      <c r="C40" s="91"/>
      <c r="D40" s="90">
        <v>7</v>
      </c>
      <c r="E40" s="250" t="str">
        <f>IFERROR(HLOOKUP($D$32,Critères!$B$3:$BE$16,D40+2,FALSE),"")</f>
        <v/>
      </c>
      <c r="F40" s="251"/>
      <c r="G40" s="251"/>
      <c r="H40" s="251"/>
      <c r="I40" s="252"/>
      <c r="J40" s="250" t="str">
        <f>IFERROR(IF(INDEX(Critères!$B$3:$BE$16, D40+2, MATCH($D$32, Critères!$B$3:$BE$3, 0) + 1)="", "", INDEX(Critères!$B$3:$BE$16, D40+2, MATCH($D$32, Critères!$B$3:$BE$3, 0) + 1)), "")</f>
        <v/>
      </c>
      <c r="K40" s="251"/>
      <c r="L40" s="251"/>
      <c r="M40" s="252"/>
      <c r="N40" s="253"/>
      <c r="O40" s="254"/>
      <c r="P40" s="87">
        <f t="shared" si="0"/>
        <v>0</v>
      </c>
      <c r="Q40" s="87" t="str">
        <f>IFERROR(INDEX(Critères!$B$3:$BE$16, D40+2, MATCH($D$32, Critères!$B$3:$BE$3, 0) + 2),"")</f>
        <v/>
      </c>
      <c r="R40" s="92"/>
      <c r="S40" s="74"/>
      <c r="U40" s="280" t="str" cm="1">
        <f t="array" ref="U40">IFERROR(INDEX(Critères!$B$3:$BZ$16, D40+2, MATCH($D$32, Critères!$B$3:$BZ$3, 0) + 3),"")</f>
        <v/>
      </c>
    </row>
    <row r="41" spans="2:21" ht="99.95" customHeight="1" outlineLevel="1" x14ac:dyDescent="0.4">
      <c r="B41" s="72"/>
      <c r="C41" s="91"/>
      <c r="D41" s="90">
        <v>8</v>
      </c>
      <c r="E41" s="250" t="str">
        <f>IFERROR(HLOOKUP($D$32,Critères!$B$3:$BE$16,D41+2,FALSE),"")</f>
        <v/>
      </c>
      <c r="F41" s="251"/>
      <c r="G41" s="251"/>
      <c r="H41" s="251"/>
      <c r="I41" s="252"/>
      <c r="J41" s="250" t="str">
        <f>IFERROR(IF(INDEX(Critères!$B$3:$BE$16, D41+2, MATCH($D$32, Critères!$B$3:$BE$3, 0) + 1)="", "", INDEX(Critères!$B$3:$BE$16, D41+2, MATCH($D$32, Critères!$B$3:$BE$3, 0) + 1)), "")</f>
        <v/>
      </c>
      <c r="K41" s="251"/>
      <c r="L41" s="251"/>
      <c r="M41" s="252"/>
      <c r="N41" s="253"/>
      <c r="O41" s="254"/>
      <c r="P41" s="87">
        <f t="shared" si="0"/>
        <v>0</v>
      </c>
      <c r="Q41" s="87" t="str">
        <f>IFERROR(INDEX(Critères!$B$3:$BE$16, D41+2, MATCH($D$32, Critères!$B$3:$BE$3, 0) + 2),"")</f>
        <v/>
      </c>
      <c r="R41" s="92"/>
      <c r="S41" s="74"/>
      <c r="U41" s="280" t="str" cm="1">
        <f t="array" ref="U41">IFERROR(INDEX(Critères!$B$3:$BZ$16, D41+2, MATCH($D$32, Critères!$B$3:$BZ$3, 0) + 3),"")</f>
        <v/>
      </c>
    </row>
    <row r="42" spans="2:21" ht="99.95" customHeight="1" outlineLevel="1" x14ac:dyDescent="0.4">
      <c r="B42" s="72"/>
      <c r="C42" s="91"/>
      <c r="D42" s="90">
        <v>9</v>
      </c>
      <c r="E42" s="250" t="str">
        <f>IFERROR(HLOOKUP($D$32,Critères!$B$3:$BE$16,D42+2,FALSE),"")</f>
        <v/>
      </c>
      <c r="F42" s="251"/>
      <c r="G42" s="251"/>
      <c r="H42" s="251"/>
      <c r="I42" s="252"/>
      <c r="J42" s="250" t="str">
        <f>IFERROR(IF(INDEX(Critères!$B$3:$BE$16, D42+2, MATCH($D$32, Critères!$B$3:$BE$3, 0) + 1)="", "", INDEX(Critères!$B$3:$BE$16, D42+2, MATCH($D$32, Critères!$B$3:$BE$3, 0) + 1)), "")</f>
        <v/>
      </c>
      <c r="K42" s="251"/>
      <c r="L42" s="251"/>
      <c r="M42" s="252"/>
      <c r="N42" s="253"/>
      <c r="O42" s="254"/>
      <c r="P42" s="87">
        <f>IF(OR(N42="Oui",N42="Non applicable"),Q42,0)</f>
        <v>0</v>
      </c>
      <c r="Q42" s="87" t="str">
        <f>IFERROR(INDEX(Critères!$B$3:$BE$16, D42+2, MATCH($D$32, Critères!$B$3:$BE$3, 0) + 2),"")</f>
        <v/>
      </c>
      <c r="R42" s="92"/>
      <c r="S42" s="74"/>
      <c r="U42" s="280" t="str" cm="1">
        <f t="array" ref="U42">IFERROR(INDEX(Critères!$B$3:$BZ$16, D42+2, MATCH($D$32, Critères!$B$3:$BZ$3, 0) + 3),"")</f>
        <v/>
      </c>
    </row>
    <row r="43" spans="2:21" ht="99.95" hidden="1" customHeight="1" outlineLevel="1" x14ac:dyDescent="0.4">
      <c r="B43" s="72"/>
      <c r="C43" s="91"/>
      <c r="D43" s="90">
        <v>10</v>
      </c>
      <c r="E43" s="250" t="str">
        <f>IFERROR(HLOOKUP($D$32,Critères!$B$3:$BE$16,D43+2,FALSE),"")</f>
        <v/>
      </c>
      <c r="F43" s="251"/>
      <c r="G43" s="251"/>
      <c r="H43" s="251"/>
      <c r="I43" s="252"/>
      <c r="J43" s="250" t="str">
        <f>IFERROR(IF(INDEX(Critères!$B$3:$BE$16, D43+2, MATCH($D$32, Critères!$B$3:$BE$3, 0) + 1)="", "", INDEX(Critères!$B$3:$BE$16, D43+2, MATCH($D$32, Critères!$B$3:$BE$3, 0) + 1)), "")</f>
        <v/>
      </c>
      <c r="K43" s="251"/>
      <c r="L43" s="251"/>
      <c r="M43" s="252"/>
      <c r="N43" s="253"/>
      <c r="O43" s="254"/>
      <c r="P43" s="87">
        <f t="shared" ref="P43" si="1">IF(OR(N43="Validé",N43="Validé avec réserve"),Q43,0)</f>
        <v>0</v>
      </c>
      <c r="Q43" s="87" t="str">
        <f>IFERROR(INDEX(Critères!$B$3:$BE$16, D43+2, MATCH($D$32, Critères!$B$3:$BE$3, 0) + 2),"")</f>
        <v/>
      </c>
      <c r="R43" s="92"/>
      <c r="S43" s="74"/>
      <c r="U43" s="192">
        <v>0</v>
      </c>
    </row>
    <row r="44" spans="2:21" ht="20.100000000000001" customHeight="1" outlineLevel="1" x14ac:dyDescent="0.4">
      <c r="B44" s="72"/>
      <c r="C44" s="91"/>
      <c r="D44" s="267" t="s">
        <v>7</v>
      </c>
      <c r="E44" s="268"/>
      <c r="F44" s="268"/>
      <c r="G44" s="268"/>
      <c r="H44" s="268"/>
      <c r="I44" s="268"/>
      <c r="J44" s="268"/>
      <c r="K44" s="268"/>
      <c r="L44" s="268"/>
      <c r="M44" s="269"/>
      <c r="N44" s="270"/>
      <c r="O44" s="270"/>
      <c r="P44" s="270" t="s">
        <v>6</v>
      </c>
      <c r="Q44" s="270"/>
      <c r="R44" s="92"/>
      <c r="S44" s="74"/>
    </row>
    <row r="45" spans="2:21" ht="99.95" customHeight="1" outlineLevel="1" x14ac:dyDescent="0.4">
      <c r="B45" s="72"/>
      <c r="C45" s="91"/>
      <c r="D45" s="261"/>
      <c r="E45" s="262"/>
      <c r="F45" s="262"/>
      <c r="G45" s="262"/>
      <c r="H45" s="262"/>
      <c r="I45" s="262"/>
      <c r="J45" s="262"/>
      <c r="K45" s="262"/>
      <c r="L45" s="262"/>
      <c r="M45" s="263"/>
      <c r="N45" s="264" t="str">
        <f>IF(P45&gt;80,"Validé",IF(P45&lt;70,"Non Validé", "Réserve"))</f>
        <v>Non Validé</v>
      </c>
      <c r="O45" s="264"/>
      <c r="P45" s="265">
        <f>IF(SUM(P34:P43)&gt;100,100,SUM(P34:P43))</f>
        <v>0</v>
      </c>
      <c r="Q45" s="266"/>
      <c r="R45" s="92"/>
      <c r="S45" s="74"/>
    </row>
    <row r="46" spans="2:21" ht="20.100000000000001" customHeight="1" outlineLevel="1" thickBot="1" x14ac:dyDescent="0.45">
      <c r="B46" s="72"/>
      <c r="C46" s="93"/>
      <c r="D46" s="94"/>
      <c r="E46" s="94"/>
      <c r="F46" s="94"/>
      <c r="G46" s="94"/>
      <c r="H46" s="94"/>
      <c r="I46" s="94"/>
      <c r="J46" s="94"/>
      <c r="K46" s="94"/>
      <c r="L46" s="94"/>
      <c r="M46" s="94"/>
      <c r="N46" s="94"/>
      <c r="O46" s="94"/>
      <c r="P46" s="94"/>
      <c r="Q46" s="94"/>
      <c r="R46" s="95"/>
      <c r="S46" s="74"/>
    </row>
    <row r="47" spans="2:21" ht="9.9499999999999993" customHeight="1" thickTop="1" thickBot="1" x14ac:dyDescent="0.45">
      <c r="B47" s="75"/>
      <c r="C47" s="76"/>
      <c r="D47" s="76"/>
      <c r="E47" s="76"/>
      <c r="F47" s="76"/>
      <c r="G47" s="76"/>
      <c r="H47" s="76"/>
      <c r="I47" s="76"/>
      <c r="J47" s="76"/>
      <c r="K47" s="76"/>
      <c r="L47" s="76"/>
      <c r="M47" s="76"/>
      <c r="N47" s="76"/>
      <c r="O47" s="76"/>
      <c r="P47" s="76"/>
      <c r="Q47" s="76"/>
      <c r="R47" s="76"/>
      <c r="S47" s="77"/>
    </row>
    <row r="48" spans="2:21" ht="20.100000000000001" customHeight="1" thickTop="1" thickBot="1" x14ac:dyDescent="0.45">
      <c r="B48" s="75"/>
      <c r="C48" s="210" t="s">
        <v>246</v>
      </c>
      <c r="D48" s="211"/>
      <c r="E48" s="211"/>
      <c r="F48" s="211"/>
      <c r="G48" s="211"/>
      <c r="H48" s="211"/>
      <c r="I48" s="211"/>
      <c r="J48" s="211"/>
      <c r="K48" s="211"/>
      <c r="L48" s="211"/>
      <c r="M48" s="211"/>
      <c r="N48" s="211"/>
      <c r="O48" s="211"/>
      <c r="P48" s="211"/>
      <c r="Q48" s="211"/>
      <c r="R48" s="212"/>
      <c r="S48" s="77"/>
    </row>
    <row r="49" spans="2:19" ht="20.100000000000001" customHeight="1" thickTop="1" x14ac:dyDescent="0.4">
      <c r="B49" s="75"/>
      <c r="C49" s="213" t="s">
        <v>191</v>
      </c>
      <c r="D49" s="214"/>
      <c r="E49" s="214"/>
      <c r="F49" s="214"/>
      <c r="G49" s="214"/>
      <c r="H49" s="214"/>
      <c r="I49" s="214"/>
      <c r="J49" s="214"/>
      <c r="K49" s="214"/>
      <c r="L49" s="214"/>
      <c r="M49" s="214"/>
      <c r="N49" s="214"/>
      <c r="O49" s="214"/>
      <c r="P49" s="214"/>
      <c r="Q49" s="214"/>
      <c r="R49" s="215"/>
      <c r="S49" s="77"/>
    </row>
    <row r="50" spans="2:19" ht="20.100000000000001" customHeight="1" x14ac:dyDescent="0.4">
      <c r="B50" s="75"/>
      <c r="C50" s="213"/>
      <c r="D50" s="214"/>
      <c r="E50" s="214"/>
      <c r="F50" s="214"/>
      <c r="G50" s="214"/>
      <c r="H50" s="214"/>
      <c r="I50" s="214"/>
      <c r="J50" s="214"/>
      <c r="K50" s="214"/>
      <c r="L50" s="214"/>
      <c r="M50" s="214"/>
      <c r="N50" s="214"/>
      <c r="O50" s="214"/>
      <c r="P50" s="214"/>
      <c r="Q50" s="214"/>
      <c r="R50" s="215"/>
      <c r="S50" s="77"/>
    </row>
    <row r="51" spans="2:19" ht="20.100000000000001" customHeight="1" x14ac:dyDescent="0.4">
      <c r="B51" s="75"/>
      <c r="C51" s="213"/>
      <c r="D51" s="214"/>
      <c r="E51" s="214"/>
      <c r="F51" s="214"/>
      <c r="G51" s="214"/>
      <c r="H51" s="214"/>
      <c r="I51" s="214"/>
      <c r="J51" s="214"/>
      <c r="K51" s="214"/>
      <c r="L51" s="214"/>
      <c r="M51" s="214"/>
      <c r="N51" s="214"/>
      <c r="O51" s="214"/>
      <c r="P51" s="214"/>
      <c r="Q51" s="214"/>
      <c r="R51" s="215"/>
      <c r="S51" s="77"/>
    </row>
    <row r="52" spans="2:19" ht="20.100000000000001" customHeight="1" x14ac:dyDescent="0.4">
      <c r="B52" s="75"/>
      <c r="C52" s="213"/>
      <c r="D52" s="214"/>
      <c r="E52" s="214"/>
      <c r="F52" s="214"/>
      <c r="G52" s="214"/>
      <c r="H52" s="214"/>
      <c r="I52" s="214"/>
      <c r="J52" s="214"/>
      <c r="K52" s="214"/>
      <c r="L52" s="214"/>
      <c r="M52" s="214"/>
      <c r="N52" s="214"/>
      <c r="O52" s="214"/>
      <c r="P52" s="214"/>
      <c r="Q52" s="214"/>
      <c r="R52" s="215"/>
      <c r="S52" s="77"/>
    </row>
    <row r="53" spans="2:19" ht="20.100000000000001" customHeight="1" thickBot="1" x14ac:dyDescent="0.45">
      <c r="B53" s="75"/>
      <c r="C53" s="216"/>
      <c r="D53" s="217"/>
      <c r="E53" s="217"/>
      <c r="F53" s="217"/>
      <c r="G53" s="217"/>
      <c r="H53" s="217"/>
      <c r="I53" s="217"/>
      <c r="J53" s="217"/>
      <c r="K53" s="217"/>
      <c r="L53" s="217"/>
      <c r="M53" s="217"/>
      <c r="N53" s="217"/>
      <c r="O53" s="217"/>
      <c r="P53" s="217"/>
      <c r="Q53" s="217"/>
      <c r="R53" s="218"/>
      <c r="S53" s="77"/>
    </row>
    <row r="54" spans="2:19" ht="9.9499999999999993" customHeight="1" thickTop="1" x14ac:dyDescent="0.4">
      <c r="B54" s="78"/>
      <c r="C54" s="79"/>
      <c r="D54" s="79"/>
      <c r="E54" s="79"/>
      <c r="F54" s="79"/>
      <c r="G54" s="79"/>
      <c r="H54" s="79"/>
      <c r="I54" s="79"/>
      <c r="J54" s="79"/>
      <c r="K54" s="79"/>
      <c r="L54" s="79"/>
      <c r="M54" s="79"/>
      <c r="N54" s="79"/>
      <c r="O54" s="79"/>
      <c r="P54" s="79"/>
      <c r="Q54" s="79"/>
      <c r="R54" s="79"/>
      <c r="S54" s="80"/>
    </row>
  </sheetData>
  <sheetProtection algorithmName="SHA-512" hashValue="y92A95HIunh0q//StylvTDRuijo8rggfQPAQXZV7+a3VC7D3QCMXiTPZ32noJKisjxdj8ClNzVxWyQiLrffPlg==" saltValue="TdBa29XLXK+6o8yVoru0lw==" spinCount="100000" sheet="1" objects="1" scenarios="1" formatRows="0"/>
  <mergeCells count="123">
    <mergeCell ref="D45:M45"/>
    <mergeCell ref="N45:O45"/>
    <mergeCell ref="P45:Q45"/>
    <mergeCell ref="E43:I43"/>
    <mergeCell ref="J43:M43"/>
    <mergeCell ref="N43:O43"/>
    <mergeCell ref="D44:M44"/>
    <mergeCell ref="N44:O44"/>
    <mergeCell ref="P44:Q44"/>
    <mergeCell ref="E41:I41"/>
    <mergeCell ref="J41:M41"/>
    <mergeCell ref="N41:O41"/>
    <mergeCell ref="E42:I42"/>
    <mergeCell ref="J42:M42"/>
    <mergeCell ref="N42:O42"/>
    <mergeCell ref="E39:I39"/>
    <mergeCell ref="J39:M39"/>
    <mergeCell ref="N39:O39"/>
    <mergeCell ref="E40:I40"/>
    <mergeCell ref="J40:M40"/>
    <mergeCell ref="N40:O40"/>
    <mergeCell ref="E37:I37"/>
    <mergeCell ref="J37:M37"/>
    <mergeCell ref="N37:O37"/>
    <mergeCell ref="E38:I38"/>
    <mergeCell ref="J38:M38"/>
    <mergeCell ref="N38:O38"/>
    <mergeCell ref="E35:I35"/>
    <mergeCell ref="J35:M35"/>
    <mergeCell ref="N35:O35"/>
    <mergeCell ref="E36:I36"/>
    <mergeCell ref="J36:M36"/>
    <mergeCell ref="N36:O36"/>
    <mergeCell ref="C30:R30"/>
    <mergeCell ref="D32:Q32"/>
    <mergeCell ref="D33:I33"/>
    <mergeCell ref="J33:M33"/>
    <mergeCell ref="N33:O33"/>
    <mergeCell ref="E34:I34"/>
    <mergeCell ref="J34:M34"/>
    <mergeCell ref="N34:O34"/>
    <mergeCell ref="I26:J26"/>
    <mergeCell ref="I27:J27"/>
    <mergeCell ref="D26:E26"/>
    <mergeCell ref="D27:E27"/>
    <mergeCell ref="G25:J25"/>
    <mergeCell ref="G26:H26"/>
    <mergeCell ref="G27:H27"/>
    <mergeCell ref="D25:F25"/>
    <mergeCell ref="K25:M25"/>
    <mergeCell ref="N25:P25"/>
    <mergeCell ref="D21:F21"/>
    <mergeCell ref="D22:F22"/>
    <mergeCell ref="G21:J21"/>
    <mergeCell ref="G22:J22"/>
    <mergeCell ref="K21:M21"/>
    <mergeCell ref="N21:Q21"/>
    <mergeCell ref="K22:M22"/>
    <mergeCell ref="N22:Q22"/>
    <mergeCell ref="D24:M24"/>
    <mergeCell ref="N24:O24"/>
    <mergeCell ref="D19:F19"/>
    <mergeCell ref="G19:J19"/>
    <mergeCell ref="K19:M19"/>
    <mergeCell ref="N19:Q19"/>
    <mergeCell ref="D20:F20"/>
    <mergeCell ref="G20:J20"/>
    <mergeCell ref="K20:M20"/>
    <mergeCell ref="N20:Q20"/>
    <mergeCell ref="D17:Q17"/>
    <mergeCell ref="D18:F18"/>
    <mergeCell ref="G18:J18"/>
    <mergeCell ref="K18:M18"/>
    <mergeCell ref="N18:Q18"/>
    <mergeCell ref="C8:R8"/>
    <mergeCell ref="C48:R48"/>
    <mergeCell ref="C49:R53"/>
    <mergeCell ref="D10:Q10"/>
    <mergeCell ref="D11:F11"/>
    <mergeCell ref="G11:J11"/>
    <mergeCell ref="K11:M11"/>
    <mergeCell ref="N11:Q11"/>
    <mergeCell ref="D12:F12"/>
    <mergeCell ref="G12:J12"/>
    <mergeCell ref="D14:F14"/>
    <mergeCell ref="G14:J14"/>
    <mergeCell ref="K14:M14"/>
    <mergeCell ref="N14:Q14"/>
    <mergeCell ref="D15:F15"/>
    <mergeCell ref="G15:J15"/>
    <mergeCell ref="K15:M15"/>
    <mergeCell ref="N15:Q15"/>
    <mergeCell ref="K12:M12"/>
    <mergeCell ref="N12:Q12"/>
    <mergeCell ref="D13:F13"/>
    <mergeCell ref="G13:J13"/>
    <mergeCell ref="K13:M13"/>
    <mergeCell ref="N13:Q13"/>
    <mergeCell ref="C6:D6"/>
    <mergeCell ref="E6:G6"/>
    <mergeCell ref="H6:I6"/>
    <mergeCell ref="J6:L6"/>
    <mergeCell ref="M6:O6"/>
    <mergeCell ref="P6:R6"/>
    <mergeCell ref="C5:D5"/>
    <mergeCell ref="E5:G5"/>
    <mergeCell ref="H5:I5"/>
    <mergeCell ref="J5:L5"/>
    <mergeCell ref="M5:O5"/>
    <mergeCell ref="P5:R5"/>
    <mergeCell ref="C4:D4"/>
    <mergeCell ref="E4:G4"/>
    <mergeCell ref="H4:I4"/>
    <mergeCell ref="J4:L4"/>
    <mergeCell ref="M4:O4"/>
    <mergeCell ref="P4:R4"/>
    <mergeCell ref="C2:R2"/>
    <mergeCell ref="C3:D3"/>
    <mergeCell ref="E3:G3"/>
    <mergeCell ref="H3:I3"/>
    <mergeCell ref="J3:L3"/>
    <mergeCell ref="M3:O3"/>
    <mergeCell ref="P3:R3"/>
  </mergeCells>
  <conditionalFormatting sqref="M27">
    <cfRule type="expression" dxfId="13" priority="13">
      <formula>ABS(M27)&gt;=$F27</formula>
    </cfRule>
    <cfRule type="expression" dxfId="12" priority="14">
      <formula>ABS(M27)&lt;$F27</formula>
    </cfRule>
  </conditionalFormatting>
  <conditionalFormatting sqref="N34:O43">
    <cfRule type="cellIs" dxfId="11" priority="1" operator="equal">
      <formula>"Non"</formula>
    </cfRule>
    <cfRule type="cellIs" dxfId="10" priority="2" operator="equal">
      <formula>"Oui"</formula>
    </cfRule>
    <cfRule type="cellIs" dxfId="9" priority="3" operator="equal">
      <formula>"Réserve"</formula>
    </cfRule>
    <cfRule type="cellIs" dxfId="8" priority="4" operator="equal">
      <formula>"Non validé"</formula>
    </cfRule>
    <cfRule type="cellIs" dxfId="7" priority="5" operator="equal">
      <formula>"Non contrôlé"</formula>
    </cfRule>
    <cfRule type="cellIs" dxfId="6" priority="6" operator="equal">
      <formula>"Validé"</formula>
    </cfRule>
  </conditionalFormatting>
  <conditionalFormatting sqref="P24">
    <cfRule type="expression" dxfId="5" priority="10">
      <formula>$P$24&lt;&gt;""</formula>
    </cfRule>
  </conditionalFormatting>
  <conditionalFormatting sqref="P27">
    <cfRule type="expression" dxfId="4" priority="11">
      <formula>ABS(P27)&gt;=$F27</formula>
    </cfRule>
    <cfRule type="expression" dxfId="3" priority="12">
      <formula>ABS(P27)&lt;$F27</formula>
    </cfRule>
  </conditionalFormatting>
  <conditionalFormatting sqref="P45:Q45">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9">
    <dataValidation type="list" allowBlank="1" showInputMessage="1" showErrorMessage="1" sqref="N11" xr:uid="{00000000-0002-0000-0700-000000000000}">
      <formula1>Frequence</formula1>
    </dataValidation>
    <dataValidation type="list" allowBlank="1" showInputMessage="1" showErrorMessage="1" sqref="N18:Q18" xr:uid="{00000000-0002-0000-0700-000001000000}">
      <formula1>Montage_sonde</formula1>
    </dataValidation>
    <dataValidation type="list" allowBlank="1" showInputMessage="1" showErrorMessage="1" sqref="D32:Q32" xr:uid="{00000000-0002-0000-0700-000003000000}">
      <formula1>IF(J3="A6", Q_en_charge_boues, Q_en_charge)</formula1>
    </dataValidation>
    <dataValidation type="list" allowBlank="1" showInputMessage="1" showErrorMessage="1" sqref="N34:O36 N38:O43" xr:uid="{00000000-0002-0000-0700-000004000000}">
      <formula1>INDIRECT($U34)</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sqref="N37:O37" xr:uid="{00000000-0002-0000-0700-000005000000}">
      <formula1>INDIRECT($U37)</formula1>
    </dataValidation>
    <dataValidation allowBlank="1" showInputMessage="1" showErrorMessage="1" promptTitle="Voir fiche constructeur" prompt="Gain (dB) : Niveau d'amplification du signal. Une valeur basse est normale ; une valeur élevée indique un encrassement des électrodes ou un fluide peu conducteur." sqref="K21:M21" xr:uid="{2F9FC61D-0F39-44EE-A4CD-91EB4663DDAE}"/>
    <dataValidation allowBlank="1" showInputMessage="1" showErrorMessage="1" promptTitle="Voir fiche constructeur" prompt="Indice de Qualité (IQ) : Fiabilité de la mesure (0 à 100 %). Un score bas signale des perturbations (bulles d'air, turbulences ou interférences électriques)." sqref="K22:M22" xr:uid="{8C87E891-E6A7-4705-9A1C-341858342C16}"/>
    <dataValidation allowBlank="1" showInputMessage="1" showErrorMessage="1" promptTitle="Type de montage" prompt="Montage en / ou Z : 1 traversée. Gros diamètres ou fluides chargés._x000a_Montage en V : 2 traversées. Montage standard._x000a_Montage en N : 3 traversées. Petits diamètres._x000a_Montage en W : 4 traversées. Très petits diamètres ou débits très faibles_x000a_" sqref="K18:M18" xr:uid="{F165F1C4-55B3-4027-A47B-C031D0CDF3F3}"/>
    <dataValidation allowBlank="1" showInputMessage="1" showErrorMessage="1" promptTitle="Conseil de saisie" prompt="Veuillez vous référer aux valeurs définies dans la feuille BD Débitmètres" sqref="N13:Q13 G13:J13" xr:uid="{F81A451B-BEE9-42D0-A664-4DBC322B7F5C}"/>
  </dataValidations>
  <pageMargins left="0.70866141732283472" right="0.70866141732283472" top="0.74803149606299213" bottom="0.74803149606299213" header="0.31496062992125984" footer="0.31496062992125984"/>
  <pageSetup paperSize="9" scale="50" fitToHeight="0" orientation="portrait" r:id="rId1"/>
  <rowBreaks count="1" manualBreakCount="1">
    <brk id="29" min="1" max="18"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85" zoomScaleNormal="85" workbookViewId="0">
      <pane xSplit="1" ySplit="4" topLeftCell="H5" activePane="bottomRight" state="frozen"/>
      <selection pane="topRight" activeCell="B1" sqref="B1"/>
      <selection pane="bottomLeft" activeCell="A5" sqref="A5"/>
      <selection pane="bottomRight" activeCell="M7" sqref="M7"/>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174</v>
      </c>
      <c r="C1" s="18"/>
      <c r="D1" s="18"/>
      <c r="E1" s="18"/>
      <c r="F1" s="18"/>
      <c r="G1" s="18"/>
      <c r="H1" s="18"/>
      <c r="I1" s="18"/>
    </row>
    <row r="2" spans="1:603" ht="37.700000000000003" customHeight="1" thickBot="1" x14ac:dyDescent="0.45">
      <c r="A2" s="173"/>
      <c r="B2" s="174" t="s">
        <v>87</v>
      </c>
      <c r="C2" s="175"/>
      <c r="D2" s="175"/>
      <c r="E2" s="175"/>
      <c r="F2" s="175"/>
      <c r="G2" s="175"/>
      <c r="H2" s="175"/>
      <c r="I2" s="175"/>
      <c r="J2" s="176"/>
      <c r="K2" s="176"/>
      <c r="L2" s="177"/>
      <c r="M2" s="177"/>
      <c r="N2" s="176"/>
      <c r="O2" s="176"/>
      <c r="P2" s="177"/>
      <c r="Q2" s="177"/>
      <c r="R2" s="176"/>
      <c r="S2" s="176"/>
      <c r="T2" s="177"/>
      <c r="U2" s="177"/>
      <c r="V2" s="178" t="s">
        <v>90</v>
      </c>
      <c r="W2" s="179"/>
      <c r="X2" s="180"/>
      <c r="Y2" s="180"/>
      <c r="Z2" s="179"/>
      <c r="AA2" s="179"/>
      <c r="AB2" s="180"/>
      <c r="AC2" s="180"/>
      <c r="AD2" s="179"/>
      <c r="AE2" s="179"/>
      <c r="AF2" s="180"/>
      <c r="AG2" s="180"/>
      <c r="AH2" s="179"/>
      <c r="AI2" s="179"/>
      <c r="AJ2" s="180"/>
      <c r="AK2" s="180"/>
      <c r="AL2" s="179"/>
      <c r="AM2" s="179"/>
      <c r="AN2" s="180"/>
      <c r="AO2" s="180"/>
      <c r="AP2" s="179"/>
      <c r="AQ2" s="179"/>
      <c r="AR2" s="180"/>
      <c r="AS2" s="180"/>
      <c r="AT2" s="179"/>
      <c r="AU2" s="179"/>
      <c r="AV2" s="180"/>
      <c r="AW2" s="180"/>
      <c r="AX2" s="179"/>
      <c r="AY2" s="179"/>
      <c r="AZ2" s="180"/>
      <c r="BA2" s="180"/>
      <c r="BB2" s="179"/>
      <c r="BC2" s="179"/>
      <c r="BD2" s="180"/>
      <c r="BE2" s="180"/>
      <c r="BF2" s="181" t="s">
        <v>337</v>
      </c>
      <c r="BG2" s="182"/>
      <c r="BH2" s="182"/>
      <c r="BI2" s="182"/>
      <c r="BJ2" s="182"/>
      <c r="BK2" s="182"/>
      <c r="BL2" s="182"/>
      <c r="BM2" s="182"/>
      <c r="BN2" s="182"/>
      <c r="BO2" s="182"/>
      <c r="BP2" s="182"/>
      <c r="BQ2" s="182"/>
      <c r="BR2" s="183" t="s">
        <v>338</v>
      </c>
      <c r="BS2" s="184"/>
      <c r="BT2" s="184"/>
      <c r="BU2" s="184"/>
      <c r="BV2" s="184"/>
      <c r="BW2" s="184"/>
      <c r="BX2" s="184"/>
      <c r="BY2" s="184"/>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113</v>
      </c>
      <c r="C3" s="27"/>
      <c r="D3" s="28"/>
      <c r="E3" s="29"/>
      <c r="F3" s="27" t="s">
        <v>114</v>
      </c>
      <c r="G3" s="27"/>
      <c r="H3" s="28"/>
      <c r="I3" s="29"/>
      <c r="J3" s="27" t="s">
        <v>247</v>
      </c>
      <c r="K3" s="27"/>
      <c r="L3" s="28"/>
      <c r="M3" s="29"/>
      <c r="N3" s="27" t="s">
        <v>88</v>
      </c>
      <c r="O3" s="27"/>
      <c r="P3" s="28"/>
      <c r="Q3" s="29"/>
      <c r="R3" s="27" t="s">
        <v>248</v>
      </c>
      <c r="S3" s="27"/>
      <c r="T3" s="28"/>
      <c r="U3" s="29"/>
      <c r="V3" s="30" t="s">
        <v>14</v>
      </c>
      <c r="W3" s="27"/>
      <c r="X3" s="28"/>
      <c r="Y3" s="29"/>
      <c r="Z3" s="31" t="s">
        <v>16</v>
      </c>
      <c r="AA3" s="32"/>
      <c r="AB3" s="33"/>
      <c r="AC3" s="34"/>
      <c r="AD3" s="31" t="s">
        <v>2</v>
      </c>
      <c r="AE3" s="32"/>
      <c r="AF3" s="33"/>
      <c r="AG3" s="34"/>
      <c r="AH3" s="31" t="s">
        <v>314</v>
      </c>
      <c r="AI3" s="32"/>
      <c r="AJ3" s="33"/>
      <c r="AK3" s="34"/>
      <c r="AL3" s="31" t="s">
        <v>17</v>
      </c>
      <c r="AM3" s="32"/>
      <c r="AN3" s="33"/>
      <c r="AO3" s="34"/>
      <c r="AP3" s="31" t="s">
        <v>18</v>
      </c>
      <c r="AQ3" s="27"/>
      <c r="AR3" s="28"/>
      <c r="AS3" s="29"/>
      <c r="AT3" s="31" t="s">
        <v>3</v>
      </c>
      <c r="AU3" s="32"/>
      <c r="AV3" s="33"/>
      <c r="AW3" s="34"/>
      <c r="AX3" s="31" t="s">
        <v>19</v>
      </c>
      <c r="AY3" s="32"/>
      <c r="AZ3" s="33"/>
      <c r="BA3" s="34"/>
      <c r="BB3" s="31" t="s">
        <v>20</v>
      </c>
      <c r="BC3" s="32"/>
      <c r="BD3" s="33"/>
      <c r="BE3" s="34"/>
      <c r="BF3" s="31" t="s">
        <v>21</v>
      </c>
      <c r="BG3" s="32"/>
      <c r="BH3" s="33"/>
      <c r="BI3" s="33"/>
      <c r="BJ3" s="104" t="s">
        <v>22</v>
      </c>
      <c r="BK3" s="105"/>
      <c r="BL3" s="106"/>
      <c r="BM3" s="107"/>
      <c r="BN3" s="31" t="s">
        <v>23</v>
      </c>
      <c r="BO3" s="27"/>
      <c r="BP3" s="28"/>
      <c r="BQ3" s="29"/>
      <c r="BR3" s="31" t="s">
        <v>179</v>
      </c>
      <c r="BS3" s="27"/>
      <c r="BT3" s="28"/>
      <c r="BU3" s="29"/>
      <c r="BV3" s="31" t="s">
        <v>180</v>
      </c>
      <c r="BW3" s="27"/>
      <c r="BX3" s="28"/>
      <c r="BY3" s="29"/>
    </row>
    <row r="4" spans="1:603" s="16" customFormat="1" ht="21.7" thickBot="1" x14ac:dyDescent="0.45">
      <c r="A4" s="35"/>
      <c r="B4" s="36" t="s">
        <v>1</v>
      </c>
      <c r="C4" s="36" t="s">
        <v>115</v>
      </c>
      <c r="D4" s="36" t="s">
        <v>116</v>
      </c>
      <c r="E4" s="37" t="s">
        <v>117</v>
      </c>
      <c r="F4" s="36" t="s">
        <v>1</v>
      </c>
      <c r="G4" s="36" t="s">
        <v>115</v>
      </c>
      <c r="H4" s="36" t="s">
        <v>116</v>
      </c>
      <c r="I4" s="37" t="s">
        <v>117</v>
      </c>
      <c r="J4" s="36" t="s">
        <v>1</v>
      </c>
      <c r="K4" s="36" t="s">
        <v>115</v>
      </c>
      <c r="L4" s="36" t="s">
        <v>116</v>
      </c>
      <c r="M4" s="37" t="s">
        <v>117</v>
      </c>
      <c r="N4" s="36" t="s">
        <v>1</v>
      </c>
      <c r="O4" s="36" t="s">
        <v>115</v>
      </c>
      <c r="P4" s="36" t="s">
        <v>116</v>
      </c>
      <c r="Q4" s="37" t="s">
        <v>117</v>
      </c>
      <c r="R4" s="36" t="s">
        <v>1</v>
      </c>
      <c r="S4" s="36" t="s">
        <v>115</v>
      </c>
      <c r="T4" s="36" t="s">
        <v>116</v>
      </c>
      <c r="U4" s="37" t="s">
        <v>117</v>
      </c>
      <c r="V4" s="38" t="s">
        <v>1</v>
      </c>
      <c r="W4" s="36" t="s">
        <v>115</v>
      </c>
      <c r="X4" s="36" t="s">
        <v>116</v>
      </c>
      <c r="Y4" s="37" t="s">
        <v>117</v>
      </c>
      <c r="Z4" s="36" t="s">
        <v>1</v>
      </c>
      <c r="AA4" s="36" t="s">
        <v>115</v>
      </c>
      <c r="AB4" s="36" t="s">
        <v>116</v>
      </c>
      <c r="AC4" s="37" t="s">
        <v>117</v>
      </c>
      <c r="AD4" s="36" t="s">
        <v>1</v>
      </c>
      <c r="AE4" s="36" t="s">
        <v>115</v>
      </c>
      <c r="AF4" s="36" t="s">
        <v>116</v>
      </c>
      <c r="AG4" s="37" t="s">
        <v>117</v>
      </c>
      <c r="AH4" s="36" t="s">
        <v>1</v>
      </c>
      <c r="AI4" s="36" t="s">
        <v>115</v>
      </c>
      <c r="AJ4" s="36" t="s">
        <v>116</v>
      </c>
      <c r="AK4" s="37" t="s">
        <v>117</v>
      </c>
      <c r="AL4" s="36" t="s">
        <v>1</v>
      </c>
      <c r="AM4" s="36" t="s">
        <v>115</v>
      </c>
      <c r="AN4" s="36" t="s">
        <v>116</v>
      </c>
      <c r="AO4" s="37" t="s">
        <v>117</v>
      </c>
      <c r="AP4" s="36" t="s">
        <v>1</v>
      </c>
      <c r="AQ4" s="36" t="s">
        <v>115</v>
      </c>
      <c r="AR4" s="36" t="s">
        <v>116</v>
      </c>
      <c r="AS4" s="37" t="s">
        <v>117</v>
      </c>
      <c r="AT4" s="36" t="s">
        <v>1</v>
      </c>
      <c r="AU4" s="36" t="s">
        <v>115</v>
      </c>
      <c r="AV4" s="36" t="s">
        <v>116</v>
      </c>
      <c r="AW4" s="37" t="s">
        <v>117</v>
      </c>
      <c r="AX4" s="36" t="s">
        <v>1</v>
      </c>
      <c r="AY4" s="36" t="s">
        <v>115</v>
      </c>
      <c r="AZ4" s="36" t="s">
        <v>116</v>
      </c>
      <c r="BA4" s="37" t="s">
        <v>117</v>
      </c>
      <c r="BB4" s="36" t="s">
        <v>1</v>
      </c>
      <c r="BC4" s="36" t="s">
        <v>115</v>
      </c>
      <c r="BD4" s="36" t="s">
        <v>116</v>
      </c>
      <c r="BE4" s="37" t="s">
        <v>117</v>
      </c>
      <c r="BF4" s="36" t="s">
        <v>1</v>
      </c>
      <c r="BG4" s="36" t="s">
        <v>115</v>
      </c>
      <c r="BH4" s="36" t="s">
        <v>116</v>
      </c>
      <c r="BI4" s="36" t="s">
        <v>117</v>
      </c>
      <c r="BJ4" s="108" t="s">
        <v>1</v>
      </c>
      <c r="BK4" s="36" t="s">
        <v>115</v>
      </c>
      <c r="BL4" s="36" t="s">
        <v>116</v>
      </c>
      <c r="BM4" s="109" t="s">
        <v>117</v>
      </c>
      <c r="BN4" s="36" t="s">
        <v>1</v>
      </c>
      <c r="BO4" s="36" t="s">
        <v>115</v>
      </c>
      <c r="BP4" s="36" t="s">
        <v>116</v>
      </c>
      <c r="BQ4" s="37" t="s">
        <v>117</v>
      </c>
      <c r="BR4" s="36" t="s">
        <v>1</v>
      </c>
      <c r="BS4" s="36" t="s">
        <v>115</v>
      </c>
      <c r="BT4" s="36" t="s">
        <v>116</v>
      </c>
      <c r="BU4" s="37" t="s">
        <v>117</v>
      </c>
      <c r="BV4" s="36" t="s">
        <v>1</v>
      </c>
      <c r="BW4" s="36" t="s">
        <v>115</v>
      </c>
      <c r="BX4" s="36" t="s">
        <v>116</v>
      </c>
      <c r="BY4" s="37" t="s">
        <v>117</v>
      </c>
    </row>
    <row r="5" spans="1:603" s="23" customFormat="1" ht="51" thickTop="1" x14ac:dyDescent="0.4">
      <c r="A5" s="122">
        <v>1</v>
      </c>
      <c r="B5" s="123" t="s">
        <v>118</v>
      </c>
      <c r="C5" s="124" t="s">
        <v>249</v>
      </c>
      <c r="D5" s="125">
        <v>10</v>
      </c>
      <c r="E5" s="126" t="s">
        <v>40</v>
      </c>
      <c r="F5" s="123" t="s">
        <v>118</v>
      </c>
      <c r="G5" s="124" t="s">
        <v>249</v>
      </c>
      <c r="H5" s="125">
        <v>10</v>
      </c>
      <c r="I5" s="126" t="s">
        <v>40</v>
      </c>
      <c r="J5" s="123" t="s">
        <v>118</v>
      </c>
      <c r="K5" s="124" t="s">
        <v>249</v>
      </c>
      <c r="L5" s="125">
        <v>10</v>
      </c>
      <c r="M5" s="126" t="s">
        <v>40</v>
      </c>
      <c r="N5" s="123" t="s">
        <v>118</v>
      </c>
      <c r="O5" s="124" t="s">
        <v>249</v>
      </c>
      <c r="P5" s="125">
        <v>10</v>
      </c>
      <c r="Q5" s="126" t="s">
        <v>40</v>
      </c>
      <c r="R5" s="123" t="s">
        <v>118</v>
      </c>
      <c r="S5" s="124" t="s">
        <v>249</v>
      </c>
      <c r="T5" s="125">
        <v>10</v>
      </c>
      <c r="U5" s="126" t="s">
        <v>40</v>
      </c>
      <c r="V5" s="127" t="s">
        <v>118</v>
      </c>
      <c r="W5" s="124" t="s">
        <v>249</v>
      </c>
      <c r="X5" s="125">
        <v>10</v>
      </c>
      <c r="Y5" s="126" t="s">
        <v>40</v>
      </c>
      <c r="Z5" s="123" t="s">
        <v>118</v>
      </c>
      <c r="AA5" s="124" t="s">
        <v>249</v>
      </c>
      <c r="AB5" s="125">
        <v>10</v>
      </c>
      <c r="AC5" s="126" t="s">
        <v>40</v>
      </c>
      <c r="AD5" s="123" t="s">
        <v>118</v>
      </c>
      <c r="AE5" s="124" t="s">
        <v>249</v>
      </c>
      <c r="AF5" s="125">
        <v>10</v>
      </c>
      <c r="AG5" s="126" t="s">
        <v>40</v>
      </c>
      <c r="AH5" s="123" t="s">
        <v>118</v>
      </c>
      <c r="AI5" s="124" t="s">
        <v>249</v>
      </c>
      <c r="AJ5" s="125">
        <v>10</v>
      </c>
      <c r="AK5" s="126" t="s">
        <v>40</v>
      </c>
      <c r="AL5" s="123" t="s">
        <v>118</v>
      </c>
      <c r="AM5" s="124" t="s">
        <v>249</v>
      </c>
      <c r="AN5" s="125">
        <v>10</v>
      </c>
      <c r="AO5" s="126" t="s">
        <v>40</v>
      </c>
      <c r="AP5" s="127" t="s">
        <v>118</v>
      </c>
      <c r="AQ5" s="124" t="s">
        <v>249</v>
      </c>
      <c r="AR5" s="125">
        <v>10</v>
      </c>
      <c r="AS5" s="126" t="s">
        <v>40</v>
      </c>
      <c r="AT5" s="127" t="s">
        <v>118</v>
      </c>
      <c r="AU5" s="124" t="s">
        <v>249</v>
      </c>
      <c r="AV5" s="125">
        <v>10</v>
      </c>
      <c r="AW5" s="126" t="s">
        <v>40</v>
      </c>
      <c r="AX5" s="123" t="s">
        <v>118</v>
      </c>
      <c r="AY5" s="124" t="s">
        <v>249</v>
      </c>
      <c r="AZ5" s="125">
        <v>10</v>
      </c>
      <c r="BA5" s="126" t="s">
        <v>40</v>
      </c>
      <c r="BB5" s="123" t="s">
        <v>118</v>
      </c>
      <c r="BC5" s="124" t="s">
        <v>249</v>
      </c>
      <c r="BD5" s="125">
        <v>10</v>
      </c>
      <c r="BE5" s="126" t="s">
        <v>40</v>
      </c>
      <c r="BF5" s="123" t="s">
        <v>118</v>
      </c>
      <c r="BG5" s="124" t="s">
        <v>249</v>
      </c>
      <c r="BH5" s="125">
        <v>10</v>
      </c>
      <c r="BI5" s="128" t="s">
        <v>40</v>
      </c>
      <c r="BJ5" s="129" t="s">
        <v>118</v>
      </c>
      <c r="BK5" s="124" t="s">
        <v>249</v>
      </c>
      <c r="BL5" s="125">
        <v>10</v>
      </c>
      <c r="BM5" s="130" t="s">
        <v>40</v>
      </c>
      <c r="BN5" s="123" t="s">
        <v>118</v>
      </c>
      <c r="BO5" s="124" t="s">
        <v>249</v>
      </c>
      <c r="BP5" s="125">
        <v>10</v>
      </c>
      <c r="BQ5" s="126" t="s">
        <v>40</v>
      </c>
      <c r="BR5" s="127" t="s">
        <v>118</v>
      </c>
      <c r="BS5" s="124" t="s">
        <v>249</v>
      </c>
      <c r="BT5" s="125">
        <v>10</v>
      </c>
      <c r="BU5" s="126" t="s">
        <v>40</v>
      </c>
      <c r="BV5" s="127" t="s">
        <v>118</v>
      </c>
      <c r="BW5" s="124" t="s">
        <v>249</v>
      </c>
      <c r="BX5" s="125">
        <v>10</v>
      </c>
      <c r="BY5" s="126" t="s">
        <v>40</v>
      </c>
    </row>
    <row r="6" spans="1:603" s="46" customFormat="1" ht="114" x14ac:dyDescent="0.4">
      <c r="A6" s="39">
        <v>2</v>
      </c>
      <c r="B6" s="40" t="s">
        <v>119</v>
      </c>
      <c r="C6" s="41" t="s">
        <v>270</v>
      </c>
      <c r="D6" s="42">
        <v>10</v>
      </c>
      <c r="E6" s="43" t="s">
        <v>40</v>
      </c>
      <c r="F6" s="40" t="s">
        <v>119</v>
      </c>
      <c r="G6" s="41" t="s">
        <v>270</v>
      </c>
      <c r="H6" s="42">
        <v>10</v>
      </c>
      <c r="I6" s="43" t="s">
        <v>40</v>
      </c>
      <c r="J6" s="40" t="s">
        <v>119</v>
      </c>
      <c r="K6" s="41" t="s">
        <v>270</v>
      </c>
      <c r="L6" s="42">
        <v>10</v>
      </c>
      <c r="M6" s="43" t="s">
        <v>40</v>
      </c>
      <c r="N6" s="40" t="s">
        <v>119</v>
      </c>
      <c r="O6" s="41" t="s">
        <v>270</v>
      </c>
      <c r="P6" s="42">
        <v>10</v>
      </c>
      <c r="Q6" s="43" t="s">
        <v>40</v>
      </c>
      <c r="R6" s="40" t="s">
        <v>119</v>
      </c>
      <c r="S6" s="41" t="s">
        <v>270</v>
      </c>
      <c r="T6" s="42">
        <v>10</v>
      </c>
      <c r="U6" s="43" t="s">
        <v>40</v>
      </c>
      <c r="V6" s="44" t="s">
        <v>120</v>
      </c>
      <c r="W6" s="41" t="s">
        <v>270</v>
      </c>
      <c r="X6" s="42">
        <v>10</v>
      </c>
      <c r="Y6" s="43" t="s">
        <v>40</v>
      </c>
      <c r="Z6" s="40" t="s">
        <v>120</v>
      </c>
      <c r="AA6" s="41" t="s">
        <v>270</v>
      </c>
      <c r="AB6" s="42">
        <v>10</v>
      </c>
      <c r="AC6" s="43" t="s">
        <v>40</v>
      </c>
      <c r="AD6" s="40" t="s">
        <v>24</v>
      </c>
      <c r="AE6" s="41" t="s">
        <v>270</v>
      </c>
      <c r="AF6" s="42">
        <v>10</v>
      </c>
      <c r="AG6" s="43" t="s">
        <v>40</v>
      </c>
      <c r="AH6" s="40" t="s">
        <v>315</v>
      </c>
      <c r="AI6" s="45"/>
      <c r="AJ6" s="42">
        <v>10</v>
      </c>
      <c r="AK6" s="43" t="s">
        <v>40</v>
      </c>
      <c r="AL6" s="40" t="s">
        <v>316</v>
      </c>
      <c r="AM6" s="45"/>
      <c r="AN6" s="42">
        <v>10</v>
      </c>
      <c r="AO6" s="43" t="s">
        <v>40</v>
      </c>
      <c r="AP6" s="40" t="s">
        <v>119</v>
      </c>
      <c r="AQ6" s="41" t="s">
        <v>270</v>
      </c>
      <c r="AR6" s="42">
        <v>10</v>
      </c>
      <c r="AS6" s="43" t="s">
        <v>40</v>
      </c>
      <c r="AT6" s="40" t="s">
        <v>121</v>
      </c>
      <c r="AU6" s="41" t="s">
        <v>270</v>
      </c>
      <c r="AV6" s="42">
        <v>10</v>
      </c>
      <c r="AW6" s="43" t="s">
        <v>40</v>
      </c>
      <c r="AX6" s="40" t="s">
        <v>250</v>
      </c>
      <c r="AY6" s="45" t="s">
        <v>270</v>
      </c>
      <c r="AZ6" s="42">
        <v>10</v>
      </c>
      <c r="BA6" s="43" t="s">
        <v>40</v>
      </c>
      <c r="BB6" s="40" t="s">
        <v>122</v>
      </c>
      <c r="BC6" s="45" t="s">
        <v>270</v>
      </c>
      <c r="BD6" s="42">
        <v>20</v>
      </c>
      <c r="BE6" s="43" t="s">
        <v>40</v>
      </c>
      <c r="BF6" s="40" t="s">
        <v>25</v>
      </c>
      <c r="BG6" s="41" t="s">
        <v>270</v>
      </c>
      <c r="BH6" s="42">
        <v>15</v>
      </c>
      <c r="BI6" s="110" t="s">
        <v>40</v>
      </c>
      <c r="BJ6" s="111" t="s">
        <v>26</v>
      </c>
      <c r="BK6" s="41"/>
      <c r="BL6" s="42">
        <v>15</v>
      </c>
      <c r="BM6" s="112" t="s">
        <v>40</v>
      </c>
      <c r="BN6" s="40" t="s">
        <v>27</v>
      </c>
      <c r="BO6" s="41" t="s">
        <v>270</v>
      </c>
      <c r="BP6" s="42">
        <v>20</v>
      </c>
      <c r="BQ6" s="43" t="s">
        <v>40</v>
      </c>
      <c r="BR6" s="44" t="s">
        <v>181</v>
      </c>
      <c r="BS6" s="41" t="s">
        <v>182</v>
      </c>
      <c r="BT6" s="42">
        <v>30</v>
      </c>
      <c r="BU6" s="43" t="s">
        <v>40</v>
      </c>
      <c r="BV6" s="40" t="s">
        <v>183</v>
      </c>
      <c r="BW6" s="41" t="s">
        <v>184</v>
      </c>
      <c r="BX6" s="42">
        <v>20</v>
      </c>
      <c r="BY6" s="43" t="s">
        <v>40</v>
      </c>
    </row>
    <row r="7" spans="1:603" s="23" customFormat="1" ht="114" x14ac:dyDescent="0.4">
      <c r="A7" s="131">
        <v>3</v>
      </c>
      <c r="B7" s="24" t="s">
        <v>123</v>
      </c>
      <c r="C7" s="25" t="s">
        <v>270</v>
      </c>
      <c r="D7" s="132">
        <v>10</v>
      </c>
      <c r="E7" s="133" t="s">
        <v>40</v>
      </c>
      <c r="F7" s="24" t="s">
        <v>123</v>
      </c>
      <c r="G7" s="25" t="s">
        <v>270</v>
      </c>
      <c r="H7" s="132">
        <v>10</v>
      </c>
      <c r="I7" s="133" t="s">
        <v>40</v>
      </c>
      <c r="J7" s="24" t="s">
        <v>123</v>
      </c>
      <c r="K7" s="25" t="s">
        <v>270</v>
      </c>
      <c r="L7" s="132">
        <v>10</v>
      </c>
      <c r="M7" s="133" t="s">
        <v>40</v>
      </c>
      <c r="N7" s="24" t="s">
        <v>123</v>
      </c>
      <c r="O7" s="25" t="s">
        <v>270</v>
      </c>
      <c r="P7" s="132">
        <v>10</v>
      </c>
      <c r="Q7" s="133" t="s">
        <v>40</v>
      </c>
      <c r="R7" s="24" t="s">
        <v>123</v>
      </c>
      <c r="S7" s="25" t="s">
        <v>270</v>
      </c>
      <c r="T7" s="132">
        <v>10</v>
      </c>
      <c r="U7" s="133" t="s">
        <v>40</v>
      </c>
      <c r="V7" s="10" t="s">
        <v>313</v>
      </c>
      <c r="W7" s="25" t="s">
        <v>124</v>
      </c>
      <c r="X7" s="132">
        <v>10</v>
      </c>
      <c r="Y7" s="133" t="s">
        <v>40</v>
      </c>
      <c r="Z7" s="24" t="s">
        <v>313</v>
      </c>
      <c r="AA7" s="25" t="s">
        <v>124</v>
      </c>
      <c r="AB7" s="132">
        <v>10</v>
      </c>
      <c r="AC7" s="133" t="s">
        <v>40</v>
      </c>
      <c r="AD7" s="24" t="s">
        <v>329</v>
      </c>
      <c r="AE7" s="25" t="s">
        <v>270</v>
      </c>
      <c r="AF7" s="132">
        <v>10</v>
      </c>
      <c r="AG7" s="133" t="s">
        <v>40</v>
      </c>
      <c r="AH7" s="24" t="s">
        <v>317</v>
      </c>
      <c r="AI7" s="25"/>
      <c r="AJ7" s="132">
        <v>10</v>
      </c>
      <c r="AK7" s="133" t="s">
        <v>40</v>
      </c>
      <c r="AL7" s="24" t="s">
        <v>125</v>
      </c>
      <c r="AM7" s="25"/>
      <c r="AN7" s="132">
        <v>10</v>
      </c>
      <c r="AO7" s="133" t="s">
        <v>40</v>
      </c>
      <c r="AP7" s="24" t="s">
        <v>126</v>
      </c>
      <c r="AQ7" s="25" t="s">
        <v>270</v>
      </c>
      <c r="AR7" s="132">
        <v>10</v>
      </c>
      <c r="AS7" s="133" t="s">
        <v>40</v>
      </c>
      <c r="AT7" s="24" t="s">
        <v>127</v>
      </c>
      <c r="AU7" s="134" t="s">
        <v>270</v>
      </c>
      <c r="AV7" s="132">
        <v>10</v>
      </c>
      <c r="AW7" s="133" t="s">
        <v>40</v>
      </c>
      <c r="AX7" s="24" t="s">
        <v>128</v>
      </c>
      <c r="AY7" s="25" t="s">
        <v>270</v>
      </c>
      <c r="AZ7" s="132">
        <v>10</v>
      </c>
      <c r="BA7" s="133" t="s">
        <v>40</v>
      </c>
      <c r="BB7" s="24" t="s">
        <v>129</v>
      </c>
      <c r="BC7" s="25" t="s">
        <v>270</v>
      </c>
      <c r="BD7" s="132">
        <v>20</v>
      </c>
      <c r="BE7" s="133" t="s">
        <v>40</v>
      </c>
      <c r="BF7" s="24" t="s">
        <v>130</v>
      </c>
      <c r="BG7" s="25" t="s">
        <v>131</v>
      </c>
      <c r="BH7" s="132">
        <v>5</v>
      </c>
      <c r="BI7" s="135" t="s">
        <v>40</v>
      </c>
      <c r="BJ7" s="136" t="s">
        <v>130</v>
      </c>
      <c r="BK7" s="25" t="s">
        <v>131</v>
      </c>
      <c r="BL7" s="132">
        <v>5</v>
      </c>
      <c r="BM7" s="137" t="s">
        <v>40</v>
      </c>
      <c r="BN7" s="24" t="s">
        <v>132</v>
      </c>
      <c r="BO7" s="25" t="s">
        <v>270</v>
      </c>
      <c r="BP7" s="132">
        <v>30</v>
      </c>
      <c r="BQ7" s="133" t="s">
        <v>40</v>
      </c>
      <c r="BR7" s="24" t="s">
        <v>185</v>
      </c>
      <c r="BS7" s="25" t="s">
        <v>136</v>
      </c>
      <c r="BT7" s="132">
        <v>30</v>
      </c>
      <c r="BU7" s="133" t="s">
        <v>40</v>
      </c>
      <c r="BV7" s="24" t="s">
        <v>186</v>
      </c>
      <c r="BW7" s="25" t="s">
        <v>318</v>
      </c>
      <c r="BX7" s="132">
        <v>20</v>
      </c>
      <c r="BY7" s="133" t="s">
        <v>40</v>
      </c>
    </row>
    <row r="8" spans="1:603" s="46" customFormat="1" ht="101.35" x14ac:dyDescent="0.4">
      <c r="A8" s="39">
        <v>4</v>
      </c>
      <c r="B8" s="40" t="s">
        <v>133</v>
      </c>
      <c r="C8" s="41" t="s">
        <v>134</v>
      </c>
      <c r="D8" s="42">
        <v>40</v>
      </c>
      <c r="E8" s="43" t="s">
        <v>42</v>
      </c>
      <c r="F8" s="40" t="s">
        <v>135</v>
      </c>
      <c r="G8" s="41" t="s">
        <v>134</v>
      </c>
      <c r="H8" s="42">
        <v>40</v>
      </c>
      <c r="I8" s="43" t="s">
        <v>72</v>
      </c>
      <c r="J8" s="40" t="s">
        <v>133</v>
      </c>
      <c r="K8" s="41" t="s">
        <v>134</v>
      </c>
      <c r="L8" s="42">
        <v>40</v>
      </c>
      <c r="M8" s="43" t="s">
        <v>42</v>
      </c>
      <c r="N8" s="40" t="s">
        <v>133</v>
      </c>
      <c r="O8" s="41" t="s">
        <v>134</v>
      </c>
      <c r="P8" s="42">
        <v>40</v>
      </c>
      <c r="Q8" s="43" t="s">
        <v>42</v>
      </c>
      <c r="R8" s="40" t="s">
        <v>133</v>
      </c>
      <c r="S8" s="41" t="s">
        <v>134</v>
      </c>
      <c r="T8" s="42">
        <v>40</v>
      </c>
      <c r="U8" s="43" t="s">
        <v>42</v>
      </c>
      <c r="V8" s="44" t="s">
        <v>29</v>
      </c>
      <c r="W8" s="41" t="s">
        <v>136</v>
      </c>
      <c r="X8" s="42">
        <v>10</v>
      </c>
      <c r="Y8" s="43" t="s">
        <v>40</v>
      </c>
      <c r="Z8" s="40" t="s">
        <v>29</v>
      </c>
      <c r="AA8" s="41" t="s">
        <v>136</v>
      </c>
      <c r="AB8" s="42">
        <v>10</v>
      </c>
      <c r="AC8" s="43" t="s">
        <v>40</v>
      </c>
      <c r="AD8" s="40" t="s">
        <v>30</v>
      </c>
      <c r="AE8" s="41" t="s">
        <v>136</v>
      </c>
      <c r="AF8" s="42">
        <v>10</v>
      </c>
      <c r="AG8" s="43" t="s">
        <v>40</v>
      </c>
      <c r="AH8" s="40" t="s">
        <v>31</v>
      </c>
      <c r="AI8" s="41" t="s">
        <v>136</v>
      </c>
      <c r="AJ8" s="42">
        <v>10</v>
      </c>
      <c r="AK8" s="43" t="s">
        <v>40</v>
      </c>
      <c r="AL8" s="40" t="s">
        <v>31</v>
      </c>
      <c r="AM8" s="41" t="s">
        <v>136</v>
      </c>
      <c r="AN8" s="42">
        <v>10</v>
      </c>
      <c r="AO8" s="43" t="s">
        <v>40</v>
      </c>
      <c r="AP8" s="44" t="s">
        <v>31</v>
      </c>
      <c r="AQ8" s="41" t="s">
        <v>136</v>
      </c>
      <c r="AR8" s="42">
        <v>10</v>
      </c>
      <c r="AS8" s="43" t="s">
        <v>40</v>
      </c>
      <c r="AT8" s="40" t="s">
        <v>137</v>
      </c>
      <c r="AU8" s="41" t="s">
        <v>136</v>
      </c>
      <c r="AV8" s="42">
        <v>10</v>
      </c>
      <c r="AW8" s="43" t="s">
        <v>40</v>
      </c>
      <c r="AX8" s="40" t="s">
        <v>32</v>
      </c>
      <c r="AY8" s="41" t="s">
        <v>136</v>
      </c>
      <c r="AZ8" s="42">
        <v>10</v>
      </c>
      <c r="BA8" s="43" t="s">
        <v>40</v>
      </c>
      <c r="BB8" s="40" t="s">
        <v>138</v>
      </c>
      <c r="BC8" s="41" t="s">
        <v>270</v>
      </c>
      <c r="BD8" s="42">
        <v>20</v>
      </c>
      <c r="BE8" s="43" t="s">
        <v>40</v>
      </c>
      <c r="BF8" s="40" t="s">
        <v>28</v>
      </c>
      <c r="BG8" s="41" t="s">
        <v>270</v>
      </c>
      <c r="BH8" s="42">
        <v>5</v>
      </c>
      <c r="BI8" s="110" t="s">
        <v>40</v>
      </c>
      <c r="BJ8" s="111" t="s">
        <v>139</v>
      </c>
      <c r="BK8" s="41"/>
      <c r="BL8" s="42">
        <v>5</v>
      </c>
      <c r="BM8" s="112" t="s">
        <v>40</v>
      </c>
      <c r="BN8" s="40" t="s">
        <v>33</v>
      </c>
      <c r="BO8" s="41" t="s">
        <v>131</v>
      </c>
      <c r="BP8" s="42">
        <v>20</v>
      </c>
      <c r="BQ8" s="43" t="s">
        <v>40</v>
      </c>
      <c r="BR8" s="44" t="s">
        <v>187</v>
      </c>
      <c r="BS8" s="41" t="s">
        <v>270</v>
      </c>
      <c r="BT8" s="42">
        <v>30</v>
      </c>
      <c r="BU8" s="43" t="s">
        <v>40</v>
      </c>
      <c r="BV8" s="40" t="s">
        <v>188</v>
      </c>
      <c r="BW8" s="41" t="s">
        <v>136</v>
      </c>
      <c r="BX8" s="42">
        <v>20</v>
      </c>
      <c r="BY8" s="43" t="s">
        <v>40</v>
      </c>
    </row>
    <row r="9" spans="1:603" s="23" customFormat="1" ht="114.7" x14ac:dyDescent="0.4">
      <c r="A9" s="131">
        <v>5</v>
      </c>
      <c r="B9" s="138" t="s">
        <v>140</v>
      </c>
      <c r="C9" s="139" t="s">
        <v>141</v>
      </c>
      <c r="D9" s="140">
        <v>20</v>
      </c>
      <c r="E9" s="141" t="s">
        <v>40</v>
      </c>
      <c r="F9" s="138" t="s">
        <v>142</v>
      </c>
      <c r="G9" s="139" t="s">
        <v>141</v>
      </c>
      <c r="H9" s="140">
        <v>20</v>
      </c>
      <c r="I9" s="141" t="s">
        <v>40</v>
      </c>
      <c r="J9" s="138" t="s">
        <v>140</v>
      </c>
      <c r="K9" s="139" t="s">
        <v>141</v>
      </c>
      <c r="L9" s="140">
        <v>20</v>
      </c>
      <c r="M9" s="141" t="s">
        <v>40</v>
      </c>
      <c r="N9" s="138" t="s">
        <v>140</v>
      </c>
      <c r="O9" s="139" t="s">
        <v>141</v>
      </c>
      <c r="P9" s="140">
        <v>20</v>
      </c>
      <c r="Q9" s="141" t="s">
        <v>40</v>
      </c>
      <c r="R9" s="138" t="s">
        <v>140</v>
      </c>
      <c r="S9" s="139" t="s">
        <v>141</v>
      </c>
      <c r="T9" s="140">
        <v>20</v>
      </c>
      <c r="U9" s="141" t="s">
        <v>40</v>
      </c>
      <c r="V9" s="10" t="s">
        <v>34</v>
      </c>
      <c r="W9" s="25" t="s">
        <v>251</v>
      </c>
      <c r="X9" s="132">
        <v>10</v>
      </c>
      <c r="Y9" s="133" t="s">
        <v>40</v>
      </c>
      <c r="Z9" s="24" t="s">
        <v>34</v>
      </c>
      <c r="AA9" s="25" t="s">
        <v>251</v>
      </c>
      <c r="AB9" s="132">
        <v>10</v>
      </c>
      <c r="AC9" s="133" t="s">
        <v>40</v>
      </c>
      <c r="AD9" s="24" t="s">
        <v>34</v>
      </c>
      <c r="AE9" s="25" t="s">
        <v>252</v>
      </c>
      <c r="AF9" s="132">
        <v>10</v>
      </c>
      <c r="AG9" s="133" t="s">
        <v>40</v>
      </c>
      <c r="AH9" s="24" t="s">
        <v>143</v>
      </c>
      <c r="AI9" s="25" t="s">
        <v>253</v>
      </c>
      <c r="AJ9" s="132">
        <v>10</v>
      </c>
      <c r="AK9" s="133" t="s">
        <v>40</v>
      </c>
      <c r="AL9" s="24" t="s">
        <v>143</v>
      </c>
      <c r="AM9" s="25" t="s">
        <v>253</v>
      </c>
      <c r="AN9" s="132">
        <v>10</v>
      </c>
      <c r="AO9" s="133" t="s">
        <v>40</v>
      </c>
      <c r="AP9" s="10" t="s">
        <v>143</v>
      </c>
      <c r="AQ9" s="25" t="s">
        <v>144</v>
      </c>
      <c r="AR9" s="132">
        <v>10</v>
      </c>
      <c r="AS9" s="133" t="s">
        <v>40</v>
      </c>
      <c r="AT9" s="24" t="s">
        <v>145</v>
      </c>
      <c r="AU9" s="142" t="s">
        <v>146</v>
      </c>
      <c r="AV9" s="132">
        <v>10</v>
      </c>
      <c r="AW9" s="133" t="s">
        <v>40</v>
      </c>
      <c r="AX9" s="24" t="s">
        <v>147</v>
      </c>
      <c r="AY9" s="142" t="s">
        <v>146</v>
      </c>
      <c r="AZ9" s="132">
        <v>10</v>
      </c>
      <c r="BA9" s="133" t="s">
        <v>40</v>
      </c>
      <c r="BB9" s="24" t="s">
        <v>148</v>
      </c>
      <c r="BC9" s="134" t="s">
        <v>270</v>
      </c>
      <c r="BD9" s="132">
        <v>20</v>
      </c>
      <c r="BE9" s="133" t="s">
        <v>40</v>
      </c>
      <c r="BF9" s="24" t="s">
        <v>149</v>
      </c>
      <c r="BG9" s="25" t="s">
        <v>150</v>
      </c>
      <c r="BH9" s="132">
        <v>5</v>
      </c>
      <c r="BI9" s="135" t="s">
        <v>40</v>
      </c>
      <c r="BJ9" s="136" t="s">
        <v>149</v>
      </c>
      <c r="BK9" s="25" t="s">
        <v>150</v>
      </c>
      <c r="BL9" s="132">
        <v>5</v>
      </c>
      <c r="BM9" s="137" t="s">
        <v>40</v>
      </c>
      <c r="BN9" s="138" t="s">
        <v>151</v>
      </c>
      <c r="BO9" s="139" t="s">
        <v>270</v>
      </c>
      <c r="BP9" s="140">
        <v>20</v>
      </c>
      <c r="BQ9" s="141" t="s">
        <v>40</v>
      </c>
      <c r="BR9" s="10" t="s">
        <v>270</v>
      </c>
      <c r="BS9" s="139" t="s">
        <v>270</v>
      </c>
      <c r="BT9" s="140"/>
      <c r="BU9" s="165" t="s">
        <v>271</v>
      </c>
      <c r="BV9" s="10" t="s">
        <v>254</v>
      </c>
      <c r="BW9" s="139" t="s">
        <v>270</v>
      </c>
      <c r="BX9" s="132">
        <v>30</v>
      </c>
      <c r="BY9" s="133" t="s">
        <v>40</v>
      </c>
    </row>
    <row r="10" spans="1:603" s="46" customFormat="1" ht="101.35" x14ac:dyDescent="0.4">
      <c r="A10" s="39">
        <v>6</v>
      </c>
      <c r="B10" s="47" t="s">
        <v>255</v>
      </c>
      <c r="C10" s="48" t="s">
        <v>270</v>
      </c>
      <c r="D10" s="49">
        <v>20</v>
      </c>
      <c r="E10" s="50" t="s">
        <v>40</v>
      </c>
      <c r="F10" s="47" t="s">
        <v>330</v>
      </c>
      <c r="G10" s="48" t="s">
        <v>270</v>
      </c>
      <c r="H10" s="49">
        <v>20</v>
      </c>
      <c r="I10" s="50" t="s">
        <v>40</v>
      </c>
      <c r="J10" s="47" t="s">
        <v>255</v>
      </c>
      <c r="K10" s="48" t="s">
        <v>270</v>
      </c>
      <c r="L10" s="49">
        <v>20</v>
      </c>
      <c r="M10" s="50" t="s">
        <v>40</v>
      </c>
      <c r="N10" s="47" t="s">
        <v>255</v>
      </c>
      <c r="O10" s="48" t="s">
        <v>270</v>
      </c>
      <c r="P10" s="49">
        <v>20</v>
      </c>
      <c r="Q10" s="50" t="s">
        <v>40</v>
      </c>
      <c r="R10" s="47" t="s">
        <v>255</v>
      </c>
      <c r="S10" s="48" t="s">
        <v>270</v>
      </c>
      <c r="T10" s="49">
        <v>20</v>
      </c>
      <c r="U10" s="50" t="s">
        <v>40</v>
      </c>
      <c r="V10" s="44" t="s">
        <v>152</v>
      </c>
      <c r="W10" s="45" t="s">
        <v>270</v>
      </c>
      <c r="X10" s="42">
        <v>10</v>
      </c>
      <c r="Y10" s="43" t="s">
        <v>40</v>
      </c>
      <c r="Z10" s="40" t="s">
        <v>153</v>
      </c>
      <c r="AA10" s="41" t="s">
        <v>270</v>
      </c>
      <c r="AB10" s="42">
        <v>10</v>
      </c>
      <c r="AC10" s="43" t="s">
        <v>40</v>
      </c>
      <c r="AD10" s="40" t="s">
        <v>256</v>
      </c>
      <c r="AE10" s="41" t="s">
        <v>270</v>
      </c>
      <c r="AF10" s="42">
        <v>10</v>
      </c>
      <c r="AG10" s="43" t="s">
        <v>40</v>
      </c>
      <c r="AH10" s="40" t="s">
        <v>256</v>
      </c>
      <c r="AI10" s="41"/>
      <c r="AJ10" s="42">
        <v>10</v>
      </c>
      <c r="AK10" s="43" t="s">
        <v>40</v>
      </c>
      <c r="AL10" s="40" t="s">
        <v>256</v>
      </c>
      <c r="AM10" s="41"/>
      <c r="AN10" s="42">
        <v>10</v>
      </c>
      <c r="AO10" s="43" t="s">
        <v>40</v>
      </c>
      <c r="AP10" s="44" t="s">
        <v>256</v>
      </c>
      <c r="AQ10" s="45" t="s">
        <v>270</v>
      </c>
      <c r="AR10" s="42">
        <v>10</v>
      </c>
      <c r="AS10" s="43" t="s">
        <v>40</v>
      </c>
      <c r="AT10" s="40" t="s">
        <v>257</v>
      </c>
      <c r="AU10" s="41" t="s">
        <v>270</v>
      </c>
      <c r="AV10" s="42">
        <v>10</v>
      </c>
      <c r="AW10" s="43" t="s">
        <v>40</v>
      </c>
      <c r="AX10" s="40" t="s">
        <v>154</v>
      </c>
      <c r="AY10" s="41" t="s">
        <v>270</v>
      </c>
      <c r="AZ10" s="42">
        <v>20</v>
      </c>
      <c r="BA10" s="43" t="s">
        <v>40</v>
      </c>
      <c r="BB10" s="40" t="s">
        <v>155</v>
      </c>
      <c r="BC10" s="41" t="s">
        <v>270</v>
      </c>
      <c r="BD10" s="42">
        <v>5</v>
      </c>
      <c r="BE10" s="43" t="s">
        <v>40</v>
      </c>
      <c r="BF10" s="40" t="s">
        <v>35</v>
      </c>
      <c r="BG10" s="41" t="s">
        <v>150</v>
      </c>
      <c r="BH10" s="42">
        <v>5</v>
      </c>
      <c r="BI10" s="110" t="s">
        <v>40</v>
      </c>
      <c r="BJ10" s="111" t="s">
        <v>270</v>
      </c>
      <c r="BK10" s="41" t="s">
        <v>339</v>
      </c>
      <c r="BL10" s="42">
        <v>0</v>
      </c>
      <c r="BM10" s="112" t="s">
        <v>40</v>
      </c>
      <c r="BN10" s="40" t="s">
        <v>270</v>
      </c>
      <c r="BO10" s="41" t="s">
        <v>270</v>
      </c>
      <c r="BP10" s="42"/>
      <c r="BQ10" s="166" t="s">
        <v>271</v>
      </c>
      <c r="BR10" s="44" t="s">
        <v>270</v>
      </c>
      <c r="BS10" s="41" t="s">
        <v>270</v>
      </c>
      <c r="BT10" s="42"/>
      <c r="BU10" s="43" t="s">
        <v>271</v>
      </c>
      <c r="BV10" s="44" t="s">
        <v>270</v>
      </c>
      <c r="BW10" s="41" t="s">
        <v>270</v>
      </c>
      <c r="BX10" s="42"/>
      <c r="BY10" s="166" t="s">
        <v>271</v>
      </c>
    </row>
    <row r="11" spans="1:603" s="23" customFormat="1" ht="140.35" x14ac:dyDescent="0.4">
      <c r="A11" s="131">
        <v>7</v>
      </c>
      <c r="B11" s="138" t="s">
        <v>259</v>
      </c>
      <c r="C11" s="139" t="s">
        <v>270</v>
      </c>
      <c r="D11" s="140">
        <v>20</v>
      </c>
      <c r="E11" s="141" t="s">
        <v>40</v>
      </c>
      <c r="F11" s="138" t="s">
        <v>331</v>
      </c>
      <c r="G11" s="139" t="s">
        <v>270</v>
      </c>
      <c r="H11" s="140">
        <v>20</v>
      </c>
      <c r="I11" s="141" t="s">
        <v>40</v>
      </c>
      <c r="J11" s="138" t="s">
        <v>259</v>
      </c>
      <c r="K11" s="139" t="s">
        <v>270</v>
      </c>
      <c r="L11" s="140">
        <v>20</v>
      </c>
      <c r="M11" s="141" t="s">
        <v>40</v>
      </c>
      <c r="N11" s="138" t="s">
        <v>259</v>
      </c>
      <c r="O11" s="139" t="s">
        <v>270</v>
      </c>
      <c r="P11" s="140">
        <v>20</v>
      </c>
      <c r="Q11" s="141" t="s">
        <v>40</v>
      </c>
      <c r="R11" s="138" t="s">
        <v>259</v>
      </c>
      <c r="S11" s="139" t="s">
        <v>270</v>
      </c>
      <c r="T11" s="140">
        <v>20</v>
      </c>
      <c r="U11" s="141" t="s">
        <v>40</v>
      </c>
      <c r="V11" s="10" t="s">
        <v>157</v>
      </c>
      <c r="W11" s="25" t="s">
        <v>270</v>
      </c>
      <c r="X11" s="132">
        <v>10</v>
      </c>
      <c r="Y11" s="133" t="s">
        <v>40</v>
      </c>
      <c r="Z11" s="10" t="s">
        <v>157</v>
      </c>
      <c r="AA11" s="25" t="s">
        <v>270</v>
      </c>
      <c r="AB11" s="132">
        <v>10</v>
      </c>
      <c r="AC11" s="133" t="s">
        <v>40</v>
      </c>
      <c r="AD11" s="10" t="s">
        <v>157</v>
      </c>
      <c r="AE11" s="25" t="s">
        <v>270</v>
      </c>
      <c r="AF11" s="132">
        <v>10</v>
      </c>
      <c r="AG11" s="133" t="s">
        <v>40</v>
      </c>
      <c r="AH11" s="10" t="s">
        <v>157</v>
      </c>
      <c r="AI11" s="25" t="s">
        <v>270</v>
      </c>
      <c r="AJ11" s="132">
        <v>10</v>
      </c>
      <c r="AK11" s="133" t="s">
        <v>40</v>
      </c>
      <c r="AL11" s="10" t="s">
        <v>157</v>
      </c>
      <c r="AM11" s="25" t="s">
        <v>270</v>
      </c>
      <c r="AN11" s="132">
        <v>10</v>
      </c>
      <c r="AO11" s="133" t="s">
        <v>40</v>
      </c>
      <c r="AP11" s="10" t="s">
        <v>157</v>
      </c>
      <c r="AQ11" s="25" t="s">
        <v>270</v>
      </c>
      <c r="AR11" s="132">
        <v>10</v>
      </c>
      <c r="AS11" s="133" t="s">
        <v>40</v>
      </c>
      <c r="AT11" s="24" t="s">
        <v>332</v>
      </c>
      <c r="AU11" s="134" t="s">
        <v>270</v>
      </c>
      <c r="AV11" s="132">
        <v>15</v>
      </c>
      <c r="AW11" s="133" t="s">
        <v>40</v>
      </c>
      <c r="AX11" s="10" t="s">
        <v>158</v>
      </c>
      <c r="AY11" s="25" t="s">
        <v>270</v>
      </c>
      <c r="AZ11" s="132">
        <v>20</v>
      </c>
      <c r="BA11" s="133" t="s">
        <v>40</v>
      </c>
      <c r="BB11" s="24" t="s">
        <v>159</v>
      </c>
      <c r="BC11" s="25" t="s">
        <v>270</v>
      </c>
      <c r="BD11" s="132">
        <v>5</v>
      </c>
      <c r="BE11" s="133" t="s">
        <v>40</v>
      </c>
      <c r="BF11" s="24" t="s">
        <v>156</v>
      </c>
      <c r="BG11" s="25" t="s">
        <v>258</v>
      </c>
      <c r="BH11" s="132">
        <v>10</v>
      </c>
      <c r="BI11" s="135" t="s">
        <v>40</v>
      </c>
      <c r="BJ11" s="185" t="s">
        <v>340</v>
      </c>
      <c r="BK11" s="186" t="s">
        <v>258</v>
      </c>
      <c r="BL11" s="187">
        <v>10</v>
      </c>
      <c r="BM11" s="137" t="s">
        <v>40</v>
      </c>
      <c r="BN11" s="24" t="s">
        <v>270</v>
      </c>
      <c r="BO11" s="25" t="s">
        <v>270</v>
      </c>
      <c r="BP11" s="132"/>
      <c r="BQ11" s="15" t="s">
        <v>271</v>
      </c>
      <c r="BR11" s="10" t="s">
        <v>270</v>
      </c>
      <c r="BS11" s="25" t="s">
        <v>270</v>
      </c>
      <c r="BT11" s="132"/>
      <c r="BU11" s="167" t="s">
        <v>271</v>
      </c>
      <c r="BV11" s="10" t="s">
        <v>270</v>
      </c>
      <c r="BW11" s="25" t="s">
        <v>270</v>
      </c>
      <c r="BX11" s="132"/>
      <c r="BY11" s="133" t="s">
        <v>271</v>
      </c>
    </row>
    <row r="12" spans="1:603" s="46" customFormat="1" ht="178.35" x14ac:dyDescent="0.4">
      <c r="A12" s="39">
        <v>8</v>
      </c>
      <c r="B12" s="51" t="s">
        <v>160</v>
      </c>
      <c r="C12" s="46" t="s">
        <v>161</v>
      </c>
      <c r="D12" s="42">
        <v>10</v>
      </c>
      <c r="E12" s="43" t="s">
        <v>40</v>
      </c>
      <c r="F12" s="40" t="s">
        <v>160</v>
      </c>
      <c r="G12" s="41" t="s">
        <v>161</v>
      </c>
      <c r="H12" s="42">
        <v>10</v>
      </c>
      <c r="I12" s="43" t="s">
        <v>40</v>
      </c>
      <c r="J12" s="51" t="s">
        <v>160</v>
      </c>
      <c r="K12" s="46" t="s">
        <v>161</v>
      </c>
      <c r="L12" s="42">
        <v>10</v>
      </c>
      <c r="M12" s="43" t="s">
        <v>40</v>
      </c>
      <c r="N12" s="51" t="s">
        <v>160</v>
      </c>
      <c r="O12" s="46" t="s">
        <v>161</v>
      </c>
      <c r="P12" s="42">
        <v>10</v>
      </c>
      <c r="Q12" s="43" t="s">
        <v>40</v>
      </c>
      <c r="R12" s="51" t="s">
        <v>160</v>
      </c>
      <c r="S12" s="46" t="s">
        <v>161</v>
      </c>
      <c r="T12" s="42">
        <v>10</v>
      </c>
      <c r="U12" s="43" t="s">
        <v>40</v>
      </c>
      <c r="V12" s="44" t="s">
        <v>162</v>
      </c>
      <c r="W12" s="41" t="s">
        <v>319</v>
      </c>
      <c r="X12" s="42">
        <v>10</v>
      </c>
      <c r="Y12" s="43" t="s">
        <v>40</v>
      </c>
      <c r="Z12" s="44" t="s">
        <v>162</v>
      </c>
      <c r="AA12" s="41" t="s">
        <v>319</v>
      </c>
      <c r="AB12" s="42">
        <v>10</v>
      </c>
      <c r="AC12" s="43" t="s">
        <v>40</v>
      </c>
      <c r="AD12" s="44" t="s">
        <v>162</v>
      </c>
      <c r="AE12" s="41" t="s">
        <v>319</v>
      </c>
      <c r="AF12" s="42">
        <v>10</v>
      </c>
      <c r="AG12" s="43" t="s">
        <v>40</v>
      </c>
      <c r="AH12" s="44" t="s">
        <v>162</v>
      </c>
      <c r="AI12" s="41" t="s">
        <v>319</v>
      </c>
      <c r="AJ12" s="42">
        <v>10</v>
      </c>
      <c r="AK12" s="43" t="s">
        <v>40</v>
      </c>
      <c r="AL12" s="44" t="s">
        <v>162</v>
      </c>
      <c r="AM12" s="41" t="s">
        <v>319</v>
      </c>
      <c r="AN12" s="42">
        <v>10</v>
      </c>
      <c r="AO12" s="43" t="s">
        <v>40</v>
      </c>
      <c r="AP12" s="44" t="s">
        <v>162</v>
      </c>
      <c r="AQ12" s="41" t="s">
        <v>319</v>
      </c>
      <c r="AR12" s="42">
        <v>10</v>
      </c>
      <c r="AS12" s="43" t="s">
        <v>40</v>
      </c>
      <c r="AT12" s="40" t="s">
        <v>333</v>
      </c>
      <c r="AU12" s="41" t="s">
        <v>334</v>
      </c>
      <c r="AV12" s="42">
        <v>15</v>
      </c>
      <c r="AW12" s="43" t="s">
        <v>40</v>
      </c>
      <c r="AX12" s="47" t="s">
        <v>163</v>
      </c>
      <c r="AY12" s="48" t="s">
        <v>164</v>
      </c>
      <c r="AZ12" s="49">
        <v>20</v>
      </c>
      <c r="BA12" s="43" t="s">
        <v>40</v>
      </c>
      <c r="BB12" s="40" t="s">
        <v>270</v>
      </c>
      <c r="BC12" s="41" t="s">
        <v>270</v>
      </c>
      <c r="BD12" s="42"/>
      <c r="BE12" s="43" t="s">
        <v>271</v>
      </c>
      <c r="BF12" s="40" t="s">
        <v>36</v>
      </c>
      <c r="BG12" s="41" t="s">
        <v>270</v>
      </c>
      <c r="BH12" s="42">
        <v>5</v>
      </c>
      <c r="BI12" s="110" t="s">
        <v>40</v>
      </c>
      <c r="BJ12" s="111" t="s">
        <v>36</v>
      </c>
      <c r="BK12" s="41" t="s">
        <v>270</v>
      </c>
      <c r="BL12" s="42">
        <v>5</v>
      </c>
      <c r="BM12" s="112" t="s">
        <v>40</v>
      </c>
      <c r="BN12" s="40" t="s">
        <v>270</v>
      </c>
      <c r="BO12" s="41" t="s">
        <v>270</v>
      </c>
      <c r="BP12" s="42"/>
      <c r="BQ12" s="168" t="s">
        <v>271</v>
      </c>
      <c r="BR12" s="44" t="s">
        <v>270</v>
      </c>
      <c r="BS12" s="41" t="s">
        <v>270</v>
      </c>
      <c r="BT12" s="42"/>
      <c r="BU12" s="166" t="s">
        <v>271</v>
      </c>
      <c r="BV12" s="44" t="s">
        <v>270</v>
      </c>
      <c r="BW12" s="41" t="s">
        <v>270</v>
      </c>
      <c r="BX12" s="42"/>
      <c r="BY12" s="169" t="s">
        <v>271</v>
      </c>
    </row>
    <row r="13" spans="1:603" s="23" customFormat="1" ht="93.35" x14ac:dyDescent="0.4">
      <c r="A13" s="143">
        <v>9</v>
      </c>
      <c r="B13" s="12" t="s">
        <v>37</v>
      </c>
      <c r="C13" s="13" t="s">
        <v>270</v>
      </c>
      <c r="D13" s="14">
        <v>20</v>
      </c>
      <c r="E13" s="15" t="s">
        <v>39</v>
      </c>
      <c r="F13" s="12" t="s">
        <v>37</v>
      </c>
      <c r="G13" s="13" t="s">
        <v>270</v>
      </c>
      <c r="H13" s="14">
        <v>20</v>
      </c>
      <c r="I13" s="15" t="s">
        <v>39</v>
      </c>
      <c r="J13" s="12" t="s">
        <v>37</v>
      </c>
      <c r="K13" s="13" t="s">
        <v>270</v>
      </c>
      <c r="L13" s="14">
        <v>20</v>
      </c>
      <c r="M13" s="15" t="s">
        <v>39</v>
      </c>
      <c r="N13" s="12" t="s">
        <v>37</v>
      </c>
      <c r="O13" s="13" t="s">
        <v>270</v>
      </c>
      <c r="P13" s="14">
        <v>20</v>
      </c>
      <c r="Q13" s="15" t="s">
        <v>39</v>
      </c>
      <c r="R13" s="12" t="s">
        <v>335</v>
      </c>
      <c r="S13" s="13" t="s">
        <v>270</v>
      </c>
      <c r="T13" s="14">
        <v>20</v>
      </c>
      <c r="U13" s="15" t="s">
        <v>39</v>
      </c>
      <c r="V13" s="144" t="s">
        <v>166</v>
      </c>
      <c r="W13" s="13" t="s">
        <v>167</v>
      </c>
      <c r="X13" s="14">
        <v>10</v>
      </c>
      <c r="Y13" s="15" t="s">
        <v>40</v>
      </c>
      <c r="Z13" s="144" t="s">
        <v>166</v>
      </c>
      <c r="AA13" s="13" t="s">
        <v>167</v>
      </c>
      <c r="AB13" s="14">
        <v>10</v>
      </c>
      <c r="AC13" s="15" t="s">
        <v>40</v>
      </c>
      <c r="AD13" s="144" t="s">
        <v>166</v>
      </c>
      <c r="AE13" s="13" t="s">
        <v>167</v>
      </c>
      <c r="AF13" s="14">
        <v>10</v>
      </c>
      <c r="AG13" s="15" t="s">
        <v>40</v>
      </c>
      <c r="AH13" s="144" t="s">
        <v>166</v>
      </c>
      <c r="AI13" s="13" t="s">
        <v>167</v>
      </c>
      <c r="AJ13" s="14">
        <v>10</v>
      </c>
      <c r="AK13" s="15" t="s">
        <v>40</v>
      </c>
      <c r="AL13" s="144" t="s">
        <v>166</v>
      </c>
      <c r="AM13" s="13" t="s">
        <v>167</v>
      </c>
      <c r="AN13" s="14">
        <v>10</v>
      </c>
      <c r="AO13" s="15" t="s">
        <v>40</v>
      </c>
      <c r="AP13" s="144" t="s">
        <v>166</v>
      </c>
      <c r="AQ13" s="13" t="s">
        <v>167</v>
      </c>
      <c r="AR13" s="14">
        <v>10</v>
      </c>
      <c r="AS13" s="15" t="s">
        <v>40</v>
      </c>
      <c r="AT13" s="12" t="s">
        <v>270</v>
      </c>
      <c r="AU13" s="13" t="s">
        <v>339</v>
      </c>
      <c r="AV13" s="14">
        <v>0</v>
      </c>
      <c r="AW13" s="15" t="s">
        <v>271</v>
      </c>
      <c r="AX13" s="145" t="s">
        <v>169</v>
      </c>
      <c r="AY13" s="146" t="s">
        <v>270</v>
      </c>
      <c r="AZ13" s="147">
        <v>20</v>
      </c>
      <c r="BA13" s="133" t="s">
        <v>40</v>
      </c>
      <c r="BB13" s="24" t="s">
        <v>270</v>
      </c>
      <c r="BC13" s="13" t="s">
        <v>270</v>
      </c>
      <c r="BD13" s="14"/>
      <c r="BE13" s="15" t="s">
        <v>271</v>
      </c>
      <c r="BF13" s="12" t="s">
        <v>165</v>
      </c>
      <c r="BG13" s="148" t="s">
        <v>270</v>
      </c>
      <c r="BH13" s="14">
        <v>15</v>
      </c>
      <c r="BI13" s="149" t="s">
        <v>40</v>
      </c>
      <c r="BJ13" s="188" t="s">
        <v>165</v>
      </c>
      <c r="BK13" s="189" t="s">
        <v>270</v>
      </c>
      <c r="BL13" s="190">
        <v>15</v>
      </c>
      <c r="BM13" s="137" t="s">
        <v>40</v>
      </c>
      <c r="BN13" s="12" t="s">
        <v>270</v>
      </c>
      <c r="BO13" s="13" t="s">
        <v>270</v>
      </c>
      <c r="BP13" s="14"/>
      <c r="BQ13" s="167" t="s">
        <v>271</v>
      </c>
      <c r="BR13" s="144" t="s">
        <v>270</v>
      </c>
      <c r="BS13" s="13" t="s">
        <v>270</v>
      </c>
      <c r="BT13" s="14"/>
      <c r="BU13" s="133" t="s">
        <v>271</v>
      </c>
      <c r="BV13" s="144" t="s">
        <v>270</v>
      </c>
      <c r="BW13" s="13" t="s">
        <v>270</v>
      </c>
      <c r="BX13" s="14"/>
      <c r="BY13" s="133" t="s">
        <v>271</v>
      </c>
    </row>
    <row r="14" spans="1:603" s="46" customFormat="1" ht="38.35" thickBot="1" x14ac:dyDescent="0.45">
      <c r="A14" s="52">
        <v>10</v>
      </c>
      <c r="B14" s="53" t="s">
        <v>270</v>
      </c>
      <c r="C14" s="54" t="s">
        <v>270</v>
      </c>
      <c r="D14" s="55"/>
      <c r="E14" s="56" t="s">
        <v>271</v>
      </c>
      <c r="F14" s="53" t="s">
        <v>270</v>
      </c>
      <c r="G14" s="54" t="s">
        <v>270</v>
      </c>
      <c r="H14" s="55"/>
      <c r="I14" s="56" t="s">
        <v>271</v>
      </c>
      <c r="J14" s="53" t="s">
        <v>270</v>
      </c>
      <c r="K14" s="54" t="s">
        <v>270</v>
      </c>
      <c r="L14" s="55"/>
      <c r="M14" s="56" t="s">
        <v>271</v>
      </c>
      <c r="N14" s="53" t="s">
        <v>270</v>
      </c>
      <c r="O14" s="54" t="s">
        <v>270</v>
      </c>
      <c r="P14" s="55"/>
      <c r="Q14" s="56" t="s">
        <v>271</v>
      </c>
      <c r="R14" s="53" t="s">
        <v>270</v>
      </c>
      <c r="S14" s="54" t="s">
        <v>270</v>
      </c>
      <c r="T14" s="55"/>
      <c r="U14" s="56" t="s">
        <v>271</v>
      </c>
      <c r="V14" s="57" t="s">
        <v>168</v>
      </c>
      <c r="W14" s="54" t="s">
        <v>270</v>
      </c>
      <c r="X14" s="55">
        <v>10</v>
      </c>
      <c r="Y14" s="56" t="s">
        <v>39</v>
      </c>
      <c r="Z14" s="57" t="s">
        <v>168</v>
      </c>
      <c r="AA14" s="54" t="s">
        <v>270</v>
      </c>
      <c r="AB14" s="55">
        <v>10</v>
      </c>
      <c r="AC14" s="56" t="s">
        <v>39</v>
      </c>
      <c r="AD14" s="57" t="s">
        <v>168</v>
      </c>
      <c r="AE14" s="54" t="s">
        <v>270</v>
      </c>
      <c r="AF14" s="55">
        <v>10</v>
      </c>
      <c r="AG14" s="56" t="s">
        <v>39</v>
      </c>
      <c r="AH14" s="57" t="s">
        <v>168</v>
      </c>
      <c r="AI14" s="54" t="s">
        <v>270</v>
      </c>
      <c r="AJ14" s="55">
        <v>10</v>
      </c>
      <c r="AK14" s="56" t="s">
        <v>39</v>
      </c>
      <c r="AL14" s="57" t="s">
        <v>168</v>
      </c>
      <c r="AM14" s="54" t="s">
        <v>270</v>
      </c>
      <c r="AN14" s="55">
        <v>10</v>
      </c>
      <c r="AO14" s="56" t="s">
        <v>39</v>
      </c>
      <c r="AP14" s="57" t="s">
        <v>168</v>
      </c>
      <c r="AQ14" s="54" t="s">
        <v>270</v>
      </c>
      <c r="AR14" s="55">
        <v>10</v>
      </c>
      <c r="AS14" s="56" t="s">
        <v>39</v>
      </c>
      <c r="AT14" s="53" t="s">
        <v>336</v>
      </c>
      <c r="AU14" s="54" t="s">
        <v>270</v>
      </c>
      <c r="AV14" s="55">
        <v>10</v>
      </c>
      <c r="AW14" s="56" t="s">
        <v>39</v>
      </c>
      <c r="AX14" s="53" t="s">
        <v>170</v>
      </c>
      <c r="AY14" s="54" t="s">
        <v>270</v>
      </c>
      <c r="AZ14" s="55">
        <v>10</v>
      </c>
      <c r="BA14" s="56" t="s">
        <v>39</v>
      </c>
      <c r="BB14" s="53" t="s">
        <v>270</v>
      </c>
      <c r="BC14" s="54" t="s">
        <v>270</v>
      </c>
      <c r="BD14" s="55"/>
      <c r="BE14" s="56" t="s">
        <v>271</v>
      </c>
      <c r="BF14" s="53" t="s">
        <v>38</v>
      </c>
      <c r="BG14" s="54" t="s">
        <v>270</v>
      </c>
      <c r="BH14" s="55">
        <v>25</v>
      </c>
      <c r="BI14" s="113" t="s">
        <v>40</v>
      </c>
      <c r="BJ14" s="170" t="s">
        <v>38</v>
      </c>
      <c r="BK14" s="54" t="s">
        <v>270</v>
      </c>
      <c r="BL14" s="55">
        <v>30</v>
      </c>
      <c r="BM14" s="171" t="s">
        <v>40</v>
      </c>
      <c r="BN14" s="53" t="s">
        <v>270</v>
      </c>
      <c r="BO14" s="54" t="s">
        <v>270</v>
      </c>
      <c r="BP14" s="55"/>
      <c r="BQ14" s="56" t="s">
        <v>271</v>
      </c>
      <c r="BR14" s="57" t="s">
        <v>270</v>
      </c>
      <c r="BS14" s="54" t="s">
        <v>270</v>
      </c>
      <c r="BT14" s="55"/>
      <c r="BU14" s="172" t="s">
        <v>271</v>
      </c>
      <c r="BV14" s="57" t="s">
        <v>270</v>
      </c>
      <c r="BW14" s="54" t="s">
        <v>270</v>
      </c>
      <c r="BX14" s="55"/>
      <c r="BY14" s="172" t="s">
        <v>271</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usTeHPWrb5uCBT+ELvvNKxaMysyopmsj7ODfhU4fb/VbfG8/vMLVglbj8UFvzwVFCphTHzaYtI+3w4pqOF4/aQ==" saltValue="NvTZIgibQbcA8xlri6rIsw==" spinCount="100000" sheet="1" objects="1" scenarios="1" formatRow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J58"/>
  <sheetViews>
    <sheetView showGridLines="0" topLeftCell="A11" zoomScale="130" zoomScaleNormal="130" workbookViewId="0">
      <selection activeCell="C38" sqref="C38"/>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43</v>
      </c>
      <c r="B3" s="58" t="s">
        <v>44</v>
      </c>
      <c r="C3" s="58" t="s">
        <v>78</v>
      </c>
      <c r="D3" s="59" t="s">
        <v>45</v>
      </c>
      <c r="E3" s="58" t="s">
        <v>0</v>
      </c>
      <c r="F3" s="58" t="s">
        <v>0</v>
      </c>
      <c r="G3" s="59" t="s">
        <v>45</v>
      </c>
      <c r="H3" s="59" t="s">
        <v>45</v>
      </c>
      <c r="I3" s="271" t="s">
        <v>274</v>
      </c>
      <c r="J3" s="272"/>
    </row>
    <row r="4" spans="1:10" x14ac:dyDescent="0.4">
      <c r="A4" t="s">
        <v>14</v>
      </c>
      <c r="B4" t="s">
        <v>21</v>
      </c>
      <c r="C4" t="s">
        <v>84</v>
      </c>
      <c r="D4" s="4" t="s">
        <v>48</v>
      </c>
      <c r="E4" s="1" t="s">
        <v>49</v>
      </c>
      <c r="F4" s="3" t="s">
        <v>50</v>
      </c>
      <c r="G4" s="1" t="s">
        <v>9</v>
      </c>
      <c r="H4" t="s">
        <v>51</v>
      </c>
      <c r="I4" s="114" t="s">
        <v>49</v>
      </c>
      <c r="J4" s="115" t="s">
        <v>275</v>
      </c>
    </row>
    <row r="5" spans="1:10" x14ac:dyDescent="0.4">
      <c r="A5" t="s">
        <v>113</v>
      </c>
      <c r="B5" t="s">
        <v>22</v>
      </c>
      <c r="C5" t="s">
        <v>85</v>
      </c>
      <c r="D5" s="2" t="s">
        <v>12</v>
      </c>
      <c r="E5" s="1" t="s">
        <v>46</v>
      </c>
      <c r="F5" s="3" t="s">
        <v>52</v>
      </c>
      <c r="G5" s="1" t="s">
        <v>53</v>
      </c>
      <c r="H5" t="s">
        <v>54</v>
      </c>
      <c r="I5" s="114" t="s">
        <v>46</v>
      </c>
      <c r="J5" s="115" t="s">
        <v>276</v>
      </c>
    </row>
    <row r="6" spans="1:10" x14ac:dyDescent="0.4">
      <c r="A6" t="s">
        <v>114</v>
      </c>
      <c r="B6" t="s">
        <v>23</v>
      </c>
      <c r="C6" t="s">
        <v>86</v>
      </c>
      <c r="D6" s="60" t="s">
        <v>11</v>
      </c>
      <c r="E6" s="1" t="s">
        <v>10</v>
      </c>
      <c r="F6" s="3" t="s">
        <v>55</v>
      </c>
      <c r="I6" s="114" t="s">
        <v>10</v>
      </c>
      <c r="J6" s="116" t="s">
        <v>277</v>
      </c>
    </row>
    <row r="7" spans="1:10" x14ac:dyDescent="0.4">
      <c r="A7" t="s">
        <v>16</v>
      </c>
      <c r="D7" s="6" t="s">
        <v>260</v>
      </c>
      <c r="E7" s="1" t="s">
        <v>57</v>
      </c>
      <c r="F7" s="3" t="s">
        <v>58</v>
      </c>
      <c r="I7" s="114" t="s">
        <v>57</v>
      </c>
      <c r="J7" s="116" t="s">
        <v>278</v>
      </c>
    </row>
    <row r="8" spans="1:10" x14ac:dyDescent="0.4">
      <c r="A8" t="s">
        <v>2</v>
      </c>
      <c r="D8" s="2" t="s">
        <v>59</v>
      </c>
      <c r="E8" s="1" t="s">
        <v>60</v>
      </c>
      <c r="F8" s="5"/>
      <c r="I8" s="114" t="s">
        <v>60</v>
      </c>
      <c r="J8" s="116" t="s">
        <v>279</v>
      </c>
    </row>
    <row r="9" spans="1:10" x14ac:dyDescent="0.4">
      <c r="A9" t="s">
        <v>314</v>
      </c>
      <c r="D9" s="2" t="s">
        <v>61</v>
      </c>
      <c r="E9" s="1" t="s">
        <v>62</v>
      </c>
      <c r="F9" s="5"/>
      <c r="I9" s="114" t="s">
        <v>62</v>
      </c>
      <c r="J9" s="115" t="s">
        <v>280</v>
      </c>
    </row>
    <row r="10" spans="1:10" x14ac:dyDescent="0.4">
      <c r="A10" t="s">
        <v>18</v>
      </c>
      <c r="E10" s="1" t="s">
        <v>47</v>
      </c>
      <c r="F10" s="1"/>
      <c r="I10" s="114" t="s">
        <v>64</v>
      </c>
      <c r="J10" s="115" t="s">
        <v>281</v>
      </c>
    </row>
    <row r="11" spans="1:10" x14ac:dyDescent="0.4">
      <c r="A11" t="s">
        <v>3</v>
      </c>
      <c r="E11" s="1" t="s">
        <v>56</v>
      </c>
      <c r="I11" s="114" t="s">
        <v>47</v>
      </c>
      <c r="J11" s="115" t="s">
        <v>282</v>
      </c>
    </row>
    <row r="12" spans="1:10" x14ac:dyDescent="0.4">
      <c r="A12" t="s">
        <v>20</v>
      </c>
      <c r="E12" s="1" t="s">
        <v>65</v>
      </c>
      <c r="I12" s="114" t="s">
        <v>56</v>
      </c>
      <c r="J12" s="115" t="s">
        <v>283</v>
      </c>
    </row>
    <row r="13" spans="1:10" x14ac:dyDescent="0.4">
      <c r="A13" t="s">
        <v>17</v>
      </c>
      <c r="E13" s="1" t="s">
        <v>66</v>
      </c>
      <c r="I13" s="114" t="s">
        <v>65</v>
      </c>
      <c r="J13" s="115" t="s">
        <v>278</v>
      </c>
    </row>
    <row r="14" spans="1:10" x14ac:dyDescent="0.4">
      <c r="A14" t="s">
        <v>19</v>
      </c>
      <c r="E14" s="1" t="s">
        <v>67</v>
      </c>
      <c r="I14" s="114" t="s">
        <v>68</v>
      </c>
      <c r="J14" s="115" t="s">
        <v>284</v>
      </c>
    </row>
    <row r="15" spans="1:10" x14ac:dyDescent="0.4">
      <c r="A15" t="s">
        <v>69</v>
      </c>
      <c r="E15" s="3" t="s">
        <v>63</v>
      </c>
      <c r="I15" s="114" t="s">
        <v>66</v>
      </c>
      <c r="J15" s="115" t="s">
        <v>285</v>
      </c>
    </row>
    <row r="16" spans="1:10" x14ac:dyDescent="0.4">
      <c r="E16" s="3" t="s">
        <v>50</v>
      </c>
      <c r="I16" s="117" t="s">
        <v>286</v>
      </c>
      <c r="J16" s="118" t="s">
        <v>287</v>
      </c>
    </row>
    <row r="17" spans="1:10" x14ac:dyDescent="0.4">
      <c r="E17" s="1" t="s">
        <v>52</v>
      </c>
      <c r="I17" s="117" t="s">
        <v>288</v>
      </c>
      <c r="J17" s="118" t="s">
        <v>289</v>
      </c>
    </row>
    <row r="18" spans="1:10" x14ac:dyDescent="0.4">
      <c r="E18" s="1" t="s">
        <v>64</v>
      </c>
      <c r="I18" s="117" t="s">
        <v>290</v>
      </c>
      <c r="J18" s="118" t="s">
        <v>291</v>
      </c>
    </row>
    <row r="19" spans="1:10" x14ac:dyDescent="0.4">
      <c r="E19" s="1" t="s">
        <v>71</v>
      </c>
      <c r="I19" s="117" t="s">
        <v>292</v>
      </c>
      <c r="J19" s="118" t="s">
        <v>293</v>
      </c>
    </row>
    <row r="20" spans="1:10" x14ac:dyDescent="0.4">
      <c r="A20" s="58" t="s">
        <v>39</v>
      </c>
      <c r="B20" s="58" t="s">
        <v>41</v>
      </c>
      <c r="C20" s="58" t="s">
        <v>40</v>
      </c>
      <c r="D20" s="58" t="s">
        <v>72</v>
      </c>
      <c r="E20" s="58"/>
      <c r="F20" s="58" t="s">
        <v>42</v>
      </c>
      <c r="G20" s="58" t="s">
        <v>271</v>
      </c>
      <c r="H20" s="193" t="s">
        <v>342</v>
      </c>
      <c r="I20" s="117" t="s">
        <v>294</v>
      </c>
      <c r="J20" s="118" t="s">
        <v>295</v>
      </c>
    </row>
    <row r="21" spans="1:10" x14ac:dyDescent="0.4">
      <c r="A21" s="1" t="s">
        <v>9</v>
      </c>
      <c r="B21" s="1" t="s">
        <v>48</v>
      </c>
      <c r="C21" s="1" t="s">
        <v>48</v>
      </c>
      <c r="D21" s="3" t="s">
        <v>48</v>
      </c>
      <c r="F21" s="1" t="s">
        <v>48</v>
      </c>
      <c r="G21" t="s">
        <v>272</v>
      </c>
      <c r="H21" s="3" t="s">
        <v>9</v>
      </c>
      <c r="I21" s="117" t="s">
        <v>296</v>
      </c>
      <c r="J21" s="118" t="s">
        <v>297</v>
      </c>
    </row>
    <row r="22" spans="1:10" x14ac:dyDescent="0.4">
      <c r="A22" s="1" t="s">
        <v>53</v>
      </c>
      <c r="B22" s="1" t="s">
        <v>12</v>
      </c>
      <c r="C22" s="1" t="s">
        <v>12</v>
      </c>
      <c r="D22" s="3" t="s">
        <v>343</v>
      </c>
      <c r="F22" s="1" t="s">
        <v>73</v>
      </c>
      <c r="H22" s="3" t="s">
        <v>53</v>
      </c>
      <c r="I22" s="117" t="s">
        <v>67</v>
      </c>
      <c r="J22" s="118" t="s">
        <v>298</v>
      </c>
    </row>
    <row r="23" spans="1:10" x14ac:dyDescent="0.4">
      <c r="A23" s="1" t="s">
        <v>272</v>
      </c>
      <c r="B23" s="1" t="s">
        <v>11</v>
      </c>
      <c r="C23" s="1" t="s">
        <v>11</v>
      </c>
      <c r="D23" s="3" t="s">
        <v>344</v>
      </c>
      <c r="F23" s="1" t="s">
        <v>74</v>
      </c>
      <c r="H23" s="3" t="s">
        <v>11</v>
      </c>
      <c r="I23" s="114" t="s">
        <v>70</v>
      </c>
      <c r="J23" s="115" t="s">
        <v>299</v>
      </c>
    </row>
    <row r="24" spans="1:10" x14ac:dyDescent="0.4">
      <c r="B24" s="1" t="s">
        <v>272</v>
      </c>
      <c r="C24" s="1" t="s">
        <v>260</v>
      </c>
      <c r="D24" s="3" t="s">
        <v>11</v>
      </c>
      <c r="F24" s="1" t="s">
        <v>11</v>
      </c>
      <c r="H24" s="1"/>
      <c r="I24" s="117" t="s">
        <v>300</v>
      </c>
      <c r="J24" s="118" t="s">
        <v>301</v>
      </c>
    </row>
    <row r="25" spans="1:10" ht="14.25" customHeight="1" x14ac:dyDescent="0.4">
      <c r="C25" s="1" t="s">
        <v>272</v>
      </c>
      <c r="D25" s="3" t="s">
        <v>272</v>
      </c>
      <c r="F25" s="1" t="s">
        <v>272</v>
      </c>
      <c r="I25" s="117" t="s">
        <v>302</v>
      </c>
      <c r="J25" s="118" t="s">
        <v>303</v>
      </c>
    </row>
    <row r="26" spans="1:10" x14ac:dyDescent="0.4">
      <c r="D26" s="1"/>
      <c r="I26" s="114" t="s">
        <v>63</v>
      </c>
      <c r="J26" s="115" t="s">
        <v>275</v>
      </c>
    </row>
    <row r="27" spans="1:10" x14ac:dyDescent="0.4">
      <c r="D27" s="1"/>
      <c r="I27" s="117" t="s">
        <v>304</v>
      </c>
      <c r="J27" s="118" t="s">
        <v>305</v>
      </c>
    </row>
    <row r="28" spans="1:10" x14ac:dyDescent="0.4">
      <c r="A28" s="58" t="s">
        <v>91</v>
      </c>
      <c r="B28" s="58"/>
      <c r="I28" s="117" t="s">
        <v>306</v>
      </c>
      <c r="J28" s="118" t="s">
        <v>307</v>
      </c>
    </row>
    <row r="29" spans="1:10" x14ac:dyDescent="0.4">
      <c r="A29" s="61" t="s">
        <v>87</v>
      </c>
      <c r="B29" s="61" t="s">
        <v>90</v>
      </c>
      <c r="C29" s="102" t="s">
        <v>262</v>
      </c>
      <c r="D29" s="102" t="s">
        <v>263</v>
      </c>
      <c r="E29" s="61" t="s">
        <v>261</v>
      </c>
      <c r="I29" s="114" t="s">
        <v>71</v>
      </c>
      <c r="J29" s="115" t="s">
        <v>308</v>
      </c>
    </row>
    <row r="30" spans="1:10" x14ac:dyDescent="0.4">
      <c r="A30" s="8" t="s">
        <v>113</v>
      </c>
      <c r="B30" s="9" t="s">
        <v>14</v>
      </c>
      <c r="C30" s="103" t="s">
        <v>264</v>
      </c>
      <c r="D30" s="103" t="s">
        <v>265</v>
      </c>
      <c r="E30" s="8" t="s">
        <v>15</v>
      </c>
      <c r="I30" s="114" t="s">
        <v>50</v>
      </c>
      <c r="J30" s="119" t="s">
        <v>309</v>
      </c>
    </row>
    <row r="31" spans="1:10" x14ac:dyDescent="0.4">
      <c r="A31" s="8" t="s">
        <v>114</v>
      </c>
      <c r="B31" s="9" t="s">
        <v>16</v>
      </c>
      <c r="C31" s="103" t="s">
        <v>266</v>
      </c>
      <c r="D31" s="103" t="s">
        <v>267</v>
      </c>
      <c r="I31" s="114" t="s">
        <v>52</v>
      </c>
      <c r="J31" s="115" t="s">
        <v>310</v>
      </c>
    </row>
    <row r="32" spans="1:10" x14ac:dyDescent="0.4">
      <c r="A32" s="8" t="s">
        <v>247</v>
      </c>
      <c r="B32" s="9" t="s">
        <v>2</v>
      </c>
      <c r="C32" s="103" t="s">
        <v>268</v>
      </c>
      <c r="D32" s="103" t="s">
        <v>269</v>
      </c>
      <c r="I32" s="114" t="s">
        <v>55</v>
      </c>
      <c r="J32" s="115" t="s">
        <v>311</v>
      </c>
    </row>
    <row r="33" spans="1:10" x14ac:dyDescent="0.4">
      <c r="A33" s="8" t="s">
        <v>88</v>
      </c>
      <c r="B33" s="9" t="s">
        <v>314</v>
      </c>
      <c r="I33" s="120" t="s">
        <v>58</v>
      </c>
      <c r="J33" s="121" t="s">
        <v>312</v>
      </c>
    </row>
    <row r="34" spans="1:10" x14ac:dyDescent="0.4">
      <c r="A34" s="8" t="s">
        <v>248</v>
      </c>
      <c r="B34" s="9" t="s">
        <v>18</v>
      </c>
    </row>
    <row r="35" spans="1:10" x14ac:dyDescent="0.4">
      <c r="B35" s="9" t="s">
        <v>3</v>
      </c>
    </row>
    <row r="36" spans="1:10" x14ac:dyDescent="0.4">
      <c r="B36" s="9" t="s">
        <v>20</v>
      </c>
    </row>
    <row r="37" spans="1:10" x14ac:dyDescent="0.4">
      <c r="B37" s="9" t="s">
        <v>17</v>
      </c>
    </row>
    <row r="38" spans="1:10" x14ac:dyDescent="0.4">
      <c r="B38" s="9" t="s">
        <v>19</v>
      </c>
    </row>
    <row r="39" spans="1:10" x14ac:dyDescent="0.4">
      <c r="B39" s="9"/>
    </row>
    <row r="42" spans="1:10" x14ac:dyDescent="0.4">
      <c r="A42" s="58" t="s">
        <v>92</v>
      </c>
      <c r="B42" s="58"/>
      <c r="C42" s="58"/>
      <c r="D42" s="58"/>
      <c r="E42" s="58"/>
      <c r="F42" s="58"/>
      <c r="G42" s="58"/>
    </row>
    <row r="43" spans="1:10" x14ac:dyDescent="0.4">
      <c r="A43" s="61" t="s">
        <v>94</v>
      </c>
      <c r="B43" s="61" t="s">
        <v>8</v>
      </c>
      <c r="C43" s="61" t="s">
        <v>99</v>
      </c>
      <c r="D43" s="61" t="s">
        <v>106</v>
      </c>
      <c r="E43" s="61" t="s">
        <v>105</v>
      </c>
      <c r="F43" s="61" t="s">
        <v>89</v>
      </c>
      <c r="G43" s="62" t="s">
        <v>177</v>
      </c>
    </row>
    <row r="44" spans="1:10" x14ac:dyDescent="0.4">
      <c r="A44" t="s">
        <v>76</v>
      </c>
      <c r="B44" t="s">
        <v>77</v>
      </c>
      <c r="C44" t="s">
        <v>98</v>
      </c>
      <c r="D44" t="s">
        <v>82</v>
      </c>
      <c r="E44" t="s">
        <v>107</v>
      </c>
      <c r="F44" t="s">
        <v>172</v>
      </c>
      <c r="G44" s="96" t="s">
        <v>212</v>
      </c>
    </row>
    <row r="45" spans="1:10" x14ac:dyDescent="0.4">
      <c r="A45" t="s">
        <v>93</v>
      </c>
      <c r="B45" t="s">
        <v>95</v>
      </c>
      <c r="C45" t="s">
        <v>100</v>
      </c>
      <c r="D45" t="s">
        <v>104</v>
      </c>
      <c r="E45" t="s">
        <v>111</v>
      </c>
      <c r="F45" t="s">
        <v>173</v>
      </c>
      <c r="G45" s="96" t="s">
        <v>80</v>
      </c>
    </row>
    <row r="46" spans="1:10" x14ac:dyDescent="0.4">
      <c r="A46" t="s">
        <v>112</v>
      </c>
      <c r="B46" t="s">
        <v>96</v>
      </c>
      <c r="C46" t="s">
        <v>101</v>
      </c>
      <c r="D46" t="s">
        <v>96</v>
      </c>
      <c r="E46" t="s">
        <v>83</v>
      </c>
      <c r="F46" t="s">
        <v>171</v>
      </c>
      <c r="G46" s="96" t="s">
        <v>178</v>
      </c>
    </row>
    <row r="47" spans="1:10" x14ac:dyDescent="0.4">
      <c r="B47" t="s">
        <v>97</v>
      </c>
      <c r="C47" t="s">
        <v>102</v>
      </c>
      <c r="E47" t="s">
        <v>108</v>
      </c>
      <c r="G47" s="96" t="s">
        <v>196</v>
      </c>
    </row>
    <row r="48" spans="1:10" x14ac:dyDescent="0.4">
      <c r="C48" t="s">
        <v>103</v>
      </c>
      <c r="E48" t="s">
        <v>109</v>
      </c>
    </row>
    <row r="49" spans="1:5" x14ac:dyDescent="0.4">
      <c r="E49" t="s">
        <v>110</v>
      </c>
    </row>
    <row r="50" spans="1:5" x14ac:dyDescent="0.4">
      <c r="E50" t="s">
        <v>79</v>
      </c>
    </row>
    <row r="51" spans="1:5" x14ac:dyDescent="0.4">
      <c r="E51" t="s">
        <v>103</v>
      </c>
    </row>
    <row r="53" spans="1:5" x14ac:dyDescent="0.4">
      <c r="A53" s="97" t="s">
        <v>206</v>
      </c>
    </row>
    <row r="54" spans="1:5" x14ac:dyDescent="0.4">
      <c r="A54" s="98" t="s">
        <v>207</v>
      </c>
    </row>
    <row r="55" spans="1:5" x14ac:dyDescent="0.4">
      <c r="A55" s="64" t="s">
        <v>208</v>
      </c>
    </row>
    <row r="56" spans="1:5" x14ac:dyDescent="0.4">
      <c r="A56" t="s">
        <v>209</v>
      </c>
    </row>
    <row r="57" spans="1:5" x14ac:dyDescent="0.4">
      <c r="A57" t="s">
        <v>210</v>
      </c>
    </row>
    <row r="58" spans="1:5" x14ac:dyDescent="0.4">
      <c r="A58" t="s">
        <v>211</v>
      </c>
    </row>
  </sheetData>
  <sheetProtection algorithmName="SHA-512" hashValue="QUIVuSIE6Oqq9DDhFOUO1V2p3VJFNG97BPLEHOVim/hdsqej4hLgQYzqON0NIbqAULL9kZinXXMu3xSkx25t6g==" saltValue="BeDfQEyiyeZcjlbHeYG6rg=="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13">
      <formula>IF($B$3="Industrie",1,0)</formula>
    </cfRule>
  </conditionalFormatting>
  <conditionalFormatting sqref="D6:D9">
    <cfRule type="expression" priority="14">
      <formula>IF($B$3="Industrie",1,0)</formula>
    </cfRule>
  </conditionalFormatting>
  <conditionalFormatting sqref="D4:G5 E6:G12">
    <cfRule type="expression" priority="87">
      <formula>IF($B$3="Industrie",1,0)</formula>
    </cfRule>
  </conditionalFormatting>
  <conditionalFormatting sqref="H21:H22">
    <cfRule type="expression" priority="1">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C5376-522F-4E60-BAAE-5FF7C94E9683}">
  <sheetPr codeName="Feuil2"/>
  <dimension ref="B2:J42"/>
  <sheetViews>
    <sheetView view="pageBreakPreview" zoomScale="60" zoomScaleNormal="100" workbookViewId="0">
      <selection activeCell="L19" sqref="L19"/>
    </sheetView>
  </sheetViews>
  <sheetFormatPr baseColWidth="10" defaultColWidth="11.41015625" defaultRowHeight="12.7" x14ac:dyDescent="0.4"/>
  <cols>
    <col min="1" max="1" width="3.703125" customWidth="1"/>
    <col min="2" max="10" width="12.703125" customWidth="1"/>
  </cols>
  <sheetData>
    <row r="2" spans="2:10" ht="17.7" x14ac:dyDescent="0.55000000000000004">
      <c r="B2" s="273" t="s">
        <v>320</v>
      </c>
      <c r="C2" s="273"/>
      <c r="D2" s="273"/>
      <c r="E2" s="273"/>
      <c r="F2" s="273"/>
      <c r="G2" s="273"/>
      <c r="H2" s="273"/>
      <c r="I2" s="273"/>
      <c r="J2" s="273"/>
    </row>
    <row r="3" spans="2:10" ht="15.35" x14ac:dyDescent="0.5">
      <c r="B3" s="150"/>
      <c r="C3" s="150"/>
      <c r="D3" s="150"/>
      <c r="E3" s="150"/>
      <c r="F3" s="150"/>
      <c r="G3" s="150"/>
      <c r="H3" s="150"/>
      <c r="I3" s="150"/>
      <c r="J3" s="150"/>
    </row>
    <row r="4" spans="2:10" x14ac:dyDescent="0.4">
      <c r="B4" s="274" t="s">
        <v>321</v>
      </c>
      <c r="C4" s="274"/>
      <c r="D4" s="151" t="s">
        <v>322</v>
      </c>
    </row>
    <row r="6" spans="2:10" x14ac:dyDescent="0.4">
      <c r="B6" s="274" t="s">
        <v>323</v>
      </c>
      <c r="C6" s="274"/>
    </row>
    <row r="8" spans="2:10" x14ac:dyDescent="0.4">
      <c r="B8" s="275" t="s">
        <v>324</v>
      </c>
      <c r="C8" s="277" t="str">
        <f>Critères!B3</f>
        <v>Débitmètre électromagnétique (Eau)</v>
      </c>
      <c r="D8" s="278"/>
      <c r="E8" s="278"/>
      <c r="F8" s="279"/>
      <c r="G8" s="277" t="str">
        <f>Critères!N3</f>
        <v>Débitmètre Ultrason</v>
      </c>
      <c r="H8" s="278"/>
      <c r="I8" s="278"/>
      <c r="J8" s="279"/>
    </row>
    <row r="9" spans="2:10" ht="27.35" x14ac:dyDescent="0.4">
      <c r="B9" s="276"/>
      <c r="C9" s="152" t="s">
        <v>325</v>
      </c>
      <c r="D9" s="153" t="s">
        <v>326</v>
      </c>
      <c r="E9" s="153" t="s">
        <v>327</v>
      </c>
      <c r="F9" s="154" t="s">
        <v>328</v>
      </c>
      <c r="G9" s="152" t="s">
        <v>325</v>
      </c>
      <c r="H9" s="153" t="s">
        <v>326</v>
      </c>
      <c r="I9" s="153" t="s">
        <v>327</v>
      </c>
      <c r="J9" s="154" t="s">
        <v>328</v>
      </c>
    </row>
    <row r="10" spans="2:10" x14ac:dyDescent="0.4">
      <c r="B10" s="155">
        <v>2.5</v>
      </c>
      <c r="C10" s="156">
        <v>1</v>
      </c>
      <c r="D10" s="157">
        <f t="shared" ref="D10:F25" si="0">(PI()*POWER($B10/1000,2)/4)*C10*3600</f>
        <v>1.7671458676442587E-2</v>
      </c>
      <c r="E10" s="158">
        <v>3</v>
      </c>
      <c r="F10" s="159">
        <f t="shared" si="0"/>
        <v>5.3014376029327757E-2</v>
      </c>
      <c r="G10" s="156">
        <v>1</v>
      </c>
      <c r="H10" s="157">
        <f t="shared" ref="H10:J25" si="1">(PI()*POWER($B10/1000,2)/4)*G10*3600</f>
        <v>1.7671458676442587E-2</v>
      </c>
      <c r="I10" s="158">
        <v>5</v>
      </c>
      <c r="J10" s="159">
        <f t="shared" si="1"/>
        <v>8.8357293382212931E-2</v>
      </c>
    </row>
    <row r="11" spans="2:10" x14ac:dyDescent="0.4">
      <c r="B11" s="155">
        <v>4</v>
      </c>
      <c r="C11" s="156">
        <v>1</v>
      </c>
      <c r="D11" s="157">
        <f t="shared" si="0"/>
        <v>4.5238934211693019E-2</v>
      </c>
      <c r="E11" s="158">
        <v>3</v>
      </c>
      <c r="F11" s="159">
        <f t="shared" si="0"/>
        <v>0.13571680263507907</v>
      </c>
      <c r="G11" s="156">
        <v>1</v>
      </c>
      <c r="H11" s="157">
        <f t="shared" si="1"/>
        <v>4.5238934211693019E-2</v>
      </c>
      <c r="I11" s="158">
        <v>5</v>
      </c>
      <c r="J11" s="159">
        <f t="shared" si="1"/>
        <v>0.22619467105846508</v>
      </c>
    </row>
    <row r="12" spans="2:10" x14ac:dyDescent="0.4">
      <c r="B12" s="155">
        <v>6</v>
      </c>
      <c r="C12" s="156">
        <v>1</v>
      </c>
      <c r="D12" s="157">
        <f t="shared" si="0"/>
        <v>0.10178760197630929</v>
      </c>
      <c r="E12" s="158">
        <v>3</v>
      </c>
      <c r="F12" s="159">
        <f t="shared" si="0"/>
        <v>0.30536280592892789</v>
      </c>
      <c r="G12" s="156">
        <v>1</v>
      </c>
      <c r="H12" s="157">
        <f t="shared" si="1"/>
        <v>0.10178760197630929</v>
      </c>
      <c r="I12" s="158">
        <v>5</v>
      </c>
      <c r="J12" s="159">
        <f t="shared" si="1"/>
        <v>0.50893800988154647</v>
      </c>
    </row>
    <row r="13" spans="2:10" x14ac:dyDescent="0.4">
      <c r="B13" s="155">
        <v>10</v>
      </c>
      <c r="C13" s="156">
        <v>1</v>
      </c>
      <c r="D13" s="157">
        <f t="shared" si="0"/>
        <v>0.28274333882308139</v>
      </c>
      <c r="E13" s="158">
        <v>3</v>
      </c>
      <c r="F13" s="159">
        <f t="shared" si="0"/>
        <v>0.84823001646924412</v>
      </c>
      <c r="G13" s="156">
        <v>1</v>
      </c>
      <c r="H13" s="157">
        <f t="shared" si="1"/>
        <v>0.28274333882308139</v>
      </c>
      <c r="I13" s="158">
        <v>5</v>
      </c>
      <c r="J13" s="159">
        <f t="shared" si="1"/>
        <v>1.4137166941154069</v>
      </c>
    </row>
    <row r="14" spans="2:10" x14ac:dyDescent="0.4">
      <c r="B14" s="155">
        <v>15</v>
      </c>
      <c r="C14" s="156">
        <v>1</v>
      </c>
      <c r="D14" s="157">
        <f t="shared" si="0"/>
        <v>0.63617251235193306</v>
      </c>
      <c r="E14" s="158">
        <v>3</v>
      </c>
      <c r="F14" s="159">
        <f t="shared" si="0"/>
        <v>1.9085175370557994</v>
      </c>
      <c r="G14" s="156">
        <v>1</v>
      </c>
      <c r="H14" s="157">
        <f t="shared" si="1"/>
        <v>0.63617251235193306</v>
      </c>
      <c r="I14" s="158">
        <v>5</v>
      </c>
      <c r="J14" s="159">
        <f t="shared" si="1"/>
        <v>3.1808625617596653</v>
      </c>
    </row>
    <row r="15" spans="2:10" x14ac:dyDescent="0.4">
      <c r="B15" s="155">
        <v>20</v>
      </c>
      <c r="C15" s="156">
        <v>1</v>
      </c>
      <c r="D15" s="157">
        <f t="shared" si="0"/>
        <v>1.1309733552923256</v>
      </c>
      <c r="E15" s="158">
        <v>3</v>
      </c>
      <c r="F15" s="159">
        <f t="shared" si="0"/>
        <v>3.3929200658769765</v>
      </c>
      <c r="G15" s="156">
        <v>1</v>
      </c>
      <c r="H15" s="157">
        <f t="shared" si="1"/>
        <v>1.1309733552923256</v>
      </c>
      <c r="I15" s="158">
        <v>5</v>
      </c>
      <c r="J15" s="159">
        <f t="shared" si="1"/>
        <v>5.6548667764616276</v>
      </c>
    </row>
    <row r="16" spans="2:10" x14ac:dyDescent="0.4">
      <c r="B16" s="155">
        <v>25</v>
      </c>
      <c r="C16" s="156">
        <v>1</v>
      </c>
      <c r="D16" s="157">
        <f t="shared" si="0"/>
        <v>1.7671458676442588</v>
      </c>
      <c r="E16" s="158">
        <v>3</v>
      </c>
      <c r="F16" s="159">
        <f t="shared" si="0"/>
        <v>5.3014376029327765</v>
      </c>
      <c r="G16" s="156">
        <v>1</v>
      </c>
      <c r="H16" s="157">
        <f t="shared" si="1"/>
        <v>1.7671458676442588</v>
      </c>
      <c r="I16" s="158">
        <v>5</v>
      </c>
      <c r="J16" s="159">
        <f t="shared" si="1"/>
        <v>8.8357293382212934</v>
      </c>
    </row>
    <row r="17" spans="2:10" x14ac:dyDescent="0.4">
      <c r="B17" s="155">
        <v>32</v>
      </c>
      <c r="C17" s="156">
        <v>1</v>
      </c>
      <c r="D17" s="157">
        <f t="shared" si="0"/>
        <v>2.8952917895483532</v>
      </c>
      <c r="E17" s="158">
        <v>3</v>
      </c>
      <c r="F17" s="159">
        <f t="shared" si="0"/>
        <v>8.6858753686450605</v>
      </c>
      <c r="G17" s="156">
        <v>1</v>
      </c>
      <c r="H17" s="157">
        <f t="shared" si="1"/>
        <v>2.8952917895483532</v>
      </c>
      <c r="I17" s="158">
        <v>5</v>
      </c>
      <c r="J17" s="159">
        <f t="shared" si="1"/>
        <v>14.476458947741765</v>
      </c>
    </row>
    <row r="18" spans="2:10" x14ac:dyDescent="0.4">
      <c r="B18" s="155">
        <v>40</v>
      </c>
      <c r="C18" s="156">
        <v>1</v>
      </c>
      <c r="D18" s="157">
        <f t="shared" si="0"/>
        <v>4.5238934211693023</v>
      </c>
      <c r="E18" s="158">
        <v>3</v>
      </c>
      <c r="F18" s="159">
        <f t="shared" si="0"/>
        <v>13.571680263507906</v>
      </c>
      <c r="G18" s="156">
        <v>1</v>
      </c>
      <c r="H18" s="157">
        <f t="shared" si="1"/>
        <v>4.5238934211693023</v>
      </c>
      <c r="I18" s="158">
        <v>5</v>
      </c>
      <c r="J18" s="159">
        <f t="shared" si="1"/>
        <v>22.61946710584651</v>
      </c>
    </row>
    <row r="19" spans="2:10" x14ac:dyDescent="0.4">
      <c r="B19" s="155">
        <v>50</v>
      </c>
      <c r="C19" s="156">
        <v>1</v>
      </c>
      <c r="D19" s="157">
        <f t="shared" si="0"/>
        <v>7.0685834705770354</v>
      </c>
      <c r="E19" s="158">
        <v>3</v>
      </c>
      <c r="F19" s="159">
        <f t="shared" si="0"/>
        <v>21.205750411731106</v>
      </c>
      <c r="G19" s="156">
        <v>1</v>
      </c>
      <c r="H19" s="157">
        <f t="shared" si="1"/>
        <v>7.0685834705770354</v>
      </c>
      <c r="I19" s="158">
        <v>5</v>
      </c>
      <c r="J19" s="159">
        <f t="shared" si="1"/>
        <v>35.342917352885173</v>
      </c>
    </row>
    <row r="20" spans="2:10" x14ac:dyDescent="0.4">
      <c r="B20" s="155">
        <v>65</v>
      </c>
      <c r="C20" s="156">
        <v>1</v>
      </c>
      <c r="D20" s="157">
        <f t="shared" si="0"/>
        <v>11.94590606527519</v>
      </c>
      <c r="E20" s="158">
        <v>3</v>
      </c>
      <c r="F20" s="159">
        <f t="shared" si="0"/>
        <v>35.837718195825573</v>
      </c>
      <c r="G20" s="156">
        <v>1</v>
      </c>
      <c r="H20" s="157">
        <f t="shared" si="1"/>
        <v>11.94590606527519</v>
      </c>
      <c r="I20" s="158">
        <v>5</v>
      </c>
      <c r="J20" s="159">
        <f t="shared" si="1"/>
        <v>59.729530326375951</v>
      </c>
    </row>
    <row r="21" spans="2:10" x14ac:dyDescent="0.4">
      <c r="B21" s="155">
        <v>80</v>
      </c>
      <c r="C21" s="156">
        <v>1</v>
      </c>
      <c r="D21" s="157">
        <f t="shared" si="0"/>
        <v>18.095573684677209</v>
      </c>
      <c r="E21" s="158">
        <v>3</v>
      </c>
      <c r="F21" s="159">
        <f t="shared" si="0"/>
        <v>54.286721054031624</v>
      </c>
      <c r="G21" s="156">
        <v>1</v>
      </c>
      <c r="H21" s="157">
        <f t="shared" si="1"/>
        <v>18.095573684677209</v>
      </c>
      <c r="I21" s="158">
        <v>5</v>
      </c>
      <c r="J21" s="159">
        <f t="shared" si="1"/>
        <v>90.477868423386042</v>
      </c>
    </row>
    <row r="22" spans="2:10" x14ac:dyDescent="0.4">
      <c r="B22" s="155">
        <v>100</v>
      </c>
      <c r="C22" s="156">
        <v>1</v>
      </c>
      <c r="D22" s="157">
        <f t="shared" si="0"/>
        <v>28.274333882308142</v>
      </c>
      <c r="E22" s="158">
        <v>3</v>
      </c>
      <c r="F22" s="159">
        <f t="shared" si="0"/>
        <v>84.823001646924425</v>
      </c>
      <c r="G22" s="156">
        <v>1</v>
      </c>
      <c r="H22" s="157">
        <f t="shared" si="1"/>
        <v>28.274333882308142</v>
      </c>
      <c r="I22" s="158">
        <v>5</v>
      </c>
      <c r="J22" s="159">
        <f t="shared" si="1"/>
        <v>141.37166941154069</v>
      </c>
    </row>
    <row r="23" spans="2:10" x14ac:dyDescent="0.4">
      <c r="B23" s="155">
        <v>125</v>
      </c>
      <c r="C23" s="156">
        <v>1</v>
      </c>
      <c r="D23" s="157">
        <f t="shared" si="0"/>
        <v>44.178646691106465</v>
      </c>
      <c r="E23" s="158">
        <v>3</v>
      </c>
      <c r="F23" s="159">
        <f t="shared" si="0"/>
        <v>132.53594007331941</v>
      </c>
      <c r="G23" s="156">
        <v>1</v>
      </c>
      <c r="H23" s="157">
        <f t="shared" si="1"/>
        <v>44.178646691106465</v>
      </c>
      <c r="I23" s="158">
        <v>5</v>
      </c>
      <c r="J23" s="159">
        <f t="shared" si="1"/>
        <v>220.89323345553234</v>
      </c>
    </row>
    <row r="24" spans="2:10" x14ac:dyDescent="0.4">
      <c r="B24" s="155">
        <v>150</v>
      </c>
      <c r="C24" s="156">
        <v>1</v>
      </c>
      <c r="D24" s="157">
        <f t="shared" si="0"/>
        <v>63.617251235193315</v>
      </c>
      <c r="E24" s="158">
        <v>3</v>
      </c>
      <c r="F24" s="159">
        <f t="shared" si="0"/>
        <v>190.85175370557994</v>
      </c>
      <c r="G24" s="156">
        <v>1</v>
      </c>
      <c r="H24" s="157">
        <f t="shared" si="1"/>
        <v>63.617251235193315</v>
      </c>
      <c r="I24" s="158">
        <v>5</v>
      </c>
      <c r="J24" s="159">
        <f t="shared" si="1"/>
        <v>318.08625617596653</v>
      </c>
    </row>
    <row r="25" spans="2:10" x14ac:dyDescent="0.4">
      <c r="B25" s="155">
        <v>200</v>
      </c>
      <c r="C25" s="156">
        <v>1</v>
      </c>
      <c r="D25" s="157">
        <f t="shared" si="0"/>
        <v>113.09733552923257</v>
      </c>
      <c r="E25" s="158">
        <v>3</v>
      </c>
      <c r="F25" s="159">
        <f t="shared" si="0"/>
        <v>339.2920065876977</v>
      </c>
      <c r="G25" s="156">
        <v>1</v>
      </c>
      <c r="H25" s="157">
        <f t="shared" si="1"/>
        <v>113.09733552923257</v>
      </c>
      <c r="I25" s="158">
        <v>5</v>
      </c>
      <c r="J25" s="159">
        <f t="shared" si="1"/>
        <v>565.48667764616278</v>
      </c>
    </row>
    <row r="26" spans="2:10" x14ac:dyDescent="0.4">
      <c r="B26" s="155">
        <v>250</v>
      </c>
      <c r="C26" s="156">
        <v>1</v>
      </c>
      <c r="D26" s="157">
        <f t="shared" ref="D26:F41" si="2">(PI()*POWER($B26/1000,2)/4)*C26*3600</f>
        <v>176.71458676442586</v>
      </c>
      <c r="E26" s="158">
        <v>3</v>
      </c>
      <c r="F26" s="159">
        <f t="shared" ref="F26:F27" si="3">(PI()*POWER($B26/1000,2)/4)*E26*3600</f>
        <v>530.14376029327764</v>
      </c>
      <c r="G26" s="156">
        <v>1</v>
      </c>
      <c r="H26" s="157">
        <f t="shared" ref="H26:J41" si="4">(PI()*POWER($B26/1000,2)/4)*G26*3600</f>
        <v>176.71458676442586</v>
      </c>
      <c r="I26" s="158">
        <v>5</v>
      </c>
      <c r="J26" s="159">
        <f t="shared" ref="J26:J27" si="5">(PI()*POWER($B26/1000,2)/4)*I26*3600</f>
        <v>883.57293382212936</v>
      </c>
    </row>
    <row r="27" spans="2:10" x14ac:dyDescent="0.4">
      <c r="B27" s="155">
        <v>300</v>
      </c>
      <c r="C27" s="156">
        <v>1</v>
      </c>
      <c r="D27" s="157">
        <f t="shared" si="2"/>
        <v>254.46900494077326</v>
      </c>
      <c r="E27" s="158">
        <v>3</v>
      </c>
      <c r="F27" s="159">
        <f t="shared" si="3"/>
        <v>763.40701482231975</v>
      </c>
      <c r="G27" s="156">
        <v>1</v>
      </c>
      <c r="H27" s="157">
        <f t="shared" si="4"/>
        <v>254.46900494077326</v>
      </c>
      <c r="I27" s="158">
        <v>5</v>
      </c>
      <c r="J27" s="159">
        <f t="shared" si="5"/>
        <v>1272.3450247038661</v>
      </c>
    </row>
    <row r="28" spans="2:10" x14ac:dyDescent="0.4">
      <c r="B28" s="155">
        <v>350</v>
      </c>
      <c r="C28" s="156">
        <v>1</v>
      </c>
      <c r="D28" s="157">
        <f t="shared" si="2"/>
        <v>346.36059005827462</v>
      </c>
      <c r="E28" s="158">
        <v>3</v>
      </c>
      <c r="F28" s="159">
        <f t="shared" si="2"/>
        <v>1039.0817701748238</v>
      </c>
      <c r="G28" s="156">
        <v>1</v>
      </c>
      <c r="H28" s="157">
        <f t="shared" si="4"/>
        <v>346.36059005827462</v>
      </c>
      <c r="I28" s="158">
        <v>5</v>
      </c>
      <c r="J28" s="159">
        <f t="shared" si="4"/>
        <v>1731.8029502913732</v>
      </c>
    </row>
    <row r="29" spans="2:10" x14ac:dyDescent="0.4">
      <c r="B29" s="155">
        <v>400</v>
      </c>
      <c r="C29" s="156">
        <v>1</v>
      </c>
      <c r="D29" s="157">
        <f t="shared" si="2"/>
        <v>452.38934211693027</v>
      </c>
      <c r="E29" s="158">
        <v>3</v>
      </c>
      <c r="F29" s="159">
        <f t="shared" si="2"/>
        <v>1357.1680263507908</v>
      </c>
      <c r="G29" s="156">
        <v>1</v>
      </c>
      <c r="H29" s="157">
        <f t="shared" si="4"/>
        <v>452.38934211693027</v>
      </c>
      <c r="I29" s="158">
        <v>5</v>
      </c>
      <c r="J29" s="159">
        <f t="shared" si="4"/>
        <v>2261.9467105846511</v>
      </c>
    </row>
    <row r="30" spans="2:10" x14ac:dyDescent="0.4">
      <c r="B30" s="155">
        <v>500</v>
      </c>
      <c r="C30" s="156">
        <v>1</v>
      </c>
      <c r="D30" s="157">
        <f t="shared" si="2"/>
        <v>706.85834705770344</v>
      </c>
      <c r="E30" s="158">
        <v>3</v>
      </c>
      <c r="F30" s="159">
        <f t="shared" si="2"/>
        <v>2120.5750411731105</v>
      </c>
      <c r="G30" s="156">
        <v>1</v>
      </c>
      <c r="H30" s="157">
        <f t="shared" si="4"/>
        <v>706.85834705770344</v>
      </c>
      <c r="I30" s="158">
        <v>5</v>
      </c>
      <c r="J30" s="159">
        <f t="shared" si="4"/>
        <v>3534.2917352885174</v>
      </c>
    </row>
    <row r="31" spans="2:10" x14ac:dyDescent="0.4">
      <c r="B31" s="155">
        <v>600</v>
      </c>
      <c r="C31" s="156">
        <v>1</v>
      </c>
      <c r="D31" s="157">
        <f t="shared" si="2"/>
        <v>1017.876019763093</v>
      </c>
      <c r="E31" s="158">
        <v>3</v>
      </c>
      <c r="F31" s="159">
        <f t="shared" si="2"/>
        <v>3053.628059289279</v>
      </c>
      <c r="G31" s="156">
        <v>1</v>
      </c>
      <c r="H31" s="157">
        <f t="shared" si="4"/>
        <v>1017.876019763093</v>
      </c>
      <c r="I31" s="158">
        <v>5</v>
      </c>
      <c r="J31" s="159">
        <f t="shared" si="4"/>
        <v>5089.3800988154644</v>
      </c>
    </row>
    <row r="32" spans="2:10" x14ac:dyDescent="0.4">
      <c r="B32" s="155">
        <v>700</v>
      </c>
      <c r="C32" s="156">
        <v>1</v>
      </c>
      <c r="D32" s="157">
        <f t="shared" si="2"/>
        <v>1385.4423602330985</v>
      </c>
      <c r="E32" s="158">
        <v>3</v>
      </c>
      <c r="F32" s="159">
        <f t="shared" si="2"/>
        <v>4156.327080699295</v>
      </c>
      <c r="G32" s="156">
        <v>1</v>
      </c>
      <c r="H32" s="157">
        <f t="shared" si="4"/>
        <v>1385.4423602330985</v>
      </c>
      <c r="I32" s="158">
        <v>5</v>
      </c>
      <c r="J32" s="159">
        <f t="shared" si="4"/>
        <v>6927.2118011654929</v>
      </c>
    </row>
    <row r="33" spans="2:10" x14ac:dyDescent="0.4">
      <c r="B33" s="155">
        <v>800</v>
      </c>
      <c r="C33" s="156">
        <v>1</v>
      </c>
      <c r="D33" s="157">
        <f t="shared" si="2"/>
        <v>1809.5573684677211</v>
      </c>
      <c r="E33" s="158">
        <v>3</v>
      </c>
      <c r="F33" s="159">
        <f t="shared" si="2"/>
        <v>5428.6721054031632</v>
      </c>
      <c r="G33" s="156">
        <v>1</v>
      </c>
      <c r="H33" s="157">
        <f t="shared" si="4"/>
        <v>1809.5573684677211</v>
      </c>
      <c r="I33" s="158">
        <v>5</v>
      </c>
      <c r="J33" s="159">
        <f t="shared" si="4"/>
        <v>9047.7868423386044</v>
      </c>
    </row>
    <row r="34" spans="2:10" x14ac:dyDescent="0.4">
      <c r="B34" s="155">
        <v>900</v>
      </c>
      <c r="C34" s="156">
        <v>1</v>
      </c>
      <c r="D34" s="157">
        <f t="shared" si="2"/>
        <v>2290.2210444669595</v>
      </c>
      <c r="E34" s="158">
        <v>3</v>
      </c>
      <c r="F34" s="159">
        <f t="shared" si="2"/>
        <v>6870.6631334008789</v>
      </c>
      <c r="G34" s="156">
        <v>1</v>
      </c>
      <c r="H34" s="157">
        <f t="shared" si="4"/>
        <v>2290.2210444669595</v>
      </c>
      <c r="I34" s="158">
        <v>5</v>
      </c>
      <c r="J34" s="159">
        <f t="shared" si="4"/>
        <v>11451.105222334796</v>
      </c>
    </row>
    <row r="35" spans="2:10" x14ac:dyDescent="0.4">
      <c r="B35" s="155">
        <v>1000</v>
      </c>
      <c r="C35" s="156">
        <v>1</v>
      </c>
      <c r="D35" s="157">
        <f t="shared" si="2"/>
        <v>2827.4333882308138</v>
      </c>
      <c r="E35" s="158">
        <v>3</v>
      </c>
      <c r="F35" s="159">
        <f t="shared" si="2"/>
        <v>8482.3001646924422</v>
      </c>
      <c r="G35" s="156">
        <v>1</v>
      </c>
      <c r="H35" s="157">
        <f t="shared" si="4"/>
        <v>2827.4333882308138</v>
      </c>
      <c r="I35" s="158">
        <v>5</v>
      </c>
      <c r="J35" s="159">
        <f t="shared" si="4"/>
        <v>14137.16694115407</v>
      </c>
    </row>
    <row r="36" spans="2:10" x14ac:dyDescent="0.4">
      <c r="B36" s="155">
        <v>1200</v>
      </c>
      <c r="C36" s="156">
        <v>1</v>
      </c>
      <c r="D36" s="157">
        <f t="shared" si="2"/>
        <v>4071.5040790523722</v>
      </c>
      <c r="E36" s="158">
        <v>3</v>
      </c>
      <c r="F36" s="159">
        <f t="shared" si="2"/>
        <v>12214.512237157116</v>
      </c>
      <c r="G36" s="156">
        <v>1</v>
      </c>
      <c r="H36" s="157">
        <f t="shared" si="4"/>
        <v>4071.5040790523722</v>
      </c>
      <c r="I36" s="158">
        <v>5</v>
      </c>
      <c r="J36" s="159">
        <f t="shared" si="4"/>
        <v>20357.520395261858</v>
      </c>
    </row>
    <row r="37" spans="2:10" x14ac:dyDescent="0.4">
      <c r="B37" s="155">
        <v>1400</v>
      </c>
      <c r="C37" s="156">
        <v>1</v>
      </c>
      <c r="D37" s="157">
        <f t="shared" si="2"/>
        <v>5541.769440932394</v>
      </c>
      <c r="E37" s="158">
        <v>3</v>
      </c>
      <c r="F37" s="159">
        <f t="shared" si="2"/>
        <v>16625.30832279718</v>
      </c>
      <c r="G37" s="156">
        <v>1</v>
      </c>
      <c r="H37" s="157">
        <f t="shared" si="4"/>
        <v>5541.769440932394</v>
      </c>
      <c r="I37" s="158">
        <v>5</v>
      </c>
      <c r="J37" s="159">
        <f t="shared" si="4"/>
        <v>27708.847204661972</v>
      </c>
    </row>
    <row r="38" spans="2:10" x14ac:dyDescent="0.4">
      <c r="B38" s="155">
        <v>1600</v>
      </c>
      <c r="C38" s="156">
        <v>1</v>
      </c>
      <c r="D38" s="157">
        <f t="shared" si="2"/>
        <v>7238.2294738708842</v>
      </c>
      <c r="E38" s="158">
        <v>3</v>
      </c>
      <c r="F38" s="159">
        <f t="shared" si="2"/>
        <v>21714.688421612653</v>
      </c>
      <c r="G38" s="156">
        <v>1</v>
      </c>
      <c r="H38" s="157">
        <f t="shared" si="4"/>
        <v>7238.2294738708842</v>
      </c>
      <c r="I38" s="158">
        <v>5</v>
      </c>
      <c r="J38" s="159">
        <f t="shared" si="4"/>
        <v>36191.147369354418</v>
      </c>
    </row>
    <row r="39" spans="2:10" x14ac:dyDescent="0.4">
      <c r="B39" s="155">
        <v>1800</v>
      </c>
      <c r="C39" s="156">
        <v>1</v>
      </c>
      <c r="D39" s="157">
        <f t="shared" si="2"/>
        <v>9160.8841778678379</v>
      </c>
      <c r="E39" s="158">
        <v>3</v>
      </c>
      <c r="F39" s="159">
        <f t="shared" si="2"/>
        <v>27482.652533603516</v>
      </c>
      <c r="G39" s="156">
        <v>1</v>
      </c>
      <c r="H39" s="157">
        <f t="shared" si="4"/>
        <v>9160.8841778678379</v>
      </c>
      <c r="I39" s="158">
        <v>5</v>
      </c>
      <c r="J39" s="159">
        <f t="shared" si="4"/>
        <v>45804.420889339184</v>
      </c>
    </row>
    <row r="40" spans="2:10" x14ac:dyDescent="0.4">
      <c r="B40" s="155">
        <v>2000</v>
      </c>
      <c r="C40" s="156">
        <v>1</v>
      </c>
      <c r="D40" s="157">
        <f t="shared" si="2"/>
        <v>11309.733552923255</v>
      </c>
      <c r="E40" s="158">
        <v>3</v>
      </c>
      <c r="F40" s="159">
        <f t="shared" si="2"/>
        <v>33929.200658769769</v>
      </c>
      <c r="G40" s="156">
        <v>1</v>
      </c>
      <c r="H40" s="157">
        <f t="shared" si="4"/>
        <v>11309.733552923255</v>
      </c>
      <c r="I40" s="158">
        <v>5</v>
      </c>
      <c r="J40" s="159">
        <f t="shared" si="4"/>
        <v>56548.667764616279</v>
      </c>
    </row>
    <row r="41" spans="2:10" x14ac:dyDescent="0.4">
      <c r="B41" s="155">
        <v>2600</v>
      </c>
      <c r="C41" s="156">
        <v>1</v>
      </c>
      <c r="D41" s="157">
        <f t="shared" si="2"/>
        <v>19113.449704440303</v>
      </c>
      <c r="E41" s="158">
        <v>3</v>
      </c>
      <c r="F41" s="159">
        <f t="shared" si="2"/>
        <v>57340.349113320903</v>
      </c>
      <c r="G41" s="156">
        <v>1</v>
      </c>
      <c r="H41" s="157">
        <f t="shared" si="4"/>
        <v>19113.449704440303</v>
      </c>
      <c r="I41" s="158">
        <v>5</v>
      </c>
      <c r="J41" s="159">
        <f t="shared" si="4"/>
        <v>95567.248522201509</v>
      </c>
    </row>
    <row r="42" spans="2:10" x14ac:dyDescent="0.4">
      <c r="B42" s="160">
        <v>3000</v>
      </c>
      <c r="C42" s="161">
        <v>1</v>
      </c>
      <c r="D42" s="162">
        <f t="shared" ref="D42:F42" si="6">(PI()*POWER($B42/1000,2)/4)*C42*3600</f>
        <v>25446.900494077323</v>
      </c>
      <c r="E42" s="163">
        <v>3</v>
      </c>
      <c r="F42" s="164">
        <f t="shared" si="6"/>
        <v>76340.701482231976</v>
      </c>
      <c r="G42" s="161">
        <v>1</v>
      </c>
      <c r="H42" s="162">
        <f t="shared" ref="H42:J42" si="7">(PI()*POWER($B42/1000,2)/4)*G42*3600</f>
        <v>25446.900494077323</v>
      </c>
      <c r="I42" s="163">
        <v>5</v>
      </c>
      <c r="J42" s="164">
        <f t="shared" si="7"/>
        <v>127234.50247038662</v>
      </c>
    </row>
  </sheetData>
  <sheetProtection algorithmName="SHA-512" hashValue="YGcqGh6GF1Ya6x8nJ46vVcEfs59HMhJTvbVDjaYcNhmzWfHddM1y2+84Hky5Wq+37vI+9+7ebTDL87Gin73/XQ==" saltValue="9uYXO+HnHjep8sKndxm4eQ==" spinCount="100000" sheet="1" objects="1" scenarios="1" formatRows="0"/>
  <mergeCells count="6">
    <mergeCell ref="B2:J2"/>
    <mergeCell ref="B4:C4"/>
    <mergeCell ref="B6:C6"/>
    <mergeCell ref="B8:B9"/>
    <mergeCell ref="C8:F8"/>
    <mergeCell ref="G8:J8"/>
  </mergeCells>
  <hyperlinks>
    <hyperlink ref="D4" r:id="rId1" display="https://view.officeapps.live.com/op/view.aspx?src=https%3A%2F%2Fwww.eaurmc.fr%2Fupload%2Fdocs%2Fapplication%2Fvnd.openxmlformats-officedocument.spreadsheetml.sheet%2F2025-02%2Ffeuilledecontrole_v7.0_locked.xlsx&amp;wdOrigin=BROWSELINK" xr:uid="{3F22BC02-5949-4324-A4DC-1975F0C05A27}"/>
  </hyperlinks>
  <pageMargins left="0.7" right="0.7" top="0.75" bottom="0.75" header="0.3" footer="0.3"/>
  <pageSetup paperSize="9" scale="78"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3.xml><?xml version="1.0" encoding="utf-8"?>
<ds:datastoreItem xmlns:ds="http://schemas.openxmlformats.org/officeDocument/2006/customXml" ds:itemID="{AA52DDF1-DB9E-4C0C-9E16-F265EDFF44E6}">
  <ds:schemaRefs>
    <ds:schemaRef ds:uri="81251141-7599-4081-9962-8622873f55aa"/>
    <ds:schemaRef ds:uri="http://purl.org/dc/dcmitype/"/>
    <ds:schemaRef ds:uri="http://schemas.microsoft.com/office/infopath/2007/PartnerControls"/>
    <ds:schemaRef ds:uri="http://schemas.microsoft.com/office/2006/documentManagement/types"/>
    <ds:schemaRef ds:uri="http://purl.org/dc/elements/1.1/"/>
    <ds:schemaRef ds:uri="http://schemas.microsoft.com/office/2006/metadata/properties"/>
    <ds:schemaRef ds:uri="http://purl.org/dc/terms/"/>
    <ds:schemaRef ds:uri="http://schemas.openxmlformats.org/package/2006/metadata/core-properties"/>
    <ds:schemaRef ds:uri="afd5fb63-b61f-423b-93e7-958e038eacd2"/>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26</vt:i4>
      </vt:variant>
    </vt:vector>
  </HeadingPairs>
  <TitlesOfParts>
    <vt:vector size="30" baseType="lpstr">
      <vt:lpstr>Q_DEM</vt:lpstr>
      <vt:lpstr>Critères</vt:lpstr>
      <vt:lpstr>PARAM</vt:lpstr>
      <vt:lpstr>BD Débitmètres</vt:lpstr>
      <vt:lpstr>Asservissement</vt:lpstr>
      <vt:lpstr>CODE_SANDRE_3</vt:lpstr>
      <vt:lpstr>CODE_SANDRE_SCL</vt:lpstr>
      <vt:lpstr>CODE_SANDRE_STEU</vt:lpstr>
      <vt:lpstr>conditions_meteo</vt:lpstr>
      <vt:lpstr>Conformité</vt:lpstr>
      <vt:lpstr>diam_debitmetre</vt:lpstr>
      <vt:lpstr>EQUIPEMENT_PREL</vt:lpstr>
      <vt:lpstr>EQUIPEMENT_Q</vt:lpstr>
      <vt:lpstr>Frequence</vt:lpstr>
      <vt:lpstr>LISTE_1</vt:lpstr>
      <vt:lpstr>LISTE_2</vt:lpstr>
      <vt:lpstr>LISTE_3</vt:lpstr>
      <vt:lpstr>LISTE_4</vt:lpstr>
      <vt:lpstr>LISTE_5</vt:lpstr>
      <vt:lpstr>LISTE_6</vt:lpstr>
      <vt:lpstr>LISTE_7</vt:lpstr>
      <vt:lpstr>Montage_sonde</vt:lpstr>
      <vt:lpstr>Q_en_charge</vt:lpstr>
      <vt:lpstr>Q_en_charge_boues</vt:lpstr>
      <vt:lpstr>Q_Gravitaire</vt:lpstr>
      <vt:lpstr>Satisfaction</vt:lpstr>
      <vt:lpstr>Type_capteur</vt:lpstr>
      <vt:lpstr>Type_equipement</vt:lpstr>
      <vt:lpstr>'BD Débitmètres'!Zone_d_impression</vt:lpstr>
      <vt:lpstr>Q_DEM!Zone_d_impression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2026-09-04T14:36:50Z</cp:lastPrinted>
  <dcterms:created xsi:type="dcterms:W3CDTF">2022-12-06T13:32:43Z</dcterms:created>
  <dcterms:modified xsi:type="dcterms:W3CDTF">2026-10-09T14:16:52Z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