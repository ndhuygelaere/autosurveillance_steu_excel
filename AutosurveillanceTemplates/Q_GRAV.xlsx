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26B5D2E8-495C-4B07-8517-6E24D002562E}" xr6:coauthVersionLast="47" xr6:coauthVersionMax="47" xr10:uidLastSave="{00000000-0000-0000-0000-000000000000}"/>
  <bookViews>
    <workbookView xWindow="-8205" yWindow="-16320" windowWidth="29040" windowHeight="15720" tabRatio="777" xr2:uid="{00000000-000D-0000-FFFF-FFFF00000000}"/>
  </bookViews>
  <sheets>
    <sheet name="Q_GRAV" sheetId="50"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éthode">PARAM!$A$55:$A$56</definedName>
    <definedName name="Montage_sonde">PARAM!$G$44:$G$47</definedName>
    <definedName name="Q_en_charge">PARAM!$A$30:$A$35</definedName>
    <definedName name="Q_Gravitaire">PARAM!$B$30:$B$39</definedName>
    <definedName name="Satisfaction">PARAM!$D$44:$D$46</definedName>
    <definedName name="Type_capteur">PARAM!$C$44:$C$48</definedName>
    <definedName name="Type_equipement">PARAM!$C$4:$C$6</definedName>
    <definedName name="_xlnm.Print_Area" localSheetId="0">Q_GRAV!$B$1:$U$69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43" i="50" l="1" a="1"/>
  <c r="W43" i="50" s="1"/>
  <c r="W44" i="50" a="1"/>
  <c r="W44" i="50" s="1"/>
  <c r="W45" i="50" a="1"/>
  <c r="W45" i="50" s="1"/>
  <c r="W46" i="50" a="1"/>
  <c r="W46" i="50" s="1"/>
  <c r="W47" i="50" a="1"/>
  <c r="W47" i="50" s="1"/>
  <c r="W48" i="50" a="1"/>
  <c r="W48" i="50" s="1"/>
  <c r="W49" i="50" a="1"/>
  <c r="W49" i="50" s="1"/>
  <c r="W50" i="50" a="1"/>
  <c r="W50" i="50" s="1"/>
  <c r="W51" i="50" a="1"/>
  <c r="W51" i="50" s="1"/>
  <c r="W42" i="50" a="1"/>
  <c r="W42" i="50" s="1"/>
  <c r="BX15" i="47" l="1"/>
  <c r="BT15" i="47"/>
  <c r="BP15" i="47"/>
  <c r="BL15" i="47"/>
  <c r="BH15" i="47"/>
  <c r="BD15" i="47"/>
  <c r="AZ15" i="47"/>
  <c r="AV15" i="47"/>
  <c r="AR15" i="47"/>
  <c r="AN15" i="47"/>
  <c r="AJ15" i="47"/>
  <c r="AF15" i="47"/>
  <c r="AB15" i="47"/>
  <c r="X15" i="47"/>
  <c r="T15" i="47"/>
  <c r="P15" i="47"/>
  <c r="L15" i="47"/>
  <c r="H15" i="47"/>
  <c r="D15" i="47"/>
  <c r="S51" i="50" l="1"/>
  <c r="R51" i="50"/>
  <c r="K51" i="50"/>
  <c r="E51" i="50"/>
  <c r="S50" i="50"/>
  <c r="K50" i="50"/>
  <c r="E50" i="50"/>
  <c r="P50" i="50" s="1"/>
  <c r="R50" i="50" s="1"/>
  <c r="S49" i="50"/>
  <c r="K49" i="50"/>
  <c r="E49" i="50"/>
  <c r="S48" i="50"/>
  <c r="K48" i="50"/>
  <c r="E48" i="50"/>
  <c r="S47" i="50"/>
  <c r="R47" i="50"/>
  <c r="K47" i="50"/>
  <c r="E47" i="50"/>
  <c r="S46" i="50"/>
  <c r="R46" i="50"/>
  <c r="K46" i="50"/>
  <c r="E46" i="50"/>
  <c r="S45" i="50"/>
  <c r="R45" i="50"/>
  <c r="K45" i="50"/>
  <c r="E45" i="50"/>
  <c r="S44" i="50"/>
  <c r="R44" i="50"/>
  <c r="K44" i="50"/>
  <c r="E44" i="50"/>
  <c r="S43" i="50"/>
  <c r="R43" i="50"/>
  <c r="K43" i="50"/>
  <c r="E43" i="50"/>
  <c r="S42" i="50"/>
  <c r="R42" i="50"/>
  <c r="K42" i="50"/>
  <c r="E42" i="50"/>
  <c r="O35" i="50"/>
  <c r="P35" i="50" s="1"/>
  <c r="X35" i="50" s="1"/>
  <c r="N35" i="50"/>
  <c r="K35" i="50"/>
  <c r="W36" i="50" s="1"/>
  <c r="F35" i="50"/>
  <c r="Y31" i="50"/>
  <c r="W31" i="50"/>
  <c r="Y30" i="50"/>
  <c r="Q30" i="50"/>
  <c r="P30" i="50"/>
  <c r="M30" i="50"/>
  <c r="K30" i="50"/>
  <c r="I30" i="50"/>
  <c r="G30" i="50"/>
  <c r="E30" i="50"/>
  <c r="W30" i="50" s="1"/>
  <c r="Y29" i="50"/>
  <c r="Q29" i="50"/>
  <c r="P29" i="50"/>
  <c r="M29" i="50"/>
  <c r="K29" i="50"/>
  <c r="I29" i="50"/>
  <c r="G29" i="50"/>
  <c r="E29" i="50"/>
  <c r="Y28" i="50"/>
  <c r="W28" i="50"/>
  <c r="Q28" i="50"/>
  <c r="P28" i="50"/>
  <c r="M28" i="50"/>
  <c r="K28" i="50"/>
  <c r="X31" i="50" s="1"/>
  <c r="X32" i="50" s="1"/>
  <c r="I28" i="50"/>
  <c r="G28" i="50"/>
  <c r="E28" i="50"/>
  <c r="Y27" i="50"/>
  <c r="Q27" i="50"/>
  <c r="P27" i="50"/>
  <c r="M27" i="50"/>
  <c r="K27" i="50"/>
  <c r="I27" i="50"/>
  <c r="G27" i="50"/>
  <c r="E27" i="50"/>
  <c r="P26" i="50"/>
  <c r="N26" i="50"/>
  <c r="L26" i="50"/>
  <c r="I26" i="50"/>
  <c r="H26" i="50"/>
  <c r="F26" i="50"/>
  <c r="E26" i="50"/>
  <c r="D26" i="50"/>
  <c r="J6" i="50"/>
  <c r="X30" i="50" l="1"/>
  <c r="W29" i="50"/>
  <c r="X29" i="50"/>
  <c r="P48" i="50"/>
  <c r="R48" i="50" s="1"/>
  <c r="W27" i="50"/>
  <c r="X27" i="50"/>
  <c r="P49" i="50"/>
  <c r="R49" i="50" s="1"/>
  <c r="R53" i="50"/>
  <c r="P53" i="50" s="1"/>
  <c r="L35" i="50"/>
  <c r="M35" i="50" s="1"/>
  <c r="W35" i="50" s="1"/>
  <c r="X28" i="5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<sst xmlns="http://schemas.openxmlformats.org/spreadsheetml/2006/main" count="964" uniqueCount="348">
  <si>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</si>
  <si>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</si>
  <si>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</si>
  <si>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</si>
  <si>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</si>
  <si>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</si>
  <si>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</si>
  <si>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</si>
  <si>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</si>
  <si>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</si>
  <si>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</si>
  <si>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</si>
  <si>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</si>
  <si>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</si>
  <si>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</si>
  <si>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</si>
  <si>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</si>
  <si>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</si>
  <si>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</si>
  <si>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</si>
  <si>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</si>
  <si>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</si>
  <si>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</si>
  <si>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</si>
  <si>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</si>
  <si>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</si>
  <si>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</si>
  <si>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</si>
  <si>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</si>
  <si>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</si>
  <si>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</si>
  <si>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</si>
  <si>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</si>
  <si>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</si>
  <si>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</si>
  <si>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</si>
  <si>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</si>
  <si>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</si>
  <si>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</si>
  <si>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</si>
  <si>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</si>
  <si>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</si>
  <si>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</si>
  <si>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</si>
  <si>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</si>
  <si>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</si>
  <si>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</si>
  <si>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</si>
  <si>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</si>
  <si>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</si>
  <si>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</si>
  <si>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</si>
  <si>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</si>
  <si>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</si>
  <si>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</si>
  <si>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</si>
  <si>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</si>
  <si>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</si>
  <si>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</si>
  <si>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</si>
  <si>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</si>
  <si>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</si>
  <si>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</si>
  <si>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</si>
  <si>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</si>
  <si>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</si>
  <si>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</si>
  <si>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</si>
  <si>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</si>
  <si>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</si>
  <si>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</si>
  <si>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</si>
  <si>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</si>
  <si>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</si>
  <si>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</si>
  <si>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</si>
  <si>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</si>
  <si>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</si>
  <si>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</si>
  <si>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</si>
  <si>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</si>
  <si>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</si>
  <si>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Réglet</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</si>
  <si>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</si>
  <si>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</si>
  <si>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</si>
  <si>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</si>
  <si>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</si>
  <si>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</si>
  <si>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</si>
  <si>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</si>
  <si>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</si>
  <si>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</si>
  <si>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</si>
  <si>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</si>
  <si>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</si>
  <si>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</si>
  <si>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</si>
  <si>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</si>
  <si>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</si>
  <si>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</si>
  <si>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</si>
  <si>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</si>
  <si>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</si>
  <si>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</si>
  <si>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</si>
  <si>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</si>
  <si>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</si>
  <si>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</si>
  <si>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</si>
  <si>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</si>
  <si>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</si>
  <si>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</si>
  <si>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</si>
  <si>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</si>
  <si>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</si>
  <si>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</si>
  <si>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</si>
  <si>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</si>
  <si>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</si>
  <si>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</si>
  <si>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</si>
  <si>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</si>
  <si>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</si>
  <si>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</si>
  <si>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</si>
  <si>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</si>
  <si>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</si>
  <si>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</si>
  <si>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</si>
  <si>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</si>
  <si>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</si>
  <si>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</si>
  <si>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</si>
  <si>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</si>
  <si>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</si>
  <si>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</si>
  <si>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</si>
  <si>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</si>
  <si>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</si>
  <si>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</si>
  <si>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</si>
  <si>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</si>
  <si>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</si>
  <si>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</si>
  <si>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Le fonctionnement hydraulique, en amont et en aval du clapet, est-il satisfaisant ?</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</si>
  <si>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</si>
  <si>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</si>
  <si>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</si>
  <si>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</si>
  <si>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</si>
  <si>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</si>
  <si>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</si>
  <si>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</si>
  <si>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</si>
  <si>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</si>
  <si>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</si>
  <si>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</si>
  <si>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</si>
  <si>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</si>
  <si>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</si>
  <si>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</si>
  <si>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</si>
  <si>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</si>
  <si>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</si>
  <si>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</si>
  <si>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</si>
  <si>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</si>
  <si>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</si>
  <si>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</si>
  <si>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</si>
  <si>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</si>
  <si>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</si>
  <si>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</si>
  <si>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</si>
  <si>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</si>
  <si>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</si>
  <si>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</si>
  <si>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</si>
  <si>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</si>
  <si>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</si>
  <si>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</si>
  <si>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</si>
  <si>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</si>
  <si>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Sonde</t>
  </si>
  <si>
    <t>Câble</t>
  </si>
  <si>
    <t>Equipement de contrôle H</t>
  </si>
  <si>
    <t>Conforme avec réserve</t>
  </si>
  <si>
    <t xml:space="preserve">Marque du capteur de mesure : </t>
  </si>
  <si>
    <t xml:space="preserve">Type du capteur de mesure : </t>
  </si>
  <si>
    <t xml:space="preserve">Fréquence de vérification sur site : </t>
  </si>
  <si>
    <t>EMT</t>
  </si>
  <si>
    <t>Comparaison des hauteurs et débits</t>
  </si>
  <si>
    <t>Équipement sur site</t>
  </si>
  <si>
    <t>Équipement de contrôle</t>
  </si>
  <si>
    <t>Ecart (%)</t>
  </si>
  <si>
    <t>Moyenne</t>
  </si>
  <si>
    <t xml:space="preserve">
</t>
  </si>
  <si>
    <t>Points</t>
  </si>
  <si>
    <t>Listes méthode contrôle</t>
  </si>
  <si>
    <t>Méthode</t>
  </si>
  <si>
    <t>Ecart retenu - Appareil</t>
  </si>
  <si>
    <t>Ecart retenu - Supervision</t>
  </si>
  <si>
    <t>En N</t>
  </si>
  <si>
    <t>En /</t>
  </si>
  <si>
    <t xml:space="preserve">Période (min) : </t>
  </si>
  <si>
    <t>Équipement existant sur site</t>
  </si>
  <si>
    <t>Équipement de contrôle installé</t>
  </si>
  <si>
    <t>Hauteur de contrôle (mm)</t>
  </si>
  <si>
    <t>Simulation d'une hauteur d'eau (leurre)</t>
  </si>
  <si>
    <t>% selon volume lu</t>
  </si>
  <si>
    <t>Valeur simulée</t>
  </si>
  <si>
    <t>Valeur mesurée</t>
  </si>
  <si>
    <t>question 7</t>
  </si>
  <si>
    <t>question 8</t>
  </si>
  <si>
    <t xml:space="preserve">LOCALISATION : </t>
  </si>
  <si>
    <t xml:space="preserve">CODE SANDRE : </t>
  </si>
  <si>
    <t xml:space="preserve">MAITRE D'OUVRAGE : </t>
  </si>
  <si>
    <t xml:space="preserve">EXPLOITANT : </t>
  </si>
  <si>
    <r>
      <t>STATION / R</t>
    </r>
    <r>
      <rPr>
        <b/>
        <sz val="11"/>
        <color theme="4"/>
        <rFont val="Calibri"/>
        <family val="2"/>
      </rPr>
      <t>É</t>
    </r>
    <r>
      <rPr>
        <b/>
        <sz val="11"/>
        <color theme="4"/>
        <rFont val="Calibri"/>
        <family val="2"/>
        <scheme val="minor"/>
      </rPr>
      <t xml:space="preserve">SEAU : </t>
    </r>
  </si>
  <si>
    <t xml:space="preserve">ORGANISME DE CONTRÔLE : </t>
  </si>
  <si>
    <t xml:space="preserve">DATE(S) D'INTERVENTION : </t>
  </si>
  <si>
    <t xml:space="preserve">CODE DU POINT : </t>
  </si>
  <si>
    <r>
      <t>TYPE D'</t>
    </r>
    <r>
      <rPr>
        <b/>
        <sz val="11"/>
        <color theme="4"/>
        <rFont val="Calibri"/>
        <family val="2"/>
      </rPr>
      <t>É</t>
    </r>
    <r>
      <rPr>
        <b/>
        <sz val="11"/>
        <color theme="4"/>
        <rFont val="Calibri"/>
        <family val="2"/>
        <scheme val="minor"/>
      </rPr>
      <t xml:space="preserve">QUIPEMENT : </t>
    </r>
  </si>
  <si>
    <r>
      <t>TYPE DE MAT</t>
    </r>
    <r>
      <rPr>
        <b/>
        <sz val="11"/>
        <color theme="4"/>
        <rFont val="Calibri"/>
        <family val="2"/>
      </rPr>
      <t>É</t>
    </r>
    <r>
      <rPr>
        <b/>
        <sz val="11"/>
        <color theme="4"/>
        <rFont val="Calibri"/>
        <family val="2"/>
        <scheme val="minor"/>
      </rPr>
      <t xml:space="preserve">RIEL : </t>
    </r>
  </si>
  <si>
    <t xml:space="preserve">NOM(S) DU(ES) CONTROLEUR(S) : </t>
  </si>
  <si>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</si>
  <si>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t xml:space="preserve">Marque de l'équipement : </t>
  </si>
  <si>
    <t xml:space="preserve">Modèle de l'équipement : </t>
  </si>
  <si>
    <t xml:space="preserve">Présence d'un écoulement : </t>
  </si>
  <si>
    <t xml:space="preserve">Plage horaire de mesure : </t>
  </si>
  <si>
    <t xml:space="preserve">N° de l'équipement de contrôle : </t>
  </si>
  <si>
    <t xml:space="preserve">Marque de l'équipement de contrôle : </t>
  </si>
  <si>
    <t xml:space="preserve">Modèle de l'équipement de contrôle : </t>
  </si>
  <si>
    <t xml:space="preserve">Date du dernier étalonnage : </t>
  </si>
  <si>
    <t xml:space="preserve">Matériel de contrôle de la hauteur : </t>
  </si>
  <si>
    <t xml:space="preserve">Loi hydraulique utilisée : </t>
  </si>
  <si>
    <r>
      <t>Débit moyen d'écoulement (m</t>
    </r>
    <r>
      <rPr>
        <vertAlign val="superscript"/>
        <sz val="10"/>
        <rFont val="Calibri"/>
        <family val="2"/>
        <scheme val="minor"/>
      </rPr>
      <t>3</t>
    </r>
    <r>
      <rPr>
        <sz val="10"/>
        <rFont val="Calibri"/>
        <family val="2"/>
        <scheme val="minor"/>
      </rPr>
      <t xml:space="preserve">/h) : </t>
    </r>
  </si>
  <si>
    <r>
      <t>Relevé de l'index totalisateur (m</t>
    </r>
    <r>
      <rPr>
        <vertAlign val="superscript"/>
        <sz val="10"/>
        <rFont val="Calibri"/>
        <family val="2"/>
        <scheme val="minor"/>
      </rPr>
      <t>3</t>
    </r>
    <r>
      <rPr>
        <sz val="10"/>
        <rFont val="Calibri"/>
        <family val="2"/>
        <scheme val="minor"/>
      </rPr>
      <t xml:space="preserve">) : </t>
    </r>
  </si>
  <si>
    <r>
      <t>CONTRÔLE DE LA MESURE DE D</t>
    </r>
    <r>
      <rPr>
        <b/>
        <sz val="18"/>
        <color theme="0"/>
        <rFont val="Calibri"/>
        <family val="2"/>
      </rPr>
      <t>É</t>
    </r>
    <r>
      <rPr>
        <b/>
        <sz val="18"/>
        <color theme="0"/>
        <rFont val="Calibri"/>
        <family val="2"/>
        <scheme val="minor"/>
      </rPr>
      <t>BIT EN GRAVITAIRE</t>
    </r>
  </si>
  <si>
    <r>
      <rPr>
        <b/>
        <sz val="18"/>
        <color theme="0"/>
        <rFont val="Calibri"/>
        <family val="2"/>
      </rPr>
      <t>É</t>
    </r>
    <r>
      <rPr>
        <b/>
        <sz val="18"/>
        <color theme="0"/>
        <rFont val="Calibri"/>
        <family val="2"/>
        <scheme val="minor"/>
      </rPr>
      <t>VALUATION</t>
    </r>
  </si>
  <si>
    <r>
      <t>AXES D'AM</t>
    </r>
    <r>
      <rPr>
        <b/>
        <sz val="18"/>
        <color theme="0"/>
        <rFont val="Calibri"/>
        <family val="2"/>
      </rPr>
      <t>É</t>
    </r>
    <r>
      <rPr>
        <b/>
        <sz val="18"/>
        <color theme="0"/>
        <rFont val="Calibri"/>
        <family val="2"/>
        <scheme val="minor"/>
      </rPr>
      <t>LIORATION</t>
    </r>
  </si>
  <si>
    <t xml:space="preserve">Méthode de contrôle : </t>
  </si>
  <si>
    <t>Mesure comparative en parallèle</t>
  </si>
  <si>
    <r>
      <t>Plage de mesure (m</t>
    </r>
    <r>
      <rPr>
        <vertAlign val="superscript"/>
        <sz val="10"/>
        <rFont val="Calibri"/>
        <family val="2"/>
        <scheme val="minor"/>
      </rPr>
      <t>3</t>
    </r>
    <r>
      <rPr>
        <sz val="10"/>
        <rFont val="Calibri"/>
        <family val="2"/>
        <scheme val="minor"/>
      </rPr>
      <t xml:space="preserve">/h) : </t>
    </r>
  </si>
  <si>
    <r>
      <t>Débit lu (m</t>
    </r>
    <r>
      <rPr>
        <vertAlign val="superscript"/>
        <sz val="10"/>
        <rFont val="Calibri"/>
        <family val="2"/>
        <scheme val="minor"/>
      </rPr>
      <t>3</t>
    </r>
    <r>
      <rPr>
        <sz val="10"/>
        <rFont val="Calibri"/>
        <family val="2"/>
        <scheme val="minor"/>
      </rPr>
      <t>/h)</t>
    </r>
  </si>
  <si>
    <r>
      <t>Volume lu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</si>
  <si>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</si>
  <si>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t>EMT sur le débit
(%)</t>
  </si>
  <si>
    <r>
      <t>Volume attendu (m</t>
    </r>
    <r>
      <rPr>
        <vertAlign val="superscript"/>
        <sz val="10"/>
        <rFont val="Calibri"/>
        <family val="2"/>
        <scheme val="minor"/>
      </rPr>
      <t>3</t>
    </r>
    <r>
      <rPr>
        <sz val="10"/>
        <rFont val="Calibri"/>
        <family val="2"/>
        <scheme val="minor"/>
      </rPr>
      <t>)</t>
    </r>
  </si>
  <si>
    <r>
      <t>Volume lu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</si>
  <si>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</si>
  <si>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t>Écart
Débit lu
(%)</t>
  </si>
  <si>
    <t>Écart
Débit attendu 
(%)</t>
  </si>
  <si>
    <t>Écart
Débit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</si>
  <si>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</si>
  <si>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</si>
  <si>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</si>
  <si>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</si>
  <si>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</si>
  <si>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</si>
  <si>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</si>
  <si>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</si>
  <si>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</si>
  <si>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</si>
  <si>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</si>
  <si>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</si>
  <si>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</si>
  <si>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</si>
  <si>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</si>
  <si>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</si>
  <si>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</si>
  <si>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</si>
  <si>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</si>
  <si>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</si>
  <si>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</si>
  <si>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</si>
  <si>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</si>
  <si>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</si>
  <si>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</si>
  <si>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</si>
  <si>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</si>
  <si>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</si>
  <si>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</si>
  <si>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</si>
  <si>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</si>
  <si>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</si>
  <si>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</si>
  <si>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</si>
  <si>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</si>
  <si>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</si>
  <si>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</si>
  <si>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</si>
  <si>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</si>
  <si>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</si>
  <si>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</si>
  <si>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</si>
  <si>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</si>
  <si>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</si>
  <si>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</si>
  <si>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</si>
  <si>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</si>
  <si>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</si>
  <si>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</si>
  <si>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</si>
  <si>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</si>
  <si>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</si>
  <si>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</si>
  <si>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</si>
  <si>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</si>
  <si>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</si>
  <si>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</si>
  <si>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</si>
  <si>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</si>
  <si>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</si>
  <si>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</si>
  <si>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Type réseau</t>
  </si>
  <si>
    <t>Q en charge boues</t>
  </si>
  <si>
    <t>Mixte</t>
  </si>
  <si>
    <t>Unitaire</t>
  </si>
  <si>
    <t>Séparatif</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</si>
  <si>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</si>
  <si>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</si>
  <si>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</si>
  <si>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</si>
  <si>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</si>
  <si>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</si>
  <si>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</si>
  <si>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</si>
  <si>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</si>
  <si>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</si>
  <si>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</si>
  <si>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Valeurs simulées</t>
  </si>
  <si>
    <t>Loi hydraulique</t>
  </si>
  <si>
    <t xml:space="preserve">
Vous pouvez insérer ici une image présentant la loi hydraulique utilisée</t>
  </si>
  <si>
    <t>LISTE_7</t>
  </si>
  <si>
    <t>Entre 10 et 20%</t>
  </si>
  <si>
    <t>Non validé (&gt;20%)</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</si>
  <si>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</si>
  <si>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</si>
  <si>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</si>
  <si>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En l'absence d'écoulement saisir "Non contrôlé"</t>
  </si>
  <si>
    <t>Les traces de mises en charges peuvent être un indice pour évaluer ce critère.
En l'absence d'écoulement saisir "Non contrôlé"
Si impossibilité de se prononcer ou de doute saisir "Validé avec réserve"</t>
  </si>
  <si>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</si>
  <si>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</si>
  <si>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</si>
  <si>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</si>
  <si>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Si une mesure comparative est impossible, est ce que l'exploitant fait réaliser un contrôle électronique du débitmètre, ou un recalibrage sur banc d'essai des capteurs ? Le rapport atteste-t-il d'un bon fonctionnement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</si>
</sst>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 &quot;0%"/>
    <numFmt numFmtId="165" formatCode="\±\ #,##0"/>
    <numFmt numFmtId="166" formatCode="#,##0.0"/>
    <numFmt numFmtId="167" formatCode=";;;"/>
  </numFmts>
  <fonts count="50"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2"/>
      <color theme="3"/>
      <name val="Calibri"/>
      <family val="2"/>
      <scheme val="minor"/>
    </font>
    <font>
      <sz val="1"/>
      <color theme="2"/>
      <name val="Calibri"/>
      <family val="2"/>
      <scheme val="minor"/>
    </font>
    <font>
      <b/>
      <sz val="20"/>
      <color theme="1"/>
      <name val="Calibri"/>
      <family val="2"/>
      <scheme val="minor"/>
    </font>
    <font>
      <b/>
      <sz val="10"/>
      <color rgb="FFC00000"/>
      <name val="Calibri"/>
      <family val="2"/>
      <scheme val="minor"/>
    </font>
    <font>
      <b/>
      <sz val="10"/>
      <name val="Calibri"/>
      <family val="2"/>
      <scheme val="minor"/>
    </font>
    <font>
      <b/>
      <sz val="10"/>
      <color rgb="FFFF0000"/>
      <name val="Calibri"/>
      <family val="2"/>
      <scheme val="minor"/>
    </font>
    <font>
      <b/>
      <sz val="11"/>
      <color theme="4"/>
      <name val="Calibri"/>
      <family val="2"/>
    </font>
    <font>
      <vertAlign val="superscript"/>
      <sz val="10"/>
      <name val="Calibri"/>
      <family val="2"/>
      <scheme val="minor"/>
    </font>
    <font>
      <b/>
      <sz val="18"/>
      <color theme="0"/>
      <name val="Calibri"/>
      <family val="2"/>
    </font>
    <font>
      <b/>
      <sz val="10"/>
      <name val="Arial"/>
      <family val="2"/>
    </font>
    <font>
      <b/>
      <sz val="16"/>
      <color theme="0"/>
      <name val="Arial"/>
      <family val="2"/>
    </font>
    <font>
      <sz val="10"/>
      <color rgb="FF7030A0"/>
      <name val="Aptos Narrow"/>
      <family val="2"/>
    </font>
    <font>
      <sz val="8"/>
      <color rgb="FF7030A0"/>
      <name val="Arial"/>
      <family val="2"/>
    </font>
  </fonts>
  <fills count="30">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11">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right style="hair">
        <color indexed="64"/>
      </right>
      <top style="hair">
        <color indexed="64"/>
      </top>
      <bottom style="hair">
        <color indexed="64"/>
      </bottom>
      <diagonal/>
    </border>
    <border>
      <left style="thick">
        <color rgb="FF009DE0"/>
      </left>
      <right style="thin">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top style="thin">
        <color rgb="FF009DE0"/>
      </top>
      <bottom style="thin">
        <color rgb="FF009DE0"/>
      </bottom>
      <diagonal/>
    </border>
    <border>
      <left/>
      <right/>
      <top style="thin">
        <color rgb="FF009DE0"/>
      </top>
      <bottom style="thin">
        <color rgb="FF009DE0"/>
      </bottom>
      <diagonal/>
    </border>
    <border>
      <left/>
      <right style="thin">
        <color rgb="FF009DE0"/>
      </right>
      <top style="thin">
        <color rgb="FF009DE0"/>
      </top>
      <bottom style="thin">
        <color rgb="FF009DE0"/>
      </bottom>
      <diagonal/>
    </border>
    <border>
      <left style="thin">
        <color rgb="FF009DE0"/>
      </left>
      <right/>
      <top style="thin">
        <color rgb="FF009DE0"/>
      </top>
      <bottom style="thick">
        <color rgb="FF009DE0"/>
      </bottom>
      <diagonal/>
    </border>
    <border>
      <left/>
      <right/>
      <top style="thin">
        <color rgb="FF009DE0"/>
      </top>
      <bottom style="thick">
        <color rgb="FF009DE0"/>
      </bottom>
      <diagonal/>
    </border>
    <border>
      <left/>
      <right style="thin">
        <color rgb="FF009DE0"/>
      </right>
      <top style="thin">
        <color rgb="FF009DE0"/>
      </top>
      <bottom style="thick">
        <color rgb="FF009DE0"/>
      </bottom>
      <diagonal/>
    </border>
    <border>
      <left/>
      <right style="hair">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s>
  <cellStyleXfs count="3">
    <xf numFmtId="0" fontId="0" fillId="0" borderId="0"/>
    <xf numFmtId="0" fontId="7" fillId="0" borderId="0"/>
    <xf numFmtId="9" fontId="7" fillId="0" borderId="0" applyFont="0" applyFill="0" applyBorder="0" applyAlignment="0" applyProtection="0"/>
  </cellStyleXfs>
  <cellXfs count="350">
    <xf numFmtId="0" fontId="0" fillId="0" borderId="0" xfId="0"/>
    <xf numFmtId="0" fontId="0" fillId="0" borderId="0" xfId="0" applyAlignment="1">
      <alignment horizontal="center"/>
    </xf>
    <xf numFmtId="0" fontId="9" fillId="5" borderId="4" xfId="0" applyFont="1" applyFill="1" applyBorder="1" applyAlignment="1">
      <alignment horizontal="center" vertical="center"/>
    </xf>
    <xf numFmtId="0" fontId="7" fillId="0" borderId="0" xfId="0" applyFont="1" applyAlignment="1">
      <alignment horizontal="center"/>
    </xf>
    <xf numFmtId="0" fontId="6" fillId="6" borderId="4" xfId="0" applyFont="1" applyFill="1" applyBorder="1" applyAlignment="1">
      <alignment horizontal="center" vertical="center"/>
    </xf>
    <xf numFmtId="0" fontId="7" fillId="0" borderId="0" xfId="0" applyFont="1" applyAlignment="1">
      <alignment horizontal="center" vertical="center"/>
    </xf>
    <xf numFmtId="0" fontId="6"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26" xfId="0" applyBorder="1" applyAlignment="1">
      <alignment vertical="top" wrapText="1"/>
    </xf>
    <xf numFmtId="0" fontId="0" fillId="9" borderId="0" xfId="0" applyFill="1" applyAlignment="1">
      <alignment vertical="top" wrapText="1"/>
    </xf>
    <xf numFmtId="0" fontId="0" fillId="0" borderId="29" xfId="0" applyBorder="1" applyAlignment="1">
      <alignment vertical="top" wrapText="1"/>
    </xf>
    <xf numFmtId="0" fontId="0" fillId="0" borderId="30"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center" vertical="top" wrapText="1"/>
    </xf>
    <xf numFmtId="0" fontId="0" fillId="0" borderId="0" xfId="0" applyAlignment="1">
      <alignment horizontal="center" vertical="center" wrapText="1"/>
    </xf>
    <xf numFmtId="0" fontId="8" fillId="0" borderId="0" xfId="0" applyFont="1" applyAlignment="1">
      <alignment horizontal="left" vertical="center"/>
    </xf>
    <xf numFmtId="0" fontId="8"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7"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15" fillId="11" borderId="6" xfId="0" applyFont="1" applyFill="1" applyBorder="1" applyAlignment="1">
      <alignment horizontal="center" vertical="center"/>
    </xf>
    <xf numFmtId="0" fontId="15" fillId="11" borderId="10" xfId="0" applyFont="1" applyFill="1" applyBorder="1" applyAlignment="1">
      <alignment vertical="center"/>
    </xf>
    <xf numFmtId="0" fontId="15" fillId="11" borderId="10" xfId="0" applyFont="1" applyFill="1" applyBorder="1" applyAlignment="1">
      <alignment horizontal="center" vertical="center"/>
    </xf>
    <xf numFmtId="0" fontId="15" fillId="11" borderId="11" xfId="0" applyFont="1" applyFill="1" applyBorder="1" applyAlignment="1">
      <alignment horizontal="center" vertical="center"/>
    </xf>
    <xf numFmtId="0" fontId="15" fillId="11" borderId="12" xfId="0" applyFont="1" applyFill="1" applyBorder="1" applyAlignment="1">
      <alignment vertical="center"/>
    </xf>
    <xf numFmtId="0" fontId="16" fillId="11" borderId="10" xfId="0" applyFont="1" applyFill="1" applyBorder="1" applyAlignment="1">
      <alignment vertical="center"/>
    </xf>
    <xf numFmtId="0" fontId="17" fillId="11" borderId="10" xfId="0" applyFont="1" applyFill="1" applyBorder="1" applyAlignment="1">
      <alignment vertical="center"/>
    </xf>
    <xf numFmtId="0" fontId="17" fillId="11" borderId="10" xfId="0" applyFont="1" applyFill="1" applyBorder="1" applyAlignment="1">
      <alignment horizontal="center" vertical="center"/>
    </xf>
    <xf numFmtId="0" fontId="17" fillId="11" borderId="11" xfId="0" applyFont="1" applyFill="1" applyBorder="1" applyAlignment="1">
      <alignment horizontal="center" vertical="center"/>
    </xf>
    <xf numFmtId="0" fontId="15" fillId="11" borderId="13" xfId="0" applyFont="1" applyFill="1" applyBorder="1" applyAlignment="1">
      <alignment horizontal="center" vertical="center" wrapText="1"/>
    </xf>
    <xf numFmtId="0" fontId="18" fillId="11" borderId="14" xfId="0" applyFont="1" applyFill="1" applyBorder="1" applyAlignment="1">
      <alignment horizontal="center" vertical="center" wrapText="1"/>
    </xf>
    <xf numFmtId="0" fontId="18" fillId="11" borderId="15" xfId="0" applyFont="1" applyFill="1" applyBorder="1" applyAlignment="1">
      <alignment horizontal="center" vertical="center" wrapText="1"/>
    </xf>
    <xf numFmtId="0" fontId="18" fillId="11" borderId="16" xfId="0" applyFont="1" applyFill="1" applyBorder="1" applyAlignment="1">
      <alignment horizontal="center" vertical="center" wrapText="1"/>
    </xf>
    <xf numFmtId="0" fontId="4" fillId="10" borderId="22" xfId="0" applyFont="1" applyFill="1" applyBorder="1" applyAlignment="1">
      <alignment horizontal="center" vertical="center" wrapText="1"/>
    </xf>
    <xf numFmtId="0" fontId="0" fillId="10" borderId="23" xfId="0" applyFill="1" applyBorder="1" applyAlignment="1">
      <alignment vertical="top" wrapText="1"/>
    </xf>
    <xf numFmtId="0" fontId="0" fillId="10" borderId="24" xfId="0" applyFill="1" applyBorder="1" applyAlignment="1">
      <alignment vertical="top" wrapText="1"/>
    </xf>
    <xf numFmtId="0" fontId="0" fillId="10" borderId="24" xfId="0" applyFill="1" applyBorder="1" applyAlignment="1">
      <alignment horizontal="center" vertical="top" wrapText="1"/>
    </xf>
    <xf numFmtId="0" fontId="0" fillId="10" borderId="25" xfId="0" applyFill="1" applyBorder="1" applyAlignment="1">
      <alignment horizontal="center" vertical="top" wrapText="1"/>
    </xf>
    <xf numFmtId="0" fontId="0" fillId="10" borderId="26" xfId="0" applyFill="1" applyBorder="1" applyAlignment="1">
      <alignment vertical="top" wrapText="1"/>
    </xf>
    <xf numFmtId="0" fontId="14" fillId="10" borderId="24" xfId="0" applyFont="1" applyFill="1" applyBorder="1" applyAlignment="1">
      <alignment vertical="top" wrapText="1"/>
    </xf>
    <xf numFmtId="0" fontId="0" fillId="10" borderId="0" xfId="0" applyFill="1" applyAlignment="1">
      <alignment vertical="top" wrapText="1"/>
    </xf>
    <xf numFmtId="0" fontId="20" fillId="10" borderId="23" xfId="0" applyFont="1" applyFill="1" applyBorder="1" applyAlignment="1">
      <alignment vertical="top" wrapText="1"/>
    </xf>
    <xf numFmtId="0" fontId="20" fillId="10" borderId="24" xfId="0" applyFont="1" applyFill="1" applyBorder="1" applyAlignment="1">
      <alignment vertical="top" wrapText="1"/>
    </xf>
    <xf numFmtId="0" fontId="20" fillId="10" borderId="24" xfId="0" applyFont="1" applyFill="1" applyBorder="1" applyAlignment="1">
      <alignment horizontal="center" vertical="top" wrapText="1"/>
    </xf>
    <xf numFmtId="0" fontId="20" fillId="10" borderId="25" xfId="0" applyFont="1" applyFill="1" applyBorder="1" applyAlignment="1">
      <alignment horizontal="center" vertical="top" wrapText="1"/>
    </xf>
    <xf numFmtId="0" fontId="0" fillId="10" borderId="27" xfId="0" applyFill="1" applyBorder="1" applyAlignment="1">
      <alignment vertical="top" wrapText="1"/>
    </xf>
    <xf numFmtId="0" fontId="4" fillId="10" borderId="7" xfId="0" applyFont="1" applyFill="1" applyBorder="1" applyAlignment="1">
      <alignment horizontal="center" vertical="center" wrapText="1"/>
    </xf>
    <xf numFmtId="0" fontId="0" fillId="10" borderId="33" xfId="0" applyFill="1" applyBorder="1" applyAlignment="1">
      <alignment vertical="top" wrapText="1"/>
    </xf>
    <xf numFmtId="0" fontId="0" fillId="10" borderId="34" xfId="0" applyFill="1" applyBorder="1" applyAlignment="1">
      <alignment vertical="top" wrapText="1"/>
    </xf>
    <xf numFmtId="0" fontId="0" fillId="10" borderId="34" xfId="0" applyFill="1" applyBorder="1" applyAlignment="1">
      <alignment horizontal="center" vertical="top" wrapText="1"/>
    </xf>
    <xf numFmtId="0" fontId="0" fillId="10" borderId="35" xfId="0" applyFill="1" applyBorder="1" applyAlignment="1">
      <alignment horizontal="center" vertical="top" wrapText="1"/>
    </xf>
    <xf numFmtId="0" fontId="0" fillId="10" borderId="36" xfId="0" applyFill="1" applyBorder="1" applyAlignment="1">
      <alignment vertical="top" wrapText="1"/>
    </xf>
    <xf numFmtId="0" fontId="3" fillId="11" borderId="0" xfId="0" applyFont="1" applyFill="1"/>
    <xf numFmtId="0" fontId="3" fillId="11" borderId="0" xfId="0" applyFont="1" applyFill="1" applyAlignment="1">
      <alignment horizontal="center"/>
    </xf>
    <xf numFmtId="0" fontId="6" fillId="10" borderId="4" xfId="0" applyFont="1" applyFill="1" applyBorder="1" applyAlignment="1">
      <alignment horizontal="center" vertical="center"/>
    </xf>
    <xf numFmtId="0" fontId="5" fillId="10" borderId="0" xfId="0" applyFont="1" applyFill="1"/>
    <xf numFmtId="0" fontId="3" fillId="10" borderId="0" xfId="0" applyFont="1" applyFill="1"/>
    <xf numFmtId="0" fontId="25" fillId="12" borderId="0" xfId="0" applyFont="1" applyFill="1" applyAlignment="1">
      <alignment horizontal="left" vertical="center"/>
    </xf>
    <xf numFmtId="0" fontId="26" fillId="12" borderId="0" xfId="0" applyFont="1" applyFill="1" applyAlignment="1">
      <alignment horizontal="left" vertical="center"/>
    </xf>
    <xf numFmtId="0" fontId="2" fillId="12" borderId="0" xfId="0" applyFont="1" applyFill="1" applyAlignment="1">
      <alignment horizontal="left" vertical="center"/>
    </xf>
    <xf numFmtId="0" fontId="26" fillId="0" borderId="0" xfId="0" applyFont="1" applyAlignment="1">
      <alignment horizontal="left" vertical="center"/>
    </xf>
    <xf numFmtId="0" fontId="25" fillId="0" borderId="0" xfId="0" applyFont="1" applyAlignment="1">
      <alignment horizontal="left" vertical="center"/>
    </xf>
    <xf numFmtId="0" fontId="25" fillId="0" borderId="38" xfId="0" applyFont="1" applyBorder="1" applyAlignment="1">
      <alignment horizontal="left" vertical="center"/>
    </xf>
    <xf numFmtId="0" fontId="25" fillId="0" borderId="39" xfId="0" applyFont="1" applyBorder="1" applyAlignment="1">
      <alignment horizontal="left" vertical="center"/>
    </xf>
    <xf numFmtId="0" fontId="25" fillId="0" borderId="40" xfId="0" applyFont="1" applyBorder="1" applyAlignment="1">
      <alignment horizontal="left" vertical="center"/>
    </xf>
    <xf numFmtId="0" fontId="26" fillId="0" borderId="41" xfId="0" applyFont="1" applyBorder="1" applyAlignment="1">
      <alignment horizontal="left" vertical="center"/>
    </xf>
    <xf numFmtId="0" fontId="26" fillId="0" borderId="42" xfId="0" applyFont="1" applyBorder="1" applyAlignment="1">
      <alignment horizontal="left" vertical="center"/>
    </xf>
    <xf numFmtId="0" fontId="25" fillId="0" borderId="41" xfId="0" applyFont="1" applyBorder="1" applyAlignment="1">
      <alignment horizontal="left" vertical="center"/>
    </xf>
    <xf numFmtId="0" fontId="25" fillId="0" borderId="42" xfId="0" applyFont="1" applyBorder="1" applyAlignment="1">
      <alignment horizontal="left" vertical="center"/>
    </xf>
    <xf numFmtId="0" fontId="25" fillId="0" borderId="43" xfId="0" applyFont="1" applyBorder="1" applyAlignment="1">
      <alignment horizontal="left" vertical="center"/>
    </xf>
    <xf numFmtId="0" fontId="25" fillId="0" borderId="44" xfId="0" applyFont="1" applyBorder="1" applyAlignment="1">
      <alignment horizontal="left" vertical="center"/>
    </xf>
    <xf numFmtId="0" fontId="25" fillId="0" borderId="45" xfId="0" applyFont="1" applyBorder="1" applyAlignment="1">
      <alignment horizontal="left" vertical="center"/>
    </xf>
    <xf numFmtId="0" fontId="13" fillId="0" borderId="41" xfId="0" applyFont="1" applyBorder="1" applyAlignment="1">
      <alignment vertical="center"/>
    </xf>
    <xf numFmtId="0" fontId="2" fillId="0" borderId="41" xfId="0" applyFont="1" applyBorder="1" applyAlignment="1">
      <alignment horizontal="left" vertical="center"/>
    </xf>
    <xf numFmtId="0" fontId="13" fillId="0" borderId="42" xfId="0" applyFont="1" applyBorder="1" applyAlignment="1">
      <alignment vertical="center"/>
    </xf>
    <xf numFmtId="0" fontId="2" fillId="0" borderId="42" xfId="0" applyFont="1" applyBorder="1" applyAlignment="1">
      <alignment horizontal="left" vertical="center"/>
    </xf>
    <xf numFmtId="0" fontId="27" fillId="0" borderId="0" xfId="0" applyFont="1" applyAlignment="1">
      <alignment horizontal="left" vertical="center"/>
    </xf>
    <xf numFmtId="0" fontId="25" fillId="0" borderId="41" xfId="0" applyFont="1" applyBorder="1" applyAlignment="1">
      <alignment horizontal="center" vertical="center"/>
    </xf>
    <xf numFmtId="0" fontId="25" fillId="0" borderId="42" xfId="0" applyFont="1" applyBorder="1" applyAlignment="1">
      <alignment horizontal="center" vertical="center"/>
    </xf>
    <xf numFmtId="0" fontId="25" fillId="12" borderId="0" xfId="0" applyFont="1" applyFill="1" applyAlignment="1">
      <alignment horizontal="center" vertical="center"/>
    </xf>
    <xf numFmtId="0" fontId="25" fillId="0" borderId="41" xfId="0" applyFont="1" applyBorder="1" applyAlignment="1">
      <alignment horizontal="center" vertical="center" wrapText="1"/>
    </xf>
    <xf numFmtId="0" fontId="25" fillId="0" borderId="42" xfId="0" applyFont="1" applyBorder="1" applyAlignment="1">
      <alignment horizontal="center" vertical="center" wrapText="1"/>
    </xf>
    <xf numFmtId="0" fontId="25" fillId="12" borderId="0" xfId="0" applyFont="1" applyFill="1" applyAlignment="1">
      <alignment horizontal="center" vertical="center" wrapText="1"/>
    </xf>
    <xf numFmtId="0" fontId="27" fillId="12" borderId="48" xfId="0" applyFont="1" applyFill="1" applyBorder="1" applyAlignment="1">
      <alignment horizontal="center" vertical="center" wrapText="1"/>
    </xf>
    <xf numFmtId="0" fontId="27" fillId="16" borderId="47" xfId="0" applyFont="1" applyFill="1" applyBorder="1" applyAlignment="1">
      <alignment horizontal="center" vertical="center" wrapText="1"/>
    </xf>
    <xf numFmtId="0" fontId="27" fillId="16" borderId="49" xfId="0" applyFont="1" applyFill="1" applyBorder="1" applyAlignment="1">
      <alignment horizontal="center" vertical="center" wrapText="1"/>
    </xf>
    <xf numFmtId="0" fontId="27" fillId="16" borderId="48" xfId="0" applyFont="1" applyFill="1" applyBorder="1" applyAlignment="1">
      <alignment horizontal="center" vertical="center" wrapText="1"/>
    </xf>
    <xf numFmtId="0" fontId="25" fillId="13" borderId="4" xfId="0" applyFont="1" applyFill="1" applyBorder="1" applyAlignment="1">
      <alignment horizontal="center" vertical="center"/>
    </xf>
    <xf numFmtId="0" fontId="27" fillId="13" borderId="50" xfId="0" applyFont="1" applyFill="1" applyBorder="1" applyAlignment="1">
      <alignment horizontal="center" vertical="center"/>
    </xf>
    <xf numFmtId="0" fontId="27" fillId="13" borderId="51" xfId="0" applyFont="1" applyFill="1" applyBorder="1" applyAlignment="1">
      <alignment horizontal="center" vertical="center"/>
    </xf>
    <xf numFmtId="0" fontId="28" fillId="0" borderId="8" xfId="0" applyFont="1" applyBorder="1" applyAlignment="1">
      <alignment vertical="center"/>
    </xf>
    <xf numFmtId="0" fontId="31" fillId="12" borderId="0" xfId="0" applyFont="1" applyFill="1" applyAlignment="1">
      <alignment horizontal="left" vertical="center"/>
    </xf>
    <xf numFmtId="0" fontId="3" fillId="5" borderId="0" xfId="0" applyFont="1" applyFill="1"/>
    <xf numFmtId="0" fontId="5" fillId="17" borderId="0" xfId="0" applyFont="1" applyFill="1"/>
    <xf numFmtId="165" fontId="27" fillId="12" borderId="48" xfId="0" applyNumberFormat="1" applyFont="1" applyFill="1" applyBorder="1" applyAlignment="1">
      <alignment horizontal="center" vertical="center" wrapText="1"/>
    </xf>
    <xf numFmtId="164" fontId="27" fillId="12" borderId="49" xfId="0" applyNumberFormat="1" applyFont="1" applyFill="1" applyBorder="1" applyAlignment="1">
      <alignment horizontal="center" vertical="center" wrapText="1"/>
    </xf>
    <xf numFmtId="0" fontId="33" fillId="12" borderId="0" xfId="0" applyFont="1" applyFill="1" applyAlignment="1">
      <alignment horizontal="left" vertical="center"/>
    </xf>
    <xf numFmtId="0" fontId="34" fillId="12" borderId="0" xfId="0" applyFont="1" applyFill="1" applyAlignment="1">
      <alignment horizontal="left" vertical="center"/>
    </xf>
    <xf numFmtId="0" fontId="31" fillId="12" borderId="0" xfId="0" applyFont="1" applyFill="1" applyAlignment="1">
      <alignment horizontal="center" vertical="center"/>
    </xf>
    <xf numFmtId="0" fontId="31" fillId="12" borderId="0" xfId="0" applyFont="1" applyFill="1" applyAlignment="1">
      <alignment horizontal="center" vertical="center" wrapText="1"/>
    </xf>
    <xf numFmtId="0" fontId="27" fillId="19" borderId="47" xfId="0" applyFont="1" applyFill="1" applyBorder="1" applyAlignment="1">
      <alignment horizontal="center" vertical="center" wrapText="1"/>
    </xf>
    <xf numFmtId="0" fontId="27" fillId="19" borderId="48" xfId="0" applyFont="1" applyFill="1" applyBorder="1" applyAlignment="1">
      <alignment horizontal="center" vertical="center" wrapText="1"/>
    </xf>
    <xf numFmtId="0" fontId="27" fillId="19" borderId="49" xfId="0" applyFont="1" applyFill="1" applyBorder="1" applyAlignment="1">
      <alignment horizontal="center" vertical="center" wrapText="1"/>
    </xf>
    <xf numFmtId="0" fontId="30" fillId="21" borderId="4" xfId="0" applyFont="1" applyFill="1" applyBorder="1" applyAlignment="1">
      <alignment horizontal="center" vertical="center"/>
    </xf>
    <xf numFmtId="0" fontId="30" fillId="19" borderId="4" xfId="0" applyFont="1" applyFill="1" applyBorder="1" applyAlignment="1">
      <alignment horizontal="center" vertical="center"/>
    </xf>
    <xf numFmtId="0" fontId="26" fillId="0" borderId="68" xfId="0" applyFont="1" applyBorder="1" applyAlignment="1">
      <alignment horizontal="left" vertical="center"/>
    </xf>
    <xf numFmtId="0" fontId="26" fillId="0" borderId="69" xfId="0" applyFont="1" applyBorder="1" applyAlignment="1">
      <alignment horizontal="left" vertical="center"/>
    </xf>
    <xf numFmtId="0" fontId="25" fillId="0" borderId="68" xfId="0" applyFont="1" applyBorder="1" applyAlignment="1">
      <alignment vertical="center"/>
    </xf>
    <xf numFmtId="0" fontId="25" fillId="0" borderId="69" xfId="0" applyFont="1" applyBorder="1" applyAlignment="1">
      <alignment vertical="center"/>
    </xf>
    <xf numFmtId="0" fontId="25" fillId="0" borderId="68" xfId="0" applyFont="1" applyBorder="1" applyAlignment="1">
      <alignment horizontal="left" vertical="center"/>
    </xf>
    <xf numFmtId="0" fontId="25" fillId="0" borderId="69" xfId="0" applyFont="1" applyBorder="1" applyAlignment="1">
      <alignment horizontal="left" vertical="center"/>
    </xf>
    <xf numFmtId="0" fontId="32" fillId="0" borderId="69" xfId="0" applyFont="1" applyBorder="1" applyAlignment="1">
      <alignment horizontal="left" vertical="center"/>
    </xf>
    <xf numFmtId="0" fontId="25" fillId="0" borderId="68" xfId="0" applyFont="1" applyBorder="1" applyAlignment="1">
      <alignment horizontal="center" vertical="center"/>
    </xf>
    <xf numFmtId="0" fontId="25" fillId="0" borderId="69" xfId="0" applyFont="1" applyBorder="1" applyAlignment="1">
      <alignment horizontal="center" vertical="center"/>
    </xf>
    <xf numFmtId="0" fontId="25" fillId="0" borderId="68" xfId="0" applyFont="1" applyBorder="1" applyAlignment="1">
      <alignment horizontal="center" vertical="center" wrapText="1"/>
    </xf>
    <xf numFmtId="0" fontId="25" fillId="0" borderId="69" xfId="0" applyFont="1" applyBorder="1" applyAlignment="1">
      <alignment horizontal="center" vertical="center" wrapText="1"/>
    </xf>
    <xf numFmtId="0" fontId="25" fillId="0" borderId="70" xfId="0" applyFont="1" applyBorder="1" applyAlignment="1">
      <alignment horizontal="left" vertical="center"/>
    </xf>
    <xf numFmtId="0" fontId="27" fillId="0" borderId="71" xfId="0" applyFont="1" applyBorder="1" applyAlignment="1">
      <alignment horizontal="left" vertical="center"/>
    </xf>
    <xf numFmtId="0" fontId="25" fillId="0" borderId="72" xfId="0" applyFont="1" applyBorder="1" applyAlignment="1">
      <alignment horizontal="left" vertical="center"/>
    </xf>
    <xf numFmtId="0" fontId="25" fillId="0" borderId="71" xfId="0" applyFont="1" applyBorder="1" applyAlignment="1">
      <alignment horizontal="left" vertical="center"/>
    </xf>
    <xf numFmtId="0" fontId="0" fillId="2" borderId="0" xfId="0" applyFill="1"/>
    <xf numFmtId="0" fontId="27" fillId="0" borderId="0" xfId="0" applyFont="1" applyAlignment="1">
      <alignment vertical="center"/>
    </xf>
    <xf numFmtId="0" fontId="27" fillId="0" borderId="0" xfId="0" applyFont="1" applyAlignment="1">
      <alignment vertical="center" wrapText="1"/>
    </xf>
    <xf numFmtId="0" fontId="27" fillId="12" borderId="51" xfId="0" applyFont="1" applyFill="1" applyBorder="1" applyAlignment="1">
      <alignment horizontal="center" vertical="center" wrapText="1"/>
    </xf>
    <xf numFmtId="0" fontId="40" fillId="0" borderId="0" xfId="0" applyFont="1" applyAlignment="1">
      <alignment horizontal="left" vertical="center"/>
    </xf>
    <xf numFmtId="0" fontId="27" fillId="0" borderId="71" xfId="0" quotePrefix="1" applyFont="1" applyBorder="1" applyAlignment="1">
      <alignment horizontal="left" vertical="center"/>
    </xf>
    <xf numFmtId="10" fontId="27" fillId="12" borderId="52" xfId="0" applyNumberFormat="1" applyFont="1" applyFill="1" applyBorder="1" applyAlignment="1">
      <alignment horizontal="center" vertical="center" wrapText="1"/>
    </xf>
    <xf numFmtId="164" fontId="27" fillId="12" borderId="64" xfId="0" applyNumberFormat="1" applyFont="1" applyFill="1" applyBorder="1" applyAlignment="1">
      <alignment horizontal="center" vertical="center" wrapText="1"/>
    </xf>
    <xf numFmtId="0" fontId="41" fillId="19" borderId="5" xfId="0" applyFont="1" applyFill="1" applyBorder="1" applyAlignment="1">
      <alignment horizontal="center" vertical="center" wrapText="1"/>
    </xf>
    <xf numFmtId="10" fontId="27" fillId="12" borderId="49" xfId="0" applyNumberFormat="1" applyFont="1" applyFill="1" applyBorder="1" applyAlignment="1">
      <alignment horizontal="center" vertical="center" wrapText="1"/>
    </xf>
    <xf numFmtId="0" fontId="42" fillId="0" borderId="0" xfId="0" applyFont="1" applyAlignment="1">
      <alignment horizontal="left" vertical="center"/>
    </xf>
    <xf numFmtId="10" fontId="27" fillId="13" borderId="49" xfId="0" applyNumberFormat="1" applyFont="1" applyFill="1" applyBorder="1" applyAlignment="1">
      <alignment horizontal="center" vertical="center" wrapText="1"/>
    </xf>
    <xf numFmtId="10" fontId="27" fillId="13" borderId="52" xfId="0" applyNumberFormat="1" applyFont="1" applyFill="1" applyBorder="1" applyAlignment="1">
      <alignment horizontal="center" vertical="center" wrapText="1"/>
    </xf>
    <xf numFmtId="0" fontId="28" fillId="15" borderId="1" xfId="0" applyFont="1" applyFill="1" applyBorder="1" applyAlignment="1">
      <alignment vertical="center"/>
    </xf>
    <xf numFmtId="0" fontId="28" fillId="15" borderId="2" xfId="0" applyFont="1" applyFill="1" applyBorder="1" applyAlignment="1">
      <alignment vertical="center"/>
    </xf>
    <xf numFmtId="0" fontId="37" fillId="15" borderId="2" xfId="0" applyFont="1" applyFill="1" applyBorder="1" applyAlignment="1">
      <alignment vertical="center"/>
    </xf>
    <xf numFmtId="0" fontId="28" fillId="0" borderId="0" xfId="0" applyFont="1" applyAlignment="1">
      <alignment vertical="center"/>
    </xf>
    <xf numFmtId="0" fontId="29" fillId="0" borderId="0" xfId="0" applyFont="1" applyAlignment="1">
      <alignment vertical="center"/>
    </xf>
    <xf numFmtId="0" fontId="27" fillId="0" borderId="0" xfId="0" applyFont="1" applyAlignment="1">
      <alignment horizontal="center" vertical="center" wrapText="1"/>
    </xf>
    <xf numFmtId="9" fontId="27" fillId="0" borderId="0" xfId="0" applyNumberFormat="1" applyFont="1" applyAlignment="1">
      <alignment horizontal="center" vertical="center"/>
    </xf>
    <xf numFmtId="165" fontId="27" fillId="12" borderId="51" xfId="0" applyNumberFormat="1" applyFont="1" applyFill="1" applyBorder="1" applyAlignment="1">
      <alignment horizontal="center" vertical="center" wrapText="1"/>
    </xf>
    <xf numFmtId="164" fontId="27" fillId="12" borderId="52" xfId="0" applyNumberFormat="1" applyFont="1" applyFill="1" applyBorder="1" applyAlignment="1">
      <alignment horizontal="center" vertical="center" wrapText="1"/>
    </xf>
    <xf numFmtId="10" fontId="27" fillId="12" borderId="48" xfId="0" applyNumberFormat="1" applyFont="1" applyFill="1" applyBorder="1" applyAlignment="1">
      <alignment horizontal="center" vertical="center" wrapText="1"/>
    </xf>
    <xf numFmtId="10" fontId="27" fillId="12" borderId="51" xfId="0" applyNumberFormat="1" applyFont="1" applyFill="1" applyBorder="1" applyAlignment="1">
      <alignment horizontal="center" vertical="center" wrapText="1"/>
    </xf>
    <xf numFmtId="0" fontId="37" fillId="22" borderId="3" xfId="0" applyFont="1" applyFill="1" applyBorder="1" applyAlignment="1">
      <alignment horizontal="center" vertical="center"/>
    </xf>
    <xf numFmtId="0" fontId="27" fillId="0" borderId="47" xfId="0" applyFont="1" applyBorder="1" applyAlignment="1" applyProtection="1">
      <alignment horizontal="center" vertical="center" wrapText="1"/>
      <protection locked="0"/>
    </xf>
    <xf numFmtId="0" fontId="27" fillId="0" borderId="50" xfId="0" applyFont="1" applyBorder="1" applyAlignment="1" applyProtection="1">
      <alignment horizontal="center" vertical="center" wrapText="1"/>
      <protection locked="0"/>
    </xf>
    <xf numFmtId="0" fontId="27" fillId="0" borderId="48" xfId="0" applyFont="1" applyBorder="1" applyAlignment="1" applyProtection="1">
      <alignment horizontal="center" vertical="center" wrapText="1"/>
      <protection locked="0"/>
    </xf>
    <xf numFmtId="0" fontId="27" fillId="0" borderId="51" xfId="0" applyFont="1" applyBorder="1" applyAlignment="1" applyProtection="1">
      <alignment horizontal="center" vertical="center" wrapText="1"/>
      <protection locked="0"/>
    </xf>
    <xf numFmtId="0" fontId="27" fillId="2" borderId="73" xfId="0" applyFont="1" applyFill="1" applyBorder="1" applyAlignment="1" applyProtection="1">
      <alignment horizontal="center" vertical="center" wrapText="1"/>
      <protection locked="0"/>
    </xf>
    <xf numFmtId="0" fontId="27" fillId="2" borderId="82" xfId="0" applyFont="1" applyFill="1" applyBorder="1" applyAlignment="1" applyProtection="1">
      <alignment horizontal="center" vertical="center" wrapText="1"/>
      <protection locked="0"/>
    </xf>
    <xf numFmtId="0" fontId="27" fillId="0" borderId="50" xfId="0" applyFont="1" applyBorder="1" applyAlignment="1" applyProtection="1">
      <alignment horizontal="center" vertical="center"/>
      <protection locked="0"/>
    </xf>
    <xf numFmtId="0" fontId="27" fillId="0" borderId="52" xfId="0" applyFont="1" applyBorder="1" applyAlignment="1" applyProtection="1">
      <alignment horizontal="center" vertical="center"/>
      <protection locked="0"/>
    </xf>
    <xf numFmtId="0" fontId="16" fillId="11" borderId="83" xfId="0" applyFont="1" applyFill="1" applyBorder="1" applyAlignment="1">
      <alignment vertical="center"/>
    </xf>
    <xf numFmtId="0" fontId="17" fillId="11" borderId="84" xfId="0" applyFont="1" applyFill="1" applyBorder="1" applyAlignment="1">
      <alignment vertical="center"/>
    </xf>
    <xf numFmtId="0" fontId="17" fillId="11" borderId="84" xfId="0" applyFont="1" applyFill="1" applyBorder="1" applyAlignment="1">
      <alignment horizontal="center" vertical="center"/>
    </xf>
    <xf numFmtId="0" fontId="17" fillId="11" borderId="85" xfId="0" applyFont="1" applyFill="1" applyBorder="1" applyAlignment="1">
      <alignment horizontal="center" vertical="center"/>
    </xf>
    <xf numFmtId="0" fontId="18" fillId="11" borderId="86" xfId="0" applyFont="1" applyFill="1" applyBorder="1" applyAlignment="1">
      <alignment horizontal="center" vertical="center" wrapText="1"/>
    </xf>
    <xf numFmtId="0" fontId="18" fillId="11" borderId="87" xfId="0" applyFont="1" applyFill="1" applyBorder="1" applyAlignment="1">
      <alignment horizontal="center" vertical="center" wrapText="1"/>
    </xf>
    <xf numFmtId="0" fontId="0" fillId="10" borderId="91" xfId="0" applyFill="1" applyBorder="1" applyAlignment="1">
      <alignment horizontal="center" vertical="top" wrapText="1"/>
    </xf>
    <xf numFmtId="0" fontId="0" fillId="10" borderId="92" xfId="0" applyFill="1" applyBorder="1" applyAlignment="1">
      <alignment vertical="top" wrapText="1"/>
    </xf>
    <xf numFmtId="0" fontId="0" fillId="10" borderId="93" xfId="0" applyFill="1" applyBorder="1" applyAlignment="1">
      <alignment horizontal="center" vertical="top" wrapText="1"/>
    </xf>
    <xf numFmtId="0" fontId="0" fillId="10" borderId="95" xfId="0" applyFill="1" applyBorder="1" applyAlignment="1">
      <alignment horizontal="center" vertical="top" wrapText="1"/>
    </xf>
    <xf numFmtId="0" fontId="7" fillId="0" borderId="8" xfId="0" applyFont="1" applyBorder="1" applyAlignment="1">
      <alignment horizontal="center"/>
    </xf>
    <xf numFmtId="0" fontId="7" fillId="0" borderId="98" xfId="0" applyFont="1" applyBorder="1" applyAlignment="1">
      <alignment horizontal="left"/>
    </xf>
    <xf numFmtId="0" fontId="0" fillId="0" borderId="98" xfId="0" applyBorder="1"/>
    <xf numFmtId="0" fontId="7" fillId="24" borderId="8" xfId="0" applyFont="1" applyFill="1" applyBorder="1" applyAlignment="1">
      <alignment horizontal="center"/>
    </xf>
    <xf numFmtId="0" fontId="7" fillId="24" borderId="98" xfId="0" applyFont="1" applyFill="1" applyBorder="1" applyAlignment="1">
      <alignment horizontal="left"/>
    </xf>
    <xf numFmtId="0" fontId="0" fillId="0" borderId="98" xfId="0" applyBorder="1" applyAlignment="1">
      <alignment horizontal="left"/>
    </xf>
    <xf numFmtId="0" fontId="7" fillId="0" borderId="99" xfId="0" applyFont="1" applyBorder="1" applyAlignment="1">
      <alignment horizontal="center"/>
    </xf>
    <xf numFmtId="0" fontId="7" fillId="0" borderId="100" xfId="0" applyFont="1" applyBorder="1" applyAlignment="1">
      <alignment horizontal="left"/>
    </xf>
    <xf numFmtId="0" fontId="4" fillId="0" borderId="17" xfId="0" applyFont="1" applyBorder="1" applyAlignment="1">
      <alignment horizontal="center" vertical="center" wrapText="1"/>
    </xf>
    <xf numFmtId="0" fontId="0" fillId="0" borderId="18" xfId="0" applyBorder="1" applyAlignment="1">
      <alignment vertical="top" wrapText="1"/>
    </xf>
    <xf numFmtId="0" fontId="0" fillId="0" borderId="19" xfId="0" applyBorder="1" applyAlignment="1">
      <alignment vertical="top" wrapText="1"/>
    </xf>
    <xf numFmtId="0" fontId="0" fillId="0" borderId="19" xfId="0" applyBorder="1" applyAlignment="1">
      <alignment horizontal="center" vertical="top" wrapText="1"/>
    </xf>
    <xf numFmtId="0" fontId="0" fillId="0" borderId="20" xfId="0" applyBorder="1" applyAlignment="1">
      <alignment horizontal="center" vertical="top" wrapText="1"/>
    </xf>
    <xf numFmtId="0" fontId="0" fillId="0" borderId="21" xfId="0" applyBorder="1" applyAlignment="1">
      <alignment vertical="top" wrapText="1"/>
    </xf>
    <xf numFmtId="0" fontId="0" fillId="0" borderId="88" xfId="0" applyBorder="1" applyAlignment="1">
      <alignment horizontal="center" vertical="top" wrapText="1"/>
    </xf>
    <xf numFmtId="0" fontId="0" fillId="0" borderId="89" xfId="0" applyBorder="1" applyAlignment="1">
      <alignment vertical="top" wrapText="1"/>
    </xf>
    <xf numFmtId="0" fontId="0" fillId="0" borderId="90" xfId="0" applyBorder="1" applyAlignment="1">
      <alignment horizontal="center" vertical="top" wrapText="1"/>
    </xf>
    <xf numFmtId="0" fontId="4" fillId="0" borderId="22" xfId="0" applyFont="1" applyBorder="1" applyAlignment="1">
      <alignment horizontal="center" vertical="center" wrapText="1"/>
    </xf>
    <xf numFmtId="0" fontId="0" fillId="0" borderId="24" xfId="0" applyBorder="1" applyAlignment="1">
      <alignment horizontal="center" vertical="top" wrapText="1"/>
    </xf>
    <xf numFmtId="0" fontId="0" fillId="0" borderId="25" xfId="0" applyBorder="1" applyAlignment="1">
      <alignment horizontal="center" vertical="top" wrapText="1"/>
    </xf>
    <xf numFmtId="0" fontId="14" fillId="0" borderId="24" xfId="0" applyFont="1" applyBorder="1" applyAlignment="1">
      <alignment vertical="top" wrapText="1"/>
    </xf>
    <xf numFmtId="0" fontId="0" fillId="0" borderId="91" xfId="0" applyBorder="1" applyAlignment="1">
      <alignment horizontal="center" vertical="top" wrapText="1"/>
    </xf>
    <xf numFmtId="0" fontId="0" fillId="0" borderId="92" xfId="0" applyBorder="1" applyAlignment="1">
      <alignment vertical="top" wrapText="1"/>
    </xf>
    <xf numFmtId="0" fontId="0" fillId="0" borderId="93" xfId="0" applyBorder="1" applyAlignment="1">
      <alignment horizontal="center" vertical="top" wrapText="1"/>
    </xf>
    <xf numFmtId="0" fontId="20" fillId="0" borderId="23" xfId="0" applyFont="1" applyBorder="1" applyAlignment="1">
      <alignment vertical="top" wrapText="1"/>
    </xf>
    <xf numFmtId="0" fontId="20" fillId="0" borderId="24" xfId="0" applyFont="1" applyBorder="1" applyAlignment="1">
      <alignment vertical="top" wrapText="1"/>
    </xf>
    <xf numFmtId="0" fontId="20" fillId="0" borderId="24" xfId="0" applyFont="1" applyBorder="1" applyAlignment="1">
      <alignment horizontal="center" vertical="top" wrapText="1"/>
    </xf>
    <xf numFmtId="0" fontId="20" fillId="0" borderId="25" xfId="0" applyFont="1" applyBorder="1" applyAlignment="1">
      <alignment horizontal="center" vertical="top" wrapText="1"/>
    </xf>
    <xf numFmtId="0" fontId="7" fillId="0" borderId="24" xfId="0" applyFont="1" applyBorder="1" applyAlignment="1">
      <alignment vertical="top" wrapText="1"/>
    </xf>
    <xf numFmtId="0" fontId="4" fillId="0" borderId="28" xfId="0" applyFont="1" applyBorder="1" applyAlignment="1">
      <alignment horizontal="center" vertical="center" wrapText="1"/>
    </xf>
    <xf numFmtId="0" fontId="0" fillId="0" borderId="32" xfId="0" applyBorder="1" applyAlignment="1">
      <alignment vertical="top" wrapText="1"/>
    </xf>
    <xf numFmtId="0" fontId="20" fillId="0" borderId="29" xfId="0" applyFont="1" applyBorder="1" applyAlignment="1">
      <alignment vertical="top" wrapText="1"/>
    </xf>
    <xf numFmtId="0" fontId="20" fillId="0" borderId="30" xfId="0" applyFont="1" applyBorder="1" applyAlignment="1">
      <alignment vertical="top" wrapText="1"/>
    </xf>
    <xf numFmtId="0" fontId="20" fillId="0" borderId="30" xfId="0" applyFont="1" applyBorder="1" applyAlignment="1">
      <alignment horizontal="center" vertical="top" wrapText="1"/>
    </xf>
    <xf numFmtId="0" fontId="14" fillId="0" borderId="30" xfId="0" applyFont="1" applyBorder="1" applyAlignment="1">
      <alignment vertical="top" wrapText="1"/>
    </xf>
    <xf numFmtId="0" fontId="0" fillId="0" borderId="94" xfId="0" applyBorder="1" applyAlignment="1">
      <alignment horizontal="center" vertical="top" wrapText="1"/>
    </xf>
    <xf numFmtId="0" fontId="7" fillId="10" borderId="0" xfId="0" applyFont="1" applyFill="1"/>
    <xf numFmtId="0" fontId="7" fillId="2" borderId="0" xfId="0" applyFont="1" applyFill="1"/>
    <xf numFmtId="0" fontId="0" fillId="0" borderId="101" xfId="0" applyBorder="1" applyAlignment="1">
      <alignment horizontal="center" vertical="top" wrapText="1"/>
    </xf>
    <xf numFmtId="0" fontId="0" fillId="10" borderId="101" xfId="0" applyFill="1" applyBorder="1" applyAlignment="1">
      <alignment horizontal="center" vertical="top" wrapText="1"/>
    </xf>
    <xf numFmtId="0" fontId="0" fillId="0" borderId="102" xfId="0" applyBorder="1" applyAlignment="1">
      <alignment horizontal="center" vertical="top" wrapText="1"/>
    </xf>
    <xf numFmtId="0" fontId="0" fillId="10" borderId="103" xfId="0" applyFill="1" applyBorder="1" applyAlignment="1">
      <alignment horizontal="center" vertical="top" wrapText="1"/>
    </xf>
    <xf numFmtId="0" fontId="0" fillId="10" borderId="102" xfId="0" applyFill="1" applyBorder="1" applyAlignment="1">
      <alignment horizontal="center" vertical="top" wrapText="1"/>
    </xf>
    <xf numFmtId="0" fontId="0" fillId="10" borderId="105" xfId="0" applyFill="1" applyBorder="1" applyAlignment="1">
      <alignment vertical="top" wrapText="1"/>
    </xf>
    <xf numFmtId="0" fontId="0" fillId="10" borderId="106" xfId="0" applyFill="1" applyBorder="1" applyAlignment="1">
      <alignment horizontal="center" vertical="top" wrapText="1"/>
    </xf>
    <xf numFmtId="0" fontId="0" fillId="10" borderId="107" xfId="0" applyFill="1" applyBorder="1" applyAlignment="1">
      <alignment horizontal="center" vertical="top" wrapText="1"/>
    </xf>
    <xf numFmtId="0" fontId="0" fillId="25" borderId="0" xfId="0" applyFill="1" applyAlignment="1">
      <alignment horizontal="center" vertical="center" wrapText="1"/>
    </xf>
    <xf numFmtId="0" fontId="47" fillId="26" borderId="0" xfId="0" applyFont="1" applyFill="1" applyAlignment="1">
      <alignment horizontal="center" vertical="center" wrapText="1"/>
    </xf>
    <xf numFmtId="0" fontId="0" fillId="26" borderId="0" xfId="0" applyFill="1" applyAlignment="1">
      <alignment horizontal="center" vertical="center" wrapText="1"/>
    </xf>
    <xf numFmtId="0" fontId="0" fillId="26" borderId="0" xfId="0" applyFill="1" applyAlignment="1">
      <alignment wrapText="1"/>
    </xf>
    <xf numFmtId="0" fontId="0" fillId="26" borderId="0" xfId="0" applyFill="1" applyAlignment="1">
      <alignment horizontal="center" wrapText="1"/>
    </xf>
    <xf numFmtId="0" fontId="47" fillId="27" borderId="0" xfId="0" applyFont="1" applyFill="1" applyAlignment="1">
      <alignment horizontal="center" vertical="center" wrapText="1"/>
    </xf>
    <xf numFmtId="0" fontId="0" fillId="27" borderId="0" xfId="0" applyFill="1" applyAlignment="1">
      <alignment wrapText="1"/>
    </xf>
    <xf numFmtId="0" fontId="0" fillId="27" borderId="0" xfId="0" applyFill="1" applyAlignment="1">
      <alignment horizontal="center" wrapText="1"/>
    </xf>
    <xf numFmtId="0" fontId="47" fillId="28" borderId="0" xfId="0" applyFont="1" applyFill="1" applyAlignment="1">
      <alignment horizontal="center" vertical="center" wrapText="1"/>
    </xf>
    <xf numFmtId="0" fontId="0" fillId="28" borderId="0" xfId="0" applyFill="1" applyAlignment="1">
      <alignment wrapText="1"/>
    </xf>
    <xf numFmtId="0" fontId="47" fillId="29" borderId="0" xfId="0" applyFont="1" applyFill="1" applyAlignment="1">
      <alignment horizontal="center" vertical="center" wrapText="1"/>
    </xf>
    <xf numFmtId="0" fontId="0" fillId="29" borderId="0" xfId="0" applyFill="1" applyAlignment="1">
      <alignment wrapText="1"/>
    </xf>
    <xf numFmtId="0" fontId="0" fillId="2" borderId="92" xfId="0" applyFill="1" applyBorder="1" applyAlignment="1">
      <alignment vertical="top" wrapText="1"/>
    </xf>
    <xf numFmtId="0" fontId="0" fillId="2" borderId="24" xfId="0" applyFill="1" applyBorder="1" applyAlignment="1">
      <alignment vertical="top" wrapText="1"/>
    </xf>
    <xf numFmtId="0" fontId="0" fillId="2" borderId="24" xfId="0" applyFill="1" applyBorder="1" applyAlignment="1">
      <alignment horizontal="center" vertical="top" wrapText="1"/>
    </xf>
    <xf numFmtId="0" fontId="0" fillId="2" borderId="104" xfId="0" applyFill="1" applyBorder="1" applyAlignment="1">
      <alignment vertical="top" wrapText="1"/>
    </xf>
    <xf numFmtId="0" fontId="0" fillId="2" borderId="30" xfId="0" applyFill="1" applyBorder="1" applyAlignment="1">
      <alignment vertical="top" wrapText="1"/>
    </xf>
    <xf numFmtId="0" fontId="0" fillId="2" borderId="30" xfId="0" applyFill="1" applyBorder="1" applyAlignment="1">
      <alignment horizontal="center" vertical="top" wrapText="1"/>
    </xf>
    <xf numFmtId="167" fontId="31" fillId="12" borderId="0" xfId="0" applyNumberFormat="1" applyFont="1" applyFill="1" applyAlignment="1">
      <alignment horizontal="left" vertical="center"/>
    </xf>
    <xf numFmtId="167" fontId="33" fillId="12" borderId="0" xfId="0" applyNumberFormat="1" applyFont="1" applyFill="1" applyAlignment="1">
      <alignment horizontal="left" vertical="center"/>
    </xf>
    <xf numFmtId="167" fontId="34" fillId="12" borderId="0" xfId="0" applyNumberFormat="1" applyFont="1" applyFill="1" applyAlignment="1">
      <alignment horizontal="left" vertical="center"/>
    </xf>
    <xf numFmtId="167" fontId="31" fillId="12" borderId="0" xfId="0" applyNumberFormat="1" applyFont="1" applyFill="1" applyAlignment="1">
      <alignment horizontal="center" vertical="center"/>
    </xf>
    <xf numFmtId="167" fontId="31" fillId="12" borderId="0" xfId="0" applyNumberFormat="1" applyFont="1" applyFill="1" applyAlignment="1">
      <alignment horizontal="center" vertical="center" wrapText="1"/>
    </xf>
    <xf numFmtId="0" fontId="27" fillId="0" borderId="0" xfId="0" applyFont="1" applyAlignment="1" applyProtection="1">
      <alignment horizontal="center" vertical="center"/>
      <protection locked="0"/>
    </xf>
    <xf numFmtId="0" fontId="46" fillId="11" borderId="0" xfId="0" applyFont="1" applyFill="1" applyAlignment="1">
      <alignment horizontal="center"/>
    </xf>
    <xf numFmtId="0" fontId="13" fillId="20" borderId="65" xfId="0" applyFont="1" applyFill="1" applyBorder="1" applyAlignment="1">
      <alignment horizontal="left" vertical="center"/>
    </xf>
    <xf numFmtId="0" fontId="13" fillId="20" borderId="66" xfId="0" applyFont="1" applyFill="1" applyBorder="1" applyAlignment="1">
      <alignment horizontal="left" vertical="center"/>
    </xf>
    <xf numFmtId="0" fontId="13" fillId="20" borderId="67" xfId="0" applyFont="1" applyFill="1" applyBorder="1" applyAlignment="1">
      <alignment horizontal="left" vertical="center"/>
    </xf>
    <xf numFmtId="0" fontId="27" fillId="0" borderId="108" xfId="0" applyFont="1" applyBorder="1" applyAlignment="1" applyProtection="1">
      <alignment horizontal="center" vertical="center" wrapText="1"/>
      <protection locked="0"/>
    </xf>
    <xf numFmtId="0" fontId="27" fillId="0" borderId="109" xfId="0" applyFont="1" applyBorder="1" applyAlignment="1" applyProtection="1">
      <alignment horizontal="center" vertical="center" wrapText="1"/>
      <protection locked="0"/>
    </xf>
    <xf numFmtId="0" fontId="27" fillId="0" borderId="110" xfId="0" applyFont="1" applyBorder="1" applyAlignment="1" applyProtection="1">
      <alignment horizontal="center" vertical="center" wrapText="1"/>
      <protection locked="0"/>
    </xf>
    <xf numFmtId="0" fontId="27" fillId="0" borderId="68" xfId="0" applyFont="1" applyBorder="1" applyAlignment="1" applyProtection="1">
      <alignment horizontal="center" vertical="center" wrapText="1"/>
      <protection locked="0"/>
    </xf>
    <xf numFmtId="0" fontId="27" fillId="0" borderId="0" xfId="0" applyFont="1" applyAlignment="1" applyProtection="1">
      <alignment horizontal="center" vertical="center" wrapText="1"/>
      <protection locked="0"/>
    </xf>
    <xf numFmtId="0" fontId="27" fillId="0" borderId="69" xfId="0" applyFont="1" applyBorder="1" applyAlignment="1" applyProtection="1">
      <alignment horizontal="center" vertical="center" wrapText="1"/>
      <protection locked="0"/>
    </xf>
    <xf numFmtId="0" fontId="27" fillId="0" borderId="70" xfId="0" applyFont="1" applyBorder="1" applyAlignment="1" applyProtection="1">
      <alignment horizontal="center" vertical="center" wrapText="1"/>
      <protection locked="0"/>
    </xf>
    <xf numFmtId="0" fontId="27" fillId="0" borderId="71" xfId="0" applyFont="1" applyBorder="1" applyAlignment="1" applyProtection="1">
      <alignment horizontal="center" vertical="center" wrapText="1"/>
      <protection locked="0"/>
    </xf>
    <xf numFmtId="0" fontId="27" fillId="0" borderId="72" xfId="0" applyFont="1" applyBorder="1" applyAlignment="1" applyProtection="1">
      <alignment horizontal="center" vertical="center" wrapText="1"/>
      <protection locked="0"/>
    </xf>
    <xf numFmtId="0" fontId="35" fillId="0" borderId="46" xfId="0" applyFont="1" applyBorder="1" applyAlignment="1">
      <alignment horizontal="right" vertical="center"/>
    </xf>
    <xf numFmtId="0" fontId="28" fillId="15" borderId="1" xfId="0" applyFont="1" applyFill="1" applyBorder="1" applyAlignment="1">
      <alignment horizontal="center" vertical="center"/>
    </xf>
    <xf numFmtId="0" fontId="28" fillId="15" borderId="2" xfId="0" applyFont="1" applyFill="1" applyBorder="1" applyAlignment="1">
      <alignment horizontal="center" vertical="center"/>
    </xf>
    <xf numFmtId="0" fontId="28" fillId="15" borderId="3" xfId="0" applyFont="1" applyFill="1" applyBorder="1" applyAlignment="1">
      <alignment horizontal="center" vertical="center"/>
    </xf>
    <xf numFmtId="0" fontId="27" fillId="19" borderId="1" xfId="0" applyFont="1" applyFill="1" applyBorder="1" applyAlignment="1">
      <alignment horizontal="right" vertical="center"/>
    </xf>
    <xf numFmtId="0" fontId="27" fillId="19" borderId="2" xfId="0" applyFont="1" applyFill="1" applyBorder="1" applyAlignment="1">
      <alignment horizontal="right" vertical="center"/>
    </xf>
    <xf numFmtId="0" fontId="27" fillId="19" borderId="3" xfId="0" applyFont="1" applyFill="1" applyBorder="1" applyAlignment="1">
      <alignment horizontal="right" vertical="center"/>
    </xf>
    <xf numFmtId="0" fontId="25" fillId="0" borderId="1" xfId="0" applyFont="1" applyBorder="1" applyAlignment="1" applyProtection="1">
      <alignment horizontal="center" vertical="center"/>
      <protection locked="0"/>
    </xf>
    <xf numFmtId="0" fontId="25" fillId="0" borderId="3" xfId="0" applyFont="1" applyBorder="1" applyAlignment="1" applyProtection="1">
      <alignment horizontal="center" vertical="center"/>
      <protection locked="0"/>
    </xf>
    <xf numFmtId="0" fontId="29" fillId="16" borderId="60" xfId="0" applyFont="1" applyFill="1" applyBorder="1" applyAlignment="1">
      <alignment horizontal="center" vertical="center"/>
    </xf>
    <xf numFmtId="0" fontId="29" fillId="16" borderId="61" xfId="0" applyFont="1" applyFill="1" applyBorder="1" applyAlignment="1">
      <alignment horizontal="center" vertical="center"/>
    </xf>
    <xf numFmtId="0" fontId="29" fillId="16" borderId="62" xfId="0" applyFont="1" applyFill="1" applyBorder="1" applyAlignment="1">
      <alignment horizontal="center" vertical="center"/>
    </xf>
    <xf numFmtId="0" fontId="29" fillId="19" borderId="60" xfId="0" applyFont="1" applyFill="1" applyBorder="1" applyAlignment="1">
      <alignment horizontal="center" vertical="center"/>
    </xf>
    <xf numFmtId="0" fontId="29" fillId="19" borderId="62" xfId="0" applyFont="1" applyFill="1" applyBorder="1" applyAlignment="1">
      <alignment horizontal="center" vertical="center"/>
    </xf>
    <xf numFmtId="0" fontId="27" fillId="19" borderId="4" xfId="0" applyFont="1" applyFill="1" applyBorder="1" applyAlignment="1">
      <alignment horizontal="right" vertical="center"/>
    </xf>
    <xf numFmtId="0" fontId="36" fillId="0" borderId="4" xfId="0" applyFont="1" applyBorder="1" applyAlignment="1" applyProtection="1">
      <alignment horizontal="left" vertical="center"/>
      <protection locked="0"/>
    </xf>
    <xf numFmtId="0" fontId="27" fillId="0" borderId="4" xfId="0" applyFont="1" applyBorder="1" applyAlignment="1" applyProtection="1">
      <alignment horizontal="left" vertical="center"/>
      <protection locked="0"/>
    </xf>
    <xf numFmtId="0" fontId="7" fillId="0" borderId="1" xfId="0" applyFont="1" applyBorder="1" applyAlignment="1" applyProtection="1">
      <alignment horizontal="left" vertical="center"/>
      <protection locked="0"/>
    </xf>
    <xf numFmtId="0" fontId="7" fillId="0" borderId="2" xfId="0" applyFont="1" applyBorder="1" applyAlignment="1" applyProtection="1">
      <alignment horizontal="left" vertical="center"/>
      <protection locked="0"/>
    </xf>
    <xf numFmtId="0" fontId="7" fillId="0" borderId="3" xfId="0" applyFont="1" applyBorder="1" applyAlignment="1" applyProtection="1">
      <alignment horizontal="left" vertical="center"/>
      <protection locked="0"/>
    </xf>
    <xf numFmtId="0" fontId="27" fillId="0" borderId="1" xfId="0" applyFont="1" applyBorder="1" applyAlignment="1" applyProtection="1">
      <alignment horizontal="left" vertical="center"/>
      <protection locked="0"/>
    </xf>
    <xf numFmtId="0" fontId="27" fillId="0" borderId="2" xfId="0" applyFont="1" applyBorder="1" applyAlignment="1" applyProtection="1">
      <alignment horizontal="left" vertical="center"/>
      <protection locked="0"/>
    </xf>
    <xf numFmtId="0" fontId="27" fillId="0" borderId="3" xfId="0" applyFont="1" applyBorder="1" applyAlignment="1" applyProtection="1">
      <alignment horizontal="left" vertical="center"/>
      <protection locked="0"/>
    </xf>
    <xf numFmtId="0" fontId="25" fillId="0" borderId="1" xfId="0" applyFont="1" applyBorder="1" applyAlignment="1">
      <alignment horizontal="left" vertical="center" wrapText="1"/>
    </xf>
    <xf numFmtId="0" fontId="25" fillId="0" borderId="2" xfId="0" applyFont="1" applyBorder="1" applyAlignment="1">
      <alignment horizontal="left" vertical="center" wrapText="1"/>
    </xf>
    <xf numFmtId="0" fontId="25" fillId="0" borderId="3" xfId="0" applyFont="1" applyBorder="1" applyAlignment="1">
      <alignment horizontal="left" vertical="center" wrapText="1"/>
    </xf>
    <xf numFmtId="0" fontId="35" fillId="0" borderId="74" xfId="0" applyFont="1" applyBorder="1" applyAlignment="1">
      <alignment horizontal="right" vertical="center"/>
    </xf>
    <xf numFmtId="0" fontId="27" fillId="0" borderId="63" xfId="0" applyFont="1" applyBorder="1" applyAlignment="1" applyProtection="1">
      <alignment horizontal="center" vertical="center"/>
      <protection locked="0"/>
    </xf>
    <xf numFmtId="0" fontId="27" fillId="0" borderId="64" xfId="0" applyFont="1" applyBorder="1" applyAlignment="1" applyProtection="1">
      <alignment horizontal="center" vertical="center"/>
      <protection locked="0"/>
    </xf>
    <xf numFmtId="0" fontId="27" fillId="19" borderId="53" xfId="0" applyFont="1" applyFill="1" applyBorder="1" applyAlignment="1">
      <alignment horizontal="center" vertical="center" wrapText="1"/>
    </xf>
    <xf numFmtId="0" fontId="27" fillId="19" borderId="9" xfId="0" applyFont="1" applyFill="1" applyBorder="1" applyAlignment="1">
      <alignment horizontal="center" vertical="center" wrapText="1"/>
    </xf>
    <xf numFmtId="0" fontId="27" fillId="0" borderId="1" xfId="0" applyFont="1" applyBorder="1" applyAlignment="1" applyProtection="1">
      <alignment horizontal="center" vertical="center"/>
      <protection locked="0"/>
    </xf>
    <xf numFmtId="0" fontId="27" fillId="0" borderId="2"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12" fillId="14" borderId="54" xfId="0" applyFont="1" applyFill="1" applyBorder="1" applyAlignment="1">
      <alignment horizontal="center" vertical="center"/>
    </xf>
    <xf numFmtId="0" fontId="12" fillId="14" borderId="55" xfId="0" applyFont="1" applyFill="1" applyBorder="1" applyAlignment="1">
      <alignment horizontal="center" vertical="center"/>
    </xf>
    <xf numFmtId="0" fontId="12" fillId="14" borderId="56" xfId="0" applyFont="1" applyFill="1" applyBorder="1" applyAlignment="1">
      <alignment horizontal="center" vertical="center"/>
    </xf>
    <xf numFmtId="0" fontId="29" fillId="19" borderId="5" xfId="0" applyFont="1" applyFill="1" applyBorder="1" applyAlignment="1">
      <alignment horizontal="center" vertical="center" wrapText="1"/>
    </xf>
    <xf numFmtId="0" fontId="28" fillId="18" borderId="4" xfId="0" applyFont="1" applyFill="1" applyBorder="1" applyAlignment="1">
      <alignment horizontal="right" vertical="center"/>
    </xf>
    <xf numFmtId="0" fontId="28" fillId="15" borderId="4" xfId="0" applyFont="1" applyFill="1" applyBorder="1" applyAlignment="1">
      <alignment horizontal="left" vertical="center"/>
    </xf>
    <xf numFmtId="0" fontId="11" fillId="0" borderId="46" xfId="0" applyFont="1" applyBorder="1" applyAlignment="1" applyProtection="1">
      <alignment horizontal="left" vertical="center" wrapText="1"/>
      <protection locked="0"/>
    </xf>
    <xf numFmtId="0" fontId="11" fillId="0" borderId="57" xfId="0" applyFont="1" applyBorder="1" applyAlignment="1" applyProtection="1">
      <alignment horizontal="left" vertical="center" wrapText="1"/>
      <protection locked="0"/>
    </xf>
    <xf numFmtId="14" fontId="11" fillId="0" borderId="46" xfId="0" applyNumberFormat="1" applyFont="1" applyBorder="1" applyAlignment="1" applyProtection="1">
      <alignment horizontal="left" vertical="center" wrapText="1"/>
      <protection locked="0"/>
    </xf>
    <xf numFmtId="14" fontId="11" fillId="0" borderId="57" xfId="0" applyNumberFormat="1" applyFont="1" applyBorder="1" applyAlignment="1" applyProtection="1">
      <alignment horizontal="left" vertical="center" wrapText="1"/>
      <protection locked="0"/>
    </xf>
    <xf numFmtId="0" fontId="11" fillId="0" borderId="58" xfId="0" applyFont="1" applyBorder="1" applyAlignment="1" applyProtection="1">
      <alignment horizontal="left" vertical="center" wrapText="1"/>
      <protection locked="0"/>
    </xf>
    <xf numFmtId="0" fontId="11" fillId="0" borderId="59" xfId="0" applyFont="1" applyBorder="1" applyAlignment="1" applyProtection="1">
      <alignment horizontal="left" vertical="center" wrapText="1"/>
      <protection locked="0"/>
    </xf>
    <xf numFmtId="0" fontId="28" fillId="15" borderId="1" xfId="0" applyFont="1" applyFill="1" applyBorder="1" applyAlignment="1">
      <alignment horizontal="left" vertical="center"/>
    </xf>
    <xf numFmtId="0" fontId="28" fillId="15" borderId="2" xfId="0" applyFont="1" applyFill="1" applyBorder="1" applyAlignment="1">
      <alignment horizontal="left" vertical="center"/>
    </xf>
    <xf numFmtId="0" fontId="28" fillId="15" borderId="3" xfId="0" applyFont="1" applyFill="1" applyBorder="1" applyAlignment="1">
      <alignment horizontal="left" vertical="center"/>
    </xf>
    <xf numFmtId="0" fontId="11" fillId="0" borderId="46" xfId="0" applyFont="1" applyBorder="1" applyAlignment="1">
      <alignment horizontal="left" vertical="center" wrapText="1"/>
    </xf>
    <xf numFmtId="0" fontId="11" fillId="0" borderId="58" xfId="0" applyFont="1" applyBorder="1" applyAlignment="1">
      <alignment horizontal="left" vertical="center" wrapText="1"/>
    </xf>
    <xf numFmtId="166" fontId="27" fillId="0" borderId="4" xfId="0" applyNumberFormat="1" applyFont="1" applyBorder="1" applyAlignment="1" applyProtection="1">
      <alignment horizontal="left" vertical="center"/>
      <protection locked="0"/>
    </xf>
    <xf numFmtId="0" fontId="29" fillId="19" borderId="60" xfId="0" applyFont="1" applyFill="1" applyBorder="1" applyAlignment="1">
      <alignment horizontal="center" vertical="center" wrapText="1"/>
    </xf>
    <xf numFmtId="0" fontId="29" fillId="19" borderId="61" xfId="0" applyFont="1" applyFill="1" applyBorder="1" applyAlignment="1">
      <alignment horizontal="center" vertical="center" wrapText="1"/>
    </xf>
    <xf numFmtId="0" fontId="29" fillId="19" borderId="62" xfId="0" applyFont="1" applyFill="1" applyBorder="1" applyAlignment="1">
      <alignment horizontal="center" vertical="center" wrapText="1"/>
    </xf>
    <xf numFmtId="0" fontId="35" fillId="2" borderId="76" xfId="0" applyFont="1" applyFill="1" applyBorder="1" applyAlignment="1">
      <alignment horizontal="center" vertical="center"/>
    </xf>
    <xf numFmtId="0" fontId="35" fillId="2" borderId="78" xfId="0" applyFont="1" applyFill="1" applyBorder="1" applyAlignment="1">
      <alignment horizontal="center" vertical="center"/>
    </xf>
    <xf numFmtId="0" fontId="35" fillId="2" borderId="79" xfId="0" applyFont="1" applyFill="1" applyBorder="1" applyAlignment="1">
      <alignment horizontal="center" vertical="center"/>
    </xf>
    <xf numFmtId="0" fontId="35" fillId="2" borderId="81" xfId="0" applyFont="1" applyFill="1" applyBorder="1" applyAlignment="1">
      <alignment horizontal="center" vertical="center"/>
    </xf>
    <xf numFmtId="49" fontId="11" fillId="2" borderId="76" xfId="0" applyNumberFormat="1" applyFont="1" applyFill="1" applyBorder="1" applyAlignment="1">
      <alignment horizontal="center" vertical="center"/>
    </xf>
    <xf numFmtId="49" fontId="11" fillId="2" borderId="77" xfId="0" applyNumberFormat="1" applyFont="1" applyFill="1" applyBorder="1" applyAlignment="1">
      <alignment horizontal="center" vertical="center"/>
    </xf>
    <xf numFmtId="49" fontId="11" fillId="2" borderId="78" xfId="0" applyNumberFormat="1" applyFont="1" applyFill="1" applyBorder="1" applyAlignment="1">
      <alignment horizontal="center" vertical="center"/>
    </xf>
    <xf numFmtId="0" fontId="11" fillId="2" borderId="79" xfId="0" applyFont="1" applyFill="1" applyBorder="1" applyAlignment="1">
      <alignment horizontal="center" vertical="center"/>
    </xf>
    <xf numFmtId="0" fontId="11" fillId="2" borderId="80" xfId="0" applyFont="1" applyFill="1" applyBorder="1" applyAlignment="1">
      <alignment horizontal="center" vertical="center"/>
    </xf>
    <xf numFmtId="0" fontId="11" fillId="2" borderId="81" xfId="0" applyFont="1" applyFill="1" applyBorder="1" applyAlignment="1">
      <alignment horizontal="center" vertical="center"/>
    </xf>
    <xf numFmtId="0" fontId="35" fillId="0" borderId="75" xfId="0" applyFont="1" applyBorder="1" applyAlignment="1">
      <alignment horizontal="right" vertical="center"/>
    </xf>
    <xf numFmtId="0" fontId="35" fillId="0" borderId="58" xfId="0" applyFont="1" applyBorder="1" applyAlignment="1">
      <alignment horizontal="right" vertical="center"/>
    </xf>
    <xf numFmtId="0" fontId="27" fillId="0" borderId="0" xfId="0" applyFont="1" applyAlignment="1" applyProtection="1">
      <alignment horizontal="center" vertical="center"/>
      <protection locked="0"/>
    </xf>
    <xf numFmtId="0" fontId="27" fillId="0" borderId="69" xfId="0" applyFont="1" applyBorder="1" applyAlignment="1" applyProtection="1">
      <alignment horizontal="center" vertical="center"/>
      <protection locked="0"/>
    </xf>
    <xf numFmtId="0" fontId="27" fillId="0" borderId="68" xfId="0" applyFont="1" applyBorder="1" applyAlignment="1" applyProtection="1">
      <alignment horizontal="center" vertical="center"/>
      <protection locked="0"/>
    </xf>
    <xf numFmtId="0" fontId="27" fillId="0" borderId="70" xfId="0" applyFont="1" applyBorder="1" applyAlignment="1" applyProtection="1">
      <alignment horizontal="center" vertical="center"/>
      <protection locked="0"/>
    </xf>
    <xf numFmtId="0" fontId="27" fillId="0" borderId="71" xfId="0" applyFont="1" applyBorder="1" applyAlignment="1" applyProtection="1">
      <alignment horizontal="center" vertical="center"/>
      <protection locked="0"/>
    </xf>
    <xf numFmtId="0" fontId="27" fillId="0" borderId="72" xfId="0" applyFont="1" applyBorder="1" applyAlignment="1" applyProtection="1">
      <alignment horizontal="center" vertical="center"/>
      <protection locked="0"/>
    </xf>
    <xf numFmtId="49" fontId="13" fillId="15" borderId="4" xfId="0" applyNumberFormat="1" applyFont="1" applyFill="1" applyBorder="1" applyAlignment="1" applyProtection="1">
      <alignment horizontal="left" vertical="center"/>
      <protection locked="0"/>
    </xf>
    <xf numFmtId="0" fontId="30" fillId="19" borderId="4" xfId="0" applyFont="1" applyFill="1" applyBorder="1" applyAlignment="1">
      <alignment horizontal="center" vertical="center"/>
    </xf>
    <xf numFmtId="0" fontId="30" fillId="15" borderId="1" xfId="0" applyFont="1" applyFill="1" applyBorder="1" applyAlignment="1">
      <alignment horizontal="left" vertical="center"/>
    </xf>
    <xf numFmtId="0" fontId="30" fillId="15" borderId="2" xfId="0" applyFont="1" applyFill="1" applyBorder="1" applyAlignment="1">
      <alignment horizontal="left" vertical="center"/>
    </xf>
    <xf numFmtId="0" fontId="30" fillId="15" borderId="3" xfId="0" applyFont="1" applyFill="1" applyBorder="1" applyAlignment="1">
      <alignment horizontal="left" vertical="center"/>
    </xf>
    <xf numFmtId="0" fontId="30" fillId="16" borderId="4" xfId="0" applyFont="1" applyFill="1" applyBorder="1" applyAlignment="1">
      <alignment horizontal="center" vertical="center"/>
    </xf>
    <xf numFmtId="0" fontId="38" fillId="23" borderId="4" xfId="0" applyFont="1" applyFill="1" applyBorder="1" applyAlignment="1">
      <alignment horizontal="center" vertical="center"/>
    </xf>
    <xf numFmtId="0" fontId="39" fillId="13" borderId="1" xfId="0" applyFont="1" applyFill="1" applyBorder="1" applyAlignment="1">
      <alignment horizontal="center" vertical="center"/>
    </xf>
    <xf numFmtId="0" fontId="39" fillId="13" borderId="3" xfId="0" applyFont="1" applyFill="1" applyBorder="1" applyAlignment="1">
      <alignment horizontal="center" vertical="center"/>
    </xf>
    <xf numFmtId="0" fontId="25" fillId="0" borderId="1" xfId="0" applyFont="1" applyBorder="1" applyAlignment="1" applyProtection="1">
      <alignment horizontal="center" vertical="center" wrapText="1"/>
      <protection locked="0"/>
    </xf>
    <xf numFmtId="0" fontId="25" fillId="0" borderId="2" xfId="0" applyFont="1" applyBorder="1" applyAlignment="1" applyProtection="1">
      <alignment horizontal="center" vertical="center" wrapText="1"/>
      <protection locked="0"/>
    </xf>
    <xf numFmtId="0" fontId="25" fillId="0" borderId="3" xfId="0" applyFont="1" applyBorder="1" applyAlignment="1" applyProtection="1">
      <alignment horizontal="center" vertical="center" wrapText="1"/>
      <protection locked="0"/>
    </xf>
    <xf numFmtId="0" fontId="46" fillId="11" borderId="96" xfId="0" applyFont="1" applyFill="1" applyBorder="1" applyAlignment="1">
      <alignment horizontal="center"/>
    </xf>
    <xf numFmtId="0" fontId="46" fillId="11" borderId="97" xfId="0" applyFont="1" applyFill="1" applyBorder="1" applyAlignment="1">
      <alignment horizontal="center"/>
    </xf>
    <xf numFmtId="167" fontId="25" fillId="12" borderId="0" xfId="0" applyNumberFormat="1" applyFont="1" applyFill="1" applyAlignment="1">
      <alignment horizontal="left" vertical="center"/>
    </xf>
    <xf numFmtId="167" fontId="1" fillId="12" borderId="0" xfId="0" applyNumberFormat="1" applyFont="1" applyFill="1" applyAlignment="1">
      <alignment horizontal="left" vertical="center"/>
    </xf>
    <xf numFmtId="167" fontId="26" fillId="12" borderId="0" xfId="0" applyNumberFormat="1" applyFont="1" applyFill="1" applyAlignment="1">
      <alignment horizontal="left" vertical="center"/>
    </xf>
    <xf numFmtId="167" fontId="25" fillId="13" borderId="0" xfId="0" applyNumberFormat="1" applyFont="1" applyFill="1" applyAlignment="1">
      <alignment horizontal="left" vertical="center"/>
    </xf>
    <xf numFmtId="167" fontId="25" fillId="12" borderId="0" xfId="0" applyNumberFormat="1" applyFont="1" applyFill="1" applyAlignment="1">
      <alignment horizontal="center" vertical="center"/>
    </xf>
    <xf numFmtId="167" fontId="25" fillId="12" borderId="0" xfId="0" applyNumberFormat="1" applyFont="1" applyFill="1" applyAlignment="1">
      <alignment horizontal="center" vertical="center" wrapText="1"/>
    </xf>
    <xf numFmtId="0" fontId="25" fillId="12" borderId="0" xfId="0" applyNumberFormat="1" applyFont="1" applyFill="1" applyAlignment="1">
      <alignment horizontal="left" vertical="center"/>
    </xf>
    <xf numFmtId="0" fontId="1" fillId="12" borderId="0" xfId="0" applyNumberFormat="1" applyFont="1" applyFill="1" applyAlignment="1">
      <alignment horizontal="left" vertical="center"/>
    </xf>
    <xf numFmtId="0" fontId="26" fillId="12" borderId="0" xfId="0" applyNumberFormat="1" applyFont="1" applyFill="1" applyAlignment="1">
      <alignment horizontal="left" vertical="center"/>
    </xf>
    <xf numFmtId="0" fontId="25" fillId="12" borderId="0" xfId="0" applyNumberFormat="1" applyFont="1" applyFill="1" applyAlignment="1">
      <alignment horizontal="center" vertical="center"/>
    </xf>
    <xf numFmtId="0" fontId="25" fillId="12" borderId="0" xfId="0" applyNumberFormat="1" applyFont="1" applyFill="1" applyAlignment="1">
      <alignment horizontal="center" vertical="center" wrapText="1"/>
    </xf>
  </cellXfs>
  <cellStyles count="3">
    <cellStyle name="Normal" xfId="0" builtinId="0"/>
    <cellStyle name="Normal 2" xfId="1" xr:uid="{00000000-0005-0000-0000-000001000000}"/>
    <cellStyle name="Pourcentage 2" xfId="2" xr:uid="{00000000-0005-0000-0000-000002000000}"/>
  </cellStyles>
  <dxfs count="25">
    <dxf>
      <fill>
        <patternFill>
          <bgColor theme="7"/>
        </patternFill>
      </fill>
    </dxf>
    <dxf>
      <fill>
        <patternFill>
          <bgColor theme="8"/>
        </patternFill>
      </fill>
    </dxf>
    <dxf>
      <fill>
        <patternFill>
          <bgColor theme="9"/>
        </patternFill>
      </fill>
    </dxf>
    <dxf>
      <font>
        <b/>
        <i val="0"/>
        <color theme="0"/>
      </font>
      <fill>
        <patternFill>
          <bgColor theme="7"/>
        </patternFill>
      </fill>
      <border>
        <left/>
        <right style="thin">
          <color auto="1"/>
        </right>
        <top/>
        <bottom style="hair">
          <color auto="1"/>
        </bottom>
      </border>
    </dxf>
    <dxf>
      <font>
        <b/>
        <i val="0"/>
        <color theme="0"/>
      </font>
      <fill>
        <patternFill>
          <bgColor theme="9" tint="-0.24994659260841701"/>
        </patternFill>
      </fill>
      <border>
        <left/>
        <right style="thin">
          <color auto="1"/>
        </right>
        <top/>
        <bottom style="hair">
          <color auto="1"/>
        </bottom>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ill>
        <patternFill>
          <bgColor theme="5"/>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ont>
        <b/>
        <i val="0"/>
        <color theme="0"/>
      </font>
      <fill>
        <patternFill>
          <bgColor theme="7"/>
        </patternFill>
      </fill>
      <border>
        <left style="hair">
          <color auto="1"/>
        </left>
        <right style="thin">
          <color auto="1"/>
        </right>
        <top style="hair">
          <color auto="1"/>
        </top>
        <bottom style="hair">
          <color auto="1"/>
        </bottom>
      </border>
    </dxf>
    <dxf>
      <font>
        <b/>
        <i val="0"/>
        <color theme="0"/>
      </font>
      <fill>
        <patternFill>
          <bgColor theme="9" tint="-0.24994659260841701"/>
        </patternFill>
      </fill>
      <border>
        <left style="hair">
          <color auto="1"/>
        </left>
        <right style="thin">
          <color auto="1"/>
        </right>
        <top style="hair">
          <color auto="1"/>
        </top>
        <bottom style="hair">
          <color auto="1"/>
        </bottom>
      </border>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ill>
        <patternFill patternType="darkUp">
          <fgColor theme="9"/>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s>
  <tableStyles count="0" defaultTableStyle="TableStyleMedium2" defaultPivotStyle="PivotStyleLight16"/>
  <colors>
    <mruColors>
      <color rgb="FF8FC5EC"/>
      <color rgb="FFFFCCCC"/>
      <color rgb="FFE04300"/>
      <color rgb="FFFF9999"/>
      <color rgb="FF9AEFDB"/>
      <color rgb="FF00A383"/>
      <color rgb="FFE0002D"/>
      <color rgb="FFE6E6E6"/>
      <color rgb="FF68E6C9"/>
      <color rgb="FF009D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K69"/>
  <sheetViews>
    <sheetView showGridLines="0" tabSelected="1" view="pageBreakPreview" zoomScaleNormal="100" zoomScaleSheetLayoutView="100" workbookViewId="0">
      <pane ySplit="7" topLeftCell="A8" activePane="bottomLeft" state="frozen"/>
      <selection pane="bottomLeft" activeCell="L14" sqref="L14:O14"/>
    </sheetView>
  </sheetViews>
  <sheetFormatPr baseColWidth="10" defaultColWidth="10.703125" defaultRowHeight="20.100000000000001" customHeight="1" outlineLevelRow="1" x14ac:dyDescent="0.4"/>
  <cols>
    <col min="1" max="2" width="2.703125" style="63" customWidth="1"/>
    <col min="3" max="20" width="11.703125" style="63" customWidth="1"/>
    <col min="21" max="21" width="2.703125" style="63" customWidth="1"/>
    <col min="22" max="22" width="2.703125" style="339" customWidth="1"/>
    <col min="23" max="28" width="10.703125" style="339"/>
    <col min="29" max="29" width="10.703125" style="345"/>
    <col min="30" max="30" width="10.703125" style="233"/>
    <col min="31" max="37" width="10.703125" style="97"/>
    <col min="38" max="16384" width="10.703125" style="63"/>
  </cols>
  <sheetData>
    <row r="1" spans="2:37" ht="10.199999999999999" customHeight="1" thickBot="1" x14ac:dyDescent="0.45">
      <c r="B1" s="68"/>
      <c r="C1" s="69"/>
      <c r="D1" s="69"/>
      <c r="E1" s="69"/>
      <c r="F1" s="69"/>
      <c r="G1" s="69"/>
      <c r="H1" s="69"/>
      <c r="I1" s="69"/>
      <c r="J1" s="69"/>
      <c r="K1" s="69"/>
      <c r="L1" s="69"/>
      <c r="M1" s="69"/>
      <c r="N1" s="69"/>
      <c r="O1" s="69"/>
      <c r="P1" s="69"/>
      <c r="Q1" s="69"/>
      <c r="R1" s="69"/>
      <c r="S1" s="69"/>
      <c r="T1" s="69"/>
      <c r="U1" s="70"/>
    </row>
    <row r="2" spans="2:37" ht="30" customHeight="1" thickTop="1" x14ac:dyDescent="0.4">
      <c r="B2" s="78"/>
      <c r="C2" s="286" t="s">
        <v>269</v>
      </c>
      <c r="D2" s="287"/>
      <c r="E2" s="287"/>
      <c r="F2" s="287"/>
      <c r="G2" s="287"/>
      <c r="H2" s="287"/>
      <c r="I2" s="287"/>
      <c r="J2" s="287"/>
      <c r="K2" s="287"/>
      <c r="L2" s="287"/>
      <c r="M2" s="287"/>
      <c r="N2" s="287"/>
      <c r="O2" s="287"/>
      <c r="P2" s="287"/>
      <c r="Q2" s="287"/>
      <c r="R2" s="287"/>
      <c r="S2" s="287"/>
      <c r="T2" s="288"/>
      <c r="U2" s="80"/>
    </row>
    <row r="3" spans="2:37" s="65" customFormat="1" ht="20.100000000000001" customHeight="1" x14ac:dyDescent="0.4">
      <c r="B3" s="79"/>
      <c r="C3" s="278" t="s">
        <v>219</v>
      </c>
      <c r="D3" s="252"/>
      <c r="E3" s="301"/>
      <c r="F3" s="301"/>
      <c r="G3" s="301"/>
      <c r="H3" s="307" t="s">
        <v>215</v>
      </c>
      <c r="I3" s="308"/>
      <c r="J3" s="311"/>
      <c r="K3" s="312"/>
      <c r="L3" s="312"/>
      <c r="M3" s="312"/>
      <c r="N3" s="313"/>
      <c r="O3" s="252" t="s">
        <v>220</v>
      </c>
      <c r="P3" s="252"/>
      <c r="Q3" s="252"/>
      <c r="R3" s="292"/>
      <c r="S3" s="292"/>
      <c r="T3" s="293"/>
      <c r="U3" s="81"/>
      <c r="V3" s="340"/>
      <c r="W3" s="340"/>
      <c r="X3" s="340"/>
      <c r="Y3" s="340"/>
      <c r="Z3" s="340"/>
      <c r="AA3" s="340"/>
      <c r="AB3" s="340"/>
      <c r="AC3" s="346"/>
      <c r="AD3" s="234"/>
      <c r="AE3" s="102"/>
      <c r="AF3" s="102"/>
      <c r="AG3" s="102"/>
      <c r="AH3" s="102"/>
      <c r="AI3" s="102"/>
      <c r="AJ3" s="102"/>
      <c r="AK3" s="102"/>
    </row>
    <row r="4" spans="2:37" s="65" customFormat="1" ht="20.100000000000001" customHeight="1" x14ac:dyDescent="0.4">
      <c r="B4" s="79"/>
      <c r="C4" s="278" t="s">
        <v>216</v>
      </c>
      <c r="D4" s="252"/>
      <c r="E4" s="301"/>
      <c r="F4" s="301"/>
      <c r="G4" s="301"/>
      <c r="H4" s="307" t="s">
        <v>222</v>
      </c>
      <c r="I4" s="308"/>
      <c r="J4" s="311"/>
      <c r="K4" s="312"/>
      <c r="L4" s="312"/>
      <c r="M4" s="312"/>
      <c r="N4" s="313"/>
      <c r="O4" s="252" t="s">
        <v>225</v>
      </c>
      <c r="P4" s="252"/>
      <c r="Q4" s="252"/>
      <c r="R4" s="292"/>
      <c r="S4" s="292"/>
      <c r="T4" s="293"/>
      <c r="U4" s="81"/>
      <c r="V4" s="340"/>
      <c r="W4" s="340"/>
      <c r="X4" s="340"/>
      <c r="Y4" s="340"/>
      <c r="Z4" s="340"/>
      <c r="AA4" s="340"/>
      <c r="AB4" s="340"/>
      <c r="AC4" s="346"/>
      <c r="AD4" s="234"/>
      <c r="AE4" s="102"/>
      <c r="AF4" s="102"/>
      <c r="AG4" s="102"/>
      <c r="AH4" s="102"/>
      <c r="AI4" s="102"/>
      <c r="AJ4" s="102"/>
      <c r="AK4" s="102"/>
    </row>
    <row r="5" spans="2:37" s="65" customFormat="1" ht="20.100000000000001" customHeight="1" x14ac:dyDescent="0.4">
      <c r="B5" s="79"/>
      <c r="C5" s="278" t="s">
        <v>217</v>
      </c>
      <c r="D5" s="252"/>
      <c r="E5" s="301"/>
      <c r="F5" s="301"/>
      <c r="G5" s="301"/>
      <c r="H5" s="307" t="s">
        <v>223</v>
      </c>
      <c r="I5" s="308"/>
      <c r="J5" s="311"/>
      <c r="K5" s="312"/>
      <c r="L5" s="312"/>
      <c r="M5" s="312"/>
      <c r="N5" s="313"/>
      <c r="O5" s="252" t="s">
        <v>221</v>
      </c>
      <c r="P5" s="252"/>
      <c r="Q5" s="252"/>
      <c r="R5" s="294"/>
      <c r="S5" s="294"/>
      <c r="T5" s="295"/>
      <c r="U5" s="81"/>
      <c r="V5" s="340"/>
      <c r="W5" s="340"/>
      <c r="X5" s="340"/>
      <c r="Y5" s="340"/>
      <c r="Z5" s="340"/>
      <c r="AA5" s="340"/>
      <c r="AB5" s="340"/>
      <c r="AC5" s="346"/>
      <c r="AD5" s="234"/>
      <c r="AE5" s="102"/>
      <c r="AF5" s="102"/>
      <c r="AG5" s="102"/>
      <c r="AH5" s="102"/>
      <c r="AI5" s="102"/>
      <c r="AJ5" s="102"/>
      <c r="AK5" s="102"/>
    </row>
    <row r="6" spans="2:37" s="65" customFormat="1" ht="20.100000000000001" customHeight="1" thickBot="1" x14ac:dyDescent="0.45">
      <c r="B6" s="79"/>
      <c r="C6" s="317" t="s">
        <v>218</v>
      </c>
      <c r="D6" s="318"/>
      <c r="E6" s="302"/>
      <c r="F6" s="302"/>
      <c r="G6" s="302"/>
      <c r="H6" s="309" t="s">
        <v>224</v>
      </c>
      <c r="I6" s="310"/>
      <c r="J6" s="314" t="str">
        <f>D40</f>
        <v>Caisson</v>
      </c>
      <c r="K6" s="315"/>
      <c r="L6" s="315"/>
      <c r="M6" s="315"/>
      <c r="N6" s="316"/>
      <c r="O6" s="318" t="s">
        <v>226</v>
      </c>
      <c r="P6" s="318"/>
      <c r="Q6" s="318"/>
      <c r="R6" s="296"/>
      <c r="S6" s="296"/>
      <c r="T6" s="297"/>
      <c r="U6" s="81"/>
      <c r="V6" s="340"/>
      <c r="W6" s="340"/>
      <c r="X6" s="340"/>
      <c r="Y6" s="340"/>
      <c r="Z6" s="340"/>
      <c r="AA6" s="340"/>
      <c r="AB6" s="340"/>
      <c r="AC6" s="346"/>
      <c r="AD6" s="234"/>
      <c r="AE6" s="102"/>
      <c r="AF6" s="102"/>
      <c r="AG6" s="102"/>
      <c r="AH6" s="102"/>
      <c r="AI6" s="102"/>
      <c r="AJ6" s="102"/>
      <c r="AK6" s="102"/>
    </row>
    <row r="7" spans="2:37" s="64" customFormat="1" ht="10.199999999999999" customHeight="1" thickTop="1" thickBot="1" x14ac:dyDescent="0.45">
      <c r="B7" s="71"/>
      <c r="C7" s="66"/>
      <c r="D7" s="66"/>
      <c r="E7" s="66"/>
      <c r="F7" s="66"/>
      <c r="G7" s="66"/>
      <c r="H7" s="66"/>
      <c r="I7" s="66"/>
      <c r="J7" s="66"/>
      <c r="K7" s="66"/>
      <c r="L7" s="66"/>
      <c r="M7" s="66"/>
      <c r="N7" s="66"/>
      <c r="O7" s="66"/>
      <c r="P7" s="66"/>
      <c r="Q7" s="66"/>
      <c r="R7" s="66"/>
      <c r="S7" s="66"/>
      <c r="T7" s="66"/>
      <c r="U7" s="72"/>
      <c r="V7" s="341"/>
      <c r="W7" s="341"/>
      <c r="X7" s="341"/>
      <c r="Y7" s="341"/>
      <c r="Z7" s="341"/>
      <c r="AA7" s="341"/>
      <c r="AB7" s="341"/>
      <c r="AC7" s="347"/>
      <c r="AD7" s="235"/>
      <c r="AE7" s="103"/>
      <c r="AF7" s="103"/>
      <c r="AG7" s="103"/>
      <c r="AH7" s="103"/>
      <c r="AI7" s="103"/>
      <c r="AJ7" s="103"/>
      <c r="AK7" s="103"/>
    </row>
    <row r="8" spans="2:37" s="64" customFormat="1" ht="20.100000000000001" customHeight="1" thickTop="1" thickBot="1" x14ac:dyDescent="0.45">
      <c r="B8" s="71"/>
      <c r="C8" s="240" t="s">
        <v>239</v>
      </c>
      <c r="D8" s="241"/>
      <c r="E8" s="241"/>
      <c r="F8" s="241"/>
      <c r="G8" s="241"/>
      <c r="H8" s="241"/>
      <c r="I8" s="241"/>
      <c r="J8" s="241"/>
      <c r="K8" s="241"/>
      <c r="L8" s="241"/>
      <c r="M8" s="241"/>
      <c r="N8" s="241"/>
      <c r="O8" s="241"/>
      <c r="P8" s="241"/>
      <c r="Q8" s="241"/>
      <c r="R8" s="241"/>
      <c r="S8" s="241"/>
      <c r="T8" s="242"/>
      <c r="U8" s="72"/>
      <c r="V8" s="341"/>
      <c r="W8" s="341"/>
      <c r="X8" s="341"/>
      <c r="Y8" s="341"/>
      <c r="Z8" s="341"/>
      <c r="AA8" s="341"/>
      <c r="AB8" s="341"/>
      <c r="AC8" s="347"/>
      <c r="AD8" s="235"/>
      <c r="AE8" s="103"/>
      <c r="AF8" s="103"/>
      <c r="AG8" s="103"/>
      <c r="AH8" s="103"/>
      <c r="AI8" s="103"/>
      <c r="AJ8" s="103"/>
      <c r="AK8" s="103"/>
    </row>
    <row r="9" spans="2:37" s="64" customFormat="1" ht="20.100000000000001" customHeight="1" outlineLevel="1" thickTop="1" x14ac:dyDescent="0.4">
      <c r="B9" s="71"/>
      <c r="C9" s="111"/>
      <c r="D9" s="66"/>
      <c r="E9" s="66"/>
      <c r="F9" s="66"/>
      <c r="G9" s="66"/>
      <c r="H9" s="66"/>
      <c r="I9" s="66"/>
      <c r="J9" s="66"/>
      <c r="K9" s="66"/>
      <c r="L9" s="66"/>
      <c r="M9" s="66"/>
      <c r="N9" s="66"/>
      <c r="O9" s="66"/>
      <c r="P9" s="66"/>
      <c r="Q9" s="66"/>
      <c r="R9" s="66"/>
      <c r="S9" s="66"/>
      <c r="T9" s="112"/>
      <c r="U9" s="72"/>
      <c r="V9" s="341"/>
      <c r="W9" s="341"/>
      <c r="X9" s="341"/>
      <c r="Y9" s="341"/>
      <c r="Z9" s="341"/>
      <c r="AA9" s="341"/>
      <c r="AB9" s="341"/>
      <c r="AC9" s="347"/>
      <c r="AD9" s="235"/>
      <c r="AE9" s="103"/>
      <c r="AF9" s="103"/>
      <c r="AG9" s="103"/>
      <c r="AH9" s="103"/>
      <c r="AI9" s="103"/>
      <c r="AJ9" s="103"/>
      <c r="AK9" s="103"/>
    </row>
    <row r="10" spans="2:37" ht="20.100000000000001" customHeight="1" outlineLevel="1" x14ac:dyDescent="0.4">
      <c r="B10" s="73"/>
      <c r="C10" s="113"/>
      <c r="D10" s="298" t="s">
        <v>206</v>
      </c>
      <c r="E10" s="299"/>
      <c r="F10" s="299"/>
      <c r="G10" s="299"/>
      <c r="H10" s="299"/>
      <c r="I10" s="299"/>
      <c r="J10" s="299"/>
      <c r="K10" s="299"/>
      <c r="L10" s="299"/>
      <c r="M10" s="299"/>
      <c r="N10" s="299"/>
      <c r="O10" s="299"/>
      <c r="P10" s="299"/>
      <c r="Q10" s="299"/>
      <c r="R10" s="299"/>
      <c r="S10" s="300"/>
      <c r="T10" s="114"/>
      <c r="U10" s="74"/>
    </row>
    <row r="11" spans="2:37" ht="20.100000000000001" customHeight="1" outlineLevel="1" x14ac:dyDescent="0.4">
      <c r="B11" s="73"/>
      <c r="C11" s="115"/>
      <c r="D11" s="256" t="s">
        <v>227</v>
      </c>
      <c r="E11" s="257"/>
      <c r="F11" s="258"/>
      <c r="G11" s="269"/>
      <c r="H11" s="270"/>
      <c r="I11" s="270"/>
      <c r="J11" s="270"/>
      <c r="K11" s="271"/>
      <c r="L11" s="256" t="s">
        <v>190</v>
      </c>
      <c r="M11" s="257"/>
      <c r="N11" s="257"/>
      <c r="O11" s="258"/>
      <c r="P11" s="272"/>
      <c r="Q11" s="273"/>
      <c r="R11" s="273"/>
      <c r="S11" s="274"/>
      <c r="T11" s="116"/>
      <c r="U11" s="74"/>
    </row>
    <row r="12" spans="2:37" ht="20.100000000000001" customHeight="1" outlineLevel="1" x14ac:dyDescent="0.4">
      <c r="B12" s="73"/>
      <c r="C12" s="115"/>
      <c r="D12" s="256" t="s">
        <v>228</v>
      </c>
      <c r="E12" s="257"/>
      <c r="F12" s="258"/>
      <c r="G12" s="269"/>
      <c r="H12" s="270"/>
      <c r="I12" s="270"/>
      <c r="J12" s="270"/>
      <c r="K12" s="271"/>
      <c r="L12" s="256" t="s">
        <v>237</v>
      </c>
      <c r="M12" s="257"/>
      <c r="N12" s="257"/>
      <c r="O12" s="258"/>
      <c r="P12" s="272"/>
      <c r="Q12" s="273"/>
      <c r="R12" s="273"/>
      <c r="S12" s="274"/>
      <c r="T12" s="116"/>
      <c r="U12" s="74"/>
      <c r="X12" s="342"/>
      <c r="Y12" s="342"/>
    </row>
    <row r="13" spans="2:37" ht="20.100000000000001" customHeight="1" outlineLevel="1" x14ac:dyDescent="0.4">
      <c r="B13" s="73"/>
      <c r="C13" s="115"/>
      <c r="D13" s="256" t="s">
        <v>244</v>
      </c>
      <c r="E13" s="257"/>
      <c r="F13" s="258"/>
      <c r="G13" s="272"/>
      <c r="H13" s="273"/>
      <c r="I13" s="273"/>
      <c r="J13" s="273"/>
      <c r="K13" s="274"/>
      <c r="L13" s="266" t="s">
        <v>229</v>
      </c>
      <c r="M13" s="266"/>
      <c r="N13" s="266"/>
      <c r="O13" s="266"/>
      <c r="P13" s="268"/>
      <c r="Q13" s="268"/>
      <c r="R13" s="268"/>
      <c r="S13" s="268"/>
      <c r="T13" s="116"/>
      <c r="U13" s="74"/>
    </row>
    <row r="14" spans="2:37" ht="20.100000000000001" customHeight="1" outlineLevel="1" x14ac:dyDescent="0.4">
      <c r="B14" s="73"/>
      <c r="C14" s="115"/>
      <c r="D14" s="256" t="s">
        <v>188</v>
      </c>
      <c r="E14" s="257"/>
      <c r="F14" s="258"/>
      <c r="G14" s="268"/>
      <c r="H14" s="268"/>
      <c r="I14" s="268"/>
      <c r="J14" s="268"/>
      <c r="K14" s="268"/>
      <c r="L14" s="266" t="s">
        <v>230</v>
      </c>
      <c r="M14" s="266"/>
      <c r="N14" s="266"/>
      <c r="O14" s="266"/>
      <c r="P14" s="268"/>
      <c r="Q14" s="268"/>
      <c r="R14" s="268"/>
      <c r="S14" s="268"/>
      <c r="T14" s="116"/>
      <c r="U14" s="74"/>
    </row>
    <row r="15" spans="2:37" ht="20.100000000000001" customHeight="1" outlineLevel="1" x14ac:dyDescent="0.4">
      <c r="B15" s="73"/>
      <c r="C15" s="115"/>
      <c r="D15" s="256" t="s">
        <v>189</v>
      </c>
      <c r="E15" s="257"/>
      <c r="F15" s="258"/>
      <c r="G15" s="268"/>
      <c r="H15" s="268"/>
      <c r="I15" s="268"/>
      <c r="J15" s="268"/>
      <c r="K15" s="268"/>
      <c r="L15" s="266" t="s">
        <v>238</v>
      </c>
      <c r="M15" s="266"/>
      <c r="N15" s="266"/>
      <c r="O15" s="266"/>
      <c r="P15" s="303"/>
      <c r="Q15" s="303"/>
      <c r="R15" s="303"/>
      <c r="S15" s="303"/>
      <c r="T15" s="116"/>
      <c r="U15" s="74"/>
    </row>
    <row r="16" spans="2:37" ht="20.100000000000001" customHeight="1" outlineLevel="1" x14ac:dyDescent="0.4">
      <c r="B16" s="73"/>
      <c r="C16" s="115"/>
      <c r="D16" s="256" t="s">
        <v>236</v>
      </c>
      <c r="E16" s="257"/>
      <c r="F16" s="258"/>
      <c r="G16" s="283"/>
      <c r="H16" s="284"/>
      <c r="I16" s="284"/>
      <c r="J16" s="284"/>
      <c r="K16" s="285"/>
      <c r="L16" s="127"/>
      <c r="M16" s="127"/>
      <c r="N16" s="127"/>
      <c r="O16" s="127"/>
      <c r="P16" s="128"/>
      <c r="Q16" s="128"/>
      <c r="R16" s="128"/>
      <c r="S16" s="128"/>
      <c r="T16" s="116"/>
      <c r="U16" s="74"/>
    </row>
    <row r="17" spans="2:25" ht="20.100000000000001" customHeight="1" outlineLevel="1" x14ac:dyDescent="0.4">
      <c r="B17" s="73"/>
      <c r="C17" s="115"/>
      <c r="D17" s="82"/>
      <c r="E17" s="82"/>
      <c r="F17" s="82"/>
      <c r="G17" s="130"/>
      <c r="H17" s="82"/>
      <c r="I17" s="82"/>
      <c r="J17" s="82"/>
      <c r="K17" s="82"/>
      <c r="L17" s="130"/>
      <c r="M17" s="130"/>
      <c r="N17" s="82"/>
      <c r="O17" s="82"/>
      <c r="P17" s="82"/>
      <c r="Q17" s="82"/>
      <c r="R17" s="82"/>
      <c r="S17" s="82"/>
      <c r="T17" s="116"/>
      <c r="U17" s="74"/>
    </row>
    <row r="18" spans="2:25" ht="20.100000000000001" customHeight="1" outlineLevel="1" x14ac:dyDescent="0.4">
      <c r="B18" s="73"/>
      <c r="C18" s="115"/>
      <c r="D18" s="290" t="s">
        <v>242</v>
      </c>
      <c r="E18" s="290"/>
      <c r="F18" s="290"/>
      <c r="G18" s="267"/>
      <c r="H18" s="267"/>
      <c r="I18" s="267"/>
      <c r="J18" s="267"/>
      <c r="K18" s="267"/>
      <c r="L18" s="267"/>
      <c r="M18" s="267"/>
      <c r="N18" s="267"/>
      <c r="O18" s="267"/>
      <c r="P18" s="267"/>
      <c r="Q18" s="267"/>
      <c r="R18" s="267"/>
      <c r="S18" s="267"/>
      <c r="T18" s="116"/>
      <c r="U18" s="74"/>
    </row>
    <row r="19" spans="2:25" ht="20.100000000000001" customHeight="1" outlineLevel="1" x14ac:dyDescent="0.4">
      <c r="B19" s="73"/>
      <c r="C19" s="115"/>
      <c r="D19" s="291" t="s">
        <v>207</v>
      </c>
      <c r="E19" s="291"/>
      <c r="F19" s="291"/>
      <c r="G19" s="291"/>
      <c r="H19" s="291"/>
      <c r="I19" s="291"/>
      <c r="J19" s="291"/>
      <c r="K19" s="291"/>
      <c r="L19" s="291"/>
      <c r="M19" s="291"/>
      <c r="N19" s="291"/>
      <c r="O19" s="291"/>
      <c r="P19" s="291"/>
      <c r="Q19" s="291"/>
      <c r="R19" s="291"/>
      <c r="S19" s="291"/>
      <c r="T19" s="116"/>
      <c r="U19" s="74"/>
    </row>
    <row r="20" spans="2:25" ht="20.100000000000001" customHeight="1" outlineLevel="1" x14ac:dyDescent="0.4">
      <c r="B20" s="73"/>
      <c r="C20" s="115"/>
      <c r="D20" s="256" t="s">
        <v>231</v>
      </c>
      <c r="E20" s="257"/>
      <c r="F20" s="258"/>
      <c r="G20" s="272"/>
      <c r="H20" s="273"/>
      <c r="I20" s="273"/>
      <c r="J20" s="273"/>
      <c r="K20" s="274"/>
      <c r="L20" s="256" t="s">
        <v>234</v>
      </c>
      <c r="M20" s="257"/>
      <c r="N20" s="257"/>
      <c r="O20" s="258"/>
      <c r="P20" s="272"/>
      <c r="Q20" s="273"/>
      <c r="R20" s="273"/>
      <c r="S20" s="274"/>
      <c r="T20" s="116"/>
      <c r="U20" s="74"/>
    </row>
    <row r="21" spans="2:25" ht="20.100000000000001" customHeight="1" outlineLevel="1" x14ac:dyDescent="0.4">
      <c r="B21" s="73"/>
      <c r="C21" s="115"/>
      <c r="D21" s="256" t="s">
        <v>232</v>
      </c>
      <c r="E21" s="257"/>
      <c r="F21" s="258"/>
      <c r="G21" s="272"/>
      <c r="H21" s="273"/>
      <c r="I21" s="273"/>
      <c r="J21" s="273"/>
      <c r="K21" s="274"/>
      <c r="L21" s="256" t="s">
        <v>235</v>
      </c>
      <c r="M21" s="257"/>
      <c r="N21" s="257"/>
      <c r="O21" s="258"/>
      <c r="P21" s="272"/>
      <c r="Q21" s="273"/>
      <c r="R21" s="273"/>
      <c r="S21" s="274"/>
      <c r="T21" s="116"/>
      <c r="U21" s="74"/>
    </row>
    <row r="22" spans="2:25" ht="20.100000000000001" customHeight="1" outlineLevel="1" x14ac:dyDescent="0.4">
      <c r="B22" s="73"/>
      <c r="C22" s="115"/>
      <c r="D22" s="256" t="s">
        <v>233</v>
      </c>
      <c r="E22" s="257"/>
      <c r="F22" s="258"/>
      <c r="G22" s="272"/>
      <c r="H22" s="273"/>
      <c r="I22" s="273"/>
      <c r="J22" s="273"/>
      <c r="K22" s="274"/>
      <c r="L22" s="256" t="s">
        <v>236</v>
      </c>
      <c r="M22" s="257"/>
      <c r="N22" s="257"/>
      <c r="O22" s="258"/>
      <c r="P22" s="272"/>
      <c r="Q22" s="273"/>
      <c r="R22" s="273"/>
      <c r="S22" s="274"/>
      <c r="T22" s="116"/>
      <c r="U22" s="74"/>
    </row>
    <row r="23" spans="2:25" ht="20.100000000000001" customHeight="1" outlineLevel="1" x14ac:dyDescent="0.4">
      <c r="B23" s="73"/>
      <c r="C23" s="115"/>
      <c r="D23" s="82"/>
      <c r="E23" s="82"/>
      <c r="F23" s="82"/>
      <c r="G23" s="82"/>
      <c r="H23" s="82"/>
      <c r="I23" s="82"/>
      <c r="J23" s="82"/>
      <c r="K23" s="82"/>
      <c r="L23" s="82"/>
      <c r="M23" s="82"/>
      <c r="N23" s="82"/>
      <c r="O23" s="82"/>
      <c r="P23" s="82"/>
      <c r="Q23" s="82"/>
      <c r="R23" s="82"/>
      <c r="S23" s="82"/>
      <c r="T23" s="116"/>
      <c r="U23" s="74"/>
    </row>
    <row r="24" spans="2:25" ht="20.100000000000001" customHeight="1" outlineLevel="1" x14ac:dyDescent="0.4">
      <c r="B24" s="73"/>
      <c r="C24" s="115"/>
      <c r="D24" s="253" t="s">
        <v>192</v>
      </c>
      <c r="E24" s="254"/>
      <c r="F24" s="254"/>
      <c r="G24" s="254"/>
      <c r="H24" s="254"/>
      <c r="I24" s="254"/>
      <c r="J24" s="254"/>
      <c r="K24" s="254"/>
      <c r="L24" s="254"/>
      <c r="M24" s="254"/>
      <c r="N24" s="254"/>
      <c r="O24" s="254"/>
      <c r="P24" s="254"/>
      <c r="Q24" s="255"/>
      <c r="R24" s="142"/>
      <c r="S24" s="142"/>
      <c r="T24" s="116"/>
      <c r="U24" s="74"/>
    </row>
    <row r="25" spans="2:25" ht="20.100000000000001" customHeight="1" outlineLevel="1" x14ac:dyDescent="0.4">
      <c r="B25" s="73"/>
      <c r="C25" s="115"/>
      <c r="D25" s="289" t="s">
        <v>332</v>
      </c>
      <c r="E25" s="289"/>
      <c r="F25" s="289"/>
      <c r="G25" s="289"/>
      <c r="H25" s="304" t="s">
        <v>193</v>
      </c>
      <c r="I25" s="305"/>
      <c r="J25" s="305"/>
      <c r="K25" s="305"/>
      <c r="L25" s="305"/>
      <c r="M25" s="306"/>
      <c r="N25" s="289" t="s">
        <v>194</v>
      </c>
      <c r="O25" s="289"/>
      <c r="P25" s="289"/>
      <c r="Q25" s="289"/>
      <c r="R25" s="142"/>
      <c r="S25" s="142"/>
      <c r="T25" s="116"/>
      <c r="U25" s="74"/>
    </row>
    <row r="26" spans="2:25" ht="65.099999999999994" customHeight="1" outlineLevel="1" x14ac:dyDescent="0.4">
      <c r="B26" s="73"/>
      <c r="C26" s="115"/>
      <c r="D26" s="106" t="str">
        <f>IF($D$40="Clapet","Angle simulé (°)","Hauteur simulée (mm)")</f>
        <v>Hauteur simulée (mm)</v>
      </c>
      <c r="E26" s="107" t="str">
        <f>IF($D$40="Clapet","EMT sur l'angle"&amp;CHAR(10)&amp;"(°)","EMT sur la hauteur"&amp;CHAR(10)&amp;"(mm)")</f>
        <v>EMT sur la hauteur
(mm)</v>
      </c>
      <c r="F26" s="107" t="str">
        <f>IF($D$40="Clapet","Débit attendu / Angle simulé"&amp;CHAR(10)&amp;"(m3/h)","Débit attendu / Hauteur simulée"&amp;CHAR(10)&amp;"(m3/h)")</f>
        <v>Débit attendu / Hauteur simulée
(m3/h)</v>
      </c>
      <c r="G26" s="108" t="s">
        <v>248</v>
      </c>
      <c r="H26" s="106" t="str">
        <f>IF($D$40="Clapet","Angle lu (°)","Hauteur lue (mm)")</f>
        <v>Hauteur lue (mm)</v>
      </c>
      <c r="I26" s="107" t="str">
        <f>IF($D$40="Clapet","Écart"&amp;CHAR(10)&amp;"Angle lu (°)","Écart"&amp;CHAR(10)&amp;"Hauteur lue (mm)")</f>
        <v>Écart
Hauteur lue (mm)</v>
      </c>
      <c r="J26" s="107" t="s">
        <v>245</v>
      </c>
      <c r="K26" s="107" t="s">
        <v>252</v>
      </c>
      <c r="L26" s="107" t="str">
        <f>IF($D$40="Clapet","Débit attendu / Angle lu (m3/h)","Débit attendu / Hauteur lue (m3/h)")</f>
        <v>Débit attendu / Hauteur lue (m3/h)</v>
      </c>
      <c r="M26" s="108" t="s">
        <v>253</v>
      </c>
      <c r="N26" s="106" t="str">
        <f>IF($D$40="Clapet","Angle lu (°)","Hauteur lue (mm)")</f>
        <v>Hauteur lue (mm)</v>
      </c>
      <c r="O26" s="107" t="s">
        <v>245</v>
      </c>
      <c r="P26" s="107" t="str">
        <f>IF($D$40="Clapet","Écart"&amp;CHAR(10)&amp;"Angle"&amp;CHAR(10)&amp;"(°)","Écart"&amp;CHAR(10)&amp;"Hauteur"&amp;CHAR(10)&amp;"(mm)")</f>
        <v>Écart
Hauteur
(mm)</v>
      </c>
      <c r="Q26" s="108" t="s">
        <v>254</v>
      </c>
      <c r="R26" s="142"/>
      <c r="S26" s="142"/>
      <c r="T26" s="116"/>
      <c r="U26" s="74"/>
      <c r="W26" s="339" t="s">
        <v>213</v>
      </c>
      <c r="X26" s="339" t="s">
        <v>214</v>
      </c>
      <c r="Y26" s="339" t="s">
        <v>214</v>
      </c>
    </row>
    <row r="27" spans="2:25" ht="20.100000000000001" customHeight="1" outlineLevel="1" x14ac:dyDescent="0.4">
      <c r="B27" s="73"/>
      <c r="C27" s="115"/>
      <c r="D27" s="151"/>
      <c r="E27" s="100" t="str">
        <f>IF($G$18&lt;&gt;"Mesure comparative en parallèle",IF(D27="","",IF($D$40="Clapet",1,10)),IF(AND(H27="",N27=""),"",IF($D$40="Clapet",1,10)))</f>
        <v/>
      </c>
      <c r="F27" s="153"/>
      <c r="G27" s="101" t="str">
        <f>IF($G$18&lt;&gt;"Mesure comparative en parallèle",IF(D27="","",IF($D$40="Clapet",0.1,IF(D27&lt;50,"-",IF(D27&lt;150,0.1,0.05)))),IF(AND(H27="",N27=""),"",IF($D$40="Clapet",0.1,IF(AVERAGE(H27,N27)&lt;50,"-",IF(AVERAGE(H27,N27)&lt;150,0.1,0.05)))))</f>
        <v/>
      </c>
      <c r="H27" s="151"/>
      <c r="I27" s="89" t="str">
        <f>IF(G$18="Mesure comparative en parallèle","-",IF(OR(D27="",H27=""),"",H27-D27))</f>
        <v/>
      </c>
      <c r="J27" s="153"/>
      <c r="K27" s="148" t="str">
        <f>IF(G$18="Mesure comparative en parallèle","-",IF(OR(F27="",J27="",D27=0),IF(D27=0, "-",""),(J27-AVERAGE(J27,F27))/AVERAGE(J27,F27)))</f>
        <v>-</v>
      </c>
      <c r="L27" s="155"/>
      <c r="M27" s="137" t="str">
        <f>IF(OR(D27=0,D27="",L27="",J27=""),IF(D27=0,"-",""),(J27-AVERAGE(J27,L27))/AVERAGE(J27,L27))</f>
        <v>-</v>
      </c>
      <c r="N27" s="151"/>
      <c r="O27" s="153"/>
      <c r="P27" s="89" t="str">
        <f>IF($G$18&lt;&gt;"Mesure comparative en parallèle",IF(AND(D27&lt;&gt;"",N27&lt;&gt;""),N27-D27,""),IF(AND(H27&lt;&gt;"",N27&lt;&gt;""),N27-H27,""))</f>
        <v/>
      </c>
      <c r="Q27" s="135" t="str">
        <f>IF($G$18&lt;&gt;"Mesure comparative en parallèle",IF(OR(F27="",J27="",D27=0),IF(D27=0,"-",""),(J27-AVERAGE(J27,F27))/AVERAGE(J27,F27)),IF(OR(O27="",H27=""),IF(H27="","-",""),(J27-AVERAGE(O27,J27))/AVERAGE(O27,J27)))</f>
        <v>-</v>
      </c>
      <c r="R27" s="142"/>
      <c r="S27" s="142"/>
      <c r="T27" s="117"/>
      <c r="U27" s="74"/>
      <c r="W27" s="339">
        <f>IF($G$18="Mesure comparative en parallèle",IF(AND(ISNUMBER(P27),ISNUMBER(E27)),IF(ABS(P27)&gt;E27,1,0),0),IF(AND(ISNUMBER(I27),ISNUMBER(E27)),IF(ABS(I27)&gt;E27,1,0),0))</f>
        <v>0</v>
      </c>
      <c r="X27" s="339">
        <f>IF($G$18="Mesure comparative en parallèle",0,IF(AND(ISNUMBER(K27),ISNUMBER(G27)),IF(ABS(K27)&gt;G27,1,0),0))</f>
        <v>0</v>
      </c>
      <c r="Y27" s="339">
        <f>IF($G$18="Mesure comparative en parallèle",IF(AND(ISNUMBER(Q27),ISNUMBER(G27)),IF(ABS(Q27)&gt;G27,1,0),0),0)</f>
        <v>0</v>
      </c>
    </row>
    <row r="28" spans="2:25" ht="20.100000000000001" customHeight="1" outlineLevel="1" x14ac:dyDescent="0.4">
      <c r="B28" s="73"/>
      <c r="C28" s="115"/>
      <c r="D28" s="151"/>
      <c r="E28" s="100" t="str">
        <f>IF($G$18&lt;&gt;"Mesure comparative en parallèle",IF(D28="","",IF($D$40="Clapet",1,10)),IF(AND(H28="",N28=""),"",IF($D$40="Clapet",1,10)))</f>
        <v/>
      </c>
      <c r="F28" s="153"/>
      <c r="G28" s="101" t="str">
        <f>IF($G$18&lt;&gt;"Mesure comparative en parallèle",IF(D28="","",IF($D$40="Clapet",0.1,IF(D28&lt;50,"-",IF(D28&lt;150,0.1,0.05)))),IF(AND(H28="",N28=""),"",IF($D$40="Clapet",0.1,IF(AVERAGE(H28,N28)&lt;50,"-",IF(AVERAGE(H28,N28)&lt;150,0.1,0.05)))))</f>
        <v/>
      </c>
      <c r="H28" s="151"/>
      <c r="I28" s="89" t="str">
        <f t="shared" ref="I28:I30" si="0">IF(G$18="Mesure comparative en parallèle","-",IF(OR(D28="",H28=""),"",H28-D28))</f>
        <v/>
      </c>
      <c r="J28" s="153"/>
      <c r="K28" s="148" t="str">
        <f t="shared" ref="K28:K30" si="1">IF(G$18="Mesure comparative en parallèle","-",IF(OR(F28="",J28="",D28=0),IF(D28=0, "-",""),(J28-AVERAGE(J28,F28))/AVERAGE(J28,F28)))</f>
        <v>-</v>
      </c>
      <c r="L28" s="155"/>
      <c r="M28" s="137" t="str">
        <f t="shared" ref="M28:M30" si="2">IF(OR(D28=0,D28="",L28="",J28=""),IF(D28=0,"-",""),(J28-AVERAGE(J28,L28))/AVERAGE(J28,L28))</f>
        <v>-</v>
      </c>
      <c r="N28" s="151"/>
      <c r="O28" s="153"/>
      <c r="P28" s="89" t="str">
        <f>IF($G$18&lt;&gt;"Mesure comparative en parallèle",IF(AND(D28&lt;&gt;"",N28&lt;&gt;""),N28-D28,""),IF(AND(H28&lt;&gt;"",N28&lt;&gt;""),N28-H28,""))</f>
        <v/>
      </c>
      <c r="Q28" s="135" t="str">
        <f>IF($G$18&lt;&gt;"Mesure comparative en parallèle",IF(OR(F28="",J28="",D28=0),IF(D28=0,"-",""),(J28-AVERAGE(J28,F28))/AVERAGE(J28,F28)),IF(OR(O28="",H28=""),IF(H28="","-",""),(J28-AVERAGE(O28,J28))/AVERAGE(O28,J28)))</f>
        <v>-</v>
      </c>
      <c r="R28" s="142"/>
      <c r="S28" s="142"/>
      <c r="T28" s="116"/>
      <c r="U28" s="74"/>
      <c r="W28" s="339">
        <f>IF($G$18="Mesure comparative en parallèle",IF(AND(ISNUMBER(P28),ISNUMBER(E28)),IF(ABS(P28)&gt;E28,1,0),0),IF(AND(ISNUMBER(I28),ISNUMBER(E28)),IF(ABS(I28)&gt;E28,1,0),0))</f>
        <v>0</v>
      </c>
      <c r="X28" s="339">
        <f>IF($G$18="Mesure comparative en parallèle",0,IF(AND(ISNUMBER(K28),ISNUMBER(G28)),IF(ABS(K28)&gt;G28,1,0),0))</f>
        <v>0</v>
      </c>
      <c r="Y28" s="339">
        <f>IF($G$18="Mesure comparative en parallèle",IF(AND(ISNUMBER(Q28),ISNUMBER(G28)),IF(ABS(Q28)&gt;G28,1,0),0),0)</f>
        <v>0</v>
      </c>
    </row>
    <row r="29" spans="2:25" ht="20.100000000000001" customHeight="1" outlineLevel="1" x14ac:dyDescent="0.4">
      <c r="B29" s="73"/>
      <c r="C29" s="115"/>
      <c r="D29" s="151"/>
      <c r="E29" s="100" t="str">
        <f>IF($G$18&lt;&gt;"Mesure comparative en parallèle",IF(D29="","",IF($D$40="Clapet",1,10)),IF(AND(H29="",N29=""),"",IF($D$40="Clapet",1,10)))</f>
        <v/>
      </c>
      <c r="F29" s="153"/>
      <c r="G29" s="101" t="str">
        <f>IF($G$18&lt;&gt;"Mesure comparative en parallèle",IF(D29="","",IF($D$40="Clapet",0.1,IF(D29&lt;50,"-",IF(D29&lt;150,0.1,0.05)))),IF(AND(H29="",N29=""),"",IF($D$40="Clapet",0.1,IF(AVERAGE(H29,N29)&lt;50,"-",IF(AVERAGE(H29,N29)&lt;150,0.1,0.05)))))</f>
        <v/>
      </c>
      <c r="H29" s="151"/>
      <c r="I29" s="89" t="str">
        <f t="shared" si="0"/>
        <v/>
      </c>
      <c r="J29" s="153"/>
      <c r="K29" s="148" t="str">
        <f t="shared" si="1"/>
        <v>-</v>
      </c>
      <c r="L29" s="155"/>
      <c r="M29" s="137" t="str">
        <f t="shared" si="2"/>
        <v>-</v>
      </c>
      <c r="N29" s="151"/>
      <c r="O29" s="153"/>
      <c r="P29" s="89" t="str">
        <f>IF($G$18&lt;&gt;"Mesure comparative en parallèle",IF(AND(D29&lt;&gt;"",N29&lt;&gt;""),N29-D29,""),IF(AND(H29&lt;&gt;"",N29&lt;&gt;""),N29-H29,""))</f>
        <v/>
      </c>
      <c r="Q29" s="135" t="str">
        <f>IF($G$18&lt;&gt;"Mesure comparative en parallèle",IF(OR(F29="",J29="",D29=0),IF(D29=0,"-",""),(J29-AVERAGE(J29,F29))/AVERAGE(J29,F29)),IF(OR(O29="",H29=""),IF(H29="","-",""),(J29-AVERAGE(O29,J29))/AVERAGE(O29,J29)))</f>
        <v>-</v>
      </c>
      <c r="R29" s="142"/>
      <c r="S29" s="142"/>
      <c r="T29" s="116"/>
      <c r="U29" s="74"/>
      <c r="W29" s="339">
        <f>IF($G$18="Mesure comparative en parallèle",IF(AND(ISNUMBER(P29),ISNUMBER(E29)),IF(ABS(P29)&gt;E29,1,0),0),IF(AND(ISNUMBER(I29),ISNUMBER(E29)),IF(ABS(I29)&gt;E29,1,0),0))</f>
        <v>0</v>
      </c>
      <c r="X29" s="339">
        <f>IF($G$18="Mesure comparative en parallèle",0,IF(AND(ISNUMBER(K29),ISNUMBER(G29)),IF(ABS(K29)&gt;G29,1,0),0))</f>
        <v>0</v>
      </c>
      <c r="Y29" s="339">
        <f>IF($G$18="Mesure comparative en parallèle",IF(AND(ISNUMBER(Q29),ISNUMBER(G29)),IF(ABS(Q29)&gt;G29,1,0),0),0)</f>
        <v>0</v>
      </c>
    </row>
    <row r="30" spans="2:25" ht="20.100000000000001" customHeight="1" outlineLevel="1" x14ac:dyDescent="0.4">
      <c r="B30" s="73"/>
      <c r="C30" s="115"/>
      <c r="D30" s="152"/>
      <c r="E30" s="146" t="str">
        <f>IF($G$18&lt;&gt;"Mesure comparative en parallèle",IF(D30="","",IF($D$40="Clapet",1,10)),IF(AND(H30="",N30=""),"",IF($D$40="Clapet",1,10)))</f>
        <v/>
      </c>
      <c r="F30" s="154"/>
      <c r="G30" s="147" t="str">
        <f>IF($G$18&lt;&gt;"Mesure comparative en parallèle",IF(D30="","",IF($D$40="Clapet",0.1,IF(D30&lt;50,"-",IF(D30&lt;150,0.1,0.05)))),IF(AND(H30="",N30=""),"",IF($D$40="Clapet",0.1,IF(AVERAGE(H30,N30)&lt;50,"-",IF(AVERAGE(H30,N30)&lt;150,0.1,0.05)))))</f>
        <v/>
      </c>
      <c r="H30" s="152"/>
      <c r="I30" s="129" t="str">
        <f t="shared" si="0"/>
        <v/>
      </c>
      <c r="J30" s="154"/>
      <c r="K30" s="149" t="str">
        <f t="shared" si="1"/>
        <v>-</v>
      </c>
      <c r="L30" s="156"/>
      <c r="M30" s="138" t="str">
        <f t="shared" si="2"/>
        <v>-</v>
      </c>
      <c r="N30" s="152"/>
      <c r="O30" s="154"/>
      <c r="P30" s="129" t="str">
        <f>IF($G$18&lt;&gt;"Mesure comparative en parallèle",IF(AND(D30&lt;&gt;"",N30&lt;&gt;""),N30-D30,""),IF(AND(H30&lt;&gt;"",N30&lt;&gt;""),N30-H30,""))</f>
        <v/>
      </c>
      <c r="Q30" s="132" t="str">
        <f>IF($G$18&lt;&gt;"Mesure comparative en parallèle",IF(OR(F30="",J30="",D30=0),IF(D30=0,"-",""),(J30-AVERAGE(J30,F30))/AVERAGE(J30,F30)),IF(OR(O30="",H30=""),IF(H30="","-",""),(J30-AVERAGE(O30,J30))/AVERAGE(O30,J30)))</f>
        <v>-</v>
      </c>
      <c r="R30" s="142"/>
      <c r="S30" s="142"/>
      <c r="T30" s="116"/>
      <c r="U30" s="74"/>
      <c r="W30" s="339">
        <f>IF($G$18="Mesure comparative en parallèle",IF(AND(ISNUMBER(P30),ISNUMBER(E30)),IF(ABS(P30)&gt;E30,1,0),0),IF(AND(ISNUMBER(I30),ISNUMBER(E30)),IF(ABS(I30)&gt;E30,1,0),0))</f>
        <v>0</v>
      </c>
      <c r="X30" s="339">
        <f>IF($G$18="Mesure comparative en parallèle",0,IF(AND(ISNUMBER(K30),ISNUMBER(G30)),IF(ABS(K30)&gt;G30,1,0),0))</f>
        <v>0</v>
      </c>
      <c r="Y30" s="339">
        <f>IF($G$18="Mesure comparative en parallèle",IF(AND(ISNUMBER(Q30),ISNUMBER(G30)),IF(ABS(Q30)&gt;G30,1,0),0),0)</f>
        <v>0</v>
      </c>
    </row>
    <row r="31" spans="2:25" ht="20.100000000000001" customHeight="1" outlineLevel="1" x14ac:dyDescent="0.4">
      <c r="B31" s="73"/>
      <c r="C31" s="115"/>
      <c r="D31" s="82"/>
      <c r="E31" s="82"/>
      <c r="F31" s="136"/>
      <c r="G31" s="82"/>
      <c r="H31" s="82"/>
      <c r="I31" s="82"/>
      <c r="J31" s="130"/>
      <c r="K31" s="82"/>
      <c r="L31" s="136"/>
      <c r="M31" s="136"/>
      <c r="N31" s="82"/>
      <c r="O31" s="82"/>
      <c r="P31" s="82"/>
      <c r="Q31" s="82"/>
      <c r="R31" s="142"/>
      <c r="S31" s="142"/>
      <c r="T31" s="116"/>
      <c r="U31" s="74"/>
      <c r="W31" s="339" t="str">
        <f>IF(IF($G$18="Mesure comparative en parallèle",COUNT(P27:P30),COUNT(I27:I30))&gt;0,IF(SUM(W27:W30)&gt;0,"Non validé","Validé"),"Non contrôlé")</f>
        <v>Non contrôlé</v>
      </c>
      <c r="X31" s="339" t="str">
        <f>IF($G$18="Mesure comparative en parallèle","-",IF(SUMPRODUCT(ISNUMBER(K27:K30)*ISNUMBER(G27:G30))&gt;0,IF(SUM(X27:X30)&gt;0,"Non validé","Validé"),"Non contrôlé"))</f>
        <v>Non contrôlé</v>
      </c>
      <c r="Y31" s="339" t="str">
        <f>IF($G$18="Mesure comparative en parallèle",IF(SUMPRODUCT(ISNUMBER(Q27:Q30)*ISNUMBER(G27:G30))&gt;0,IF(SUM(Y27:Y30)&gt;0,"Non validé","Validé"),"Non contrôlé"),"-")</f>
        <v>-</v>
      </c>
    </row>
    <row r="32" spans="2:25" ht="20.100000000000001" customHeight="1" outlineLevel="1" x14ac:dyDescent="0.4">
      <c r="B32" s="73"/>
      <c r="C32" s="115"/>
      <c r="D32" s="139" t="s">
        <v>81</v>
      </c>
      <c r="E32" s="140"/>
      <c r="F32" s="140"/>
      <c r="G32" s="140"/>
      <c r="H32" s="140"/>
      <c r="I32" s="140"/>
      <c r="J32" s="140"/>
      <c r="K32" s="140"/>
      <c r="L32" s="140"/>
      <c r="M32" s="140"/>
      <c r="N32" s="141" t="s">
        <v>205</v>
      </c>
      <c r="O32" s="141"/>
      <c r="P32" s="150"/>
      <c r="Q32" s="96"/>
      <c r="R32" s="142"/>
      <c r="S32" s="142"/>
      <c r="T32" s="116"/>
      <c r="U32" s="74"/>
      <c r="X32" s="339" t="str">
        <f>IF($G$18="Mesure comparative en parallèle",Y31,X31)</f>
        <v>Non contrôlé</v>
      </c>
    </row>
    <row r="33" spans="2:37" s="85" customFormat="1" ht="20.100000000000001" customHeight="1" outlineLevel="1" x14ac:dyDescent="0.4">
      <c r="B33" s="83"/>
      <c r="C33" s="118"/>
      <c r="D33" s="264" t="s">
        <v>211</v>
      </c>
      <c r="E33" s="265"/>
      <c r="F33" s="134" t="s">
        <v>191</v>
      </c>
      <c r="G33" s="264" t="s">
        <v>193</v>
      </c>
      <c r="H33" s="265"/>
      <c r="I33" s="264" t="s">
        <v>212</v>
      </c>
      <c r="J33" s="265"/>
      <c r="K33" s="261" t="s">
        <v>201</v>
      </c>
      <c r="L33" s="262"/>
      <c r="M33" s="263"/>
      <c r="N33" s="261" t="s">
        <v>202</v>
      </c>
      <c r="O33" s="262"/>
      <c r="P33" s="263"/>
      <c r="Q33" s="96"/>
      <c r="R33" s="142"/>
      <c r="S33" s="143"/>
      <c r="T33" s="119"/>
      <c r="U33" s="84"/>
      <c r="V33" s="343"/>
      <c r="W33" s="343"/>
      <c r="X33" s="343"/>
      <c r="Y33" s="343"/>
      <c r="Z33" s="339"/>
      <c r="AA33" s="343"/>
      <c r="AB33" s="343"/>
      <c r="AC33" s="348"/>
      <c r="AD33" s="236"/>
      <c r="AE33" s="104"/>
      <c r="AF33" s="104"/>
      <c r="AG33" s="104"/>
      <c r="AH33" s="104"/>
      <c r="AI33" s="104"/>
      <c r="AJ33" s="104"/>
      <c r="AK33" s="104"/>
    </row>
    <row r="34" spans="2:37" s="88" customFormat="1" ht="39.950000000000003" customHeight="1" outlineLevel="1" x14ac:dyDescent="0.4">
      <c r="B34" s="86"/>
      <c r="C34" s="120"/>
      <c r="D34" s="106" t="s">
        <v>208</v>
      </c>
      <c r="E34" s="108" t="s">
        <v>249</v>
      </c>
      <c r="F34" s="108" t="s">
        <v>210</v>
      </c>
      <c r="G34" s="106" t="s">
        <v>250</v>
      </c>
      <c r="H34" s="108" t="s">
        <v>251</v>
      </c>
      <c r="I34" s="281" t="s">
        <v>246</v>
      </c>
      <c r="J34" s="282"/>
      <c r="K34" s="90" t="s">
        <v>196</v>
      </c>
      <c r="L34" s="92" t="s">
        <v>247</v>
      </c>
      <c r="M34" s="91" t="s">
        <v>195</v>
      </c>
      <c r="N34" s="90" t="s">
        <v>196</v>
      </c>
      <c r="O34" s="92" t="s">
        <v>247</v>
      </c>
      <c r="P34" s="91" t="s">
        <v>195</v>
      </c>
      <c r="Q34" s="96"/>
      <c r="R34" s="142"/>
      <c r="S34" s="144"/>
      <c r="T34" s="121"/>
      <c r="U34" s="87"/>
      <c r="V34" s="344"/>
      <c r="W34" s="344"/>
      <c r="X34" s="344"/>
      <c r="Y34" s="344"/>
      <c r="Z34" s="344"/>
      <c r="AA34" s="344"/>
      <c r="AB34" s="344"/>
      <c r="AC34" s="349"/>
      <c r="AD34" s="237"/>
      <c r="AE34" s="105"/>
      <c r="AF34" s="105"/>
      <c r="AG34" s="105"/>
      <c r="AH34" s="105"/>
      <c r="AI34" s="105"/>
      <c r="AJ34" s="105"/>
      <c r="AK34" s="105"/>
    </row>
    <row r="35" spans="2:37" ht="20.100000000000001" customHeight="1" outlineLevel="1" x14ac:dyDescent="0.4">
      <c r="B35" s="73"/>
      <c r="C35" s="115"/>
      <c r="D35" s="157"/>
      <c r="E35" s="158"/>
      <c r="F35" s="133">
        <f>IF(G18="Mesure comparative en parallèle",IF(I35&gt;=50,0.05,0.1),IF(E35&gt;=50,0.05,0.1))</f>
        <v>0.1</v>
      </c>
      <c r="G35" s="157"/>
      <c r="H35" s="158"/>
      <c r="I35" s="279"/>
      <c r="J35" s="280"/>
      <c r="K35" s="94" t="str">
        <f>IF(AND(E35&lt;&gt;"",G35&lt;&gt;"",G18&lt;&gt;"Mesure comparative en parallèle"),(E35+G35)/2,IF(AND(I35&lt;&gt;"",G35&lt;&gt;"",G18="Mesure comparative en parallèle"),(I35+G35)/2,""))</f>
        <v/>
      </c>
      <c r="L35" s="95" t="str">
        <f>IF(AND(G35&lt;&gt;"",K35&lt;&gt;""),(G35-K35),IF(AND(E35&lt;&gt;"",K35&lt;&gt;""),(E35-K35),""))</f>
        <v/>
      </c>
      <c r="M35" s="132" t="str">
        <f>IF(AND(K35&lt;&gt;"",K35&lt;&gt;0,L35&lt;&gt;""),L35/K35,"")</f>
        <v/>
      </c>
      <c r="N35" s="94" t="str">
        <f>IF(AND(E35&lt;&gt;"",H35&lt;&gt;"",G18&lt;&gt;"Mesure comparative en parallèle"),(E35+H35)/2,IF(AND(H35&lt;&gt;"",I35&lt;&gt;"",G18="Mesure comparative en parallèle"),(H35+I35)/2,""))</f>
        <v/>
      </c>
      <c r="O35" s="95" t="str">
        <f>IF(AND(H35&lt;&gt;"",N35&lt;&gt;""),(H35-N35),IF(AND(E35&lt;&gt;"",N35&lt;&gt;""),(E35-N35),""))</f>
        <v/>
      </c>
      <c r="P35" s="132" t="str">
        <f>IF(AND(N35&lt;&gt;"",N35&lt;&gt;0,O35&lt;&gt;""),O35/N35,"")</f>
        <v/>
      </c>
      <c r="Q35" s="96"/>
      <c r="R35" s="142"/>
      <c r="S35" s="145"/>
      <c r="T35" s="116"/>
      <c r="U35" s="74"/>
      <c r="W35" s="339">
        <f>IF(M35&lt;&gt;"", IF(ABS(M35)&gt;F35,1,0),0)</f>
        <v>0</v>
      </c>
      <c r="X35" s="339">
        <f>IF(P35&lt;&gt;"", IF(ABS(P35)&gt;F35,1,0),0)</f>
        <v>0</v>
      </c>
    </row>
    <row r="36" spans="2:37" ht="20.100000000000001" customHeight="1" outlineLevel="1" thickBot="1" x14ac:dyDescent="0.45">
      <c r="B36" s="73"/>
      <c r="C36" s="122"/>
      <c r="D36" s="123"/>
      <c r="E36" s="123"/>
      <c r="F36" s="123"/>
      <c r="G36" s="123"/>
      <c r="H36" s="123"/>
      <c r="I36" s="123"/>
      <c r="J36" s="123"/>
      <c r="K36" s="123"/>
      <c r="L36" s="123"/>
      <c r="M36" s="123"/>
      <c r="N36" s="131"/>
      <c r="O36" s="123"/>
      <c r="P36" s="123"/>
      <c r="Q36" s="123"/>
      <c r="R36" s="123"/>
      <c r="S36" s="123"/>
      <c r="T36" s="124"/>
      <c r="U36" s="74"/>
      <c r="W36" s="339" t="str">
        <f>IFERROR(IF((K35+N35)&gt;0,IF((W35+X35)&gt;0,"Non validé","Validé"),"Non contrôlé"),"Non contrôlé")</f>
        <v>Non contrôlé</v>
      </c>
    </row>
    <row r="37" spans="2:37" ht="10.199999999999999" customHeight="1" thickTop="1" thickBot="1" x14ac:dyDescent="0.45">
      <c r="B37" s="73"/>
      <c r="C37" s="67"/>
      <c r="D37" s="67"/>
      <c r="E37" s="67"/>
      <c r="F37" s="67"/>
      <c r="G37" s="67"/>
      <c r="H37" s="67"/>
      <c r="I37" s="67"/>
      <c r="J37" s="67"/>
      <c r="K37" s="67"/>
      <c r="L37" s="67"/>
      <c r="M37" s="67"/>
      <c r="N37" s="67"/>
      <c r="O37" s="67"/>
      <c r="P37" s="67"/>
      <c r="Q37" s="67"/>
      <c r="R37" s="67"/>
      <c r="S37" s="67"/>
      <c r="T37" s="67"/>
      <c r="U37" s="74"/>
    </row>
    <row r="38" spans="2:37" ht="20.100000000000001" customHeight="1" thickTop="1" thickBot="1" x14ac:dyDescent="0.45">
      <c r="B38" s="73"/>
      <c r="C38" s="240" t="s">
        <v>240</v>
      </c>
      <c r="D38" s="241"/>
      <c r="E38" s="241"/>
      <c r="F38" s="241"/>
      <c r="G38" s="241"/>
      <c r="H38" s="241"/>
      <c r="I38" s="241"/>
      <c r="J38" s="241"/>
      <c r="K38" s="241"/>
      <c r="L38" s="241"/>
      <c r="M38" s="241"/>
      <c r="N38" s="241"/>
      <c r="O38" s="241"/>
      <c r="P38" s="241"/>
      <c r="Q38" s="241"/>
      <c r="R38" s="241"/>
      <c r="S38" s="241"/>
      <c r="T38" s="242"/>
      <c r="U38" s="74"/>
    </row>
    <row r="39" spans="2:37" ht="20.100000000000001" customHeight="1" outlineLevel="1" thickTop="1" x14ac:dyDescent="0.4">
      <c r="B39" s="73"/>
      <c r="C39" s="115"/>
      <c r="D39" s="67"/>
      <c r="E39" s="67"/>
      <c r="F39" s="67"/>
      <c r="G39" s="67"/>
      <c r="H39" s="67"/>
      <c r="I39" s="67"/>
      <c r="J39" s="67"/>
      <c r="K39" s="67"/>
      <c r="L39" s="67"/>
      <c r="M39" s="67"/>
      <c r="N39" s="67"/>
      <c r="O39" s="67"/>
      <c r="P39" s="67"/>
      <c r="Q39" s="67"/>
      <c r="R39" s="67"/>
      <c r="S39" s="67"/>
      <c r="T39" s="116"/>
      <c r="U39" s="74"/>
    </row>
    <row r="40" spans="2:37" ht="30" customHeight="1" outlineLevel="1" x14ac:dyDescent="0.4">
      <c r="B40" s="73"/>
      <c r="C40" s="115"/>
      <c r="D40" s="325" t="s">
        <v>2</v>
      </c>
      <c r="E40" s="325"/>
      <c r="F40" s="325"/>
      <c r="G40" s="325"/>
      <c r="H40" s="325"/>
      <c r="I40" s="325"/>
      <c r="J40" s="325"/>
      <c r="K40" s="325"/>
      <c r="L40" s="325"/>
      <c r="M40" s="325"/>
      <c r="N40" s="325"/>
      <c r="O40" s="325"/>
      <c r="P40" s="325"/>
      <c r="Q40" s="325"/>
      <c r="R40" s="325"/>
      <c r="S40" s="325"/>
      <c r="T40" s="116"/>
      <c r="U40" s="74"/>
      <c r="W40" s="339" t="s">
        <v>5</v>
      </c>
    </row>
    <row r="41" spans="2:37" ht="20.100000000000001" customHeight="1" outlineLevel="1" x14ac:dyDescent="0.4">
      <c r="B41" s="73"/>
      <c r="C41" s="115"/>
      <c r="D41" s="326" t="s">
        <v>4</v>
      </c>
      <c r="E41" s="326"/>
      <c r="F41" s="326"/>
      <c r="G41" s="326"/>
      <c r="H41" s="326"/>
      <c r="I41" s="326"/>
      <c r="J41" s="326"/>
      <c r="K41" s="326" t="s">
        <v>170</v>
      </c>
      <c r="L41" s="326"/>
      <c r="M41" s="326"/>
      <c r="N41" s="326"/>
      <c r="O41" s="326"/>
      <c r="P41" s="326" t="s">
        <v>75</v>
      </c>
      <c r="Q41" s="326"/>
      <c r="R41" s="110" t="s">
        <v>183</v>
      </c>
      <c r="S41" s="110" t="s">
        <v>198</v>
      </c>
      <c r="T41" s="116"/>
      <c r="U41" s="74"/>
    </row>
    <row r="42" spans="2:37" ht="99.95" customHeight="1" outlineLevel="1" x14ac:dyDescent="0.4">
      <c r="B42" s="73"/>
      <c r="C42" s="115"/>
      <c r="D42" s="109">
        <v>1</v>
      </c>
      <c r="E42" s="275" t="str">
        <f>IFERROR(HLOOKUP($D$40,Critères!$B$3:$BY$16,D42+2,FALSE),"")</f>
        <v>L'accès à l'ouvrage et aux équipements de mesure se fait-il en toute sécurité pour les agents en charge des opérations de contrôles et d'entretien ?</v>
      </c>
      <c r="F42" s="276"/>
      <c r="G42" s="276"/>
      <c r="H42" s="276"/>
      <c r="I42" s="276"/>
      <c r="J42" s="277"/>
      <c r="K42" s="275" t="str">
        <f>IFERROR(IF(INDEX(Critères!$B$3:$BY$16, D42+2, MATCH($D$40, Critères!$B$3:$BY$3, 0) + 1)="", "", INDEX(Critères!$B$3:$BY$16, D42+2, MATCH($D$40, Critères!$B$3:$BY$3, 0) + 1)), "")</f>
        <v>En cas d'accès nécessitant des équipements de protection individuels renforcés (ARI par exemple) ou d'intervenir à 2 personnes, retenir "Validé avec réserve"</v>
      </c>
      <c r="L42" s="276"/>
      <c r="M42" s="276"/>
      <c r="N42" s="276"/>
      <c r="O42" s="277"/>
      <c r="P42" s="259"/>
      <c r="Q42" s="260"/>
      <c r="R42" s="93">
        <f>IF(OR(P42="Validé",P42="Réserve",P42="Oui",P42="Entre 5 et 10%"),S42,0)</f>
        <v>0</v>
      </c>
      <c r="S42" s="93">
        <f>IFERROR(INDEX(Critères!$B$3:$BY$16, D42+2, MATCH($D$40, Critères!$B$3:$BY$3, 0) + 2),"")</f>
        <v>10</v>
      </c>
      <c r="T42" s="116"/>
      <c r="U42" s="74"/>
      <c r="W42" s="339" t="str" cm="1">
        <f t="array" ref="W42">IFERROR(INDEX(Critères!$B$3:$BZ$16, D42+2, MATCH($D$40, Critères!$B$3:$BZ$3, 0) + 3),"")</f>
        <v>LISTE_3</v>
      </c>
    </row>
    <row r="43" spans="2:37" ht="99.95" customHeight="1" outlineLevel="1" x14ac:dyDescent="0.4">
      <c r="B43" s="73"/>
      <c r="C43" s="115"/>
      <c r="D43" s="109">
        <v>2</v>
      </c>
      <c r="E43" s="275" t="str">
        <f>IFERROR(HLOOKUP($D$40,Critères!$B$3:$BY$16,D43+2,FALSE),"")</f>
        <v>Le dimensionnement du caisson et notamment son échancrure de mesure est-elle adaptée vis-à-vis de l'étendue des débits à mesurer ?</v>
      </c>
      <c r="F43" s="276"/>
      <c r="G43" s="276"/>
      <c r="H43" s="276"/>
      <c r="I43" s="276"/>
      <c r="J43" s="277"/>
      <c r="K43" s="275" t="str">
        <f>IFERROR(IF(INDEX(Critères!$B$3:$BY$16, D43+2, MATCH($D$40, Critères!$B$3:$BY$3, 0) + 1)="", "", INDEX(Critères!$B$3:$BY$16, D43+2, MATCH($D$40, Critères!$B$3:$BY$3, 0) + 1)), "")</f>
        <v>-</v>
      </c>
      <c r="L43" s="276"/>
      <c r="M43" s="276"/>
      <c r="N43" s="276"/>
      <c r="O43" s="277"/>
      <c r="P43" s="259"/>
      <c r="Q43" s="260"/>
      <c r="R43" s="93">
        <f t="shared" ref="R43:R51" si="3">IF(OR(P43="Validé",P43="Réserve",P43="Oui",P43="Entre 5 et 10%"),S43,0)</f>
        <v>0</v>
      </c>
      <c r="S43" s="93">
        <f>IFERROR(INDEX(Critères!$B$3:$BY$16, D43+2, MATCH($D$40, Critères!$B$3:$BY$3, 0) + 2),"")</f>
        <v>10</v>
      </c>
      <c r="T43" s="116"/>
      <c r="U43" s="74"/>
      <c r="W43" s="339" t="str" cm="1">
        <f t="array" ref="W43">IFERROR(INDEX(Critères!$B$3:$BZ$16, D43+2, MATCH($D$40, Critères!$B$3:$BZ$3, 0) + 3),"")</f>
        <v>LISTE_3</v>
      </c>
    </row>
    <row r="44" spans="2:37" ht="99.95" customHeight="1" outlineLevel="1" x14ac:dyDescent="0.4">
      <c r="B44" s="73"/>
      <c r="C44" s="115"/>
      <c r="D44" s="109">
        <v>3</v>
      </c>
      <c r="E44" s="275" t="str">
        <f>IFERROR(HLOOKUP($D$40,Critères!$B$3:$BY$16,D44+2,FALSE),"")</f>
        <v>Le caisson et les capteurs associés, sont-ils installés conformément aux prescriptions en vigueur ?
Le caisson est-il exempt de déformation ayant un impact significatif sur la mesure de débit ?</v>
      </c>
      <c r="F44" s="276"/>
      <c r="G44" s="276"/>
      <c r="H44" s="276"/>
      <c r="I44" s="276"/>
      <c r="J44" s="277"/>
      <c r="K44" s="275" t="str">
        <f>IFERROR(IF(INDEX(Critères!$B$3:$BY$16, D44+2, MATCH($D$40, Critères!$B$3:$BY$3, 0) + 1)="", "", INDEX(Critères!$B$3:$BY$16, D44+2, MATCH($D$40, Critères!$B$3:$BY$3, 0) + 1)), "")</f>
        <v>-</v>
      </c>
      <c r="L44" s="276"/>
      <c r="M44" s="276"/>
      <c r="N44" s="276"/>
      <c r="O44" s="277"/>
      <c r="P44" s="259"/>
      <c r="Q44" s="260"/>
      <c r="R44" s="93">
        <f t="shared" si="3"/>
        <v>0</v>
      </c>
      <c r="S44" s="93">
        <f>IFERROR(INDEX(Critères!$B$3:$BY$16, D44+2, MATCH($D$40, Critères!$B$3:$BY$3, 0) + 2),"")</f>
        <v>10</v>
      </c>
      <c r="T44" s="116"/>
      <c r="U44" s="74"/>
      <c r="W44" s="339" t="str" cm="1">
        <f t="array" ref="W44">IFERROR(INDEX(Critères!$B$3:$BZ$16, D44+2, MATCH($D$40, Critères!$B$3:$BZ$3, 0) + 3),"")</f>
        <v>LISTE_3</v>
      </c>
    </row>
    <row r="45" spans="2:37" ht="99.95" customHeight="1" outlineLevel="1" x14ac:dyDescent="0.4">
      <c r="B45" s="73"/>
      <c r="C45" s="115"/>
      <c r="D45" s="109">
        <v>4</v>
      </c>
      <c r="E45" s="275" t="str">
        <f>IFERROR(HLOOKUP($D$40,Critères!$B$3:$BY$16,D45+2,FALSE),"")</f>
        <v>L'étanchéité, la propreté et l'état d'entretien du caisson et des capteurs associés sont-ils satisfaisants ?</v>
      </c>
      <c r="F45" s="276"/>
      <c r="G45" s="276"/>
      <c r="H45" s="276"/>
      <c r="I45" s="276"/>
      <c r="J45" s="277"/>
      <c r="K45" s="275" t="str">
        <f>IFERROR(IF(INDEX(Critères!$B$3:$BY$16, D45+2, MATCH($D$40, Critères!$B$3:$BY$3, 0) + 1)="", "", INDEX(Critères!$B$3:$BY$16, D45+2, MATCH($D$40, Critères!$B$3:$BY$3, 0) + 1)), "")</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L45" s="276"/>
      <c r="M45" s="276"/>
      <c r="N45" s="276"/>
      <c r="O45" s="277"/>
      <c r="P45" s="259"/>
      <c r="Q45" s="260"/>
      <c r="R45" s="93">
        <f t="shared" si="3"/>
        <v>0</v>
      </c>
      <c r="S45" s="93">
        <f>IFERROR(INDEX(Critères!$B$3:$BY$16, D45+2, MATCH($D$40, Critères!$B$3:$BY$3, 0) + 2),"")</f>
        <v>10</v>
      </c>
      <c r="T45" s="116"/>
      <c r="U45" s="74"/>
      <c r="W45" s="339" t="str" cm="1">
        <f t="array" ref="W45">IFERROR(INDEX(Critères!$B$3:$BZ$16, D45+2, MATCH($D$40, Critères!$B$3:$BZ$3, 0) + 3),"")</f>
        <v>LISTE_3</v>
      </c>
    </row>
    <row r="46" spans="2:37" ht="99.95" customHeight="1" outlineLevel="1" x14ac:dyDescent="0.4">
      <c r="B46" s="73"/>
      <c r="C46" s="115"/>
      <c r="D46" s="109">
        <v>5</v>
      </c>
      <c r="E46" s="275" t="str">
        <f>IFERROR(HLOOKUP($D$40,Critères!$B$3:$BY$16,D46+2,FALSE),"")</f>
        <v xml:space="preserve">Le fonctionnement hydraulique de l'organe de mesure, en amont et en aval, est-il satisfaisant ? </v>
      </c>
      <c r="F46" s="276"/>
      <c r="G46" s="276"/>
      <c r="H46" s="276"/>
      <c r="I46" s="276"/>
      <c r="J46" s="277"/>
      <c r="K46" s="275" t="str">
        <f>IFERROR(IF(INDEX(Critères!$B$3:$BY$16, D46+2, MATCH($D$40, Critères!$B$3:$BY$3, 0) + 1)="", "", INDEX(Critères!$B$3:$BY$16, D46+2, MATCH($D$40, Critères!$B$3:$BY$3, 0) + 1)), "")</f>
        <v>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v>
      </c>
      <c r="L46" s="276"/>
      <c r="M46" s="276"/>
      <c r="N46" s="276"/>
      <c r="O46" s="277"/>
      <c r="P46" s="259"/>
      <c r="Q46" s="260"/>
      <c r="R46" s="93">
        <f t="shared" si="3"/>
        <v>0</v>
      </c>
      <c r="S46" s="93">
        <f>IFERROR(INDEX(Critères!$B$3:$BY$16, D46+2, MATCH($D$40, Critères!$B$3:$BY$3, 0) + 2),"")</f>
        <v>10</v>
      </c>
      <c r="T46" s="116"/>
      <c r="U46" s="74"/>
      <c r="W46" s="339" t="str" cm="1">
        <f t="array" ref="W46">IFERROR(INDEX(Critères!$B$3:$BZ$16, D46+2, MATCH($D$40, Critères!$B$3:$BZ$3, 0) + 3),"")</f>
        <v>LISTE_3</v>
      </c>
    </row>
    <row r="47" spans="2:37" ht="99.95" customHeight="1" outlineLevel="1" x14ac:dyDescent="0.4">
      <c r="B47" s="73"/>
      <c r="C47" s="115"/>
      <c r="D47" s="109">
        <v>6</v>
      </c>
      <c r="E47" s="275" t="str">
        <f>IFERROR(HLOOKUP($D$40,Critères!$B$3:$BY$16,D47+2,FALSE),"")</f>
        <v>Le capteur de mesure de hauteur d'eau est-il adapté au type d'effluent et à l'environnement rencontrés (mousses, températures, déchets, etc...) et présente t-il un état de fonctionnement satisfaisant ?</v>
      </c>
      <c r="F47" s="276"/>
      <c r="G47" s="276"/>
      <c r="H47" s="276"/>
      <c r="I47" s="276"/>
      <c r="J47" s="277"/>
      <c r="K47" s="275" t="str">
        <f>IFERROR(IF(INDEX(Critères!$B$3:$BY$16, D47+2, MATCH($D$40, Critères!$B$3:$BY$3, 0) + 1)="", "", INDEX(Critères!$B$3:$BY$16, D47+2, MATCH($D$40, Critères!$B$3:$BY$3, 0) + 1)), "")</f>
        <v>-</v>
      </c>
      <c r="L47" s="276"/>
      <c r="M47" s="276"/>
      <c r="N47" s="276"/>
      <c r="O47" s="277"/>
      <c r="P47" s="259"/>
      <c r="Q47" s="260"/>
      <c r="R47" s="93">
        <f t="shared" si="3"/>
        <v>0</v>
      </c>
      <c r="S47" s="93">
        <f>IFERROR(INDEX(Critères!$B$3:$BY$16, D47+2, MATCH($D$40, Critères!$B$3:$BY$3, 0) + 2),"")</f>
        <v>10</v>
      </c>
      <c r="T47" s="116"/>
      <c r="U47" s="74"/>
      <c r="W47" s="339" t="str" cm="1">
        <f t="array" ref="W47">IFERROR(INDEX(Critères!$B$3:$BZ$16, D47+2, MATCH($D$40, Critères!$B$3:$BZ$3, 0) + 3),"")</f>
        <v>LISTE_3</v>
      </c>
    </row>
    <row r="48" spans="2:37" ht="99.95" customHeight="1" outlineLevel="1" x14ac:dyDescent="0.4">
      <c r="B48" s="73"/>
      <c r="C48" s="115"/>
      <c r="D48" s="109">
        <v>7</v>
      </c>
      <c r="E48" s="275" t="str">
        <f>IFERROR(HLOOKUP($D$40,Critères!$B$3:$BY$16,D48+2,FALSE),"")</f>
        <v>Les écarts entre d'une part les résultats de mesure des hauteurs d'eau obtenus à partir des dispositifs en place (si possible sur 3 points représentatifs du fonctionnement habituel, plus le 0 hydraulique) et ceux mesurés par l'organisme de contrôle d'autre part, sont-ils cohérents (EMT ± 10 mm) ?</v>
      </c>
      <c r="F48" s="276"/>
      <c r="G48" s="276"/>
      <c r="H48" s="276"/>
      <c r="I48" s="276"/>
      <c r="J48" s="277"/>
      <c r="K48" s="275" t="str">
        <f>IFERROR(IF(INDEX(Critères!$B$3:$BY$16, D48+2, MATCH($D$40, Critères!$B$3:$BY$3, 0) + 1)="", "", INDEX(Critères!$B$3:$BY$16, D48+2, MATCH($D$40, Critères!$B$3:$BY$3, 0) + 1)), "")</f>
        <v>-</v>
      </c>
      <c r="L48" s="276"/>
      <c r="M48" s="276"/>
      <c r="N48" s="276"/>
      <c r="O48" s="277"/>
      <c r="P48" s="259" t="str">
        <f>IF(E48="-","Non applicable",IF(D40="Détecteur de surverse","Non contrôlé",W31))</f>
        <v>Non contrôlé</v>
      </c>
      <c r="Q48" s="260"/>
      <c r="R48" s="93">
        <f t="shared" si="3"/>
        <v>0</v>
      </c>
      <c r="S48" s="93">
        <f>IFERROR(INDEX(Critères!$B$3:$BY$16, D48+2, MATCH($D$40, Critères!$B$3:$BY$3, 0) + 2),"")</f>
        <v>10</v>
      </c>
      <c r="T48" s="116"/>
      <c r="U48" s="74"/>
      <c r="W48" s="339" t="str" cm="1">
        <f t="array" ref="W48">IFERROR(INDEX(Critères!$B$3:$BZ$16, D48+2, MATCH($D$40, Critères!$B$3:$BZ$3, 0) + 3),"")</f>
        <v>LISTE_3</v>
      </c>
    </row>
    <row r="49" spans="2:23" ht="99.95" customHeight="1" outlineLevel="1" x14ac:dyDescent="0.4">
      <c r="B49" s="73"/>
      <c r="C49" s="115"/>
      <c r="D49" s="109">
        <v>8</v>
      </c>
      <c r="E49" s="275" t="str">
        <f>IFERROR(HLOOKUP($D$40,Critères!$B$3:$BY$16,D49+2,FALSE),"")</f>
        <v>La loi hydraulique utilisée Q=f(h), est-elle correctement paramétrée et cohérente avec les caractéristiques de l'organe de mesure ?
Les écarts entre d'une part les résultats de mesure des débits obtenus à partir des dispositifs en place (si possible sur 3 points représentatifs du fonctionnement habituel ≥ 50 mm) et ceux mesurés par l'organisme de contrôle d'autre part (sur la base de la loi hydraulique fournie par le constructeur), sont-ils cohérents ?
     EMT ± 10% pour une hauteur d'eau comprise entre 50 et 150 mm
     EMT ± 5% pour une hauteur ≥ 150 mm</v>
      </c>
      <c r="F49" s="276"/>
      <c r="G49" s="276"/>
      <c r="H49" s="276"/>
      <c r="I49" s="276"/>
      <c r="J49" s="277"/>
      <c r="K49" s="275" t="str">
        <f>IFERROR(IF(INDEX(Critères!$B$3:$BY$16, D49+2, MATCH($D$40, Critères!$B$3:$BY$3, 0) + 1)="", "", INDEX(Critères!$B$3:$BY$16, D49+2, MATCH($D$40, Critères!$B$3:$BY$3, 0) + 1)), "")</f>
        <v>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v>
      </c>
      <c r="L49" s="276"/>
      <c r="M49" s="276"/>
      <c r="N49" s="276"/>
      <c r="O49" s="277"/>
      <c r="P49" s="259" t="str">
        <f>IF(E49="-","Non applicable",IF(D40="Détecteur de surverse","Non contrôlé",X32))</f>
        <v>Non contrôlé</v>
      </c>
      <c r="Q49" s="260"/>
      <c r="R49" s="93">
        <f t="shared" si="3"/>
        <v>0</v>
      </c>
      <c r="S49" s="93">
        <f>IFERROR(INDEX(Critères!$B$3:$BY$16, D49+2, MATCH($D$40, Critères!$B$3:$BY$3, 0) + 2),"")</f>
        <v>10</v>
      </c>
      <c r="T49" s="116"/>
      <c r="U49" s="74"/>
      <c r="W49" s="339" t="str" cm="1">
        <f t="array" ref="W49">IFERROR(INDEX(Critères!$B$3:$BZ$16, D49+2, MATCH($D$40, Critères!$B$3:$BZ$3, 0) + 3),"")</f>
        <v>LISTE_3</v>
      </c>
    </row>
    <row r="50" spans="2:23" ht="99.95" customHeight="1" outlineLevel="1" x14ac:dyDescent="0.4">
      <c r="B50" s="73"/>
      <c r="C50" s="115"/>
      <c r="D50" s="109">
        <v>9</v>
      </c>
      <c r="E50" s="275" t="str">
        <f>IFERROR(HLOOKUP($D$40,Critères!$B$3:$BY$16,D50+2,FALSE),"")</f>
        <v>Les écarts entre d'une part les résultats de mesure des volumes obtenus à partir des dispositifs en place (y compris le report en supervision) et ceux mesurés par l'organisme de contrôle d'autre part, sont-ils cohérents ?  
     EMT ± 10% pour un volume &lt; 50 m3
     EMT ± 5% pour un volume ≥ 50 m3</v>
      </c>
      <c r="F50" s="276"/>
      <c r="G50" s="276"/>
      <c r="H50" s="276"/>
      <c r="I50" s="276"/>
      <c r="J50" s="277"/>
      <c r="K50" s="275" t="str">
        <f>IFERROR(IF(INDEX(Critères!$B$3:$BY$16, D50+2, MATCH($D$40, Critères!$B$3:$BY$3, 0) + 1)="", "", INDEX(Critères!$B$3:$BY$16, D50+2, MATCH($D$40, Critères!$B$3:$BY$3, 0) + 1)), "")</f>
        <v>Calcul de l'écart par rapport à la moyenne des 2 valeurs.
Pour les volumes &lt; 10 m3, le fonctionnement sera apprécié par l'intervenant.</v>
      </c>
      <c r="L50" s="276"/>
      <c r="M50" s="276"/>
      <c r="N50" s="276"/>
      <c r="O50" s="277"/>
      <c r="P50" s="259" t="str">
        <f>IF(E50="-","Non applicable",IF(OR(D40=Critères!AX3,D40=Critères!BB3),"Non contrôlé",W36))</f>
        <v>Non contrôlé</v>
      </c>
      <c r="Q50" s="260"/>
      <c r="R50" s="93">
        <f t="shared" si="3"/>
        <v>0</v>
      </c>
      <c r="S50" s="93">
        <f>IFERROR(INDEX(Critères!$B$3:$BY$16, D50+2, MATCH($D$40, Critères!$B$3:$BY$3, 0) + 2),"")</f>
        <v>10</v>
      </c>
      <c r="T50" s="116"/>
      <c r="U50" s="74"/>
      <c r="W50" s="339" t="str" cm="1">
        <f t="array" ref="W50">IFERROR(INDEX(Critères!$B$3:$BZ$16, D50+2, MATCH($D$40, Critères!$B$3:$BZ$3, 0) + 3),"")</f>
        <v>LISTE_3</v>
      </c>
    </row>
    <row r="51" spans="2:23" ht="99.95" customHeight="1" outlineLevel="1" x14ac:dyDescent="0.4">
      <c r="B51" s="73"/>
      <c r="C51" s="115"/>
      <c r="D51" s="109">
        <v>10</v>
      </c>
      <c r="E51" s="275" t="str">
        <f>IFERROR(HLOOKUP($D$40,Critères!$B$3:$BY$16,D51+2,FALSE),"")</f>
        <v>Existe t-il un dispositif de contrôle adapté et un afficheur de proximité (Hauteur + Débit + Volume) ?</v>
      </c>
      <c r="F51" s="276"/>
      <c r="G51" s="276"/>
      <c r="H51" s="276"/>
      <c r="I51" s="276"/>
      <c r="J51" s="277"/>
      <c r="K51" s="275" t="str">
        <f>IFERROR(IF(INDEX(Critères!$B$3:$BY$16, D51+2, MATCH($D$40, Critères!$B$3:$BY$3, 0) + 1)="", "", INDEX(Critères!$B$3:$BY$16, D51+2, MATCH($D$40, Critères!$B$3:$BY$3, 0) + 1)), "")</f>
        <v>-</v>
      </c>
      <c r="L51" s="276"/>
      <c r="M51" s="276"/>
      <c r="N51" s="276"/>
      <c r="O51" s="277"/>
      <c r="P51" s="259"/>
      <c r="Q51" s="260"/>
      <c r="R51" s="93">
        <f t="shared" si="3"/>
        <v>0</v>
      </c>
      <c r="S51" s="93">
        <f>IFERROR(INDEX(Critères!$B$3:$BY$16, D51+2, MATCH($D$40, Critères!$B$3:$BY$3, 0) + 2),"")</f>
        <v>10</v>
      </c>
      <c r="T51" s="116"/>
      <c r="U51" s="74"/>
      <c r="W51" s="339" t="str" cm="1">
        <f t="array" ref="W51">IFERROR(INDEX(Critères!$B$3:$BZ$16, D51+2, MATCH($D$40, Critères!$B$3:$BZ$3, 0) + 3),"")</f>
        <v>LISTE_1</v>
      </c>
    </row>
    <row r="52" spans="2:23" ht="20.100000000000001" customHeight="1" outlineLevel="1" x14ac:dyDescent="0.4">
      <c r="B52" s="73"/>
      <c r="C52" s="115"/>
      <c r="D52" s="327" t="s">
        <v>7</v>
      </c>
      <c r="E52" s="328"/>
      <c r="F52" s="328"/>
      <c r="G52" s="328"/>
      <c r="H52" s="328"/>
      <c r="I52" s="328"/>
      <c r="J52" s="328"/>
      <c r="K52" s="328"/>
      <c r="L52" s="328"/>
      <c r="M52" s="328"/>
      <c r="N52" s="328"/>
      <c r="O52" s="329"/>
      <c r="P52" s="330"/>
      <c r="Q52" s="330"/>
      <c r="R52" s="330" t="s">
        <v>6</v>
      </c>
      <c r="S52" s="330"/>
      <c r="T52" s="116"/>
      <c r="U52" s="74"/>
    </row>
    <row r="53" spans="2:23" ht="99.95" customHeight="1" outlineLevel="1" x14ac:dyDescent="0.4">
      <c r="B53" s="73"/>
      <c r="C53" s="115"/>
      <c r="D53" s="334"/>
      <c r="E53" s="335"/>
      <c r="F53" s="335"/>
      <c r="G53" s="335"/>
      <c r="H53" s="335"/>
      <c r="I53" s="335"/>
      <c r="J53" s="335"/>
      <c r="K53" s="335"/>
      <c r="L53" s="335"/>
      <c r="M53" s="335"/>
      <c r="N53" s="335"/>
      <c r="O53" s="336"/>
      <c r="P53" s="331" t="str">
        <f>IF(R53&gt;80,"Validé",IF(R53&lt;70,"Non Validé", "Réserve"))</f>
        <v>Non Validé</v>
      </c>
      <c r="Q53" s="331"/>
      <c r="R53" s="332">
        <f>IF(SUM(R42:R51)&gt;100,100,SUM(R42:R51))</f>
        <v>0</v>
      </c>
      <c r="S53" s="333"/>
      <c r="T53" s="116"/>
      <c r="U53" s="74"/>
    </row>
    <row r="54" spans="2:23" ht="20.100000000000001" customHeight="1" outlineLevel="1" thickBot="1" x14ac:dyDescent="0.45">
      <c r="B54" s="73"/>
      <c r="C54" s="122"/>
      <c r="D54" s="125"/>
      <c r="E54" s="125"/>
      <c r="F54" s="125"/>
      <c r="G54" s="125"/>
      <c r="H54" s="125"/>
      <c r="I54" s="125"/>
      <c r="J54" s="125"/>
      <c r="K54" s="125"/>
      <c r="L54" s="125"/>
      <c r="M54" s="125"/>
      <c r="N54" s="125"/>
      <c r="O54" s="125"/>
      <c r="P54" s="125"/>
      <c r="Q54" s="125"/>
      <c r="R54" s="125"/>
      <c r="S54" s="125"/>
      <c r="T54" s="124"/>
      <c r="U54" s="74"/>
    </row>
    <row r="55" spans="2:23" ht="10.199999999999999" customHeight="1" thickTop="1" thickBot="1" x14ac:dyDescent="0.45">
      <c r="B55" s="73"/>
      <c r="C55" s="67"/>
      <c r="D55" s="67"/>
      <c r="E55" s="67"/>
      <c r="F55" s="67"/>
      <c r="G55" s="67"/>
      <c r="H55" s="67"/>
      <c r="I55" s="67"/>
      <c r="J55" s="67"/>
      <c r="K55" s="67"/>
      <c r="L55" s="67"/>
      <c r="M55" s="67"/>
      <c r="N55" s="67"/>
      <c r="O55" s="67"/>
      <c r="P55" s="67"/>
      <c r="Q55" s="67"/>
      <c r="R55" s="67"/>
      <c r="S55" s="67"/>
      <c r="T55" s="67"/>
      <c r="U55" s="74"/>
    </row>
    <row r="56" spans="2:23" ht="20.100000000000001" customHeight="1" thickTop="1" thickBot="1" x14ac:dyDescent="0.45">
      <c r="B56" s="73"/>
      <c r="C56" s="240" t="s">
        <v>241</v>
      </c>
      <c r="D56" s="241"/>
      <c r="E56" s="241"/>
      <c r="F56" s="241"/>
      <c r="G56" s="241"/>
      <c r="H56" s="241"/>
      <c r="I56" s="241"/>
      <c r="J56" s="241"/>
      <c r="K56" s="241"/>
      <c r="L56" s="241"/>
      <c r="M56" s="241"/>
      <c r="N56" s="241"/>
      <c r="O56" s="241"/>
      <c r="P56" s="241"/>
      <c r="Q56" s="241"/>
      <c r="R56" s="241"/>
      <c r="S56" s="241"/>
      <c r="T56" s="242"/>
      <c r="U56" s="74"/>
    </row>
    <row r="57" spans="2:23" ht="20.100000000000001" customHeight="1" outlineLevel="1" thickTop="1" x14ac:dyDescent="0.4">
      <c r="B57" s="73"/>
      <c r="C57" s="246" t="s">
        <v>197</v>
      </c>
      <c r="D57" s="319"/>
      <c r="E57" s="319"/>
      <c r="F57" s="319"/>
      <c r="G57" s="319"/>
      <c r="H57" s="319"/>
      <c r="I57" s="319"/>
      <c r="J57" s="319"/>
      <c r="K57" s="319"/>
      <c r="L57" s="319"/>
      <c r="M57" s="319"/>
      <c r="N57" s="319"/>
      <c r="O57" s="319"/>
      <c r="P57" s="319"/>
      <c r="Q57" s="319"/>
      <c r="R57" s="319"/>
      <c r="S57" s="319"/>
      <c r="T57" s="320"/>
      <c r="U57" s="74"/>
    </row>
    <row r="58" spans="2:23" ht="20.100000000000001" customHeight="1" outlineLevel="1" x14ac:dyDescent="0.4">
      <c r="B58" s="73"/>
      <c r="C58" s="321"/>
      <c r="D58" s="319"/>
      <c r="E58" s="319"/>
      <c r="F58" s="319"/>
      <c r="G58" s="319"/>
      <c r="H58" s="319"/>
      <c r="I58" s="319"/>
      <c r="J58" s="319"/>
      <c r="K58" s="319"/>
      <c r="L58" s="319"/>
      <c r="M58" s="319"/>
      <c r="N58" s="319"/>
      <c r="O58" s="319"/>
      <c r="P58" s="319"/>
      <c r="Q58" s="319"/>
      <c r="R58" s="319"/>
      <c r="S58" s="319"/>
      <c r="T58" s="320"/>
      <c r="U58" s="74"/>
    </row>
    <row r="59" spans="2:23" ht="20.100000000000001" customHeight="1" outlineLevel="1" x14ac:dyDescent="0.4">
      <c r="B59" s="73"/>
      <c r="C59" s="321"/>
      <c r="D59" s="319"/>
      <c r="E59" s="319"/>
      <c r="F59" s="319"/>
      <c r="G59" s="319"/>
      <c r="H59" s="319"/>
      <c r="I59" s="319"/>
      <c r="J59" s="319"/>
      <c r="K59" s="319"/>
      <c r="L59" s="319"/>
      <c r="M59" s="319"/>
      <c r="N59" s="319"/>
      <c r="O59" s="319"/>
      <c r="P59" s="319"/>
      <c r="Q59" s="319"/>
      <c r="R59" s="319"/>
      <c r="S59" s="319"/>
      <c r="T59" s="320"/>
      <c r="U59" s="74"/>
    </row>
    <row r="60" spans="2:23" ht="20.100000000000001" customHeight="1" outlineLevel="1" x14ac:dyDescent="0.4">
      <c r="B60" s="73"/>
      <c r="C60" s="321"/>
      <c r="D60" s="319"/>
      <c r="E60" s="319"/>
      <c r="F60" s="319"/>
      <c r="G60" s="319"/>
      <c r="H60" s="319"/>
      <c r="I60" s="319"/>
      <c r="J60" s="319"/>
      <c r="K60" s="319"/>
      <c r="L60" s="319"/>
      <c r="M60" s="319"/>
      <c r="N60" s="319"/>
      <c r="O60" s="319"/>
      <c r="P60" s="319"/>
      <c r="Q60" s="319"/>
      <c r="R60" s="319"/>
      <c r="S60" s="319"/>
      <c r="T60" s="320"/>
      <c r="U60" s="74"/>
    </row>
    <row r="61" spans="2:23" ht="20.100000000000001" customHeight="1" outlineLevel="1" thickBot="1" x14ac:dyDescent="0.45">
      <c r="B61" s="73"/>
      <c r="C61" s="322"/>
      <c r="D61" s="323"/>
      <c r="E61" s="323"/>
      <c r="F61" s="323"/>
      <c r="G61" s="323"/>
      <c r="H61" s="323"/>
      <c r="I61" s="323"/>
      <c r="J61" s="323"/>
      <c r="K61" s="323"/>
      <c r="L61" s="323"/>
      <c r="M61" s="323"/>
      <c r="N61" s="323"/>
      <c r="O61" s="323"/>
      <c r="P61" s="323"/>
      <c r="Q61" s="323"/>
      <c r="R61" s="323"/>
      <c r="S61" s="323"/>
      <c r="T61" s="324"/>
      <c r="U61" s="74"/>
    </row>
    <row r="62" spans="2:23" ht="20.100000000000001" customHeight="1" outlineLevel="1" thickTop="1" thickBot="1" x14ac:dyDescent="0.45">
      <c r="B62" s="73"/>
      <c r="C62" s="238"/>
      <c r="D62" s="238"/>
      <c r="E62" s="238"/>
      <c r="F62" s="238"/>
      <c r="G62" s="238"/>
      <c r="H62" s="238"/>
      <c r="I62" s="238"/>
      <c r="J62" s="238"/>
      <c r="K62" s="238"/>
      <c r="L62" s="238"/>
      <c r="M62" s="238"/>
      <c r="N62" s="238"/>
      <c r="O62" s="238"/>
      <c r="P62" s="238"/>
      <c r="Q62" s="238"/>
      <c r="R62" s="238"/>
      <c r="S62" s="238"/>
      <c r="T62" s="238"/>
      <c r="U62" s="74"/>
    </row>
    <row r="63" spans="2:23" ht="20.100000000000001" customHeight="1" outlineLevel="1" thickTop="1" thickBot="1" x14ac:dyDescent="0.45">
      <c r="B63" s="73"/>
      <c r="C63" s="240" t="s">
        <v>333</v>
      </c>
      <c r="D63" s="241"/>
      <c r="E63" s="241"/>
      <c r="F63" s="241"/>
      <c r="G63" s="241"/>
      <c r="H63" s="241"/>
      <c r="I63" s="241"/>
      <c r="J63" s="241"/>
      <c r="K63" s="241"/>
      <c r="L63" s="241"/>
      <c r="M63" s="241"/>
      <c r="N63" s="241"/>
      <c r="O63" s="241"/>
      <c r="P63" s="241"/>
      <c r="Q63" s="241"/>
      <c r="R63" s="241"/>
      <c r="S63" s="241"/>
      <c r="T63" s="242"/>
      <c r="U63" s="74"/>
    </row>
    <row r="64" spans="2:23" ht="20.7" customHeight="1" outlineLevel="1" thickTop="1" x14ac:dyDescent="0.4">
      <c r="B64" s="73"/>
      <c r="C64" s="243" t="s">
        <v>334</v>
      </c>
      <c r="D64" s="244"/>
      <c r="E64" s="244"/>
      <c r="F64" s="244"/>
      <c r="G64" s="244"/>
      <c r="H64" s="244"/>
      <c r="I64" s="244"/>
      <c r="J64" s="244"/>
      <c r="K64" s="244"/>
      <c r="L64" s="244"/>
      <c r="M64" s="244"/>
      <c r="N64" s="244"/>
      <c r="O64" s="244"/>
      <c r="P64" s="244"/>
      <c r="Q64" s="244"/>
      <c r="R64" s="244"/>
      <c r="S64" s="244"/>
      <c r="T64" s="245"/>
      <c r="U64" s="74"/>
    </row>
    <row r="65" spans="2:21" ht="20.7" customHeight="1" outlineLevel="1" x14ac:dyDescent="0.4">
      <c r="B65" s="73"/>
      <c r="C65" s="246"/>
      <c r="D65" s="247"/>
      <c r="E65" s="247"/>
      <c r="F65" s="247"/>
      <c r="G65" s="247"/>
      <c r="H65" s="247"/>
      <c r="I65" s="247"/>
      <c r="J65" s="247"/>
      <c r="K65" s="247"/>
      <c r="L65" s="247"/>
      <c r="M65" s="247"/>
      <c r="N65" s="247"/>
      <c r="O65" s="247"/>
      <c r="P65" s="247"/>
      <c r="Q65" s="247"/>
      <c r="R65" s="247"/>
      <c r="S65" s="247"/>
      <c r="T65" s="248"/>
      <c r="U65" s="74"/>
    </row>
    <row r="66" spans="2:21" ht="20.7" customHeight="1" outlineLevel="1" x14ac:dyDescent="0.4">
      <c r="B66" s="73"/>
      <c r="C66" s="246"/>
      <c r="D66" s="247"/>
      <c r="E66" s="247"/>
      <c r="F66" s="247"/>
      <c r="G66" s="247"/>
      <c r="H66" s="247"/>
      <c r="I66" s="247"/>
      <c r="J66" s="247"/>
      <c r="K66" s="247"/>
      <c r="L66" s="247"/>
      <c r="M66" s="247"/>
      <c r="N66" s="247"/>
      <c r="O66" s="247"/>
      <c r="P66" s="247"/>
      <c r="Q66" s="247"/>
      <c r="R66" s="247"/>
      <c r="S66" s="247"/>
      <c r="T66" s="248"/>
      <c r="U66" s="74"/>
    </row>
    <row r="67" spans="2:21" ht="20.7" customHeight="1" outlineLevel="1" x14ac:dyDescent="0.4">
      <c r="B67" s="73"/>
      <c r="C67" s="246"/>
      <c r="D67" s="247"/>
      <c r="E67" s="247"/>
      <c r="F67" s="247"/>
      <c r="G67" s="247"/>
      <c r="H67" s="247"/>
      <c r="I67" s="247"/>
      <c r="J67" s="247"/>
      <c r="K67" s="247"/>
      <c r="L67" s="247"/>
      <c r="M67" s="247"/>
      <c r="N67" s="247"/>
      <c r="O67" s="247"/>
      <c r="P67" s="247"/>
      <c r="Q67" s="247"/>
      <c r="R67" s="247"/>
      <c r="S67" s="247"/>
      <c r="T67" s="248"/>
      <c r="U67" s="74"/>
    </row>
    <row r="68" spans="2:21" ht="215.35" customHeight="1" outlineLevel="1" thickBot="1" x14ac:dyDescent="0.45">
      <c r="B68" s="73"/>
      <c r="C68" s="249"/>
      <c r="D68" s="250"/>
      <c r="E68" s="250"/>
      <c r="F68" s="250"/>
      <c r="G68" s="250"/>
      <c r="H68" s="250"/>
      <c r="I68" s="250"/>
      <c r="J68" s="250"/>
      <c r="K68" s="250"/>
      <c r="L68" s="250"/>
      <c r="M68" s="250"/>
      <c r="N68" s="250"/>
      <c r="O68" s="250"/>
      <c r="P68" s="250"/>
      <c r="Q68" s="250"/>
      <c r="R68" s="250"/>
      <c r="S68" s="250"/>
      <c r="T68" s="251"/>
      <c r="U68" s="74"/>
    </row>
    <row r="69" spans="2:21" ht="10.199999999999999" customHeight="1" thickTop="1" x14ac:dyDescent="0.4">
      <c r="B69" s="75"/>
      <c r="C69" s="76"/>
      <c r="D69" s="76"/>
      <c r="E69" s="76"/>
      <c r="F69" s="76"/>
      <c r="G69" s="76"/>
      <c r="H69" s="76"/>
      <c r="I69" s="76"/>
      <c r="J69" s="76"/>
      <c r="K69" s="76"/>
      <c r="L69" s="76"/>
      <c r="M69" s="76"/>
      <c r="N69" s="76"/>
      <c r="O69" s="76"/>
      <c r="P69" s="76"/>
      <c r="Q69" s="76"/>
      <c r="R69" s="76"/>
      <c r="S69" s="76"/>
      <c r="T69" s="76"/>
      <c r="U69" s="77"/>
    </row>
  </sheetData>
  <sheetProtection algorithmName="SHA-512" hashValue="potBASrZz3r6UTRPViDSSp+HYcOliOhQOqXmdntJBonGy+Kdc6ogNrQ3Stn6b40/w0u5LmzMDtOMk3XDeATr+A==" saltValue="BPv0hUGX27uvEVKPU2HJHw==" spinCount="100000" sheet="1" objects="1" scenarios="1" formatRows="0"/>
  <mergeCells count="120">
    <mergeCell ref="C56:T56"/>
    <mergeCell ref="C57:T61"/>
    <mergeCell ref="D40:S40"/>
    <mergeCell ref="D41:J41"/>
    <mergeCell ref="K41:O41"/>
    <mergeCell ref="P41:Q41"/>
    <mergeCell ref="D52:O52"/>
    <mergeCell ref="P52:Q52"/>
    <mergeCell ref="R52:S52"/>
    <mergeCell ref="P53:Q53"/>
    <mergeCell ref="R53:S53"/>
    <mergeCell ref="D53:O53"/>
    <mergeCell ref="P42:Q42"/>
    <mergeCell ref="P43:Q43"/>
    <mergeCell ref="P49:Q49"/>
    <mergeCell ref="P50:Q50"/>
    <mergeCell ref="P51:Q51"/>
    <mergeCell ref="P47:Q47"/>
    <mergeCell ref="K42:O42"/>
    <mergeCell ref="E51:J51"/>
    <mergeCell ref="E42:J42"/>
    <mergeCell ref="E43:J43"/>
    <mergeCell ref="E44:J44"/>
    <mergeCell ref="E45:J45"/>
    <mergeCell ref="E3:G3"/>
    <mergeCell ref="E4:G4"/>
    <mergeCell ref="E5:G5"/>
    <mergeCell ref="E6:G6"/>
    <mergeCell ref="P15:S15"/>
    <mergeCell ref="H25:M25"/>
    <mergeCell ref="P14:S14"/>
    <mergeCell ref="H3:I3"/>
    <mergeCell ref="H4:I4"/>
    <mergeCell ref="H5:I5"/>
    <mergeCell ref="H6:I6"/>
    <mergeCell ref="J3:N3"/>
    <mergeCell ref="J4:N4"/>
    <mergeCell ref="J5:N5"/>
    <mergeCell ref="J6:N6"/>
    <mergeCell ref="D11:F11"/>
    <mergeCell ref="D12:F12"/>
    <mergeCell ref="L15:O15"/>
    <mergeCell ref="C3:D3"/>
    <mergeCell ref="C5:D5"/>
    <mergeCell ref="C6:D6"/>
    <mergeCell ref="O4:Q4"/>
    <mergeCell ref="O5:Q5"/>
    <mergeCell ref="O6:Q6"/>
    <mergeCell ref="C2:T2"/>
    <mergeCell ref="N25:Q25"/>
    <mergeCell ref="D25:G25"/>
    <mergeCell ref="L20:O20"/>
    <mergeCell ref="L21:O21"/>
    <mergeCell ref="L22:O22"/>
    <mergeCell ref="P20:S20"/>
    <mergeCell ref="P21:S21"/>
    <mergeCell ref="P22:S22"/>
    <mergeCell ref="D20:F20"/>
    <mergeCell ref="D21:F21"/>
    <mergeCell ref="D22:F22"/>
    <mergeCell ref="G20:K20"/>
    <mergeCell ref="G21:K21"/>
    <mergeCell ref="G22:K22"/>
    <mergeCell ref="D18:F18"/>
    <mergeCell ref="D19:S19"/>
    <mergeCell ref="R3:T3"/>
    <mergeCell ref="R4:T4"/>
    <mergeCell ref="R5:T5"/>
    <mergeCell ref="R6:T6"/>
    <mergeCell ref="C8:T8"/>
    <mergeCell ref="D10:S10"/>
    <mergeCell ref="D13:F13"/>
    <mergeCell ref="K46:O46"/>
    <mergeCell ref="C4:D4"/>
    <mergeCell ref="E46:J46"/>
    <mergeCell ref="P11:S11"/>
    <mergeCell ref="P12:S12"/>
    <mergeCell ref="G11:K11"/>
    <mergeCell ref="K51:O51"/>
    <mergeCell ref="P48:Q48"/>
    <mergeCell ref="E47:J47"/>
    <mergeCell ref="E48:J48"/>
    <mergeCell ref="E49:J49"/>
    <mergeCell ref="E50:J50"/>
    <mergeCell ref="K47:O47"/>
    <mergeCell ref="K48:O48"/>
    <mergeCell ref="K49:O49"/>
    <mergeCell ref="K50:O50"/>
    <mergeCell ref="C38:T38"/>
    <mergeCell ref="I35:J35"/>
    <mergeCell ref="I34:J34"/>
    <mergeCell ref="N33:P33"/>
    <mergeCell ref="D33:E33"/>
    <mergeCell ref="I33:J33"/>
    <mergeCell ref="G16:K16"/>
    <mergeCell ref="D16:F16"/>
    <mergeCell ref="C63:T63"/>
    <mergeCell ref="C64:T68"/>
    <mergeCell ref="O3:Q3"/>
    <mergeCell ref="D24:Q24"/>
    <mergeCell ref="L11:O11"/>
    <mergeCell ref="L12:O12"/>
    <mergeCell ref="P44:Q44"/>
    <mergeCell ref="P45:Q45"/>
    <mergeCell ref="P46:Q46"/>
    <mergeCell ref="K33:M33"/>
    <mergeCell ref="G33:H33"/>
    <mergeCell ref="L13:O13"/>
    <mergeCell ref="L14:O14"/>
    <mergeCell ref="G18:S18"/>
    <mergeCell ref="D14:F14"/>
    <mergeCell ref="G14:K14"/>
    <mergeCell ref="G12:K12"/>
    <mergeCell ref="G13:K13"/>
    <mergeCell ref="D15:F15"/>
    <mergeCell ref="G15:K15"/>
    <mergeCell ref="P13:S13"/>
    <mergeCell ref="K43:O43"/>
    <mergeCell ref="K44:O44"/>
    <mergeCell ref="K45:O45"/>
  </mergeCells>
  <conditionalFormatting sqref="I27:I30">
    <cfRule type="expression" dxfId="24" priority="20" stopIfTrue="1">
      <formula>ABS(I27)&gt;$E27</formula>
    </cfRule>
    <cfRule type="expression" dxfId="23" priority="21">
      <formula>ABS(I27)&lt;=$E27</formula>
    </cfRule>
  </conditionalFormatting>
  <conditionalFormatting sqref="K27:K30">
    <cfRule type="expression" dxfId="21" priority="3" stopIfTrue="1">
      <formula>ABS(K27)&gt;$G27</formula>
    </cfRule>
    <cfRule type="expression" dxfId="20" priority="4">
      <formula>ABS(K27)&lt;=$G27</formula>
    </cfRule>
  </conditionalFormatting>
  <conditionalFormatting sqref="M27:M30">
    <cfRule type="expression" dxfId="19" priority="34" stopIfTrue="1">
      <formula>ABS(M27)&gt;$G27</formula>
    </cfRule>
    <cfRule type="expression" dxfId="18" priority="35">
      <formula>ABS(M27)&lt;=$G27</formula>
    </cfRule>
  </conditionalFormatting>
  <conditionalFormatting sqref="M35">
    <cfRule type="expression" dxfId="17" priority="26">
      <formula>ABS(M35)&gt;$F35</formula>
    </cfRule>
    <cfRule type="expression" dxfId="16" priority="27">
      <formula>ABS(M35)&lt;=$F35</formula>
    </cfRule>
  </conditionalFormatting>
  <conditionalFormatting sqref="P27:P30">
    <cfRule type="expression" dxfId="15" priority="1" stopIfTrue="1">
      <formula>ABS(P27)&gt;$E27</formula>
    </cfRule>
    <cfRule type="expression" dxfId="14" priority="2">
      <formula>ABS(P27)&lt;=$E27</formula>
    </cfRule>
  </conditionalFormatting>
  <conditionalFormatting sqref="P32">
    <cfRule type="expression" dxfId="13" priority="14">
      <formula>$P$32&lt;&gt;""</formula>
    </cfRule>
  </conditionalFormatting>
  <conditionalFormatting sqref="P35">
    <cfRule type="expression" dxfId="12" priority="22">
      <formula>ABS(P35)&gt;$F35</formula>
    </cfRule>
    <cfRule type="expression" dxfId="11" priority="23">
      <formula>ABS(P35)&lt;=$F35</formula>
    </cfRule>
  </conditionalFormatting>
  <conditionalFormatting sqref="P42:Q51">
    <cfRule type="cellIs" dxfId="10" priority="5" operator="equal">
      <formula>"Non"</formula>
    </cfRule>
    <cfRule type="cellIs" dxfId="9" priority="6" operator="equal">
      <formula>"Oui"</formula>
    </cfRule>
    <cfRule type="cellIs" dxfId="8" priority="7" operator="equal">
      <formula>"Réserve"</formula>
    </cfRule>
    <cfRule type="cellIs" dxfId="7" priority="8" operator="equal">
      <formula>"Non validé"</formula>
    </cfRule>
    <cfRule type="cellIs" dxfId="6" priority="9" operator="equal">
      <formula>"Non contrôlé"</formula>
    </cfRule>
    <cfRule type="cellIs" dxfId="5" priority="10" operator="equal">
      <formula>"Validé"</formula>
    </cfRule>
  </conditionalFormatting>
  <conditionalFormatting sqref="Q27:Q30">
    <cfRule type="expression" dxfId="4" priority="30" stopIfTrue="1">
      <formula>ABS(Q27)&gt;=$G27</formula>
    </cfRule>
    <cfRule type="expression" dxfId="3" priority="31">
      <formula>ABS(Q27)&lt;$G27</formula>
    </cfRule>
  </conditionalFormatting>
  <conditionalFormatting sqref="R53:S53">
    <cfRule type="cellIs" dxfId="2" priority="11" operator="lessThan">
      <formula>70</formula>
    </cfRule>
    <cfRule type="cellIs" dxfId="1" priority="12" operator="between">
      <formula>70</formula>
      <formula>80</formula>
    </cfRule>
    <cfRule type="cellIs" dxfId="0" priority="13" operator="greaterThanOrEqual">
      <formula>80</formula>
    </cfRule>
  </conditionalFormatting>
  <dataValidations count="11">
    <dataValidation type="list" allowBlank="1" showInputMessage="1" showErrorMessage="1" sqref="P11" xr:uid="{00000000-0002-0000-0700-000001000000}">
      <formula1>Frequence</formula1>
    </dataValidation>
    <dataValidation allowBlank="1" showInputMessage="1" showErrorMessage="1" promptTitle="Exemple de saisie" prompt="Réglet / Sonde / Cales" sqref="P21:S21" xr:uid="{00000000-0002-0000-0700-000004000000}"/>
    <dataValidation type="list" allowBlank="1" showInputMessage="1" showErrorMessage="1" sqref="P42:Q47 P51:Q51" xr:uid="{00000000-0002-0000-0700-000006000000}">
      <formula1>INDIRECT(W42)</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P48:Q50" xr:uid="{00000000-0002-0000-0700-000008000000}">
      <formula1>INDIRECT(W48)</formula1>
    </dataValidation>
    <dataValidation allowBlank="1" showInputMessage="1" showErrorMessage="1" promptTitle="Conseil de saisie" prompt="Veuillez saisir les références du capteur de la mesure de la hauteur d'eau" sqref="G15:K15" xr:uid="{8CB678E9-A6F9-47E9-8801-4FB4D7708255}"/>
    <dataValidation allowBlank="1" showInputMessage="1" showErrorMessage="1" promptTitle="Régles de saisie" prompt="Les hauteurs de contôle doivent être supérieure à 50 mm" sqref="D26" xr:uid="{5C6F7769-FC90-48E4-A4D4-24E33F436712}"/>
    <dataValidation type="list" allowBlank="1" showInputMessage="1" showErrorMessage="1" promptTitle="Saisie utilisateur" prompt="Veuillez choisir une méthode de contrôle" sqref="G18:S18" xr:uid="{00000000-0002-0000-0700-000003000000}">
      <formula1>Méthode</formula1>
    </dataValidation>
    <dataValidation type="list" allowBlank="1" showInputMessage="1" showErrorMessage="1" sqref="D40:S40" xr:uid="{00000000-0002-0000-0700-000005000000}">
      <formula1>Q_Gravitaire</formula1>
    </dataValidation>
    <dataValidation type="list" allowBlank="1" showInputMessage="1" showErrorMessage="1" sqref="P13:S13" xr:uid="{00000000-0002-0000-0700-00000A000000}">
      <formula1>LISTE_1</formula1>
    </dataValidation>
    <dataValidation allowBlank="1" showInputMessage="1" showErrorMessage="1" promptTitle="Conseil de saisie" prompt="Préciser le type de canal venturi, le type de seuil, le type de loi, le type de clapet ou le type de capteur de vitesse" sqref="G11:K12" xr:uid="{83DBE755-3FA8-43DB-8877-373953C4159F}"/>
    <dataValidation allowBlank="1" showInputMessage="1" showErrorMessage="1" promptTitle="Conseil de saisie" prompt="Dans le cas de &quot;mesure comparative en parallèle&quot;, si la méthode n'est pas empotement de ne pas renseigner ce champ" sqref="D35:E35" xr:uid="{8EF8D0BF-F8E3-4441-BA5E-62BE84E95340}"/>
  </dataValidations>
  <pageMargins left="0.70866141732283472" right="0.70866141732283472" top="0.74803149606299213" bottom="0.74803149606299213" header="0.31496062992125984" footer="0.31496062992125984"/>
  <pageSetup paperSize="9" scale="41" fitToHeight="0" orientation="portrait" r:id="rId1"/>
  <rowBreaks count="1" manualBreakCount="1">
    <brk id="37" min="1" max="20" man="1"/>
  </rowBreaks>
  <extLst>
    <ext xmlns:x14="http://schemas.microsoft.com/office/spreadsheetml/2009/9/main" uri="{78C0D931-6437-407d-A8EE-F0AAD7539E65}">
      <x14:conditionalFormattings>
        <x14:conditionalFormatting xmlns:xm="http://schemas.microsoft.com/office/excel/2006/main">
          <x14:cfRule type="expression" priority="38" id="{15CDFC63-1E64-4A5B-A491-D056D508098C}">
            <xm:f>$G$18=PARAM!$A$55</xm:f>
            <x14:dxf>
              <fill>
                <patternFill patternType="darkUp">
                  <fgColor theme="9"/>
                </patternFill>
              </fill>
            </x14:dxf>
          </x14:cfRule>
          <xm:sqref>I35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70" zoomScaleNormal="70" workbookViewId="0">
      <pane xSplit="1" ySplit="4" topLeftCell="BX11"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169</v>
      </c>
      <c r="C1" s="18"/>
      <c r="D1" s="18"/>
      <c r="E1" s="18"/>
      <c r="F1" s="18"/>
      <c r="G1" s="18"/>
      <c r="H1" s="18"/>
      <c r="I1" s="18"/>
    </row>
    <row r="2" spans="1:603" ht="37.700000000000003" customHeight="1" thickBot="1" x14ac:dyDescent="0.45">
      <c r="A2" s="215"/>
      <c r="B2" s="216" t="s">
        <v>88</v>
      </c>
      <c r="C2" s="217"/>
      <c r="D2" s="217"/>
      <c r="E2" s="217"/>
      <c r="F2" s="217"/>
      <c r="G2" s="217"/>
      <c r="H2" s="217"/>
      <c r="I2" s="217"/>
      <c r="J2" s="218"/>
      <c r="K2" s="218"/>
      <c r="L2" s="219"/>
      <c r="M2" s="219"/>
      <c r="N2" s="218"/>
      <c r="O2" s="218"/>
      <c r="P2" s="219"/>
      <c r="Q2" s="219"/>
      <c r="R2" s="218"/>
      <c r="S2" s="218"/>
      <c r="T2" s="219"/>
      <c r="U2" s="219"/>
      <c r="V2" s="220" t="s">
        <v>91</v>
      </c>
      <c r="W2" s="221"/>
      <c r="X2" s="222"/>
      <c r="Y2" s="222"/>
      <c r="Z2" s="221"/>
      <c r="AA2" s="221"/>
      <c r="AB2" s="222"/>
      <c r="AC2" s="222"/>
      <c r="AD2" s="221"/>
      <c r="AE2" s="221"/>
      <c r="AF2" s="222"/>
      <c r="AG2" s="222"/>
      <c r="AH2" s="221"/>
      <c r="AI2" s="221"/>
      <c r="AJ2" s="222"/>
      <c r="AK2" s="222"/>
      <c r="AL2" s="221"/>
      <c r="AM2" s="221"/>
      <c r="AN2" s="222"/>
      <c r="AO2" s="222"/>
      <c r="AP2" s="221"/>
      <c r="AQ2" s="221"/>
      <c r="AR2" s="222"/>
      <c r="AS2" s="222"/>
      <c r="AT2" s="221"/>
      <c r="AU2" s="221"/>
      <c r="AV2" s="222"/>
      <c r="AW2" s="222"/>
      <c r="AX2" s="221"/>
      <c r="AY2" s="221"/>
      <c r="AZ2" s="222"/>
      <c r="BA2" s="222"/>
      <c r="BB2" s="221"/>
      <c r="BC2" s="221"/>
      <c r="BD2" s="222"/>
      <c r="BE2" s="222"/>
      <c r="BF2" s="223" t="s">
        <v>328</v>
      </c>
      <c r="BG2" s="224"/>
      <c r="BH2" s="224"/>
      <c r="BI2" s="224"/>
      <c r="BJ2" s="224"/>
      <c r="BK2" s="224"/>
      <c r="BL2" s="224"/>
      <c r="BM2" s="224"/>
      <c r="BN2" s="224"/>
      <c r="BO2" s="224"/>
      <c r="BP2" s="224"/>
      <c r="BQ2" s="224"/>
      <c r="BR2" s="225" t="s">
        <v>329</v>
      </c>
      <c r="BS2" s="226"/>
      <c r="BT2" s="226"/>
      <c r="BU2" s="226"/>
      <c r="BV2" s="226"/>
      <c r="BW2" s="226"/>
      <c r="BX2" s="226"/>
      <c r="BY2" s="226"/>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114</v>
      </c>
      <c r="C3" s="27"/>
      <c r="D3" s="28"/>
      <c r="E3" s="29"/>
      <c r="F3" s="27" t="s">
        <v>115</v>
      </c>
      <c r="G3" s="27"/>
      <c r="H3" s="28"/>
      <c r="I3" s="29"/>
      <c r="J3" s="27" t="s">
        <v>255</v>
      </c>
      <c r="K3" s="27"/>
      <c r="L3" s="28"/>
      <c r="M3" s="29"/>
      <c r="N3" s="27" t="s">
        <v>89</v>
      </c>
      <c r="O3" s="27"/>
      <c r="P3" s="28"/>
      <c r="Q3" s="29"/>
      <c r="R3" s="27" t="s">
        <v>256</v>
      </c>
      <c r="S3" s="27"/>
      <c r="T3" s="28"/>
      <c r="U3" s="29"/>
      <c r="V3" s="30" t="s">
        <v>14</v>
      </c>
      <c r="W3" s="27"/>
      <c r="X3" s="28"/>
      <c r="Y3" s="29"/>
      <c r="Z3" s="31" t="s">
        <v>16</v>
      </c>
      <c r="AA3" s="32"/>
      <c r="AB3" s="33"/>
      <c r="AC3" s="34"/>
      <c r="AD3" s="31" t="s">
        <v>2</v>
      </c>
      <c r="AE3" s="32"/>
      <c r="AF3" s="33"/>
      <c r="AG3" s="34"/>
      <c r="AH3" s="31" t="s">
        <v>310</v>
      </c>
      <c r="AI3" s="32"/>
      <c r="AJ3" s="33"/>
      <c r="AK3" s="34"/>
      <c r="AL3" s="31" t="s">
        <v>17</v>
      </c>
      <c r="AM3" s="32"/>
      <c r="AN3" s="33"/>
      <c r="AO3" s="34"/>
      <c r="AP3" s="31" t="s">
        <v>18</v>
      </c>
      <c r="AQ3" s="27"/>
      <c r="AR3" s="28"/>
      <c r="AS3" s="29"/>
      <c r="AT3" s="31" t="s">
        <v>3</v>
      </c>
      <c r="AU3" s="32"/>
      <c r="AV3" s="33"/>
      <c r="AW3" s="34"/>
      <c r="AX3" s="31" t="s">
        <v>19</v>
      </c>
      <c r="AY3" s="32"/>
      <c r="AZ3" s="33"/>
      <c r="BA3" s="34"/>
      <c r="BB3" s="31" t="s">
        <v>20</v>
      </c>
      <c r="BC3" s="32"/>
      <c r="BD3" s="33"/>
      <c r="BE3" s="34"/>
      <c r="BF3" s="31" t="s">
        <v>21</v>
      </c>
      <c r="BG3" s="32"/>
      <c r="BH3" s="33"/>
      <c r="BI3" s="33"/>
      <c r="BJ3" s="159" t="s">
        <v>22</v>
      </c>
      <c r="BK3" s="160"/>
      <c r="BL3" s="161"/>
      <c r="BM3" s="162"/>
      <c r="BN3" s="31" t="s">
        <v>23</v>
      </c>
      <c r="BO3" s="27"/>
      <c r="BP3" s="28"/>
      <c r="BQ3" s="29"/>
      <c r="BR3" s="31" t="s">
        <v>173</v>
      </c>
      <c r="BS3" s="27"/>
      <c r="BT3" s="28"/>
      <c r="BU3" s="29"/>
      <c r="BV3" s="31" t="s">
        <v>174</v>
      </c>
      <c r="BW3" s="27"/>
      <c r="BX3" s="28"/>
      <c r="BY3" s="29"/>
    </row>
    <row r="4" spans="1:603" s="16" customFormat="1" ht="21.7" thickBot="1" x14ac:dyDescent="0.45">
      <c r="A4" s="35"/>
      <c r="B4" s="36" t="s">
        <v>1</v>
      </c>
      <c r="C4" s="36" t="s">
        <v>116</v>
      </c>
      <c r="D4" s="36" t="s">
        <v>117</v>
      </c>
      <c r="E4" s="37" t="s">
        <v>118</v>
      </c>
      <c r="F4" s="36" t="s">
        <v>1</v>
      </c>
      <c r="G4" s="36" t="s">
        <v>116</v>
      </c>
      <c r="H4" s="36" t="s">
        <v>117</v>
      </c>
      <c r="I4" s="37" t="s">
        <v>118</v>
      </c>
      <c r="J4" s="36" t="s">
        <v>1</v>
      </c>
      <c r="K4" s="36" t="s">
        <v>116</v>
      </c>
      <c r="L4" s="36" t="s">
        <v>117</v>
      </c>
      <c r="M4" s="37" t="s">
        <v>118</v>
      </c>
      <c r="N4" s="36" t="s">
        <v>1</v>
      </c>
      <c r="O4" s="36" t="s">
        <v>116</v>
      </c>
      <c r="P4" s="36" t="s">
        <v>117</v>
      </c>
      <c r="Q4" s="37" t="s">
        <v>118</v>
      </c>
      <c r="R4" s="36" t="s">
        <v>1</v>
      </c>
      <c r="S4" s="36" t="s">
        <v>116</v>
      </c>
      <c r="T4" s="36" t="s">
        <v>117</v>
      </c>
      <c r="U4" s="37" t="s">
        <v>118</v>
      </c>
      <c r="V4" s="38" t="s">
        <v>1</v>
      </c>
      <c r="W4" s="36" t="s">
        <v>116</v>
      </c>
      <c r="X4" s="36" t="s">
        <v>117</v>
      </c>
      <c r="Y4" s="37" t="s">
        <v>118</v>
      </c>
      <c r="Z4" s="36" t="s">
        <v>1</v>
      </c>
      <c r="AA4" s="36" t="s">
        <v>116</v>
      </c>
      <c r="AB4" s="36" t="s">
        <v>117</v>
      </c>
      <c r="AC4" s="37" t="s">
        <v>118</v>
      </c>
      <c r="AD4" s="36" t="s">
        <v>1</v>
      </c>
      <c r="AE4" s="36" t="s">
        <v>116</v>
      </c>
      <c r="AF4" s="36" t="s">
        <v>117</v>
      </c>
      <c r="AG4" s="37" t="s">
        <v>118</v>
      </c>
      <c r="AH4" s="36" t="s">
        <v>1</v>
      </c>
      <c r="AI4" s="36" t="s">
        <v>116</v>
      </c>
      <c r="AJ4" s="36" t="s">
        <v>117</v>
      </c>
      <c r="AK4" s="37" t="s">
        <v>118</v>
      </c>
      <c r="AL4" s="36" t="s">
        <v>1</v>
      </c>
      <c r="AM4" s="36" t="s">
        <v>116</v>
      </c>
      <c r="AN4" s="36" t="s">
        <v>117</v>
      </c>
      <c r="AO4" s="37" t="s">
        <v>118</v>
      </c>
      <c r="AP4" s="36" t="s">
        <v>1</v>
      </c>
      <c r="AQ4" s="36" t="s">
        <v>116</v>
      </c>
      <c r="AR4" s="36" t="s">
        <v>117</v>
      </c>
      <c r="AS4" s="37" t="s">
        <v>118</v>
      </c>
      <c r="AT4" s="36" t="s">
        <v>1</v>
      </c>
      <c r="AU4" s="36" t="s">
        <v>116</v>
      </c>
      <c r="AV4" s="36" t="s">
        <v>117</v>
      </c>
      <c r="AW4" s="37" t="s">
        <v>118</v>
      </c>
      <c r="AX4" s="36" t="s">
        <v>1</v>
      </c>
      <c r="AY4" s="36" t="s">
        <v>116</v>
      </c>
      <c r="AZ4" s="36" t="s">
        <v>117</v>
      </c>
      <c r="BA4" s="37" t="s">
        <v>118</v>
      </c>
      <c r="BB4" s="36" t="s">
        <v>1</v>
      </c>
      <c r="BC4" s="36" t="s">
        <v>116</v>
      </c>
      <c r="BD4" s="36" t="s">
        <v>117</v>
      </c>
      <c r="BE4" s="37" t="s">
        <v>118</v>
      </c>
      <c r="BF4" s="36" t="s">
        <v>1</v>
      </c>
      <c r="BG4" s="36" t="s">
        <v>116</v>
      </c>
      <c r="BH4" s="36" t="s">
        <v>117</v>
      </c>
      <c r="BI4" s="36" t="s">
        <v>118</v>
      </c>
      <c r="BJ4" s="163" t="s">
        <v>1</v>
      </c>
      <c r="BK4" s="36" t="s">
        <v>116</v>
      </c>
      <c r="BL4" s="36" t="s">
        <v>117</v>
      </c>
      <c r="BM4" s="164" t="s">
        <v>118</v>
      </c>
      <c r="BN4" s="36" t="s">
        <v>1</v>
      </c>
      <c r="BO4" s="36" t="s">
        <v>116</v>
      </c>
      <c r="BP4" s="36" t="s">
        <v>117</v>
      </c>
      <c r="BQ4" s="37" t="s">
        <v>118</v>
      </c>
      <c r="BR4" s="36" t="s">
        <v>1</v>
      </c>
      <c r="BS4" s="36" t="s">
        <v>116</v>
      </c>
      <c r="BT4" s="36" t="s">
        <v>117</v>
      </c>
      <c r="BU4" s="37" t="s">
        <v>118</v>
      </c>
      <c r="BV4" s="36" t="s">
        <v>1</v>
      </c>
      <c r="BW4" s="36" t="s">
        <v>116</v>
      </c>
      <c r="BX4" s="36" t="s">
        <v>117</v>
      </c>
      <c r="BY4" s="37" t="s">
        <v>118</v>
      </c>
    </row>
    <row r="5" spans="1:603" s="23" customFormat="1" ht="51" thickTop="1" x14ac:dyDescent="0.4">
      <c r="A5" s="177">
        <v>1</v>
      </c>
      <c r="B5" s="178" t="s">
        <v>119</v>
      </c>
      <c r="C5" s="179" t="s">
        <v>257</v>
      </c>
      <c r="D5" s="180">
        <v>10</v>
      </c>
      <c r="E5" s="181" t="s">
        <v>40</v>
      </c>
      <c r="F5" s="178" t="s">
        <v>119</v>
      </c>
      <c r="G5" s="179" t="s">
        <v>257</v>
      </c>
      <c r="H5" s="180">
        <v>10</v>
      </c>
      <c r="I5" s="181" t="s">
        <v>40</v>
      </c>
      <c r="J5" s="178" t="s">
        <v>119</v>
      </c>
      <c r="K5" s="179" t="s">
        <v>257</v>
      </c>
      <c r="L5" s="180">
        <v>10</v>
      </c>
      <c r="M5" s="181" t="s">
        <v>40</v>
      </c>
      <c r="N5" s="178" t="s">
        <v>119</v>
      </c>
      <c r="O5" s="179" t="s">
        <v>257</v>
      </c>
      <c r="P5" s="180">
        <v>10</v>
      </c>
      <c r="Q5" s="181" t="s">
        <v>40</v>
      </c>
      <c r="R5" s="178" t="s">
        <v>119</v>
      </c>
      <c r="S5" s="179" t="s">
        <v>257</v>
      </c>
      <c r="T5" s="180">
        <v>10</v>
      </c>
      <c r="U5" s="181" t="s">
        <v>40</v>
      </c>
      <c r="V5" s="182" t="s">
        <v>119</v>
      </c>
      <c r="W5" s="179" t="s">
        <v>257</v>
      </c>
      <c r="X5" s="180">
        <v>10</v>
      </c>
      <c r="Y5" s="181" t="s">
        <v>40</v>
      </c>
      <c r="Z5" s="178" t="s">
        <v>119</v>
      </c>
      <c r="AA5" s="179" t="s">
        <v>257</v>
      </c>
      <c r="AB5" s="180">
        <v>10</v>
      </c>
      <c r="AC5" s="181" t="s">
        <v>40</v>
      </c>
      <c r="AD5" s="178" t="s">
        <v>119</v>
      </c>
      <c r="AE5" s="179" t="s">
        <v>257</v>
      </c>
      <c r="AF5" s="180">
        <v>10</v>
      </c>
      <c r="AG5" s="181" t="s">
        <v>40</v>
      </c>
      <c r="AH5" s="178" t="s">
        <v>119</v>
      </c>
      <c r="AI5" s="179" t="s">
        <v>257</v>
      </c>
      <c r="AJ5" s="180">
        <v>10</v>
      </c>
      <c r="AK5" s="181" t="s">
        <v>40</v>
      </c>
      <c r="AL5" s="178" t="s">
        <v>119</v>
      </c>
      <c r="AM5" s="179" t="s">
        <v>257</v>
      </c>
      <c r="AN5" s="180">
        <v>10</v>
      </c>
      <c r="AO5" s="181" t="s">
        <v>40</v>
      </c>
      <c r="AP5" s="182" t="s">
        <v>119</v>
      </c>
      <c r="AQ5" s="179" t="s">
        <v>257</v>
      </c>
      <c r="AR5" s="180">
        <v>10</v>
      </c>
      <c r="AS5" s="181" t="s">
        <v>40</v>
      </c>
      <c r="AT5" s="182" t="s">
        <v>119</v>
      </c>
      <c r="AU5" s="179" t="s">
        <v>257</v>
      </c>
      <c r="AV5" s="180">
        <v>10</v>
      </c>
      <c r="AW5" s="181" t="s">
        <v>40</v>
      </c>
      <c r="AX5" s="178" t="s">
        <v>119</v>
      </c>
      <c r="AY5" s="179" t="s">
        <v>257</v>
      </c>
      <c r="AZ5" s="180">
        <v>10</v>
      </c>
      <c r="BA5" s="181" t="s">
        <v>40</v>
      </c>
      <c r="BB5" s="178" t="s">
        <v>119</v>
      </c>
      <c r="BC5" s="179" t="s">
        <v>257</v>
      </c>
      <c r="BD5" s="180">
        <v>10</v>
      </c>
      <c r="BE5" s="181" t="s">
        <v>40</v>
      </c>
      <c r="BF5" s="178" t="s">
        <v>119</v>
      </c>
      <c r="BG5" s="179" t="s">
        <v>257</v>
      </c>
      <c r="BH5" s="180">
        <v>10</v>
      </c>
      <c r="BI5" s="183" t="s">
        <v>40</v>
      </c>
      <c r="BJ5" s="184" t="s">
        <v>119</v>
      </c>
      <c r="BK5" s="179" t="s">
        <v>257</v>
      </c>
      <c r="BL5" s="180">
        <v>10</v>
      </c>
      <c r="BM5" s="185" t="s">
        <v>40</v>
      </c>
      <c r="BN5" s="178" t="s">
        <v>119</v>
      </c>
      <c r="BO5" s="179" t="s">
        <v>257</v>
      </c>
      <c r="BP5" s="180">
        <v>10</v>
      </c>
      <c r="BQ5" s="181" t="s">
        <v>40</v>
      </c>
      <c r="BR5" s="182" t="s">
        <v>119</v>
      </c>
      <c r="BS5" s="179" t="s">
        <v>257</v>
      </c>
      <c r="BT5" s="180">
        <v>10</v>
      </c>
      <c r="BU5" s="181" t="s">
        <v>40</v>
      </c>
      <c r="BV5" s="182" t="s">
        <v>119</v>
      </c>
      <c r="BW5" s="179" t="s">
        <v>257</v>
      </c>
      <c r="BX5" s="180">
        <v>10</v>
      </c>
      <c r="BY5" s="181" t="s">
        <v>40</v>
      </c>
    </row>
    <row r="6" spans="1:603" s="46" customFormat="1" ht="114" x14ac:dyDescent="0.4">
      <c r="A6" s="39">
        <v>2</v>
      </c>
      <c r="B6" s="40" t="s">
        <v>120</v>
      </c>
      <c r="C6" s="41" t="s">
        <v>266</v>
      </c>
      <c r="D6" s="42">
        <v>10</v>
      </c>
      <c r="E6" s="43" t="s">
        <v>40</v>
      </c>
      <c r="F6" s="40" t="s">
        <v>120</v>
      </c>
      <c r="G6" s="41" t="s">
        <v>266</v>
      </c>
      <c r="H6" s="42">
        <v>10</v>
      </c>
      <c r="I6" s="43" t="s">
        <v>40</v>
      </c>
      <c r="J6" s="40" t="s">
        <v>120</v>
      </c>
      <c r="K6" s="41" t="s">
        <v>266</v>
      </c>
      <c r="L6" s="42">
        <v>10</v>
      </c>
      <c r="M6" s="43" t="s">
        <v>40</v>
      </c>
      <c r="N6" s="40" t="s">
        <v>120</v>
      </c>
      <c r="O6" s="41" t="s">
        <v>266</v>
      </c>
      <c r="P6" s="42">
        <v>10</v>
      </c>
      <c r="Q6" s="43" t="s">
        <v>40</v>
      </c>
      <c r="R6" s="40" t="s">
        <v>120</v>
      </c>
      <c r="S6" s="41" t="s">
        <v>266</v>
      </c>
      <c r="T6" s="42">
        <v>10</v>
      </c>
      <c r="U6" s="43" t="s">
        <v>40</v>
      </c>
      <c r="V6" s="44" t="s">
        <v>121</v>
      </c>
      <c r="W6" s="41" t="s">
        <v>266</v>
      </c>
      <c r="X6" s="42">
        <v>10</v>
      </c>
      <c r="Y6" s="43" t="s">
        <v>40</v>
      </c>
      <c r="Z6" s="40" t="s">
        <v>121</v>
      </c>
      <c r="AA6" s="41" t="s">
        <v>266</v>
      </c>
      <c r="AB6" s="42">
        <v>10</v>
      </c>
      <c r="AC6" s="43" t="s">
        <v>40</v>
      </c>
      <c r="AD6" s="40" t="s">
        <v>24</v>
      </c>
      <c r="AE6" s="41" t="s">
        <v>266</v>
      </c>
      <c r="AF6" s="42">
        <v>10</v>
      </c>
      <c r="AG6" s="43" t="s">
        <v>40</v>
      </c>
      <c r="AH6" s="40" t="s">
        <v>311</v>
      </c>
      <c r="AI6" s="45"/>
      <c r="AJ6" s="42">
        <v>10</v>
      </c>
      <c r="AK6" s="43" t="s">
        <v>40</v>
      </c>
      <c r="AL6" s="40" t="s">
        <v>312</v>
      </c>
      <c r="AM6" s="45"/>
      <c r="AN6" s="42">
        <v>10</v>
      </c>
      <c r="AO6" s="43" t="s">
        <v>40</v>
      </c>
      <c r="AP6" s="40" t="s">
        <v>120</v>
      </c>
      <c r="AQ6" s="41" t="s">
        <v>266</v>
      </c>
      <c r="AR6" s="42">
        <v>10</v>
      </c>
      <c r="AS6" s="43" t="s">
        <v>40</v>
      </c>
      <c r="AT6" s="40" t="s">
        <v>122</v>
      </c>
      <c r="AU6" s="41" t="s">
        <v>266</v>
      </c>
      <c r="AV6" s="42">
        <v>10</v>
      </c>
      <c r="AW6" s="43" t="s">
        <v>40</v>
      </c>
      <c r="AX6" s="40" t="s">
        <v>258</v>
      </c>
      <c r="AY6" s="45" t="s">
        <v>266</v>
      </c>
      <c r="AZ6" s="42">
        <v>10</v>
      </c>
      <c r="BA6" s="43" t="s">
        <v>40</v>
      </c>
      <c r="BB6" s="40" t="s">
        <v>123</v>
      </c>
      <c r="BC6" s="45" t="s">
        <v>266</v>
      </c>
      <c r="BD6" s="42">
        <v>20</v>
      </c>
      <c r="BE6" s="43" t="s">
        <v>40</v>
      </c>
      <c r="BF6" s="40" t="s">
        <v>25</v>
      </c>
      <c r="BG6" s="41" t="s">
        <v>266</v>
      </c>
      <c r="BH6" s="42">
        <v>15</v>
      </c>
      <c r="BI6" s="165" t="s">
        <v>40</v>
      </c>
      <c r="BJ6" s="166" t="s">
        <v>26</v>
      </c>
      <c r="BK6" s="41"/>
      <c r="BL6" s="42">
        <v>15</v>
      </c>
      <c r="BM6" s="167" t="s">
        <v>40</v>
      </c>
      <c r="BN6" s="40" t="s">
        <v>27</v>
      </c>
      <c r="BO6" s="41" t="s">
        <v>266</v>
      </c>
      <c r="BP6" s="42">
        <v>20</v>
      </c>
      <c r="BQ6" s="43" t="s">
        <v>40</v>
      </c>
      <c r="BR6" s="44" t="s">
        <v>175</v>
      </c>
      <c r="BS6" s="41" t="s">
        <v>176</v>
      </c>
      <c r="BT6" s="42">
        <v>30</v>
      </c>
      <c r="BU6" s="43" t="s">
        <v>40</v>
      </c>
      <c r="BV6" s="40" t="s">
        <v>177</v>
      </c>
      <c r="BW6" s="41" t="s">
        <v>178</v>
      </c>
      <c r="BX6" s="42">
        <v>20</v>
      </c>
      <c r="BY6" s="43" t="s">
        <v>40</v>
      </c>
    </row>
    <row r="7" spans="1:603" s="23" customFormat="1" ht="114" x14ac:dyDescent="0.4">
      <c r="A7" s="186">
        <v>3</v>
      </c>
      <c r="B7" s="24" t="s">
        <v>124</v>
      </c>
      <c r="C7" s="25" t="s">
        <v>266</v>
      </c>
      <c r="D7" s="187">
        <v>10</v>
      </c>
      <c r="E7" s="188" t="s">
        <v>40</v>
      </c>
      <c r="F7" s="24" t="s">
        <v>124</v>
      </c>
      <c r="G7" s="25" t="s">
        <v>266</v>
      </c>
      <c r="H7" s="187">
        <v>10</v>
      </c>
      <c r="I7" s="188" t="s">
        <v>40</v>
      </c>
      <c r="J7" s="24" t="s">
        <v>124</v>
      </c>
      <c r="K7" s="25" t="s">
        <v>266</v>
      </c>
      <c r="L7" s="187">
        <v>10</v>
      </c>
      <c r="M7" s="188" t="s">
        <v>40</v>
      </c>
      <c r="N7" s="24" t="s">
        <v>124</v>
      </c>
      <c r="O7" s="25" t="s">
        <v>266</v>
      </c>
      <c r="P7" s="187">
        <v>10</v>
      </c>
      <c r="Q7" s="188" t="s">
        <v>40</v>
      </c>
      <c r="R7" s="24" t="s">
        <v>124</v>
      </c>
      <c r="S7" s="25" t="s">
        <v>266</v>
      </c>
      <c r="T7" s="187">
        <v>10</v>
      </c>
      <c r="U7" s="188" t="s">
        <v>40</v>
      </c>
      <c r="V7" s="10" t="s">
        <v>309</v>
      </c>
      <c r="W7" s="25" t="s">
        <v>125</v>
      </c>
      <c r="X7" s="187">
        <v>10</v>
      </c>
      <c r="Y7" s="188" t="s">
        <v>40</v>
      </c>
      <c r="Z7" s="24" t="s">
        <v>309</v>
      </c>
      <c r="AA7" s="25" t="s">
        <v>125</v>
      </c>
      <c r="AB7" s="187">
        <v>10</v>
      </c>
      <c r="AC7" s="188" t="s">
        <v>40</v>
      </c>
      <c r="AD7" s="24" t="s">
        <v>321</v>
      </c>
      <c r="AE7" s="25" t="s">
        <v>266</v>
      </c>
      <c r="AF7" s="187">
        <v>10</v>
      </c>
      <c r="AG7" s="188" t="s">
        <v>40</v>
      </c>
      <c r="AH7" s="24" t="s">
        <v>313</v>
      </c>
      <c r="AI7" s="25"/>
      <c r="AJ7" s="187">
        <v>10</v>
      </c>
      <c r="AK7" s="188" t="s">
        <v>40</v>
      </c>
      <c r="AL7" s="24" t="s">
        <v>126</v>
      </c>
      <c r="AM7" s="25"/>
      <c r="AN7" s="187">
        <v>10</v>
      </c>
      <c r="AO7" s="188" t="s">
        <v>40</v>
      </c>
      <c r="AP7" s="24" t="s">
        <v>127</v>
      </c>
      <c r="AQ7" s="25" t="s">
        <v>266</v>
      </c>
      <c r="AR7" s="187">
        <v>10</v>
      </c>
      <c r="AS7" s="188" t="s">
        <v>40</v>
      </c>
      <c r="AT7" s="24" t="s">
        <v>128</v>
      </c>
      <c r="AU7" s="189" t="s">
        <v>266</v>
      </c>
      <c r="AV7" s="187">
        <v>10</v>
      </c>
      <c r="AW7" s="188" t="s">
        <v>40</v>
      </c>
      <c r="AX7" s="24" t="s">
        <v>129</v>
      </c>
      <c r="AY7" s="25" t="s">
        <v>266</v>
      </c>
      <c r="AZ7" s="187">
        <v>10</v>
      </c>
      <c r="BA7" s="188" t="s">
        <v>40</v>
      </c>
      <c r="BB7" s="24" t="s">
        <v>130</v>
      </c>
      <c r="BC7" s="25" t="s">
        <v>266</v>
      </c>
      <c r="BD7" s="187">
        <v>20</v>
      </c>
      <c r="BE7" s="188" t="s">
        <v>40</v>
      </c>
      <c r="BF7" s="24" t="s">
        <v>131</v>
      </c>
      <c r="BG7" s="25" t="s">
        <v>132</v>
      </c>
      <c r="BH7" s="187">
        <v>5</v>
      </c>
      <c r="BI7" s="190" t="s">
        <v>40</v>
      </c>
      <c r="BJ7" s="191" t="s">
        <v>131</v>
      </c>
      <c r="BK7" s="25" t="s">
        <v>132</v>
      </c>
      <c r="BL7" s="187">
        <v>5</v>
      </c>
      <c r="BM7" s="192" t="s">
        <v>40</v>
      </c>
      <c r="BN7" s="24" t="s">
        <v>133</v>
      </c>
      <c r="BO7" s="25" t="s">
        <v>266</v>
      </c>
      <c r="BP7" s="187">
        <v>30</v>
      </c>
      <c r="BQ7" s="188" t="s">
        <v>40</v>
      </c>
      <c r="BR7" s="24" t="s">
        <v>179</v>
      </c>
      <c r="BS7" s="25" t="s">
        <v>137</v>
      </c>
      <c r="BT7" s="187">
        <v>30</v>
      </c>
      <c r="BU7" s="188" t="s">
        <v>40</v>
      </c>
      <c r="BV7" s="24" t="s">
        <v>180</v>
      </c>
      <c r="BW7" s="25" t="s">
        <v>314</v>
      </c>
      <c r="BX7" s="187">
        <v>20</v>
      </c>
      <c r="BY7" s="188" t="s">
        <v>40</v>
      </c>
    </row>
    <row r="8" spans="1:603" s="46" customFormat="1" ht="101.35" x14ac:dyDescent="0.4">
      <c r="A8" s="39">
        <v>4</v>
      </c>
      <c r="B8" s="40" t="s">
        <v>134</v>
      </c>
      <c r="C8" s="41" t="s">
        <v>135</v>
      </c>
      <c r="D8" s="42">
        <v>40</v>
      </c>
      <c r="E8" s="43" t="s">
        <v>42</v>
      </c>
      <c r="F8" s="40" t="s">
        <v>136</v>
      </c>
      <c r="G8" s="41" t="s">
        <v>135</v>
      </c>
      <c r="H8" s="42">
        <v>40</v>
      </c>
      <c r="I8" s="43" t="s">
        <v>72</v>
      </c>
      <c r="J8" s="40" t="s">
        <v>134</v>
      </c>
      <c r="K8" s="41" t="s">
        <v>135</v>
      </c>
      <c r="L8" s="42">
        <v>40</v>
      </c>
      <c r="M8" s="43" t="s">
        <v>42</v>
      </c>
      <c r="N8" s="40" t="s">
        <v>134</v>
      </c>
      <c r="O8" s="41" t="s">
        <v>135</v>
      </c>
      <c r="P8" s="42">
        <v>40</v>
      </c>
      <c r="Q8" s="43" t="s">
        <v>42</v>
      </c>
      <c r="R8" s="40" t="s">
        <v>134</v>
      </c>
      <c r="S8" s="41" t="s">
        <v>135</v>
      </c>
      <c r="T8" s="42">
        <v>40</v>
      </c>
      <c r="U8" s="43" t="s">
        <v>42</v>
      </c>
      <c r="V8" s="44" t="s">
        <v>29</v>
      </c>
      <c r="W8" s="41" t="s">
        <v>137</v>
      </c>
      <c r="X8" s="42">
        <v>10</v>
      </c>
      <c r="Y8" s="43" t="s">
        <v>40</v>
      </c>
      <c r="Z8" s="40" t="s">
        <v>29</v>
      </c>
      <c r="AA8" s="41" t="s">
        <v>137</v>
      </c>
      <c r="AB8" s="42">
        <v>10</v>
      </c>
      <c r="AC8" s="43" t="s">
        <v>40</v>
      </c>
      <c r="AD8" s="40" t="s">
        <v>30</v>
      </c>
      <c r="AE8" s="41" t="s">
        <v>137</v>
      </c>
      <c r="AF8" s="42">
        <v>10</v>
      </c>
      <c r="AG8" s="43" t="s">
        <v>40</v>
      </c>
      <c r="AH8" s="40" t="s">
        <v>31</v>
      </c>
      <c r="AI8" s="41" t="s">
        <v>137</v>
      </c>
      <c r="AJ8" s="42">
        <v>10</v>
      </c>
      <c r="AK8" s="43" t="s">
        <v>40</v>
      </c>
      <c r="AL8" s="40" t="s">
        <v>31</v>
      </c>
      <c r="AM8" s="41" t="s">
        <v>137</v>
      </c>
      <c r="AN8" s="42">
        <v>10</v>
      </c>
      <c r="AO8" s="43" t="s">
        <v>40</v>
      </c>
      <c r="AP8" s="44" t="s">
        <v>31</v>
      </c>
      <c r="AQ8" s="41" t="s">
        <v>137</v>
      </c>
      <c r="AR8" s="42">
        <v>10</v>
      </c>
      <c r="AS8" s="43" t="s">
        <v>40</v>
      </c>
      <c r="AT8" s="40" t="s">
        <v>138</v>
      </c>
      <c r="AU8" s="41" t="s">
        <v>137</v>
      </c>
      <c r="AV8" s="42">
        <v>10</v>
      </c>
      <c r="AW8" s="43" t="s">
        <v>40</v>
      </c>
      <c r="AX8" s="40" t="s">
        <v>32</v>
      </c>
      <c r="AY8" s="41" t="s">
        <v>137</v>
      </c>
      <c r="AZ8" s="42">
        <v>10</v>
      </c>
      <c r="BA8" s="43" t="s">
        <v>40</v>
      </c>
      <c r="BB8" s="40" t="s">
        <v>139</v>
      </c>
      <c r="BC8" s="41" t="s">
        <v>266</v>
      </c>
      <c r="BD8" s="42">
        <v>20</v>
      </c>
      <c r="BE8" s="43" t="s">
        <v>40</v>
      </c>
      <c r="BF8" s="40" t="s">
        <v>28</v>
      </c>
      <c r="BG8" s="41" t="s">
        <v>266</v>
      </c>
      <c r="BH8" s="42">
        <v>5</v>
      </c>
      <c r="BI8" s="165" t="s">
        <v>40</v>
      </c>
      <c r="BJ8" s="166" t="s">
        <v>140</v>
      </c>
      <c r="BK8" s="41"/>
      <c r="BL8" s="42">
        <v>5</v>
      </c>
      <c r="BM8" s="167" t="s">
        <v>40</v>
      </c>
      <c r="BN8" s="40" t="s">
        <v>33</v>
      </c>
      <c r="BO8" s="41" t="s">
        <v>132</v>
      </c>
      <c r="BP8" s="42">
        <v>20</v>
      </c>
      <c r="BQ8" s="43" t="s">
        <v>40</v>
      </c>
      <c r="BR8" s="44" t="s">
        <v>181</v>
      </c>
      <c r="BS8" s="41" t="s">
        <v>266</v>
      </c>
      <c r="BT8" s="42">
        <v>30</v>
      </c>
      <c r="BU8" s="43" t="s">
        <v>40</v>
      </c>
      <c r="BV8" s="40" t="s">
        <v>182</v>
      </c>
      <c r="BW8" s="41" t="s">
        <v>137</v>
      </c>
      <c r="BX8" s="42">
        <v>20</v>
      </c>
      <c r="BY8" s="43" t="s">
        <v>40</v>
      </c>
    </row>
    <row r="9" spans="1:603" s="23" customFormat="1" ht="114.7" x14ac:dyDescent="0.4">
      <c r="A9" s="186">
        <v>5</v>
      </c>
      <c r="B9" s="193" t="s">
        <v>141</v>
      </c>
      <c r="C9" s="194" t="s">
        <v>142</v>
      </c>
      <c r="D9" s="195">
        <v>20</v>
      </c>
      <c r="E9" s="196" t="s">
        <v>40</v>
      </c>
      <c r="F9" s="193" t="s">
        <v>143</v>
      </c>
      <c r="G9" s="194" t="s">
        <v>142</v>
      </c>
      <c r="H9" s="195">
        <v>20</v>
      </c>
      <c r="I9" s="196" t="s">
        <v>40</v>
      </c>
      <c r="J9" s="193" t="s">
        <v>141</v>
      </c>
      <c r="K9" s="194" t="s">
        <v>142</v>
      </c>
      <c r="L9" s="195">
        <v>20</v>
      </c>
      <c r="M9" s="196" t="s">
        <v>40</v>
      </c>
      <c r="N9" s="193" t="s">
        <v>141</v>
      </c>
      <c r="O9" s="194" t="s">
        <v>142</v>
      </c>
      <c r="P9" s="195">
        <v>20</v>
      </c>
      <c r="Q9" s="196" t="s">
        <v>40</v>
      </c>
      <c r="R9" s="193" t="s">
        <v>141</v>
      </c>
      <c r="S9" s="194" t="s">
        <v>142</v>
      </c>
      <c r="T9" s="195">
        <v>20</v>
      </c>
      <c r="U9" s="196" t="s">
        <v>40</v>
      </c>
      <c r="V9" s="10" t="s">
        <v>34</v>
      </c>
      <c r="W9" s="25" t="s">
        <v>338</v>
      </c>
      <c r="X9" s="187">
        <v>10</v>
      </c>
      <c r="Y9" s="188" t="s">
        <v>40</v>
      </c>
      <c r="Z9" s="24" t="s">
        <v>34</v>
      </c>
      <c r="AA9" s="25" t="s">
        <v>338</v>
      </c>
      <c r="AB9" s="187">
        <v>10</v>
      </c>
      <c r="AC9" s="188" t="s">
        <v>40</v>
      </c>
      <c r="AD9" s="24" t="s">
        <v>34</v>
      </c>
      <c r="AE9" s="25" t="s">
        <v>339</v>
      </c>
      <c r="AF9" s="187">
        <v>10</v>
      </c>
      <c r="AG9" s="188" t="s">
        <v>40</v>
      </c>
      <c r="AH9" s="24" t="s">
        <v>144</v>
      </c>
      <c r="AI9" s="25" t="s">
        <v>340</v>
      </c>
      <c r="AJ9" s="187">
        <v>10</v>
      </c>
      <c r="AK9" s="188" t="s">
        <v>40</v>
      </c>
      <c r="AL9" s="24" t="s">
        <v>144</v>
      </c>
      <c r="AM9" s="25" t="s">
        <v>340</v>
      </c>
      <c r="AN9" s="187">
        <v>10</v>
      </c>
      <c r="AO9" s="188" t="s">
        <v>40</v>
      </c>
      <c r="AP9" s="10" t="s">
        <v>144</v>
      </c>
      <c r="AQ9" s="25" t="s">
        <v>341</v>
      </c>
      <c r="AR9" s="187">
        <v>10</v>
      </c>
      <c r="AS9" s="188" t="s">
        <v>40</v>
      </c>
      <c r="AT9" s="24" t="s">
        <v>145</v>
      </c>
      <c r="AU9" s="197" t="s">
        <v>342</v>
      </c>
      <c r="AV9" s="187">
        <v>10</v>
      </c>
      <c r="AW9" s="188" t="s">
        <v>40</v>
      </c>
      <c r="AX9" s="24" t="s">
        <v>146</v>
      </c>
      <c r="AY9" s="197" t="s">
        <v>342</v>
      </c>
      <c r="AZ9" s="187">
        <v>10</v>
      </c>
      <c r="BA9" s="188" t="s">
        <v>40</v>
      </c>
      <c r="BB9" s="24" t="s">
        <v>147</v>
      </c>
      <c r="BC9" s="189" t="s">
        <v>266</v>
      </c>
      <c r="BD9" s="187">
        <v>20</v>
      </c>
      <c r="BE9" s="188" t="s">
        <v>40</v>
      </c>
      <c r="BF9" s="24" t="s">
        <v>148</v>
      </c>
      <c r="BG9" s="25" t="s">
        <v>149</v>
      </c>
      <c r="BH9" s="187">
        <v>5</v>
      </c>
      <c r="BI9" s="190" t="s">
        <v>40</v>
      </c>
      <c r="BJ9" s="191" t="s">
        <v>148</v>
      </c>
      <c r="BK9" s="25" t="s">
        <v>149</v>
      </c>
      <c r="BL9" s="187">
        <v>5</v>
      </c>
      <c r="BM9" s="192" t="s">
        <v>40</v>
      </c>
      <c r="BN9" s="193" t="s">
        <v>150</v>
      </c>
      <c r="BO9" s="194" t="s">
        <v>266</v>
      </c>
      <c r="BP9" s="195">
        <v>20</v>
      </c>
      <c r="BQ9" s="196" t="s">
        <v>40</v>
      </c>
      <c r="BR9" s="10" t="s">
        <v>266</v>
      </c>
      <c r="BS9" s="194" t="s">
        <v>266</v>
      </c>
      <c r="BT9" s="195"/>
      <c r="BU9" s="207" t="s">
        <v>267</v>
      </c>
      <c r="BV9" s="10" t="s">
        <v>259</v>
      </c>
      <c r="BW9" s="194" t="s">
        <v>266</v>
      </c>
      <c r="BX9" s="187">
        <v>30</v>
      </c>
      <c r="BY9" s="188" t="s">
        <v>40</v>
      </c>
    </row>
    <row r="10" spans="1:603" s="46" customFormat="1" ht="101.35" x14ac:dyDescent="0.4">
      <c r="A10" s="39">
        <v>6</v>
      </c>
      <c r="B10" s="47" t="s">
        <v>260</v>
      </c>
      <c r="C10" s="48" t="s">
        <v>266</v>
      </c>
      <c r="D10" s="49">
        <v>20</v>
      </c>
      <c r="E10" s="50" t="s">
        <v>40</v>
      </c>
      <c r="F10" s="47" t="s">
        <v>322</v>
      </c>
      <c r="G10" s="48" t="s">
        <v>266</v>
      </c>
      <c r="H10" s="49">
        <v>20</v>
      </c>
      <c r="I10" s="50" t="s">
        <v>40</v>
      </c>
      <c r="J10" s="47" t="s">
        <v>260</v>
      </c>
      <c r="K10" s="48" t="s">
        <v>266</v>
      </c>
      <c r="L10" s="49">
        <v>20</v>
      </c>
      <c r="M10" s="50" t="s">
        <v>40</v>
      </c>
      <c r="N10" s="47" t="s">
        <v>260</v>
      </c>
      <c r="O10" s="48" t="s">
        <v>266</v>
      </c>
      <c r="P10" s="49">
        <v>20</v>
      </c>
      <c r="Q10" s="50" t="s">
        <v>40</v>
      </c>
      <c r="R10" s="47" t="s">
        <v>260</v>
      </c>
      <c r="S10" s="48" t="s">
        <v>266</v>
      </c>
      <c r="T10" s="49">
        <v>20</v>
      </c>
      <c r="U10" s="50" t="s">
        <v>40</v>
      </c>
      <c r="V10" s="44" t="s">
        <v>151</v>
      </c>
      <c r="W10" s="45" t="s">
        <v>266</v>
      </c>
      <c r="X10" s="42">
        <v>10</v>
      </c>
      <c r="Y10" s="43" t="s">
        <v>40</v>
      </c>
      <c r="Z10" s="40" t="s">
        <v>152</v>
      </c>
      <c r="AA10" s="41" t="s">
        <v>266</v>
      </c>
      <c r="AB10" s="42">
        <v>10</v>
      </c>
      <c r="AC10" s="43" t="s">
        <v>40</v>
      </c>
      <c r="AD10" s="40" t="s">
        <v>261</v>
      </c>
      <c r="AE10" s="41" t="s">
        <v>266</v>
      </c>
      <c r="AF10" s="42">
        <v>10</v>
      </c>
      <c r="AG10" s="43" t="s">
        <v>40</v>
      </c>
      <c r="AH10" s="40" t="s">
        <v>261</v>
      </c>
      <c r="AI10" s="41"/>
      <c r="AJ10" s="42">
        <v>10</v>
      </c>
      <c r="AK10" s="43" t="s">
        <v>40</v>
      </c>
      <c r="AL10" s="40" t="s">
        <v>261</v>
      </c>
      <c r="AM10" s="41"/>
      <c r="AN10" s="42">
        <v>10</v>
      </c>
      <c r="AO10" s="43" t="s">
        <v>40</v>
      </c>
      <c r="AP10" s="44" t="s">
        <v>261</v>
      </c>
      <c r="AQ10" s="45" t="s">
        <v>266</v>
      </c>
      <c r="AR10" s="42">
        <v>10</v>
      </c>
      <c r="AS10" s="43" t="s">
        <v>40</v>
      </c>
      <c r="AT10" s="40" t="s">
        <v>262</v>
      </c>
      <c r="AU10" s="41" t="s">
        <v>266</v>
      </c>
      <c r="AV10" s="42">
        <v>10</v>
      </c>
      <c r="AW10" s="43" t="s">
        <v>40</v>
      </c>
      <c r="AX10" s="40" t="s">
        <v>153</v>
      </c>
      <c r="AY10" s="41" t="s">
        <v>266</v>
      </c>
      <c r="AZ10" s="42">
        <v>20</v>
      </c>
      <c r="BA10" s="43" t="s">
        <v>40</v>
      </c>
      <c r="BB10" s="40" t="s">
        <v>154</v>
      </c>
      <c r="BC10" s="41" t="s">
        <v>266</v>
      </c>
      <c r="BD10" s="42">
        <v>5</v>
      </c>
      <c r="BE10" s="43" t="s">
        <v>40</v>
      </c>
      <c r="BF10" s="40" t="s">
        <v>35</v>
      </c>
      <c r="BG10" s="41" t="s">
        <v>149</v>
      </c>
      <c r="BH10" s="42">
        <v>5</v>
      </c>
      <c r="BI10" s="165" t="s">
        <v>40</v>
      </c>
      <c r="BJ10" s="166" t="s">
        <v>266</v>
      </c>
      <c r="BK10" s="41" t="s">
        <v>330</v>
      </c>
      <c r="BL10" s="42">
        <v>0</v>
      </c>
      <c r="BM10" s="167" t="s">
        <v>40</v>
      </c>
      <c r="BN10" s="40" t="s">
        <v>266</v>
      </c>
      <c r="BO10" s="41" t="s">
        <v>266</v>
      </c>
      <c r="BP10" s="42"/>
      <c r="BQ10" s="208" t="s">
        <v>267</v>
      </c>
      <c r="BR10" s="44" t="s">
        <v>266</v>
      </c>
      <c r="BS10" s="41" t="s">
        <v>266</v>
      </c>
      <c r="BT10" s="42"/>
      <c r="BU10" s="43" t="s">
        <v>267</v>
      </c>
      <c r="BV10" s="44" t="s">
        <v>266</v>
      </c>
      <c r="BW10" s="41" t="s">
        <v>266</v>
      </c>
      <c r="BX10" s="42"/>
      <c r="BY10" s="208" t="s">
        <v>267</v>
      </c>
    </row>
    <row r="11" spans="1:603" s="23" customFormat="1" ht="140.35" x14ac:dyDescent="0.4">
      <c r="A11" s="186">
        <v>7</v>
      </c>
      <c r="B11" s="193" t="s">
        <v>264</v>
      </c>
      <c r="C11" s="194" t="s">
        <v>266</v>
      </c>
      <c r="D11" s="195">
        <v>20</v>
      </c>
      <c r="E11" s="196" t="s">
        <v>40</v>
      </c>
      <c r="F11" s="193" t="s">
        <v>323</v>
      </c>
      <c r="G11" s="194" t="s">
        <v>266</v>
      </c>
      <c r="H11" s="195">
        <v>20</v>
      </c>
      <c r="I11" s="196" t="s">
        <v>40</v>
      </c>
      <c r="J11" s="193" t="s">
        <v>264</v>
      </c>
      <c r="K11" s="194" t="s">
        <v>266</v>
      </c>
      <c r="L11" s="195">
        <v>20</v>
      </c>
      <c r="M11" s="196" t="s">
        <v>40</v>
      </c>
      <c r="N11" s="193" t="s">
        <v>264</v>
      </c>
      <c r="O11" s="194" t="s">
        <v>266</v>
      </c>
      <c r="P11" s="195">
        <v>20</v>
      </c>
      <c r="Q11" s="196" t="s">
        <v>40</v>
      </c>
      <c r="R11" s="193" t="s">
        <v>264</v>
      </c>
      <c r="S11" s="194" t="s">
        <v>266</v>
      </c>
      <c r="T11" s="195">
        <v>20</v>
      </c>
      <c r="U11" s="196" t="s">
        <v>40</v>
      </c>
      <c r="V11" s="10" t="s">
        <v>156</v>
      </c>
      <c r="W11" s="25" t="s">
        <v>266</v>
      </c>
      <c r="X11" s="187">
        <v>10</v>
      </c>
      <c r="Y11" s="188" t="s">
        <v>40</v>
      </c>
      <c r="Z11" s="10" t="s">
        <v>156</v>
      </c>
      <c r="AA11" s="25" t="s">
        <v>266</v>
      </c>
      <c r="AB11" s="187">
        <v>10</v>
      </c>
      <c r="AC11" s="188" t="s">
        <v>40</v>
      </c>
      <c r="AD11" s="10" t="s">
        <v>156</v>
      </c>
      <c r="AE11" s="25" t="s">
        <v>266</v>
      </c>
      <c r="AF11" s="187">
        <v>10</v>
      </c>
      <c r="AG11" s="188" t="s">
        <v>40</v>
      </c>
      <c r="AH11" s="10" t="s">
        <v>156</v>
      </c>
      <c r="AI11" s="25" t="s">
        <v>266</v>
      </c>
      <c r="AJ11" s="187">
        <v>10</v>
      </c>
      <c r="AK11" s="188" t="s">
        <v>40</v>
      </c>
      <c r="AL11" s="10" t="s">
        <v>156</v>
      </c>
      <c r="AM11" s="25" t="s">
        <v>266</v>
      </c>
      <c r="AN11" s="187">
        <v>10</v>
      </c>
      <c r="AO11" s="188" t="s">
        <v>40</v>
      </c>
      <c r="AP11" s="10" t="s">
        <v>156</v>
      </c>
      <c r="AQ11" s="25" t="s">
        <v>266</v>
      </c>
      <c r="AR11" s="187">
        <v>10</v>
      </c>
      <c r="AS11" s="188" t="s">
        <v>40</v>
      </c>
      <c r="AT11" s="24" t="s">
        <v>324</v>
      </c>
      <c r="AU11" s="189" t="s">
        <v>266</v>
      </c>
      <c r="AV11" s="187">
        <v>15</v>
      </c>
      <c r="AW11" s="188" t="s">
        <v>40</v>
      </c>
      <c r="AX11" s="10" t="s">
        <v>343</v>
      </c>
      <c r="AY11" s="25" t="s">
        <v>266</v>
      </c>
      <c r="AZ11" s="187">
        <v>20</v>
      </c>
      <c r="BA11" s="188" t="s">
        <v>40</v>
      </c>
      <c r="BB11" s="24" t="s">
        <v>157</v>
      </c>
      <c r="BC11" s="25" t="s">
        <v>266</v>
      </c>
      <c r="BD11" s="187">
        <v>5</v>
      </c>
      <c r="BE11" s="188" t="s">
        <v>40</v>
      </c>
      <c r="BF11" s="24" t="s">
        <v>155</v>
      </c>
      <c r="BG11" s="25" t="s">
        <v>263</v>
      </c>
      <c r="BH11" s="187">
        <v>10</v>
      </c>
      <c r="BI11" s="190" t="s">
        <v>40</v>
      </c>
      <c r="BJ11" s="227" t="s">
        <v>331</v>
      </c>
      <c r="BK11" s="228" t="s">
        <v>263</v>
      </c>
      <c r="BL11" s="229">
        <v>10</v>
      </c>
      <c r="BM11" s="192" t="s">
        <v>40</v>
      </c>
      <c r="BN11" s="24" t="s">
        <v>266</v>
      </c>
      <c r="BO11" s="25" t="s">
        <v>266</v>
      </c>
      <c r="BP11" s="187"/>
      <c r="BQ11" s="15" t="s">
        <v>267</v>
      </c>
      <c r="BR11" s="10" t="s">
        <v>266</v>
      </c>
      <c r="BS11" s="25" t="s">
        <v>266</v>
      </c>
      <c r="BT11" s="187"/>
      <c r="BU11" s="209" t="s">
        <v>267</v>
      </c>
      <c r="BV11" s="10" t="s">
        <v>266</v>
      </c>
      <c r="BW11" s="25" t="s">
        <v>266</v>
      </c>
      <c r="BX11" s="187"/>
      <c r="BY11" s="188" t="s">
        <v>267</v>
      </c>
    </row>
    <row r="12" spans="1:603" s="46" customFormat="1" ht="178.35" x14ac:dyDescent="0.4">
      <c r="A12" s="39">
        <v>8</v>
      </c>
      <c r="B12" s="51" t="s">
        <v>158</v>
      </c>
      <c r="C12" s="46" t="s">
        <v>159</v>
      </c>
      <c r="D12" s="42">
        <v>10</v>
      </c>
      <c r="E12" s="43" t="s">
        <v>40</v>
      </c>
      <c r="F12" s="40" t="s">
        <v>158</v>
      </c>
      <c r="G12" s="41" t="s">
        <v>159</v>
      </c>
      <c r="H12" s="42">
        <v>10</v>
      </c>
      <c r="I12" s="43" t="s">
        <v>40</v>
      </c>
      <c r="J12" s="51" t="s">
        <v>158</v>
      </c>
      <c r="K12" s="46" t="s">
        <v>159</v>
      </c>
      <c r="L12" s="42">
        <v>10</v>
      </c>
      <c r="M12" s="43" t="s">
        <v>40</v>
      </c>
      <c r="N12" s="51" t="s">
        <v>158</v>
      </c>
      <c r="O12" s="46" t="s">
        <v>159</v>
      </c>
      <c r="P12" s="42">
        <v>10</v>
      </c>
      <c r="Q12" s="43" t="s">
        <v>40</v>
      </c>
      <c r="R12" s="51" t="s">
        <v>158</v>
      </c>
      <c r="S12" s="46" t="s">
        <v>159</v>
      </c>
      <c r="T12" s="42">
        <v>10</v>
      </c>
      <c r="U12" s="43" t="s">
        <v>40</v>
      </c>
      <c r="V12" s="44" t="s">
        <v>160</v>
      </c>
      <c r="W12" s="41" t="s">
        <v>315</v>
      </c>
      <c r="X12" s="42">
        <v>10</v>
      </c>
      <c r="Y12" s="43" t="s">
        <v>40</v>
      </c>
      <c r="Z12" s="44" t="s">
        <v>160</v>
      </c>
      <c r="AA12" s="41" t="s">
        <v>315</v>
      </c>
      <c r="AB12" s="42">
        <v>10</v>
      </c>
      <c r="AC12" s="43" t="s">
        <v>40</v>
      </c>
      <c r="AD12" s="44" t="s">
        <v>160</v>
      </c>
      <c r="AE12" s="41" t="s">
        <v>315</v>
      </c>
      <c r="AF12" s="42">
        <v>10</v>
      </c>
      <c r="AG12" s="43" t="s">
        <v>40</v>
      </c>
      <c r="AH12" s="44" t="s">
        <v>160</v>
      </c>
      <c r="AI12" s="41" t="s">
        <v>315</v>
      </c>
      <c r="AJ12" s="42">
        <v>10</v>
      </c>
      <c r="AK12" s="43" t="s">
        <v>40</v>
      </c>
      <c r="AL12" s="44" t="s">
        <v>160</v>
      </c>
      <c r="AM12" s="41" t="s">
        <v>315</v>
      </c>
      <c r="AN12" s="42">
        <v>10</v>
      </c>
      <c r="AO12" s="43" t="s">
        <v>40</v>
      </c>
      <c r="AP12" s="44" t="s">
        <v>160</v>
      </c>
      <c r="AQ12" s="41" t="s">
        <v>315</v>
      </c>
      <c r="AR12" s="42">
        <v>10</v>
      </c>
      <c r="AS12" s="43" t="s">
        <v>40</v>
      </c>
      <c r="AT12" s="40" t="s">
        <v>325</v>
      </c>
      <c r="AU12" s="41" t="s">
        <v>344</v>
      </c>
      <c r="AV12" s="42">
        <v>15</v>
      </c>
      <c r="AW12" s="43" t="s">
        <v>40</v>
      </c>
      <c r="AX12" s="47" t="s">
        <v>345</v>
      </c>
      <c r="AY12" s="48" t="s">
        <v>346</v>
      </c>
      <c r="AZ12" s="49">
        <v>20</v>
      </c>
      <c r="BA12" s="43" t="s">
        <v>40</v>
      </c>
      <c r="BB12" s="40" t="s">
        <v>266</v>
      </c>
      <c r="BC12" s="41" t="s">
        <v>266</v>
      </c>
      <c r="BD12" s="42"/>
      <c r="BE12" s="43" t="s">
        <v>267</v>
      </c>
      <c r="BF12" s="40" t="s">
        <v>36</v>
      </c>
      <c r="BG12" s="41" t="s">
        <v>266</v>
      </c>
      <c r="BH12" s="42">
        <v>5</v>
      </c>
      <c r="BI12" s="165" t="s">
        <v>40</v>
      </c>
      <c r="BJ12" s="166" t="s">
        <v>36</v>
      </c>
      <c r="BK12" s="41" t="s">
        <v>266</v>
      </c>
      <c r="BL12" s="42">
        <v>5</v>
      </c>
      <c r="BM12" s="167" t="s">
        <v>40</v>
      </c>
      <c r="BN12" s="40" t="s">
        <v>266</v>
      </c>
      <c r="BO12" s="41" t="s">
        <v>266</v>
      </c>
      <c r="BP12" s="42"/>
      <c r="BQ12" s="210" t="s">
        <v>267</v>
      </c>
      <c r="BR12" s="44" t="s">
        <v>266</v>
      </c>
      <c r="BS12" s="41" t="s">
        <v>266</v>
      </c>
      <c r="BT12" s="42"/>
      <c r="BU12" s="208" t="s">
        <v>267</v>
      </c>
      <c r="BV12" s="44" t="s">
        <v>266</v>
      </c>
      <c r="BW12" s="41" t="s">
        <v>266</v>
      </c>
      <c r="BX12" s="42"/>
      <c r="BY12" s="211" t="s">
        <v>267</v>
      </c>
    </row>
    <row r="13" spans="1:603" s="23" customFormat="1" ht="93.35" x14ac:dyDescent="0.4">
      <c r="A13" s="198">
        <v>9</v>
      </c>
      <c r="B13" s="12" t="s">
        <v>37</v>
      </c>
      <c r="C13" s="13" t="s">
        <v>266</v>
      </c>
      <c r="D13" s="14">
        <v>20</v>
      </c>
      <c r="E13" s="15" t="s">
        <v>39</v>
      </c>
      <c r="F13" s="12" t="s">
        <v>37</v>
      </c>
      <c r="G13" s="13" t="s">
        <v>266</v>
      </c>
      <c r="H13" s="14">
        <v>20</v>
      </c>
      <c r="I13" s="15" t="s">
        <v>39</v>
      </c>
      <c r="J13" s="12" t="s">
        <v>37</v>
      </c>
      <c r="K13" s="13" t="s">
        <v>266</v>
      </c>
      <c r="L13" s="14">
        <v>20</v>
      </c>
      <c r="M13" s="15" t="s">
        <v>39</v>
      </c>
      <c r="N13" s="12" t="s">
        <v>37</v>
      </c>
      <c r="O13" s="13" t="s">
        <v>266</v>
      </c>
      <c r="P13" s="14">
        <v>20</v>
      </c>
      <c r="Q13" s="15" t="s">
        <v>39</v>
      </c>
      <c r="R13" s="12" t="s">
        <v>326</v>
      </c>
      <c r="S13" s="13" t="s">
        <v>266</v>
      </c>
      <c r="T13" s="14">
        <v>20</v>
      </c>
      <c r="U13" s="15" t="s">
        <v>39</v>
      </c>
      <c r="V13" s="199" t="s">
        <v>162</v>
      </c>
      <c r="W13" s="13" t="s">
        <v>163</v>
      </c>
      <c r="X13" s="14">
        <v>10</v>
      </c>
      <c r="Y13" s="15" t="s">
        <v>40</v>
      </c>
      <c r="Z13" s="199" t="s">
        <v>162</v>
      </c>
      <c r="AA13" s="13" t="s">
        <v>163</v>
      </c>
      <c r="AB13" s="14">
        <v>10</v>
      </c>
      <c r="AC13" s="15" t="s">
        <v>40</v>
      </c>
      <c r="AD13" s="199" t="s">
        <v>162</v>
      </c>
      <c r="AE13" s="13" t="s">
        <v>163</v>
      </c>
      <c r="AF13" s="14">
        <v>10</v>
      </c>
      <c r="AG13" s="15" t="s">
        <v>40</v>
      </c>
      <c r="AH13" s="199" t="s">
        <v>162</v>
      </c>
      <c r="AI13" s="13" t="s">
        <v>163</v>
      </c>
      <c r="AJ13" s="14">
        <v>10</v>
      </c>
      <c r="AK13" s="15" t="s">
        <v>40</v>
      </c>
      <c r="AL13" s="199" t="s">
        <v>162</v>
      </c>
      <c r="AM13" s="13" t="s">
        <v>163</v>
      </c>
      <c r="AN13" s="14">
        <v>10</v>
      </c>
      <c r="AO13" s="15" t="s">
        <v>40</v>
      </c>
      <c r="AP13" s="199" t="s">
        <v>162</v>
      </c>
      <c r="AQ13" s="13" t="s">
        <v>163</v>
      </c>
      <c r="AR13" s="14">
        <v>10</v>
      </c>
      <c r="AS13" s="15" t="s">
        <v>40</v>
      </c>
      <c r="AT13" s="12" t="s">
        <v>266</v>
      </c>
      <c r="AU13" s="13" t="s">
        <v>330</v>
      </c>
      <c r="AV13" s="14">
        <v>0</v>
      </c>
      <c r="AW13" s="15" t="s">
        <v>267</v>
      </c>
      <c r="AX13" s="200" t="s">
        <v>347</v>
      </c>
      <c r="AY13" s="201" t="s">
        <v>266</v>
      </c>
      <c r="AZ13" s="202">
        <v>20</v>
      </c>
      <c r="BA13" s="188" t="s">
        <v>40</v>
      </c>
      <c r="BB13" s="24" t="s">
        <v>266</v>
      </c>
      <c r="BC13" s="13" t="s">
        <v>266</v>
      </c>
      <c r="BD13" s="14"/>
      <c r="BE13" s="15" t="s">
        <v>267</v>
      </c>
      <c r="BF13" s="12" t="s">
        <v>161</v>
      </c>
      <c r="BG13" s="203" t="s">
        <v>266</v>
      </c>
      <c r="BH13" s="14">
        <v>15</v>
      </c>
      <c r="BI13" s="204" t="s">
        <v>40</v>
      </c>
      <c r="BJ13" s="230" t="s">
        <v>161</v>
      </c>
      <c r="BK13" s="231" t="s">
        <v>266</v>
      </c>
      <c r="BL13" s="232">
        <v>15</v>
      </c>
      <c r="BM13" s="192" t="s">
        <v>40</v>
      </c>
      <c r="BN13" s="12" t="s">
        <v>266</v>
      </c>
      <c r="BO13" s="13" t="s">
        <v>266</v>
      </c>
      <c r="BP13" s="14"/>
      <c r="BQ13" s="209" t="s">
        <v>267</v>
      </c>
      <c r="BR13" s="199" t="s">
        <v>266</v>
      </c>
      <c r="BS13" s="13" t="s">
        <v>266</v>
      </c>
      <c r="BT13" s="14"/>
      <c r="BU13" s="188" t="s">
        <v>267</v>
      </c>
      <c r="BV13" s="199" t="s">
        <v>266</v>
      </c>
      <c r="BW13" s="13" t="s">
        <v>266</v>
      </c>
      <c r="BX13" s="14"/>
      <c r="BY13" s="188" t="s">
        <v>267</v>
      </c>
    </row>
    <row r="14" spans="1:603" s="46" customFormat="1" ht="38.35" thickBot="1" x14ac:dyDescent="0.45">
      <c r="A14" s="52">
        <v>10</v>
      </c>
      <c r="B14" s="53" t="s">
        <v>266</v>
      </c>
      <c r="C14" s="54" t="s">
        <v>266</v>
      </c>
      <c r="D14" s="55"/>
      <c r="E14" s="56" t="s">
        <v>267</v>
      </c>
      <c r="F14" s="53" t="s">
        <v>266</v>
      </c>
      <c r="G14" s="54" t="s">
        <v>266</v>
      </c>
      <c r="H14" s="55"/>
      <c r="I14" s="56" t="s">
        <v>267</v>
      </c>
      <c r="J14" s="53" t="s">
        <v>266</v>
      </c>
      <c r="K14" s="54" t="s">
        <v>266</v>
      </c>
      <c r="L14" s="55"/>
      <c r="M14" s="56" t="s">
        <v>267</v>
      </c>
      <c r="N14" s="53" t="s">
        <v>266</v>
      </c>
      <c r="O14" s="54" t="s">
        <v>266</v>
      </c>
      <c r="P14" s="55"/>
      <c r="Q14" s="56" t="s">
        <v>267</v>
      </c>
      <c r="R14" s="53" t="s">
        <v>266</v>
      </c>
      <c r="S14" s="54" t="s">
        <v>266</v>
      </c>
      <c r="T14" s="55"/>
      <c r="U14" s="56" t="s">
        <v>267</v>
      </c>
      <c r="V14" s="57" t="s">
        <v>164</v>
      </c>
      <c r="W14" s="54" t="s">
        <v>266</v>
      </c>
      <c r="X14" s="55">
        <v>10</v>
      </c>
      <c r="Y14" s="56" t="s">
        <v>39</v>
      </c>
      <c r="Z14" s="57" t="s">
        <v>164</v>
      </c>
      <c r="AA14" s="54" t="s">
        <v>266</v>
      </c>
      <c r="AB14" s="55">
        <v>10</v>
      </c>
      <c r="AC14" s="56" t="s">
        <v>39</v>
      </c>
      <c r="AD14" s="57" t="s">
        <v>164</v>
      </c>
      <c r="AE14" s="54" t="s">
        <v>266</v>
      </c>
      <c r="AF14" s="55">
        <v>10</v>
      </c>
      <c r="AG14" s="56" t="s">
        <v>39</v>
      </c>
      <c r="AH14" s="57" t="s">
        <v>164</v>
      </c>
      <c r="AI14" s="54" t="s">
        <v>266</v>
      </c>
      <c r="AJ14" s="55">
        <v>10</v>
      </c>
      <c r="AK14" s="56" t="s">
        <v>39</v>
      </c>
      <c r="AL14" s="57" t="s">
        <v>164</v>
      </c>
      <c r="AM14" s="54" t="s">
        <v>266</v>
      </c>
      <c r="AN14" s="55">
        <v>10</v>
      </c>
      <c r="AO14" s="56" t="s">
        <v>39</v>
      </c>
      <c r="AP14" s="57" t="s">
        <v>164</v>
      </c>
      <c r="AQ14" s="54" t="s">
        <v>266</v>
      </c>
      <c r="AR14" s="55">
        <v>10</v>
      </c>
      <c r="AS14" s="56" t="s">
        <v>39</v>
      </c>
      <c r="AT14" s="53" t="s">
        <v>327</v>
      </c>
      <c r="AU14" s="54" t="s">
        <v>266</v>
      </c>
      <c r="AV14" s="55">
        <v>10</v>
      </c>
      <c r="AW14" s="56" t="s">
        <v>39</v>
      </c>
      <c r="AX14" s="53" t="s">
        <v>165</v>
      </c>
      <c r="AY14" s="54" t="s">
        <v>266</v>
      </c>
      <c r="AZ14" s="55">
        <v>10</v>
      </c>
      <c r="BA14" s="56" t="s">
        <v>39</v>
      </c>
      <c r="BB14" s="53" t="s">
        <v>266</v>
      </c>
      <c r="BC14" s="54" t="s">
        <v>266</v>
      </c>
      <c r="BD14" s="55"/>
      <c r="BE14" s="56" t="s">
        <v>267</v>
      </c>
      <c r="BF14" s="53" t="s">
        <v>38</v>
      </c>
      <c r="BG14" s="54" t="s">
        <v>266</v>
      </c>
      <c r="BH14" s="55">
        <v>25</v>
      </c>
      <c r="BI14" s="168" t="s">
        <v>40</v>
      </c>
      <c r="BJ14" s="212" t="s">
        <v>38</v>
      </c>
      <c r="BK14" s="54" t="s">
        <v>266</v>
      </c>
      <c r="BL14" s="55">
        <v>30</v>
      </c>
      <c r="BM14" s="213" t="s">
        <v>40</v>
      </c>
      <c r="BN14" s="53" t="s">
        <v>266</v>
      </c>
      <c r="BO14" s="54" t="s">
        <v>266</v>
      </c>
      <c r="BP14" s="55"/>
      <c r="BQ14" s="56" t="s">
        <v>267</v>
      </c>
      <c r="BR14" s="57" t="s">
        <v>266</v>
      </c>
      <c r="BS14" s="54" t="s">
        <v>266</v>
      </c>
      <c r="BT14" s="55"/>
      <c r="BU14" s="214" t="s">
        <v>267</v>
      </c>
      <c r="BV14" s="57" t="s">
        <v>266</v>
      </c>
      <c r="BW14" s="54" t="s">
        <v>266</v>
      </c>
      <c r="BX14" s="55"/>
      <c r="BY14" s="214" t="s">
        <v>267</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OSiZ8Q/igpNCsvsH4QtYL06TxWE2ZMDFi5PNwJ507cWBmAR6KApETuFmJKO1hB5q+cXc5oAyj74+aRsJLicNQQ==" saltValue="MdHCq8VkJ4OotgE12V7Vww==" spinCount="100000" sheet="1" objects="1" scenarios="1" formatRows="0"/>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J56"/>
  <sheetViews>
    <sheetView showGridLines="0" topLeftCell="B13" zoomScale="115" zoomScaleNormal="115" workbookViewId="0">
      <selection activeCell="D21" sqref="D21:D25"/>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0</v>
      </c>
      <c r="F3" s="58" t="s">
        <v>0</v>
      </c>
      <c r="G3" s="59" t="s">
        <v>45</v>
      </c>
      <c r="H3" s="59" t="s">
        <v>45</v>
      </c>
      <c r="I3" s="337" t="s">
        <v>270</v>
      </c>
      <c r="J3" s="338"/>
    </row>
    <row r="4" spans="1:10" x14ac:dyDescent="0.4">
      <c r="A4" t="s">
        <v>14</v>
      </c>
      <c r="B4" t="s">
        <v>21</v>
      </c>
      <c r="C4" t="s">
        <v>85</v>
      </c>
      <c r="D4" s="4" t="s">
        <v>48</v>
      </c>
      <c r="E4" s="1" t="s">
        <v>49</v>
      </c>
      <c r="F4" s="3" t="s">
        <v>50</v>
      </c>
      <c r="G4" s="1" t="s">
        <v>9</v>
      </c>
      <c r="H4" t="s">
        <v>51</v>
      </c>
      <c r="I4" s="169" t="s">
        <v>49</v>
      </c>
      <c r="J4" s="170" t="s">
        <v>271</v>
      </c>
    </row>
    <row r="5" spans="1:10" x14ac:dyDescent="0.4">
      <c r="A5" t="s">
        <v>114</v>
      </c>
      <c r="B5" t="s">
        <v>22</v>
      </c>
      <c r="C5" t="s">
        <v>86</v>
      </c>
      <c r="D5" s="2" t="s">
        <v>12</v>
      </c>
      <c r="E5" s="1" t="s">
        <v>46</v>
      </c>
      <c r="F5" s="3" t="s">
        <v>52</v>
      </c>
      <c r="G5" s="1" t="s">
        <v>53</v>
      </c>
      <c r="H5" t="s">
        <v>54</v>
      </c>
      <c r="I5" s="169" t="s">
        <v>46</v>
      </c>
      <c r="J5" s="170" t="s">
        <v>272</v>
      </c>
    </row>
    <row r="6" spans="1:10" x14ac:dyDescent="0.4">
      <c r="A6" t="s">
        <v>115</v>
      </c>
      <c r="B6" t="s">
        <v>23</v>
      </c>
      <c r="C6" t="s">
        <v>87</v>
      </c>
      <c r="D6" s="60" t="s">
        <v>11</v>
      </c>
      <c r="E6" s="1" t="s">
        <v>10</v>
      </c>
      <c r="F6" s="3" t="s">
        <v>55</v>
      </c>
      <c r="I6" s="169" t="s">
        <v>10</v>
      </c>
      <c r="J6" s="171" t="s">
        <v>273</v>
      </c>
    </row>
    <row r="7" spans="1:10" x14ac:dyDescent="0.4">
      <c r="A7" t="s">
        <v>16</v>
      </c>
      <c r="D7" s="6" t="s">
        <v>265</v>
      </c>
      <c r="E7" s="1" t="s">
        <v>57</v>
      </c>
      <c r="F7" s="3" t="s">
        <v>58</v>
      </c>
      <c r="I7" s="169" t="s">
        <v>57</v>
      </c>
      <c r="J7" s="171" t="s">
        <v>274</v>
      </c>
    </row>
    <row r="8" spans="1:10" x14ac:dyDescent="0.4">
      <c r="A8" t="s">
        <v>2</v>
      </c>
      <c r="D8" s="2" t="s">
        <v>59</v>
      </c>
      <c r="E8" s="1" t="s">
        <v>60</v>
      </c>
      <c r="F8" s="5"/>
      <c r="I8" s="169" t="s">
        <v>60</v>
      </c>
      <c r="J8" s="171" t="s">
        <v>275</v>
      </c>
    </row>
    <row r="9" spans="1:10" x14ac:dyDescent="0.4">
      <c r="A9" t="s">
        <v>310</v>
      </c>
      <c r="D9" s="2" t="s">
        <v>61</v>
      </c>
      <c r="E9" s="1" t="s">
        <v>62</v>
      </c>
      <c r="F9" s="5"/>
      <c r="I9" s="169" t="s">
        <v>62</v>
      </c>
      <c r="J9" s="170" t="s">
        <v>276</v>
      </c>
    </row>
    <row r="10" spans="1:10" x14ac:dyDescent="0.4">
      <c r="A10" t="s">
        <v>18</v>
      </c>
      <c r="E10" s="1" t="s">
        <v>47</v>
      </c>
      <c r="F10" s="1"/>
      <c r="I10" s="169" t="s">
        <v>64</v>
      </c>
      <c r="J10" s="170" t="s">
        <v>277</v>
      </c>
    </row>
    <row r="11" spans="1:10" x14ac:dyDescent="0.4">
      <c r="A11" t="s">
        <v>3</v>
      </c>
      <c r="E11" s="1" t="s">
        <v>56</v>
      </c>
      <c r="I11" s="169" t="s">
        <v>47</v>
      </c>
      <c r="J11" s="170" t="s">
        <v>278</v>
      </c>
    </row>
    <row r="12" spans="1:10" x14ac:dyDescent="0.4">
      <c r="A12" t="s">
        <v>20</v>
      </c>
      <c r="E12" s="1" t="s">
        <v>65</v>
      </c>
      <c r="I12" s="169" t="s">
        <v>56</v>
      </c>
      <c r="J12" s="170" t="s">
        <v>279</v>
      </c>
    </row>
    <row r="13" spans="1:10" x14ac:dyDescent="0.4">
      <c r="A13" t="s">
        <v>17</v>
      </c>
      <c r="E13" s="1" t="s">
        <v>66</v>
      </c>
      <c r="I13" s="169" t="s">
        <v>65</v>
      </c>
      <c r="J13" s="170" t="s">
        <v>274</v>
      </c>
    </row>
    <row r="14" spans="1:10" x14ac:dyDescent="0.4">
      <c r="A14" t="s">
        <v>19</v>
      </c>
      <c r="E14" s="1" t="s">
        <v>67</v>
      </c>
      <c r="I14" s="169" t="s">
        <v>68</v>
      </c>
      <c r="J14" s="170" t="s">
        <v>280</v>
      </c>
    </row>
    <row r="15" spans="1:10" x14ac:dyDescent="0.4">
      <c r="A15" t="s">
        <v>69</v>
      </c>
      <c r="E15" s="3" t="s">
        <v>63</v>
      </c>
      <c r="I15" s="169" t="s">
        <v>66</v>
      </c>
      <c r="J15" s="170" t="s">
        <v>281</v>
      </c>
    </row>
    <row r="16" spans="1:10" x14ac:dyDescent="0.4">
      <c r="E16" s="3" t="s">
        <v>50</v>
      </c>
      <c r="I16" s="172" t="s">
        <v>282</v>
      </c>
      <c r="J16" s="173" t="s">
        <v>283</v>
      </c>
    </row>
    <row r="17" spans="1:10" x14ac:dyDescent="0.4">
      <c r="E17" s="1" t="s">
        <v>52</v>
      </c>
      <c r="I17" s="172" t="s">
        <v>284</v>
      </c>
      <c r="J17" s="173" t="s">
        <v>285</v>
      </c>
    </row>
    <row r="18" spans="1:10" x14ac:dyDescent="0.4">
      <c r="E18" s="1" t="s">
        <v>64</v>
      </c>
      <c r="I18" s="172" t="s">
        <v>286</v>
      </c>
      <c r="J18" s="173" t="s">
        <v>287</v>
      </c>
    </row>
    <row r="19" spans="1:10" x14ac:dyDescent="0.4">
      <c r="E19" s="1" t="s">
        <v>71</v>
      </c>
      <c r="I19" s="172" t="s">
        <v>288</v>
      </c>
      <c r="J19" s="173" t="s">
        <v>289</v>
      </c>
    </row>
    <row r="20" spans="1:10" x14ac:dyDescent="0.4">
      <c r="A20" s="58" t="s">
        <v>39</v>
      </c>
      <c r="B20" s="58" t="s">
        <v>41</v>
      </c>
      <c r="C20" s="58" t="s">
        <v>40</v>
      </c>
      <c r="D20" s="58" t="s">
        <v>72</v>
      </c>
      <c r="E20" s="58"/>
      <c r="F20" s="58" t="s">
        <v>42</v>
      </c>
      <c r="G20" s="58" t="s">
        <v>267</v>
      </c>
      <c r="H20" s="239" t="s">
        <v>335</v>
      </c>
      <c r="I20" s="172" t="s">
        <v>290</v>
      </c>
      <c r="J20" s="173" t="s">
        <v>291</v>
      </c>
    </row>
    <row r="21" spans="1:10" x14ac:dyDescent="0.4">
      <c r="A21" s="1" t="s">
        <v>9</v>
      </c>
      <c r="B21" s="1" t="s">
        <v>48</v>
      </c>
      <c r="C21" s="1" t="s">
        <v>48</v>
      </c>
      <c r="D21" s="3" t="s">
        <v>48</v>
      </c>
      <c r="F21" s="1" t="s">
        <v>48</v>
      </c>
      <c r="G21" t="s">
        <v>268</v>
      </c>
      <c r="H21" s="3" t="s">
        <v>9</v>
      </c>
      <c r="I21" s="172" t="s">
        <v>292</v>
      </c>
      <c r="J21" s="173" t="s">
        <v>293</v>
      </c>
    </row>
    <row r="22" spans="1:10" x14ac:dyDescent="0.4">
      <c r="A22" s="1" t="s">
        <v>53</v>
      </c>
      <c r="B22" s="1" t="s">
        <v>12</v>
      </c>
      <c r="C22" s="1" t="s">
        <v>12</v>
      </c>
      <c r="D22" s="3" t="s">
        <v>336</v>
      </c>
      <c r="F22" s="1" t="s">
        <v>73</v>
      </c>
      <c r="H22" s="3" t="s">
        <v>53</v>
      </c>
      <c r="I22" s="172" t="s">
        <v>67</v>
      </c>
      <c r="J22" s="173" t="s">
        <v>294</v>
      </c>
    </row>
    <row r="23" spans="1:10" x14ac:dyDescent="0.4">
      <c r="A23" s="1" t="s">
        <v>268</v>
      </c>
      <c r="B23" s="1" t="s">
        <v>11</v>
      </c>
      <c r="C23" s="1" t="s">
        <v>11</v>
      </c>
      <c r="D23" s="3" t="s">
        <v>337</v>
      </c>
      <c r="F23" s="1" t="s">
        <v>74</v>
      </c>
      <c r="H23" s="3" t="s">
        <v>11</v>
      </c>
      <c r="I23" s="169" t="s">
        <v>70</v>
      </c>
      <c r="J23" s="170" t="s">
        <v>295</v>
      </c>
    </row>
    <row r="24" spans="1:10" x14ac:dyDescent="0.4">
      <c r="B24" s="1" t="s">
        <v>268</v>
      </c>
      <c r="C24" s="1" t="s">
        <v>265</v>
      </c>
      <c r="D24" s="3" t="s">
        <v>11</v>
      </c>
      <c r="F24" s="1" t="s">
        <v>11</v>
      </c>
      <c r="H24" s="1"/>
      <c r="I24" s="172" t="s">
        <v>296</v>
      </c>
      <c r="J24" s="173" t="s">
        <v>297</v>
      </c>
    </row>
    <row r="25" spans="1:10" ht="14.25" customHeight="1" x14ac:dyDescent="0.4">
      <c r="C25" s="1" t="s">
        <v>268</v>
      </c>
      <c r="D25" s="3" t="s">
        <v>268</v>
      </c>
      <c r="F25" s="1" t="s">
        <v>268</v>
      </c>
      <c r="I25" s="172" t="s">
        <v>298</v>
      </c>
      <c r="J25" s="173" t="s">
        <v>299</v>
      </c>
    </row>
    <row r="26" spans="1:10" x14ac:dyDescent="0.4">
      <c r="D26" s="1"/>
      <c r="I26" s="169" t="s">
        <v>63</v>
      </c>
      <c r="J26" s="170" t="s">
        <v>271</v>
      </c>
    </row>
    <row r="27" spans="1:10" x14ac:dyDescent="0.4">
      <c r="D27" s="1"/>
      <c r="I27" s="172" t="s">
        <v>300</v>
      </c>
      <c r="J27" s="173" t="s">
        <v>301</v>
      </c>
    </row>
    <row r="28" spans="1:10" x14ac:dyDescent="0.4">
      <c r="A28" s="58" t="s">
        <v>92</v>
      </c>
      <c r="B28" s="58"/>
      <c r="C28" s="58"/>
      <c r="I28" s="172" t="s">
        <v>302</v>
      </c>
      <c r="J28" s="173" t="s">
        <v>303</v>
      </c>
    </row>
    <row r="29" spans="1:10" x14ac:dyDescent="0.4">
      <c r="A29" s="61" t="s">
        <v>88</v>
      </c>
      <c r="B29" s="61" t="s">
        <v>91</v>
      </c>
      <c r="C29" s="61" t="s">
        <v>186</v>
      </c>
      <c r="D29" s="205" t="s">
        <v>316</v>
      </c>
      <c r="E29" s="61" t="s">
        <v>317</v>
      </c>
      <c r="I29" s="169" t="s">
        <v>71</v>
      </c>
      <c r="J29" s="170" t="s">
        <v>304</v>
      </c>
    </row>
    <row r="30" spans="1:10" x14ac:dyDescent="0.4">
      <c r="A30" s="8" t="s">
        <v>114</v>
      </c>
      <c r="B30" s="9" t="s">
        <v>14</v>
      </c>
      <c r="C30" t="s">
        <v>82</v>
      </c>
      <c r="D30" s="206" t="s">
        <v>318</v>
      </c>
      <c r="E30" s="8" t="s">
        <v>15</v>
      </c>
      <c r="I30" s="169" t="s">
        <v>50</v>
      </c>
      <c r="J30" s="174" t="s">
        <v>305</v>
      </c>
    </row>
    <row r="31" spans="1:10" x14ac:dyDescent="0.4">
      <c r="A31" s="8" t="s">
        <v>115</v>
      </c>
      <c r="B31" s="9" t="s">
        <v>16</v>
      </c>
      <c r="C31" t="s">
        <v>184</v>
      </c>
      <c r="D31" s="206" t="s">
        <v>319</v>
      </c>
      <c r="I31" s="169" t="s">
        <v>52</v>
      </c>
      <c r="J31" s="170" t="s">
        <v>306</v>
      </c>
    </row>
    <row r="32" spans="1:10" x14ac:dyDescent="0.4">
      <c r="A32" s="8" t="s">
        <v>255</v>
      </c>
      <c r="B32" s="9" t="s">
        <v>2</v>
      </c>
      <c r="C32" t="s">
        <v>185</v>
      </c>
      <c r="D32" s="206" t="s">
        <v>320</v>
      </c>
      <c r="I32" s="169" t="s">
        <v>55</v>
      </c>
      <c r="J32" s="170" t="s">
        <v>307</v>
      </c>
    </row>
    <row r="33" spans="1:10" x14ac:dyDescent="0.4">
      <c r="A33" s="8" t="s">
        <v>89</v>
      </c>
      <c r="B33" s="9" t="s">
        <v>310</v>
      </c>
      <c r="I33" s="175" t="s">
        <v>58</v>
      </c>
      <c r="J33" s="176" t="s">
        <v>308</v>
      </c>
    </row>
    <row r="34" spans="1:10" x14ac:dyDescent="0.4">
      <c r="A34" s="8" t="s">
        <v>256</v>
      </c>
      <c r="B34" s="9" t="s">
        <v>18</v>
      </c>
    </row>
    <row r="35" spans="1:10" x14ac:dyDescent="0.4">
      <c r="A35" s="8"/>
      <c r="B35" s="9" t="s">
        <v>3</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93</v>
      </c>
      <c r="B42" s="58"/>
      <c r="C42" s="58"/>
      <c r="D42" s="58"/>
      <c r="E42" s="58"/>
      <c r="F42" s="58"/>
      <c r="G42" s="58"/>
    </row>
    <row r="43" spans="1:10" x14ac:dyDescent="0.4">
      <c r="A43" s="61" t="s">
        <v>95</v>
      </c>
      <c r="B43" s="61" t="s">
        <v>8</v>
      </c>
      <c r="C43" s="61" t="s">
        <v>100</v>
      </c>
      <c r="D43" s="61" t="s">
        <v>107</v>
      </c>
      <c r="E43" s="61" t="s">
        <v>106</v>
      </c>
      <c r="F43" s="61" t="s">
        <v>90</v>
      </c>
      <c r="G43" s="62" t="s">
        <v>171</v>
      </c>
    </row>
    <row r="44" spans="1:10" x14ac:dyDescent="0.4">
      <c r="A44" t="s">
        <v>76</v>
      </c>
      <c r="B44" t="s">
        <v>77</v>
      </c>
      <c r="C44" t="s">
        <v>99</v>
      </c>
      <c r="D44" t="s">
        <v>83</v>
      </c>
      <c r="E44" t="s">
        <v>108</v>
      </c>
      <c r="F44" t="s">
        <v>167</v>
      </c>
      <c r="G44" s="126" t="s">
        <v>204</v>
      </c>
    </row>
    <row r="45" spans="1:10" x14ac:dyDescent="0.4">
      <c r="A45" t="s">
        <v>94</v>
      </c>
      <c r="B45" t="s">
        <v>187</v>
      </c>
      <c r="C45" t="s">
        <v>101</v>
      </c>
      <c r="D45" t="s">
        <v>105</v>
      </c>
      <c r="E45" t="s">
        <v>112</v>
      </c>
      <c r="F45" t="s">
        <v>168</v>
      </c>
      <c r="G45" s="126" t="s">
        <v>80</v>
      </c>
    </row>
    <row r="46" spans="1:10" x14ac:dyDescent="0.4">
      <c r="A46" t="s">
        <v>113</v>
      </c>
      <c r="B46" t="s">
        <v>96</v>
      </c>
      <c r="C46" t="s">
        <v>102</v>
      </c>
      <c r="D46" t="s">
        <v>97</v>
      </c>
      <c r="E46" t="s">
        <v>84</v>
      </c>
      <c r="F46" t="s">
        <v>166</v>
      </c>
      <c r="G46" s="126" t="s">
        <v>172</v>
      </c>
    </row>
    <row r="47" spans="1:10" x14ac:dyDescent="0.4">
      <c r="B47" t="s">
        <v>97</v>
      </c>
      <c r="C47" t="s">
        <v>103</v>
      </c>
      <c r="E47" t="s">
        <v>109</v>
      </c>
      <c r="G47" s="126" t="s">
        <v>203</v>
      </c>
    </row>
    <row r="48" spans="1:10" x14ac:dyDescent="0.4">
      <c r="B48" t="s">
        <v>98</v>
      </c>
      <c r="C48" t="s">
        <v>104</v>
      </c>
      <c r="E48" t="s">
        <v>110</v>
      </c>
    </row>
    <row r="49" spans="1:5" x14ac:dyDescent="0.4">
      <c r="E49" t="s">
        <v>111</v>
      </c>
    </row>
    <row r="50" spans="1:5" x14ac:dyDescent="0.4">
      <c r="E50" t="s">
        <v>79</v>
      </c>
    </row>
    <row r="51" spans="1:5" x14ac:dyDescent="0.4">
      <c r="E51" t="s">
        <v>104</v>
      </c>
    </row>
    <row r="53" spans="1:5" x14ac:dyDescent="0.4">
      <c r="A53" s="98" t="s">
        <v>199</v>
      </c>
    </row>
    <row r="54" spans="1:5" x14ac:dyDescent="0.4">
      <c r="A54" s="99" t="s">
        <v>200</v>
      </c>
    </row>
    <row r="55" spans="1:5" x14ac:dyDescent="0.4">
      <c r="A55" t="s">
        <v>209</v>
      </c>
    </row>
    <row r="56" spans="1:5" x14ac:dyDescent="0.4">
      <c r="A56" t="s">
        <v>243</v>
      </c>
    </row>
  </sheetData>
  <sheetProtection algorithmName="SHA-512" hashValue="NEuyIUL+s07ppGt4rXindvpyB+zjOt9Hpj+D7qmCUxoHkQ1Fz+PYesLlh1D79bYp0Xnf5G2SHjKdbsfogoOOTg==" saltValue="K9Xb8Ao+Ij/35KJBhPJTew==" spinCount="100000" sheet="1" objects="1" scenarios="1" formatRows="0"/>
  <sortState xmlns:xlrd2="http://schemas.microsoft.com/office/spreadsheetml/2017/richdata2" ref="H21:H27">
    <sortCondition ref="H21:H27"/>
  </sortState>
  <mergeCells count="1">
    <mergeCell ref="I3:J3"/>
  </mergeCells>
  <phoneticPr fontId="6"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H21:H22">
    <cfRule type="expression" priority="1">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25</vt:i4>
      </vt:variant>
    </vt:vector>
  </HeadingPairs>
  <TitlesOfParts>
    <vt:vector size="28" baseType="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LISTE_6</vt:lpstr>
      <vt:lpstr>LISTE_7</vt:lpstr>
      <vt:lpstr>Méthode</vt:lpstr>
      <vt:lpstr>Montage_sonde</vt:lpstr>
      <vt:lpstr>Q_en_charge</vt:lpstr>
      <vt:lpstr>Q_Gravitaire</vt:lpstr>
      <vt:lpstr>Satisfaction</vt:lpstr>
      <vt:lpstr>Type_capteur</vt:lpstr>
      <vt:lpstr>Type_equipement</vt:lpstr>
      <vt:lpstr>Q_GRAV!Zone_d_impression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2026-09-04T14:36:15Z</cp:lastPrinted>
  <dcterms:created xsi:type="dcterms:W3CDTF">2022-12-06T13:32:43Z</dcterms:created>
  <dcterms:modified xsi:type="dcterms:W3CDTF">2026-10-09T14:17:51Z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