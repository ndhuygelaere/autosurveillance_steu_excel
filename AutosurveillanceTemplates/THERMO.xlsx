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44DB9BD7-AEB6-49C8-9960-6A392895AF8E}"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Thermo" sheetId="62"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ontage_sonde">PARAM!$G$44:$G$46</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 name="TypeDeMesure">PARAM!$B$55:$B$56</definedName>
    <definedName name="_xlnm.Print_Area" localSheetId="7">Thermo!$B$1:$S$42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31" i="62" l="1"/>
  <c r="L21" i="62"/>
  <c r="P29" i="62" l="1"/>
  <c r="P30" i="62"/>
  <c r="P31" i="62"/>
  <c r="P33" i="62" s="1"/>
  <c r="N33" i="62" s="1"/>
  <c r="Q29" i="62"/>
  <c r="Q30" i="62"/>
  <c r="Q31" i="62"/>
  <c r="Q28" i="62"/>
  <c r="P28" i="62"/>
  <c r="J29" i="62"/>
  <c r="J30" i="62"/>
  <c r="J31" i="62"/>
  <c r="J28" i="62"/>
  <c r="E29" i="62"/>
  <c r="E30" i="62"/>
  <c r="E31" i="62"/>
  <c r="E28" i="62"/>
  <c r="E8" i="19" l="1"/>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E21" i="10" s="1" a="1"/>
  <c r="E21"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G55" i="10" l="1"/>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E13" i="10" s="1" a="1"/>
  <c r="E13" i="10" s="1"/>
  <c r="I43" i="10"/>
  <c r="E14" i="10" s="1" a="1"/>
  <c r="E14" i="10" s="1"/>
  <c r="I45" i="10"/>
  <c r="I47" i="10"/>
  <c r="I49" i="10"/>
  <c r="E17" i="10" s="1" a="1"/>
  <c r="E17" i="10" s="1"/>
  <c r="I53" i="10"/>
  <c r="I55" i="10"/>
  <c r="C37" i="10"/>
  <c r="E20" i="10" l="1" a="1"/>
  <c r="E20" i="10" s="1"/>
  <c r="E19" i="10" a="1"/>
  <c r="E19" i="10" s="1"/>
  <c r="E16" i="10" a="1"/>
  <c r="E16" i="10" s="1"/>
  <c r="E15" i="10" a="1"/>
  <c r="E15" i="10" s="1"/>
  <c r="E12" i="10" a="1"/>
  <c r="E12" i="10" s="1"/>
  <c r="D6" i="10"/>
  <c r="D5" i="10"/>
  <c r="D4" i="10"/>
  <c r="C57" i="10" l="1"/>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E10" i="10" s="1"/>
  <c r="I36" i="10"/>
  <c r="E11" i="10" s="1" a="1"/>
  <c r="E11" i="10" s="1"/>
  <c r="I51" i="10"/>
  <c r="E18" i="10" s="1" a="1"/>
  <c r="E18" i="10" s="1"/>
  <c r="AR37" i="3"/>
  <c r="AH19" i="3"/>
  <c r="AR19" i="3"/>
  <c r="AM19" i="3"/>
  <c r="AC19" i="3"/>
  <c r="P14" i="7" l="1"/>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<sst xmlns="http://schemas.openxmlformats.org/spreadsheetml/2006/main" count="1450" uniqueCount="375">
  <si>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</si>
  <si>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</si>
  <si>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</si>
  <si>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</si>
  <si>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</si>
  <si>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</si>
  <si>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</si>
  <si>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</si>
  <si>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</si>
  <si>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</si>
  <si>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</si>
  <si>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</si>
  <si>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</si>
  <si>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</si>
  <si>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</si>
  <si>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</si>
  <si>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</si>
  <si>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</si>
  <si>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</si>
  <si>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</si>
  <si>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</si>
  <si>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</si>
  <si>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</si>
  <si>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</si>
  <si>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</si>
  <si>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</si>
  <si>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Pluviomètre</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</si>
  <si>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</si>
  <si>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</si>
  <si>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</si>
  <si>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</si>
  <si>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</si>
  <si>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</si>
  <si>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</si>
  <si>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</si>
  <si>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</si>
  <si>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</si>
  <si>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</si>
  <si>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</si>
  <si>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</si>
  <si>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</si>
  <si>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</si>
  <si>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</si>
  <si>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</si>
  <si>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</si>
  <si>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</si>
  <si>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</si>
  <si>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</si>
  <si>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</si>
  <si>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</si>
  <si>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</si>
  <si>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</si>
  <si>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</si>
  <si>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</si>
  <si>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</si>
  <si>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</si>
  <si>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</si>
  <si>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</si>
  <si>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</si>
  <si>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</si>
  <si>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</si>
  <si>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</si>
  <si>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</si>
  <si>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</si>
  <si>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</si>
  <si>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</si>
  <si>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</si>
  <si>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</si>
  <si>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</si>
  <si>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</si>
  <si>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</si>
  <si>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</si>
  <si>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</si>
  <si>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</si>
  <si>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</si>
  <si>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</si>
  <si>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</si>
  <si>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</si>
  <si>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</si>
  <si>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</si>
  <si>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</si>
  <si>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</si>
  <si>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</si>
  <si>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</si>
  <si>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</si>
  <si>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</si>
  <si>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</si>
  <si>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</si>
  <si>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</si>
  <si>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</si>
  <si>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</si>
  <si>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</si>
  <si>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</si>
  <si>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</si>
  <si>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</si>
  <si>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</si>
  <si>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</si>
  <si>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</si>
  <si>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</si>
  <si>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</si>
  <si>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</si>
  <si>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</si>
  <si>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</si>
  <si>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</si>
  <si>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</si>
  <si>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</si>
  <si>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</si>
  <si>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</si>
  <si>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</si>
  <si>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</si>
  <si>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</si>
  <si>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</si>
  <si>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</si>
  <si>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</si>
  <si>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</si>
  <si>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</si>
  <si>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</si>
  <si>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</si>
  <si>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</si>
  <si>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</si>
  <si>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</si>
  <si>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</si>
  <si>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</si>
  <si>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</si>
  <si>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</si>
  <si>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</si>
  <si>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</si>
  <si>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</si>
  <si>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</si>
  <si>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</si>
  <si>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</si>
  <si>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</si>
  <si>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</si>
  <si>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</si>
  <si>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</si>
  <si>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</si>
  <si>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</si>
  <si>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</si>
  <si>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</si>
  <si>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</si>
  <si>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</si>
  <si>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</si>
  <si>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</si>
  <si>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</si>
  <si>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</si>
  <si>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</si>
  <si>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</si>
  <si>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</si>
  <si>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</si>
  <si>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</si>
  <si>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</si>
  <si>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</si>
  <si>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</si>
  <si>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</si>
  <si>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</si>
  <si>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</si>
  <si>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</si>
  <si>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</si>
  <si>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</si>
  <si>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</si>
  <si>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</si>
  <si>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</si>
  <si>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</si>
  <si>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</si>
  <si>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</si>
  <si>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</si>
  <si>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</si>
  <si>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</si>
  <si>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</si>
  <si>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</si>
  <si>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</si>
  <si>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</si>
  <si>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</si>
  <si>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</si>
  <si>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</si>
  <si>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</si>
  <si>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</si>
  <si>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</si>
  <si>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</si>
  <si>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</si>
  <si>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</si>
  <si>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</si>
  <si>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</si>
  <si>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</si>
  <si>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</si>
  <si>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</si>
  <si>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</si>
  <si>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</si>
  <si>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</si>
  <si>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</si>
  <si>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Type de mesure</t>
  </si>
  <si>
    <t>Température extérieure</t>
  </si>
  <si>
    <t>Mesure Exploitant
Te en °C</t>
  </si>
  <si>
    <t>Mesure Intervenant
Ti en °C</t>
  </si>
  <si>
    <t>Evaluation</t>
  </si>
  <si>
    <t>Au débit</t>
  </si>
  <si>
    <t>Conforme</t>
  </si>
  <si>
    <t>Type</t>
  </si>
  <si>
    <t>Annuelle</t>
  </si>
  <si>
    <t>En V</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</si>
  <si>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</si>
  <si>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</si>
  <si>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</si>
  <si>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</si>
  <si>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</si>
  <si>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</si>
  <si>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</si>
  <si>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</si>
  <si>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</si>
  <si>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</si>
  <si>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</si>
  <si>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</si>
  <si>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</si>
  <si>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</si>
  <si>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</si>
  <si>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</si>
  <si>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</si>
  <si>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</si>
  <si>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</si>
  <si>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</si>
  <si>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</si>
  <si>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</si>
  <si>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</si>
  <si>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</si>
  <si>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</si>
  <si>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</si>
  <si>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</si>
  <si>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</si>
  <si>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</si>
  <si>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</si>
  <si>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</si>
  <si>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</si>
  <si>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</si>
  <si>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</si>
  <si>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</si>
  <si>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</si>
  <si>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</si>
  <si>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</si>
  <si>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</si>
  <si>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</si>
  <si>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</si>
  <si>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</si>
  <si>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</si>
  <si>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</si>
  <si>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</si>
  <si>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</si>
  <si>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</si>
  <si>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</si>
  <si>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</si>
  <si>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</si>
  <si>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</si>
  <si>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</si>
  <si>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</si>
  <si>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</si>
  <si>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</si>
  <si>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</si>
  <si>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</si>
  <si>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</si>
  <si>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</si>
  <si>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</si>
  <si>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</si>
  <si>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</si>
  <si>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</si>
  <si>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</si>
  <si>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</si>
  <si>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</si>
  <si>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</si>
  <si>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</si>
  <si>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</si>
  <si>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</si>
  <si>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</si>
  <si>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</si>
  <si>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</si>
  <si>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</si>
  <si>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</si>
  <si>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</si>
  <si>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</si>
  <si>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</si>
  <si>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</si>
  <si>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</si>
  <si>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</si>
  <si>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</si>
  <si>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</si>
  <si>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</si>
  <si>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</si>
  <si>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</si>
  <si>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</si>
  <si>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</si>
  <si>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</si>
  <si>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</si>
  <si>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</si>
  <si>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</si>
  <si>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</si>
  <si>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</si>
  <si>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</si>
  <si>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</si>
  <si>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</si>
  <si>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</si>
  <si>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</si>
  <si>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</si>
  <si>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</si>
  <si>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</si>
  <si>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</si>
  <si>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</si>
  <si>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</si>
  <si>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</si>
  <si>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</si>
  <si>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</si>
  <si>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</si>
  <si>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</si>
  <si>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</si>
  <si>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</si>
  <si>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</si>
  <si>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</si>
  <si>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</si>
  <si>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</si>
  <si>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</si>
  <si>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</si>
  <si>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</si>
  <si>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</si>
  <si>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</si>
  <si>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</si>
  <si>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</si>
  <si>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</si>
  <si>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</si>
  <si>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En direct</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</si>
  <si>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</si>
  <si>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</si>
  <si>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</si>
  <si>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</si>
  <si>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</si>
  <si>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</si>
  <si>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</si>
  <si>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</si>
  <si>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</si>
  <si>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</si>
  <si>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</si>
  <si>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</si>
  <si>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Libellé des critères</t>
  </si>
  <si>
    <t>Note</t>
  </si>
  <si>
    <t>CONTRÔLE ANNUEL DES DISPOSITIFS D'AUTOSURVEILLANCE DES SYSTÈMES D'ASSAINISSEMENT COLLECTIF</t>
  </si>
  <si>
    <t>STATION / RESEAU :</t>
  </si>
  <si>
    <t>LIBELLE EQUIPEMENT :</t>
  </si>
  <si>
    <t>ORGANISME DE CONTRÔLE :</t>
  </si>
  <si>
    <t>CODE SANDRE :</t>
  </si>
  <si>
    <t>CODE EQUIPEMENT :</t>
  </si>
  <si>
    <t>NOM·S CONTROLEUR·SE·S :</t>
  </si>
  <si>
    <t>MAITRE D'OUVRAGE :</t>
  </si>
  <si>
    <t>LOCALISATION :</t>
  </si>
  <si>
    <t>CONDITION METEO :</t>
  </si>
  <si>
    <t>EXPLOITANT :</t>
  </si>
  <si>
    <t>DATE·S D'INTERVENTION :</t>
  </si>
  <si>
    <t>CONTRÔLE DE L'EQUIPEMENT</t>
  </si>
  <si>
    <t>Marque de l'équipement :</t>
  </si>
  <si>
    <t>Modèle de l'équipement :</t>
  </si>
  <si>
    <t>Numéro de l'équipement :</t>
  </si>
  <si>
    <t>Report en supervision (O/N) :</t>
  </si>
  <si>
    <t>Type d'appareil :</t>
  </si>
  <si>
    <t>Vérification de la température</t>
  </si>
  <si>
    <t>Écart en °C (Te - Ti)
EMT ± 1°C</t>
  </si>
  <si>
    <t>Équipement de contrôle installé</t>
  </si>
  <si>
    <t>Équipement existant sur site</t>
  </si>
  <si>
    <t>EVALUATION</t>
  </si>
  <si>
    <t>Points</t>
  </si>
  <si>
    <t>Evaluation finale</t>
  </si>
  <si>
    <t>COMMENTAIRES</t>
  </si>
  <si>
    <t>TYPE EQUIPEMENT :</t>
  </si>
  <si>
    <t>Ponctuelle</t>
  </si>
  <si>
    <t>En continu</t>
  </si>
  <si>
    <t>Listes méthode contrôle</t>
  </si>
  <si>
    <t>Méthode</t>
  </si>
  <si>
    <t>…</t>
  </si>
  <si>
    <t>Simulation d'une hauteur d'eau (plaque)</t>
  </si>
  <si>
    <t>Mesure en parallèle</t>
  </si>
  <si>
    <t>Simulation d'une hauteur d'eau et mesure en parallèle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</si>
</sst>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7" x14ac:knownFonts="1">
    <font>
      <sz val="10"/>
      <color theme="1"/>
      <name val="Arial"/>
      <family val="2"/>
    </font>
    <font>
      <sz val="11"/>
      <color theme="1"/>
      <name val="Calibri"/>
      <family val="2"/>
      <scheme val="minor"/>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b/>
      <sz val="11"/>
      <color theme="7" tint="-0.249977111117893"/>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sz val="10"/>
      <name val="Calibri"/>
      <family val="2"/>
      <scheme val="minor"/>
    </font>
    <font>
      <b/>
      <sz val="11"/>
      <color theme="1"/>
      <name val="Calibri"/>
      <family val="2"/>
      <scheme val="minor"/>
    </font>
    <font>
      <b/>
      <sz val="10"/>
      <color theme="1"/>
      <name val="Calibri"/>
      <family val="2"/>
      <scheme val="minor"/>
    </font>
    <font>
      <sz val="10"/>
      <color theme="2"/>
      <name val="Arial"/>
      <family val="2"/>
    </font>
  </fonts>
  <fills count="3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F2F2F2"/>
        <bgColor indexed="64"/>
      </patternFill>
    </fill>
    <fill>
      <patternFill patternType="solid">
        <fgColor rgb="FF8FC5EC"/>
        <bgColor indexed="64"/>
      </patternFill>
    </fill>
    <fill>
      <patternFill patternType="lightDown">
        <bgColor rgb="FFF2F2F2"/>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
      <patternFill patternType="solid">
        <fgColor theme="4" tint="-0.249977111117893"/>
        <bgColor indexed="64"/>
      </patternFill>
    </fill>
  </fills>
  <borders count="17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s>
  <cellStyleXfs count="4">
    <xf numFmtId="0" fontId="0" fillId="0" borderId="0"/>
    <xf numFmtId="0" fontId="16" fillId="0" borderId="0"/>
    <xf numFmtId="9" fontId="16" fillId="0" borderId="0" applyFont="0" applyFill="0" applyBorder="0" applyAlignment="0" applyProtection="0"/>
    <xf numFmtId="0" fontId="2" fillId="0" borderId="0"/>
  </cellStyleXfs>
  <cellXfs count="751">
    <xf numFmtId="0" fontId="0" fillId="0" borderId="0" xfId="0"/>
    <xf numFmtId="0" fontId="0" fillId="0" borderId="0" xfId="0" applyAlignment="1">
      <alignment horizontal="center"/>
    </xf>
    <xf numFmtId="0" fontId="10" fillId="3" borderId="3" xfId="0" applyFont="1" applyFill="1" applyBorder="1" applyAlignment="1" applyProtection="1">
      <alignment horizontal="left" vertical="top" wrapText="1"/>
      <protection hidden="1"/>
    </xf>
    <xf numFmtId="0" fontId="22" fillId="6" borderId="4" xfId="0" applyFont="1" applyFill="1" applyBorder="1" applyAlignment="1">
      <alignment horizontal="center" vertical="center"/>
    </xf>
    <xf numFmtId="0" fontId="16" fillId="0" borderId="0" xfId="0" applyFont="1" applyAlignment="1">
      <alignment horizontal="center"/>
    </xf>
    <xf numFmtId="0" fontId="10" fillId="8" borderId="4" xfId="0" applyFont="1" applyFill="1" applyBorder="1" applyAlignment="1">
      <alignment horizontal="center" vertical="center"/>
    </xf>
    <xf numFmtId="0" fontId="16" fillId="0" borderId="0" xfId="0" applyFont="1" applyAlignment="1">
      <alignment horizontal="center" vertical="center"/>
    </xf>
    <xf numFmtId="0" fontId="10" fillId="3" borderId="1" xfId="0" applyFont="1" applyFill="1" applyBorder="1" applyAlignment="1" applyProtection="1">
      <alignment horizontal="left" vertical="top" wrapText="1"/>
      <protection hidden="1"/>
    </xf>
    <xf numFmtId="0" fontId="10" fillId="3" borderId="2" xfId="0" applyFont="1" applyFill="1" applyBorder="1" applyAlignment="1" applyProtection="1">
      <alignment horizontal="left" vertical="top" wrapText="1"/>
      <protection hidden="1"/>
    </xf>
    <xf numFmtId="0" fontId="10" fillId="3" borderId="20" xfId="0" applyFont="1" applyFill="1" applyBorder="1" applyAlignment="1" applyProtection="1">
      <alignment horizontal="left" vertical="top" wrapText="1"/>
      <protection hidden="1"/>
    </xf>
    <xf numFmtId="0" fontId="10" fillId="9" borderId="4" xfId="0" applyFont="1" applyFill="1" applyBorder="1" applyAlignment="1">
      <alignment horizontal="center" vertical="center"/>
    </xf>
    <xf numFmtId="0" fontId="16" fillId="0" borderId="0" xfId="1" applyAlignment="1">
      <alignment vertical="center"/>
    </xf>
    <xf numFmtId="0" fontId="16" fillId="2" borderId="0" xfId="1" applyFill="1" applyAlignment="1" applyProtection="1">
      <alignment vertical="center"/>
      <protection hidden="1"/>
    </xf>
    <xf numFmtId="0" fontId="16" fillId="0" borderId="0" xfId="1" applyAlignment="1" applyProtection="1">
      <alignment vertical="center"/>
      <protection hidden="1"/>
    </xf>
    <xf numFmtId="0" fontId="7" fillId="0" borderId="4" xfId="1" applyFont="1" applyBorder="1" applyAlignment="1" applyProtection="1">
      <alignment horizontal="center" vertical="center"/>
      <protection locked="0"/>
    </xf>
    <xf numFmtId="0" fontId="10" fillId="3" borderId="0" xfId="0" applyFont="1" applyFill="1" applyAlignment="1" applyProtection="1">
      <alignment horizontal="left" vertical="top" wrapText="1"/>
      <protection hidden="1"/>
    </xf>
    <xf numFmtId="0" fontId="15" fillId="5" borderId="69" xfId="0" applyFont="1" applyFill="1" applyBorder="1" applyAlignment="1" applyProtection="1">
      <alignment horizontal="center" vertical="center"/>
      <protection locked="0"/>
    </xf>
    <xf numFmtId="0" fontId="10" fillId="3" borderId="63" xfId="0" applyFont="1" applyFill="1" applyBorder="1" applyAlignment="1" applyProtection="1">
      <alignment horizontal="left" vertical="top" wrapText="1"/>
      <protection hidden="1"/>
    </xf>
    <xf numFmtId="0" fontId="50" fillId="3" borderId="0" xfId="0" applyFont="1" applyFill="1" applyAlignment="1">
      <alignment horizontal="center" vertical="center" wrapText="1"/>
    </xf>
    <xf numFmtId="0" fontId="52" fillId="3" borderId="0" xfId="0" applyFont="1" applyFill="1" applyAlignment="1">
      <alignment horizontal="center" vertical="center" wrapText="1"/>
    </xf>
    <xf numFmtId="0" fontId="53" fillId="3" borderId="0" xfId="0" applyFont="1" applyFill="1" applyAlignment="1">
      <alignment vertical="center" wrapText="1"/>
    </xf>
    <xf numFmtId="0" fontId="53" fillId="3" borderId="0" xfId="0" applyFont="1" applyFill="1" applyAlignment="1">
      <alignment horizontal="center" vertical="center"/>
    </xf>
    <xf numFmtId="0" fontId="53" fillId="3" borderId="0" xfId="0" applyFont="1" applyFill="1" applyAlignment="1">
      <alignment vertical="center"/>
    </xf>
    <xf numFmtId="0" fontId="48" fillId="0" borderId="0" xfId="0" applyFont="1" applyAlignment="1">
      <alignment vertical="center" wrapText="1"/>
    </xf>
    <xf numFmtId="14" fontId="33"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7" fillId="3" borderId="50" xfId="0" applyFont="1" applyFill="1" applyBorder="1" applyAlignment="1">
      <alignment vertical="center" wrapText="1"/>
    </xf>
    <xf numFmtId="0" fontId="57" fillId="3" borderId="16" xfId="0" applyFont="1" applyFill="1" applyBorder="1" applyAlignment="1">
      <alignment vertical="center" wrapText="1"/>
    </xf>
    <xf numFmtId="0" fontId="57" fillId="3" borderId="50" xfId="0" applyFont="1" applyFill="1" applyBorder="1" applyAlignment="1">
      <alignment horizontal="justify" vertical="center" wrapText="1"/>
    </xf>
    <xf numFmtId="0" fontId="57" fillId="3" borderId="67" xfId="0" applyFont="1" applyFill="1" applyBorder="1" applyAlignment="1">
      <alignment horizontal="justify" vertical="center" wrapText="1"/>
    </xf>
    <xf numFmtId="0" fontId="58" fillId="0" borderId="0" xfId="0" applyFont="1"/>
    <xf numFmtId="0" fontId="58" fillId="0" borderId="0" xfId="0" quotePrefix="1" applyFont="1"/>
    <xf numFmtId="0" fontId="10" fillId="3" borderId="20" xfId="0" applyFont="1" applyFill="1" applyBorder="1" applyAlignment="1" applyProtection="1">
      <alignment horizontal="left" vertical="center" wrapText="1"/>
      <protection hidden="1"/>
    </xf>
    <xf numFmtId="0" fontId="10" fillId="3" borderId="2" xfId="0" applyFont="1" applyFill="1" applyBorder="1" applyAlignment="1" applyProtection="1">
      <alignment horizontal="left" vertical="center" wrapText="1"/>
      <protection hidden="1"/>
    </xf>
    <xf numFmtId="0" fontId="10" fillId="3" borderId="1" xfId="0" applyFont="1" applyFill="1" applyBorder="1" applyAlignment="1" applyProtection="1">
      <alignment horizontal="left" vertical="center" wrapText="1"/>
      <protection hidden="1"/>
    </xf>
    <xf numFmtId="0" fontId="0" fillId="0" borderId="0" xfId="0" applyAlignment="1">
      <alignment vertical="center"/>
    </xf>
    <xf numFmtId="0" fontId="10" fillId="3" borderId="63" xfId="0" applyFont="1" applyFill="1" applyBorder="1" applyAlignment="1" applyProtection="1">
      <alignment horizontal="left" vertical="center" wrapText="1"/>
      <protection hidden="1"/>
    </xf>
    <xf numFmtId="0" fontId="10" fillId="3" borderId="3" xfId="0" applyFont="1" applyFill="1" applyBorder="1" applyAlignment="1" applyProtection="1">
      <alignment horizontal="left" vertical="center" wrapText="1"/>
      <protection hidden="1"/>
    </xf>
    <xf numFmtId="0" fontId="10" fillId="3" borderId="0" xfId="0" applyFont="1" applyFill="1" applyAlignment="1" applyProtection="1">
      <alignment horizontal="left" vertical="center" wrapText="1"/>
      <protection hidden="1"/>
    </xf>
    <xf numFmtId="0" fontId="17" fillId="3" borderId="20" xfId="0" applyFont="1" applyFill="1" applyBorder="1" applyAlignment="1" applyProtection="1">
      <alignment horizontal="left" vertical="center" wrapText="1"/>
      <protection hidden="1"/>
    </xf>
    <xf numFmtId="0" fontId="17" fillId="3" borderId="2" xfId="0" applyFont="1" applyFill="1" applyBorder="1" applyAlignment="1" applyProtection="1">
      <alignment horizontal="left" vertical="center" wrapText="1"/>
      <protection hidden="1"/>
    </xf>
    <xf numFmtId="0" fontId="17" fillId="3" borderId="0" xfId="0" applyFont="1" applyFill="1" applyAlignment="1" applyProtection="1">
      <alignment horizontal="left" vertical="center" wrapText="1"/>
      <protection hidden="1"/>
    </xf>
    <xf numFmtId="0" fontId="55" fillId="15" borderId="60" xfId="0" applyFont="1" applyFill="1" applyBorder="1" applyAlignment="1">
      <alignment horizontal="center" vertical="center" wrapText="1"/>
    </xf>
    <xf numFmtId="0" fontId="67" fillId="15" borderId="38" xfId="0" applyFont="1" applyFill="1" applyBorder="1" applyAlignment="1">
      <alignment horizontal="center" vertical="center" wrapText="1"/>
    </xf>
    <xf numFmtId="0" fontId="38" fillId="0" borderId="67" xfId="0" applyFont="1" applyBorder="1" applyAlignment="1">
      <alignment vertical="center" wrapText="1"/>
    </xf>
    <xf numFmtId="0" fontId="38" fillId="3" borderId="50" xfId="0" applyFont="1" applyFill="1" applyBorder="1" applyAlignment="1">
      <alignment horizontal="justify" vertical="center" wrapText="1"/>
    </xf>
    <xf numFmtId="0" fontId="38" fillId="3" borderId="67" xfId="0" applyFont="1" applyFill="1" applyBorder="1" applyAlignment="1">
      <alignment horizontal="justify" vertical="center" wrapText="1"/>
    </xf>
    <xf numFmtId="0" fontId="7" fillId="0" borderId="64" xfId="1" applyFont="1" applyBorder="1" applyAlignment="1" applyProtection="1">
      <alignment horizontal="center" vertical="center"/>
      <protection locked="0"/>
    </xf>
    <xf numFmtId="0" fontId="54" fillId="3" borderId="84" xfId="0" applyFont="1" applyFill="1" applyBorder="1" applyAlignment="1" applyProtection="1">
      <alignment horizontal="center" vertical="center"/>
      <protection locked="0"/>
    </xf>
    <xf numFmtId="0" fontId="53" fillId="3" borderId="51" xfId="0" applyFont="1" applyFill="1" applyBorder="1" applyAlignment="1" applyProtection="1">
      <alignment vertical="center"/>
      <protection locked="0"/>
    </xf>
    <xf numFmtId="0" fontId="53" fillId="3" borderId="40" xfId="0" applyFont="1" applyFill="1" applyBorder="1" applyAlignment="1" applyProtection="1">
      <alignment vertical="center"/>
      <protection locked="0"/>
    </xf>
    <xf numFmtId="0" fontId="53" fillId="3" borderId="84" xfId="0" applyFont="1" applyFill="1" applyBorder="1" applyAlignment="1" applyProtection="1">
      <alignment vertical="center"/>
      <protection locked="0"/>
    </xf>
    <xf numFmtId="0" fontId="52" fillId="3" borderId="18" xfId="0" applyFont="1" applyFill="1" applyBorder="1" applyAlignment="1" applyProtection="1">
      <alignment horizontal="center" vertical="center" wrapText="1"/>
      <protection locked="0"/>
    </xf>
    <xf numFmtId="0" fontId="54" fillId="3" borderId="84" xfId="0" applyFont="1" applyFill="1" applyBorder="1" applyAlignment="1" applyProtection="1">
      <alignment horizontal="left" vertical="center"/>
      <protection locked="0"/>
    </xf>
    <xf numFmtId="0" fontId="53" fillId="3" borderId="51" xfId="0" applyFont="1" applyFill="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3" fillId="0" borderId="51" xfId="0" applyFont="1" applyBorder="1" applyAlignment="1" applyProtection="1">
      <alignment horizontal="left" vertical="center"/>
      <protection locked="0"/>
    </xf>
    <xf numFmtId="0" fontId="53" fillId="0" borderId="108" xfId="0" applyFont="1" applyBorder="1" applyAlignment="1" applyProtection="1">
      <alignment horizontal="left" vertical="center"/>
      <protection locked="0"/>
    </xf>
    <xf numFmtId="0" fontId="52" fillId="3" borderId="17" xfId="0" applyFont="1" applyFill="1" applyBorder="1" applyAlignment="1" applyProtection="1">
      <alignment horizontal="center" vertical="center" wrapText="1"/>
      <protection locked="0"/>
    </xf>
    <xf numFmtId="0" fontId="53" fillId="0" borderId="84" xfId="0" applyFont="1" applyBorder="1" applyAlignment="1" applyProtection="1">
      <alignment horizontal="left" vertical="center"/>
      <protection locked="0"/>
    </xf>
    <xf numFmtId="0" fontId="54" fillId="3" borderId="40" xfId="0" applyFont="1" applyFill="1" applyBorder="1" applyAlignment="1" applyProtection="1">
      <alignment horizontal="left" vertical="center"/>
      <protection locked="0"/>
    </xf>
    <xf numFmtId="0" fontId="53" fillId="3" borderId="84" xfId="0" applyFont="1" applyFill="1" applyBorder="1" applyAlignment="1" applyProtection="1">
      <alignment horizontal="left" vertical="center"/>
      <protection locked="0"/>
    </xf>
    <xf numFmtId="0" fontId="70" fillId="0" borderId="4" xfId="0" applyFont="1" applyBorder="1" applyAlignment="1" applyProtection="1">
      <alignment horizontal="center" vertical="center" wrapText="1"/>
      <protection locked="0"/>
    </xf>
    <xf numFmtId="164" fontId="59" fillId="3" borderId="113" xfId="0" applyNumberFormat="1" applyFont="1" applyFill="1" applyBorder="1" applyAlignment="1" applyProtection="1">
      <alignment horizontal="center" vertical="center" wrapText="1"/>
      <protection locked="0"/>
    </xf>
    <xf numFmtId="164" fontId="59" fillId="3" borderId="114" xfId="0" applyNumberFormat="1" applyFont="1" applyFill="1" applyBorder="1" applyAlignment="1" applyProtection="1">
      <alignment horizontal="center" vertical="center" wrapText="1"/>
      <protection locked="0"/>
    </xf>
    <xf numFmtId="164" fontId="52" fillId="3" borderId="115" xfId="0" applyNumberFormat="1" applyFont="1" applyFill="1" applyBorder="1" applyAlignment="1" applyProtection="1">
      <alignment horizontal="center" vertical="center" wrapText="1"/>
      <protection locked="0"/>
    </xf>
    <xf numFmtId="0" fontId="52" fillId="3" borderId="34" xfId="0" applyFont="1" applyFill="1" applyBorder="1" applyAlignment="1" applyProtection="1">
      <alignment horizontal="center" vertical="center"/>
      <protection locked="0"/>
    </xf>
    <xf numFmtId="0" fontId="71" fillId="3" borderId="34" xfId="0" applyFont="1" applyFill="1" applyBorder="1" applyAlignment="1" applyProtection="1">
      <alignment horizontal="center" vertical="center"/>
      <protection locked="0"/>
    </xf>
    <xf numFmtId="0" fontId="52" fillId="3" borderId="95" xfId="0" applyFont="1" applyFill="1" applyBorder="1" applyAlignment="1" applyProtection="1">
      <alignment horizontal="center" vertical="center"/>
      <protection locked="0"/>
    </xf>
    <xf numFmtId="0" fontId="16" fillId="2" borderId="0" xfId="1" applyFill="1" applyAlignment="1">
      <alignment vertical="center"/>
    </xf>
    <xf numFmtId="0" fontId="16" fillId="7" borderId="0" xfId="1" applyFill="1" applyAlignment="1">
      <alignment vertical="center"/>
    </xf>
    <xf numFmtId="0" fontId="30" fillId="16" borderId="0" xfId="1" applyFont="1" applyFill="1" applyAlignment="1" applyProtection="1">
      <alignment vertical="center"/>
      <protection hidden="1"/>
    </xf>
    <xf numFmtId="0" fontId="17" fillId="3" borderId="20" xfId="0" applyFont="1" applyFill="1" applyBorder="1" applyAlignment="1" applyProtection="1">
      <alignment horizontal="left" vertical="top" wrapText="1"/>
      <protection hidden="1"/>
    </xf>
    <xf numFmtId="0" fontId="17" fillId="3" borderId="2" xfId="0" applyFont="1" applyFill="1" applyBorder="1" applyAlignment="1" applyProtection="1">
      <alignment horizontal="left" vertical="top" wrapText="1"/>
      <protection hidden="1"/>
    </xf>
    <xf numFmtId="0" fontId="17" fillId="3" borderId="0" xfId="0" applyFont="1" applyFill="1" applyAlignment="1" applyProtection="1">
      <alignment horizontal="left" vertical="top" wrapText="1"/>
      <protection hidden="1"/>
    </xf>
    <xf numFmtId="0" fontId="42" fillId="5" borderId="31" xfId="0" applyFont="1" applyFill="1" applyBorder="1" applyAlignment="1" applyProtection="1">
      <alignment horizontal="center"/>
      <protection hidden="1"/>
    </xf>
    <xf numFmtId="0" fontId="15" fillId="5" borderId="12" xfId="0" applyFont="1" applyFill="1" applyBorder="1" applyAlignment="1" applyProtection="1">
      <alignment horizontal="center" vertical="center"/>
      <protection hidden="1"/>
    </xf>
    <xf numFmtId="0" fontId="11" fillId="5" borderId="15" xfId="0" applyFont="1" applyFill="1" applyBorder="1" applyAlignment="1" applyProtection="1">
      <alignment horizontal="center" vertical="center"/>
      <protection hidden="1"/>
    </xf>
    <xf numFmtId="0" fontId="43" fillId="5" borderId="34" xfId="0" applyFont="1" applyFill="1" applyBorder="1" applyAlignment="1" applyProtection="1">
      <alignment horizontal="center"/>
      <protection hidden="1"/>
    </xf>
    <xf numFmtId="0" fontId="15" fillId="5" borderId="18" xfId="0" applyFont="1" applyFill="1" applyBorder="1" applyAlignment="1" applyProtection="1">
      <alignment horizontal="center" vertical="center"/>
      <protection hidden="1"/>
    </xf>
    <xf numFmtId="0" fontId="11"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3" fillId="3" borderId="35" xfId="0" applyFont="1" applyFill="1" applyBorder="1" applyAlignment="1" applyProtection="1">
      <alignment horizontal="center" vertical="center"/>
      <protection hidden="1"/>
    </xf>
    <xf numFmtId="0" fontId="13" fillId="16" borderId="57" xfId="0" applyFont="1" applyFill="1" applyBorder="1" applyAlignment="1" applyProtection="1">
      <alignment horizontal="center" vertical="center" textRotation="90" wrapText="1"/>
      <protection hidden="1"/>
    </xf>
    <xf numFmtId="0" fontId="13" fillId="16" borderId="58" xfId="0" applyFont="1" applyFill="1" applyBorder="1" applyAlignment="1" applyProtection="1">
      <alignment horizontal="center" vertical="center" textRotation="90" wrapText="1"/>
      <protection hidden="1"/>
    </xf>
    <xf numFmtId="0" fontId="13" fillId="16" borderId="7" xfId="0" applyFont="1" applyFill="1" applyBorder="1" applyAlignment="1" applyProtection="1">
      <alignment horizontal="center" vertical="center" textRotation="90" wrapText="1"/>
      <protection hidden="1"/>
    </xf>
    <xf numFmtId="0" fontId="9" fillId="16" borderId="27" xfId="0" applyFont="1" applyFill="1" applyBorder="1" applyAlignment="1" applyProtection="1">
      <alignment horizontal="center" vertical="center" wrapText="1"/>
      <protection hidden="1"/>
    </xf>
    <xf numFmtId="0" fontId="9" fillId="16" borderId="27" xfId="0" applyFont="1" applyFill="1" applyBorder="1" applyAlignment="1" applyProtection="1">
      <alignment vertical="center" wrapText="1"/>
      <protection hidden="1"/>
    </xf>
    <xf numFmtId="0" fontId="16" fillId="5" borderId="12" xfId="0" applyFont="1" applyFill="1" applyBorder="1" applyAlignment="1" applyProtection="1">
      <alignment horizontal="center" vertical="center" wrapText="1"/>
      <protection hidden="1"/>
    </xf>
    <xf numFmtId="0" fontId="16" fillId="5" borderId="18" xfId="0" applyFont="1" applyFill="1" applyBorder="1" applyAlignment="1" applyProtection="1">
      <alignment horizontal="center" vertical="center" wrapText="1"/>
      <protection hidden="1"/>
    </xf>
    <xf numFmtId="164" fontId="7" fillId="3" borderId="12" xfId="0" applyNumberFormat="1" applyFont="1" applyFill="1" applyBorder="1" applyAlignment="1" applyProtection="1">
      <alignment horizontal="center" vertical="center" wrapText="1"/>
      <protection locked="0" hidden="1"/>
    </xf>
    <xf numFmtId="164" fontId="7" fillId="3" borderId="93" xfId="0" applyNumberFormat="1" applyFont="1" applyFill="1" applyBorder="1" applyAlignment="1" applyProtection="1">
      <alignment horizontal="center" vertical="center" wrapText="1"/>
      <protection locked="0" hidden="1"/>
    </xf>
    <xf numFmtId="0" fontId="41" fillId="0" borderId="0" xfId="0" applyFont="1" applyProtection="1">
      <protection hidden="1"/>
    </xf>
    <xf numFmtId="0" fontId="0" fillId="0" borderId="0" xfId="0" applyAlignment="1" applyProtection="1">
      <alignment horizontal="center" vertical="center"/>
      <protection hidden="1"/>
    </xf>
    <xf numFmtId="0" fontId="61" fillId="0" borderId="0" xfId="0" applyFont="1" applyProtection="1">
      <protection hidden="1"/>
    </xf>
    <xf numFmtId="0" fontId="21" fillId="0" borderId="44" xfId="0" applyFont="1" applyBorder="1" applyAlignment="1" applyProtection="1">
      <alignment horizontal="right" vertical="center"/>
      <protection hidden="1"/>
    </xf>
    <xf numFmtId="0" fontId="21"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1" fillId="0" borderId="20" xfId="0" applyFont="1" applyBorder="1" applyAlignment="1" applyProtection="1">
      <alignment horizontal="center" vertical="center"/>
      <protection hidden="1"/>
    </xf>
    <xf numFmtId="0" fontId="21" fillId="0" borderId="53" xfId="0" applyFont="1" applyBorder="1" applyAlignment="1" applyProtection="1">
      <alignment horizontal="center" vertical="center"/>
      <protection hidden="1"/>
    </xf>
    <xf numFmtId="0" fontId="17" fillId="0" borderId="2" xfId="0" applyFont="1" applyBorder="1" applyAlignment="1" applyProtection="1">
      <alignment wrapText="1"/>
      <protection hidden="1"/>
    </xf>
    <xf numFmtId="0" fontId="17" fillId="0" borderId="0" xfId="0" applyFont="1" applyAlignment="1" applyProtection="1">
      <alignment wrapText="1"/>
      <protection hidden="1"/>
    </xf>
    <xf numFmtId="0" fontId="17" fillId="3" borderId="2" xfId="0" applyFont="1" applyFill="1" applyBorder="1" applyAlignment="1" applyProtection="1">
      <alignment horizontal="center" vertical="center" textRotation="90"/>
      <protection hidden="1"/>
    </xf>
    <xf numFmtId="0" fontId="22" fillId="3" borderId="51" xfId="0" applyFont="1" applyFill="1" applyBorder="1" applyAlignment="1" applyProtection="1">
      <alignment horizontal="center" vertical="center"/>
      <protection hidden="1"/>
    </xf>
    <xf numFmtId="0" fontId="5" fillId="0" borderId="51" xfId="0" applyFont="1" applyBorder="1" applyProtection="1">
      <protection hidden="1"/>
    </xf>
    <xf numFmtId="0" fontId="17" fillId="3" borderId="0" xfId="0" applyFont="1" applyFill="1" applyAlignment="1" applyProtection="1">
      <alignment horizontal="center" vertical="center" textRotation="90"/>
      <protection hidden="1"/>
    </xf>
    <xf numFmtId="0" fontId="22"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4" fillId="3" borderId="28" xfId="0" applyNumberFormat="1" applyFont="1" applyFill="1" applyBorder="1" applyAlignment="1" applyProtection="1">
      <alignment horizontal="center" vertical="center"/>
      <protection hidden="1"/>
    </xf>
    <xf numFmtId="0" fontId="16" fillId="3" borderId="0" xfId="0" applyFont="1" applyFill="1" applyProtection="1">
      <protection hidden="1"/>
    </xf>
    <xf numFmtId="0" fontId="14" fillId="0" borderId="0" xfId="0" applyFont="1" applyProtection="1">
      <protection hidden="1"/>
    </xf>
    <xf numFmtId="0" fontId="25" fillId="12" borderId="0" xfId="0" applyFont="1" applyFill="1" applyAlignment="1" applyProtection="1">
      <alignment horizontal="right"/>
      <protection hidden="1"/>
    </xf>
    <xf numFmtId="0" fontId="25" fillId="12" borderId="0" xfId="0" applyFont="1" applyFill="1" applyAlignment="1" applyProtection="1">
      <alignment horizontal="left" vertical="top"/>
      <protection hidden="1"/>
    </xf>
    <xf numFmtId="164" fontId="14" fillId="12" borderId="0" xfId="0" applyNumberFormat="1" applyFont="1" applyFill="1" applyAlignment="1" applyProtection="1">
      <alignment horizontal="center" vertical="center" wrapText="1"/>
      <protection hidden="1"/>
    </xf>
    <xf numFmtId="1" fontId="25"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5" fillId="0" borderId="0" xfId="0" applyFont="1" applyProtection="1">
      <protection hidden="1"/>
    </xf>
    <xf numFmtId="0" fontId="0" fillId="0" borderId="6" xfId="0" applyBorder="1" applyProtection="1">
      <protection hidden="1"/>
    </xf>
    <xf numFmtId="0" fontId="21" fillId="0" borderId="45" xfId="0" applyFont="1" applyBorder="1" applyAlignment="1" applyProtection="1">
      <alignment horizontal="center" vertical="center"/>
      <protection hidden="1"/>
    </xf>
    <xf numFmtId="0" fontId="12" fillId="14" borderId="74" xfId="0" applyFont="1" applyFill="1" applyBorder="1" applyAlignment="1" applyProtection="1">
      <alignment horizontal="center" vertical="center" wrapText="1"/>
      <protection hidden="1"/>
    </xf>
    <xf numFmtId="0" fontId="12" fillId="14" borderId="51" xfId="0" applyFont="1" applyFill="1" applyBorder="1" applyAlignment="1" applyProtection="1">
      <alignment horizontal="center" vertical="center" wrapText="1"/>
      <protection hidden="1"/>
    </xf>
    <xf numFmtId="0" fontId="12" fillId="14" borderId="2" xfId="0" applyFont="1" applyFill="1" applyBorder="1" applyAlignment="1" applyProtection="1">
      <alignment horizontal="center" vertical="center" wrapText="1"/>
      <protection hidden="1"/>
    </xf>
    <xf numFmtId="0" fontId="12" fillId="14" borderId="117" xfId="0" applyFont="1" applyFill="1" applyBorder="1" applyAlignment="1" applyProtection="1">
      <alignment horizontal="center" vertical="center" wrapText="1"/>
      <protection hidden="1"/>
    </xf>
    <xf numFmtId="0" fontId="5" fillId="3" borderId="88" xfId="0" applyFont="1" applyFill="1" applyBorder="1" applyProtection="1">
      <protection hidden="1"/>
    </xf>
    <xf numFmtId="0" fontId="5" fillId="3" borderId="53" xfId="0" applyFont="1" applyFill="1" applyBorder="1" applyProtection="1">
      <protection hidden="1"/>
    </xf>
    <xf numFmtId="0" fontId="46" fillId="5" borderId="78" xfId="0" applyFont="1" applyFill="1" applyBorder="1" applyAlignment="1" applyProtection="1">
      <alignment horizontal="center" vertical="center"/>
      <protection hidden="1"/>
    </xf>
    <xf numFmtId="0" fontId="5" fillId="3" borderId="53" xfId="0" applyFont="1" applyFill="1" applyBorder="1" applyAlignment="1" applyProtection="1">
      <alignment vertical="center"/>
      <protection hidden="1"/>
    </xf>
    <xf numFmtId="0" fontId="5" fillId="0" borderId="53" xfId="0" applyFont="1" applyBorder="1" applyAlignment="1" applyProtection="1">
      <alignment vertical="center"/>
      <protection hidden="1"/>
    </xf>
    <xf numFmtId="0" fontId="0" fillId="0" borderId="0" xfId="0" applyAlignment="1" applyProtection="1">
      <alignment vertical="top"/>
      <protection hidden="1"/>
    </xf>
    <xf numFmtId="0" fontId="46" fillId="5" borderId="77" xfId="0" applyFont="1" applyFill="1" applyBorder="1" applyAlignment="1" applyProtection="1">
      <alignment horizontal="center" vertical="center"/>
      <protection hidden="1"/>
    </xf>
    <xf numFmtId="0" fontId="22" fillId="3" borderId="45" xfId="0" applyFont="1" applyFill="1" applyBorder="1" applyAlignment="1" applyProtection="1">
      <alignment horizontal="center" vertical="center"/>
      <protection hidden="1"/>
    </xf>
    <xf numFmtId="0" fontId="18" fillId="0" borderId="36" xfId="0" applyFont="1" applyBorder="1" applyAlignment="1" applyProtection="1">
      <alignment horizontal="right" vertical="top"/>
      <protection hidden="1"/>
    </xf>
    <xf numFmtId="0" fontId="18" fillId="0" borderId="36" xfId="0" applyFont="1" applyBorder="1" applyAlignment="1" applyProtection="1">
      <alignment horizontal="center" vertical="top"/>
      <protection hidden="1"/>
    </xf>
    <xf numFmtId="0" fontId="22"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6" fillId="0" borderId="27" xfId="0" applyFont="1" applyBorder="1" applyProtection="1">
      <protection hidden="1"/>
    </xf>
    <xf numFmtId="0" fontId="15" fillId="0" borderId="26" xfId="0" applyFont="1" applyBorder="1" applyAlignment="1" applyProtection="1">
      <alignment horizontal="right"/>
      <protection hidden="1"/>
    </xf>
    <xf numFmtId="0" fontId="15" fillId="0" borderId="26" xfId="0" applyFont="1" applyBorder="1" applyProtection="1">
      <protection hidden="1"/>
    </xf>
    <xf numFmtId="0" fontId="16" fillId="0" borderId="0" xfId="0" applyFont="1" applyProtection="1">
      <protection hidden="1"/>
    </xf>
    <xf numFmtId="0" fontId="0" fillId="0" borderId="0" xfId="0" applyAlignment="1" applyProtection="1">
      <alignment horizontal="right"/>
      <protection hidden="1"/>
    </xf>
    <xf numFmtId="0" fontId="17" fillId="0" borderId="0" xfId="0" applyFont="1" applyProtection="1">
      <protection hidden="1"/>
    </xf>
    <xf numFmtId="164" fontId="15" fillId="3" borderId="76" xfId="0" applyNumberFormat="1" applyFont="1" applyFill="1" applyBorder="1" applyAlignment="1" applyProtection="1">
      <alignment horizontal="center" vertical="center" wrapText="1"/>
      <protection locked="0" hidden="1"/>
    </xf>
    <xf numFmtId="164" fontId="14" fillId="3" borderId="74" xfId="0" applyNumberFormat="1" applyFont="1" applyFill="1" applyBorder="1" applyAlignment="1" applyProtection="1">
      <alignment horizontal="center" vertical="center" wrapText="1"/>
      <protection locked="0" hidden="1"/>
    </xf>
    <xf numFmtId="164" fontId="14" fillId="3" borderId="75" xfId="0" applyNumberFormat="1" applyFont="1" applyFill="1" applyBorder="1" applyAlignment="1" applyProtection="1">
      <alignment horizontal="center" vertical="center" wrapText="1"/>
      <protection locked="0" hidden="1"/>
    </xf>
    <xf numFmtId="0" fontId="14" fillId="0" borderId="93" xfId="0" applyFont="1" applyBorder="1" applyProtection="1">
      <protection locked="0" hidden="1"/>
    </xf>
    <xf numFmtId="164" fontId="14" fillId="3" borderId="106" xfId="0" applyNumberFormat="1" applyFont="1" applyFill="1" applyBorder="1" applyAlignment="1" applyProtection="1">
      <alignment horizontal="center" vertical="center" wrapText="1"/>
      <protection locked="0" hidden="1"/>
    </xf>
    <xf numFmtId="0" fontId="14" fillId="0" borderId="93" xfId="0" applyFont="1" applyBorder="1" applyAlignment="1" applyProtection="1">
      <alignment horizontal="left" vertical="top"/>
      <protection locked="0" hidden="1"/>
    </xf>
    <xf numFmtId="164" fontId="15" fillId="3" borderId="74" xfId="0" applyNumberFormat="1" applyFont="1" applyFill="1" applyBorder="1" applyAlignment="1" applyProtection="1">
      <alignment horizontal="center" vertical="center" wrapText="1"/>
      <protection locked="0" hidden="1"/>
    </xf>
    <xf numFmtId="0" fontId="14" fillId="0" borderId="34" xfId="0" applyFont="1" applyBorder="1" applyProtection="1">
      <protection locked="0" hidden="1"/>
    </xf>
    <xf numFmtId="0" fontId="14" fillId="0" borderId="34" xfId="0" applyFont="1" applyBorder="1" applyAlignment="1" applyProtection="1">
      <alignment horizontal="left" vertical="top"/>
      <protection locked="0" hidden="1"/>
    </xf>
    <xf numFmtId="0" fontId="0" fillId="0" borderId="0" xfId="0" applyProtection="1">
      <protection locked="0" hidden="1"/>
    </xf>
    <xf numFmtId="0" fontId="61" fillId="0" borderId="0" xfId="0" applyFont="1" applyProtection="1">
      <protection locked="0" hidden="1"/>
    </xf>
    <xf numFmtId="164" fontId="46" fillId="3" borderId="76" xfId="0" applyNumberFormat="1" applyFont="1" applyFill="1" applyBorder="1" applyAlignment="1" applyProtection="1">
      <alignment horizontal="center" vertical="center" wrapText="1"/>
      <protection locked="0" hidden="1"/>
    </xf>
    <xf numFmtId="164" fontId="25" fillId="3" borderId="74" xfId="0" applyNumberFormat="1" applyFont="1" applyFill="1" applyBorder="1" applyAlignment="1" applyProtection="1">
      <alignment horizontal="center" vertical="center" wrapText="1"/>
      <protection locked="0" hidden="1"/>
    </xf>
    <xf numFmtId="164" fontId="25" fillId="3" borderId="75" xfId="0" applyNumberFormat="1" applyFont="1" applyFill="1" applyBorder="1" applyAlignment="1" applyProtection="1">
      <alignment horizontal="center" vertical="center" wrapText="1"/>
      <protection locked="0" hidden="1"/>
    </xf>
    <xf numFmtId="0" fontId="14" fillId="0" borderId="102" xfId="0" applyFont="1" applyBorder="1" applyAlignment="1" applyProtection="1">
      <alignment horizontal="left" vertical="top"/>
      <protection locked="0" hidden="1"/>
    </xf>
    <xf numFmtId="0" fontId="14" fillId="0" borderId="102" xfId="0" applyFont="1" applyBorder="1" applyProtection="1">
      <protection locked="0" hidden="1"/>
    </xf>
    <xf numFmtId="0" fontId="0" fillId="16" borderId="0" xfId="0" applyFill="1" applyProtection="1">
      <protection hidden="1"/>
    </xf>
    <xf numFmtId="0" fontId="12" fillId="16" borderId="74" xfId="0" applyFont="1" applyFill="1" applyBorder="1" applyAlignment="1" applyProtection="1">
      <alignment horizontal="center" vertical="center" wrapText="1"/>
      <protection hidden="1"/>
    </xf>
    <xf numFmtId="0" fontId="12" fillId="16" borderId="105" xfId="0" applyFont="1" applyFill="1" applyBorder="1" applyAlignment="1" applyProtection="1">
      <alignment horizontal="center" vertical="center" wrapText="1"/>
      <protection hidden="1"/>
    </xf>
    <xf numFmtId="0" fontId="12" fillId="16" borderId="51" xfId="0" applyFont="1" applyFill="1" applyBorder="1" applyAlignment="1" applyProtection="1">
      <alignment horizontal="center" vertical="center" wrapText="1"/>
      <protection hidden="1"/>
    </xf>
    <xf numFmtId="0" fontId="12" fillId="16" borderId="73" xfId="0" applyFont="1" applyFill="1" applyBorder="1" applyAlignment="1" applyProtection="1">
      <alignment horizontal="center" vertical="center" wrapText="1"/>
      <protection hidden="1"/>
    </xf>
    <xf numFmtId="0" fontId="12"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6" fillId="7" borderId="0" xfId="1" applyFill="1" applyAlignment="1" applyProtection="1">
      <alignment vertical="center"/>
      <protection hidden="1"/>
    </xf>
    <xf numFmtId="0" fontId="13" fillId="16" borderId="109" xfId="0" applyFont="1" applyFill="1" applyBorder="1" applyAlignment="1" applyProtection="1">
      <alignment horizontal="center" vertical="center" wrapText="1"/>
      <protection hidden="1"/>
    </xf>
    <xf numFmtId="0" fontId="35" fillId="16" borderId="0" xfId="1" applyFont="1" applyFill="1" applyAlignment="1" applyProtection="1">
      <alignment horizontal="center" vertical="center"/>
      <protection hidden="1"/>
    </xf>
    <xf numFmtId="0" fontId="13" fillId="16" borderId="66" xfId="0" applyFont="1" applyFill="1" applyBorder="1" applyAlignment="1" applyProtection="1">
      <alignment horizontal="center" vertical="center" wrapText="1"/>
      <protection hidden="1"/>
    </xf>
    <xf numFmtId="0" fontId="15" fillId="5" borderId="59" xfId="0" applyFont="1" applyFill="1" applyBorder="1" applyAlignment="1" applyProtection="1">
      <alignment horizontal="center" vertical="center"/>
      <protection locked="0" hidden="1"/>
    </xf>
    <xf numFmtId="0" fontId="15" fillId="5" borderId="68" xfId="0" applyFont="1" applyFill="1" applyBorder="1" applyAlignment="1" applyProtection="1">
      <alignment horizontal="center" vertical="center"/>
      <protection locked="0" hidden="1"/>
    </xf>
    <xf numFmtId="0" fontId="15" fillId="5" borderId="69" xfId="0" applyFont="1" applyFill="1" applyBorder="1" applyAlignment="1" applyProtection="1">
      <alignment horizontal="center" vertical="center"/>
      <protection locked="0" hidden="1"/>
    </xf>
    <xf numFmtId="0" fontId="15" fillId="5" borderId="70" xfId="0" applyFont="1" applyFill="1" applyBorder="1" applyAlignment="1" applyProtection="1">
      <alignment horizontal="center" vertical="center"/>
      <protection locked="0" hidden="1"/>
    </xf>
    <xf numFmtId="0" fontId="7" fillId="0" borderId="4" xfId="1" applyFont="1" applyBorder="1" applyAlignment="1" applyProtection="1">
      <alignment horizontal="center" vertical="center"/>
      <protection locked="0" hidden="1"/>
    </xf>
    <xf numFmtId="0" fontId="7" fillId="0" borderId="64" xfId="1" applyFont="1" applyBorder="1" applyAlignment="1" applyProtection="1">
      <alignment horizontal="center" vertical="center"/>
      <protection locked="0" hidden="1"/>
    </xf>
    <xf numFmtId="0" fontId="38" fillId="17" borderId="50" xfId="0" applyFont="1" applyFill="1" applyBorder="1" applyAlignment="1">
      <alignment vertical="center" wrapText="1"/>
    </xf>
    <xf numFmtId="0" fontId="72" fillId="17" borderId="67" xfId="0" applyFont="1" applyFill="1" applyBorder="1" applyAlignment="1">
      <alignment vertical="center" wrapText="1"/>
    </xf>
    <xf numFmtId="0" fontId="9"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7" fillId="3" borderId="51" xfId="0" applyFont="1" applyFill="1" applyBorder="1" applyAlignment="1" applyProtection="1">
      <alignment horizontal="center" vertical="center"/>
      <protection hidden="1"/>
    </xf>
    <xf numFmtId="164" fontId="7" fillId="3" borderId="50" xfId="0" applyNumberFormat="1" applyFont="1" applyFill="1" applyBorder="1" applyAlignment="1" applyProtection="1">
      <alignment horizontal="center" vertical="center" wrapText="1"/>
      <protection locked="0" hidden="1"/>
    </xf>
    <xf numFmtId="1" fontId="15" fillId="5" borderId="118" xfId="0" applyNumberFormat="1" applyFont="1" applyFill="1" applyBorder="1" applyAlignment="1" applyProtection="1">
      <alignment horizontal="center" vertical="center"/>
      <protection hidden="1"/>
    </xf>
    <xf numFmtId="1" fontId="15" fillId="5" borderId="119" xfId="0" applyNumberFormat="1" applyFont="1" applyFill="1" applyBorder="1" applyAlignment="1" applyProtection="1">
      <alignment horizontal="center" vertical="center"/>
      <protection hidden="1"/>
    </xf>
    <xf numFmtId="1" fontId="15" fillId="5" borderId="120" xfId="0" applyNumberFormat="1" applyFont="1" applyFill="1" applyBorder="1" applyAlignment="1" applyProtection="1">
      <alignment horizontal="center" vertical="center"/>
      <protection hidden="1"/>
    </xf>
    <xf numFmtId="0" fontId="74" fillId="3" borderId="51" xfId="0" applyFont="1" applyFill="1" applyBorder="1" applyProtection="1">
      <protection hidden="1"/>
    </xf>
    <xf numFmtId="0" fontId="75" fillId="3" borderId="51" xfId="0" applyFont="1" applyFill="1" applyBorder="1" applyAlignment="1" applyProtection="1">
      <alignment horizontal="center" vertical="center"/>
      <protection hidden="1"/>
    </xf>
    <xf numFmtId="0" fontId="11"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4"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4"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4" fillId="19" borderId="135" xfId="0" applyFont="1" applyFill="1" applyBorder="1" applyAlignment="1">
      <alignment vertical="top" wrapText="1"/>
    </xf>
    <xf numFmtId="0" fontId="81" fillId="19" borderId="134" xfId="0" applyFont="1" applyFill="1" applyBorder="1" applyAlignment="1">
      <alignment vertical="top" wrapText="1"/>
    </xf>
    <xf numFmtId="0" fontId="81" fillId="19" borderId="135" xfId="0" applyFont="1" applyFill="1" applyBorder="1" applyAlignment="1">
      <alignment vertical="top" wrapText="1"/>
    </xf>
    <xf numFmtId="0" fontId="81" fillId="19" borderId="135" xfId="0" applyFont="1" applyFill="1" applyBorder="1" applyAlignment="1">
      <alignment horizontal="center" vertical="top" wrapText="1"/>
    </xf>
    <xf numFmtId="0" fontId="81" fillId="19" borderId="136" xfId="0" applyFont="1" applyFill="1" applyBorder="1" applyAlignment="1">
      <alignment horizontal="center" vertical="top" wrapText="1"/>
    </xf>
    <xf numFmtId="0" fontId="16" fillId="19" borderId="135" xfId="0" applyFont="1" applyFill="1" applyBorder="1" applyAlignment="1">
      <alignment vertical="top" wrapText="1"/>
    </xf>
    <xf numFmtId="0" fontId="81"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4"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1" fillId="19" borderId="140" xfId="0" applyFont="1" applyFill="1" applyBorder="1" applyAlignment="1">
      <alignment vertical="top" wrapText="1"/>
    </xf>
    <xf numFmtId="0" fontId="81" fillId="19" borderId="141" xfId="0" applyFont="1" applyFill="1" applyBorder="1" applyAlignment="1">
      <alignment vertical="top" wrapText="1"/>
    </xf>
    <xf numFmtId="0" fontId="81" fillId="19" borderId="141" xfId="0" applyFont="1" applyFill="1" applyBorder="1" applyAlignment="1">
      <alignment horizontal="center" vertical="top" wrapText="1"/>
    </xf>
    <xf numFmtId="0" fontId="81" fillId="19" borderId="142" xfId="0" applyFont="1" applyFill="1" applyBorder="1" applyAlignment="1">
      <alignment horizontal="center" vertical="top" wrapText="1"/>
    </xf>
    <xf numFmtId="0" fontId="74" fillId="19" borderId="141" xfId="0" applyFont="1" applyFill="1" applyBorder="1" applyAlignment="1">
      <alignment vertical="top" wrapText="1"/>
    </xf>
    <xf numFmtId="0" fontId="0" fillId="0" borderId="0" xfId="0" applyAlignment="1">
      <alignment horizontal="center" vertical="center" wrapText="1"/>
    </xf>
    <xf numFmtId="0" fontId="20" fillId="0" borderId="0" xfId="0" applyFont="1" applyAlignment="1">
      <alignment horizontal="left" vertical="center"/>
    </xf>
    <xf numFmtId="0" fontId="20"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2" fillId="21" borderId="74" xfId="0" applyFont="1" applyFill="1" applyBorder="1" applyAlignment="1" applyProtection="1">
      <alignment horizontal="center" vertical="center" wrapText="1"/>
      <protection hidden="1"/>
    </xf>
    <xf numFmtId="0" fontId="12" fillId="21" borderId="105" xfId="0" applyFont="1" applyFill="1" applyBorder="1" applyAlignment="1" applyProtection="1">
      <alignment horizontal="center" vertical="center" wrapText="1"/>
      <protection hidden="1"/>
    </xf>
    <xf numFmtId="0" fontId="12" fillId="21" borderId="51" xfId="0" applyFont="1" applyFill="1" applyBorder="1" applyAlignment="1" applyProtection="1">
      <alignment horizontal="center" vertical="center" wrapText="1"/>
      <protection hidden="1"/>
    </xf>
    <xf numFmtId="0" fontId="46" fillId="22" borderId="85" xfId="0" applyFont="1" applyFill="1" applyBorder="1" applyAlignment="1" applyProtection="1">
      <alignment horizontal="center" vertical="center"/>
      <protection hidden="1"/>
    </xf>
    <xf numFmtId="0" fontId="46" fillId="22" borderId="47" xfId="0" applyFont="1" applyFill="1" applyBorder="1" applyAlignment="1" applyProtection="1">
      <alignment horizontal="center" vertical="center"/>
      <protection hidden="1"/>
    </xf>
    <xf numFmtId="0" fontId="12" fillId="21" borderId="73" xfId="0" applyFont="1" applyFill="1" applyBorder="1" applyAlignment="1" applyProtection="1">
      <alignment horizontal="center" vertical="center" wrapText="1"/>
      <protection hidden="1"/>
    </xf>
    <xf numFmtId="0" fontId="12" fillId="21" borderId="104" xfId="0" applyFont="1" applyFill="1" applyBorder="1" applyAlignment="1" applyProtection="1">
      <alignment horizontal="center" vertical="center" wrapText="1"/>
      <protection hidden="1"/>
    </xf>
    <xf numFmtId="0" fontId="14" fillId="22" borderId="33" xfId="0" applyFont="1" applyFill="1" applyBorder="1" applyAlignment="1" applyProtection="1">
      <alignment horizontal="right"/>
      <protection hidden="1"/>
    </xf>
    <xf numFmtId="0" fontId="14" fillId="22" borderId="26" xfId="0" applyFont="1" applyFill="1" applyBorder="1" applyAlignment="1" applyProtection="1">
      <alignment horizontal="right"/>
      <protection hidden="1"/>
    </xf>
    <xf numFmtId="0" fontId="14" fillId="22" borderId="29" xfId="0" applyFont="1" applyFill="1" applyBorder="1" applyAlignment="1" applyProtection="1">
      <alignment horizontal="right"/>
      <protection hidden="1"/>
    </xf>
    <xf numFmtId="0" fontId="14" fillId="22" borderId="26" xfId="0" applyFont="1" applyFill="1" applyBorder="1" applyProtection="1">
      <protection hidden="1"/>
    </xf>
    <xf numFmtId="0" fontId="46" fillId="22" borderId="78" xfId="0" applyFont="1" applyFill="1" applyBorder="1" applyAlignment="1" applyProtection="1">
      <alignment horizontal="center" vertical="center"/>
      <protection hidden="1"/>
    </xf>
    <xf numFmtId="0" fontId="46" fillId="22" borderId="77" xfId="0" applyFont="1" applyFill="1" applyBorder="1" applyAlignment="1" applyProtection="1">
      <alignment horizontal="center" vertical="center"/>
      <protection hidden="1"/>
    </xf>
    <xf numFmtId="0" fontId="18" fillId="22" borderId="36" xfId="0" applyFont="1" applyFill="1" applyBorder="1" applyAlignment="1" applyProtection="1">
      <alignment horizontal="right" vertical="top"/>
      <protection hidden="1"/>
    </xf>
    <xf numFmtId="0" fontId="18" fillId="22" borderId="36" xfId="0" applyFont="1" applyFill="1" applyBorder="1" applyAlignment="1" applyProtection="1">
      <alignment horizontal="center" vertical="top"/>
      <protection hidden="1"/>
    </xf>
    <xf numFmtId="0" fontId="61" fillId="22" borderId="42" xfId="0" applyFont="1" applyFill="1" applyBorder="1" applyAlignment="1" applyProtection="1">
      <alignment vertical="center" wrapText="1"/>
      <protection hidden="1"/>
    </xf>
    <xf numFmtId="0" fontId="0" fillId="22" borderId="0" xfId="0" applyFill="1" applyProtection="1">
      <protection hidden="1"/>
    </xf>
    <xf numFmtId="0" fontId="8" fillId="22" borderId="0" xfId="0" applyFont="1" applyFill="1" applyProtection="1">
      <protection hidden="1"/>
    </xf>
    <xf numFmtId="0" fontId="19" fillId="22" borderId="0" xfId="0" applyFont="1" applyFill="1" applyAlignment="1" applyProtection="1">
      <alignment vertical="center"/>
      <protection hidden="1"/>
    </xf>
    <xf numFmtId="0" fontId="26" fillId="22" borderId="0" xfId="0" applyFont="1" applyFill="1" applyProtection="1">
      <protection hidden="1"/>
    </xf>
    <xf numFmtId="0" fontId="17" fillId="22" borderId="0" xfId="0" applyFont="1" applyFill="1" applyAlignment="1" applyProtection="1">
      <alignment wrapText="1"/>
      <protection hidden="1"/>
    </xf>
    <xf numFmtId="0" fontId="40" fillId="22" borderId="0" xfId="0" applyFont="1" applyFill="1" applyProtection="1">
      <protection hidden="1"/>
    </xf>
    <xf numFmtId="0" fontId="25" fillId="22" borderId="0" xfId="0" applyFont="1" applyFill="1" applyProtection="1">
      <protection hidden="1"/>
    </xf>
    <xf numFmtId="0" fontId="39" fillId="22" borderId="0" xfId="0" applyFont="1" applyFill="1" applyAlignment="1" applyProtection="1">
      <alignment horizontal="center" wrapText="1"/>
      <protection hidden="1"/>
    </xf>
    <xf numFmtId="1" fontId="0" fillId="22" borderId="0" xfId="0" applyNumberFormat="1" applyFill="1" applyAlignment="1" applyProtection="1">
      <alignment horizontal="center" vertical="center"/>
      <protection hidden="1"/>
    </xf>
    <xf numFmtId="0" fontId="0" fillId="22" borderId="0" xfId="0" applyFill="1" applyAlignment="1" applyProtection="1">
      <alignment horizontal="left" vertical="center"/>
      <protection hidden="1"/>
    </xf>
    <xf numFmtId="0" fontId="69" fillId="22" borderId="0" xfId="0" applyFont="1" applyFill="1" applyAlignment="1" applyProtection="1">
      <alignment horizontal="left"/>
      <protection hidden="1"/>
    </xf>
    <xf numFmtId="0" fontId="10" fillId="22" borderId="0" xfId="0" applyFont="1" applyFill="1" applyProtection="1">
      <protection hidden="1"/>
    </xf>
    <xf numFmtId="0" fontId="7" fillId="22" borderId="0" xfId="0" applyFont="1" applyFill="1" applyProtection="1">
      <protection hidden="1"/>
    </xf>
    <xf numFmtId="0" fontId="55" fillId="21" borderId="60" xfId="0" applyFont="1" applyFill="1" applyBorder="1" applyAlignment="1">
      <alignment horizontal="center" vertical="center" wrapText="1"/>
    </xf>
    <xf numFmtId="0" fontId="33" fillId="23" borderId="86" xfId="0" applyFont="1" applyFill="1" applyBorder="1" applyAlignment="1">
      <alignment horizontal="right" vertical="center" wrapText="1"/>
    </xf>
    <xf numFmtId="0" fontId="51" fillId="22" borderId="46" xfId="0" applyFont="1" applyFill="1" applyBorder="1" applyAlignment="1">
      <alignment horizontal="center" vertical="center" wrapText="1"/>
    </xf>
    <xf numFmtId="0" fontId="54" fillId="22" borderId="38" xfId="0" applyFont="1" applyFill="1" applyBorder="1" applyAlignment="1">
      <alignment horizontal="center" vertical="center"/>
    </xf>
    <xf numFmtId="0" fontId="67" fillId="21" borderId="38" xfId="0" applyFont="1" applyFill="1" applyBorder="1" applyAlignment="1">
      <alignment horizontal="center" vertical="center" wrapText="1"/>
    </xf>
    <xf numFmtId="0" fontId="51" fillId="24" borderId="29" xfId="0" applyFont="1" applyFill="1" applyBorder="1" applyAlignment="1">
      <alignment horizontal="center" vertical="center" wrapText="1"/>
    </xf>
    <xf numFmtId="0" fontId="59" fillId="22" borderId="41" xfId="0" applyFont="1" applyFill="1" applyBorder="1" applyAlignment="1">
      <alignment horizontal="center" vertical="center"/>
    </xf>
    <xf numFmtId="0" fontId="59" fillId="22" borderId="15" xfId="0" applyFont="1" applyFill="1" applyBorder="1" applyAlignment="1">
      <alignment horizontal="center" vertical="center"/>
    </xf>
    <xf numFmtId="0" fontId="16" fillId="22" borderId="0" xfId="1" applyFill="1" applyAlignment="1">
      <alignment vertical="center"/>
    </xf>
    <xf numFmtId="0" fontId="7" fillId="22" borderId="42" xfId="1" applyFont="1" applyFill="1" applyBorder="1" applyAlignment="1" applyProtection="1">
      <alignment horizontal="right" vertical="center"/>
      <protection hidden="1"/>
    </xf>
    <xf numFmtId="0" fontId="7" fillId="22" borderId="42" xfId="1" applyFont="1" applyFill="1" applyBorder="1" applyAlignment="1" applyProtection="1">
      <alignment horizontal="center" vertical="center"/>
      <protection hidden="1"/>
    </xf>
    <xf numFmtId="0" fontId="64" fillId="22" borderId="0" xfId="1" applyFont="1" applyFill="1" applyAlignment="1">
      <alignment vertical="center"/>
    </xf>
    <xf numFmtId="0" fontId="29" fillId="22" borderId="0" xfId="1" applyFont="1" applyFill="1" applyAlignment="1">
      <alignment vertical="center"/>
    </xf>
    <xf numFmtId="0" fontId="29" fillId="22" borderId="0" xfId="1" applyFont="1" applyFill="1" applyAlignment="1">
      <alignment horizontal="right" vertical="center"/>
    </xf>
    <xf numFmtId="0" fontId="29" fillId="22" borderId="0" xfId="1" applyFont="1" applyFill="1" applyAlignment="1">
      <alignment horizontal="center" vertical="center"/>
    </xf>
    <xf numFmtId="0" fontId="16" fillId="22" borderId="0" xfId="1" applyFill="1" applyAlignment="1" applyProtection="1">
      <alignment vertical="center"/>
      <protection hidden="1"/>
    </xf>
    <xf numFmtId="0" fontId="7" fillId="22" borderId="0" xfId="1" applyFont="1" applyFill="1" applyAlignment="1" applyProtection="1">
      <alignment horizontal="right" vertical="center"/>
      <protection hidden="1"/>
    </xf>
    <xf numFmtId="0" fontId="30" fillId="22" borderId="0" xfId="1" applyFont="1" applyFill="1" applyAlignment="1">
      <alignment vertical="center"/>
    </xf>
    <xf numFmtId="0" fontId="30" fillId="21" borderId="0" xfId="1" applyFont="1" applyFill="1" applyAlignment="1" applyProtection="1">
      <alignment vertical="center"/>
      <protection hidden="1"/>
    </xf>
    <xf numFmtId="0" fontId="7" fillId="22" borderId="0" xfId="1" applyFont="1" applyFill="1" applyAlignment="1">
      <alignment wrapText="1"/>
    </xf>
    <xf numFmtId="0" fontId="7" fillId="22" borderId="0" xfId="1" applyFont="1" applyFill="1" applyAlignment="1">
      <alignment vertical="center" wrapText="1"/>
    </xf>
    <xf numFmtId="0" fontId="16" fillId="22" borderId="0" xfId="1" applyFill="1"/>
    <xf numFmtId="0" fontId="13" fillId="21" borderId="109" xfId="0" applyFont="1" applyFill="1" applyBorder="1" applyAlignment="1">
      <alignment horizontal="center" vertical="center" wrapText="1"/>
    </xf>
    <xf numFmtId="0" fontId="16" fillId="22" borderId="64" xfId="1" applyFill="1" applyBorder="1" applyAlignment="1" applyProtection="1">
      <alignment horizontal="center" vertical="center"/>
      <protection hidden="1"/>
    </xf>
    <xf numFmtId="0" fontId="35" fillId="21" borderId="0" xfId="1" applyFont="1" applyFill="1" applyAlignment="1">
      <alignment horizontal="center" vertical="center"/>
    </xf>
    <xf numFmtId="1" fontId="7" fillId="22" borderId="4" xfId="1" applyNumberFormat="1" applyFont="1" applyFill="1" applyBorder="1" applyAlignment="1" applyProtection="1">
      <alignment horizontal="center" vertical="center"/>
      <protection hidden="1"/>
    </xf>
    <xf numFmtId="0" fontId="16" fillId="22" borderId="4" xfId="1" applyFill="1" applyBorder="1" applyAlignment="1" applyProtection="1">
      <alignment horizontal="center" vertical="center"/>
      <protection hidden="1"/>
    </xf>
    <xf numFmtId="0" fontId="13" fillId="21" borderId="66" xfId="0" applyFont="1" applyFill="1" applyBorder="1" applyAlignment="1">
      <alignment horizontal="center" vertical="center" wrapText="1"/>
    </xf>
    <xf numFmtId="0" fontId="64" fillId="22" borderId="0" xfId="1" applyFont="1" applyFill="1" applyAlignment="1">
      <alignment horizontal="left" vertical="center"/>
    </xf>
    <xf numFmtId="1" fontId="32" fillId="22" borderId="0" xfId="1" applyNumberFormat="1" applyFont="1" applyFill="1" applyAlignment="1" applyProtection="1">
      <alignment horizontal="center" vertical="center"/>
      <protection hidden="1"/>
    </xf>
    <xf numFmtId="0" fontId="23" fillId="22" borderId="0" xfId="1" applyFont="1" applyFill="1" applyAlignment="1">
      <alignment vertical="center"/>
    </xf>
    <xf numFmtId="0" fontId="7" fillId="22" borderId="0" xfId="1" applyFont="1" applyFill="1" applyAlignment="1" applyProtection="1">
      <alignment horizontal="center" vertical="center"/>
      <protection hidden="1"/>
    </xf>
    <xf numFmtId="1" fontId="4" fillId="22" borderId="0" xfId="1" applyNumberFormat="1" applyFont="1" applyFill="1" applyAlignment="1" applyProtection="1">
      <alignment horizontal="center" vertical="center"/>
      <protection hidden="1"/>
    </xf>
    <xf numFmtId="164" fontId="7" fillId="22" borderId="0" xfId="1" quotePrefix="1" applyNumberFormat="1" applyFont="1" applyFill="1" applyAlignment="1">
      <alignment horizontal="center" vertical="center"/>
    </xf>
    <xf numFmtId="0" fontId="36" fillId="22" borderId="0" xfId="1" applyFont="1" applyFill="1" applyAlignment="1">
      <alignment vertical="center"/>
    </xf>
    <xf numFmtId="0" fontId="30" fillId="22" borderId="0" xfId="1" applyFont="1" applyFill="1" applyAlignment="1" applyProtection="1">
      <alignment vertical="center"/>
      <protection hidden="1"/>
    </xf>
    <xf numFmtId="0" fontId="3" fillId="23" borderId="8" xfId="1" applyFont="1" applyFill="1" applyBorder="1" applyAlignment="1" applyProtection="1">
      <alignment horizontal="center" vertical="center"/>
      <protection hidden="1"/>
    </xf>
    <xf numFmtId="0" fontId="29" fillId="23" borderId="0" xfId="1" applyFont="1" applyFill="1" applyAlignment="1" applyProtection="1">
      <alignment vertical="center"/>
      <protection hidden="1"/>
    </xf>
    <xf numFmtId="0" fontId="16" fillId="23" borderId="0" xfId="1" applyFill="1" applyAlignment="1" applyProtection="1">
      <alignment vertical="center"/>
      <protection hidden="1"/>
    </xf>
    <xf numFmtId="0" fontId="4" fillId="23" borderId="0" xfId="1" applyFont="1" applyFill="1" applyAlignment="1" applyProtection="1">
      <alignment horizontal="right" vertical="center"/>
      <protection hidden="1"/>
    </xf>
    <xf numFmtId="0" fontId="23" fillId="22" borderId="0" xfId="1" applyFont="1" applyFill="1" applyAlignment="1" applyProtection="1">
      <alignment vertical="center"/>
      <protection hidden="1"/>
    </xf>
    <xf numFmtId="0" fontId="29" fillId="22" borderId="0" xfId="1" applyFont="1" applyFill="1" applyAlignment="1" applyProtection="1">
      <alignment vertical="center"/>
      <protection hidden="1"/>
    </xf>
    <xf numFmtId="0" fontId="37" fillId="22" borderId="0" xfId="1" applyFont="1" applyFill="1" applyAlignment="1" applyProtection="1">
      <alignment vertical="center"/>
      <protection hidden="1"/>
    </xf>
    <xf numFmtId="0" fontId="4" fillId="22" borderId="0" xfId="1" applyFont="1" applyFill="1" applyAlignment="1" applyProtection="1">
      <alignment horizontal="right" vertical="center"/>
      <protection hidden="1"/>
    </xf>
    <xf numFmtId="9" fontId="16" fillId="22" borderId="0" xfId="2" applyFont="1" applyFill="1" applyBorder="1" applyAlignment="1" applyProtection="1">
      <alignment horizontal="center" vertical="center"/>
      <protection hidden="1"/>
    </xf>
    <xf numFmtId="0" fontId="64" fillId="22" borderId="0" xfId="1" applyFont="1" applyFill="1" applyAlignment="1" applyProtection="1">
      <alignment horizontal="left" vertical="center"/>
      <protection hidden="1"/>
    </xf>
    <xf numFmtId="0" fontId="62" fillId="22" borderId="0" xfId="1" applyFont="1" applyFill="1" applyAlignment="1" applyProtection="1">
      <alignment vertical="center"/>
      <protection hidden="1"/>
    </xf>
    <xf numFmtId="9" fontId="62" fillId="22" borderId="0" xfId="2" applyFont="1" applyFill="1" applyBorder="1" applyAlignment="1" applyProtection="1">
      <alignment horizontal="center" vertical="center"/>
      <protection hidden="1"/>
    </xf>
    <xf numFmtId="0" fontId="29" fillId="22" borderId="0" xfId="1" applyFont="1" applyFill="1" applyAlignment="1" applyProtection="1">
      <alignment horizontal="right" vertical="center"/>
      <protection hidden="1"/>
    </xf>
    <xf numFmtId="0" fontId="29" fillId="22" borderId="0" xfId="1" applyFont="1" applyFill="1" applyAlignment="1" applyProtection="1">
      <alignment horizontal="center" vertical="center"/>
      <protection hidden="1"/>
    </xf>
    <xf numFmtId="0" fontId="64" fillId="22" borderId="0" xfId="1" applyFont="1" applyFill="1" applyAlignment="1" applyProtection="1">
      <alignment vertical="center"/>
      <protection hidden="1"/>
    </xf>
    <xf numFmtId="0" fontId="7" fillId="22" borderId="0" xfId="1" applyFont="1" applyFill="1" applyAlignment="1" applyProtection="1">
      <alignment wrapText="1"/>
      <protection hidden="1"/>
    </xf>
    <xf numFmtId="0" fontId="7" fillId="22" borderId="0" xfId="1" applyFont="1" applyFill="1" applyAlignment="1" applyProtection="1">
      <alignment vertical="center" wrapText="1"/>
      <protection hidden="1"/>
    </xf>
    <xf numFmtId="0" fontId="16" fillId="22" borderId="0" xfId="1" applyFill="1" applyProtection="1">
      <protection hidden="1"/>
    </xf>
    <xf numFmtId="0" fontId="76" fillId="21" borderId="22" xfId="0" applyFont="1" applyFill="1" applyBorder="1" applyAlignment="1">
      <alignment horizontal="center" vertical="center"/>
    </xf>
    <xf numFmtId="0" fontId="76" fillId="21" borderId="121" xfId="0" applyFont="1" applyFill="1" applyBorder="1" applyAlignment="1">
      <alignment vertical="center"/>
    </xf>
    <xf numFmtId="0" fontId="76" fillId="21" borderId="121" xfId="0" applyFont="1" applyFill="1" applyBorder="1" applyAlignment="1">
      <alignment horizontal="center" vertical="center"/>
    </xf>
    <xf numFmtId="0" fontId="76" fillId="21" borderId="122" xfId="0" applyFont="1" applyFill="1" applyBorder="1" applyAlignment="1">
      <alignment horizontal="center" vertical="center"/>
    </xf>
    <xf numFmtId="0" fontId="76" fillId="21" borderId="123" xfId="0" applyFont="1" applyFill="1" applyBorder="1" applyAlignment="1">
      <alignment vertical="center"/>
    </xf>
    <xf numFmtId="0" fontId="77" fillId="21" borderId="121" xfId="0" applyFont="1" applyFill="1" applyBorder="1" applyAlignment="1">
      <alignment vertical="center"/>
    </xf>
    <xf numFmtId="0" fontId="78" fillId="21" borderId="121" xfId="0" applyFont="1" applyFill="1" applyBorder="1" applyAlignment="1">
      <alignment vertical="center"/>
    </xf>
    <xf numFmtId="0" fontId="78" fillId="21" borderId="121" xfId="0" applyFont="1" applyFill="1" applyBorder="1" applyAlignment="1">
      <alignment horizontal="center" vertical="center"/>
    </xf>
    <xf numFmtId="0" fontId="78" fillId="21" borderId="122" xfId="0" applyFont="1" applyFill="1" applyBorder="1" applyAlignment="1">
      <alignment horizontal="center" vertical="center"/>
    </xf>
    <xf numFmtId="0" fontId="76" fillId="21" borderId="124" xfId="0" applyFont="1" applyFill="1" applyBorder="1" applyAlignment="1">
      <alignment horizontal="center" vertical="center" wrapText="1"/>
    </xf>
    <xf numFmtId="0" fontId="79" fillId="21" borderId="125" xfId="0" applyFont="1" applyFill="1" applyBorder="1" applyAlignment="1">
      <alignment horizontal="center" vertical="center" wrapText="1"/>
    </xf>
    <xf numFmtId="0" fontId="79" fillId="21" borderId="126" xfId="0" applyFont="1" applyFill="1" applyBorder="1" applyAlignment="1">
      <alignment horizontal="center" vertical="center" wrapText="1"/>
    </xf>
    <xf numFmtId="0" fontId="79" fillId="21" borderId="127" xfId="0" applyFont="1" applyFill="1" applyBorder="1" applyAlignment="1">
      <alignment horizontal="center" vertical="center" wrapText="1"/>
    </xf>
    <xf numFmtId="0" fontId="4" fillId="23" borderId="133" xfId="0" applyFont="1" applyFill="1" applyBorder="1" applyAlignment="1">
      <alignment horizontal="center" vertical="center" wrapText="1"/>
    </xf>
    <xf numFmtId="0" fontId="0" fillId="23" borderId="134" xfId="0" applyFill="1" applyBorder="1" applyAlignment="1">
      <alignment vertical="top" wrapText="1"/>
    </xf>
    <xf numFmtId="0" fontId="0" fillId="23" borderId="135" xfId="0" applyFill="1" applyBorder="1" applyAlignment="1">
      <alignment vertical="top" wrapText="1"/>
    </xf>
    <xf numFmtId="0" fontId="0" fillId="23" borderId="135" xfId="0" applyFill="1" applyBorder="1" applyAlignment="1">
      <alignment horizontal="center" vertical="top" wrapText="1"/>
    </xf>
    <xf numFmtId="0" fontId="0" fillId="23" borderId="136" xfId="0" applyFill="1" applyBorder="1" applyAlignment="1">
      <alignment horizontal="center" vertical="top" wrapText="1"/>
    </xf>
    <xf numFmtId="0" fontId="0" fillId="23" borderId="137" xfId="0" applyFill="1" applyBorder="1" applyAlignment="1">
      <alignment vertical="top" wrapText="1"/>
    </xf>
    <xf numFmtId="0" fontId="74" fillId="23" borderId="135" xfId="0" applyFont="1" applyFill="1" applyBorder="1" applyAlignment="1">
      <alignment vertical="top" wrapText="1"/>
    </xf>
    <xf numFmtId="0" fontId="0" fillId="23" borderId="0" xfId="0" applyFill="1" applyAlignment="1">
      <alignment vertical="top" wrapText="1"/>
    </xf>
    <xf numFmtId="0" fontId="81" fillId="23" borderId="134" xfId="0" applyFont="1" applyFill="1" applyBorder="1" applyAlignment="1">
      <alignment vertical="top" wrapText="1"/>
    </xf>
    <xf numFmtId="0" fontId="81" fillId="23" borderId="135" xfId="0" applyFont="1" applyFill="1" applyBorder="1" applyAlignment="1">
      <alignment vertical="top" wrapText="1"/>
    </xf>
    <xf numFmtId="0" fontId="81" fillId="23" borderId="135" xfId="0" applyFont="1" applyFill="1" applyBorder="1" applyAlignment="1">
      <alignment horizontal="center" vertical="top" wrapText="1"/>
    </xf>
    <xf numFmtId="0" fontId="81" fillId="23" borderId="136" xfId="0" applyFont="1" applyFill="1" applyBorder="1" applyAlignment="1">
      <alignment horizontal="center" vertical="top" wrapText="1"/>
    </xf>
    <xf numFmtId="0" fontId="0" fillId="23" borderId="138" xfId="0" applyFill="1" applyBorder="1" applyAlignment="1">
      <alignment vertical="top" wrapText="1"/>
    </xf>
    <xf numFmtId="0" fontId="4" fillId="23" borderId="89" xfId="0" applyFont="1" applyFill="1" applyBorder="1" applyAlignment="1">
      <alignment horizontal="center" vertical="center" wrapText="1"/>
    </xf>
    <xf numFmtId="0" fontId="0" fillId="23" borderId="144" xfId="0" applyFill="1" applyBorder="1" applyAlignment="1">
      <alignment vertical="top" wrapText="1"/>
    </xf>
    <xf numFmtId="0" fontId="0" fillId="23" borderId="145" xfId="0" applyFill="1" applyBorder="1" applyAlignment="1">
      <alignment vertical="top" wrapText="1"/>
    </xf>
    <xf numFmtId="0" fontId="0" fillId="23" borderId="145" xfId="0" applyFill="1" applyBorder="1" applyAlignment="1">
      <alignment horizontal="center" vertical="top" wrapText="1"/>
    </xf>
    <xf numFmtId="0" fontId="0" fillId="23" borderId="146" xfId="0" applyFill="1" applyBorder="1" applyAlignment="1">
      <alignment horizontal="center" vertical="top" wrapText="1"/>
    </xf>
    <xf numFmtId="0" fontId="0" fillId="23" borderId="147" xfId="0" applyFill="1" applyBorder="1" applyAlignment="1">
      <alignment vertical="top" wrapText="1"/>
    </xf>
    <xf numFmtId="0" fontId="3" fillId="21" borderId="0" xfId="0" applyFont="1" applyFill="1"/>
    <xf numFmtId="0" fontId="3" fillId="21" borderId="0" xfId="0" applyFont="1" applyFill="1" applyAlignment="1">
      <alignment horizontal="center"/>
    </xf>
    <xf numFmtId="0" fontId="10" fillId="23" borderId="4" xfId="0" applyFont="1" applyFill="1" applyBorder="1" applyAlignment="1">
      <alignment horizontal="center" vertical="center"/>
    </xf>
    <xf numFmtId="0" fontId="5" fillId="23" borderId="0" xfId="0" applyFont="1" applyFill="1"/>
    <xf numFmtId="0" fontId="3" fillId="23" borderId="0" xfId="0" applyFont="1" applyFill="1"/>
    <xf numFmtId="0" fontId="88" fillId="0" borderId="149" xfId="0" applyFont="1" applyBorder="1" applyAlignment="1">
      <alignment horizontal="left" vertical="center"/>
    </xf>
    <xf numFmtId="0" fontId="88" fillId="0" borderId="150" xfId="0" applyFont="1" applyBorder="1" applyAlignment="1">
      <alignment horizontal="left" vertical="center"/>
    </xf>
    <xf numFmtId="0" fontId="88" fillId="0" borderId="151" xfId="0" applyFont="1" applyBorder="1" applyAlignment="1">
      <alignment horizontal="left" vertical="center"/>
    </xf>
    <xf numFmtId="0" fontId="66" fillId="0" borderId="152" xfId="0" applyFont="1" applyBorder="1" applyAlignment="1">
      <alignment vertical="center"/>
    </xf>
    <xf numFmtId="0" fontId="66" fillId="0" borderId="156" xfId="0" applyFont="1" applyBorder="1" applyAlignment="1">
      <alignment vertical="center"/>
    </xf>
    <xf numFmtId="0" fontId="1" fillId="0" borderId="152" xfId="0" applyFont="1" applyBorder="1" applyAlignment="1">
      <alignment horizontal="left" vertical="center"/>
    </xf>
    <xf numFmtId="0" fontId="1" fillId="0" borderId="156" xfId="0" applyFont="1" applyBorder="1" applyAlignment="1">
      <alignment horizontal="left" vertical="center"/>
    </xf>
    <xf numFmtId="0" fontId="91" fillId="0" borderId="152" xfId="0" applyFont="1" applyBorder="1" applyAlignment="1">
      <alignment horizontal="left" vertical="center"/>
    </xf>
    <xf numFmtId="0" fontId="91" fillId="0" borderId="156" xfId="0" applyFont="1" applyBorder="1" applyAlignment="1">
      <alignment horizontal="left" vertical="center"/>
    </xf>
    <xf numFmtId="0" fontId="91" fillId="0" borderId="0" xfId="0" applyFont="1" applyAlignment="1">
      <alignment horizontal="left" vertical="center"/>
    </xf>
    <xf numFmtId="0" fontId="0" fillId="0" borderId="152" xfId="0" applyBorder="1" applyAlignment="1">
      <alignment horizontal="center" vertical="center"/>
    </xf>
    <xf numFmtId="0" fontId="0" fillId="0" borderId="0" xfId="0" applyAlignment="1">
      <alignment horizontal="center" vertical="center"/>
    </xf>
    <xf numFmtId="0" fontId="0" fillId="0" borderId="156" xfId="0" applyBorder="1" applyAlignment="1">
      <alignment horizontal="center" vertical="center"/>
    </xf>
    <xf numFmtId="0" fontId="0" fillId="25" borderId="0" xfId="0" applyFill="1" applyAlignment="1">
      <alignment horizontal="center" vertical="center"/>
    </xf>
    <xf numFmtId="0" fontId="92" fillId="0" borderId="0" xfId="0" applyFont="1" applyAlignment="1">
      <alignment vertical="center"/>
    </xf>
    <xf numFmtId="0" fontId="0" fillId="25" borderId="0" xfId="0" applyFill="1" applyAlignment="1">
      <alignment vertical="center"/>
    </xf>
    <xf numFmtId="0" fontId="0" fillId="0" borderId="152" xfId="0" applyBorder="1" applyAlignment="1">
      <alignment vertical="center"/>
    </xf>
    <xf numFmtId="0" fontId="0" fillId="0" borderId="156" xfId="0" applyBorder="1" applyAlignment="1">
      <alignment vertical="center"/>
    </xf>
    <xf numFmtId="0" fontId="0" fillId="0" borderId="166" xfId="0" applyBorder="1" applyAlignment="1">
      <alignment vertical="center"/>
    </xf>
    <xf numFmtId="0" fontId="0" fillId="0" borderId="167" xfId="0" applyBorder="1" applyAlignment="1">
      <alignment vertical="center"/>
    </xf>
    <xf numFmtId="0" fontId="0" fillId="0" borderId="168" xfId="0" applyBorder="1" applyAlignment="1">
      <alignment vertical="center"/>
    </xf>
    <xf numFmtId="0" fontId="0" fillId="0" borderId="171" xfId="0" applyBorder="1" applyAlignment="1">
      <alignment vertical="center"/>
    </xf>
    <xf numFmtId="0" fontId="0" fillId="0" borderId="172" xfId="0" applyBorder="1" applyAlignment="1">
      <alignment vertical="center"/>
    </xf>
    <xf numFmtId="0" fontId="0" fillId="0" borderId="171" xfId="0" applyBorder="1" applyAlignment="1">
      <alignment horizontal="center" vertical="center"/>
    </xf>
    <xf numFmtId="0" fontId="0" fillId="0" borderId="172" xfId="0" applyBorder="1" applyAlignment="1">
      <alignment horizontal="center" vertical="center"/>
    </xf>
    <xf numFmtId="0" fontId="0" fillId="0" borderId="173" xfId="0" applyBorder="1" applyAlignment="1">
      <alignment vertical="center"/>
    </xf>
    <xf numFmtId="0" fontId="0" fillId="0" borderId="174" xfId="0" applyBorder="1" applyAlignment="1">
      <alignment vertical="center"/>
    </xf>
    <xf numFmtId="0" fontId="0" fillId="0" borderId="175" xfId="0" applyBorder="1" applyAlignment="1">
      <alignment vertical="center"/>
    </xf>
    <xf numFmtId="0" fontId="88" fillId="0" borderId="171" xfId="0" applyFont="1" applyBorder="1" applyAlignment="1">
      <alignment vertical="center"/>
    </xf>
    <xf numFmtId="0" fontId="88" fillId="0" borderId="172" xfId="0" applyFont="1" applyBorder="1" applyAlignment="1">
      <alignment vertical="center"/>
    </xf>
    <xf numFmtId="0" fontId="88" fillId="31" borderId="4" xfId="0" applyFont="1" applyFill="1" applyBorder="1" applyAlignment="1">
      <alignment horizontal="center" vertical="center"/>
    </xf>
    <xf numFmtId="0" fontId="88" fillId="0" borderId="173" xfId="0" applyFont="1" applyBorder="1" applyAlignment="1">
      <alignment vertical="center"/>
    </xf>
    <xf numFmtId="0" fontId="88" fillId="0" borderId="174" xfId="0" applyFont="1" applyBorder="1" applyAlignment="1">
      <alignment vertical="center"/>
    </xf>
    <xf numFmtId="0" fontId="88" fillId="0" borderId="175" xfId="0" applyFont="1" applyBorder="1" applyAlignment="1">
      <alignment vertical="center"/>
    </xf>
    <xf numFmtId="0" fontId="88" fillId="0" borderId="0" xfId="0" applyFont="1" applyAlignment="1">
      <alignment vertical="center"/>
    </xf>
    <xf numFmtId="0" fontId="95" fillId="29" borderId="4" xfId="0" applyFont="1" applyFill="1" applyBorder="1" applyAlignment="1">
      <alignment horizontal="center" vertical="center"/>
    </xf>
    <xf numFmtId="0" fontId="88" fillId="25" borderId="4" xfId="0" applyFont="1" applyFill="1" applyBorder="1" applyAlignment="1">
      <alignment horizontal="center" vertical="center"/>
    </xf>
    <xf numFmtId="0" fontId="96" fillId="25" borderId="0" xfId="0" applyFont="1" applyFill="1" applyAlignment="1">
      <alignment vertical="center"/>
    </xf>
    <xf numFmtId="0" fontId="96" fillId="25" borderId="0" xfId="0" applyFont="1" applyFill="1" applyAlignment="1">
      <alignment horizontal="center" vertical="center"/>
    </xf>
    <xf numFmtId="0" fontId="3" fillId="6" borderId="0" xfId="0" applyFont="1" applyFill="1"/>
    <xf numFmtId="0" fontId="5" fillId="32" borderId="0" xfId="0" applyFont="1" applyFill="1"/>
    <xf numFmtId="0" fontId="16" fillId="0" borderId="0" xfId="0" applyFont="1"/>
    <xf numFmtId="0" fontId="47" fillId="22" borderId="11" xfId="0" applyFont="1" applyFill="1" applyBorder="1" applyAlignment="1">
      <alignment horizontal="center" vertical="center"/>
    </xf>
    <xf numFmtId="0" fontId="47" fillId="22" borderId="42" xfId="0" applyFont="1" applyFill="1" applyBorder="1" applyAlignment="1">
      <alignment horizontal="center" vertical="center"/>
    </xf>
    <xf numFmtId="0" fontId="47" fillId="22" borderId="43" xfId="0" applyFont="1" applyFill="1" applyBorder="1" applyAlignment="1">
      <alignment horizontal="center" vertical="center"/>
    </xf>
    <xf numFmtId="0" fontId="47" fillId="22" borderId="26" xfId="0" applyFont="1" applyFill="1" applyBorder="1" applyAlignment="1">
      <alignment horizontal="center" vertical="center"/>
    </xf>
    <xf numFmtId="0" fontId="47" fillId="22" borderId="27" xfId="0" applyFont="1" applyFill="1" applyBorder="1" applyAlignment="1">
      <alignment horizontal="center" vertical="center"/>
    </xf>
    <xf numFmtId="0" fontId="47" fillId="22" borderId="28" xfId="0" applyFont="1" applyFill="1" applyBorder="1" applyAlignment="1">
      <alignment horizontal="center" vertical="center"/>
    </xf>
    <xf numFmtId="0" fontId="12" fillId="14" borderId="50" xfId="0" applyFont="1" applyFill="1" applyBorder="1" applyAlignment="1" applyProtection="1">
      <alignment horizontal="center" vertical="center" wrapText="1"/>
      <protection hidden="1"/>
    </xf>
    <xf numFmtId="0" fontId="12" fillId="14" borderId="2" xfId="0" applyFont="1" applyFill="1" applyBorder="1" applyAlignment="1" applyProtection="1">
      <alignment horizontal="center" vertical="center" wrapText="1"/>
      <protection hidden="1"/>
    </xf>
    <xf numFmtId="0" fontId="61" fillId="0" borderId="44" xfId="0" applyFont="1" applyBorder="1" applyAlignment="1" applyProtection="1">
      <alignment horizontal="center" vertical="center"/>
      <protection locked="0" hidden="1"/>
    </xf>
    <xf numFmtId="0" fontId="61" fillId="0" borderId="0" xfId="0" applyFont="1" applyAlignment="1" applyProtection="1">
      <alignment horizontal="center" vertical="center"/>
      <protection locked="0" hidden="1"/>
    </xf>
    <xf numFmtId="0" fontId="61" fillId="0" borderId="45" xfId="0" applyFont="1" applyBorder="1" applyAlignment="1" applyProtection="1">
      <alignment horizontal="center" vertical="center"/>
      <protection locked="0" hidden="1"/>
    </xf>
    <xf numFmtId="0" fontId="4" fillId="22" borderId="67" xfId="0" applyFont="1" applyFill="1" applyBorder="1" applyAlignment="1" applyProtection="1">
      <alignment horizontal="center" vertical="center"/>
      <protection hidden="1"/>
    </xf>
    <xf numFmtId="0" fontId="4" fillId="22" borderId="2" xfId="0" applyFont="1" applyFill="1" applyBorder="1" applyAlignment="1" applyProtection="1">
      <alignment horizontal="center" vertical="center"/>
      <protection hidden="1"/>
    </xf>
    <xf numFmtId="0" fontId="4" fillId="5" borderId="67" xfId="0" applyFont="1" applyFill="1" applyBorder="1" applyAlignment="1" applyProtection="1">
      <alignment horizontal="center" vertical="center"/>
      <protection hidden="1"/>
    </xf>
    <xf numFmtId="0" fontId="4" fillId="5" borderId="2" xfId="0" applyFont="1" applyFill="1" applyBorder="1" applyAlignment="1" applyProtection="1">
      <alignment horizontal="center" vertical="center"/>
      <protection hidden="1"/>
    </xf>
    <xf numFmtId="0" fontId="12" fillId="21" borderId="50" xfId="0" applyFont="1" applyFill="1" applyBorder="1" applyAlignment="1" applyProtection="1">
      <alignment horizontal="center" vertical="center" wrapText="1"/>
      <protection hidden="1"/>
    </xf>
    <xf numFmtId="0" fontId="12" fillId="21" borderId="103" xfId="0" applyFont="1" applyFill="1" applyBorder="1" applyAlignment="1" applyProtection="1">
      <alignment horizontal="center" vertical="center" wrapText="1"/>
      <protection hidden="1"/>
    </xf>
    <xf numFmtId="0" fontId="12" fillId="14" borderId="5" xfId="0" applyFont="1" applyFill="1" applyBorder="1" applyAlignment="1" applyProtection="1">
      <alignment horizontal="center" vertical="center" wrapText="1"/>
      <protection hidden="1"/>
    </xf>
    <xf numFmtId="0" fontId="12" fillId="14" borderId="6" xfId="0" applyFont="1" applyFill="1" applyBorder="1" applyAlignment="1" applyProtection="1">
      <alignment horizontal="center" vertical="center" wrapText="1"/>
      <protection hidden="1"/>
    </xf>
    <xf numFmtId="0" fontId="12" fillId="14" borderId="21" xfId="0" applyFont="1" applyFill="1" applyBorder="1" applyAlignment="1" applyProtection="1">
      <alignment horizontal="center" vertical="center" wrapText="1"/>
      <protection hidden="1"/>
    </xf>
    <xf numFmtId="0" fontId="19" fillId="0" borderId="96" xfId="0" applyFont="1" applyBorder="1" applyAlignment="1" applyProtection="1">
      <alignment horizontal="center" vertical="center"/>
      <protection locked="0" hidden="1"/>
    </xf>
    <xf numFmtId="0" fontId="19" fillId="0" borderId="97" xfId="0" applyFont="1" applyBorder="1" applyAlignment="1" applyProtection="1">
      <alignment horizontal="center" vertical="center"/>
      <protection locked="0" hidden="1"/>
    </xf>
    <xf numFmtId="0" fontId="18" fillId="0" borderId="12" xfId="0" applyFont="1" applyBorder="1" applyAlignment="1" applyProtection="1">
      <alignment horizontal="center" vertical="center"/>
      <protection hidden="1"/>
    </xf>
    <xf numFmtId="0" fontId="18" fillId="0" borderId="43" xfId="0" applyFont="1" applyBorder="1" applyAlignment="1" applyProtection="1">
      <alignment horizontal="center" vertical="center"/>
      <protection hidden="1"/>
    </xf>
    <xf numFmtId="0" fontId="12" fillId="21" borderId="44" xfId="0" applyFont="1" applyFill="1" applyBorder="1" applyAlignment="1" applyProtection="1">
      <alignment horizontal="center" vertical="center" wrapText="1"/>
      <protection hidden="1"/>
    </xf>
    <xf numFmtId="0" fontId="12" fillId="21" borderId="0" xfId="0" applyFont="1" applyFill="1" applyAlignment="1" applyProtection="1">
      <alignment horizontal="center" vertical="center" wrapText="1"/>
      <protection hidden="1"/>
    </xf>
    <xf numFmtId="0" fontId="12" fillId="21" borderId="45" xfId="0" applyFont="1" applyFill="1" applyBorder="1" applyAlignment="1" applyProtection="1">
      <alignment horizontal="center" vertical="center" wrapText="1"/>
      <protection hidden="1"/>
    </xf>
    <xf numFmtId="0" fontId="18" fillId="0" borderId="96" xfId="0" applyFont="1" applyBorder="1" applyAlignment="1" applyProtection="1">
      <alignment horizontal="center" vertical="center"/>
      <protection hidden="1"/>
    </xf>
    <xf numFmtId="0" fontId="18" fillId="0" borderId="97" xfId="0" applyFont="1" applyBorder="1" applyAlignment="1" applyProtection="1">
      <alignment horizontal="center" vertical="center"/>
      <protection hidden="1"/>
    </xf>
    <xf numFmtId="0" fontId="19" fillId="0" borderId="71" xfId="0" applyFont="1" applyBorder="1" applyAlignment="1" applyProtection="1">
      <alignment horizontal="center" vertical="center"/>
      <protection locked="0" hidden="1"/>
    </xf>
    <xf numFmtId="0" fontId="19" fillId="0" borderId="72" xfId="0" applyFont="1" applyBorder="1" applyAlignment="1" applyProtection="1">
      <alignment horizontal="center" vertical="center"/>
      <protection locked="0" hidden="1"/>
    </xf>
    <xf numFmtId="0" fontId="34" fillId="23" borderId="5" xfId="0" applyFont="1" applyFill="1" applyBorder="1" applyAlignment="1" applyProtection="1">
      <alignment horizontal="center"/>
      <protection hidden="1"/>
    </xf>
    <xf numFmtId="0" fontId="34" fillId="23" borderId="6" xfId="0" applyFont="1" applyFill="1" applyBorder="1" applyAlignment="1" applyProtection="1">
      <alignment horizontal="center"/>
      <protection hidden="1"/>
    </xf>
    <xf numFmtId="0" fontId="34" fillId="23" borderId="21" xfId="0" applyFont="1" applyFill="1" applyBorder="1" applyAlignment="1" applyProtection="1">
      <alignment horizontal="center"/>
      <protection hidden="1"/>
    </xf>
    <xf numFmtId="0" fontId="34" fillId="23" borderId="42" xfId="0" applyFont="1" applyFill="1" applyBorder="1" applyAlignment="1" applyProtection="1">
      <alignment horizontal="center"/>
      <protection hidden="1"/>
    </xf>
    <xf numFmtId="0" fontId="34" fillId="23" borderId="43" xfId="0" applyFont="1" applyFill="1" applyBorder="1" applyAlignment="1" applyProtection="1">
      <alignment horizontal="center"/>
      <protection hidden="1"/>
    </xf>
    <xf numFmtId="0" fontId="12" fillId="21" borderId="85" xfId="0" applyFont="1" applyFill="1" applyBorder="1" applyAlignment="1" applyProtection="1">
      <alignment horizontal="center" vertical="center" wrapText="1"/>
      <protection hidden="1"/>
    </xf>
    <xf numFmtId="0" fontId="12" fillId="21" borderId="64" xfId="0" applyFont="1" applyFill="1" applyBorder="1" applyAlignment="1" applyProtection="1">
      <alignment horizontal="center" vertical="center" wrapText="1"/>
      <protection hidden="1"/>
    </xf>
    <xf numFmtId="0" fontId="12" fillId="21" borderId="19" xfId="0" applyFont="1" applyFill="1" applyBorder="1" applyAlignment="1" applyProtection="1">
      <alignment horizontal="center" vertical="center" wrapText="1"/>
      <protection hidden="1"/>
    </xf>
    <xf numFmtId="0" fontId="12" fillId="21" borderId="36" xfId="0" applyFont="1" applyFill="1" applyBorder="1" applyAlignment="1" applyProtection="1">
      <alignment horizontal="center" vertical="center" wrapText="1"/>
      <protection hidden="1"/>
    </xf>
    <xf numFmtId="0" fontId="12" fillId="21" borderId="94" xfId="0" applyFont="1" applyFill="1" applyBorder="1" applyAlignment="1" applyProtection="1">
      <alignment horizontal="center" vertical="center" wrapText="1"/>
      <protection hidden="1"/>
    </xf>
    <xf numFmtId="0" fontId="19" fillId="0" borderId="100" xfId="0" applyFont="1" applyBorder="1" applyAlignment="1" applyProtection="1">
      <alignment horizontal="center" vertical="center"/>
      <protection locked="0" hidden="1"/>
    </xf>
    <xf numFmtId="0" fontId="19" fillId="0" borderId="101" xfId="0" applyFont="1" applyBorder="1" applyAlignment="1" applyProtection="1">
      <alignment horizontal="center" vertical="center"/>
      <protection locked="0" hidden="1"/>
    </xf>
    <xf numFmtId="0" fontId="12" fillId="21" borderId="98" xfId="0" applyFont="1" applyFill="1" applyBorder="1" applyAlignment="1" applyProtection="1">
      <alignment horizontal="center" vertical="center" wrapText="1"/>
      <protection hidden="1"/>
    </xf>
    <xf numFmtId="0" fontId="12" fillId="21" borderId="99" xfId="0" applyFont="1" applyFill="1" applyBorder="1" applyAlignment="1" applyProtection="1">
      <alignment horizontal="center" vertical="center" wrapText="1"/>
      <protection hidden="1"/>
    </xf>
    <xf numFmtId="0" fontId="18" fillId="0" borderId="90" xfId="0" applyFont="1" applyBorder="1" applyAlignment="1" applyProtection="1">
      <alignment horizontal="center" vertical="center"/>
      <protection hidden="1"/>
    </xf>
    <xf numFmtId="0" fontId="18" fillId="0" borderId="45" xfId="0" applyFont="1" applyBorder="1" applyAlignment="1" applyProtection="1">
      <alignment horizontal="center" vertical="center"/>
      <protection hidden="1"/>
    </xf>
    <xf numFmtId="0" fontId="7" fillId="23" borderId="3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24" fillId="5" borderId="31" xfId="0" applyFont="1" applyFill="1" applyBorder="1" applyAlignment="1" applyProtection="1">
      <alignment horizontal="center" vertical="center" wrapText="1"/>
      <protection hidden="1"/>
    </xf>
    <xf numFmtId="0" fontId="24" fillId="5" borderId="34" xfId="0" applyFont="1" applyFill="1" applyBorder="1" applyAlignment="1" applyProtection="1">
      <alignment horizontal="center" vertical="center" wrapText="1"/>
      <protection hidden="1"/>
    </xf>
    <xf numFmtId="164" fontId="11" fillId="5" borderId="54" xfId="0" applyNumberFormat="1" applyFont="1" applyFill="1" applyBorder="1" applyAlignment="1" applyProtection="1">
      <alignment horizontal="center" vertical="center" wrapText="1"/>
      <protection hidden="1"/>
    </xf>
    <xf numFmtId="164" fontId="11" fillId="5" borderId="41" xfId="0" applyNumberFormat="1" applyFont="1" applyFill="1" applyBorder="1" applyAlignment="1" applyProtection="1">
      <alignment horizontal="center" vertical="center" wrapText="1"/>
      <protection hidden="1"/>
    </xf>
    <xf numFmtId="0" fontId="16" fillId="5" borderId="26" xfId="0" applyFont="1" applyFill="1" applyBorder="1" applyAlignment="1" applyProtection="1">
      <alignment horizontal="left" vertical="center" wrapText="1"/>
      <protection hidden="1"/>
    </xf>
    <xf numFmtId="0" fontId="16" fillId="5" borderId="27" xfId="0" applyFont="1" applyFill="1" applyBorder="1" applyAlignment="1" applyProtection="1">
      <alignment horizontal="left" vertical="center" wrapText="1"/>
      <protection hidden="1"/>
    </xf>
    <xf numFmtId="0" fontId="16" fillId="5" borderId="28" xfId="0" applyFont="1" applyFill="1" applyBorder="1" applyAlignment="1" applyProtection="1">
      <alignment horizontal="left" vertical="center" wrapText="1"/>
      <protection hidden="1"/>
    </xf>
    <xf numFmtId="0" fontId="44" fillId="22" borderId="11" xfId="0" applyFont="1" applyFill="1" applyBorder="1" applyAlignment="1" applyProtection="1">
      <alignment horizontal="center" vertical="center" wrapText="1"/>
      <protection hidden="1"/>
    </xf>
    <xf numFmtId="0" fontId="44" fillId="22" borderId="42" xfId="0" applyFont="1" applyFill="1" applyBorder="1" applyAlignment="1" applyProtection="1">
      <alignment horizontal="center" vertical="center" wrapText="1"/>
      <protection hidden="1"/>
    </xf>
    <xf numFmtId="0" fontId="44" fillId="22" borderId="43" xfId="0" applyFont="1" applyFill="1" applyBorder="1" applyAlignment="1" applyProtection="1">
      <alignment horizontal="center" vertical="center" wrapText="1"/>
      <protection hidden="1"/>
    </xf>
    <xf numFmtId="0" fontId="44" fillId="22" borderId="26" xfId="0" applyFont="1" applyFill="1" applyBorder="1" applyAlignment="1" applyProtection="1">
      <alignment horizontal="center" vertical="center" wrapText="1"/>
      <protection hidden="1"/>
    </xf>
    <xf numFmtId="0" fontId="44" fillId="22" borderId="27" xfId="0" applyFont="1" applyFill="1" applyBorder="1" applyAlignment="1" applyProtection="1">
      <alignment horizontal="center" vertical="center" wrapText="1"/>
      <protection hidden="1"/>
    </xf>
    <xf numFmtId="0" fontId="44" fillId="22" borderId="28" xfId="0" applyFont="1" applyFill="1" applyBorder="1" applyAlignment="1" applyProtection="1">
      <alignment horizontal="center" vertical="center" wrapText="1"/>
      <protection hidden="1"/>
    </xf>
    <xf numFmtId="0" fontId="16" fillId="5" borderId="23" xfId="0" applyFont="1" applyFill="1" applyBorder="1" applyAlignment="1" applyProtection="1">
      <alignment horizontal="left" vertical="center" wrapText="1"/>
      <protection hidden="1"/>
    </xf>
    <xf numFmtId="0" fontId="16" fillId="5" borderId="24" xfId="0" applyFont="1" applyFill="1" applyBorder="1" applyAlignment="1" applyProtection="1">
      <alignment horizontal="left" vertical="center" wrapText="1"/>
      <protection hidden="1"/>
    </xf>
    <xf numFmtId="0" fontId="16" fillId="5" borderId="25" xfId="0" applyFont="1" applyFill="1" applyBorder="1" applyAlignment="1" applyProtection="1">
      <alignment horizontal="left" vertical="center" wrapText="1"/>
      <protection hidden="1"/>
    </xf>
    <xf numFmtId="164" fontId="11" fillId="5" borderId="35" xfId="0" applyNumberFormat="1" applyFont="1" applyFill="1" applyBorder="1" applyAlignment="1" applyProtection="1">
      <alignment horizontal="center" vertical="center" wrapText="1"/>
      <protection hidden="1"/>
    </xf>
    <xf numFmtId="164" fontId="11" fillId="5" borderId="17" xfId="0" applyNumberFormat="1" applyFont="1" applyFill="1" applyBorder="1" applyAlignment="1" applyProtection="1">
      <alignment horizontal="center" vertical="center" wrapText="1"/>
      <protection hidden="1"/>
    </xf>
    <xf numFmtId="164" fontId="30" fillId="16" borderId="49" xfId="0" applyNumberFormat="1" applyFont="1" applyFill="1" applyBorder="1" applyAlignment="1" applyProtection="1">
      <alignment horizontal="center" vertical="center"/>
      <protection hidden="1"/>
    </xf>
    <xf numFmtId="164" fontId="30" fillId="16" borderId="38" xfId="0" applyNumberFormat="1" applyFont="1" applyFill="1" applyBorder="1" applyAlignment="1" applyProtection="1">
      <alignment horizontal="center" vertical="center"/>
      <protection hidden="1"/>
    </xf>
    <xf numFmtId="164" fontId="30" fillId="16" borderId="16" xfId="0" applyNumberFormat="1" applyFont="1" applyFill="1" applyBorder="1" applyAlignment="1" applyProtection="1">
      <alignment horizontal="center" vertical="center"/>
      <protection hidden="1"/>
    </xf>
    <xf numFmtId="164" fontId="30" fillId="16" borderId="40" xfId="0" applyNumberFormat="1" applyFont="1" applyFill="1" applyBorder="1" applyAlignment="1" applyProtection="1">
      <alignment horizontal="center" vertical="center"/>
      <protection hidden="1"/>
    </xf>
    <xf numFmtId="164" fontId="30" fillId="16" borderId="50" xfId="0" applyNumberFormat="1" applyFont="1" applyFill="1" applyBorder="1" applyAlignment="1" applyProtection="1">
      <alignment horizontal="center" vertical="center"/>
      <protection hidden="1"/>
    </xf>
    <xf numFmtId="164" fontId="30" fillId="16" borderId="51" xfId="0" applyNumberFormat="1" applyFont="1" applyFill="1" applyBorder="1" applyAlignment="1" applyProtection="1">
      <alignment horizontal="center" vertical="center"/>
      <protection hidden="1"/>
    </xf>
    <xf numFmtId="164" fontId="30" fillId="16" borderId="8" xfId="0" applyNumberFormat="1" applyFont="1" applyFill="1" applyBorder="1" applyAlignment="1" applyProtection="1">
      <alignment horizontal="center" vertical="center" wrapText="1"/>
      <protection hidden="1"/>
    </xf>
    <xf numFmtId="0" fontId="57" fillId="3" borderId="8" xfId="0" applyFont="1" applyFill="1" applyBorder="1" applyAlignment="1" applyProtection="1">
      <alignment horizontal="center" vertical="top"/>
      <protection locked="0"/>
    </xf>
    <xf numFmtId="0" fontId="16" fillId="3" borderId="5" xfId="0" applyFont="1" applyFill="1" applyBorder="1" applyAlignment="1" applyProtection="1">
      <alignment horizontal="left" vertical="top" wrapText="1"/>
      <protection locked="0"/>
    </xf>
    <xf numFmtId="0" fontId="16" fillId="3" borderId="6" xfId="0" applyFont="1" applyFill="1" applyBorder="1" applyAlignment="1" applyProtection="1">
      <alignment horizontal="left" vertical="top" wrapText="1"/>
      <protection locked="0"/>
    </xf>
    <xf numFmtId="0" fontId="16" fillId="3" borderId="21" xfId="0" applyFont="1" applyFill="1" applyBorder="1" applyAlignment="1" applyProtection="1">
      <alignment horizontal="left" vertical="top" wrapText="1"/>
      <protection locked="0"/>
    </xf>
    <xf numFmtId="164" fontId="14" fillId="5" borderId="31" xfId="0" applyNumberFormat="1" applyFont="1" applyFill="1" applyBorder="1" applyAlignment="1" applyProtection="1">
      <alignment horizontal="center" vertical="center" textRotation="90" wrapText="1"/>
      <protection hidden="1"/>
    </xf>
    <xf numFmtId="164" fontId="14" fillId="5" borderId="34" xfId="0" applyNumberFormat="1" applyFont="1" applyFill="1" applyBorder="1" applyAlignment="1" applyProtection="1">
      <alignment horizontal="center" vertical="center" textRotation="90" wrapText="1"/>
      <protection hidden="1"/>
    </xf>
    <xf numFmtId="0" fontId="19" fillId="22" borderId="11" xfId="0" applyFont="1" applyFill="1" applyBorder="1" applyAlignment="1" applyProtection="1">
      <alignment horizontal="center" vertical="center"/>
      <protection hidden="1"/>
    </xf>
    <xf numFmtId="0" fontId="19" fillId="22" borderId="42" xfId="0" applyFont="1" applyFill="1" applyBorder="1" applyAlignment="1" applyProtection="1">
      <alignment horizontal="center" vertical="center"/>
      <protection hidden="1"/>
    </xf>
    <xf numFmtId="0" fontId="19" fillId="22" borderId="43" xfId="0" applyFont="1" applyFill="1" applyBorder="1" applyAlignment="1" applyProtection="1">
      <alignment horizontal="center" vertical="center"/>
      <protection hidden="1"/>
    </xf>
    <xf numFmtId="0" fontId="19" fillId="22" borderId="26" xfId="0" applyFont="1" applyFill="1" applyBorder="1" applyAlignment="1" applyProtection="1">
      <alignment horizontal="center" vertical="center"/>
      <protection hidden="1"/>
    </xf>
    <xf numFmtId="0" fontId="19" fillId="22" borderId="27" xfId="0" applyFont="1" applyFill="1" applyBorder="1" applyAlignment="1" applyProtection="1">
      <alignment horizontal="center" vertical="center"/>
      <protection hidden="1"/>
    </xf>
    <xf numFmtId="0" fontId="19" fillId="22" borderId="28" xfId="0" applyFont="1" applyFill="1" applyBorder="1" applyAlignment="1" applyProtection="1">
      <alignment horizontal="center" vertical="center"/>
      <protection hidden="1"/>
    </xf>
    <xf numFmtId="0" fontId="12" fillId="23" borderId="22" xfId="0" applyFont="1" applyFill="1" applyBorder="1" applyAlignment="1" applyProtection="1">
      <alignment horizontal="center" vertical="center" textRotation="90" wrapText="1"/>
      <protection hidden="1"/>
    </xf>
    <xf numFmtId="0" fontId="12" fillId="23" borderId="29" xfId="0" applyFont="1" applyFill="1" applyBorder="1" applyAlignment="1" applyProtection="1">
      <alignment horizontal="center" vertical="center" textRotation="90" wrapText="1"/>
      <protection hidden="1"/>
    </xf>
    <xf numFmtId="0" fontId="4" fillId="22" borderId="22" xfId="0" applyFont="1" applyFill="1" applyBorder="1" applyAlignment="1" applyProtection="1">
      <alignment horizontal="center" vertical="center"/>
      <protection hidden="1"/>
    </xf>
    <xf numFmtId="0" fontId="4" fillId="22" borderId="29" xfId="0" applyFont="1" applyFill="1" applyBorder="1" applyAlignment="1" applyProtection="1">
      <alignment horizontal="center" vertical="center"/>
      <protection hidden="1"/>
    </xf>
    <xf numFmtId="0" fontId="57" fillId="3" borderId="60" xfId="0" applyFont="1" applyFill="1" applyBorder="1" applyAlignment="1" applyProtection="1">
      <alignment horizontal="left" vertical="top" wrapText="1"/>
      <protection locked="0"/>
    </xf>
    <xf numFmtId="0" fontId="57" fillId="3" borderId="61" xfId="0" applyFont="1" applyFill="1" applyBorder="1" applyAlignment="1" applyProtection="1">
      <alignment horizontal="left" vertical="top" wrapText="1"/>
      <protection locked="0"/>
    </xf>
    <xf numFmtId="0" fontId="57" fillId="3" borderId="62" xfId="0" applyFont="1" applyFill="1" applyBorder="1" applyAlignment="1" applyProtection="1">
      <alignment horizontal="left" vertical="top" wrapText="1"/>
      <protection locked="0"/>
    </xf>
    <xf numFmtId="0" fontId="57" fillId="3" borderId="90" xfId="0" applyFont="1" applyFill="1" applyBorder="1" applyAlignment="1" applyProtection="1">
      <alignment horizontal="left" vertical="top" wrapText="1"/>
      <protection locked="0"/>
    </xf>
    <xf numFmtId="0" fontId="57" fillId="3" borderId="0" xfId="0" applyFont="1" applyFill="1" applyAlignment="1" applyProtection="1">
      <alignment horizontal="left" vertical="top" wrapText="1"/>
      <protection locked="0"/>
    </xf>
    <xf numFmtId="0" fontId="57" fillId="3" borderId="91" xfId="0" applyFont="1" applyFill="1" applyBorder="1" applyAlignment="1" applyProtection="1">
      <alignment horizontal="left" vertical="top" wrapText="1"/>
      <protection locked="0"/>
    </xf>
    <xf numFmtId="0" fontId="57" fillId="3" borderId="19" xfId="0" applyFont="1" applyFill="1" applyBorder="1" applyAlignment="1" applyProtection="1">
      <alignment horizontal="left" vertical="top" wrapText="1"/>
      <protection locked="0"/>
    </xf>
    <xf numFmtId="0" fontId="57" fillId="3" borderId="20" xfId="0" applyFont="1" applyFill="1" applyBorder="1" applyAlignment="1" applyProtection="1">
      <alignment horizontal="left" vertical="top" wrapText="1"/>
      <protection locked="0"/>
    </xf>
    <xf numFmtId="0" fontId="57" fillId="3" borderId="63" xfId="0" applyFont="1" applyFill="1" applyBorder="1" applyAlignment="1" applyProtection="1">
      <alignment horizontal="left" vertical="top" wrapText="1"/>
      <protection locked="0"/>
    </xf>
    <xf numFmtId="164" fontId="14" fillId="5" borderId="32" xfId="0" applyNumberFormat="1" applyFont="1" applyFill="1" applyBorder="1" applyAlignment="1" applyProtection="1">
      <alignment horizontal="center" vertical="center" textRotation="90" wrapText="1"/>
      <protection hidden="1"/>
    </xf>
    <xf numFmtId="164" fontId="14" fillId="5" borderId="65" xfId="0" applyNumberFormat="1" applyFont="1" applyFill="1" applyBorder="1" applyAlignment="1" applyProtection="1">
      <alignment horizontal="center" vertical="center" textRotation="90" wrapText="1"/>
      <protection hidden="1"/>
    </xf>
    <xf numFmtId="0" fontId="30" fillId="16" borderId="30" xfId="0" applyFont="1" applyFill="1" applyBorder="1" applyAlignment="1" applyProtection="1">
      <alignment horizontal="center" vertical="center" wrapText="1"/>
      <protection hidden="1"/>
    </xf>
    <xf numFmtId="0" fontId="30" fillId="16" borderId="33" xfId="0" applyFont="1" applyFill="1" applyBorder="1" applyAlignment="1" applyProtection="1">
      <alignment horizontal="center" vertical="center" wrapText="1"/>
      <protection hidden="1"/>
    </xf>
    <xf numFmtId="0" fontId="33" fillId="13" borderId="80" xfId="0" applyFont="1" applyFill="1" applyBorder="1" applyAlignment="1" applyProtection="1">
      <alignment horizontal="center" vertical="center" wrapText="1"/>
      <protection locked="0" hidden="1"/>
    </xf>
    <xf numFmtId="0" fontId="33" fillId="13" borderId="51" xfId="0" applyFont="1" applyFill="1" applyBorder="1" applyAlignment="1" applyProtection="1">
      <alignment horizontal="center" vertical="center" wrapText="1"/>
      <protection locked="0" hidden="1"/>
    </xf>
    <xf numFmtId="0" fontId="24" fillId="23" borderId="16" xfId="0" applyFont="1" applyFill="1" applyBorder="1" applyAlignment="1" applyProtection="1">
      <alignment horizontal="center" vertical="center" wrapText="1"/>
      <protection hidden="1"/>
    </xf>
    <xf numFmtId="0" fontId="24" fillId="23" borderId="39" xfId="0" applyFont="1" applyFill="1" applyBorder="1" applyAlignment="1" applyProtection="1">
      <alignment horizontal="center" vertical="center" wrapText="1"/>
      <protection hidden="1"/>
    </xf>
    <xf numFmtId="0" fontId="24" fillId="23" borderId="17" xfId="0" applyFont="1" applyFill="1" applyBorder="1" applyAlignment="1" applyProtection="1">
      <alignment horizontal="center" vertical="center" wrapText="1"/>
      <protection hidden="1"/>
    </xf>
    <xf numFmtId="14" fontId="33" fillId="3" borderId="35" xfId="0" applyNumberFormat="1" applyFont="1" applyFill="1" applyBorder="1" applyAlignment="1" applyProtection="1">
      <alignment horizontal="center" vertical="center"/>
      <protection locked="0" hidden="1"/>
    </xf>
    <xf numFmtId="14" fontId="33" fillId="3" borderId="39" xfId="0" applyNumberFormat="1" applyFont="1" applyFill="1" applyBorder="1" applyAlignment="1" applyProtection="1">
      <alignment horizontal="center" vertical="center"/>
      <protection locked="0" hidden="1"/>
    </xf>
    <xf numFmtId="0" fontId="33" fillId="23" borderId="50" xfId="0" applyFont="1" applyFill="1" applyBorder="1" applyAlignment="1" applyProtection="1">
      <alignment horizontal="center" vertical="center" wrapText="1"/>
      <protection hidden="1"/>
    </xf>
    <xf numFmtId="0" fontId="33" fillId="23" borderId="2" xfId="0" applyFont="1" applyFill="1" applyBorder="1" applyAlignment="1" applyProtection="1">
      <alignment horizontal="center" vertical="center" wrapText="1"/>
      <protection hidden="1"/>
    </xf>
    <xf numFmtId="0" fontId="33" fillId="23" borderId="3" xfId="0" applyFont="1" applyFill="1" applyBorder="1" applyAlignment="1" applyProtection="1">
      <alignment horizontal="center" vertical="center" wrapText="1"/>
      <protection hidden="1"/>
    </xf>
    <xf numFmtId="0" fontId="33" fillId="3" borderId="1" xfId="0" applyFont="1" applyFill="1" applyBorder="1" applyAlignment="1" applyProtection="1">
      <alignment horizontal="center" vertical="center" wrapText="1"/>
      <protection locked="0" hidden="1"/>
    </xf>
    <xf numFmtId="0" fontId="33" fillId="3" borderId="2" xfId="0" applyFont="1" applyFill="1" applyBorder="1" applyAlignment="1" applyProtection="1">
      <alignment horizontal="center" vertical="center" wrapText="1"/>
      <protection locked="0" hidden="1"/>
    </xf>
    <xf numFmtId="0" fontId="33" fillId="3" borderId="82" xfId="0" applyFont="1" applyFill="1" applyBorder="1" applyAlignment="1" applyProtection="1">
      <alignment horizontal="center" vertical="center" wrapText="1"/>
      <protection locked="0" hidden="1"/>
    </xf>
    <xf numFmtId="0" fontId="39" fillId="22" borderId="27" xfId="0" applyFont="1" applyFill="1" applyBorder="1" applyAlignment="1" applyProtection="1">
      <alignment horizontal="center" vertical="center"/>
      <protection hidden="1"/>
    </xf>
    <xf numFmtId="0" fontId="39" fillId="22" borderId="28" xfId="0" applyFont="1" applyFill="1" applyBorder="1" applyAlignment="1" applyProtection="1">
      <alignment horizontal="center" vertical="center"/>
      <protection hidden="1"/>
    </xf>
    <xf numFmtId="0" fontId="19" fillId="22" borderId="0" xfId="0" applyFont="1" applyFill="1" applyAlignment="1" applyProtection="1">
      <alignment horizontal="center" vertical="center"/>
      <protection hidden="1"/>
    </xf>
    <xf numFmtId="0" fontId="24" fillId="3" borderId="35" xfId="0" applyFont="1" applyFill="1" applyBorder="1" applyAlignment="1" applyProtection="1">
      <alignment horizontal="center" vertical="center" wrapText="1"/>
      <protection locked="0" hidden="1"/>
    </xf>
    <xf numFmtId="0" fontId="24" fillId="3" borderId="39" xfId="0" applyFont="1" applyFill="1" applyBorder="1" applyAlignment="1" applyProtection="1">
      <alignment horizontal="center" vertical="center" wrapText="1"/>
      <protection locked="0" hidden="1"/>
    </xf>
    <xf numFmtId="0" fontId="24" fillId="3" borderId="17" xfId="0" applyFont="1" applyFill="1" applyBorder="1" applyAlignment="1" applyProtection="1">
      <alignment horizontal="center" vertical="center" wrapText="1"/>
      <protection locked="0" hidden="1"/>
    </xf>
    <xf numFmtId="164" fontId="38" fillId="3" borderId="5" xfId="0" applyNumberFormat="1" applyFont="1" applyFill="1" applyBorder="1" applyAlignment="1" applyProtection="1">
      <alignment horizontal="center" vertical="center" wrapText="1"/>
      <protection locked="0"/>
    </xf>
    <xf numFmtId="164" fontId="38" fillId="3" borderId="6" xfId="0" applyNumberFormat="1" applyFont="1" applyFill="1" applyBorder="1" applyAlignment="1" applyProtection="1">
      <alignment horizontal="center" vertical="center" wrapText="1"/>
      <protection locked="0"/>
    </xf>
    <xf numFmtId="164" fontId="38" fillId="3" borderId="21" xfId="0" applyNumberFormat="1" applyFont="1" applyFill="1" applyBorder="1" applyAlignment="1" applyProtection="1">
      <alignment horizontal="center" vertical="center" wrapText="1"/>
      <protection locked="0"/>
    </xf>
    <xf numFmtId="0" fontId="33" fillId="13" borderId="81" xfId="0" applyFont="1" applyFill="1" applyBorder="1" applyAlignment="1" applyProtection="1">
      <alignment horizontal="center" vertical="center" wrapText="1"/>
      <protection locked="0" hidden="1"/>
    </xf>
    <xf numFmtId="0" fontId="33" fillId="13" borderId="40" xfId="0" applyFont="1" applyFill="1" applyBorder="1" applyAlignment="1" applyProtection="1">
      <alignment horizontal="center" vertical="center" wrapText="1"/>
      <protection locked="0" hidden="1"/>
    </xf>
    <xf numFmtId="14" fontId="33" fillId="3" borderId="1" xfId="0" applyNumberFormat="1" applyFont="1" applyFill="1" applyBorder="1" applyAlignment="1" applyProtection="1">
      <alignment horizontal="center" vertical="center"/>
      <protection locked="0" hidden="1"/>
    </xf>
    <xf numFmtId="14" fontId="33" fillId="3" borderId="2" xfId="0" applyNumberFormat="1" applyFont="1" applyFill="1" applyBorder="1" applyAlignment="1" applyProtection="1">
      <alignment horizontal="center" vertical="center"/>
      <protection locked="0" hidden="1"/>
    </xf>
    <xf numFmtId="0" fontId="33" fillId="23" borderId="1" xfId="0" applyFont="1" applyFill="1" applyBorder="1" applyAlignment="1" applyProtection="1">
      <alignment horizontal="center" vertical="center" wrapText="1"/>
      <protection hidden="1"/>
    </xf>
    <xf numFmtId="0" fontId="33" fillId="23" borderId="35" xfId="0" applyFont="1" applyFill="1" applyBorder="1" applyAlignment="1" applyProtection="1">
      <alignment horizontal="center" vertical="center" wrapText="1"/>
      <protection hidden="1"/>
    </xf>
    <xf numFmtId="0" fontId="33" fillId="23" borderId="39" xfId="0" applyFont="1" applyFill="1" applyBorder="1" applyAlignment="1" applyProtection="1">
      <alignment horizontal="center" vertical="center" wrapText="1"/>
      <protection hidden="1"/>
    </xf>
    <xf numFmtId="0" fontId="0" fillId="21" borderId="11" xfId="0" applyFill="1" applyBorder="1" applyAlignment="1" applyProtection="1">
      <alignment horizontal="center"/>
      <protection hidden="1"/>
    </xf>
    <xf numFmtId="0" fontId="0" fillId="21" borderId="42" xfId="0" applyFill="1" applyBorder="1" applyAlignment="1" applyProtection="1">
      <alignment horizontal="center"/>
      <protection hidden="1"/>
    </xf>
    <xf numFmtId="0" fontId="6" fillId="16" borderId="9" xfId="0" applyFont="1" applyFill="1" applyBorder="1" applyAlignment="1" applyProtection="1">
      <alignment horizontal="center" vertical="center" wrapText="1"/>
      <protection hidden="1"/>
    </xf>
    <xf numFmtId="0" fontId="6" fillId="16" borderId="58" xfId="0" applyFont="1" applyFill="1" applyBorder="1" applyAlignment="1" applyProtection="1">
      <alignment horizontal="center" vertical="center" wrapText="1"/>
      <protection hidden="1"/>
    </xf>
    <xf numFmtId="0" fontId="6" fillId="16" borderId="7" xfId="0" applyFont="1" applyFill="1" applyBorder="1" applyAlignment="1" applyProtection="1">
      <alignment horizontal="center" vertical="center" wrapText="1"/>
      <protection hidden="1"/>
    </xf>
    <xf numFmtId="0" fontId="33" fillId="23" borderId="49" xfId="0" applyFont="1" applyFill="1" applyBorder="1" applyAlignment="1" applyProtection="1">
      <alignment horizontal="center" vertical="center" wrapText="1"/>
      <protection hidden="1"/>
    </xf>
    <xf numFmtId="0" fontId="33" fillId="23" borderId="37" xfId="0" applyFont="1" applyFill="1" applyBorder="1" applyAlignment="1" applyProtection="1">
      <alignment horizontal="center" vertical="center" wrapText="1"/>
      <protection hidden="1"/>
    </xf>
    <xf numFmtId="0" fontId="33" fillId="23" borderId="63" xfId="0" applyFont="1" applyFill="1" applyBorder="1" applyAlignment="1" applyProtection="1">
      <alignment horizontal="center" vertical="center" wrapText="1"/>
      <protection hidden="1"/>
    </xf>
    <xf numFmtId="0" fontId="42" fillId="3" borderId="1" xfId="0" applyFont="1" applyFill="1" applyBorder="1" applyAlignment="1" applyProtection="1">
      <alignment horizontal="center" vertical="center"/>
      <protection locked="0" hidden="1"/>
    </xf>
    <xf numFmtId="0" fontId="42" fillId="3" borderId="2" xfId="0" applyFont="1" applyFill="1" applyBorder="1" applyAlignment="1" applyProtection="1">
      <alignment horizontal="center" vertical="center"/>
      <protection locked="0" hidden="1"/>
    </xf>
    <xf numFmtId="0" fontId="27" fillId="3" borderId="19" xfId="0" applyFont="1" applyFill="1" applyBorder="1" applyAlignment="1" applyProtection="1">
      <alignment horizontal="center" vertical="center"/>
      <protection locked="0" hidden="1"/>
    </xf>
    <xf numFmtId="0" fontId="27" fillId="3" borderId="20" xfId="0" applyFont="1" applyFill="1" applyBorder="1" applyAlignment="1" applyProtection="1">
      <alignment horizontal="center" vertical="center"/>
      <protection locked="0" hidden="1"/>
    </xf>
    <xf numFmtId="0" fontId="24" fillId="23" borderId="107" xfId="0" applyFont="1" applyFill="1" applyBorder="1" applyAlignment="1" applyProtection="1">
      <alignment horizontal="center" vertical="center" wrapText="1"/>
      <protection hidden="1"/>
    </xf>
    <xf numFmtId="0" fontId="24" fillId="23" borderId="53" xfId="0" applyFont="1" applyFill="1" applyBorder="1" applyAlignment="1" applyProtection="1">
      <alignment horizontal="center" vertical="center" wrapText="1"/>
      <protection hidden="1"/>
    </xf>
    <xf numFmtId="14" fontId="33" fillId="13" borderId="80" xfId="0" applyNumberFormat="1" applyFont="1" applyFill="1" applyBorder="1" applyAlignment="1" applyProtection="1">
      <alignment horizontal="center" vertical="center" wrapText="1"/>
      <protection locked="0" hidden="1"/>
    </xf>
    <xf numFmtId="0" fontId="4" fillId="22" borderId="8" xfId="0" applyFont="1" applyFill="1" applyBorder="1" applyAlignment="1" applyProtection="1">
      <alignment horizontal="center" vertical="center"/>
      <protection hidden="1"/>
    </xf>
    <xf numFmtId="0" fontId="4" fillId="22" borderId="116" xfId="0" applyFont="1" applyFill="1" applyBorder="1" applyAlignment="1" applyProtection="1">
      <alignment horizontal="center" vertical="center"/>
      <protection hidden="1"/>
    </xf>
    <xf numFmtId="49" fontId="38" fillId="3" borderId="5" xfId="0" quotePrefix="1" applyNumberFormat="1" applyFont="1" applyFill="1" applyBorder="1" applyAlignment="1" applyProtection="1">
      <alignment horizontal="center" vertical="center" wrapText="1"/>
      <protection locked="0"/>
    </xf>
    <xf numFmtId="49" fontId="38" fillId="3" borderId="6" xfId="0" applyNumberFormat="1" applyFont="1" applyFill="1" applyBorder="1" applyAlignment="1" applyProtection="1">
      <alignment horizontal="center" vertical="center" wrapText="1"/>
      <protection locked="0"/>
    </xf>
    <xf numFmtId="49" fontId="38" fillId="3" borderId="21" xfId="0" applyNumberFormat="1" applyFont="1" applyFill="1" applyBorder="1" applyAlignment="1" applyProtection="1">
      <alignment horizontal="center" vertical="center" wrapText="1"/>
      <protection locked="0"/>
    </xf>
    <xf numFmtId="0" fontId="34" fillId="16" borderId="5" xfId="0" applyFont="1" applyFill="1" applyBorder="1" applyAlignment="1" applyProtection="1">
      <alignment horizontal="center" vertical="center" wrapText="1"/>
      <protection hidden="1"/>
    </xf>
    <xf numFmtId="0" fontId="34" fillId="16" borderId="6" xfId="0" applyFont="1" applyFill="1" applyBorder="1" applyAlignment="1" applyProtection="1">
      <alignment horizontal="center" vertical="center" wrapText="1"/>
      <protection hidden="1"/>
    </xf>
    <xf numFmtId="0" fontId="34" fillId="16" borderId="21" xfId="0" applyFont="1" applyFill="1" applyBorder="1" applyAlignment="1" applyProtection="1">
      <alignment horizontal="center" vertical="center" wrapText="1"/>
      <protection hidden="1"/>
    </xf>
    <xf numFmtId="0" fontId="12" fillId="10" borderId="22" xfId="0" applyFont="1" applyFill="1" applyBorder="1" applyAlignment="1" applyProtection="1">
      <alignment horizontal="center" vertical="center" textRotation="90" wrapText="1"/>
      <protection hidden="1"/>
    </xf>
    <xf numFmtId="0" fontId="12" fillId="10" borderId="29" xfId="0" applyFont="1" applyFill="1" applyBorder="1" applyAlignment="1" applyProtection="1">
      <alignment horizontal="center" vertical="center" textRotation="90" wrapText="1"/>
      <protection hidden="1"/>
    </xf>
    <xf numFmtId="0" fontId="9" fillId="16" borderId="5" xfId="0" applyFont="1" applyFill="1" applyBorder="1" applyAlignment="1" applyProtection="1">
      <alignment horizontal="right" vertical="center" wrapText="1"/>
      <protection hidden="1"/>
    </xf>
    <xf numFmtId="0" fontId="9" fillId="16" borderId="6" xfId="0" applyFont="1" applyFill="1" applyBorder="1" applyAlignment="1" applyProtection="1">
      <alignment horizontal="right" vertical="center" wrapText="1"/>
      <protection hidden="1"/>
    </xf>
    <xf numFmtId="0" fontId="9" fillId="16" borderId="27" xfId="0" applyFont="1" applyFill="1" applyBorder="1" applyAlignment="1" applyProtection="1">
      <alignment horizontal="center" vertical="center" wrapText="1"/>
      <protection hidden="1"/>
    </xf>
    <xf numFmtId="0" fontId="9" fillId="16" borderId="28" xfId="0" applyFont="1" applyFill="1" applyBorder="1" applyAlignment="1" applyProtection="1">
      <alignment horizontal="center" vertical="center" wrapText="1"/>
      <protection hidden="1"/>
    </xf>
    <xf numFmtId="0" fontId="42" fillId="5" borderId="31"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vertical="center"/>
      <protection hidden="1"/>
    </xf>
    <xf numFmtId="0" fontId="12" fillId="16" borderId="44" xfId="0" applyFont="1" applyFill="1" applyBorder="1" applyAlignment="1" applyProtection="1">
      <alignment horizontal="center" vertical="center" wrapText="1"/>
      <protection hidden="1"/>
    </xf>
    <xf numFmtId="0" fontId="12" fillId="16" borderId="0" xfId="0" applyFont="1" applyFill="1" applyAlignment="1" applyProtection="1">
      <alignment horizontal="center" vertical="center" wrapText="1"/>
      <protection hidden="1"/>
    </xf>
    <xf numFmtId="0" fontId="12" fillId="16" borderId="45" xfId="0" applyFont="1" applyFill="1" applyBorder="1" applyAlignment="1" applyProtection="1">
      <alignment horizontal="center" vertical="center" wrapText="1"/>
      <protection hidden="1"/>
    </xf>
    <xf numFmtId="0" fontId="12" fillId="16" borderId="85" xfId="0" applyFont="1" applyFill="1" applyBorder="1" applyAlignment="1" applyProtection="1">
      <alignment horizontal="center" vertical="center" wrapText="1"/>
      <protection hidden="1"/>
    </xf>
    <xf numFmtId="0" fontId="12" fillId="16" borderId="64" xfId="0" applyFont="1" applyFill="1" applyBorder="1" applyAlignment="1" applyProtection="1">
      <alignment horizontal="center" vertical="center" wrapText="1"/>
      <protection hidden="1"/>
    </xf>
    <xf numFmtId="0" fontId="12" fillId="16" borderId="50" xfId="0" applyFont="1" applyFill="1" applyBorder="1" applyAlignment="1" applyProtection="1">
      <alignment horizontal="center" vertical="center" wrapText="1"/>
      <protection hidden="1"/>
    </xf>
    <xf numFmtId="0" fontId="12" fillId="16" borderId="103" xfId="0" applyFont="1" applyFill="1" applyBorder="1" applyAlignment="1" applyProtection="1">
      <alignment horizontal="center" vertical="center" wrapText="1"/>
      <protection hidden="1"/>
    </xf>
    <xf numFmtId="0" fontId="12" fillId="16" borderId="36" xfId="0" applyFont="1" applyFill="1" applyBorder="1" applyAlignment="1" applyProtection="1">
      <alignment horizontal="center" vertical="center" wrapText="1"/>
      <protection hidden="1"/>
    </xf>
    <xf numFmtId="0" fontId="12" fillId="16" borderId="94" xfId="0" applyFont="1" applyFill="1" applyBorder="1" applyAlignment="1" applyProtection="1">
      <alignment horizontal="center" vertical="center" wrapText="1"/>
      <protection hidden="1"/>
    </xf>
    <xf numFmtId="0" fontId="12" fillId="16" borderId="98" xfId="0" applyFont="1" applyFill="1" applyBorder="1" applyAlignment="1" applyProtection="1">
      <alignment horizontal="center" vertical="center" wrapText="1"/>
      <protection hidden="1"/>
    </xf>
    <xf numFmtId="0" fontId="12" fillId="16" borderId="99" xfId="0" applyFont="1" applyFill="1" applyBorder="1" applyAlignment="1" applyProtection="1">
      <alignment horizontal="center" vertical="center" wrapText="1"/>
      <protection hidden="1"/>
    </xf>
    <xf numFmtId="0" fontId="12" fillId="16" borderId="19" xfId="0" applyFont="1" applyFill="1" applyBorder="1" applyAlignment="1" applyProtection="1">
      <alignment horizontal="center" vertical="center" wrapText="1"/>
      <protection hidden="1"/>
    </xf>
    <xf numFmtId="0" fontId="66" fillId="15" borderId="49" xfId="0" applyFont="1" applyFill="1" applyBorder="1" applyAlignment="1">
      <alignment horizontal="right" vertical="center" wrapText="1"/>
    </xf>
    <xf numFmtId="0" fontId="66" fillId="15" borderId="41" xfId="0" applyFont="1" applyFill="1" applyBorder="1" applyAlignment="1">
      <alignment horizontal="right" vertical="center" wrapText="1"/>
    </xf>
    <xf numFmtId="14" fontId="33" fillId="3" borderId="87" xfId="0" applyNumberFormat="1" applyFont="1" applyFill="1" applyBorder="1" applyAlignment="1" applyProtection="1">
      <alignment horizontal="center" vertical="center"/>
      <protection locked="0"/>
    </xf>
    <xf numFmtId="14" fontId="33" fillId="3" borderId="3" xfId="0" applyNumberFormat="1" applyFont="1" applyFill="1" applyBorder="1" applyAlignment="1" applyProtection="1">
      <alignment horizontal="center" vertical="center"/>
      <protection locked="0"/>
    </xf>
    <xf numFmtId="0" fontId="66" fillId="21" borderId="49" xfId="0" applyFont="1" applyFill="1" applyBorder="1" applyAlignment="1">
      <alignment horizontal="right" vertical="center" wrapText="1"/>
    </xf>
    <xf numFmtId="0" fontId="66" fillId="21" borderId="41" xfId="0" applyFont="1" applyFill="1" applyBorder="1" applyAlignment="1">
      <alignment horizontal="right" vertical="center" wrapText="1"/>
    </xf>
    <xf numFmtId="0" fontId="54" fillId="22" borderId="38" xfId="0" applyFont="1" applyFill="1" applyBorder="1" applyAlignment="1">
      <alignment horizontal="center" vertical="center"/>
    </xf>
    <xf numFmtId="0" fontId="54" fillId="22" borderId="51" xfId="0" applyFont="1" applyFill="1" applyBorder="1" applyAlignment="1">
      <alignment horizontal="center" vertical="center"/>
    </xf>
    <xf numFmtId="0" fontId="54" fillId="22" borderId="30" xfId="0" applyFont="1" applyFill="1" applyBorder="1" applyAlignment="1">
      <alignment horizontal="center" vertical="center" wrapText="1"/>
    </xf>
    <xf numFmtId="0" fontId="54" fillId="22" borderId="85" xfId="0" applyFont="1" applyFill="1" applyBorder="1" applyAlignment="1">
      <alignment horizontal="center" vertical="center" wrapText="1"/>
    </xf>
    <xf numFmtId="0" fontId="54" fillId="22" borderId="22" xfId="0" applyFont="1" applyFill="1" applyBorder="1" applyAlignment="1">
      <alignment horizontal="left" vertical="center" wrapText="1"/>
    </xf>
    <xf numFmtId="0" fontId="54" fillId="22" borderId="83" xfId="0" applyFont="1" applyFill="1" applyBorder="1" applyAlignment="1">
      <alignment horizontal="left" vertical="center" wrapText="1"/>
    </xf>
    <xf numFmtId="0" fontId="52" fillId="3" borderId="47" xfId="0" applyFont="1" applyFill="1" applyBorder="1" applyAlignment="1" applyProtection="1">
      <alignment horizontal="center" vertical="center" wrapText="1"/>
      <protection locked="0"/>
    </xf>
    <xf numFmtId="0" fontId="52" fillId="3" borderId="48" xfId="0" applyFont="1" applyFill="1" applyBorder="1" applyAlignment="1" applyProtection="1">
      <alignment horizontal="center" vertical="center" wrapText="1"/>
      <protection locked="0"/>
    </xf>
    <xf numFmtId="0" fontId="51" fillId="22" borderId="60" xfId="0" applyFont="1" applyFill="1" applyBorder="1" applyAlignment="1">
      <alignment horizontal="center" vertical="center" wrapText="1"/>
    </xf>
    <xf numFmtId="0" fontId="51" fillId="22" borderId="20" xfId="0" applyFont="1" applyFill="1" applyBorder="1" applyAlignment="1">
      <alignment horizontal="center" vertical="center" wrapText="1"/>
    </xf>
    <xf numFmtId="0" fontId="51" fillId="22" borderId="14" xfId="0" applyFont="1" applyFill="1" applyBorder="1" applyAlignment="1">
      <alignment horizontal="center" vertical="center" wrapText="1"/>
    </xf>
    <xf numFmtId="0" fontId="51" fillId="22" borderId="47" xfId="0" applyFont="1" applyFill="1" applyBorder="1" applyAlignment="1">
      <alignment horizontal="center" vertical="center" wrapText="1"/>
    </xf>
    <xf numFmtId="0" fontId="52" fillId="3" borderId="46" xfId="0" applyFont="1" applyFill="1" applyBorder="1" applyAlignment="1" applyProtection="1">
      <alignment horizontal="left" vertical="center" wrapText="1"/>
      <protection locked="0"/>
    </xf>
    <xf numFmtId="0" fontId="52" fillId="3" borderId="10" xfId="0" applyFont="1" applyFill="1" applyBorder="1" applyAlignment="1" applyProtection="1">
      <alignment horizontal="left" vertical="center" wrapText="1"/>
      <protection locked="0"/>
    </xf>
    <xf numFmtId="0" fontId="51" fillId="22" borderId="54" xfId="0" applyFont="1" applyFill="1" applyBorder="1" applyAlignment="1">
      <alignment horizontal="center" vertical="center" wrapText="1"/>
    </xf>
    <xf numFmtId="0" fontId="51" fillId="22" borderId="38" xfId="0" applyFont="1" applyFill="1" applyBorder="1" applyAlignment="1">
      <alignment horizontal="center" vertical="center" wrapText="1"/>
    </xf>
    <xf numFmtId="0" fontId="51" fillId="22" borderId="49" xfId="0" applyFont="1" applyFill="1" applyBorder="1" applyAlignment="1">
      <alignment horizontal="center" vertical="center" wrapText="1"/>
    </xf>
    <xf numFmtId="0" fontId="51" fillId="22" borderId="16" xfId="0" applyFont="1" applyFill="1" applyBorder="1" applyAlignment="1">
      <alignment horizontal="center" vertical="center" wrapText="1"/>
    </xf>
    <xf numFmtId="0" fontId="51" fillId="22" borderId="19" xfId="0" applyFont="1" applyFill="1" applyBorder="1" applyAlignment="1">
      <alignment horizontal="center" vertical="center" wrapText="1"/>
    </xf>
    <xf numFmtId="0" fontId="51" fillId="22" borderId="52" xfId="0" applyFont="1" applyFill="1" applyBorder="1" applyAlignment="1">
      <alignment horizontal="center" vertical="center" wrapText="1"/>
    </xf>
    <xf numFmtId="0" fontId="51" fillId="22" borderId="89" xfId="0" applyFont="1" applyFill="1" applyBorder="1" applyAlignment="1">
      <alignment horizontal="center" vertical="center" wrapText="1"/>
    </xf>
    <xf numFmtId="0" fontId="54" fillId="22" borderId="43" xfId="0" applyFont="1" applyFill="1" applyBorder="1" applyAlignment="1">
      <alignment horizontal="center" vertical="center"/>
    </xf>
    <xf numFmtId="0" fontId="54" fillId="22" borderId="53" xfId="0" applyFont="1" applyFill="1" applyBorder="1" applyAlignment="1">
      <alignment horizontal="center" vertical="center"/>
    </xf>
    <xf numFmtId="0" fontId="54" fillId="22" borderId="32" xfId="0" applyFont="1" applyFill="1" applyBorder="1" applyAlignment="1">
      <alignment horizontal="center" vertical="center"/>
    </xf>
    <xf numFmtId="0" fontId="54" fillId="22" borderId="88" xfId="0" applyFont="1" applyFill="1" applyBorder="1" applyAlignment="1">
      <alignment horizontal="center" vertical="center"/>
    </xf>
    <xf numFmtId="0" fontId="52" fillId="3" borderId="16" xfId="0" applyFont="1" applyFill="1" applyBorder="1" applyAlignment="1" applyProtection="1">
      <alignment horizontal="center" vertical="center" wrapText="1"/>
      <protection locked="0"/>
    </xf>
    <xf numFmtId="0" fontId="52" fillId="3" borderId="40" xfId="0" applyFont="1" applyFill="1" applyBorder="1" applyAlignment="1" applyProtection="1">
      <alignment horizontal="left" vertical="center" wrapText="1"/>
      <protection locked="0"/>
    </xf>
    <xf numFmtId="0" fontId="13" fillId="21" borderId="92" xfId="0" applyFont="1" applyFill="1" applyBorder="1" applyAlignment="1">
      <alignment horizontal="center" vertical="center" wrapText="1"/>
    </xf>
    <xf numFmtId="0" fontId="13" fillId="21" borderId="112" xfId="0" applyFont="1" applyFill="1" applyBorder="1" applyAlignment="1">
      <alignment horizontal="center" vertical="center" wrapText="1"/>
    </xf>
    <xf numFmtId="0" fontId="14" fillId="7" borderId="1" xfId="1" quotePrefix="1" applyFont="1" applyFill="1" applyBorder="1" applyAlignment="1">
      <alignment horizontal="center" vertical="center" wrapText="1"/>
    </xf>
    <xf numFmtId="0" fontId="14" fillId="7" borderId="2" xfId="1" quotePrefix="1" applyFont="1" applyFill="1" applyBorder="1" applyAlignment="1">
      <alignment horizontal="center" vertical="center" wrapText="1"/>
    </xf>
    <xf numFmtId="0" fontId="14" fillId="7" borderId="3" xfId="1" quotePrefix="1" applyFont="1" applyFill="1" applyBorder="1" applyAlignment="1">
      <alignment horizontal="center" vertical="center" wrapText="1"/>
    </xf>
    <xf numFmtId="0" fontId="14" fillId="22" borderId="1" xfId="1" quotePrefix="1" applyFont="1" applyFill="1" applyBorder="1" applyAlignment="1">
      <alignment horizontal="center" vertical="center" wrapText="1"/>
    </xf>
    <xf numFmtId="0" fontId="14" fillId="22" borderId="2" xfId="1" quotePrefix="1" applyFont="1" applyFill="1" applyBorder="1" applyAlignment="1">
      <alignment horizontal="center" vertical="center" wrapText="1"/>
    </xf>
    <xf numFmtId="0" fontId="14" fillId="22" borderId="3" xfId="1" quotePrefix="1" applyFont="1" applyFill="1" applyBorder="1" applyAlignment="1">
      <alignment horizontal="center" vertical="center" wrapText="1"/>
    </xf>
    <xf numFmtId="0" fontId="30" fillId="21" borderId="0" xfId="1" applyFont="1" applyFill="1" applyAlignment="1">
      <alignment horizontal="center" vertical="center"/>
    </xf>
    <xf numFmtId="0" fontId="7" fillId="22" borderId="0" xfId="1" applyFont="1" applyFill="1" applyAlignment="1">
      <alignment horizontal="right" vertical="top" wrapText="1"/>
    </xf>
    <xf numFmtId="9" fontId="16" fillId="5" borderId="4" xfId="2" applyFont="1" applyFill="1" applyBorder="1" applyAlignment="1" applyProtection="1">
      <alignment horizontal="center" vertical="center"/>
      <protection hidden="1"/>
    </xf>
    <xf numFmtId="0" fontId="30" fillId="21" borderId="0" xfId="1" applyFont="1" applyFill="1" applyAlignment="1" applyProtection="1">
      <alignment horizontal="left" vertical="center"/>
      <protection hidden="1"/>
    </xf>
    <xf numFmtId="0" fontId="30" fillId="11" borderId="0" xfId="1" applyFont="1" applyFill="1" applyAlignment="1" applyProtection="1">
      <alignment horizontal="left" vertical="center"/>
      <protection hidden="1"/>
    </xf>
    <xf numFmtId="0" fontId="13" fillId="21" borderId="110" xfId="0" applyFont="1" applyFill="1" applyBorder="1" applyAlignment="1">
      <alignment horizontal="center" vertical="center" wrapText="1"/>
    </xf>
    <xf numFmtId="0" fontId="13" fillId="21" borderId="111" xfId="0" applyFont="1" applyFill="1" applyBorder="1" applyAlignment="1">
      <alignment horizontal="center" vertical="center" wrapText="1"/>
    </xf>
    <xf numFmtId="0" fontId="3" fillId="21" borderId="60" xfId="1" applyFont="1" applyFill="1" applyBorder="1" applyAlignment="1">
      <alignment horizontal="center" vertical="center" wrapText="1"/>
    </xf>
    <xf numFmtId="0" fontId="3" fillId="21" borderId="62" xfId="1" applyFont="1" applyFill="1" applyBorder="1" applyAlignment="1">
      <alignment horizontal="center" vertical="center" wrapText="1"/>
    </xf>
    <xf numFmtId="0" fontId="3" fillId="21" borderId="19" xfId="1" applyFont="1" applyFill="1" applyBorder="1" applyAlignment="1">
      <alignment horizontal="center" vertical="center" wrapText="1"/>
    </xf>
    <xf numFmtId="0" fontId="3" fillId="21" borderId="63" xfId="1" applyFont="1" applyFill="1" applyBorder="1" applyAlignment="1">
      <alignment horizontal="center" vertical="center" wrapText="1"/>
    </xf>
    <xf numFmtId="0" fontId="16" fillId="22" borderId="1" xfId="1" applyFill="1" applyBorder="1" applyAlignment="1" applyProtection="1">
      <alignment horizontal="center" vertical="center"/>
      <protection hidden="1"/>
    </xf>
    <xf numFmtId="0" fontId="16" fillId="22" borderId="3" xfId="1" applyFill="1" applyBorder="1" applyAlignment="1" applyProtection="1">
      <alignment horizontal="center" vertical="center"/>
      <protection hidden="1"/>
    </xf>
    <xf numFmtId="0" fontId="16" fillId="22" borderId="4" xfId="1" applyFill="1" applyBorder="1" applyAlignment="1" applyProtection="1">
      <alignment horizontal="center" vertical="center"/>
      <protection hidden="1"/>
    </xf>
    <xf numFmtId="0" fontId="3" fillId="21" borderId="13" xfId="1" applyFont="1" applyFill="1" applyBorder="1" applyAlignment="1">
      <alignment horizontal="center" wrapText="1"/>
    </xf>
    <xf numFmtId="0" fontId="3" fillId="21" borderId="64" xfId="1" applyFont="1" applyFill="1" applyBorder="1" applyAlignment="1">
      <alignment horizontal="center" wrapText="1"/>
    </xf>
    <xf numFmtId="0" fontId="9" fillId="21" borderId="4" xfId="1" applyFont="1" applyFill="1" applyBorder="1" applyAlignment="1">
      <alignment horizontal="center" vertical="center"/>
    </xf>
    <xf numFmtId="0" fontId="3" fillId="21" borderId="13" xfId="1" applyFont="1" applyFill="1" applyBorder="1" applyAlignment="1">
      <alignment horizontal="center" vertical="center" wrapText="1"/>
    </xf>
    <xf numFmtId="0" fontId="3" fillId="21" borderId="64" xfId="1" applyFont="1" applyFill="1" applyBorder="1" applyAlignment="1">
      <alignment horizontal="center" vertical="center" wrapText="1"/>
    </xf>
    <xf numFmtId="0" fontId="28" fillId="21" borderId="5" xfId="1" applyFont="1" applyFill="1" applyBorder="1" applyAlignment="1" applyProtection="1">
      <alignment horizontal="center" vertical="center"/>
      <protection hidden="1"/>
    </xf>
    <xf numFmtId="0" fontId="28" fillId="21" borderId="6" xfId="1" applyFont="1" applyFill="1" applyBorder="1" applyAlignment="1" applyProtection="1">
      <alignment horizontal="center" vertical="center"/>
      <protection hidden="1"/>
    </xf>
    <xf numFmtId="0" fontId="28" fillId="21" borderId="21" xfId="1" applyFont="1" applyFill="1" applyBorder="1" applyAlignment="1" applyProtection="1">
      <alignment horizontal="center" vertical="center"/>
      <protection hidden="1"/>
    </xf>
    <xf numFmtId="0" fontId="7" fillId="23" borderId="11" xfId="0" applyFont="1" applyFill="1" applyBorder="1" applyAlignment="1">
      <alignment horizontal="right" vertical="center" wrapText="1"/>
    </xf>
    <xf numFmtId="0" fontId="7" fillId="23" borderId="42" xfId="0" applyFont="1" applyFill="1" applyBorder="1" applyAlignment="1">
      <alignment horizontal="right" vertical="center" wrapText="1"/>
    </xf>
    <xf numFmtId="0" fontId="7" fillId="5" borderId="42" xfId="1" applyFont="1" applyFill="1" applyBorder="1" applyAlignment="1" applyProtection="1">
      <alignment horizontal="left" vertical="center"/>
      <protection hidden="1"/>
    </xf>
    <xf numFmtId="0" fontId="7" fillId="5" borderId="43" xfId="1" applyFont="1" applyFill="1" applyBorder="1" applyAlignment="1" applyProtection="1">
      <alignment horizontal="left" vertical="center"/>
      <protection hidden="1"/>
    </xf>
    <xf numFmtId="0" fontId="7" fillId="23" borderId="55" xfId="0" applyFont="1" applyFill="1" applyBorder="1" applyAlignment="1">
      <alignment horizontal="right" vertical="center" wrapText="1"/>
    </xf>
    <xf numFmtId="0" fontId="7" fillId="23" borderId="56" xfId="0" applyFont="1" applyFill="1" applyBorder="1" applyAlignment="1">
      <alignment horizontal="right" vertical="center" wrapText="1"/>
    </xf>
    <xf numFmtId="0" fontId="7" fillId="5" borderId="56" xfId="1" applyFont="1" applyFill="1" applyBorder="1" applyAlignment="1" applyProtection="1">
      <alignment horizontal="left" vertical="center"/>
      <protection hidden="1"/>
    </xf>
    <xf numFmtId="0" fontId="7" fillId="5" borderId="79" xfId="1" applyFont="1" applyFill="1" applyBorder="1" applyAlignment="1" applyProtection="1">
      <alignment horizontal="left" vertical="center"/>
      <protection hidden="1"/>
    </xf>
    <xf numFmtId="0" fontId="3" fillId="21" borderId="61" xfId="1" applyFont="1" applyFill="1" applyBorder="1" applyAlignment="1">
      <alignment horizontal="center" vertical="center" wrapText="1"/>
    </xf>
    <xf numFmtId="0" fontId="3" fillId="21" borderId="20" xfId="1" applyFont="1" applyFill="1" applyBorder="1" applyAlignment="1">
      <alignment horizontal="center" vertical="center" wrapText="1"/>
    </xf>
    <xf numFmtId="0" fontId="13" fillId="16" borderId="92" xfId="0" applyFont="1" applyFill="1" applyBorder="1" applyAlignment="1" applyProtection="1">
      <alignment horizontal="center" vertical="center" wrapText="1"/>
      <protection hidden="1"/>
    </xf>
    <xf numFmtId="0" fontId="13" fillId="16" borderId="112" xfId="0" applyFont="1" applyFill="1" applyBorder="1" applyAlignment="1" applyProtection="1">
      <alignment horizontal="center" vertical="center" wrapText="1"/>
      <protection hidden="1"/>
    </xf>
    <xf numFmtId="0" fontId="13" fillId="16" borderId="110" xfId="0" applyFont="1" applyFill="1" applyBorder="1" applyAlignment="1" applyProtection="1">
      <alignment horizontal="center" vertical="center" wrapText="1"/>
      <protection hidden="1"/>
    </xf>
    <xf numFmtId="0" fontId="13" fillId="16" borderId="111" xfId="0" applyFont="1" applyFill="1" applyBorder="1" applyAlignment="1" applyProtection="1">
      <alignment horizontal="center" vertical="center" wrapText="1"/>
      <protection hidden="1"/>
    </xf>
    <xf numFmtId="0" fontId="30" fillId="16" borderId="0" xfId="1" applyFont="1" applyFill="1" applyAlignment="1" applyProtection="1">
      <alignment horizontal="left" vertical="center"/>
      <protection hidden="1"/>
    </xf>
    <xf numFmtId="0" fontId="30" fillId="16" borderId="0" xfId="1" applyFont="1" applyFill="1" applyAlignment="1" applyProtection="1">
      <alignment horizontal="center" vertical="center"/>
      <protection hidden="1"/>
    </xf>
    <xf numFmtId="0" fontId="7" fillId="7" borderId="13" xfId="1" applyFont="1" applyFill="1" applyBorder="1" applyAlignment="1" applyProtection="1">
      <alignment horizontal="center" wrapText="1"/>
      <protection hidden="1"/>
    </xf>
    <xf numFmtId="0" fontId="7" fillId="7" borderId="64" xfId="1" applyFont="1" applyFill="1" applyBorder="1" applyAlignment="1" applyProtection="1">
      <alignment horizontal="center" wrapText="1"/>
      <protection hidden="1"/>
    </xf>
    <xf numFmtId="0" fontId="3" fillId="16" borderId="13" xfId="1" applyFont="1" applyFill="1" applyBorder="1" applyAlignment="1" applyProtection="1">
      <alignment horizontal="center" vertical="center" wrapText="1"/>
      <protection hidden="1"/>
    </xf>
    <xf numFmtId="0" fontId="3" fillId="16" borderId="64" xfId="1" applyFont="1" applyFill="1" applyBorder="1" applyAlignment="1" applyProtection="1">
      <alignment horizontal="center" vertical="center" wrapText="1"/>
      <protection hidden="1"/>
    </xf>
    <xf numFmtId="0" fontId="9" fillId="16" borderId="4" xfId="1" applyFont="1" applyFill="1" applyBorder="1" applyAlignment="1" applyProtection="1">
      <alignment horizontal="center" vertical="center"/>
      <protection hidden="1"/>
    </xf>
    <xf numFmtId="0" fontId="3" fillId="16" borderId="60" xfId="1" applyFont="1" applyFill="1" applyBorder="1" applyAlignment="1" applyProtection="1">
      <alignment horizontal="center" vertical="center" wrapText="1"/>
      <protection hidden="1"/>
    </xf>
    <xf numFmtId="0" fontId="3" fillId="16" borderId="61" xfId="1" applyFont="1" applyFill="1" applyBorder="1" applyAlignment="1" applyProtection="1">
      <alignment horizontal="center" vertical="center" wrapText="1"/>
      <protection hidden="1"/>
    </xf>
    <xf numFmtId="0" fontId="3" fillId="16" borderId="62" xfId="1" applyFont="1" applyFill="1" applyBorder="1" applyAlignment="1" applyProtection="1">
      <alignment horizontal="center" vertical="center" wrapText="1"/>
      <protection hidden="1"/>
    </xf>
    <xf numFmtId="0" fontId="3" fillId="16" borderId="19" xfId="1" applyFont="1" applyFill="1" applyBorder="1" applyAlignment="1" applyProtection="1">
      <alignment horizontal="center" vertical="center" wrapText="1"/>
      <protection hidden="1"/>
    </xf>
    <xf numFmtId="0" fontId="3" fillId="16" borderId="20" xfId="1" applyFont="1" applyFill="1" applyBorder="1" applyAlignment="1" applyProtection="1">
      <alignment horizontal="center" vertical="center" wrapText="1"/>
      <protection hidden="1"/>
    </xf>
    <xf numFmtId="0" fontId="3" fillId="16" borderId="63" xfId="1" applyFont="1" applyFill="1" applyBorder="1" applyAlignment="1" applyProtection="1">
      <alignment horizontal="center" vertical="center" wrapText="1"/>
      <protection hidden="1"/>
    </xf>
    <xf numFmtId="0" fontId="16" fillId="5" borderId="60" xfId="1" applyFill="1" applyBorder="1" applyAlignment="1" applyProtection="1">
      <alignment horizontal="left" vertical="top"/>
      <protection locked="0" hidden="1"/>
    </xf>
    <xf numFmtId="0" fontId="16" fillId="5" borderId="61" xfId="1" applyFill="1" applyBorder="1" applyAlignment="1" applyProtection="1">
      <alignment horizontal="left" vertical="top"/>
      <protection locked="0" hidden="1"/>
    </xf>
    <xf numFmtId="0" fontId="16" fillId="5" borderId="62" xfId="1" applyFill="1" applyBorder="1" applyAlignment="1" applyProtection="1">
      <alignment horizontal="left" vertical="top"/>
      <protection locked="0" hidden="1"/>
    </xf>
    <xf numFmtId="0" fontId="16" fillId="5" borderId="90" xfId="1" applyFill="1" applyBorder="1" applyAlignment="1" applyProtection="1">
      <alignment horizontal="left" vertical="top"/>
      <protection locked="0" hidden="1"/>
    </xf>
    <xf numFmtId="0" fontId="16" fillId="5" borderId="0" xfId="1" applyFill="1" applyAlignment="1" applyProtection="1">
      <alignment horizontal="left" vertical="top"/>
      <protection locked="0" hidden="1"/>
    </xf>
    <xf numFmtId="0" fontId="16" fillId="5" borderId="91" xfId="1" applyFill="1" applyBorder="1" applyAlignment="1" applyProtection="1">
      <alignment horizontal="left" vertical="top"/>
      <protection locked="0" hidden="1"/>
    </xf>
    <xf numFmtId="0" fontId="16" fillId="5" borderId="19" xfId="1" applyFill="1" applyBorder="1" applyAlignment="1" applyProtection="1">
      <alignment horizontal="left" vertical="top"/>
      <protection locked="0" hidden="1"/>
    </xf>
    <xf numFmtId="0" fontId="16" fillId="5" borderId="20" xfId="1" applyFill="1" applyBorder="1" applyAlignment="1" applyProtection="1">
      <alignment horizontal="left" vertical="top"/>
      <protection locked="0" hidden="1"/>
    </xf>
    <xf numFmtId="0" fontId="16" fillId="5" borderId="63" xfId="1" applyFill="1" applyBorder="1" applyAlignment="1" applyProtection="1">
      <alignment horizontal="left" vertical="top"/>
      <protection locked="0" hidden="1"/>
    </xf>
    <xf numFmtId="0" fontId="28" fillId="16" borderId="5" xfId="1" applyFont="1" applyFill="1" applyBorder="1" applyAlignment="1" applyProtection="1">
      <alignment horizontal="center" vertical="center"/>
      <protection hidden="1"/>
    </xf>
    <xf numFmtId="0" fontId="28" fillId="16" borderId="6" xfId="1" applyFont="1" applyFill="1" applyBorder="1" applyAlignment="1" applyProtection="1">
      <alignment horizontal="center" vertical="center"/>
      <protection hidden="1"/>
    </xf>
    <xf numFmtId="0" fontId="28" fillId="16" borderId="21" xfId="1" applyFont="1" applyFill="1" applyBorder="1" applyAlignment="1" applyProtection="1">
      <alignment horizontal="center" vertical="center"/>
      <protection hidden="1"/>
    </xf>
    <xf numFmtId="0" fontId="7" fillId="23" borderId="11" xfId="0" applyFont="1" applyFill="1" applyBorder="1" applyAlignment="1" applyProtection="1">
      <alignment horizontal="right" vertical="center" wrapText="1"/>
      <protection hidden="1"/>
    </xf>
    <xf numFmtId="0" fontId="7" fillId="23" borderId="42" xfId="0" applyFont="1" applyFill="1" applyBorder="1" applyAlignment="1" applyProtection="1">
      <alignment horizontal="right" vertical="center" wrapText="1"/>
      <protection hidden="1"/>
    </xf>
    <xf numFmtId="0" fontId="7" fillId="23" borderId="55" xfId="0" applyFont="1" applyFill="1" applyBorder="1" applyAlignment="1" applyProtection="1">
      <alignment horizontal="right" vertical="center" wrapText="1"/>
      <protection hidden="1"/>
    </xf>
    <xf numFmtId="0" fontId="7" fillId="23" borderId="56" xfId="0" applyFont="1" applyFill="1" applyBorder="1" applyAlignment="1" applyProtection="1">
      <alignment horizontal="right" vertical="center" wrapText="1"/>
      <protection hidden="1"/>
    </xf>
    <xf numFmtId="0" fontId="12" fillId="16" borderId="0" xfId="1" applyFont="1" applyFill="1" applyAlignment="1" applyProtection="1">
      <alignment horizontal="center" vertical="center"/>
      <protection hidden="1"/>
    </xf>
    <xf numFmtId="9" fontId="16" fillId="5" borderId="1" xfId="2" applyFont="1" applyFill="1" applyBorder="1" applyAlignment="1" applyProtection="1">
      <alignment horizontal="center" vertical="center"/>
      <protection hidden="1"/>
    </xf>
    <xf numFmtId="9" fontId="16" fillId="5" borderId="3" xfId="2" applyFont="1" applyFill="1" applyBorder="1" applyAlignment="1" applyProtection="1">
      <alignment horizontal="center" vertical="center"/>
      <protection hidden="1"/>
    </xf>
    <xf numFmtId="0" fontId="4" fillId="22" borderId="0" xfId="1" applyFont="1" applyFill="1" applyAlignment="1" applyProtection="1">
      <alignment horizontal="right" vertical="top" wrapText="1"/>
      <protection hidden="1"/>
    </xf>
    <xf numFmtId="0" fontId="95" fillId="29" borderId="1" xfId="0" applyFont="1" applyFill="1" applyBorder="1" applyAlignment="1">
      <alignment horizontal="center" vertical="center"/>
    </xf>
    <xf numFmtId="0" fontId="95" fillId="29" borderId="2" xfId="0" applyFont="1" applyFill="1" applyBorder="1" applyAlignment="1">
      <alignment horizontal="center" vertical="center"/>
    </xf>
    <xf numFmtId="0" fontId="95" fillId="29" borderId="3" xfId="0" applyFont="1" applyFill="1" applyBorder="1" applyAlignment="1">
      <alignment horizontal="center" vertical="center"/>
    </xf>
    <xf numFmtId="0" fontId="88" fillId="0" borderId="1" xfId="0" applyFont="1" applyBorder="1" applyAlignment="1">
      <alignment horizontal="left" vertical="center" wrapText="1"/>
    </xf>
    <xf numFmtId="0" fontId="88" fillId="0" borderId="2" xfId="0" applyFont="1" applyBorder="1" applyAlignment="1">
      <alignment horizontal="left" vertical="center" wrapText="1"/>
    </xf>
    <xf numFmtId="0" fontId="88" fillId="0" borderId="3" xfId="0" applyFont="1" applyBorder="1" applyAlignment="1">
      <alignment horizontal="left" vertical="center" wrapText="1"/>
    </xf>
    <xf numFmtId="0" fontId="94" fillId="28" borderId="4" xfId="0" applyFont="1" applyFill="1" applyBorder="1" applyAlignment="1">
      <alignment horizontal="left" vertical="center"/>
    </xf>
    <xf numFmtId="0" fontId="94" fillId="30" borderId="4" xfId="0" applyFont="1" applyFill="1" applyBorder="1" applyAlignment="1">
      <alignment horizontal="center" vertical="center"/>
    </xf>
    <xf numFmtId="0" fontId="88" fillId="0" borderId="1" xfId="0" applyFont="1" applyBorder="1" applyAlignment="1">
      <alignment horizontal="center" vertical="center"/>
    </xf>
    <xf numFmtId="0" fontId="88" fillId="0" borderId="3" xfId="0" applyFont="1" applyBorder="1" applyAlignment="1">
      <alignment horizontal="center" vertical="center"/>
    </xf>
    <xf numFmtId="0" fontId="66" fillId="27" borderId="163" xfId="0" applyFont="1" applyFill="1" applyBorder="1" applyAlignment="1">
      <alignment horizontal="left" vertical="center"/>
    </xf>
    <xf numFmtId="0" fontId="66" fillId="27" borderId="164" xfId="0" applyFont="1" applyFill="1" applyBorder="1" applyAlignment="1">
      <alignment horizontal="left" vertical="center"/>
    </xf>
    <xf numFmtId="0" fontId="66" fillId="27" borderId="165" xfId="0" applyFont="1" applyFill="1" applyBorder="1" applyAlignment="1">
      <alignment horizontal="left" vertical="center"/>
    </xf>
    <xf numFmtId="0" fontId="93" fillId="0" borderId="171" xfId="0" applyFont="1" applyBorder="1" applyAlignment="1">
      <alignment horizontal="left" vertical="top" wrapText="1"/>
    </xf>
    <xf numFmtId="0" fontId="93" fillId="0" borderId="0" xfId="0" applyFont="1" applyAlignment="1">
      <alignment horizontal="left" vertical="top"/>
    </xf>
    <xf numFmtId="0" fontId="93" fillId="0" borderId="172" xfId="0" applyFont="1" applyBorder="1" applyAlignment="1">
      <alignment horizontal="left" vertical="top"/>
    </xf>
    <xf numFmtId="0" fontId="93" fillId="0" borderId="171" xfId="0" applyFont="1" applyBorder="1" applyAlignment="1">
      <alignment horizontal="left" vertical="top"/>
    </xf>
    <xf numFmtId="0" fontId="93" fillId="0" borderId="173" xfId="0" applyFont="1" applyBorder="1" applyAlignment="1">
      <alignment horizontal="left" vertical="top"/>
    </xf>
    <xf numFmtId="0" fontId="93" fillId="0" borderId="174" xfId="0" applyFont="1" applyBorder="1" applyAlignment="1">
      <alignment horizontal="left" vertical="top"/>
    </xf>
    <xf numFmtId="0" fontId="93" fillId="0" borderId="175" xfId="0" applyFont="1" applyBorder="1" applyAlignment="1">
      <alignment horizontal="left" vertical="top"/>
    </xf>
    <xf numFmtId="0" fontId="0" fillId="0" borderId="169" xfId="0" applyBorder="1" applyAlignment="1">
      <alignment horizontal="center" vertical="center"/>
    </xf>
    <xf numFmtId="0" fontId="0" fillId="0" borderId="170" xfId="0" applyBorder="1" applyAlignment="1">
      <alignment horizontal="center" vertical="center"/>
    </xf>
    <xf numFmtId="0" fontId="0" fillId="25" borderId="169" xfId="0" applyFill="1" applyBorder="1" applyAlignment="1">
      <alignment horizontal="center" vertical="center"/>
    </xf>
    <xf numFmtId="0" fontId="0" fillId="25" borderId="170" xfId="0" applyFill="1" applyBorder="1" applyAlignment="1">
      <alignment horizontal="center" vertical="center"/>
    </xf>
    <xf numFmtId="0" fontId="66" fillId="28" borderId="4" xfId="0" applyFont="1" applyFill="1" applyBorder="1" applyAlignment="1">
      <alignment horizontal="left" vertical="center"/>
    </xf>
    <xf numFmtId="0" fontId="95" fillId="29" borderId="4" xfId="0" applyFont="1" applyFill="1" applyBorder="1" applyAlignment="1">
      <alignment horizontal="center" vertical="center"/>
    </xf>
    <xf numFmtId="0" fontId="88" fillId="0" borderId="4" xfId="0" applyFont="1" applyBorder="1" applyAlignment="1">
      <alignment horizontal="left" vertical="center"/>
    </xf>
    <xf numFmtId="0" fontId="88" fillId="0" borderId="4" xfId="0" applyFont="1" applyBorder="1" applyAlignment="1">
      <alignment horizontal="center" vertical="center"/>
    </xf>
    <xf numFmtId="0" fontId="88" fillId="25" borderId="4" xfId="0" applyFont="1" applyFill="1" applyBorder="1" applyAlignment="1">
      <alignment horizontal="center" vertical="center"/>
    </xf>
    <xf numFmtId="0" fontId="0" fillId="29" borderId="13" xfId="0" applyFill="1" applyBorder="1" applyAlignment="1">
      <alignment horizontal="center" vertical="center"/>
    </xf>
    <xf numFmtId="0" fontId="0" fillId="29" borderId="13" xfId="0" applyFill="1" applyBorder="1" applyAlignment="1">
      <alignment horizontal="center" vertical="center" wrapText="1"/>
    </xf>
    <xf numFmtId="0" fontId="0" fillId="30" borderId="13" xfId="0" applyFill="1" applyBorder="1" applyAlignment="1">
      <alignment horizontal="center" vertical="center" wrapText="1"/>
    </xf>
    <xf numFmtId="0" fontId="92" fillId="28" borderId="1" xfId="0" applyFont="1" applyFill="1" applyBorder="1" applyAlignment="1">
      <alignment horizontal="left" vertical="center"/>
    </xf>
    <xf numFmtId="0" fontId="92" fillId="28" borderId="2" xfId="0" applyFont="1" applyFill="1" applyBorder="1" applyAlignment="1">
      <alignment horizontal="left" vertical="center"/>
    </xf>
    <xf numFmtId="0" fontId="92" fillId="28" borderId="3" xfId="0" applyFont="1" applyFill="1" applyBorder="1" applyAlignment="1">
      <alignment horizontal="left" vertical="center"/>
    </xf>
    <xf numFmtId="0" fontId="53" fillId="0" borderId="158" xfId="0" applyFont="1" applyBorder="1" applyAlignment="1">
      <alignment horizontal="left" vertical="center" wrapText="1"/>
    </xf>
    <xf numFmtId="0" fontId="53" fillId="0" borderId="159" xfId="0" applyFont="1" applyBorder="1" applyAlignment="1">
      <alignment horizontal="left" vertical="center" wrapText="1"/>
    </xf>
    <xf numFmtId="0" fontId="55" fillId="26" borderId="153" xfId="0" applyFont="1" applyFill="1" applyBorder="1" applyAlignment="1">
      <alignment horizontal="center" vertical="center"/>
    </xf>
    <xf numFmtId="0" fontId="55" fillId="26" borderId="154" xfId="0" applyFont="1" applyFill="1" applyBorder="1" applyAlignment="1">
      <alignment horizontal="center" vertical="center"/>
    </xf>
    <xf numFmtId="0" fontId="55" fillId="26" borderId="155" xfId="0" applyFont="1" applyFill="1" applyBorder="1" applyAlignment="1">
      <alignment horizontal="center" vertical="center"/>
    </xf>
    <xf numFmtId="0" fontId="89" fillId="0" borderId="157" xfId="0" applyFont="1" applyBorder="1" applyAlignment="1">
      <alignment horizontal="left" vertical="center"/>
    </xf>
    <xf numFmtId="0" fontId="89" fillId="0" borderId="158" xfId="0" applyFont="1" applyBorder="1" applyAlignment="1">
      <alignment horizontal="left" vertical="center"/>
    </xf>
    <xf numFmtId="0" fontId="90" fillId="0" borderId="158" xfId="0" applyFont="1" applyBorder="1" applyAlignment="1">
      <alignment horizontal="left" vertical="center"/>
    </xf>
    <xf numFmtId="0" fontId="53" fillId="0" borderId="161" xfId="0" applyFont="1" applyBorder="1" applyAlignment="1">
      <alignment horizontal="left" vertical="center" wrapText="1"/>
    </xf>
    <xf numFmtId="0" fontId="53" fillId="0" borderId="162" xfId="0" applyFont="1" applyBorder="1" applyAlignment="1">
      <alignment horizontal="left" vertical="center" wrapText="1"/>
    </xf>
    <xf numFmtId="0" fontId="89" fillId="0" borderId="160" xfId="0" applyFont="1" applyBorder="1" applyAlignment="1">
      <alignment horizontal="left" vertical="center"/>
    </xf>
    <xf numFmtId="0" fontId="89" fillId="0" borderId="161" xfId="0" applyFont="1" applyBorder="1" applyAlignment="1">
      <alignment horizontal="left" vertical="center"/>
    </xf>
    <xf numFmtId="0" fontId="90" fillId="0" borderId="161" xfId="0" applyFont="1" applyBorder="1" applyAlignment="1">
      <alignment horizontal="left" vertical="center"/>
    </xf>
    <xf numFmtId="0" fontId="93" fillId="29" borderId="1" xfId="0" applyFont="1" applyFill="1" applyBorder="1" applyAlignment="1">
      <alignment horizontal="left" vertical="center"/>
    </xf>
    <xf numFmtId="0" fontId="93" fillId="29" borderId="2" xfId="0" applyFont="1" applyFill="1" applyBorder="1" applyAlignment="1">
      <alignment horizontal="left" vertical="center"/>
    </xf>
    <xf numFmtId="0" fontId="93" fillId="29" borderId="3" xfId="0" applyFont="1" applyFill="1" applyBorder="1" applyAlignment="1">
      <alignment horizontal="left" vertical="center"/>
    </xf>
    <xf numFmtId="0" fontId="16" fillId="0" borderId="1" xfId="0" applyFont="1" applyBorder="1" applyAlignment="1">
      <alignment horizontal="left" vertical="center"/>
    </xf>
    <xf numFmtId="0" fontId="16" fillId="0" borderId="2" xfId="0" applyFont="1" applyBorder="1" applyAlignment="1">
      <alignment horizontal="left" vertical="center"/>
    </xf>
    <xf numFmtId="0" fontId="16" fillId="0" borderId="3" xfId="0" applyFont="1" applyBorder="1" applyAlignment="1">
      <alignment horizontal="left" vertical="center"/>
    </xf>
    <xf numFmtId="49" fontId="16" fillId="0" borderId="1" xfId="0" applyNumberFormat="1" applyFont="1" applyBorder="1" applyAlignment="1">
      <alignment horizontal="left" vertical="center" wrapText="1"/>
    </xf>
    <xf numFmtId="49" fontId="16" fillId="0" borderId="2" xfId="0" applyNumberFormat="1" applyFont="1" applyBorder="1" applyAlignment="1">
      <alignment horizontal="left" vertical="center" wrapText="1"/>
    </xf>
    <xf numFmtId="49" fontId="16" fillId="0" borderId="3" xfId="0" applyNumberFormat="1" applyFont="1" applyBorder="1" applyAlignment="1">
      <alignment horizontal="left" vertical="center" wrapText="1"/>
    </xf>
    <xf numFmtId="0" fontId="92" fillId="28" borderId="4" xfId="0" applyFont="1" applyFill="1" applyBorder="1" applyAlignment="1">
      <alignment horizontal="left" vertical="center"/>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774">
    <dxf>
      <font>
        <b/>
        <i val="0"/>
        <color theme="0"/>
      </font>
      <fill>
        <patternFill>
          <bgColor theme="9" tint="-0.24994659260841701"/>
        </patternFill>
      </fill>
    </dxf>
    <dxf>
      <font>
        <b/>
        <i val="0"/>
        <color theme="0"/>
      </font>
      <fill>
        <patternFill>
          <bgColor theme="7"/>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76B82A"/>
      <color rgb="FF009FE3"/>
      <color rgb="FF008080"/>
      <color rgb="FF00B0AC"/>
      <color rgb="FFFFFFB9"/>
      <color rgb="FF006699"/>
      <color rgb="FFD9FFFF"/>
      <color rgb="FFF9B47B"/>
      <color rgb="FFAFF3B2"/>
      <color rgb="FFFF79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08" t="s">
        <v>0</v>
      </c>
      <c r="H3" s="409"/>
      <c r="I3" s="409"/>
      <c r="J3" s="409"/>
      <c r="K3" s="410"/>
    </row>
    <row r="4" spans="2:11" ht="13" thickBot="1" x14ac:dyDescent="0.45">
      <c r="G4" s="411"/>
      <c r="H4" s="412"/>
      <c r="I4" s="412"/>
      <c r="J4" s="412"/>
      <c r="K4" s="413"/>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39" t="s">
        <v>23</v>
      </c>
      <c r="B1" s="440"/>
      <c r="C1" s="440"/>
      <c r="D1" s="441"/>
      <c r="F1" s="439" t="s">
        <v>24</v>
      </c>
      <c r="G1" s="440"/>
      <c r="H1" s="440"/>
      <c r="I1" s="441"/>
      <c r="K1" s="439" t="s">
        <v>25</v>
      </c>
      <c r="L1" s="440"/>
      <c r="M1" s="440"/>
      <c r="N1" s="441"/>
      <c r="P1" s="439" t="s">
        <v>34</v>
      </c>
      <c r="Q1" s="440"/>
      <c r="R1" s="440"/>
      <c r="S1" s="441"/>
      <c r="U1" s="439" t="s">
        <v>35</v>
      </c>
      <c r="V1" s="440"/>
      <c r="W1" s="440"/>
      <c r="X1" s="441"/>
      <c r="Z1" s="439" t="s">
        <v>36</v>
      </c>
      <c r="AA1" s="440"/>
      <c r="AB1" s="440"/>
      <c r="AC1" s="441"/>
      <c r="AE1" s="439" t="s">
        <v>37</v>
      </c>
      <c r="AF1" s="440"/>
      <c r="AG1" s="440"/>
      <c r="AH1" s="441"/>
      <c r="AJ1" s="439" t="s">
        <v>38</v>
      </c>
      <c r="AK1" s="440"/>
      <c r="AL1" s="440"/>
      <c r="AM1" s="441"/>
      <c r="AO1" s="439" t="s">
        <v>39</v>
      </c>
      <c r="AP1" s="440"/>
      <c r="AQ1" s="440"/>
      <c r="AR1" s="441"/>
      <c r="AT1" s="439" t="s">
        <v>40</v>
      </c>
      <c r="AU1" s="440"/>
      <c r="AV1" s="440"/>
      <c r="AW1" s="441"/>
      <c r="AY1" s="439" t="s">
        <v>41</v>
      </c>
      <c r="AZ1" s="440"/>
      <c r="BA1" s="440"/>
      <c r="BB1" s="441"/>
      <c r="BD1" s="439" t="s">
        <v>42</v>
      </c>
      <c r="BE1" s="440"/>
      <c r="BF1" s="442"/>
      <c r="BG1" s="443"/>
    </row>
    <row r="2" spans="1:60" ht="15" customHeight="1" thickBot="1" x14ac:dyDescent="0.45">
      <c r="A2" s="447" t="s">
        <v>43</v>
      </c>
      <c r="B2" s="448"/>
      <c r="C2" s="453" t="s">
        <v>44</v>
      </c>
      <c r="D2" s="454"/>
      <c r="F2" s="447" t="s">
        <v>43</v>
      </c>
      <c r="G2" s="448"/>
      <c r="H2" s="430" t="s">
        <v>44</v>
      </c>
      <c r="I2" s="431"/>
      <c r="K2" s="444" t="s">
        <v>43</v>
      </c>
      <c r="L2" s="445"/>
      <c r="M2" s="430" t="s">
        <v>44</v>
      </c>
      <c r="N2" s="431"/>
      <c r="P2" s="451" t="s">
        <v>43</v>
      </c>
      <c r="Q2" s="452"/>
      <c r="R2" s="430" t="s">
        <v>44</v>
      </c>
      <c r="S2" s="431"/>
      <c r="U2" s="444" t="s">
        <v>43</v>
      </c>
      <c r="V2" s="445"/>
      <c r="W2" s="430" t="s">
        <v>44</v>
      </c>
      <c r="X2" s="431"/>
      <c r="Z2" s="444" t="s">
        <v>43</v>
      </c>
      <c r="AA2" s="445"/>
      <c r="AB2" s="430" t="s">
        <v>44</v>
      </c>
      <c r="AC2" s="431"/>
      <c r="AE2" s="444" t="s">
        <v>43</v>
      </c>
      <c r="AF2" s="445"/>
      <c r="AG2" s="430" t="s">
        <v>44</v>
      </c>
      <c r="AH2" s="431"/>
      <c r="AJ2" s="444" t="s">
        <v>43</v>
      </c>
      <c r="AK2" s="445"/>
      <c r="AL2" s="430" t="s">
        <v>44</v>
      </c>
      <c r="AM2" s="431"/>
      <c r="AO2" s="444" t="s">
        <v>43</v>
      </c>
      <c r="AP2" s="445"/>
      <c r="AQ2" s="430" t="s">
        <v>44</v>
      </c>
      <c r="AR2" s="431"/>
      <c r="AT2" s="444" t="s">
        <v>43</v>
      </c>
      <c r="AU2" s="445"/>
      <c r="AV2" s="430" t="s">
        <v>44</v>
      </c>
      <c r="AW2" s="431"/>
      <c r="AY2" s="444" t="s">
        <v>43</v>
      </c>
      <c r="AZ2" s="445"/>
      <c r="BA2" s="430" t="s">
        <v>44</v>
      </c>
      <c r="BB2" s="431"/>
      <c r="BD2" s="444" t="s">
        <v>43</v>
      </c>
      <c r="BE2" s="446"/>
      <c r="BF2" s="435" t="s">
        <v>44</v>
      </c>
      <c r="BG2" s="436"/>
    </row>
    <row r="3" spans="1:60" s="96" customFormat="1" ht="20.350000000000001" thickBot="1" x14ac:dyDescent="0.45">
      <c r="A3" s="449"/>
      <c r="B3" s="450"/>
      <c r="C3" s="428"/>
      <c r="D3" s="429"/>
      <c r="E3" s="84"/>
      <c r="F3" s="449"/>
      <c r="G3" s="450"/>
      <c r="H3" s="428"/>
      <c r="I3" s="429"/>
      <c r="J3" s="84"/>
      <c r="K3" s="449"/>
      <c r="L3" s="450"/>
      <c r="M3" s="428"/>
      <c r="N3" s="429"/>
      <c r="O3" s="84"/>
      <c r="P3" s="437"/>
      <c r="Q3" s="438"/>
      <c r="R3" s="428"/>
      <c r="S3" s="429"/>
      <c r="T3" s="84"/>
      <c r="U3" s="437"/>
      <c r="V3" s="438"/>
      <c r="W3" s="428"/>
      <c r="X3" s="429"/>
      <c r="Y3" s="84"/>
      <c r="Z3" s="437"/>
      <c r="AA3" s="438"/>
      <c r="AB3" s="428"/>
      <c r="AC3" s="429"/>
      <c r="AD3" s="84"/>
      <c r="AE3" s="437"/>
      <c r="AF3" s="438"/>
      <c r="AG3" s="428"/>
      <c r="AH3" s="429"/>
      <c r="AI3" s="84"/>
      <c r="AJ3" s="437"/>
      <c r="AK3" s="438"/>
      <c r="AL3" s="428"/>
      <c r="AM3" s="429"/>
      <c r="AN3" s="84"/>
      <c r="AO3" s="437"/>
      <c r="AP3" s="438"/>
      <c r="AQ3" s="428"/>
      <c r="AR3" s="429"/>
      <c r="AS3" s="157"/>
      <c r="AT3" s="437"/>
      <c r="AU3" s="438"/>
      <c r="AV3" s="428"/>
      <c r="AW3" s="429"/>
      <c r="AX3" s="157"/>
      <c r="AY3" s="437"/>
      <c r="AZ3" s="438"/>
      <c r="BA3" s="428"/>
      <c r="BB3" s="429"/>
      <c r="BC3" s="84"/>
      <c r="BD3" s="437"/>
      <c r="BE3" s="438"/>
      <c r="BF3" s="428"/>
      <c r="BG3" s="429"/>
      <c r="BH3" s="84"/>
    </row>
    <row r="4" spans="1:60" ht="15" customHeight="1" x14ac:dyDescent="0.4">
      <c r="A4" s="432" t="s">
        <v>184</v>
      </c>
      <c r="B4" s="433"/>
      <c r="C4" s="433"/>
      <c r="D4" s="434"/>
      <c r="F4" s="432" t="s">
        <v>184</v>
      </c>
      <c r="G4" s="433"/>
      <c r="H4" s="433"/>
      <c r="I4" s="434"/>
      <c r="K4" s="432" t="s">
        <v>184</v>
      </c>
      <c r="L4" s="433"/>
      <c r="M4" s="433"/>
      <c r="N4" s="434"/>
      <c r="P4" s="432" t="s">
        <v>184</v>
      </c>
      <c r="Q4" s="433"/>
      <c r="R4" s="433"/>
      <c r="S4" s="434"/>
      <c r="U4" s="432" t="s">
        <v>184</v>
      </c>
      <c r="V4" s="433"/>
      <c r="W4" s="433"/>
      <c r="X4" s="434"/>
      <c r="Z4" s="432" t="s">
        <v>184</v>
      </c>
      <c r="AA4" s="433"/>
      <c r="AB4" s="433"/>
      <c r="AC4" s="434"/>
      <c r="AE4" s="432" t="s">
        <v>184</v>
      </c>
      <c r="AF4" s="433"/>
      <c r="AG4" s="433"/>
      <c r="AH4" s="434"/>
      <c r="AJ4" s="432" t="s">
        <v>184</v>
      </c>
      <c r="AK4" s="433"/>
      <c r="AL4" s="433"/>
      <c r="AM4" s="434"/>
      <c r="AO4" s="432" t="s">
        <v>184</v>
      </c>
      <c r="AP4" s="433"/>
      <c r="AQ4" s="433"/>
      <c r="AR4" s="434"/>
      <c r="AT4" s="432" t="s">
        <v>184</v>
      </c>
      <c r="AU4" s="433"/>
      <c r="AV4" s="433"/>
      <c r="AW4" s="434"/>
      <c r="AY4" s="432" t="s">
        <v>184</v>
      </c>
      <c r="AZ4" s="433"/>
      <c r="BA4" s="433"/>
      <c r="BB4" s="434"/>
      <c r="BD4" s="432" t="s">
        <v>184</v>
      </c>
      <c r="BE4" s="433"/>
      <c r="BF4" s="433"/>
      <c r="BG4" s="434"/>
    </row>
    <row r="5" spans="1:60" s="97" customFormat="1" ht="18" customHeight="1" x14ac:dyDescent="0.55000000000000004">
      <c r="A5" s="416" t="s">
        <v>45</v>
      </c>
      <c r="B5" s="417"/>
      <c r="C5" s="417"/>
      <c r="D5" s="418"/>
      <c r="F5" s="416" t="s">
        <v>46</v>
      </c>
      <c r="G5" s="417"/>
      <c r="H5" s="417"/>
      <c r="I5" s="418"/>
      <c r="K5" s="416"/>
      <c r="L5" s="417"/>
      <c r="M5" s="417"/>
      <c r="N5" s="418"/>
      <c r="P5" s="416"/>
      <c r="Q5" s="417"/>
      <c r="R5" s="417"/>
      <c r="S5" s="418"/>
      <c r="U5" s="416"/>
      <c r="V5" s="417"/>
      <c r="W5" s="417"/>
      <c r="X5" s="418"/>
      <c r="Z5" s="416"/>
      <c r="AA5" s="417"/>
      <c r="AB5" s="417"/>
      <c r="AC5" s="418"/>
      <c r="AE5" s="416"/>
      <c r="AF5" s="417"/>
      <c r="AG5" s="417"/>
      <c r="AH5" s="418"/>
      <c r="AJ5" s="416"/>
      <c r="AK5" s="417"/>
      <c r="AL5" s="417"/>
      <c r="AM5" s="418"/>
      <c r="AO5" s="416"/>
      <c r="AP5" s="417"/>
      <c r="AQ5" s="417"/>
      <c r="AR5" s="418"/>
      <c r="AS5" s="158"/>
      <c r="AT5" s="416"/>
      <c r="AU5" s="417"/>
      <c r="AV5" s="417"/>
      <c r="AW5" s="418"/>
      <c r="AY5" s="416"/>
      <c r="AZ5" s="417"/>
      <c r="BA5" s="417"/>
      <c r="BB5" s="418"/>
      <c r="BD5" s="416"/>
      <c r="BE5" s="417"/>
      <c r="BF5" s="417"/>
      <c r="BG5" s="418"/>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19" t="s">
        <v>47</v>
      </c>
      <c r="B7" s="420"/>
      <c r="C7" s="246" t="s">
        <v>11</v>
      </c>
      <c r="D7" s="247" t="s">
        <v>48</v>
      </c>
      <c r="E7" s="104" t="s">
        <v>49</v>
      </c>
      <c r="F7" s="419" t="s">
        <v>47</v>
      </c>
      <c r="G7" s="420"/>
      <c r="H7" s="246" t="s">
        <v>11</v>
      </c>
      <c r="I7" s="248" t="s">
        <v>48</v>
      </c>
      <c r="J7" s="104" t="s">
        <v>49</v>
      </c>
      <c r="K7" s="419" t="s">
        <v>47</v>
      </c>
      <c r="L7" s="420"/>
      <c r="M7" s="246" t="s">
        <v>11</v>
      </c>
      <c r="N7" s="248" t="s">
        <v>48</v>
      </c>
      <c r="O7" s="104" t="s">
        <v>49</v>
      </c>
      <c r="P7" s="419" t="s">
        <v>47</v>
      </c>
      <c r="Q7" s="420"/>
      <c r="R7" s="246" t="s">
        <v>11</v>
      </c>
      <c r="S7" s="248" t="s">
        <v>48</v>
      </c>
      <c r="T7" s="104" t="s">
        <v>49</v>
      </c>
      <c r="U7" s="419" t="s">
        <v>47</v>
      </c>
      <c r="V7" s="420"/>
      <c r="W7" s="246" t="s">
        <v>11</v>
      </c>
      <c r="X7" s="248" t="s">
        <v>48</v>
      </c>
      <c r="Y7" s="104" t="s">
        <v>49</v>
      </c>
      <c r="Z7" s="419" t="s">
        <v>47</v>
      </c>
      <c r="AA7" s="420"/>
      <c r="AB7" s="246" t="s">
        <v>11</v>
      </c>
      <c r="AC7" s="248" t="s">
        <v>48</v>
      </c>
      <c r="AD7" s="104" t="s">
        <v>49</v>
      </c>
      <c r="AE7" s="419" t="s">
        <v>47</v>
      </c>
      <c r="AF7" s="420"/>
      <c r="AG7" s="246" t="s">
        <v>11</v>
      </c>
      <c r="AH7" s="248" t="s">
        <v>48</v>
      </c>
      <c r="AI7" s="104" t="s">
        <v>49</v>
      </c>
      <c r="AJ7" s="419" t="s">
        <v>47</v>
      </c>
      <c r="AK7" s="420"/>
      <c r="AL7" s="246" t="s">
        <v>11</v>
      </c>
      <c r="AM7" s="248" t="s">
        <v>48</v>
      </c>
      <c r="AN7" s="104" t="s">
        <v>49</v>
      </c>
      <c r="AO7" s="419" t="s">
        <v>47</v>
      </c>
      <c r="AP7" s="420"/>
      <c r="AQ7" s="246" t="s">
        <v>11</v>
      </c>
      <c r="AR7" s="248" t="s">
        <v>48</v>
      </c>
      <c r="AS7" s="104" t="s">
        <v>49</v>
      </c>
      <c r="AT7" s="419" t="s">
        <v>47</v>
      </c>
      <c r="AU7" s="420"/>
      <c r="AV7" s="246" t="s">
        <v>11</v>
      </c>
      <c r="AW7" s="248" t="s">
        <v>48</v>
      </c>
      <c r="AX7" s="104" t="s">
        <v>49</v>
      </c>
      <c r="AY7" s="419" t="s">
        <v>47</v>
      </c>
      <c r="AZ7" s="420"/>
      <c r="BA7" s="246" t="s">
        <v>11</v>
      </c>
      <c r="BB7" s="248" t="s">
        <v>48</v>
      </c>
      <c r="BC7" s="104" t="s">
        <v>49</v>
      </c>
      <c r="BD7" s="419" t="s">
        <v>47</v>
      </c>
      <c r="BE7" s="420"/>
      <c r="BF7" s="246" t="s">
        <v>11</v>
      </c>
      <c r="BG7" s="248" t="s">
        <v>48</v>
      </c>
      <c r="BH7" s="105" t="s">
        <v>49</v>
      </c>
    </row>
    <row r="8" spans="1:60" ht="20.100000000000001" customHeight="1" x14ac:dyDescent="0.4">
      <c r="A8" s="249">
        <v>0</v>
      </c>
      <c r="B8" s="35" t="str">
        <f>IFERROR(HLOOKUP(A$5,#REF!,SA_GRILLE_STEU!$A8+2,FALSE),"")</f>
        <v/>
      </c>
      <c r="C8" s="154" t="s">
        <v>86</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23" t="s">
        <v>50</v>
      </c>
      <c r="B18" s="424"/>
      <c r="C18" s="251" t="s">
        <v>51</v>
      </c>
      <c r="D18" s="252" t="s">
        <v>52</v>
      </c>
      <c r="E18" s="111"/>
      <c r="F18" s="423" t="s">
        <v>50</v>
      </c>
      <c r="G18" s="424"/>
      <c r="H18" s="251" t="s">
        <v>51</v>
      </c>
      <c r="I18" s="252" t="s">
        <v>52</v>
      </c>
      <c r="J18" s="111"/>
      <c r="K18" s="423" t="s">
        <v>50</v>
      </c>
      <c r="L18" s="424"/>
      <c r="M18" s="251" t="s">
        <v>51</v>
      </c>
      <c r="N18" s="252" t="s">
        <v>52</v>
      </c>
      <c r="O18" s="111"/>
      <c r="P18" s="423" t="s">
        <v>50</v>
      </c>
      <c r="Q18" s="424"/>
      <c r="R18" s="251" t="s">
        <v>51</v>
      </c>
      <c r="S18" s="252" t="s">
        <v>52</v>
      </c>
      <c r="T18" s="111"/>
      <c r="U18" s="423" t="s">
        <v>50</v>
      </c>
      <c r="V18" s="424"/>
      <c r="W18" s="251" t="s">
        <v>51</v>
      </c>
      <c r="X18" s="252" t="s">
        <v>52</v>
      </c>
      <c r="Y18" s="111"/>
      <c r="Z18" s="423" t="s">
        <v>50</v>
      </c>
      <c r="AA18" s="424"/>
      <c r="AB18" s="251" t="s">
        <v>51</v>
      </c>
      <c r="AC18" s="252" t="s">
        <v>52</v>
      </c>
      <c r="AD18" s="111"/>
      <c r="AE18" s="423" t="s">
        <v>50</v>
      </c>
      <c r="AF18" s="424"/>
      <c r="AG18" s="251" t="s">
        <v>51</v>
      </c>
      <c r="AH18" s="252" t="s">
        <v>52</v>
      </c>
      <c r="AI18" s="111"/>
      <c r="AJ18" s="423" t="s">
        <v>50</v>
      </c>
      <c r="AK18" s="424"/>
      <c r="AL18" s="251" t="s">
        <v>51</v>
      </c>
      <c r="AM18" s="252" t="s">
        <v>52</v>
      </c>
      <c r="AN18" s="111"/>
      <c r="AO18" s="423" t="s">
        <v>50</v>
      </c>
      <c r="AP18" s="424"/>
      <c r="AQ18" s="251" t="s">
        <v>51</v>
      </c>
      <c r="AR18" s="252" t="s">
        <v>52</v>
      </c>
      <c r="AS18" s="111"/>
      <c r="AT18" s="423" t="s">
        <v>50</v>
      </c>
      <c r="AU18" s="424"/>
      <c r="AV18" s="251" t="s">
        <v>51</v>
      </c>
      <c r="AW18" s="252" t="s">
        <v>52</v>
      </c>
      <c r="AX18" s="111"/>
      <c r="AY18" s="423" t="s">
        <v>50</v>
      </c>
      <c r="AZ18" s="424"/>
      <c r="BA18" s="251" t="s">
        <v>51</v>
      </c>
      <c r="BB18" s="252" t="s">
        <v>52</v>
      </c>
      <c r="BC18" s="111"/>
      <c r="BD18" s="423" t="s">
        <v>50</v>
      </c>
      <c r="BE18" s="424"/>
      <c r="BF18" s="251" t="s">
        <v>51</v>
      </c>
      <c r="BG18" s="252" t="s">
        <v>52</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25" t="s">
        <v>184</v>
      </c>
      <c r="B21" s="426"/>
      <c r="C21" s="426"/>
      <c r="D21" s="427"/>
      <c r="E21" s="124"/>
      <c r="F21" s="425" t="s">
        <v>184</v>
      </c>
      <c r="G21" s="426"/>
      <c r="H21" s="426"/>
      <c r="I21" s="427"/>
      <c r="J21" s="124"/>
      <c r="K21" s="425" t="s">
        <v>184</v>
      </c>
      <c r="L21" s="426"/>
      <c r="M21" s="426"/>
      <c r="N21" s="427"/>
      <c r="O21" s="124"/>
      <c r="P21" s="425" t="s">
        <v>184</v>
      </c>
      <c r="Q21" s="426"/>
      <c r="R21" s="426"/>
      <c r="S21" s="427"/>
      <c r="T21" s="124"/>
      <c r="U21" s="425" t="s">
        <v>184</v>
      </c>
      <c r="V21" s="426"/>
      <c r="W21" s="426"/>
      <c r="X21" s="427"/>
      <c r="Y21" s="124"/>
      <c r="Z21" s="425" t="s">
        <v>184</v>
      </c>
      <c r="AA21" s="426"/>
      <c r="AB21" s="426"/>
      <c r="AC21" s="427"/>
      <c r="AD21" s="124"/>
      <c r="AE21" s="425" t="s">
        <v>184</v>
      </c>
      <c r="AF21" s="426"/>
      <c r="AG21" s="426"/>
      <c r="AH21" s="427"/>
      <c r="AI21" s="124"/>
      <c r="AJ21" s="425" t="s">
        <v>184</v>
      </c>
      <c r="AK21" s="426"/>
      <c r="AL21" s="426"/>
      <c r="AM21" s="427"/>
      <c r="AN21" s="124"/>
      <c r="AO21" s="425" t="s">
        <v>184</v>
      </c>
      <c r="AP21" s="426"/>
      <c r="AQ21" s="426"/>
      <c r="AR21" s="427"/>
      <c r="AS21" s="124"/>
      <c r="AT21" s="425" t="s">
        <v>184</v>
      </c>
      <c r="AU21" s="426"/>
      <c r="AV21" s="426"/>
      <c r="AW21" s="427"/>
      <c r="AX21" s="124"/>
      <c r="AY21" s="425" t="s">
        <v>184</v>
      </c>
      <c r="AZ21" s="426"/>
      <c r="BA21" s="426"/>
      <c r="BB21" s="427"/>
      <c r="BC21" s="124"/>
      <c r="BD21" s="425" t="s">
        <v>184</v>
      </c>
      <c r="BE21" s="426"/>
      <c r="BF21" s="426"/>
      <c r="BG21" s="427"/>
    </row>
    <row r="22" spans="1:60" s="97" customFormat="1" ht="18" customHeight="1" x14ac:dyDescent="0.55000000000000004">
      <c r="A22" s="416" t="s">
        <v>130</v>
      </c>
      <c r="B22" s="417"/>
      <c r="C22" s="417"/>
      <c r="D22" s="418"/>
      <c r="F22" s="416"/>
      <c r="G22" s="417"/>
      <c r="H22" s="417"/>
      <c r="I22" s="418"/>
      <c r="K22" s="416"/>
      <c r="L22" s="417"/>
      <c r="M22" s="417"/>
      <c r="N22" s="418"/>
      <c r="P22" s="416"/>
      <c r="Q22" s="417"/>
      <c r="R22" s="417"/>
      <c r="S22" s="418"/>
      <c r="U22" s="416"/>
      <c r="V22" s="417"/>
      <c r="W22" s="417"/>
      <c r="X22" s="418"/>
      <c r="Z22" s="416"/>
      <c r="AA22" s="417"/>
      <c r="AB22" s="417"/>
      <c r="AC22" s="418"/>
      <c r="AE22" s="416"/>
      <c r="AF22" s="417"/>
      <c r="AG22" s="417"/>
      <c r="AH22" s="418"/>
      <c r="AJ22" s="416"/>
      <c r="AK22" s="417"/>
      <c r="AL22" s="417"/>
      <c r="AM22" s="418"/>
      <c r="AO22" s="416"/>
      <c r="AP22" s="417"/>
      <c r="AQ22" s="417"/>
      <c r="AR22" s="418"/>
      <c r="AT22" s="416"/>
      <c r="AU22" s="417"/>
      <c r="AV22" s="417"/>
      <c r="AW22" s="418"/>
      <c r="AY22" s="416"/>
      <c r="AZ22" s="417"/>
      <c r="BA22" s="417"/>
      <c r="BB22" s="418"/>
      <c r="BD22" s="416"/>
      <c r="BE22" s="417"/>
      <c r="BF22" s="417"/>
      <c r="BG22" s="418"/>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19" t="s">
        <v>53</v>
      </c>
      <c r="B24" s="420"/>
      <c r="C24" s="126" t="s">
        <v>11</v>
      </c>
      <c r="D24" s="127" t="s">
        <v>48</v>
      </c>
      <c r="E24" s="104" t="s">
        <v>49</v>
      </c>
      <c r="F24" s="419" t="s">
        <v>53</v>
      </c>
      <c r="G24" s="420"/>
      <c r="H24" s="126" t="s">
        <v>11</v>
      </c>
      <c r="I24" s="127" t="s">
        <v>48</v>
      </c>
      <c r="J24" s="104" t="s">
        <v>49</v>
      </c>
      <c r="K24" s="421" t="s">
        <v>53</v>
      </c>
      <c r="L24" s="422"/>
      <c r="M24" s="126" t="s">
        <v>11</v>
      </c>
      <c r="N24" s="127" t="s">
        <v>48</v>
      </c>
      <c r="O24" s="104" t="s">
        <v>49</v>
      </c>
      <c r="P24" s="421" t="s">
        <v>53</v>
      </c>
      <c r="Q24" s="422"/>
      <c r="R24" s="126" t="s">
        <v>11</v>
      </c>
      <c r="S24" s="127" t="s">
        <v>48</v>
      </c>
      <c r="T24" s="104" t="s">
        <v>49</v>
      </c>
      <c r="U24" s="421" t="s">
        <v>53</v>
      </c>
      <c r="V24" s="422"/>
      <c r="W24" s="128" t="s">
        <v>11</v>
      </c>
      <c r="X24" s="129" t="s">
        <v>48</v>
      </c>
      <c r="Y24" s="104" t="s">
        <v>49</v>
      </c>
      <c r="Z24" s="419" t="s">
        <v>53</v>
      </c>
      <c r="AA24" s="420"/>
      <c r="AB24" s="126" t="s">
        <v>11</v>
      </c>
      <c r="AC24" s="127" t="s">
        <v>48</v>
      </c>
      <c r="AD24" s="104" t="s">
        <v>49</v>
      </c>
      <c r="AE24" s="419" t="s">
        <v>53</v>
      </c>
      <c r="AF24" s="420"/>
      <c r="AG24" s="126" t="s">
        <v>11</v>
      </c>
      <c r="AH24" s="127" t="s">
        <v>48</v>
      </c>
      <c r="AI24" s="104" t="s">
        <v>49</v>
      </c>
      <c r="AJ24" s="419" t="s">
        <v>53</v>
      </c>
      <c r="AK24" s="420"/>
      <c r="AL24" s="126" t="s">
        <v>11</v>
      </c>
      <c r="AM24" s="127" t="s">
        <v>48</v>
      </c>
      <c r="AN24" s="104" t="s">
        <v>49</v>
      </c>
      <c r="AO24" s="419" t="s">
        <v>53</v>
      </c>
      <c r="AP24" s="420"/>
      <c r="AQ24" s="126" t="s">
        <v>11</v>
      </c>
      <c r="AR24" s="127" t="s">
        <v>48</v>
      </c>
      <c r="AS24" s="104" t="s">
        <v>49</v>
      </c>
      <c r="AT24" s="419" t="s">
        <v>53</v>
      </c>
      <c r="AU24" s="420"/>
      <c r="AV24" s="126" t="s">
        <v>11</v>
      </c>
      <c r="AW24" s="127" t="s">
        <v>48</v>
      </c>
      <c r="AX24" s="104" t="s">
        <v>49</v>
      </c>
      <c r="AY24" s="419" t="s">
        <v>53</v>
      </c>
      <c r="AZ24" s="420"/>
      <c r="BA24" s="126" t="s">
        <v>11</v>
      </c>
      <c r="BB24" s="127" t="s">
        <v>48</v>
      </c>
      <c r="BC24" s="104" t="s">
        <v>49</v>
      </c>
      <c r="BD24" s="419" t="s">
        <v>53</v>
      </c>
      <c r="BE24" s="420"/>
      <c r="BF24" s="126" t="s">
        <v>11</v>
      </c>
      <c r="BG24" s="127" t="s">
        <v>48</v>
      </c>
      <c r="BH24" s="105" t="s">
        <v>49</v>
      </c>
    </row>
    <row r="25" spans="1:60" s="135" customFormat="1" ht="20.100000000000001" customHeight="1" x14ac:dyDescent="0.4">
      <c r="A25" s="257">
        <v>0</v>
      </c>
      <c r="B25" s="38" t="str">
        <f>IFERROR(HLOOKUP(A$22,#REF!,SA_GRILLE_STEU!$A25+2,FALSE),"")</f>
        <v/>
      </c>
      <c r="C25" s="148" t="s">
        <v>86</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156</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14" t="s">
        <v>50</v>
      </c>
      <c r="B36" s="415"/>
      <c r="C36" s="126" t="s">
        <v>51</v>
      </c>
      <c r="D36" s="127" t="s">
        <v>52</v>
      </c>
      <c r="E36" s="141"/>
      <c r="F36" s="414" t="s">
        <v>50</v>
      </c>
      <c r="G36" s="415"/>
      <c r="H36" s="126" t="s">
        <v>51</v>
      </c>
      <c r="I36" s="127" t="s">
        <v>52</v>
      </c>
      <c r="J36" s="141"/>
      <c r="K36" s="414" t="s">
        <v>50</v>
      </c>
      <c r="L36" s="415"/>
      <c r="M36" s="126" t="s">
        <v>51</v>
      </c>
      <c r="N36" s="127" t="s">
        <v>52</v>
      </c>
      <c r="O36" s="141"/>
      <c r="P36" s="414" t="s">
        <v>50</v>
      </c>
      <c r="Q36" s="415"/>
      <c r="R36" s="126" t="s">
        <v>51</v>
      </c>
      <c r="S36" s="127" t="s">
        <v>52</v>
      </c>
      <c r="T36" s="106"/>
      <c r="U36" s="414" t="s">
        <v>50</v>
      </c>
      <c r="V36" s="415"/>
      <c r="W36" s="126" t="s">
        <v>51</v>
      </c>
      <c r="X36" s="127" t="s">
        <v>52</v>
      </c>
      <c r="Y36" s="106"/>
      <c r="Z36" s="414" t="s">
        <v>50</v>
      </c>
      <c r="AA36" s="415"/>
      <c r="AB36" s="126" t="s">
        <v>51</v>
      </c>
      <c r="AC36" s="127" t="s">
        <v>52</v>
      </c>
      <c r="AD36" s="106"/>
      <c r="AE36" s="414" t="s">
        <v>50</v>
      </c>
      <c r="AF36" s="415"/>
      <c r="AG36" s="126" t="s">
        <v>51</v>
      </c>
      <c r="AH36" s="127" t="s">
        <v>52</v>
      </c>
      <c r="AI36" s="106"/>
      <c r="AJ36" s="414" t="s">
        <v>50</v>
      </c>
      <c r="AK36" s="415"/>
      <c r="AL36" s="126" t="s">
        <v>51</v>
      </c>
      <c r="AM36" s="127" t="s">
        <v>52</v>
      </c>
      <c r="AN36" s="106"/>
      <c r="AO36" s="414" t="s">
        <v>50</v>
      </c>
      <c r="AP36" s="415"/>
      <c r="AQ36" s="126" t="s">
        <v>51</v>
      </c>
      <c r="AR36" s="127" t="s">
        <v>52</v>
      </c>
      <c r="AS36" s="106"/>
      <c r="AT36" s="414" t="s">
        <v>50</v>
      </c>
      <c r="AU36" s="415"/>
      <c r="AV36" s="126" t="s">
        <v>51</v>
      </c>
      <c r="AW36" s="127" t="s">
        <v>52</v>
      </c>
      <c r="AX36" s="106"/>
      <c r="AY36" s="414" t="s">
        <v>50</v>
      </c>
      <c r="AZ36" s="415"/>
      <c r="BA36" s="126" t="s">
        <v>51</v>
      </c>
      <c r="BB36" s="127" t="s">
        <v>52</v>
      </c>
      <c r="BC36" s="106"/>
      <c r="BD36" s="414" t="s">
        <v>50</v>
      </c>
      <c r="BE36" s="415"/>
      <c r="BF36" s="126" t="s">
        <v>51</v>
      </c>
      <c r="BG36" s="127" t="s">
        <v>52</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 ref="AT1:AW1"/>
    <mergeCell ref="AY1:BB1"/>
    <mergeCell ref="BD1:BG1"/>
    <mergeCell ref="AY2:AZ2"/>
    <mergeCell ref="AT2:AU2"/>
    <mergeCell ref="BD2:BE2"/>
    <mergeCell ref="F2:G2"/>
    <mergeCell ref="U2:V2"/>
    <mergeCell ref="AJ2:AK2"/>
    <mergeCell ref="Z2:AA2"/>
    <mergeCell ref="AO2:AP2"/>
    <mergeCell ref="AB2:AC2"/>
    <mergeCell ref="A1:D1"/>
    <mergeCell ref="F1:I1"/>
    <mergeCell ref="K1:N1"/>
    <mergeCell ref="P1:S1"/>
    <mergeCell ref="U1:X1"/>
    <mergeCell ref="Z1:AC1"/>
    <mergeCell ref="AE1:AH1"/>
    <mergeCell ref="AJ1:AM1"/>
    <mergeCell ref="AO1:AR1"/>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M3:N3"/>
    <mergeCell ref="R3:S3"/>
    <mergeCell ref="W3:X3"/>
    <mergeCell ref="AB3:AC3"/>
    <mergeCell ref="AG3:AH3"/>
    <mergeCell ref="AL3:AM3"/>
    <mergeCell ref="AG2:AH2"/>
    <mergeCell ref="AL2:AM2"/>
    <mergeCell ref="H2:I2"/>
    <mergeCell ref="M2:N2"/>
    <mergeCell ref="R2:S2"/>
    <mergeCell ref="W2:X2"/>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36:AU36"/>
    <mergeCell ref="AY36:AZ36"/>
    <mergeCell ref="BD36:BE36"/>
    <mergeCell ref="U36:V36"/>
    <mergeCell ref="Z36:AA36"/>
    <mergeCell ref="AE36:AF36"/>
    <mergeCell ref="AJ36:AK36"/>
    <mergeCell ref="AO36:AP36"/>
    <mergeCell ref="A36:B36"/>
    <mergeCell ref="F36:G36"/>
    <mergeCell ref="K36:L36"/>
    <mergeCell ref="P36:Q36"/>
  </mergeCells>
  <conditionalFormatting sqref="C9:C17">
    <cfRule type="containsText" dxfId="773" priority="163" operator="containsText" text="Non validé">
      <formula>NOT(ISERROR(SEARCH("Non validé",C9)))</formula>
    </cfRule>
    <cfRule type="endsWith" dxfId="772" priority="165" operator="endsWith" text="Validé">
      <formula>RIGHT(C9,LEN("Validé"))="Validé"</formula>
    </cfRule>
    <cfRule type="containsText" dxfId="771" priority="164" operator="containsText" text="réserve">
      <formula>NOT(ISERROR(SEARCH("réserve",C9)))</formula>
    </cfRule>
    <cfRule type="containsText" dxfId="770" priority="162" operator="containsText" text="Non contrôlé">
      <formula>NOT(ISERROR(SEARCH("Non contrôlé",C9)))</formula>
    </cfRule>
  </conditionalFormatting>
  <conditionalFormatting sqref="C19:C20">
    <cfRule type="containsText" dxfId="769" priority="160" operator="containsText" text="réserve">
      <formula>NOT(ISERROR(SEARCH("réserve",C19)))</formula>
    </cfRule>
    <cfRule type="containsText" dxfId="768" priority="159" operator="containsText" text="Non validé">
      <formula>NOT(ISERROR(SEARCH("Non validé",C19)))</formula>
    </cfRule>
    <cfRule type="containsText" dxfId="767" priority="158" operator="containsText" text="Non contrôlé">
      <formula>NOT(ISERROR(SEARCH("Non contrôlé",C19)))</formula>
    </cfRule>
    <cfRule type="endsWith" dxfId="766" priority="161" operator="endsWith" text="Validé">
      <formula>RIGHT(C19,LEN("Validé"))="Validé"</formula>
    </cfRule>
  </conditionalFormatting>
  <conditionalFormatting sqref="C26:C35">
    <cfRule type="containsText" dxfId="765" priority="184" operator="containsText" text="réserve">
      <formula>NOT(ISERROR(SEARCH("réserve",C26)))</formula>
    </cfRule>
    <cfRule type="endsWith" dxfId="764" priority="185" operator="endsWith" text="Validé">
      <formula>RIGHT(C26,LEN("Validé"))="Validé"</formula>
    </cfRule>
    <cfRule type="containsText" dxfId="763" priority="182" operator="containsText" text="Non contrôlé">
      <formula>NOT(ISERROR(SEARCH("Non contrôlé",C26)))</formula>
    </cfRule>
    <cfRule type="containsText" dxfId="762" priority="183" operator="containsText" text="Non validé">
      <formula>NOT(ISERROR(SEARCH("Non validé",C26)))</formula>
    </cfRule>
  </conditionalFormatting>
  <conditionalFormatting sqref="C37">
    <cfRule type="endsWith" dxfId="761" priority="181" operator="endsWith" text="Validé">
      <formula>RIGHT(C37,LEN("Validé"))="Validé"</formula>
    </cfRule>
    <cfRule type="containsText" dxfId="760" priority="180" operator="containsText" text="réserve">
      <formula>NOT(ISERROR(SEARCH("réserve",C37)))</formula>
    </cfRule>
    <cfRule type="containsText" dxfId="759" priority="179" operator="containsText" text="Non validé">
      <formula>NOT(ISERROR(SEARCH("Non validé",C37)))</formula>
    </cfRule>
    <cfRule type="containsText" dxfId="758" priority="178" operator="containsText" text="Non contrôlé">
      <formula>NOT(ISERROR(SEARCH("Non contrôlé",C37)))</formula>
    </cfRule>
  </conditionalFormatting>
  <conditionalFormatting sqref="D19">
    <cfRule type="cellIs" dxfId="757" priority="91" operator="greaterThanOrEqual">
      <formula>80</formula>
    </cfRule>
    <cfRule type="cellIs" dxfId="756" priority="92" operator="between">
      <formula>70</formula>
      <formula>79</formula>
    </cfRule>
    <cfRule type="cellIs" dxfId="755" priority="93" operator="lessThan">
      <formula>69</formula>
    </cfRule>
  </conditionalFormatting>
  <conditionalFormatting sqref="D37">
    <cfRule type="cellIs" dxfId="754" priority="2" operator="between">
      <formula>70</formula>
      <formula>79</formula>
    </cfRule>
    <cfRule type="cellIs" dxfId="753" priority="3" operator="lessThan">
      <formula>69</formula>
    </cfRule>
    <cfRule type="cellIs" dxfId="752" priority="1" operator="greaterThanOrEqual">
      <formula>80</formula>
    </cfRule>
  </conditionalFormatting>
  <conditionalFormatting sqref="H9:H17">
    <cfRule type="endsWith" dxfId="751" priority="325" operator="endsWith" text="Validé">
      <formula>RIGHT(H9,LEN("Validé"))="Validé"</formula>
    </cfRule>
    <cfRule type="containsText" dxfId="750" priority="324" operator="containsText" text="réserve">
      <formula>NOT(ISERROR(SEARCH("réserve",H9)))</formula>
    </cfRule>
    <cfRule type="containsText" dxfId="749" priority="323" operator="containsText" text="Non validé">
      <formula>NOT(ISERROR(SEARCH("Non validé",H9)))</formula>
    </cfRule>
    <cfRule type="containsText" dxfId="748" priority="322" operator="containsText" text="Non contrôlé">
      <formula>NOT(ISERROR(SEARCH("Non contrôlé",H9)))</formula>
    </cfRule>
  </conditionalFormatting>
  <conditionalFormatting sqref="H19:H20">
    <cfRule type="containsText" dxfId="747" priority="319" operator="containsText" text="Non validé">
      <formula>NOT(ISERROR(SEARCH("Non validé",H19)))</formula>
    </cfRule>
    <cfRule type="endsWith" dxfId="746" priority="321" operator="endsWith" text="Validé">
      <formula>RIGHT(H19,LEN("Validé"))="Validé"</formula>
    </cfRule>
    <cfRule type="containsText" dxfId="745" priority="320" operator="containsText" text="réserve">
      <formula>NOT(ISERROR(SEARCH("réserve",H19)))</formula>
    </cfRule>
    <cfRule type="containsText" dxfId="744" priority="318" operator="containsText" text="Non contrôlé">
      <formula>NOT(ISERROR(SEARCH("Non contrôlé",H19)))</formula>
    </cfRule>
  </conditionalFormatting>
  <conditionalFormatting sqref="H26:H35">
    <cfRule type="endsWith" dxfId="743" priority="157" operator="endsWith" text="Validé">
      <formula>RIGHT(H26,LEN("Validé"))="Validé"</formula>
    </cfRule>
    <cfRule type="containsText" dxfId="742" priority="156" operator="containsText" text="réserve">
      <formula>NOT(ISERROR(SEARCH("réserve",H26)))</formula>
    </cfRule>
    <cfRule type="containsText" dxfId="741" priority="155" operator="containsText" text="Non validé">
      <formula>NOT(ISERROR(SEARCH("Non validé",H26)))</formula>
    </cfRule>
    <cfRule type="containsText" dxfId="740" priority="154" operator="containsText" text="Non contrôlé">
      <formula>NOT(ISERROR(SEARCH("Non contrôlé",H26)))</formula>
    </cfRule>
  </conditionalFormatting>
  <conditionalFormatting sqref="H37">
    <cfRule type="containsText" dxfId="739" priority="190" operator="containsText" text="Non contrôlé">
      <formula>NOT(ISERROR(SEARCH("Non contrôlé",H37)))</formula>
    </cfRule>
    <cfRule type="containsText" dxfId="738" priority="191" operator="containsText" text="Non validé">
      <formula>NOT(ISERROR(SEARCH("Non validé",H37)))</formula>
    </cfRule>
    <cfRule type="containsText" dxfId="737" priority="192" operator="containsText" text="réserve">
      <formula>NOT(ISERROR(SEARCH("réserve",H37)))</formula>
    </cfRule>
    <cfRule type="endsWith" dxfId="736" priority="193" operator="endsWith" text="Validé">
      <formula>RIGHT(H37,LEN("Validé"))="Validé"</formula>
    </cfRule>
  </conditionalFormatting>
  <conditionalFormatting sqref="I19">
    <cfRule type="cellIs" dxfId="735" priority="88" operator="greaterThanOrEqual">
      <formula>80</formula>
    </cfRule>
    <cfRule type="cellIs" dxfId="734" priority="89" operator="between">
      <formula>70</formula>
      <formula>79</formula>
    </cfRule>
    <cfRule type="cellIs" dxfId="733" priority="90" operator="lessThan">
      <formula>69</formula>
    </cfRule>
  </conditionalFormatting>
  <conditionalFormatting sqref="I37">
    <cfRule type="cellIs" dxfId="732" priority="5" operator="between">
      <formula>70</formula>
      <formula>79</formula>
    </cfRule>
    <cfRule type="cellIs" dxfId="731" priority="6" operator="lessThan">
      <formula>69</formula>
    </cfRule>
    <cfRule type="cellIs" dxfId="730" priority="4" operator="greaterThanOrEqual">
      <formula>80</formula>
    </cfRule>
  </conditionalFormatting>
  <conditionalFormatting sqref="M9:M17">
    <cfRule type="containsText" dxfId="729" priority="332" operator="containsText" text="réserve">
      <formula>NOT(ISERROR(SEARCH("réserve",M9)))</formula>
    </cfRule>
    <cfRule type="containsText" dxfId="728" priority="331" operator="containsText" text="Non validé">
      <formula>NOT(ISERROR(SEARCH("Non validé",M9)))</formula>
    </cfRule>
    <cfRule type="endsWith" dxfId="727" priority="333" operator="endsWith" text="Validé">
      <formula>RIGHT(M9,LEN("Validé"))="Validé"</formula>
    </cfRule>
    <cfRule type="containsText" dxfId="726" priority="330" operator="containsText" text="Non contrôlé">
      <formula>NOT(ISERROR(SEARCH("Non contrôlé",M9)))</formula>
    </cfRule>
  </conditionalFormatting>
  <conditionalFormatting sqref="M19:M20">
    <cfRule type="containsText" dxfId="725" priority="328" operator="containsText" text="réserve">
      <formula>NOT(ISERROR(SEARCH("réserve",M19)))</formula>
    </cfRule>
    <cfRule type="containsText" dxfId="724" priority="327" operator="containsText" text="Non validé">
      <formula>NOT(ISERROR(SEARCH("Non validé",M19)))</formula>
    </cfRule>
    <cfRule type="containsText" dxfId="723" priority="326" operator="containsText" text="Non contrôlé">
      <formula>NOT(ISERROR(SEARCH("Non contrôlé",M19)))</formula>
    </cfRule>
    <cfRule type="endsWith" dxfId="722" priority="329" operator="endsWith" text="Validé">
      <formula>RIGHT(M19,LEN("Validé"))="Validé"</formula>
    </cfRule>
  </conditionalFormatting>
  <conditionalFormatting sqref="M26:M34">
    <cfRule type="containsText" dxfId="721" priority="207" operator="containsText" text="Non validé">
      <formula>NOT(ISERROR(SEARCH("Non validé",M26)))</formula>
    </cfRule>
    <cfRule type="containsText" dxfId="720" priority="206" operator="containsText" text="Non contrôlé">
      <formula>NOT(ISERROR(SEARCH("Non contrôlé",M26)))</formula>
    </cfRule>
    <cfRule type="endsWith" dxfId="719" priority="209" operator="endsWith" text="Validé">
      <formula>RIGHT(M26,LEN("Validé"))="Validé"</formula>
    </cfRule>
    <cfRule type="containsText" dxfId="718" priority="208" operator="containsText" text="réserve">
      <formula>NOT(ISERROR(SEARCH("réserve",M26)))</formula>
    </cfRule>
  </conditionalFormatting>
  <conditionalFormatting sqref="M35">
    <cfRule type="endsWith" dxfId="717" priority="213" operator="endsWith" text="Validé">
      <formula>RIGHT(M35,LEN("Validé"))="Validé"</formula>
    </cfRule>
    <cfRule type="containsText" dxfId="716" priority="210" operator="containsText" text="Non contrôlé">
      <formula>NOT(ISERROR(SEARCH("Non contrôlé",M35)))</formula>
    </cfRule>
    <cfRule type="containsText" dxfId="715" priority="211" operator="containsText" text="Non validé">
      <formula>NOT(ISERROR(SEARCH("Non validé",M35)))</formula>
    </cfRule>
    <cfRule type="containsText" dxfId="714" priority="212" operator="containsText" text="réserve">
      <formula>NOT(ISERROR(SEARCH("réserve",M35)))</formula>
    </cfRule>
  </conditionalFormatting>
  <conditionalFormatting sqref="M37">
    <cfRule type="endsWith" dxfId="713" priority="205" operator="endsWith" text="Validé">
      <formula>RIGHT(M37,LEN("Validé"))="Validé"</formula>
    </cfRule>
    <cfRule type="containsText" dxfId="712" priority="204" operator="containsText" text="réserve">
      <formula>NOT(ISERROR(SEARCH("réserve",M37)))</formula>
    </cfRule>
    <cfRule type="containsText" dxfId="711" priority="203" operator="containsText" text="Non validé">
      <formula>NOT(ISERROR(SEARCH("Non validé",M37)))</formula>
    </cfRule>
    <cfRule type="containsText" dxfId="710" priority="202" operator="containsText" text="Non contrôlé">
      <formula>NOT(ISERROR(SEARCH("Non contrôlé",M37)))</formula>
    </cfRule>
  </conditionalFormatting>
  <conditionalFormatting sqref="N19">
    <cfRule type="cellIs" dxfId="709" priority="86" operator="between">
      <formula>70</formula>
      <formula>79</formula>
    </cfRule>
    <cfRule type="cellIs" dxfId="708" priority="87" operator="lessThan">
      <formula>69</formula>
    </cfRule>
    <cfRule type="cellIs" dxfId="707" priority="85" operator="greaterThanOrEqual">
      <formula>80</formula>
    </cfRule>
  </conditionalFormatting>
  <conditionalFormatting sqref="N37">
    <cfRule type="cellIs" dxfId="706" priority="9" operator="lessThan">
      <formula>69</formula>
    </cfRule>
    <cfRule type="cellIs" dxfId="705" priority="8" operator="between">
      <formula>70</formula>
      <formula>79</formula>
    </cfRule>
    <cfRule type="cellIs" dxfId="704" priority="7" operator="greaterThanOrEqual">
      <formula>80</formula>
    </cfRule>
  </conditionalFormatting>
  <conditionalFormatting sqref="R9:R17">
    <cfRule type="containsText" dxfId="703" priority="338" operator="containsText" text="Non contrôlé">
      <formula>NOT(ISERROR(SEARCH("Non contrôlé",R9)))</formula>
    </cfRule>
    <cfRule type="containsText" dxfId="702" priority="339" operator="containsText" text="Non validé">
      <formula>NOT(ISERROR(SEARCH("Non validé",R9)))</formula>
    </cfRule>
    <cfRule type="containsText" dxfId="701" priority="340" operator="containsText" text="réserve">
      <formula>NOT(ISERROR(SEARCH("réserve",R9)))</formula>
    </cfRule>
    <cfRule type="endsWith" dxfId="700" priority="341" operator="endsWith" text="Validé">
      <formula>RIGHT(R9,LEN("Validé"))="Validé"</formula>
    </cfRule>
  </conditionalFormatting>
  <conditionalFormatting sqref="R19">
    <cfRule type="endsWith" dxfId="699" priority="337" operator="endsWith" text="Validé">
      <formula>RIGHT(R19,LEN("Validé"))="Validé"</formula>
    </cfRule>
    <cfRule type="containsText" dxfId="698" priority="336" operator="containsText" text="réserve">
      <formula>NOT(ISERROR(SEARCH("réserve",R19)))</formula>
    </cfRule>
    <cfRule type="containsText" dxfId="697" priority="335" operator="containsText" text="Non validé">
      <formula>NOT(ISERROR(SEARCH("Non validé",R19)))</formula>
    </cfRule>
    <cfRule type="containsText" dxfId="696" priority="334" operator="containsText" text="Non contrôlé">
      <formula>NOT(ISERROR(SEARCH("Non contrôlé",R19)))</formula>
    </cfRule>
  </conditionalFormatting>
  <conditionalFormatting sqref="R26:R34">
    <cfRule type="containsText" dxfId="695" priority="218" operator="containsText" text="Non contrôlé">
      <formula>NOT(ISERROR(SEARCH("Non contrôlé",R26)))</formula>
    </cfRule>
    <cfRule type="containsText" dxfId="694" priority="219" operator="containsText" text="Non validé">
      <formula>NOT(ISERROR(SEARCH("Non validé",R26)))</formula>
    </cfRule>
    <cfRule type="endsWith" dxfId="693" priority="221" operator="endsWith" text="Validé">
      <formula>RIGHT(R26,LEN("Validé"))="Validé"</formula>
    </cfRule>
    <cfRule type="containsText" dxfId="692" priority="220" operator="containsText" text="réserve">
      <formula>NOT(ISERROR(SEARCH("réserve",R26)))</formula>
    </cfRule>
  </conditionalFormatting>
  <conditionalFormatting sqref="R35">
    <cfRule type="containsText" dxfId="691" priority="222" operator="containsText" text="Non contrôlé">
      <formula>NOT(ISERROR(SEARCH("Non contrôlé",R35)))</formula>
    </cfRule>
    <cfRule type="containsText" dxfId="690" priority="224" operator="containsText" text="réserve">
      <formula>NOT(ISERROR(SEARCH("réserve",R35)))</formula>
    </cfRule>
    <cfRule type="endsWith" dxfId="689" priority="225" operator="endsWith" text="Validé">
      <formula>RIGHT(R35,LEN("Validé"))="Validé"</formula>
    </cfRule>
    <cfRule type="containsText" dxfId="688" priority="223" operator="containsText" text="Non validé">
      <formula>NOT(ISERROR(SEARCH("Non validé",R35)))</formula>
    </cfRule>
  </conditionalFormatting>
  <conditionalFormatting sqref="R37">
    <cfRule type="endsWith" dxfId="687" priority="217" operator="endsWith" text="Validé">
      <formula>RIGHT(R37,LEN("Validé"))="Validé"</formula>
    </cfRule>
    <cfRule type="containsText" dxfId="686" priority="214" operator="containsText" text="Non contrôlé">
      <formula>NOT(ISERROR(SEARCH("Non contrôlé",R37)))</formula>
    </cfRule>
    <cfRule type="containsText" dxfId="685" priority="216" operator="containsText" text="réserve">
      <formula>NOT(ISERROR(SEARCH("réserve",R37)))</formula>
    </cfRule>
    <cfRule type="containsText" dxfId="684" priority="215" operator="containsText" text="Non validé">
      <formula>NOT(ISERROR(SEARCH("Non validé",R37)))</formula>
    </cfRule>
  </conditionalFormatting>
  <conditionalFormatting sqref="S19">
    <cfRule type="cellIs" dxfId="683" priority="84" operator="lessThan">
      <formula>69</formula>
    </cfRule>
    <cfRule type="cellIs" dxfId="682" priority="83" operator="between">
      <formula>70</formula>
      <formula>79</formula>
    </cfRule>
    <cfRule type="cellIs" dxfId="681" priority="82" operator="greaterThanOrEqual">
      <formula>80</formula>
    </cfRule>
  </conditionalFormatting>
  <conditionalFormatting sqref="S37">
    <cfRule type="cellIs" dxfId="680" priority="11" operator="between">
      <formula>70</formula>
      <formula>79</formula>
    </cfRule>
    <cfRule type="cellIs" dxfId="679" priority="12" operator="lessThan">
      <formula>69</formula>
    </cfRule>
    <cfRule type="cellIs" dxfId="678" priority="10" operator="greaterThanOrEqual">
      <formula>80</formula>
    </cfRule>
  </conditionalFormatting>
  <conditionalFormatting sqref="W9:W17">
    <cfRule type="endsWith" dxfId="677" priority="173" operator="endsWith" text="Validé">
      <formula>RIGHT(W9,LEN("Validé"))="Validé"</formula>
    </cfRule>
    <cfRule type="containsText" dxfId="676" priority="172" operator="containsText" text="réserve">
      <formula>NOT(ISERROR(SEARCH("réserve",W9)))</formula>
    </cfRule>
    <cfRule type="containsText" dxfId="675" priority="171" operator="containsText" text="Non validé">
      <formula>NOT(ISERROR(SEARCH("Non validé",W9)))</formula>
    </cfRule>
    <cfRule type="containsText" dxfId="674" priority="170" operator="containsText" text="Non contrôlé">
      <formula>NOT(ISERROR(SEARCH("Non contrôlé",W9)))</formula>
    </cfRule>
  </conditionalFormatting>
  <conditionalFormatting sqref="W19">
    <cfRule type="endsWith" dxfId="673" priority="345" operator="endsWith" text="Validé">
      <formula>RIGHT(W19,LEN("Validé"))="Validé"</formula>
    </cfRule>
    <cfRule type="containsText" dxfId="672" priority="344" operator="containsText" text="réserve">
      <formula>NOT(ISERROR(SEARCH("réserve",W19)))</formula>
    </cfRule>
    <cfRule type="containsText" dxfId="671" priority="343" operator="containsText" text="Non validé">
      <formula>NOT(ISERROR(SEARCH("Non validé",W19)))</formula>
    </cfRule>
    <cfRule type="containsText" dxfId="670" priority="342" operator="containsText" text="Non contrôlé">
      <formula>NOT(ISERROR(SEARCH("Non contrôlé",W19)))</formula>
    </cfRule>
  </conditionalFormatting>
  <conditionalFormatting sqref="W26:W34">
    <cfRule type="endsWith" dxfId="669" priority="233" operator="endsWith" text="Validé">
      <formula>RIGHT(W26,LEN("Validé"))="Validé"</formula>
    </cfRule>
    <cfRule type="containsText" dxfId="668" priority="231" operator="containsText" text="Non validé">
      <formula>NOT(ISERROR(SEARCH("Non validé",W26)))</formula>
    </cfRule>
    <cfRule type="containsText" dxfId="667" priority="232" operator="containsText" text="réserve">
      <formula>NOT(ISERROR(SEARCH("réserve",W26)))</formula>
    </cfRule>
    <cfRule type="containsText" dxfId="666" priority="230" operator="containsText" text="Non contrôlé">
      <formula>NOT(ISERROR(SEARCH("Non contrôlé",W26)))</formula>
    </cfRule>
  </conditionalFormatting>
  <conditionalFormatting sqref="W35">
    <cfRule type="endsWith" dxfId="665" priority="237" operator="endsWith" text="Validé">
      <formula>RIGHT(W35,LEN("Validé"))="Validé"</formula>
    </cfRule>
    <cfRule type="containsText" dxfId="664" priority="234" operator="containsText" text="Non contrôlé">
      <formula>NOT(ISERROR(SEARCH("Non contrôlé",W35)))</formula>
    </cfRule>
    <cfRule type="containsText" dxfId="663" priority="235" operator="containsText" text="Non validé">
      <formula>NOT(ISERROR(SEARCH("Non validé",W35)))</formula>
    </cfRule>
    <cfRule type="containsText" dxfId="662" priority="236" operator="containsText" text="réserve">
      <formula>NOT(ISERROR(SEARCH("réserve",W35)))</formula>
    </cfRule>
  </conditionalFormatting>
  <conditionalFormatting sqref="W37">
    <cfRule type="containsText" dxfId="661" priority="227" operator="containsText" text="Non validé">
      <formula>NOT(ISERROR(SEARCH("Non validé",W37)))</formula>
    </cfRule>
    <cfRule type="containsText" dxfId="660" priority="228" operator="containsText" text="réserve">
      <formula>NOT(ISERROR(SEARCH("réserve",W37)))</formula>
    </cfRule>
    <cfRule type="endsWith" dxfId="659" priority="229" operator="endsWith" text="Validé">
      <formula>RIGHT(W37,LEN("Validé"))="Validé"</formula>
    </cfRule>
    <cfRule type="containsText" dxfId="658" priority="226" operator="containsText" text="Non contrôlé">
      <formula>NOT(ISERROR(SEARCH("Non contrôlé",W37)))</formula>
    </cfRule>
  </conditionalFormatting>
  <conditionalFormatting sqref="X19">
    <cfRule type="cellIs" dxfId="657" priority="81" operator="lessThan">
      <formula>69</formula>
    </cfRule>
    <cfRule type="cellIs" dxfId="656" priority="80" operator="between">
      <formula>70</formula>
      <formula>79</formula>
    </cfRule>
    <cfRule type="cellIs" dxfId="655" priority="79" operator="greaterThanOrEqual">
      <formula>80</formula>
    </cfRule>
  </conditionalFormatting>
  <conditionalFormatting sqref="X37">
    <cfRule type="cellIs" dxfId="654" priority="15" operator="lessThan">
      <formula>69</formula>
    </cfRule>
    <cfRule type="cellIs" dxfId="653" priority="14" operator="between">
      <formula>70</formula>
      <formula>79</formula>
    </cfRule>
    <cfRule type="cellIs" dxfId="652" priority="13" operator="greaterThanOrEqual">
      <formula>80</formula>
    </cfRule>
  </conditionalFormatting>
  <conditionalFormatting sqref="AB9:AB17">
    <cfRule type="containsText" dxfId="651" priority="355" operator="containsText" text="Non validé">
      <formula>NOT(ISERROR(SEARCH("Non validé",AB9)))</formula>
    </cfRule>
    <cfRule type="containsText" dxfId="650" priority="354" operator="containsText" text="Non contrôlé">
      <formula>NOT(ISERROR(SEARCH("Non contrôlé",AB9)))</formula>
    </cfRule>
    <cfRule type="containsText" dxfId="649" priority="356" operator="containsText" text="réserve">
      <formula>NOT(ISERROR(SEARCH("réserve",AB9)))</formula>
    </cfRule>
    <cfRule type="endsWith" dxfId="648" priority="357" operator="endsWith" text="Validé">
      <formula>RIGHT(AB9,LEN("Validé"))="Validé"</formula>
    </cfRule>
  </conditionalFormatting>
  <conditionalFormatting sqref="AB19">
    <cfRule type="containsText" dxfId="647" priority="351" operator="containsText" text="Non validé">
      <formula>NOT(ISERROR(SEARCH("Non validé",AB19)))</formula>
    </cfRule>
    <cfRule type="containsText" dxfId="646" priority="352" operator="containsText" text="réserve">
      <formula>NOT(ISERROR(SEARCH("réserve",AB19)))</formula>
    </cfRule>
    <cfRule type="endsWith" dxfId="645" priority="353" operator="endsWith" text="Validé">
      <formula>RIGHT(AB19,LEN("Validé"))="Validé"</formula>
    </cfRule>
    <cfRule type="containsText" dxfId="644" priority="350" operator="containsText" text="Non contrôlé">
      <formula>NOT(ISERROR(SEARCH("Non contrôlé",AB19)))</formula>
    </cfRule>
  </conditionalFormatting>
  <conditionalFormatting sqref="AB26:AB34">
    <cfRule type="endsWith" dxfId="643" priority="245" operator="endsWith" text="Validé">
      <formula>RIGHT(AB26,LEN("Validé"))="Validé"</formula>
    </cfRule>
    <cfRule type="containsText" dxfId="642" priority="244" operator="containsText" text="réserve">
      <formula>NOT(ISERROR(SEARCH("réserve",AB26)))</formula>
    </cfRule>
    <cfRule type="containsText" dxfId="641" priority="243" operator="containsText" text="Non validé">
      <formula>NOT(ISERROR(SEARCH("Non validé",AB26)))</formula>
    </cfRule>
    <cfRule type="containsText" dxfId="640" priority="242" operator="containsText" text="Non contrôlé">
      <formula>NOT(ISERROR(SEARCH("Non contrôlé",AB26)))</formula>
    </cfRule>
  </conditionalFormatting>
  <conditionalFormatting sqref="AB35">
    <cfRule type="endsWith" dxfId="639" priority="249" operator="endsWith" text="Validé">
      <formula>RIGHT(AB35,LEN("Validé"))="Validé"</formula>
    </cfRule>
    <cfRule type="containsText" dxfId="638" priority="248" operator="containsText" text="réserve">
      <formula>NOT(ISERROR(SEARCH("réserve",AB35)))</formula>
    </cfRule>
    <cfRule type="containsText" dxfId="637" priority="247" operator="containsText" text="Non validé">
      <formula>NOT(ISERROR(SEARCH("Non validé",AB35)))</formula>
    </cfRule>
    <cfRule type="containsText" dxfId="636" priority="246" operator="containsText" text="Non contrôlé">
      <formula>NOT(ISERROR(SEARCH("Non contrôlé",AB35)))</formula>
    </cfRule>
  </conditionalFormatting>
  <conditionalFormatting sqref="AB37">
    <cfRule type="containsText" dxfId="635" priority="239" operator="containsText" text="Non validé">
      <formula>NOT(ISERROR(SEARCH("Non validé",AB37)))</formula>
    </cfRule>
    <cfRule type="containsText" dxfId="634" priority="238" operator="containsText" text="Non contrôlé">
      <formula>NOT(ISERROR(SEARCH("Non contrôlé",AB37)))</formula>
    </cfRule>
    <cfRule type="containsText" dxfId="633" priority="240" operator="containsText" text="réserve">
      <formula>NOT(ISERROR(SEARCH("réserve",AB37)))</formula>
    </cfRule>
    <cfRule type="endsWith" dxfId="632" priority="241" operator="endsWith" text="Validé">
      <formula>RIGHT(AB37,LEN("Validé"))="Validé"</formula>
    </cfRule>
  </conditionalFormatting>
  <conditionalFormatting sqref="AC19">
    <cfRule type="cellIs" dxfId="631" priority="76" operator="greaterThanOrEqual">
      <formula>80</formula>
    </cfRule>
    <cfRule type="cellIs" dxfId="630" priority="77" operator="between">
      <formula>70</formula>
      <formula>79</formula>
    </cfRule>
    <cfRule type="cellIs" dxfId="629" priority="78" operator="lessThan">
      <formula>69</formula>
    </cfRule>
  </conditionalFormatting>
  <conditionalFormatting sqref="AC37:AD37">
    <cfRule type="cellIs" dxfId="628" priority="18" operator="lessThan">
      <formula>69</formula>
    </cfRule>
    <cfRule type="cellIs" dxfId="627" priority="17" operator="between">
      <formula>70</formula>
      <formula>79</formula>
    </cfRule>
    <cfRule type="cellIs" dxfId="626" priority="16" operator="greaterThanOrEqual">
      <formula>80</formula>
    </cfRule>
  </conditionalFormatting>
  <conditionalFormatting sqref="AG9:AG17">
    <cfRule type="endsWith" dxfId="625" priority="365" operator="endsWith" text="Validé">
      <formula>RIGHT(AG9,LEN("Validé"))="Validé"</formula>
    </cfRule>
    <cfRule type="containsText" dxfId="624" priority="362" operator="containsText" text="Non contrôlé">
      <formula>NOT(ISERROR(SEARCH("Non contrôlé",AG9)))</formula>
    </cfRule>
    <cfRule type="containsText" dxfId="623" priority="363" operator="containsText" text="Non validé">
      <formula>NOT(ISERROR(SEARCH("Non validé",AG9)))</formula>
    </cfRule>
    <cfRule type="containsText" dxfId="622" priority="364" operator="containsText" text="réserve">
      <formula>NOT(ISERROR(SEARCH("réserve",AG9)))</formula>
    </cfRule>
  </conditionalFormatting>
  <conditionalFormatting sqref="AG19">
    <cfRule type="containsText" dxfId="621" priority="358" operator="containsText" text="Non contrôlé">
      <formula>NOT(ISERROR(SEARCH("Non contrôlé",AG19)))</formula>
    </cfRule>
    <cfRule type="containsText" dxfId="620" priority="359" operator="containsText" text="Non validé">
      <formula>NOT(ISERROR(SEARCH("Non validé",AG19)))</formula>
    </cfRule>
    <cfRule type="endsWith" dxfId="619" priority="361" operator="endsWith" text="Validé">
      <formula>RIGHT(AG19,LEN("Validé"))="Validé"</formula>
    </cfRule>
    <cfRule type="containsText" dxfId="618" priority="360" operator="containsText" text="réserve">
      <formula>NOT(ISERROR(SEARCH("réserve",AG19)))</formula>
    </cfRule>
  </conditionalFormatting>
  <conditionalFormatting sqref="AG26:AG34">
    <cfRule type="containsText" dxfId="617" priority="254" operator="containsText" text="Non contrôlé">
      <formula>NOT(ISERROR(SEARCH("Non contrôlé",AG26)))</formula>
    </cfRule>
    <cfRule type="containsText" dxfId="616" priority="255" operator="containsText" text="Non validé">
      <formula>NOT(ISERROR(SEARCH("Non validé",AG26)))</formula>
    </cfRule>
    <cfRule type="containsText" dxfId="615" priority="256" operator="containsText" text="réserve">
      <formula>NOT(ISERROR(SEARCH("réserve",AG26)))</formula>
    </cfRule>
    <cfRule type="endsWith" dxfId="614" priority="257" operator="endsWith" text="Validé">
      <formula>RIGHT(AG26,LEN("Validé"))="Validé"</formula>
    </cfRule>
  </conditionalFormatting>
  <conditionalFormatting sqref="AG35">
    <cfRule type="containsText" dxfId="613" priority="259" operator="containsText" text="Non validé">
      <formula>NOT(ISERROR(SEARCH("Non validé",AG35)))</formula>
    </cfRule>
    <cfRule type="containsText" dxfId="612" priority="260" operator="containsText" text="réserve">
      <formula>NOT(ISERROR(SEARCH("réserve",AG35)))</formula>
    </cfRule>
    <cfRule type="endsWith" dxfId="611" priority="261" operator="endsWith" text="Validé">
      <formula>RIGHT(AG35,LEN("Validé"))="Validé"</formula>
    </cfRule>
    <cfRule type="containsText" dxfId="610" priority="258" operator="containsText" text="Non contrôlé">
      <formula>NOT(ISERROR(SEARCH("Non contrôlé",AG35)))</formula>
    </cfRule>
  </conditionalFormatting>
  <conditionalFormatting sqref="AG37">
    <cfRule type="endsWith" dxfId="609" priority="253" operator="endsWith" text="Validé">
      <formula>RIGHT(AG37,LEN("Validé"))="Validé"</formula>
    </cfRule>
    <cfRule type="containsText" dxfId="608" priority="251" operator="containsText" text="Non validé">
      <formula>NOT(ISERROR(SEARCH("Non validé",AG37)))</formula>
    </cfRule>
    <cfRule type="containsText" dxfId="607" priority="250" operator="containsText" text="Non contrôlé">
      <formula>NOT(ISERROR(SEARCH("Non contrôlé",AG37)))</formula>
    </cfRule>
    <cfRule type="containsText" dxfId="606" priority="252" operator="containsText" text="réserve">
      <formula>NOT(ISERROR(SEARCH("réserve",AG37)))</formula>
    </cfRule>
  </conditionalFormatting>
  <conditionalFormatting sqref="AH19">
    <cfRule type="cellIs" dxfId="605" priority="75" operator="lessThan">
      <formula>69</formula>
    </cfRule>
    <cfRule type="cellIs" dxfId="604" priority="74" operator="between">
      <formula>70</formula>
      <formula>79</formula>
    </cfRule>
    <cfRule type="cellIs" dxfId="603" priority="73" operator="greaterThanOrEqual">
      <formula>80</formula>
    </cfRule>
  </conditionalFormatting>
  <conditionalFormatting sqref="AH37">
    <cfRule type="cellIs" dxfId="602" priority="24" operator="lessThan">
      <formula>69</formula>
    </cfRule>
    <cfRule type="cellIs" dxfId="601" priority="23" operator="between">
      <formula>70</formula>
      <formula>79</formula>
    </cfRule>
    <cfRule type="cellIs" dxfId="600" priority="22" operator="greaterThanOrEqual">
      <formula>80</formula>
    </cfRule>
  </conditionalFormatting>
  <conditionalFormatting sqref="AL9:AL17">
    <cfRule type="containsText" dxfId="599" priority="371" operator="containsText" text="Non validé">
      <formula>NOT(ISERROR(SEARCH("Non validé",AL9)))</formula>
    </cfRule>
    <cfRule type="containsText" dxfId="598" priority="370" operator="containsText" text="Non contrôlé">
      <formula>NOT(ISERROR(SEARCH("Non contrôlé",AL9)))</formula>
    </cfRule>
    <cfRule type="containsText" dxfId="597" priority="372" operator="containsText" text="réserve">
      <formula>NOT(ISERROR(SEARCH("réserve",AL9)))</formula>
    </cfRule>
    <cfRule type="endsWith" dxfId="596" priority="373" operator="endsWith" text="Validé">
      <formula>RIGHT(AL9,LEN("Validé"))="Validé"</formula>
    </cfRule>
  </conditionalFormatting>
  <conditionalFormatting sqref="AL19">
    <cfRule type="containsText" dxfId="595" priority="366" operator="containsText" text="Non contrôlé">
      <formula>NOT(ISERROR(SEARCH("Non contrôlé",AL19)))</formula>
    </cfRule>
    <cfRule type="endsWith" dxfId="594" priority="369" operator="endsWith" text="Validé">
      <formula>RIGHT(AL19,LEN("Validé"))="Validé"</formula>
    </cfRule>
    <cfRule type="containsText" dxfId="593" priority="368" operator="containsText" text="réserve">
      <formula>NOT(ISERROR(SEARCH("réserve",AL19)))</formula>
    </cfRule>
    <cfRule type="containsText" dxfId="592" priority="367" operator="containsText" text="Non validé">
      <formula>NOT(ISERROR(SEARCH("Non validé",AL19)))</formula>
    </cfRule>
  </conditionalFormatting>
  <conditionalFormatting sqref="AL26:AL34">
    <cfRule type="containsText" dxfId="591" priority="266" operator="containsText" text="Non contrôlé">
      <formula>NOT(ISERROR(SEARCH("Non contrôlé",AL26)))</formula>
    </cfRule>
    <cfRule type="containsText" dxfId="590" priority="267" operator="containsText" text="Non validé">
      <formula>NOT(ISERROR(SEARCH("Non validé",AL26)))</formula>
    </cfRule>
    <cfRule type="containsText" dxfId="589" priority="268" operator="containsText" text="réserve">
      <formula>NOT(ISERROR(SEARCH("réserve",AL26)))</formula>
    </cfRule>
    <cfRule type="endsWith" dxfId="588" priority="269" operator="endsWith" text="Validé">
      <formula>RIGHT(AL26,LEN("Validé"))="Validé"</formula>
    </cfRule>
  </conditionalFormatting>
  <conditionalFormatting sqref="AL35">
    <cfRule type="containsText" dxfId="587" priority="271" operator="containsText" text="Non validé">
      <formula>NOT(ISERROR(SEARCH("Non validé",AL35)))</formula>
    </cfRule>
    <cfRule type="containsText" dxfId="586" priority="270" operator="containsText" text="Non contrôlé">
      <formula>NOT(ISERROR(SEARCH("Non contrôlé",AL35)))</formula>
    </cfRule>
    <cfRule type="containsText" dxfId="585" priority="272" operator="containsText" text="réserve">
      <formula>NOT(ISERROR(SEARCH("réserve",AL35)))</formula>
    </cfRule>
    <cfRule type="endsWith" dxfId="584" priority="273" operator="endsWith" text="Validé">
      <formula>RIGHT(AL35,LEN("Validé"))="Validé"</formula>
    </cfRule>
  </conditionalFormatting>
  <conditionalFormatting sqref="AL37">
    <cfRule type="containsText" dxfId="583" priority="262" operator="containsText" text="Non contrôlé">
      <formula>NOT(ISERROR(SEARCH("Non contrôlé",AL37)))</formula>
    </cfRule>
    <cfRule type="containsText" dxfId="582" priority="263" operator="containsText" text="Non validé">
      <formula>NOT(ISERROR(SEARCH("Non validé",AL37)))</formula>
    </cfRule>
    <cfRule type="containsText" dxfId="581" priority="264" operator="containsText" text="réserve">
      <formula>NOT(ISERROR(SEARCH("réserve",AL37)))</formula>
    </cfRule>
    <cfRule type="endsWith" dxfId="580" priority="265" operator="endsWith" text="Validé">
      <formula>RIGHT(AL37,LEN("Validé"))="Validé"</formula>
    </cfRule>
  </conditionalFormatting>
  <conditionalFormatting sqref="AM19">
    <cfRule type="cellIs" dxfId="579" priority="70" operator="greaterThanOrEqual">
      <formula>80</formula>
    </cfRule>
    <cfRule type="cellIs" dxfId="578" priority="72" operator="lessThan">
      <formula>69</formula>
    </cfRule>
    <cfRule type="cellIs" dxfId="577" priority="71" operator="between">
      <formula>70</formula>
      <formula>79</formula>
    </cfRule>
  </conditionalFormatting>
  <conditionalFormatting sqref="AM37">
    <cfRule type="cellIs" dxfId="576" priority="27" operator="lessThan">
      <formula>69</formula>
    </cfRule>
    <cfRule type="cellIs" dxfId="575" priority="25" operator="greaterThanOrEqual">
      <formula>80</formula>
    </cfRule>
    <cfRule type="cellIs" dxfId="574" priority="26" operator="between">
      <formula>70</formula>
      <formula>79</formula>
    </cfRule>
  </conditionalFormatting>
  <conditionalFormatting sqref="AQ9:AQ17">
    <cfRule type="endsWith" dxfId="573" priority="381" operator="endsWith" text="Validé">
      <formula>RIGHT(AQ9,LEN("Validé"))="Validé"</formula>
    </cfRule>
    <cfRule type="containsText" dxfId="572" priority="380" operator="containsText" text="réserve">
      <formula>NOT(ISERROR(SEARCH("réserve",AQ9)))</formula>
    </cfRule>
    <cfRule type="containsText" dxfId="571" priority="378" operator="containsText" text="Non contrôlé">
      <formula>NOT(ISERROR(SEARCH("Non contrôlé",AQ9)))</formula>
    </cfRule>
    <cfRule type="containsText" dxfId="570" priority="379" operator="containsText" text="Non validé">
      <formula>NOT(ISERROR(SEARCH("Non validé",AQ9)))</formula>
    </cfRule>
  </conditionalFormatting>
  <conditionalFormatting sqref="AQ19">
    <cfRule type="containsText" dxfId="569" priority="374" operator="containsText" text="Non contrôlé">
      <formula>NOT(ISERROR(SEARCH("Non contrôlé",AQ19)))</formula>
    </cfRule>
    <cfRule type="containsText" dxfId="568" priority="376" operator="containsText" text="réserve">
      <formula>NOT(ISERROR(SEARCH("réserve",AQ19)))</formula>
    </cfRule>
    <cfRule type="endsWith" dxfId="567" priority="377" operator="endsWith" text="Validé">
      <formula>RIGHT(AQ19,LEN("Validé"))="Validé"</formula>
    </cfRule>
    <cfRule type="containsText" dxfId="566" priority="375" operator="containsText" text="Non validé">
      <formula>NOT(ISERROR(SEARCH("Non validé",AQ19)))</formula>
    </cfRule>
  </conditionalFormatting>
  <conditionalFormatting sqref="AQ26:AQ34">
    <cfRule type="containsText" dxfId="565" priority="279" operator="containsText" text="Non validé">
      <formula>NOT(ISERROR(SEARCH("Non validé",AQ26)))</formula>
    </cfRule>
    <cfRule type="containsText" dxfId="564" priority="278" operator="containsText" text="Non contrôlé">
      <formula>NOT(ISERROR(SEARCH("Non contrôlé",AQ26)))</formula>
    </cfRule>
    <cfRule type="containsText" dxfId="563" priority="280" operator="containsText" text="réserve">
      <formula>NOT(ISERROR(SEARCH("réserve",AQ26)))</formula>
    </cfRule>
    <cfRule type="endsWith" dxfId="562" priority="281" operator="endsWith" text="Validé">
      <formula>RIGHT(AQ26,LEN("Validé"))="Validé"</formula>
    </cfRule>
  </conditionalFormatting>
  <conditionalFormatting sqref="AQ35">
    <cfRule type="containsText" dxfId="561" priority="282" operator="containsText" text="Non contrôlé">
      <formula>NOT(ISERROR(SEARCH("Non contrôlé",AQ35)))</formula>
    </cfRule>
    <cfRule type="containsText" dxfId="560" priority="283" operator="containsText" text="Non validé">
      <formula>NOT(ISERROR(SEARCH("Non validé",AQ35)))</formula>
    </cfRule>
    <cfRule type="containsText" dxfId="559" priority="284" operator="containsText" text="réserve">
      <formula>NOT(ISERROR(SEARCH("réserve",AQ35)))</formula>
    </cfRule>
    <cfRule type="endsWith" dxfId="558" priority="285" operator="endsWith" text="Validé">
      <formula>RIGHT(AQ35,LEN("Validé"))="Validé"</formula>
    </cfRule>
  </conditionalFormatting>
  <conditionalFormatting sqref="AQ37">
    <cfRule type="endsWith" dxfId="557" priority="277" operator="endsWith" text="Validé">
      <formula>RIGHT(AQ37,LEN("Validé"))="Validé"</formula>
    </cfRule>
    <cfRule type="containsText" dxfId="556" priority="276" operator="containsText" text="réserve">
      <formula>NOT(ISERROR(SEARCH("réserve",AQ37)))</formula>
    </cfRule>
    <cfRule type="containsText" dxfId="555" priority="275" operator="containsText" text="Non validé">
      <formula>NOT(ISERROR(SEARCH("Non validé",AQ37)))</formula>
    </cfRule>
    <cfRule type="containsText" dxfId="554" priority="274" operator="containsText" text="Non contrôlé">
      <formula>NOT(ISERROR(SEARCH("Non contrôlé",AQ37)))</formula>
    </cfRule>
  </conditionalFormatting>
  <conditionalFormatting sqref="AR19">
    <cfRule type="cellIs" dxfId="553" priority="67" operator="greaterThanOrEqual">
      <formula>80</formula>
    </cfRule>
    <cfRule type="cellIs" dxfId="552" priority="68" operator="between">
      <formula>70</formula>
      <formula>79</formula>
    </cfRule>
    <cfRule type="cellIs" dxfId="551" priority="69" operator="lessThan">
      <formula>69</formula>
    </cfRule>
  </conditionalFormatting>
  <conditionalFormatting sqref="AR37:AS37">
    <cfRule type="cellIs" dxfId="550" priority="28" operator="greaterThanOrEqual">
      <formula>80</formula>
    </cfRule>
    <cfRule type="cellIs" dxfId="549" priority="29" operator="between">
      <formula>70</formula>
      <formula>79</formula>
    </cfRule>
    <cfRule type="cellIs" dxfId="548" priority="30" operator="lessThan">
      <formula>69</formula>
    </cfRule>
  </conditionalFormatting>
  <conditionalFormatting sqref="AV9:AV17">
    <cfRule type="containsText" dxfId="547" priority="386" operator="containsText" text="Non contrôlé">
      <formula>NOT(ISERROR(SEARCH("Non contrôlé",AV9)))</formula>
    </cfRule>
    <cfRule type="containsText" dxfId="546" priority="387" operator="containsText" text="Non validé">
      <formula>NOT(ISERROR(SEARCH("Non validé",AV9)))</formula>
    </cfRule>
    <cfRule type="containsText" dxfId="545" priority="388" operator="containsText" text="réserve">
      <formula>NOT(ISERROR(SEARCH("réserve",AV9)))</formula>
    </cfRule>
    <cfRule type="endsWith" dxfId="544" priority="389" operator="endsWith" text="Validé">
      <formula>RIGHT(AV9,LEN("Validé"))="Validé"</formula>
    </cfRule>
  </conditionalFormatting>
  <conditionalFormatting sqref="AV19">
    <cfRule type="containsText" dxfId="543" priority="382" operator="containsText" text="Non contrôlé">
      <formula>NOT(ISERROR(SEARCH("Non contrôlé",AV19)))</formula>
    </cfRule>
    <cfRule type="containsText" dxfId="542" priority="383" operator="containsText" text="Non validé">
      <formula>NOT(ISERROR(SEARCH("Non validé",AV19)))</formula>
    </cfRule>
    <cfRule type="containsText" dxfId="541" priority="384" operator="containsText" text="réserve">
      <formula>NOT(ISERROR(SEARCH("réserve",AV19)))</formula>
    </cfRule>
    <cfRule type="endsWith" dxfId="540" priority="385" operator="endsWith" text="Validé">
      <formula>RIGHT(AV19,LEN("Validé"))="Validé"</formula>
    </cfRule>
  </conditionalFormatting>
  <conditionalFormatting sqref="AV26:AV34">
    <cfRule type="containsText" dxfId="539" priority="103" operator="containsText" text="Non validé">
      <formula>NOT(ISERROR(SEARCH("Non validé",AV26)))</formula>
    </cfRule>
    <cfRule type="containsText" dxfId="538" priority="104" operator="containsText" text="réserve">
      <formula>NOT(ISERROR(SEARCH("réserve",AV26)))</formula>
    </cfRule>
    <cfRule type="endsWith" dxfId="537" priority="105" operator="endsWith" text="Validé">
      <formula>RIGHT(AV26,LEN("Validé"))="Validé"</formula>
    </cfRule>
    <cfRule type="containsText" dxfId="536" priority="102" operator="containsText" text="Non contrôlé">
      <formula>NOT(ISERROR(SEARCH("Non contrôlé",AV26)))</formula>
    </cfRule>
  </conditionalFormatting>
  <conditionalFormatting sqref="AV35">
    <cfRule type="containsText" dxfId="535" priority="112" operator="containsText" text="réserve">
      <formula>NOT(ISERROR(SEARCH("réserve",AV35)))</formula>
    </cfRule>
    <cfRule type="endsWith" dxfId="534" priority="113" operator="endsWith" text="Validé">
      <formula>RIGHT(AV35,LEN("Validé"))="Validé"</formula>
    </cfRule>
    <cfRule type="containsText" dxfId="533" priority="110" operator="containsText" text="Non contrôlé">
      <formula>NOT(ISERROR(SEARCH("Non contrôlé",AV35)))</formula>
    </cfRule>
    <cfRule type="containsText" dxfId="532" priority="111" operator="containsText" text="Non validé">
      <formula>NOT(ISERROR(SEARCH("Non validé",AV35)))</formula>
    </cfRule>
  </conditionalFormatting>
  <conditionalFormatting sqref="AV37">
    <cfRule type="endsWith" dxfId="531" priority="289" operator="endsWith" text="Validé">
      <formula>RIGHT(AV37,LEN("Validé"))="Validé"</formula>
    </cfRule>
    <cfRule type="containsText" dxfId="530" priority="288" operator="containsText" text="réserve">
      <formula>NOT(ISERROR(SEARCH("réserve",AV37)))</formula>
    </cfRule>
    <cfRule type="containsText" dxfId="529" priority="287" operator="containsText" text="Non validé">
      <formula>NOT(ISERROR(SEARCH("Non validé",AV37)))</formula>
    </cfRule>
    <cfRule type="containsText" dxfId="528" priority="286" operator="containsText" text="Non contrôlé">
      <formula>NOT(ISERROR(SEARCH("Non contrôlé",AV37)))</formula>
    </cfRule>
  </conditionalFormatting>
  <conditionalFormatting sqref="AW19">
    <cfRule type="cellIs" dxfId="527" priority="65" operator="between">
      <formula>70</formula>
      <formula>79</formula>
    </cfRule>
    <cfRule type="cellIs" dxfId="526" priority="66" operator="lessThan">
      <formula>69</formula>
    </cfRule>
    <cfRule type="cellIs" dxfId="525" priority="64" operator="greaterThanOrEqual">
      <formula>80</formula>
    </cfRule>
  </conditionalFormatting>
  <conditionalFormatting sqref="AW37:AX37">
    <cfRule type="cellIs" dxfId="524" priority="36" operator="lessThan">
      <formula>69</formula>
    </cfRule>
    <cfRule type="cellIs" dxfId="523" priority="35" operator="between">
      <formula>70</formula>
      <formula>79</formula>
    </cfRule>
    <cfRule type="cellIs" dxfId="522" priority="34" operator="greaterThanOrEqual">
      <formula>80</formula>
    </cfRule>
  </conditionalFormatting>
  <conditionalFormatting sqref="BA9:BA17">
    <cfRule type="containsText" dxfId="521" priority="147" operator="containsText" text="Non validé">
      <formula>NOT(ISERROR(SEARCH("Non validé",BA9)))</formula>
    </cfRule>
    <cfRule type="containsText" dxfId="520" priority="146" operator="containsText" text="Non contrôlé">
      <formula>NOT(ISERROR(SEARCH("Non contrôlé",BA9)))</formula>
    </cfRule>
    <cfRule type="endsWith" dxfId="519" priority="149" operator="endsWith" text="Validé">
      <formula>RIGHT(BA9,LEN("Validé"))="Validé"</formula>
    </cfRule>
    <cfRule type="containsText" dxfId="518" priority="148" operator="containsText" text="réserve">
      <formula>NOT(ISERROR(SEARCH("réserve",BA9)))</formula>
    </cfRule>
  </conditionalFormatting>
  <conditionalFormatting sqref="BA19">
    <cfRule type="containsText" dxfId="517" priority="392" operator="containsText" text="réserve">
      <formula>NOT(ISERROR(SEARCH("réserve",BA19)))</formula>
    </cfRule>
    <cfRule type="containsText" dxfId="516" priority="391" operator="containsText" text="Non validé">
      <formula>NOT(ISERROR(SEARCH("Non validé",BA19)))</formula>
    </cfRule>
    <cfRule type="containsText" dxfId="515" priority="390" operator="containsText" text="Non contrôlé">
      <formula>NOT(ISERROR(SEARCH("Non contrôlé",BA19)))</formula>
    </cfRule>
    <cfRule type="endsWith" dxfId="514" priority="393" operator="endsWith" text="Validé">
      <formula>RIGHT(BA19,LEN("Validé"))="Validé"</formula>
    </cfRule>
  </conditionalFormatting>
  <conditionalFormatting sqref="BA26:BA34">
    <cfRule type="containsText" dxfId="513" priority="140" operator="containsText" text="réserve">
      <formula>NOT(ISERROR(SEARCH("réserve",BA26)))</formula>
    </cfRule>
    <cfRule type="containsText" dxfId="512" priority="139" operator="containsText" text="Non validé">
      <formula>NOT(ISERROR(SEARCH("Non validé",BA26)))</formula>
    </cfRule>
    <cfRule type="endsWith" dxfId="511" priority="141" operator="endsWith" text="Validé">
      <formula>RIGHT(BA26,LEN("Validé"))="Validé"</formula>
    </cfRule>
    <cfRule type="containsText" dxfId="510" priority="138" operator="containsText" text="Non contrôlé">
      <formula>NOT(ISERROR(SEARCH("Non contrôlé",BA26)))</formula>
    </cfRule>
  </conditionalFormatting>
  <conditionalFormatting sqref="BA35">
    <cfRule type="containsText" dxfId="509" priority="143" operator="containsText" text="Non validé">
      <formula>NOT(ISERROR(SEARCH("Non validé",BA35)))</formula>
    </cfRule>
    <cfRule type="containsText" dxfId="508" priority="142" operator="containsText" text="Non contrôlé">
      <formula>NOT(ISERROR(SEARCH("Non contrôlé",BA35)))</formula>
    </cfRule>
    <cfRule type="endsWith" dxfId="507" priority="145" operator="endsWith" text="Validé">
      <formula>RIGHT(BA35,LEN("Validé"))="Validé"</formula>
    </cfRule>
    <cfRule type="containsText" dxfId="506" priority="144" operator="containsText" text="réserve">
      <formula>NOT(ISERROR(SEARCH("réserve",BA35)))</formula>
    </cfRule>
  </conditionalFormatting>
  <conditionalFormatting sqref="BA37">
    <cfRule type="containsText" dxfId="505" priority="299" operator="containsText" text="Non validé">
      <formula>NOT(ISERROR(SEARCH("Non validé",BA37)))</formula>
    </cfRule>
    <cfRule type="endsWith" dxfId="504" priority="301" operator="endsWith" text="Validé">
      <formula>RIGHT(BA37,LEN("Validé"))="Validé"</formula>
    </cfRule>
    <cfRule type="containsText" dxfId="503" priority="300" operator="containsText" text="réserve">
      <formula>NOT(ISERROR(SEARCH("réserve",BA37)))</formula>
    </cfRule>
    <cfRule type="containsText" dxfId="502" priority="298" operator="containsText" text="Non contrôlé">
      <formula>NOT(ISERROR(SEARCH("Non contrôlé",BA37)))</formula>
    </cfRule>
  </conditionalFormatting>
  <conditionalFormatting sqref="BB19:BC19">
    <cfRule type="cellIs" dxfId="501" priority="59" operator="between">
      <formula>70</formula>
      <formula>79</formula>
    </cfRule>
    <cfRule type="cellIs" dxfId="500" priority="58" operator="greaterThanOrEqual">
      <formula>80</formula>
    </cfRule>
    <cfRule type="cellIs" dxfId="499" priority="60" operator="lessThan">
      <formula>69</formula>
    </cfRule>
  </conditionalFormatting>
  <conditionalFormatting sqref="BB37:BC37">
    <cfRule type="cellIs" dxfId="498" priority="41" operator="between">
      <formula>70</formula>
      <formula>79</formula>
    </cfRule>
    <cfRule type="cellIs" dxfId="497" priority="40" operator="greaterThanOrEqual">
      <formula>80</formula>
    </cfRule>
    <cfRule type="cellIs" dxfId="496" priority="42" operator="lessThan">
      <formula>69</formula>
    </cfRule>
  </conditionalFormatting>
  <conditionalFormatting sqref="BF9:BF17">
    <cfRule type="containsText" dxfId="495" priority="543" operator="containsText" text="Non validé">
      <formula>NOT(ISERROR(SEARCH("Non validé",BF9)))</formula>
    </cfRule>
    <cfRule type="containsText" dxfId="494" priority="542" operator="containsText" text="Non contrôlé">
      <formula>NOT(ISERROR(SEARCH("Non contrôlé",BF9)))</formula>
    </cfRule>
    <cfRule type="containsText" dxfId="493" priority="544" operator="containsText" text="réserve">
      <formula>NOT(ISERROR(SEARCH("réserve",BF9)))</formula>
    </cfRule>
    <cfRule type="endsWith" dxfId="492" priority="545" operator="endsWith" text="Validé">
      <formula>RIGHT(BF9,LEN("Validé"))="Validé"</formula>
    </cfRule>
  </conditionalFormatting>
  <conditionalFormatting sqref="BF19">
    <cfRule type="containsText" dxfId="491" priority="538" operator="containsText" text="Non contrôlé">
      <formula>NOT(ISERROR(SEARCH("Non contrôlé",BF19)))</formula>
    </cfRule>
    <cfRule type="containsText" dxfId="490" priority="539" operator="containsText" text="Non validé">
      <formula>NOT(ISERROR(SEARCH("Non validé",BF19)))</formula>
    </cfRule>
    <cfRule type="containsText" dxfId="489" priority="540" operator="containsText" text="réserve">
      <formula>NOT(ISERROR(SEARCH("réserve",BF19)))</formula>
    </cfRule>
    <cfRule type="endsWith" dxfId="488" priority="541" operator="endsWith" text="Validé">
      <formula>RIGHT(BF19,LEN("Validé"))="Validé"</formula>
    </cfRule>
  </conditionalFormatting>
  <conditionalFormatting sqref="BF26:BF34">
    <cfRule type="endsWith" dxfId="487" priority="97" operator="endsWith" text="Validé">
      <formula>RIGHT(BF26,LEN("Validé"))="Validé"</formula>
    </cfRule>
    <cfRule type="containsText" dxfId="486" priority="96" operator="containsText" text="réserve">
      <formula>NOT(ISERROR(SEARCH("réserve",BF26)))</formula>
    </cfRule>
    <cfRule type="containsText" dxfId="485" priority="95" operator="containsText" text="Non validé">
      <formula>NOT(ISERROR(SEARCH("Non validé",BF26)))</formula>
    </cfRule>
    <cfRule type="containsText" dxfId="484" priority="94" operator="containsText" text="Non contrôlé">
      <formula>NOT(ISERROR(SEARCH("Non contrôlé",BF26)))</formula>
    </cfRule>
  </conditionalFormatting>
  <conditionalFormatting sqref="BF35">
    <cfRule type="endsWith" dxfId="483" priority="713" operator="endsWith" text="Validé">
      <formula>RIGHT(BF35,LEN("Validé"))="Validé"</formula>
    </cfRule>
    <cfRule type="containsText" dxfId="482" priority="710" operator="containsText" text="Non contrôlé">
      <formula>NOT(ISERROR(SEARCH("Non contrôlé",BF35)))</formula>
    </cfRule>
    <cfRule type="containsText" dxfId="481" priority="711" operator="containsText" text="Non validé">
      <formula>NOT(ISERROR(SEARCH("Non validé",BF35)))</formula>
    </cfRule>
    <cfRule type="containsText" dxfId="480" priority="712" operator="containsText" text="réserve">
      <formula>NOT(ISERROR(SEARCH("réserve",BF35)))</formula>
    </cfRule>
  </conditionalFormatting>
  <conditionalFormatting sqref="BF37">
    <cfRule type="containsText" dxfId="479" priority="443" operator="containsText" text="Non validé">
      <formula>NOT(ISERROR(SEARCH("Non validé",BF37)))</formula>
    </cfRule>
    <cfRule type="containsText" dxfId="478" priority="444" operator="containsText" text="réserve">
      <formula>NOT(ISERROR(SEARCH("réserve",BF37)))</formula>
    </cfRule>
    <cfRule type="endsWith" dxfId="477" priority="445" operator="endsWith" text="Validé">
      <formula>RIGHT(BF37,LEN("Validé"))="Validé"</formula>
    </cfRule>
    <cfRule type="containsText" dxfId="476" priority="442" operator="containsText" text="Non contrôlé">
      <formula>NOT(ISERROR(SEARCH("Non contrôlé",BF37)))</formula>
    </cfRule>
  </conditionalFormatting>
  <conditionalFormatting sqref="BG19:BH19">
    <cfRule type="cellIs" dxfId="475" priority="54" operator="lessThan">
      <formula>69</formula>
    </cfRule>
    <cfRule type="cellIs" dxfId="474" priority="53" operator="between">
      <formula>70</formula>
      <formula>79</formula>
    </cfRule>
    <cfRule type="cellIs" dxfId="473" priority="52" operator="greaterThanOrEqual">
      <formula>80</formula>
    </cfRule>
  </conditionalFormatting>
  <conditionalFormatting sqref="BG37:BH37">
    <cfRule type="cellIs" dxfId="472" priority="47" operator="between">
      <formula>70</formula>
      <formula>79</formula>
    </cfRule>
    <cfRule type="cellIs" dxfId="471" priority="48" operator="lessThan">
      <formula>69</formula>
    </cfRule>
    <cfRule type="cellIs" dxfId="470"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540"/>
      <c r="C2" s="541"/>
      <c r="D2" s="542" t="s">
        <v>76</v>
      </c>
      <c r="E2" s="543"/>
      <c r="F2" s="543"/>
      <c r="G2" s="543"/>
      <c r="H2" s="543"/>
      <c r="I2" s="543"/>
      <c r="J2" s="543"/>
      <c r="K2" s="543"/>
      <c r="L2" s="543"/>
      <c r="M2" s="543"/>
      <c r="N2" s="543"/>
      <c r="O2" s="543"/>
      <c r="P2" s="543"/>
      <c r="Q2" s="543"/>
      <c r="R2" s="543"/>
      <c r="S2" s="543"/>
      <c r="T2" s="543"/>
      <c r="U2" s="543"/>
      <c r="V2" s="543"/>
      <c r="W2" s="544"/>
    </row>
    <row r="3" spans="1:26" s="84" customFormat="1" ht="35.25" customHeight="1" x14ac:dyDescent="0.4">
      <c r="B3" s="545" t="s">
        <v>77</v>
      </c>
      <c r="C3" s="546"/>
      <c r="D3" s="547"/>
      <c r="E3" s="550"/>
      <c r="F3" s="551"/>
      <c r="G3" s="551"/>
      <c r="H3" s="551"/>
      <c r="I3" s="551"/>
      <c r="J3" s="551"/>
      <c r="K3" s="551"/>
      <c r="L3" s="551"/>
      <c r="M3" s="551"/>
      <c r="N3" s="551"/>
      <c r="O3" s="551"/>
      <c r="P3" s="551"/>
      <c r="Q3" s="551"/>
      <c r="R3" s="551"/>
      <c r="S3" s="551"/>
      <c r="T3" s="551"/>
      <c r="U3" s="551"/>
      <c r="V3" s="552" t="s">
        <v>3</v>
      </c>
      <c r="W3" s="553"/>
    </row>
    <row r="4" spans="1:26" s="84" customFormat="1" ht="24.75" customHeight="1" x14ac:dyDescent="0.4">
      <c r="B4" s="518" t="s">
        <v>78</v>
      </c>
      <c r="C4" s="519"/>
      <c r="D4" s="520" t="e">
        <f>IF(#REF!="","",#REF!)</f>
        <v>#REF!</v>
      </c>
      <c r="E4" s="548"/>
      <c r="F4" s="549"/>
      <c r="G4" s="549"/>
      <c r="H4" s="537" t="s">
        <v>4</v>
      </c>
      <c r="I4" s="519"/>
      <c r="J4" s="519"/>
      <c r="K4" s="519"/>
      <c r="L4" s="519"/>
      <c r="M4" s="519"/>
      <c r="N4" s="519"/>
      <c r="O4" s="520"/>
      <c r="P4" s="521"/>
      <c r="Q4" s="522"/>
      <c r="R4" s="522"/>
      <c r="S4" s="522"/>
      <c r="T4" s="522"/>
      <c r="U4" s="523"/>
      <c r="V4" s="554"/>
      <c r="W4" s="512"/>
    </row>
    <row r="5" spans="1:26" s="84" customFormat="1" ht="24.75" customHeight="1" x14ac:dyDescent="0.4">
      <c r="B5" s="518" t="s">
        <v>5</v>
      </c>
      <c r="C5" s="519"/>
      <c r="D5" s="520" t="e">
        <f>IF(#REF!="","",#REF!)</f>
        <v>#REF!</v>
      </c>
      <c r="E5" s="535"/>
      <c r="F5" s="536"/>
      <c r="G5" s="536"/>
      <c r="H5" s="537" t="s">
        <v>6</v>
      </c>
      <c r="I5" s="519"/>
      <c r="J5" s="519"/>
      <c r="K5" s="519"/>
      <c r="L5" s="519"/>
      <c r="M5" s="519"/>
      <c r="N5" s="519"/>
      <c r="O5" s="520"/>
      <c r="P5" s="521"/>
      <c r="Q5" s="522"/>
      <c r="R5" s="522"/>
      <c r="S5" s="522"/>
      <c r="T5" s="522"/>
      <c r="U5" s="523"/>
      <c r="V5" s="511"/>
      <c r="W5" s="512"/>
    </row>
    <row r="6" spans="1:26" s="84" customFormat="1" ht="27.75" customHeight="1" x14ac:dyDescent="0.4">
      <c r="B6" s="513" t="s">
        <v>7</v>
      </c>
      <c r="C6" s="514"/>
      <c r="D6" s="515" t="e">
        <f>IF(#REF!="","",#REF!)</f>
        <v>#REF!</v>
      </c>
      <c r="E6" s="516"/>
      <c r="F6" s="517"/>
      <c r="G6" s="517"/>
      <c r="H6" s="538" t="s">
        <v>8</v>
      </c>
      <c r="I6" s="539"/>
      <c r="J6" s="539"/>
      <c r="K6" s="539"/>
      <c r="L6" s="539"/>
      <c r="M6" s="539"/>
      <c r="N6" s="539"/>
      <c r="O6" s="539"/>
      <c r="P6" s="527"/>
      <c r="Q6" s="528"/>
      <c r="R6" s="528"/>
      <c r="S6" s="528"/>
      <c r="T6" s="529"/>
      <c r="U6" s="85"/>
      <c r="V6" s="533"/>
      <c r="W6" s="534"/>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526" t="s">
        <v>9</v>
      </c>
      <c r="C8" s="526"/>
      <c r="D8" s="526"/>
      <c r="E8" s="526"/>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524" t="s">
        <v>79</v>
      </c>
      <c r="C9" s="524"/>
      <c r="D9" s="525"/>
      <c r="E9" s="185" t="s">
        <v>13</v>
      </c>
      <c r="F9" s="269"/>
      <c r="G9" s="481" t="s">
        <v>14</v>
      </c>
      <c r="H9" s="481"/>
      <c r="I9" s="481"/>
      <c r="J9" s="481"/>
      <c r="K9" s="557"/>
      <c r="L9" s="558"/>
      <c r="M9" s="558"/>
      <c r="N9" s="558"/>
      <c r="O9" s="558"/>
      <c r="P9" s="558"/>
      <c r="Q9" s="559"/>
      <c r="R9" s="264"/>
      <c r="S9" s="264"/>
      <c r="T9" s="264"/>
      <c r="U9" s="483"/>
      <c r="V9" s="484"/>
      <c r="W9" s="485"/>
    </row>
    <row r="10" spans="1:26" ht="36.75" customHeight="1" x14ac:dyDescent="0.5">
      <c r="A10" s="262"/>
      <c r="B10" s="475" t="s">
        <v>23</v>
      </c>
      <c r="C10" s="476"/>
      <c r="D10" s="93"/>
      <c r="E10" s="191" t="e" cm="1">
        <f t="array" ref="E10">_xlfn.IFS(I34="","",$K$10="Validé",AVERAGE(I34:I35,J34),$K$10="Non validé",AVERAGE(I34:I35,J34)*0.9)</f>
        <v>#N/A</v>
      </c>
      <c r="F10" s="269"/>
      <c r="G10" s="481" t="s">
        <v>15</v>
      </c>
      <c r="H10" s="481"/>
      <c r="I10" s="481"/>
      <c r="J10" s="481"/>
      <c r="K10" s="530"/>
      <c r="L10" s="531"/>
      <c r="M10" s="531"/>
      <c r="N10" s="531"/>
      <c r="O10" s="531"/>
      <c r="P10" s="531"/>
      <c r="Q10" s="532"/>
      <c r="R10" s="262"/>
      <c r="S10" s="264"/>
      <c r="T10" s="262"/>
      <c r="U10" s="483"/>
      <c r="V10" s="484"/>
      <c r="W10" s="485"/>
      <c r="X10" s="262"/>
      <c r="Y10" s="262"/>
      <c r="Z10" s="262"/>
    </row>
    <row r="11" spans="1:26" ht="36.75" customHeight="1" x14ac:dyDescent="0.4">
      <c r="A11" s="262"/>
      <c r="B11" s="479" t="s">
        <v>24</v>
      </c>
      <c r="C11" s="480"/>
      <c r="D11" s="188"/>
      <c r="E11" s="190" t="str" cm="1">
        <f t="array" ref="E11">_xlfn.IFS(I36="","",$K$10="Validé",AVERAGE(I36:I37,J36),$K$10="Non validé",AVERAGE(I36:I37,J36)*0.9)</f>
        <v/>
      </c>
      <c r="F11" s="270"/>
      <c r="G11" s="195" t="s">
        <v>188</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479" t="s">
        <v>25</v>
      </c>
      <c r="C12" s="480"/>
      <c r="D12" s="188"/>
      <c r="E12" s="190" t="e" cm="1">
        <f t="array" ref="E12">_xlfn.IFS(I38="","",$K$10="Validé",AVERAGE(I38:I39,J38),$K$10="Non validé",AVERAGE(I38:I39,J38)*0.9)</f>
        <v>#N/A</v>
      </c>
      <c r="F12" s="262"/>
      <c r="G12" s="264" t="s">
        <v>80</v>
      </c>
      <c r="H12" s="262"/>
      <c r="I12" s="262"/>
      <c r="J12" s="262"/>
      <c r="K12" s="262"/>
      <c r="L12" s="262"/>
      <c r="M12" s="262"/>
      <c r="N12" s="262"/>
      <c r="O12" s="262"/>
      <c r="P12" s="262"/>
      <c r="Q12" s="262"/>
      <c r="R12" s="262"/>
      <c r="S12" s="262"/>
      <c r="T12" s="264"/>
      <c r="U12" s="272" t="s">
        <v>63</v>
      </c>
      <c r="V12" s="271"/>
      <c r="W12" s="271"/>
      <c r="X12" s="262"/>
      <c r="Y12" s="262"/>
      <c r="Z12" s="262"/>
    </row>
    <row r="13" spans="1:26" ht="36.75" customHeight="1" x14ac:dyDescent="0.4">
      <c r="A13" s="262"/>
      <c r="B13" s="479" t="s">
        <v>34</v>
      </c>
      <c r="C13" s="480"/>
      <c r="D13" s="188"/>
      <c r="E13" s="190" t="str" cm="1">
        <f t="array" ref="E13">_xlfn.IFS(I40="","",$K$10="Validé",AVERAGE(I40:I41,J40),$K$10="Non validé",AVERAGE(I40:I41,J40)*0.9)</f>
        <v/>
      </c>
      <c r="F13" s="262"/>
      <c r="G13" s="481" t="s">
        <v>81</v>
      </c>
      <c r="H13" s="481"/>
      <c r="I13" s="481"/>
      <c r="J13" s="481"/>
      <c r="K13" s="482"/>
      <c r="L13" s="482"/>
      <c r="M13" s="482"/>
      <c r="N13" s="482"/>
      <c r="O13" s="482"/>
      <c r="P13" s="482"/>
      <c r="Q13" s="482"/>
      <c r="R13" s="262"/>
      <c r="S13" s="262"/>
      <c r="T13" s="262"/>
      <c r="U13" s="483"/>
      <c r="V13" s="484"/>
      <c r="W13" s="485"/>
      <c r="X13" s="262"/>
      <c r="Y13" s="262"/>
      <c r="Z13" s="262"/>
    </row>
    <row r="14" spans="1:26" s="84" customFormat="1" ht="36.75" customHeight="1" x14ac:dyDescent="0.4">
      <c r="B14" s="479" t="s">
        <v>35</v>
      </c>
      <c r="C14" s="480"/>
      <c r="D14" s="188"/>
      <c r="E14" s="190" t="str" cm="1">
        <f t="array" ref="E14">_xlfn.IFS(I42="","",$K$10="Validé",AVERAGE(I42:I43,J42),$K$10="Non validé",AVERAGE(I42:I43,J42)*0.9)</f>
        <v/>
      </c>
      <c r="F14" s="262"/>
      <c r="G14" s="481" t="s">
        <v>82</v>
      </c>
      <c r="H14" s="481"/>
      <c r="I14" s="481"/>
      <c r="J14" s="481"/>
      <c r="K14" s="482"/>
      <c r="L14" s="482"/>
      <c r="M14" s="482"/>
      <c r="N14" s="482"/>
      <c r="O14" s="482"/>
      <c r="P14" s="482"/>
      <c r="Q14" s="482"/>
      <c r="R14" s="262"/>
      <c r="S14" s="262"/>
      <c r="T14" s="262"/>
      <c r="U14" s="483"/>
      <c r="V14" s="484"/>
      <c r="W14" s="485"/>
    </row>
    <row r="15" spans="1:26" ht="36.75" customHeight="1" x14ac:dyDescent="0.4">
      <c r="A15" s="262"/>
      <c r="B15" s="479" t="s">
        <v>36</v>
      </c>
      <c r="C15" s="480"/>
      <c r="D15" s="188"/>
      <c r="E15" s="190" t="str" cm="1">
        <f t="array" ref="E15">_xlfn.IFS(I44="","",$K$10="Validé",AVERAGE(I44:I45,J44),$K$10="Non validé",AVERAGE(I44:I45,J44)*0.9)</f>
        <v/>
      </c>
      <c r="F15" s="262"/>
      <c r="G15" s="481" t="s">
        <v>83</v>
      </c>
      <c r="H15" s="481"/>
      <c r="I15" s="481"/>
      <c r="J15" s="481"/>
      <c r="K15" s="482"/>
      <c r="L15" s="482"/>
      <c r="M15" s="482"/>
      <c r="N15" s="482"/>
      <c r="O15" s="482"/>
      <c r="P15" s="482"/>
      <c r="Q15" s="482"/>
      <c r="R15" s="262"/>
      <c r="S15" s="262"/>
      <c r="T15" s="262"/>
      <c r="U15" s="483"/>
      <c r="V15" s="484"/>
      <c r="W15" s="485"/>
      <c r="X15" s="262"/>
      <c r="Y15" s="262"/>
      <c r="Z15" s="262"/>
    </row>
    <row r="16" spans="1:26" ht="36.75" customHeight="1" x14ac:dyDescent="0.4">
      <c r="A16" s="262"/>
      <c r="B16" s="479" t="s">
        <v>37</v>
      </c>
      <c r="C16" s="480"/>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479" t="s">
        <v>38</v>
      </c>
      <c r="C17" s="480"/>
      <c r="D17" s="188"/>
      <c r="E17" s="190" t="str" cm="1">
        <f t="array" ref="E17">_xlfn.IFS(I48="","",$K$10="Validé",AVERAGE(I48:I49,J48),$K$10="Non validé",AVERAGE(I48:I49,J48)*0.9)</f>
        <v/>
      </c>
      <c r="F17" s="262"/>
      <c r="G17" s="262"/>
      <c r="H17" s="86" t="s">
        <v>18</v>
      </c>
      <c r="I17" s="87" t="s">
        <v>19</v>
      </c>
      <c r="J17" s="88" t="s">
        <v>20</v>
      </c>
      <c r="K17" s="262"/>
      <c r="L17" s="262"/>
      <c r="M17" s="272" t="s">
        <v>63</v>
      </c>
      <c r="N17" s="262"/>
      <c r="O17" s="262"/>
      <c r="P17" s="262"/>
      <c r="Q17" s="262"/>
      <c r="R17" s="262"/>
      <c r="S17" s="262"/>
      <c r="T17" s="262"/>
      <c r="U17" s="262"/>
      <c r="V17" s="262"/>
      <c r="W17" s="262"/>
      <c r="X17" s="262"/>
      <c r="Y17" s="262"/>
      <c r="Z17" s="262"/>
    </row>
    <row r="18" spans="1:26" ht="36.75" customHeight="1" x14ac:dyDescent="0.4">
      <c r="A18" s="262"/>
      <c r="B18" s="479" t="s">
        <v>39</v>
      </c>
      <c r="C18" s="480"/>
      <c r="D18" s="188"/>
      <c r="E18" s="190" t="str" cm="1">
        <f t="array" ref="E18">_xlfn.IFS(I50="","",$K$10="Validé",AVERAGE(I50:I51,J50),$K$10="Non validé",AVERAGE(I50:I51,J50)*0.9)</f>
        <v/>
      </c>
      <c r="F18" s="262"/>
      <c r="G18" s="509" t="s">
        <v>21</v>
      </c>
      <c r="H18" s="486" t="str">
        <f>IF(AnalysesComparatives_SCL!P9="","",AnalysesComparatives_SCL!P9)</f>
        <v/>
      </c>
      <c r="I18" s="486" t="str">
        <f>IF(AnalysesComparatives_SCL!P10=0,"",AnalysesComparatives_SCL!P10)</f>
        <v/>
      </c>
      <c r="J18" s="507" t="str">
        <f>IF(AnalysesComparatives_SCL!P11=0,"",AnalysesComparatives_SCL!P11)</f>
        <v/>
      </c>
      <c r="K18" s="262"/>
      <c r="L18" s="262"/>
      <c r="M18" s="498">
        <f>AnalysesComparatives_SCL!J14</f>
        <v>0</v>
      </c>
      <c r="N18" s="499"/>
      <c r="O18" s="499"/>
      <c r="P18" s="499"/>
      <c r="Q18" s="499"/>
      <c r="R18" s="499"/>
      <c r="S18" s="499"/>
      <c r="T18" s="499"/>
      <c r="U18" s="499"/>
      <c r="V18" s="499"/>
      <c r="W18" s="500"/>
      <c r="X18" s="262"/>
      <c r="Y18" s="262"/>
      <c r="Z18" s="262"/>
    </row>
    <row r="19" spans="1:26" ht="36.75" customHeight="1" x14ac:dyDescent="0.4">
      <c r="A19" s="262"/>
      <c r="B19" s="479" t="s">
        <v>40</v>
      </c>
      <c r="C19" s="480"/>
      <c r="D19" s="188"/>
      <c r="E19" s="190" t="str" cm="1">
        <f t="array" ref="E19">_xlfn.IFS(I52="","",$K$10="Validé",AVERAGE(I52:I53,J52),$K$10="Non validé",AVERAGE(I52:I53,J52)*0.9)</f>
        <v/>
      </c>
      <c r="F19" s="262"/>
      <c r="G19" s="510"/>
      <c r="H19" s="487"/>
      <c r="I19" s="487"/>
      <c r="J19" s="508"/>
      <c r="K19" s="262"/>
      <c r="L19" s="262"/>
      <c r="M19" s="501"/>
      <c r="N19" s="502"/>
      <c r="O19" s="502"/>
      <c r="P19" s="502"/>
      <c r="Q19" s="502"/>
      <c r="R19" s="502"/>
      <c r="S19" s="502"/>
      <c r="T19" s="502"/>
      <c r="U19" s="502"/>
      <c r="V19" s="502"/>
      <c r="W19" s="503"/>
      <c r="X19" s="262"/>
      <c r="Y19" s="262"/>
      <c r="Z19" s="262"/>
    </row>
    <row r="20" spans="1:26" ht="36.75" customHeight="1" x14ac:dyDescent="0.4">
      <c r="A20" s="262"/>
      <c r="B20" s="479" t="s">
        <v>41</v>
      </c>
      <c r="C20" s="480"/>
      <c r="D20" s="188"/>
      <c r="E20" s="190" t="str" cm="1">
        <f t="array" ref="E20">_xlfn.IFS(I54="","",$K$10="Validé",AVERAGE(I54:I55,J54),$K$10="Non validé",AVERAGE(I54:I55,J54)*0.9)</f>
        <v/>
      </c>
      <c r="F20" s="262"/>
      <c r="G20" s="262"/>
      <c r="H20" s="262"/>
      <c r="I20" s="262"/>
      <c r="J20" s="262"/>
      <c r="K20" s="262"/>
      <c r="L20" s="262"/>
      <c r="M20" s="501"/>
      <c r="N20" s="502"/>
      <c r="O20" s="502"/>
      <c r="P20" s="502"/>
      <c r="Q20" s="502"/>
      <c r="R20" s="502"/>
      <c r="S20" s="502"/>
      <c r="T20" s="502"/>
      <c r="U20" s="502"/>
      <c r="V20" s="502"/>
      <c r="W20" s="503"/>
      <c r="X20" s="262"/>
      <c r="Y20" s="262"/>
      <c r="Z20" s="262"/>
    </row>
    <row r="21" spans="1:26" ht="36.75" customHeight="1" x14ac:dyDescent="0.4">
      <c r="A21" s="262"/>
      <c r="B21" s="477" t="s">
        <v>42</v>
      </c>
      <c r="C21" s="478"/>
      <c r="D21" s="94"/>
      <c r="E21" s="189" t="str" cm="1">
        <f t="array" ref="E21">_xlfn.IFS(I56="","",$K$10="Validé",AVERAGE(I56:I57,J56),$K$10="Non validé",AVERAGE(I56:I57,J56)*0.9)</f>
        <v/>
      </c>
      <c r="F21" s="262"/>
      <c r="G21" s="262"/>
      <c r="H21" s="262"/>
      <c r="I21" s="262"/>
      <c r="J21" s="262"/>
      <c r="K21" s="262"/>
      <c r="L21" s="262"/>
      <c r="M21" s="501"/>
      <c r="N21" s="502"/>
      <c r="O21" s="502"/>
      <c r="P21" s="502"/>
      <c r="Q21" s="502"/>
      <c r="R21" s="502"/>
      <c r="S21" s="502"/>
      <c r="T21" s="502"/>
      <c r="U21" s="502"/>
      <c r="V21" s="502"/>
      <c r="W21" s="503"/>
      <c r="X21" s="262"/>
      <c r="Y21" s="262"/>
      <c r="Z21" s="262"/>
    </row>
    <row r="22" spans="1:26" ht="24.75" customHeight="1" x14ac:dyDescent="0.4">
      <c r="A22" s="262"/>
      <c r="B22" s="262"/>
      <c r="C22" s="262"/>
      <c r="D22" s="262"/>
      <c r="E22" s="262"/>
      <c r="F22" s="262"/>
      <c r="G22" s="262"/>
      <c r="H22" s="262"/>
      <c r="I22" s="262"/>
      <c r="J22" s="262"/>
      <c r="K22" s="262"/>
      <c r="L22" s="262"/>
      <c r="M22" s="501"/>
      <c r="N22" s="502"/>
      <c r="O22" s="502"/>
      <c r="P22" s="502"/>
      <c r="Q22" s="502"/>
      <c r="R22" s="502"/>
      <c r="S22" s="502"/>
      <c r="T22" s="502"/>
      <c r="U22" s="502"/>
      <c r="V22" s="502"/>
      <c r="W22" s="503"/>
      <c r="X22" s="262"/>
      <c r="Y22" s="262"/>
      <c r="Z22" s="262"/>
    </row>
    <row r="23" spans="1:26" ht="24.75" customHeight="1" x14ac:dyDescent="0.4">
      <c r="A23" s="262"/>
      <c r="B23" s="262"/>
      <c r="C23" s="262"/>
      <c r="D23" s="262"/>
      <c r="E23" s="262"/>
      <c r="F23" s="262"/>
      <c r="G23" s="273"/>
      <c r="H23" s="273"/>
      <c r="I23" s="273"/>
      <c r="J23" s="273"/>
      <c r="K23" s="273"/>
      <c r="L23" s="273"/>
      <c r="M23" s="501"/>
      <c r="N23" s="502"/>
      <c r="O23" s="502"/>
      <c r="P23" s="502"/>
      <c r="Q23" s="502"/>
      <c r="R23" s="502"/>
      <c r="S23" s="502"/>
      <c r="T23" s="502"/>
      <c r="U23" s="502"/>
      <c r="V23" s="502"/>
      <c r="W23" s="503"/>
      <c r="X23" s="262"/>
      <c r="Y23" s="262"/>
      <c r="Z23" s="262"/>
    </row>
    <row r="24" spans="1:26" ht="24.75" customHeight="1" x14ac:dyDescent="0.4">
      <c r="A24" s="262"/>
      <c r="B24" s="262"/>
      <c r="C24" s="262"/>
      <c r="D24" s="262"/>
      <c r="E24" s="262"/>
      <c r="F24" s="262"/>
      <c r="G24" s="262"/>
      <c r="H24" s="262"/>
      <c r="I24" s="262"/>
      <c r="J24" s="262"/>
      <c r="K24" s="262"/>
      <c r="L24" s="262"/>
      <c r="M24" s="501"/>
      <c r="N24" s="502"/>
      <c r="O24" s="502"/>
      <c r="P24" s="502"/>
      <c r="Q24" s="502"/>
      <c r="R24" s="502"/>
      <c r="S24" s="502"/>
      <c r="T24" s="502"/>
      <c r="U24" s="502"/>
      <c r="V24" s="502"/>
      <c r="W24" s="503"/>
      <c r="X24" s="262"/>
      <c r="Y24" s="262"/>
      <c r="Z24" s="262"/>
    </row>
    <row r="25" spans="1:26" ht="24.75" customHeight="1" x14ac:dyDescent="0.4">
      <c r="A25" s="262"/>
      <c r="B25" s="262"/>
      <c r="C25" s="262"/>
      <c r="D25" s="262"/>
      <c r="E25" s="262"/>
      <c r="F25" s="262"/>
      <c r="G25" s="262"/>
      <c r="H25" s="262"/>
      <c r="I25" s="262"/>
      <c r="J25" s="262"/>
      <c r="K25" s="262"/>
      <c r="L25" s="262"/>
      <c r="M25" s="504"/>
      <c r="N25" s="505"/>
      <c r="O25" s="505"/>
      <c r="P25" s="505"/>
      <c r="Q25" s="505"/>
      <c r="R25" s="505"/>
      <c r="S25" s="505"/>
      <c r="T25" s="505"/>
      <c r="U25" s="505"/>
      <c r="V25" s="505"/>
      <c r="W25" s="506"/>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488" t="s">
        <v>84</v>
      </c>
      <c r="C27" s="489"/>
      <c r="D27" s="489"/>
      <c r="E27" s="489"/>
      <c r="F27" s="489"/>
      <c r="G27" s="489"/>
      <c r="H27" s="489"/>
      <c r="I27" s="489"/>
      <c r="J27" s="489"/>
      <c r="K27" s="489"/>
      <c r="L27" s="489"/>
      <c r="M27" s="489"/>
      <c r="N27" s="489"/>
      <c r="O27" s="489"/>
      <c r="P27" s="489"/>
      <c r="Q27" s="489"/>
      <c r="R27" s="489"/>
      <c r="S27" s="489"/>
      <c r="T27" s="489"/>
      <c r="U27" s="489"/>
      <c r="V27" s="489"/>
      <c r="W27" s="490"/>
      <c r="X27" s="262"/>
      <c r="Y27" s="262"/>
    </row>
    <row r="28" spans="1:26" s="84" customFormat="1" ht="19.5" customHeight="1" thickBot="1" x14ac:dyDescent="0.45">
      <c r="B28" s="491"/>
      <c r="C28" s="492"/>
      <c r="D28" s="492"/>
      <c r="E28" s="492"/>
      <c r="F28" s="492"/>
      <c r="G28" s="492"/>
      <c r="H28" s="492"/>
      <c r="I28" s="492"/>
      <c r="J28" s="492"/>
      <c r="K28" s="492"/>
      <c r="L28" s="492"/>
      <c r="M28" s="492"/>
      <c r="N28" s="492"/>
      <c r="O28" s="492"/>
      <c r="P28" s="492"/>
      <c r="Q28" s="492"/>
      <c r="R28" s="492"/>
      <c r="S28" s="492"/>
      <c r="T28" s="492"/>
      <c r="U28" s="492"/>
      <c r="V28" s="492"/>
      <c r="W28" s="493"/>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560" t="s">
        <v>27</v>
      </c>
      <c r="C32" s="561"/>
      <c r="D32" s="561"/>
      <c r="E32" s="561"/>
      <c r="F32" s="561"/>
      <c r="G32" s="561"/>
      <c r="H32" s="562"/>
      <c r="I32" s="563" t="s">
        <v>13</v>
      </c>
      <c r="J32" s="494" t="s">
        <v>28</v>
      </c>
      <c r="K32" s="464" t="s">
        <v>29</v>
      </c>
      <c r="L32" s="465"/>
      <c r="M32" s="466"/>
      <c r="N32" s="262"/>
      <c r="O32" s="262"/>
      <c r="P32" s="262"/>
      <c r="Q32" s="262"/>
      <c r="R32" s="262"/>
      <c r="S32" s="262"/>
      <c r="T32" s="262"/>
      <c r="U32" s="262"/>
      <c r="V32" s="262"/>
      <c r="W32" s="262"/>
      <c r="X32" s="262"/>
      <c r="Y32" s="262"/>
      <c r="Z32" s="262"/>
    </row>
    <row r="33" spans="1:26" ht="29.25" customHeight="1" outlineLevel="1" thickBot="1" x14ac:dyDescent="0.45">
      <c r="A33" s="84"/>
      <c r="B33" s="565" t="s">
        <v>30</v>
      </c>
      <c r="C33" s="566"/>
      <c r="D33" s="89" t="s">
        <v>31</v>
      </c>
      <c r="E33" s="90"/>
      <c r="F33" s="89" t="s">
        <v>32</v>
      </c>
      <c r="G33" s="567" t="s">
        <v>11</v>
      </c>
      <c r="H33" s="568"/>
      <c r="I33" s="564"/>
      <c r="J33" s="495"/>
      <c r="K33" s="467"/>
      <c r="L33" s="468"/>
      <c r="M33" s="469"/>
      <c r="N33" s="262"/>
      <c r="O33" s="262"/>
      <c r="P33" s="262"/>
      <c r="Q33" s="262"/>
      <c r="R33" s="262"/>
      <c r="S33" s="262"/>
      <c r="T33" s="262"/>
      <c r="U33" s="262"/>
      <c r="V33" s="262"/>
      <c r="W33" s="262"/>
      <c r="X33" s="262"/>
      <c r="Y33" s="262"/>
      <c r="Z33" s="262"/>
    </row>
    <row r="34" spans="1:26" ht="28.5" customHeight="1" outlineLevel="1" x14ac:dyDescent="0.4">
      <c r="A34" s="84"/>
      <c r="B34" s="455" t="s">
        <v>23</v>
      </c>
      <c r="C34" s="569" t="str">
        <f>IF(SA_GRILLE_SCL!$C$3="","",SA_GRILLE_SCL!$C$3)</f>
        <v/>
      </c>
      <c r="D34" s="457" t="str">
        <f>IF(SA_GRILLE_SCL!$A$3="","",SA_GRILLE_SCL!$A$3)</f>
        <v/>
      </c>
      <c r="E34" s="78" t="s">
        <v>16</v>
      </c>
      <c r="F34" s="91" t="str">
        <f>IF(SA_GRILLE_SCL!$A$5="","",SA_GRILLE_SCL!$A$5)</f>
        <v>Caisson</v>
      </c>
      <c r="G34" s="459" t="str">
        <f>IF(SA_GRILLE_SCL!$C$19="","",SA_GRILLE_SCL!$C$19)</f>
        <v/>
      </c>
      <c r="H34" s="460"/>
      <c r="I34" s="79">
        <f>IF(SA_GRILLE_SCL!D19="","",SA_GRILLE_SCL!D19)</f>
        <v>0</v>
      </c>
      <c r="J34" s="496" t="str">
        <f>IF(AnalysesComparatives_SCL!F24="","",AnalysesComparatives_SCL!F24)</f>
        <v/>
      </c>
      <c r="K34" s="470" t="str">
        <f>IF(SA_GRILLE_SCL!B$19="","",SA_GRILLE_SCL!B$19)</f>
        <v/>
      </c>
      <c r="L34" s="471"/>
      <c r="M34" s="472"/>
      <c r="N34" s="262"/>
      <c r="O34" s="262"/>
      <c r="P34" s="262"/>
      <c r="Q34" s="262"/>
      <c r="R34" s="262"/>
      <c r="S34" s="262"/>
      <c r="T34" s="262"/>
      <c r="U34" s="262"/>
      <c r="V34" s="262"/>
      <c r="W34" s="262"/>
      <c r="X34" s="262"/>
      <c r="Y34" s="262"/>
      <c r="Z34" s="262"/>
    </row>
    <row r="35" spans="1:26" ht="28.5" customHeight="1" outlineLevel="1" thickBot="1" x14ac:dyDescent="0.45">
      <c r="A35" s="84"/>
      <c r="B35" s="456"/>
      <c r="C35" s="570"/>
      <c r="D35" s="458"/>
      <c r="E35" s="81" t="s">
        <v>33</v>
      </c>
      <c r="F35" s="92" t="str">
        <f>IF(SA_GRILLE_SCL!$A$22="","",SA_GRILLE_SCL!$A$22)</f>
        <v>Préleveur Automatique</v>
      </c>
      <c r="G35" s="473" t="str">
        <f>IF(SA_GRILLE_SCL!$C$37="","",SA_GRILLE_SCL!$C$37)</f>
        <v/>
      </c>
      <c r="H35" s="474"/>
      <c r="I35" s="82">
        <f>IF(SA_GRILLE_SCL!D37="","",SA_GRILLE_SCL!D37)</f>
        <v>0</v>
      </c>
      <c r="J35" s="497"/>
      <c r="K35" s="461" t="str">
        <f>IF(SA_GRILLE_SCL!B$37="","",SA_GRILLE_SCL!B$37)</f>
        <v/>
      </c>
      <c r="L35" s="462"/>
      <c r="M35" s="463"/>
      <c r="N35" s="262"/>
      <c r="O35" s="262"/>
      <c r="P35" s="262"/>
      <c r="Q35" s="262"/>
      <c r="R35" s="262"/>
      <c r="S35" s="262"/>
      <c r="T35" s="262"/>
      <c r="U35" s="262"/>
      <c r="V35" s="262"/>
      <c r="W35" s="262"/>
      <c r="X35" s="262"/>
      <c r="Y35" s="262"/>
      <c r="Z35" s="262"/>
    </row>
    <row r="36" spans="1:26" ht="28.5" customHeight="1" outlineLevel="1" thickBot="1" x14ac:dyDescent="0.65">
      <c r="A36" s="84"/>
      <c r="B36" s="455" t="s">
        <v>24</v>
      </c>
      <c r="C36" s="77" t="str">
        <f>IF(SA_GRILLE_SCL!$H$3="","",SA_GRILLE_SCL!$H$3)</f>
        <v/>
      </c>
      <c r="D36" s="457" t="str">
        <f>IF(SA_GRILLE_SCL!$F$3="","",SA_GRILLE_SCL!$F$3)</f>
        <v/>
      </c>
      <c r="E36" s="78" t="s">
        <v>16</v>
      </c>
      <c r="F36" s="91" t="str">
        <f>IF(SA_GRILLE_SCL!$F$5="","",SA_GRILLE_SCL!$F$5)</f>
        <v/>
      </c>
      <c r="G36" s="459" t="str">
        <f>IF(SA_GRILLE_SCL!$H$19="","",SA_GRILLE_SCL!$H$19)</f>
        <v/>
      </c>
      <c r="H36" s="460"/>
      <c r="I36" s="79" t="str">
        <f>IF(SA_GRILLE_SCL!I$19="","",SA_GRILLE_SCL!I$19)</f>
        <v/>
      </c>
      <c r="J36" s="555" t="str">
        <f>IF(AnalysesComparatives_SCL!F25="","",AnalysesComparatives_SCL!F25)</f>
        <v/>
      </c>
      <c r="K36" s="470" t="str">
        <f>IF(SA_GRILLE_SCL!G$19="","",SA_GRILLE_SCL!G$19)</f>
        <v/>
      </c>
      <c r="L36" s="471"/>
      <c r="M36" s="472"/>
      <c r="N36" s="262"/>
      <c r="O36" s="262"/>
      <c r="P36" s="262"/>
      <c r="Q36" s="262"/>
      <c r="R36" s="262"/>
      <c r="S36" s="262"/>
      <c r="T36" s="262"/>
      <c r="U36" s="262"/>
      <c r="V36" s="262"/>
      <c r="W36" s="262"/>
      <c r="X36" s="262"/>
      <c r="Y36" s="262"/>
      <c r="Z36" s="262"/>
    </row>
    <row r="37" spans="1:26" ht="28.5" customHeight="1" outlineLevel="1" thickBot="1" x14ac:dyDescent="0.65">
      <c r="A37" s="84"/>
      <c r="B37" s="456"/>
      <c r="C37" s="80" t="str">
        <f>C36</f>
        <v/>
      </c>
      <c r="D37" s="458"/>
      <c r="E37" s="81" t="s">
        <v>33</v>
      </c>
      <c r="F37" s="92" t="str">
        <f>IF(SA_GRILLE_SCL!$F$22="","",SA_GRILLE_SCL!$F$22)</f>
        <v/>
      </c>
      <c r="G37" s="473" t="str">
        <f>IF(SA_GRILLE_SCL!$H$37="","",SA_GRILLE_SCL!$H$37)</f>
        <v/>
      </c>
      <c r="H37" s="474"/>
      <c r="I37" s="82" t="str">
        <f>IF(SA_GRILLE_SCL!I$37="","",SA_GRILLE_SCL!I$37)</f>
        <v/>
      </c>
      <c r="J37" s="555"/>
      <c r="K37" s="461" t="str">
        <f>IF(SA_GRILLE_SCL!G$37="","",SA_GRILLE_SCL!G$37)</f>
        <v/>
      </c>
      <c r="L37" s="462"/>
      <c r="M37" s="463"/>
      <c r="N37" s="262"/>
      <c r="O37" s="262"/>
      <c r="P37" s="262"/>
      <c r="Q37" s="262"/>
      <c r="R37" s="262"/>
      <c r="S37" s="262"/>
      <c r="T37" s="262"/>
      <c r="U37" s="262"/>
      <c r="V37" s="262"/>
      <c r="W37" s="262"/>
      <c r="X37" s="262"/>
      <c r="Y37" s="262"/>
      <c r="Z37" s="262"/>
    </row>
    <row r="38" spans="1:26" ht="28.5" customHeight="1" outlineLevel="1" thickBot="1" x14ac:dyDescent="0.65">
      <c r="A38" s="84"/>
      <c r="B38" s="455" t="s">
        <v>25</v>
      </c>
      <c r="C38" s="77" t="str">
        <f>IF(SA_GRILLE_SCL!$M$3="","",SA_GRILLE_SCL!$M$3)</f>
        <v/>
      </c>
      <c r="D38" s="457" t="str">
        <f>IF(SA_GRILLE_SCL!$K$3="","",SA_GRILLE_SCL!$K$3)</f>
        <v/>
      </c>
      <c r="E38" s="78" t="s">
        <v>16</v>
      </c>
      <c r="F38" s="91" t="str">
        <f>IF(SA_GRILLE_SCL!$K$5="","",SA_GRILLE_SCL!$K$5)</f>
        <v/>
      </c>
      <c r="G38" s="459" t="str">
        <f>IF(SA_GRILLE_SCL!$M$19="","",SA_GRILLE_SCL!$M$19)</f>
        <v/>
      </c>
      <c r="H38" s="460"/>
      <c r="I38" s="194" t="s">
        <v>185</v>
      </c>
      <c r="J38" s="555" t="str">
        <f>IF(AnalysesComparatives_SCL!F26="","",AnalysesComparatives_SCL!F26)</f>
        <v/>
      </c>
      <c r="K38" s="470" t="str">
        <f>IF(SA_GRILLE_SCL!L$19="","",SA_GRILLE_SCL!L$19)</f>
        <v/>
      </c>
      <c r="L38" s="471"/>
      <c r="M38" s="472"/>
      <c r="N38" s="262"/>
      <c r="O38" s="262"/>
      <c r="P38" s="262"/>
      <c r="Q38" s="262"/>
      <c r="R38" s="262"/>
      <c r="S38" s="262"/>
      <c r="T38" s="262"/>
      <c r="U38" s="262"/>
      <c r="V38" s="262"/>
      <c r="W38" s="262"/>
      <c r="X38" s="262"/>
      <c r="Y38" s="262"/>
      <c r="Z38" s="262"/>
    </row>
    <row r="39" spans="1:26" ht="28.5" customHeight="1" outlineLevel="1" thickBot="1" x14ac:dyDescent="0.65">
      <c r="A39" s="84"/>
      <c r="B39" s="456"/>
      <c r="C39" s="80" t="str">
        <f>C38</f>
        <v/>
      </c>
      <c r="D39" s="458"/>
      <c r="E39" s="81" t="s">
        <v>33</v>
      </c>
      <c r="F39" s="92" t="str">
        <f>IF(SA_GRILLE_SCL!$K$22="","",SA_GRILLE_SCL!$K$22)</f>
        <v/>
      </c>
      <c r="G39" s="473" t="str">
        <f>IF(SA_GRILLE_SCL!$M$37="","",SA_GRILLE_SCL!$M$37)</f>
        <v/>
      </c>
      <c r="H39" s="474"/>
      <c r="I39" s="82" t="str">
        <f>IF(SA_GRILLE_SCL!N$37="","",SA_GRILLE_SCL!N$37)</f>
        <v/>
      </c>
      <c r="J39" s="555"/>
      <c r="K39" s="461" t="str">
        <f>IF(SA_GRILLE_SCL!L$37="","",SA_GRILLE_SCL!L$37)</f>
        <v/>
      </c>
      <c r="L39" s="462"/>
      <c r="M39" s="463"/>
      <c r="N39" s="262"/>
      <c r="O39" s="262"/>
      <c r="P39" s="262"/>
      <c r="Q39" s="262"/>
      <c r="R39" s="262"/>
      <c r="S39" s="262"/>
      <c r="T39" s="262"/>
      <c r="U39" s="262"/>
      <c r="V39" s="262"/>
      <c r="W39" s="262"/>
      <c r="X39" s="262"/>
      <c r="Y39" s="262"/>
      <c r="Z39" s="262"/>
    </row>
    <row r="40" spans="1:26" ht="28.5" customHeight="1" outlineLevel="1" thickBot="1" x14ac:dyDescent="0.65">
      <c r="A40" s="84"/>
      <c r="B40" s="455" t="s">
        <v>34</v>
      </c>
      <c r="C40" s="77" t="str">
        <f>IF(SA_GRILLE_SCL!$R$3="","",SA_GRILLE_SCL!$R$3)</f>
        <v/>
      </c>
      <c r="D40" s="457" t="str">
        <f>IF(SA_GRILLE_SCL!$P$3="","",SA_GRILLE_SCL!$P$3)</f>
        <v/>
      </c>
      <c r="E40" s="78" t="s">
        <v>16</v>
      </c>
      <c r="F40" s="91" t="str">
        <f>IF(SA_GRILLE_SCL!$P$5="","",SA_GRILLE_SCL!$P$5)</f>
        <v/>
      </c>
      <c r="G40" s="459" t="str">
        <f>IF(SA_GRILLE_SCL!$R$19="","",SA_GRILLE_SCL!$R$19)</f>
        <v/>
      </c>
      <c r="H40" s="460"/>
      <c r="I40" s="79" t="str">
        <f>IF(SA_GRILLE_SCL!S$19="","",SA_GRILLE_SCL!S$19)</f>
        <v/>
      </c>
      <c r="J40" s="555" t="str">
        <f>IF(AnalysesComparatives_SCL!F27="","",AnalysesComparatives_SCL!F27)</f>
        <v/>
      </c>
      <c r="K40" s="470" t="str">
        <f>IF(SA_GRILLE_SCL!Q$19="","",SA_GRILLE_SCL!Q$19)</f>
        <v/>
      </c>
      <c r="L40" s="471"/>
      <c r="M40" s="472"/>
      <c r="N40" s="262"/>
      <c r="O40" s="262"/>
      <c r="P40" s="262"/>
      <c r="Q40" s="262"/>
      <c r="R40" s="262"/>
      <c r="S40" s="262"/>
      <c r="T40" s="262"/>
      <c r="U40" s="262"/>
      <c r="V40" s="262"/>
      <c r="W40" s="262"/>
      <c r="X40" s="262"/>
      <c r="Y40" s="262"/>
      <c r="Z40" s="262"/>
    </row>
    <row r="41" spans="1:26" ht="28.5" customHeight="1" outlineLevel="1" thickBot="1" x14ac:dyDescent="0.65">
      <c r="A41" s="84"/>
      <c r="B41" s="456"/>
      <c r="C41" s="80" t="str">
        <f>C40</f>
        <v/>
      </c>
      <c r="D41" s="458"/>
      <c r="E41" s="81" t="s">
        <v>33</v>
      </c>
      <c r="F41" s="92" t="str">
        <f>IF(SA_GRILLE_SCL!$P$22="","",SA_GRILLE_SCL!$P$22)</f>
        <v/>
      </c>
      <c r="G41" s="473" t="str">
        <f>IF(SA_GRILLE_SCL!$R$37="","",SA_GRILLE_SCL!$R$37)</f>
        <v/>
      </c>
      <c r="H41" s="474"/>
      <c r="I41" s="82" t="str">
        <f>IF(SA_GRILLE_SCL!S$37="","",SA_GRILLE_SCL!S$37)</f>
        <v/>
      </c>
      <c r="J41" s="555"/>
      <c r="K41" s="461" t="str">
        <f>IF(SA_GRILLE_SCL!Q$37="","",SA_GRILLE_SCL!Q$37)</f>
        <v/>
      </c>
      <c r="L41" s="462"/>
      <c r="M41" s="463"/>
      <c r="N41" s="262"/>
      <c r="O41" s="262"/>
      <c r="P41" s="262"/>
      <c r="Q41" s="262"/>
      <c r="R41" s="262"/>
      <c r="S41" s="262"/>
      <c r="T41" s="262"/>
      <c r="U41" s="262"/>
      <c r="V41" s="262"/>
      <c r="W41" s="262"/>
      <c r="X41" s="262"/>
      <c r="Y41" s="262"/>
      <c r="Z41" s="262"/>
    </row>
    <row r="42" spans="1:26" ht="28.5" customHeight="1" outlineLevel="1" thickBot="1" x14ac:dyDescent="0.65">
      <c r="A42" s="84"/>
      <c r="B42" s="455" t="s">
        <v>35</v>
      </c>
      <c r="C42" s="77" t="str">
        <f>IF(SA_GRILLE_SCL!$W$3="","",SA_GRILLE_SCL!$W$3)</f>
        <v/>
      </c>
      <c r="D42" s="457" t="str">
        <f>IF(SA_GRILLE_SCL!$U$3="","",SA_GRILLE_SCL!$U$3)</f>
        <v/>
      </c>
      <c r="E42" s="78" t="s">
        <v>16</v>
      </c>
      <c r="F42" s="91" t="str">
        <f>IF(SA_GRILLE_SCL!$U$5="","",SA_GRILLE_SCL!$U$5)</f>
        <v/>
      </c>
      <c r="G42" s="459" t="str">
        <f>IF(SA_GRILLE_SCL!$W$19="","",SA_GRILLE_SCL!$W$19)</f>
        <v/>
      </c>
      <c r="H42" s="460"/>
      <c r="I42" s="79" t="str">
        <f>IF(SA_GRILLE_SCL!X$19="","",SA_GRILLE_SCL!X$19)</f>
        <v/>
      </c>
      <c r="J42" s="555" t="str">
        <f>IF(AnalysesComparatives_SCL!F28="","",AnalysesComparatives_SCL!F28)</f>
        <v/>
      </c>
      <c r="K42" s="470" t="str">
        <f>IF(SA_GRILLE_SCL!V$19="","",SA_GRILLE_SCL!V$19)</f>
        <v/>
      </c>
      <c r="L42" s="471"/>
      <c r="M42" s="472"/>
      <c r="N42" s="262"/>
      <c r="O42" s="262"/>
      <c r="P42" s="262"/>
      <c r="Q42" s="262"/>
      <c r="R42" s="262"/>
      <c r="S42" s="262"/>
      <c r="T42" s="262"/>
      <c r="U42" s="262"/>
      <c r="V42" s="262"/>
      <c r="W42" s="262"/>
      <c r="X42" s="262"/>
      <c r="Y42" s="262"/>
      <c r="Z42" s="262"/>
    </row>
    <row r="43" spans="1:26" ht="28.5" customHeight="1" outlineLevel="1" thickBot="1" x14ac:dyDescent="0.65">
      <c r="A43" s="84"/>
      <c r="B43" s="456"/>
      <c r="C43" s="80" t="str">
        <f>C42</f>
        <v/>
      </c>
      <c r="D43" s="458"/>
      <c r="E43" s="81" t="s">
        <v>33</v>
      </c>
      <c r="F43" s="92" t="str">
        <f>IF(SA_GRILLE_SCL!$U$22="","",SA_GRILLE_SCL!$U$22)</f>
        <v/>
      </c>
      <c r="G43" s="473" t="str">
        <f>IF(SA_GRILLE_SCL!$W$37="","",SA_GRILLE_SCL!$W$37)</f>
        <v/>
      </c>
      <c r="H43" s="474"/>
      <c r="I43" s="82" t="str">
        <f>IF(SA_GRILLE_SCL!X$37="","",SA_GRILLE_SCL!X$37)</f>
        <v/>
      </c>
      <c r="J43" s="555"/>
      <c r="K43" s="461" t="str">
        <f>IF(SA_GRILLE_SCL!V$37="","",SA_GRILLE_SCL!V$37)</f>
        <v/>
      </c>
      <c r="L43" s="462"/>
      <c r="M43" s="463"/>
      <c r="N43" s="262"/>
      <c r="O43" s="262"/>
      <c r="P43" s="262"/>
      <c r="Q43" s="262"/>
      <c r="R43" s="262"/>
      <c r="S43" s="262"/>
      <c r="T43" s="262"/>
      <c r="U43" s="262"/>
      <c r="V43" s="262"/>
      <c r="W43" s="262"/>
      <c r="X43" s="262"/>
      <c r="Y43" s="262"/>
      <c r="Z43" s="262"/>
    </row>
    <row r="44" spans="1:26" ht="28.5" customHeight="1" outlineLevel="1" thickBot="1" x14ac:dyDescent="0.65">
      <c r="A44" s="84"/>
      <c r="B44" s="455" t="s">
        <v>36</v>
      </c>
      <c r="C44" s="77" t="str">
        <f>IF(SA_GRILLE_SCL!$AB$3="","",SA_GRILLE_SCL!$AB$3)</f>
        <v/>
      </c>
      <c r="D44" s="457" t="str">
        <f>IF(SA_GRILLE_SCL!$Z$3="","",SA_GRILLE_SCL!$Z$3)</f>
        <v/>
      </c>
      <c r="E44" s="78" t="s">
        <v>16</v>
      </c>
      <c r="F44" s="91" t="str">
        <f>IF(SA_GRILLE_SCL!$Z$5="","",SA_GRILLE_SCL!$Z$5)</f>
        <v/>
      </c>
      <c r="G44" s="459" t="str">
        <f>IF(SA_GRILLE_SCL!$AB$19="","",SA_GRILLE_SCL!$AB$19)</f>
        <v/>
      </c>
      <c r="H44" s="460"/>
      <c r="I44" s="79" t="str">
        <f>IF(SA_GRILLE_SCL!AC$19="","",SA_GRILLE_SCL!AC$19)</f>
        <v/>
      </c>
      <c r="J44" s="555" t="str">
        <f>IF(AnalysesComparatives_SCL!F29="","",AnalysesComparatives_SCL!F29)</f>
        <v/>
      </c>
      <c r="K44" s="470" t="str">
        <f>IF(SA_GRILLE_SCL!AA$19="","",SA_GRILLE_SCL!AA$19)</f>
        <v/>
      </c>
      <c r="L44" s="471"/>
      <c r="M44" s="472"/>
      <c r="N44" s="262"/>
      <c r="O44" s="262"/>
      <c r="P44" s="262"/>
      <c r="Q44" s="262"/>
      <c r="R44" s="262"/>
      <c r="S44" s="262"/>
      <c r="T44" s="262"/>
      <c r="U44" s="262"/>
      <c r="V44" s="262"/>
      <c r="W44" s="262"/>
      <c r="X44" s="262"/>
      <c r="Y44" s="262"/>
      <c r="Z44" s="262"/>
    </row>
    <row r="45" spans="1:26" ht="28.5" customHeight="1" outlineLevel="1" thickBot="1" x14ac:dyDescent="0.65">
      <c r="A45" s="84"/>
      <c r="B45" s="456"/>
      <c r="C45" s="80" t="str">
        <f>C44</f>
        <v/>
      </c>
      <c r="D45" s="458"/>
      <c r="E45" s="81" t="s">
        <v>33</v>
      </c>
      <c r="F45" s="92" t="str">
        <f>IF(SA_GRILLE_SCL!$Z$22="","",SA_GRILLE_SCL!$Z$22)</f>
        <v/>
      </c>
      <c r="G45" s="473" t="str">
        <f>IF(SA_GRILLE_SCL!$AB$37="","",SA_GRILLE_SCL!$AB$37)</f>
        <v/>
      </c>
      <c r="H45" s="474"/>
      <c r="I45" s="82" t="str">
        <f>IF(SA_GRILLE_SCL!AC$37="","",SA_GRILLE_SCL!AC$37)</f>
        <v/>
      </c>
      <c r="J45" s="555"/>
      <c r="K45" s="461" t="str">
        <f>IF(SA_GRILLE_SCL!AA$37="","",SA_GRILLE_SCL!AA$37)</f>
        <v/>
      </c>
      <c r="L45" s="462"/>
      <c r="M45" s="463"/>
      <c r="N45" s="262"/>
      <c r="O45" s="262"/>
      <c r="P45" s="262"/>
      <c r="Q45" s="262"/>
      <c r="R45" s="262"/>
      <c r="S45" s="262"/>
      <c r="T45" s="262"/>
      <c r="U45" s="262"/>
      <c r="V45" s="262"/>
      <c r="W45" s="262"/>
      <c r="X45" s="262"/>
      <c r="Y45" s="262"/>
      <c r="Z45" s="262"/>
    </row>
    <row r="46" spans="1:26" ht="28.5" customHeight="1" outlineLevel="1" thickBot="1" x14ac:dyDescent="0.65">
      <c r="A46" s="84"/>
      <c r="B46" s="455" t="s">
        <v>37</v>
      </c>
      <c r="C46" s="77" t="str">
        <f>IF(SA_GRILLE_SCL!$AG$3="","",SA_GRILLE_SCL!$AG$3)</f>
        <v/>
      </c>
      <c r="D46" s="457" t="str">
        <f>IF(SA_GRILLE_SCL!$AE$3="","",SA_GRILLE_SCL!$AE$3)</f>
        <v/>
      </c>
      <c r="E46" s="78" t="s">
        <v>16</v>
      </c>
      <c r="F46" s="91" t="str">
        <f>IF(SA_GRILLE_SCL!$AE$5="","",SA_GRILLE_SCL!$AE$5)</f>
        <v/>
      </c>
      <c r="G46" s="459" t="str">
        <f>IF(SA_GRILLE_SCL!$AG$19="","",SA_GRILLE_SCL!$AG$19)</f>
        <v/>
      </c>
      <c r="H46" s="460"/>
      <c r="I46" s="79" t="str">
        <f>IF(SA_GRILLE_SCL!AH$19="","",SA_GRILLE_SCL!AH$19)</f>
        <v/>
      </c>
      <c r="J46" s="555" t="str">
        <f>IF(AnalysesComparatives_SCL!P24="","",AnalysesComparatives_SCL!P24)</f>
        <v/>
      </c>
      <c r="K46" s="470" t="str">
        <f>IF(SA_GRILLE_SCL!AF$19="","",SA_GRILLE_SCL!AF$19)</f>
        <v/>
      </c>
      <c r="L46" s="471"/>
      <c r="M46" s="472"/>
      <c r="N46" s="262"/>
      <c r="O46" s="262"/>
      <c r="P46" s="262"/>
      <c r="Q46" s="262"/>
      <c r="R46" s="262"/>
      <c r="S46" s="262"/>
      <c r="T46" s="262"/>
      <c r="U46" s="262"/>
      <c r="V46" s="262"/>
      <c r="W46" s="262"/>
      <c r="X46" s="262"/>
      <c r="Y46" s="262"/>
      <c r="Z46" s="262"/>
    </row>
    <row r="47" spans="1:26" ht="28.5" customHeight="1" outlineLevel="1" thickBot="1" x14ac:dyDescent="0.65">
      <c r="A47" s="84"/>
      <c r="B47" s="456"/>
      <c r="C47" s="80" t="str">
        <f>C46</f>
        <v/>
      </c>
      <c r="D47" s="458"/>
      <c r="E47" s="81" t="s">
        <v>33</v>
      </c>
      <c r="F47" s="92" t="str">
        <f>IF(SA_GRILLE_SCL!$AE$22="","",SA_GRILLE_SCL!$AE$22)</f>
        <v/>
      </c>
      <c r="G47" s="473" t="str">
        <f>IF(SA_GRILLE_SCL!$AG$37="","",SA_GRILLE_SCL!$AG$37)</f>
        <v/>
      </c>
      <c r="H47" s="474"/>
      <c r="I47" s="82" t="str">
        <f>IF(SA_GRILLE_SCL!AH$37="","",SA_GRILLE_SCL!AH$37)</f>
        <v/>
      </c>
      <c r="J47" s="555"/>
      <c r="K47" s="461" t="str">
        <f>IF(SA_GRILLE_SCL!AF$37="","",SA_GRILLE_SCL!AF$37)</f>
        <v/>
      </c>
      <c r="L47" s="462"/>
      <c r="M47" s="463"/>
      <c r="N47" s="262"/>
      <c r="O47" s="262"/>
      <c r="P47" s="262"/>
      <c r="Q47" s="262"/>
      <c r="R47" s="262"/>
      <c r="S47" s="262"/>
      <c r="T47" s="262"/>
      <c r="U47" s="262"/>
      <c r="V47" s="262"/>
      <c r="W47" s="262"/>
      <c r="X47" s="262"/>
      <c r="Y47" s="262"/>
      <c r="Z47" s="262"/>
    </row>
    <row r="48" spans="1:26" ht="28.5" customHeight="1" outlineLevel="1" thickBot="1" x14ac:dyDescent="0.65">
      <c r="A48" s="84"/>
      <c r="B48" s="455" t="s">
        <v>38</v>
      </c>
      <c r="C48" s="77" t="str">
        <f>IF(SA_GRILLE_SCL!$AL$3="","",SA_GRILLE_SCL!$AL$3)</f>
        <v/>
      </c>
      <c r="D48" s="457" t="str">
        <f>IF(SA_GRILLE_SCL!$AJ$3="","",SA_GRILLE_SCL!$AJ$3)</f>
        <v/>
      </c>
      <c r="E48" s="78" t="s">
        <v>16</v>
      </c>
      <c r="F48" s="91" t="str">
        <f>IF(SA_GRILLE_SCL!$AJ$5="","",SA_GRILLE_SCL!$AJ$5)</f>
        <v/>
      </c>
      <c r="G48" s="459" t="str">
        <f>IF(SA_GRILLE_SCL!$AL$19="","",SA_GRILLE_SCL!$AL$19)</f>
        <v/>
      </c>
      <c r="H48" s="460"/>
      <c r="I48" s="79" t="str">
        <f>IF(SA_GRILLE_SCL!AM$19="","",SA_GRILLE_SCL!AM$19)</f>
        <v/>
      </c>
      <c r="J48" s="555" t="str">
        <f>IF(AnalysesComparatives_SCL!P25="","",AnalysesComparatives_SCL!P25)</f>
        <v/>
      </c>
      <c r="K48" s="470" t="str">
        <f>IF(SA_GRILLE_SCL!AK$19="","",SA_GRILLE_SCL!AK$19)</f>
        <v/>
      </c>
      <c r="L48" s="471"/>
      <c r="M48" s="472"/>
      <c r="N48" s="262"/>
      <c r="O48" s="262"/>
      <c r="P48" s="262"/>
      <c r="Q48" s="262"/>
      <c r="R48" s="262"/>
      <c r="S48" s="262"/>
      <c r="T48" s="262"/>
      <c r="U48" s="262"/>
      <c r="V48" s="262"/>
      <c r="W48" s="262"/>
      <c r="X48" s="262"/>
      <c r="Y48" s="262"/>
      <c r="Z48" s="262"/>
    </row>
    <row r="49" spans="1:26" ht="28.5" customHeight="1" outlineLevel="1" thickBot="1" x14ac:dyDescent="0.65">
      <c r="A49" s="84"/>
      <c r="B49" s="456"/>
      <c r="C49" s="80" t="str">
        <f>C48</f>
        <v/>
      </c>
      <c r="D49" s="458"/>
      <c r="E49" s="81" t="s">
        <v>33</v>
      </c>
      <c r="F49" s="92" t="str">
        <f>IF(SA_GRILLE_SCL!$AJ$22="","",SA_GRILLE_SCL!$AJ$22)</f>
        <v/>
      </c>
      <c r="G49" s="473" t="str">
        <f>IF(SA_GRILLE_SCL!$AL$37="","",SA_GRILLE_SCL!$AL$37)</f>
        <v/>
      </c>
      <c r="H49" s="474"/>
      <c r="I49" s="82" t="str">
        <f>IF(SA_GRILLE_SCL!AM$37="","",SA_GRILLE_SCL!AM$37)</f>
        <v/>
      </c>
      <c r="J49" s="555"/>
      <c r="K49" s="461" t="str">
        <f>IF(SA_GRILLE_SCL!AK$37="","",SA_GRILLE_SCL!AK$37)</f>
        <v/>
      </c>
      <c r="L49" s="462"/>
      <c r="M49" s="463"/>
      <c r="N49" s="262"/>
      <c r="O49" s="262"/>
      <c r="P49" s="262"/>
      <c r="Q49" s="262"/>
      <c r="R49" s="262"/>
      <c r="S49" s="262"/>
      <c r="T49" s="262"/>
      <c r="U49" s="262"/>
      <c r="V49" s="262"/>
      <c r="W49" s="262"/>
      <c r="X49" s="262"/>
      <c r="Y49" s="262"/>
      <c r="Z49" s="262"/>
    </row>
    <row r="50" spans="1:26" ht="28.5" customHeight="1" outlineLevel="1" thickBot="1" x14ac:dyDescent="0.65">
      <c r="A50" s="84"/>
      <c r="B50" s="455" t="s">
        <v>39</v>
      </c>
      <c r="C50" s="77" t="str">
        <f>IF(SA_GRILLE_SCL!$AQ$3="","",SA_GRILLE_SCL!$AQ$3)</f>
        <v/>
      </c>
      <c r="D50" s="457" t="str">
        <f>IF(SA_GRILLE_SCL!$AO$3="","",SA_GRILLE_SCL!$AO$3)</f>
        <v/>
      </c>
      <c r="E50" s="78" t="s">
        <v>16</v>
      </c>
      <c r="F50" s="91" t="str">
        <f>IF(SA_GRILLE_SCL!$AO$5="","",SA_GRILLE_SCL!$AO$5)</f>
        <v/>
      </c>
      <c r="G50" s="459" t="str">
        <f>IF(SA_GRILLE_SCL!$AQ$19="","",SA_GRILLE_SCL!$AQ$19)</f>
        <v/>
      </c>
      <c r="H50" s="460"/>
      <c r="I50" s="79" t="str">
        <f>IF(SA_GRILLE_SCL!AR$19="","",SA_GRILLE_SCL!AR$19)</f>
        <v/>
      </c>
      <c r="J50" s="555" t="str">
        <f>IF(AnalysesComparatives_SCL!P26="","",AnalysesComparatives_SCL!P26)</f>
        <v/>
      </c>
      <c r="K50" s="470" t="str">
        <f>IF(SA_GRILLE_SCL!AP$19="","",SA_GRILLE_SCL!AP$19)</f>
        <v/>
      </c>
      <c r="L50" s="471"/>
      <c r="M50" s="472"/>
      <c r="N50" s="262"/>
      <c r="O50" s="262"/>
      <c r="P50" s="262"/>
      <c r="Q50" s="262"/>
      <c r="R50" s="262"/>
      <c r="S50" s="262"/>
      <c r="T50" s="262"/>
      <c r="U50" s="262"/>
      <c r="V50" s="262"/>
      <c r="W50" s="262"/>
      <c r="X50" s="262"/>
      <c r="Y50" s="262"/>
      <c r="Z50" s="262"/>
    </row>
    <row r="51" spans="1:26" ht="28.5" customHeight="1" outlineLevel="1" thickBot="1" x14ac:dyDescent="0.65">
      <c r="A51" s="84"/>
      <c r="B51" s="456"/>
      <c r="C51" s="80" t="str">
        <f>C50</f>
        <v/>
      </c>
      <c r="D51" s="458"/>
      <c r="E51" s="81" t="s">
        <v>33</v>
      </c>
      <c r="F51" s="92" t="str">
        <f>IF(SA_GRILLE_SCL!$AO$22="","",SA_GRILLE_SCL!$AO$22)</f>
        <v/>
      </c>
      <c r="G51" s="473" t="str">
        <f>IF(SA_GRILLE_SCL!$AQ$37="","",SA_GRILLE_SCL!$AQ$37)</f>
        <v/>
      </c>
      <c r="H51" s="474"/>
      <c r="I51" s="82" t="str">
        <f>IF(SA_GRILLE_SCL!AR$37="","",SA_GRILLE_SCL!AR$37)</f>
        <v/>
      </c>
      <c r="J51" s="555"/>
      <c r="K51" s="461" t="str">
        <f>IF(SA_GRILLE_SCL!AP$37="","",SA_GRILLE_SCL!AP$37)</f>
        <v/>
      </c>
      <c r="L51" s="462"/>
      <c r="M51" s="463"/>
      <c r="N51" s="262"/>
      <c r="O51" s="262"/>
      <c r="P51" s="262"/>
      <c r="Q51" s="262"/>
      <c r="R51" s="262"/>
      <c r="S51" s="262"/>
      <c r="T51" s="262"/>
      <c r="U51" s="262"/>
      <c r="V51" s="262"/>
      <c r="W51" s="262"/>
      <c r="X51" s="262"/>
      <c r="Y51" s="262"/>
      <c r="Z51" s="262"/>
    </row>
    <row r="52" spans="1:26" ht="28.5" customHeight="1" outlineLevel="1" thickBot="1" x14ac:dyDescent="0.65">
      <c r="A52" s="84"/>
      <c r="B52" s="455" t="s">
        <v>40</v>
      </c>
      <c r="C52" s="77" t="str">
        <f>IF(SA_GRILLE_SCL!$AV$3="","",SA_GRILLE_SCL!$AV$3)</f>
        <v/>
      </c>
      <c r="D52" s="457" t="str">
        <f>IF(SA_GRILLE_SCL!$AT$3="","",SA_GRILLE_SCL!$AT$3)</f>
        <v/>
      </c>
      <c r="E52" s="78" t="s">
        <v>16</v>
      </c>
      <c r="F52" s="91" t="str">
        <f>IF(SA_GRILLE_SCL!$AT$5="","",SA_GRILLE_SCL!$AT$5)</f>
        <v/>
      </c>
      <c r="G52" s="459" t="str">
        <f>IF(SA_GRILLE_SCL!$AV$19="","",SA_GRILLE_SCL!$AV$19)</f>
        <v/>
      </c>
      <c r="H52" s="460"/>
      <c r="I52" s="79" t="str">
        <f>IF(SA_GRILLE_SCL!AW$19="","",SA_GRILLE_SCL!AW$19)</f>
        <v/>
      </c>
      <c r="J52" s="555" t="str">
        <f>IF(AnalysesComparatives_SCL!P27="","",AnalysesComparatives_SCL!P27)</f>
        <v/>
      </c>
      <c r="K52" s="470" t="str">
        <f>IF(SA_GRILLE_SCL!AU$19="","",SA_GRILLE_SCL!AU$19)</f>
        <v/>
      </c>
      <c r="L52" s="471"/>
      <c r="M52" s="472"/>
      <c r="N52" s="262"/>
      <c r="O52" s="262"/>
      <c r="P52" s="262"/>
      <c r="Q52" s="262"/>
      <c r="R52" s="262"/>
      <c r="S52" s="262"/>
      <c r="T52" s="262"/>
      <c r="U52" s="262"/>
      <c r="V52" s="262"/>
      <c r="W52" s="262"/>
      <c r="X52" s="262"/>
      <c r="Y52" s="262"/>
      <c r="Z52" s="262"/>
    </row>
    <row r="53" spans="1:26" ht="28.5" customHeight="1" outlineLevel="1" thickBot="1" x14ac:dyDescent="0.65">
      <c r="A53" s="84"/>
      <c r="B53" s="456"/>
      <c r="C53" s="80" t="str">
        <f>C52</f>
        <v/>
      </c>
      <c r="D53" s="458"/>
      <c r="E53" s="81" t="s">
        <v>33</v>
      </c>
      <c r="F53" s="92" t="str">
        <f>IF(SA_GRILLE_SCL!$AT$22="","",SA_GRILLE_SCL!$AT$22)</f>
        <v/>
      </c>
      <c r="G53" s="473" t="str">
        <f>IF(SA_GRILLE_SCL!$AV$37="","",SA_GRILLE_SCL!$AV$37)</f>
        <v/>
      </c>
      <c r="H53" s="474"/>
      <c r="I53" s="82" t="str">
        <f>IF(SA_GRILLE_SCL!AW$37="","",SA_GRILLE_SCL!AW$37)</f>
        <v/>
      </c>
      <c r="J53" s="555"/>
      <c r="K53" s="461" t="str">
        <f>IF(SA_GRILLE_SCL!AU$37="","",SA_GRILLE_SCL!AU$37)</f>
        <v/>
      </c>
      <c r="L53" s="462"/>
      <c r="M53" s="463"/>
      <c r="N53" s="262"/>
      <c r="O53" s="262"/>
      <c r="P53" s="262"/>
      <c r="Q53" s="262"/>
      <c r="R53" s="262"/>
      <c r="S53" s="262"/>
      <c r="T53" s="262"/>
      <c r="U53" s="262"/>
      <c r="V53" s="262"/>
      <c r="W53" s="262"/>
      <c r="X53" s="262"/>
      <c r="Y53" s="262"/>
      <c r="Z53" s="262"/>
    </row>
    <row r="54" spans="1:26" ht="28.5" customHeight="1" outlineLevel="1" thickBot="1" x14ac:dyDescent="0.65">
      <c r="A54" s="84"/>
      <c r="B54" s="455" t="s">
        <v>41</v>
      </c>
      <c r="C54" s="77" t="str">
        <f>IF(SA_GRILLE_SCL!$BA$3="","",SA_GRILLE_SCL!$BA$3)</f>
        <v/>
      </c>
      <c r="D54" s="457" t="str">
        <f>IF(SA_GRILLE_SCL!$AY$3="","",SA_GRILLE_SCL!$AY$3)</f>
        <v/>
      </c>
      <c r="E54" s="78" t="s">
        <v>16</v>
      </c>
      <c r="F54" s="91" t="str">
        <f>IF(SA_GRILLE_SCL!$AY$5="","",SA_GRILLE_SCL!$AY$5)</f>
        <v/>
      </c>
      <c r="G54" s="459" t="str">
        <f>IF(SA_GRILLE_SCL!$BA$19="","",SA_GRILLE_SCL!$BA$19)</f>
        <v/>
      </c>
      <c r="H54" s="460"/>
      <c r="I54" s="79" t="str">
        <f>IF(SA_GRILLE_SCL!BB$19="","",SA_GRILLE_SCL!BB$19)</f>
        <v/>
      </c>
      <c r="J54" s="555" t="str">
        <f>IF(AnalysesComparatives_SCL!P28="","",AnalysesComparatives_SCL!P28)</f>
        <v/>
      </c>
      <c r="K54" s="470" t="str">
        <f>IF(SA_GRILLE_SCL!AZ$19="","",SA_GRILLE_SCL!AZ$19)</f>
        <v/>
      </c>
      <c r="L54" s="471"/>
      <c r="M54" s="472"/>
      <c r="N54" s="262"/>
      <c r="O54" s="262"/>
      <c r="P54" s="262"/>
      <c r="Q54" s="262"/>
      <c r="R54" s="262"/>
      <c r="S54" s="262"/>
      <c r="T54" s="262"/>
      <c r="U54" s="262"/>
      <c r="V54" s="262"/>
      <c r="W54" s="262"/>
      <c r="X54" s="262"/>
      <c r="Y54" s="262"/>
      <c r="Z54" s="262"/>
    </row>
    <row r="55" spans="1:26" ht="28.5" customHeight="1" outlineLevel="1" thickBot="1" x14ac:dyDescent="0.65">
      <c r="A55" s="84"/>
      <c r="B55" s="456"/>
      <c r="C55" s="80" t="str">
        <f>C54</f>
        <v/>
      </c>
      <c r="D55" s="458"/>
      <c r="E55" s="81" t="s">
        <v>33</v>
      </c>
      <c r="F55" s="92" t="str">
        <f>IF(SA_GRILLE_SCL!$AY$22="","",SA_GRILLE_SCL!$AY$22)</f>
        <v/>
      </c>
      <c r="G55" s="473" t="str">
        <f>IF(SA_GRILLE_SCL!$BA$37="","",SA_GRILLE_SCL!$BA$37)</f>
        <v/>
      </c>
      <c r="H55" s="474"/>
      <c r="I55" s="82" t="str">
        <f>IF(SA_GRILLE_SCL!BB$37="","",SA_GRILLE_SCL!BB$37)</f>
        <v/>
      </c>
      <c r="J55" s="555"/>
      <c r="K55" s="461" t="str">
        <f>IF(SA_GRILLE_SCL!AZ$37="","",SA_GRILLE_SCL!AZ$37)</f>
        <v/>
      </c>
      <c r="L55" s="462"/>
      <c r="M55" s="463"/>
      <c r="N55" s="262"/>
      <c r="O55" s="262"/>
      <c r="P55" s="262"/>
      <c r="Q55" s="262"/>
      <c r="R55" s="262"/>
      <c r="S55" s="262"/>
      <c r="T55" s="262"/>
      <c r="U55" s="262"/>
      <c r="V55" s="262"/>
      <c r="W55" s="262"/>
      <c r="X55" s="262"/>
      <c r="Y55" s="262"/>
      <c r="Z55" s="262"/>
    </row>
    <row r="56" spans="1:26" ht="28.5" customHeight="1" outlineLevel="1" x14ac:dyDescent="0.6">
      <c r="A56" s="84"/>
      <c r="B56" s="455" t="s">
        <v>42</v>
      </c>
      <c r="C56" s="77" t="str">
        <f>IF(SA_GRILLE_SCL!$BF$3="","",SA_GRILLE_SCL!$BF$3)</f>
        <v/>
      </c>
      <c r="D56" s="457" t="str">
        <f>IF(SA_GRILLE_SCL!$BC$3="","",SA_GRILLE_SCL!$BC$3)</f>
        <v/>
      </c>
      <c r="E56" s="78" t="s">
        <v>16</v>
      </c>
      <c r="F56" s="91" t="str">
        <f>IF(SA_GRILLE_SCL!$BD$5="","",SA_GRILLE_SCL!$BD$5)</f>
        <v/>
      </c>
      <c r="G56" s="459" t="str">
        <f>IF(SA_GRILLE_SCL!$BF$19="","",SA_GRILLE_SCL!$BF$19)</f>
        <v/>
      </c>
      <c r="H56" s="460"/>
      <c r="I56" s="79" t="str">
        <f>IF(SA_GRILLE_SCL!BG$19="","",SA_GRILLE_SCL!BG$19)</f>
        <v/>
      </c>
      <c r="J56" s="556" t="str">
        <f>IF(AnalysesComparatives_SCL!P29="","",AnalysesComparatives_SCL!P29)</f>
        <v/>
      </c>
      <c r="K56" s="470" t="str">
        <f>IF(SA_GRILLE_SCL!BE$19="","",SA_GRILLE_SCL!BE$19)</f>
        <v/>
      </c>
      <c r="L56" s="471"/>
      <c r="M56" s="472"/>
      <c r="N56" s="262"/>
      <c r="O56" s="262"/>
      <c r="P56" s="262"/>
      <c r="Q56" s="262"/>
      <c r="R56" s="262"/>
      <c r="S56" s="262"/>
      <c r="T56" s="262"/>
      <c r="U56" s="262"/>
      <c r="V56" s="262"/>
      <c r="W56" s="262"/>
      <c r="X56" s="262"/>
      <c r="Y56" s="262"/>
      <c r="Z56" s="262"/>
    </row>
    <row r="57" spans="1:26" ht="28.5" customHeight="1" outlineLevel="1" thickBot="1" x14ac:dyDescent="0.65">
      <c r="A57" s="84"/>
      <c r="B57" s="456"/>
      <c r="C57" s="80" t="str">
        <f>C56</f>
        <v/>
      </c>
      <c r="D57" s="458"/>
      <c r="E57" s="81" t="s">
        <v>33</v>
      </c>
      <c r="F57" s="92" t="str">
        <f>IF(SA_GRILLE_SCL!$BD$22="","",SA_GRILLE_SCL!$BD$22)</f>
        <v/>
      </c>
      <c r="G57" s="473" t="str">
        <f>IF(SA_GRILLE_SCL!$BF$37="","",SA_GRILLE_SCL!$BF$37)</f>
        <v/>
      </c>
      <c r="H57" s="474"/>
      <c r="I57" s="82" t="str">
        <f>IF(SA_GRILLE_SCL!BG$37="","",SA_GRILLE_SCL!BG$37)</f>
        <v/>
      </c>
      <c r="J57" s="497"/>
      <c r="K57" s="461" t="str">
        <f>IF(SA_GRILLE_STEU!BE$37="","",SA_GRILLE_STEU!BE$37)</f>
        <v/>
      </c>
      <c r="L57" s="462"/>
      <c r="M57" s="463"/>
      <c r="N57" s="262"/>
      <c r="O57" s="262"/>
      <c r="P57" s="262"/>
      <c r="Q57" s="262"/>
      <c r="R57" s="262"/>
      <c r="S57" s="262"/>
      <c r="T57" s="262"/>
      <c r="U57" s="262"/>
      <c r="V57" s="262"/>
      <c r="W57" s="262"/>
      <c r="X57" s="262"/>
      <c r="Y57" s="262"/>
      <c r="Z57" s="262"/>
    </row>
  </sheetData>
  <mergeCells count="146">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 ref="B2:C2"/>
    <mergeCell ref="D2:W2"/>
    <mergeCell ref="B3:D3"/>
    <mergeCell ref="B4:D4"/>
    <mergeCell ref="E4:G4"/>
    <mergeCell ref="H4:O4"/>
    <mergeCell ref="E3:U3"/>
    <mergeCell ref="V3:W3"/>
    <mergeCell ref="V4:W4"/>
    <mergeCell ref="P4:U4"/>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s>
  <phoneticPr fontId="10" type="noConversion"/>
  <conditionalFormatting sqref="B10:B21">
    <cfRule type="beginsWith" dxfId="469" priority="47" operator="beginsWith" text="Validé">
      <formula>LEFT(B10,LEN("Validé"))="Validé"</formula>
    </cfRule>
    <cfRule type="containsText" dxfId="468" priority="48" operator="containsText" text="Non validé">
      <formula>NOT(ISERROR(SEARCH("Non validé",B10)))</formula>
    </cfRule>
  </conditionalFormatting>
  <conditionalFormatting sqref="D10:D21">
    <cfRule type="containsText" dxfId="467" priority="37" operator="containsText" text="contrôlé">
      <formula>NOT(ISERROR(SEARCH("contrôlé",D10)))</formula>
    </cfRule>
    <cfRule type="containsText" dxfId="466" priority="38" operator="containsText" text="Non validé">
      <formula>NOT(ISERROR(SEARCH("Non validé",D10)))</formula>
    </cfRule>
    <cfRule type="containsText" dxfId="465" priority="39" operator="containsText" text="réserve">
      <formula>NOT(ISERROR(SEARCH("réserve",D10)))</formula>
    </cfRule>
    <cfRule type="beginsWith" dxfId="464" priority="40" operator="beginsWith" text="Validé">
      <formula>LEFT(D10,LEN("Validé"))="Validé"</formula>
    </cfRule>
  </conditionalFormatting>
  <conditionalFormatting sqref="E10:E21">
    <cfRule type="cellIs" dxfId="463" priority="1" operator="greaterThan">
      <formula>80</formula>
    </cfRule>
    <cfRule type="cellIs" dxfId="462" priority="2" operator="greaterThanOrEqual">
      <formula>70</formula>
    </cfRule>
    <cfRule type="cellIs" dxfId="461" priority="3" operator="lessThan">
      <formula>70</formula>
    </cfRule>
    <cfRule type="expression" dxfId="460" priority="4">
      <formula>IF($I9="",1,0)</formula>
    </cfRule>
  </conditionalFormatting>
  <conditionalFormatting sqref="G9:G10">
    <cfRule type="beginsWith" dxfId="459" priority="41" operator="beginsWith" text="Validé">
      <formula>LEFT(G9,LEN("Validé"))="Validé"</formula>
    </cfRule>
    <cfRule type="containsText" dxfId="458" priority="42" operator="containsText" text="Non validé">
      <formula>NOT(ISERROR(SEARCH("Non validé",G9)))</formula>
    </cfRule>
  </conditionalFormatting>
  <conditionalFormatting sqref="G13:G15">
    <cfRule type="beginsWith" dxfId="457" priority="115" operator="beginsWith" text="Validé">
      <formula>LEFT(G13,LEN("Validé"))="Validé"</formula>
    </cfRule>
    <cfRule type="containsText" dxfId="456" priority="116" operator="containsText" text="Non validé">
      <formula>NOT(ISERROR(SEARCH("Non validé",G13)))</formula>
    </cfRule>
  </conditionalFormatting>
  <conditionalFormatting sqref="G34:H57">
    <cfRule type="containsText" dxfId="455" priority="92" operator="containsText" text="contrôlé">
      <formula>NOT(ISERROR(SEARCH("contrôlé",G34)))</formula>
    </cfRule>
    <cfRule type="containsText" dxfId="454" priority="93" operator="containsText" text="Non validé">
      <formula>NOT(ISERROR(SEARCH("Non validé",G34)))</formula>
    </cfRule>
    <cfRule type="containsText" dxfId="453" priority="94" operator="containsText" text="réserve">
      <formula>NOT(ISERROR(SEARCH("réserve",G34)))</formula>
    </cfRule>
    <cfRule type="beginsWith" dxfId="452" priority="95" operator="beginsWith" text="Validé">
      <formula>LEFT(G34,LEN("Validé"))="Validé"</formula>
    </cfRule>
  </conditionalFormatting>
  <conditionalFormatting sqref="H18:J18">
    <cfRule type="containsText" dxfId="451" priority="21" operator="containsText" text="contrôlé">
      <formula>NOT(ISERROR(SEARCH("contrôlé",H18)))</formula>
    </cfRule>
    <cfRule type="containsText" dxfId="450" priority="22" operator="containsText" text="Non validé">
      <formula>NOT(ISERROR(SEARCH("Non validé",H18)))</formula>
    </cfRule>
    <cfRule type="containsText" dxfId="449" priority="23" operator="containsText" text="réserve">
      <formula>NOT(ISERROR(SEARCH("réserve",H18)))</formula>
    </cfRule>
    <cfRule type="beginsWith" dxfId="448" priority="24" operator="beginsWith" text="Validé">
      <formula>LEFT(H18,LEN("Validé"))="Validé"</formula>
    </cfRule>
  </conditionalFormatting>
  <conditionalFormatting sqref="I34:I57">
    <cfRule type="expression" dxfId="447" priority="96">
      <formula>IF($I34="",1,0)</formula>
    </cfRule>
    <cfRule type="cellIs" dxfId="446" priority="97" operator="between">
      <formula>0</formula>
      <formula>60.1</formula>
    </cfRule>
  </conditionalFormatting>
  <conditionalFormatting sqref="K9">
    <cfRule type="expression" dxfId="445" priority="20">
      <formula>IF(#REF!="Industriel",1,0)</formula>
    </cfRule>
  </conditionalFormatting>
  <conditionalFormatting sqref="K10">
    <cfRule type="containsText" dxfId="444" priority="25" operator="containsText" text="contrôlé">
      <formula>NOT(ISERROR(SEARCH("contrôlé",K10)))</formula>
    </cfRule>
    <cfRule type="containsText" dxfId="443" priority="26" operator="containsText" text="Non validé">
      <formula>NOT(ISERROR(SEARCH("Non validé",K10)))</formula>
    </cfRule>
    <cfRule type="containsText" dxfId="442" priority="27" operator="containsText" text="réserve">
      <formula>NOT(ISERROR(SEARCH("réserve",K10)))</formula>
    </cfRule>
    <cfRule type="beginsWith" dxfId="441" priority="28" operator="beginsWith" text="Validé">
      <formula>LEFT(K10,LEN("Validé"))="Validé"</formula>
    </cfRule>
  </conditionalFormatting>
  <conditionalFormatting sqref="K9:Q9">
    <cfRule type="containsText" dxfId="440" priority="18" operator="containsText" text="Non">
      <formula>NOT(ISERROR(SEARCH("Non",K9)))</formula>
    </cfRule>
    <cfRule type="containsText" dxfId="439"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39" t="s">
        <v>23</v>
      </c>
      <c r="B1" s="440"/>
      <c r="C1" s="440"/>
      <c r="D1" s="441"/>
      <c r="F1" s="439" t="s">
        <v>24</v>
      </c>
      <c r="G1" s="440"/>
      <c r="H1" s="440"/>
      <c r="I1" s="441"/>
      <c r="K1" s="439" t="s">
        <v>25</v>
      </c>
      <c r="L1" s="440"/>
      <c r="M1" s="440"/>
      <c r="N1" s="441"/>
      <c r="P1" s="439" t="s">
        <v>34</v>
      </c>
      <c r="Q1" s="440"/>
      <c r="R1" s="440"/>
      <c r="S1" s="441"/>
      <c r="U1" s="439" t="s">
        <v>35</v>
      </c>
      <c r="V1" s="440"/>
      <c r="W1" s="440"/>
      <c r="X1" s="441"/>
      <c r="Z1" s="439" t="s">
        <v>36</v>
      </c>
      <c r="AA1" s="440"/>
      <c r="AB1" s="440"/>
      <c r="AC1" s="441"/>
      <c r="AE1" s="439" t="s">
        <v>37</v>
      </c>
      <c r="AF1" s="440"/>
      <c r="AG1" s="440"/>
      <c r="AH1" s="441"/>
      <c r="AJ1" s="439" t="s">
        <v>38</v>
      </c>
      <c r="AK1" s="440"/>
      <c r="AL1" s="440"/>
      <c r="AM1" s="441"/>
      <c r="AO1" s="439" t="s">
        <v>39</v>
      </c>
      <c r="AP1" s="440"/>
      <c r="AQ1" s="440"/>
      <c r="AR1" s="441"/>
      <c r="AT1" s="439" t="s">
        <v>40</v>
      </c>
      <c r="AU1" s="440"/>
      <c r="AV1" s="440"/>
      <c r="AW1" s="441"/>
      <c r="AY1" s="439" t="s">
        <v>41</v>
      </c>
      <c r="AZ1" s="440"/>
      <c r="BA1" s="440"/>
      <c r="BB1" s="441"/>
      <c r="BD1" s="439" t="s">
        <v>42</v>
      </c>
      <c r="BE1" s="440"/>
      <c r="BF1" s="442"/>
      <c r="BG1" s="443"/>
    </row>
    <row r="2" spans="1:60" ht="15" customHeight="1" thickBot="1" x14ac:dyDescent="0.45">
      <c r="A2" s="578" t="s">
        <v>43</v>
      </c>
      <c r="B2" s="579"/>
      <c r="C2" s="453" t="s">
        <v>44</v>
      </c>
      <c r="D2" s="454"/>
      <c r="F2" s="578" t="s">
        <v>43</v>
      </c>
      <c r="G2" s="579"/>
      <c r="H2" s="430" t="s">
        <v>44</v>
      </c>
      <c r="I2" s="431"/>
      <c r="K2" s="574" t="s">
        <v>43</v>
      </c>
      <c r="L2" s="575"/>
      <c r="M2" s="430" t="s">
        <v>44</v>
      </c>
      <c r="N2" s="431"/>
      <c r="P2" s="580" t="s">
        <v>43</v>
      </c>
      <c r="Q2" s="581"/>
      <c r="R2" s="430" t="s">
        <v>44</v>
      </c>
      <c r="S2" s="431"/>
      <c r="U2" s="574" t="s">
        <v>43</v>
      </c>
      <c r="V2" s="575"/>
      <c r="W2" s="430" t="s">
        <v>44</v>
      </c>
      <c r="X2" s="431"/>
      <c r="Z2" s="574" t="s">
        <v>43</v>
      </c>
      <c r="AA2" s="575"/>
      <c r="AB2" s="430" t="s">
        <v>44</v>
      </c>
      <c r="AC2" s="431"/>
      <c r="AE2" s="574" t="s">
        <v>43</v>
      </c>
      <c r="AF2" s="575"/>
      <c r="AG2" s="430" t="s">
        <v>44</v>
      </c>
      <c r="AH2" s="431"/>
      <c r="AJ2" s="574" t="s">
        <v>43</v>
      </c>
      <c r="AK2" s="575"/>
      <c r="AL2" s="430" t="s">
        <v>44</v>
      </c>
      <c r="AM2" s="431"/>
      <c r="AO2" s="574" t="s">
        <v>43</v>
      </c>
      <c r="AP2" s="575"/>
      <c r="AQ2" s="430" t="s">
        <v>44</v>
      </c>
      <c r="AR2" s="431"/>
      <c r="AT2" s="574" t="s">
        <v>43</v>
      </c>
      <c r="AU2" s="575"/>
      <c r="AV2" s="430" t="s">
        <v>44</v>
      </c>
      <c r="AW2" s="431"/>
      <c r="AY2" s="574" t="s">
        <v>43</v>
      </c>
      <c r="AZ2" s="575"/>
      <c r="BA2" s="430" t="s">
        <v>44</v>
      </c>
      <c r="BB2" s="431"/>
      <c r="BD2" s="574" t="s">
        <v>43</v>
      </c>
      <c r="BE2" s="582"/>
      <c r="BF2" s="435" t="s">
        <v>44</v>
      </c>
      <c r="BG2" s="436"/>
    </row>
    <row r="3" spans="1:60" s="172" customFormat="1" ht="20.350000000000001" thickBot="1" x14ac:dyDescent="0.45">
      <c r="A3" s="449"/>
      <c r="B3" s="450"/>
      <c r="C3" s="428"/>
      <c r="D3" s="429"/>
      <c r="E3" s="157"/>
      <c r="F3" s="449"/>
      <c r="G3" s="450"/>
      <c r="H3" s="428"/>
      <c r="I3" s="429"/>
      <c r="J3" s="157"/>
      <c r="K3" s="449"/>
      <c r="L3" s="450"/>
      <c r="M3" s="428"/>
      <c r="N3" s="429"/>
      <c r="O3" s="157"/>
      <c r="P3" s="437"/>
      <c r="Q3" s="438"/>
      <c r="R3" s="428"/>
      <c r="S3" s="429"/>
      <c r="T3" s="157"/>
      <c r="U3" s="437"/>
      <c r="V3" s="438"/>
      <c r="W3" s="428"/>
      <c r="X3" s="429"/>
      <c r="Y3" s="157"/>
      <c r="Z3" s="437"/>
      <c r="AA3" s="438"/>
      <c r="AB3" s="428"/>
      <c r="AC3" s="429"/>
      <c r="AD3" s="157"/>
      <c r="AE3" s="437"/>
      <c r="AF3" s="438"/>
      <c r="AG3" s="428"/>
      <c r="AH3" s="429"/>
      <c r="AI3" s="157"/>
      <c r="AJ3" s="437"/>
      <c r="AK3" s="438"/>
      <c r="AL3" s="428"/>
      <c r="AM3" s="429"/>
      <c r="AN3" s="157"/>
      <c r="AO3" s="437"/>
      <c r="AP3" s="438"/>
      <c r="AQ3" s="428"/>
      <c r="AR3" s="429"/>
      <c r="AS3" s="157"/>
      <c r="AT3" s="437"/>
      <c r="AU3" s="438"/>
      <c r="AV3" s="428"/>
      <c r="AW3" s="429"/>
      <c r="AX3" s="157"/>
      <c r="AY3" s="437"/>
      <c r="AZ3" s="438"/>
      <c r="BA3" s="428"/>
      <c r="BB3" s="429"/>
      <c r="BC3" s="157"/>
      <c r="BD3" s="437"/>
      <c r="BE3" s="438"/>
      <c r="BF3" s="428"/>
      <c r="BG3" s="429"/>
      <c r="BH3" s="157"/>
    </row>
    <row r="4" spans="1:60" s="164" customFormat="1" ht="15" customHeight="1" x14ac:dyDescent="0.4">
      <c r="A4" s="571" t="s">
        <v>184</v>
      </c>
      <c r="B4" s="572"/>
      <c r="C4" s="572"/>
      <c r="D4" s="573"/>
      <c r="F4" s="571" t="s">
        <v>184</v>
      </c>
      <c r="G4" s="572"/>
      <c r="H4" s="572"/>
      <c r="I4" s="573"/>
      <c r="K4" s="571" t="s">
        <v>184</v>
      </c>
      <c r="L4" s="572"/>
      <c r="M4" s="572"/>
      <c r="N4" s="573"/>
      <c r="P4" s="571" t="s">
        <v>184</v>
      </c>
      <c r="Q4" s="572"/>
      <c r="R4" s="572"/>
      <c r="S4" s="573"/>
      <c r="U4" s="571" t="s">
        <v>184</v>
      </c>
      <c r="V4" s="572"/>
      <c r="W4" s="572"/>
      <c r="X4" s="573"/>
      <c r="Z4" s="571" t="s">
        <v>184</v>
      </c>
      <c r="AA4" s="572"/>
      <c r="AB4" s="572"/>
      <c r="AC4" s="573"/>
      <c r="AE4" s="571" t="s">
        <v>184</v>
      </c>
      <c r="AF4" s="572"/>
      <c r="AG4" s="572"/>
      <c r="AH4" s="573"/>
      <c r="AJ4" s="571" t="s">
        <v>184</v>
      </c>
      <c r="AK4" s="572"/>
      <c r="AL4" s="572"/>
      <c r="AM4" s="573"/>
      <c r="AO4" s="571" t="s">
        <v>184</v>
      </c>
      <c r="AP4" s="572"/>
      <c r="AQ4" s="572"/>
      <c r="AR4" s="573"/>
      <c r="AT4" s="571" t="s">
        <v>184</v>
      </c>
      <c r="AU4" s="572"/>
      <c r="AV4" s="572"/>
      <c r="AW4" s="573"/>
      <c r="AY4" s="571" t="s">
        <v>184</v>
      </c>
      <c r="AZ4" s="572"/>
      <c r="BA4" s="572"/>
      <c r="BB4" s="573"/>
      <c r="BD4" s="571" t="s">
        <v>184</v>
      </c>
      <c r="BE4" s="572"/>
      <c r="BF4" s="572"/>
      <c r="BG4" s="573"/>
    </row>
    <row r="5" spans="1:60" s="158" customFormat="1" ht="18" customHeight="1" x14ac:dyDescent="0.55000000000000004">
      <c r="A5" s="416" t="s">
        <v>45</v>
      </c>
      <c r="B5" s="417"/>
      <c r="C5" s="417"/>
      <c r="D5" s="418"/>
      <c r="F5" s="416"/>
      <c r="G5" s="417"/>
      <c r="H5" s="417"/>
      <c r="I5" s="418"/>
      <c r="K5" s="416"/>
      <c r="L5" s="417"/>
      <c r="M5" s="417"/>
      <c r="N5" s="418"/>
      <c r="P5" s="416"/>
      <c r="Q5" s="417"/>
      <c r="R5" s="417"/>
      <c r="S5" s="418"/>
      <c r="U5" s="416"/>
      <c r="V5" s="417"/>
      <c r="W5" s="417"/>
      <c r="X5" s="418"/>
      <c r="Z5" s="416"/>
      <c r="AA5" s="417"/>
      <c r="AB5" s="417"/>
      <c r="AC5" s="418"/>
      <c r="AE5" s="416"/>
      <c r="AF5" s="417"/>
      <c r="AG5" s="417"/>
      <c r="AH5" s="418"/>
      <c r="AJ5" s="416"/>
      <c r="AK5" s="417"/>
      <c r="AL5" s="417"/>
      <c r="AM5" s="418"/>
      <c r="AO5" s="416"/>
      <c r="AP5" s="417"/>
      <c r="AQ5" s="417"/>
      <c r="AR5" s="418"/>
      <c r="AT5" s="416"/>
      <c r="AU5" s="417"/>
      <c r="AV5" s="417"/>
      <c r="AW5" s="418"/>
      <c r="AY5" s="416"/>
      <c r="AZ5" s="417"/>
      <c r="BA5" s="417"/>
      <c r="BB5" s="418"/>
      <c r="BD5" s="416"/>
      <c r="BE5" s="417"/>
      <c r="BF5" s="417"/>
      <c r="BG5" s="418"/>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19" t="s">
        <v>47</v>
      </c>
      <c r="B7" s="420"/>
      <c r="C7" s="165" t="s">
        <v>11</v>
      </c>
      <c r="D7" s="166" t="s">
        <v>48</v>
      </c>
      <c r="E7" s="104" t="s">
        <v>49</v>
      </c>
      <c r="F7" s="419" t="s">
        <v>47</v>
      </c>
      <c r="G7" s="420"/>
      <c r="H7" s="165" t="s">
        <v>11</v>
      </c>
      <c r="I7" s="167" t="s">
        <v>48</v>
      </c>
      <c r="J7" s="104" t="s">
        <v>49</v>
      </c>
      <c r="K7" s="419" t="s">
        <v>47</v>
      </c>
      <c r="L7" s="420"/>
      <c r="M7" s="165" t="s">
        <v>11</v>
      </c>
      <c r="N7" s="167" t="s">
        <v>48</v>
      </c>
      <c r="O7" s="104" t="s">
        <v>49</v>
      </c>
      <c r="P7" s="419" t="s">
        <v>47</v>
      </c>
      <c r="Q7" s="420"/>
      <c r="R7" s="165" t="s">
        <v>11</v>
      </c>
      <c r="S7" s="167" t="s">
        <v>48</v>
      </c>
      <c r="T7" s="104" t="s">
        <v>49</v>
      </c>
      <c r="U7" s="419" t="s">
        <v>47</v>
      </c>
      <c r="V7" s="420"/>
      <c r="W7" s="165" t="s">
        <v>11</v>
      </c>
      <c r="X7" s="167" t="s">
        <v>48</v>
      </c>
      <c r="Y7" s="104" t="s">
        <v>49</v>
      </c>
      <c r="Z7" s="419" t="s">
        <v>47</v>
      </c>
      <c r="AA7" s="420"/>
      <c r="AB7" s="165" t="s">
        <v>11</v>
      </c>
      <c r="AC7" s="167" t="s">
        <v>48</v>
      </c>
      <c r="AD7" s="104" t="s">
        <v>49</v>
      </c>
      <c r="AE7" s="419" t="s">
        <v>47</v>
      </c>
      <c r="AF7" s="420"/>
      <c r="AG7" s="165" t="s">
        <v>11</v>
      </c>
      <c r="AH7" s="167" t="s">
        <v>48</v>
      </c>
      <c r="AI7" s="104" t="s">
        <v>49</v>
      </c>
      <c r="AJ7" s="419" t="s">
        <v>47</v>
      </c>
      <c r="AK7" s="420"/>
      <c r="AL7" s="165" t="s">
        <v>11</v>
      </c>
      <c r="AM7" s="167" t="s">
        <v>48</v>
      </c>
      <c r="AN7" s="104" t="s">
        <v>49</v>
      </c>
      <c r="AO7" s="419" t="s">
        <v>47</v>
      </c>
      <c r="AP7" s="420"/>
      <c r="AQ7" s="165" t="s">
        <v>11</v>
      </c>
      <c r="AR7" s="167" t="s">
        <v>48</v>
      </c>
      <c r="AS7" s="104" t="s">
        <v>49</v>
      </c>
      <c r="AT7" s="419" t="s">
        <v>47</v>
      </c>
      <c r="AU7" s="420"/>
      <c r="AV7" s="165" t="s">
        <v>11</v>
      </c>
      <c r="AW7" s="167" t="s">
        <v>48</v>
      </c>
      <c r="AX7" s="104" t="s">
        <v>49</v>
      </c>
      <c r="AY7" s="419" t="s">
        <v>47</v>
      </c>
      <c r="AZ7" s="420"/>
      <c r="BA7" s="165" t="s">
        <v>11</v>
      </c>
      <c r="BB7" s="167" t="s">
        <v>48</v>
      </c>
      <c r="BC7" s="104" t="s">
        <v>49</v>
      </c>
      <c r="BD7" s="419" t="s">
        <v>47</v>
      </c>
      <c r="BE7" s="420"/>
      <c r="BF7" s="165" t="s">
        <v>11</v>
      </c>
      <c r="BG7" s="167" t="s">
        <v>48</v>
      </c>
      <c r="BH7" s="105" t="s">
        <v>49</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576" t="s">
        <v>50</v>
      </c>
      <c r="B18" s="577"/>
      <c r="C18" s="168" t="s">
        <v>51</v>
      </c>
      <c r="D18" s="169" t="s">
        <v>52</v>
      </c>
      <c r="E18" s="170"/>
      <c r="F18" s="576" t="s">
        <v>50</v>
      </c>
      <c r="G18" s="577"/>
      <c r="H18" s="168" t="s">
        <v>51</v>
      </c>
      <c r="I18" s="169" t="s">
        <v>52</v>
      </c>
      <c r="J18" s="170"/>
      <c r="K18" s="576" t="s">
        <v>50</v>
      </c>
      <c r="L18" s="577"/>
      <c r="M18" s="168" t="s">
        <v>51</v>
      </c>
      <c r="N18" s="169" t="s">
        <v>52</v>
      </c>
      <c r="O18" s="170"/>
      <c r="P18" s="576" t="s">
        <v>50</v>
      </c>
      <c r="Q18" s="577"/>
      <c r="R18" s="168" t="s">
        <v>51</v>
      </c>
      <c r="S18" s="169" t="s">
        <v>52</v>
      </c>
      <c r="T18" s="170"/>
      <c r="U18" s="576" t="s">
        <v>50</v>
      </c>
      <c r="V18" s="577"/>
      <c r="W18" s="168" t="s">
        <v>51</v>
      </c>
      <c r="X18" s="169" t="s">
        <v>52</v>
      </c>
      <c r="Y18" s="170"/>
      <c r="Z18" s="576" t="s">
        <v>50</v>
      </c>
      <c r="AA18" s="577"/>
      <c r="AB18" s="168" t="s">
        <v>51</v>
      </c>
      <c r="AC18" s="169" t="s">
        <v>52</v>
      </c>
      <c r="AD18" s="170"/>
      <c r="AE18" s="576" t="s">
        <v>50</v>
      </c>
      <c r="AF18" s="577"/>
      <c r="AG18" s="168" t="s">
        <v>51</v>
      </c>
      <c r="AH18" s="169" t="s">
        <v>52</v>
      </c>
      <c r="AI18" s="170"/>
      <c r="AJ18" s="576" t="s">
        <v>50</v>
      </c>
      <c r="AK18" s="577"/>
      <c r="AL18" s="168" t="s">
        <v>51</v>
      </c>
      <c r="AM18" s="169" t="s">
        <v>52</v>
      </c>
      <c r="AN18" s="170"/>
      <c r="AO18" s="576" t="s">
        <v>50</v>
      </c>
      <c r="AP18" s="577"/>
      <c r="AQ18" s="168" t="s">
        <v>51</v>
      </c>
      <c r="AR18" s="169" t="s">
        <v>52</v>
      </c>
      <c r="AS18" s="170"/>
      <c r="AT18" s="576" t="s">
        <v>50</v>
      </c>
      <c r="AU18" s="577"/>
      <c r="AV18" s="168" t="s">
        <v>51</v>
      </c>
      <c r="AW18" s="169" t="s">
        <v>52</v>
      </c>
      <c r="AX18" s="170"/>
      <c r="AY18" s="576" t="s">
        <v>50</v>
      </c>
      <c r="AZ18" s="577"/>
      <c r="BA18" s="168" t="s">
        <v>51</v>
      </c>
      <c r="BB18" s="169" t="s">
        <v>52</v>
      </c>
      <c r="BC18" s="170"/>
      <c r="BD18" s="576" t="s">
        <v>50</v>
      </c>
      <c r="BE18" s="577"/>
      <c r="BF18" s="168" t="s">
        <v>51</v>
      </c>
      <c r="BG18" s="169" t="s">
        <v>52</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25" t="s">
        <v>184</v>
      </c>
      <c r="B21" s="426"/>
      <c r="C21" s="426"/>
      <c r="D21" s="427"/>
      <c r="E21" s="124"/>
      <c r="F21" s="425" t="s">
        <v>184</v>
      </c>
      <c r="G21" s="426"/>
      <c r="H21" s="426"/>
      <c r="I21" s="427"/>
      <c r="J21" s="124"/>
      <c r="K21" s="425" t="s">
        <v>184</v>
      </c>
      <c r="L21" s="426"/>
      <c r="M21" s="426"/>
      <c r="N21" s="427"/>
      <c r="O21" s="124"/>
      <c r="P21" s="425" t="s">
        <v>184</v>
      </c>
      <c r="Q21" s="426"/>
      <c r="R21" s="426"/>
      <c r="S21" s="427"/>
      <c r="T21" s="124"/>
      <c r="U21" s="425" t="s">
        <v>184</v>
      </c>
      <c r="V21" s="426"/>
      <c r="W21" s="426"/>
      <c r="X21" s="427"/>
      <c r="Y21" s="124"/>
      <c r="Z21" s="425" t="s">
        <v>184</v>
      </c>
      <c r="AA21" s="426"/>
      <c r="AB21" s="426"/>
      <c r="AC21" s="427"/>
      <c r="AD21" s="124"/>
      <c r="AE21" s="425" t="s">
        <v>184</v>
      </c>
      <c r="AF21" s="426"/>
      <c r="AG21" s="426"/>
      <c r="AH21" s="427"/>
      <c r="AI21" s="124"/>
      <c r="AJ21" s="425" t="s">
        <v>184</v>
      </c>
      <c r="AK21" s="426"/>
      <c r="AL21" s="426"/>
      <c r="AM21" s="427"/>
      <c r="AN21" s="124"/>
      <c r="AO21" s="425" t="s">
        <v>184</v>
      </c>
      <c r="AP21" s="426"/>
      <c r="AQ21" s="426"/>
      <c r="AR21" s="427"/>
      <c r="AS21" s="124"/>
      <c r="AT21" s="425" t="s">
        <v>184</v>
      </c>
      <c r="AU21" s="426"/>
      <c r="AV21" s="426"/>
      <c r="AW21" s="427"/>
      <c r="AX21" s="124"/>
      <c r="AY21" s="425" t="s">
        <v>184</v>
      </c>
      <c r="AZ21" s="426"/>
      <c r="BA21" s="426"/>
      <c r="BB21" s="427"/>
      <c r="BC21" s="124"/>
      <c r="BD21" s="425" t="s">
        <v>184</v>
      </c>
      <c r="BE21" s="426"/>
      <c r="BF21" s="426"/>
      <c r="BG21" s="427"/>
    </row>
    <row r="22" spans="1:60" s="158" customFormat="1" ht="18" customHeight="1" x14ac:dyDescent="0.55000000000000004">
      <c r="A22" s="416" t="s">
        <v>129</v>
      </c>
      <c r="B22" s="417"/>
      <c r="C22" s="417"/>
      <c r="D22" s="418"/>
      <c r="F22" s="416"/>
      <c r="G22" s="417"/>
      <c r="H22" s="417"/>
      <c r="I22" s="418"/>
      <c r="K22" s="416"/>
      <c r="L22" s="417"/>
      <c r="M22" s="417"/>
      <c r="N22" s="418"/>
      <c r="P22" s="416"/>
      <c r="Q22" s="417"/>
      <c r="R22" s="417"/>
      <c r="S22" s="418"/>
      <c r="U22" s="416"/>
      <c r="V22" s="417"/>
      <c r="W22" s="417"/>
      <c r="X22" s="418"/>
      <c r="Z22" s="416"/>
      <c r="AA22" s="417"/>
      <c r="AB22" s="417"/>
      <c r="AC22" s="418"/>
      <c r="AE22" s="416"/>
      <c r="AF22" s="417"/>
      <c r="AG22" s="417"/>
      <c r="AH22" s="418"/>
      <c r="AJ22" s="416"/>
      <c r="AK22" s="417"/>
      <c r="AL22" s="417"/>
      <c r="AM22" s="418"/>
      <c r="AO22" s="416"/>
      <c r="AP22" s="417"/>
      <c r="AQ22" s="417"/>
      <c r="AR22" s="418"/>
      <c r="AT22" s="416"/>
      <c r="AU22" s="417"/>
      <c r="AV22" s="417"/>
      <c r="AW22" s="418"/>
      <c r="AY22" s="416"/>
      <c r="AZ22" s="417"/>
      <c r="BA22" s="417"/>
      <c r="BB22" s="418"/>
      <c r="BD22" s="416"/>
      <c r="BE22" s="417"/>
      <c r="BF22" s="417"/>
      <c r="BG22" s="418"/>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19" t="s">
        <v>53</v>
      </c>
      <c r="B24" s="420"/>
      <c r="C24" s="126" t="s">
        <v>11</v>
      </c>
      <c r="D24" s="127" t="s">
        <v>48</v>
      </c>
      <c r="E24" s="104" t="s">
        <v>49</v>
      </c>
      <c r="F24" s="419" t="s">
        <v>53</v>
      </c>
      <c r="G24" s="420"/>
      <c r="H24" s="126" t="s">
        <v>11</v>
      </c>
      <c r="I24" s="127" t="s">
        <v>48</v>
      </c>
      <c r="J24" s="104" t="s">
        <v>49</v>
      </c>
      <c r="K24" s="421" t="s">
        <v>53</v>
      </c>
      <c r="L24" s="422"/>
      <c r="M24" s="126" t="s">
        <v>11</v>
      </c>
      <c r="N24" s="127" t="s">
        <v>48</v>
      </c>
      <c r="O24" s="104" t="s">
        <v>49</v>
      </c>
      <c r="P24" s="421" t="s">
        <v>53</v>
      </c>
      <c r="Q24" s="422"/>
      <c r="R24" s="126" t="s">
        <v>11</v>
      </c>
      <c r="S24" s="127" t="s">
        <v>48</v>
      </c>
      <c r="T24" s="104" t="s">
        <v>49</v>
      </c>
      <c r="U24" s="421" t="s">
        <v>53</v>
      </c>
      <c r="V24" s="422"/>
      <c r="W24" s="128" t="s">
        <v>11</v>
      </c>
      <c r="X24" s="129" t="s">
        <v>48</v>
      </c>
      <c r="Y24" s="104" t="s">
        <v>49</v>
      </c>
      <c r="Z24" s="419" t="s">
        <v>53</v>
      </c>
      <c r="AA24" s="420"/>
      <c r="AB24" s="126" t="s">
        <v>11</v>
      </c>
      <c r="AC24" s="127" t="s">
        <v>48</v>
      </c>
      <c r="AD24" s="104" t="s">
        <v>49</v>
      </c>
      <c r="AE24" s="419" t="s">
        <v>53</v>
      </c>
      <c r="AF24" s="420"/>
      <c r="AG24" s="126" t="s">
        <v>11</v>
      </c>
      <c r="AH24" s="127" t="s">
        <v>48</v>
      </c>
      <c r="AI24" s="104" t="s">
        <v>49</v>
      </c>
      <c r="AJ24" s="419" t="s">
        <v>53</v>
      </c>
      <c r="AK24" s="420"/>
      <c r="AL24" s="126" t="s">
        <v>11</v>
      </c>
      <c r="AM24" s="127" t="s">
        <v>48</v>
      </c>
      <c r="AN24" s="104" t="s">
        <v>49</v>
      </c>
      <c r="AO24" s="419" t="s">
        <v>53</v>
      </c>
      <c r="AP24" s="420"/>
      <c r="AQ24" s="126" t="s">
        <v>11</v>
      </c>
      <c r="AR24" s="127" t="s">
        <v>48</v>
      </c>
      <c r="AS24" s="104" t="s">
        <v>49</v>
      </c>
      <c r="AT24" s="419" t="s">
        <v>53</v>
      </c>
      <c r="AU24" s="420"/>
      <c r="AV24" s="126" t="s">
        <v>11</v>
      </c>
      <c r="AW24" s="127" t="s">
        <v>48</v>
      </c>
      <c r="AX24" s="104" t="s">
        <v>49</v>
      </c>
      <c r="AY24" s="419" t="s">
        <v>53</v>
      </c>
      <c r="AZ24" s="420"/>
      <c r="BA24" s="126" t="s">
        <v>11</v>
      </c>
      <c r="BB24" s="127" t="s">
        <v>48</v>
      </c>
      <c r="BC24" s="104" t="s">
        <v>49</v>
      </c>
      <c r="BD24" s="419" t="s">
        <v>53</v>
      </c>
      <c r="BE24" s="420"/>
      <c r="BF24" s="126" t="s">
        <v>11</v>
      </c>
      <c r="BG24" s="127" t="s">
        <v>48</v>
      </c>
      <c r="BH24" s="105" t="s">
        <v>49</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14" t="s">
        <v>50</v>
      </c>
      <c r="B36" s="415"/>
      <c r="C36" s="126" t="s">
        <v>51</v>
      </c>
      <c r="D36" s="127" t="s">
        <v>52</v>
      </c>
      <c r="E36" s="141"/>
      <c r="F36" s="414" t="s">
        <v>50</v>
      </c>
      <c r="G36" s="415"/>
      <c r="H36" s="126" t="s">
        <v>51</v>
      </c>
      <c r="I36" s="127" t="s">
        <v>52</v>
      </c>
      <c r="J36" s="141"/>
      <c r="K36" s="414" t="s">
        <v>50</v>
      </c>
      <c r="L36" s="415"/>
      <c r="M36" s="126" t="s">
        <v>51</v>
      </c>
      <c r="N36" s="127" t="s">
        <v>52</v>
      </c>
      <c r="O36" s="141"/>
      <c r="P36" s="414" t="s">
        <v>50</v>
      </c>
      <c r="Q36" s="415"/>
      <c r="R36" s="126" t="s">
        <v>51</v>
      </c>
      <c r="S36" s="127" t="s">
        <v>52</v>
      </c>
      <c r="T36" s="106"/>
      <c r="U36" s="414" t="s">
        <v>50</v>
      </c>
      <c r="V36" s="415"/>
      <c r="W36" s="126" t="s">
        <v>51</v>
      </c>
      <c r="X36" s="127" t="s">
        <v>52</v>
      </c>
      <c r="Y36" s="106"/>
      <c r="Z36" s="414" t="s">
        <v>50</v>
      </c>
      <c r="AA36" s="415"/>
      <c r="AB36" s="126" t="s">
        <v>51</v>
      </c>
      <c r="AC36" s="127" t="s">
        <v>52</v>
      </c>
      <c r="AD36" s="106"/>
      <c r="AE36" s="414" t="s">
        <v>50</v>
      </c>
      <c r="AF36" s="415"/>
      <c r="AG36" s="126" t="s">
        <v>51</v>
      </c>
      <c r="AH36" s="127" t="s">
        <v>52</v>
      </c>
      <c r="AI36" s="106"/>
      <c r="AJ36" s="414" t="s">
        <v>50</v>
      </c>
      <c r="AK36" s="415"/>
      <c r="AL36" s="126" t="s">
        <v>51</v>
      </c>
      <c r="AM36" s="127" t="s">
        <v>52</v>
      </c>
      <c r="AN36" s="106"/>
      <c r="AO36" s="414" t="s">
        <v>50</v>
      </c>
      <c r="AP36" s="415"/>
      <c r="AQ36" s="126" t="s">
        <v>51</v>
      </c>
      <c r="AR36" s="127" t="s">
        <v>52</v>
      </c>
      <c r="AS36" s="106"/>
      <c r="AT36" s="414" t="s">
        <v>50</v>
      </c>
      <c r="AU36" s="415"/>
      <c r="AV36" s="126" t="s">
        <v>51</v>
      </c>
      <c r="AW36" s="127" t="s">
        <v>52</v>
      </c>
      <c r="AX36" s="106"/>
      <c r="AY36" s="414" t="s">
        <v>50</v>
      </c>
      <c r="AZ36" s="415"/>
      <c r="BA36" s="126" t="s">
        <v>51</v>
      </c>
      <c r="BB36" s="127" t="s">
        <v>52</v>
      </c>
      <c r="BC36" s="106"/>
      <c r="BD36" s="414" t="s">
        <v>50</v>
      </c>
      <c r="BE36" s="415"/>
      <c r="BF36" s="126" t="s">
        <v>51</v>
      </c>
      <c r="BG36" s="127" t="s">
        <v>52</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A1:D1"/>
    <mergeCell ref="F1:I1"/>
    <mergeCell ref="K1:N1"/>
    <mergeCell ref="P1:S1"/>
    <mergeCell ref="U1:X1"/>
    <mergeCell ref="A2:B2"/>
    <mergeCell ref="F2:G2"/>
    <mergeCell ref="K2:L2"/>
    <mergeCell ref="P2:Q2"/>
    <mergeCell ref="U2:V2"/>
    <mergeCell ref="Z2:AA2"/>
    <mergeCell ref="AE2:AF2"/>
    <mergeCell ref="AJ2:AK2"/>
    <mergeCell ref="AO2:AP2"/>
    <mergeCell ref="AG2:AH2"/>
    <mergeCell ref="AE1:AH1"/>
    <mergeCell ref="AY1:BB1"/>
    <mergeCell ref="Z1:AC1"/>
    <mergeCell ref="AJ1:AM1"/>
    <mergeCell ref="A5:D5"/>
    <mergeCell ref="F5:I5"/>
    <mergeCell ref="K5:N5"/>
    <mergeCell ref="P5:S5"/>
    <mergeCell ref="A4:D4"/>
    <mergeCell ref="F4:I4"/>
    <mergeCell ref="K4:N4"/>
    <mergeCell ref="P4:S4"/>
    <mergeCell ref="A3:B3"/>
    <mergeCell ref="F3:G3"/>
    <mergeCell ref="K3:L3"/>
    <mergeCell ref="P3:Q3"/>
    <mergeCell ref="Z3:AA3"/>
    <mergeCell ref="AE3:AF3"/>
    <mergeCell ref="AJ3:AK3"/>
    <mergeCell ref="AO3:AP3"/>
    <mergeCell ref="AT3:AU3"/>
    <mergeCell ref="AY3:AZ3"/>
    <mergeCell ref="C3:D3"/>
    <mergeCell ref="H3:I3"/>
    <mergeCell ref="M3:N3"/>
    <mergeCell ref="R3:S3"/>
    <mergeCell ref="AY36:AZ36"/>
    <mergeCell ref="F36:G36"/>
    <mergeCell ref="K36:L36"/>
    <mergeCell ref="P36:Q36"/>
    <mergeCell ref="AT36:AU36"/>
    <mergeCell ref="U36:V36"/>
    <mergeCell ref="Z36:AA36"/>
    <mergeCell ref="AE36:AF36"/>
    <mergeCell ref="AJ36:AK36"/>
    <mergeCell ref="AO36:AP36"/>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s>
  <conditionalFormatting sqref="C9:C17">
    <cfRule type="containsText" dxfId="438" priority="114" operator="containsText" text="Non validé">
      <formula>NOT(ISERROR(SEARCH("Non validé",C9)))</formula>
    </cfRule>
    <cfRule type="containsText" dxfId="437" priority="113" operator="containsText" text="Non contrôlé">
      <formula>NOT(ISERROR(SEARCH("Non contrôlé",C9)))</formula>
    </cfRule>
    <cfRule type="containsText" dxfId="436" priority="115" operator="containsText" text="réserve">
      <formula>NOT(ISERROR(SEARCH("réserve",C9)))</formula>
    </cfRule>
    <cfRule type="endsWith" dxfId="435" priority="116" operator="endsWith" text="Validé">
      <formula>RIGHT(C9,LEN("Validé"))="Validé"</formula>
    </cfRule>
  </conditionalFormatting>
  <conditionalFormatting sqref="C19:C20">
    <cfRule type="endsWith" dxfId="434" priority="112" operator="endsWith" text="Validé">
      <formula>RIGHT(C19,LEN("Validé"))="Validé"</formula>
    </cfRule>
    <cfRule type="containsText" dxfId="433" priority="111" operator="containsText" text="réserve">
      <formula>NOT(ISERROR(SEARCH("réserve",C19)))</formula>
    </cfRule>
    <cfRule type="containsText" dxfId="432" priority="109" operator="containsText" text="Non contrôlé">
      <formula>NOT(ISERROR(SEARCH("Non contrôlé",C19)))</formula>
    </cfRule>
    <cfRule type="containsText" dxfId="431" priority="110" operator="containsText" text="Non validé">
      <formula>NOT(ISERROR(SEARCH("Non validé",C19)))</formula>
    </cfRule>
  </conditionalFormatting>
  <conditionalFormatting sqref="C26:C35">
    <cfRule type="containsText" dxfId="430" priority="129" operator="containsText" text="Non contrôlé">
      <formula>NOT(ISERROR(SEARCH("Non contrôlé",C26)))</formula>
    </cfRule>
    <cfRule type="containsText" dxfId="429" priority="130" operator="containsText" text="Non validé">
      <formula>NOT(ISERROR(SEARCH("Non validé",C26)))</formula>
    </cfRule>
    <cfRule type="endsWith" dxfId="428" priority="132" operator="endsWith" text="Validé">
      <formula>RIGHT(C26,LEN("Validé"))="Validé"</formula>
    </cfRule>
    <cfRule type="containsText" dxfId="427" priority="131" operator="containsText" text="réserve">
      <formula>NOT(ISERROR(SEARCH("réserve",C26)))</formula>
    </cfRule>
  </conditionalFormatting>
  <conditionalFormatting sqref="C37">
    <cfRule type="containsText" dxfId="426" priority="125" operator="containsText" text="Non contrôlé">
      <formula>NOT(ISERROR(SEARCH("Non contrôlé",C37)))</formula>
    </cfRule>
    <cfRule type="containsText" dxfId="425" priority="126" operator="containsText" text="Non validé">
      <formula>NOT(ISERROR(SEARCH("Non validé",C37)))</formula>
    </cfRule>
    <cfRule type="containsText" dxfId="424" priority="127" operator="containsText" text="réserve">
      <formula>NOT(ISERROR(SEARCH("réserve",C37)))</formula>
    </cfRule>
    <cfRule type="endsWith" dxfId="423" priority="128" operator="endsWith" text="Validé">
      <formula>RIGHT(C37,LEN("Validé"))="Validé"</formula>
    </cfRule>
  </conditionalFormatting>
  <conditionalFormatting sqref="D19">
    <cfRule type="cellIs" dxfId="422" priority="72" operator="lessThan">
      <formula>69</formula>
    </cfRule>
    <cfRule type="cellIs" dxfId="421" priority="70" operator="greaterThanOrEqual">
      <formula>80</formula>
    </cfRule>
    <cfRule type="cellIs" dxfId="420" priority="71" operator="between">
      <formula>70</formula>
      <formula>79</formula>
    </cfRule>
  </conditionalFormatting>
  <conditionalFormatting sqref="D37">
    <cfRule type="cellIs" dxfId="419" priority="56" operator="between">
      <formula>70</formula>
      <formula>79</formula>
    </cfRule>
    <cfRule type="cellIs" dxfId="418" priority="57" operator="lessThan">
      <formula>69</formula>
    </cfRule>
    <cfRule type="cellIs" dxfId="417" priority="55" operator="greaterThanOrEqual">
      <formula>80</formula>
    </cfRule>
  </conditionalFormatting>
  <conditionalFormatting sqref="H9:H17">
    <cfRule type="containsText" dxfId="416" priority="79" operator="containsText" text="réserve">
      <formula>NOT(ISERROR(SEARCH("réserve",H9)))</formula>
    </cfRule>
    <cfRule type="endsWith" dxfId="415" priority="80" operator="endsWith" text="Validé">
      <formula>RIGHT(H9,LEN("Validé"))="Validé"</formula>
    </cfRule>
    <cfRule type="containsText" dxfId="414" priority="77" operator="containsText" text="Non contrôlé">
      <formula>NOT(ISERROR(SEARCH("Non contrôlé",H9)))</formula>
    </cfRule>
    <cfRule type="containsText" dxfId="413" priority="78" operator="containsText" text="Non validé">
      <formula>NOT(ISERROR(SEARCH("Non validé",H9)))</formula>
    </cfRule>
  </conditionalFormatting>
  <conditionalFormatting sqref="H19:H20">
    <cfRule type="containsText" dxfId="412" priority="233" operator="containsText" text="Non contrôlé">
      <formula>NOT(ISERROR(SEARCH("Non contrôlé",H19)))</formula>
    </cfRule>
    <cfRule type="endsWith" dxfId="411" priority="236" operator="endsWith" text="Validé">
      <formula>RIGHT(H19,LEN("Validé"))="Validé"</formula>
    </cfRule>
    <cfRule type="containsText" dxfId="410" priority="235" operator="containsText" text="réserve">
      <formula>NOT(ISERROR(SEARCH("réserve",H19)))</formula>
    </cfRule>
    <cfRule type="containsText" dxfId="409" priority="234" operator="containsText" text="Non validé">
      <formula>NOT(ISERROR(SEARCH("Non validé",H19)))</formula>
    </cfRule>
  </conditionalFormatting>
  <conditionalFormatting sqref="H26:H35">
    <cfRule type="containsText" dxfId="408" priority="106" operator="containsText" text="Non validé">
      <formula>NOT(ISERROR(SEARCH("Non validé",H26)))</formula>
    </cfRule>
    <cfRule type="containsText" dxfId="407" priority="105" operator="containsText" text="Non contrôlé">
      <formula>NOT(ISERROR(SEARCH("Non contrôlé",H26)))</formula>
    </cfRule>
    <cfRule type="endsWith" dxfId="406" priority="108" operator="endsWith" text="Validé">
      <formula>RIGHT(H26,LEN("Validé"))="Validé"</formula>
    </cfRule>
    <cfRule type="containsText" dxfId="405" priority="107" operator="containsText" text="réserve">
      <formula>NOT(ISERROR(SEARCH("réserve",H26)))</formula>
    </cfRule>
  </conditionalFormatting>
  <conditionalFormatting sqref="H37">
    <cfRule type="containsText" dxfId="404" priority="133" operator="containsText" text="Non contrôlé">
      <formula>NOT(ISERROR(SEARCH("Non contrôlé",H37)))</formula>
    </cfRule>
    <cfRule type="endsWith" dxfId="403" priority="136" operator="endsWith" text="Validé">
      <formula>RIGHT(H37,LEN("Validé"))="Validé"</formula>
    </cfRule>
    <cfRule type="containsText" dxfId="402" priority="135" operator="containsText" text="réserve">
      <formula>NOT(ISERROR(SEARCH("réserve",H37)))</formula>
    </cfRule>
    <cfRule type="containsText" dxfId="401" priority="134" operator="containsText" text="Non validé">
      <formula>NOT(ISERROR(SEARCH("Non validé",H37)))</formula>
    </cfRule>
  </conditionalFormatting>
  <conditionalFormatting sqref="I19">
    <cfRule type="cellIs" dxfId="400" priority="67" operator="greaterThanOrEqual">
      <formula>80</formula>
    </cfRule>
    <cfRule type="cellIs" dxfId="399" priority="68" operator="between">
      <formula>70</formula>
      <formula>79</formula>
    </cfRule>
    <cfRule type="cellIs" dxfId="398" priority="69" operator="lessThan">
      <formula>69</formula>
    </cfRule>
  </conditionalFormatting>
  <conditionalFormatting sqref="I37">
    <cfRule type="cellIs" dxfId="397" priority="52" operator="greaterThanOrEqual">
      <formula>80</formula>
    </cfRule>
    <cfRule type="cellIs" dxfId="396" priority="53" operator="between">
      <formula>70</formula>
      <formula>79</formula>
    </cfRule>
    <cfRule type="cellIs" dxfId="395" priority="54" operator="lessThan">
      <formula>69</formula>
    </cfRule>
  </conditionalFormatting>
  <conditionalFormatting sqref="M9:M17">
    <cfRule type="endsWith" dxfId="394" priority="248" operator="endsWith" text="Validé">
      <formula>RIGHT(M9,LEN("Validé"))="Validé"</formula>
    </cfRule>
    <cfRule type="containsText" dxfId="393" priority="247" operator="containsText" text="réserve">
      <formula>NOT(ISERROR(SEARCH("réserve",M9)))</formula>
    </cfRule>
    <cfRule type="containsText" dxfId="392" priority="245" operator="containsText" text="Non contrôlé">
      <formula>NOT(ISERROR(SEARCH("Non contrôlé",M9)))</formula>
    </cfRule>
    <cfRule type="containsText" dxfId="391" priority="246" operator="containsText" text="Non validé">
      <formula>NOT(ISERROR(SEARCH("Non validé",M9)))</formula>
    </cfRule>
  </conditionalFormatting>
  <conditionalFormatting sqref="M19:M20">
    <cfRule type="containsText" dxfId="390" priority="241" operator="containsText" text="Non contrôlé">
      <formula>NOT(ISERROR(SEARCH("Non contrôlé",M19)))</formula>
    </cfRule>
    <cfRule type="containsText" dxfId="389" priority="242" operator="containsText" text="Non validé">
      <formula>NOT(ISERROR(SEARCH("Non validé",M19)))</formula>
    </cfRule>
    <cfRule type="containsText" dxfId="388" priority="243" operator="containsText" text="réserve">
      <formula>NOT(ISERROR(SEARCH("réserve",M19)))</formula>
    </cfRule>
    <cfRule type="endsWith" dxfId="387" priority="244" operator="endsWith" text="Validé">
      <formula>RIGHT(M19,LEN("Validé"))="Validé"</formula>
    </cfRule>
  </conditionalFormatting>
  <conditionalFormatting sqref="M26:M34">
    <cfRule type="endsWith" dxfId="386" priority="144" operator="endsWith" text="Validé">
      <formula>RIGHT(M26,LEN("Validé"))="Validé"</formula>
    </cfRule>
    <cfRule type="containsText" dxfId="385" priority="143" operator="containsText" text="réserve">
      <formula>NOT(ISERROR(SEARCH("réserve",M26)))</formula>
    </cfRule>
    <cfRule type="containsText" dxfId="384" priority="141" operator="containsText" text="Non contrôlé">
      <formula>NOT(ISERROR(SEARCH("Non contrôlé",M26)))</formula>
    </cfRule>
    <cfRule type="containsText" dxfId="383" priority="142" operator="containsText" text="Non validé">
      <formula>NOT(ISERROR(SEARCH("Non validé",M26)))</formula>
    </cfRule>
  </conditionalFormatting>
  <conditionalFormatting sqref="M35">
    <cfRule type="containsText" dxfId="382" priority="146" operator="containsText" text="Non validé">
      <formula>NOT(ISERROR(SEARCH("Non validé",M35)))</formula>
    </cfRule>
    <cfRule type="containsText" dxfId="381" priority="145" operator="containsText" text="Non contrôlé">
      <formula>NOT(ISERROR(SEARCH("Non contrôlé",M35)))</formula>
    </cfRule>
    <cfRule type="endsWith" dxfId="380" priority="148" operator="endsWith" text="Validé">
      <formula>RIGHT(M35,LEN("Validé"))="Validé"</formula>
    </cfRule>
    <cfRule type="containsText" dxfId="379" priority="147" operator="containsText" text="réserve">
      <formula>NOT(ISERROR(SEARCH("réserve",M35)))</formula>
    </cfRule>
  </conditionalFormatting>
  <conditionalFormatting sqref="M37">
    <cfRule type="containsText" dxfId="378" priority="137" operator="containsText" text="Non contrôlé">
      <formula>NOT(ISERROR(SEARCH("Non contrôlé",M37)))</formula>
    </cfRule>
    <cfRule type="containsText" dxfId="377" priority="138" operator="containsText" text="Non validé">
      <formula>NOT(ISERROR(SEARCH("Non validé",M37)))</formula>
    </cfRule>
    <cfRule type="containsText" dxfId="376" priority="139" operator="containsText" text="réserve">
      <formula>NOT(ISERROR(SEARCH("réserve",M37)))</formula>
    </cfRule>
    <cfRule type="endsWith" dxfId="375" priority="140" operator="endsWith" text="Validé">
      <formula>RIGHT(M37,LEN("Validé"))="Validé"</formula>
    </cfRule>
  </conditionalFormatting>
  <conditionalFormatting sqref="N19">
    <cfRule type="cellIs" dxfId="374" priority="65" operator="between">
      <formula>70</formula>
      <formula>79</formula>
    </cfRule>
    <cfRule type="cellIs" dxfId="373" priority="66" operator="lessThan">
      <formula>69</formula>
    </cfRule>
    <cfRule type="cellIs" dxfId="372" priority="64" operator="greaterThanOrEqual">
      <formula>80</formula>
    </cfRule>
  </conditionalFormatting>
  <conditionalFormatting sqref="N37">
    <cfRule type="cellIs" dxfId="371" priority="51" operator="lessThan">
      <formula>69</formula>
    </cfRule>
    <cfRule type="cellIs" dxfId="370" priority="50" operator="between">
      <formula>70</formula>
      <formula>79</formula>
    </cfRule>
    <cfRule type="cellIs" dxfId="369" priority="49" operator="greaterThanOrEqual">
      <formula>80</formula>
    </cfRule>
  </conditionalFormatting>
  <conditionalFormatting sqref="R9:R17">
    <cfRule type="endsWith" dxfId="368" priority="256" operator="endsWith" text="Validé">
      <formula>RIGHT(R9,LEN("Validé"))="Validé"</formula>
    </cfRule>
    <cfRule type="containsText" dxfId="367" priority="255" operator="containsText" text="réserve">
      <formula>NOT(ISERROR(SEARCH("réserve",R9)))</formula>
    </cfRule>
    <cfRule type="containsText" dxfId="366" priority="254" operator="containsText" text="Non validé">
      <formula>NOT(ISERROR(SEARCH("Non validé",R9)))</formula>
    </cfRule>
    <cfRule type="containsText" dxfId="365" priority="253" operator="containsText" text="Non contrôlé">
      <formula>NOT(ISERROR(SEARCH("Non contrôlé",R9)))</formula>
    </cfRule>
  </conditionalFormatting>
  <conditionalFormatting sqref="R19">
    <cfRule type="containsText" dxfId="364" priority="251" operator="containsText" text="réserve">
      <formula>NOT(ISERROR(SEARCH("réserve",R19)))</formula>
    </cfRule>
    <cfRule type="endsWith" dxfId="363" priority="252" operator="endsWith" text="Validé">
      <formula>RIGHT(R19,LEN("Validé"))="Validé"</formula>
    </cfRule>
    <cfRule type="containsText" dxfId="362" priority="250" operator="containsText" text="Non validé">
      <formula>NOT(ISERROR(SEARCH("Non validé",R19)))</formula>
    </cfRule>
    <cfRule type="containsText" dxfId="361" priority="249" operator="containsText" text="Non contrôlé">
      <formula>NOT(ISERROR(SEARCH("Non contrôlé",R19)))</formula>
    </cfRule>
  </conditionalFormatting>
  <conditionalFormatting sqref="R26:R34">
    <cfRule type="containsText" dxfId="360" priority="155" operator="containsText" text="réserve">
      <formula>NOT(ISERROR(SEARCH("réserve",R26)))</formula>
    </cfRule>
    <cfRule type="containsText" dxfId="359" priority="154" operator="containsText" text="Non validé">
      <formula>NOT(ISERROR(SEARCH("Non validé",R26)))</formula>
    </cfRule>
    <cfRule type="endsWith" dxfId="358" priority="156" operator="endsWith" text="Validé">
      <formula>RIGHT(R26,LEN("Validé"))="Validé"</formula>
    </cfRule>
    <cfRule type="containsText" dxfId="357" priority="153" operator="containsText" text="Non contrôlé">
      <formula>NOT(ISERROR(SEARCH("Non contrôlé",R26)))</formula>
    </cfRule>
  </conditionalFormatting>
  <conditionalFormatting sqref="R35">
    <cfRule type="containsText" dxfId="356" priority="158" operator="containsText" text="Non validé">
      <formula>NOT(ISERROR(SEARCH("Non validé",R35)))</formula>
    </cfRule>
    <cfRule type="containsText" dxfId="355" priority="157" operator="containsText" text="Non contrôlé">
      <formula>NOT(ISERROR(SEARCH("Non contrôlé",R35)))</formula>
    </cfRule>
    <cfRule type="containsText" dxfId="354" priority="159" operator="containsText" text="réserve">
      <formula>NOT(ISERROR(SEARCH("réserve",R35)))</formula>
    </cfRule>
    <cfRule type="endsWith" dxfId="353" priority="160" operator="endsWith" text="Validé">
      <formula>RIGHT(R35,LEN("Validé"))="Validé"</formula>
    </cfRule>
  </conditionalFormatting>
  <conditionalFormatting sqref="R37">
    <cfRule type="endsWith" dxfId="352" priority="152" operator="endsWith" text="Validé">
      <formula>RIGHT(R37,LEN("Validé"))="Validé"</formula>
    </cfRule>
    <cfRule type="containsText" dxfId="351" priority="151" operator="containsText" text="réserve">
      <formula>NOT(ISERROR(SEARCH("réserve",R37)))</formula>
    </cfRule>
    <cfRule type="containsText" dxfId="350" priority="150" operator="containsText" text="Non validé">
      <formula>NOT(ISERROR(SEARCH("Non validé",R37)))</formula>
    </cfRule>
    <cfRule type="containsText" dxfId="349" priority="149" operator="containsText" text="Non contrôlé">
      <formula>NOT(ISERROR(SEARCH("Non contrôlé",R37)))</formula>
    </cfRule>
  </conditionalFormatting>
  <conditionalFormatting sqref="S19">
    <cfRule type="cellIs" dxfId="348" priority="62" operator="between">
      <formula>70</formula>
      <formula>79</formula>
    </cfRule>
    <cfRule type="cellIs" dxfId="347" priority="63" operator="lessThan">
      <formula>69</formula>
    </cfRule>
    <cfRule type="cellIs" dxfId="346" priority="61" operator="greaterThanOrEqual">
      <formula>80</formula>
    </cfRule>
  </conditionalFormatting>
  <conditionalFormatting sqref="S37">
    <cfRule type="cellIs" dxfId="345" priority="48" operator="lessThan">
      <formula>69</formula>
    </cfRule>
    <cfRule type="cellIs" dxfId="344" priority="46" operator="greaterThanOrEqual">
      <formula>80</formula>
    </cfRule>
    <cfRule type="cellIs" dxfId="343" priority="47" operator="between">
      <formula>70</formula>
      <formula>79</formula>
    </cfRule>
  </conditionalFormatting>
  <conditionalFormatting sqref="W9:W17">
    <cfRule type="containsText" dxfId="342" priority="117" operator="containsText" text="Non contrôlé">
      <formula>NOT(ISERROR(SEARCH("Non contrôlé",W9)))</formula>
    </cfRule>
    <cfRule type="containsText" dxfId="341" priority="118" operator="containsText" text="Non validé">
      <formula>NOT(ISERROR(SEARCH("Non validé",W9)))</formula>
    </cfRule>
    <cfRule type="containsText" dxfId="340" priority="119" operator="containsText" text="réserve">
      <formula>NOT(ISERROR(SEARCH("réserve",W9)))</formula>
    </cfRule>
    <cfRule type="endsWith" dxfId="339" priority="120" operator="endsWith" text="Validé">
      <formula>RIGHT(W9,LEN("Validé"))="Validé"</formula>
    </cfRule>
  </conditionalFormatting>
  <conditionalFormatting sqref="W19">
    <cfRule type="containsText" dxfId="338" priority="257" operator="containsText" text="Non contrôlé">
      <formula>NOT(ISERROR(SEARCH("Non contrôlé",W19)))</formula>
    </cfRule>
    <cfRule type="containsText" dxfId="337" priority="258" operator="containsText" text="Non validé">
      <formula>NOT(ISERROR(SEARCH("Non validé",W19)))</formula>
    </cfRule>
    <cfRule type="containsText" dxfId="336" priority="259" operator="containsText" text="réserve">
      <formula>NOT(ISERROR(SEARCH("réserve",W19)))</formula>
    </cfRule>
    <cfRule type="endsWith" dxfId="335" priority="260" operator="endsWith" text="Validé">
      <formula>RIGHT(W19,LEN("Validé"))="Validé"</formula>
    </cfRule>
  </conditionalFormatting>
  <conditionalFormatting sqref="W26:W34">
    <cfRule type="containsText" dxfId="334" priority="166" operator="containsText" text="Non validé">
      <formula>NOT(ISERROR(SEARCH("Non validé",W26)))</formula>
    </cfRule>
    <cfRule type="endsWith" dxfId="333" priority="168" operator="endsWith" text="Validé">
      <formula>RIGHT(W26,LEN("Validé"))="Validé"</formula>
    </cfRule>
    <cfRule type="containsText" dxfId="332" priority="167" operator="containsText" text="réserve">
      <formula>NOT(ISERROR(SEARCH("réserve",W26)))</formula>
    </cfRule>
    <cfRule type="containsText" dxfId="331" priority="165" operator="containsText" text="Non contrôlé">
      <formula>NOT(ISERROR(SEARCH("Non contrôlé",W26)))</formula>
    </cfRule>
  </conditionalFormatting>
  <conditionalFormatting sqref="W35">
    <cfRule type="containsText" dxfId="330" priority="170" operator="containsText" text="Non validé">
      <formula>NOT(ISERROR(SEARCH("Non validé",W35)))</formula>
    </cfRule>
    <cfRule type="containsText" dxfId="329" priority="169" operator="containsText" text="Non contrôlé">
      <formula>NOT(ISERROR(SEARCH("Non contrôlé",W35)))</formula>
    </cfRule>
    <cfRule type="endsWith" dxfId="328" priority="172" operator="endsWith" text="Validé">
      <formula>RIGHT(W35,LEN("Validé"))="Validé"</formula>
    </cfRule>
    <cfRule type="containsText" dxfId="327" priority="171" operator="containsText" text="réserve">
      <formula>NOT(ISERROR(SEARCH("réserve",W35)))</formula>
    </cfRule>
  </conditionalFormatting>
  <conditionalFormatting sqref="W37">
    <cfRule type="containsText" dxfId="326" priority="161" operator="containsText" text="Non contrôlé">
      <formula>NOT(ISERROR(SEARCH("Non contrôlé",W37)))</formula>
    </cfRule>
    <cfRule type="containsText" dxfId="325" priority="162" operator="containsText" text="Non validé">
      <formula>NOT(ISERROR(SEARCH("Non validé",W37)))</formula>
    </cfRule>
    <cfRule type="endsWith" dxfId="324" priority="164" operator="endsWith" text="Validé">
      <formula>RIGHT(W37,LEN("Validé"))="Validé"</formula>
    </cfRule>
    <cfRule type="containsText" dxfId="323" priority="163" operator="containsText" text="réserve">
      <formula>NOT(ISERROR(SEARCH("réserve",W37)))</formula>
    </cfRule>
  </conditionalFormatting>
  <conditionalFormatting sqref="X19">
    <cfRule type="cellIs" dxfId="322" priority="60" operator="lessThan">
      <formula>69</formula>
    </cfRule>
    <cfRule type="cellIs" dxfId="321" priority="58" operator="greaterThanOrEqual">
      <formula>80</formula>
    </cfRule>
    <cfRule type="cellIs" dxfId="320" priority="59" operator="between">
      <formula>70</formula>
      <formula>79</formula>
    </cfRule>
  </conditionalFormatting>
  <conditionalFormatting sqref="X37">
    <cfRule type="cellIs" dxfId="319" priority="45" operator="lessThan">
      <formula>69</formula>
    </cfRule>
    <cfRule type="cellIs" dxfId="318" priority="44" operator="between">
      <formula>70</formula>
      <formula>79</formula>
    </cfRule>
    <cfRule type="cellIs" dxfId="317" priority="43" operator="greaterThanOrEqual">
      <formula>80</formula>
    </cfRule>
  </conditionalFormatting>
  <conditionalFormatting sqref="AB9:AB17">
    <cfRule type="containsText" dxfId="316" priority="269" operator="containsText" text="Non contrôlé">
      <formula>NOT(ISERROR(SEARCH("Non contrôlé",AB9)))</formula>
    </cfRule>
    <cfRule type="containsText" dxfId="315" priority="270" operator="containsText" text="Non validé">
      <formula>NOT(ISERROR(SEARCH("Non validé",AB9)))</formula>
    </cfRule>
    <cfRule type="containsText" dxfId="314" priority="271" operator="containsText" text="réserve">
      <formula>NOT(ISERROR(SEARCH("réserve",AB9)))</formula>
    </cfRule>
    <cfRule type="endsWith" dxfId="313" priority="272" operator="endsWith" text="Validé">
      <formula>RIGHT(AB9,LEN("Validé"))="Validé"</formula>
    </cfRule>
  </conditionalFormatting>
  <conditionalFormatting sqref="AB19">
    <cfRule type="endsWith" dxfId="312" priority="268" operator="endsWith" text="Validé">
      <formula>RIGHT(AB19,LEN("Validé"))="Validé"</formula>
    </cfRule>
    <cfRule type="containsText" dxfId="311" priority="265" operator="containsText" text="Non contrôlé">
      <formula>NOT(ISERROR(SEARCH("Non contrôlé",AB19)))</formula>
    </cfRule>
    <cfRule type="containsText" dxfId="310" priority="266" operator="containsText" text="Non validé">
      <formula>NOT(ISERROR(SEARCH("Non validé",AB19)))</formula>
    </cfRule>
    <cfRule type="containsText" dxfId="309" priority="267" operator="containsText" text="réserve">
      <formula>NOT(ISERROR(SEARCH("réserve",AB19)))</formula>
    </cfRule>
  </conditionalFormatting>
  <conditionalFormatting sqref="AB26:AB34">
    <cfRule type="containsText" dxfId="308" priority="178" operator="containsText" text="Non validé">
      <formula>NOT(ISERROR(SEARCH("Non validé",AB26)))</formula>
    </cfRule>
    <cfRule type="containsText" dxfId="307" priority="177" operator="containsText" text="Non contrôlé">
      <formula>NOT(ISERROR(SEARCH("Non contrôlé",AB26)))</formula>
    </cfRule>
    <cfRule type="containsText" dxfId="306" priority="179" operator="containsText" text="réserve">
      <formula>NOT(ISERROR(SEARCH("réserve",AB26)))</formula>
    </cfRule>
    <cfRule type="endsWith" dxfId="305" priority="180" operator="endsWith" text="Validé">
      <formula>RIGHT(AB26,LEN("Validé"))="Validé"</formula>
    </cfRule>
  </conditionalFormatting>
  <conditionalFormatting sqref="AB35">
    <cfRule type="endsWith" dxfId="304" priority="184" operator="endsWith" text="Validé">
      <formula>RIGHT(AB35,LEN("Validé"))="Validé"</formula>
    </cfRule>
    <cfRule type="containsText" dxfId="303" priority="181" operator="containsText" text="Non contrôlé">
      <formula>NOT(ISERROR(SEARCH("Non contrôlé",AB35)))</formula>
    </cfRule>
    <cfRule type="containsText" dxfId="302" priority="182" operator="containsText" text="Non validé">
      <formula>NOT(ISERROR(SEARCH("Non validé",AB35)))</formula>
    </cfRule>
    <cfRule type="containsText" dxfId="301" priority="183" operator="containsText" text="réserve">
      <formula>NOT(ISERROR(SEARCH("réserve",AB35)))</formula>
    </cfRule>
  </conditionalFormatting>
  <conditionalFormatting sqref="AB37">
    <cfRule type="containsText" dxfId="300" priority="174" operator="containsText" text="Non validé">
      <formula>NOT(ISERROR(SEARCH("Non validé",AB37)))</formula>
    </cfRule>
    <cfRule type="containsText" dxfId="299" priority="175" operator="containsText" text="réserve">
      <formula>NOT(ISERROR(SEARCH("réserve",AB37)))</formula>
    </cfRule>
    <cfRule type="endsWith" dxfId="298" priority="176" operator="endsWith" text="Validé">
      <formula>RIGHT(AB37,LEN("Validé"))="Validé"</formula>
    </cfRule>
    <cfRule type="containsText" dxfId="297" priority="173" operator="containsText" text="Non contrôlé">
      <formula>NOT(ISERROR(SEARCH("Non contrôlé",AB37)))</formula>
    </cfRule>
  </conditionalFormatting>
  <conditionalFormatting sqref="AC19">
    <cfRule type="cellIs" dxfId="296" priority="40" operator="greaterThanOrEqual">
      <formula>80</formula>
    </cfRule>
    <cfRule type="cellIs" dxfId="295" priority="41" operator="between">
      <formula>70</formula>
      <formula>79</formula>
    </cfRule>
    <cfRule type="cellIs" dxfId="294" priority="42" operator="lessThan">
      <formula>69</formula>
    </cfRule>
  </conditionalFormatting>
  <conditionalFormatting sqref="AC37">
    <cfRule type="cellIs" dxfId="293" priority="33" operator="lessThan">
      <formula>69</formula>
    </cfRule>
    <cfRule type="cellIs" dxfId="292" priority="32" operator="between">
      <formula>70</formula>
      <formula>79</formula>
    </cfRule>
    <cfRule type="cellIs" dxfId="291" priority="31" operator="greaterThanOrEqual">
      <formula>80</formula>
    </cfRule>
  </conditionalFormatting>
  <conditionalFormatting sqref="AG9:AG17">
    <cfRule type="containsText" dxfId="290" priority="277" operator="containsText" text="Non contrôlé">
      <formula>NOT(ISERROR(SEARCH("Non contrôlé",AG9)))</formula>
    </cfRule>
    <cfRule type="containsText" dxfId="289" priority="278" operator="containsText" text="Non validé">
      <formula>NOT(ISERROR(SEARCH("Non validé",AG9)))</formula>
    </cfRule>
    <cfRule type="containsText" dxfId="288" priority="279" operator="containsText" text="réserve">
      <formula>NOT(ISERROR(SEARCH("réserve",AG9)))</formula>
    </cfRule>
    <cfRule type="endsWith" dxfId="287" priority="280" operator="endsWith" text="Validé">
      <formula>RIGHT(AG9,LEN("Validé"))="Validé"</formula>
    </cfRule>
  </conditionalFormatting>
  <conditionalFormatting sqref="AG19">
    <cfRule type="containsText" dxfId="286" priority="273" operator="containsText" text="Non contrôlé">
      <formula>NOT(ISERROR(SEARCH("Non contrôlé",AG19)))</formula>
    </cfRule>
    <cfRule type="containsText" dxfId="285" priority="274" operator="containsText" text="Non validé">
      <formula>NOT(ISERROR(SEARCH("Non validé",AG19)))</formula>
    </cfRule>
    <cfRule type="containsText" dxfId="284" priority="275" operator="containsText" text="réserve">
      <formula>NOT(ISERROR(SEARCH("réserve",AG19)))</formula>
    </cfRule>
    <cfRule type="endsWith" dxfId="283" priority="276" operator="endsWith" text="Validé">
      <formula>RIGHT(AG19,LEN("Validé"))="Validé"</formula>
    </cfRule>
  </conditionalFormatting>
  <conditionalFormatting sqref="AG26:AG34">
    <cfRule type="containsText" dxfId="282" priority="189" operator="containsText" text="Non contrôlé">
      <formula>NOT(ISERROR(SEARCH("Non contrôlé",AG26)))</formula>
    </cfRule>
    <cfRule type="endsWith" dxfId="281" priority="192" operator="endsWith" text="Validé">
      <formula>RIGHT(AG26,LEN("Validé"))="Validé"</formula>
    </cfRule>
    <cfRule type="containsText" dxfId="280" priority="191" operator="containsText" text="réserve">
      <formula>NOT(ISERROR(SEARCH("réserve",AG26)))</formula>
    </cfRule>
    <cfRule type="containsText" dxfId="279" priority="190" operator="containsText" text="Non validé">
      <formula>NOT(ISERROR(SEARCH("Non validé",AG26)))</formula>
    </cfRule>
  </conditionalFormatting>
  <conditionalFormatting sqref="AG35">
    <cfRule type="endsWith" dxfId="278" priority="196" operator="endsWith" text="Validé">
      <formula>RIGHT(AG35,LEN("Validé"))="Validé"</formula>
    </cfRule>
    <cfRule type="containsText" dxfId="277" priority="195" operator="containsText" text="réserve">
      <formula>NOT(ISERROR(SEARCH("réserve",AG35)))</formula>
    </cfRule>
    <cfRule type="containsText" dxfId="276" priority="193" operator="containsText" text="Non contrôlé">
      <formula>NOT(ISERROR(SEARCH("Non contrôlé",AG35)))</formula>
    </cfRule>
    <cfRule type="containsText" dxfId="275" priority="194" operator="containsText" text="Non validé">
      <formula>NOT(ISERROR(SEARCH("Non validé",AG35)))</formula>
    </cfRule>
  </conditionalFormatting>
  <conditionalFormatting sqref="AG37">
    <cfRule type="containsText" dxfId="274" priority="187" operator="containsText" text="réserve">
      <formula>NOT(ISERROR(SEARCH("réserve",AG37)))</formula>
    </cfRule>
    <cfRule type="endsWith" dxfId="273" priority="188" operator="endsWith" text="Validé">
      <formula>RIGHT(AG37,LEN("Validé"))="Validé"</formula>
    </cfRule>
    <cfRule type="containsText" dxfId="272" priority="186" operator="containsText" text="Non validé">
      <formula>NOT(ISERROR(SEARCH("Non validé",AG37)))</formula>
    </cfRule>
    <cfRule type="containsText" dxfId="271" priority="185" operator="containsText" text="Non contrôlé">
      <formula>NOT(ISERROR(SEARCH("Non contrôlé",AG37)))</formula>
    </cfRule>
  </conditionalFormatting>
  <conditionalFormatting sqref="AH19">
    <cfRule type="cellIs" dxfId="270" priority="37" operator="greaterThanOrEqual">
      <formula>80</formula>
    </cfRule>
    <cfRule type="cellIs" dxfId="269" priority="38" operator="between">
      <formula>70</formula>
      <formula>79</formula>
    </cfRule>
    <cfRule type="cellIs" dxfId="268" priority="39" operator="lessThan">
      <formula>69</formula>
    </cfRule>
  </conditionalFormatting>
  <conditionalFormatting sqref="AH37">
    <cfRule type="cellIs" dxfId="267" priority="30" operator="lessThan">
      <formula>69</formula>
    </cfRule>
    <cfRule type="cellIs" dxfId="266" priority="29" operator="between">
      <formula>70</formula>
      <formula>79</formula>
    </cfRule>
    <cfRule type="cellIs" dxfId="265" priority="28" operator="greaterThanOrEqual">
      <formula>80</formula>
    </cfRule>
  </conditionalFormatting>
  <conditionalFormatting sqref="AL9:AL17">
    <cfRule type="endsWith" dxfId="264" priority="288" operator="endsWith" text="Validé">
      <formula>RIGHT(AL9,LEN("Validé"))="Validé"</formula>
    </cfRule>
    <cfRule type="containsText" dxfId="263" priority="287" operator="containsText" text="réserve">
      <formula>NOT(ISERROR(SEARCH("réserve",AL9)))</formula>
    </cfRule>
    <cfRule type="containsText" dxfId="262" priority="285" operator="containsText" text="Non contrôlé">
      <formula>NOT(ISERROR(SEARCH("Non contrôlé",AL9)))</formula>
    </cfRule>
    <cfRule type="containsText" dxfId="261" priority="286" operator="containsText" text="Non validé">
      <formula>NOT(ISERROR(SEARCH("Non validé",AL9)))</formula>
    </cfRule>
  </conditionalFormatting>
  <conditionalFormatting sqref="AL19">
    <cfRule type="endsWith" dxfId="260" priority="284" operator="endsWith" text="Validé">
      <formula>RIGHT(AL19,LEN("Validé"))="Validé"</formula>
    </cfRule>
    <cfRule type="containsText" dxfId="259" priority="281" operator="containsText" text="Non contrôlé">
      <formula>NOT(ISERROR(SEARCH("Non contrôlé",AL19)))</formula>
    </cfRule>
    <cfRule type="containsText" dxfId="258" priority="282" operator="containsText" text="Non validé">
      <formula>NOT(ISERROR(SEARCH("Non validé",AL19)))</formula>
    </cfRule>
    <cfRule type="containsText" dxfId="257" priority="283" operator="containsText" text="réserve">
      <formula>NOT(ISERROR(SEARCH("réserve",AL19)))</formula>
    </cfRule>
  </conditionalFormatting>
  <conditionalFormatting sqref="AL26:AL34">
    <cfRule type="containsText" dxfId="256" priority="202" operator="containsText" text="Non validé">
      <formula>NOT(ISERROR(SEARCH("Non validé",AL26)))</formula>
    </cfRule>
    <cfRule type="endsWith" dxfId="255" priority="204" operator="endsWith" text="Validé">
      <formula>RIGHT(AL26,LEN("Validé"))="Validé"</formula>
    </cfRule>
    <cfRule type="containsText" dxfId="254" priority="203" operator="containsText" text="réserve">
      <formula>NOT(ISERROR(SEARCH("réserve",AL26)))</formula>
    </cfRule>
    <cfRule type="containsText" dxfId="253" priority="201" operator="containsText" text="Non contrôlé">
      <formula>NOT(ISERROR(SEARCH("Non contrôlé",AL26)))</formula>
    </cfRule>
  </conditionalFormatting>
  <conditionalFormatting sqref="AL35">
    <cfRule type="containsText" dxfId="252" priority="205" operator="containsText" text="Non contrôlé">
      <formula>NOT(ISERROR(SEARCH("Non contrôlé",AL35)))</formula>
    </cfRule>
    <cfRule type="containsText" dxfId="251" priority="206" operator="containsText" text="Non validé">
      <formula>NOT(ISERROR(SEARCH("Non validé",AL35)))</formula>
    </cfRule>
    <cfRule type="endsWith" dxfId="250" priority="208" operator="endsWith" text="Validé">
      <formula>RIGHT(AL35,LEN("Validé"))="Validé"</formula>
    </cfRule>
    <cfRule type="containsText" dxfId="249" priority="207" operator="containsText" text="réserve">
      <formula>NOT(ISERROR(SEARCH("réserve",AL35)))</formula>
    </cfRule>
  </conditionalFormatting>
  <conditionalFormatting sqref="AL37">
    <cfRule type="containsText" dxfId="248" priority="199" operator="containsText" text="réserve">
      <formula>NOT(ISERROR(SEARCH("réserve",AL37)))</formula>
    </cfRule>
    <cfRule type="containsText" dxfId="247" priority="197" operator="containsText" text="Non contrôlé">
      <formula>NOT(ISERROR(SEARCH("Non contrôlé",AL37)))</formula>
    </cfRule>
    <cfRule type="endsWith" dxfId="246" priority="200" operator="endsWith" text="Validé">
      <formula>RIGHT(AL37,LEN("Validé"))="Validé"</formula>
    </cfRule>
    <cfRule type="containsText" dxfId="245" priority="198" operator="containsText" text="Non validé">
      <formula>NOT(ISERROR(SEARCH("Non validé",AL37)))</formula>
    </cfRule>
  </conditionalFormatting>
  <conditionalFormatting sqref="AM19">
    <cfRule type="cellIs" dxfId="244" priority="36" operator="lessThan">
      <formula>69</formula>
    </cfRule>
    <cfRule type="cellIs" dxfId="243" priority="35" operator="between">
      <formula>70</formula>
      <formula>79</formula>
    </cfRule>
    <cfRule type="cellIs" dxfId="242" priority="34" operator="greaterThanOrEqual">
      <formula>80</formula>
    </cfRule>
  </conditionalFormatting>
  <conditionalFormatting sqref="AM37">
    <cfRule type="cellIs" dxfId="241" priority="25" operator="greaterThanOrEqual">
      <formula>80</formula>
    </cfRule>
    <cfRule type="cellIs" dxfId="240" priority="26" operator="between">
      <formula>70</formula>
      <formula>79</formula>
    </cfRule>
    <cfRule type="cellIs" dxfId="239" priority="27" operator="lessThan">
      <formula>69</formula>
    </cfRule>
  </conditionalFormatting>
  <conditionalFormatting sqref="AQ9:AQ17">
    <cfRule type="endsWith" dxfId="238" priority="296" operator="endsWith" text="Validé">
      <formula>RIGHT(AQ9,LEN("Validé"))="Validé"</formula>
    </cfRule>
    <cfRule type="containsText" dxfId="237" priority="295" operator="containsText" text="réserve">
      <formula>NOT(ISERROR(SEARCH("réserve",AQ9)))</formula>
    </cfRule>
    <cfRule type="containsText" dxfId="236" priority="294" operator="containsText" text="Non validé">
      <formula>NOT(ISERROR(SEARCH("Non validé",AQ9)))</formula>
    </cfRule>
    <cfRule type="containsText" dxfId="235" priority="293" operator="containsText" text="Non contrôlé">
      <formula>NOT(ISERROR(SEARCH("Non contrôlé",AQ9)))</formula>
    </cfRule>
  </conditionalFormatting>
  <conditionalFormatting sqref="AQ19">
    <cfRule type="endsWith" dxfId="234" priority="292" operator="endsWith" text="Validé">
      <formula>RIGHT(AQ19,LEN("Validé"))="Validé"</formula>
    </cfRule>
    <cfRule type="containsText" dxfId="233" priority="290" operator="containsText" text="Non validé">
      <formula>NOT(ISERROR(SEARCH("Non validé",AQ19)))</formula>
    </cfRule>
    <cfRule type="containsText" dxfId="232" priority="289" operator="containsText" text="Non contrôlé">
      <formula>NOT(ISERROR(SEARCH("Non contrôlé",AQ19)))</formula>
    </cfRule>
    <cfRule type="containsText" dxfId="231" priority="291" operator="containsText" text="réserve">
      <formula>NOT(ISERROR(SEARCH("réserve",AQ19)))</formula>
    </cfRule>
  </conditionalFormatting>
  <conditionalFormatting sqref="AQ26:AQ34">
    <cfRule type="containsText" dxfId="230" priority="213" operator="containsText" text="Non contrôlé">
      <formula>NOT(ISERROR(SEARCH("Non contrôlé",AQ26)))</formula>
    </cfRule>
    <cfRule type="endsWith" dxfId="229" priority="216" operator="endsWith" text="Validé">
      <formula>RIGHT(AQ26,LEN("Validé"))="Validé"</formula>
    </cfRule>
    <cfRule type="containsText" dxfId="228" priority="214" operator="containsText" text="Non validé">
      <formula>NOT(ISERROR(SEARCH("Non validé",AQ26)))</formula>
    </cfRule>
    <cfRule type="containsText" dxfId="227" priority="215" operator="containsText" text="réserve">
      <formula>NOT(ISERROR(SEARCH("réserve",AQ26)))</formula>
    </cfRule>
  </conditionalFormatting>
  <conditionalFormatting sqref="AQ35">
    <cfRule type="endsWith" dxfId="226" priority="220" operator="endsWith" text="Validé">
      <formula>RIGHT(AQ35,LEN("Validé"))="Validé"</formula>
    </cfRule>
    <cfRule type="containsText" dxfId="225" priority="219" operator="containsText" text="réserve">
      <formula>NOT(ISERROR(SEARCH("réserve",AQ35)))</formula>
    </cfRule>
    <cfRule type="containsText" dxfId="224" priority="218" operator="containsText" text="Non validé">
      <formula>NOT(ISERROR(SEARCH("Non validé",AQ35)))</formula>
    </cfRule>
    <cfRule type="containsText" dxfId="223" priority="217" operator="containsText" text="Non contrôlé">
      <formula>NOT(ISERROR(SEARCH("Non contrôlé",AQ35)))</formula>
    </cfRule>
  </conditionalFormatting>
  <conditionalFormatting sqref="AQ37">
    <cfRule type="endsWith" dxfId="222" priority="212" operator="endsWith" text="Validé">
      <formula>RIGHT(AQ37,LEN("Validé"))="Validé"</formula>
    </cfRule>
    <cfRule type="containsText" dxfId="221" priority="209" operator="containsText" text="Non contrôlé">
      <formula>NOT(ISERROR(SEARCH("Non contrôlé",AQ37)))</formula>
    </cfRule>
    <cfRule type="containsText" dxfId="220" priority="210" operator="containsText" text="Non validé">
      <formula>NOT(ISERROR(SEARCH("Non validé",AQ37)))</formula>
    </cfRule>
    <cfRule type="containsText" dxfId="219" priority="211" operator="containsText" text="réserve">
      <formula>NOT(ISERROR(SEARCH("réserve",AQ37)))</formula>
    </cfRule>
  </conditionalFormatting>
  <conditionalFormatting sqref="AR19">
    <cfRule type="cellIs" dxfId="218" priority="21" operator="lessThan">
      <formula>69</formula>
    </cfRule>
    <cfRule type="cellIs" dxfId="217" priority="20" operator="between">
      <formula>70</formula>
      <formula>79</formula>
    </cfRule>
    <cfRule type="cellIs" dxfId="216" priority="19" operator="greaterThanOrEqual">
      <formula>80</formula>
    </cfRule>
  </conditionalFormatting>
  <conditionalFormatting sqref="AR37">
    <cfRule type="cellIs" dxfId="215" priority="23" operator="between">
      <formula>70</formula>
      <formula>79</formula>
    </cfRule>
    <cfRule type="cellIs" dxfId="214" priority="24" operator="lessThan">
      <formula>69</formula>
    </cfRule>
    <cfRule type="cellIs" dxfId="213" priority="22" operator="greaterThanOrEqual">
      <formula>80</formula>
    </cfRule>
  </conditionalFormatting>
  <conditionalFormatting sqref="AV9:AV17">
    <cfRule type="containsText" dxfId="212" priority="303" operator="containsText" text="réserve">
      <formula>NOT(ISERROR(SEARCH("réserve",AV9)))</formula>
    </cfRule>
    <cfRule type="containsText" dxfId="211" priority="301" operator="containsText" text="Non contrôlé">
      <formula>NOT(ISERROR(SEARCH("Non contrôlé",AV9)))</formula>
    </cfRule>
    <cfRule type="containsText" dxfId="210" priority="302" operator="containsText" text="Non validé">
      <formula>NOT(ISERROR(SEARCH("Non validé",AV9)))</formula>
    </cfRule>
    <cfRule type="endsWith" dxfId="209" priority="304" operator="endsWith" text="Validé">
      <formula>RIGHT(AV9,LEN("Validé"))="Validé"</formula>
    </cfRule>
  </conditionalFormatting>
  <conditionalFormatting sqref="AV19">
    <cfRule type="containsText" dxfId="208" priority="297" operator="containsText" text="Non contrôlé">
      <formula>NOT(ISERROR(SEARCH("Non contrôlé",AV19)))</formula>
    </cfRule>
    <cfRule type="containsText" dxfId="207" priority="298" operator="containsText" text="Non validé">
      <formula>NOT(ISERROR(SEARCH("Non validé",AV19)))</formula>
    </cfRule>
    <cfRule type="containsText" dxfId="206" priority="299" operator="containsText" text="réserve">
      <formula>NOT(ISERROR(SEARCH("réserve",AV19)))</formula>
    </cfRule>
    <cfRule type="endsWith" dxfId="205" priority="300" operator="endsWith" text="Validé">
      <formula>RIGHT(AV19,LEN("Validé"))="Validé"</formula>
    </cfRule>
  </conditionalFormatting>
  <conditionalFormatting sqref="AV26:AV34">
    <cfRule type="containsText" dxfId="204" priority="85" operator="containsText" text="Non contrôlé">
      <formula>NOT(ISERROR(SEARCH("Non contrôlé",AV26)))</formula>
    </cfRule>
    <cfRule type="containsText" dxfId="203" priority="86" operator="containsText" text="Non validé">
      <formula>NOT(ISERROR(SEARCH("Non validé",AV26)))</formula>
    </cfRule>
    <cfRule type="containsText" dxfId="202" priority="87" operator="containsText" text="réserve">
      <formula>NOT(ISERROR(SEARCH("réserve",AV26)))</formula>
    </cfRule>
    <cfRule type="endsWith" dxfId="201" priority="88" operator="endsWith" text="Validé">
      <formula>RIGHT(AV26,LEN("Validé"))="Validé"</formula>
    </cfRule>
  </conditionalFormatting>
  <conditionalFormatting sqref="AV35">
    <cfRule type="endsWith" dxfId="200" priority="92" operator="endsWith" text="Validé">
      <formula>RIGHT(AV35,LEN("Validé"))="Validé"</formula>
    </cfRule>
    <cfRule type="containsText" dxfId="199" priority="91" operator="containsText" text="réserve">
      <formula>NOT(ISERROR(SEARCH("réserve",AV35)))</formula>
    </cfRule>
    <cfRule type="containsText" dxfId="198" priority="90" operator="containsText" text="Non validé">
      <formula>NOT(ISERROR(SEARCH("Non validé",AV35)))</formula>
    </cfRule>
    <cfRule type="containsText" dxfId="197" priority="89" operator="containsText" text="Non contrôlé">
      <formula>NOT(ISERROR(SEARCH("Non contrôlé",AV35)))</formula>
    </cfRule>
  </conditionalFormatting>
  <conditionalFormatting sqref="AV37">
    <cfRule type="containsText" dxfId="196" priority="223" operator="containsText" text="réserve">
      <formula>NOT(ISERROR(SEARCH("réserve",AV37)))</formula>
    </cfRule>
    <cfRule type="containsText" dxfId="195" priority="221" operator="containsText" text="Non contrôlé">
      <formula>NOT(ISERROR(SEARCH("Non contrôlé",AV37)))</formula>
    </cfRule>
    <cfRule type="containsText" dxfId="194" priority="222" operator="containsText" text="Non validé">
      <formula>NOT(ISERROR(SEARCH("Non validé",AV37)))</formula>
    </cfRule>
    <cfRule type="endsWith" dxfId="193" priority="224" operator="endsWith" text="Validé">
      <formula>RIGHT(AV37,LEN("Validé"))="Validé"</formula>
    </cfRule>
  </conditionalFormatting>
  <conditionalFormatting sqref="AW19">
    <cfRule type="cellIs" dxfId="192" priority="16" operator="greaterThanOrEqual">
      <formula>80</formula>
    </cfRule>
    <cfRule type="cellIs" dxfId="191" priority="17" operator="between">
      <formula>70</formula>
      <formula>79</formula>
    </cfRule>
    <cfRule type="cellIs" dxfId="190" priority="18" operator="lessThan">
      <formula>69</formula>
    </cfRule>
  </conditionalFormatting>
  <conditionalFormatting sqref="AW37">
    <cfRule type="cellIs" dxfId="189" priority="3" operator="lessThan">
      <formula>69</formula>
    </cfRule>
    <cfRule type="cellIs" dxfId="188" priority="2" operator="between">
      <formula>70</formula>
      <formula>79</formula>
    </cfRule>
    <cfRule type="cellIs" dxfId="187" priority="1" operator="greaterThanOrEqual">
      <formula>80</formula>
    </cfRule>
  </conditionalFormatting>
  <conditionalFormatting sqref="BA9:BA17">
    <cfRule type="containsText" dxfId="186" priority="75" operator="containsText" text="réserve">
      <formula>NOT(ISERROR(SEARCH("réserve",BA9)))</formula>
    </cfRule>
    <cfRule type="containsText" dxfId="185" priority="74" operator="containsText" text="Non validé">
      <formula>NOT(ISERROR(SEARCH("Non validé",BA9)))</formula>
    </cfRule>
    <cfRule type="containsText" dxfId="184" priority="73" operator="containsText" text="Non contrôlé">
      <formula>NOT(ISERROR(SEARCH("Non contrôlé",BA9)))</formula>
    </cfRule>
    <cfRule type="endsWith" dxfId="183" priority="76" operator="endsWith" text="Validé">
      <formula>RIGHT(BA9,LEN("Validé"))="Validé"</formula>
    </cfRule>
  </conditionalFormatting>
  <conditionalFormatting sqref="BA19">
    <cfRule type="endsWith" dxfId="182" priority="308" operator="endsWith" text="Validé">
      <formula>RIGHT(BA19,LEN("Validé"))="Validé"</formula>
    </cfRule>
    <cfRule type="containsText" dxfId="181" priority="307" operator="containsText" text="réserve">
      <formula>NOT(ISERROR(SEARCH("réserve",BA19)))</formula>
    </cfRule>
    <cfRule type="containsText" dxfId="180" priority="306" operator="containsText" text="Non validé">
      <formula>NOT(ISERROR(SEARCH("Non validé",BA19)))</formula>
    </cfRule>
    <cfRule type="containsText" dxfId="179" priority="305" operator="containsText" text="Non contrôlé">
      <formula>NOT(ISERROR(SEARCH("Non contrôlé",BA19)))</formula>
    </cfRule>
  </conditionalFormatting>
  <conditionalFormatting sqref="BA26:BA34">
    <cfRule type="containsText" dxfId="178" priority="93" operator="containsText" text="Non contrôlé">
      <formula>NOT(ISERROR(SEARCH("Non contrôlé",BA26)))</formula>
    </cfRule>
    <cfRule type="endsWith" dxfId="177" priority="96" operator="endsWith" text="Validé">
      <formula>RIGHT(BA26,LEN("Validé"))="Validé"</formula>
    </cfRule>
    <cfRule type="containsText" dxfId="176" priority="95" operator="containsText" text="réserve">
      <formula>NOT(ISERROR(SEARCH("réserve",BA26)))</formula>
    </cfRule>
    <cfRule type="containsText" dxfId="175" priority="94" operator="containsText" text="Non validé">
      <formula>NOT(ISERROR(SEARCH("Non validé",BA26)))</formula>
    </cfRule>
  </conditionalFormatting>
  <conditionalFormatting sqref="BA35">
    <cfRule type="containsText" dxfId="174" priority="99" operator="containsText" text="réserve">
      <formula>NOT(ISERROR(SEARCH("réserve",BA35)))</formula>
    </cfRule>
    <cfRule type="containsText" dxfId="173" priority="98" operator="containsText" text="Non validé">
      <formula>NOT(ISERROR(SEARCH("Non validé",BA35)))</formula>
    </cfRule>
    <cfRule type="containsText" dxfId="172" priority="97" operator="containsText" text="Non contrôlé">
      <formula>NOT(ISERROR(SEARCH("Non contrôlé",BA35)))</formula>
    </cfRule>
    <cfRule type="endsWith" dxfId="171" priority="100" operator="endsWith" text="Validé">
      <formula>RIGHT(BA35,LEN("Validé"))="Validé"</formula>
    </cfRule>
  </conditionalFormatting>
  <conditionalFormatting sqref="BA37">
    <cfRule type="containsText" dxfId="170" priority="225" operator="containsText" text="Non contrôlé">
      <formula>NOT(ISERROR(SEARCH("Non contrôlé",BA37)))</formula>
    </cfRule>
    <cfRule type="containsText" dxfId="169" priority="226" operator="containsText" text="Non validé">
      <formula>NOT(ISERROR(SEARCH("Non validé",BA37)))</formula>
    </cfRule>
    <cfRule type="containsText" dxfId="168" priority="227" operator="containsText" text="réserve">
      <formula>NOT(ISERROR(SEARCH("réserve",BA37)))</formula>
    </cfRule>
    <cfRule type="endsWith" dxfId="167" priority="228" operator="endsWith" text="Validé">
      <formula>RIGHT(BA37,LEN("Validé"))="Validé"</formula>
    </cfRule>
  </conditionalFormatting>
  <conditionalFormatting sqref="BB19">
    <cfRule type="cellIs" dxfId="166" priority="15" operator="lessThan">
      <formula>69</formula>
    </cfRule>
    <cfRule type="cellIs" dxfId="165" priority="14" operator="between">
      <formula>70</formula>
      <formula>79</formula>
    </cfRule>
    <cfRule type="cellIs" dxfId="164" priority="13" operator="greaterThanOrEqual">
      <formula>80</formula>
    </cfRule>
  </conditionalFormatting>
  <conditionalFormatting sqref="BB37">
    <cfRule type="cellIs" dxfId="163" priority="5" operator="between">
      <formula>70</formula>
      <formula>79</formula>
    </cfRule>
    <cfRule type="cellIs" dxfId="162" priority="4" operator="greaterThanOrEqual">
      <formula>80</formula>
    </cfRule>
    <cfRule type="cellIs" dxfId="161" priority="6" operator="lessThan">
      <formula>69</formula>
    </cfRule>
  </conditionalFormatting>
  <conditionalFormatting sqref="BF9:BF17">
    <cfRule type="containsText" dxfId="160" priority="317" operator="containsText" text="Non contrôlé">
      <formula>NOT(ISERROR(SEARCH("Non contrôlé",BF9)))</formula>
    </cfRule>
    <cfRule type="containsText" dxfId="159" priority="318" operator="containsText" text="Non validé">
      <formula>NOT(ISERROR(SEARCH("Non validé",BF9)))</formula>
    </cfRule>
    <cfRule type="containsText" dxfId="158" priority="319" operator="containsText" text="réserve">
      <formula>NOT(ISERROR(SEARCH("réserve",BF9)))</formula>
    </cfRule>
    <cfRule type="endsWith" dxfId="157" priority="320" operator="endsWith" text="Validé">
      <formula>RIGHT(BF9,LEN("Validé"))="Validé"</formula>
    </cfRule>
  </conditionalFormatting>
  <conditionalFormatting sqref="BF19">
    <cfRule type="endsWith" dxfId="156" priority="316" operator="endsWith" text="Validé">
      <formula>RIGHT(BF19,LEN("Validé"))="Validé"</formula>
    </cfRule>
    <cfRule type="containsText" dxfId="155" priority="315" operator="containsText" text="réserve">
      <formula>NOT(ISERROR(SEARCH("réserve",BF19)))</formula>
    </cfRule>
    <cfRule type="containsText" dxfId="154" priority="314" operator="containsText" text="Non validé">
      <formula>NOT(ISERROR(SEARCH("Non validé",BF19)))</formula>
    </cfRule>
    <cfRule type="containsText" dxfId="153" priority="313" operator="containsText" text="Non contrôlé">
      <formula>NOT(ISERROR(SEARCH("Non contrôlé",BF19)))</formula>
    </cfRule>
  </conditionalFormatting>
  <conditionalFormatting sqref="BF26:BF34">
    <cfRule type="endsWith" dxfId="152" priority="84" operator="endsWith" text="Validé">
      <formula>RIGHT(BF26,LEN("Validé"))="Validé"</formula>
    </cfRule>
    <cfRule type="containsText" dxfId="151" priority="82" operator="containsText" text="Non validé">
      <formula>NOT(ISERROR(SEARCH("Non validé",BF26)))</formula>
    </cfRule>
    <cfRule type="containsText" dxfId="150" priority="81" operator="containsText" text="Non contrôlé">
      <formula>NOT(ISERROR(SEARCH("Non contrôlé",BF26)))</formula>
    </cfRule>
    <cfRule type="containsText" dxfId="149" priority="83" operator="containsText" text="réserve">
      <formula>NOT(ISERROR(SEARCH("réserve",BF26)))</formula>
    </cfRule>
  </conditionalFormatting>
  <conditionalFormatting sqref="BF35">
    <cfRule type="endsWith" dxfId="148" priority="324" operator="endsWith" text="Validé">
      <formula>RIGHT(BF35,LEN("Validé"))="Validé"</formula>
    </cfRule>
    <cfRule type="containsText" dxfId="147" priority="321" operator="containsText" text="Non contrôlé">
      <formula>NOT(ISERROR(SEARCH("Non contrôlé",BF35)))</formula>
    </cfRule>
    <cfRule type="containsText" dxfId="146" priority="322" operator="containsText" text="Non validé">
      <formula>NOT(ISERROR(SEARCH("Non validé",BF35)))</formula>
    </cfRule>
    <cfRule type="containsText" dxfId="145" priority="323" operator="containsText" text="réserve">
      <formula>NOT(ISERROR(SEARCH("réserve",BF35)))</formula>
    </cfRule>
  </conditionalFormatting>
  <conditionalFormatting sqref="BF37">
    <cfRule type="containsText" dxfId="144" priority="311" operator="containsText" text="réserve">
      <formula>NOT(ISERROR(SEARCH("réserve",BF37)))</formula>
    </cfRule>
    <cfRule type="endsWith" dxfId="143" priority="312" operator="endsWith" text="Validé">
      <formula>RIGHT(BF37,LEN("Validé"))="Validé"</formula>
    </cfRule>
    <cfRule type="containsText" dxfId="142" priority="309" operator="containsText" text="Non contrôlé">
      <formula>NOT(ISERROR(SEARCH("Non contrôlé",BF37)))</formula>
    </cfRule>
    <cfRule type="containsText" dxfId="141" priority="310" operator="containsText" text="Non validé">
      <formula>NOT(ISERROR(SEARCH("Non validé",BF37)))</formula>
    </cfRule>
  </conditionalFormatting>
  <conditionalFormatting sqref="BG19">
    <cfRule type="cellIs" dxfId="140" priority="12" operator="lessThan">
      <formula>69</formula>
    </cfRule>
    <cfRule type="cellIs" dxfId="139" priority="10" operator="greaterThanOrEqual">
      <formula>80</formula>
    </cfRule>
    <cfRule type="cellIs" dxfId="138" priority="11" operator="between">
      <formula>70</formula>
      <formula>79</formula>
    </cfRule>
  </conditionalFormatting>
  <conditionalFormatting sqref="BG37">
    <cfRule type="cellIs" dxfId="137" priority="9" operator="lessThan">
      <formula>69</formula>
    </cfRule>
    <cfRule type="cellIs" dxfId="136" priority="8" operator="between">
      <formula>70</formula>
      <formula>79</formula>
    </cfRule>
    <cfRule type="cellIs" dxfId="135"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87</v>
      </c>
      <c r="C3" s="275" t="s">
        <v>23</v>
      </c>
      <c r="D3" s="64" t="s">
        <v>88</v>
      </c>
      <c r="H3" s="275" t="s">
        <v>24</v>
      </c>
      <c r="I3" s="64"/>
      <c r="N3" s="275" t="s">
        <v>25</v>
      </c>
      <c r="O3" s="64"/>
    </row>
    <row r="4" spans="2:15" ht="20.25" customHeight="1" x14ac:dyDescent="0.4">
      <c r="B4" s="276" t="s">
        <v>89</v>
      </c>
      <c r="C4" s="585"/>
      <c r="D4" s="586"/>
      <c r="G4" s="276" t="s">
        <v>89</v>
      </c>
      <c r="H4" s="585"/>
      <c r="I4" s="586"/>
      <c r="M4" s="276" t="s">
        <v>89</v>
      </c>
      <c r="N4" s="585"/>
      <c r="O4" s="586"/>
    </row>
    <row r="5" spans="2:15" ht="21" thickBot="1" x14ac:dyDescent="0.45">
      <c r="B5" s="18"/>
      <c r="C5" s="18"/>
      <c r="D5" s="18"/>
      <c r="G5" s="18"/>
      <c r="H5" s="18"/>
      <c r="I5" s="18"/>
      <c r="M5" s="18"/>
      <c r="N5" s="18"/>
      <c r="O5" s="18"/>
    </row>
    <row r="6" spans="2:15" ht="24" customHeight="1" x14ac:dyDescent="0.4">
      <c r="B6" s="599" t="s">
        <v>90</v>
      </c>
      <c r="C6" s="603" t="s">
        <v>91</v>
      </c>
      <c r="D6" s="604"/>
      <c r="G6" s="599" t="s">
        <v>90</v>
      </c>
      <c r="H6" s="603" t="s">
        <v>91</v>
      </c>
      <c r="I6" s="604"/>
      <c r="M6" s="599" t="s">
        <v>90</v>
      </c>
      <c r="N6" s="603" t="s">
        <v>91</v>
      </c>
      <c r="O6" s="604"/>
    </row>
    <row r="7" spans="2:15" ht="18.75" customHeight="1" x14ac:dyDescent="0.4">
      <c r="B7" s="600"/>
      <c r="C7" s="597" t="s">
        <v>92</v>
      </c>
      <c r="D7" s="277" t="s">
        <v>93</v>
      </c>
      <c r="G7" s="600"/>
      <c r="H7" s="597" t="s">
        <v>92</v>
      </c>
      <c r="I7" s="277" t="s">
        <v>93</v>
      </c>
      <c r="M7" s="600"/>
      <c r="N7" s="597" t="s">
        <v>92</v>
      </c>
      <c r="O7" s="277" t="s">
        <v>93</v>
      </c>
    </row>
    <row r="8" spans="2:15" ht="21.75" customHeight="1" x14ac:dyDescent="0.4">
      <c r="B8" s="595"/>
      <c r="C8" s="598"/>
      <c r="D8" s="601"/>
      <c r="G8" s="595"/>
      <c r="H8" s="607"/>
      <c r="I8" s="601"/>
      <c r="M8" s="595"/>
      <c r="N8" s="607"/>
      <c r="O8" s="601"/>
    </row>
    <row r="9" spans="2:15" ht="21.95" customHeight="1" thickBot="1" x14ac:dyDescent="0.45">
      <c r="B9" s="596"/>
      <c r="C9" s="60"/>
      <c r="D9" s="602"/>
      <c r="G9" s="614"/>
      <c r="H9" s="67"/>
      <c r="I9" s="615"/>
      <c r="M9" s="596"/>
      <c r="N9" s="54"/>
      <c r="O9" s="602"/>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593" t="s">
        <v>94</v>
      </c>
      <c r="C12" s="591" t="s">
        <v>95</v>
      </c>
      <c r="D12" s="589" t="s">
        <v>96</v>
      </c>
      <c r="G12" s="593" t="s">
        <v>94</v>
      </c>
      <c r="H12" s="591" t="s">
        <v>95</v>
      </c>
      <c r="I12" s="589" t="s">
        <v>96</v>
      </c>
      <c r="M12" s="593" t="s">
        <v>94</v>
      </c>
      <c r="N12" s="591" t="s">
        <v>95</v>
      </c>
      <c r="O12" s="589" t="s">
        <v>96</v>
      </c>
    </row>
    <row r="13" spans="2:15" ht="15.75" customHeight="1" x14ac:dyDescent="0.4">
      <c r="B13" s="594"/>
      <c r="C13" s="592"/>
      <c r="D13" s="590"/>
      <c r="G13" s="594"/>
      <c r="H13" s="592"/>
      <c r="I13" s="590"/>
      <c r="M13" s="594"/>
      <c r="N13" s="592"/>
      <c r="O13" s="590"/>
    </row>
    <row r="14" spans="2:15" ht="31.35" customHeight="1" x14ac:dyDescent="0.4">
      <c r="B14" s="48" t="s">
        <v>97</v>
      </c>
      <c r="C14" s="65"/>
      <c r="D14" s="55"/>
      <c r="G14" s="48" t="s">
        <v>97</v>
      </c>
      <c r="H14" s="65"/>
      <c r="I14" s="55"/>
      <c r="M14" s="48" t="s">
        <v>97</v>
      </c>
      <c r="N14" s="65" t="s">
        <v>98</v>
      </c>
      <c r="O14" s="55"/>
    </row>
    <row r="15" spans="2:15" ht="31.35" customHeight="1" thickBot="1" x14ac:dyDescent="0.45">
      <c r="B15" s="47" t="s">
        <v>99</v>
      </c>
      <c r="C15" s="65"/>
      <c r="D15" s="55"/>
      <c r="G15" s="47" t="s">
        <v>99</v>
      </c>
      <c r="H15" s="65"/>
      <c r="I15" s="55"/>
      <c r="M15" s="47" t="s">
        <v>99</v>
      </c>
      <c r="N15" s="65"/>
      <c r="O15" s="55"/>
    </row>
    <row r="16" spans="2:15" ht="15.75" customHeight="1" x14ac:dyDescent="0.4">
      <c r="B16" s="593" t="s">
        <v>100</v>
      </c>
      <c r="C16" s="591" t="s">
        <v>95</v>
      </c>
      <c r="D16" s="589" t="s">
        <v>96</v>
      </c>
      <c r="G16" s="593" t="s">
        <v>100</v>
      </c>
      <c r="H16" s="591" t="s">
        <v>95</v>
      </c>
      <c r="I16" s="589" t="s">
        <v>96</v>
      </c>
      <c r="M16" s="593" t="s">
        <v>100</v>
      </c>
      <c r="N16" s="591" t="s">
        <v>95</v>
      </c>
      <c r="O16" s="589" t="s">
        <v>96</v>
      </c>
    </row>
    <row r="17" spans="1:15" ht="15.75" customHeight="1" x14ac:dyDescent="0.4">
      <c r="B17" s="594"/>
      <c r="C17" s="592"/>
      <c r="D17" s="590"/>
      <c r="G17" s="594"/>
      <c r="H17" s="592"/>
      <c r="I17" s="590"/>
      <c r="M17" s="594"/>
      <c r="N17" s="592"/>
      <c r="O17" s="590"/>
    </row>
    <row r="18" spans="1:15" ht="31.35" customHeight="1" thickBot="1" x14ac:dyDescent="0.45">
      <c r="B18" s="47" t="s">
        <v>101</v>
      </c>
      <c r="C18" s="65"/>
      <c r="D18" s="56"/>
      <c r="G18" s="47" t="s">
        <v>101</v>
      </c>
      <c r="H18" s="65"/>
      <c r="I18" s="56"/>
      <c r="M18" s="47" t="s">
        <v>101</v>
      </c>
      <c r="N18" s="65"/>
      <c r="O18" s="56"/>
    </row>
    <row r="19" spans="1:15" ht="15.75" customHeight="1" x14ac:dyDescent="0.4">
      <c r="B19" s="593" t="s">
        <v>102</v>
      </c>
      <c r="C19" s="591" t="s">
        <v>95</v>
      </c>
      <c r="D19" s="589" t="s">
        <v>96</v>
      </c>
      <c r="G19" s="593" t="s">
        <v>102</v>
      </c>
      <c r="H19" s="591" t="s">
        <v>95</v>
      </c>
      <c r="I19" s="589" t="s">
        <v>96</v>
      </c>
      <c r="M19" s="593" t="s">
        <v>102</v>
      </c>
      <c r="N19" s="591" t="s">
        <v>95</v>
      </c>
      <c r="O19" s="589" t="s">
        <v>96</v>
      </c>
    </row>
    <row r="20" spans="1:15" ht="15.75" customHeight="1" x14ac:dyDescent="0.4">
      <c r="B20" s="594"/>
      <c r="C20" s="592"/>
      <c r="D20" s="590"/>
      <c r="G20" s="594"/>
      <c r="H20" s="592"/>
      <c r="I20" s="590"/>
      <c r="M20" s="594"/>
      <c r="N20" s="592"/>
      <c r="O20" s="590"/>
    </row>
    <row r="21" spans="1:15" ht="31.35" customHeight="1" x14ac:dyDescent="0.4">
      <c r="B21" s="183" t="s">
        <v>103</v>
      </c>
      <c r="C21" s="65"/>
      <c r="D21" s="56"/>
      <c r="G21" s="183" t="s">
        <v>103</v>
      </c>
      <c r="H21" s="65"/>
      <c r="I21" s="56"/>
      <c r="M21" s="183" t="s">
        <v>103</v>
      </c>
      <c r="N21" s="65"/>
      <c r="O21" s="56"/>
    </row>
    <row r="22" spans="1:15" ht="31.35" customHeight="1" thickBot="1" x14ac:dyDescent="0.45">
      <c r="B22" s="46" t="s">
        <v>104</v>
      </c>
      <c r="C22" s="65"/>
      <c r="D22" s="57"/>
      <c r="G22" s="46" t="s">
        <v>104</v>
      </c>
      <c r="H22" s="65"/>
      <c r="I22" s="57"/>
      <c r="M22" s="46" t="s">
        <v>104</v>
      </c>
      <c r="N22" s="65"/>
      <c r="O22" s="57"/>
    </row>
    <row r="23" spans="1:15" ht="15.75" customHeight="1" x14ac:dyDescent="0.4">
      <c r="B23" s="593" t="s">
        <v>105</v>
      </c>
      <c r="C23" s="591" t="s">
        <v>95</v>
      </c>
      <c r="D23" s="612" t="s">
        <v>96</v>
      </c>
      <c r="G23" s="593" t="s">
        <v>105</v>
      </c>
      <c r="H23" s="591" t="s">
        <v>95</v>
      </c>
      <c r="I23" s="610" t="s">
        <v>96</v>
      </c>
      <c r="M23" s="593" t="s">
        <v>105</v>
      </c>
      <c r="N23" s="591" t="s">
        <v>95</v>
      </c>
      <c r="O23" s="610" t="s">
        <v>96</v>
      </c>
    </row>
    <row r="24" spans="1:15" ht="15.75" customHeight="1" x14ac:dyDescent="0.4">
      <c r="B24" s="594"/>
      <c r="C24" s="592"/>
      <c r="D24" s="613"/>
      <c r="G24" s="594"/>
      <c r="H24" s="592"/>
      <c r="I24" s="611"/>
      <c r="M24" s="594"/>
      <c r="N24" s="592"/>
      <c r="O24" s="611"/>
    </row>
    <row r="25" spans="1:15" ht="31.35" customHeight="1" thickBot="1" x14ac:dyDescent="0.45">
      <c r="B25" s="46" t="s">
        <v>106</v>
      </c>
      <c r="C25" s="65"/>
      <c r="D25" s="61"/>
      <c r="G25" s="46" t="s">
        <v>106</v>
      </c>
      <c r="H25" s="65" t="s">
        <v>107</v>
      </c>
      <c r="I25" s="58"/>
      <c r="M25" s="46" t="s">
        <v>106</v>
      </c>
      <c r="N25" s="65"/>
      <c r="O25" s="58"/>
    </row>
    <row r="26" spans="1:15" ht="31.35" customHeight="1" x14ac:dyDescent="0.4">
      <c r="B26" s="587" t="s">
        <v>108</v>
      </c>
      <c r="C26" s="588"/>
      <c r="D26" s="279" t="s">
        <v>63</v>
      </c>
      <c r="G26" s="587" t="s">
        <v>108</v>
      </c>
      <c r="H26" s="588"/>
      <c r="I26" s="279" t="s">
        <v>63</v>
      </c>
      <c r="M26" s="587" t="s">
        <v>108</v>
      </c>
      <c r="N26" s="588"/>
      <c r="O26" s="279" t="s">
        <v>63</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109</v>
      </c>
    </row>
    <row r="32" spans="1:15" ht="25.7" x14ac:dyDescent="0.4">
      <c r="B32" s="44" t="s">
        <v>110</v>
      </c>
      <c r="C32" s="44" t="s">
        <v>23</v>
      </c>
      <c r="D32" s="64"/>
      <c r="E32" s="23"/>
      <c r="H32" s="44" t="s">
        <v>24</v>
      </c>
      <c r="I32" s="64"/>
      <c r="N32" s="44" t="s">
        <v>25</v>
      </c>
      <c r="O32" s="64"/>
    </row>
    <row r="33" spans="2:15" ht="20.7" x14ac:dyDescent="0.4">
      <c r="B33" s="276" t="s">
        <v>89</v>
      </c>
      <c r="C33" s="585"/>
      <c r="D33" s="586"/>
      <c r="E33" s="18"/>
      <c r="G33" s="276" t="s">
        <v>89</v>
      </c>
      <c r="H33" s="585"/>
      <c r="I33" s="586"/>
      <c r="M33" s="276" t="s">
        <v>89</v>
      </c>
      <c r="N33" s="585"/>
      <c r="O33" s="586"/>
    </row>
    <row r="34" spans="2:15" ht="21" thickBot="1" x14ac:dyDescent="0.45">
      <c r="B34" s="24"/>
      <c r="C34" s="24"/>
      <c r="D34" s="24"/>
      <c r="E34" s="18"/>
      <c r="G34" s="24"/>
      <c r="H34" s="24"/>
      <c r="I34" s="24"/>
      <c r="M34" s="24"/>
      <c r="N34" s="24"/>
      <c r="O34" s="24"/>
    </row>
    <row r="35" spans="2:15" ht="21" customHeight="1" x14ac:dyDescent="0.4">
      <c r="B35" s="608" t="s">
        <v>111</v>
      </c>
      <c r="C35" s="281" t="s">
        <v>112</v>
      </c>
      <c r="D35" s="278" t="s">
        <v>96</v>
      </c>
      <c r="E35" s="18"/>
      <c r="G35" s="605" t="s">
        <v>111</v>
      </c>
      <c r="H35" s="282" t="s">
        <v>112</v>
      </c>
      <c r="I35" s="278" t="s">
        <v>96</v>
      </c>
      <c r="M35" s="605" t="s">
        <v>111</v>
      </c>
      <c r="N35" s="282" t="s">
        <v>112</v>
      </c>
      <c r="O35" s="278" t="s">
        <v>96</v>
      </c>
    </row>
    <row r="36" spans="2:15" ht="41.25" customHeight="1" thickBot="1" x14ac:dyDescent="0.45">
      <c r="B36" s="609"/>
      <c r="C36" s="70"/>
      <c r="D36" s="62"/>
      <c r="E36" s="18"/>
      <c r="G36" s="606"/>
      <c r="H36" s="69"/>
      <c r="I36" s="62"/>
      <c r="M36" s="606"/>
      <c r="N36" s="68"/>
      <c r="O36" s="62"/>
    </row>
    <row r="37" spans="2:15" ht="21" thickBot="1" x14ac:dyDescent="0.45">
      <c r="B37" s="18"/>
      <c r="C37" s="18"/>
      <c r="D37" s="18"/>
      <c r="E37" s="18"/>
      <c r="G37" s="18"/>
      <c r="H37" s="18"/>
      <c r="I37" s="18"/>
      <c r="M37" s="18"/>
      <c r="N37" s="18"/>
      <c r="O37" s="18"/>
    </row>
    <row r="38" spans="2:15" ht="18" x14ac:dyDescent="0.4">
      <c r="B38" s="599" t="s">
        <v>90</v>
      </c>
      <c r="C38" s="603" t="s">
        <v>91</v>
      </c>
      <c r="D38" s="604"/>
      <c r="G38" s="599" t="s">
        <v>90</v>
      </c>
      <c r="H38" s="603" t="s">
        <v>91</v>
      </c>
      <c r="I38" s="604"/>
      <c r="M38" s="599" t="s">
        <v>90</v>
      </c>
      <c r="N38" s="603" t="s">
        <v>91</v>
      </c>
      <c r="O38" s="604"/>
    </row>
    <row r="39" spans="2:15" ht="18.75" customHeight="1" x14ac:dyDescent="0.4">
      <c r="B39" s="600"/>
      <c r="C39" s="597" t="s">
        <v>92</v>
      </c>
      <c r="D39" s="277" t="s">
        <v>93</v>
      </c>
      <c r="G39" s="600"/>
      <c r="H39" s="597" t="s">
        <v>92</v>
      </c>
      <c r="I39" s="277" t="s">
        <v>93</v>
      </c>
      <c r="M39" s="600"/>
      <c r="N39" s="597" t="s">
        <v>92</v>
      </c>
      <c r="O39" s="277" t="s">
        <v>93</v>
      </c>
    </row>
    <row r="40" spans="2:15" ht="12.75" customHeight="1" x14ac:dyDescent="0.4">
      <c r="B40" s="595"/>
      <c r="C40" s="598"/>
      <c r="D40" s="601"/>
      <c r="G40" s="595"/>
      <c r="H40" s="607"/>
      <c r="I40" s="601"/>
      <c r="M40" s="595"/>
      <c r="N40" s="607"/>
      <c r="O40" s="601"/>
    </row>
    <row r="41" spans="2:15" ht="21.95" customHeight="1" thickBot="1" x14ac:dyDescent="0.45">
      <c r="B41" s="596"/>
      <c r="C41" s="60"/>
      <c r="D41" s="602"/>
      <c r="G41" s="596"/>
      <c r="H41" s="54"/>
      <c r="I41" s="602"/>
      <c r="M41" s="596"/>
      <c r="N41" s="54"/>
      <c r="O41" s="602"/>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593" t="s">
        <v>94</v>
      </c>
      <c r="C44" s="591" t="s">
        <v>95</v>
      </c>
      <c r="D44" s="589" t="s">
        <v>96</v>
      </c>
      <c r="G44" s="593" t="s">
        <v>94</v>
      </c>
      <c r="H44" s="591" t="s">
        <v>95</v>
      </c>
      <c r="I44" s="589" t="s">
        <v>96</v>
      </c>
      <c r="M44" s="593" t="s">
        <v>94</v>
      </c>
      <c r="N44" s="591" t="s">
        <v>95</v>
      </c>
      <c r="O44" s="589" t="s">
        <v>96</v>
      </c>
    </row>
    <row r="45" spans="2:15" ht="15.75" customHeight="1" x14ac:dyDescent="0.4">
      <c r="B45" s="594"/>
      <c r="C45" s="592"/>
      <c r="D45" s="590"/>
      <c r="G45" s="594"/>
      <c r="H45" s="592"/>
      <c r="I45" s="590"/>
      <c r="M45" s="594"/>
      <c r="N45" s="592"/>
      <c r="O45" s="590"/>
    </row>
    <row r="46" spans="2:15" ht="31.5" customHeight="1" x14ac:dyDescent="0.4">
      <c r="B46" s="31" t="s">
        <v>97</v>
      </c>
      <c r="C46" s="65"/>
      <c r="D46" s="55"/>
      <c r="G46" s="31" t="s">
        <v>97</v>
      </c>
      <c r="H46" s="65"/>
      <c r="I46" s="55"/>
      <c r="M46" s="31" t="s">
        <v>97</v>
      </c>
      <c r="N46" s="65"/>
      <c r="O46" s="50"/>
    </row>
    <row r="47" spans="2:15" ht="35.1" customHeight="1" x14ac:dyDescent="0.4">
      <c r="B47" s="31" t="s">
        <v>113</v>
      </c>
      <c r="C47" s="65"/>
      <c r="D47" s="55"/>
      <c r="G47" s="31" t="s">
        <v>113</v>
      </c>
      <c r="H47" s="65"/>
      <c r="I47" s="55"/>
      <c r="M47" s="31" t="s">
        <v>113</v>
      </c>
      <c r="N47" s="65"/>
      <c r="O47" s="50"/>
    </row>
    <row r="48" spans="2:15" ht="35.1" customHeight="1" thickBot="1" x14ac:dyDescent="0.45">
      <c r="B48" s="30" t="s">
        <v>114</v>
      </c>
      <c r="C48" s="65"/>
      <c r="D48" s="55"/>
      <c r="G48" s="30" t="s">
        <v>114</v>
      </c>
      <c r="H48" s="65"/>
      <c r="I48" s="55"/>
      <c r="M48" s="30" t="s">
        <v>114</v>
      </c>
      <c r="N48" s="65"/>
      <c r="O48" s="50"/>
    </row>
    <row r="49" spans="2:15" ht="15.75" customHeight="1" x14ac:dyDescent="0.4">
      <c r="B49" s="593" t="s">
        <v>100</v>
      </c>
      <c r="C49" s="591" t="s">
        <v>95</v>
      </c>
      <c r="D49" s="589" t="s">
        <v>96</v>
      </c>
      <c r="G49" s="593" t="s">
        <v>100</v>
      </c>
      <c r="H49" s="591" t="s">
        <v>95</v>
      </c>
      <c r="I49" s="589" t="s">
        <v>96</v>
      </c>
      <c r="M49" s="593" t="s">
        <v>100</v>
      </c>
      <c r="N49" s="591" t="s">
        <v>95</v>
      </c>
      <c r="O49" s="589" t="s">
        <v>96</v>
      </c>
    </row>
    <row r="50" spans="2:15" ht="15.75" customHeight="1" x14ac:dyDescent="0.4">
      <c r="B50" s="594"/>
      <c r="C50" s="592"/>
      <c r="D50" s="590"/>
      <c r="G50" s="594"/>
      <c r="H50" s="592"/>
      <c r="I50" s="590"/>
      <c r="M50" s="594"/>
      <c r="N50" s="592"/>
      <c r="O50" s="590"/>
    </row>
    <row r="51" spans="2:15" ht="35.1" customHeight="1" x14ac:dyDescent="0.4">
      <c r="B51" s="30" t="s">
        <v>115</v>
      </c>
      <c r="C51" s="65"/>
      <c r="D51" s="56"/>
      <c r="G51" s="30" t="s">
        <v>115</v>
      </c>
      <c r="H51" s="65"/>
      <c r="I51" s="56"/>
      <c r="M51" s="30" t="s">
        <v>115</v>
      </c>
      <c r="N51" s="65"/>
      <c r="O51" s="51"/>
    </row>
    <row r="52" spans="2:15" ht="35.1" customHeight="1" thickBot="1" x14ac:dyDescent="0.45">
      <c r="B52" s="30" t="s">
        <v>116</v>
      </c>
      <c r="C52" s="65"/>
      <c r="D52" s="56"/>
      <c r="G52" s="30" t="s">
        <v>116</v>
      </c>
      <c r="H52" s="65"/>
      <c r="I52" s="56"/>
      <c r="M52" s="30" t="s">
        <v>116</v>
      </c>
      <c r="N52" s="65"/>
      <c r="O52" s="51"/>
    </row>
    <row r="53" spans="2:15" ht="15.75" customHeight="1" x14ac:dyDescent="0.4">
      <c r="B53" s="593" t="s">
        <v>102</v>
      </c>
      <c r="C53" s="591" t="s">
        <v>95</v>
      </c>
      <c r="D53" s="589" t="s">
        <v>96</v>
      </c>
      <c r="G53" s="593" t="s">
        <v>102</v>
      </c>
      <c r="H53" s="591" t="s">
        <v>95</v>
      </c>
      <c r="I53" s="589" t="s">
        <v>96</v>
      </c>
      <c r="M53" s="593" t="s">
        <v>102</v>
      </c>
      <c r="N53" s="591" t="s">
        <v>95</v>
      </c>
      <c r="O53" s="589" t="s">
        <v>96</v>
      </c>
    </row>
    <row r="54" spans="2:15" ht="15.75" customHeight="1" x14ac:dyDescent="0.4">
      <c r="B54" s="594"/>
      <c r="C54" s="592"/>
      <c r="D54" s="590"/>
      <c r="G54" s="594"/>
      <c r="H54" s="592"/>
      <c r="I54" s="590"/>
      <c r="M54" s="594"/>
      <c r="N54" s="592"/>
      <c r="O54" s="590"/>
    </row>
    <row r="55" spans="2:15" ht="35.1" customHeight="1" x14ac:dyDescent="0.4">
      <c r="B55" s="28" t="s">
        <v>117</v>
      </c>
      <c r="C55" s="65"/>
      <c r="D55" s="56"/>
      <c r="G55" s="28" t="s">
        <v>117</v>
      </c>
      <c r="H55" s="65"/>
      <c r="I55" s="56"/>
      <c r="M55" s="28" t="s">
        <v>117</v>
      </c>
      <c r="N55" s="65"/>
      <c r="O55" s="51"/>
    </row>
    <row r="56" spans="2:15" ht="35.1" customHeight="1" thickBot="1" x14ac:dyDescent="0.45">
      <c r="B56" s="29" t="s">
        <v>104</v>
      </c>
      <c r="C56" s="65"/>
      <c r="D56" s="63"/>
      <c r="G56" s="29" t="s">
        <v>104</v>
      </c>
      <c r="H56" s="65"/>
      <c r="I56" s="63"/>
      <c r="M56" s="29" t="s">
        <v>104</v>
      </c>
      <c r="N56" s="65"/>
      <c r="O56" s="53"/>
    </row>
    <row r="57" spans="2:15" ht="15.75" customHeight="1" x14ac:dyDescent="0.4">
      <c r="B57" s="593" t="s">
        <v>105</v>
      </c>
      <c r="C57" s="591" t="s">
        <v>95</v>
      </c>
      <c r="D57" s="612" t="s">
        <v>96</v>
      </c>
      <c r="G57" s="593" t="s">
        <v>105</v>
      </c>
      <c r="H57" s="591" t="s">
        <v>95</v>
      </c>
      <c r="I57" s="610" t="s">
        <v>96</v>
      </c>
      <c r="M57" s="593" t="s">
        <v>105</v>
      </c>
      <c r="N57" s="591" t="s">
        <v>95</v>
      </c>
      <c r="O57" s="610" t="s">
        <v>96</v>
      </c>
    </row>
    <row r="58" spans="2:15" ht="15.75" customHeight="1" x14ac:dyDescent="0.4">
      <c r="B58" s="594"/>
      <c r="C58" s="592"/>
      <c r="D58" s="613"/>
      <c r="G58" s="594"/>
      <c r="H58" s="592"/>
      <c r="I58" s="611"/>
      <c r="M58" s="594"/>
      <c r="N58" s="592"/>
      <c r="O58" s="611"/>
    </row>
    <row r="59" spans="2:15" ht="35.1" customHeight="1" thickBot="1" x14ac:dyDescent="0.45">
      <c r="B59" s="184" t="s">
        <v>118</v>
      </c>
      <c r="C59" s="65"/>
      <c r="D59" s="57"/>
      <c r="G59" s="184" t="s">
        <v>118</v>
      </c>
      <c r="H59" s="65"/>
      <c r="I59" s="57"/>
      <c r="M59" s="184" t="s">
        <v>118</v>
      </c>
      <c r="N59" s="65"/>
      <c r="O59" s="52"/>
    </row>
    <row r="60" spans="2:15" ht="31.35" customHeight="1" x14ac:dyDescent="0.4">
      <c r="B60" s="583" t="s">
        <v>108</v>
      </c>
      <c r="C60" s="584"/>
      <c r="D60" s="45" t="s">
        <v>63</v>
      </c>
      <c r="G60" s="583" t="s">
        <v>108</v>
      </c>
      <c r="H60" s="584"/>
      <c r="I60" s="45" t="s">
        <v>63</v>
      </c>
      <c r="M60" s="583" t="s">
        <v>108</v>
      </c>
      <c r="N60" s="584"/>
      <c r="O60" s="45" t="s">
        <v>63</v>
      </c>
    </row>
  </sheetData>
  <sheetProtection selectLockedCells="1"/>
  <mergeCells count="117">
    <mergeCell ref="B57:B58"/>
    <mergeCell ref="C57:C58"/>
    <mergeCell ref="D57:D58"/>
    <mergeCell ref="G57:G58"/>
    <mergeCell ref="H57:H58"/>
    <mergeCell ref="I57:I58"/>
    <mergeCell ref="M57:M58"/>
    <mergeCell ref="N57:N58"/>
    <mergeCell ref="O57:O58"/>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C12:C13"/>
    <mergeCell ref="C16:C17"/>
    <mergeCell ref="C7:C8"/>
    <mergeCell ref="B6:B7"/>
    <mergeCell ref="C6:D6"/>
    <mergeCell ref="B8:B9"/>
    <mergeCell ref="D8:D9"/>
    <mergeCell ref="B12:B13"/>
    <mergeCell ref="D12:D13"/>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C38:D38"/>
    <mergeCell ref="D44:D45"/>
    <mergeCell ref="G35:G36"/>
    <mergeCell ref="G38:G39"/>
    <mergeCell ref="H38:I38"/>
    <mergeCell ref="H39:H40"/>
    <mergeCell ref="G40:G41"/>
    <mergeCell ref="I40:I41"/>
    <mergeCell ref="G44:G45"/>
    <mergeCell ref="H44:H45"/>
    <mergeCell ref="I44:I45"/>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s>
  <conditionalFormatting sqref="C14:C15">
    <cfRule type="endsWith" dxfId="134" priority="80" operator="endsWith" text="Validé">
      <formula>RIGHT(C14,LEN("Validé"))="Validé"</formula>
    </cfRule>
    <cfRule type="containsText" dxfId="133" priority="79" operator="containsText" text="réserve">
      <formula>NOT(ISERROR(SEARCH("réserve",C14)))</formula>
    </cfRule>
    <cfRule type="containsText" dxfId="132" priority="77" operator="containsText" text="Non contrôlé">
      <formula>NOT(ISERROR(SEARCH("Non contrôlé",C14)))</formula>
    </cfRule>
    <cfRule type="containsText" dxfId="131" priority="78" operator="containsText" text="Non validé">
      <formula>NOT(ISERROR(SEARCH("Non validé",C14)))</formula>
    </cfRule>
  </conditionalFormatting>
  <conditionalFormatting sqref="C18">
    <cfRule type="endsWith" dxfId="130" priority="76" operator="endsWith" text="Validé">
      <formula>RIGHT(C18,LEN("Validé"))="Validé"</formula>
    </cfRule>
    <cfRule type="containsText" dxfId="129" priority="73" operator="containsText" text="Non contrôlé">
      <formula>NOT(ISERROR(SEARCH("Non contrôlé",C18)))</formula>
    </cfRule>
    <cfRule type="containsText" dxfId="128" priority="74" operator="containsText" text="Non validé">
      <formula>NOT(ISERROR(SEARCH("Non validé",C18)))</formula>
    </cfRule>
    <cfRule type="containsText" dxfId="127" priority="75" operator="containsText" text="réserve">
      <formula>NOT(ISERROR(SEARCH("réserve",C18)))</formula>
    </cfRule>
  </conditionalFormatting>
  <conditionalFormatting sqref="C21:C22">
    <cfRule type="containsText" dxfId="126" priority="71" operator="containsText" text="réserve">
      <formula>NOT(ISERROR(SEARCH("réserve",C21)))</formula>
    </cfRule>
    <cfRule type="containsText" dxfId="125" priority="69" operator="containsText" text="Non contrôlé">
      <formula>NOT(ISERROR(SEARCH("Non contrôlé",C21)))</formula>
    </cfRule>
    <cfRule type="containsText" dxfId="124" priority="70" operator="containsText" text="Non validé">
      <formula>NOT(ISERROR(SEARCH("Non validé",C21)))</formula>
    </cfRule>
    <cfRule type="endsWith" dxfId="123" priority="72" operator="endsWith" text="Validé">
      <formula>RIGHT(C21,LEN("Validé"))="Validé"</formula>
    </cfRule>
  </conditionalFormatting>
  <conditionalFormatting sqref="C25">
    <cfRule type="containsText" dxfId="122" priority="65" operator="containsText" text="Non contrôlé">
      <formula>NOT(ISERROR(SEARCH("Non contrôlé",C25)))</formula>
    </cfRule>
    <cfRule type="containsText" dxfId="121" priority="66" operator="containsText" text="Non validé">
      <formula>NOT(ISERROR(SEARCH("Non validé",C25)))</formula>
    </cfRule>
    <cfRule type="containsText" dxfId="120" priority="67" operator="containsText" text="réserve">
      <formula>NOT(ISERROR(SEARCH("réserve",C25)))</formula>
    </cfRule>
    <cfRule type="endsWith" dxfId="119" priority="68" operator="endsWith" text="Validé">
      <formula>RIGHT(C25,LEN("Validé"))="Validé"</formula>
    </cfRule>
  </conditionalFormatting>
  <conditionalFormatting sqref="C27">
    <cfRule type="containsText" dxfId="118" priority="61" operator="containsText" text="Non contrôlé">
      <formula>NOT(ISERROR(SEARCH("Non contrôlé",C27)))</formula>
    </cfRule>
    <cfRule type="containsText" dxfId="117" priority="62" operator="containsText" text="Non validé">
      <formula>NOT(ISERROR(SEARCH("Non validé",C27)))</formula>
    </cfRule>
    <cfRule type="endsWith" dxfId="116" priority="64" operator="endsWith" text="Validé">
      <formula>RIGHT(C27,LEN("Validé"))="Validé"</formula>
    </cfRule>
    <cfRule type="containsText" dxfId="115" priority="63" operator="containsText" text="réserve">
      <formula>NOT(ISERROR(SEARCH("réserve",C27)))</formula>
    </cfRule>
  </conditionalFormatting>
  <conditionalFormatting sqref="C46:C48">
    <cfRule type="containsText" dxfId="114" priority="59" operator="containsText" text="réserve">
      <formula>NOT(ISERROR(SEARCH("réserve",C46)))</formula>
    </cfRule>
    <cfRule type="containsText" dxfId="113" priority="57" operator="containsText" text="Non contrôlé">
      <formula>NOT(ISERROR(SEARCH("Non contrôlé",C46)))</formula>
    </cfRule>
    <cfRule type="containsText" dxfId="112" priority="58" operator="containsText" text="Non validé">
      <formula>NOT(ISERROR(SEARCH("Non validé",C46)))</formula>
    </cfRule>
    <cfRule type="endsWith" dxfId="111" priority="60" operator="endsWith" text="Validé">
      <formula>RIGHT(C46,LEN("Validé"))="Validé"</formula>
    </cfRule>
  </conditionalFormatting>
  <conditionalFormatting sqref="C51:C52">
    <cfRule type="containsText" dxfId="110" priority="55" operator="containsText" text="réserve">
      <formula>NOT(ISERROR(SEARCH("réserve",C51)))</formula>
    </cfRule>
    <cfRule type="endsWith" dxfId="109" priority="56" operator="endsWith" text="Validé">
      <formula>RIGHT(C51,LEN("Validé"))="Validé"</formula>
    </cfRule>
    <cfRule type="containsText" dxfId="108" priority="53" operator="containsText" text="Non contrôlé">
      <formula>NOT(ISERROR(SEARCH("Non contrôlé",C51)))</formula>
    </cfRule>
    <cfRule type="containsText" dxfId="107" priority="54" operator="containsText" text="Non validé">
      <formula>NOT(ISERROR(SEARCH("Non validé",C51)))</formula>
    </cfRule>
  </conditionalFormatting>
  <conditionalFormatting sqref="C55:C56">
    <cfRule type="endsWith" dxfId="106" priority="52" operator="endsWith" text="Validé">
      <formula>RIGHT(C55,LEN("Validé"))="Validé"</formula>
    </cfRule>
    <cfRule type="containsText" dxfId="105" priority="49" operator="containsText" text="Non contrôlé">
      <formula>NOT(ISERROR(SEARCH("Non contrôlé",C55)))</formula>
    </cfRule>
    <cfRule type="containsText" dxfId="104" priority="50" operator="containsText" text="Non validé">
      <formula>NOT(ISERROR(SEARCH("Non validé",C55)))</formula>
    </cfRule>
    <cfRule type="containsText" dxfId="103" priority="51" operator="containsText" text="réserve">
      <formula>NOT(ISERROR(SEARCH("réserve",C55)))</formula>
    </cfRule>
  </conditionalFormatting>
  <conditionalFormatting sqref="C59">
    <cfRule type="containsText" dxfId="102" priority="45" operator="containsText" text="Non contrôlé">
      <formula>NOT(ISERROR(SEARCH("Non contrôlé",C59)))</formula>
    </cfRule>
    <cfRule type="containsText" dxfId="101" priority="47" operator="containsText" text="réserve">
      <formula>NOT(ISERROR(SEARCH("réserve",C59)))</formula>
    </cfRule>
    <cfRule type="endsWith" dxfId="100" priority="48" operator="endsWith" text="Validé">
      <formula>RIGHT(C59,LEN("Validé"))="Validé"</formula>
    </cfRule>
    <cfRule type="containsText" dxfId="99" priority="46" operator="containsText" text="Non validé">
      <formula>NOT(ISERROR(SEARCH("Non validé",C59)))</formula>
    </cfRule>
  </conditionalFormatting>
  <conditionalFormatting sqref="C61">
    <cfRule type="containsText" dxfId="98" priority="41" operator="containsText" text="Non contrôlé">
      <formula>NOT(ISERROR(SEARCH("Non contrôlé",C61)))</formula>
    </cfRule>
    <cfRule type="containsText" dxfId="97" priority="42" operator="containsText" text="Non validé">
      <formula>NOT(ISERROR(SEARCH("Non validé",C61)))</formula>
    </cfRule>
    <cfRule type="containsText" dxfId="96" priority="43" operator="containsText" text="réserve">
      <formula>NOT(ISERROR(SEARCH("réserve",C61)))</formula>
    </cfRule>
    <cfRule type="endsWith" dxfId="95" priority="44" operator="endsWith" text="Validé">
      <formula>RIGHT(C61,LEN("Validé"))="Validé"</formula>
    </cfRule>
  </conditionalFormatting>
  <conditionalFormatting sqref="H9">
    <cfRule type="endsWith" dxfId="94" priority="144" operator="endsWith" text="Validé">
      <formula>RIGHT(H9,LEN("Validé"))="Validé"</formula>
    </cfRule>
    <cfRule type="containsText" dxfId="93" priority="141" operator="containsText" text="Non contrôlé">
      <formula>NOT(ISERROR(SEARCH("Non contrôlé",H9)))</formula>
    </cfRule>
    <cfRule type="containsText" dxfId="92" priority="142" operator="containsText" text="Non validé">
      <formula>NOT(ISERROR(SEARCH("Non validé",H9)))</formula>
    </cfRule>
    <cfRule type="containsText" dxfId="91" priority="143" operator="containsText" text="réserve">
      <formula>NOT(ISERROR(SEARCH("réserve",H9)))</formula>
    </cfRule>
  </conditionalFormatting>
  <conditionalFormatting sqref="H14:H15">
    <cfRule type="containsText" dxfId="90" priority="137" operator="containsText" text="Non contrôlé">
      <formula>NOT(ISERROR(SEARCH("Non contrôlé",H14)))</formula>
    </cfRule>
    <cfRule type="containsText" dxfId="89" priority="138" operator="containsText" text="Non validé">
      <formula>NOT(ISERROR(SEARCH("Non validé",H14)))</formula>
    </cfRule>
    <cfRule type="containsText" dxfId="88" priority="139" operator="containsText" text="réserve">
      <formula>NOT(ISERROR(SEARCH("réserve",H14)))</formula>
    </cfRule>
    <cfRule type="endsWith" dxfId="87" priority="140" operator="endsWith" text="Validé">
      <formula>RIGHT(H14,LEN("Validé"))="Validé"</formula>
    </cfRule>
  </conditionalFormatting>
  <conditionalFormatting sqref="H18">
    <cfRule type="containsText" dxfId="86" priority="113" operator="containsText" text="Non contrôlé">
      <formula>NOT(ISERROR(SEARCH("Non contrôlé",H18)))</formula>
    </cfRule>
    <cfRule type="containsText" dxfId="85" priority="115" operator="containsText" text="réserve">
      <formula>NOT(ISERROR(SEARCH("réserve",H18)))</formula>
    </cfRule>
    <cfRule type="endsWith" dxfId="84" priority="116" operator="endsWith" text="Validé">
      <formula>RIGHT(H18,LEN("Validé"))="Validé"</formula>
    </cfRule>
    <cfRule type="containsText" dxfId="83" priority="114" operator="containsText" text="Non validé">
      <formula>NOT(ISERROR(SEARCH("Non validé",H18)))</formula>
    </cfRule>
  </conditionalFormatting>
  <conditionalFormatting sqref="H21:H22">
    <cfRule type="containsText" dxfId="82" priority="111" operator="containsText" text="réserve">
      <formula>NOT(ISERROR(SEARCH("réserve",H21)))</formula>
    </cfRule>
    <cfRule type="endsWith" dxfId="81" priority="112" operator="endsWith" text="Validé">
      <formula>RIGHT(H21,LEN("Validé"))="Validé"</formula>
    </cfRule>
    <cfRule type="containsText" dxfId="80" priority="109" operator="containsText" text="Non contrôlé">
      <formula>NOT(ISERROR(SEARCH("Non contrôlé",H21)))</formula>
    </cfRule>
    <cfRule type="containsText" dxfId="79" priority="110" operator="containsText" text="Non validé">
      <formula>NOT(ISERROR(SEARCH("Non validé",H21)))</formula>
    </cfRule>
  </conditionalFormatting>
  <conditionalFormatting sqref="H25">
    <cfRule type="endsWith" dxfId="78" priority="108" operator="endsWith" text="Validé">
      <formula>RIGHT(H25,LEN("Validé"))="Validé"</formula>
    </cfRule>
    <cfRule type="containsText" dxfId="77" priority="107" operator="containsText" text="réserve">
      <formula>NOT(ISERROR(SEARCH("réserve",H25)))</formula>
    </cfRule>
    <cfRule type="containsText" dxfId="76" priority="106" operator="containsText" text="Non validé">
      <formula>NOT(ISERROR(SEARCH("Non validé",H25)))</formula>
    </cfRule>
    <cfRule type="containsText" dxfId="75" priority="105" operator="containsText" text="Non contrôlé">
      <formula>NOT(ISERROR(SEARCH("Non contrôlé",H25)))</formula>
    </cfRule>
  </conditionalFormatting>
  <conditionalFormatting sqref="H27">
    <cfRule type="containsText" dxfId="74" priority="101" operator="containsText" text="Non contrôlé">
      <formula>NOT(ISERROR(SEARCH("Non contrôlé",H27)))</formula>
    </cfRule>
    <cfRule type="endsWith" dxfId="73" priority="104" operator="endsWith" text="Validé">
      <formula>RIGHT(H27,LEN("Validé"))="Validé"</formula>
    </cfRule>
    <cfRule type="containsText" dxfId="72" priority="103" operator="containsText" text="réserve">
      <formula>NOT(ISERROR(SEARCH("réserve",H27)))</formula>
    </cfRule>
    <cfRule type="containsText" dxfId="71" priority="102" operator="containsText" text="Non validé">
      <formula>NOT(ISERROR(SEARCH("Non validé",H27)))</formula>
    </cfRule>
  </conditionalFormatting>
  <conditionalFormatting sqref="H46:H48">
    <cfRule type="endsWith" dxfId="70" priority="40" operator="endsWith" text="Validé">
      <formula>RIGHT(H46,LEN("Validé"))="Validé"</formula>
    </cfRule>
    <cfRule type="containsText" dxfId="69" priority="39" operator="containsText" text="réserve">
      <formula>NOT(ISERROR(SEARCH("réserve",H46)))</formula>
    </cfRule>
    <cfRule type="containsText" dxfId="68" priority="37" operator="containsText" text="Non contrôlé">
      <formula>NOT(ISERROR(SEARCH("Non contrôlé",H46)))</formula>
    </cfRule>
    <cfRule type="containsText" dxfId="67" priority="38" operator="containsText" text="Non validé">
      <formula>NOT(ISERROR(SEARCH("Non validé",H46)))</formula>
    </cfRule>
  </conditionalFormatting>
  <conditionalFormatting sqref="H51:H52">
    <cfRule type="endsWith" dxfId="66" priority="36" operator="endsWith" text="Validé">
      <formula>RIGHT(H51,LEN("Validé"))="Validé"</formula>
    </cfRule>
    <cfRule type="containsText" dxfId="65" priority="35" operator="containsText" text="réserve">
      <formula>NOT(ISERROR(SEARCH("réserve",H51)))</formula>
    </cfRule>
    <cfRule type="containsText" dxfId="64" priority="34" operator="containsText" text="Non validé">
      <formula>NOT(ISERROR(SEARCH("Non validé",H51)))</formula>
    </cfRule>
    <cfRule type="containsText" dxfId="63" priority="33" operator="containsText" text="Non contrôlé">
      <formula>NOT(ISERROR(SEARCH("Non contrôlé",H51)))</formula>
    </cfRule>
  </conditionalFormatting>
  <conditionalFormatting sqref="H55:H56">
    <cfRule type="endsWith" dxfId="62" priority="32" operator="endsWith" text="Validé">
      <formula>RIGHT(H55,LEN("Validé"))="Validé"</formula>
    </cfRule>
    <cfRule type="containsText" dxfId="61" priority="30" operator="containsText" text="Non validé">
      <formula>NOT(ISERROR(SEARCH("Non validé",H55)))</formula>
    </cfRule>
    <cfRule type="containsText" dxfId="60" priority="29" operator="containsText" text="Non contrôlé">
      <formula>NOT(ISERROR(SEARCH("Non contrôlé",H55)))</formula>
    </cfRule>
    <cfRule type="containsText" dxfId="59" priority="31" operator="containsText" text="réserve">
      <formula>NOT(ISERROR(SEARCH("réserve",H55)))</formula>
    </cfRule>
  </conditionalFormatting>
  <conditionalFormatting sqref="H59">
    <cfRule type="containsText" dxfId="58" priority="27" operator="containsText" text="réserve">
      <formula>NOT(ISERROR(SEARCH("réserve",H59)))</formula>
    </cfRule>
    <cfRule type="containsText" dxfId="57" priority="26" operator="containsText" text="Non validé">
      <formula>NOT(ISERROR(SEARCH("Non validé",H59)))</formula>
    </cfRule>
    <cfRule type="containsText" dxfId="56" priority="25" operator="containsText" text="Non contrôlé">
      <formula>NOT(ISERROR(SEARCH("Non contrôlé",H59)))</formula>
    </cfRule>
    <cfRule type="endsWith" dxfId="55" priority="28" operator="endsWith" text="Validé">
      <formula>RIGHT(H59,LEN("Validé"))="Validé"</formula>
    </cfRule>
  </conditionalFormatting>
  <conditionalFormatting sqref="H61">
    <cfRule type="endsWith" dxfId="54" priority="24" operator="endsWith" text="Validé">
      <formula>RIGHT(H61,LEN("Validé"))="Validé"</formula>
    </cfRule>
    <cfRule type="containsText" dxfId="53" priority="23" operator="containsText" text="réserve">
      <formula>NOT(ISERROR(SEARCH("réserve",H61)))</formula>
    </cfRule>
    <cfRule type="containsText" dxfId="52" priority="22" operator="containsText" text="Non validé">
      <formula>NOT(ISERROR(SEARCH("Non validé",H61)))</formula>
    </cfRule>
    <cfRule type="containsText" dxfId="51" priority="21" operator="containsText" text="Non contrôlé">
      <formula>NOT(ISERROR(SEARCH("Non contrôlé",H61)))</formula>
    </cfRule>
  </conditionalFormatting>
  <conditionalFormatting sqref="N14:N15">
    <cfRule type="endsWith" dxfId="50" priority="100" operator="endsWith" text="Validé">
      <formula>RIGHT(N14,LEN("Validé"))="Validé"</formula>
    </cfRule>
    <cfRule type="containsText" dxfId="49" priority="98" operator="containsText" text="Non validé">
      <formula>NOT(ISERROR(SEARCH("Non validé",N14)))</formula>
    </cfRule>
    <cfRule type="containsText" dxfId="48" priority="99" operator="containsText" text="réserve">
      <formula>NOT(ISERROR(SEARCH("réserve",N14)))</formula>
    </cfRule>
    <cfRule type="containsText" dxfId="47" priority="97" operator="containsText" text="Non contrôlé">
      <formula>NOT(ISERROR(SEARCH("Non contrôlé",N14)))</formula>
    </cfRule>
  </conditionalFormatting>
  <conditionalFormatting sqref="N18">
    <cfRule type="endsWith" dxfId="46" priority="96" operator="endsWith" text="Validé">
      <formula>RIGHT(N18,LEN("Validé"))="Validé"</formula>
    </cfRule>
    <cfRule type="containsText" dxfId="45" priority="95" operator="containsText" text="réserve">
      <formula>NOT(ISERROR(SEARCH("réserve",N18)))</formula>
    </cfRule>
    <cfRule type="containsText" dxfId="44" priority="93" operator="containsText" text="Non contrôlé">
      <formula>NOT(ISERROR(SEARCH("Non contrôlé",N18)))</formula>
    </cfRule>
    <cfRule type="containsText" dxfId="43" priority="94" operator="containsText" text="Non validé">
      <formula>NOT(ISERROR(SEARCH("Non validé",N18)))</formula>
    </cfRule>
  </conditionalFormatting>
  <conditionalFormatting sqref="N21:N22">
    <cfRule type="containsText" dxfId="42" priority="89" operator="containsText" text="Non contrôlé">
      <formula>NOT(ISERROR(SEARCH("Non contrôlé",N21)))</formula>
    </cfRule>
    <cfRule type="containsText" dxfId="41" priority="90" operator="containsText" text="Non validé">
      <formula>NOT(ISERROR(SEARCH("Non validé",N21)))</formula>
    </cfRule>
    <cfRule type="containsText" dxfId="40" priority="91" operator="containsText" text="réserve">
      <formula>NOT(ISERROR(SEARCH("réserve",N21)))</formula>
    </cfRule>
    <cfRule type="endsWith" dxfId="39" priority="92" operator="endsWith" text="Validé">
      <formula>RIGHT(N21,LEN("Validé"))="Validé"</formula>
    </cfRule>
  </conditionalFormatting>
  <conditionalFormatting sqref="N25">
    <cfRule type="endsWith" dxfId="38" priority="88" operator="endsWith" text="Validé">
      <formula>RIGHT(N25,LEN("Validé"))="Validé"</formula>
    </cfRule>
    <cfRule type="containsText" dxfId="37" priority="87" operator="containsText" text="réserve">
      <formula>NOT(ISERROR(SEARCH("réserve",N25)))</formula>
    </cfRule>
    <cfRule type="containsText" dxfId="36" priority="86" operator="containsText" text="Non validé">
      <formula>NOT(ISERROR(SEARCH("Non validé",N25)))</formula>
    </cfRule>
    <cfRule type="containsText" dxfId="35" priority="85" operator="containsText" text="Non contrôlé">
      <formula>NOT(ISERROR(SEARCH("Non contrôlé",N25)))</formula>
    </cfRule>
  </conditionalFormatting>
  <conditionalFormatting sqref="N27">
    <cfRule type="endsWith" dxfId="34" priority="84" operator="endsWith" text="Validé">
      <formula>RIGHT(N27,LEN("Validé"))="Validé"</formula>
    </cfRule>
    <cfRule type="containsText" dxfId="33" priority="82" operator="containsText" text="Non validé">
      <formula>NOT(ISERROR(SEARCH("Non validé",N27)))</formula>
    </cfRule>
    <cfRule type="containsText" dxfId="32" priority="83" operator="containsText" text="réserve">
      <formula>NOT(ISERROR(SEARCH("réserve",N27)))</formula>
    </cfRule>
    <cfRule type="containsText" dxfId="31" priority="81" operator="containsText" text="Non contrôlé">
      <formula>NOT(ISERROR(SEARCH("Non contrôlé",N27)))</formula>
    </cfRule>
  </conditionalFormatting>
  <conditionalFormatting sqref="N46:N48">
    <cfRule type="endsWith" dxfId="30" priority="20" operator="endsWith" text="Validé">
      <formula>RIGHT(N46,LEN("Validé"))="Validé"</formula>
    </cfRule>
    <cfRule type="containsText" dxfId="29" priority="18" operator="containsText" text="Non validé">
      <formula>NOT(ISERROR(SEARCH("Non validé",N46)))</formula>
    </cfRule>
    <cfRule type="containsText" dxfId="28" priority="17" operator="containsText" text="Non contrôlé">
      <formula>NOT(ISERROR(SEARCH("Non contrôlé",N46)))</formula>
    </cfRule>
    <cfRule type="containsText" dxfId="27" priority="19" operator="containsText" text="réserve">
      <formula>NOT(ISERROR(SEARCH("réserve",N46)))</formula>
    </cfRule>
  </conditionalFormatting>
  <conditionalFormatting sqref="N51:N52">
    <cfRule type="endsWith" dxfId="26" priority="16" operator="endsWith" text="Validé">
      <formula>RIGHT(N51,LEN("Validé"))="Validé"</formula>
    </cfRule>
    <cfRule type="containsText" dxfId="25" priority="15" operator="containsText" text="réserve">
      <formula>NOT(ISERROR(SEARCH("réserve",N51)))</formula>
    </cfRule>
    <cfRule type="containsText" dxfId="24" priority="14" operator="containsText" text="Non validé">
      <formula>NOT(ISERROR(SEARCH("Non validé",N51)))</formula>
    </cfRule>
    <cfRule type="containsText" dxfId="23" priority="13" operator="containsText" text="Non contrôlé">
      <formula>NOT(ISERROR(SEARCH("Non contrôlé",N51)))</formula>
    </cfRule>
  </conditionalFormatting>
  <conditionalFormatting sqref="N55:N56">
    <cfRule type="containsText" dxfId="22" priority="10" operator="containsText" text="Non validé">
      <formula>NOT(ISERROR(SEARCH("Non validé",N55)))</formula>
    </cfRule>
    <cfRule type="containsText" dxfId="21" priority="9" operator="containsText" text="Non contrôlé">
      <formula>NOT(ISERROR(SEARCH("Non contrôlé",N55)))</formula>
    </cfRule>
    <cfRule type="endsWith" dxfId="20" priority="12" operator="endsWith" text="Validé">
      <formula>RIGHT(N55,LEN("Validé"))="Validé"</formula>
    </cfRule>
    <cfRule type="containsText" dxfId="19" priority="11" operator="containsText" text="réserve">
      <formula>NOT(ISERROR(SEARCH("réserve",N55)))</formula>
    </cfRule>
  </conditionalFormatting>
  <conditionalFormatting sqref="N59">
    <cfRule type="endsWith" dxfId="18" priority="8" operator="endsWith" text="Validé">
      <formula>RIGHT(N59,LEN("Validé"))="Validé"</formula>
    </cfRule>
    <cfRule type="containsText" dxfId="17" priority="7" operator="containsText" text="réserve">
      <formula>NOT(ISERROR(SEARCH("réserve",N59)))</formula>
    </cfRule>
    <cfRule type="containsText" dxfId="16" priority="6" operator="containsText" text="Non validé">
      <formula>NOT(ISERROR(SEARCH("Non validé",N59)))</formula>
    </cfRule>
    <cfRule type="containsText" dxfId="15" priority="5" operator="containsText" text="Non contrôlé">
      <formula>NOT(ISERROR(SEARCH("Non contrôlé",N59)))</formula>
    </cfRule>
  </conditionalFormatting>
  <conditionalFormatting sqref="N61">
    <cfRule type="containsText" dxfId="14" priority="1" operator="containsText" text="Non contrôlé">
      <formula>NOT(ISERROR(SEARCH("Non contrôlé",N61)))</formula>
    </cfRule>
    <cfRule type="endsWith" dxfId="13" priority="4" operator="endsWith" text="Validé">
      <formula>RIGHT(N61,LEN("Validé"))="Validé"</formula>
    </cfRule>
    <cfRule type="containsText" dxfId="12" priority="3" operator="containsText" text="réserve">
      <formula>NOT(ISERROR(SEARCH("réserve",N61)))</formula>
    </cfRule>
    <cfRule type="containsText" dxfId="11"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43" t="s">
        <v>54</v>
      </c>
      <c r="C2" s="644"/>
      <c r="D2" s="644"/>
      <c r="E2" s="644"/>
      <c r="F2" s="644"/>
      <c r="G2" s="644"/>
      <c r="H2" s="644"/>
      <c r="I2" s="644"/>
      <c r="J2" s="644"/>
      <c r="K2" s="644"/>
      <c r="L2" s="644"/>
      <c r="M2" s="644"/>
      <c r="N2" s="644"/>
      <c r="O2" s="644"/>
      <c r="P2" s="644"/>
      <c r="Q2" s="644"/>
      <c r="R2" s="644"/>
      <c r="S2" s="644"/>
      <c r="T2" s="644"/>
      <c r="U2" s="645"/>
      <c r="V2" s="283"/>
    </row>
    <row r="3" spans="1:22" ht="16.5" customHeight="1" x14ac:dyDescent="0.4">
      <c r="A3" s="283"/>
      <c r="B3" s="646" t="s">
        <v>55</v>
      </c>
      <c r="C3" s="647"/>
      <c r="D3" s="647"/>
      <c r="E3" s="647"/>
      <c r="F3" s="647"/>
      <c r="G3" s="647"/>
      <c r="H3" s="647"/>
      <c r="I3" s="647"/>
      <c r="J3" s="648"/>
      <c r="K3" s="648"/>
      <c r="L3" s="648"/>
      <c r="M3" s="648"/>
      <c r="N3" s="648"/>
      <c r="O3" s="648"/>
      <c r="P3" s="648"/>
      <c r="Q3" s="648"/>
      <c r="R3" s="648"/>
      <c r="S3" s="648"/>
      <c r="T3" s="648"/>
      <c r="U3" s="649"/>
      <c r="V3" s="283"/>
    </row>
    <row r="4" spans="1:22" ht="16.5" customHeight="1" thickBot="1" x14ac:dyDescent="0.45">
      <c r="A4" s="283"/>
      <c r="B4" s="650" t="s">
        <v>56</v>
      </c>
      <c r="C4" s="651"/>
      <c r="D4" s="651"/>
      <c r="E4" s="651"/>
      <c r="F4" s="651"/>
      <c r="G4" s="651"/>
      <c r="H4" s="651"/>
      <c r="I4" s="651"/>
      <c r="J4" s="652"/>
      <c r="K4" s="652"/>
      <c r="L4" s="652"/>
      <c r="M4" s="652"/>
      <c r="N4" s="652"/>
      <c r="O4" s="652"/>
      <c r="P4" s="652"/>
      <c r="Q4" s="652"/>
      <c r="R4" s="652"/>
      <c r="S4" s="652"/>
      <c r="T4" s="652"/>
      <c r="U4" s="653"/>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64</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27" t="s">
        <v>65</v>
      </c>
      <c r="C7" s="627"/>
      <c r="D7" s="627"/>
      <c r="E7" s="627"/>
      <c r="F7" s="627"/>
      <c r="G7" s="627"/>
      <c r="H7" s="627"/>
      <c r="I7" s="627"/>
      <c r="J7" s="627"/>
      <c r="K7" s="627"/>
      <c r="L7" s="627"/>
      <c r="M7" s="627"/>
      <c r="N7" s="627"/>
      <c r="O7" s="627"/>
      <c r="P7" s="627"/>
      <c r="Q7" s="293"/>
      <c r="R7" s="624"/>
      <c r="S7" s="624"/>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38" t="s">
        <v>66</v>
      </c>
      <c r="C9" s="638"/>
      <c r="D9" s="641" t="s">
        <v>67</v>
      </c>
      <c r="E9" s="283"/>
      <c r="F9" s="640" t="s">
        <v>68</v>
      </c>
      <c r="G9" s="283"/>
      <c r="H9" s="295"/>
      <c r="I9" s="295"/>
      <c r="J9" s="631" t="s">
        <v>66</v>
      </c>
      <c r="K9" s="654"/>
      <c r="L9" s="632"/>
      <c r="M9" s="631" t="s">
        <v>67</v>
      </c>
      <c r="N9" s="632"/>
      <c r="O9" s="283"/>
      <c r="P9" s="640" t="s">
        <v>68</v>
      </c>
      <c r="Q9" s="296"/>
      <c r="R9" s="283"/>
      <c r="S9" s="283"/>
      <c r="T9" s="283"/>
      <c r="U9" s="283"/>
      <c r="V9" s="283"/>
    </row>
    <row r="10" spans="1:22" ht="15" customHeight="1" x14ac:dyDescent="0.4">
      <c r="A10" s="283"/>
      <c r="B10" s="639"/>
      <c r="C10" s="639"/>
      <c r="D10" s="642"/>
      <c r="E10" s="283"/>
      <c r="F10" s="640"/>
      <c r="G10" s="283"/>
      <c r="H10" s="295"/>
      <c r="I10" s="295"/>
      <c r="J10" s="633"/>
      <c r="K10" s="655"/>
      <c r="L10" s="634"/>
      <c r="M10" s="633"/>
      <c r="N10" s="634"/>
      <c r="O10" s="283"/>
      <c r="P10" s="640"/>
      <c r="Q10" s="296"/>
      <c r="R10" s="283"/>
      <c r="S10" s="283"/>
      <c r="T10" s="283"/>
      <c r="U10" s="283"/>
      <c r="V10" s="283"/>
    </row>
    <row r="11" spans="1:22" ht="17.25" customHeight="1" x14ac:dyDescent="0.4">
      <c r="A11" s="283"/>
      <c r="B11" s="297" t="s">
        <v>23</v>
      </c>
      <c r="C11" s="49"/>
      <c r="D11" s="298" t="e">
        <f>IF(C11="Oui",10,IF(#REF!=0,"",ROUND(#REF!/#REF!*10,1)))</f>
        <v>#REF!</v>
      </c>
      <c r="E11" s="299" t="s">
        <v>69</v>
      </c>
      <c r="F11" s="300" t="str">
        <f>IFERROR(IF(#REF!&gt;=0,D11*(1-SUM(#REF!))*10,100),"")</f>
        <v/>
      </c>
      <c r="G11" s="283"/>
      <c r="H11" s="295"/>
      <c r="I11" s="295"/>
      <c r="J11" s="629" t="s">
        <v>37</v>
      </c>
      <c r="K11" s="630"/>
      <c r="L11" s="14"/>
      <c r="M11" s="637" t="e">
        <f>IF(L11="Oui",10,IF(#REF!=0,"",ROUND(#REF!/#REF!*10,1)))</f>
        <v>#REF!</v>
      </c>
      <c r="N11" s="637"/>
      <c r="O11" s="299" t="s">
        <v>69</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69</v>
      </c>
      <c r="F12" s="300" t="str">
        <f>IFERROR(IF(#REF!&gt;=0,D12*(1-SUM(#REF!))*10,100),"")</f>
        <v/>
      </c>
      <c r="G12" s="283"/>
      <c r="H12" s="295"/>
      <c r="I12" s="295"/>
      <c r="J12" s="616" t="s">
        <v>38</v>
      </c>
      <c r="K12" s="617"/>
      <c r="L12" s="14"/>
      <c r="M12" s="637" t="e">
        <f>IF(L12="Oui",10,IF(#REF!=0,"",ROUND(#REF!/#REF!*10,1)))</f>
        <v>#REF!</v>
      </c>
      <c r="N12" s="637"/>
      <c r="O12" s="299" t="s">
        <v>69</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69</v>
      </c>
      <c r="F13" s="300" t="str">
        <f>IFERROR(IF(#REF!&gt;=0,D13*(1-SUM(#REF!))*10,100),"")</f>
        <v/>
      </c>
      <c r="G13" s="283"/>
      <c r="H13" s="295"/>
      <c r="I13" s="295"/>
      <c r="J13" s="616" t="s">
        <v>39</v>
      </c>
      <c r="K13" s="617"/>
      <c r="L13" s="14"/>
      <c r="M13" s="637" t="e">
        <f>IF(L13="Oui",10,IF(#REF!=0,"",ROUND(#REF!/#REF!*10,1)))</f>
        <v>#REF!</v>
      </c>
      <c r="N13" s="637"/>
      <c r="O13" s="299" t="s">
        <v>69</v>
      </c>
      <c r="P13" s="300" t="str">
        <f>IFERROR(IF(#REF!&gt;=0,M13*(1-SUM(#REF!))*10,100),"")</f>
        <v/>
      </c>
      <c r="Q13" s="296"/>
      <c r="R13" s="283"/>
      <c r="S13" s="283"/>
      <c r="T13" s="283"/>
      <c r="U13" s="283"/>
      <c r="V13" s="283"/>
    </row>
    <row r="14" spans="1:22" s="71" customFormat="1" ht="15" customHeight="1" x14ac:dyDescent="0.4">
      <c r="A14" s="283"/>
      <c r="B14" s="302" t="s">
        <v>34</v>
      </c>
      <c r="C14" s="14"/>
      <c r="D14" s="301" t="e">
        <f>IF(C14="Oui",10,IF(#REF!=0,"",ROUND(#REF!/#REF!*10,1)))</f>
        <v>#REF!</v>
      </c>
      <c r="E14" s="299" t="s">
        <v>69</v>
      </c>
      <c r="F14" s="300" t="str">
        <f>IFERROR(IF(#REF!&gt;=0,D14*(1-SUM(#REF!))*10,100),"")</f>
        <v/>
      </c>
      <c r="G14" s="283"/>
      <c r="H14" s="295"/>
      <c r="I14" s="295"/>
      <c r="J14" s="616" t="s">
        <v>40</v>
      </c>
      <c r="K14" s="617"/>
      <c r="L14" s="14"/>
      <c r="M14" s="637" t="e">
        <f>IF(L14="Oui",10,IF(#REF!=0,"",ROUND(#REF!/#REF!*10,1)))</f>
        <v>#REF!</v>
      </c>
      <c r="N14" s="637"/>
      <c r="O14" s="299" t="s">
        <v>69</v>
      </c>
      <c r="P14" s="300" t="str">
        <f>IFERROR(IF(#REF!&gt;=0,M14*(1-SUM(#REF!))*10,100),"")</f>
        <v/>
      </c>
      <c r="Q14" s="296"/>
      <c r="R14" s="283"/>
      <c r="S14" s="283"/>
      <c r="T14" s="283"/>
      <c r="U14" s="283"/>
      <c r="V14" s="283"/>
    </row>
    <row r="15" spans="1:22" s="71" customFormat="1" ht="15" customHeight="1" x14ac:dyDescent="0.4">
      <c r="A15" s="283"/>
      <c r="B15" s="302" t="s">
        <v>35</v>
      </c>
      <c r="C15" s="14"/>
      <c r="D15" s="301" t="e">
        <f>IF(C15="Oui",10,IF(#REF!=0,"",ROUND(#REF!/#REF!*10,1)))</f>
        <v>#REF!</v>
      </c>
      <c r="E15" s="299" t="s">
        <v>69</v>
      </c>
      <c r="F15" s="300" t="str">
        <f>IFERROR(IF(#REF!&gt;=0,D15*(1-SUM(#REF!))*10,100),"")</f>
        <v/>
      </c>
      <c r="G15" s="283"/>
      <c r="H15" s="295"/>
      <c r="I15" s="295"/>
      <c r="J15" s="616" t="s">
        <v>41</v>
      </c>
      <c r="K15" s="617"/>
      <c r="L15" s="14"/>
      <c r="M15" s="637" t="e">
        <f>IF(L15="Oui",10,IF(#REF!=0,"",ROUND(#REF!/#REF!*10,1)))</f>
        <v>#REF!</v>
      </c>
      <c r="N15" s="637"/>
      <c r="O15" s="299" t="s">
        <v>69</v>
      </c>
      <c r="P15" s="300" t="str">
        <f>IFERROR(IF(#REF!&gt;=0,M15*(1-SUM(#REF!))*10,100),"")</f>
        <v/>
      </c>
      <c r="Q15" s="296"/>
      <c r="R15" s="283"/>
      <c r="S15" s="283"/>
      <c r="T15" s="283"/>
      <c r="U15" s="283"/>
      <c r="V15" s="283"/>
    </row>
    <row r="16" spans="1:22" s="71" customFormat="1" ht="15" customHeight="1" x14ac:dyDescent="0.4">
      <c r="A16" s="283"/>
      <c r="B16" s="302" t="s">
        <v>36</v>
      </c>
      <c r="C16" s="14"/>
      <c r="D16" s="301" t="e">
        <f>IF(C16="Oui",10,IF(#REF!=0,"",ROUND(#REF!/#REF!*10,1)))</f>
        <v>#REF!</v>
      </c>
      <c r="E16" s="299" t="s">
        <v>69</v>
      </c>
      <c r="F16" s="300" t="str">
        <f>IFERROR(IF(#REF!&gt;=0,D16*(1-SUM(#REF!))*10,100),"")</f>
        <v/>
      </c>
      <c r="G16" s="283"/>
      <c r="H16" s="283"/>
      <c r="I16" s="283"/>
      <c r="J16" s="616" t="s">
        <v>42</v>
      </c>
      <c r="K16" s="617"/>
      <c r="L16" s="14"/>
      <c r="M16" s="635" t="e">
        <f>IF(L16="Oui",10,IF(#REF!=0,"",ROUND(#REF!/#REF!*10,1)))</f>
        <v>#REF!</v>
      </c>
      <c r="N16" s="636"/>
      <c r="O16" s="299" t="s">
        <v>69</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70</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71</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28" t="s">
        <v>72</v>
      </c>
      <c r="C20" s="628"/>
      <c r="D20" s="628"/>
      <c r="E20" s="628"/>
      <c r="F20" s="628"/>
      <c r="G20" s="628"/>
      <c r="H20" s="628"/>
      <c r="I20" s="628"/>
      <c r="J20" s="628"/>
      <c r="K20" s="628"/>
      <c r="L20" s="628"/>
      <c r="M20" s="628"/>
      <c r="N20" s="628"/>
      <c r="O20" s="628"/>
      <c r="P20" s="628"/>
      <c r="Q20" s="628"/>
      <c r="R20" s="628"/>
      <c r="S20" s="628"/>
      <c r="T20" s="283"/>
      <c r="U20" s="283"/>
      <c r="V20" s="283"/>
    </row>
    <row r="21" spans="1:22" s="72" customFormat="1" ht="15.75" customHeight="1" x14ac:dyDescent="0.4">
      <c r="A21" s="283"/>
      <c r="B21" s="283"/>
      <c r="C21" s="283"/>
      <c r="D21" s="625" t="s">
        <v>73</v>
      </c>
      <c r="E21" s="625"/>
      <c r="F21" s="625"/>
      <c r="G21" s="625"/>
      <c r="H21" s="625"/>
      <c r="I21" s="625"/>
      <c r="J21" s="625"/>
      <c r="K21" s="625"/>
      <c r="L21" s="625"/>
      <c r="M21" s="625"/>
      <c r="N21" s="625"/>
      <c r="O21" s="305"/>
      <c r="P21" s="16"/>
      <c r="Q21" s="290"/>
      <c r="R21" s="626" t="str">
        <f>IF(P21="","",IF(P21="Non validé",0.1,0))</f>
        <v/>
      </c>
      <c r="S21" s="626"/>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18" t="s">
        <v>205</v>
      </c>
      <c r="D23" s="619"/>
      <c r="E23" s="619"/>
      <c r="F23" s="619"/>
      <c r="G23" s="620"/>
      <c r="H23" s="14"/>
      <c r="I23" s="301" t="e">
        <f>IF(H23="Oui",10,IF(#REF!=0,"",ROUND(#REF!/#REF!*10,1)))</f>
        <v>#REF!</v>
      </c>
      <c r="J23" s="302" t="s">
        <v>23</v>
      </c>
      <c r="K23" s="299" t="s">
        <v>69</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21" t="s">
        <v>74</v>
      </c>
      <c r="D24" s="622"/>
      <c r="E24" s="622"/>
      <c r="F24" s="622"/>
      <c r="G24" s="623"/>
      <c r="H24" s="14"/>
      <c r="I24" s="301" t="e">
        <f>IF(H24="Oui",10,IF(#REF!=0,"",ROUND(#REF!/#REF!*10,1)))</f>
        <v>#REF!</v>
      </c>
      <c r="J24" s="302" t="s">
        <v>24</v>
      </c>
      <c r="K24" s="299" t="s">
        <v>69</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21" t="s">
        <v>74</v>
      </c>
      <c r="D25" s="622"/>
      <c r="E25" s="622"/>
      <c r="F25" s="622"/>
      <c r="G25" s="623"/>
      <c r="H25" s="14"/>
      <c r="I25" s="301" t="e">
        <f>IF(H25="Oui",10,IF(#REF!=0,"",ROUND(#REF!/#REF!*10,1)))</f>
        <v>#REF!</v>
      </c>
      <c r="J25" s="302" t="s">
        <v>25</v>
      </c>
      <c r="K25" s="299" t="s">
        <v>69</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B9:C10"/>
    <mergeCell ref="F9:F10"/>
    <mergeCell ref="D9:D10"/>
    <mergeCell ref="B2:U2"/>
    <mergeCell ref="B3:I3"/>
    <mergeCell ref="J3:U3"/>
    <mergeCell ref="B4:I4"/>
    <mergeCell ref="J4:U4"/>
    <mergeCell ref="J9:L10"/>
    <mergeCell ref="P9:P10"/>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J16:K16"/>
    <mergeCell ref="J15:K15"/>
    <mergeCell ref="J14:K14"/>
    <mergeCell ref="J13:K13"/>
    <mergeCell ref="J12:K12"/>
  </mergeCells>
  <phoneticPr fontId="10" type="noConversion"/>
  <conditionalFormatting sqref="P21">
    <cfRule type="containsText" dxfId="10" priority="14" operator="containsText" text="Non validé">
      <formula>NOT(ISERROR(SEARCH("Non validé",P21)))</formula>
    </cfRule>
    <cfRule type="containsText" dxfId="9" priority="15" operator="containsText" text="réserve">
      <formula>NOT(ISERROR(SEARCH("réserve",P21)))</formula>
    </cfRule>
    <cfRule type="containsText" dxfId="8"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682" t="s">
        <v>85</v>
      </c>
      <c r="C2" s="683"/>
      <c r="D2" s="683"/>
      <c r="E2" s="683"/>
      <c r="F2" s="683"/>
      <c r="G2" s="683"/>
      <c r="H2" s="683"/>
      <c r="I2" s="683"/>
      <c r="J2" s="683"/>
      <c r="K2" s="683"/>
      <c r="L2" s="683"/>
      <c r="M2" s="683"/>
      <c r="N2" s="683"/>
      <c r="O2" s="683"/>
      <c r="P2" s="683"/>
      <c r="Q2" s="683"/>
      <c r="R2" s="683"/>
      <c r="S2" s="683"/>
      <c r="T2" s="683"/>
      <c r="U2" s="684"/>
      <c r="V2" s="290"/>
    </row>
    <row r="3" spans="1:22" ht="16.5" customHeight="1" x14ac:dyDescent="0.4">
      <c r="A3" s="290"/>
      <c r="B3" s="685" t="s">
        <v>55</v>
      </c>
      <c r="C3" s="686"/>
      <c r="D3" s="686"/>
      <c r="E3" s="686"/>
      <c r="F3" s="686"/>
      <c r="G3" s="686"/>
      <c r="H3" s="686"/>
      <c r="I3" s="686"/>
      <c r="J3" s="648" t="str">
        <f>IF(SYNTHESE_SCL!P6="","",SYNTHESE_SCL!P6)</f>
        <v/>
      </c>
      <c r="K3" s="648"/>
      <c r="L3" s="648"/>
      <c r="M3" s="648"/>
      <c r="N3" s="648"/>
      <c r="O3" s="648"/>
      <c r="P3" s="648"/>
      <c r="Q3" s="648"/>
      <c r="R3" s="648"/>
      <c r="S3" s="648"/>
      <c r="T3" s="648"/>
      <c r="U3" s="649"/>
      <c r="V3" s="290"/>
    </row>
    <row r="4" spans="1:22" ht="16.5" customHeight="1" thickBot="1" x14ac:dyDescent="0.45">
      <c r="A4" s="290"/>
      <c r="B4" s="687" t="s">
        <v>56</v>
      </c>
      <c r="C4" s="688"/>
      <c r="D4" s="688"/>
      <c r="E4" s="688"/>
      <c r="F4" s="688"/>
      <c r="G4" s="688"/>
      <c r="H4" s="688"/>
      <c r="I4" s="688"/>
      <c r="J4" s="652" t="str">
        <f>IF(SYNTHESE_SCL!E6="","",SYNTHESE_SCL!E6)</f>
        <v/>
      </c>
      <c r="K4" s="652"/>
      <c r="L4" s="652"/>
      <c r="M4" s="652"/>
      <c r="N4" s="652"/>
      <c r="O4" s="652"/>
      <c r="P4" s="652"/>
      <c r="Q4" s="652"/>
      <c r="R4" s="652"/>
      <c r="S4" s="652"/>
      <c r="T4" s="652"/>
      <c r="U4" s="653"/>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660" t="s">
        <v>57</v>
      </c>
      <c r="C6" s="660"/>
      <c r="D6" s="660"/>
      <c r="E6" s="660"/>
      <c r="F6" s="660"/>
      <c r="G6" s="660"/>
      <c r="H6" s="660"/>
      <c r="I6" s="660"/>
      <c r="J6" s="660"/>
      <c r="K6" s="660"/>
      <c r="L6" s="660"/>
      <c r="M6" s="660"/>
      <c r="N6" s="660"/>
      <c r="O6" s="660"/>
      <c r="P6" s="660"/>
      <c r="Q6" s="73"/>
      <c r="R6" s="689" t="s">
        <v>58</v>
      </c>
      <c r="S6" s="689"/>
      <c r="T6" s="310"/>
      <c r="U6" s="173" t="s">
        <v>186</v>
      </c>
      <c r="V6" s="290"/>
    </row>
    <row r="7" spans="1:22" ht="15" customHeight="1" thickBot="1" x14ac:dyDescent="0.45">
      <c r="A7" s="290"/>
      <c r="B7" s="311" t="s">
        <v>22</v>
      </c>
      <c r="C7" s="312"/>
      <c r="D7" s="313"/>
      <c r="E7" s="313"/>
      <c r="F7" s="313"/>
      <c r="G7" s="313"/>
      <c r="H7" s="313"/>
      <c r="I7" s="313"/>
      <c r="J7" s="313"/>
      <c r="K7" s="313"/>
      <c r="L7" s="313"/>
      <c r="M7" s="313"/>
      <c r="N7" s="314" t="s">
        <v>59</v>
      </c>
      <c r="O7" s="315"/>
      <c r="P7" s="177"/>
      <c r="Q7" s="290"/>
      <c r="R7" s="690" t="str">
        <f>IF(P7="","",IF(P7="Non validé",0.1,0))</f>
        <v/>
      </c>
      <c r="S7" s="691"/>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60</v>
      </c>
      <c r="O9" s="315"/>
      <c r="P9" s="178"/>
      <c r="Q9" s="290"/>
      <c r="R9" s="626" t="str">
        <f>IF(P9="","",IF(P9="Non validé",0.1,0))</f>
        <v/>
      </c>
      <c r="S9" s="626"/>
      <c r="T9" s="290"/>
      <c r="U9" s="173"/>
      <c r="V9" s="290"/>
    </row>
    <row r="10" spans="1:22" ht="15" customHeight="1" x14ac:dyDescent="0.4">
      <c r="A10" s="290"/>
      <c r="B10" s="316"/>
      <c r="C10" s="316"/>
      <c r="D10" s="290"/>
      <c r="E10" s="290"/>
      <c r="F10" s="290"/>
      <c r="G10" s="290"/>
      <c r="H10" s="290"/>
      <c r="I10" s="290"/>
      <c r="J10" s="290"/>
      <c r="K10" s="290"/>
      <c r="L10" s="290"/>
      <c r="M10" s="290"/>
      <c r="N10" s="318" t="s">
        <v>61</v>
      </c>
      <c r="O10" s="315"/>
      <c r="P10" s="179"/>
      <c r="Q10" s="290"/>
      <c r="R10" s="626" t="str">
        <f>IF(P10="","",IF(P10="Non validé",0.1,0))</f>
        <v/>
      </c>
      <c r="S10" s="626"/>
      <c r="T10" s="290"/>
      <c r="U10" s="173" t="s">
        <v>187</v>
      </c>
      <c r="V10" s="290"/>
    </row>
    <row r="11" spans="1:22" ht="17.25" customHeight="1" thickBot="1" x14ac:dyDescent="0.45">
      <c r="A11" s="290"/>
      <c r="B11" s="316"/>
      <c r="C11" s="316"/>
      <c r="D11" s="692" t="s">
        <v>62</v>
      </c>
      <c r="E11" s="692"/>
      <c r="F11" s="692"/>
      <c r="G11" s="692"/>
      <c r="H11" s="692"/>
      <c r="I11" s="692"/>
      <c r="J11" s="692"/>
      <c r="K11" s="692"/>
      <c r="L11" s="692"/>
      <c r="M11" s="692"/>
      <c r="N11" s="692"/>
      <c r="O11" s="315"/>
      <c r="P11" s="180"/>
      <c r="Q11" s="290"/>
      <c r="R11" s="626" t="str">
        <f>IF(P11="","",IF(P11="Non validé",0.1,0))</f>
        <v/>
      </c>
      <c r="S11" s="626"/>
      <c r="T11" s="290"/>
      <c r="U11" s="173"/>
      <c r="V11" s="290"/>
    </row>
    <row r="12" spans="1:22" ht="14.25" customHeight="1" x14ac:dyDescent="0.4">
      <c r="A12" s="290"/>
      <c r="B12" s="316"/>
      <c r="C12" s="316"/>
      <c r="D12" s="692"/>
      <c r="E12" s="692"/>
      <c r="F12" s="692"/>
      <c r="G12" s="692"/>
      <c r="H12" s="692"/>
      <c r="I12" s="692"/>
      <c r="J12" s="692"/>
      <c r="K12" s="692"/>
      <c r="L12" s="692"/>
      <c r="M12" s="692"/>
      <c r="N12" s="692"/>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63</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673"/>
      <c r="K14" s="674"/>
      <c r="L14" s="674"/>
      <c r="M14" s="674"/>
      <c r="N14" s="674"/>
      <c r="O14" s="674"/>
      <c r="P14" s="674"/>
      <c r="Q14" s="674"/>
      <c r="R14" s="674"/>
      <c r="S14" s="675"/>
      <c r="T14" s="290"/>
      <c r="U14" s="173"/>
      <c r="V14" s="290"/>
    </row>
    <row r="15" spans="1:22" s="12" customFormat="1" ht="15" customHeight="1" x14ac:dyDescent="0.4">
      <c r="A15" s="290"/>
      <c r="B15" s="290"/>
      <c r="C15" s="290"/>
      <c r="D15" s="290"/>
      <c r="E15" s="290"/>
      <c r="F15" s="290"/>
      <c r="G15" s="290"/>
      <c r="H15" s="290"/>
      <c r="I15" s="290"/>
      <c r="J15" s="676"/>
      <c r="K15" s="677"/>
      <c r="L15" s="677"/>
      <c r="M15" s="677"/>
      <c r="N15" s="677"/>
      <c r="O15" s="677"/>
      <c r="P15" s="677"/>
      <c r="Q15" s="677"/>
      <c r="R15" s="677"/>
      <c r="S15" s="678"/>
      <c r="T15" s="290"/>
      <c r="U15" s="173"/>
      <c r="V15" s="290"/>
    </row>
    <row r="16" spans="1:22" s="12" customFormat="1" ht="15" customHeight="1" x14ac:dyDescent="0.4">
      <c r="A16" s="290"/>
      <c r="B16" s="290"/>
      <c r="C16" s="290"/>
      <c r="D16" s="290"/>
      <c r="E16" s="290"/>
      <c r="F16" s="290"/>
      <c r="G16" s="290"/>
      <c r="H16" s="290"/>
      <c r="I16" s="290"/>
      <c r="J16" s="676"/>
      <c r="K16" s="677"/>
      <c r="L16" s="677"/>
      <c r="M16" s="677"/>
      <c r="N16" s="677"/>
      <c r="O16" s="677"/>
      <c r="P16" s="677"/>
      <c r="Q16" s="677"/>
      <c r="R16" s="677"/>
      <c r="S16" s="678"/>
      <c r="T16" s="290"/>
      <c r="U16" s="173"/>
      <c r="V16" s="290"/>
    </row>
    <row r="17" spans="1:22" s="12" customFormat="1" ht="15" customHeight="1" x14ac:dyDescent="0.4">
      <c r="A17" s="290"/>
      <c r="B17" s="290"/>
      <c r="C17" s="290"/>
      <c r="D17" s="290"/>
      <c r="E17" s="290"/>
      <c r="F17" s="290"/>
      <c r="G17" s="290"/>
      <c r="H17" s="290"/>
      <c r="I17" s="290"/>
      <c r="J17" s="679"/>
      <c r="K17" s="680"/>
      <c r="L17" s="680"/>
      <c r="M17" s="680"/>
      <c r="N17" s="680"/>
      <c r="O17" s="680"/>
      <c r="P17" s="680"/>
      <c r="Q17" s="680"/>
      <c r="R17" s="680"/>
      <c r="S17" s="681"/>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64</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660" t="s">
        <v>65</v>
      </c>
      <c r="C20" s="660"/>
      <c r="D20" s="660"/>
      <c r="E20" s="660"/>
      <c r="F20" s="660"/>
      <c r="G20" s="660"/>
      <c r="H20" s="660"/>
      <c r="I20" s="660"/>
      <c r="J20" s="660"/>
      <c r="K20" s="660"/>
      <c r="L20" s="660"/>
      <c r="M20" s="660"/>
      <c r="N20" s="660"/>
      <c r="O20" s="660"/>
      <c r="P20" s="660"/>
      <c r="Q20" s="73"/>
      <c r="R20" s="661"/>
      <c r="S20" s="661"/>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662" t="s">
        <v>189</v>
      </c>
      <c r="C22" s="662"/>
      <c r="D22" s="664" t="s">
        <v>67</v>
      </c>
      <c r="E22" s="290"/>
      <c r="F22" s="666" t="s">
        <v>68</v>
      </c>
      <c r="G22" s="290"/>
      <c r="H22" s="327"/>
      <c r="I22" s="327"/>
      <c r="J22" s="667" t="s">
        <v>66</v>
      </c>
      <c r="K22" s="668"/>
      <c r="L22" s="669"/>
      <c r="M22" s="667" t="s">
        <v>67</v>
      </c>
      <c r="N22" s="669"/>
      <c r="O22" s="290"/>
      <c r="P22" s="666" t="s">
        <v>68</v>
      </c>
      <c r="Q22" s="328"/>
      <c r="R22" s="290"/>
      <c r="S22" s="290"/>
      <c r="T22" s="290"/>
      <c r="U22" s="290"/>
      <c r="V22" s="290"/>
    </row>
    <row r="23" spans="1:22" s="173" customFormat="1" ht="11.25" customHeight="1" x14ac:dyDescent="0.4">
      <c r="A23" s="290"/>
      <c r="B23" s="663"/>
      <c r="C23" s="663"/>
      <c r="D23" s="665"/>
      <c r="E23" s="290"/>
      <c r="F23" s="666"/>
      <c r="G23" s="290"/>
      <c r="H23" s="327"/>
      <c r="I23" s="327"/>
      <c r="J23" s="670"/>
      <c r="K23" s="671"/>
      <c r="L23" s="672"/>
      <c r="M23" s="670"/>
      <c r="N23" s="672"/>
      <c r="O23" s="290"/>
      <c r="P23" s="666"/>
      <c r="Q23" s="328"/>
      <c r="R23" s="290"/>
      <c r="S23" s="290"/>
      <c r="T23" s="290"/>
      <c r="U23" s="290"/>
      <c r="V23" s="290"/>
    </row>
    <row r="24" spans="1:22" s="173" customFormat="1" ht="13.5" customHeight="1" x14ac:dyDescent="0.4">
      <c r="A24" s="290"/>
      <c r="B24" s="174" t="s">
        <v>23</v>
      </c>
      <c r="C24" s="182"/>
      <c r="D24" s="298" t="e">
        <f>IF(C24="Oui",10,IF(#REF!=0,"",ROUND(#REF!/#REF!*10,1)))</f>
        <v>#REF!</v>
      </c>
      <c r="E24" s="175" t="s">
        <v>69</v>
      </c>
      <c r="F24" s="300" t="str">
        <f>IFERROR(IF(#REF!&gt;=0,D24*(1-SUM($R$7:$S$11))*10,100),"")</f>
        <v/>
      </c>
      <c r="G24" s="290"/>
      <c r="H24" s="327"/>
      <c r="I24" s="327"/>
      <c r="J24" s="658" t="s">
        <v>37</v>
      </c>
      <c r="K24" s="659"/>
      <c r="L24" s="181"/>
      <c r="M24" s="637" t="e">
        <f>IF(L24="Oui",10,IF(#REF!=0,"",ROUND(#REF!/#REF!*10,1)))</f>
        <v>#REF!</v>
      </c>
      <c r="N24" s="637"/>
      <c r="O24" s="175" t="s">
        <v>69</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69</v>
      </c>
      <c r="F25" s="300" t="str">
        <f>IFERROR(IF(#REF!&gt;=0,D25*(1-SUM($R$7:$R$11))*10,100),"")</f>
        <v/>
      </c>
      <c r="G25" s="290"/>
      <c r="H25" s="327"/>
      <c r="I25" s="327"/>
      <c r="J25" s="656" t="s">
        <v>38</v>
      </c>
      <c r="K25" s="657"/>
      <c r="L25" s="181"/>
      <c r="M25" s="637" t="e">
        <f>IF(L25="Oui",10,IF(#REF!=0,"",ROUND(#REF!/#REF!*10,1)))</f>
        <v>#REF!</v>
      </c>
      <c r="N25" s="637"/>
      <c r="O25" s="175" t="s">
        <v>69</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69</v>
      </c>
      <c r="F26" s="300" t="str">
        <f>IFERROR(IF(#REF!&gt;=0,D26*(1-SUM($R$7:$R$11))*10,100),"")</f>
        <v/>
      </c>
      <c r="G26" s="290"/>
      <c r="H26" s="327"/>
      <c r="I26" s="327"/>
      <c r="J26" s="656" t="s">
        <v>39</v>
      </c>
      <c r="K26" s="657"/>
      <c r="L26" s="181"/>
      <c r="M26" s="637" t="e">
        <f>IF(L26="Oui",10,IF(#REF!=0,"",ROUND(#REF!/#REF!*10,1)))</f>
        <v>#REF!</v>
      </c>
      <c r="N26" s="637"/>
      <c r="O26" s="175" t="s">
        <v>69</v>
      </c>
      <c r="P26" s="300" t="str">
        <f>IFERROR(IF(#REF!&gt;=0,M26*(1-SUM($R$7:$R$11))*10,100),"")</f>
        <v/>
      </c>
      <c r="Q26" s="328"/>
      <c r="R26" s="290"/>
      <c r="S26" s="290"/>
      <c r="T26" s="290"/>
      <c r="U26" s="290"/>
      <c r="V26" s="290"/>
    </row>
    <row r="27" spans="1:22" s="12" customFormat="1" ht="13.5" customHeight="1" x14ac:dyDescent="0.4">
      <c r="A27" s="290"/>
      <c r="B27" s="176" t="s">
        <v>34</v>
      </c>
      <c r="C27" s="181"/>
      <c r="D27" s="301" t="e">
        <f>IF(C27="Oui",10,IF(#REF!=0,"",ROUND(#REF!/#REF!*10,1)))</f>
        <v>#REF!</v>
      </c>
      <c r="E27" s="175" t="s">
        <v>69</v>
      </c>
      <c r="F27" s="300" t="str">
        <f>IFERROR(IF(#REF!&gt;=0,D27*(1-SUM($R$7:$R$11))*10,100),"")</f>
        <v/>
      </c>
      <c r="G27" s="290"/>
      <c r="H27" s="327"/>
      <c r="I27" s="327"/>
      <c r="J27" s="656" t="s">
        <v>40</v>
      </c>
      <c r="K27" s="657"/>
      <c r="L27" s="181"/>
      <c r="M27" s="637" t="e">
        <f>IF(L27="Oui",10,IF(#REF!=0,"",ROUND(#REF!/#REF!*10,1)))</f>
        <v>#REF!</v>
      </c>
      <c r="N27" s="637"/>
      <c r="O27" s="175" t="s">
        <v>69</v>
      </c>
      <c r="P27" s="300" t="str">
        <f>IFERROR(IF(#REF!&gt;=0,M27*(1-SUM($R$7:$R$11))*10,100),"")</f>
        <v/>
      </c>
      <c r="Q27" s="328"/>
      <c r="R27" s="290"/>
      <c r="S27" s="290"/>
      <c r="T27" s="290"/>
      <c r="U27" s="290"/>
      <c r="V27" s="290"/>
    </row>
    <row r="28" spans="1:22" ht="13.5" customHeight="1" x14ac:dyDescent="0.4">
      <c r="A28" s="290"/>
      <c r="B28" s="176" t="s">
        <v>35</v>
      </c>
      <c r="C28" s="181"/>
      <c r="D28" s="301" t="e">
        <f>IF(C28="Oui",10,IF(#REF!=0,"",ROUND(#REF!/#REF!*10,1)))</f>
        <v>#REF!</v>
      </c>
      <c r="E28" s="175" t="s">
        <v>69</v>
      </c>
      <c r="F28" s="300" t="str">
        <f>IFERROR(IF(#REF!&gt;=0,D28*(1-SUM($R$7:$R$11))*10,100),"")</f>
        <v/>
      </c>
      <c r="G28" s="290"/>
      <c r="H28" s="327"/>
      <c r="I28" s="327"/>
      <c r="J28" s="656" t="s">
        <v>41</v>
      </c>
      <c r="K28" s="657"/>
      <c r="L28" s="181"/>
      <c r="M28" s="637" t="e">
        <f>IF(L28="Oui",10,IF(#REF!=0,"",ROUND(#REF!/#REF!*10,1)))</f>
        <v>#REF!</v>
      </c>
      <c r="N28" s="637"/>
      <c r="O28" s="175" t="s">
        <v>69</v>
      </c>
      <c r="P28" s="300" t="str">
        <f>IFERROR(IF(#REF!&gt;=0,M28*(1-SUM($R$7:$R$11))*10,100),"")</f>
        <v/>
      </c>
      <c r="Q28" s="328"/>
      <c r="R28" s="290"/>
      <c r="S28" s="290"/>
      <c r="T28" s="290"/>
      <c r="U28" s="290"/>
      <c r="V28" s="290"/>
    </row>
    <row r="29" spans="1:22" s="12" customFormat="1" ht="13.5" customHeight="1" x14ac:dyDescent="0.4">
      <c r="A29" s="290"/>
      <c r="B29" s="176" t="s">
        <v>36</v>
      </c>
      <c r="C29" s="181"/>
      <c r="D29" s="301" t="e">
        <f>IF(C29="Oui",10,IF(#REF!=0,"",ROUND(#REF!/#REF!*10,1)))</f>
        <v>#REF!</v>
      </c>
      <c r="E29" s="175" t="s">
        <v>69</v>
      </c>
      <c r="F29" s="300" t="str">
        <f>IFERROR(IF(#REF!&gt;=0,D29*(1-SUM($R$7:$R$11))*10,100),"")</f>
        <v/>
      </c>
      <c r="G29" s="290"/>
      <c r="H29" s="290"/>
      <c r="I29" s="290"/>
      <c r="J29" s="656" t="s">
        <v>42</v>
      </c>
      <c r="K29" s="657"/>
      <c r="L29" s="181"/>
      <c r="M29" s="637" t="e">
        <f>IF(L29="Oui",10,IF(#REF!=0,"",ROUND(#REF!/#REF!*10,1)))</f>
        <v>#REF!</v>
      </c>
      <c r="N29" s="637"/>
      <c r="O29" s="175" t="s">
        <v>69</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70</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71</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14:S17"/>
    <mergeCell ref="B2:U2"/>
    <mergeCell ref="B3:I3"/>
    <mergeCell ref="J3:U3"/>
    <mergeCell ref="B4:I4"/>
    <mergeCell ref="J4:U4"/>
    <mergeCell ref="B6:P6"/>
    <mergeCell ref="R6:S6"/>
    <mergeCell ref="R7:S7"/>
    <mergeCell ref="R9:S9"/>
    <mergeCell ref="R10:S10"/>
    <mergeCell ref="D11:N12"/>
    <mergeCell ref="R11:S11"/>
    <mergeCell ref="B20:P20"/>
    <mergeCell ref="R20:S20"/>
    <mergeCell ref="B22:C23"/>
    <mergeCell ref="D22:D23"/>
    <mergeCell ref="F22:F23"/>
    <mergeCell ref="J22:L23"/>
    <mergeCell ref="M22:N23"/>
    <mergeCell ref="P22:P23"/>
    <mergeCell ref="J24:K24"/>
    <mergeCell ref="M24:N24"/>
    <mergeCell ref="J25:K25"/>
    <mergeCell ref="M25:N25"/>
    <mergeCell ref="J26:K26"/>
    <mergeCell ref="M26:N26"/>
    <mergeCell ref="J27:K27"/>
    <mergeCell ref="M27:N27"/>
    <mergeCell ref="J28:K28"/>
    <mergeCell ref="M28:N28"/>
    <mergeCell ref="J29:K29"/>
    <mergeCell ref="M29:N29"/>
  </mergeCells>
  <conditionalFormatting sqref="P7">
    <cfRule type="containsText" dxfId="7" priority="20" operator="containsText" text="Non validé">
      <formula>NOT(ISERROR(SEARCH("Non validé",P7)))</formula>
    </cfRule>
    <cfRule type="containsText" dxfId="6" priority="21" operator="containsText" text="réserve">
      <formula>NOT(ISERROR(SEARCH("réserve",P7)))</formula>
    </cfRule>
    <cfRule type="containsText" dxfId="5" priority="22" operator="containsText" text="Validé">
      <formula>NOT(ISERROR(SEARCH("Validé",P7)))</formula>
    </cfRule>
  </conditionalFormatting>
  <conditionalFormatting sqref="P9:P11">
    <cfRule type="containsText" dxfId="4" priority="17" operator="containsText" text="Non validé">
      <formula>NOT(ISERROR(SEARCH("Non validé",P9)))</formula>
    </cfRule>
    <cfRule type="containsText" dxfId="3" priority="18" operator="containsText" text="réserve">
      <formula>NOT(ISERROR(SEARCH("réserve",P9)))</formula>
    </cfRule>
    <cfRule type="containsText" dxfId="2"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pageSetUpPr fitToPage="1"/>
  </sheetPr>
  <dimension ref="B1:U42"/>
  <sheetViews>
    <sheetView showGridLines="0" tabSelected="1" topLeftCell="A28" workbookViewId="0">
      <selection activeCell="N32" sqref="N32:O32"/>
    </sheetView>
  </sheetViews>
  <sheetFormatPr baseColWidth="10" defaultColWidth="10.703125" defaultRowHeight="20.100000000000001" customHeight="1" outlineLevelRow="1" x14ac:dyDescent="0.4"/>
  <cols>
    <col min="1" max="2" width="2.703125" style="381" customWidth="1"/>
    <col min="3" max="18" width="10.703125" style="381"/>
    <col min="19" max="20" width="2.703125" style="381" customWidth="1"/>
    <col min="21" max="21" width="10.703125" style="403"/>
    <col min="22" max="16384" width="10.703125" style="381"/>
  </cols>
  <sheetData>
    <row r="1" spans="2:19" ht="9.9499999999999993" customHeight="1" thickBot="1" x14ac:dyDescent="0.45">
      <c r="B1" s="366"/>
      <c r="C1" s="367"/>
      <c r="D1" s="367"/>
      <c r="E1" s="367"/>
      <c r="F1" s="367"/>
      <c r="G1" s="367"/>
      <c r="H1" s="367"/>
      <c r="I1" s="367"/>
      <c r="J1" s="367"/>
      <c r="K1" s="367"/>
      <c r="L1" s="367"/>
      <c r="M1" s="367"/>
      <c r="N1" s="367"/>
      <c r="O1" s="367"/>
      <c r="P1" s="367"/>
      <c r="Q1" s="367"/>
      <c r="R1" s="367"/>
      <c r="S1" s="368"/>
    </row>
    <row r="2" spans="2:19" ht="30" customHeight="1" thickTop="1" x14ac:dyDescent="0.4">
      <c r="B2" s="369"/>
      <c r="C2" s="730" t="s">
        <v>340</v>
      </c>
      <c r="D2" s="731"/>
      <c r="E2" s="731"/>
      <c r="F2" s="731"/>
      <c r="G2" s="731"/>
      <c r="H2" s="731"/>
      <c r="I2" s="731"/>
      <c r="J2" s="731"/>
      <c r="K2" s="731"/>
      <c r="L2" s="731"/>
      <c r="M2" s="731"/>
      <c r="N2" s="731"/>
      <c r="O2" s="731"/>
      <c r="P2" s="731"/>
      <c r="Q2" s="731"/>
      <c r="R2" s="732"/>
      <c r="S2" s="370"/>
    </row>
    <row r="3" spans="2:19" ht="20.100000000000001" customHeight="1" x14ac:dyDescent="0.4">
      <c r="B3" s="371"/>
      <c r="C3" s="733" t="s">
        <v>341</v>
      </c>
      <c r="D3" s="734"/>
      <c r="E3" s="728"/>
      <c r="F3" s="728"/>
      <c r="G3" s="728"/>
      <c r="H3" s="734" t="s">
        <v>342</v>
      </c>
      <c r="I3" s="734"/>
      <c r="J3" s="728"/>
      <c r="K3" s="728"/>
      <c r="L3" s="728"/>
      <c r="M3" s="735" t="s">
        <v>343</v>
      </c>
      <c r="N3" s="735"/>
      <c r="O3" s="735"/>
      <c r="P3" s="728"/>
      <c r="Q3" s="728"/>
      <c r="R3" s="729"/>
      <c r="S3" s="372"/>
    </row>
    <row r="4" spans="2:19" ht="20.100000000000001" customHeight="1" x14ac:dyDescent="0.4">
      <c r="B4" s="371"/>
      <c r="C4" s="733" t="s">
        <v>344</v>
      </c>
      <c r="D4" s="734"/>
      <c r="E4" s="728"/>
      <c r="F4" s="728"/>
      <c r="G4" s="728"/>
      <c r="H4" s="734" t="s">
        <v>345</v>
      </c>
      <c r="I4" s="734"/>
      <c r="J4" s="728"/>
      <c r="K4" s="728"/>
      <c r="L4" s="728"/>
      <c r="M4" s="735" t="s">
        <v>346</v>
      </c>
      <c r="N4" s="735"/>
      <c r="O4" s="735"/>
      <c r="P4" s="728"/>
      <c r="Q4" s="728"/>
      <c r="R4" s="729"/>
      <c r="S4" s="372"/>
    </row>
    <row r="5" spans="2:19" ht="20.100000000000001" customHeight="1" x14ac:dyDescent="0.4">
      <c r="B5" s="371"/>
      <c r="C5" s="733" t="s">
        <v>347</v>
      </c>
      <c r="D5" s="734"/>
      <c r="E5" s="728"/>
      <c r="F5" s="728"/>
      <c r="G5" s="728"/>
      <c r="H5" s="734" t="s">
        <v>348</v>
      </c>
      <c r="I5" s="734"/>
      <c r="J5" s="728"/>
      <c r="K5" s="728"/>
      <c r="L5" s="728"/>
      <c r="M5" s="735" t="s">
        <v>349</v>
      </c>
      <c r="N5" s="735"/>
      <c r="O5" s="735"/>
      <c r="P5" s="728"/>
      <c r="Q5" s="728"/>
      <c r="R5" s="729"/>
      <c r="S5" s="372"/>
    </row>
    <row r="6" spans="2:19" ht="20.100000000000001" customHeight="1" thickBot="1" x14ac:dyDescent="0.45">
      <c r="B6" s="371"/>
      <c r="C6" s="738" t="s">
        <v>350</v>
      </c>
      <c r="D6" s="739"/>
      <c r="E6" s="736"/>
      <c r="F6" s="736"/>
      <c r="G6" s="736"/>
      <c r="H6" s="739" t="s">
        <v>366</v>
      </c>
      <c r="I6" s="739"/>
      <c r="J6" s="736"/>
      <c r="K6" s="736"/>
      <c r="L6" s="736"/>
      <c r="M6" s="740" t="s">
        <v>351</v>
      </c>
      <c r="N6" s="740"/>
      <c r="O6" s="740"/>
      <c r="P6" s="736"/>
      <c r="Q6" s="736"/>
      <c r="R6" s="737"/>
      <c r="S6" s="372"/>
    </row>
    <row r="7" spans="2:19" ht="9.9499999999999993" customHeight="1" thickTop="1" thickBot="1" x14ac:dyDescent="0.45">
      <c r="B7" s="373"/>
      <c r="C7" s="375"/>
      <c r="D7" s="375"/>
      <c r="E7" s="375"/>
      <c r="F7" s="375"/>
      <c r="G7" s="375"/>
      <c r="H7" s="375"/>
      <c r="I7" s="375"/>
      <c r="J7" s="375"/>
      <c r="K7" s="375"/>
      <c r="L7" s="375"/>
      <c r="M7" s="375"/>
      <c r="N7" s="375"/>
      <c r="O7" s="375"/>
      <c r="P7" s="375"/>
      <c r="Q7" s="375"/>
      <c r="R7" s="375"/>
      <c r="S7" s="374"/>
    </row>
    <row r="8" spans="2:19" ht="20.100000000000001" customHeight="1" thickTop="1" thickBot="1" x14ac:dyDescent="0.45">
      <c r="B8" s="373"/>
      <c r="C8" s="703" t="s">
        <v>352</v>
      </c>
      <c r="D8" s="704"/>
      <c r="E8" s="704"/>
      <c r="F8" s="704"/>
      <c r="G8" s="704"/>
      <c r="H8" s="704"/>
      <c r="I8" s="704"/>
      <c r="J8" s="704"/>
      <c r="K8" s="704"/>
      <c r="L8" s="704"/>
      <c r="M8" s="704"/>
      <c r="N8" s="704"/>
      <c r="O8" s="704"/>
      <c r="P8" s="704"/>
      <c r="Q8" s="704"/>
      <c r="R8" s="705"/>
      <c r="S8" s="374"/>
    </row>
    <row r="9" spans="2:19" ht="20.100000000000001" customHeight="1" outlineLevel="1" thickTop="1" x14ac:dyDescent="0.4">
      <c r="B9" s="382"/>
      <c r="C9" s="387"/>
      <c r="D9" s="37"/>
      <c r="E9" s="37"/>
      <c r="F9" s="37"/>
      <c r="G9" s="37"/>
      <c r="H9" s="37"/>
      <c r="I9" s="37"/>
      <c r="J9" s="37"/>
      <c r="K9" s="37"/>
      <c r="L9" s="37"/>
      <c r="M9" s="37"/>
      <c r="N9" s="37"/>
      <c r="O9" s="37"/>
      <c r="P9" s="37"/>
      <c r="Q9" s="37"/>
      <c r="R9" s="388"/>
      <c r="S9" s="383"/>
    </row>
    <row r="10" spans="2:19" ht="20.100000000000001" customHeight="1" outlineLevel="1" x14ac:dyDescent="0.4">
      <c r="B10" s="382"/>
      <c r="C10" s="387"/>
      <c r="D10" s="725" t="s">
        <v>361</v>
      </c>
      <c r="E10" s="726"/>
      <c r="F10" s="726"/>
      <c r="G10" s="726"/>
      <c r="H10" s="726"/>
      <c r="I10" s="726"/>
      <c r="J10" s="726"/>
      <c r="K10" s="726"/>
      <c r="L10" s="726"/>
      <c r="M10" s="726"/>
      <c r="N10" s="726"/>
      <c r="O10" s="726"/>
      <c r="P10" s="726"/>
      <c r="Q10" s="727"/>
      <c r="R10" s="388"/>
      <c r="S10" s="383"/>
    </row>
    <row r="11" spans="2:19" ht="20.100000000000001" customHeight="1" outlineLevel="1" x14ac:dyDescent="0.4">
      <c r="B11" s="382"/>
      <c r="C11" s="387"/>
      <c r="D11" s="741" t="s">
        <v>353</v>
      </c>
      <c r="E11" s="742"/>
      <c r="F11" s="743"/>
      <c r="G11" s="744"/>
      <c r="H11" s="745"/>
      <c r="I11" s="745"/>
      <c r="J11" s="746"/>
      <c r="K11" s="741" t="s">
        <v>90</v>
      </c>
      <c r="L11" s="742"/>
      <c r="M11" s="743"/>
      <c r="N11" s="747"/>
      <c r="O11" s="748"/>
      <c r="P11" s="748"/>
      <c r="Q11" s="749"/>
      <c r="R11" s="388"/>
      <c r="S11" s="383"/>
    </row>
    <row r="12" spans="2:19" ht="20.100000000000001" customHeight="1" outlineLevel="1" x14ac:dyDescent="0.4">
      <c r="B12" s="382"/>
      <c r="C12" s="387"/>
      <c r="D12" s="741" t="s">
        <v>354</v>
      </c>
      <c r="E12" s="742"/>
      <c r="F12" s="743"/>
      <c r="G12" s="744"/>
      <c r="H12" s="745"/>
      <c r="I12" s="745"/>
      <c r="J12" s="746"/>
      <c r="K12" s="741" t="s">
        <v>356</v>
      </c>
      <c r="L12" s="742"/>
      <c r="M12" s="743"/>
      <c r="N12" s="744"/>
      <c r="O12" s="745"/>
      <c r="P12" s="745"/>
      <c r="Q12" s="746"/>
      <c r="R12" s="388"/>
      <c r="S12" s="383"/>
    </row>
    <row r="13" spans="2:19" ht="20.100000000000001" customHeight="1" outlineLevel="1" x14ac:dyDescent="0.4">
      <c r="B13" s="382"/>
      <c r="C13" s="387"/>
      <c r="D13" s="741" t="s">
        <v>355</v>
      </c>
      <c r="E13" s="742"/>
      <c r="F13" s="743"/>
      <c r="G13" s="744"/>
      <c r="H13" s="745"/>
      <c r="I13" s="745"/>
      <c r="J13" s="746"/>
      <c r="K13" s="741" t="s">
        <v>357</v>
      </c>
      <c r="L13" s="742"/>
      <c r="M13" s="743"/>
      <c r="N13" s="744"/>
      <c r="O13" s="745"/>
      <c r="P13" s="745"/>
      <c r="Q13" s="746"/>
      <c r="R13" s="388"/>
      <c r="S13" s="383"/>
    </row>
    <row r="14" spans="2:19" ht="20.100000000000001" customHeight="1" outlineLevel="1" x14ac:dyDescent="0.4">
      <c r="B14" s="382"/>
      <c r="C14" s="387"/>
      <c r="D14" s="37"/>
      <c r="E14" s="37"/>
      <c r="F14" s="37"/>
      <c r="G14" s="37"/>
      <c r="H14" s="37"/>
      <c r="I14" s="37"/>
      <c r="J14" s="37"/>
      <c r="K14" s="37"/>
      <c r="L14" s="37"/>
      <c r="M14" s="37"/>
      <c r="N14" s="37"/>
      <c r="O14" s="37"/>
      <c r="P14" s="37"/>
      <c r="Q14" s="37"/>
      <c r="R14" s="388"/>
      <c r="S14" s="383"/>
    </row>
    <row r="15" spans="2:19" ht="20.100000000000001" customHeight="1" outlineLevel="1" x14ac:dyDescent="0.4">
      <c r="B15" s="382"/>
      <c r="C15" s="387"/>
      <c r="D15" s="750" t="s">
        <v>360</v>
      </c>
      <c r="E15" s="750"/>
      <c r="F15" s="750"/>
      <c r="G15" s="750"/>
      <c r="H15" s="750"/>
      <c r="I15" s="750"/>
      <c r="J15" s="750"/>
      <c r="K15" s="750"/>
      <c r="L15" s="750"/>
      <c r="M15" s="750"/>
      <c r="N15" s="750"/>
      <c r="O15" s="750"/>
      <c r="P15" s="750"/>
      <c r="Q15" s="750"/>
      <c r="R15" s="388"/>
      <c r="S15" s="383"/>
    </row>
    <row r="16" spans="2:19" ht="20.100000000000001" customHeight="1" outlineLevel="1" x14ac:dyDescent="0.4">
      <c r="B16" s="382"/>
      <c r="C16" s="387"/>
      <c r="D16" s="741" t="s">
        <v>353</v>
      </c>
      <c r="E16" s="742"/>
      <c r="F16" s="743"/>
      <c r="G16" s="744"/>
      <c r="H16" s="745"/>
      <c r="I16" s="745"/>
      <c r="J16" s="746"/>
      <c r="K16" s="741" t="s">
        <v>355</v>
      </c>
      <c r="L16" s="742"/>
      <c r="M16" s="743"/>
      <c r="N16" s="744"/>
      <c r="O16" s="745"/>
      <c r="P16" s="745"/>
      <c r="Q16" s="746"/>
      <c r="R16" s="388"/>
      <c r="S16" s="383"/>
    </row>
    <row r="17" spans="2:21" ht="20.100000000000001" customHeight="1" outlineLevel="1" x14ac:dyDescent="0.4">
      <c r="B17" s="382"/>
      <c r="C17" s="387"/>
      <c r="D17" s="741" t="s">
        <v>354</v>
      </c>
      <c r="E17" s="742"/>
      <c r="F17" s="743"/>
      <c r="G17" s="744"/>
      <c r="H17" s="745"/>
      <c r="I17" s="745"/>
      <c r="J17" s="746"/>
      <c r="K17" s="37"/>
      <c r="L17" s="37"/>
      <c r="M17" s="37"/>
      <c r="N17" s="37"/>
      <c r="O17" s="37"/>
      <c r="P17" s="37"/>
      <c r="Q17" s="37"/>
      <c r="R17" s="388"/>
      <c r="S17" s="383"/>
    </row>
    <row r="18" spans="2:21" ht="20.100000000000001" customHeight="1" outlineLevel="1" x14ac:dyDescent="0.4">
      <c r="B18" s="382"/>
      <c r="C18" s="387"/>
      <c r="D18" s="37"/>
      <c r="E18" s="37"/>
      <c r="F18" s="37"/>
      <c r="G18" s="37"/>
      <c r="H18" s="37"/>
      <c r="I18" s="37"/>
      <c r="J18" s="37"/>
      <c r="K18" s="37"/>
      <c r="L18" s="37"/>
      <c r="M18" s="37"/>
      <c r="N18" s="37"/>
      <c r="O18" s="37"/>
      <c r="P18" s="37"/>
      <c r="Q18" s="37"/>
      <c r="R18" s="388"/>
      <c r="S18" s="383"/>
    </row>
    <row r="19" spans="2:21" ht="20.100000000000001" customHeight="1" outlineLevel="1" x14ac:dyDescent="0.4">
      <c r="B19" s="382"/>
      <c r="C19" s="387"/>
      <c r="D19" s="725" t="s">
        <v>358</v>
      </c>
      <c r="E19" s="726"/>
      <c r="F19" s="726"/>
      <c r="G19" s="726"/>
      <c r="H19" s="726"/>
      <c r="I19" s="726"/>
      <c r="J19" s="726"/>
      <c r="K19" s="726"/>
      <c r="L19" s="726"/>
      <c r="M19" s="727"/>
      <c r="N19" s="380"/>
      <c r="O19" s="380"/>
      <c r="P19" s="380"/>
      <c r="Q19" s="380"/>
      <c r="R19" s="388"/>
      <c r="S19" s="383"/>
    </row>
    <row r="20" spans="2:21" s="379" customFormat="1" ht="30" customHeight="1" outlineLevel="1" x14ac:dyDescent="0.4">
      <c r="B20" s="376"/>
      <c r="C20" s="389"/>
      <c r="D20" s="722" t="s">
        <v>190</v>
      </c>
      <c r="E20" s="722"/>
      <c r="F20" s="722" t="s">
        <v>191</v>
      </c>
      <c r="G20" s="722"/>
      <c r="H20" s="723" t="s">
        <v>192</v>
      </c>
      <c r="I20" s="723"/>
      <c r="J20" s="723" t="s">
        <v>193</v>
      </c>
      <c r="K20" s="723"/>
      <c r="L20" s="724" t="s">
        <v>359</v>
      </c>
      <c r="M20" s="724"/>
      <c r="N20" s="377"/>
      <c r="O20" s="377"/>
      <c r="P20" s="377"/>
      <c r="Q20" s="377"/>
      <c r="R20" s="390"/>
      <c r="S20" s="378"/>
      <c r="U20" s="404"/>
    </row>
    <row r="21" spans="2:21" ht="20.100000000000001" customHeight="1" outlineLevel="1" x14ac:dyDescent="0.4">
      <c r="B21" s="382"/>
      <c r="C21" s="387"/>
      <c r="D21" s="713"/>
      <c r="E21" s="714"/>
      <c r="F21" s="713"/>
      <c r="G21" s="714"/>
      <c r="H21" s="713"/>
      <c r="I21" s="714"/>
      <c r="J21" s="713"/>
      <c r="K21" s="714"/>
      <c r="L21" s="715" t="str">
        <f>IF(H21&gt;0,H21-J21,"-")</f>
        <v>-</v>
      </c>
      <c r="M21" s="716"/>
      <c r="N21" s="37"/>
      <c r="O21" s="37"/>
      <c r="P21" s="37"/>
      <c r="Q21" s="37"/>
      <c r="R21" s="388"/>
      <c r="S21" s="383"/>
    </row>
    <row r="22" spans="2:21" ht="20.100000000000001" customHeight="1" outlineLevel="1" thickBot="1" x14ac:dyDescent="0.45">
      <c r="B22" s="382"/>
      <c r="C22" s="391"/>
      <c r="D22" s="392"/>
      <c r="E22" s="392"/>
      <c r="F22" s="392"/>
      <c r="G22" s="392"/>
      <c r="H22" s="392"/>
      <c r="I22" s="392"/>
      <c r="J22" s="392"/>
      <c r="K22" s="392"/>
      <c r="L22" s="392"/>
      <c r="M22" s="392"/>
      <c r="N22" s="392"/>
      <c r="O22" s="392"/>
      <c r="P22" s="392"/>
      <c r="Q22" s="392"/>
      <c r="R22" s="393"/>
      <c r="S22" s="383"/>
    </row>
    <row r="23" spans="2:21" ht="9.9499999999999993" customHeight="1" thickTop="1" thickBot="1" x14ac:dyDescent="0.45">
      <c r="B23" s="382"/>
      <c r="C23" s="37"/>
      <c r="D23" s="37"/>
      <c r="E23" s="37"/>
      <c r="F23" s="37"/>
      <c r="G23" s="37"/>
      <c r="H23" s="37"/>
      <c r="I23" s="37"/>
      <c r="J23" s="37"/>
      <c r="K23" s="37"/>
      <c r="L23" s="37"/>
      <c r="M23" s="37"/>
      <c r="N23" s="37"/>
      <c r="O23" s="37"/>
      <c r="P23" s="37"/>
      <c r="Q23" s="37"/>
      <c r="R23" s="37"/>
      <c r="S23" s="383"/>
    </row>
    <row r="24" spans="2:21" ht="20.100000000000001" customHeight="1" thickTop="1" thickBot="1" x14ac:dyDescent="0.45">
      <c r="B24" s="382"/>
      <c r="C24" s="703" t="s">
        <v>362</v>
      </c>
      <c r="D24" s="704"/>
      <c r="E24" s="704"/>
      <c r="F24" s="704"/>
      <c r="G24" s="704"/>
      <c r="H24" s="704"/>
      <c r="I24" s="704"/>
      <c r="J24" s="704"/>
      <c r="K24" s="704"/>
      <c r="L24" s="704"/>
      <c r="M24" s="704"/>
      <c r="N24" s="704"/>
      <c r="O24" s="704"/>
      <c r="P24" s="704"/>
      <c r="Q24" s="704"/>
      <c r="R24" s="705"/>
      <c r="S24" s="383"/>
    </row>
    <row r="25" spans="2:21" ht="20.100000000000001" customHeight="1" outlineLevel="1" thickTop="1" x14ac:dyDescent="0.4">
      <c r="B25" s="382"/>
      <c r="C25" s="387"/>
      <c r="D25" s="37"/>
      <c r="E25" s="37"/>
      <c r="F25" s="37"/>
      <c r="G25" s="37"/>
      <c r="H25" s="37"/>
      <c r="I25" s="37"/>
      <c r="J25" s="37"/>
      <c r="K25" s="37"/>
      <c r="L25" s="37"/>
      <c r="M25" s="37"/>
      <c r="N25" s="37"/>
      <c r="O25" s="37"/>
      <c r="P25" s="37"/>
      <c r="Q25" s="37"/>
      <c r="R25" s="388"/>
      <c r="S25" s="383"/>
    </row>
    <row r="26" spans="2:21" ht="30" customHeight="1" outlineLevel="1" x14ac:dyDescent="0.4">
      <c r="B26" s="382"/>
      <c r="C26" s="394"/>
      <c r="D26" s="717" t="s">
        <v>326</v>
      </c>
      <c r="E26" s="717"/>
      <c r="F26" s="717"/>
      <c r="G26" s="717"/>
      <c r="H26" s="717"/>
      <c r="I26" s="717"/>
      <c r="J26" s="717"/>
      <c r="K26" s="717"/>
      <c r="L26" s="717"/>
      <c r="M26" s="717"/>
      <c r="N26" s="717"/>
      <c r="O26" s="717"/>
      <c r="P26" s="717"/>
      <c r="Q26" s="717"/>
      <c r="R26" s="395"/>
      <c r="S26" s="383"/>
    </row>
    <row r="27" spans="2:21" ht="20.100000000000001" customHeight="1" outlineLevel="1" x14ac:dyDescent="0.4">
      <c r="B27" s="382"/>
      <c r="C27" s="394"/>
      <c r="D27" s="693" t="s">
        <v>338</v>
      </c>
      <c r="E27" s="694"/>
      <c r="F27" s="694"/>
      <c r="G27" s="694"/>
      <c r="H27" s="694"/>
      <c r="I27" s="695"/>
      <c r="J27" s="693" t="s">
        <v>322</v>
      </c>
      <c r="K27" s="694"/>
      <c r="L27" s="694"/>
      <c r="M27" s="695"/>
      <c r="N27" s="718" t="s">
        <v>194</v>
      </c>
      <c r="O27" s="718"/>
      <c r="P27" s="401" t="s">
        <v>339</v>
      </c>
      <c r="Q27" s="401" t="s">
        <v>363</v>
      </c>
      <c r="R27" s="395"/>
      <c r="S27" s="383"/>
      <c r="U27" s="403" t="s">
        <v>49</v>
      </c>
    </row>
    <row r="28" spans="2:21" ht="99.95" customHeight="1" outlineLevel="1" x14ac:dyDescent="0.4">
      <c r="B28" s="382"/>
      <c r="C28" s="394"/>
      <c r="D28" s="396">
        <v>1</v>
      </c>
      <c r="E28" s="696" t="str">
        <f>IFERROR(HLOOKUP($D$26,Critères!$B$3:$BM$16,D28+2,FALSE),"")</f>
        <v>L'accès à l'ouvrage et aux équipements de mesure se fait-il en toute sécurité pour les agents en charge des opérations de contrôles et d'entretien ?</v>
      </c>
      <c r="F28" s="697"/>
      <c r="G28" s="697"/>
      <c r="H28" s="697"/>
      <c r="I28" s="697"/>
      <c r="J28" s="696" t="str">
        <f>IFERROR(INDEX(Critères!$B$3:$BM$16, D28+2, MATCH($D$26, Critères!$B$3:$BM$3, 0) + 1),"")</f>
        <v>En cas d'accès necessitant des équipements de protection individuels renforcés (ARI par exemple) ou d'intervenir à 2 personnes, retenir "Validé avec réserve"</v>
      </c>
      <c r="K28" s="697"/>
      <c r="L28" s="697"/>
      <c r="M28" s="698"/>
      <c r="N28" s="701"/>
      <c r="O28" s="702"/>
      <c r="P28" s="402">
        <f>IF(OR(N28="Validé",N28="Validé avec réserve"),Q28,0)</f>
        <v>0</v>
      </c>
      <c r="Q28" s="402">
        <f>IFERROR(INDEX(Critères!$B$3:$BM$16, D28+2, MATCH($D$26, Critères!$B$3:$BM$3, 0) + 2),"")</f>
        <v>10</v>
      </c>
      <c r="R28" s="395"/>
      <c r="S28" s="383"/>
      <c r="U28" s="403" t="s">
        <v>148</v>
      </c>
    </row>
    <row r="29" spans="2:21" ht="99.95" customHeight="1" outlineLevel="1" x14ac:dyDescent="0.4">
      <c r="B29" s="382"/>
      <c r="C29" s="394"/>
      <c r="D29" s="396">
        <v>2</v>
      </c>
      <c r="E29" s="696" t="str">
        <f>IFERROR(HLOOKUP($D$26,Critères!$B$3:$BM$16,D29+2,FALSE),"")</f>
        <v>La sonde est-elle installée conformément aux règles de l'art et/ou aux prescriptions des constructeurs ?</v>
      </c>
      <c r="F29" s="697"/>
      <c r="G29" s="697"/>
      <c r="H29" s="697"/>
      <c r="I29" s="697"/>
      <c r="J29" s="696" t="str">
        <f>IFERROR(INDEX(Critères!$B$3:$BM$16, D29+2, MATCH($D$26, Critères!$B$3:$BM$3, 0) + 1),"")</f>
        <v>Dans le canal de rejet, au centre de l'écoulement, à 2/3 de la profondeur et façon à être toujours immergé et à l'ombre.</v>
      </c>
      <c r="K29" s="697"/>
      <c r="L29" s="697"/>
      <c r="M29" s="698"/>
      <c r="N29" s="701"/>
      <c r="O29" s="702"/>
      <c r="P29" s="402">
        <f>IF(OR(N29="Validé",N29="Validé avec réserve"),Q29,0)</f>
        <v>0</v>
      </c>
      <c r="Q29" s="402">
        <f>IFERROR(INDEX(Critères!$B$3:$BM$16, D29+2, MATCH($D$26, Critères!$B$3:$BM$3, 0) + 2),"")</f>
        <v>30</v>
      </c>
      <c r="R29" s="395"/>
      <c r="S29" s="383"/>
      <c r="U29" s="403" t="s">
        <v>148</v>
      </c>
    </row>
    <row r="30" spans="2:21" ht="99.95" customHeight="1" outlineLevel="1" x14ac:dyDescent="0.4">
      <c r="B30" s="382"/>
      <c r="C30" s="394"/>
      <c r="D30" s="396">
        <v>3</v>
      </c>
      <c r="E30" s="696" t="str">
        <f>IFERROR(HLOOKUP($D$26,Critères!$B$3:$BM$16,D30+2,FALSE),"")</f>
        <v>La propreté et l'état d'entretien de la sonde, sont-ils satisfaisants ?</v>
      </c>
      <c r="F30" s="697"/>
      <c r="G30" s="697"/>
      <c r="H30" s="697"/>
      <c r="I30" s="697"/>
      <c r="J30" s="696" t="str">
        <f>IFERROR(INDEX(Critères!$B$3:$BM$16, D30+2, MATCH($D$26, Critères!$B$3:$BM$3, 0) + 1),"")</f>
        <v>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v>
      </c>
      <c r="K30" s="697"/>
      <c r="L30" s="697"/>
      <c r="M30" s="698"/>
      <c r="N30" s="701"/>
      <c r="O30" s="702"/>
      <c r="P30" s="402">
        <f t="shared" ref="P30:P31" si="0">IF(OR(N30="Validé",N30="Validé avec réserve"),Q30,0)</f>
        <v>0</v>
      </c>
      <c r="Q30" s="402">
        <f>IFERROR(INDEX(Critères!$B$3:$BM$16, D30+2, MATCH($D$26, Critères!$B$3:$BM$3, 0) + 2),"")</f>
        <v>30</v>
      </c>
      <c r="R30" s="395"/>
      <c r="S30" s="383"/>
      <c r="U30" s="403" t="s">
        <v>148</v>
      </c>
    </row>
    <row r="31" spans="2:21" ht="99.95" customHeight="1" outlineLevel="1" x14ac:dyDescent="0.4">
      <c r="B31" s="382"/>
      <c r="C31" s="394"/>
      <c r="D31" s="396">
        <v>4</v>
      </c>
      <c r="E31" s="696" t="str">
        <f>IFERROR(HLOOKUP($D$26,Critères!$B$3:$BM$16,D31+2,FALSE),"")</f>
        <v>L'écart entre d'une part la mesure de la température réalisée à partir du dispositif en place et celle réalisée par l'organisme de contrôle d'autre part, est-il cohérent (EMT ± 1°C) ?</v>
      </c>
      <c r="F31" s="697"/>
      <c r="G31" s="697"/>
      <c r="H31" s="697"/>
      <c r="I31" s="697"/>
      <c r="J31" s="696">
        <f>IFERROR(INDEX(Critères!$B$3:$BM$16, D31+2, MATCH($D$26, Critères!$B$3:$BM$3, 0) + 1),"")</f>
        <v>0</v>
      </c>
      <c r="K31" s="697"/>
      <c r="L31" s="697"/>
      <c r="M31" s="698"/>
      <c r="N31" s="701" t="str">
        <f>IF(L21&lt;&gt;"-",IF(ABS(L21)&lt;=1,"Validé","Non validé"),"Non contrôlé")</f>
        <v>Non contrôlé</v>
      </c>
      <c r="O31" s="702"/>
      <c r="P31" s="402">
        <f t="shared" si="0"/>
        <v>0</v>
      </c>
      <c r="Q31" s="402">
        <f>IFERROR(INDEX(Critères!$B$3:$BM$16, D31+2, MATCH($D$26, Critères!$B$3:$BM$3, 0) + 2),"")</f>
        <v>30</v>
      </c>
      <c r="R31" s="395"/>
      <c r="S31" s="383"/>
      <c r="U31" s="403" t="s">
        <v>148</v>
      </c>
    </row>
    <row r="32" spans="2:21" ht="20.100000000000001" customHeight="1" outlineLevel="1" x14ac:dyDescent="0.4">
      <c r="B32" s="382"/>
      <c r="C32" s="394"/>
      <c r="D32" s="699" t="s">
        <v>63</v>
      </c>
      <c r="E32" s="699"/>
      <c r="F32" s="699"/>
      <c r="G32" s="699"/>
      <c r="H32" s="699"/>
      <c r="I32" s="699"/>
      <c r="J32" s="699"/>
      <c r="K32" s="699"/>
      <c r="L32" s="699"/>
      <c r="M32" s="699"/>
      <c r="N32" s="700" t="s">
        <v>364</v>
      </c>
      <c r="O32" s="700"/>
      <c r="P32" s="700" t="s">
        <v>52</v>
      </c>
      <c r="Q32" s="700"/>
      <c r="R32" s="395"/>
      <c r="S32" s="383"/>
    </row>
    <row r="33" spans="2:19" ht="99.95" customHeight="1" outlineLevel="1" x14ac:dyDescent="0.4">
      <c r="B33" s="382"/>
      <c r="C33" s="394"/>
      <c r="D33" s="719"/>
      <c r="E33" s="719"/>
      <c r="F33" s="719"/>
      <c r="G33" s="719"/>
      <c r="H33" s="719"/>
      <c r="I33" s="719"/>
      <c r="J33" s="719"/>
      <c r="K33" s="719"/>
      <c r="L33" s="719"/>
      <c r="M33" s="719"/>
      <c r="N33" s="720" t="str">
        <f>IF(P33&gt;80,"Validé",IF(P33&lt;70,"Non Validé", "Validé avec réserve"))</f>
        <v>Non Validé</v>
      </c>
      <c r="O33" s="720"/>
      <c r="P33" s="721">
        <f>IF(SUM(P28:P31)&gt;100,100,SUM(P28:P31))</f>
        <v>0</v>
      </c>
      <c r="Q33" s="721"/>
      <c r="R33" s="395"/>
      <c r="S33" s="383"/>
    </row>
    <row r="34" spans="2:19" ht="20.100000000000001" customHeight="1" outlineLevel="1" thickBot="1" x14ac:dyDescent="0.45">
      <c r="B34" s="382"/>
      <c r="C34" s="397"/>
      <c r="D34" s="398"/>
      <c r="E34" s="398"/>
      <c r="F34" s="398"/>
      <c r="G34" s="398"/>
      <c r="H34" s="398"/>
      <c r="I34" s="398"/>
      <c r="J34" s="398"/>
      <c r="K34" s="398"/>
      <c r="L34" s="398"/>
      <c r="M34" s="398"/>
      <c r="N34" s="398"/>
      <c r="O34" s="398"/>
      <c r="P34" s="398"/>
      <c r="Q34" s="398"/>
      <c r="R34" s="399"/>
      <c r="S34" s="383"/>
    </row>
    <row r="35" spans="2:19" ht="9.9499999999999993" customHeight="1" thickTop="1" thickBot="1" x14ac:dyDescent="0.45">
      <c r="B35" s="382"/>
      <c r="C35" s="400"/>
      <c r="D35" s="400"/>
      <c r="E35" s="400"/>
      <c r="F35" s="400"/>
      <c r="G35" s="400"/>
      <c r="H35" s="400"/>
      <c r="I35" s="400"/>
      <c r="J35" s="400"/>
      <c r="K35" s="400"/>
      <c r="L35" s="400"/>
      <c r="M35" s="400"/>
      <c r="N35" s="400"/>
      <c r="O35" s="400"/>
      <c r="P35" s="400"/>
      <c r="Q35" s="400"/>
      <c r="R35" s="400"/>
      <c r="S35" s="383"/>
    </row>
    <row r="36" spans="2:19" ht="20.100000000000001" customHeight="1" thickTop="1" thickBot="1" x14ac:dyDescent="0.45">
      <c r="B36" s="382"/>
      <c r="C36" s="703" t="s">
        <v>365</v>
      </c>
      <c r="D36" s="704"/>
      <c r="E36" s="704"/>
      <c r="F36" s="704"/>
      <c r="G36" s="704"/>
      <c r="H36" s="704"/>
      <c r="I36" s="704"/>
      <c r="J36" s="704"/>
      <c r="K36" s="704"/>
      <c r="L36" s="704"/>
      <c r="M36" s="704"/>
      <c r="N36" s="704"/>
      <c r="O36" s="704"/>
      <c r="P36" s="704"/>
      <c r="Q36" s="704"/>
      <c r="R36" s="705"/>
      <c r="S36" s="383"/>
    </row>
    <row r="37" spans="2:19" ht="20.100000000000001" customHeight="1" thickTop="1" x14ac:dyDescent="0.4">
      <c r="B37" s="382"/>
      <c r="C37" s="706"/>
      <c r="D37" s="707"/>
      <c r="E37" s="707"/>
      <c r="F37" s="707"/>
      <c r="G37" s="707"/>
      <c r="H37" s="707"/>
      <c r="I37" s="707"/>
      <c r="J37" s="707"/>
      <c r="K37" s="707"/>
      <c r="L37" s="707"/>
      <c r="M37" s="707"/>
      <c r="N37" s="707"/>
      <c r="O37" s="707"/>
      <c r="P37" s="707"/>
      <c r="Q37" s="707"/>
      <c r="R37" s="708"/>
      <c r="S37" s="383"/>
    </row>
    <row r="38" spans="2:19" ht="20.100000000000001" customHeight="1" x14ac:dyDescent="0.4">
      <c r="B38" s="382"/>
      <c r="C38" s="709"/>
      <c r="D38" s="707"/>
      <c r="E38" s="707"/>
      <c r="F38" s="707"/>
      <c r="G38" s="707"/>
      <c r="H38" s="707"/>
      <c r="I38" s="707"/>
      <c r="J38" s="707"/>
      <c r="K38" s="707"/>
      <c r="L38" s="707"/>
      <c r="M38" s="707"/>
      <c r="N38" s="707"/>
      <c r="O38" s="707"/>
      <c r="P38" s="707"/>
      <c r="Q38" s="707"/>
      <c r="R38" s="708"/>
      <c r="S38" s="383"/>
    </row>
    <row r="39" spans="2:19" ht="20.100000000000001" customHeight="1" x14ac:dyDescent="0.4">
      <c r="B39" s="382"/>
      <c r="C39" s="709"/>
      <c r="D39" s="707"/>
      <c r="E39" s="707"/>
      <c r="F39" s="707"/>
      <c r="G39" s="707"/>
      <c r="H39" s="707"/>
      <c r="I39" s="707"/>
      <c r="J39" s="707"/>
      <c r="K39" s="707"/>
      <c r="L39" s="707"/>
      <c r="M39" s="707"/>
      <c r="N39" s="707"/>
      <c r="O39" s="707"/>
      <c r="P39" s="707"/>
      <c r="Q39" s="707"/>
      <c r="R39" s="708"/>
      <c r="S39" s="383"/>
    </row>
    <row r="40" spans="2:19" ht="20.100000000000001" customHeight="1" x14ac:dyDescent="0.4">
      <c r="B40" s="382"/>
      <c r="C40" s="709"/>
      <c r="D40" s="707"/>
      <c r="E40" s="707"/>
      <c r="F40" s="707"/>
      <c r="G40" s="707"/>
      <c r="H40" s="707"/>
      <c r="I40" s="707"/>
      <c r="J40" s="707"/>
      <c r="K40" s="707"/>
      <c r="L40" s="707"/>
      <c r="M40" s="707"/>
      <c r="N40" s="707"/>
      <c r="O40" s="707"/>
      <c r="P40" s="707"/>
      <c r="Q40" s="707"/>
      <c r="R40" s="708"/>
      <c r="S40" s="383"/>
    </row>
    <row r="41" spans="2:19" ht="20.100000000000001" customHeight="1" thickBot="1" x14ac:dyDescent="0.45">
      <c r="B41" s="382"/>
      <c r="C41" s="710"/>
      <c r="D41" s="711"/>
      <c r="E41" s="711"/>
      <c r="F41" s="711"/>
      <c r="G41" s="711"/>
      <c r="H41" s="711"/>
      <c r="I41" s="711"/>
      <c r="J41" s="711"/>
      <c r="K41" s="711"/>
      <c r="L41" s="711"/>
      <c r="M41" s="711"/>
      <c r="N41" s="711"/>
      <c r="O41" s="711"/>
      <c r="P41" s="711"/>
      <c r="Q41" s="711"/>
      <c r="R41" s="712"/>
      <c r="S41" s="383"/>
    </row>
    <row r="42" spans="2:19" ht="9.9499999999999993" customHeight="1" thickTop="1" x14ac:dyDescent="0.4">
      <c r="B42" s="384"/>
      <c r="C42" s="385"/>
      <c r="D42" s="385"/>
      <c r="E42" s="385"/>
      <c r="F42" s="385"/>
      <c r="G42" s="385"/>
      <c r="H42" s="385"/>
      <c r="I42" s="385"/>
      <c r="J42" s="385"/>
      <c r="K42" s="385"/>
      <c r="L42" s="385"/>
      <c r="M42" s="385"/>
      <c r="N42" s="385"/>
      <c r="O42" s="385"/>
      <c r="P42" s="385"/>
      <c r="Q42" s="385"/>
      <c r="R42" s="385"/>
      <c r="S42" s="386"/>
    </row>
  </sheetData>
  <mergeCells count="82">
    <mergeCell ref="D15:Q15"/>
    <mergeCell ref="D16:F16"/>
    <mergeCell ref="G16:J16"/>
    <mergeCell ref="D17:F17"/>
    <mergeCell ref="G17:J17"/>
    <mergeCell ref="K16:M16"/>
    <mergeCell ref="N16:Q16"/>
    <mergeCell ref="D12:F12"/>
    <mergeCell ref="G12:J12"/>
    <mergeCell ref="K12:M12"/>
    <mergeCell ref="N12:Q12"/>
    <mergeCell ref="D13:F13"/>
    <mergeCell ref="G13:J13"/>
    <mergeCell ref="K13:M13"/>
    <mergeCell ref="N13:Q13"/>
    <mergeCell ref="C8:R8"/>
    <mergeCell ref="D10:Q10"/>
    <mergeCell ref="D11:F11"/>
    <mergeCell ref="G11:J11"/>
    <mergeCell ref="K11:M11"/>
    <mergeCell ref="N11:Q11"/>
    <mergeCell ref="C6:D6"/>
    <mergeCell ref="E6:G6"/>
    <mergeCell ref="H6:I6"/>
    <mergeCell ref="J6:L6"/>
    <mergeCell ref="M6:O6"/>
    <mergeCell ref="E5:G5"/>
    <mergeCell ref="H5:I5"/>
    <mergeCell ref="J5:L5"/>
    <mergeCell ref="M5:O5"/>
    <mergeCell ref="P5:R5"/>
    <mergeCell ref="D19:M19"/>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 ref="D20:E20"/>
    <mergeCell ref="F20:G20"/>
    <mergeCell ref="H20:I20"/>
    <mergeCell ref="J20:K20"/>
    <mergeCell ref="L20:M20"/>
    <mergeCell ref="C36:R36"/>
    <mergeCell ref="C37:R41"/>
    <mergeCell ref="C24:R24"/>
    <mergeCell ref="D21:E21"/>
    <mergeCell ref="F21:G21"/>
    <mergeCell ref="H21:I21"/>
    <mergeCell ref="J21:K21"/>
    <mergeCell ref="L21:M21"/>
    <mergeCell ref="D26:Q26"/>
    <mergeCell ref="N27:O27"/>
    <mergeCell ref="D33:M33"/>
    <mergeCell ref="N33:O33"/>
    <mergeCell ref="P33:Q33"/>
    <mergeCell ref="N28:O28"/>
    <mergeCell ref="D27:I27"/>
    <mergeCell ref="E28:I28"/>
    <mergeCell ref="D32:M32"/>
    <mergeCell ref="N32:O32"/>
    <mergeCell ref="P32:Q32"/>
    <mergeCell ref="N29:O29"/>
    <mergeCell ref="N30:O30"/>
    <mergeCell ref="N31:O31"/>
    <mergeCell ref="J27:M27"/>
    <mergeCell ref="E29:I29"/>
    <mergeCell ref="E30:I30"/>
    <mergeCell ref="E31:I31"/>
    <mergeCell ref="J28:M28"/>
    <mergeCell ref="J29:M29"/>
    <mergeCell ref="J30:M30"/>
    <mergeCell ref="J31:M31"/>
  </mergeCells>
  <conditionalFormatting sqref="L21:M21">
    <cfRule type="expression" dxfId="1" priority="1">
      <formula>AND($L$21&lt;&gt;"-",AND($L$21&gt;=-1,$L$21&lt;=1))</formula>
    </cfRule>
    <cfRule type="expression" dxfId="0" priority="2">
      <formula>AND($L$21&lt;&gt;"-",OR($L$21&lt;-1,$L$21&gt;1))</formula>
    </cfRule>
  </conditionalFormatting>
  <dataValidations count="4">
    <dataValidation type="list" allowBlank="1" showInputMessage="1" showErrorMessage="1" sqref="N12:Q12" xr:uid="{00000000-0002-0000-0800-000000000000}">
      <formula1>LISTE_1</formula1>
    </dataValidation>
    <dataValidation type="list" allowBlank="1" showInputMessage="1" showErrorMessage="1" sqref="N28:O31" xr:uid="{00000000-0002-0000-0800-000001000000}">
      <formula1>INDIRECT(U28)</formula1>
    </dataValidation>
    <dataValidation type="list" allowBlank="1" showInputMessage="1" showErrorMessage="1" sqref="N33:O33" xr:uid="{00000000-0002-0000-0800-000002000000}">
      <formula1>LISTE_4</formula1>
    </dataValidation>
    <dataValidation type="list" allowBlank="1" showInputMessage="1" showErrorMessage="1" sqref="D21:E21" xr:uid="{DB86FC0E-4110-4309-B3E8-C8D9E4755037}">
      <formula1>TypeDeMesure</formula1>
    </dataValidation>
  </dataValidations>
  <pageMargins left="0.7" right="0.7" top="0.75" bottom="0.75" header="0.3" footer="0.3"/>
  <pageSetup paperSize="9" scale="50"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activeCell="BJ4" sqref="BJ4"/>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321</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119</v>
      </c>
      <c r="B3" s="330" t="s">
        <v>234</v>
      </c>
      <c r="C3" s="330"/>
      <c r="D3" s="331"/>
      <c r="E3" s="332"/>
      <c r="F3" s="330" t="s">
        <v>235</v>
      </c>
      <c r="G3" s="330"/>
      <c r="H3" s="331"/>
      <c r="I3" s="332"/>
      <c r="J3" s="333" t="s">
        <v>120</v>
      </c>
      <c r="K3" s="330"/>
      <c r="L3" s="331"/>
      <c r="M3" s="332"/>
      <c r="N3" s="334" t="s">
        <v>123</v>
      </c>
      <c r="O3" s="335"/>
      <c r="P3" s="336"/>
      <c r="Q3" s="337"/>
      <c r="R3" s="334" t="s">
        <v>45</v>
      </c>
      <c r="S3" s="335"/>
      <c r="T3" s="336"/>
      <c r="U3" s="337"/>
      <c r="V3" s="334" t="s">
        <v>124</v>
      </c>
      <c r="W3" s="335"/>
      <c r="X3" s="336"/>
      <c r="Y3" s="337"/>
      <c r="Z3" s="334" t="s">
        <v>125</v>
      </c>
      <c r="AA3" s="335"/>
      <c r="AB3" s="336"/>
      <c r="AC3" s="337"/>
      <c r="AD3" s="334" t="s">
        <v>126</v>
      </c>
      <c r="AE3" s="330"/>
      <c r="AF3" s="331"/>
      <c r="AG3" s="332"/>
      <c r="AH3" s="334" t="s">
        <v>46</v>
      </c>
      <c r="AI3" s="335"/>
      <c r="AJ3" s="336"/>
      <c r="AK3" s="337"/>
      <c r="AL3" s="334" t="s">
        <v>127</v>
      </c>
      <c r="AM3" s="335"/>
      <c r="AN3" s="336"/>
      <c r="AO3" s="337"/>
      <c r="AP3" s="334" t="s">
        <v>128</v>
      </c>
      <c r="AQ3" s="335"/>
      <c r="AR3" s="336"/>
      <c r="AS3" s="337"/>
      <c r="AT3" s="334" t="s">
        <v>129</v>
      </c>
      <c r="AU3" s="335"/>
      <c r="AV3" s="336"/>
      <c r="AW3" s="337"/>
      <c r="AX3" s="334" t="s">
        <v>130</v>
      </c>
      <c r="AY3" s="335"/>
      <c r="AZ3" s="336"/>
      <c r="BA3" s="337"/>
      <c r="BB3" s="334" t="s">
        <v>131</v>
      </c>
      <c r="BC3" s="330"/>
      <c r="BD3" s="331"/>
      <c r="BE3" s="332"/>
      <c r="BF3" s="334" t="s">
        <v>326</v>
      </c>
      <c r="BG3" s="330"/>
      <c r="BH3" s="331"/>
      <c r="BI3" s="332"/>
      <c r="BJ3" s="334" t="s">
        <v>26</v>
      </c>
      <c r="BK3" s="330"/>
      <c r="BL3" s="331"/>
      <c r="BM3" s="332"/>
    </row>
    <row r="4" spans="1:603" s="235" customFormat="1" ht="21.7" thickBot="1" x14ac:dyDescent="0.45">
      <c r="A4" s="338"/>
      <c r="B4" s="339" t="s">
        <v>31</v>
      </c>
      <c r="C4" s="339" t="s">
        <v>236</v>
      </c>
      <c r="D4" s="339" t="s">
        <v>237</v>
      </c>
      <c r="E4" s="340" t="s">
        <v>238</v>
      </c>
      <c r="F4" s="339" t="s">
        <v>31</v>
      </c>
      <c r="G4" s="339" t="s">
        <v>236</v>
      </c>
      <c r="H4" s="339" t="s">
        <v>237</v>
      </c>
      <c r="I4" s="340" t="s">
        <v>238</v>
      </c>
      <c r="J4" s="341" t="s">
        <v>31</v>
      </c>
      <c r="K4" s="339" t="s">
        <v>236</v>
      </c>
      <c r="L4" s="339" t="s">
        <v>237</v>
      </c>
      <c r="M4" s="340" t="s">
        <v>238</v>
      </c>
      <c r="N4" s="339" t="s">
        <v>31</v>
      </c>
      <c r="O4" s="339" t="s">
        <v>236</v>
      </c>
      <c r="P4" s="339" t="s">
        <v>237</v>
      </c>
      <c r="Q4" s="340" t="s">
        <v>238</v>
      </c>
      <c r="R4" s="339" t="s">
        <v>31</v>
      </c>
      <c r="S4" s="339" t="s">
        <v>236</v>
      </c>
      <c r="T4" s="339" t="s">
        <v>237</v>
      </c>
      <c r="U4" s="340" t="s">
        <v>238</v>
      </c>
      <c r="V4" s="339" t="s">
        <v>31</v>
      </c>
      <c r="W4" s="339" t="s">
        <v>236</v>
      </c>
      <c r="X4" s="339" t="s">
        <v>237</v>
      </c>
      <c r="Y4" s="340" t="s">
        <v>238</v>
      </c>
      <c r="Z4" s="339" t="s">
        <v>31</v>
      </c>
      <c r="AA4" s="339" t="s">
        <v>236</v>
      </c>
      <c r="AB4" s="339" t="s">
        <v>237</v>
      </c>
      <c r="AC4" s="340" t="s">
        <v>238</v>
      </c>
      <c r="AD4" s="339" t="s">
        <v>31</v>
      </c>
      <c r="AE4" s="339" t="s">
        <v>236</v>
      </c>
      <c r="AF4" s="339" t="s">
        <v>237</v>
      </c>
      <c r="AG4" s="340" t="s">
        <v>238</v>
      </c>
      <c r="AH4" s="339" t="s">
        <v>31</v>
      </c>
      <c r="AI4" s="339" t="s">
        <v>236</v>
      </c>
      <c r="AJ4" s="339" t="s">
        <v>237</v>
      </c>
      <c r="AK4" s="340" t="s">
        <v>238</v>
      </c>
      <c r="AL4" s="339" t="s">
        <v>31</v>
      </c>
      <c r="AM4" s="339" t="s">
        <v>236</v>
      </c>
      <c r="AN4" s="339" t="s">
        <v>237</v>
      </c>
      <c r="AO4" s="340" t="s">
        <v>238</v>
      </c>
      <c r="AP4" s="339" t="s">
        <v>31</v>
      </c>
      <c r="AQ4" s="339" t="s">
        <v>236</v>
      </c>
      <c r="AR4" s="339" t="s">
        <v>237</v>
      </c>
      <c r="AS4" s="340" t="s">
        <v>238</v>
      </c>
      <c r="AT4" s="339" t="s">
        <v>31</v>
      </c>
      <c r="AU4" s="339" t="s">
        <v>236</v>
      </c>
      <c r="AV4" s="339" t="s">
        <v>237</v>
      </c>
      <c r="AW4" s="340" t="s">
        <v>238</v>
      </c>
      <c r="AX4" s="339" t="s">
        <v>31</v>
      </c>
      <c r="AY4" s="339" t="s">
        <v>236</v>
      </c>
      <c r="AZ4" s="339" t="s">
        <v>237</v>
      </c>
      <c r="BA4" s="340" t="s">
        <v>238</v>
      </c>
      <c r="BB4" s="339" t="s">
        <v>31</v>
      </c>
      <c r="BC4" s="339" t="s">
        <v>236</v>
      </c>
      <c r="BD4" s="339" t="s">
        <v>237</v>
      </c>
      <c r="BE4" s="340" t="s">
        <v>238</v>
      </c>
      <c r="BF4" s="339" t="s">
        <v>31</v>
      </c>
      <c r="BG4" s="339" t="s">
        <v>236</v>
      </c>
      <c r="BH4" s="339" t="s">
        <v>237</v>
      </c>
      <c r="BI4" s="340" t="s">
        <v>238</v>
      </c>
      <c r="BJ4" s="339" t="s">
        <v>31</v>
      </c>
      <c r="BK4" s="339" t="s">
        <v>236</v>
      </c>
      <c r="BL4" s="339" t="s">
        <v>237</v>
      </c>
      <c r="BM4" s="340" t="s">
        <v>238</v>
      </c>
    </row>
    <row r="5" spans="1:603" s="241" customFormat="1" ht="51" thickTop="1" x14ac:dyDescent="0.4">
      <c r="A5" s="198">
        <v>1</v>
      </c>
      <c r="B5" s="199" t="s">
        <v>239</v>
      </c>
      <c r="C5" s="200" t="s">
        <v>240</v>
      </c>
      <c r="D5" s="201">
        <v>10</v>
      </c>
      <c r="E5" s="202" t="s">
        <v>148</v>
      </c>
      <c r="F5" s="199" t="s">
        <v>239</v>
      </c>
      <c r="G5" s="200" t="s">
        <v>240</v>
      </c>
      <c r="H5" s="201">
        <v>10</v>
      </c>
      <c r="I5" s="202" t="s">
        <v>148</v>
      </c>
      <c r="J5" s="203" t="s">
        <v>239</v>
      </c>
      <c r="K5" s="200" t="s">
        <v>240</v>
      </c>
      <c r="L5" s="201">
        <v>10</v>
      </c>
      <c r="M5" s="202" t="s">
        <v>148</v>
      </c>
      <c r="N5" s="199" t="s">
        <v>239</v>
      </c>
      <c r="O5" s="200" t="s">
        <v>240</v>
      </c>
      <c r="P5" s="201">
        <v>10</v>
      </c>
      <c r="Q5" s="202" t="s">
        <v>148</v>
      </c>
      <c r="R5" s="199" t="s">
        <v>239</v>
      </c>
      <c r="S5" s="200" t="s">
        <v>240</v>
      </c>
      <c r="T5" s="201">
        <v>10</v>
      </c>
      <c r="U5" s="202" t="s">
        <v>148</v>
      </c>
      <c r="V5" s="199" t="s">
        <v>239</v>
      </c>
      <c r="W5" s="200" t="s">
        <v>240</v>
      </c>
      <c r="X5" s="201">
        <v>10</v>
      </c>
      <c r="Y5" s="202" t="s">
        <v>148</v>
      </c>
      <c r="Z5" s="199" t="s">
        <v>239</v>
      </c>
      <c r="AA5" s="200" t="s">
        <v>240</v>
      </c>
      <c r="AB5" s="201">
        <v>10</v>
      </c>
      <c r="AC5" s="202" t="s">
        <v>148</v>
      </c>
      <c r="AD5" s="203" t="s">
        <v>239</v>
      </c>
      <c r="AE5" s="200" t="s">
        <v>240</v>
      </c>
      <c r="AF5" s="201">
        <v>10</v>
      </c>
      <c r="AG5" s="202" t="s">
        <v>148</v>
      </c>
      <c r="AH5" s="203" t="s">
        <v>239</v>
      </c>
      <c r="AI5" s="200" t="s">
        <v>240</v>
      </c>
      <c r="AJ5" s="201">
        <v>10</v>
      </c>
      <c r="AK5" s="202" t="s">
        <v>148</v>
      </c>
      <c r="AL5" s="199" t="s">
        <v>239</v>
      </c>
      <c r="AM5" s="200" t="s">
        <v>240</v>
      </c>
      <c r="AN5" s="201">
        <v>10</v>
      </c>
      <c r="AO5" s="202" t="s">
        <v>148</v>
      </c>
      <c r="AP5" s="199" t="s">
        <v>239</v>
      </c>
      <c r="AQ5" s="200" t="s">
        <v>240</v>
      </c>
      <c r="AR5" s="201">
        <v>10</v>
      </c>
      <c r="AS5" s="202" t="s">
        <v>148</v>
      </c>
      <c r="AT5" s="199" t="s">
        <v>239</v>
      </c>
      <c r="AU5" s="200" t="s">
        <v>240</v>
      </c>
      <c r="AV5" s="201">
        <v>10</v>
      </c>
      <c r="AW5" s="202" t="s">
        <v>148</v>
      </c>
      <c r="AX5" s="199" t="s">
        <v>239</v>
      </c>
      <c r="AY5" s="200" t="s">
        <v>240</v>
      </c>
      <c r="AZ5" s="201">
        <v>10</v>
      </c>
      <c r="BA5" s="202" t="s">
        <v>148</v>
      </c>
      <c r="BB5" s="203" t="s">
        <v>239</v>
      </c>
      <c r="BC5" s="200" t="s">
        <v>240</v>
      </c>
      <c r="BD5" s="201">
        <v>10</v>
      </c>
      <c r="BE5" s="202" t="s">
        <v>148</v>
      </c>
      <c r="BF5" s="203" t="s">
        <v>239</v>
      </c>
      <c r="BG5" s="200" t="s">
        <v>240</v>
      </c>
      <c r="BH5" s="201">
        <v>10</v>
      </c>
      <c r="BI5" s="202" t="s">
        <v>148</v>
      </c>
      <c r="BJ5" s="203" t="s">
        <v>239</v>
      </c>
      <c r="BK5" s="200" t="s">
        <v>240</v>
      </c>
      <c r="BL5" s="201">
        <v>10</v>
      </c>
      <c r="BM5" s="202" t="s">
        <v>148</v>
      </c>
    </row>
    <row r="6" spans="1:603" s="219" customFormat="1" ht="114" x14ac:dyDescent="0.4">
      <c r="A6" s="342">
        <v>2</v>
      </c>
      <c r="B6" s="343" t="s">
        <v>241</v>
      </c>
      <c r="C6" s="344"/>
      <c r="D6" s="345">
        <v>10</v>
      </c>
      <c r="E6" s="346" t="s">
        <v>148</v>
      </c>
      <c r="F6" s="343" t="s">
        <v>241</v>
      </c>
      <c r="G6" s="344"/>
      <c r="H6" s="345">
        <v>10</v>
      </c>
      <c r="I6" s="346" t="s">
        <v>148</v>
      </c>
      <c r="J6" s="347" t="s">
        <v>242</v>
      </c>
      <c r="K6" s="344"/>
      <c r="L6" s="345">
        <v>10</v>
      </c>
      <c r="M6" s="346" t="s">
        <v>148</v>
      </c>
      <c r="N6" s="343" t="s">
        <v>242</v>
      </c>
      <c r="O6" s="344"/>
      <c r="P6" s="345">
        <v>10</v>
      </c>
      <c r="Q6" s="346" t="s">
        <v>148</v>
      </c>
      <c r="R6" s="343" t="s">
        <v>132</v>
      </c>
      <c r="S6" s="344"/>
      <c r="T6" s="345">
        <v>10</v>
      </c>
      <c r="U6" s="346" t="s">
        <v>148</v>
      </c>
      <c r="V6" s="343" t="s">
        <v>243</v>
      </c>
      <c r="W6" s="348"/>
      <c r="X6" s="345">
        <v>10</v>
      </c>
      <c r="Y6" s="346" t="s">
        <v>148</v>
      </c>
      <c r="Z6" s="343" t="s">
        <v>244</v>
      </c>
      <c r="AA6" s="348"/>
      <c r="AB6" s="345">
        <v>10</v>
      </c>
      <c r="AC6" s="346" t="s">
        <v>148</v>
      </c>
      <c r="AD6" s="343" t="s">
        <v>241</v>
      </c>
      <c r="AE6" s="344"/>
      <c r="AF6" s="345">
        <v>10</v>
      </c>
      <c r="AG6" s="346" t="s">
        <v>148</v>
      </c>
      <c r="AH6" s="343" t="s">
        <v>245</v>
      </c>
      <c r="AI6" s="344"/>
      <c r="AJ6" s="345">
        <v>10</v>
      </c>
      <c r="AK6" s="346" t="s">
        <v>148</v>
      </c>
      <c r="AL6" s="343" t="s">
        <v>246</v>
      </c>
      <c r="AM6" s="348"/>
      <c r="AN6" s="345">
        <v>10</v>
      </c>
      <c r="AO6" s="346" t="s">
        <v>148</v>
      </c>
      <c r="AP6" s="343" t="s">
        <v>247</v>
      </c>
      <c r="AQ6" s="348"/>
      <c r="AR6" s="345">
        <v>20</v>
      </c>
      <c r="AS6" s="346" t="s">
        <v>148</v>
      </c>
      <c r="AT6" s="343" t="s">
        <v>133</v>
      </c>
      <c r="AU6" s="344"/>
      <c r="AV6" s="345">
        <v>15</v>
      </c>
      <c r="AW6" s="346" t="s">
        <v>148</v>
      </c>
      <c r="AX6" s="343" t="s">
        <v>134</v>
      </c>
      <c r="AY6" s="344"/>
      <c r="AZ6" s="345">
        <v>15</v>
      </c>
      <c r="BA6" s="346" t="s">
        <v>148</v>
      </c>
      <c r="BB6" s="347" t="s">
        <v>135</v>
      </c>
      <c r="BC6" s="344"/>
      <c r="BD6" s="345">
        <v>20</v>
      </c>
      <c r="BE6" s="346" t="s">
        <v>148</v>
      </c>
      <c r="BF6" s="347" t="s">
        <v>327</v>
      </c>
      <c r="BG6" s="344" t="s">
        <v>328</v>
      </c>
      <c r="BH6" s="345">
        <v>30</v>
      </c>
      <c r="BI6" s="346" t="s">
        <v>148</v>
      </c>
      <c r="BJ6" s="343" t="s">
        <v>329</v>
      </c>
      <c r="BK6" s="344" t="s">
        <v>330</v>
      </c>
      <c r="BL6" s="345">
        <v>20</v>
      </c>
      <c r="BM6" s="346" t="s">
        <v>148</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248</v>
      </c>
      <c r="C7" s="206"/>
      <c r="D7" s="207">
        <v>10</v>
      </c>
      <c r="E7" s="208" t="s">
        <v>148</v>
      </c>
      <c r="F7" s="205" t="s">
        <v>248</v>
      </c>
      <c r="G7" s="206"/>
      <c r="H7" s="207">
        <v>10</v>
      </c>
      <c r="I7" s="208" t="s">
        <v>148</v>
      </c>
      <c r="J7" s="209" t="s">
        <v>249</v>
      </c>
      <c r="K7" s="206" t="s">
        <v>250</v>
      </c>
      <c r="L7" s="207">
        <v>10</v>
      </c>
      <c r="M7" s="208" t="s">
        <v>148</v>
      </c>
      <c r="N7" s="205" t="s">
        <v>249</v>
      </c>
      <c r="O7" s="206" t="s">
        <v>250</v>
      </c>
      <c r="P7" s="207">
        <v>10</v>
      </c>
      <c r="Q7" s="208" t="s">
        <v>148</v>
      </c>
      <c r="R7" s="205" t="s">
        <v>251</v>
      </c>
      <c r="S7" s="206"/>
      <c r="T7" s="207">
        <v>10</v>
      </c>
      <c r="U7" s="208" t="s">
        <v>148</v>
      </c>
      <c r="V7" s="205" t="s">
        <v>252</v>
      </c>
      <c r="W7" s="206"/>
      <c r="X7" s="207">
        <v>10</v>
      </c>
      <c r="Y7" s="208" t="s">
        <v>149</v>
      </c>
      <c r="Z7" s="205" t="s">
        <v>253</v>
      </c>
      <c r="AA7" s="206"/>
      <c r="AB7" s="207">
        <v>10</v>
      </c>
      <c r="AC7" s="208" t="s">
        <v>149</v>
      </c>
      <c r="AD7" s="205" t="s">
        <v>254</v>
      </c>
      <c r="AE7" s="206"/>
      <c r="AF7" s="207">
        <v>10</v>
      </c>
      <c r="AG7" s="208" t="s">
        <v>148</v>
      </c>
      <c r="AH7" s="205" t="s">
        <v>255</v>
      </c>
      <c r="AI7" s="210"/>
      <c r="AJ7" s="207">
        <v>10</v>
      </c>
      <c r="AK7" s="208" t="s">
        <v>148</v>
      </c>
      <c r="AL7" s="205" t="s">
        <v>256</v>
      </c>
      <c r="AM7" s="206"/>
      <c r="AN7" s="207">
        <v>10</v>
      </c>
      <c r="AO7" s="208" t="s">
        <v>149</v>
      </c>
      <c r="AP7" s="205" t="s">
        <v>257</v>
      </c>
      <c r="AQ7" s="206"/>
      <c r="AR7" s="207">
        <v>20</v>
      </c>
      <c r="AS7" s="208" t="s">
        <v>149</v>
      </c>
      <c r="AT7" s="205" t="s">
        <v>258</v>
      </c>
      <c r="AU7" s="206" t="s">
        <v>259</v>
      </c>
      <c r="AV7" s="207">
        <v>5</v>
      </c>
      <c r="AW7" s="208" t="s">
        <v>148</v>
      </c>
      <c r="AX7" s="205" t="s">
        <v>258</v>
      </c>
      <c r="AY7" s="206" t="s">
        <v>259</v>
      </c>
      <c r="AZ7" s="207">
        <v>5</v>
      </c>
      <c r="BA7" s="208" t="s">
        <v>148</v>
      </c>
      <c r="BB7" s="209" t="s">
        <v>260</v>
      </c>
      <c r="BC7" s="206"/>
      <c r="BD7" s="207">
        <v>30</v>
      </c>
      <c r="BE7" s="208" t="s">
        <v>148</v>
      </c>
      <c r="BF7" s="244" t="s">
        <v>331</v>
      </c>
      <c r="BG7" s="206" t="s">
        <v>332</v>
      </c>
      <c r="BH7" s="207">
        <v>30</v>
      </c>
      <c r="BI7" s="208" t="s">
        <v>148</v>
      </c>
      <c r="BJ7" s="244" t="s">
        <v>333</v>
      </c>
      <c r="BK7" s="245" t="s">
        <v>334</v>
      </c>
      <c r="BL7" s="207">
        <v>20</v>
      </c>
      <c r="BM7" s="208" t="s">
        <v>148</v>
      </c>
    </row>
    <row r="8" spans="1:603" s="219" customFormat="1" ht="101.35" x14ac:dyDescent="0.4">
      <c r="A8" s="342">
        <v>4</v>
      </c>
      <c r="B8" s="343" t="s">
        <v>261</v>
      </c>
      <c r="C8" s="344" t="s">
        <v>262</v>
      </c>
      <c r="D8" s="345">
        <v>40</v>
      </c>
      <c r="E8" s="346" t="s">
        <v>150</v>
      </c>
      <c r="F8" s="343" t="s">
        <v>263</v>
      </c>
      <c r="G8" s="344" t="s">
        <v>262</v>
      </c>
      <c r="H8" s="345">
        <v>40</v>
      </c>
      <c r="I8" s="346" t="s">
        <v>150</v>
      </c>
      <c r="J8" s="347" t="s">
        <v>137</v>
      </c>
      <c r="K8" s="344" t="s">
        <v>264</v>
      </c>
      <c r="L8" s="345">
        <v>10</v>
      </c>
      <c r="M8" s="346" t="s">
        <v>148</v>
      </c>
      <c r="N8" s="343" t="s">
        <v>137</v>
      </c>
      <c r="O8" s="344" t="s">
        <v>264</v>
      </c>
      <c r="P8" s="345">
        <v>10</v>
      </c>
      <c r="Q8" s="346" t="s">
        <v>148</v>
      </c>
      <c r="R8" s="343" t="s">
        <v>138</v>
      </c>
      <c r="S8" s="344" t="s">
        <v>264</v>
      </c>
      <c r="T8" s="345">
        <v>10</v>
      </c>
      <c r="U8" s="346" t="s">
        <v>148</v>
      </c>
      <c r="V8" s="343" t="s">
        <v>139</v>
      </c>
      <c r="W8" s="344" t="s">
        <v>264</v>
      </c>
      <c r="X8" s="345">
        <v>10</v>
      </c>
      <c r="Y8" s="346" t="s">
        <v>148</v>
      </c>
      <c r="Z8" s="343" t="s">
        <v>139</v>
      </c>
      <c r="AA8" s="344" t="s">
        <v>264</v>
      </c>
      <c r="AB8" s="345">
        <v>10</v>
      </c>
      <c r="AC8" s="346" t="s">
        <v>148</v>
      </c>
      <c r="AD8" s="347" t="s">
        <v>265</v>
      </c>
      <c r="AE8" s="344" t="s">
        <v>264</v>
      </c>
      <c r="AF8" s="345">
        <v>10</v>
      </c>
      <c r="AG8" s="346" t="s">
        <v>148</v>
      </c>
      <c r="AH8" s="343" t="s">
        <v>266</v>
      </c>
      <c r="AI8" s="344" t="s">
        <v>264</v>
      </c>
      <c r="AJ8" s="345">
        <v>10</v>
      </c>
      <c r="AK8" s="346" t="s">
        <v>148</v>
      </c>
      <c r="AL8" s="343" t="s">
        <v>140</v>
      </c>
      <c r="AM8" s="344" t="s">
        <v>264</v>
      </c>
      <c r="AN8" s="345">
        <v>10</v>
      </c>
      <c r="AO8" s="346" t="s">
        <v>149</v>
      </c>
      <c r="AP8" s="343" t="s">
        <v>267</v>
      </c>
      <c r="AQ8" s="344"/>
      <c r="AR8" s="345">
        <v>20</v>
      </c>
      <c r="AS8" s="346" t="s">
        <v>148</v>
      </c>
      <c r="AT8" s="343" t="s">
        <v>136</v>
      </c>
      <c r="AU8" s="344"/>
      <c r="AV8" s="345">
        <v>5</v>
      </c>
      <c r="AW8" s="346" t="s">
        <v>148</v>
      </c>
      <c r="AX8" s="343" t="s">
        <v>268</v>
      </c>
      <c r="AY8" s="344"/>
      <c r="AZ8" s="345">
        <v>5</v>
      </c>
      <c r="BA8" s="346" t="s">
        <v>148</v>
      </c>
      <c r="BB8" s="347" t="s">
        <v>141</v>
      </c>
      <c r="BC8" s="344" t="s">
        <v>259</v>
      </c>
      <c r="BD8" s="345">
        <v>20</v>
      </c>
      <c r="BE8" s="346" t="s">
        <v>148</v>
      </c>
      <c r="BF8" s="347" t="s">
        <v>335</v>
      </c>
      <c r="BG8" s="344"/>
      <c r="BH8" s="345">
        <v>30</v>
      </c>
      <c r="BI8" s="346" t="s">
        <v>148</v>
      </c>
      <c r="BJ8" s="343" t="s">
        <v>336</v>
      </c>
      <c r="BK8" s="206" t="s">
        <v>332</v>
      </c>
      <c r="BL8" s="345">
        <v>20</v>
      </c>
      <c r="BM8" s="346" t="s">
        <v>148</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269</v>
      </c>
      <c r="C9" s="212" t="s">
        <v>270</v>
      </c>
      <c r="D9" s="213">
        <v>20</v>
      </c>
      <c r="E9" s="214" t="s">
        <v>149</v>
      </c>
      <c r="F9" s="211" t="s">
        <v>271</v>
      </c>
      <c r="G9" s="212" t="s">
        <v>270</v>
      </c>
      <c r="H9" s="213">
        <v>20</v>
      </c>
      <c r="I9" s="214" t="s">
        <v>149</v>
      </c>
      <c r="J9" s="209" t="s">
        <v>142</v>
      </c>
      <c r="K9" s="206" t="s">
        <v>272</v>
      </c>
      <c r="L9" s="207">
        <v>10</v>
      </c>
      <c r="M9" s="208" t="s">
        <v>148</v>
      </c>
      <c r="N9" s="205" t="s">
        <v>142</v>
      </c>
      <c r="O9" s="206" t="s">
        <v>272</v>
      </c>
      <c r="P9" s="207">
        <v>10</v>
      </c>
      <c r="Q9" s="208" t="s">
        <v>148</v>
      </c>
      <c r="R9" s="205" t="s">
        <v>142</v>
      </c>
      <c r="S9" s="206" t="s">
        <v>273</v>
      </c>
      <c r="T9" s="207">
        <v>10</v>
      </c>
      <c r="U9" s="208" t="s">
        <v>148</v>
      </c>
      <c r="V9" s="205" t="s">
        <v>274</v>
      </c>
      <c r="W9" s="206" t="s">
        <v>273</v>
      </c>
      <c r="X9" s="207">
        <v>10</v>
      </c>
      <c r="Y9" s="208" t="s">
        <v>148</v>
      </c>
      <c r="Z9" s="205" t="s">
        <v>274</v>
      </c>
      <c r="AA9" s="206" t="s">
        <v>273</v>
      </c>
      <c r="AB9" s="207">
        <v>10</v>
      </c>
      <c r="AC9" s="208" t="s">
        <v>148</v>
      </c>
      <c r="AD9" s="209" t="s">
        <v>275</v>
      </c>
      <c r="AE9" s="206" t="s">
        <v>276</v>
      </c>
      <c r="AF9" s="207">
        <v>10</v>
      </c>
      <c r="AG9" s="208" t="s">
        <v>148</v>
      </c>
      <c r="AH9" s="205" t="s">
        <v>277</v>
      </c>
      <c r="AI9" s="215" t="s">
        <v>278</v>
      </c>
      <c r="AJ9" s="207">
        <v>10</v>
      </c>
      <c r="AK9" s="208" t="s">
        <v>148</v>
      </c>
      <c r="AL9" s="205" t="s">
        <v>279</v>
      </c>
      <c r="AM9" s="215" t="s">
        <v>278</v>
      </c>
      <c r="AN9" s="207">
        <v>10</v>
      </c>
      <c r="AO9" s="208" t="s">
        <v>148</v>
      </c>
      <c r="AP9" s="205" t="s">
        <v>280</v>
      </c>
      <c r="AQ9" s="210"/>
      <c r="AR9" s="207">
        <v>20</v>
      </c>
      <c r="AS9" s="208" t="s">
        <v>148</v>
      </c>
      <c r="AT9" s="205" t="s">
        <v>281</v>
      </c>
      <c r="AU9" s="206" t="s">
        <v>282</v>
      </c>
      <c r="AV9" s="207">
        <v>5</v>
      </c>
      <c r="AW9" s="208" t="s">
        <v>149</v>
      </c>
      <c r="AX9" s="205" t="s">
        <v>281</v>
      </c>
      <c r="AY9" s="206" t="s">
        <v>282</v>
      </c>
      <c r="AZ9" s="207">
        <v>5</v>
      </c>
      <c r="BA9" s="208" t="s">
        <v>149</v>
      </c>
      <c r="BB9" s="216" t="s">
        <v>283</v>
      </c>
      <c r="BC9" s="212"/>
      <c r="BD9" s="213">
        <v>20</v>
      </c>
      <c r="BE9" s="214" t="s">
        <v>148</v>
      </c>
      <c r="BF9" s="209"/>
      <c r="BG9" s="212"/>
      <c r="BH9" s="213"/>
      <c r="BI9" s="214"/>
      <c r="BJ9" s="209" t="s">
        <v>337</v>
      </c>
      <c r="BK9" s="212"/>
      <c r="BL9" s="207">
        <v>30</v>
      </c>
      <c r="BM9" s="208" t="s">
        <v>148</v>
      </c>
    </row>
    <row r="10" spans="1:603" s="219" customFormat="1" ht="101.35" x14ac:dyDescent="0.4">
      <c r="A10" s="342">
        <v>6</v>
      </c>
      <c r="B10" s="350" t="s">
        <v>284</v>
      </c>
      <c r="C10" s="351"/>
      <c r="D10" s="352">
        <v>20</v>
      </c>
      <c r="E10" s="353" t="s">
        <v>149</v>
      </c>
      <c r="F10" s="350" t="s">
        <v>285</v>
      </c>
      <c r="G10" s="351"/>
      <c r="H10" s="352">
        <v>20</v>
      </c>
      <c r="I10" s="353" t="s">
        <v>149</v>
      </c>
      <c r="J10" s="347" t="s">
        <v>286</v>
      </c>
      <c r="K10" s="348"/>
      <c r="L10" s="345">
        <v>10</v>
      </c>
      <c r="M10" s="346" t="s">
        <v>148</v>
      </c>
      <c r="N10" s="343" t="s">
        <v>287</v>
      </c>
      <c r="O10" s="344"/>
      <c r="P10" s="345">
        <v>10</v>
      </c>
      <c r="Q10" s="346" t="s">
        <v>148</v>
      </c>
      <c r="R10" s="343" t="s">
        <v>287</v>
      </c>
      <c r="S10" s="344"/>
      <c r="T10" s="345">
        <v>10</v>
      </c>
      <c r="U10" s="346" t="s">
        <v>148</v>
      </c>
      <c r="V10" s="343" t="s">
        <v>287</v>
      </c>
      <c r="W10" s="344"/>
      <c r="X10" s="345">
        <v>10</v>
      </c>
      <c r="Y10" s="346" t="s">
        <v>148</v>
      </c>
      <c r="Z10" s="343" t="s">
        <v>287</v>
      </c>
      <c r="AA10" s="344"/>
      <c r="AB10" s="345">
        <v>10</v>
      </c>
      <c r="AC10" s="346" t="s">
        <v>148</v>
      </c>
      <c r="AD10" s="347" t="s">
        <v>286</v>
      </c>
      <c r="AE10" s="348"/>
      <c r="AF10" s="345">
        <v>10</v>
      </c>
      <c r="AG10" s="346" t="s">
        <v>148</v>
      </c>
      <c r="AH10" s="343" t="s">
        <v>288</v>
      </c>
      <c r="AI10" s="344"/>
      <c r="AJ10" s="345">
        <v>10</v>
      </c>
      <c r="AK10" s="346" t="s">
        <v>148</v>
      </c>
      <c r="AL10" s="343" t="s">
        <v>289</v>
      </c>
      <c r="AM10" s="344"/>
      <c r="AN10" s="345">
        <v>20</v>
      </c>
      <c r="AO10" s="346" t="s">
        <v>149</v>
      </c>
      <c r="AP10" s="343" t="s">
        <v>290</v>
      </c>
      <c r="AQ10" s="344"/>
      <c r="AR10" s="345">
        <v>5</v>
      </c>
      <c r="AS10" s="346" t="s">
        <v>149</v>
      </c>
      <c r="AT10" s="343" t="s">
        <v>143</v>
      </c>
      <c r="AU10" s="344" t="s">
        <v>282</v>
      </c>
      <c r="AV10" s="345">
        <v>5</v>
      </c>
      <c r="AW10" s="346" t="s">
        <v>149</v>
      </c>
      <c r="AX10" s="343" t="s">
        <v>291</v>
      </c>
      <c r="AY10" s="344" t="s">
        <v>292</v>
      </c>
      <c r="AZ10" s="345">
        <v>10</v>
      </c>
      <c r="BA10" s="346" t="s">
        <v>148</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293</v>
      </c>
      <c r="C11" s="212"/>
      <c r="D11" s="213">
        <v>20</v>
      </c>
      <c r="E11" s="214" t="s">
        <v>149</v>
      </c>
      <c r="F11" s="211" t="s">
        <v>294</v>
      </c>
      <c r="G11" s="212"/>
      <c r="H11" s="213">
        <v>20</v>
      </c>
      <c r="I11" s="214" t="s">
        <v>149</v>
      </c>
      <c r="J11" s="209" t="s">
        <v>295</v>
      </c>
      <c r="K11" s="206"/>
      <c r="L11" s="207">
        <v>10</v>
      </c>
      <c r="M11" s="208" t="s">
        <v>149</v>
      </c>
      <c r="N11" s="205" t="s">
        <v>295</v>
      </c>
      <c r="O11" s="206"/>
      <c r="P11" s="207">
        <v>10</v>
      </c>
      <c r="Q11" s="208" t="s">
        <v>149</v>
      </c>
      <c r="R11" s="205" t="s">
        <v>296</v>
      </c>
      <c r="S11" s="206"/>
      <c r="T11" s="207">
        <v>15</v>
      </c>
      <c r="U11" s="208" t="s">
        <v>149</v>
      </c>
      <c r="V11" s="205" t="s">
        <v>296</v>
      </c>
      <c r="W11" s="206"/>
      <c r="X11" s="207">
        <v>15</v>
      </c>
      <c r="Y11" s="208" t="s">
        <v>149</v>
      </c>
      <c r="Z11" s="205" t="s">
        <v>296</v>
      </c>
      <c r="AA11" s="206"/>
      <c r="AB11" s="207">
        <v>15</v>
      </c>
      <c r="AC11" s="208" t="s">
        <v>149</v>
      </c>
      <c r="AD11" s="209" t="s">
        <v>295</v>
      </c>
      <c r="AE11" s="206"/>
      <c r="AF11" s="207">
        <v>10</v>
      </c>
      <c r="AG11" s="208" t="s">
        <v>149</v>
      </c>
      <c r="AH11" s="205" t="s">
        <v>297</v>
      </c>
      <c r="AI11" s="210"/>
      <c r="AJ11" s="207">
        <v>15</v>
      </c>
      <c r="AK11" s="208" t="s">
        <v>149</v>
      </c>
      <c r="AL11" s="217" t="s">
        <v>298</v>
      </c>
      <c r="AM11" s="206"/>
      <c r="AN11" s="207">
        <v>20</v>
      </c>
      <c r="AO11" s="208" t="s">
        <v>149</v>
      </c>
      <c r="AP11" s="205" t="s">
        <v>299</v>
      </c>
      <c r="AQ11" s="206"/>
      <c r="AR11" s="207">
        <v>5</v>
      </c>
      <c r="AS11" s="208" t="s">
        <v>149</v>
      </c>
      <c r="AT11" s="205" t="s">
        <v>291</v>
      </c>
      <c r="AU11" s="206" t="s">
        <v>292</v>
      </c>
      <c r="AV11" s="207">
        <v>10</v>
      </c>
      <c r="AW11" s="208" t="s">
        <v>148</v>
      </c>
      <c r="AX11" s="209" t="s">
        <v>144</v>
      </c>
      <c r="AY11" s="206"/>
      <c r="AZ11" s="207">
        <v>5</v>
      </c>
      <c r="BA11" s="218" t="s">
        <v>149</v>
      </c>
      <c r="BB11" s="209"/>
      <c r="BC11" s="206"/>
      <c r="BD11" s="207"/>
      <c r="BE11" s="208"/>
      <c r="BF11" s="209"/>
      <c r="BG11" s="206"/>
      <c r="BH11" s="207"/>
      <c r="BI11" s="208"/>
      <c r="BJ11" s="209"/>
      <c r="BK11" s="206"/>
      <c r="BL11" s="207"/>
      <c r="BM11" s="208"/>
    </row>
    <row r="12" spans="1:603" s="219" customFormat="1" ht="178.35" x14ac:dyDescent="0.4">
      <c r="A12" s="342">
        <v>8</v>
      </c>
      <c r="B12" s="354" t="s">
        <v>300</v>
      </c>
      <c r="C12" s="349" t="s">
        <v>301</v>
      </c>
      <c r="D12" s="345">
        <v>10</v>
      </c>
      <c r="E12" s="346" t="s">
        <v>149</v>
      </c>
      <c r="F12" s="343" t="s">
        <v>300</v>
      </c>
      <c r="G12" s="344" t="s">
        <v>301</v>
      </c>
      <c r="H12" s="345">
        <v>10</v>
      </c>
      <c r="I12" s="346" t="s">
        <v>149</v>
      </c>
      <c r="J12" s="347" t="s">
        <v>302</v>
      </c>
      <c r="K12" s="344" t="s">
        <v>303</v>
      </c>
      <c r="L12" s="345">
        <v>10</v>
      </c>
      <c r="M12" s="346" t="s">
        <v>149</v>
      </c>
      <c r="N12" s="343" t="s">
        <v>302</v>
      </c>
      <c r="O12" s="344" t="s">
        <v>303</v>
      </c>
      <c r="P12" s="345">
        <v>10</v>
      </c>
      <c r="Q12" s="346" t="s">
        <v>149</v>
      </c>
      <c r="R12" s="343" t="s">
        <v>304</v>
      </c>
      <c r="S12" s="344" t="s">
        <v>303</v>
      </c>
      <c r="T12" s="345">
        <v>15</v>
      </c>
      <c r="U12" s="346" t="s">
        <v>149</v>
      </c>
      <c r="V12" s="343" t="s">
        <v>305</v>
      </c>
      <c r="W12" s="344" t="s">
        <v>303</v>
      </c>
      <c r="X12" s="345">
        <v>15</v>
      </c>
      <c r="Y12" s="346" t="s">
        <v>149</v>
      </c>
      <c r="Z12" s="343" t="s">
        <v>305</v>
      </c>
      <c r="AA12" s="344" t="s">
        <v>303</v>
      </c>
      <c r="AB12" s="345">
        <v>15</v>
      </c>
      <c r="AC12" s="346" t="s">
        <v>149</v>
      </c>
      <c r="AD12" s="347" t="s">
        <v>306</v>
      </c>
      <c r="AE12" s="344"/>
      <c r="AF12" s="345">
        <v>10</v>
      </c>
      <c r="AG12" s="346" t="s">
        <v>149</v>
      </c>
      <c r="AH12" s="343" t="s">
        <v>307</v>
      </c>
      <c r="AI12" s="344" t="s">
        <v>308</v>
      </c>
      <c r="AJ12" s="345">
        <v>15</v>
      </c>
      <c r="AK12" s="346" t="s">
        <v>149</v>
      </c>
      <c r="AL12" s="350" t="s">
        <v>309</v>
      </c>
      <c r="AM12" s="351" t="s">
        <v>310</v>
      </c>
      <c r="AN12" s="352">
        <v>20</v>
      </c>
      <c r="AO12" s="353" t="s">
        <v>149</v>
      </c>
      <c r="AP12" s="343"/>
      <c r="AQ12" s="344"/>
      <c r="AR12" s="345"/>
      <c r="AS12" s="346"/>
      <c r="AT12" s="343" t="s">
        <v>144</v>
      </c>
      <c r="AU12" s="344"/>
      <c r="AV12" s="345">
        <v>5</v>
      </c>
      <c r="AW12" s="346" t="s">
        <v>149</v>
      </c>
      <c r="AX12" s="343" t="s">
        <v>311</v>
      </c>
      <c r="AY12" s="344"/>
      <c r="AZ12" s="345">
        <v>15</v>
      </c>
      <c r="BA12" s="346" t="s">
        <v>149</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145</v>
      </c>
      <c r="C13" s="222"/>
      <c r="D13" s="223">
        <v>20</v>
      </c>
      <c r="E13" s="224" t="s">
        <v>147</v>
      </c>
      <c r="F13" s="225" t="s">
        <v>145</v>
      </c>
      <c r="G13" s="226"/>
      <c r="H13" s="227">
        <v>20</v>
      </c>
      <c r="I13" s="228" t="s">
        <v>147</v>
      </c>
      <c r="J13" s="229" t="s">
        <v>312</v>
      </c>
      <c r="K13" s="226" t="s">
        <v>313</v>
      </c>
      <c r="L13" s="227">
        <v>10</v>
      </c>
      <c r="M13" s="228" t="s">
        <v>149</v>
      </c>
      <c r="N13" s="225" t="s">
        <v>312</v>
      </c>
      <c r="O13" s="226" t="s">
        <v>313</v>
      </c>
      <c r="P13" s="227">
        <v>10</v>
      </c>
      <c r="Q13" s="228" t="s">
        <v>149</v>
      </c>
      <c r="R13" s="221" t="s">
        <v>314</v>
      </c>
      <c r="S13" s="222"/>
      <c r="T13" s="223">
        <v>10</v>
      </c>
      <c r="U13" s="224" t="s">
        <v>147</v>
      </c>
      <c r="V13" s="221" t="s">
        <v>314</v>
      </c>
      <c r="W13" s="226"/>
      <c r="X13" s="227">
        <v>10</v>
      </c>
      <c r="Y13" s="224" t="s">
        <v>147</v>
      </c>
      <c r="Z13" s="221" t="s">
        <v>314</v>
      </c>
      <c r="AA13" s="226"/>
      <c r="AB13" s="227">
        <v>10</v>
      </c>
      <c r="AC13" s="224" t="s">
        <v>147</v>
      </c>
      <c r="AD13" s="229" t="s">
        <v>312</v>
      </c>
      <c r="AE13" s="226" t="s">
        <v>313</v>
      </c>
      <c r="AF13" s="227">
        <v>10</v>
      </c>
      <c r="AG13" s="228" t="s">
        <v>149</v>
      </c>
      <c r="AH13" s="225" t="s">
        <v>315</v>
      </c>
      <c r="AI13" s="226"/>
      <c r="AJ13" s="227">
        <v>10</v>
      </c>
      <c r="AK13" s="228" t="s">
        <v>147</v>
      </c>
      <c r="AL13" s="230" t="s">
        <v>316</v>
      </c>
      <c r="AM13" s="231"/>
      <c r="AN13" s="232">
        <v>20</v>
      </c>
      <c r="AO13" s="233" t="s">
        <v>149</v>
      </c>
      <c r="AP13" s="205"/>
      <c r="AQ13" s="226"/>
      <c r="AR13" s="227"/>
      <c r="AS13" s="228" t="s">
        <v>148</v>
      </c>
      <c r="AT13" s="225" t="s">
        <v>311</v>
      </c>
      <c r="AU13" s="234"/>
      <c r="AV13" s="227">
        <v>15</v>
      </c>
      <c r="AW13" s="228" t="s">
        <v>149</v>
      </c>
      <c r="AX13" s="225" t="s">
        <v>146</v>
      </c>
      <c r="AY13" s="226"/>
      <c r="AZ13" s="227">
        <v>30</v>
      </c>
      <c r="BA13" s="228" t="s">
        <v>149</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314</v>
      </c>
      <c r="K14" s="357"/>
      <c r="L14" s="358">
        <v>10</v>
      </c>
      <c r="M14" s="359" t="s">
        <v>147</v>
      </c>
      <c r="N14" s="356" t="s">
        <v>314</v>
      </c>
      <c r="O14" s="357"/>
      <c r="P14" s="358">
        <v>10</v>
      </c>
      <c r="Q14" s="359" t="s">
        <v>147</v>
      </c>
      <c r="R14" s="356"/>
      <c r="S14" s="357"/>
      <c r="T14" s="358"/>
      <c r="U14" s="359"/>
      <c r="V14" s="356"/>
      <c r="W14" s="357"/>
      <c r="X14" s="358"/>
      <c r="Y14" s="359"/>
      <c r="Z14" s="356"/>
      <c r="AA14" s="357"/>
      <c r="AB14" s="358"/>
      <c r="AC14" s="359"/>
      <c r="AD14" s="356" t="s">
        <v>314</v>
      </c>
      <c r="AE14" s="357"/>
      <c r="AF14" s="358">
        <v>10</v>
      </c>
      <c r="AG14" s="359" t="s">
        <v>147</v>
      </c>
      <c r="AH14" s="356"/>
      <c r="AI14" s="357"/>
      <c r="AJ14" s="358"/>
      <c r="AK14" s="359"/>
      <c r="AL14" s="356" t="s">
        <v>317</v>
      </c>
      <c r="AM14" s="357"/>
      <c r="AN14" s="358">
        <v>10</v>
      </c>
      <c r="AO14" s="359" t="s">
        <v>147</v>
      </c>
      <c r="AP14" s="356"/>
      <c r="AQ14" s="357"/>
      <c r="AR14" s="358"/>
      <c r="AS14" s="359"/>
      <c r="AT14" s="356" t="s">
        <v>146</v>
      </c>
      <c r="AU14" s="357"/>
      <c r="AV14" s="358">
        <v>25</v>
      </c>
      <c r="AW14" s="359" t="s">
        <v>149</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I58"/>
  <sheetViews>
    <sheetView showGridLines="0" topLeftCell="A34" zoomScale="130" zoomScaleNormal="130" workbookViewId="0">
      <selection activeCell="C60" sqref="C60"/>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151</v>
      </c>
      <c r="B3" s="361" t="s">
        <v>152</v>
      </c>
      <c r="C3" s="361" t="s">
        <v>197</v>
      </c>
      <c r="D3" s="362" t="s">
        <v>153</v>
      </c>
      <c r="E3" s="361" t="s">
        <v>30</v>
      </c>
      <c r="F3" s="361" t="s">
        <v>30</v>
      </c>
      <c r="G3" s="362" t="s">
        <v>153</v>
      </c>
      <c r="H3" s="362" t="s">
        <v>153</v>
      </c>
      <c r="I3" s="361" t="s">
        <v>30</v>
      </c>
    </row>
    <row r="4" spans="1:9" x14ac:dyDescent="0.4">
      <c r="A4" t="s">
        <v>120</v>
      </c>
      <c r="B4" t="s">
        <v>129</v>
      </c>
      <c r="C4" t="s">
        <v>202</v>
      </c>
      <c r="D4" s="5" t="s">
        <v>156</v>
      </c>
      <c r="E4" s="1" t="s">
        <v>157</v>
      </c>
      <c r="F4" s="4" t="s">
        <v>158</v>
      </c>
      <c r="G4" s="1" t="s">
        <v>86</v>
      </c>
      <c r="H4" t="s">
        <v>159</v>
      </c>
      <c r="I4" s="1" t="s">
        <v>157</v>
      </c>
    </row>
    <row r="5" spans="1:9" x14ac:dyDescent="0.4">
      <c r="A5" t="s">
        <v>121</v>
      </c>
      <c r="B5" t="s">
        <v>130</v>
      </c>
      <c r="C5" t="s">
        <v>203</v>
      </c>
      <c r="D5" s="3" t="s">
        <v>107</v>
      </c>
      <c r="E5" s="1" t="s">
        <v>154</v>
      </c>
      <c r="F5" s="4" t="s">
        <v>160</v>
      </c>
      <c r="G5" s="1" t="s">
        <v>161</v>
      </c>
      <c r="H5" t="s">
        <v>162</v>
      </c>
      <c r="I5" s="1" t="s">
        <v>154</v>
      </c>
    </row>
    <row r="6" spans="1:9" x14ac:dyDescent="0.4">
      <c r="A6" t="s">
        <v>122</v>
      </c>
      <c r="B6" t="s">
        <v>131</v>
      </c>
      <c r="C6" t="s">
        <v>204</v>
      </c>
      <c r="D6" s="363" t="s">
        <v>98</v>
      </c>
      <c r="E6" s="1" t="s">
        <v>88</v>
      </c>
      <c r="F6" s="4" t="s">
        <v>163</v>
      </c>
      <c r="I6" s="1" t="s">
        <v>88</v>
      </c>
    </row>
    <row r="7" spans="1:9" x14ac:dyDescent="0.4">
      <c r="A7" t="s">
        <v>123</v>
      </c>
      <c r="D7" s="10" t="s">
        <v>165</v>
      </c>
      <c r="E7" s="1" t="s">
        <v>166</v>
      </c>
      <c r="F7" s="4" t="s">
        <v>167</v>
      </c>
      <c r="I7" s="1" t="s">
        <v>166</v>
      </c>
    </row>
    <row r="8" spans="1:9" x14ac:dyDescent="0.4">
      <c r="A8" t="s">
        <v>45</v>
      </c>
      <c r="D8" s="3" t="s">
        <v>168</v>
      </c>
      <c r="E8" s="1" t="s">
        <v>169</v>
      </c>
      <c r="F8" s="6"/>
      <c r="I8" s="1" t="s">
        <v>169</v>
      </c>
    </row>
    <row r="9" spans="1:9" x14ac:dyDescent="0.4">
      <c r="A9" t="s">
        <v>124</v>
      </c>
      <c r="D9" s="3" t="s">
        <v>170</v>
      </c>
      <c r="E9" s="1" t="s">
        <v>171</v>
      </c>
      <c r="F9" s="6"/>
      <c r="I9" s="1" t="s">
        <v>171</v>
      </c>
    </row>
    <row r="10" spans="1:9" x14ac:dyDescent="0.4">
      <c r="A10" t="s">
        <v>126</v>
      </c>
      <c r="E10" s="1" t="s">
        <v>155</v>
      </c>
      <c r="F10" s="1"/>
      <c r="I10" s="1" t="s">
        <v>173</v>
      </c>
    </row>
    <row r="11" spans="1:9" x14ac:dyDescent="0.4">
      <c r="A11" t="s">
        <v>46</v>
      </c>
      <c r="E11" s="1" t="s">
        <v>164</v>
      </c>
      <c r="I11" s="1" t="s">
        <v>155</v>
      </c>
    </row>
    <row r="12" spans="1:9" x14ac:dyDescent="0.4">
      <c r="A12" t="s">
        <v>128</v>
      </c>
      <c r="E12" s="1" t="s">
        <v>174</v>
      </c>
      <c r="I12" s="1" t="s">
        <v>164</v>
      </c>
    </row>
    <row r="13" spans="1:9" x14ac:dyDescent="0.4">
      <c r="A13" t="s">
        <v>125</v>
      </c>
      <c r="E13" s="1" t="s">
        <v>175</v>
      </c>
      <c r="I13" s="1" t="s">
        <v>174</v>
      </c>
    </row>
    <row r="14" spans="1:9" x14ac:dyDescent="0.4">
      <c r="A14" t="s">
        <v>127</v>
      </c>
      <c r="E14" s="1" t="s">
        <v>176</v>
      </c>
      <c r="I14" s="1" t="s">
        <v>177</v>
      </c>
    </row>
    <row r="15" spans="1:9" x14ac:dyDescent="0.4">
      <c r="A15" t="s">
        <v>178</v>
      </c>
      <c r="E15" s="4" t="s">
        <v>172</v>
      </c>
      <c r="I15" s="1" t="s">
        <v>175</v>
      </c>
    </row>
    <row r="16" spans="1:9" x14ac:dyDescent="0.4">
      <c r="E16" s="4" t="s">
        <v>158</v>
      </c>
      <c r="I16" s="1" t="s">
        <v>176</v>
      </c>
    </row>
    <row r="17" spans="1:9" x14ac:dyDescent="0.4">
      <c r="E17" s="1" t="s">
        <v>160</v>
      </c>
      <c r="I17" s="1" t="s">
        <v>179</v>
      </c>
    </row>
    <row r="18" spans="1:9" x14ac:dyDescent="0.4">
      <c r="E18" s="1" t="s">
        <v>173</v>
      </c>
      <c r="I18" s="1" t="s">
        <v>172</v>
      </c>
    </row>
    <row r="19" spans="1:9" x14ac:dyDescent="0.4">
      <c r="E19" s="1" t="s">
        <v>180</v>
      </c>
      <c r="I19" s="1" t="s">
        <v>180</v>
      </c>
    </row>
    <row r="20" spans="1:9" x14ac:dyDescent="0.4">
      <c r="A20" s="361" t="s">
        <v>147</v>
      </c>
      <c r="B20" s="361" t="s">
        <v>149</v>
      </c>
      <c r="C20" s="361" t="s">
        <v>148</v>
      </c>
      <c r="D20" s="361" t="s">
        <v>181</v>
      </c>
      <c r="E20" s="361"/>
      <c r="F20" s="361" t="s">
        <v>150</v>
      </c>
      <c r="H20" s="1"/>
    </row>
    <row r="21" spans="1:9" x14ac:dyDescent="0.4">
      <c r="A21" s="1" t="s">
        <v>86</v>
      </c>
      <c r="B21" s="1" t="s">
        <v>156</v>
      </c>
      <c r="C21" s="1" t="s">
        <v>156</v>
      </c>
      <c r="D21" s="1" t="s">
        <v>156</v>
      </c>
      <c r="F21" s="1" t="s">
        <v>156</v>
      </c>
      <c r="H21" s="1"/>
    </row>
    <row r="22" spans="1:9" x14ac:dyDescent="0.4">
      <c r="A22" s="1" t="s">
        <v>161</v>
      </c>
      <c r="B22" s="1" t="s">
        <v>107</v>
      </c>
      <c r="C22" s="1" t="s">
        <v>107</v>
      </c>
      <c r="D22" s="1" t="s">
        <v>107</v>
      </c>
      <c r="F22" s="1" t="s">
        <v>182</v>
      </c>
      <c r="H22" s="1"/>
    </row>
    <row r="23" spans="1:9" x14ac:dyDescent="0.4">
      <c r="A23" s="1"/>
      <c r="B23" s="1" t="s">
        <v>98</v>
      </c>
      <c r="C23" s="1" t="s">
        <v>98</v>
      </c>
      <c r="D23" s="1" t="s">
        <v>98</v>
      </c>
      <c r="F23" s="1" t="s">
        <v>183</v>
      </c>
      <c r="H23" s="1"/>
    </row>
    <row r="24" spans="1:9" x14ac:dyDescent="0.4">
      <c r="C24" s="1" t="s">
        <v>165</v>
      </c>
      <c r="D24" s="1" t="s">
        <v>165</v>
      </c>
      <c r="F24" s="1" t="s">
        <v>98</v>
      </c>
      <c r="H24" s="1"/>
    </row>
    <row r="25" spans="1:9" ht="14.25" customHeight="1" x14ac:dyDescent="0.4">
      <c r="D25" s="1" t="s">
        <v>168</v>
      </c>
    </row>
    <row r="26" spans="1:9" x14ac:dyDescent="0.4">
      <c r="D26" s="1" t="s">
        <v>170</v>
      </c>
    </row>
    <row r="28" spans="1:9" x14ac:dyDescent="0.4">
      <c r="A28" s="361" t="s">
        <v>212</v>
      </c>
      <c r="B28" s="361"/>
    </row>
    <row r="29" spans="1:9" x14ac:dyDescent="0.4">
      <c r="A29" s="364" t="s">
        <v>207</v>
      </c>
      <c r="B29" s="364" t="s">
        <v>211</v>
      </c>
    </row>
    <row r="30" spans="1:9" x14ac:dyDescent="0.4">
      <c r="A30" s="196" t="s">
        <v>121</v>
      </c>
      <c r="B30" s="197" t="s">
        <v>120</v>
      </c>
    </row>
    <row r="31" spans="1:9" x14ac:dyDescent="0.4">
      <c r="A31" s="196" t="s">
        <v>122</v>
      </c>
      <c r="B31" s="197" t="s">
        <v>123</v>
      </c>
    </row>
    <row r="32" spans="1:9" x14ac:dyDescent="0.4">
      <c r="A32" s="196" t="s">
        <v>206</v>
      </c>
      <c r="B32" s="197" t="s">
        <v>45</v>
      </c>
    </row>
    <row r="33" spans="1:7" x14ac:dyDescent="0.4">
      <c r="A33" s="196" t="s">
        <v>208</v>
      </c>
      <c r="B33" s="197" t="s">
        <v>124</v>
      </c>
    </row>
    <row r="34" spans="1:7" x14ac:dyDescent="0.4">
      <c r="A34" s="196" t="s">
        <v>125</v>
      </c>
      <c r="B34" s="197" t="s">
        <v>126</v>
      </c>
    </row>
    <row r="35" spans="1:7" x14ac:dyDescent="0.4">
      <c r="A35" s="196" t="s">
        <v>209</v>
      </c>
      <c r="B35" s="197" t="s">
        <v>46</v>
      </c>
    </row>
    <row r="36" spans="1:7" x14ac:dyDescent="0.4">
      <c r="A36" s="196" t="s">
        <v>178</v>
      </c>
      <c r="B36" s="197" t="s">
        <v>128</v>
      </c>
    </row>
    <row r="37" spans="1:7" x14ac:dyDescent="0.4">
      <c r="B37" s="197" t="s">
        <v>125</v>
      </c>
    </row>
    <row r="38" spans="1:7" x14ac:dyDescent="0.4">
      <c r="B38" s="197" t="s">
        <v>127</v>
      </c>
    </row>
    <row r="39" spans="1:7" x14ac:dyDescent="0.4">
      <c r="B39" s="197" t="s">
        <v>178</v>
      </c>
    </row>
    <row r="42" spans="1:7" x14ac:dyDescent="0.4">
      <c r="A42" s="361" t="s">
        <v>213</v>
      </c>
      <c r="B42" s="361"/>
      <c r="C42" s="361"/>
      <c r="D42" s="361"/>
      <c r="E42" s="361"/>
      <c r="F42" s="361"/>
      <c r="G42" s="361"/>
    </row>
    <row r="43" spans="1:7" x14ac:dyDescent="0.4">
      <c r="A43" s="364" t="s">
        <v>215</v>
      </c>
      <c r="B43" s="364" t="s">
        <v>75</v>
      </c>
      <c r="C43" s="364" t="s">
        <v>220</v>
      </c>
      <c r="D43" s="364" t="s">
        <v>227</v>
      </c>
      <c r="E43" s="364" t="s">
        <v>226</v>
      </c>
      <c r="F43" s="364" t="s">
        <v>210</v>
      </c>
      <c r="G43" s="365" t="s">
        <v>323</v>
      </c>
    </row>
    <row r="44" spans="1:7" x14ac:dyDescent="0.4">
      <c r="A44" t="s">
        <v>195</v>
      </c>
      <c r="B44" t="s">
        <v>196</v>
      </c>
      <c r="C44" t="s">
        <v>219</v>
      </c>
      <c r="D44" t="s">
        <v>200</v>
      </c>
      <c r="E44" t="s">
        <v>228</v>
      </c>
      <c r="F44" t="s">
        <v>319</v>
      </c>
      <c r="G44" t="s">
        <v>325</v>
      </c>
    </row>
    <row r="45" spans="1:7" x14ac:dyDescent="0.4">
      <c r="A45" t="s">
        <v>214</v>
      </c>
      <c r="B45" t="s">
        <v>216</v>
      </c>
      <c r="C45" t="s">
        <v>221</v>
      </c>
      <c r="D45" t="s">
        <v>225</v>
      </c>
      <c r="E45" t="s">
        <v>232</v>
      </c>
      <c r="F45" t="s">
        <v>320</v>
      </c>
      <c r="G45" t="s">
        <v>199</v>
      </c>
    </row>
    <row r="46" spans="1:7" x14ac:dyDescent="0.4">
      <c r="A46" t="s">
        <v>233</v>
      </c>
      <c r="B46" t="s">
        <v>217</v>
      </c>
      <c r="C46" t="s">
        <v>222</v>
      </c>
      <c r="D46" t="s">
        <v>217</v>
      </c>
      <c r="E46" t="s">
        <v>201</v>
      </c>
      <c r="F46" t="s">
        <v>318</v>
      </c>
      <c r="G46" t="s">
        <v>324</v>
      </c>
    </row>
    <row r="47" spans="1:7" x14ac:dyDescent="0.4">
      <c r="B47" t="s">
        <v>218</v>
      </c>
      <c r="C47" t="s">
        <v>223</v>
      </c>
      <c r="E47" t="s">
        <v>229</v>
      </c>
    </row>
    <row r="48" spans="1:7" x14ac:dyDescent="0.4">
      <c r="C48" t="s">
        <v>224</v>
      </c>
      <c r="E48" t="s">
        <v>230</v>
      </c>
    </row>
    <row r="49" spans="1:5" x14ac:dyDescent="0.4">
      <c r="E49" t="s">
        <v>231</v>
      </c>
    </row>
    <row r="50" spans="1:5" x14ac:dyDescent="0.4">
      <c r="E50" t="s">
        <v>198</v>
      </c>
    </row>
    <row r="51" spans="1:5" x14ac:dyDescent="0.4">
      <c r="E51" t="s">
        <v>224</v>
      </c>
    </row>
    <row r="53" spans="1:5" x14ac:dyDescent="0.4">
      <c r="A53" s="405" t="s">
        <v>369</v>
      </c>
    </row>
    <row r="54" spans="1:5" x14ac:dyDescent="0.4">
      <c r="A54" s="406" t="s">
        <v>370</v>
      </c>
      <c r="B54" s="364" t="s">
        <v>190</v>
      </c>
    </row>
    <row r="55" spans="1:5" x14ac:dyDescent="0.4">
      <c r="A55" s="407" t="s">
        <v>371</v>
      </c>
      <c r="B55" t="s">
        <v>367</v>
      </c>
    </row>
    <row r="56" spans="1:5" x14ac:dyDescent="0.4">
      <c r="A56" t="s">
        <v>372</v>
      </c>
      <c r="B56" t="s">
        <v>368</v>
      </c>
    </row>
    <row r="57" spans="1:5" x14ac:dyDescent="0.4">
      <c r="A57" t="s">
        <v>373</v>
      </c>
    </row>
    <row r="58" spans="1:5" x14ac:dyDescent="0.4">
      <c r="A58" t="s">
        <v>374</v>
      </c>
    </row>
  </sheetData>
  <sortState xmlns:xlrd2="http://schemas.microsoft.com/office/spreadsheetml/2017/richdata2" ref="H21:H27">
    <sortCondition ref="H21:H27"/>
  </sortState>
  <phoneticPr fontId="10"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A52DDF1-DB9E-4C0C-9E16-F265EDFF44E6}">
  <ds:schemaRefs>
    <ds:schemaRef ds:uri="http://purl.org/dc/terms/"/>
    <ds:schemaRef ds:uri="http://schemas.openxmlformats.org/package/2006/metadata/core-properties"/>
    <ds:schemaRef ds:uri="81251141-7599-4081-9962-8622873f55aa"/>
    <ds:schemaRef ds:uri="http://purl.org/dc/dcmitype/"/>
    <ds:schemaRef ds:uri="http://schemas.microsoft.com/office/2006/documentManagement/types"/>
    <ds:schemaRef ds:uri="http://purl.org/dc/elements/1.1/"/>
    <ds:schemaRef ds:uri="http://schemas.microsoft.com/office/2006/metadata/properties"/>
    <ds:schemaRef ds:uri="http://schemas.microsoft.com/office/infopath/2007/PartnerControls"/>
    <ds:schemaRef ds:uri="afd5fb63-b61f-423b-93e7-958e038eacd2"/>
    <ds:schemaRef ds:uri="http://www.w3.org/XML/1998/namespace"/>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24</vt:i4>
      </vt:variant>
    </vt:vector>
  </HeadingPairs>
  <TitlesOfParts>
    <vt:vector size="34" baseType="lpstr">
      <vt:lpstr>REX controleurs</vt:lpstr>
      <vt:lpstr>SA_GRILLE_STEU</vt:lpstr>
      <vt:lpstr>SYNTHESE_SCL</vt:lpstr>
      <vt:lpstr>SA_GRILLE_SCL</vt:lpstr>
      <vt:lpstr>Controle_Pluvio_Thermo</vt:lpstr>
      <vt:lpstr>AnalysesComparatives</vt:lpstr>
      <vt:lpstr>AnalysesComparatives_SCL</vt:lpstr>
      <vt:lpstr>Thermo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Q_en_charge</vt:lpstr>
      <vt:lpstr>Q_Gravitaire</vt:lpstr>
      <vt:lpstr>Satisfaction</vt:lpstr>
      <vt:lpstr>Type_capteur</vt:lpstr>
      <vt:lpstr>Type_equipement</vt:lpstr>
      <vt:lpstr>TypeDeMesure</vt:lpstr>
      <vt:lpstr>Thermo!Zone_d_impression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2025-09-29T13:35:24Z</cp:lastPrinted>
  <dcterms:created xsi:type="dcterms:W3CDTF">2022-12-06T13:32:43Z</dcterms:created>
  <dcterms:modified xsi:type="dcterms:W3CDTF">2025-11-20T11:24:18Z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