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ndhuy\AppData\Roaming\Microsoft\AddIns\AutosurveillanceTemplates\"/>
    </mc:Choice>
  </mc:AlternateContent>
  <xr:revisionPtr revIDLastSave="0" documentId="13_ncr:1_{B91D5A6D-D0D0-4847-B04D-8BEFF73F9DDB}" xr6:coauthVersionLast="47" xr6:coauthVersionMax="47" xr10:uidLastSave="{00000000-0000-0000-0000-000000000000}"/>
  <bookViews>
    <workbookView xWindow="-8205" yWindow="-16320" windowWidth="29040" windowHeight="15720" tabRatio="777" xr2:uid="{00000000-000D-0000-FFFF-FFFF00000000}"/>
  </bookViews>
  <sheets>
    <sheet name="Thermo" sheetId="62" r:id="rId1"/>
    <sheet name="Critères" sheetId="47" r:id="rId2"/>
    <sheet name="PARAM" sheetId="5" r:id="rId3"/>
  </sheets>
  <definedNames>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PARAM!$B$44:$B$47</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Montage_sonde">PARAM!$G$44:$G$46</definedName>
    <definedName name="Q_en_charge">PARAM!$A$30:$A$36</definedName>
    <definedName name="Q_Gravitaire">PARAM!$B$30:$B$39</definedName>
    <definedName name="Satisfaction">PARAM!$D$44:$D$46</definedName>
    <definedName name="Type_capteur">PARAM!$C$44:$C$48</definedName>
    <definedName name="Type_equipement">PARAM!$C$4:$C$6</definedName>
    <definedName name="TypeDeMesure">PARAM!$B$55:$B$56</definedName>
    <definedName name="_xlnm.Print_Area" localSheetId="0">Thermo!$B$1:$S$42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9" i="62" l="1"/>
  <c r="Q30" i="62"/>
  <c r="Q31" i="62"/>
  <c r="Q28" i="62"/>
  <c r="J29" i="62"/>
  <c r="J30" i="62"/>
  <c r="J31" i="62"/>
  <c r="J28" i="62"/>
  <c r="E29" i="62"/>
  <c r="E30" i="62"/>
  <c r="E31" i="62"/>
  <c r="E28" i="62"/>
  <c r="P29" i="62" l="1"/>
  <c r="P30" i="62"/>
  <c r="P31" i="62"/>
  <c r="P28" i="62"/>
  <c r="J6" i="62" l="1"/>
  <c r="L21" i="62"/>
  <c r="N31" i="62" s="1"/>
  <c r="P33" i="62" l="1"/>
  <c r="N33" i="62" s="1"/>
</calcChain>
</file>

<file path=xl/sharedStrings.xml><?xml version="1.0" encoding="utf-8"?>
<sst xmlns="http://schemas.openxmlformats.org/spreadsheetml/2006/main" count="786" uniqueCount="267">
  <si>
    <t>Pluviomètre</t>
  </si>
  <si>
    <t>Code</t>
  </si>
  <si>
    <t>Libellé</t>
  </si>
  <si>
    <t>Caisson</t>
  </si>
  <si>
    <t>Clapet</t>
  </si>
  <si>
    <t>Choix LISTE</t>
  </si>
  <si>
    <t>Score</t>
  </si>
  <si>
    <t>Commentaires</t>
  </si>
  <si>
    <t>Conformité</t>
  </si>
  <si>
    <t>Oui</t>
  </si>
  <si>
    <t>A4</t>
  </si>
  <si>
    <t>Non contrôlé</t>
  </si>
  <si>
    <t>Non validé</t>
  </si>
  <si>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</si>
  <si>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</si>
  <si>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</si>
  <si>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</si>
  <si>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</si>
  <si>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</si>
  <si>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</si>
  <si>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</si>
  <si>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</si>
  <si>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</si>
  <si>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</si>
  <si>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</si>
  <si>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</si>
  <si>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</si>
  <si>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</si>
  <si>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</si>
  <si>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</si>
  <si>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</si>
  <si>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</si>
  <si>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</si>
  <si>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</si>
  <si>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</si>
  <si>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</si>
  <si>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</si>
  <si>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</si>
  <si>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</si>
  <si>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</si>
  <si>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</si>
  <si>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</si>
  <si>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</si>
  <si>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</si>
  <si>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</si>
  <si>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</si>
  <si>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</si>
  <si>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</si>
  <si>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</si>
  <si>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</si>
  <si>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</si>
  <si>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</si>
  <si>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</si>
  <si>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</si>
  <si>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</si>
  <si>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</si>
  <si>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</si>
  <si>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</si>
  <si>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</si>
  <si>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</si>
  <si>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</si>
  <si>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</si>
  <si>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</si>
  <si>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</si>
  <si>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</si>
  <si>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</si>
  <si>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</si>
  <si>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</si>
  <si>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</si>
  <si>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</si>
  <si>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</si>
  <si>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</si>
  <si>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</si>
  <si>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</si>
  <si>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</si>
  <si>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</si>
  <si>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</si>
  <si>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Type de mesure</t>
  </si>
  <si>
    <t>Mesure Exploitant
Te en °C</t>
  </si>
  <si>
    <t>Mesure Intervenant
Ti en °C</t>
  </si>
  <si>
    <t>Evaluation</t>
  </si>
  <si>
    <t>Au débit</t>
  </si>
  <si>
    <t>Conforme</t>
  </si>
  <si>
    <t>Type</t>
  </si>
  <si>
    <t>Annuelle</t>
  </si>
  <si>
    <t>En V</t>
  </si>
  <si>
    <t>Satisfaisant</t>
  </si>
  <si>
    <t>Mensuelle</t>
  </si>
  <si>
    <t>Débimètre DEM</t>
  </si>
  <si>
    <t>Débimètre gravitaire</t>
  </si>
  <si>
    <t>Préléveur</t>
  </si>
  <si>
    <t>Organe deprimogène (pito...)</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</si>
  <si>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</si>
  <si>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</si>
  <si>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</si>
  <si>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</si>
  <si>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</si>
  <si>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</si>
  <si>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</si>
  <si>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</si>
  <si>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</si>
  <si>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</si>
  <si>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</si>
  <si>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</si>
  <si>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</si>
  <si>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</si>
  <si>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</si>
  <si>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</si>
  <si>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</si>
  <si>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</si>
  <si>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</si>
  <si>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</si>
  <si>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</si>
  <si>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</si>
  <si>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</si>
  <si>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</si>
  <si>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</si>
  <si>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</si>
  <si>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</si>
  <si>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</si>
  <si>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</si>
  <si>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</si>
  <si>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</si>
  <si>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</si>
  <si>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</si>
  <si>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</si>
  <si>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</si>
  <si>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</si>
  <si>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</si>
  <si>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</si>
  <si>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</si>
  <si>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</si>
  <si>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</si>
  <si>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</si>
  <si>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</si>
  <si>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</si>
  <si>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</si>
  <si>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</si>
  <si>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</si>
  <si>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</si>
  <si>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</si>
  <si>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</si>
  <si>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</si>
  <si>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</si>
  <si>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</si>
  <si>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</si>
  <si>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</si>
  <si>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</si>
  <si>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</si>
  <si>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</si>
  <si>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</si>
  <si>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</si>
  <si>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</si>
  <si>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</si>
  <si>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</si>
  <si>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</si>
  <si>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</si>
  <si>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</si>
  <si>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</si>
  <si>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</si>
  <si>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</si>
  <si>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</si>
  <si>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</si>
  <si>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</si>
  <si>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</si>
  <si>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</si>
  <si>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</si>
  <si>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</si>
  <si>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</si>
  <si>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</si>
  <si>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</si>
  <si>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</si>
  <si>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</si>
  <si>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</si>
  <si>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</si>
  <si>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</si>
  <si>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</si>
  <si>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</si>
  <si>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</si>
  <si>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</si>
  <si>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</si>
  <si>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</si>
  <si>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</si>
  <si>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</si>
  <si>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</si>
  <si>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</si>
  <si>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</si>
  <si>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</si>
  <si>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</si>
  <si>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</si>
  <si>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</si>
  <si>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</si>
  <si>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</si>
  <si>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</si>
  <si>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</si>
  <si>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En direct</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</si>
  <si>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</si>
  <si>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</si>
  <si>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</si>
  <si>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</si>
  <si>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</si>
  <si>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</si>
  <si>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</si>
  <si>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</si>
  <si>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</si>
  <si>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</si>
  <si>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Libellé des critères</t>
  </si>
  <si>
    <t>Note</t>
  </si>
  <si>
    <t>CONTRÔLE ANNUEL DES DISPOSITIFS D'AUTOSURVEILLANCE DES SYSTÈMES D'ASSAINISSEMENT COLLECTIF</t>
  </si>
  <si>
    <t>Vérification de la température</t>
  </si>
  <si>
    <t>Écart en °C (Te - Ti)
EMT ± 1°C</t>
  </si>
  <si>
    <t>Équipement de contrôle installé</t>
  </si>
  <si>
    <t>Équipement existant sur site</t>
  </si>
  <si>
    <t>Points</t>
  </si>
  <si>
    <t>Ponctuelle</t>
  </si>
  <si>
    <t>En continu</t>
  </si>
  <si>
    <t>Listes méthode contrôle</t>
  </si>
  <si>
    <t>Méthode</t>
  </si>
  <si>
    <t>…</t>
  </si>
  <si>
    <t>Simulation d'une hauteur d'eau (plaque)</t>
  </si>
  <si>
    <t>Mesure en parallèle</t>
  </si>
  <si>
    <t>Simulation d'une hauteur d'eau et mesure en parallèle</t>
  </si>
  <si>
    <t>Température extérieure
en °C</t>
  </si>
  <si>
    <r>
      <t>CONTRÔLE DE L'</t>
    </r>
    <r>
      <rPr>
        <b/>
        <sz val="18"/>
        <color theme="0"/>
        <rFont val="Calibri"/>
        <family val="2"/>
      </rPr>
      <t>É</t>
    </r>
    <r>
      <rPr>
        <b/>
        <sz val="18"/>
        <color theme="0"/>
        <rFont val="Calibri"/>
        <family val="2"/>
        <scheme val="minor"/>
      </rPr>
      <t>QUIPEMENT</t>
    </r>
  </si>
  <si>
    <t>ÉVALUATION</t>
  </si>
  <si>
    <t>AXES D'AMÉLIORATION</t>
  </si>
  <si>
    <t xml:space="preserve">CODE SANDRE : </t>
  </si>
  <si>
    <t xml:space="preserve">MAITRE D'OUVRAGE : </t>
  </si>
  <si>
    <t xml:space="preserve">EXPLOITANT : </t>
  </si>
  <si>
    <t xml:space="preserve">LOCALISATION : </t>
  </si>
  <si>
    <t xml:space="preserve">TYPE DE MATERIEL : </t>
  </si>
  <si>
    <t xml:space="preserve">ORGANISME DE CONTRÔLE : </t>
  </si>
  <si>
    <t xml:space="preserve">DATE(S) D'INTERVENTION : </t>
  </si>
  <si>
    <t xml:space="preserve">STATION / RÉSEAU : </t>
  </si>
  <si>
    <t xml:space="preserve">CODE DU POINT : </t>
  </si>
  <si>
    <t xml:space="preserve">TYPE D'ÉQUIPEMENT : </t>
  </si>
  <si>
    <t xml:space="preserve">NOM(S) DU(ES) CONTROLEUR(S) : </t>
  </si>
  <si>
    <t xml:space="preserve">CONDITION(S) MÉTÉO : </t>
  </si>
  <si>
    <t xml:space="preserve">Marque de l'équipement : </t>
  </si>
  <si>
    <t xml:space="preserve">Modèle de l'équipement : </t>
  </si>
  <si>
    <t xml:space="preserve">Type d'appareil : </t>
  </si>
  <si>
    <t xml:space="preserve">Localisation exacte du dispositif : </t>
  </si>
  <si>
    <t xml:space="preserve">Report en supervision (O/N) : </t>
  </si>
  <si>
    <t xml:space="preserve">Incertitude de mesure (°C) : </t>
  </si>
  <si>
    <t xml:space="preserve">Numéro de l'équipement : </t>
  </si>
  <si>
    <t xml:space="preserve">Date du dernier étalonnage : </t>
  </si>
  <si>
    <t>Organe déprimogène (pito...)</t>
  </si>
  <si>
    <t>Compteur mécanique</t>
  </si>
  <si>
    <t>En cas d'accès nécessitant des équipements de protection individuels renforcés (ARI par exemple) ou d'intervenir à 2 personnes, retenir "Validé avec réserve"</t>
  </si>
  <si>
    <t>L'implantation du capteur respecte t-elle les normes en vigueur et/ou les prescriptions du constructeur, ainsi que les prescription définies dans l'étude COACHs ?</t>
  </si>
  <si>
    <t>L'implantation du capteur respecte t-elle les normes en vigueur et/ou les prescriptions du constructeur, ainsi que les prescription définies dans l'étude de modélisation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</si>
  <si>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</si>
  <si>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L'organe de mesure, y compris les canaux d'approche et de fuite, sont-ils installés conformément aux normes en vigueur et/ou aux prescriptions du constructeur ?
L'organe de mesure, y compris les canaux d'approche et de fuite, sont-ils exempts de déformation ? Dans la négative, est ce que la déformation a un impact significatif sur la mesure de débit ?</t>
  </si>
  <si>
    <t xml:space="preserve">Le caisson et les capteurs associés, sont-ils installés conformément aux prescriptions en vigueur ? </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</si>
  <si>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</si>
  <si>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</si>
  <si>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</si>
  <si>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L'écart entre d'une part la mesure de la hauteur de pluie réalisée à partir du dispositif en place et celle réalisée par l'organisme de contrôle d'autre part, est-il cohérent (EMT ± 1 unité) ?</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</si>
  <si>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</si>
  <si>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t>Le capteur de mesure de hauteur d'eau est-il adapté au type d'effluent et à l'environnement rencontrés (mousses, températures, déchets, etc...) et présente t-il un état de fonctionnement satisfaisant ?</t>
  </si>
  <si>
    <t>L'inclinomètre est-il adapté à l'environnement rencontré et présente t-il un état de fonctionnement satisfaisant ?</t>
  </si>
  <si>
    <t>Tolérance de validation à 4 prélèvements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</si>
  <si>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</si>
  <si>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Réserve</t>
  </si>
  <si>
    <t>-</t>
  </si>
  <si>
    <t>LISTE_6</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</si>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</sst>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0"/>
      <color theme="1"/>
      <name val="Arial"/>
      <family val="2"/>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sz val="8"/>
      <name val="Arial"/>
      <family val="2"/>
    </font>
    <font>
      <sz val="10"/>
      <name val="Arial"/>
      <family val="2"/>
    </font>
    <font>
      <b/>
      <sz val="18"/>
      <color theme="1"/>
      <name val="Arial"/>
      <family val="2"/>
    </font>
    <font>
      <sz val="8"/>
      <color theme="0"/>
      <name val="Arial"/>
      <family val="2"/>
    </font>
    <font>
      <sz val="9"/>
      <color theme="1"/>
      <name val="Arial"/>
      <family val="2"/>
    </font>
    <font>
      <sz val="11"/>
      <name val="Calibri"/>
      <family val="2"/>
      <scheme val="minor"/>
    </font>
    <font>
      <b/>
      <sz val="20"/>
      <color theme="0"/>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1"/>
      <color theme="4"/>
      <name val="Calibri"/>
      <family val="2"/>
      <scheme val="minor"/>
    </font>
    <font>
      <sz val="12"/>
      <color theme="1"/>
      <name val="Calibri"/>
      <family val="2"/>
      <scheme val="minor"/>
    </font>
    <font>
      <b/>
      <sz val="14"/>
      <color theme="0"/>
      <name val="Calibri"/>
      <family val="2"/>
      <scheme val="minor"/>
    </font>
    <font>
      <sz val="10"/>
      <name val="Calibri"/>
      <family val="2"/>
      <scheme val="minor"/>
    </font>
    <font>
      <b/>
      <sz val="11"/>
      <color theme="1"/>
      <name val="Calibri"/>
      <family val="2"/>
      <scheme val="minor"/>
    </font>
    <font>
      <b/>
      <sz val="10"/>
      <color theme="1"/>
      <name val="Calibri"/>
      <family val="2"/>
      <scheme val="minor"/>
    </font>
    <font>
      <sz val="10"/>
      <color theme="2"/>
      <name val="Arial"/>
      <family val="2"/>
    </font>
    <font>
      <sz val="1"/>
      <color theme="2"/>
      <name val="Calibri"/>
      <family val="2"/>
      <scheme val="minor"/>
    </font>
    <font>
      <b/>
      <sz val="20"/>
      <color theme="1"/>
      <name val="Calibri"/>
      <family val="2"/>
      <scheme val="minor"/>
    </font>
    <font>
      <b/>
      <sz val="18"/>
      <color theme="0"/>
      <name val="Calibri"/>
      <family val="2"/>
    </font>
  </fonts>
  <fills count="21">
    <fill>
      <patternFill patternType="none"/>
    </fill>
    <fill>
      <patternFill patternType="gray125"/>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66"/>
        <bgColor indexed="64"/>
      </patternFill>
    </fill>
    <fill>
      <patternFill patternType="solid">
        <fgColor rgb="FFFFC000"/>
        <bgColor indexed="64"/>
      </patternFill>
    </fill>
    <fill>
      <patternFill patternType="solid">
        <fgColor rgb="FFFFFFB9"/>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8FC5EC"/>
        <bgColor indexed="64"/>
      </patternFill>
    </fill>
    <fill>
      <patternFill patternType="solid">
        <fgColor them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6"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theme="4" tint="-0.249977111117893"/>
        <bgColor indexed="64"/>
      </patternFill>
    </fill>
    <fill>
      <patternFill patternType="gray0625">
        <bgColor theme="2"/>
      </patternFill>
    </fill>
  </fills>
  <borders count="7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right style="thin">
        <color theme="0" tint="-0.34998626667073579"/>
      </right>
      <top/>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ck">
        <color theme="9"/>
      </left>
      <right/>
      <top/>
      <bottom/>
      <diagonal/>
    </border>
    <border>
      <left/>
      <right style="thick">
        <color theme="9"/>
      </right>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4">
    <xf numFmtId="0" fontId="0" fillId="0" borderId="0"/>
    <xf numFmtId="0" fontId="7" fillId="0" borderId="0"/>
    <xf numFmtId="9" fontId="7" fillId="0" borderId="0" applyFont="0" applyFill="0" applyBorder="0" applyAlignment="0" applyProtection="0"/>
    <xf numFmtId="0" fontId="2" fillId="0" borderId="0"/>
  </cellStyleXfs>
  <cellXfs count="224">
    <xf numFmtId="0" fontId="0" fillId="0" borderId="0" xfId="0"/>
    <xf numFmtId="0" fontId="0" fillId="0" borderId="0" xfId="0" applyAlignment="1">
      <alignment horizontal="center"/>
    </xf>
    <xf numFmtId="0" fontId="9" fillId="4" borderId="4" xfId="0" applyFont="1" applyFill="1" applyBorder="1" applyAlignment="1">
      <alignment horizontal="center" vertical="center"/>
    </xf>
    <xf numFmtId="0" fontId="7" fillId="0" borderId="0" xfId="0" applyFont="1" applyAlignment="1">
      <alignment horizontal="center"/>
    </xf>
    <xf numFmtId="0" fontId="6" fillId="5" borderId="4" xfId="0" applyFont="1" applyFill="1" applyBorder="1" applyAlignment="1">
      <alignment horizontal="center" vertical="center"/>
    </xf>
    <xf numFmtId="0" fontId="7" fillId="0" borderId="0" xfId="0" applyFont="1" applyAlignment="1">
      <alignment horizontal="center" vertical="center"/>
    </xf>
    <xf numFmtId="0" fontId="6" fillId="6" borderId="4" xfId="0" applyFont="1" applyFill="1" applyBorder="1" applyAlignment="1">
      <alignment horizontal="center" vertical="center"/>
    </xf>
    <xf numFmtId="0" fontId="0" fillId="0" borderId="0" xfId="0" applyAlignment="1">
      <alignment vertical="center"/>
    </xf>
    <xf numFmtId="0" fontId="0" fillId="3" borderId="0" xfId="0" applyFill="1"/>
    <xf numFmtId="0" fontId="0" fillId="7" borderId="0" xfId="0" applyFill="1"/>
    <xf numFmtId="0" fontId="4" fillId="8" borderId="15" xfId="0" applyFont="1" applyFill="1" applyBorder="1" applyAlignment="1">
      <alignment horizontal="center" vertical="center" wrapText="1"/>
    </xf>
    <xf numFmtId="0" fontId="0" fillId="8" borderId="16" xfId="0" applyFill="1" applyBorder="1" applyAlignment="1">
      <alignment vertical="top" wrapText="1"/>
    </xf>
    <xf numFmtId="0" fontId="0" fillId="8" borderId="17" xfId="0" applyFill="1" applyBorder="1" applyAlignment="1">
      <alignment vertical="top" wrapText="1"/>
    </xf>
    <xf numFmtId="0" fontId="0" fillId="8" borderId="17" xfId="0" applyFill="1" applyBorder="1" applyAlignment="1">
      <alignment horizontal="center" vertical="top" wrapText="1"/>
    </xf>
    <xf numFmtId="0" fontId="0" fillId="8" borderId="18" xfId="0" applyFill="1" applyBorder="1" applyAlignment="1">
      <alignment horizontal="center" vertical="top" wrapText="1"/>
    </xf>
    <xf numFmtId="0" fontId="0" fillId="8" borderId="19" xfId="0" applyFill="1" applyBorder="1" applyAlignment="1">
      <alignment vertical="top" wrapText="1"/>
    </xf>
    <xf numFmtId="0" fontId="4" fillId="8" borderId="20" xfId="0" applyFont="1" applyFill="1" applyBorder="1" applyAlignment="1">
      <alignment horizontal="center" vertical="center" wrapText="1"/>
    </xf>
    <xf numFmtId="0" fontId="0" fillId="8" borderId="21" xfId="0" applyFill="1" applyBorder="1" applyAlignment="1">
      <alignment vertical="top" wrapText="1"/>
    </xf>
    <xf numFmtId="0" fontId="0" fillId="8" borderId="22" xfId="0" applyFill="1" applyBorder="1" applyAlignment="1">
      <alignment vertical="top" wrapText="1"/>
    </xf>
    <xf numFmtId="0" fontId="0" fillId="8" borderId="22" xfId="0" applyFill="1" applyBorder="1" applyAlignment="1">
      <alignment horizontal="center" vertical="top" wrapText="1"/>
    </xf>
    <xf numFmtId="0" fontId="0" fillId="8" borderId="23" xfId="0" applyFill="1" applyBorder="1" applyAlignment="1">
      <alignment horizontal="center" vertical="top" wrapText="1"/>
    </xf>
    <xf numFmtId="0" fontId="0" fillId="8" borderId="24" xfId="0" applyFill="1" applyBorder="1" applyAlignment="1">
      <alignment vertical="top" wrapText="1"/>
    </xf>
    <xf numFmtId="0" fontId="14" fillId="8" borderId="22" xfId="0" applyFont="1" applyFill="1" applyBorder="1" applyAlignment="1">
      <alignment vertical="top" wrapText="1"/>
    </xf>
    <xf numFmtId="0" fontId="20" fillId="8" borderId="21" xfId="0" applyFont="1" applyFill="1" applyBorder="1" applyAlignment="1">
      <alignment vertical="top" wrapText="1"/>
    </xf>
    <xf numFmtId="0" fontId="20" fillId="8" borderId="22" xfId="0" applyFont="1" applyFill="1" applyBorder="1" applyAlignment="1">
      <alignment vertical="top" wrapText="1"/>
    </xf>
    <xf numFmtId="0" fontId="20" fillId="8" borderId="22" xfId="0" applyFont="1" applyFill="1" applyBorder="1" applyAlignment="1">
      <alignment horizontal="center" vertical="top" wrapText="1"/>
    </xf>
    <xf numFmtId="0" fontId="20" fillId="8" borderId="23" xfId="0" applyFont="1" applyFill="1" applyBorder="1" applyAlignment="1">
      <alignment horizontal="center" vertical="top" wrapText="1"/>
    </xf>
    <xf numFmtId="0" fontId="7" fillId="8" borderId="22" xfId="0" applyFont="1" applyFill="1" applyBorder="1" applyAlignment="1">
      <alignment vertical="top" wrapText="1"/>
    </xf>
    <xf numFmtId="0" fontId="0" fillId="0" borderId="24" xfId="0" applyBorder="1" applyAlignment="1">
      <alignment vertical="top" wrapText="1"/>
    </xf>
    <xf numFmtId="0" fontId="0" fillId="9" borderId="0" xfId="0" applyFill="1" applyAlignment="1">
      <alignment vertical="top" wrapText="1"/>
    </xf>
    <xf numFmtId="0" fontId="4" fillId="8" borderId="26" xfId="0" applyFont="1" applyFill="1" applyBorder="1" applyAlignment="1">
      <alignment horizontal="center" vertical="center" wrapText="1"/>
    </xf>
    <xf numFmtId="0" fontId="0" fillId="0" borderId="27" xfId="0" applyBorder="1" applyAlignment="1">
      <alignment vertical="top" wrapText="1"/>
    </xf>
    <xf numFmtId="0" fontId="0" fillId="0" borderId="28" xfId="0" applyBorder="1" applyAlignment="1">
      <alignment vertical="top" wrapText="1"/>
    </xf>
    <xf numFmtId="0" fontId="0" fillId="0" borderId="28" xfId="0" applyBorder="1" applyAlignment="1">
      <alignment horizontal="center" vertical="top" wrapText="1"/>
    </xf>
    <xf numFmtId="0" fontId="0" fillId="0" borderId="29" xfId="0" applyBorder="1" applyAlignment="1">
      <alignment horizontal="center" vertical="top" wrapText="1"/>
    </xf>
    <xf numFmtId="0" fontId="0" fillId="8" borderId="27" xfId="0" applyFill="1" applyBorder="1" applyAlignment="1">
      <alignment vertical="top" wrapText="1"/>
    </xf>
    <xf numFmtId="0" fontId="0" fillId="8" borderId="28" xfId="0" applyFill="1" applyBorder="1" applyAlignment="1">
      <alignment vertical="top" wrapText="1"/>
    </xf>
    <xf numFmtId="0" fontId="0" fillId="8" borderId="28" xfId="0" applyFill="1" applyBorder="1" applyAlignment="1">
      <alignment horizontal="center" vertical="top" wrapText="1"/>
    </xf>
    <xf numFmtId="0" fontId="0" fillId="8" borderId="29" xfId="0" applyFill="1" applyBorder="1" applyAlignment="1">
      <alignment horizontal="center" vertical="top" wrapText="1"/>
    </xf>
    <xf numFmtId="0" fontId="0" fillId="8" borderId="30" xfId="0" applyFill="1" applyBorder="1" applyAlignment="1">
      <alignment vertical="top" wrapText="1"/>
    </xf>
    <xf numFmtId="0" fontId="20" fillId="8" borderId="27" xfId="0" applyFont="1" applyFill="1" applyBorder="1" applyAlignment="1">
      <alignment vertical="top" wrapText="1"/>
    </xf>
    <xf numFmtId="0" fontId="20" fillId="8" borderId="28" xfId="0" applyFont="1" applyFill="1" applyBorder="1" applyAlignment="1">
      <alignment vertical="top" wrapText="1"/>
    </xf>
    <xf numFmtId="0" fontId="20" fillId="8" borderId="28" xfId="0" applyFont="1" applyFill="1" applyBorder="1" applyAlignment="1">
      <alignment horizontal="center" vertical="top" wrapText="1"/>
    </xf>
    <xf numFmtId="0" fontId="20" fillId="8" borderId="29" xfId="0" applyFont="1" applyFill="1" applyBorder="1" applyAlignment="1">
      <alignment horizontal="center" vertical="top" wrapText="1"/>
    </xf>
    <xf numFmtId="0" fontId="14" fillId="8" borderId="28" xfId="0" applyFont="1" applyFill="1" applyBorder="1" applyAlignment="1">
      <alignment vertical="top" wrapText="1"/>
    </xf>
    <xf numFmtId="0" fontId="0" fillId="0" borderId="0" xfId="0"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35" xfId="0" applyBorder="1" applyAlignment="1">
      <alignment wrapText="1"/>
    </xf>
    <xf numFmtId="0" fontId="0" fillId="8" borderId="0" xfId="0"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15" fillId="10" borderId="6" xfId="0" applyFont="1" applyFill="1" applyBorder="1" applyAlignment="1">
      <alignment horizontal="center" vertical="center"/>
    </xf>
    <xf numFmtId="0" fontId="15" fillId="10" borderId="8" xfId="0" applyFont="1" applyFill="1" applyBorder="1" applyAlignment="1">
      <alignment vertical="center"/>
    </xf>
    <xf numFmtId="0" fontId="15" fillId="10" borderId="8" xfId="0" applyFont="1" applyFill="1" applyBorder="1" applyAlignment="1">
      <alignment horizontal="center" vertical="center"/>
    </xf>
    <xf numFmtId="0" fontId="15" fillId="10" borderId="9" xfId="0" applyFont="1" applyFill="1" applyBorder="1" applyAlignment="1">
      <alignment horizontal="center" vertical="center"/>
    </xf>
    <xf numFmtId="0" fontId="15" fillId="10" borderId="10" xfId="0" applyFont="1" applyFill="1" applyBorder="1" applyAlignment="1">
      <alignment vertical="center"/>
    </xf>
    <xf numFmtId="0" fontId="16" fillId="10" borderId="8" xfId="0" applyFont="1" applyFill="1" applyBorder="1" applyAlignment="1">
      <alignment vertical="center"/>
    </xf>
    <xf numFmtId="0" fontId="17" fillId="10" borderId="8" xfId="0" applyFont="1" applyFill="1" applyBorder="1" applyAlignment="1">
      <alignment vertical="center"/>
    </xf>
    <xf numFmtId="0" fontId="17" fillId="10" borderId="8" xfId="0" applyFont="1" applyFill="1" applyBorder="1" applyAlignment="1">
      <alignment horizontal="center" vertical="center"/>
    </xf>
    <xf numFmtId="0" fontId="17" fillId="10" borderId="9" xfId="0" applyFont="1" applyFill="1" applyBorder="1" applyAlignment="1">
      <alignment horizontal="center" vertical="center"/>
    </xf>
    <xf numFmtId="0" fontId="15" fillId="10" borderId="11" xfId="0" applyFont="1" applyFill="1" applyBorder="1" applyAlignment="1">
      <alignment horizontal="center" vertical="center" wrapText="1"/>
    </xf>
    <xf numFmtId="0" fontId="18" fillId="10" borderId="12" xfId="0" applyFont="1" applyFill="1" applyBorder="1" applyAlignment="1">
      <alignment horizontal="center" vertical="center" wrapText="1"/>
    </xf>
    <xf numFmtId="0" fontId="18" fillId="10" borderId="13" xfId="0" applyFont="1" applyFill="1" applyBorder="1" applyAlignment="1">
      <alignment horizontal="center" vertical="center" wrapText="1"/>
    </xf>
    <xf numFmtId="0" fontId="18" fillId="10" borderId="14" xfId="0" applyFont="1" applyFill="1" applyBorder="1" applyAlignment="1">
      <alignment horizontal="center" vertical="center" wrapText="1"/>
    </xf>
    <xf numFmtId="0" fontId="4" fillId="11" borderId="20" xfId="0" applyFont="1" applyFill="1" applyBorder="1" applyAlignment="1">
      <alignment horizontal="center" vertical="center" wrapText="1"/>
    </xf>
    <xf numFmtId="0" fontId="0" fillId="11" borderId="21" xfId="0" applyFill="1" applyBorder="1" applyAlignment="1">
      <alignment vertical="top" wrapText="1"/>
    </xf>
    <xf numFmtId="0" fontId="0" fillId="11" borderId="22" xfId="0" applyFill="1" applyBorder="1" applyAlignment="1">
      <alignment vertical="top" wrapText="1"/>
    </xf>
    <xf numFmtId="0" fontId="0" fillId="11" borderId="22" xfId="0" applyFill="1" applyBorder="1" applyAlignment="1">
      <alignment horizontal="center" vertical="top" wrapText="1"/>
    </xf>
    <xf numFmtId="0" fontId="0" fillId="11" borderId="23" xfId="0" applyFill="1" applyBorder="1" applyAlignment="1">
      <alignment horizontal="center" vertical="top" wrapText="1"/>
    </xf>
    <xf numFmtId="0" fontId="0" fillId="11" borderId="24" xfId="0" applyFill="1" applyBorder="1" applyAlignment="1">
      <alignment vertical="top" wrapText="1"/>
    </xf>
    <xf numFmtId="0" fontId="14" fillId="11" borderId="22" xfId="0" applyFont="1" applyFill="1" applyBorder="1" applyAlignment="1">
      <alignment vertical="top" wrapText="1"/>
    </xf>
    <xf numFmtId="0" fontId="0" fillId="11" borderId="0" xfId="0" applyFill="1" applyAlignment="1">
      <alignment vertical="top" wrapText="1"/>
    </xf>
    <xf numFmtId="0" fontId="20" fillId="11" borderId="21" xfId="0" applyFont="1" applyFill="1" applyBorder="1" applyAlignment="1">
      <alignment vertical="top" wrapText="1"/>
    </xf>
    <xf numFmtId="0" fontId="20" fillId="11" borderId="22" xfId="0" applyFont="1" applyFill="1" applyBorder="1" applyAlignment="1">
      <alignment vertical="top" wrapText="1"/>
    </xf>
    <xf numFmtId="0" fontId="20" fillId="11" borderId="22" xfId="0" applyFont="1" applyFill="1" applyBorder="1" applyAlignment="1">
      <alignment horizontal="center" vertical="top" wrapText="1"/>
    </xf>
    <xf numFmtId="0" fontId="20" fillId="11" borderId="23" xfId="0" applyFont="1" applyFill="1" applyBorder="1" applyAlignment="1">
      <alignment horizontal="center" vertical="top" wrapText="1"/>
    </xf>
    <xf numFmtId="0" fontId="0" fillId="11" borderId="25" xfId="0" applyFill="1" applyBorder="1" applyAlignment="1">
      <alignment vertical="top" wrapText="1"/>
    </xf>
    <xf numFmtId="0" fontId="4" fillId="11" borderId="7" xfId="0" applyFont="1" applyFill="1" applyBorder="1" applyAlignment="1">
      <alignment horizontal="center" vertical="center" wrapText="1"/>
    </xf>
    <xf numFmtId="0" fontId="0" fillId="11" borderId="31" xfId="0" applyFill="1" applyBorder="1" applyAlignment="1">
      <alignment vertical="top" wrapText="1"/>
    </xf>
    <xf numFmtId="0" fontId="0" fillId="11" borderId="32" xfId="0" applyFill="1" applyBorder="1" applyAlignment="1">
      <alignment vertical="top" wrapText="1"/>
    </xf>
    <xf numFmtId="0" fontId="0" fillId="11" borderId="32" xfId="0" applyFill="1" applyBorder="1" applyAlignment="1">
      <alignment horizontal="center" vertical="top" wrapText="1"/>
    </xf>
    <xf numFmtId="0" fontId="0" fillId="11" borderId="33" xfId="0" applyFill="1" applyBorder="1" applyAlignment="1">
      <alignment horizontal="center" vertical="top" wrapText="1"/>
    </xf>
    <xf numFmtId="0" fontId="0" fillId="11" borderId="34" xfId="0" applyFill="1" applyBorder="1" applyAlignment="1">
      <alignment vertical="top" wrapText="1"/>
    </xf>
    <xf numFmtId="0" fontId="3" fillId="10" borderId="0" xfId="0" applyFont="1" applyFill="1"/>
    <xf numFmtId="0" fontId="3" fillId="10" borderId="0" xfId="0" applyFont="1" applyFill="1" applyAlignment="1">
      <alignment horizontal="center"/>
    </xf>
    <xf numFmtId="0" fontId="6" fillId="11" borderId="4" xfId="0" applyFont="1" applyFill="1" applyBorder="1" applyAlignment="1">
      <alignment horizontal="center" vertical="center"/>
    </xf>
    <xf numFmtId="0" fontId="5" fillId="11" borderId="0" xfId="0" applyFont="1" applyFill="1"/>
    <xf numFmtId="0" fontId="3" fillId="11" borderId="0" xfId="0" applyFont="1" applyFill="1"/>
    <xf numFmtId="0" fontId="27" fillId="0" borderId="36" xfId="0" applyFont="1" applyBorder="1" applyAlignment="1">
      <alignment horizontal="left" vertical="center"/>
    </xf>
    <xf numFmtId="0" fontId="27" fillId="0" borderId="37" xfId="0" applyFont="1" applyBorder="1" applyAlignment="1">
      <alignment horizontal="left" vertical="center"/>
    </xf>
    <xf numFmtId="0" fontId="27" fillId="0" borderId="38" xfId="0" applyFont="1" applyBorder="1" applyAlignment="1">
      <alignment horizontal="left" vertical="center"/>
    </xf>
    <xf numFmtId="0" fontId="13" fillId="0" borderId="39" xfId="0" applyFont="1" applyBorder="1" applyAlignment="1">
      <alignment vertical="center"/>
    </xf>
    <xf numFmtId="0" fontId="13" fillId="0" borderId="43" xfId="0" applyFont="1" applyBorder="1" applyAlignment="1">
      <alignment vertical="center"/>
    </xf>
    <xf numFmtId="0" fontId="1" fillId="0" borderId="39" xfId="0" applyFont="1" applyBorder="1" applyAlignment="1">
      <alignment horizontal="left" vertical="center"/>
    </xf>
    <xf numFmtId="0" fontId="1" fillId="0" borderId="43" xfId="0" applyFont="1" applyBorder="1" applyAlignment="1">
      <alignment horizontal="left" vertical="center"/>
    </xf>
    <xf numFmtId="0" fontId="29" fillId="0" borderId="39" xfId="0" applyFont="1" applyBorder="1" applyAlignment="1">
      <alignment horizontal="left" vertical="center"/>
    </xf>
    <xf numFmtId="0" fontId="29" fillId="0" borderId="43" xfId="0" applyFont="1" applyBorder="1" applyAlignment="1">
      <alignment horizontal="left" vertical="center"/>
    </xf>
    <xf numFmtId="0" fontId="29" fillId="0" borderId="0" xfId="0" applyFont="1" applyAlignment="1">
      <alignment horizontal="left" vertical="center"/>
    </xf>
    <xf numFmtId="0" fontId="0" fillId="0" borderId="39" xfId="0" applyBorder="1" applyAlignment="1">
      <alignment horizontal="center" vertical="center"/>
    </xf>
    <xf numFmtId="0" fontId="0" fillId="0" borderId="0" xfId="0" applyAlignment="1">
      <alignment horizontal="center" vertical="center"/>
    </xf>
    <xf numFmtId="0" fontId="0" fillId="0" borderId="43" xfId="0" applyBorder="1" applyAlignment="1">
      <alignment horizontal="center" vertical="center"/>
    </xf>
    <xf numFmtId="0" fontId="0" fillId="12" borderId="0" xfId="0" applyFill="1" applyAlignment="1">
      <alignment horizontal="center" vertical="center"/>
    </xf>
    <xf numFmtId="0" fontId="30" fillId="0" borderId="0" xfId="0" applyFont="1" applyAlignment="1">
      <alignment vertical="center"/>
    </xf>
    <xf numFmtId="0" fontId="0" fillId="12" borderId="0" xfId="0" applyFill="1" applyAlignment="1">
      <alignment vertical="center"/>
    </xf>
    <xf numFmtId="0" fontId="0" fillId="0" borderId="39" xfId="0" applyBorder="1" applyAlignment="1">
      <alignment vertical="center"/>
    </xf>
    <xf numFmtId="0" fontId="0" fillId="0" borderId="43" xfId="0" applyBorder="1" applyAlignment="1">
      <alignment vertical="center"/>
    </xf>
    <xf numFmtId="0" fontId="0" fillId="0" borderId="53" xfId="0" applyBorder="1" applyAlignment="1">
      <alignment vertical="center"/>
    </xf>
    <xf numFmtId="0" fontId="0" fillId="0" borderId="54" xfId="0" applyBorder="1" applyAlignment="1">
      <alignment vertical="center"/>
    </xf>
    <xf numFmtId="0" fontId="0" fillId="0" borderId="55" xfId="0"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27" fillId="0" borderId="58" xfId="0" applyFont="1" applyBorder="1" applyAlignment="1">
      <alignment vertical="center"/>
    </xf>
    <xf numFmtId="0" fontId="27" fillId="0" borderId="59" xfId="0" applyFont="1" applyBorder="1" applyAlignment="1">
      <alignment vertical="center"/>
    </xf>
    <xf numFmtId="0" fontId="27" fillId="18" borderId="4" xfId="0" applyFont="1" applyFill="1" applyBorder="1" applyAlignment="1">
      <alignment horizontal="center" vertical="center"/>
    </xf>
    <xf numFmtId="0" fontId="27" fillId="0" borderId="60" xfId="0" applyFont="1" applyBorder="1" applyAlignment="1">
      <alignment vertical="center"/>
    </xf>
    <xf numFmtId="0" fontId="27" fillId="0" borderId="61" xfId="0" applyFont="1" applyBorder="1" applyAlignment="1">
      <alignment vertical="center"/>
    </xf>
    <xf numFmtId="0" fontId="27" fillId="0" borderId="62" xfId="0" applyFont="1" applyBorder="1" applyAlignment="1">
      <alignment vertical="center"/>
    </xf>
    <xf numFmtId="0" fontId="27" fillId="0" borderId="0" xfId="0" applyFont="1" applyAlignment="1">
      <alignment vertical="center"/>
    </xf>
    <xf numFmtId="0" fontId="33" fillId="16" borderId="4" xfId="0" applyFont="1" applyFill="1" applyBorder="1" applyAlignment="1">
      <alignment horizontal="center" vertical="center"/>
    </xf>
    <xf numFmtId="0" fontId="27" fillId="12" borderId="4" xfId="0" applyFont="1" applyFill="1" applyBorder="1" applyAlignment="1">
      <alignment horizontal="center" vertical="center"/>
    </xf>
    <xf numFmtId="0" fontId="34" fillId="12" borderId="0" xfId="0" applyFont="1" applyFill="1" applyAlignment="1">
      <alignment vertical="center"/>
    </xf>
    <xf numFmtId="0" fontId="34" fillId="12" borderId="0" xfId="0" applyFont="1" applyFill="1" applyAlignment="1">
      <alignment horizontal="center" vertical="center"/>
    </xf>
    <xf numFmtId="0" fontId="3" fillId="4" borderId="0" xfId="0" applyFont="1" applyFill="1"/>
    <xf numFmtId="0" fontId="5" fillId="19" borderId="0" xfId="0" applyFont="1" applyFill="1"/>
    <xf numFmtId="0" fontId="7" fillId="0" borderId="0" xfId="0" applyFont="1"/>
    <xf numFmtId="0" fontId="16" fillId="10" borderId="63" xfId="0" applyFont="1" applyFill="1" applyBorder="1" applyAlignment="1">
      <alignment vertical="center"/>
    </xf>
    <xf numFmtId="0" fontId="17" fillId="10" borderId="64" xfId="0" applyFont="1" applyFill="1" applyBorder="1" applyAlignment="1">
      <alignment vertical="center"/>
    </xf>
    <xf numFmtId="0" fontId="17" fillId="10" borderId="64" xfId="0" applyFont="1" applyFill="1" applyBorder="1" applyAlignment="1">
      <alignment horizontal="center" vertical="center"/>
    </xf>
    <xf numFmtId="0" fontId="17" fillId="10" borderId="65" xfId="0" applyFont="1" applyFill="1" applyBorder="1" applyAlignment="1">
      <alignment horizontal="center" vertical="center"/>
    </xf>
    <xf numFmtId="0" fontId="18" fillId="10" borderId="66" xfId="0" applyFont="1" applyFill="1" applyBorder="1" applyAlignment="1">
      <alignment horizontal="center" vertical="center" wrapText="1"/>
    </xf>
    <xf numFmtId="0" fontId="18" fillId="10" borderId="67" xfId="0" applyFont="1" applyFill="1" applyBorder="1" applyAlignment="1">
      <alignment horizontal="center" vertical="center" wrapText="1"/>
    </xf>
    <xf numFmtId="0" fontId="0" fillId="8" borderId="68" xfId="0" applyFill="1" applyBorder="1" applyAlignment="1">
      <alignment horizontal="center" vertical="top" wrapText="1"/>
    </xf>
    <xf numFmtId="0" fontId="0" fillId="8" borderId="69" xfId="0" applyFill="1" applyBorder="1" applyAlignment="1">
      <alignment vertical="top" wrapText="1"/>
    </xf>
    <xf numFmtId="0" fontId="0" fillId="8" borderId="70" xfId="0" applyFill="1" applyBorder="1" applyAlignment="1">
      <alignment horizontal="center" vertical="top" wrapText="1"/>
    </xf>
    <xf numFmtId="0" fontId="0" fillId="11" borderId="71" xfId="0" applyFill="1" applyBorder="1" applyAlignment="1">
      <alignment horizontal="center" vertical="top" wrapText="1"/>
    </xf>
    <xf numFmtId="0" fontId="0" fillId="11" borderId="72" xfId="0" applyFill="1" applyBorder="1" applyAlignment="1">
      <alignment vertical="top" wrapText="1"/>
    </xf>
    <xf numFmtId="0" fontId="0" fillId="11" borderId="73" xfId="0" applyFill="1" applyBorder="1" applyAlignment="1">
      <alignment horizontal="center" vertical="top" wrapText="1"/>
    </xf>
    <xf numFmtId="0" fontId="0" fillId="8" borderId="71" xfId="0" applyFill="1" applyBorder="1" applyAlignment="1">
      <alignment horizontal="center" vertical="top" wrapText="1"/>
    </xf>
    <xf numFmtId="0" fontId="0" fillId="8" borderId="72" xfId="0" applyFill="1" applyBorder="1" applyAlignment="1">
      <alignment vertical="top" wrapText="1"/>
    </xf>
    <xf numFmtId="0" fontId="0" fillId="8" borderId="73" xfId="0" applyFill="1" applyBorder="1" applyAlignment="1">
      <alignment horizontal="center" vertical="top" wrapText="1"/>
    </xf>
    <xf numFmtId="0" fontId="0" fillId="8" borderId="73" xfId="0" applyFill="1" applyBorder="1" applyAlignment="1">
      <alignment vertical="top" wrapText="1"/>
    </xf>
    <xf numFmtId="0" fontId="0" fillId="8" borderId="74" xfId="0" applyFill="1" applyBorder="1" applyAlignment="1">
      <alignment horizontal="center" vertical="top" wrapText="1"/>
    </xf>
    <xf numFmtId="0" fontId="0" fillId="11" borderId="75" xfId="0" applyFill="1" applyBorder="1" applyAlignment="1">
      <alignment horizontal="center" vertical="top" wrapText="1"/>
    </xf>
    <xf numFmtId="0" fontId="0" fillId="8" borderId="76" xfId="0" applyFill="1" applyBorder="1" applyAlignment="1">
      <alignment vertical="top" wrapText="1"/>
    </xf>
    <xf numFmtId="0" fontId="0" fillId="8" borderId="77" xfId="0" applyFill="1" applyBorder="1" applyAlignment="1">
      <alignment vertical="top" wrapText="1"/>
    </xf>
    <xf numFmtId="0" fontId="0" fillId="8" borderId="77" xfId="0" applyFill="1" applyBorder="1" applyAlignment="1">
      <alignment horizontal="center" vertical="top" wrapText="1"/>
    </xf>
    <xf numFmtId="0" fontId="0" fillId="8" borderId="78" xfId="0" applyFill="1" applyBorder="1" applyAlignment="1">
      <alignment horizontal="center" vertical="top" wrapText="1"/>
    </xf>
    <xf numFmtId="0" fontId="30" fillId="15" borderId="4" xfId="0" applyFont="1" applyFill="1" applyBorder="1" applyAlignment="1">
      <alignment horizontal="left" vertical="center"/>
    </xf>
    <xf numFmtId="0" fontId="31" fillId="16" borderId="1" xfId="0" applyFont="1" applyFill="1" applyBorder="1" applyAlignment="1">
      <alignment horizontal="right" vertical="center"/>
    </xf>
    <xf numFmtId="0" fontId="31" fillId="16" borderId="2" xfId="0" applyFont="1" applyFill="1" applyBorder="1" applyAlignment="1">
      <alignment horizontal="right" vertical="center"/>
    </xf>
    <xf numFmtId="0" fontId="31" fillId="16" borderId="3" xfId="0" applyFont="1" applyFill="1" applyBorder="1" applyAlignment="1">
      <alignment horizontal="right" vertical="center"/>
    </xf>
    <xf numFmtId="0" fontId="7" fillId="0" borderId="1" xfId="0" applyFont="1" applyBorder="1" applyAlignment="1" applyProtection="1">
      <alignment horizontal="left" vertical="center"/>
      <protection locked="0"/>
    </xf>
    <xf numFmtId="0" fontId="7" fillId="0" borderId="2" xfId="0" applyFont="1" applyBorder="1" applyAlignment="1" applyProtection="1">
      <alignment horizontal="left" vertical="center"/>
      <protection locked="0"/>
    </xf>
    <xf numFmtId="0" fontId="7" fillId="0" borderId="3" xfId="0" applyFont="1" applyBorder="1" applyAlignment="1" applyProtection="1">
      <alignment horizontal="left" vertical="center"/>
      <protection locked="0"/>
    </xf>
    <xf numFmtId="14" fontId="7" fillId="0" borderId="1" xfId="0" applyNumberFormat="1" applyFont="1" applyBorder="1" applyAlignment="1" applyProtection="1">
      <alignment horizontal="left" vertical="center"/>
      <protection locked="0"/>
    </xf>
    <xf numFmtId="14" fontId="7" fillId="0" borderId="2" xfId="0" applyNumberFormat="1" applyFont="1" applyBorder="1" applyAlignment="1" applyProtection="1">
      <alignment horizontal="left" vertical="center"/>
      <protection locked="0"/>
    </xf>
    <xf numFmtId="14" fontId="7" fillId="0" borderId="3" xfId="0" applyNumberFormat="1" applyFont="1" applyBorder="1" applyAlignment="1" applyProtection="1">
      <alignment horizontal="left" vertical="center"/>
      <protection locked="0"/>
    </xf>
    <xf numFmtId="2" fontId="7" fillId="0" borderId="1" xfId="0" applyNumberFormat="1" applyFont="1" applyBorder="1" applyAlignment="1" applyProtection="1">
      <alignment horizontal="left" vertical="center" wrapText="1"/>
      <protection locked="0"/>
    </xf>
    <xf numFmtId="2" fontId="7" fillId="0" borderId="2" xfId="0" applyNumberFormat="1" applyFont="1" applyBorder="1" applyAlignment="1" applyProtection="1">
      <alignment horizontal="left" vertical="center" wrapText="1"/>
      <protection locked="0"/>
    </xf>
    <xf numFmtId="2" fontId="7" fillId="0" borderId="3" xfId="0" applyNumberFormat="1" applyFont="1" applyBorder="1" applyAlignment="1" applyProtection="1">
      <alignment horizontal="left" vertical="center" wrapText="1"/>
      <protection locked="0"/>
    </xf>
    <xf numFmtId="0" fontId="13" fillId="14" borderId="50" xfId="0" applyFont="1" applyFill="1" applyBorder="1" applyAlignment="1">
      <alignment horizontal="left" vertical="center"/>
    </xf>
    <xf numFmtId="0" fontId="13" fillId="14" borderId="51" xfId="0" applyFont="1" applyFill="1" applyBorder="1" applyAlignment="1">
      <alignment horizontal="left" vertical="center"/>
    </xf>
    <xf numFmtId="0" fontId="13" fillId="14" borderId="52" xfId="0" applyFont="1" applyFill="1" applyBorder="1" applyAlignment="1">
      <alignment horizontal="left" vertical="center"/>
    </xf>
    <xf numFmtId="0" fontId="30" fillId="15" borderId="1" xfId="0" applyFont="1" applyFill="1" applyBorder="1" applyAlignment="1">
      <alignment horizontal="left" vertical="center"/>
    </xf>
    <xf numFmtId="0" fontId="30" fillId="15" borderId="2" xfId="0" applyFont="1" applyFill="1" applyBorder="1" applyAlignment="1">
      <alignment horizontal="left" vertical="center"/>
    </xf>
    <xf numFmtId="0" fontId="30" fillId="15" borderId="3" xfId="0" applyFont="1" applyFill="1" applyBorder="1" applyAlignment="1">
      <alignment horizontal="left" vertical="center"/>
    </xf>
    <xf numFmtId="49" fontId="7" fillId="0" borderId="1" xfId="0" applyNumberFormat="1" applyFont="1" applyBorder="1" applyAlignment="1" applyProtection="1">
      <alignment horizontal="left" vertical="center" wrapText="1"/>
      <protection locked="0"/>
    </xf>
    <xf numFmtId="49" fontId="7" fillId="0" borderId="2" xfId="0" applyNumberFormat="1" applyFont="1" applyBorder="1" applyAlignment="1" applyProtection="1">
      <alignment horizontal="left" vertical="center" wrapText="1"/>
      <protection locked="0"/>
    </xf>
    <xf numFmtId="49" fontId="7" fillId="0" borderId="3" xfId="0" applyNumberFormat="1" applyFont="1" applyBorder="1" applyAlignment="1" applyProtection="1">
      <alignment horizontal="left" vertical="center" wrapText="1"/>
      <protection locked="0"/>
    </xf>
    <xf numFmtId="0" fontId="28" fillId="0" borderId="47" xfId="0" applyFont="1" applyBorder="1" applyAlignment="1">
      <alignment horizontal="right" vertical="center"/>
    </xf>
    <xf numFmtId="0" fontId="28" fillId="0" borderId="48" xfId="0" applyFont="1" applyBorder="1" applyAlignment="1">
      <alignment horizontal="right" vertical="center"/>
    </xf>
    <xf numFmtId="0" fontId="11" fillId="0" borderId="48" xfId="0" applyFont="1" applyBorder="1" applyAlignment="1">
      <alignment horizontal="left" vertical="center" wrapText="1"/>
    </xf>
    <xf numFmtId="0" fontId="11" fillId="0" borderId="45" xfId="0" applyFont="1" applyBorder="1" applyAlignment="1">
      <alignment horizontal="left" vertical="center" wrapText="1"/>
    </xf>
    <xf numFmtId="0" fontId="28" fillId="0" borderId="45" xfId="0" applyFont="1" applyBorder="1" applyAlignment="1">
      <alignment horizontal="right" vertical="center"/>
    </xf>
    <xf numFmtId="14" fontId="11" fillId="0" borderId="45" xfId="0" applyNumberFormat="1" applyFont="1" applyBorder="1" applyAlignment="1" applyProtection="1">
      <alignment horizontal="left" vertical="center" wrapText="1"/>
      <protection locked="0"/>
    </xf>
    <xf numFmtId="14" fontId="11" fillId="0" borderId="46" xfId="0" applyNumberFormat="1" applyFont="1" applyBorder="1" applyAlignment="1" applyProtection="1">
      <alignment horizontal="left" vertical="center" wrapText="1"/>
      <protection locked="0"/>
    </xf>
    <xf numFmtId="0" fontId="11" fillId="0" borderId="45" xfId="0" applyFont="1" applyBorder="1" applyAlignment="1" applyProtection="1">
      <alignment horizontal="left" vertical="center" wrapText="1"/>
      <protection locked="0"/>
    </xf>
    <xf numFmtId="0" fontId="11" fillId="0" borderId="46" xfId="0" applyFont="1" applyBorder="1" applyAlignment="1" applyProtection="1">
      <alignment horizontal="left" vertical="center" wrapText="1"/>
      <protection locked="0"/>
    </xf>
    <xf numFmtId="0" fontId="12" fillId="13" borderId="40" xfId="0" applyFont="1" applyFill="1" applyBorder="1" applyAlignment="1">
      <alignment horizontal="center" vertical="center"/>
    </xf>
    <xf numFmtId="0" fontId="12" fillId="13" borderId="41" xfId="0" applyFont="1" applyFill="1" applyBorder="1" applyAlignment="1">
      <alignment horizontal="center" vertical="center"/>
    </xf>
    <xf numFmtId="0" fontId="12" fillId="13" borderId="42" xfId="0" applyFont="1" applyFill="1" applyBorder="1" applyAlignment="1">
      <alignment horizontal="center" vertical="center"/>
    </xf>
    <xf numFmtId="0" fontId="28" fillId="0" borderId="44" xfId="0" applyFont="1" applyBorder="1" applyAlignment="1">
      <alignment horizontal="right" vertical="center"/>
    </xf>
    <xf numFmtId="14" fontId="11" fillId="0" borderId="48" xfId="0" applyNumberFormat="1" applyFont="1" applyBorder="1" applyAlignment="1" applyProtection="1">
      <alignment horizontal="left" vertical="center" wrapText="1"/>
      <protection locked="0"/>
    </xf>
    <xf numFmtId="14" fontId="11" fillId="0" borderId="49" xfId="0" applyNumberFormat="1" applyFont="1" applyBorder="1" applyAlignment="1" applyProtection="1">
      <alignment horizontal="left" vertical="center" wrapText="1"/>
      <protection locked="0"/>
    </xf>
    <xf numFmtId="0" fontId="0" fillId="16" borderId="5" xfId="0" applyFill="1" applyBorder="1" applyAlignment="1">
      <alignment horizontal="center" vertical="center"/>
    </xf>
    <xf numFmtId="0" fontId="0" fillId="16" borderId="5" xfId="0" applyFill="1" applyBorder="1" applyAlignment="1">
      <alignment horizontal="center" vertical="center" wrapText="1"/>
    </xf>
    <xf numFmtId="0" fontId="0" fillId="17" borderId="5" xfId="0" applyFill="1" applyBorder="1" applyAlignment="1">
      <alignment horizontal="center" vertical="center" wrapText="1"/>
    </xf>
    <xf numFmtId="0" fontId="31" fillId="0" borderId="58" xfId="0" applyFont="1" applyBorder="1" applyAlignment="1" applyProtection="1">
      <alignment horizontal="center" vertical="center" wrapText="1"/>
      <protection locked="0"/>
    </xf>
    <xf numFmtId="0" fontId="31" fillId="0" borderId="0" xfId="0" applyFont="1" applyAlignment="1" applyProtection="1">
      <alignment horizontal="center" vertical="center"/>
      <protection locked="0"/>
    </xf>
    <xf numFmtId="0" fontId="31" fillId="0" borderId="59" xfId="0" applyFont="1" applyBorder="1" applyAlignment="1" applyProtection="1">
      <alignment horizontal="center" vertical="center"/>
      <protection locked="0"/>
    </xf>
    <xf numFmtId="0" fontId="31" fillId="0" borderId="58" xfId="0" applyFont="1" applyBorder="1" applyAlignment="1" applyProtection="1">
      <alignment horizontal="center" vertical="center"/>
      <protection locked="0"/>
    </xf>
    <xf numFmtId="0" fontId="31" fillId="0" borderId="60" xfId="0" applyFont="1" applyBorder="1" applyAlignment="1" applyProtection="1">
      <alignment horizontal="center" vertical="center"/>
      <protection locked="0"/>
    </xf>
    <xf numFmtId="0" fontId="31" fillId="0" borderId="61" xfId="0" applyFont="1" applyBorder="1" applyAlignment="1" applyProtection="1">
      <alignment horizontal="center" vertical="center"/>
      <protection locked="0"/>
    </xf>
    <xf numFmtId="0" fontId="31" fillId="0" borderId="62" xfId="0" applyFont="1"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164" fontId="0" fillId="12" borderId="56" xfId="0" applyNumberFormat="1" applyFill="1" applyBorder="1" applyAlignment="1">
      <alignment horizontal="center" vertical="center"/>
    </xf>
    <xf numFmtId="164" fontId="0" fillId="12" borderId="57" xfId="0" applyNumberFormat="1" applyFill="1" applyBorder="1" applyAlignment="1">
      <alignment horizontal="center" vertical="center"/>
    </xf>
    <xf numFmtId="0" fontId="13" fillId="15" borderId="4" xfId="0" applyFont="1" applyFill="1" applyBorder="1" applyAlignment="1">
      <alignment horizontal="left" vertical="center"/>
    </xf>
    <xf numFmtId="0" fontId="33" fillId="16" borderId="4" xfId="0" applyFont="1" applyFill="1" applyBorder="1" applyAlignment="1">
      <alignment horizontal="center" vertical="center"/>
    </xf>
    <xf numFmtId="0" fontId="27" fillId="0" borderId="4" xfId="0" applyFont="1" applyBorder="1" applyAlignment="1" applyProtection="1">
      <alignment horizontal="center" vertical="center"/>
      <protection locked="0"/>
    </xf>
    <xf numFmtId="0" fontId="35" fillId="20" borderId="4" xfId="0" applyFont="1" applyFill="1" applyBorder="1" applyAlignment="1">
      <alignment horizontal="center" vertical="center"/>
    </xf>
    <xf numFmtId="0" fontId="36" fillId="12" borderId="1" xfId="0" applyFont="1" applyFill="1" applyBorder="1" applyAlignment="1">
      <alignment horizontal="center" vertical="center"/>
    </xf>
    <xf numFmtId="0" fontId="36" fillId="12" borderId="3" xfId="0" applyFont="1" applyFill="1" applyBorder="1" applyAlignment="1">
      <alignment horizontal="center" vertical="center"/>
    </xf>
    <xf numFmtId="0" fontId="27" fillId="0" borderId="1" xfId="0" applyFont="1" applyBorder="1" applyAlignment="1" applyProtection="1">
      <alignment horizontal="center" vertical="center"/>
      <protection locked="0"/>
    </xf>
    <xf numFmtId="0" fontId="27" fillId="0" borderId="3" xfId="0" applyFont="1" applyBorder="1" applyAlignment="1" applyProtection="1">
      <alignment horizontal="center" vertical="center"/>
      <protection locked="0"/>
    </xf>
    <xf numFmtId="0" fontId="33" fillId="16" borderId="1" xfId="0" applyFont="1" applyFill="1" applyBorder="1" applyAlignment="1">
      <alignment horizontal="center" vertical="center"/>
    </xf>
    <xf numFmtId="0" fontId="33" fillId="16" borderId="2" xfId="0" applyFont="1" applyFill="1" applyBorder="1" applyAlignment="1">
      <alignment horizontal="center" vertical="center"/>
    </xf>
    <xf numFmtId="0" fontId="33" fillId="16" borderId="3" xfId="0" applyFont="1" applyFill="1" applyBorder="1" applyAlignment="1">
      <alignment horizontal="center" vertical="center"/>
    </xf>
    <xf numFmtId="0" fontId="27" fillId="0" borderId="1" xfId="0" applyFont="1" applyBorder="1" applyAlignment="1">
      <alignment horizontal="left" vertical="center" wrapText="1"/>
    </xf>
    <xf numFmtId="0" fontId="27" fillId="0" borderId="2" xfId="0" applyFont="1" applyBorder="1" applyAlignment="1">
      <alignment horizontal="left" vertical="center" wrapText="1"/>
    </xf>
    <xf numFmtId="0" fontId="32" fillId="15" borderId="4" xfId="0" applyFont="1" applyFill="1" applyBorder="1" applyAlignment="1">
      <alignment horizontal="left" vertical="center"/>
    </xf>
    <xf numFmtId="0" fontId="32" fillId="17" borderId="4" xfId="0" applyFont="1" applyFill="1" applyBorder="1" applyAlignment="1">
      <alignment horizontal="center" vertical="center"/>
    </xf>
    <xf numFmtId="0" fontId="27" fillId="0" borderId="3" xfId="0" applyFont="1" applyBorder="1" applyAlignment="1">
      <alignment horizontal="left" vertical="center" wrapText="1"/>
    </xf>
  </cellXfs>
  <cellStyles count="4">
    <cellStyle name="Normal" xfId="0" builtinId="0"/>
    <cellStyle name="Normal 2" xfId="1" xr:uid="{00000000-0005-0000-0000-000001000000}"/>
    <cellStyle name="Normal 3" xfId="3" xr:uid="{00000000-0005-0000-0000-000002000000}"/>
    <cellStyle name="Pourcentage 2" xfId="2" xr:uid="{00000000-0005-0000-0000-000003000000}"/>
  </cellStyles>
  <dxfs count="11">
    <dxf>
      <fill>
        <patternFill>
          <bgColor theme="7"/>
        </patternFill>
      </fill>
    </dxf>
    <dxf>
      <fill>
        <patternFill>
          <bgColor theme="8"/>
        </patternFill>
      </fill>
    </dxf>
    <dxf>
      <fill>
        <patternFill>
          <bgColor theme="9"/>
        </patternFill>
      </fill>
    </dxf>
    <dxf>
      <fill>
        <patternFill>
          <bgColor theme="7"/>
        </patternFill>
      </fill>
    </dxf>
    <dxf>
      <fill>
        <patternFill>
          <bgColor theme="2"/>
        </patternFill>
      </fill>
    </dxf>
    <dxf>
      <fill>
        <patternFill>
          <bgColor rgb="FFE6B08F"/>
        </patternFill>
      </fill>
    </dxf>
    <dxf>
      <fill>
        <patternFill>
          <bgColor rgb="FFE6DC8F"/>
        </patternFill>
      </fill>
    </dxf>
    <dxf>
      <fill>
        <patternFill>
          <bgColor theme="7"/>
        </patternFill>
      </fill>
    </dxf>
    <dxf>
      <fill>
        <patternFill>
          <bgColor rgb="FFE6B08F"/>
        </patternFill>
      </fill>
    </dxf>
    <dxf>
      <font>
        <b/>
        <i val="0"/>
        <color theme="0"/>
      </font>
      <fill>
        <patternFill>
          <bgColor theme="9" tint="-0.24994659260841701"/>
        </patternFill>
      </fill>
    </dxf>
    <dxf>
      <font>
        <b/>
        <i val="0"/>
        <color theme="0"/>
      </font>
      <fill>
        <patternFill>
          <bgColor theme="7"/>
        </patternFill>
      </fill>
    </dxf>
  </dxfs>
  <tableStyles count="0" defaultTableStyle="TableStyleMedium2" defaultPivotStyle="PivotStyleLight16"/>
  <colors>
    <mruColors>
      <color rgb="FFE6B08F"/>
      <color rgb="FFE6DC8F"/>
      <color rgb="FF76B82A"/>
      <color rgb="FF009FE3"/>
      <color rgb="FF008080"/>
      <color rgb="FF00B0AC"/>
      <color rgb="FFFFFFB9"/>
      <color rgb="FF006699"/>
      <color rgb="FFD9FFFF"/>
      <color rgb="FFF9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
    <pageSetUpPr fitToPage="1"/>
  </sheetPr>
  <dimension ref="B1:U42"/>
  <sheetViews>
    <sheetView showGridLines="0" tabSelected="1" topLeftCell="A22" workbookViewId="0">
      <selection activeCell="U30" sqref="U30"/>
    </sheetView>
  </sheetViews>
  <sheetFormatPr baseColWidth="10" defaultColWidth="10.703125" defaultRowHeight="20.100000000000001" customHeight="1" outlineLevelRow="1" x14ac:dyDescent="0.4"/>
  <cols>
    <col min="1" max="2" width="2.703125" style="108" customWidth="1"/>
    <col min="3" max="18" width="10.703125" style="108"/>
    <col min="19" max="20" width="2.703125" style="108" customWidth="1"/>
    <col min="21" max="21" width="10.703125" style="130"/>
    <col min="22" max="16384" width="10.703125" style="108"/>
  </cols>
  <sheetData>
    <row r="1" spans="2:19" ht="9.9499999999999993" customHeight="1" thickBot="1" x14ac:dyDescent="0.45">
      <c r="B1" s="93"/>
      <c r="C1" s="94"/>
      <c r="D1" s="94"/>
      <c r="E1" s="94"/>
      <c r="F1" s="94"/>
      <c r="G1" s="94"/>
      <c r="H1" s="94"/>
      <c r="I1" s="94"/>
      <c r="J1" s="94"/>
      <c r="K1" s="94"/>
      <c r="L1" s="94"/>
      <c r="M1" s="94"/>
      <c r="N1" s="94"/>
      <c r="O1" s="94"/>
      <c r="P1" s="94"/>
      <c r="Q1" s="94"/>
      <c r="R1" s="94"/>
      <c r="S1" s="95"/>
    </row>
    <row r="2" spans="2:19" ht="30" customHeight="1" thickTop="1" x14ac:dyDescent="0.4">
      <c r="B2" s="96"/>
      <c r="C2" s="188" t="s">
        <v>208</v>
      </c>
      <c r="D2" s="189"/>
      <c r="E2" s="189"/>
      <c r="F2" s="189"/>
      <c r="G2" s="189"/>
      <c r="H2" s="189"/>
      <c r="I2" s="189"/>
      <c r="J2" s="189"/>
      <c r="K2" s="189"/>
      <c r="L2" s="189"/>
      <c r="M2" s="189"/>
      <c r="N2" s="189"/>
      <c r="O2" s="189"/>
      <c r="P2" s="189"/>
      <c r="Q2" s="189"/>
      <c r="R2" s="190"/>
      <c r="S2" s="97"/>
    </row>
    <row r="3" spans="2:19" ht="20.100000000000001" customHeight="1" x14ac:dyDescent="0.4">
      <c r="B3" s="98"/>
      <c r="C3" s="191" t="s">
        <v>233</v>
      </c>
      <c r="D3" s="183"/>
      <c r="E3" s="182"/>
      <c r="F3" s="182"/>
      <c r="G3" s="182"/>
      <c r="H3" s="183" t="s">
        <v>229</v>
      </c>
      <c r="I3" s="183"/>
      <c r="J3" s="182"/>
      <c r="K3" s="182"/>
      <c r="L3" s="182"/>
      <c r="M3" s="183" t="s">
        <v>231</v>
      </c>
      <c r="N3" s="183"/>
      <c r="O3" s="183"/>
      <c r="P3" s="186"/>
      <c r="Q3" s="186"/>
      <c r="R3" s="187"/>
      <c r="S3" s="99"/>
    </row>
    <row r="4" spans="2:19" ht="20.100000000000001" customHeight="1" x14ac:dyDescent="0.4">
      <c r="B4" s="98"/>
      <c r="C4" s="191" t="s">
        <v>226</v>
      </c>
      <c r="D4" s="183"/>
      <c r="E4" s="182"/>
      <c r="F4" s="182"/>
      <c r="G4" s="182"/>
      <c r="H4" s="183" t="s">
        <v>234</v>
      </c>
      <c r="I4" s="183"/>
      <c r="J4" s="182"/>
      <c r="K4" s="182"/>
      <c r="L4" s="182"/>
      <c r="M4" s="183" t="s">
        <v>236</v>
      </c>
      <c r="N4" s="183"/>
      <c r="O4" s="183"/>
      <c r="P4" s="186"/>
      <c r="Q4" s="186"/>
      <c r="R4" s="187"/>
      <c r="S4" s="99"/>
    </row>
    <row r="5" spans="2:19" ht="20.100000000000001" customHeight="1" x14ac:dyDescent="0.4">
      <c r="B5" s="98"/>
      <c r="C5" s="191" t="s">
        <v>227</v>
      </c>
      <c r="D5" s="183"/>
      <c r="E5" s="182"/>
      <c r="F5" s="182"/>
      <c r="G5" s="182"/>
      <c r="H5" s="183" t="s">
        <v>235</v>
      </c>
      <c r="I5" s="183"/>
      <c r="J5" s="182"/>
      <c r="K5" s="182"/>
      <c r="L5" s="182"/>
      <c r="M5" s="183" t="s">
        <v>232</v>
      </c>
      <c r="N5" s="183"/>
      <c r="O5" s="183"/>
      <c r="P5" s="184"/>
      <c r="Q5" s="184"/>
      <c r="R5" s="185"/>
      <c r="S5" s="99"/>
    </row>
    <row r="6" spans="2:19" ht="20.100000000000001" customHeight="1" thickBot="1" x14ac:dyDescent="0.45">
      <c r="B6" s="98"/>
      <c r="C6" s="179" t="s">
        <v>228</v>
      </c>
      <c r="D6" s="180"/>
      <c r="E6" s="181"/>
      <c r="F6" s="181"/>
      <c r="G6" s="181"/>
      <c r="H6" s="180" t="s">
        <v>230</v>
      </c>
      <c r="I6" s="180"/>
      <c r="J6" s="181" t="str">
        <f>D26</f>
        <v>Thermomètre</v>
      </c>
      <c r="K6" s="181"/>
      <c r="L6" s="181"/>
      <c r="M6" s="180" t="s">
        <v>237</v>
      </c>
      <c r="N6" s="180"/>
      <c r="O6" s="180"/>
      <c r="P6" s="192"/>
      <c r="Q6" s="192"/>
      <c r="R6" s="193"/>
      <c r="S6" s="99"/>
    </row>
    <row r="7" spans="2:19" ht="9.9499999999999993" customHeight="1" thickTop="1" thickBot="1" x14ac:dyDescent="0.45">
      <c r="B7" s="100"/>
      <c r="C7" s="102"/>
      <c r="D7" s="102"/>
      <c r="E7" s="102"/>
      <c r="F7" s="102"/>
      <c r="G7" s="102"/>
      <c r="H7" s="102"/>
      <c r="I7" s="102"/>
      <c r="J7" s="102"/>
      <c r="K7" s="102"/>
      <c r="L7" s="102"/>
      <c r="M7" s="102"/>
      <c r="N7" s="102"/>
      <c r="O7" s="102"/>
      <c r="P7" s="102"/>
      <c r="Q7" s="102"/>
      <c r="R7" s="102"/>
      <c r="S7" s="101"/>
    </row>
    <row r="8" spans="2:19" ht="20.100000000000001" customHeight="1" thickTop="1" thickBot="1" x14ac:dyDescent="0.45">
      <c r="B8" s="100"/>
      <c r="C8" s="170" t="s">
        <v>223</v>
      </c>
      <c r="D8" s="171"/>
      <c r="E8" s="171"/>
      <c r="F8" s="171"/>
      <c r="G8" s="171"/>
      <c r="H8" s="171"/>
      <c r="I8" s="171"/>
      <c r="J8" s="171"/>
      <c r="K8" s="171"/>
      <c r="L8" s="171"/>
      <c r="M8" s="171"/>
      <c r="N8" s="171"/>
      <c r="O8" s="171"/>
      <c r="P8" s="171"/>
      <c r="Q8" s="171"/>
      <c r="R8" s="172"/>
      <c r="S8" s="101"/>
    </row>
    <row r="9" spans="2:19" ht="20.100000000000001" customHeight="1" outlineLevel="1" thickTop="1" x14ac:dyDescent="0.4">
      <c r="B9" s="109"/>
      <c r="C9" s="114"/>
      <c r="D9" s="7"/>
      <c r="E9" s="7"/>
      <c r="F9" s="7"/>
      <c r="G9" s="7"/>
      <c r="H9" s="7"/>
      <c r="I9" s="7"/>
      <c r="J9" s="7"/>
      <c r="K9" s="7"/>
      <c r="L9" s="7"/>
      <c r="M9" s="7"/>
      <c r="N9" s="7"/>
      <c r="O9" s="7"/>
      <c r="P9" s="7"/>
      <c r="Q9" s="7"/>
      <c r="R9" s="115"/>
      <c r="S9" s="110"/>
    </row>
    <row r="10" spans="2:19" ht="20.100000000000001" customHeight="1" outlineLevel="1" x14ac:dyDescent="0.4">
      <c r="B10" s="109"/>
      <c r="C10" s="114"/>
      <c r="D10" s="173" t="s">
        <v>212</v>
      </c>
      <c r="E10" s="174"/>
      <c r="F10" s="174"/>
      <c r="G10" s="174"/>
      <c r="H10" s="174"/>
      <c r="I10" s="174"/>
      <c r="J10" s="174"/>
      <c r="K10" s="174"/>
      <c r="L10" s="174"/>
      <c r="M10" s="174"/>
      <c r="N10" s="174"/>
      <c r="O10" s="174"/>
      <c r="P10" s="174"/>
      <c r="Q10" s="175"/>
      <c r="R10" s="115"/>
      <c r="S10" s="110"/>
    </row>
    <row r="11" spans="2:19" ht="20.100000000000001" customHeight="1" outlineLevel="1" x14ac:dyDescent="0.4">
      <c r="B11" s="109"/>
      <c r="C11" s="114"/>
      <c r="D11" s="158" t="s">
        <v>238</v>
      </c>
      <c r="E11" s="159"/>
      <c r="F11" s="160"/>
      <c r="G11" s="161"/>
      <c r="H11" s="162"/>
      <c r="I11" s="162"/>
      <c r="J11" s="163"/>
      <c r="K11" s="158" t="s">
        <v>241</v>
      </c>
      <c r="L11" s="159"/>
      <c r="M11" s="160"/>
      <c r="N11" s="176"/>
      <c r="O11" s="177"/>
      <c r="P11" s="177"/>
      <c r="Q11" s="178"/>
      <c r="R11" s="115"/>
      <c r="S11" s="110"/>
    </row>
    <row r="12" spans="2:19" ht="20.100000000000001" customHeight="1" outlineLevel="1" x14ac:dyDescent="0.4">
      <c r="B12" s="109"/>
      <c r="C12" s="114"/>
      <c r="D12" s="158" t="s">
        <v>239</v>
      </c>
      <c r="E12" s="159"/>
      <c r="F12" s="160"/>
      <c r="G12" s="161"/>
      <c r="H12" s="162"/>
      <c r="I12" s="162"/>
      <c r="J12" s="163"/>
      <c r="K12" s="158" t="s">
        <v>242</v>
      </c>
      <c r="L12" s="159"/>
      <c r="M12" s="160"/>
      <c r="N12" s="161"/>
      <c r="O12" s="162"/>
      <c r="P12" s="162"/>
      <c r="Q12" s="163"/>
      <c r="R12" s="115"/>
      <c r="S12" s="110"/>
    </row>
    <row r="13" spans="2:19" ht="20.100000000000001" customHeight="1" outlineLevel="1" x14ac:dyDescent="0.4">
      <c r="B13" s="109"/>
      <c r="C13" s="114"/>
      <c r="D13" s="158" t="s">
        <v>240</v>
      </c>
      <c r="E13" s="159"/>
      <c r="F13" s="160"/>
      <c r="G13" s="161"/>
      <c r="H13" s="162"/>
      <c r="I13" s="162"/>
      <c r="J13" s="163"/>
      <c r="K13" s="158" t="s">
        <v>243</v>
      </c>
      <c r="L13" s="159"/>
      <c r="M13" s="160"/>
      <c r="N13" s="167"/>
      <c r="O13" s="168"/>
      <c r="P13" s="168"/>
      <c r="Q13" s="169"/>
      <c r="R13" s="115"/>
      <c r="S13" s="110"/>
    </row>
    <row r="14" spans="2:19" ht="20.100000000000001" customHeight="1" outlineLevel="1" x14ac:dyDescent="0.4">
      <c r="B14" s="109"/>
      <c r="C14" s="114"/>
      <c r="D14" s="7"/>
      <c r="E14" s="7"/>
      <c r="F14" s="7"/>
      <c r="G14" s="7"/>
      <c r="H14" s="7"/>
      <c r="I14" s="7"/>
      <c r="J14" s="7"/>
      <c r="K14" s="7"/>
      <c r="L14" s="7"/>
      <c r="M14" s="7"/>
      <c r="N14" s="7"/>
      <c r="O14" s="7"/>
      <c r="P14" s="7"/>
      <c r="Q14" s="7"/>
      <c r="R14" s="115"/>
      <c r="S14" s="110"/>
    </row>
    <row r="15" spans="2:19" ht="20.100000000000001" customHeight="1" outlineLevel="1" x14ac:dyDescent="0.4">
      <c r="B15" s="109"/>
      <c r="C15" s="114"/>
      <c r="D15" s="157" t="s">
        <v>211</v>
      </c>
      <c r="E15" s="157"/>
      <c r="F15" s="157"/>
      <c r="G15" s="157"/>
      <c r="H15" s="157"/>
      <c r="I15" s="157"/>
      <c r="J15" s="157"/>
      <c r="K15" s="157"/>
      <c r="L15" s="157"/>
      <c r="M15" s="157"/>
      <c r="N15" s="157"/>
      <c r="O15" s="157"/>
      <c r="P15" s="157"/>
      <c r="Q15" s="157"/>
      <c r="R15" s="115"/>
      <c r="S15" s="110"/>
    </row>
    <row r="16" spans="2:19" ht="20.100000000000001" customHeight="1" outlineLevel="1" x14ac:dyDescent="0.4">
      <c r="B16" s="109"/>
      <c r="C16" s="114"/>
      <c r="D16" s="158" t="s">
        <v>238</v>
      </c>
      <c r="E16" s="159"/>
      <c r="F16" s="160"/>
      <c r="G16" s="161"/>
      <c r="H16" s="162"/>
      <c r="I16" s="162"/>
      <c r="J16" s="163"/>
      <c r="K16" s="158" t="s">
        <v>244</v>
      </c>
      <c r="L16" s="159"/>
      <c r="M16" s="160"/>
      <c r="N16" s="161"/>
      <c r="O16" s="162"/>
      <c r="P16" s="162"/>
      <c r="Q16" s="163"/>
      <c r="R16" s="115"/>
      <c r="S16" s="110"/>
    </row>
    <row r="17" spans="2:21" ht="20.100000000000001" customHeight="1" outlineLevel="1" x14ac:dyDescent="0.4">
      <c r="B17" s="109"/>
      <c r="C17" s="114"/>
      <c r="D17" s="158" t="s">
        <v>239</v>
      </c>
      <c r="E17" s="159"/>
      <c r="F17" s="160"/>
      <c r="G17" s="161"/>
      <c r="H17" s="162"/>
      <c r="I17" s="162"/>
      <c r="J17" s="163"/>
      <c r="K17" s="158" t="s">
        <v>245</v>
      </c>
      <c r="L17" s="159"/>
      <c r="M17" s="160"/>
      <c r="N17" s="164"/>
      <c r="O17" s="165"/>
      <c r="P17" s="165"/>
      <c r="Q17" s="166"/>
      <c r="R17" s="115"/>
      <c r="S17" s="110"/>
    </row>
    <row r="18" spans="2:21" ht="20.100000000000001" customHeight="1" outlineLevel="1" x14ac:dyDescent="0.4">
      <c r="B18" s="109"/>
      <c r="C18" s="114"/>
      <c r="D18" s="7"/>
      <c r="E18" s="7"/>
      <c r="F18" s="7"/>
      <c r="G18" s="7"/>
      <c r="H18" s="7"/>
      <c r="I18" s="7"/>
      <c r="J18" s="7"/>
      <c r="K18" s="7"/>
      <c r="L18" s="7"/>
      <c r="M18" s="7"/>
      <c r="N18" s="7"/>
      <c r="O18" s="7"/>
      <c r="P18" s="7"/>
      <c r="Q18" s="7"/>
      <c r="R18" s="115"/>
      <c r="S18" s="110"/>
    </row>
    <row r="19" spans="2:21" ht="20.100000000000001" customHeight="1" outlineLevel="1" x14ac:dyDescent="0.4">
      <c r="B19" s="109"/>
      <c r="C19" s="114"/>
      <c r="D19" s="173" t="s">
        <v>209</v>
      </c>
      <c r="E19" s="174"/>
      <c r="F19" s="174"/>
      <c r="G19" s="174"/>
      <c r="H19" s="174"/>
      <c r="I19" s="174"/>
      <c r="J19" s="174"/>
      <c r="K19" s="174"/>
      <c r="L19" s="174"/>
      <c r="M19" s="175"/>
      <c r="N19" s="107"/>
      <c r="O19" s="107"/>
      <c r="P19" s="107"/>
      <c r="Q19" s="107"/>
      <c r="R19" s="115"/>
      <c r="S19" s="110"/>
    </row>
    <row r="20" spans="2:21" s="106" customFormat="1" ht="30" customHeight="1" outlineLevel="1" x14ac:dyDescent="0.4">
      <c r="B20" s="103"/>
      <c r="C20" s="116"/>
      <c r="D20" s="194" t="s">
        <v>77</v>
      </c>
      <c r="E20" s="194"/>
      <c r="F20" s="195" t="s">
        <v>222</v>
      </c>
      <c r="G20" s="194"/>
      <c r="H20" s="195" t="s">
        <v>78</v>
      </c>
      <c r="I20" s="195"/>
      <c r="J20" s="195" t="s">
        <v>79</v>
      </c>
      <c r="K20" s="195"/>
      <c r="L20" s="196" t="s">
        <v>210</v>
      </c>
      <c r="M20" s="196"/>
      <c r="N20" s="104"/>
      <c r="O20" s="104"/>
      <c r="P20" s="104"/>
      <c r="Q20" s="104"/>
      <c r="R20" s="117"/>
      <c r="S20" s="105"/>
      <c r="U20" s="131"/>
    </row>
    <row r="21" spans="2:21" ht="20.100000000000001" customHeight="1" outlineLevel="1" x14ac:dyDescent="0.4">
      <c r="B21" s="109"/>
      <c r="C21" s="114"/>
      <c r="D21" s="204"/>
      <c r="E21" s="205"/>
      <c r="F21" s="204"/>
      <c r="G21" s="205"/>
      <c r="H21" s="204"/>
      <c r="I21" s="205"/>
      <c r="J21" s="204"/>
      <c r="K21" s="205"/>
      <c r="L21" s="206" t="str">
        <f>IF(H21&gt;0,H21-J21,"-")</f>
        <v>-</v>
      </c>
      <c r="M21" s="207"/>
      <c r="N21" s="7"/>
      <c r="O21" s="7"/>
      <c r="P21" s="7"/>
      <c r="Q21" s="7"/>
      <c r="R21" s="115"/>
      <c r="S21" s="110"/>
    </row>
    <row r="22" spans="2:21" ht="20.100000000000001" customHeight="1" outlineLevel="1" thickBot="1" x14ac:dyDescent="0.45">
      <c r="B22" s="109"/>
      <c r="C22" s="118"/>
      <c r="D22" s="119"/>
      <c r="E22" s="119"/>
      <c r="F22" s="119"/>
      <c r="G22" s="119"/>
      <c r="H22" s="119"/>
      <c r="I22" s="119"/>
      <c r="J22" s="119"/>
      <c r="K22" s="119"/>
      <c r="L22" s="119"/>
      <c r="M22" s="119"/>
      <c r="N22" s="119"/>
      <c r="O22" s="119"/>
      <c r="P22" s="119"/>
      <c r="Q22" s="119"/>
      <c r="R22" s="120"/>
      <c r="S22" s="110"/>
    </row>
    <row r="23" spans="2:21" ht="9.9499999999999993" customHeight="1" thickTop="1" thickBot="1" x14ac:dyDescent="0.45">
      <c r="B23" s="109"/>
      <c r="C23" s="7"/>
      <c r="D23" s="7"/>
      <c r="E23" s="7"/>
      <c r="F23" s="7"/>
      <c r="G23" s="7"/>
      <c r="H23" s="7"/>
      <c r="I23" s="7"/>
      <c r="J23" s="7"/>
      <c r="K23" s="7"/>
      <c r="L23" s="7"/>
      <c r="M23" s="7"/>
      <c r="N23" s="7"/>
      <c r="O23" s="7"/>
      <c r="P23" s="7"/>
      <c r="Q23" s="7"/>
      <c r="R23" s="7"/>
      <c r="S23" s="110"/>
    </row>
    <row r="24" spans="2:21" ht="20.100000000000001" customHeight="1" thickTop="1" thickBot="1" x14ac:dyDescent="0.45">
      <c r="B24" s="109"/>
      <c r="C24" s="170" t="s">
        <v>224</v>
      </c>
      <c r="D24" s="171"/>
      <c r="E24" s="171"/>
      <c r="F24" s="171"/>
      <c r="G24" s="171"/>
      <c r="H24" s="171"/>
      <c r="I24" s="171"/>
      <c r="J24" s="171"/>
      <c r="K24" s="171"/>
      <c r="L24" s="171"/>
      <c r="M24" s="171"/>
      <c r="N24" s="171"/>
      <c r="O24" s="171"/>
      <c r="P24" s="171"/>
      <c r="Q24" s="171"/>
      <c r="R24" s="172"/>
      <c r="S24" s="110"/>
    </row>
    <row r="25" spans="2:21" ht="20.100000000000001" customHeight="1" outlineLevel="1" thickTop="1" x14ac:dyDescent="0.4">
      <c r="B25" s="109"/>
      <c r="C25" s="114"/>
      <c r="D25" s="7"/>
      <c r="E25" s="7"/>
      <c r="F25" s="7"/>
      <c r="G25" s="7"/>
      <c r="H25" s="7"/>
      <c r="I25" s="7"/>
      <c r="J25" s="7"/>
      <c r="K25" s="7"/>
      <c r="L25" s="7"/>
      <c r="M25" s="7"/>
      <c r="N25" s="7"/>
      <c r="O25" s="7"/>
      <c r="P25" s="7"/>
      <c r="Q25" s="7"/>
      <c r="R25" s="115"/>
      <c r="S25" s="110"/>
    </row>
    <row r="26" spans="2:21" ht="30" customHeight="1" outlineLevel="1" x14ac:dyDescent="0.4">
      <c r="B26" s="109"/>
      <c r="C26" s="121"/>
      <c r="D26" s="208" t="s">
        <v>196</v>
      </c>
      <c r="E26" s="208"/>
      <c r="F26" s="208"/>
      <c r="G26" s="208"/>
      <c r="H26" s="208"/>
      <c r="I26" s="208"/>
      <c r="J26" s="208"/>
      <c r="K26" s="208"/>
      <c r="L26" s="208"/>
      <c r="M26" s="208"/>
      <c r="N26" s="208"/>
      <c r="O26" s="208"/>
      <c r="P26" s="208"/>
      <c r="Q26" s="208"/>
      <c r="R26" s="122"/>
      <c r="S26" s="110"/>
    </row>
    <row r="27" spans="2:21" ht="20.100000000000001" customHeight="1" outlineLevel="1" x14ac:dyDescent="0.4">
      <c r="B27" s="109"/>
      <c r="C27" s="121"/>
      <c r="D27" s="216" t="s">
        <v>206</v>
      </c>
      <c r="E27" s="217"/>
      <c r="F27" s="217"/>
      <c r="G27" s="217"/>
      <c r="H27" s="217"/>
      <c r="I27" s="218"/>
      <c r="J27" s="216" t="s">
        <v>192</v>
      </c>
      <c r="K27" s="217"/>
      <c r="L27" s="217"/>
      <c r="M27" s="218"/>
      <c r="N27" s="209" t="s">
        <v>80</v>
      </c>
      <c r="O27" s="209"/>
      <c r="P27" s="128" t="s">
        <v>207</v>
      </c>
      <c r="Q27" s="128" t="s">
        <v>213</v>
      </c>
      <c r="R27" s="122"/>
      <c r="S27" s="110"/>
      <c r="U27" s="130" t="s">
        <v>5</v>
      </c>
    </row>
    <row r="28" spans="2:21" ht="99.95" customHeight="1" outlineLevel="1" x14ac:dyDescent="0.4">
      <c r="B28" s="109"/>
      <c r="C28" s="121"/>
      <c r="D28" s="123">
        <v>1</v>
      </c>
      <c r="E28" s="219" t="str">
        <f>IFERROR(HLOOKUP($D$26,Critères!$B$3:$BY$16,D28+2,FALSE),"-")</f>
        <v>L'accès à l'ouvrage et aux équipements de mesure se fait-il en toute sécurité pour les agents en charge des opérations de contrôles et d'entretien ?</v>
      </c>
      <c r="F28" s="220"/>
      <c r="G28" s="220"/>
      <c r="H28" s="220"/>
      <c r="I28" s="220"/>
      <c r="J28" s="219" t="str">
        <f>IFERROR(INDEX(Critères!$B$3:$BY$16, D28+2, MATCH($D$26, Critères!$B$3:$BY$3, 0) + 1),"-")</f>
        <v>En cas d'accès nécessitant des équipements de protection individuels renforcés (ARI par exemple) ou d'intervenir à 2 personnes, retenir "Validé avec réserve"</v>
      </c>
      <c r="K28" s="220"/>
      <c r="L28" s="220"/>
      <c r="M28" s="223"/>
      <c r="N28" s="214"/>
      <c r="O28" s="215"/>
      <c r="P28" s="129">
        <f>IF(OR(N28="Validé",N28="Réserve"),Q28,0)</f>
        <v>0</v>
      </c>
      <c r="Q28" s="129">
        <f>IFERROR(INDEX(Critères!$B$3:$BY$16, D28+2, MATCH($D$26, Critères!$B$3:$BY$3, 0) + 2),"")</f>
        <v>10</v>
      </c>
      <c r="R28" s="122"/>
      <c r="S28" s="110"/>
      <c r="U28" s="130" t="s">
        <v>42</v>
      </c>
    </row>
    <row r="29" spans="2:21" ht="99.95" customHeight="1" outlineLevel="1" x14ac:dyDescent="0.4">
      <c r="B29" s="109"/>
      <c r="C29" s="121"/>
      <c r="D29" s="123">
        <v>2</v>
      </c>
      <c r="E29" s="219" t="str">
        <f>IFERROR(HLOOKUP($D$26,Critères!$B$3:$BY$16,D29+2,FALSE),"-")</f>
        <v>La sonde est-elle installée conformément aux règles de l'art et/ou aux prescriptions des constructeurs ?</v>
      </c>
      <c r="F29" s="220"/>
      <c r="G29" s="220"/>
      <c r="H29" s="220"/>
      <c r="I29" s="220"/>
      <c r="J29" s="219" t="str">
        <f>IFERROR(INDEX(Critères!$B$3:$BY$16, D29+2, MATCH($D$26, Critères!$B$3:$BY$3, 0) + 1),"-")</f>
        <v>Dans le canal de rejet, au centre de l'écoulement, à 2/3 de la profondeur et façon à être toujours immergé et à l'ombre.</v>
      </c>
      <c r="K29" s="220"/>
      <c r="L29" s="220"/>
      <c r="M29" s="223"/>
      <c r="N29" s="214"/>
      <c r="O29" s="215"/>
      <c r="P29" s="129">
        <f t="shared" ref="P29:P31" si="0">IF(OR(N29="Validé",N29="Réserve"),Q29,0)</f>
        <v>0</v>
      </c>
      <c r="Q29" s="129">
        <f>IFERROR(INDEX(Critères!$B$3:$BY$16, D29+2, MATCH($D$26, Critères!$B$3:$BY$3, 0) + 2),"")</f>
        <v>30</v>
      </c>
      <c r="R29" s="122"/>
      <c r="S29" s="110"/>
      <c r="U29" s="130" t="s">
        <v>42</v>
      </c>
    </row>
    <row r="30" spans="2:21" ht="99.95" customHeight="1" outlineLevel="1" x14ac:dyDescent="0.4">
      <c r="B30" s="109"/>
      <c r="C30" s="121"/>
      <c r="D30" s="123">
        <v>3</v>
      </c>
      <c r="E30" s="219" t="str">
        <f>IFERROR(HLOOKUP($D$26,Critères!$B$3:$BY$16,D30+2,FALSE),"-")</f>
        <v>La propreté et l'état d'entretien de la sonde, sont-ils satisfaisants ?</v>
      </c>
      <c r="F30" s="220"/>
      <c r="G30" s="220"/>
      <c r="H30" s="220"/>
      <c r="I30" s="220"/>
      <c r="J30" s="219" t="str">
        <f>IFERROR(INDEX(Critères!$B$3:$BY$16, D30+2, MATCH($D$26, Critères!$B$3:$BY$3,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220"/>
      <c r="L30" s="220"/>
      <c r="M30" s="223"/>
      <c r="N30" s="214"/>
      <c r="O30" s="215"/>
      <c r="P30" s="129">
        <f t="shared" si="0"/>
        <v>0</v>
      </c>
      <c r="Q30" s="129">
        <f>IFERROR(INDEX(Critères!$B$3:$BY$16, D30+2, MATCH($D$26, Critères!$B$3:$BY$3, 0) + 2),"")</f>
        <v>30</v>
      </c>
      <c r="R30" s="122"/>
      <c r="S30" s="110"/>
      <c r="U30" s="130" t="s">
        <v>42</v>
      </c>
    </row>
    <row r="31" spans="2:21" ht="99.95" customHeight="1" outlineLevel="1" x14ac:dyDescent="0.4">
      <c r="B31" s="109"/>
      <c r="C31" s="121"/>
      <c r="D31" s="123">
        <v>4</v>
      </c>
      <c r="E31" s="219" t="str">
        <f>IFERROR(HLOOKUP($D$26,Critères!$B$3:$BY$16,D31+2,FALSE),"-")</f>
        <v>L'écart entre d'une part la mesure de la température réalisée à partir du dispositif en place et celle réalisée par l'organisme de contrôle d'autre part, est-il cohérent (EMT ± 1°C) ?</v>
      </c>
      <c r="F31" s="220"/>
      <c r="G31" s="220"/>
      <c r="H31" s="220"/>
      <c r="I31" s="220"/>
      <c r="J31" s="219" t="str">
        <f>IFERROR(INDEX(Critères!$B$3:$BY$16, D31+2, MATCH($D$26, Critères!$B$3:$BY$3, 0) + 1),"-")</f>
        <v>-</v>
      </c>
      <c r="K31" s="220"/>
      <c r="L31" s="220"/>
      <c r="M31" s="223"/>
      <c r="N31" s="214" t="str">
        <f>IF(L21&lt;&gt;"-",IF(ABS(L21)&lt;=1,"Validé","Non validé"),"Non contrôlé")</f>
        <v>Non contrôlé</v>
      </c>
      <c r="O31" s="215"/>
      <c r="P31" s="129">
        <f t="shared" si="0"/>
        <v>0</v>
      </c>
      <c r="Q31" s="129">
        <f>IFERROR(INDEX(Critères!$B$3:$BY$16, D31+2, MATCH($D$26, Critères!$B$3:$BY$3, 0) + 2),"")</f>
        <v>30</v>
      </c>
      <c r="R31" s="122"/>
      <c r="S31" s="110"/>
      <c r="U31" s="130" t="s">
        <v>42</v>
      </c>
    </row>
    <row r="32" spans="2:21" ht="20.100000000000001" customHeight="1" outlineLevel="1" x14ac:dyDescent="0.4">
      <c r="B32" s="109"/>
      <c r="C32" s="121"/>
      <c r="D32" s="221" t="s">
        <v>7</v>
      </c>
      <c r="E32" s="221"/>
      <c r="F32" s="221"/>
      <c r="G32" s="221"/>
      <c r="H32" s="221"/>
      <c r="I32" s="221"/>
      <c r="J32" s="221"/>
      <c r="K32" s="221"/>
      <c r="L32" s="221"/>
      <c r="M32" s="221"/>
      <c r="N32" s="222"/>
      <c r="O32" s="222"/>
      <c r="P32" s="222" t="s">
        <v>6</v>
      </c>
      <c r="Q32" s="222"/>
      <c r="R32" s="122"/>
      <c r="S32" s="110"/>
    </row>
    <row r="33" spans="2:19" ht="99.95" customHeight="1" outlineLevel="1" x14ac:dyDescent="0.4">
      <c r="B33" s="109"/>
      <c r="C33" s="121"/>
      <c r="D33" s="210"/>
      <c r="E33" s="210"/>
      <c r="F33" s="210"/>
      <c r="G33" s="210"/>
      <c r="H33" s="210"/>
      <c r="I33" s="210"/>
      <c r="J33" s="210"/>
      <c r="K33" s="210"/>
      <c r="L33" s="210"/>
      <c r="M33" s="210"/>
      <c r="N33" s="211" t="str">
        <f>IF(P33&gt;80,"Validé",IF(P33&lt;70,"Non Validé", "Réserve"))</f>
        <v>Non Validé</v>
      </c>
      <c r="O33" s="211"/>
      <c r="P33" s="212">
        <f>IF(SUM(P28:P31)&gt;100,100,SUM(P28:P31))</f>
        <v>0</v>
      </c>
      <c r="Q33" s="213"/>
      <c r="R33" s="122"/>
      <c r="S33" s="110"/>
    </row>
    <row r="34" spans="2:19" ht="20.100000000000001" customHeight="1" outlineLevel="1" thickBot="1" x14ac:dyDescent="0.45">
      <c r="B34" s="109"/>
      <c r="C34" s="124"/>
      <c r="D34" s="125"/>
      <c r="E34" s="125"/>
      <c r="F34" s="125"/>
      <c r="G34" s="125"/>
      <c r="H34" s="125"/>
      <c r="I34" s="125"/>
      <c r="J34" s="125"/>
      <c r="K34" s="125"/>
      <c r="L34" s="125"/>
      <c r="M34" s="125"/>
      <c r="N34" s="125"/>
      <c r="O34" s="125"/>
      <c r="P34" s="125"/>
      <c r="Q34" s="125"/>
      <c r="R34" s="126"/>
      <c r="S34" s="110"/>
    </row>
    <row r="35" spans="2:19" ht="9.9499999999999993" customHeight="1" thickTop="1" thickBot="1" x14ac:dyDescent="0.45">
      <c r="B35" s="109"/>
      <c r="C35" s="127"/>
      <c r="D35" s="127"/>
      <c r="E35" s="127"/>
      <c r="F35" s="127"/>
      <c r="G35" s="127"/>
      <c r="H35" s="127"/>
      <c r="I35" s="127"/>
      <c r="J35" s="127"/>
      <c r="K35" s="127"/>
      <c r="L35" s="127"/>
      <c r="M35" s="127"/>
      <c r="N35" s="127"/>
      <c r="O35" s="127"/>
      <c r="P35" s="127"/>
      <c r="Q35" s="127"/>
      <c r="R35" s="127"/>
      <c r="S35" s="110"/>
    </row>
    <row r="36" spans="2:19" ht="20.100000000000001" customHeight="1" thickTop="1" thickBot="1" x14ac:dyDescent="0.45">
      <c r="B36" s="109"/>
      <c r="C36" s="170" t="s">
        <v>225</v>
      </c>
      <c r="D36" s="171"/>
      <c r="E36" s="171"/>
      <c r="F36" s="171"/>
      <c r="G36" s="171"/>
      <c r="H36" s="171"/>
      <c r="I36" s="171"/>
      <c r="J36" s="171"/>
      <c r="K36" s="171"/>
      <c r="L36" s="171"/>
      <c r="M36" s="171"/>
      <c r="N36" s="171"/>
      <c r="O36" s="171"/>
      <c r="P36" s="171"/>
      <c r="Q36" s="171"/>
      <c r="R36" s="172"/>
      <c r="S36" s="110"/>
    </row>
    <row r="37" spans="2:19" ht="20.100000000000001" customHeight="1" thickTop="1" x14ac:dyDescent="0.4">
      <c r="B37" s="109"/>
      <c r="C37" s="197"/>
      <c r="D37" s="198"/>
      <c r="E37" s="198"/>
      <c r="F37" s="198"/>
      <c r="G37" s="198"/>
      <c r="H37" s="198"/>
      <c r="I37" s="198"/>
      <c r="J37" s="198"/>
      <c r="K37" s="198"/>
      <c r="L37" s="198"/>
      <c r="M37" s="198"/>
      <c r="N37" s="198"/>
      <c r="O37" s="198"/>
      <c r="P37" s="198"/>
      <c r="Q37" s="198"/>
      <c r="R37" s="199"/>
      <c r="S37" s="110"/>
    </row>
    <row r="38" spans="2:19" ht="20.100000000000001" customHeight="1" x14ac:dyDescent="0.4">
      <c r="B38" s="109"/>
      <c r="C38" s="200"/>
      <c r="D38" s="198"/>
      <c r="E38" s="198"/>
      <c r="F38" s="198"/>
      <c r="G38" s="198"/>
      <c r="H38" s="198"/>
      <c r="I38" s="198"/>
      <c r="J38" s="198"/>
      <c r="K38" s="198"/>
      <c r="L38" s="198"/>
      <c r="M38" s="198"/>
      <c r="N38" s="198"/>
      <c r="O38" s="198"/>
      <c r="P38" s="198"/>
      <c r="Q38" s="198"/>
      <c r="R38" s="199"/>
      <c r="S38" s="110"/>
    </row>
    <row r="39" spans="2:19" ht="20.100000000000001" customHeight="1" x14ac:dyDescent="0.4">
      <c r="B39" s="109"/>
      <c r="C39" s="200"/>
      <c r="D39" s="198"/>
      <c r="E39" s="198"/>
      <c r="F39" s="198"/>
      <c r="G39" s="198"/>
      <c r="H39" s="198"/>
      <c r="I39" s="198"/>
      <c r="J39" s="198"/>
      <c r="K39" s="198"/>
      <c r="L39" s="198"/>
      <c r="M39" s="198"/>
      <c r="N39" s="198"/>
      <c r="O39" s="198"/>
      <c r="P39" s="198"/>
      <c r="Q39" s="198"/>
      <c r="R39" s="199"/>
      <c r="S39" s="110"/>
    </row>
    <row r="40" spans="2:19" ht="20.100000000000001" customHeight="1" x14ac:dyDescent="0.4">
      <c r="B40" s="109"/>
      <c r="C40" s="200"/>
      <c r="D40" s="198"/>
      <c r="E40" s="198"/>
      <c r="F40" s="198"/>
      <c r="G40" s="198"/>
      <c r="H40" s="198"/>
      <c r="I40" s="198"/>
      <c r="J40" s="198"/>
      <c r="K40" s="198"/>
      <c r="L40" s="198"/>
      <c r="M40" s="198"/>
      <c r="N40" s="198"/>
      <c r="O40" s="198"/>
      <c r="P40" s="198"/>
      <c r="Q40" s="198"/>
      <c r="R40" s="199"/>
      <c r="S40" s="110"/>
    </row>
    <row r="41" spans="2:19" ht="20.100000000000001" customHeight="1" thickBot="1" x14ac:dyDescent="0.45">
      <c r="B41" s="109"/>
      <c r="C41" s="201"/>
      <c r="D41" s="202"/>
      <c r="E41" s="202"/>
      <c r="F41" s="202"/>
      <c r="G41" s="202"/>
      <c r="H41" s="202"/>
      <c r="I41" s="202"/>
      <c r="J41" s="202"/>
      <c r="K41" s="202"/>
      <c r="L41" s="202"/>
      <c r="M41" s="202"/>
      <c r="N41" s="202"/>
      <c r="O41" s="202"/>
      <c r="P41" s="202"/>
      <c r="Q41" s="202"/>
      <c r="R41" s="203"/>
      <c r="S41" s="110"/>
    </row>
    <row r="42" spans="2:19" ht="9.9499999999999993" customHeight="1" thickTop="1" x14ac:dyDescent="0.4">
      <c r="B42" s="111"/>
      <c r="C42" s="112"/>
      <c r="D42" s="112"/>
      <c r="E42" s="112"/>
      <c r="F42" s="112"/>
      <c r="G42" s="112"/>
      <c r="H42" s="112"/>
      <c r="I42" s="112"/>
      <c r="J42" s="112"/>
      <c r="K42" s="112"/>
      <c r="L42" s="112"/>
      <c r="M42" s="112"/>
      <c r="N42" s="112"/>
      <c r="O42" s="112"/>
      <c r="P42" s="112"/>
      <c r="Q42" s="112"/>
      <c r="R42" s="112"/>
      <c r="S42" s="113"/>
    </row>
  </sheetData>
  <sheetProtection algorithmName="SHA-512" hashValue="IYfWWHm6BqDeYWtF4mDQY3m7er0BDwmzK/tFhXcQC+WdxJAB++wh3FvAVmcQeKoRZHYflbRsHQ99UD1Ho2OqvA==" saltValue="tR/QsIHL7bFwjjbWQhV/Cw==" spinCount="100000" sheet="1" objects="1" scenarios="1" formatRows="0"/>
  <mergeCells count="84">
    <mergeCell ref="J27:M27"/>
    <mergeCell ref="E29:I29"/>
    <mergeCell ref="E30:I30"/>
    <mergeCell ref="E31:I31"/>
    <mergeCell ref="J28:M28"/>
    <mergeCell ref="J29:M29"/>
    <mergeCell ref="J30:M30"/>
    <mergeCell ref="J31:M31"/>
    <mergeCell ref="D32:M32"/>
    <mergeCell ref="N32:O32"/>
    <mergeCell ref="P32:Q32"/>
    <mergeCell ref="N29:O29"/>
    <mergeCell ref="N30:O30"/>
    <mergeCell ref="N31:O31"/>
    <mergeCell ref="C36:R36"/>
    <mergeCell ref="C37:R41"/>
    <mergeCell ref="C24:R24"/>
    <mergeCell ref="D21:E21"/>
    <mergeCell ref="F21:G21"/>
    <mergeCell ref="H21:I21"/>
    <mergeCell ref="J21:K21"/>
    <mergeCell ref="L21:M21"/>
    <mergeCell ref="D26:Q26"/>
    <mergeCell ref="N27:O27"/>
    <mergeCell ref="D33:M33"/>
    <mergeCell ref="N33:O33"/>
    <mergeCell ref="P33:Q33"/>
    <mergeCell ref="N28:O28"/>
    <mergeCell ref="D27:I27"/>
    <mergeCell ref="E28:I28"/>
    <mergeCell ref="D20:E20"/>
    <mergeCell ref="F20:G20"/>
    <mergeCell ref="H20:I20"/>
    <mergeCell ref="J20:K20"/>
    <mergeCell ref="L20:M20"/>
    <mergeCell ref="D19:M19"/>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D12:F12"/>
    <mergeCell ref="G12:J12"/>
    <mergeCell ref="K13:M13"/>
    <mergeCell ref="N13:Q13"/>
    <mergeCell ref="D13:F13"/>
    <mergeCell ref="G13:J13"/>
    <mergeCell ref="K12:M12"/>
    <mergeCell ref="N12:Q12"/>
    <mergeCell ref="D15:Q15"/>
    <mergeCell ref="D16:F16"/>
    <mergeCell ref="G16:J16"/>
    <mergeCell ref="D17:F17"/>
    <mergeCell ref="G17:J17"/>
    <mergeCell ref="K16:M16"/>
    <mergeCell ref="N16:Q16"/>
    <mergeCell ref="K17:M17"/>
    <mergeCell ref="N17:Q17"/>
  </mergeCells>
  <conditionalFormatting sqref="L21:M21">
    <cfRule type="expression" dxfId="10" priority="10">
      <formula>AND($L$21&lt;&gt;"-",AND($L$21&gt;=-1,$L$21&lt;=1))</formula>
    </cfRule>
    <cfRule type="expression" dxfId="9" priority="11">
      <formula>AND($L$21&lt;&gt;"-",OR($L$21&lt;-1,$L$21&gt;1))</formula>
    </cfRule>
  </conditionalFormatting>
  <conditionalFormatting sqref="N28:O28">
    <cfRule type="cellIs" dxfId="8" priority="1" operator="equal">
      <formula>"Non"</formula>
    </cfRule>
    <cfRule type="cellIs" dxfId="7" priority="2" operator="equal">
      <formula>"Oui"</formula>
    </cfRule>
  </conditionalFormatting>
  <conditionalFormatting sqref="N28:O31">
    <cfRule type="cellIs" dxfId="6" priority="3" operator="equal">
      <formula>"Réserve"</formula>
    </cfRule>
    <cfRule type="cellIs" dxfId="5" priority="4" operator="equal">
      <formula>"Non validé"</formula>
    </cfRule>
    <cfRule type="cellIs" dxfId="4" priority="5" operator="equal">
      <formula>"Non contrôlé"</formula>
    </cfRule>
    <cfRule type="cellIs" dxfId="3" priority="6" operator="equal">
      <formula>"Validé"</formula>
    </cfRule>
  </conditionalFormatting>
  <conditionalFormatting sqref="P33:Q33">
    <cfRule type="cellIs" dxfId="2" priority="7" operator="lessThan">
      <formula>70</formula>
    </cfRule>
    <cfRule type="cellIs" dxfId="1" priority="8" operator="between">
      <formula>70</formula>
      <formula>80</formula>
    </cfRule>
    <cfRule type="cellIs" dxfId="0" priority="9" operator="greaterThanOrEqual">
      <formula>80</formula>
    </cfRule>
  </conditionalFormatting>
  <dataValidations count="3">
    <dataValidation type="list" allowBlank="1" showInputMessage="1" showErrorMessage="1" sqref="N12:Q12" xr:uid="{00000000-0002-0000-0800-000000000000}">
      <formula1>LISTE_1</formula1>
    </dataValidation>
    <dataValidation type="list" allowBlank="1" showInputMessage="1" showErrorMessage="1" sqref="N28:O31" xr:uid="{00000000-0002-0000-0800-000001000000}">
      <formula1>INDIRECT(U28)</formula1>
    </dataValidation>
    <dataValidation type="list" allowBlank="1" showInputMessage="1" showErrorMessage="1" sqref="D21:E21" xr:uid="{DB86FC0E-4110-4309-B3E8-C8D9E4755037}">
      <formula1>TypeDeMesure</formula1>
    </dataValidation>
  </dataValidations>
  <pageMargins left="0.7" right="0.7" top="0.75" bottom="0.75" header="0.3" footer="0.3"/>
  <pageSetup paperSize="9"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8"/>
  <dimension ref="A1:WQ27"/>
  <sheetViews>
    <sheetView zoomScale="85" zoomScaleNormal="85" workbookViewId="0">
      <pane xSplit="1" ySplit="4" topLeftCell="BP11" activePane="bottomRight" state="frozen"/>
      <selection pane="topRight" activeCell="B1" sqref="B1"/>
      <selection pane="bottomLeft" activeCell="A5" sqref="A5"/>
      <selection pane="bottomRight" activeCell="BW15" sqref="BW15"/>
    </sheetView>
  </sheetViews>
  <sheetFormatPr baseColWidth="10" defaultColWidth="11.41015625" defaultRowHeight="12.7" x14ac:dyDescent="0.4"/>
  <cols>
    <col min="1" max="1" width="5.41015625" style="45" bestFit="1" customWidth="1"/>
    <col min="2" max="3" width="40.703125" style="45" customWidth="1"/>
    <col min="4" max="4" width="15.703125" style="45" customWidth="1"/>
    <col min="5" max="5" width="10.703125" style="45" customWidth="1"/>
    <col min="6" max="7" width="40.703125" style="45" customWidth="1"/>
    <col min="8" max="8" width="15.703125" style="45" customWidth="1"/>
    <col min="9" max="9" width="10.703125" style="45" customWidth="1"/>
    <col min="10" max="11" width="40.703125" style="48" customWidth="1"/>
    <col min="12" max="12" width="15.703125" style="49" customWidth="1"/>
    <col min="13" max="13" width="10.703125" style="49" customWidth="1"/>
    <col min="14" max="15" width="40.703125" style="48" customWidth="1"/>
    <col min="16" max="16" width="15.703125" style="49" customWidth="1"/>
    <col min="17" max="17" width="10.703125" style="49" customWidth="1"/>
    <col min="18" max="19" width="40.703125" style="48" customWidth="1"/>
    <col min="20" max="20" width="15.703125" style="49" customWidth="1"/>
    <col min="21" max="21" width="10.703125" style="49" customWidth="1"/>
    <col min="22" max="23" width="40.703125" style="48" customWidth="1"/>
    <col min="24" max="24" width="15.703125" style="49" customWidth="1"/>
    <col min="25" max="25" width="10.703125" style="49" customWidth="1"/>
    <col min="26" max="27" width="40.703125" style="48" customWidth="1"/>
    <col min="28" max="28" width="15.703125" style="49" customWidth="1"/>
    <col min="29" max="29" width="10.703125" style="49" customWidth="1"/>
    <col min="30" max="31" width="40.703125" style="48" customWidth="1"/>
    <col min="32" max="32" width="15.703125" style="49" customWidth="1"/>
    <col min="33" max="33" width="10.703125" style="49" customWidth="1"/>
    <col min="34" max="35" width="40.703125" style="48" customWidth="1"/>
    <col min="36" max="36" width="15.703125" style="49" customWidth="1"/>
    <col min="37" max="37" width="10.703125" style="49" customWidth="1"/>
    <col min="38" max="39" width="40.703125" style="48" customWidth="1"/>
    <col min="40" max="40" width="15.703125" style="49" customWidth="1"/>
    <col min="41" max="41" width="10.703125" style="49" customWidth="1"/>
    <col min="42" max="43" width="40.703125" style="48" customWidth="1"/>
    <col min="44" max="44" width="15.703125" style="49" customWidth="1"/>
    <col min="45" max="45" width="10.703125" style="49" customWidth="1"/>
    <col min="46" max="47" width="40.703125" style="48" customWidth="1"/>
    <col min="48" max="48" width="15.703125" style="49" customWidth="1"/>
    <col min="49" max="49" width="10.703125" style="49" customWidth="1"/>
    <col min="50" max="51" width="40.703125" style="48" customWidth="1"/>
    <col min="52" max="52" width="15.703125" style="49" customWidth="1"/>
    <col min="53" max="53" width="10.703125" style="49" customWidth="1"/>
    <col min="54" max="55" width="40.703125" style="48" customWidth="1"/>
    <col min="56" max="56" width="15.703125" style="49" customWidth="1"/>
    <col min="57" max="57" width="10.703125" style="49" customWidth="1"/>
    <col min="58" max="59" width="40.703125" style="48" customWidth="1"/>
    <col min="60" max="60" width="15.703125" style="48" customWidth="1"/>
    <col min="61" max="61" width="10.703125" style="48" customWidth="1"/>
    <col min="62" max="63" width="40.703125" style="48" customWidth="1"/>
    <col min="64" max="64" width="15.703125" style="48" customWidth="1"/>
    <col min="65" max="65" width="10.703125" style="48" customWidth="1"/>
    <col min="66" max="67" width="40.703125" style="48" customWidth="1"/>
    <col min="68" max="68" width="15.703125" style="48" customWidth="1"/>
    <col min="69" max="69" width="10.703125" style="48" customWidth="1"/>
    <col min="70" max="71" width="40.703125" style="48" customWidth="1"/>
    <col min="72" max="72" width="15.703125" style="48" customWidth="1"/>
    <col min="73" max="73" width="10.703125" style="48" customWidth="1"/>
    <col min="74" max="75" width="40.703125" style="48" customWidth="1"/>
    <col min="76" max="76" width="15.703125" style="48" customWidth="1"/>
    <col min="77" max="77" width="10.703125" style="48" customWidth="1"/>
    <col min="78" max="78" width="40.703125" style="48" customWidth="1"/>
    <col min="79" max="80" width="7.703125" style="48" customWidth="1"/>
    <col min="81" max="81" width="35.703125" style="48" customWidth="1"/>
    <col min="82" max="82" width="40.703125" style="48" customWidth="1"/>
    <col min="83" max="84" width="7.703125" style="48" customWidth="1"/>
    <col min="85" max="85" width="35.703125" style="48" customWidth="1"/>
    <col min="86" max="86" width="40.703125" style="48" customWidth="1"/>
    <col min="87" max="88" width="7.703125" style="48" customWidth="1"/>
    <col min="89" max="89" width="35.703125" style="48" customWidth="1"/>
    <col min="90" max="90" width="40.703125" style="48" customWidth="1"/>
    <col min="91" max="92" width="7.703125" style="48" customWidth="1"/>
    <col min="93" max="93" width="35.703125" style="48" customWidth="1"/>
    <col min="94" max="94" width="40.703125" style="48" customWidth="1"/>
    <col min="95" max="96" width="7.703125" style="48" customWidth="1"/>
    <col min="97" max="97" width="40.703125" style="48" customWidth="1"/>
    <col min="98" max="99" width="7.703125" style="48" customWidth="1"/>
    <col min="100" max="100" width="35.703125" style="48" customWidth="1"/>
    <col min="101" max="101" width="40.703125" style="48" customWidth="1"/>
    <col min="102" max="103" width="7.703125" style="48" customWidth="1"/>
    <col min="104" max="104" width="35.703125" style="48" customWidth="1"/>
    <col min="105" max="105" width="40.703125" style="48" customWidth="1"/>
    <col min="106" max="107" width="7.703125" style="48" customWidth="1"/>
    <col min="108" max="108" width="35.703125" style="48" customWidth="1"/>
    <col min="109" max="109" width="40.703125" style="48" customWidth="1"/>
    <col min="110" max="111" width="7.703125" style="48" customWidth="1"/>
    <col min="112" max="112" width="35.703125" style="48" customWidth="1"/>
    <col min="113" max="113" width="40.703125" style="48" customWidth="1"/>
    <col min="114" max="115" width="7.703125" style="48" customWidth="1"/>
    <col min="116" max="116" width="35.703125" style="48" customWidth="1"/>
    <col min="117" max="117" width="40.703125" style="48" customWidth="1"/>
    <col min="118" max="119" width="7.703125" style="48" customWidth="1"/>
    <col min="120" max="120" width="35.703125" style="48" customWidth="1"/>
    <col min="121" max="121" width="40.703125" style="48" customWidth="1"/>
    <col min="122" max="123" width="7.703125" style="48" customWidth="1"/>
    <col min="124" max="124" width="35.703125" style="48" customWidth="1"/>
    <col min="125" max="125" width="40.703125" style="48" customWidth="1"/>
    <col min="126" max="127" width="7.703125" style="48" customWidth="1"/>
    <col min="128" max="128" width="35.703125" style="48" customWidth="1"/>
    <col min="129" max="129" width="40.703125" style="48" customWidth="1"/>
    <col min="130" max="131" width="7.703125" style="48" customWidth="1"/>
    <col min="132" max="132" width="35.703125" style="48" customWidth="1"/>
    <col min="133" max="133" width="40.703125" style="48" customWidth="1"/>
    <col min="134" max="135" width="7.703125" style="48" customWidth="1"/>
    <col min="136" max="136" width="40.703125" style="48" customWidth="1"/>
    <col min="137" max="138" width="7.703125" style="48" customWidth="1"/>
    <col min="139" max="139" width="35.703125" style="48" customWidth="1"/>
    <col min="140" max="140" width="40.703125" style="48" customWidth="1"/>
    <col min="141" max="142" width="7.703125" style="48" customWidth="1"/>
    <col min="143" max="143" width="35.703125" style="48" customWidth="1"/>
    <col min="144" max="144" width="40.703125" style="48" customWidth="1"/>
    <col min="145" max="146" width="7.703125" style="48" customWidth="1"/>
    <col min="147" max="147" width="35.703125" style="48" customWidth="1"/>
    <col min="148" max="148" width="40.703125" style="48" customWidth="1"/>
    <col min="149" max="150" width="7.703125" style="48" customWidth="1"/>
    <col min="151" max="151" width="35.703125" style="48" customWidth="1"/>
    <col min="152" max="152" width="40.703125" style="48" customWidth="1"/>
    <col min="153" max="154" width="7.703125" style="48" customWidth="1"/>
    <col min="155" max="155" width="35.703125" style="48" customWidth="1"/>
    <col min="156" max="156" width="40.703125" style="48" customWidth="1"/>
    <col min="157" max="158" width="7.703125" style="48" customWidth="1"/>
    <col min="159" max="159" width="35.703125" style="48" customWidth="1"/>
    <col min="160" max="160" width="40.703125" style="48" customWidth="1"/>
    <col min="161" max="162" width="7.703125" style="48" customWidth="1"/>
    <col min="163" max="163" width="35.703125" style="48" customWidth="1"/>
    <col min="164" max="164" width="40.703125" style="48" customWidth="1"/>
    <col min="165" max="166" width="7.703125" style="48" customWidth="1"/>
    <col min="167" max="167" width="35.703125" style="48" customWidth="1"/>
    <col min="168" max="168" width="40.703125" style="48" customWidth="1"/>
    <col min="169" max="170" width="7.703125" style="48" customWidth="1"/>
    <col min="171" max="171" width="35.703125" style="48" customWidth="1"/>
    <col min="172" max="172" width="40.703125" style="48" customWidth="1"/>
    <col min="173" max="174" width="7.703125" style="48" customWidth="1"/>
    <col min="175" max="175" width="40.703125" style="48" customWidth="1"/>
    <col min="176" max="177" width="7.703125" style="48" customWidth="1"/>
    <col min="178" max="178" width="35.703125" style="48" customWidth="1"/>
    <col min="179" max="179" width="40.703125" style="48" customWidth="1"/>
    <col min="180" max="181" width="7.703125" style="48" customWidth="1"/>
    <col min="182" max="182" width="35.703125" style="48" customWidth="1"/>
    <col min="183" max="183" width="40.703125" style="48" customWidth="1"/>
    <col min="184" max="185" width="7.703125" style="48" customWidth="1"/>
    <col min="186" max="186" width="35.703125" style="48" customWidth="1"/>
    <col min="187" max="187" width="40.703125" style="48" customWidth="1"/>
    <col min="188" max="189" width="7.703125" style="48" customWidth="1"/>
    <col min="190" max="190" width="35.703125" style="48" customWidth="1"/>
    <col min="191" max="191" width="40.703125" style="48" customWidth="1"/>
    <col min="192" max="193" width="7.703125" style="48" customWidth="1"/>
    <col min="194" max="194" width="35.703125" style="48" customWidth="1"/>
    <col min="195" max="195" width="40.703125" style="48" customWidth="1"/>
    <col min="196" max="197" width="7.703125" style="48" customWidth="1"/>
    <col min="198" max="198" width="35.703125" style="48" customWidth="1"/>
    <col min="199" max="199" width="40.703125" style="48" customWidth="1"/>
    <col min="200" max="201" width="7.703125" style="48" customWidth="1"/>
    <col min="202" max="202" width="35.703125" style="48" customWidth="1"/>
    <col min="203" max="203" width="40.703125" style="48" customWidth="1"/>
    <col min="204" max="205" width="7.703125" style="48" customWidth="1"/>
    <col min="206" max="206" width="35.703125" style="48" customWidth="1"/>
    <col min="207" max="207" width="40.703125" style="48" customWidth="1"/>
    <col min="208" max="209" width="7.703125" style="48" customWidth="1"/>
    <col min="210" max="210" width="35.703125" style="48" customWidth="1"/>
    <col min="211" max="211" width="40.703125" style="48" customWidth="1"/>
    <col min="212" max="213" width="7.703125" style="48" customWidth="1"/>
    <col min="214" max="214" width="40.703125" style="48" customWidth="1"/>
    <col min="215" max="216" width="7.703125" style="48" customWidth="1"/>
    <col min="217" max="217" width="35.703125" style="48" customWidth="1"/>
    <col min="218" max="218" width="40.703125" style="48" customWidth="1"/>
    <col min="219" max="220" width="7.703125" style="48" customWidth="1"/>
    <col min="221" max="221" width="35.703125" style="48" customWidth="1"/>
    <col min="222" max="222" width="40.703125" style="48" customWidth="1"/>
    <col min="223" max="224" width="7.703125" style="48" customWidth="1"/>
    <col min="225" max="225" width="35.703125" style="48" customWidth="1"/>
    <col min="226" max="226" width="40.703125" style="48" customWidth="1"/>
    <col min="227" max="228" width="7.703125" style="48" customWidth="1"/>
    <col min="229" max="229" width="35.703125" style="48" customWidth="1"/>
    <col min="230" max="230" width="40.703125" style="48" customWidth="1"/>
    <col min="231" max="232" width="7.703125" style="48" customWidth="1"/>
    <col min="233" max="233" width="35.703125" style="48" customWidth="1"/>
    <col min="234" max="234" width="40.703125" style="48" customWidth="1"/>
    <col min="235" max="236" width="7.703125" style="48" customWidth="1"/>
    <col min="237" max="237" width="35.703125" style="48" customWidth="1"/>
    <col min="238" max="238" width="40.703125" style="48" customWidth="1"/>
    <col min="239" max="240" width="7.703125" style="48" customWidth="1"/>
    <col min="241" max="241" width="35.703125" style="48" customWidth="1"/>
    <col min="242" max="242" width="40.703125" style="48" customWidth="1"/>
    <col min="243" max="244" width="7.703125" style="48" customWidth="1"/>
    <col min="245" max="245" width="35.703125" style="48" customWidth="1"/>
    <col min="246" max="246" width="40.703125" style="48" customWidth="1"/>
    <col min="247" max="248" width="7.703125" style="48" customWidth="1"/>
    <col min="249" max="249" width="35.703125" style="48" customWidth="1"/>
    <col min="250" max="250" width="40.703125" style="48" customWidth="1"/>
    <col min="251" max="252" width="7.703125" style="48" customWidth="1"/>
    <col min="253" max="253" width="40.703125" style="48" customWidth="1"/>
    <col min="254" max="255" width="7.703125" style="48" customWidth="1"/>
    <col min="256" max="256" width="35.703125" style="48" customWidth="1"/>
    <col min="257" max="257" width="40.703125" style="48" customWidth="1"/>
    <col min="258" max="259" width="7.703125" style="48" customWidth="1"/>
    <col min="260" max="260" width="35.703125" style="48" customWidth="1"/>
    <col min="261" max="261" width="40.703125" style="48" customWidth="1"/>
    <col min="262" max="263" width="7.703125" style="48" customWidth="1"/>
    <col min="264" max="264" width="35.703125" style="48" customWidth="1"/>
    <col min="265" max="265" width="40.703125" style="48" customWidth="1"/>
    <col min="266" max="267" width="7.703125" style="48" customWidth="1"/>
    <col min="268" max="268" width="35.703125" style="48" customWidth="1"/>
    <col min="269" max="269" width="40.703125" style="48" customWidth="1"/>
    <col min="270" max="271" width="7.703125" style="48" customWidth="1"/>
    <col min="272" max="272" width="35.703125" style="48" customWidth="1"/>
    <col min="273" max="273" width="40.703125" style="48" customWidth="1"/>
    <col min="274" max="275" width="7.703125" style="48" customWidth="1"/>
    <col min="276" max="276" width="35.703125" style="48" customWidth="1"/>
    <col min="277" max="277" width="40.703125" style="48" customWidth="1"/>
    <col min="278" max="279" width="7.703125" style="48" customWidth="1"/>
    <col min="280" max="280" width="35.703125" style="48" customWidth="1"/>
    <col min="281" max="281" width="40.703125" style="48" customWidth="1"/>
    <col min="282" max="283" width="7.703125" style="48" customWidth="1"/>
    <col min="284" max="284" width="35.703125" style="48" customWidth="1"/>
    <col min="285" max="285" width="40.703125" style="48" customWidth="1"/>
    <col min="286" max="287" width="7.703125" style="48" customWidth="1"/>
    <col min="288" max="288" width="35.703125" style="48" customWidth="1"/>
    <col min="289" max="289" width="40.703125" style="48" customWidth="1"/>
    <col min="290" max="291" width="7.703125" style="48" customWidth="1"/>
    <col min="292" max="292" width="40.703125" style="48" customWidth="1"/>
    <col min="293" max="294" width="7.703125" style="48" customWidth="1"/>
    <col min="295" max="295" width="35.703125" style="48" customWidth="1"/>
    <col min="296" max="296" width="40.703125" style="48" customWidth="1"/>
    <col min="297" max="298" width="7.703125" style="48" customWidth="1"/>
    <col min="299" max="299" width="35.703125" style="48" customWidth="1"/>
    <col min="300" max="300" width="40.703125" style="48" customWidth="1"/>
    <col min="301" max="302" width="7.703125" style="48" customWidth="1"/>
    <col min="303" max="303" width="35.703125" style="48" customWidth="1"/>
    <col min="304" max="304" width="40.703125" style="48" customWidth="1"/>
    <col min="305" max="306" width="7.703125" style="48" customWidth="1"/>
    <col min="307" max="307" width="35.703125" style="48" customWidth="1"/>
    <col min="308" max="308" width="40.703125" style="48" customWidth="1"/>
    <col min="309" max="310" width="7.703125" style="48" customWidth="1"/>
    <col min="311" max="311" width="35.703125" style="48" customWidth="1"/>
    <col min="312" max="312" width="40.703125" style="48" customWidth="1"/>
    <col min="313" max="314" width="7.703125" style="48" customWidth="1"/>
    <col min="315" max="315" width="35.703125" style="48" customWidth="1"/>
    <col min="316" max="316" width="40.703125" style="48" customWidth="1"/>
    <col min="317" max="318" width="7.703125" style="48" customWidth="1"/>
    <col min="319" max="319" width="35.703125" style="48" customWidth="1"/>
    <col min="320" max="320" width="40.703125" style="48" customWidth="1"/>
    <col min="321" max="322" width="7.703125" style="48" customWidth="1"/>
    <col min="323" max="323" width="35.703125" style="50" customWidth="1"/>
    <col min="324" max="324" width="40.703125" style="48" customWidth="1"/>
    <col min="325" max="326" width="7.703125" style="48" customWidth="1"/>
    <col min="327" max="327" width="35.703125" style="48" customWidth="1"/>
    <col min="328" max="328" width="40.703125" style="48" customWidth="1"/>
    <col min="329" max="330" width="7.703125" style="48" customWidth="1"/>
    <col min="331" max="331" width="40.703125" style="48" customWidth="1"/>
    <col min="332" max="333" width="7.703125" style="48" customWidth="1"/>
    <col min="334" max="334" width="35.703125" style="48" customWidth="1"/>
    <col min="335" max="335" width="40.703125" style="48" customWidth="1"/>
    <col min="336" max="337" width="7.703125" style="48" customWidth="1"/>
    <col min="338" max="338" width="35.703125" style="48" customWidth="1"/>
    <col min="339" max="339" width="40.703125" style="48" customWidth="1"/>
    <col min="340" max="341" width="7.703125" style="48" customWidth="1"/>
    <col min="342" max="342" width="35.703125" style="50" customWidth="1"/>
    <col min="343" max="343" width="40.703125" style="48" customWidth="1"/>
    <col min="344" max="345" width="7.703125" style="48" customWidth="1"/>
    <col min="346" max="346" width="35.703125" style="48" customWidth="1"/>
    <col min="347" max="347" width="40.703125" style="48" customWidth="1"/>
    <col min="348" max="349" width="7.703125" style="48" customWidth="1"/>
    <col min="350" max="350" width="35.703125" style="48" customWidth="1"/>
    <col min="351" max="351" width="40.703125" style="48" customWidth="1"/>
    <col min="352" max="353" width="7.703125" style="48" customWidth="1"/>
    <col min="354" max="354" width="35.703125" style="48" customWidth="1"/>
    <col min="355" max="355" width="40.703125" style="48" customWidth="1"/>
    <col min="356" max="357" width="7.703125" style="48" customWidth="1"/>
    <col min="358" max="358" width="35.703125" style="50" customWidth="1"/>
    <col min="359" max="359" width="40.703125" style="50" customWidth="1"/>
    <col min="360" max="361" width="7.703125" style="50" customWidth="1"/>
    <col min="362" max="362" width="35.703125" style="50" customWidth="1"/>
    <col min="363" max="363" width="40.703125" style="48" customWidth="1"/>
    <col min="364" max="365" width="7.703125" style="48" customWidth="1"/>
    <col min="366" max="366" width="35.703125" style="48" customWidth="1"/>
    <col min="367" max="367" width="40.703125" style="48" customWidth="1"/>
    <col min="368" max="368" width="7.703125" style="50" customWidth="1"/>
    <col min="369" max="369" width="7.703125" style="48" customWidth="1"/>
    <col min="370" max="370" width="40.703125" style="48" customWidth="1"/>
    <col min="371" max="371" width="7.703125" style="48" customWidth="1"/>
    <col min="372" max="372" width="7.703125" style="50" customWidth="1"/>
    <col min="373" max="373" width="35.703125" style="48" customWidth="1"/>
    <col min="374" max="374" width="40.703125" style="48" customWidth="1"/>
    <col min="375" max="375" width="7.703125" style="48" customWidth="1"/>
    <col min="376" max="376" width="7.703125" style="50" customWidth="1"/>
    <col min="377" max="377" width="35.703125" style="48" customWidth="1"/>
    <col min="378" max="378" width="40.703125" style="48" customWidth="1"/>
    <col min="379" max="379" width="7.703125" style="48" customWidth="1"/>
    <col min="380" max="380" width="7.703125" style="50" customWidth="1"/>
    <col min="381" max="381" width="35.703125" style="50" customWidth="1"/>
    <col min="382" max="382" width="40.703125" style="48" customWidth="1"/>
    <col min="383" max="383" width="7.703125" style="48" customWidth="1"/>
    <col min="384" max="384" width="7.703125" style="50" customWidth="1"/>
    <col min="385" max="385" width="35.703125" style="48" customWidth="1"/>
    <col min="386" max="386" width="40.703125" style="48" customWidth="1"/>
    <col min="387" max="387" width="7.703125" style="48" customWidth="1"/>
    <col min="388" max="388" width="7.703125" style="50" customWidth="1"/>
    <col min="389" max="389" width="35.703125" style="48" customWidth="1"/>
    <col min="390" max="390" width="40.703125" style="48" customWidth="1"/>
    <col min="391" max="391" width="7.703125" style="48" customWidth="1"/>
    <col min="392" max="392" width="7.703125" style="50" customWidth="1"/>
    <col min="393" max="393" width="35.703125" style="48" customWidth="1"/>
    <col min="394" max="394" width="40.703125" style="48" customWidth="1"/>
    <col min="395" max="395" width="7.703125" style="48" customWidth="1"/>
    <col min="396" max="396" width="7.703125" style="50" customWidth="1"/>
    <col min="397" max="397" width="35.703125" style="50" customWidth="1"/>
    <col min="398" max="398" width="40.703125" style="48" customWidth="1"/>
    <col min="399" max="399" width="7.703125" style="48" customWidth="1"/>
    <col min="400" max="400" width="7.703125" style="50" customWidth="1"/>
    <col min="401" max="401" width="35.703125" style="48" customWidth="1"/>
    <col min="402" max="402" width="40.703125" style="48" customWidth="1"/>
    <col min="403" max="403" width="7.703125" style="48" customWidth="1"/>
    <col min="404" max="404" width="7.703125" style="50" customWidth="1"/>
    <col min="405" max="405" width="35.703125" style="48" customWidth="1"/>
    <col min="406" max="406" width="40.703125" style="48" customWidth="1"/>
    <col min="407" max="408" width="7.703125" style="50" customWidth="1"/>
    <col min="409" max="409" width="40.703125" style="48" customWidth="1"/>
    <col min="410" max="410" width="7.703125" style="48" customWidth="1"/>
    <col min="411" max="411" width="7.703125" style="50" customWidth="1"/>
    <col min="412" max="412" width="35.703125" style="48" customWidth="1"/>
    <col min="413" max="413" width="40.703125" style="48" customWidth="1"/>
    <col min="414" max="414" width="7.703125" style="48" customWidth="1"/>
    <col min="415" max="415" width="7.703125" style="50" customWidth="1"/>
    <col min="416" max="416" width="35.703125" style="48" customWidth="1"/>
    <col min="417" max="417" width="40.703125" style="48" customWidth="1"/>
    <col min="418" max="418" width="7.703125" style="48" customWidth="1"/>
    <col min="419" max="419" width="7.703125" style="50" customWidth="1"/>
    <col min="420" max="420" width="35.703125" style="48" customWidth="1"/>
    <col min="421" max="421" width="40.703125" style="48" customWidth="1"/>
    <col min="422" max="422" width="7.703125" style="48" customWidth="1"/>
    <col min="423" max="423" width="7.703125" style="50" customWidth="1"/>
    <col min="424" max="424" width="35.703125" style="48" customWidth="1"/>
    <col min="425" max="425" width="40.703125" style="48" customWidth="1"/>
    <col min="426" max="426" width="7.703125" style="48" customWidth="1"/>
    <col min="427" max="427" width="7.703125" style="50" customWidth="1"/>
    <col min="428" max="428" width="35.703125" style="48" customWidth="1"/>
    <col min="429" max="429" width="40.703125" style="48" customWidth="1"/>
    <col min="430" max="430" width="7.703125" style="48" customWidth="1"/>
    <col min="431" max="431" width="7.703125" style="50" customWidth="1"/>
    <col min="432" max="432" width="35.703125" style="48" customWidth="1"/>
    <col min="433" max="433" width="40.703125" style="48" customWidth="1"/>
    <col min="434" max="434" width="7.703125" style="48" customWidth="1"/>
    <col min="435" max="435" width="7.703125" style="50" customWidth="1"/>
    <col min="436" max="436" width="35.703125" style="48" customWidth="1"/>
    <col min="437" max="437" width="40.703125" style="48" customWidth="1"/>
    <col min="438" max="438" width="7.703125" style="48" customWidth="1"/>
    <col min="439" max="439" width="7.703125" style="50" customWidth="1"/>
    <col min="440" max="440" width="35.703125" style="48" customWidth="1"/>
    <col min="441" max="441" width="40.703125" style="48" customWidth="1"/>
    <col min="442" max="442" width="7.703125" style="48" customWidth="1"/>
    <col min="443" max="443" width="7.703125" style="50" customWidth="1"/>
    <col min="444" max="444" width="35.703125" style="48" customWidth="1"/>
    <col min="445" max="445" width="40.703125" style="48" customWidth="1"/>
    <col min="446" max="446" width="7.703125" style="48" customWidth="1"/>
    <col min="447" max="447" width="7.703125" style="50" customWidth="1"/>
    <col min="448" max="448" width="40.703125" style="48" customWidth="1"/>
    <col min="449" max="450" width="7.703125" style="48" customWidth="1"/>
    <col min="451" max="452" width="40.703125" style="48" customWidth="1"/>
    <col min="453" max="454" width="7.703125" style="48" customWidth="1"/>
    <col min="455" max="456" width="40.703125" style="48" customWidth="1"/>
    <col min="457" max="458" width="7.703125" style="48" customWidth="1"/>
    <col min="459" max="460" width="40.703125" style="48" customWidth="1"/>
    <col min="461" max="462" width="7.703125" style="48" customWidth="1"/>
    <col min="463" max="464" width="40.703125" style="48" customWidth="1"/>
    <col min="465" max="466" width="7.703125" style="48" customWidth="1"/>
    <col min="467" max="468" width="40.703125" style="48" customWidth="1"/>
    <col min="469" max="470" width="7.703125" style="48" customWidth="1"/>
    <col min="471" max="472" width="40.703125" style="48" customWidth="1"/>
    <col min="473" max="474" width="7.703125" style="48" customWidth="1"/>
    <col min="475" max="476" width="40.703125" style="48" customWidth="1"/>
    <col min="477" max="478" width="7.703125" style="48" customWidth="1"/>
    <col min="479" max="480" width="40.703125" style="48" customWidth="1"/>
    <col min="481" max="482" width="7.703125" style="48" customWidth="1"/>
    <col min="483" max="484" width="40.703125" style="48" customWidth="1"/>
    <col min="485" max="486" width="7.703125" style="48" customWidth="1"/>
    <col min="487" max="487" width="40.703125" style="48" customWidth="1"/>
    <col min="488" max="489" width="7.703125" style="48" customWidth="1"/>
    <col min="490" max="491" width="40.703125" style="48" customWidth="1"/>
    <col min="492" max="493" width="7.703125" style="48" customWidth="1"/>
    <col min="494" max="495" width="40.703125" style="48" customWidth="1"/>
    <col min="496" max="497" width="7.703125" style="48" customWidth="1"/>
    <col min="498" max="499" width="40.703125" style="48" customWidth="1"/>
    <col min="500" max="501" width="7.703125" style="48" customWidth="1"/>
    <col min="502" max="503" width="40.703125" style="48" customWidth="1"/>
    <col min="504" max="505" width="7.703125" style="48" customWidth="1"/>
    <col min="506" max="507" width="40.703125" style="48" customWidth="1"/>
    <col min="508" max="509" width="7.703125" style="48" customWidth="1"/>
    <col min="510" max="511" width="40.703125" style="48" customWidth="1"/>
    <col min="512" max="513" width="7.703125" style="48" customWidth="1"/>
    <col min="514" max="515" width="40.703125" style="48" customWidth="1"/>
    <col min="516" max="517" width="7.703125" style="48" customWidth="1"/>
    <col min="518" max="519" width="40.703125" style="48" customWidth="1"/>
    <col min="520" max="521" width="7.703125" style="48" customWidth="1"/>
    <col min="522" max="523" width="40.703125" style="48" customWidth="1"/>
    <col min="524" max="525" width="7.703125" style="48" customWidth="1"/>
    <col min="526" max="526" width="40.703125" style="48" customWidth="1"/>
    <col min="527" max="528" width="7.703125" style="48" customWidth="1"/>
    <col min="529" max="530" width="40.703125" style="48" customWidth="1"/>
    <col min="531" max="532" width="7.703125" style="48" customWidth="1"/>
    <col min="533" max="534" width="40.703125" style="48" customWidth="1"/>
    <col min="535" max="536" width="7.703125" style="48" customWidth="1"/>
    <col min="537" max="538" width="40.703125" style="48" customWidth="1"/>
    <col min="539" max="540" width="7.703125" style="48" customWidth="1"/>
    <col min="541" max="542" width="40.703125" style="48" customWidth="1"/>
    <col min="543" max="544" width="7.703125" style="48" customWidth="1"/>
    <col min="545" max="546" width="40.703125" style="48" customWidth="1"/>
    <col min="547" max="548" width="7.703125" style="48" customWidth="1"/>
    <col min="549" max="550" width="40.703125" style="48" customWidth="1"/>
    <col min="551" max="552" width="7.703125" style="48" customWidth="1"/>
    <col min="553" max="554" width="40.703125" style="48" customWidth="1"/>
    <col min="555" max="556" width="7.703125" style="48" customWidth="1"/>
    <col min="557" max="558" width="40.703125" style="48" customWidth="1"/>
    <col min="559" max="560" width="7.703125" style="48" customWidth="1"/>
    <col min="561" max="562" width="40.703125" style="48" customWidth="1"/>
    <col min="563" max="564" width="7.703125" style="48" customWidth="1"/>
    <col min="565" max="565" width="40.703125" style="48" customWidth="1"/>
    <col min="566" max="567" width="7.703125" style="48" customWidth="1"/>
    <col min="568" max="569" width="40.703125" style="48" customWidth="1"/>
    <col min="570" max="571" width="7.703125" style="48" customWidth="1"/>
    <col min="572" max="573" width="40.703125" style="48" customWidth="1"/>
    <col min="574" max="575" width="7.703125" style="48" customWidth="1"/>
    <col min="576" max="577" width="40.703125" style="48" customWidth="1"/>
    <col min="578" max="579" width="7.703125" style="48" customWidth="1"/>
    <col min="580" max="581" width="40.703125" style="48" customWidth="1"/>
    <col min="582" max="583" width="7.703125" style="48" customWidth="1"/>
    <col min="584" max="585" width="40.703125" style="48" customWidth="1"/>
    <col min="586" max="587" width="7.703125" style="48" customWidth="1"/>
    <col min="588" max="589" width="40.703125" style="48" customWidth="1"/>
    <col min="590" max="591" width="7.703125" style="48" customWidth="1"/>
    <col min="592" max="593" width="40.703125" style="48" customWidth="1"/>
    <col min="594" max="595" width="7.703125" style="48" customWidth="1"/>
    <col min="596" max="597" width="40.703125" style="48" customWidth="1"/>
    <col min="598" max="599" width="7.703125" style="48" customWidth="1"/>
    <col min="600" max="601" width="40.703125" style="48" customWidth="1"/>
    <col min="602" max="603" width="7.703125" style="48" customWidth="1"/>
    <col min="604" max="604" width="40.703125" style="48" customWidth="1"/>
    <col min="605" max="606" width="7.703125" style="48" customWidth="1"/>
    <col min="607" max="608" width="40.703125" style="48" customWidth="1"/>
    <col min="609" max="610" width="7.703125" style="48" customWidth="1"/>
    <col min="611" max="612" width="40.703125" style="48" customWidth="1"/>
    <col min="613" max="614" width="7.703125" style="48" customWidth="1"/>
    <col min="615" max="616" width="40.703125" style="48" customWidth="1"/>
    <col min="617" max="618" width="7.703125" style="48" customWidth="1"/>
    <col min="619" max="620" width="40.703125" style="48" customWidth="1"/>
    <col min="621" max="622" width="7.703125" style="48" customWidth="1"/>
    <col min="623" max="624" width="40.703125" style="48" customWidth="1"/>
    <col min="625" max="626" width="7.703125" style="48" customWidth="1"/>
    <col min="627" max="628" width="40.703125" style="48" customWidth="1"/>
    <col min="629" max="630" width="7.703125" style="48" customWidth="1"/>
    <col min="631" max="632" width="40.703125" style="48" customWidth="1"/>
    <col min="633" max="634" width="7.703125" style="48" customWidth="1"/>
    <col min="635" max="636" width="40.703125" style="48" customWidth="1"/>
    <col min="637" max="638" width="7.703125" style="48" customWidth="1"/>
    <col min="639" max="640" width="40.703125" style="48" customWidth="1"/>
    <col min="641" max="642" width="7.703125" style="48" customWidth="1"/>
    <col min="643" max="643" width="40.703125" style="48" customWidth="1"/>
    <col min="644" max="645" width="7.703125" style="48" customWidth="1"/>
    <col min="646" max="647" width="40.703125" style="48" customWidth="1"/>
    <col min="648" max="649" width="7.703125" style="48" customWidth="1"/>
    <col min="650" max="651" width="40.703125" style="48" customWidth="1"/>
    <col min="652" max="653" width="7.703125" style="48" customWidth="1"/>
    <col min="654" max="655" width="40.703125" style="48" customWidth="1"/>
    <col min="656" max="657" width="7.703125" style="48" customWidth="1"/>
    <col min="658" max="659" width="40.703125" style="48" customWidth="1"/>
    <col min="660" max="661" width="7.703125" style="48" customWidth="1"/>
    <col min="662" max="663" width="40.703125" style="48" customWidth="1"/>
    <col min="664" max="665" width="7.703125" style="48" customWidth="1"/>
    <col min="666" max="667" width="40.703125" style="48" customWidth="1"/>
    <col min="668" max="669" width="7.703125" style="48" customWidth="1"/>
    <col min="670" max="671" width="40.703125" style="48" customWidth="1"/>
    <col min="672" max="673" width="7.703125" style="48" customWidth="1"/>
    <col min="674" max="675" width="40.703125" style="48" customWidth="1"/>
    <col min="676" max="677" width="7.703125" style="48" customWidth="1"/>
    <col min="678" max="679" width="40.703125" style="48" customWidth="1"/>
    <col min="680" max="681" width="7.703125" style="48" customWidth="1"/>
    <col min="682" max="682" width="40.703125" style="48" customWidth="1"/>
    <col min="683" max="684" width="7.703125" style="48" customWidth="1"/>
    <col min="685" max="686" width="40.703125" style="48" customWidth="1"/>
    <col min="687" max="688" width="7.703125" style="48" customWidth="1"/>
    <col min="689" max="690" width="40.703125" style="48" customWidth="1"/>
    <col min="691" max="692" width="7.703125" style="48" customWidth="1"/>
    <col min="693" max="694" width="40.703125" style="48" customWidth="1"/>
    <col min="695" max="696" width="7.703125" style="48" customWidth="1"/>
    <col min="697" max="698" width="40.703125" style="48" customWidth="1"/>
    <col min="699" max="700" width="7.703125" style="48" customWidth="1"/>
    <col min="701" max="702" width="40.703125" style="48" customWidth="1"/>
    <col min="703" max="704" width="7.703125" style="48" customWidth="1"/>
    <col min="705" max="706" width="40.703125" style="48" customWidth="1"/>
    <col min="707" max="708" width="7.703125" style="48" customWidth="1"/>
    <col min="709" max="710" width="40.703125" style="48" customWidth="1"/>
    <col min="711" max="712" width="7.703125" style="48" customWidth="1"/>
    <col min="713" max="714" width="40.703125" style="48" customWidth="1"/>
    <col min="715" max="716" width="7.703125" style="48" customWidth="1"/>
    <col min="717" max="718" width="40.703125" style="48" customWidth="1"/>
    <col min="719" max="720" width="7.703125" style="48" customWidth="1"/>
    <col min="721" max="721" width="60.703125" style="48" customWidth="1"/>
    <col min="722" max="723" width="8.703125" style="48" customWidth="1"/>
    <col min="724" max="725" width="60.703125" style="48" customWidth="1"/>
    <col min="726" max="727" width="8.703125" style="48" customWidth="1"/>
    <col min="728" max="729" width="60.703125" style="48" customWidth="1"/>
    <col min="730" max="731" width="8.703125" style="48" customWidth="1"/>
    <col min="732" max="733" width="60.703125" style="48" customWidth="1"/>
    <col min="734" max="735" width="8.703125" style="48" customWidth="1"/>
    <col min="736" max="737" width="60.703125" style="48" customWidth="1"/>
    <col min="738" max="739" width="8.703125" style="48" customWidth="1"/>
    <col min="740" max="741" width="60.703125" style="48" customWidth="1"/>
    <col min="742" max="743" width="8.703125" style="48" customWidth="1"/>
    <col min="744" max="745" width="60.703125" style="48" customWidth="1"/>
    <col min="746" max="747" width="8.703125" style="48" customWidth="1"/>
    <col min="748" max="749" width="60.703125" style="48" customWidth="1"/>
    <col min="750" max="751" width="8.703125" style="48" customWidth="1"/>
    <col min="752" max="753" width="60.703125" style="48" customWidth="1"/>
    <col min="754" max="755" width="8.703125" style="48" customWidth="1"/>
    <col min="756" max="757" width="60.703125" style="48" customWidth="1"/>
    <col min="758" max="759" width="8.703125" style="48" customWidth="1"/>
    <col min="760" max="760" width="80.703125" style="48" customWidth="1"/>
    <col min="761" max="762" width="10.703125" style="48" customWidth="1"/>
    <col min="763" max="764" width="80.703125" style="48" customWidth="1"/>
    <col min="765" max="766" width="10.703125" style="48" customWidth="1"/>
    <col min="767" max="768" width="80.703125" style="48" customWidth="1"/>
    <col min="769" max="770" width="10.703125" style="48" customWidth="1"/>
    <col min="771" max="772" width="80.703125" style="48" customWidth="1"/>
    <col min="773" max="774" width="10.703125" style="48" customWidth="1"/>
    <col min="775" max="776" width="80.703125" style="48" customWidth="1"/>
    <col min="777" max="778" width="10.703125" style="48" customWidth="1"/>
    <col min="779" max="780" width="80.703125" style="48" customWidth="1"/>
    <col min="781" max="782" width="10.703125" style="48" customWidth="1"/>
    <col min="783" max="784" width="80.703125" style="48" customWidth="1"/>
    <col min="785" max="786" width="10.703125" style="48" customWidth="1"/>
    <col min="787" max="788" width="80.703125" style="48" customWidth="1"/>
    <col min="789" max="790" width="10.703125" style="48" customWidth="1"/>
    <col min="791" max="792" width="80.703125" style="48" customWidth="1"/>
    <col min="793" max="794" width="10.703125" style="48" customWidth="1"/>
    <col min="795" max="796" width="80.703125" style="48" customWidth="1"/>
    <col min="797" max="798" width="10.703125" style="48" customWidth="1"/>
    <col min="799" max="799" width="150.703125" style="48" customWidth="1"/>
    <col min="800" max="801" width="50.703125" style="48" customWidth="1"/>
    <col min="802" max="803" width="150.703125" style="48" customWidth="1"/>
    <col min="804" max="805" width="50.703125" style="48" customWidth="1"/>
    <col min="806" max="807" width="150.703125" style="48" customWidth="1"/>
    <col min="808" max="809" width="50.703125" style="48" customWidth="1"/>
    <col min="810" max="811" width="150.703125" style="48" customWidth="1"/>
    <col min="812" max="813" width="50.703125" style="48" customWidth="1"/>
    <col min="814" max="815" width="150.703125" style="48" customWidth="1"/>
    <col min="816" max="817" width="50.703125" style="48" customWidth="1"/>
    <col min="818" max="819" width="150.703125" style="48" customWidth="1"/>
    <col min="820" max="821" width="50.703125" style="48" customWidth="1"/>
    <col min="822" max="823" width="150.703125" style="48" customWidth="1"/>
    <col min="824" max="825" width="50.703125" style="48" customWidth="1"/>
    <col min="826" max="827" width="150.703125" style="48" customWidth="1"/>
    <col min="828" max="829" width="50.703125" style="48" customWidth="1"/>
    <col min="830" max="831" width="150.703125" style="48" customWidth="1"/>
    <col min="832" max="833" width="50.703125" style="48" customWidth="1"/>
    <col min="834" max="835" width="150.703125" style="48" customWidth="1"/>
    <col min="836" max="837" width="50.703125" style="48" customWidth="1"/>
    <col min="838" max="914" width="33.41015625" style="48" customWidth="1"/>
    <col min="915" max="930" width="30.87890625" style="48" customWidth="1"/>
    <col min="931" max="946" width="26.703125" style="48" customWidth="1"/>
    <col min="947" max="16384" width="11.41015625" style="48"/>
  </cols>
  <sheetData>
    <row r="1" spans="1:615" ht="22.7" x14ac:dyDescent="0.4">
      <c r="B1" s="46" t="s">
        <v>191</v>
      </c>
      <c r="C1" s="47"/>
      <c r="D1" s="47"/>
      <c r="E1" s="47"/>
      <c r="F1" s="47"/>
      <c r="G1" s="47"/>
      <c r="H1" s="47"/>
      <c r="I1" s="47"/>
    </row>
    <row r="2" spans="1:615" ht="13" thickBot="1" x14ac:dyDescent="0.45">
      <c r="LK2" s="48"/>
      <c r="MD2" s="48"/>
      <c r="MT2" s="48"/>
      <c r="MU2" s="48"/>
      <c r="MV2" s="48"/>
      <c r="MW2" s="48"/>
      <c r="MX2" s="48"/>
      <c r="ND2" s="48"/>
      <c r="NH2" s="48"/>
      <c r="NL2" s="48"/>
      <c r="NP2" s="48"/>
      <c r="NQ2" s="48"/>
      <c r="NT2" s="48"/>
      <c r="NX2" s="48"/>
      <c r="OB2" s="48"/>
      <c r="OF2" s="48"/>
      <c r="OG2" s="48"/>
      <c r="OJ2" s="48"/>
      <c r="ON2" s="48"/>
      <c r="OQ2" s="48"/>
      <c r="OR2" s="48"/>
      <c r="OU2" s="48"/>
      <c r="OY2" s="48"/>
      <c r="PC2" s="48"/>
      <c r="PG2" s="48"/>
      <c r="PK2" s="48"/>
      <c r="PO2" s="48"/>
      <c r="PS2" s="48"/>
      <c r="PW2" s="48"/>
      <c r="QA2" s="48"/>
      <c r="QE2" s="48"/>
    </row>
    <row r="3" spans="1:615" s="7" customFormat="1" ht="21.7" thickTop="1" x14ac:dyDescent="0.4">
      <c r="A3" s="56" t="s">
        <v>13</v>
      </c>
      <c r="B3" s="57" t="s">
        <v>118</v>
      </c>
      <c r="C3" s="57"/>
      <c r="D3" s="58"/>
      <c r="E3" s="59"/>
      <c r="F3" s="57" t="s">
        <v>119</v>
      </c>
      <c r="G3" s="57"/>
      <c r="H3" s="58"/>
      <c r="I3" s="59"/>
      <c r="J3" s="57" t="s">
        <v>246</v>
      </c>
      <c r="K3" s="57"/>
      <c r="L3" s="58"/>
      <c r="M3" s="59"/>
      <c r="N3" s="57" t="s">
        <v>93</v>
      </c>
      <c r="O3" s="57"/>
      <c r="P3" s="58"/>
      <c r="Q3" s="59"/>
      <c r="R3" s="57" t="s">
        <v>247</v>
      </c>
      <c r="S3" s="57"/>
      <c r="T3" s="58"/>
      <c r="U3" s="59"/>
      <c r="V3" s="60" t="s">
        <v>14</v>
      </c>
      <c r="W3" s="57"/>
      <c r="X3" s="58"/>
      <c r="Y3" s="59"/>
      <c r="Z3" s="61" t="s">
        <v>17</v>
      </c>
      <c r="AA3" s="62"/>
      <c r="AB3" s="63"/>
      <c r="AC3" s="64"/>
      <c r="AD3" s="61" t="s">
        <v>3</v>
      </c>
      <c r="AE3" s="62"/>
      <c r="AF3" s="63"/>
      <c r="AG3" s="64"/>
      <c r="AH3" s="61" t="s">
        <v>18</v>
      </c>
      <c r="AI3" s="62"/>
      <c r="AJ3" s="63"/>
      <c r="AK3" s="64"/>
      <c r="AL3" s="61" t="s">
        <v>19</v>
      </c>
      <c r="AM3" s="62"/>
      <c r="AN3" s="63"/>
      <c r="AO3" s="64"/>
      <c r="AP3" s="61" t="s">
        <v>20</v>
      </c>
      <c r="AQ3" s="57"/>
      <c r="AR3" s="58"/>
      <c r="AS3" s="59"/>
      <c r="AT3" s="61" t="s">
        <v>4</v>
      </c>
      <c r="AU3" s="62"/>
      <c r="AV3" s="63"/>
      <c r="AW3" s="64"/>
      <c r="AX3" s="61" t="s">
        <v>21</v>
      </c>
      <c r="AY3" s="62"/>
      <c r="AZ3" s="63"/>
      <c r="BA3" s="64"/>
      <c r="BB3" s="61" t="s">
        <v>22</v>
      </c>
      <c r="BC3" s="62"/>
      <c r="BD3" s="63"/>
      <c r="BE3" s="64"/>
      <c r="BF3" s="61" t="s">
        <v>23</v>
      </c>
      <c r="BG3" s="62"/>
      <c r="BH3" s="63"/>
      <c r="BI3" s="63"/>
      <c r="BJ3" s="135" t="s">
        <v>24</v>
      </c>
      <c r="BK3" s="136"/>
      <c r="BL3" s="137"/>
      <c r="BM3" s="138"/>
      <c r="BN3" s="61" t="s">
        <v>25</v>
      </c>
      <c r="BO3" s="57"/>
      <c r="BP3" s="58"/>
      <c r="BQ3" s="59"/>
      <c r="BR3" s="61" t="s">
        <v>196</v>
      </c>
      <c r="BS3" s="57"/>
      <c r="BT3" s="58"/>
      <c r="BU3" s="59"/>
      <c r="BV3" s="61" t="s">
        <v>0</v>
      </c>
      <c r="BW3" s="57"/>
      <c r="BX3" s="58"/>
      <c r="BY3" s="59"/>
    </row>
    <row r="4" spans="1:615" s="45" customFormat="1" ht="21.7" thickBot="1" x14ac:dyDescent="0.45">
      <c r="A4" s="65"/>
      <c r="B4" s="66" t="s">
        <v>2</v>
      </c>
      <c r="C4" s="66" t="s">
        <v>120</v>
      </c>
      <c r="D4" s="66" t="s">
        <v>121</v>
      </c>
      <c r="E4" s="67" t="s">
        <v>122</v>
      </c>
      <c r="F4" s="66" t="s">
        <v>2</v>
      </c>
      <c r="G4" s="66" t="s">
        <v>120</v>
      </c>
      <c r="H4" s="66" t="s">
        <v>121</v>
      </c>
      <c r="I4" s="67" t="s">
        <v>122</v>
      </c>
      <c r="J4" s="66" t="s">
        <v>2</v>
      </c>
      <c r="K4" s="66" t="s">
        <v>120</v>
      </c>
      <c r="L4" s="66" t="s">
        <v>121</v>
      </c>
      <c r="M4" s="67" t="s">
        <v>122</v>
      </c>
      <c r="N4" s="66" t="s">
        <v>2</v>
      </c>
      <c r="O4" s="66" t="s">
        <v>120</v>
      </c>
      <c r="P4" s="66" t="s">
        <v>121</v>
      </c>
      <c r="Q4" s="67" t="s">
        <v>122</v>
      </c>
      <c r="R4" s="66" t="s">
        <v>2</v>
      </c>
      <c r="S4" s="66" t="s">
        <v>120</v>
      </c>
      <c r="T4" s="66" t="s">
        <v>121</v>
      </c>
      <c r="U4" s="67" t="s">
        <v>122</v>
      </c>
      <c r="V4" s="68" t="s">
        <v>2</v>
      </c>
      <c r="W4" s="66" t="s">
        <v>120</v>
      </c>
      <c r="X4" s="66" t="s">
        <v>121</v>
      </c>
      <c r="Y4" s="67" t="s">
        <v>122</v>
      </c>
      <c r="Z4" s="66" t="s">
        <v>2</v>
      </c>
      <c r="AA4" s="66" t="s">
        <v>120</v>
      </c>
      <c r="AB4" s="66" t="s">
        <v>121</v>
      </c>
      <c r="AC4" s="67" t="s">
        <v>122</v>
      </c>
      <c r="AD4" s="66" t="s">
        <v>2</v>
      </c>
      <c r="AE4" s="66" t="s">
        <v>120</v>
      </c>
      <c r="AF4" s="66" t="s">
        <v>121</v>
      </c>
      <c r="AG4" s="67" t="s">
        <v>122</v>
      </c>
      <c r="AH4" s="66" t="s">
        <v>2</v>
      </c>
      <c r="AI4" s="66" t="s">
        <v>120</v>
      </c>
      <c r="AJ4" s="66" t="s">
        <v>121</v>
      </c>
      <c r="AK4" s="67" t="s">
        <v>122</v>
      </c>
      <c r="AL4" s="66" t="s">
        <v>2</v>
      </c>
      <c r="AM4" s="66" t="s">
        <v>120</v>
      </c>
      <c r="AN4" s="66" t="s">
        <v>121</v>
      </c>
      <c r="AO4" s="67" t="s">
        <v>122</v>
      </c>
      <c r="AP4" s="66" t="s">
        <v>2</v>
      </c>
      <c r="AQ4" s="66" t="s">
        <v>120</v>
      </c>
      <c r="AR4" s="66" t="s">
        <v>121</v>
      </c>
      <c r="AS4" s="67" t="s">
        <v>122</v>
      </c>
      <c r="AT4" s="66" t="s">
        <v>2</v>
      </c>
      <c r="AU4" s="66" t="s">
        <v>120</v>
      </c>
      <c r="AV4" s="66" t="s">
        <v>121</v>
      </c>
      <c r="AW4" s="67" t="s">
        <v>122</v>
      </c>
      <c r="AX4" s="66" t="s">
        <v>2</v>
      </c>
      <c r="AY4" s="66" t="s">
        <v>120</v>
      </c>
      <c r="AZ4" s="66" t="s">
        <v>121</v>
      </c>
      <c r="BA4" s="67" t="s">
        <v>122</v>
      </c>
      <c r="BB4" s="66" t="s">
        <v>2</v>
      </c>
      <c r="BC4" s="66" t="s">
        <v>120</v>
      </c>
      <c r="BD4" s="66" t="s">
        <v>121</v>
      </c>
      <c r="BE4" s="67" t="s">
        <v>122</v>
      </c>
      <c r="BF4" s="66" t="s">
        <v>2</v>
      </c>
      <c r="BG4" s="66" t="s">
        <v>120</v>
      </c>
      <c r="BH4" s="66" t="s">
        <v>121</v>
      </c>
      <c r="BI4" s="66" t="s">
        <v>122</v>
      </c>
      <c r="BJ4" s="139" t="s">
        <v>2</v>
      </c>
      <c r="BK4" s="66" t="s">
        <v>120</v>
      </c>
      <c r="BL4" s="66" t="s">
        <v>121</v>
      </c>
      <c r="BM4" s="140" t="s">
        <v>122</v>
      </c>
      <c r="BN4" s="66" t="s">
        <v>2</v>
      </c>
      <c r="BO4" s="66" t="s">
        <v>120</v>
      </c>
      <c r="BP4" s="66" t="s">
        <v>121</v>
      </c>
      <c r="BQ4" s="67" t="s">
        <v>122</v>
      </c>
      <c r="BR4" s="66" t="s">
        <v>2</v>
      </c>
      <c r="BS4" s="66" t="s">
        <v>120</v>
      </c>
      <c r="BT4" s="66" t="s">
        <v>121</v>
      </c>
      <c r="BU4" s="67" t="s">
        <v>122</v>
      </c>
      <c r="BV4" s="66" t="s">
        <v>2</v>
      </c>
      <c r="BW4" s="66" t="s">
        <v>120</v>
      </c>
      <c r="BX4" s="66" t="s">
        <v>121</v>
      </c>
      <c r="BY4" s="67" t="s">
        <v>122</v>
      </c>
    </row>
    <row r="5" spans="1:615" s="51" customFormat="1" ht="51" thickTop="1" x14ac:dyDescent="0.4">
      <c r="A5" s="10">
        <v>1</v>
      </c>
      <c r="B5" s="11" t="s">
        <v>123</v>
      </c>
      <c r="C5" s="12" t="s">
        <v>248</v>
      </c>
      <c r="D5" s="13">
        <v>10</v>
      </c>
      <c r="E5" s="14" t="s">
        <v>42</v>
      </c>
      <c r="F5" s="11" t="s">
        <v>123</v>
      </c>
      <c r="G5" s="12" t="s">
        <v>248</v>
      </c>
      <c r="H5" s="13">
        <v>10</v>
      </c>
      <c r="I5" s="14" t="s">
        <v>42</v>
      </c>
      <c r="J5" s="11" t="s">
        <v>123</v>
      </c>
      <c r="K5" s="12" t="s">
        <v>248</v>
      </c>
      <c r="L5" s="13">
        <v>10</v>
      </c>
      <c r="M5" s="14" t="s">
        <v>42</v>
      </c>
      <c r="N5" s="11" t="s">
        <v>123</v>
      </c>
      <c r="O5" s="12" t="s">
        <v>248</v>
      </c>
      <c r="P5" s="13">
        <v>10</v>
      </c>
      <c r="Q5" s="14" t="s">
        <v>42</v>
      </c>
      <c r="R5" s="11" t="s">
        <v>123</v>
      </c>
      <c r="S5" s="12" t="s">
        <v>248</v>
      </c>
      <c r="T5" s="13">
        <v>10</v>
      </c>
      <c r="U5" s="14" t="s">
        <v>42</v>
      </c>
      <c r="V5" s="15" t="s">
        <v>123</v>
      </c>
      <c r="W5" s="12" t="s">
        <v>248</v>
      </c>
      <c r="X5" s="13">
        <v>10</v>
      </c>
      <c r="Y5" s="14" t="s">
        <v>42</v>
      </c>
      <c r="Z5" s="11" t="s">
        <v>123</v>
      </c>
      <c r="AA5" s="12" t="s">
        <v>248</v>
      </c>
      <c r="AB5" s="13">
        <v>10</v>
      </c>
      <c r="AC5" s="14" t="s">
        <v>42</v>
      </c>
      <c r="AD5" s="11" t="s">
        <v>123</v>
      </c>
      <c r="AE5" s="12" t="s">
        <v>248</v>
      </c>
      <c r="AF5" s="13">
        <v>10</v>
      </c>
      <c r="AG5" s="14" t="s">
        <v>42</v>
      </c>
      <c r="AH5" s="11" t="s">
        <v>123</v>
      </c>
      <c r="AI5" s="12" t="s">
        <v>248</v>
      </c>
      <c r="AJ5" s="13">
        <v>10</v>
      </c>
      <c r="AK5" s="14" t="s">
        <v>42</v>
      </c>
      <c r="AL5" s="11" t="s">
        <v>123</v>
      </c>
      <c r="AM5" s="12" t="s">
        <v>248</v>
      </c>
      <c r="AN5" s="13">
        <v>10</v>
      </c>
      <c r="AO5" s="14" t="s">
        <v>42</v>
      </c>
      <c r="AP5" s="15" t="s">
        <v>123</v>
      </c>
      <c r="AQ5" s="12" t="s">
        <v>248</v>
      </c>
      <c r="AR5" s="13">
        <v>10</v>
      </c>
      <c r="AS5" s="14" t="s">
        <v>42</v>
      </c>
      <c r="AT5" s="15" t="s">
        <v>123</v>
      </c>
      <c r="AU5" s="12" t="s">
        <v>248</v>
      </c>
      <c r="AV5" s="13">
        <v>10</v>
      </c>
      <c r="AW5" s="14" t="s">
        <v>42</v>
      </c>
      <c r="AX5" s="11" t="s">
        <v>123</v>
      </c>
      <c r="AY5" s="12" t="s">
        <v>248</v>
      </c>
      <c r="AZ5" s="13">
        <v>10</v>
      </c>
      <c r="BA5" s="14" t="s">
        <v>42</v>
      </c>
      <c r="BB5" s="11" t="s">
        <v>123</v>
      </c>
      <c r="BC5" s="12" t="s">
        <v>248</v>
      </c>
      <c r="BD5" s="13">
        <v>10</v>
      </c>
      <c r="BE5" s="14" t="s">
        <v>42</v>
      </c>
      <c r="BF5" s="11" t="s">
        <v>123</v>
      </c>
      <c r="BG5" s="12" t="s">
        <v>248</v>
      </c>
      <c r="BH5" s="13">
        <v>10</v>
      </c>
      <c r="BI5" s="141" t="s">
        <v>42</v>
      </c>
      <c r="BJ5" s="142" t="s">
        <v>123</v>
      </c>
      <c r="BK5" s="12" t="s">
        <v>248</v>
      </c>
      <c r="BL5" s="13">
        <v>10</v>
      </c>
      <c r="BM5" s="143" t="s">
        <v>42</v>
      </c>
      <c r="BN5" s="11" t="s">
        <v>123</v>
      </c>
      <c r="BO5" s="12" t="s">
        <v>248</v>
      </c>
      <c r="BP5" s="13">
        <v>10</v>
      </c>
      <c r="BQ5" s="14" t="s">
        <v>42</v>
      </c>
      <c r="BR5" s="15" t="s">
        <v>123</v>
      </c>
      <c r="BS5" s="12" t="s">
        <v>248</v>
      </c>
      <c r="BT5" s="13">
        <v>10</v>
      </c>
      <c r="BU5" s="14" t="s">
        <v>42</v>
      </c>
      <c r="BV5" s="15" t="s">
        <v>123</v>
      </c>
      <c r="BW5" s="12" t="s">
        <v>248</v>
      </c>
      <c r="BX5" s="13">
        <v>10</v>
      </c>
      <c r="BY5" s="14" t="s">
        <v>42</v>
      </c>
    </row>
    <row r="6" spans="1:615" s="29" customFormat="1" ht="114" x14ac:dyDescent="0.4">
      <c r="A6" s="69">
        <v>2</v>
      </c>
      <c r="B6" s="70" t="s">
        <v>124</v>
      </c>
      <c r="C6" s="71"/>
      <c r="D6" s="72">
        <v>10</v>
      </c>
      <c r="E6" s="73" t="s">
        <v>42</v>
      </c>
      <c r="F6" s="70" t="s">
        <v>124</v>
      </c>
      <c r="G6" s="71"/>
      <c r="H6" s="72">
        <v>10</v>
      </c>
      <c r="I6" s="73" t="s">
        <v>42</v>
      </c>
      <c r="J6" s="70" t="s">
        <v>124</v>
      </c>
      <c r="K6" s="71"/>
      <c r="L6" s="72">
        <v>10</v>
      </c>
      <c r="M6" s="73" t="s">
        <v>42</v>
      </c>
      <c r="N6" s="70" t="s">
        <v>124</v>
      </c>
      <c r="O6" s="71"/>
      <c r="P6" s="72">
        <v>10</v>
      </c>
      <c r="Q6" s="73" t="s">
        <v>42</v>
      </c>
      <c r="R6" s="70" t="s">
        <v>124</v>
      </c>
      <c r="S6" s="71"/>
      <c r="T6" s="72">
        <v>10</v>
      </c>
      <c r="U6" s="73" t="s">
        <v>42</v>
      </c>
      <c r="V6" s="74" t="s">
        <v>125</v>
      </c>
      <c r="W6" s="71"/>
      <c r="X6" s="72">
        <v>10</v>
      </c>
      <c r="Y6" s="73" t="s">
        <v>42</v>
      </c>
      <c r="Z6" s="70" t="s">
        <v>125</v>
      </c>
      <c r="AA6" s="71"/>
      <c r="AB6" s="72">
        <v>10</v>
      </c>
      <c r="AC6" s="73" t="s">
        <v>42</v>
      </c>
      <c r="AD6" s="70" t="s">
        <v>26</v>
      </c>
      <c r="AE6" s="71"/>
      <c r="AF6" s="72">
        <v>10</v>
      </c>
      <c r="AG6" s="73" t="s">
        <v>42</v>
      </c>
      <c r="AH6" s="70" t="s">
        <v>249</v>
      </c>
      <c r="AI6" s="75"/>
      <c r="AJ6" s="72">
        <v>10</v>
      </c>
      <c r="AK6" s="73" t="s">
        <v>42</v>
      </c>
      <c r="AL6" s="70" t="s">
        <v>250</v>
      </c>
      <c r="AM6" s="75"/>
      <c r="AN6" s="72">
        <v>10</v>
      </c>
      <c r="AO6" s="73" t="s">
        <v>42</v>
      </c>
      <c r="AP6" s="70" t="s">
        <v>124</v>
      </c>
      <c r="AQ6" s="71"/>
      <c r="AR6" s="72">
        <v>10</v>
      </c>
      <c r="AS6" s="73" t="s">
        <v>42</v>
      </c>
      <c r="AT6" s="70" t="s">
        <v>126</v>
      </c>
      <c r="AU6" s="71"/>
      <c r="AV6" s="72">
        <v>10</v>
      </c>
      <c r="AW6" s="73" t="s">
        <v>42</v>
      </c>
      <c r="AX6" s="70" t="s">
        <v>251</v>
      </c>
      <c r="AY6" s="75"/>
      <c r="AZ6" s="72">
        <v>10</v>
      </c>
      <c r="BA6" s="73" t="s">
        <v>42</v>
      </c>
      <c r="BB6" s="70" t="s">
        <v>127</v>
      </c>
      <c r="BC6" s="75"/>
      <c r="BD6" s="72">
        <v>20</v>
      </c>
      <c r="BE6" s="73" t="s">
        <v>42</v>
      </c>
      <c r="BF6" s="70" t="s">
        <v>27</v>
      </c>
      <c r="BG6" s="71"/>
      <c r="BH6" s="72">
        <v>15</v>
      </c>
      <c r="BI6" s="144" t="s">
        <v>42</v>
      </c>
      <c r="BJ6" s="145" t="s">
        <v>28</v>
      </c>
      <c r="BK6" s="71"/>
      <c r="BL6" s="72">
        <v>15</v>
      </c>
      <c r="BM6" s="146" t="s">
        <v>42</v>
      </c>
      <c r="BN6" s="70" t="s">
        <v>29</v>
      </c>
      <c r="BO6" s="71"/>
      <c r="BP6" s="72">
        <v>20</v>
      </c>
      <c r="BQ6" s="73" t="s">
        <v>42</v>
      </c>
      <c r="BR6" s="74" t="s">
        <v>197</v>
      </c>
      <c r="BS6" s="71" t="s">
        <v>198</v>
      </c>
      <c r="BT6" s="72">
        <v>30</v>
      </c>
      <c r="BU6" s="73" t="s">
        <v>42</v>
      </c>
      <c r="BV6" s="70" t="s">
        <v>199</v>
      </c>
      <c r="BW6" s="71" t="s">
        <v>200</v>
      </c>
      <c r="BX6" s="72">
        <v>20</v>
      </c>
      <c r="BY6" s="73" t="s">
        <v>42</v>
      </c>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c r="FB6" s="76"/>
      <c r="FC6" s="76"/>
      <c r="FD6" s="76"/>
      <c r="FE6" s="76"/>
      <c r="FF6" s="76"/>
      <c r="FG6" s="76"/>
      <c r="FH6" s="76"/>
      <c r="FI6" s="76"/>
      <c r="FJ6" s="76"/>
      <c r="FK6" s="76"/>
      <c r="FL6" s="76"/>
      <c r="FM6" s="76"/>
      <c r="FN6" s="76"/>
      <c r="FO6" s="76"/>
      <c r="FP6" s="76"/>
      <c r="FQ6" s="76"/>
      <c r="FR6" s="76"/>
      <c r="FS6" s="76"/>
      <c r="FT6" s="76"/>
      <c r="FU6" s="76"/>
      <c r="FV6" s="76"/>
      <c r="FW6" s="76"/>
      <c r="FX6" s="76"/>
      <c r="FY6" s="76"/>
      <c r="FZ6" s="76"/>
      <c r="GA6" s="76"/>
      <c r="GB6" s="76"/>
      <c r="GC6" s="76"/>
      <c r="GD6" s="76"/>
      <c r="GE6" s="76"/>
      <c r="GF6" s="76"/>
      <c r="GG6" s="76"/>
      <c r="GH6" s="76"/>
      <c r="GI6" s="76"/>
      <c r="GJ6" s="76"/>
      <c r="GK6" s="76"/>
      <c r="GL6" s="76"/>
      <c r="GM6" s="76"/>
      <c r="GN6" s="76"/>
      <c r="GO6" s="76"/>
      <c r="GP6" s="76"/>
      <c r="GQ6" s="76"/>
      <c r="GR6" s="76"/>
      <c r="GS6" s="76"/>
      <c r="GT6" s="76"/>
      <c r="GU6" s="76"/>
      <c r="GV6" s="76"/>
      <c r="GW6" s="76"/>
      <c r="GX6" s="76"/>
      <c r="GY6" s="76"/>
      <c r="GZ6" s="76"/>
      <c r="HA6" s="76"/>
      <c r="HB6" s="76"/>
      <c r="HC6" s="76"/>
      <c r="HD6" s="76"/>
      <c r="HE6" s="76"/>
      <c r="HF6" s="76"/>
      <c r="HG6" s="76"/>
      <c r="HH6" s="76"/>
      <c r="HI6" s="76"/>
      <c r="HJ6" s="76"/>
      <c r="HK6" s="76"/>
      <c r="HL6" s="76"/>
      <c r="HM6" s="76"/>
      <c r="HN6" s="76"/>
      <c r="HO6" s="76"/>
      <c r="HP6" s="76"/>
      <c r="HQ6" s="76"/>
      <c r="HR6" s="76"/>
      <c r="HS6" s="76"/>
      <c r="HT6" s="76"/>
      <c r="HU6" s="76"/>
      <c r="HV6" s="76"/>
      <c r="HW6" s="76"/>
      <c r="HX6" s="76"/>
      <c r="HY6" s="76"/>
      <c r="HZ6" s="76"/>
      <c r="IA6" s="76"/>
      <c r="IB6" s="76"/>
      <c r="IC6" s="76"/>
      <c r="ID6" s="76"/>
      <c r="IE6" s="76"/>
      <c r="IF6" s="76"/>
      <c r="IG6" s="76"/>
      <c r="IH6" s="76"/>
      <c r="II6" s="76"/>
      <c r="IJ6" s="76"/>
      <c r="IK6" s="76"/>
      <c r="IL6" s="76"/>
      <c r="IM6" s="76"/>
      <c r="IN6" s="76"/>
      <c r="IO6" s="76"/>
      <c r="IP6" s="76"/>
      <c r="IQ6" s="76"/>
      <c r="IR6" s="76"/>
      <c r="IS6" s="76"/>
      <c r="IT6" s="76"/>
      <c r="IU6" s="76"/>
      <c r="IV6" s="76"/>
      <c r="IW6" s="76"/>
      <c r="IX6" s="76"/>
      <c r="IY6" s="76"/>
      <c r="IZ6" s="76"/>
      <c r="JA6" s="76"/>
      <c r="JB6" s="76"/>
      <c r="JC6" s="76"/>
      <c r="JD6" s="76"/>
      <c r="JE6" s="76"/>
      <c r="JF6" s="76"/>
      <c r="JG6" s="76"/>
      <c r="JH6" s="76"/>
      <c r="JI6" s="76"/>
      <c r="JJ6" s="76"/>
      <c r="JK6" s="76"/>
      <c r="JL6" s="76"/>
      <c r="JM6" s="76"/>
      <c r="JN6" s="76"/>
      <c r="JO6" s="76"/>
      <c r="JP6" s="76"/>
      <c r="JQ6" s="76"/>
      <c r="JR6" s="76"/>
      <c r="JS6" s="76"/>
      <c r="JT6" s="76"/>
      <c r="JU6" s="76"/>
      <c r="JV6" s="76"/>
      <c r="JW6" s="76"/>
      <c r="JX6" s="76"/>
      <c r="JY6" s="76"/>
      <c r="JZ6" s="76"/>
      <c r="KA6" s="76"/>
      <c r="KB6" s="76"/>
      <c r="KC6" s="76"/>
      <c r="KD6" s="76"/>
      <c r="KE6" s="76"/>
      <c r="KF6" s="76"/>
      <c r="KG6" s="76"/>
      <c r="KH6" s="76"/>
      <c r="KI6" s="76"/>
      <c r="KJ6" s="76"/>
      <c r="KK6" s="76"/>
      <c r="KL6" s="76"/>
      <c r="KM6" s="76"/>
      <c r="KN6" s="76"/>
      <c r="KO6" s="76"/>
      <c r="KP6" s="76"/>
      <c r="KQ6" s="76"/>
      <c r="KR6" s="76"/>
      <c r="KS6" s="76"/>
      <c r="KT6" s="76"/>
      <c r="KU6" s="76"/>
      <c r="KV6" s="76"/>
      <c r="KW6" s="76"/>
      <c r="KX6" s="76"/>
      <c r="KY6" s="76"/>
      <c r="KZ6" s="76"/>
      <c r="LA6" s="76"/>
      <c r="LB6" s="76"/>
      <c r="LC6" s="76"/>
      <c r="LD6" s="76"/>
      <c r="LE6" s="76"/>
      <c r="LF6" s="76"/>
      <c r="LG6" s="76"/>
      <c r="LH6" s="76"/>
      <c r="LI6" s="76"/>
      <c r="LJ6" s="76"/>
      <c r="LK6" s="76"/>
      <c r="LL6" s="76"/>
      <c r="LM6" s="76"/>
      <c r="LN6" s="76"/>
      <c r="LO6" s="76"/>
      <c r="LP6" s="76"/>
      <c r="LQ6" s="76"/>
      <c r="LR6" s="76"/>
      <c r="LS6" s="76"/>
      <c r="LT6" s="76"/>
      <c r="LU6" s="76"/>
      <c r="LV6" s="76"/>
      <c r="LW6" s="76"/>
      <c r="LX6" s="76"/>
      <c r="LY6" s="76"/>
      <c r="LZ6" s="76"/>
      <c r="MA6" s="76"/>
      <c r="MB6" s="76"/>
      <c r="MC6" s="76"/>
      <c r="MD6" s="76"/>
      <c r="ME6" s="76"/>
      <c r="MF6" s="76"/>
      <c r="MG6" s="76"/>
      <c r="MH6" s="76"/>
      <c r="MI6" s="76"/>
      <c r="MJ6" s="76"/>
      <c r="MK6" s="76"/>
      <c r="ML6" s="76"/>
      <c r="MM6" s="76"/>
      <c r="MN6" s="76"/>
      <c r="MO6" s="76"/>
      <c r="MP6" s="76"/>
      <c r="MQ6" s="76"/>
      <c r="MR6" s="76"/>
      <c r="MS6" s="76"/>
      <c r="MT6" s="76"/>
      <c r="MU6" s="76"/>
      <c r="MV6" s="76"/>
      <c r="MW6" s="76"/>
      <c r="MX6" s="76"/>
      <c r="MY6" s="76"/>
      <c r="MZ6" s="76"/>
      <c r="NA6" s="76"/>
      <c r="NB6" s="76"/>
      <c r="NC6" s="76"/>
      <c r="ND6" s="76"/>
      <c r="NE6" s="76"/>
      <c r="NF6" s="76"/>
      <c r="NG6" s="76"/>
      <c r="NH6" s="76"/>
      <c r="NI6" s="76"/>
      <c r="NJ6" s="76"/>
      <c r="NK6" s="76"/>
      <c r="NL6" s="76"/>
      <c r="NM6" s="76"/>
      <c r="NN6" s="76"/>
      <c r="NO6" s="76"/>
      <c r="NP6" s="76"/>
      <c r="NQ6" s="76"/>
      <c r="NR6" s="76"/>
      <c r="NS6" s="76"/>
      <c r="NT6" s="76"/>
      <c r="NU6" s="76"/>
      <c r="NV6" s="76"/>
      <c r="NW6" s="76"/>
      <c r="NX6" s="76"/>
      <c r="NY6" s="76"/>
      <c r="NZ6" s="76"/>
      <c r="OA6" s="76"/>
      <c r="OB6" s="76"/>
      <c r="OC6" s="76"/>
      <c r="OD6" s="76"/>
      <c r="OE6" s="76"/>
      <c r="OF6" s="76"/>
      <c r="OG6" s="76"/>
      <c r="OH6" s="76"/>
      <c r="OI6" s="76"/>
      <c r="OJ6" s="76"/>
      <c r="OK6" s="76"/>
      <c r="OL6" s="76"/>
      <c r="OM6" s="76"/>
      <c r="ON6" s="76"/>
      <c r="OO6" s="76"/>
      <c r="OP6" s="76"/>
      <c r="OQ6" s="76"/>
      <c r="OR6" s="76"/>
      <c r="OS6" s="76"/>
      <c r="OT6" s="76"/>
      <c r="OU6" s="76"/>
      <c r="OV6" s="76"/>
      <c r="OW6" s="76"/>
      <c r="OX6" s="76"/>
      <c r="OY6" s="76"/>
      <c r="OZ6" s="76"/>
      <c r="PA6" s="76"/>
      <c r="PB6" s="76"/>
      <c r="PC6" s="76"/>
      <c r="PD6" s="76"/>
      <c r="PE6" s="76"/>
      <c r="PF6" s="76"/>
      <c r="PG6" s="76"/>
      <c r="PH6" s="76"/>
      <c r="PI6" s="76"/>
      <c r="PJ6" s="76"/>
      <c r="PK6" s="76"/>
      <c r="PL6" s="76"/>
      <c r="PM6" s="76"/>
      <c r="PN6" s="76"/>
      <c r="PO6" s="76"/>
      <c r="PP6" s="76"/>
      <c r="PQ6" s="76"/>
      <c r="PR6" s="76"/>
      <c r="PS6" s="76"/>
      <c r="PT6" s="76"/>
      <c r="PU6" s="76"/>
      <c r="PV6" s="76"/>
      <c r="PW6" s="76"/>
      <c r="PX6" s="76"/>
      <c r="PY6" s="76"/>
      <c r="PZ6" s="76"/>
      <c r="QA6" s="76"/>
      <c r="QB6" s="76"/>
      <c r="QC6" s="76"/>
      <c r="QD6" s="76"/>
      <c r="QE6" s="76"/>
      <c r="QF6" s="76"/>
      <c r="QG6" s="76"/>
      <c r="QH6" s="76"/>
      <c r="QI6" s="76"/>
      <c r="QJ6" s="76"/>
      <c r="QK6" s="76"/>
      <c r="QL6" s="76"/>
      <c r="QM6" s="76"/>
      <c r="QN6" s="76"/>
      <c r="QO6" s="76"/>
      <c r="QP6" s="76"/>
      <c r="QQ6" s="76"/>
      <c r="QR6" s="76"/>
      <c r="QS6" s="76"/>
      <c r="QT6" s="76"/>
      <c r="QU6" s="76"/>
      <c r="QV6" s="76"/>
      <c r="QW6" s="76"/>
      <c r="QX6" s="76"/>
      <c r="QY6" s="76"/>
      <c r="QZ6" s="76"/>
      <c r="RA6" s="76"/>
      <c r="RB6" s="76"/>
      <c r="RC6" s="76"/>
      <c r="RD6" s="76"/>
      <c r="RE6" s="76"/>
      <c r="RF6" s="76"/>
      <c r="RG6" s="76"/>
      <c r="RH6" s="76"/>
      <c r="RI6" s="76"/>
      <c r="RJ6" s="76"/>
      <c r="RK6" s="76"/>
      <c r="RL6" s="76"/>
      <c r="RM6" s="76"/>
      <c r="RN6" s="76"/>
      <c r="RO6" s="76"/>
      <c r="RP6" s="76"/>
      <c r="RQ6" s="76"/>
      <c r="RR6" s="76"/>
      <c r="RS6" s="76"/>
      <c r="RT6" s="76"/>
      <c r="RU6" s="76"/>
      <c r="RV6" s="76"/>
      <c r="RW6" s="76"/>
      <c r="RX6" s="76"/>
      <c r="RY6" s="76"/>
      <c r="RZ6" s="76"/>
      <c r="SA6" s="76"/>
      <c r="SB6" s="76"/>
      <c r="SC6" s="76"/>
      <c r="SD6" s="76"/>
      <c r="SE6" s="76"/>
      <c r="SF6" s="76"/>
      <c r="SG6" s="76"/>
      <c r="SH6" s="76"/>
      <c r="SI6" s="76"/>
      <c r="SJ6" s="76"/>
      <c r="SK6" s="76"/>
      <c r="SL6" s="76"/>
      <c r="SM6" s="76"/>
      <c r="SN6" s="76"/>
      <c r="SO6" s="76"/>
      <c r="SP6" s="76"/>
      <c r="SQ6" s="76"/>
      <c r="SR6" s="76"/>
      <c r="SS6" s="76"/>
      <c r="ST6" s="76"/>
      <c r="SU6" s="76"/>
      <c r="SV6" s="76"/>
      <c r="SW6" s="76"/>
      <c r="SX6" s="76"/>
      <c r="SY6" s="76"/>
      <c r="SZ6" s="76"/>
      <c r="TA6" s="76"/>
      <c r="TB6" s="76"/>
      <c r="TC6" s="76"/>
      <c r="TD6" s="76"/>
      <c r="TE6" s="76"/>
      <c r="TF6" s="76"/>
      <c r="TG6" s="76"/>
      <c r="TH6" s="76"/>
      <c r="TI6" s="76"/>
      <c r="TJ6" s="76"/>
      <c r="TK6" s="76"/>
      <c r="TL6" s="76"/>
      <c r="TM6" s="76"/>
      <c r="TN6" s="76"/>
      <c r="TO6" s="76"/>
      <c r="TP6" s="76"/>
      <c r="TQ6" s="76"/>
      <c r="TR6" s="76"/>
      <c r="TS6" s="76"/>
      <c r="TT6" s="76"/>
      <c r="TU6" s="76"/>
      <c r="TV6" s="76"/>
      <c r="TW6" s="76"/>
      <c r="TX6" s="76"/>
      <c r="TY6" s="76"/>
      <c r="TZ6" s="76"/>
      <c r="UA6" s="76"/>
      <c r="UB6" s="76"/>
      <c r="UC6" s="76"/>
      <c r="UD6" s="76"/>
      <c r="UE6" s="76"/>
      <c r="UF6" s="76"/>
      <c r="UG6" s="76"/>
      <c r="UH6" s="76"/>
      <c r="UI6" s="76"/>
      <c r="UJ6" s="76"/>
      <c r="UK6" s="76"/>
      <c r="UL6" s="76"/>
      <c r="UM6" s="76"/>
      <c r="UN6" s="76"/>
      <c r="UO6" s="76"/>
      <c r="UP6" s="76"/>
      <c r="UQ6" s="76"/>
      <c r="UR6" s="76"/>
      <c r="US6" s="76"/>
      <c r="UT6" s="76"/>
      <c r="UU6" s="76"/>
      <c r="UV6" s="76"/>
      <c r="UW6" s="76"/>
      <c r="UX6" s="76"/>
      <c r="UY6" s="76"/>
      <c r="UZ6" s="76"/>
      <c r="VA6" s="76"/>
      <c r="VB6" s="76"/>
      <c r="VC6" s="76"/>
      <c r="VD6" s="76"/>
      <c r="VE6" s="76"/>
      <c r="VF6" s="76"/>
      <c r="VG6" s="76"/>
      <c r="VH6" s="76"/>
      <c r="VI6" s="76"/>
      <c r="VJ6" s="76"/>
      <c r="VK6" s="76"/>
      <c r="VL6" s="76"/>
      <c r="VM6" s="76"/>
      <c r="VN6" s="76"/>
      <c r="VO6" s="76"/>
      <c r="VP6" s="76"/>
      <c r="VQ6" s="76"/>
      <c r="VR6" s="76"/>
      <c r="VS6" s="76"/>
      <c r="VT6" s="76"/>
      <c r="VU6" s="76"/>
      <c r="VV6" s="76"/>
      <c r="VW6" s="76"/>
      <c r="VX6" s="76"/>
      <c r="VY6" s="76"/>
      <c r="VZ6" s="76"/>
      <c r="WA6" s="76"/>
      <c r="WB6" s="76"/>
      <c r="WC6" s="76"/>
      <c r="WD6" s="76"/>
      <c r="WE6" s="76"/>
      <c r="WF6" s="76"/>
      <c r="WG6" s="76"/>
      <c r="WH6" s="76"/>
      <c r="WI6" s="76"/>
      <c r="WJ6" s="76"/>
      <c r="WK6" s="76"/>
      <c r="WL6" s="76"/>
      <c r="WM6" s="76"/>
      <c r="WN6" s="76"/>
      <c r="WO6" s="76"/>
      <c r="WP6" s="76"/>
      <c r="WQ6" s="76"/>
    </row>
    <row r="7" spans="1:615" s="51" customFormat="1" ht="126.7" x14ac:dyDescent="0.4">
      <c r="A7" s="16">
        <v>3</v>
      </c>
      <c r="B7" s="17" t="s">
        <v>128</v>
      </c>
      <c r="C7" s="18"/>
      <c r="D7" s="19">
        <v>10</v>
      </c>
      <c r="E7" s="20" t="s">
        <v>42</v>
      </c>
      <c r="F7" s="17" t="s">
        <v>128</v>
      </c>
      <c r="G7" s="18"/>
      <c r="H7" s="19">
        <v>10</v>
      </c>
      <c r="I7" s="20" t="s">
        <v>42</v>
      </c>
      <c r="J7" s="17" t="s">
        <v>128</v>
      </c>
      <c r="K7" s="18"/>
      <c r="L7" s="19">
        <v>10</v>
      </c>
      <c r="M7" s="20" t="s">
        <v>42</v>
      </c>
      <c r="N7" s="17" t="s">
        <v>128</v>
      </c>
      <c r="O7" s="18"/>
      <c r="P7" s="19">
        <v>10</v>
      </c>
      <c r="Q7" s="20" t="s">
        <v>42</v>
      </c>
      <c r="R7" s="17" t="s">
        <v>128</v>
      </c>
      <c r="S7" s="18"/>
      <c r="T7" s="19">
        <v>10</v>
      </c>
      <c r="U7" s="20" t="s">
        <v>42</v>
      </c>
      <c r="V7" s="21" t="s">
        <v>252</v>
      </c>
      <c r="W7" s="18" t="s">
        <v>129</v>
      </c>
      <c r="X7" s="19">
        <v>10</v>
      </c>
      <c r="Y7" s="20" t="s">
        <v>42</v>
      </c>
      <c r="Z7" s="17" t="s">
        <v>252</v>
      </c>
      <c r="AA7" s="18" t="s">
        <v>129</v>
      </c>
      <c r="AB7" s="19">
        <v>10</v>
      </c>
      <c r="AC7" s="20" t="s">
        <v>42</v>
      </c>
      <c r="AD7" s="17" t="s">
        <v>253</v>
      </c>
      <c r="AE7" s="18"/>
      <c r="AF7" s="19">
        <v>10</v>
      </c>
      <c r="AG7" s="20" t="s">
        <v>42</v>
      </c>
      <c r="AH7" s="17" t="s">
        <v>130</v>
      </c>
      <c r="AI7" s="18"/>
      <c r="AJ7" s="19">
        <v>10</v>
      </c>
      <c r="AK7" s="20" t="s">
        <v>43</v>
      </c>
      <c r="AL7" s="17" t="s">
        <v>131</v>
      </c>
      <c r="AM7" s="18"/>
      <c r="AN7" s="19">
        <v>10</v>
      </c>
      <c r="AO7" s="20" t="s">
        <v>43</v>
      </c>
      <c r="AP7" s="17" t="s">
        <v>132</v>
      </c>
      <c r="AQ7" s="18"/>
      <c r="AR7" s="19">
        <v>10</v>
      </c>
      <c r="AS7" s="20" t="s">
        <v>42</v>
      </c>
      <c r="AT7" s="17" t="s">
        <v>133</v>
      </c>
      <c r="AU7" s="22"/>
      <c r="AV7" s="19">
        <v>10</v>
      </c>
      <c r="AW7" s="20" t="s">
        <v>42</v>
      </c>
      <c r="AX7" s="17" t="s">
        <v>134</v>
      </c>
      <c r="AY7" s="18"/>
      <c r="AZ7" s="19">
        <v>10</v>
      </c>
      <c r="BA7" s="20" t="s">
        <v>43</v>
      </c>
      <c r="BB7" s="17" t="s">
        <v>135</v>
      </c>
      <c r="BC7" s="18"/>
      <c r="BD7" s="19">
        <v>20</v>
      </c>
      <c r="BE7" s="20" t="s">
        <v>43</v>
      </c>
      <c r="BF7" s="17" t="s">
        <v>136</v>
      </c>
      <c r="BG7" s="18" t="s">
        <v>137</v>
      </c>
      <c r="BH7" s="19">
        <v>5</v>
      </c>
      <c r="BI7" s="147" t="s">
        <v>42</v>
      </c>
      <c r="BJ7" s="148" t="s">
        <v>136</v>
      </c>
      <c r="BK7" s="18" t="s">
        <v>137</v>
      </c>
      <c r="BL7" s="19">
        <v>5</v>
      </c>
      <c r="BM7" s="149" t="s">
        <v>42</v>
      </c>
      <c r="BN7" s="17" t="s">
        <v>138</v>
      </c>
      <c r="BO7" s="18"/>
      <c r="BP7" s="19">
        <v>30</v>
      </c>
      <c r="BQ7" s="20" t="s">
        <v>42</v>
      </c>
      <c r="BR7" s="54" t="s">
        <v>201</v>
      </c>
      <c r="BS7" s="18" t="s">
        <v>142</v>
      </c>
      <c r="BT7" s="19">
        <v>30</v>
      </c>
      <c r="BU7" s="20" t="s">
        <v>42</v>
      </c>
      <c r="BV7" s="54" t="s">
        <v>202</v>
      </c>
      <c r="BW7" s="55" t="s">
        <v>203</v>
      </c>
      <c r="BX7" s="19">
        <v>20</v>
      </c>
      <c r="BY7" s="20" t="s">
        <v>42</v>
      </c>
    </row>
    <row r="8" spans="1:615" s="29" customFormat="1" ht="101.35" x14ac:dyDescent="0.4">
      <c r="A8" s="69">
        <v>4</v>
      </c>
      <c r="B8" s="70" t="s">
        <v>139</v>
      </c>
      <c r="C8" s="71" t="s">
        <v>140</v>
      </c>
      <c r="D8" s="72">
        <v>40</v>
      </c>
      <c r="E8" s="73" t="s">
        <v>44</v>
      </c>
      <c r="F8" s="70" t="s">
        <v>141</v>
      </c>
      <c r="G8" s="71" t="s">
        <v>140</v>
      </c>
      <c r="H8" s="72">
        <v>40</v>
      </c>
      <c r="I8" s="73" t="s">
        <v>44</v>
      </c>
      <c r="J8" s="70" t="s">
        <v>139</v>
      </c>
      <c r="K8" s="71" t="s">
        <v>140</v>
      </c>
      <c r="L8" s="72">
        <v>40</v>
      </c>
      <c r="M8" s="73" t="s">
        <v>44</v>
      </c>
      <c r="N8" s="70" t="s">
        <v>139</v>
      </c>
      <c r="O8" s="71" t="s">
        <v>140</v>
      </c>
      <c r="P8" s="72">
        <v>40</v>
      </c>
      <c r="Q8" s="73" t="s">
        <v>44</v>
      </c>
      <c r="R8" s="70" t="s">
        <v>139</v>
      </c>
      <c r="S8" s="71" t="s">
        <v>140</v>
      </c>
      <c r="T8" s="72">
        <v>40</v>
      </c>
      <c r="U8" s="73" t="s">
        <v>44</v>
      </c>
      <c r="V8" s="74" t="s">
        <v>31</v>
      </c>
      <c r="W8" s="71" t="s">
        <v>142</v>
      </c>
      <c r="X8" s="72">
        <v>10</v>
      </c>
      <c r="Y8" s="73" t="s">
        <v>42</v>
      </c>
      <c r="Z8" s="70" t="s">
        <v>31</v>
      </c>
      <c r="AA8" s="71" t="s">
        <v>142</v>
      </c>
      <c r="AB8" s="72">
        <v>10</v>
      </c>
      <c r="AC8" s="73" t="s">
        <v>42</v>
      </c>
      <c r="AD8" s="70" t="s">
        <v>32</v>
      </c>
      <c r="AE8" s="71" t="s">
        <v>142</v>
      </c>
      <c r="AF8" s="72">
        <v>10</v>
      </c>
      <c r="AG8" s="73" t="s">
        <v>42</v>
      </c>
      <c r="AH8" s="70" t="s">
        <v>33</v>
      </c>
      <c r="AI8" s="71" t="s">
        <v>142</v>
      </c>
      <c r="AJ8" s="72">
        <v>10</v>
      </c>
      <c r="AK8" s="73" t="s">
        <v>42</v>
      </c>
      <c r="AL8" s="70" t="s">
        <v>33</v>
      </c>
      <c r="AM8" s="71" t="s">
        <v>142</v>
      </c>
      <c r="AN8" s="72">
        <v>10</v>
      </c>
      <c r="AO8" s="73" t="s">
        <v>42</v>
      </c>
      <c r="AP8" s="74" t="s">
        <v>33</v>
      </c>
      <c r="AQ8" s="71" t="s">
        <v>142</v>
      </c>
      <c r="AR8" s="72">
        <v>10</v>
      </c>
      <c r="AS8" s="73" t="s">
        <v>42</v>
      </c>
      <c r="AT8" s="70" t="s">
        <v>143</v>
      </c>
      <c r="AU8" s="71" t="s">
        <v>142</v>
      </c>
      <c r="AV8" s="72">
        <v>10</v>
      </c>
      <c r="AW8" s="73" t="s">
        <v>42</v>
      </c>
      <c r="AX8" s="70" t="s">
        <v>34</v>
      </c>
      <c r="AY8" s="71" t="s">
        <v>142</v>
      </c>
      <c r="AZ8" s="72">
        <v>10</v>
      </c>
      <c r="BA8" s="73" t="s">
        <v>43</v>
      </c>
      <c r="BB8" s="70" t="s">
        <v>144</v>
      </c>
      <c r="BC8" s="71"/>
      <c r="BD8" s="72">
        <v>20</v>
      </c>
      <c r="BE8" s="73" t="s">
        <v>42</v>
      </c>
      <c r="BF8" s="70" t="s">
        <v>30</v>
      </c>
      <c r="BG8" s="71"/>
      <c r="BH8" s="72">
        <v>5</v>
      </c>
      <c r="BI8" s="144" t="s">
        <v>42</v>
      </c>
      <c r="BJ8" s="145" t="s">
        <v>145</v>
      </c>
      <c r="BK8" s="71"/>
      <c r="BL8" s="72">
        <v>5</v>
      </c>
      <c r="BM8" s="146" t="s">
        <v>42</v>
      </c>
      <c r="BN8" s="70" t="s">
        <v>35</v>
      </c>
      <c r="BO8" s="71" t="s">
        <v>137</v>
      </c>
      <c r="BP8" s="72">
        <v>20</v>
      </c>
      <c r="BQ8" s="73" t="s">
        <v>42</v>
      </c>
      <c r="BR8" s="74" t="s">
        <v>204</v>
      </c>
      <c r="BS8" s="71" t="s">
        <v>264</v>
      </c>
      <c r="BT8" s="72">
        <v>30</v>
      </c>
      <c r="BU8" s="73" t="s">
        <v>42</v>
      </c>
      <c r="BV8" s="70" t="s">
        <v>205</v>
      </c>
      <c r="BW8" s="18" t="s">
        <v>142</v>
      </c>
      <c r="BX8" s="72">
        <v>20</v>
      </c>
      <c r="BY8" s="73" t="s">
        <v>42</v>
      </c>
      <c r="BZ8" s="76"/>
      <c r="CA8" s="76"/>
      <c r="CB8" s="76"/>
      <c r="CC8" s="76"/>
      <c r="CD8" s="76"/>
      <c r="CE8" s="76"/>
      <c r="CF8" s="76"/>
      <c r="CG8" s="76"/>
      <c r="CH8" s="76"/>
      <c r="CI8" s="76"/>
      <c r="CJ8" s="76"/>
      <c r="CK8" s="76"/>
      <c r="CL8" s="76"/>
      <c r="CM8" s="76"/>
      <c r="CN8" s="76"/>
      <c r="CO8" s="76"/>
      <c r="CP8" s="76"/>
      <c r="CQ8" s="76"/>
      <c r="CR8" s="76"/>
      <c r="CS8" s="76"/>
      <c r="CT8" s="76"/>
      <c r="CU8" s="76"/>
      <c r="CV8" s="76"/>
      <c r="CW8" s="76"/>
      <c r="CX8" s="76"/>
      <c r="CY8" s="76"/>
      <c r="CZ8" s="76"/>
      <c r="DA8" s="76"/>
      <c r="DB8" s="76"/>
      <c r="DC8" s="76"/>
      <c r="DD8" s="76"/>
      <c r="DE8" s="76"/>
      <c r="DF8" s="76"/>
      <c r="DG8" s="76"/>
      <c r="DH8" s="76"/>
      <c r="DI8" s="76"/>
      <c r="DJ8" s="76"/>
      <c r="DK8" s="76"/>
      <c r="DL8" s="76"/>
      <c r="DM8" s="76"/>
      <c r="DN8" s="76"/>
      <c r="DO8" s="76"/>
      <c r="DP8" s="76"/>
      <c r="DQ8" s="76"/>
      <c r="DR8" s="76"/>
      <c r="DS8" s="76"/>
      <c r="DT8" s="76"/>
      <c r="DU8" s="76"/>
      <c r="DV8" s="76"/>
      <c r="DW8" s="76"/>
      <c r="DX8" s="76"/>
      <c r="DY8" s="76"/>
      <c r="DZ8" s="76"/>
      <c r="EA8" s="76"/>
      <c r="EB8" s="76"/>
      <c r="EC8" s="76"/>
      <c r="ED8" s="76"/>
      <c r="EE8" s="76"/>
      <c r="EF8" s="76"/>
      <c r="EG8" s="76"/>
      <c r="EH8" s="76"/>
      <c r="EI8" s="76"/>
      <c r="EJ8" s="76"/>
      <c r="EK8" s="76"/>
      <c r="EL8" s="76"/>
      <c r="EM8" s="76"/>
      <c r="EN8" s="76"/>
      <c r="EO8" s="76"/>
      <c r="EP8" s="76"/>
      <c r="EQ8" s="76"/>
      <c r="ER8" s="76"/>
      <c r="ES8" s="76"/>
      <c r="ET8" s="76"/>
      <c r="EU8" s="76"/>
      <c r="EV8" s="76"/>
      <c r="EW8" s="76"/>
      <c r="EX8" s="76"/>
      <c r="EY8" s="76"/>
      <c r="EZ8" s="76"/>
      <c r="FA8" s="76"/>
      <c r="FB8" s="76"/>
      <c r="FC8" s="76"/>
      <c r="FD8" s="76"/>
      <c r="FE8" s="76"/>
      <c r="FF8" s="76"/>
      <c r="FG8" s="76"/>
      <c r="FH8" s="76"/>
      <c r="FI8" s="76"/>
      <c r="FJ8" s="76"/>
      <c r="FK8" s="76"/>
      <c r="FL8" s="76"/>
      <c r="FM8" s="76"/>
      <c r="FN8" s="76"/>
      <c r="FO8" s="76"/>
      <c r="FP8" s="76"/>
      <c r="FQ8" s="76"/>
      <c r="FR8" s="76"/>
      <c r="FS8" s="76"/>
      <c r="FT8" s="76"/>
      <c r="FU8" s="76"/>
      <c r="FV8" s="76"/>
      <c r="FW8" s="76"/>
      <c r="FX8" s="76"/>
      <c r="FY8" s="76"/>
      <c r="FZ8" s="76"/>
      <c r="GA8" s="76"/>
      <c r="GB8" s="76"/>
      <c r="GC8" s="76"/>
      <c r="GD8" s="76"/>
      <c r="GE8" s="76"/>
      <c r="GF8" s="76"/>
      <c r="GG8" s="76"/>
      <c r="GH8" s="76"/>
      <c r="GI8" s="76"/>
      <c r="GJ8" s="76"/>
      <c r="GK8" s="76"/>
      <c r="GL8" s="76"/>
      <c r="GM8" s="76"/>
      <c r="GN8" s="76"/>
      <c r="GO8" s="76"/>
      <c r="GP8" s="76"/>
      <c r="GQ8" s="76"/>
      <c r="GR8" s="76"/>
      <c r="GS8" s="76"/>
      <c r="GT8" s="76"/>
      <c r="GU8" s="76"/>
      <c r="GV8" s="76"/>
      <c r="GW8" s="76"/>
      <c r="GX8" s="76"/>
      <c r="GY8" s="76"/>
      <c r="GZ8" s="76"/>
      <c r="HA8" s="76"/>
      <c r="HB8" s="76"/>
      <c r="HC8" s="76"/>
      <c r="HD8" s="76"/>
      <c r="HE8" s="76"/>
      <c r="HF8" s="76"/>
      <c r="HG8" s="76"/>
      <c r="HH8" s="76"/>
      <c r="HI8" s="76"/>
      <c r="HJ8" s="76"/>
      <c r="HK8" s="76"/>
      <c r="HL8" s="76"/>
      <c r="HM8" s="76"/>
      <c r="HN8" s="76"/>
      <c r="HO8" s="76"/>
      <c r="HP8" s="76"/>
      <c r="HQ8" s="76"/>
      <c r="HR8" s="76"/>
      <c r="HS8" s="76"/>
      <c r="HT8" s="76"/>
      <c r="HU8" s="76"/>
      <c r="HV8" s="76"/>
      <c r="HW8" s="76"/>
      <c r="HX8" s="76"/>
      <c r="HY8" s="76"/>
      <c r="HZ8" s="76"/>
      <c r="IA8" s="76"/>
      <c r="IB8" s="76"/>
      <c r="IC8" s="76"/>
      <c r="ID8" s="76"/>
      <c r="IE8" s="76"/>
      <c r="IF8" s="76"/>
      <c r="IG8" s="76"/>
      <c r="IH8" s="76"/>
      <c r="II8" s="76"/>
      <c r="IJ8" s="76"/>
      <c r="IK8" s="76"/>
      <c r="IL8" s="76"/>
      <c r="IM8" s="76"/>
      <c r="IN8" s="76"/>
      <c r="IO8" s="76"/>
      <c r="IP8" s="76"/>
      <c r="IQ8" s="76"/>
      <c r="IR8" s="76"/>
      <c r="IS8" s="76"/>
      <c r="IT8" s="76"/>
      <c r="IU8" s="76"/>
      <c r="IV8" s="76"/>
      <c r="IW8" s="76"/>
      <c r="IX8" s="76"/>
      <c r="IY8" s="76"/>
      <c r="IZ8" s="76"/>
      <c r="JA8" s="76"/>
      <c r="JB8" s="76"/>
      <c r="JC8" s="76"/>
      <c r="JD8" s="76"/>
      <c r="JE8" s="76"/>
      <c r="JF8" s="76"/>
      <c r="JG8" s="76"/>
      <c r="JH8" s="76"/>
      <c r="JI8" s="76"/>
      <c r="JJ8" s="76"/>
      <c r="JK8" s="76"/>
      <c r="JL8" s="76"/>
      <c r="JM8" s="76"/>
      <c r="JN8" s="76"/>
      <c r="JO8" s="76"/>
      <c r="JP8" s="76"/>
      <c r="JQ8" s="76"/>
      <c r="JR8" s="76"/>
      <c r="JS8" s="76"/>
      <c r="JT8" s="76"/>
      <c r="JU8" s="76"/>
      <c r="JV8" s="76"/>
      <c r="JW8" s="76"/>
      <c r="JX8" s="76"/>
      <c r="JY8" s="76"/>
      <c r="JZ8" s="76"/>
      <c r="KA8" s="76"/>
      <c r="KB8" s="76"/>
      <c r="KC8" s="76"/>
      <c r="KD8" s="76"/>
      <c r="KE8" s="76"/>
      <c r="KF8" s="76"/>
      <c r="KG8" s="76"/>
      <c r="KH8" s="76"/>
      <c r="KI8" s="76"/>
      <c r="KJ8" s="76"/>
      <c r="KK8" s="76"/>
      <c r="KL8" s="76"/>
      <c r="KM8" s="76"/>
      <c r="KN8" s="76"/>
      <c r="KO8" s="76"/>
      <c r="KP8" s="76"/>
      <c r="KQ8" s="76"/>
      <c r="KR8" s="76"/>
      <c r="KS8" s="76"/>
      <c r="KT8" s="76"/>
      <c r="KU8" s="76"/>
      <c r="KV8" s="76"/>
      <c r="KW8" s="76"/>
      <c r="KX8" s="76"/>
      <c r="KY8" s="76"/>
      <c r="KZ8" s="76"/>
      <c r="LA8" s="76"/>
      <c r="LB8" s="76"/>
      <c r="LC8" s="76"/>
      <c r="LD8" s="76"/>
      <c r="LE8" s="76"/>
      <c r="LF8" s="76"/>
      <c r="LG8" s="76"/>
      <c r="LH8" s="76"/>
      <c r="LI8" s="76"/>
      <c r="LJ8" s="76"/>
      <c r="LK8" s="76"/>
      <c r="LL8" s="76"/>
      <c r="LM8" s="76"/>
      <c r="LN8" s="76"/>
      <c r="LO8" s="76"/>
      <c r="LP8" s="76"/>
      <c r="LQ8" s="76"/>
      <c r="LR8" s="76"/>
      <c r="LS8" s="76"/>
      <c r="LT8" s="76"/>
      <c r="LU8" s="76"/>
      <c r="LV8" s="76"/>
      <c r="LW8" s="76"/>
      <c r="LX8" s="76"/>
      <c r="LY8" s="76"/>
      <c r="LZ8" s="76"/>
      <c r="MA8" s="76"/>
      <c r="MB8" s="76"/>
      <c r="MC8" s="76"/>
      <c r="MD8" s="76"/>
      <c r="ME8" s="76"/>
      <c r="MF8" s="76"/>
      <c r="MG8" s="76"/>
      <c r="MH8" s="76"/>
      <c r="MI8" s="76"/>
      <c r="MJ8" s="76"/>
      <c r="MK8" s="76"/>
      <c r="ML8" s="76"/>
      <c r="MM8" s="76"/>
      <c r="MN8" s="76"/>
      <c r="MO8" s="76"/>
      <c r="MP8" s="76"/>
      <c r="MQ8" s="76"/>
      <c r="MR8" s="76"/>
      <c r="MS8" s="76"/>
      <c r="MT8" s="76"/>
      <c r="MU8" s="76"/>
      <c r="MV8" s="76"/>
      <c r="MW8" s="76"/>
      <c r="MX8" s="76"/>
      <c r="MY8" s="76"/>
      <c r="MZ8" s="76"/>
      <c r="NA8" s="76"/>
      <c r="NB8" s="76"/>
      <c r="NC8" s="76"/>
      <c r="ND8" s="76"/>
      <c r="NE8" s="76"/>
      <c r="NF8" s="76"/>
      <c r="NG8" s="76"/>
      <c r="NH8" s="76"/>
      <c r="NI8" s="76"/>
      <c r="NJ8" s="76"/>
      <c r="NK8" s="76"/>
      <c r="NL8" s="76"/>
      <c r="NM8" s="76"/>
      <c r="NN8" s="76"/>
      <c r="NO8" s="76"/>
      <c r="NP8" s="76"/>
      <c r="NQ8" s="76"/>
      <c r="NR8" s="76"/>
      <c r="NS8" s="76"/>
      <c r="NT8" s="76"/>
      <c r="NU8" s="76"/>
      <c r="NV8" s="76"/>
      <c r="NW8" s="76"/>
      <c r="NX8" s="76"/>
      <c r="NY8" s="76"/>
      <c r="NZ8" s="76"/>
      <c r="OA8" s="76"/>
      <c r="OB8" s="76"/>
      <c r="OC8" s="76"/>
      <c r="OD8" s="76"/>
      <c r="OE8" s="76"/>
      <c r="OF8" s="76"/>
      <c r="OG8" s="76"/>
      <c r="OH8" s="76"/>
      <c r="OI8" s="76"/>
      <c r="OJ8" s="76"/>
      <c r="OK8" s="76"/>
      <c r="OL8" s="76"/>
      <c r="OM8" s="76"/>
      <c r="ON8" s="76"/>
      <c r="OO8" s="76"/>
      <c r="OP8" s="76"/>
      <c r="OQ8" s="76"/>
      <c r="OR8" s="76"/>
      <c r="OS8" s="76"/>
      <c r="OT8" s="76"/>
      <c r="OU8" s="76"/>
      <c r="OV8" s="76"/>
      <c r="OW8" s="76"/>
      <c r="OX8" s="76"/>
      <c r="OY8" s="76"/>
      <c r="OZ8" s="76"/>
      <c r="PA8" s="76"/>
      <c r="PB8" s="76"/>
      <c r="PC8" s="76"/>
      <c r="PD8" s="76"/>
      <c r="PE8" s="76"/>
      <c r="PF8" s="76"/>
      <c r="PG8" s="76"/>
      <c r="PH8" s="76"/>
      <c r="PI8" s="76"/>
      <c r="PJ8" s="76"/>
      <c r="PK8" s="76"/>
      <c r="PL8" s="76"/>
      <c r="PM8" s="76"/>
      <c r="PN8" s="76"/>
      <c r="PO8" s="76"/>
      <c r="PP8" s="76"/>
      <c r="PQ8" s="76"/>
      <c r="PR8" s="76"/>
      <c r="PS8" s="76"/>
      <c r="PT8" s="76"/>
      <c r="PU8" s="76"/>
      <c r="PV8" s="76"/>
      <c r="PW8" s="76"/>
      <c r="PX8" s="76"/>
      <c r="PY8" s="76"/>
      <c r="PZ8" s="76"/>
      <c r="QA8" s="76"/>
      <c r="QB8" s="76"/>
      <c r="QC8" s="76"/>
      <c r="QD8" s="76"/>
      <c r="QE8" s="76"/>
      <c r="QF8" s="76"/>
      <c r="QG8" s="76"/>
      <c r="QH8" s="76"/>
      <c r="QI8" s="76"/>
      <c r="QJ8" s="76"/>
      <c r="QK8" s="76"/>
      <c r="QL8" s="76"/>
      <c r="QM8" s="76"/>
      <c r="QN8" s="76"/>
      <c r="QO8" s="76"/>
      <c r="QP8" s="76"/>
      <c r="QQ8" s="76"/>
      <c r="QR8" s="76"/>
      <c r="QS8" s="76"/>
      <c r="QT8" s="76"/>
      <c r="QU8" s="76"/>
      <c r="QV8" s="76"/>
      <c r="QW8" s="76"/>
      <c r="QX8" s="76"/>
      <c r="QY8" s="76"/>
      <c r="QZ8" s="76"/>
      <c r="RA8" s="76"/>
      <c r="RB8" s="76"/>
      <c r="RC8" s="76"/>
      <c r="RD8" s="76"/>
      <c r="RE8" s="76"/>
      <c r="RF8" s="76"/>
      <c r="RG8" s="76"/>
      <c r="RH8" s="76"/>
      <c r="RI8" s="76"/>
      <c r="RJ8" s="76"/>
      <c r="RK8" s="76"/>
      <c r="RL8" s="76"/>
      <c r="RM8" s="76"/>
      <c r="RN8" s="76"/>
      <c r="RO8" s="76"/>
      <c r="RP8" s="76"/>
      <c r="RQ8" s="76"/>
      <c r="RR8" s="76"/>
      <c r="RS8" s="76"/>
      <c r="RT8" s="76"/>
      <c r="RU8" s="76"/>
      <c r="RV8" s="76"/>
      <c r="RW8" s="76"/>
      <c r="RX8" s="76"/>
      <c r="RY8" s="76"/>
      <c r="RZ8" s="76"/>
      <c r="SA8" s="76"/>
      <c r="SB8" s="76"/>
      <c r="SC8" s="76"/>
      <c r="SD8" s="76"/>
      <c r="SE8" s="76"/>
      <c r="SF8" s="76"/>
      <c r="SG8" s="76"/>
      <c r="SH8" s="76"/>
      <c r="SI8" s="76"/>
      <c r="SJ8" s="76"/>
      <c r="SK8" s="76"/>
      <c r="SL8" s="76"/>
      <c r="SM8" s="76"/>
      <c r="SN8" s="76"/>
      <c r="SO8" s="76"/>
      <c r="SP8" s="76"/>
      <c r="SQ8" s="76"/>
      <c r="SR8" s="76"/>
      <c r="SS8" s="76"/>
      <c r="ST8" s="76"/>
      <c r="SU8" s="76"/>
      <c r="SV8" s="76"/>
      <c r="SW8" s="76"/>
      <c r="SX8" s="76"/>
      <c r="SY8" s="76"/>
      <c r="SZ8" s="76"/>
      <c r="TA8" s="76"/>
      <c r="TB8" s="76"/>
      <c r="TC8" s="76"/>
      <c r="TD8" s="76"/>
      <c r="TE8" s="76"/>
      <c r="TF8" s="76"/>
      <c r="TG8" s="76"/>
      <c r="TH8" s="76"/>
      <c r="TI8" s="76"/>
      <c r="TJ8" s="76"/>
      <c r="TK8" s="76"/>
      <c r="TL8" s="76"/>
      <c r="TM8" s="76"/>
      <c r="TN8" s="76"/>
      <c r="TO8" s="76"/>
      <c r="TP8" s="76"/>
      <c r="TQ8" s="76"/>
      <c r="TR8" s="76"/>
      <c r="TS8" s="76"/>
      <c r="TT8" s="76"/>
      <c r="TU8" s="76"/>
      <c r="TV8" s="76"/>
      <c r="TW8" s="76"/>
      <c r="TX8" s="76"/>
      <c r="TY8" s="76"/>
      <c r="TZ8" s="76"/>
      <c r="UA8" s="76"/>
      <c r="UB8" s="76"/>
      <c r="UC8" s="76"/>
      <c r="UD8" s="76"/>
      <c r="UE8" s="76"/>
      <c r="UF8" s="76"/>
      <c r="UG8" s="76"/>
      <c r="UH8" s="76"/>
      <c r="UI8" s="76"/>
      <c r="UJ8" s="76"/>
      <c r="UK8" s="76"/>
      <c r="UL8" s="76"/>
      <c r="UM8" s="76"/>
      <c r="UN8" s="76"/>
      <c r="UO8" s="76"/>
      <c r="UP8" s="76"/>
      <c r="UQ8" s="76"/>
      <c r="UR8" s="76"/>
      <c r="US8" s="76"/>
      <c r="UT8" s="76"/>
      <c r="UU8" s="76"/>
      <c r="UV8" s="76"/>
      <c r="UW8" s="76"/>
      <c r="UX8" s="76"/>
      <c r="UY8" s="76"/>
      <c r="UZ8" s="76"/>
      <c r="VA8" s="76"/>
      <c r="VB8" s="76"/>
      <c r="VC8" s="76"/>
      <c r="VD8" s="76"/>
      <c r="VE8" s="76"/>
      <c r="VF8" s="76"/>
      <c r="VG8" s="76"/>
      <c r="VH8" s="76"/>
      <c r="VI8" s="76"/>
      <c r="VJ8" s="76"/>
      <c r="VK8" s="76"/>
      <c r="VL8" s="76"/>
      <c r="VM8" s="76"/>
      <c r="VN8" s="76"/>
      <c r="VO8" s="76"/>
      <c r="VP8" s="76"/>
      <c r="VQ8" s="76"/>
      <c r="VR8" s="76"/>
      <c r="VS8" s="76"/>
      <c r="VT8" s="76"/>
      <c r="VU8" s="76"/>
      <c r="VV8" s="76"/>
      <c r="VW8" s="76"/>
      <c r="VX8" s="76"/>
      <c r="VY8" s="76"/>
      <c r="VZ8" s="76"/>
      <c r="WA8" s="76"/>
      <c r="WB8" s="76"/>
      <c r="WC8" s="76"/>
      <c r="WD8" s="76"/>
      <c r="WE8" s="76"/>
      <c r="WF8" s="76"/>
      <c r="WG8" s="76"/>
      <c r="WH8" s="76"/>
      <c r="WI8" s="76"/>
      <c r="WJ8" s="76"/>
      <c r="WK8" s="76"/>
      <c r="WL8" s="76"/>
      <c r="WM8" s="76"/>
      <c r="WN8" s="76"/>
      <c r="WO8" s="76"/>
      <c r="WP8" s="76"/>
      <c r="WQ8" s="76"/>
    </row>
    <row r="9" spans="1:615" s="51" customFormat="1" ht="115" thickBot="1" x14ac:dyDescent="0.45">
      <c r="A9" s="16">
        <v>5</v>
      </c>
      <c r="B9" s="23" t="s">
        <v>146</v>
      </c>
      <c r="C9" s="24" t="s">
        <v>147</v>
      </c>
      <c r="D9" s="25">
        <v>20</v>
      </c>
      <c r="E9" s="26" t="s">
        <v>43</v>
      </c>
      <c r="F9" s="23" t="s">
        <v>148</v>
      </c>
      <c r="G9" s="24" t="s">
        <v>147</v>
      </c>
      <c r="H9" s="25">
        <v>20</v>
      </c>
      <c r="I9" s="26" t="s">
        <v>43</v>
      </c>
      <c r="J9" s="23" t="s">
        <v>146</v>
      </c>
      <c r="K9" s="24" t="s">
        <v>147</v>
      </c>
      <c r="L9" s="25">
        <v>20</v>
      </c>
      <c r="M9" s="26" t="s">
        <v>43</v>
      </c>
      <c r="N9" s="23" t="s">
        <v>146</v>
      </c>
      <c r="O9" s="24" t="s">
        <v>147</v>
      </c>
      <c r="P9" s="25">
        <v>20</v>
      </c>
      <c r="Q9" s="26" t="s">
        <v>43</v>
      </c>
      <c r="R9" s="23" t="s">
        <v>146</v>
      </c>
      <c r="S9" s="24" t="s">
        <v>147</v>
      </c>
      <c r="T9" s="25">
        <v>20</v>
      </c>
      <c r="U9" s="26" t="s">
        <v>43</v>
      </c>
      <c r="V9" s="21" t="s">
        <v>36</v>
      </c>
      <c r="W9" s="18" t="s">
        <v>254</v>
      </c>
      <c r="X9" s="19">
        <v>10</v>
      </c>
      <c r="Y9" s="20" t="s">
        <v>42</v>
      </c>
      <c r="Z9" s="17" t="s">
        <v>36</v>
      </c>
      <c r="AA9" s="18" t="s">
        <v>254</v>
      </c>
      <c r="AB9" s="19">
        <v>10</v>
      </c>
      <c r="AC9" s="20" t="s">
        <v>42</v>
      </c>
      <c r="AD9" s="17" t="s">
        <v>36</v>
      </c>
      <c r="AE9" s="18" t="s">
        <v>255</v>
      </c>
      <c r="AF9" s="19">
        <v>10</v>
      </c>
      <c r="AG9" s="20" t="s">
        <v>42</v>
      </c>
      <c r="AH9" s="17" t="s">
        <v>149</v>
      </c>
      <c r="AI9" s="18" t="s">
        <v>256</v>
      </c>
      <c r="AJ9" s="19">
        <v>10</v>
      </c>
      <c r="AK9" s="20" t="s">
        <v>42</v>
      </c>
      <c r="AL9" s="17" t="s">
        <v>149</v>
      </c>
      <c r="AM9" s="18" t="s">
        <v>256</v>
      </c>
      <c r="AN9" s="19">
        <v>10</v>
      </c>
      <c r="AO9" s="20" t="s">
        <v>42</v>
      </c>
      <c r="AP9" s="21" t="s">
        <v>149</v>
      </c>
      <c r="AQ9" s="18" t="s">
        <v>150</v>
      </c>
      <c r="AR9" s="19">
        <v>10</v>
      </c>
      <c r="AS9" s="20" t="s">
        <v>42</v>
      </c>
      <c r="AT9" s="17" t="s">
        <v>151</v>
      </c>
      <c r="AU9" s="27" t="s">
        <v>152</v>
      </c>
      <c r="AV9" s="19">
        <v>10</v>
      </c>
      <c r="AW9" s="20" t="s">
        <v>42</v>
      </c>
      <c r="AX9" s="17" t="s">
        <v>153</v>
      </c>
      <c r="AY9" s="27" t="s">
        <v>152</v>
      </c>
      <c r="AZ9" s="19">
        <v>10</v>
      </c>
      <c r="BA9" s="20" t="s">
        <v>42</v>
      </c>
      <c r="BB9" s="17" t="s">
        <v>154</v>
      </c>
      <c r="BC9" s="22"/>
      <c r="BD9" s="19">
        <v>20</v>
      </c>
      <c r="BE9" s="20" t="s">
        <v>42</v>
      </c>
      <c r="BF9" s="17" t="s">
        <v>155</v>
      </c>
      <c r="BG9" s="18" t="s">
        <v>156</v>
      </c>
      <c r="BH9" s="19">
        <v>5</v>
      </c>
      <c r="BI9" s="147" t="s">
        <v>43</v>
      </c>
      <c r="BJ9" s="148" t="s">
        <v>155</v>
      </c>
      <c r="BK9" s="18" t="s">
        <v>156</v>
      </c>
      <c r="BL9" s="19">
        <v>5</v>
      </c>
      <c r="BM9" s="149" t="s">
        <v>43</v>
      </c>
      <c r="BN9" s="23" t="s">
        <v>157</v>
      </c>
      <c r="BO9" s="24"/>
      <c r="BP9" s="25">
        <v>20</v>
      </c>
      <c r="BQ9" s="26" t="s">
        <v>42</v>
      </c>
      <c r="BR9" s="21" t="s">
        <v>264</v>
      </c>
      <c r="BS9" s="24" t="s">
        <v>264</v>
      </c>
      <c r="BT9" s="25"/>
      <c r="BU9" s="86" t="s">
        <v>265</v>
      </c>
      <c r="BV9" s="21" t="s">
        <v>257</v>
      </c>
      <c r="BW9" s="24" t="s">
        <v>264</v>
      </c>
      <c r="BX9" s="19">
        <v>30</v>
      </c>
      <c r="BY9" s="20" t="s">
        <v>42</v>
      </c>
    </row>
    <row r="10" spans="1:615" s="29" customFormat="1" ht="101.7" thickBot="1" x14ac:dyDescent="0.45">
      <c r="A10" s="69">
        <v>6</v>
      </c>
      <c r="B10" s="77" t="s">
        <v>258</v>
      </c>
      <c r="C10" s="78"/>
      <c r="D10" s="79">
        <v>20</v>
      </c>
      <c r="E10" s="80" t="s">
        <v>43</v>
      </c>
      <c r="F10" s="77" t="s">
        <v>158</v>
      </c>
      <c r="G10" s="78"/>
      <c r="H10" s="79">
        <v>20</v>
      </c>
      <c r="I10" s="80" t="s">
        <v>43</v>
      </c>
      <c r="J10" s="77" t="s">
        <v>258</v>
      </c>
      <c r="K10" s="78"/>
      <c r="L10" s="79">
        <v>20</v>
      </c>
      <c r="M10" s="80" t="s">
        <v>43</v>
      </c>
      <c r="N10" s="77" t="s">
        <v>258</v>
      </c>
      <c r="O10" s="78"/>
      <c r="P10" s="79">
        <v>20</v>
      </c>
      <c r="Q10" s="80" t="s">
        <v>43</v>
      </c>
      <c r="R10" s="77" t="s">
        <v>258</v>
      </c>
      <c r="S10" s="78"/>
      <c r="T10" s="79">
        <v>20</v>
      </c>
      <c r="U10" s="80" t="s">
        <v>43</v>
      </c>
      <c r="V10" s="74" t="s">
        <v>159</v>
      </c>
      <c r="W10" s="75"/>
      <c r="X10" s="72">
        <v>10</v>
      </c>
      <c r="Y10" s="73" t="s">
        <v>42</v>
      </c>
      <c r="Z10" s="70" t="s">
        <v>160</v>
      </c>
      <c r="AA10" s="71"/>
      <c r="AB10" s="72">
        <v>10</v>
      </c>
      <c r="AC10" s="73" t="s">
        <v>42</v>
      </c>
      <c r="AD10" s="70" t="s">
        <v>259</v>
      </c>
      <c r="AE10" s="71"/>
      <c r="AF10" s="72">
        <v>10</v>
      </c>
      <c r="AG10" s="73" t="s">
        <v>42</v>
      </c>
      <c r="AH10" s="70" t="s">
        <v>259</v>
      </c>
      <c r="AI10" s="71"/>
      <c r="AJ10" s="72">
        <v>10</v>
      </c>
      <c r="AK10" s="73" t="s">
        <v>42</v>
      </c>
      <c r="AL10" s="70" t="s">
        <v>259</v>
      </c>
      <c r="AM10" s="71"/>
      <c r="AN10" s="72">
        <v>10</v>
      </c>
      <c r="AO10" s="73" t="s">
        <v>42</v>
      </c>
      <c r="AP10" s="74" t="s">
        <v>259</v>
      </c>
      <c r="AQ10" s="75"/>
      <c r="AR10" s="72">
        <v>10</v>
      </c>
      <c r="AS10" s="73" t="s">
        <v>42</v>
      </c>
      <c r="AT10" s="70" t="s">
        <v>260</v>
      </c>
      <c r="AU10" s="71"/>
      <c r="AV10" s="72">
        <v>10</v>
      </c>
      <c r="AW10" s="73" t="s">
        <v>42</v>
      </c>
      <c r="AX10" s="70" t="s">
        <v>161</v>
      </c>
      <c r="AY10" s="71"/>
      <c r="AZ10" s="72">
        <v>20</v>
      </c>
      <c r="BA10" s="73" t="s">
        <v>43</v>
      </c>
      <c r="BB10" s="70" t="s">
        <v>162</v>
      </c>
      <c r="BC10" s="71"/>
      <c r="BD10" s="72">
        <v>5</v>
      </c>
      <c r="BE10" s="73" t="s">
        <v>43</v>
      </c>
      <c r="BF10" s="70" t="s">
        <v>37</v>
      </c>
      <c r="BG10" s="71" t="s">
        <v>156</v>
      </c>
      <c r="BH10" s="72">
        <v>5</v>
      </c>
      <c r="BI10" s="144" t="s">
        <v>43</v>
      </c>
      <c r="BJ10" s="145" t="s">
        <v>163</v>
      </c>
      <c r="BK10" s="71" t="s">
        <v>261</v>
      </c>
      <c r="BL10" s="72">
        <v>10</v>
      </c>
      <c r="BM10" s="146" t="s">
        <v>42</v>
      </c>
      <c r="BN10" s="70" t="s">
        <v>264</v>
      </c>
      <c r="BO10" s="71" t="s">
        <v>264</v>
      </c>
      <c r="BP10" s="72"/>
      <c r="BQ10" s="86" t="s">
        <v>265</v>
      </c>
      <c r="BR10" s="74" t="s">
        <v>264</v>
      </c>
      <c r="BS10" s="71" t="s">
        <v>264</v>
      </c>
      <c r="BT10" s="72"/>
      <c r="BU10" s="86" t="s">
        <v>265</v>
      </c>
      <c r="BV10" s="74" t="s">
        <v>264</v>
      </c>
      <c r="BW10" s="71" t="s">
        <v>264</v>
      </c>
      <c r="BX10" s="72"/>
      <c r="BY10" s="86" t="s">
        <v>265</v>
      </c>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c r="DZ10" s="76"/>
      <c r="EA10" s="76"/>
      <c r="EB10" s="76"/>
      <c r="EC10" s="76"/>
      <c r="ED10" s="76"/>
      <c r="EE10" s="76"/>
      <c r="EF10" s="76"/>
      <c r="EG10" s="76"/>
      <c r="EH10" s="76"/>
      <c r="EI10" s="76"/>
      <c r="EJ10" s="76"/>
      <c r="EK10" s="76"/>
      <c r="EL10" s="76"/>
      <c r="EM10" s="76"/>
      <c r="EN10" s="76"/>
      <c r="EO10" s="76"/>
      <c r="EP10" s="76"/>
      <c r="EQ10" s="76"/>
      <c r="ER10" s="76"/>
      <c r="ES10" s="76"/>
      <c r="ET10" s="76"/>
      <c r="EU10" s="76"/>
      <c r="EV10" s="76"/>
      <c r="EW10" s="76"/>
      <c r="EX10" s="76"/>
      <c r="EY10" s="76"/>
      <c r="EZ10" s="76"/>
      <c r="FA10" s="76"/>
      <c r="FB10" s="76"/>
      <c r="FC10" s="76"/>
      <c r="FD10" s="76"/>
      <c r="FE10" s="76"/>
      <c r="FF10" s="76"/>
      <c r="FG10" s="76"/>
      <c r="FH10" s="76"/>
      <c r="FI10" s="76"/>
      <c r="FJ10" s="76"/>
      <c r="FK10" s="76"/>
      <c r="FL10" s="76"/>
      <c r="FM10" s="76"/>
      <c r="FN10" s="76"/>
      <c r="FO10" s="76"/>
      <c r="FP10" s="76"/>
      <c r="FQ10" s="76"/>
      <c r="FR10" s="76"/>
      <c r="FS10" s="76"/>
      <c r="FT10" s="76"/>
      <c r="FU10" s="76"/>
      <c r="FV10" s="76"/>
      <c r="FW10" s="76"/>
      <c r="FX10" s="76"/>
      <c r="FY10" s="76"/>
      <c r="FZ10" s="76"/>
      <c r="GA10" s="76"/>
      <c r="GB10" s="76"/>
      <c r="GC10" s="76"/>
      <c r="GD10" s="76"/>
      <c r="GE10" s="76"/>
      <c r="GF10" s="76"/>
      <c r="GG10" s="76"/>
      <c r="GH10" s="76"/>
      <c r="GI10" s="76"/>
      <c r="GJ10" s="76"/>
      <c r="GK10" s="76"/>
      <c r="GL10" s="76"/>
      <c r="GM10" s="76"/>
      <c r="GN10" s="76"/>
      <c r="GO10" s="76"/>
      <c r="GP10" s="76"/>
      <c r="GQ10" s="76"/>
      <c r="GR10" s="76"/>
      <c r="GS10" s="76"/>
      <c r="GT10" s="76"/>
      <c r="GU10" s="76"/>
      <c r="GV10" s="76"/>
      <c r="GW10" s="76"/>
      <c r="GX10" s="76"/>
      <c r="GY10" s="76"/>
      <c r="GZ10" s="76"/>
      <c r="HA10" s="76"/>
      <c r="HB10" s="76"/>
      <c r="HC10" s="76"/>
      <c r="HD10" s="76"/>
      <c r="HE10" s="76"/>
      <c r="HF10" s="76"/>
      <c r="HG10" s="76"/>
      <c r="HH10" s="76"/>
      <c r="HI10" s="76"/>
      <c r="HJ10" s="76"/>
      <c r="HK10" s="76"/>
      <c r="HL10" s="76"/>
      <c r="HM10" s="76"/>
      <c r="HN10" s="76"/>
      <c r="HO10" s="76"/>
      <c r="HP10" s="76"/>
      <c r="HQ10" s="76"/>
      <c r="HR10" s="76"/>
      <c r="HS10" s="76"/>
      <c r="HT10" s="76"/>
      <c r="HU10" s="76"/>
      <c r="HV10" s="76"/>
      <c r="HW10" s="76"/>
      <c r="HX10" s="76"/>
      <c r="HY10" s="76"/>
      <c r="HZ10" s="76"/>
      <c r="IA10" s="76"/>
      <c r="IB10" s="76"/>
      <c r="IC10" s="76"/>
      <c r="ID10" s="76"/>
      <c r="IE10" s="76"/>
      <c r="IF10" s="76"/>
      <c r="IG10" s="76"/>
      <c r="IH10" s="76"/>
      <c r="II10" s="76"/>
      <c r="IJ10" s="76"/>
      <c r="IK10" s="76"/>
      <c r="IL10" s="76"/>
      <c r="IM10" s="76"/>
      <c r="IN10" s="76"/>
      <c r="IO10" s="76"/>
      <c r="IP10" s="76"/>
      <c r="IQ10" s="76"/>
      <c r="IR10" s="76"/>
      <c r="IS10" s="76"/>
      <c r="IT10" s="76"/>
      <c r="IU10" s="76"/>
      <c r="IV10" s="76"/>
      <c r="IW10" s="76"/>
      <c r="IX10" s="76"/>
      <c r="IY10" s="76"/>
      <c r="IZ10" s="76"/>
      <c r="JA10" s="76"/>
      <c r="JB10" s="76"/>
      <c r="JC10" s="76"/>
      <c r="JD10" s="76"/>
      <c r="JE10" s="76"/>
      <c r="JF10" s="76"/>
      <c r="JG10" s="76"/>
      <c r="JH10" s="76"/>
      <c r="JI10" s="76"/>
      <c r="JJ10" s="76"/>
      <c r="JK10" s="76"/>
      <c r="JL10" s="76"/>
      <c r="JM10" s="76"/>
      <c r="JN10" s="76"/>
      <c r="JO10" s="76"/>
      <c r="JP10" s="76"/>
      <c r="JQ10" s="76"/>
      <c r="JR10" s="76"/>
      <c r="JS10" s="76"/>
      <c r="JT10" s="76"/>
      <c r="JU10" s="76"/>
      <c r="JV10" s="76"/>
      <c r="JW10" s="76"/>
      <c r="JX10" s="76"/>
      <c r="JY10" s="76"/>
      <c r="JZ10" s="76"/>
      <c r="KA10" s="76"/>
      <c r="KB10" s="76"/>
      <c r="KC10" s="76"/>
      <c r="KD10" s="76"/>
      <c r="KE10" s="76"/>
      <c r="KF10" s="76"/>
      <c r="KG10" s="76"/>
      <c r="KH10" s="76"/>
      <c r="KI10" s="76"/>
      <c r="KJ10" s="76"/>
      <c r="KK10" s="76"/>
      <c r="KL10" s="76"/>
      <c r="KM10" s="76"/>
      <c r="KN10" s="76"/>
      <c r="KO10" s="76"/>
      <c r="KP10" s="76"/>
      <c r="KQ10" s="76"/>
      <c r="KR10" s="76"/>
      <c r="KS10" s="76"/>
      <c r="KT10" s="76"/>
      <c r="KU10" s="76"/>
      <c r="KV10" s="76"/>
      <c r="KW10" s="76"/>
      <c r="KX10" s="76"/>
      <c r="KY10" s="76"/>
      <c r="KZ10" s="76"/>
      <c r="LA10" s="76"/>
      <c r="LB10" s="76"/>
      <c r="LC10" s="76"/>
      <c r="LD10" s="76"/>
      <c r="LE10" s="76"/>
      <c r="LF10" s="76"/>
      <c r="LG10" s="76"/>
      <c r="LH10" s="76"/>
      <c r="LI10" s="76"/>
      <c r="LJ10" s="76"/>
      <c r="LK10" s="76"/>
      <c r="LL10" s="76"/>
      <c r="LM10" s="76"/>
      <c r="LN10" s="76"/>
      <c r="LO10" s="76"/>
      <c r="LP10" s="76"/>
      <c r="LQ10" s="76"/>
      <c r="LR10" s="76"/>
      <c r="LS10" s="76"/>
      <c r="LT10" s="76"/>
      <c r="LU10" s="76"/>
      <c r="LV10" s="76"/>
      <c r="LW10" s="76"/>
      <c r="LX10" s="76"/>
      <c r="LY10" s="76"/>
      <c r="LZ10" s="76"/>
      <c r="MA10" s="76"/>
      <c r="MB10" s="76"/>
      <c r="MC10" s="76"/>
      <c r="MD10" s="76"/>
      <c r="ME10" s="76"/>
      <c r="MF10" s="76"/>
      <c r="MG10" s="76"/>
      <c r="MH10" s="76"/>
      <c r="MI10" s="76"/>
      <c r="MJ10" s="76"/>
      <c r="MK10" s="76"/>
      <c r="ML10" s="76"/>
      <c r="MM10" s="76"/>
      <c r="MN10" s="76"/>
      <c r="MO10" s="76"/>
      <c r="MP10" s="76"/>
      <c r="MQ10" s="76"/>
      <c r="MR10" s="76"/>
      <c r="MS10" s="76"/>
      <c r="MT10" s="76"/>
      <c r="MU10" s="76"/>
      <c r="MV10" s="76"/>
      <c r="MW10" s="76"/>
      <c r="MX10" s="76"/>
      <c r="MY10" s="76"/>
      <c r="MZ10" s="76"/>
      <c r="NA10" s="76"/>
      <c r="NB10" s="76"/>
      <c r="NC10" s="76"/>
      <c r="ND10" s="76"/>
      <c r="NE10" s="76"/>
      <c r="NF10" s="76"/>
      <c r="NG10" s="76"/>
      <c r="NH10" s="76"/>
      <c r="NI10" s="76"/>
      <c r="NJ10" s="76"/>
      <c r="NK10" s="76"/>
      <c r="NL10" s="76"/>
      <c r="NM10" s="76"/>
      <c r="NN10" s="76"/>
      <c r="NO10" s="76"/>
      <c r="NP10" s="76"/>
      <c r="NQ10" s="76"/>
      <c r="NR10" s="76"/>
      <c r="NS10" s="76"/>
      <c r="NT10" s="76"/>
      <c r="NU10" s="76"/>
      <c r="NV10" s="76"/>
      <c r="NW10" s="76"/>
      <c r="NX10" s="76"/>
      <c r="NY10" s="76"/>
      <c r="NZ10" s="76"/>
      <c r="OA10" s="76"/>
      <c r="OB10" s="76"/>
      <c r="OC10" s="76"/>
      <c r="OD10" s="76"/>
      <c r="OE10" s="76"/>
      <c r="OF10" s="76"/>
      <c r="OG10" s="76"/>
      <c r="OH10" s="76"/>
      <c r="OI10" s="76"/>
      <c r="OJ10" s="76"/>
      <c r="OK10" s="76"/>
      <c r="OL10" s="76"/>
      <c r="OM10" s="76"/>
      <c r="ON10" s="76"/>
      <c r="OO10" s="76"/>
      <c r="OP10" s="76"/>
      <c r="OQ10" s="76"/>
      <c r="OR10" s="76"/>
      <c r="OS10" s="76"/>
      <c r="OT10" s="76"/>
      <c r="OU10" s="76"/>
      <c r="OV10" s="76"/>
      <c r="OW10" s="76"/>
      <c r="OX10" s="76"/>
      <c r="OY10" s="76"/>
      <c r="OZ10" s="76"/>
      <c r="PA10" s="76"/>
      <c r="PB10" s="76"/>
      <c r="PC10" s="76"/>
      <c r="PD10" s="76"/>
      <c r="PE10" s="76"/>
      <c r="PF10" s="76"/>
      <c r="PG10" s="76"/>
      <c r="PH10" s="76"/>
      <c r="PI10" s="76"/>
      <c r="PJ10" s="76"/>
      <c r="PK10" s="76"/>
      <c r="PL10" s="76"/>
      <c r="PM10" s="76"/>
      <c r="PN10" s="76"/>
      <c r="PO10" s="76"/>
      <c r="PP10" s="76"/>
      <c r="PQ10" s="76"/>
      <c r="PR10" s="76"/>
      <c r="PS10" s="76"/>
      <c r="PT10" s="76"/>
      <c r="PU10" s="76"/>
      <c r="PV10" s="76"/>
      <c r="PW10" s="76"/>
      <c r="PX10" s="76"/>
      <c r="PY10" s="76"/>
      <c r="PZ10" s="76"/>
      <c r="QA10" s="76"/>
      <c r="QB10" s="76"/>
      <c r="QC10" s="76"/>
      <c r="QD10" s="76"/>
      <c r="QE10" s="76"/>
      <c r="QF10" s="76"/>
      <c r="QG10" s="76"/>
      <c r="QH10" s="76"/>
      <c r="QI10" s="76"/>
      <c r="QJ10" s="76"/>
      <c r="QK10" s="76"/>
      <c r="QL10" s="76"/>
      <c r="QM10" s="76"/>
      <c r="QN10" s="76"/>
      <c r="QO10" s="76"/>
      <c r="QP10" s="76"/>
      <c r="QQ10" s="76"/>
      <c r="QR10" s="76"/>
      <c r="QS10" s="76"/>
      <c r="QT10" s="76"/>
      <c r="QU10" s="76"/>
      <c r="QV10" s="76"/>
      <c r="QW10" s="76"/>
      <c r="QX10" s="76"/>
      <c r="QY10" s="76"/>
      <c r="QZ10" s="76"/>
      <c r="RA10" s="76"/>
      <c r="RB10" s="76"/>
      <c r="RC10" s="76"/>
      <c r="RD10" s="76"/>
      <c r="RE10" s="76"/>
      <c r="RF10" s="76"/>
      <c r="RG10" s="76"/>
      <c r="RH10" s="76"/>
      <c r="RI10" s="76"/>
      <c r="RJ10" s="76"/>
      <c r="RK10" s="76"/>
      <c r="RL10" s="76"/>
      <c r="RM10" s="76"/>
      <c r="RN10" s="76"/>
      <c r="RO10" s="76"/>
      <c r="RP10" s="76"/>
      <c r="RQ10" s="76"/>
      <c r="RR10" s="76"/>
      <c r="RS10" s="76"/>
      <c r="RT10" s="76"/>
      <c r="RU10" s="76"/>
      <c r="RV10" s="76"/>
      <c r="RW10" s="76"/>
      <c r="RX10" s="76"/>
      <c r="RY10" s="76"/>
      <c r="RZ10" s="76"/>
      <c r="SA10" s="76"/>
      <c r="SB10" s="76"/>
      <c r="SC10" s="76"/>
      <c r="SD10" s="76"/>
      <c r="SE10" s="76"/>
      <c r="SF10" s="76"/>
      <c r="SG10" s="76"/>
      <c r="SH10" s="76"/>
      <c r="SI10" s="76"/>
      <c r="SJ10" s="76"/>
      <c r="SK10" s="76"/>
      <c r="SL10" s="76"/>
      <c r="SM10" s="76"/>
      <c r="SN10" s="76"/>
      <c r="SO10" s="76"/>
      <c r="SP10" s="76"/>
      <c r="SQ10" s="76"/>
      <c r="SR10" s="76"/>
      <c r="SS10" s="76"/>
      <c r="ST10" s="76"/>
      <c r="SU10" s="76"/>
      <c r="SV10" s="76"/>
      <c r="SW10" s="76"/>
      <c r="SX10" s="76"/>
      <c r="SY10" s="76"/>
      <c r="SZ10" s="76"/>
      <c r="TA10" s="76"/>
      <c r="TB10" s="76"/>
      <c r="TC10" s="76"/>
      <c r="TD10" s="76"/>
      <c r="TE10" s="76"/>
      <c r="TF10" s="76"/>
      <c r="TG10" s="76"/>
      <c r="TH10" s="76"/>
      <c r="TI10" s="76"/>
      <c r="TJ10" s="76"/>
      <c r="TK10" s="76"/>
      <c r="TL10" s="76"/>
      <c r="TM10" s="76"/>
      <c r="TN10" s="76"/>
      <c r="TO10" s="76"/>
      <c r="TP10" s="76"/>
      <c r="TQ10" s="76"/>
      <c r="TR10" s="76"/>
      <c r="TS10" s="76"/>
      <c r="TT10" s="76"/>
      <c r="TU10" s="76"/>
      <c r="TV10" s="76"/>
      <c r="TW10" s="76"/>
      <c r="TX10" s="76"/>
      <c r="TY10" s="76"/>
      <c r="TZ10" s="76"/>
      <c r="UA10" s="76"/>
      <c r="UB10" s="76"/>
      <c r="UC10" s="76"/>
      <c r="UD10" s="76"/>
      <c r="UE10" s="76"/>
      <c r="UF10" s="76"/>
      <c r="UG10" s="76"/>
      <c r="UH10" s="76"/>
      <c r="UI10" s="76"/>
      <c r="UJ10" s="76"/>
      <c r="UK10" s="76"/>
      <c r="UL10" s="76"/>
      <c r="UM10" s="76"/>
      <c r="UN10" s="76"/>
      <c r="UO10" s="76"/>
      <c r="UP10" s="76"/>
      <c r="UQ10" s="76"/>
      <c r="UR10" s="76"/>
      <c r="US10" s="76"/>
      <c r="UT10" s="76"/>
      <c r="UU10" s="76"/>
      <c r="UV10" s="76"/>
      <c r="UW10" s="76"/>
      <c r="UX10" s="76"/>
      <c r="UY10" s="76"/>
      <c r="UZ10" s="76"/>
      <c r="VA10" s="76"/>
      <c r="VB10" s="76"/>
      <c r="VC10" s="76"/>
      <c r="VD10" s="76"/>
      <c r="VE10" s="76"/>
      <c r="VF10" s="76"/>
      <c r="VG10" s="76"/>
      <c r="VH10" s="76"/>
      <c r="VI10" s="76"/>
      <c r="VJ10" s="76"/>
      <c r="VK10" s="76"/>
      <c r="VL10" s="76"/>
      <c r="VM10" s="76"/>
      <c r="VN10" s="76"/>
      <c r="VO10" s="76"/>
      <c r="VP10" s="76"/>
      <c r="VQ10" s="76"/>
      <c r="VR10" s="76"/>
      <c r="VS10" s="76"/>
      <c r="VT10" s="76"/>
      <c r="VU10" s="76"/>
      <c r="VV10" s="76"/>
      <c r="VW10" s="76"/>
      <c r="VX10" s="76"/>
      <c r="VY10" s="76"/>
      <c r="VZ10" s="76"/>
      <c r="WA10" s="76"/>
      <c r="WB10" s="76"/>
      <c r="WC10" s="76"/>
      <c r="WD10" s="76"/>
      <c r="WE10" s="76"/>
      <c r="WF10" s="76"/>
      <c r="WG10" s="76"/>
      <c r="WH10" s="76"/>
      <c r="WI10" s="76"/>
      <c r="WJ10" s="76"/>
      <c r="WK10" s="76"/>
      <c r="WL10" s="76"/>
      <c r="WM10" s="76"/>
      <c r="WN10" s="76"/>
      <c r="WO10" s="76"/>
      <c r="WP10" s="76"/>
      <c r="WQ10" s="76"/>
    </row>
    <row r="11" spans="1:615" s="51" customFormat="1" ht="140.35" x14ac:dyDescent="0.4">
      <c r="A11" s="16">
        <v>7</v>
      </c>
      <c r="B11" s="23" t="s">
        <v>262</v>
      </c>
      <c r="C11" s="24"/>
      <c r="D11" s="25">
        <v>20</v>
      </c>
      <c r="E11" s="26" t="s">
        <v>43</v>
      </c>
      <c r="F11" s="23" t="s">
        <v>164</v>
      </c>
      <c r="G11" s="24"/>
      <c r="H11" s="25">
        <v>20</v>
      </c>
      <c r="I11" s="26" t="s">
        <v>43</v>
      </c>
      <c r="J11" s="23" t="s">
        <v>262</v>
      </c>
      <c r="K11" s="24"/>
      <c r="L11" s="25">
        <v>20</v>
      </c>
      <c r="M11" s="26" t="s">
        <v>43</v>
      </c>
      <c r="N11" s="23" t="s">
        <v>262</v>
      </c>
      <c r="O11" s="24"/>
      <c r="P11" s="25">
        <v>20</v>
      </c>
      <c r="Q11" s="26" t="s">
        <v>43</v>
      </c>
      <c r="R11" s="23" t="s">
        <v>262</v>
      </c>
      <c r="S11" s="24"/>
      <c r="T11" s="25">
        <v>20</v>
      </c>
      <c r="U11" s="26" t="s">
        <v>43</v>
      </c>
      <c r="V11" s="21" t="s">
        <v>165</v>
      </c>
      <c r="W11" s="18"/>
      <c r="X11" s="19">
        <v>10</v>
      </c>
      <c r="Y11" s="20" t="s">
        <v>43</v>
      </c>
      <c r="Z11" s="17" t="s">
        <v>165</v>
      </c>
      <c r="AA11" s="18"/>
      <c r="AB11" s="19">
        <v>10</v>
      </c>
      <c r="AC11" s="20" t="s">
        <v>43</v>
      </c>
      <c r="AD11" s="17" t="s">
        <v>166</v>
      </c>
      <c r="AE11" s="18"/>
      <c r="AF11" s="19">
        <v>15</v>
      </c>
      <c r="AG11" s="20" t="s">
        <v>43</v>
      </c>
      <c r="AH11" s="17" t="s">
        <v>166</v>
      </c>
      <c r="AI11" s="18"/>
      <c r="AJ11" s="19">
        <v>15</v>
      </c>
      <c r="AK11" s="20" t="s">
        <v>43</v>
      </c>
      <c r="AL11" s="17" t="s">
        <v>166</v>
      </c>
      <c r="AM11" s="18"/>
      <c r="AN11" s="19">
        <v>15</v>
      </c>
      <c r="AO11" s="20" t="s">
        <v>43</v>
      </c>
      <c r="AP11" s="21" t="s">
        <v>165</v>
      </c>
      <c r="AQ11" s="18"/>
      <c r="AR11" s="19">
        <v>10</v>
      </c>
      <c r="AS11" s="20" t="s">
        <v>43</v>
      </c>
      <c r="AT11" s="17" t="s">
        <v>167</v>
      </c>
      <c r="AU11" s="22"/>
      <c r="AV11" s="19">
        <v>15</v>
      </c>
      <c r="AW11" s="20" t="s">
        <v>43</v>
      </c>
      <c r="AX11" s="28" t="s">
        <v>168</v>
      </c>
      <c r="AY11" s="18"/>
      <c r="AZ11" s="19">
        <v>20</v>
      </c>
      <c r="BA11" s="20" t="s">
        <v>43</v>
      </c>
      <c r="BB11" s="17" t="s">
        <v>169</v>
      </c>
      <c r="BC11" s="18"/>
      <c r="BD11" s="19">
        <v>5</v>
      </c>
      <c r="BE11" s="20" t="s">
        <v>43</v>
      </c>
      <c r="BF11" s="17" t="s">
        <v>163</v>
      </c>
      <c r="BG11" s="18" t="s">
        <v>261</v>
      </c>
      <c r="BH11" s="19">
        <v>10</v>
      </c>
      <c r="BI11" s="147" t="s">
        <v>42</v>
      </c>
      <c r="BJ11" s="145" t="s">
        <v>264</v>
      </c>
      <c r="BK11" s="71" t="s">
        <v>264</v>
      </c>
      <c r="BL11" s="72">
        <v>0</v>
      </c>
      <c r="BM11" s="146" t="s">
        <v>265</v>
      </c>
      <c r="BN11" s="17" t="s">
        <v>264</v>
      </c>
      <c r="BO11" s="18" t="s">
        <v>264</v>
      </c>
      <c r="BP11" s="19"/>
      <c r="BQ11" s="38" t="s">
        <v>265</v>
      </c>
      <c r="BR11" s="21" t="s">
        <v>264</v>
      </c>
      <c r="BS11" s="18" t="s">
        <v>264</v>
      </c>
      <c r="BT11" s="19"/>
      <c r="BU11" s="38" t="s">
        <v>265</v>
      </c>
      <c r="BV11" s="21" t="s">
        <v>264</v>
      </c>
      <c r="BW11" s="18" t="s">
        <v>264</v>
      </c>
      <c r="BX11" s="19"/>
      <c r="BY11" s="38" t="s">
        <v>265</v>
      </c>
    </row>
    <row r="12" spans="1:615" s="29" customFormat="1" ht="178.7" thickBot="1" x14ac:dyDescent="0.45">
      <c r="A12" s="69">
        <v>8</v>
      </c>
      <c r="B12" s="81" t="s">
        <v>170</v>
      </c>
      <c r="C12" s="76" t="s">
        <v>171</v>
      </c>
      <c r="D12" s="72">
        <v>10</v>
      </c>
      <c r="E12" s="73" t="s">
        <v>43</v>
      </c>
      <c r="F12" s="70" t="s">
        <v>170</v>
      </c>
      <c r="G12" s="71" t="s">
        <v>171</v>
      </c>
      <c r="H12" s="72">
        <v>10</v>
      </c>
      <c r="I12" s="73" t="s">
        <v>43</v>
      </c>
      <c r="J12" s="81" t="s">
        <v>170</v>
      </c>
      <c r="K12" s="76" t="s">
        <v>171</v>
      </c>
      <c r="L12" s="72">
        <v>10</v>
      </c>
      <c r="M12" s="73" t="s">
        <v>43</v>
      </c>
      <c r="N12" s="81" t="s">
        <v>170</v>
      </c>
      <c r="O12" s="76" t="s">
        <v>171</v>
      </c>
      <c r="P12" s="72">
        <v>10</v>
      </c>
      <c r="Q12" s="73" t="s">
        <v>43</v>
      </c>
      <c r="R12" s="81" t="s">
        <v>170</v>
      </c>
      <c r="S12" s="76" t="s">
        <v>171</v>
      </c>
      <c r="T12" s="72">
        <v>10</v>
      </c>
      <c r="U12" s="73" t="s">
        <v>43</v>
      </c>
      <c r="V12" s="74" t="s">
        <v>172</v>
      </c>
      <c r="W12" s="71" t="s">
        <v>173</v>
      </c>
      <c r="X12" s="72">
        <v>10</v>
      </c>
      <c r="Y12" s="73" t="s">
        <v>43</v>
      </c>
      <c r="Z12" s="70" t="s">
        <v>172</v>
      </c>
      <c r="AA12" s="71" t="s">
        <v>173</v>
      </c>
      <c r="AB12" s="72">
        <v>10</v>
      </c>
      <c r="AC12" s="73" t="s">
        <v>43</v>
      </c>
      <c r="AD12" s="70" t="s">
        <v>174</v>
      </c>
      <c r="AE12" s="71" t="s">
        <v>173</v>
      </c>
      <c r="AF12" s="72">
        <v>15</v>
      </c>
      <c r="AG12" s="73" t="s">
        <v>43</v>
      </c>
      <c r="AH12" s="70" t="s">
        <v>175</v>
      </c>
      <c r="AI12" s="71" t="s">
        <v>173</v>
      </c>
      <c r="AJ12" s="72">
        <v>15</v>
      </c>
      <c r="AK12" s="73" t="s">
        <v>43</v>
      </c>
      <c r="AL12" s="70" t="s">
        <v>175</v>
      </c>
      <c r="AM12" s="71" t="s">
        <v>173</v>
      </c>
      <c r="AN12" s="72">
        <v>15</v>
      </c>
      <c r="AO12" s="73" t="s">
        <v>43</v>
      </c>
      <c r="AP12" s="74" t="s">
        <v>176</v>
      </c>
      <c r="AQ12" s="71"/>
      <c r="AR12" s="72">
        <v>10</v>
      </c>
      <c r="AS12" s="73" t="s">
        <v>43</v>
      </c>
      <c r="AT12" s="70" t="s">
        <v>177</v>
      </c>
      <c r="AU12" s="71" t="s">
        <v>178</v>
      </c>
      <c r="AV12" s="72">
        <v>15</v>
      </c>
      <c r="AW12" s="73" t="s">
        <v>43</v>
      </c>
      <c r="AX12" s="77" t="s">
        <v>179</v>
      </c>
      <c r="AY12" s="78" t="s">
        <v>180</v>
      </c>
      <c r="AZ12" s="79">
        <v>20</v>
      </c>
      <c r="BA12" s="80" t="s">
        <v>43</v>
      </c>
      <c r="BB12" s="70" t="s">
        <v>264</v>
      </c>
      <c r="BC12" s="71"/>
      <c r="BD12" s="72"/>
      <c r="BE12" s="73" t="s">
        <v>265</v>
      </c>
      <c r="BF12" s="70" t="s">
        <v>38</v>
      </c>
      <c r="BG12" s="71"/>
      <c r="BH12" s="72">
        <v>5</v>
      </c>
      <c r="BI12" s="144" t="s">
        <v>43</v>
      </c>
      <c r="BJ12" s="148" t="s">
        <v>38</v>
      </c>
      <c r="BK12" s="18"/>
      <c r="BL12" s="19">
        <v>5</v>
      </c>
      <c r="BM12" s="150" t="s">
        <v>43</v>
      </c>
      <c r="BN12" s="70" t="s">
        <v>264</v>
      </c>
      <c r="BO12" s="71" t="s">
        <v>264</v>
      </c>
      <c r="BP12" s="72"/>
      <c r="BQ12" s="86" t="s">
        <v>265</v>
      </c>
      <c r="BR12" s="74" t="s">
        <v>264</v>
      </c>
      <c r="BS12" s="71" t="s">
        <v>264</v>
      </c>
      <c r="BT12" s="72"/>
      <c r="BU12" s="86" t="s">
        <v>265</v>
      </c>
      <c r="BV12" s="74" t="s">
        <v>264</v>
      </c>
      <c r="BW12" s="71" t="s">
        <v>264</v>
      </c>
      <c r="BX12" s="72"/>
      <c r="BY12" s="86" t="s">
        <v>265</v>
      </c>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c r="ER12" s="76"/>
      <c r="ES12" s="76"/>
      <c r="ET12" s="76"/>
      <c r="EU12" s="76"/>
      <c r="EV12" s="76"/>
      <c r="EW12" s="76"/>
      <c r="EX12" s="76"/>
      <c r="EY12" s="76"/>
      <c r="EZ12" s="76"/>
      <c r="FA12" s="76"/>
      <c r="FB12" s="76"/>
      <c r="FC12" s="76"/>
      <c r="FD12" s="76"/>
      <c r="FE12" s="76"/>
      <c r="FF12" s="76"/>
      <c r="FG12" s="76"/>
      <c r="FH12" s="76"/>
      <c r="FI12" s="76"/>
      <c r="FJ12" s="76"/>
      <c r="FK12" s="76"/>
      <c r="FL12" s="76"/>
      <c r="FM12" s="76"/>
      <c r="FN12" s="76"/>
      <c r="FO12" s="76"/>
      <c r="FP12" s="76"/>
      <c r="FQ12" s="76"/>
      <c r="FR12" s="76"/>
      <c r="FS12" s="76"/>
      <c r="FT12" s="76"/>
      <c r="FU12" s="76"/>
      <c r="FV12" s="76"/>
      <c r="FW12" s="76"/>
      <c r="FX12" s="76"/>
      <c r="FY12" s="76"/>
      <c r="FZ12" s="76"/>
      <c r="GA12" s="76"/>
      <c r="GB12" s="76"/>
      <c r="GC12" s="76"/>
      <c r="GD12" s="76"/>
      <c r="GE12" s="76"/>
      <c r="GF12" s="76"/>
      <c r="GG12" s="76"/>
      <c r="GH12" s="76"/>
      <c r="GI12" s="76"/>
      <c r="GJ12" s="76"/>
      <c r="GK12" s="76"/>
      <c r="GL12" s="76"/>
      <c r="GM12" s="76"/>
      <c r="GN12" s="76"/>
      <c r="GO12" s="76"/>
      <c r="GP12" s="76"/>
      <c r="GQ12" s="76"/>
      <c r="GR12" s="76"/>
      <c r="GS12" s="76"/>
      <c r="GT12" s="76"/>
      <c r="GU12" s="76"/>
      <c r="GV12" s="76"/>
      <c r="GW12" s="76"/>
      <c r="GX12" s="76"/>
      <c r="GY12" s="76"/>
      <c r="GZ12" s="76"/>
      <c r="HA12" s="76"/>
      <c r="HB12" s="76"/>
      <c r="HC12" s="76"/>
      <c r="HD12" s="76"/>
      <c r="HE12" s="76"/>
      <c r="HF12" s="76"/>
      <c r="HG12" s="76"/>
      <c r="HH12" s="76"/>
      <c r="HI12" s="76"/>
      <c r="HJ12" s="76"/>
      <c r="HK12" s="76"/>
      <c r="HL12" s="76"/>
      <c r="HM12" s="76"/>
      <c r="HN12" s="76"/>
      <c r="HO12" s="76"/>
      <c r="HP12" s="76"/>
      <c r="HQ12" s="76"/>
      <c r="HR12" s="76"/>
      <c r="HS12" s="76"/>
      <c r="HT12" s="76"/>
      <c r="HU12" s="76"/>
      <c r="HV12" s="76"/>
      <c r="HW12" s="76"/>
      <c r="HX12" s="76"/>
      <c r="HY12" s="76"/>
      <c r="HZ12" s="76"/>
      <c r="IA12" s="76"/>
      <c r="IB12" s="76"/>
      <c r="IC12" s="76"/>
      <c r="ID12" s="76"/>
      <c r="IE12" s="76"/>
      <c r="IF12" s="76"/>
      <c r="IG12" s="76"/>
      <c r="IH12" s="76"/>
      <c r="II12" s="76"/>
      <c r="IJ12" s="76"/>
      <c r="IK12" s="76"/>
      <c r="IL12" s="76"/>
      <c r="IM12" s="76"/>
      <c r="IN12" s="76"/>
      <c r="IO12" s="76"/>
      <c r="IP12" s="76"/>
      <c r="IQ12" s="76"/>
      <c r="IR12" s="76"/>
      <c r="IS12" s="76"/>
      <c r="IT12" s="76"/>
      <c r="IU12" s="76"/>
      <c r="IV12" s="76"/>
      <c r="IW12" s="76"/>
      <c r="IX12" s="76"/>
      <c r="IY12" s="76"/>
      <c r="IZ12" s="76"/>
      <c r="JA12" s="76"/>
      <c r="JB12" s="76"/>
      <c r="JC12" s="76"/>
      <c r="JD12" s="76"/>
      <c r="JE12" s="76"/>
      <c r="JF12" s="76"/>
      <c r="JG12" s="76"/>
      <c r="JH12" s="76"/>
      <c r="JI12" s="76"/>
      <c r="JJ12" s="76"/>
      <c r="JK12" s="76"/>
      <c r="JL12" s="76"/>
      <c r="JM12" s="76"/>
      <c r="JN12" s="76"/>
      <c r="JO12" s="76"/>
      <c r="JP12" s="76"/>
      <c r="JQ12" s="76"/>
      <c r="JR12" s="76"/>
      <c r="JS12" s="76"/>
      <c r="JT12" s="76"/>
      <c r="JU12" s="76"/>
      <c r="JV12" s="76"/>
      <c r="JW12" s="76"/>
      <c r="JX12" s="76"/>
      <c r="JY12" s="76"/>
      <c r="JZ12" s="76"/>
      <c r="KA12" s="76"/>
      <c r="KB12" s="76"/>
      <c r="KC12" s="76"/>
      <c r="KD12" s="76"/>
      <c r="KE12" s="76"/>
      <c r="KF12" s="76"/>
      <c r="KG12" s="76"/>
      <c r="KH12" s="76"/>
      <c r="KI12" s="76"/>
      <c r="KJ12" s="76"/>
      <c r="KK12" s="76"/>
      <c r="KL12" s="76"/>
      <c r="KM12" s="76"/>
      <c r="KN12" s="76"/>
      <c r="KO12" s="76"/>
      <c r="KP12" s="76"/>
      <c r="KQ12" s="76"/>
      <c r="KR12" s="76"/>
      <c r="KS12" s="76"/>
      <c r="KT12" s="76"/>
      <c r="KU12" s="76"/>
      <c r="KV12" s="76"/>
      <c r="KW12" s="76"/>
      <c r="KX12" s="76"/>
      <c r="KY12" s="76"/>
      <c r="KZ12" s="76"/>
      <c r="LA12" s="76"/>
      <c r="LB12" s="76"/>
      <c r="LC12" s="76"/>
      <c r="LD12" s="76"/>
      <c r="LE12" s="76"/>
      <c r="LF12" s="76"/>
      <c r="LG12" s="76"/>
      <c r="LH12" s="76"/>
      <c r="LI12" s="76"/>
      <c r="LJ12" s="76"/>
      <c r="LK12" s="76"/>
      <c r="LL12" s="76"/>
      <c r="LM12" s="76"/>
      <c r="LN12" s="76"/>
      <c r="LO12" s="76"/>
      <c r="LP12" s="76"/>
      <c r="LQ12" s="76"/>
      <c r="LR12" s="76"/>
      <c r="LS12" s="76"/>
      <c r="LT12" s="76"/>
      <c r="LU12" s="76"/>
      <c r="LV12" s="76"/>
      <c r="LW12" s="76"/>
      <c r="LX12" s="76"/>
      <c r="LY12" s="76"/>
      <c r="LZ12" s="76"/>
      <c r="MA12" s="76"/>
      <c r="MB12" s="76"/>
      <c r="MC12" s="76"/>
      <c r="MD12" s="76"/>
      <c r="ME12" s="76"/>
      <c r="MF12" s="76"/>
      <c r="MG12" s="76"/>
      <c r="MH12" s="76"/>
      <c r="MI12" s="76"/>
      <c r="MJ12" s="76"/>
      <c r="MK12" s="76"/>
      <c r="ML12" s="76"/>
      <c r="MM12" s="76"/>
      <c r="MN12" s="76"/>
      <c r="MO12" s="76"/>
      <c r="MP12" s="76"/>
      <c r="MQ12" s="76"/>
      <c r="MR12" s="76"/>
      <c r="MS12" s="76"/>
      <c r="MT12" s="76"/>
      <c r="MU12" s="76"/>
      <c r="MV12" s="76"/>
      <c r="MW12" s="76"/>
      <c r="MX12" s="76"/>
      <c r="MY12" s="76"/>
      <c r="MZ12" s="76"/>
      <c r="NA12" s="76"/>
      <c r="NB12" s="76"/>
      <c r="NC12" s="76"/>
      <c r="ND12" s="76"/>
      <c r="NE12" s="76"/>
      <c r="NF12" s="76"/>
      <c r="NG12" s="76"/>
      <c r="NH12" s="76"/>
      <c r="NI12" s="76"/>
      <c r="NJ12" s="76"/>
      <c r="NK12" s="76"/>
      <c r="NL12" s="76"/>
      <c r="NM12" s="76"/>
      <c r="NN12" s="76"/>
      <c r="NO12" s="76"/>
      <c r="NP12" s="76"/>
      <c r="NQ12" s="76"/>
      <c r="NR12" s="76"/>
      <c r="NS12" s="76"/>
      <c r="NT12" s="76"/>
      <c r="NU12" s="76"/>
      <c r="NV12" s="76"/>
      <c r="NW12" s="76"/>
      <c r="NX12" s="76"/>
      <c r="NY12" s="76"/>
      <c r="NZ12" s="76"/>
      <c r="OA12" s="76"/>
      <c r="OB12" s="76"/>
      <c r="OC12" s="76"/>
      <c r="OD12" s="76"/>
      <c r="OE12" s="76"/>
      <c r="OF12" s="76"/>
      <c r="OG12" s="76"/>
      <c r="OH12" s="76"/>
      <c r="OI12" s="76"/>
      <c r="OJ12" s="76"/>
      <c r="OK12" s="76"/>
      <c r="OL12" s="76"/>
      <c r="OM12" s="76"/>
      <c r="ON12" s="76"/>
      <c r="OO12" s="76"/>
      <c r="OP12" s="76"/>
      <c r="OQ12" s="76"/>
      <c r="OR12" s="76"/>
      <c r="OS12" s="76"/>
      <c r="OT12" s="76"/>
      <c r="OU12" s="76"/>
      <c r="OV12" s="76"/>
      <c r="OW12" s="76"/>
      <c r="OX12" s="76"/>
      <c r="OY12" s="76"/>
      <c r="OZ12" s="76"/>
      <c r="PA12" s="76"/>
      <c r="PB12" s="76"/>
      <c r="PC12" s="76"/>
      <c r="PD12" s="76"/>
      <c r="PE12" s="76"/>
      <c r="PF12" s="76"/>
      <c r="PG12" s="76"/>
      <c r="PH12" s="76"/>
      <c r="PI12" s="76"/>
      <c r="PJ12" s="76"/>
      <c r="PK12" s="76"/>
      <c r="PL12" s="76"/>
      <c r="PM12" s="76"/>
      <c r="PN12" s="76"/>
      <c r="PO12" s="76"/>
      <c r="PP12" s="76"/>
      <c r="PQ12" s="76"/>
      <c r="PR12" s="76"/>
      <c r="PS12" s="76"/>
      <c r="PT12" s="76"/>
      <c r="PU12" s="76"/>
      <c r="PV12" s="76"/>
      <c r="PW12" s="76"/>
      <c r="PX12" s="76"/>
      <c r="PY12" s="76"/>
      <c r="PZ12" s="76"/>
      <c r="QA12" s="76"/>
      <c r="QB12" s="76"/>
      <c r="QC12" s="76"/>
      <c r="QD12" s="76"/>
      <c r="QE12" s="76"/>
      <c r="QF12" s="76"/>
      <c r="QG12" s="76"/>
      <c r="QH12" s="76"/>
      <c r="QI12" s="76"/>
      <c r="QJ12" s="76"/>
      <c r="QK12" s="76"/>
      <c r="QL12" s="76"/>
      <c r="QM12" s="76"/>
      <c r="QN12" s="76"/>
      <c r="QO12" s="76"/>
      <c r="QP12" s="76"/>
      <c r="QQ12" s="76"/>
      <c r="QR12" s="76"/>
      <c r="QS12" s="76"/>
      <c r="QT12" s="76"/>
      <c r="QU12" s="76"/>
      <c r="QV12" s="76"/>
      <c r="QW12" s="76"/>
      <c r="QX12" s="76"/>
      <c r="QY12" s="76"/>
      <c r="QZ12" s="76"/>
      <c r="RA12" s="76"/>
      <c r="RB12" s="76"/>
      <c r="RC12" s="76"/>
      <c r="RD12" s="76"/>
      <c r="RE12" s="76"/>
      <c r="RF12" s="76"/>
      <c r="RG12" s="76"/>
      <c r="RH12" s="76"/>
      <c r="RI12" s="76"/>
      <c r="RJ12" s="76"/>
      <c r="RK12" s="76"/>
      <c r="RL12" s="76"/>
      <c r="RM12" s="76"/>
      <c r="RN12" s="76"/>
      <c r="RO12" s="76"/>
      <c r="RP12" s="76"/>
      <c r="RQ12" s="76"/>
      <c r="RR12" s="76"/>
      <c r="RS12" s="76"/>
      <c r="RT12" s="76"/>
      <c r="RU12" s="76"/>
      <c r="RV12" s="76"/>
      <c r="RW12" s="76"/>
      <c r="RX12" s="76"/>
      <c r="RY12" s="76"/>
      <c r="RZ12" s="76"/>
      <c r="SA12" s="76"/>
      <c r="SB12" s="76"/>
      <c r="SC12" s="76"/>
      <c r="SD12" s="76"/>
      <c r="SE12" s="76"/>
      <c r="SF12" s="76"/>
      <c r="SG12" s="76"/>
      <c r="SH12" s="76"/>
      <c r="SI12" s="76"/>
      <c r="SJ12" s="76"/>
      <c r="SK12" s="76"/>
      <c r="SL12" s="76"/>
      <c r="SM12" s="76"/>
      <c r="SN12" s="76"/>
      <c r="SO12" s="76"/>
      <c r="SP12" s="76"/>
      <c r="SQ12" s="76"/>
      <c r="SR12" s="76"/>
      <c r="SS12" s="76"/>
      <c r="ST12" s="76"/>
      <c r="SU12" s="76"/>
      <c r="SV12" s="76"/>
      <c r="SW12" s="76"/>
      <c r="SX12" s="76"/>
      <c r="SY12" s="76"/>
      <c r="SZ12" s="76"/>
      <c r="TA12" s="76"/>
      <c r="TB12" s="76"/>
      <c r="TC12" s="76"/>
      <c r="TD12" s="76"/>
      <c r="TE12" s="76"/>
      <c r="TF12" s="76"/>
      <c r="TG12" s="76"/>
      <c r="TH12" s="76"/>
      <c r="TI12" s="76"/>
      <c r="TJ12" s="76"/>
      <c r="TK12" s="76"/>
      <c r="TL12" s="76"/>
      <c r="TM12" s="76"/>
      <c r="TN12" s="76"/>
      <c r="TO12" s="76"/>
      <c r="TP12" s="76"/>
      <c r="TQ12" s="76"/>
      <c r="TR12" s="76"/>
      <c r="TS12" s="76"/>
      <c r="TT12" s="76"/>
      <c r="TU12" s="76"/>
      <c r="TV12" s="76"/>
      <c r="TW12" s="76"/>
      <c r="TX12" s="76"/>
      <c r="TY12" s="76"/>
      <c r="TZ12" s="76"/>
      <c r="UA12" s="76"/>
      <c r="UB12" s="76"/>
      <c r="UC12" s="76"/>
      <c r="UD12" s="76"/>
      <c r="UE12" s="76"/>
      <c r="UF12" s="76"/>
      <c r="UG12" s="76"/>
      <c r="UH12" s="76"/>
      <c r="UI12" s="76"/>
      <c r="UJ12" s="76"/>
      <c r="UK12" s="76"/>
      <c r="UL12" s="76"/>
      <c r="UM12" s="76"/>
      <c r="UN12" s="76"/>
      <c r="UO12" s="76"/>
      <c r="UP12" s="76"/>
      <c r="UQ12" s="76"/>
      <c r="UR12" s="76"/>
      <c r="US12" s="76"/>
      <c r="UT12" s="76"/>
      <c r="UU12" s="76"/>
      <c r="UV12" s="76"/>
      <c r="UW12" s="76"/>
      <c r="UX12" s="76"/>
      <c r="UY12" s="76"/>
      <c r="UZ12" s="76"/>
      <c r="VA12" s="76"/>
      <c r="VB12" s="76"/>
      <c r="VC12" s="76"/>
      <c r="VD12" s="76"/>
      <c r="VE12" s="76"/>
      <c r="VF12" s="76"/>
      <c r="VG12" s="76"/>
      <c r="VH12" s="76"/>
      <c r="VI12" s="76"/>
      <c r="VJ12" s="76"/>
      <c r="VK12" s="76"/>
      <c r="VL12" s="76"/>
      <c r="VM12" s="76"/>
      <c r="VN12" s="76"/>
      <c r="VO12" s="76"/>
      <c r="VP12" s="76"/>
      <c r="VQ12" s="76"/>
      <c r="VR12" s="76"/>
      <c r="VS12" s="76"/>
      <c r="VT12" s="76"/>
      <c r="VU12" s="76"/>
      <c r="VV12" s="76"/>
      <c r="VW12" s="76"/>
      <c r="VX12" s="76"/>
      <c r="VY12" s="76"/>
      <c r="VZ12" s="76"/>
      <c r="WA12" s="76"/>
      <c r="WB12" s="76"/>
      <c r="WC12" s="76"/>
      <c r="WD12" s="76"/>
      <c r="WE12" s="76"/>
      <c r="WF12" s="76"/>
      <c r="WG12" s="76"/>
      <c r="WH12" s="76"/>
      <c r="WI12" s="76"/>
      <c r="WJ12" s="76"/>
      <c r="WK12" s="76"/>
      <c r="WL12" s="76"/>
      <c r="WM12" s="76"/>
      <c r="WN12" s="76"/>
      <c r="WO12" s="76"/>
      <c r="WP12" s="76"/>
      <c r="WQ12" s="76"/>
    </row>
    <row r="13" spans="1:615" s="51" customFormat="1" ht="93.35" x14ac:dyDescent="0.4">
      <c r="A13" s="30">
        <v>9</v>
      </c>
      <c r="B13" s="31" t="s">
        <v>39</v>
      </c>
      <c r="C13" s="32"/>
      <c r="D13" s="33">
        <v>20</v>
      </c>
      <c r="E13" s="34" t="s">
        <v>41</v>
      </c>
      <c r="F13" s="35" t="s">
        <v>39</v>
      </c>
      <c r="G13" s="36"/>
      <c r="H13" s="37">
        <v>20</v>
      </c>
      <c r="I13" s="38" t="s">
        <v>41</v>
      </c>
      <c r="J13" s="31" t="s">
        <v>39</v>
      </c>
      <c r="K13" s="32"/>
      <c r="L13" s="33">
        <v>20</v>
      </c>
      <c r="M13" s="34" t="s">
        <v>41</v>
      </c>
      <c r="N13" s="31" t="s">
        <v>39</v>
      </c>
      <c r="O13" s="32"/>
      <c r="P13" s="33">
        <v>20</v>
      </c>
      <c r="Q13" s="34" t="s">
        <v>41</v>
      </c>
      <c r="R13" s="31" t="s">
        <v>39</v>
      </c>
      <c r="S13" s="32"/>
      <c r="T13" s="33">
        <v>20</v>
      </c>
      <c r="U13" s="34" t="s">
        <v>41</v>
      </c>
      <c r="V13" s="39" t="s">
        <v>182</v>
      </c>
      <c r="W13" s="36" t="s">
        <v>183</v>
      </c>
      <c r="X13" s="37">
        <v>10</v>
      </c>
      <c r="Y13" s="38" t="s">
        <v>43</v>
      </c>
      <c r="Z13" s="35" t="s">
        <v>182</v>
      </c>
      <c r="AA13" s="36" t="s">
        <v>183</v>
      </c>
      <c r="AB13" s="37">
        <v>10</v>
      </c>
      <c r="AC13" s="38" t="s">
        <v>43</v>
      </c>
      <c r="AD13" s="31" t="s">
        <v>184</v>
      </c>
      <c r="AE13" s="32"/>
      <c r="AF13" s="33">
        <v>10</v>
      </c>
      <c r="AG13" s="34" t="s">
        <v>41</v>
      </c>
      <c r="AH13" s="31" t="s">
        <v>184</v>
      </c>
      <c r="AI13" s="36"/>
      <c r="AJ13" s="37">
        <v>10</v>
      </c>
      <c r="AK13" s="34" t="s">
        <v>41</v>
      </c>
      <c r="AL13" s="31" t="s">
        <v>184</v>
      </c>
      <c r="AM13" s="36"/>
      <c r="AN13" s="37">
        <v>10</v>
      </c>
      <c r="AO13" s="34" t="s">
        <v>41</v>
      </c>
      <c r="AP13" s="39" t="s">
        <v>182</v>
      </c>
      <c r="AQ13" s="36" t="s">
        <v>183</v>
      </c>
      <c r="AR13" s="37">
        <v>10</v>
      </c>
      <c r="AS13" s="38" t="s">
        <v>43</v>
      </c>
      <c r="AT13" s="35" t="s">
        <v>185</v>
      </c>
      <c r="AU13" s="36"/>
      <c r="AV13" s="37">
        <v>10</v>
      </c>
      <c r="AW13" s="38" t="s">
        <v>41</v>
      </c>
      <c r="AX13" s="40" t="s">
        <v>186</v>
      </c>
      <c r="AY13" s="41"/>
      <c r="AZ13" s="42">
        <v>20</v>
      </c>
      <c r="BA13" s="43" t="s">
        <v>43</v>
      </c>
      <c r="BB13" s="17" t="s">
        <v>264</v>
      </c>
      <c r="BC13" s="36"/>
      <c r="BD13" s="37"/>
      <c r="BE13" s="38" t="s">
        <v>265</v>
      </c>
      <c r="BF13" s="35" t="s">
        <v>181</v>
      </c>
      <c r="BG13" s="44"/>
      <c r="BH13" s="37">
        <v>15</v>
      </c>
      <c r="BI13" s="151" t="s">
        <v>43</v>
      </c>
      <c r="BJ13" s="145" t="s">
        <v>181</v>
      </c>
      <c r="BK13" s="71"/>
      <c r="BL13" s="72">
        <v>15</v>
      </c>
      <c r="BM13" s="146" t="s">
        <v>43</v>
      </c>
      <c r="BN13" s="35" t="s">
        <v>264</v>
      </c>
      <c r="BO13" s="36" t="s">
        <v>264</v>
      </c>
      <c r="BP13" s="37"/>
      <c r="BQ13" s="38" t="s">
        <v>265</v>
      </c>
      <c r="BR13" s="39" t="s">
        <v>264</v>
      </c>
      <c r="BS13" s="36" t="s">
        <v>264</v>
      </c>
      <c r="BT13" s="37"/>
      <c r="BU13" s="38" t="s">
        <v>265</v>
      </c>
      <c r="BV13" s="39" t="s">
        <v>264</v>
      </c>
      <c r="BW13" s="36" t="s">
        <v>264</v>
      </c>
      <c r="BX13" s="37"/>
      <c r="BY13" s="38" t="s">
        <v>265</v>
      </c>
    </row>
    <row r="14" spans="1:615" s="29" customFormat="1" ht="38.35" thickBot="1" x14ac:dyDescent="0.45">
      <c r="A14" s="82">
        <v>10</v>
      </c>
      <c r="B14" s="83" t="s">
        <v>264</v>
      </c>
      <c r="C14" s="84"/>
      <c r="D14" s="85"/>
      <c r="E14" s="86" t="s">
        <v>265</v>
      </c>
      <c r="F14" s="83" t="s">
        <v>264</v>
      </c>
      <c r="G14" s="84"/>
      <c r="H14" s="85"/>
      <c r="I14" s="86" t="s">
        <v>265</v>
      </c>
      <c r="J14" s="83" t="s">
        <v>264</v>
      </c>
      <c r="K14" s="84"/>
      <c r="L14" s="85"/>
      <c r="M14" s="86" t="s">
        <v>265</v>
      </c>
      <c r="N14" s="83" t="s">
        <v>264</v>
      </c>
      <c r="O14" s="84"/>
      <c r="P14" s="85"/>
      <c r="Q14" s="86" t="s">
        <v>265</v>
      </c>
      <c r="R14" s="83" t="s">
        <v>264</v>
      </c>
      <c r="S14" s="84"/>
      <c r="T14" s="85"/>
      <c r="U14" s="86" t="s">
        <v>265</v>
      </c>
      <c r="V14" s="87" t="s">
        <v>184</v>
      </c>
      <c r="W14" s="84"/>
      <c r="X14" s="85">
        <v>10</v>
      </c>
      <c r="Y14" s="86" t="s">
        <v>41</v>
      </c>
      <c r="Z14" s="83" t="s">
        <v>184</v>
      </c>
      <c r="AA14" s="84"/>
      <c r="AB14" s="85">
        <v>10</v>
      </c>
      <c r="AC14" s="86" t="s">
        <v>41</v>
      </c>
      <c r="AD14" s="83" t="s">
        <v>264</v>
      </c>
      <c r="AE14" s="84"/>
      <c r="AF14" s="85"/>
      <c r="AG14" s="86" t="s">
        <v>265</v>
      </c>
      <c r="AH14" s="83" t="s">
        <v>264</v>
      </c>
      <c r="AI14" s="84"/>
      <c r="AJ14" s="85"/>
      <c r="AK14" s="86" t="s">
        <v>265</v>
      </c>
      <c r="AL14" s="83" t="s">
        <v>264</v>
      </c>
      <c r="AM14" s="84"/>
      <c r="AN14" s="85"/>
      <c r="AO14" s="86" t="s">
        <v>265</v>
      </c>
      <c r="AP14" s="83" t="s">
        <v>184</v>
      </c>
      <c r="AQ14" s="84"/>
      <c r="AR14" s="85">
        <v>10</v>
      </c>
      <c r="AS14" s="86" t="s">
        <v>41</v>
      </c>
      <c r="AT14" s="83" t="s">
        <v>264</v>
      </c>
      <c r="AU14" s="84"/>
      <c r="AV14" s="85"/>
      <c r="AW14" s="86" t="s">
        <v>265</v>
      </c>
      <c r="AX14" s="83" t="s">
        <v>187</v>
      </c>
      <c r="AY14" s="84"/>
      <c r="AZ14" s="85">
        <v>10</v>
      </c>
      <c r="BA14" s="86" t="s">
        <v>41</v>
      </c>
      <c r="BB14" s="83" t="s">
        <v>264</v>
      </c>
      <c r="BC14" s="84"/>
      <c r="BD14" s="85"/>
      <c r="BE14" s="86" t="s">
        <v>265</v>
      </c>
      <c r="BF14" s="83" t="s">
        <v>40</v>
      </c>
      <c r="BG14" s="84"/>
      <c r="BH14" s="85">
        <v>25</v>
      </c>
      <c r="BI14" s="152" t="s">
        <v>43</v>
      </c>
      <c r="BJ14" s="153" t="s">
        <v>40</v>
      </c>
      <c r="BK14" s="154"/>
      <c r="BL14" s="155">
        <v>30</v>
      </c>
      <c r="BM14" s="156" t="s">
        <v>43</v>
      </c>
      <c r="BN14" s="83" t="s">
        <v>264</v>
      </c>
      <c r="BO14" s="84" t="s">
        <v>264</v>
      </c>
      <c r="BP14" s="85"/>
      <c r="BQ14" s="86" t="s">
        <v>265</v>
      </c>
      <c r="BR14" s="87" t="s">
        <v>264</v>
      </c>
      <c r="BS14" s="84" t="s">
        <v>264</v>
      </c>
      <c r="BT14" s="85"/>
      <c r="BU14" s="86" t="s">
        <v>265</v>
      </c>
      <c r="BV14" s="87" t="s">
        <v>264</v>
      </c>
      <c r="BW14" s="84" t="s">
        <v>264</v>
      </c>
      <c r="BX14" s="85"/>
      <c r="BY14" s="86" t="s">
        <v>265</v>
      </c>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c r="DZ14" s="76"/>
      <c r="EA14" s="76"/>
      <c r="EB14" s="76"/>
      <c r="EC14" s="76"/>
      <c r="ED14" s="76"/>
      <c r="EE14" s="76"/>
      <c r="EF14" s="76"/>
      <c r="EG14" s="76"/>
      <c r="EH14" s="76"/>
      <c r="EI14" s="76"/>
      <c r="EJ14" s="76"/>
      <c r="EK14" s="76"/>
      <c r="EL14" s="76"/>
      <c r="EM14" s="76"/>
      <c r="EN14" s="76"/>
      <c r="EO14" s="76"/>
      <c r="EP14" s="76"/>
      <c r="EQ14" s="76"/>
      <c r="ER14" s="76"/>
      <c r="ES14" s="76"/>
      <c r="ET14" s="76"/>
      <c r="EU14" s="76"/>
      <c r="EV14" s="76"/>
      <c r="EW14" s="76"/>
      <c r="EX14" s="76"/>
      <c r="EY14" s="76"/>
      <c r="EZ14" s="76"/>
      <c r="FA14" s="76"/>
      <c r="FB14" s="76"/>
      <c r="FC14" s="76"/>
      <c r="FD14" s="76"/>
      <c r="FE14" s="76"/>
      <c r="FF14" s="76"/>
      <c r="FG14" s="76"/>
      <c r="FH14" s="76"/>
      <c r="FI14" s="76"/>
      <c r="FJ14" s="76"/>
      <c r="FK14" s="76"/>
      <c r="FL14" s="76"/>
      <c r="FM14" s="76"/>
      <c r="FN14" s="76"/>
      <c r="FO14" s="76"/>
      <c r="FP14" s="76"/>
      <c r="FQ14" s="76"/>
      <c r="FR14" s="76"/>
      <c r="FS14" s="76"/>
      <c r="FT14" s="76"/>
      <c r="FU14" s="76"/>
      <c r="FV14" s="76"/>
      <c r="FW14" s="76"/>
      <c r="FX14" s="76"/>
      <c r="FY14" s="76"/>
      <c r="FZ14" s="76"/>
      <c r="GA14" s="76"/>
      <c r="GB14" s="76"/>
      <c r="GC14" s="76"/>
      <c r="GD14" s="76"/>
      <c r="GE14" s="76"/>
      <c r="GF14" s="76"/>
      <c r="GG14" s="76"/>
      <c r="GH14" s="76"/>
      <c r="GI14" s="76"/>
      <c r="GJ14" s="76"/>
      <c r="GK14" s="76"/>
      <c r="GL14" s="76"/>
      <c r="GM14" s="76"/>
      <c r="GN14" s="76"/>
      <c r="GO14" s="76"/>
      <c r="GP14" s="76"/>
      <c r="GQ14" s="76"/>
      <c r="GR14" s="76"/>
      <c r="GS14" s="76"/>
      <c r="GT14" s="76"/>
      <c r="GU14" s="76"/>
      <c r="GV14" s="76"/>
      <c r="GW14" s="76"/>
      <c r="GX14" s="76"/>
      <c r="GY14" s="76"/>
      <c r="GZ14" s="76"/>
      <c r="HA14" s="76"/>
      <c r="HB14" s="76"/>
      <c r="HC14" s="76"/>
      <c r="HD14" s="76"/>
      <c r="HE14" s="76"/>
      <c r="HF14" s="76"/>
      <c r="HG14" s="76"/>
      <c r="HH14" s="76"/>
      <c r="HI14" s="76"/>
      <c r="HJ14" s="76"/>
      <c r="HK14" s="76"/>
      <c r="HL14" s="76"/>
      <c r="HM14" s="76"/>
      <c r="HN14" s="76"/>
      <c r="HO14" s="76"/>
      <c r="HP14" s="76"/>
      <c r="HQ14" s="76"/>
      <c r="HR14" s="76"/>
      <c r="HS14" s="76"/>
      <c r="HT14" s="76"/>
      <c r="HU14" s="76"/>
      <c r="HV14" s="76"/>
      <c r="HW14" s="76"/>
      <c r="HX14" s="76"/>
      <c r="HY14" s="76"/>
      <c r="HZ14" s="76"/>
      <c r="IA14" s="76"/>
      <c r="IB14" s="76"/>
      <c r="IC14" s="76"/>
      <c r="ID14" s="76"/>
      <c r="IE14" s="76"/>
      <c r="IF14" s="76"/>
      <c r="IG14" s="76"/>
      <c r="IH14" s="76"/>
      <c r="II14" s="76"/>
      <c r="IJ14" s="76"/>
      <c r="IK14" s="76"/>
      <c r="IL14" s="76"/>
      <c r="IM14" s="76"/>
      <c r="IN14" s="76"/>
      <c r="IO14" s="76"/>
      <c r="IP14" s="76"/>
      <c r="IQ14" s="76"/>
      <c r="IR14" s="76"/>
      <c r="IS14" s="76"/>
      <c r="IT14" s="76"/>
      <c r="IU14" s="76"/>
      <c r="IV14" s="76"/>
      <c r="IW14" s="76"/>
      <c r="IX14" s="76"/>
      <c r="IY14" s="76"/>
      <c r="IZ14" s="76"/>
      <c r="JA14" s="76"/>
      <c r="JB14" s="76"/>
      <c r="JC14" s="76"/>
      <c r="JD14" s="76"/>
      <c r="JE14" s="76"/>
      <c r="JF14" s="76"/>
      <c r="JG14" s="76"/>
      <c r="JH14" s="76"/>
      <c r="JI14" s="76"/>
      <c r="JJ14" s="76"/>
      <c r="JK14" s="76"/>
      <c r="JL14" s="76"/>
      <c r="JM14" s="76"/>
      <c r="JN14" s="76"/>
      <c r="JO14" s="76"/>
      <c r="JP14" s="76"/>
      <c r="JQ14" s="76"/>
      <c r="JR14" s="76"/>
      <c r="JS14" s="76"/>
      <c r="JT14" s="76"/>
      <c r="JU14" s="76"/>
      <c r="JV14" s="76"/>
      <c r="JW14" s="76"/>
      <c r="JX14" s="76"/>
      <c r="JY14" s="76"/>
      <c r="JZ14" s="76"/>
      <c r="KA14" s="76"/>
      <c r="KB14" s="76"/>
      <c r="KC14" s="76"/>
      <c r="KD14" s="76"/>
      <c r="KE14" s="76"/>
      <c r="KF14" s="76"/>
      <c r="KG14" s="76"/>
      <c r="KH14" s="76"/>
      <c r="KI14" s="76"/>
      <c r="KJ14" s="76"/>
      <c r="KK14" s="76"/>
      <c r="KL14" s="76"/>
      <c r="KM14" s="76"/>
      <c r="KN14" s="76"/>
      <c r="KO14" s="76"/>
      <c r="KP14" s="76"/>
      <c r="KQ14" s="76"/>
      <c r="KR14" s="76"/>
      <c r="KS14" s="76"/>
      <c r="KT14" s="76"/>
      <c r="KU14" s="76"/>
      <c r="KV14" s="76"/>
      <c r="KW14" s="76"/>
      <c r="KX14" s="76"/>
      <c r="KY14" s="76"/>
      <c r="KZ14" s="76"/>
      <c r="LA14" s="76"/>
      <c r="LB14" s="76"/>
      <c r="LC14" s="76"/>
      <c r="LD14" s="76"/>
      <c r="LE14" s="76"/>
      <c r="LF14" s="76"/>
      <c r="LG14" s="76"/>
      <c r="LH14" s="76"/>
      <c r="LI14" s="76"/>
      <c r="LJ14" s="76"/>
      <c r="LK14" s="76"/>
      <c r="LL14" s="76"/>
      <c r="LM14" s="76"/>
      <c r="LN14" s="76"/>
      <c r="LO14" s="76"/>
      <c r="LP14" s="76"/>
      <c r="LQ14" s="76"/>
      <c r="LR14" s="76"/>
      <c r="LS14" s="76"/>
      <c r="LT14" s="76"/>
      <c r="LU14" s="76"/>
      <c r="LV14" s="76"/>
      <c r="LW14" s="76"/>
      <c r="LX14" s="76"/>
      <c r="LY14" s="76"/>
      <c r="LZ14" s="76"/>
      <c r="MA14" s="76"/>
      <c r="MB14" s="76"/>
      <c r="MC14" s="76"/>
      <c r="MD14" s="76"/>
      <c r="ME14" s="76"/>
      <c r="MF14" s="76"/>
      <c r="MG14" s="76"/>
      <c r="MH14" s="76"/>
      <c r="MI14" s="76"/>
      <c r="MJ14" s="76"/>
      <c r="MK14" s="76"/>
      <c r="ML14" s="76"/>
      <c r="MM14" s="76"/>
      <c r="MN14" s="76"/>
      <c r="MO14" s="76"/>
      <c r="MP14" s="76"/>
      <c r="MQ14" s="76"/>
      <c r="MR14" s="76"/>
      <c r="MS14" s="76"/>
      <c r="MT14" s="76"/>
      <c r="MU14" s="76"/>
      <c r="MV14" s="76"/>
      <c r="MW14" s="76"/>
      <c r="MX14" s="76"/>
      <c r="MY14" s="76"/>
      <c r="MZ14" s="76"/>
      <c r="NA14" s="76"/>
      <c r="NB14" s="76"/>
      <c r="NC14" s="76"/>
      <c r="ND14" s="76"/>
      <c r="NE14" s="76"/>
      <c r="NF14" s="76"/>
      <c r="NG14" s="76"/>
      <c r="NH14" s="76"/>
      <c r="NI14" s="76"/>
      <c r="NJ14" s="76"/>
      <c r="NK14" s="76"/>
      <c r="NL14" s="76"/>
      <c r="NM14" s="76"/>
      <c r="NN14" s="76"/>
      <c r="NO14" s="76"/>
      <c r="NP14" s="76"/>
      <c r="NQ14" s="76"/>
      <c r="NR14" s="76"/>
      <c r="NS14" s="76"/>
      <c r="NT14" s="76"/>
      <c r="NU14" s="76"/>
      <c r="NV14" s="76"/>
      <c r="NW14" s="76"/>
      <c r="NX14" s="76"/>
      <c r="NY14" s="76"/>
      <c r="NZ14" s="76"/>
      <c r="OA14" s="76"/>
      <c r="OB14" s="76"/>
      <c r="OC14" s="76"/>
      <c r="OD14" s="76"/>
      <c r="OE14" s="76"/>
      <c r="OF14" s="76"/>
      <c r="OG14" s="76"/>
      <c r="OH14" s="76"/>
      <c r="OI14" s="76"/>
      <c r="OJ14" s="76"/>
      <c r="OK14" s="76"/>
      <c r="OL14" s="76"/>
      <c r="OM14" s="76"/>
      <c r="ON14" s="76"/>
      <c r="OO14" s="76"/>
      <c r="OP14" s="76"/>
      <c r="OQ14" s="76"/>
      <c r="OR14" s="76"/>
      <c r="OS14" s="76"/>
      <c r="OT14" s="76"/>
      <c r="OU14" s="76"/>
      <c r="OV14" s="76"/>
      <c r="OW14" s="76"/>
      <c r="OX14" s="76"/>
      <c r="OY14" s="76"/>
      <c r="OZ14" s="76"/>
      <c r="PA14" s="76"/>
      <c r="PB14" s="76"/>
      <c r="PC14" s="76"/>
      <c r="PD14" s="76"/>
      <c r="PE14" s="76"/>
      <c r="PF14" s="76"/>
      <c r="PG14" s="76"/>
      <c r="PH14" s="76"/>
      <c r="PI14" s="76"/>
      <c r="PJ14" s="76"/>
      <c r="PK14" s="76"/>
      <c r="PL14" s="76"/>
      <c r="PM14" s="76"/>
      <c r="PN14" s="76"/>
      <c r="PO14" s="76"/>
      <c r="PP14" s="76"/>
      <c r="PQ14" s="76"/>
      <c r="PR14" s="76"/>
      <c r="PS14" s="76"/>
      <c r="PT14" s="76"/>
      <c r="PU14" s="76"/>
      <c r="PV14" s="76"/>
      <c r="PW14" s="76"/>
      <c r="PX14" s="76"/>
      <c r="PY14" s="76"/>
      <c r="PZ14" s="76"/>
      <c r="QA14" s="76"/>
      <c r="QB14" s="76"/>
      <c r="QC14" s="76"/>
      <c r="QD14" s="76"/>
      <c r="QE14" s="76"/>
      <c r="QF14" s="76"/>
      <c r="QG14" s="76"/>
      <c r="QH14" s="76"/>
      <c r="QI14" s="76"/>
      <c r="QJ14" s="76"/>
      <c r="QK14" s="76"/>
      <c r="QL14" s="76"/>
      <c r="QM14" s="76"/>
      <c r="QN14" s="76"/>
      <c r="QO14" s="76"/>
      <c r="QP14" s="76"/>
      <c r="QQ14" s="76"/>
      <c r="QR14" s="76"/>
      <c r="QS14" s="76"/>
      <c r="QT14" s="76"/>
      <c r="QU14" s="76"/>
      <c r="QV14" s="76"/>
      <c r="QW14" s="76"/>
      <c r="QX14" s="76"/>
      <c r="QY14" s="76"/>
      <c r="QZ14" s="76"/>
      <c r="RA14" s="76"/>
      <c r="RB14" s="76"/>
      <c r="RC14" s="76"/>
      <c r="RD14" s="76"/>
      <c r="RE14" s="76"/>
      <c r="RF14" s="76"/>
      <c r="RG14" s="76"/>
      <c r="RH14" s="76"/>
      <c r="RI14" s="76"/>
      <c r="RJ14" s="76"/>
      <c r="RK14" s="76"/>
      <c r="RL14" s="76"/>
      <c r="RM14" s="76"/>
      <c r="RN14" s="76"/>
      <c r="RO14" s="76"/>
      <c r="RP14" s="76"/>
      <c r="RQ14" s="76"/>
      <c r="RR14" s="76"/>
      <c r="RS14" s="76"/>
      <c r="RT14" s="76"/>
      <c r="RU14" s="76"/>
      <c r="RV14" s="76"/>
      <c r="RW14" s="76"/>
      <c r="RX14" s="76"/>
      <c r="RY14" s="76"/>
      <c r="RZ14" s="76"/>
      <c r="SA14" s="76"/>
      <c r="SB14" s="76"/>
      <c r="SC14" s="76"/>
      <c r="SD14" s="76"/>
      <c r="SE14" s="76"/>
      <c r="SF14" s="76"/>
      <c r="SG14" s="76"/>
      <c r="SH14" s="76"/>
      <c r="SI14" s="76"/>
      <c r="SJ14" s="76"/>
      <c r="SK14" s="76"/>
      <c r="SL14" s="76"/>
      <c r="SM14" s="76"/>
      <c r="SN14" s="76"/>
      <c r="SO14" s="76"/>
      <c r="SP14" s="76"/>
      <c r="SQ14" s="76"/>
      <c r="SR14" s="76"/>
      <c r="SS14" s="76"/>
      <c r="ST14" s="76"/>
      <c r="SU14" s="76"/>
      <c r="SV14" s="76"/>
      <c r="SW14" s="76"/>
      <c r="SX14" s="76"/>
      <c r="SY14" s="76"/>
      <c r="SZ14" s="76"/>
      <c r="TA14" s="76"/>
      <c r="TB14" s="76"/>
      <c r="TC14" s="76"/>
      <c r="TD14" s="76"/>
      <c r="TE14" s="76"/>
      <c r="TF14" s="76"/>
      <c r="TG14" s="76"/>
      <c r="TH14" s="76"/>
      <c r="TI14" s="76"/>
      <c r="TJ14" s="76"/>
      <c r="TK14" s="76"/>
      <c r="TL14" s="76"/>
      <c r="TM14" s="76"/>
      <c r="TN14" s="76"/>
      <c r="TO14" s="76"/>
      <c r="TP14" s="76"/>
      <c r="TQ14" s="76"/>
      <c r="TR14" s="76"/>
      <c r="TS14" s="76"/>
      <c r="TT14" s="76"/>
      <c r="TU14" s="76"/>
      <c r="TV14" s="76"/>
      <c r="TW14" s="76"/>
      <c r="TX14" s="76"/>
      <c r="TY14" s="76"/>
      <c r="TZ14" s="76"/>
      <c r="UA14" s="76"/>
      <c r="UB14" s="76"/>
      <c r="UC14" s="76"/>
      <c r="UD14" s="76"/>
      <c r="UE14" s="76"/>
      <c r="UF14" s="76"/>
      <c r="UG14" s="76"/>
      <c r="UH14" s="76"/>
      <c r="UI14" s="76"/>
      <c r="UJ14" s="76"/>
      <c r="UK14" s="76"/>
      <c r="UL14" s="76"/>
      <c r="UM14" s="76"/>
      <c r="UN14" s="76"/>
      <c r="UO14" s="76"/>
      <c r="UP14" s="76"/>
      <c r="UQ14" s="76"/>
      <c r="UR14" s="76"/>
      <c r="US14" s="76"/>
      <c r="UT14" s="76"/>
      <c r="UU14" s="76"/>
      <c r="UV14" s="76"/>
      <c r="UW14" s="76"/>
      <c r="UX14" s="76"/>
      <c r="UY14" s="76"/>
      <c r="UZ14" s="76"/>
      <c r="VA14" s="76"/>
      <c r="VB14" s="76"/>
      <c r="VC14" s="76"/>
      <c r="VD14" s="76"/>
      <c r="VE14" s="76"/>
      <c r="VF14" s="76"/>
      <c r="VG14" s="76"/>
      <c r="VH14" s="76"/>
      <c r="VI14" s="76"/>
      <c r="VJ14" s="76"/>
      <c r="VK14" s="76"/>
      <c r="VL14" s="76"/>
      <c r="VM14" s="76"/>
      <c r="VN14" s="76"/>
      <c r="VO14" s="76"/>
      <c r="VP14" s="76"/>
      <c r="VQ14" s="76"/>
      <c r="VR14" s="76"/>
      <c r="VS14" s="76"/>
      <c r="VT14" s="76"/>
      <c r="VU14" s="76"/>
      <c r="VV14" s="76"/>
      <c r="VW14" s="76"/>
      <c r="VX14" s="76"/>
      <c r="VY14" s="76"/>
      <c r="VZ14" s="76"/>
      <c r="WA14" s="76"/>
      <c r="WB14" s="76"/>
      <c r="WC14" s="76"/>
      <c r="WD14" s="76"/>
      <c r="WE14" s="76"/>
      <c r="WF14" s="76"/>
      <c r="WG14" s="76"/>
      <c r="WH14" s="76"/>
      <c r="WI14" s="76"/>
      <c r="WJ14" s="76"/>
      <c r="WK14" s="76"/>
      <c r="WL14" s="76"/>
      <c r="WM14" s="76"/>
      <c r="WN14" s="76"/>
      <c r="WO14" s="76"/>
      <c r="WP14" s="76"/>
      <c r="WQ14" s="76"/>
    </row>
    <row r="15" spans="1:615" s="29" customFormat="1" x14ac:dyDescent="0.4">
      <c r="A15" s="45"/>
      <c r="B15" s="45"/>
      <c r="C15" s="45"/>
      <c r="D15" s="45"/>
      <c r="E15" s="45"/>
      <c r="F15" s="45"/>
      <c r="G15" s="45"/>
      <c r="H15" s="45"/>
      <c r="I15" s="45"/>
      <c r="J15" s="48"/>
      <c r="K15" s="48"/>
      <c r="L15" s="49"/>
      <c r="M15" s="49"/>
      <c r="N15" s="48"/>
      <c r="O15" s="48"/>
      <c r="P15" s="49"/>
      <c r="Q15" s="49"/>
      <c r="R15" s="48"/>
      <c r="S15" s="48"/>
      <c r="T15" s="49"/>
      <c r="U15" s="49"/>
      <c r="V15" s="48"/>
      <c r="W15" s="48"/>
      <c r="X15" s="49"/>
      <c r="Y15" s="49"/>
      <c r="Z15" s="48"/>
      <c r="AA15" s="48"/>
      <c r="AB15" s="49"/>
      <c r="AC15" s="49"/>
      <c r="AD15" s="48"/>
      <c r="AE15" s="48"/>
      <c r="AF15" s="49"/>
      <c r="AG15" s="49"/>
      <c r="AH15" s="48"/>
      <c r="AI15" s="48"/>
      <c r="AJ15" s="49"/>
      <c r="AK15" s="49"/>
      <c r="AL15" s="48"/>
      <c r="AM15" s="48"/>
      <c r="AN15" s="49"/>
      <c r="AO15" s="49"/>
      <c r="AP15" s="48"/>
      <c r="AQ15" s="48"/>
      <c r="AR15" s="49"/>
      <c r="AS15" s="49"/>
      <c r="AT15" s="48"/>
      <c r="AU15" s="48"/>
      <c r="AV15" s="49"/>
      <c r="AW15" s="49"/>
      <c r="AX15" s="48"/>
      <c r="AY15" s="48"/>
      <c r="AZ15" s="49"/>
      <c r="BA15" s="49"/>
      <c r="BB15" s="48"/>
      <c r="BC15" s="48"/>
      <c r="BD15" s="49"/>
      <c r="BE15" s="49"/>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c r="GW15" s="48"/>
      <c r="GX15" s="48"/>
      <c r="GY15" s="48"/>
      <c r="GZ15" s="48"/>
      <c r="HA15" s="48"/>
      <c r="HB15" s="48"/>
      <c r="HC15" s="48"/>
      <c r="HD15" s="48"/>
      <c r="HE15" s="48"/>
      <c r="HF15" s="48"/>
      <c r="HG15" s="48"/>
      <c r="HH15" s="48"/>
      <c r="HI15" s="48"/>
      <c r="HJ15" s="48"/>
      <c r="HK15" s="48"/>
      <c r="HL15" s="48"/>
      <c r="HM15" s="48"/>
      <c r="HN15" s="48"/>
      <c r="HO15" s="48"/>
      <c r="HP15" s="48"/>
      <c r="HQ15" s="48"/>
      <c r="HR15" s="48"/>
      <c r="HS15" s="48"/>
      <c r="HT15" s="48"/>
      <c r="HU15" s="48"/>
      <c r="HV15" s="48"/>
      <c r="HW15" s="48"/>
      <c r="HX15" s="48"/>
      <c r="HY15" s="48"/>
      <c r="HZ15" s="48"/>
      <c r="IA15" s="48"/>
      <c r="IB15" s="48"/>
      <c r="IC15" s="48"/>
      <c r="ID15" s="48"/>
      <c r="IE15" s="48"/>
      <c r="IF15" s="48"/>
      <c r="IG15" s="48"/>
      <c r="IH15" s="48"/>
      <c r="II15" s="48"/>
      <c r="IJ15" s="48"/>
      <c r="IK15" s="48"/>
      <c r="IL15" s="48"/>
      <c r="IM15" s="48"/>
      <c r="IN15" s="48"/>
      <c r="IO15" s="48"/>
      <c r="IP15" s="48"/>
      <c r="IQ15" s="48"/>
      <c r="IR15" s="48"/>
      <c r="IS15" s="48"/>
      <c r="IT15" s="48"/>
      <c r="IU15" s="48"/>
      <c r="IV15" s="48"/>
      <c r="IW15" s="48"/>
      <c r="IX15" s="48"/>
      <c r="IY15" s="48"/>
      <c r="IZ15" s="48"/>
      <c r="JA15" s="48"/>
      <c r="JB15" s="48"/>
      <c r="JC15" s="48"/>
      <c r="JD15" s="48"/>
      <c r="JE15" s="48"/>
      <c r="JF15" s="48"/>
      <c r="JG15" s="48"/>
      <c r="JH15" s="48"/>
      <c r="JI15" s="48"/>
      <c r="JJ15" s="48"/>
      <c r="JK15" s="48"/>
      <c r="JL15" s="48"/>
      <c r="JM15" s="48"/>
      <c r="JN15" s="48"/>
      <c r="JO15" s="48"/>
      <c r="JP15" s="48"/>
      <c r="JQ15" s="48"/>
      <c r="JR15" s="48"/>
      <c r="JS15" s="48"/>
      <c r="JT15" s="48"/>
      <c r="JU15" s="48"/>
      <c r="JV15" s="48"/>
      <c r="JW15" s="48"/>
      <c r="JX15" s="48"/>
      <c r="JY15" s="48"/>
      <c r="JZ15" s="48"/>
      <c r="KA15" s="48"/>
      <c r="KB15" s="48"/>
      <c r="KC15" s="48"/>
      <c r="KD15" s="48"/>
      <c r="KE15" s="48"/>
      <c r="KF15" s="48"/>
      <c r="KG15" s="48"/>
      <c r="KH15" s="48"/>
      <c r="KI15" s="48"/>
      <c r="KJ15" s="48"/>
      <c r="KK15" s="48"/>
      <c r="KL15" s="48"/>
      <c r="KM15" s="48"/>
      <c r="KN15" s="48"/>
      <c r="KO15" s="48"/>
      <c r="KP15" s="48"/>
      <c r="KQ15" s="48"/>
      <c r="KR15" s="48"/>
      <c r="KS15" s="48"/>
      <c r="KT15" s="48"/>
      <c r="KU15" s="48"/>
      <c r="KV15" s="48"/>
      <c r="KW15" s="48"/>
      <c r="KX15" s="48"/>
      <c r="KY15" s="48"/>
      <c r="KZ15" s="48"/>
      <c r="LA15" s="48"/>
      <c r="LB15" s="48"/>
      <c r="LC15" s="48"/>
      <c r="LD15" s="48"/>
      <c r="LE15" s="48"/>
      <c r="LF15" s="48"/>
      <c r="LG15" s="48"/>
      <c r="LH15" s="48"/>
      <c r="LI15" s="48"/>
      <c r="LJ15" s="48"/>
      <c r="LK15" s="48"/>
      <c r="LL15" s="48"/>
      <c r="LM15" s="48"/>
      <c r="LN15" s="48"/>
      <c r="LO15" s="48"/>
      <c r="LP15" s="48"/>
      <c r="LQ15" s="48"/>
      <c r="LR15" s="48"/>
      <c r="LS15" s="48"/>
      <c r="LT15" s="48"/>
      <c r="LU15" s="48"/>
      <c r="LV15" s="48"/>
      <c r="LW15" s="48"/>
      <c r="LX15" s="48"/>
      <c r="LY15" s="48"/>
      <c r="LZ15" s="48"/>
      <c r="MA15" s="48"/>
      <c r="MB15" s="48"/>
      <c r="MC15" s="48"/>
      <c r="MD15" s="48"/>
      <c r="ME15" s="48"/>
      <c r="MF15" s="48"/>
      <c r="MG15" s="48"/>
      <c r="MH15" s="48"/>
      <c r="MI15" s="48"/>
      <c r="MJ15" s="48"/>
      <c r="MK15" s="48"/>
      <c r="ML15" s="48"/>
      <c r="MM15" s="48"/>
      <c r="MN15" s="48"/>
      <c r="MO15" s="48"/>
      <c r="MP15" s="48"/>
      <c r="MQ15" s="48"/>
      <c r="MR15" s="48"/>
      <c r="MS15" s="48"/>
      <c r="MT15" s="48"/>
      <c r="MU15" s="48"/>
      <c r="MV15" s="48"/>
      <c r="MW15" s="48"/>
      <c r="MX15" s="48"/>
      <c r="MY15" s="48"/>
      <c r="MZ15" s="48"/>
      <c r="NA15" s="48"/>
      <c r="NB15" s="48"/>
      <c r="NC15" s="48"/>
      <c r="ND15" s="48"/>
      <c r="NE15" s="48"/>
      <c r="NF15" s="48"/>
      <c r="NG15" s="48"/>
      <c r="NH15" s="48"/>
      <c r="NI15" s="48"/>
      <c r="NJ15" s="48"/>
      <c r="NK15" s="48"/>
      <c r="NL15" s="48"/>
      <c r="NM15" s="48"/>
      <c r="NN15" s="48"/>
      <c r="NO15" s="48"/>
      <c r="NP15" s="48"/>
      <c r="NQ15" s="48"/>
      <c r="NR15" s="48"/>
      <c r="NS15" s="48"/>
      <c r="NT15" s="48"/>
      <c r="NU15" s="48"/>
      <c r="NV15" s="48"/>
      <c r="NW15" s="48"/>
      <c r="NX15" s="48"/>
      <c r="NY15" s="48"/>
      <c r="NZ15" s="48"/>
      <c r="OA15" s="48"/>
      <c r="OB15" s="48"/>
      <c r="OC15" s="48"/>
      <c r="OD15" s="48"/>
      <c r="OE15" s="48"/>
      <c r="OF15" s="48"/>
      <c r="OG15" s="48"/>
      <c r="OH15" s="48"/>
      <c r="OI15" s="48"/>
      <c r="OJ15" s="48"/>
      <c r="OK15" s="48"/>
      <c r="OL15" s="48"/>
      <c r="OM15" s="48"/>
      <c r="ON15" s="48"/>
      <c r="OO15" s="48"/>
      <c r="OP15" s="48"/>
      <c r="OQ15" s="48"/>
      <c r="OR15" s="48"/>
      <c r="OS15" s="48"/>
      <c r="OT15" s="48"/>
      <c r="OU15" s="48"/>
      <c r="OV15" s="48"/>
      <c r="OW15" s="48"/>
      <c r="OX15" s="48"/>
      <c r="OY15" s="48"/>
      <c r="OZ15" s="48"/>
      <c r="PA15" s="48"/>
      <c r="PB15" s="48"/>
      <c r="PC15" s="48"/>
      <c r="PD15" s="48"/>
      <c r="PE15" s="48"/>
      <c r="PF15" s="48"/>
      <c r="PG15" s="48"/>
      <c r="PH15" s="48"/>
      <c r="PI15" s="48"/>
      <c r="PJ15" s="48"/>
      <c r="PK15" s="48"/>
      <c r="PL15" s="48"/>
      <c r="PM15" s="48"/>
      <c r="PN15" s="48"/>
      <c r="PO15" s="48"/>
      <c r="PP15" s="48"/>
      <c r="PQ15" s="48"/>
      <c r="PR15" s="48"/>
      <c r="PS15" s="48"/>
      <c r="PT15" s="48"/>
      <c r="PU15" s="48"/>
      <c r="PV15" s="48"/>
      <c r="PW15" s="48"/>
      <c r="PX15" s="48"/>
      <c r="PY15" s="48"/>
      <c r="PZ15" s="48"/>
      <c r="QA15" s="48"/>
      <c r="QB15" s="48"/>
      <c r="QC15" s="48"/>
      <c r="QD15" s="48"/>
      <c r="QE15" s="48"/>
      <c r="QF15" s="48"/>
      <c r="QG15" s="48"/>
      <c r="QH15" s="48"/>
      <c r="QI15" s="48"/>
      <c r="QJ15" s="48"/>
      <c r="QK15" s="48"/>
      <c r="QL15" s="48"/>
      <c r="QM15" s="48"/>
      <c r="QN15" s="48"/>
      <c r="QO15" s="48"/>
      <c r="QP15" s="48"/>
      <c r="QQ15" s="48"/>
      <c r="QR15" s="48"/>
      <c r="QS15" s="48"/>
      <c r="QT15" s="48"/>
      <c r="QU15" s="48"/>
      <c r="QV15" s="48"/>
      <c r="QW15" s="48"/>
      <c r="QX15" s="48"/>
      <c r="QY15" s="48"/>
      <c r="QZ15" s="48"/>
      <c r="RA15" s="48"/>
      <c r="RB15" s="48"/>
      <c r="RC15" s="48"/>
      <c r="RD15" s="48"/>
      <c r="RE15" s="48"/>
      <c r="RF15" s="48"/>
      <c r="RG15" s="48"/>
      <c r="RH15" s="48"/>
      <c r="RI15" s="48"/>
      <c r="RJ15" s="48"/>
      <c r="RK15" s="48"/>
      <c r="RL15" s="48"/>
      <c r="RM15" s="48"/>
      <c r="RN15" s="48"/>
      <c r="RO15" s="48"/>
      <c r="RP15" s="48"/>
      <c r="RQ15" s="48"/>
      <c r="RR15" s="48"/>
      <c r="RS15" s="48"/>
      <c r="RT15" s="48"/>
      <c r="RU15" s="48"/>
      <c r="RV15" s="48"/>
      <c r="RW15" s="48"/>
      <c r="RX15" s="48"/>
      <c r="RY15" s="48"/>
      <c r="RZ15" s="48"/>
      <c r="SA15" s="48"/>
      <c r="SB15" s="48"/>
      <c r="SC15" s="48"/>
      <c r="SD15" s="48"/>
      <c r="SE15" s="48"/>
      <c r="SF15" s="48"/>
      <c r="SG15" s="48"/>
      <c r="SH15" s="48"/>
      <c r="SI15" s="48"/>
      <c r="SJ15" s="48"/>
      <c r="SK15" s="48"/>
      <c r="SL15" s="48"/>
      <c r="SM15" s="48"/>
      <c r="SN15" s="48"/>
      <c r="SO15" s="48"/>
      <c r="SP15" s="48"/>
      <c r="SQ15" s="48"/>
      <c r="SR15" s="48"/>
      <c r="SS15" s="48"/>
      <c r="ST15" s="48"/>
      <c r="SU15" s="48"/>
      <c r="SV15" s="48"/>
      <c r="SW15" s="48"/>
      <c r="SX15" s="48"/>
      <c r="SY15" s="48"/>
      <c r="SZ15" s="48"/>
      <c r="TA15" s="48"/>
      <c r="TB15" s="48"/>
      <c r="TC15" s="48"/>
      <c r="TD15" s="48"/>
      <c r="TE15" s="48"/>
      <c r="TF15" s="48"/>
      <c r="TG15" s="48"/>
      <c r="TH15" s="48"/>
      <c r="TI15" s="48"/>
      <c r="TJ15" s="48"/>
      <c r="TK15" s="48"/>
      <c r="TL15" s="48"/>
      <c r="TM15" s="48"/>
      <c r="TN15" s="48"/>
      <c r="TO15" s="48"/>
      <c r="TP15" s="48"/>
      <c r="TQ15" s="48"/>
      <c r="TR15" s="48"/>
      <c r="TS15" s="48"/>
      <c r="TT15" s="48"/>
      <c r="TU15" s="48"/>
      <c r="TV15" s="48"/>
      <c r="TW15" s="48"/>
      <c r="TX15" s="48"/>
      <c r="TY15" s="48"/>
      <c r="TZ15" s="48"/>
      <c r="UA15" s="48"/>
      <c r="UB15" s="48"/>
      <c r="UC15" s="48"/>
      <c r="UD15" s="48"/>
      <c r="UE15" s="48"/>
      <c r="UF15" s="48"/>
      <c r="UG15" s="48"/>
      <c r="UH15" s="48"/>
      <c r="UI15" s="48"/>
      <c r="UJ15" s="48"/>
      <c r="UK15" s="48"/>
      <c r="UL15" s="48"/>
      <c r="UM15" s="48"/>
      <c r="UN15" s="48"/>
      <c r="UO15" s="48"/>
      <c r="UP15" s="48"/>
      <c r="UQ15" s="48"/>
      <c r="UR15" s="48"/>
      <c r="US15" s="48"/>
      <c r="UT15" s="48"/>
      <c r="UU15" s="48"/>
      <c r="UV15" s="48"/>
      <c r="UW15" s="48"/>
      <c r="UX15" s="48"/>
      <c r="UY15" s="48"/>
      <c r="UZ15" s="48"/>
      <c r="VA15" s="48"/>
      <c r="VB15" s="48"/>
      <c r="VC15" s="48"/>
      <c r="VD15" s="48"/>
      <c r="VE15" s="48"/>
      <c r="VF15" s="48"/>
      <c r="VG15" s="48"/>
      <c r="VH15" s="48"/>
      <c r="VI15" s="48"/>
      <c r="VJ15" s="48"/>
      <c r="VK15" s="48"/>
      <c r="VL15" s="48"/>
      <c r="VM15" s="48"/>
      <c r="VN15" s="48"/>
      <c r="VO15" s="48"/>
      <c r="VP15" s="48"/>
      <c r="VQ15" s="48"/>
      <c r="VR15" s="48"/>
      <c r="VS15" s="48"/>
      <c r="VT15" s="48"/>
      <c r="VU15" s="48"/>
      <c r="VV15" s="48"/>
      <c r="VW15" s="48"/>
      <c r="VX15" s="48"/>
      <c r="VY15" s="48"/>
      <c r="VZ15" s="48"/>
      <c r="WA15" s="48"/>
      <c r="WB15" s="48"/>
      <c r="WC15" s="48"/>
      <c r="WD15" s="48"/>
      <c r="WE15" s="48"/>
    </row>
    <row r="16" spans="1:615" s="29" customFormat="1" x14ac:dyDescent="0.4">
      <c r="A16" s="45"/>
      <c r="B16" s="45"/>
      <c r="C16" s="45"/>
      <c r="D16" s="45"/>
      <c r="E16" s="45"/>
      <c r="F16" s="45"/>
      <c r="G16" s="45"/>
      <c r="H16" s="45"/>
      <c r="I16" s="45"/>
      <c r="J16" s="48"/>
      <c r="K16" s="48"/>
      <c r="L16" s="49"/>
      <c r="M16" s="49"/>
      <c r="N16" s="48"/>
      <c r="O16" s="48"/>
      <c r="P16" s="49"/>
      <c r="Q16" s="49"/>
      <c r="R16" s="48"/>
      <c r="S16" s="48"/>
      <c r="T16" s="49"/>
      <c r="U16" s="49"/>
      <c r="V16" s="48"/>
      <c r="W16" s="48"/>
      <c r="X16" s="49"/>
      <c r="Y16" s="49"/>
      <c r="Z16" s="48"/>
      <c r="AA16" s="48"/>
      <c r="AB16" s="49"/>
      <c r="AC16" s="49"/>
      <c r="AD16" s="48"/>
      <c r="AE16" s="48"/>
      <c r="AF16" s="49"/>
      <c r="AG16" s="49"/>
      <c r="AH16" s="48"/>
      <c r="AI16" s="48"/>
      <c r="AJ16" s="49"/>
      <c r="AK16" s="49"/>
      <c r="AL16" s="48"/>
      <c r="AM16" s="48"/>
      <c r="AN16" s="49"/>
      <c r="AO16" s="49"/>
      <c r="AP16" s="48"/>
      <c r="AQ16" s="48"/>
      <c r="AR16" s="49"/>
      <c r="AS16" s="49"/>
      <c r="AT16" s="48"/>
      <c r="AU16" s="48"/>
      <c r="AV16" s="49"/>
      <c r="AW16" s="49"/>
      <c r="AX16" s="48"/>
      <c r="AY16" s="48"/>
      <c r="AZ16" s="49"/>
      <c r="BA16" s="49"/>
      <c r="BB16" s="48"/>
      <c r="BC16" s="48"/>
      <c r="BD16" s="49"/>
      <c r="BE16" s="49"/>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row>
    <row r="17" spans="1:603" s="29" customFormat="1" x14ac:dyDescent="0.4">
      <c r="A17" s="45"/>
      <c r="B17" s="45"/>
      <c r="C17" s="45"/>
      <c r="D17" s="45"/>
      <c r="E17" s="45"/>
      <c r="F17" s="45"/>
      <c r="G17" s="45"/>
      <c r="H17" s="45"/>
      <c r="I17" s="45"/>
      <c r="J17" s="48"/>
      <c r="K17" s="48"/>
      <c r="L17" s="49"/>
      <c r="M17" s="49"/>
      <c r="N17" s="48"/>
      <c r="O17" s="48"/>
      <c r="P17" s="49"/>
      <c r="Q17" s="49"/>
      <c r="R17" s="48"/>
      <c r="S17" s="48"/>
      <c r="T17" s="49"/>
      <c r="U17" s="49"/>
      <c r="V17" s="48"/>
      <c r="W17" s="48"/>
      <c r="X17" s="49"/>
      <c r="Y17" s="49"/>
      <c r="Z17" s="48"/>
      <c r="AA17" s="48"/>
      <c r="AB17" s="49"/>
      <c r="AC17" s="49"/>
      <c r="AD17" s="48"/>
      <c r="AE17" s="48"/>
      <c r="AF17" s="49"/>
      <c r="AG17" s="49"/>
      <c r="AH17" s="48"/>
      <c r="AI17" s="48"/>
      <c r="AJ17" s="49"/>
      <c r="AK17" s="49"/>
      <c r="AL17" s="48"/>
      <c r="AM17" s="48"/>
      <c r="AN17" s="49"/>
      <c r="AO17" s="49"/>
      <c r="AP17" s="48"/>
      <c r="AQ17" s="48"/>
      <c r="AR17" s="49"/>
      <c r="AS17" s="49"/>
      <c r="AT17" s="48"/>
      <c r="AU17" s="48"/>
      <c r="AV17" s="49"/>
      <c r="AW17" s="49"/>
      <c r="AX17" s="48"/>
      <c r="AY17" s="48"/>
      <c r="AZ17" s="49"/>
      <c r="BA17" s="49"/>
      <c r="BB17" s="48"/>
      <c r="BC17" s="48"/>
      <c r="BD17" s="49"/>
      <c r="BE17" s="49"/>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c r="IW17" s="48"/>
      <c r="IX17" s="48"/>
      <c r="IY17" s="48"/>
      <c r="IZ17" s="48"/>
      <c r="JA17" s="48"/>
      <c r="JB17" s="48"/>
      <c r="JC17" s="48"/>
      <c r="JD17" s="48"/>
      <c r="JE17" s="48"/>
      <c r="JF17" s="48"/>
      <c r="JG17" s="48"/>
      <c r="JH17" s="48"/>
      <c r="JI17" s="48"/>
      <c r="JJ17" s="48"/>
      <c r="JK17" s="48"/>
      <c r="JL17" s="48"/>
      <c r="JM17" s="48"/>
      <c r="JN17" s="48"/>
      <c r="JO17" s="48"/>
      <c r="JP17" s="48"/>
      <c r="JQ17" s="48"/>
      <c r="JR17" s="48"/>
      <c r="JS17" s="48"/>
      <c r="JT17" s="48"/>
      <c r="JU17" s="48"/>
      <c r="JV17" s="48"/>
      <c r="JW17" s="48"/>
      <c r="JX17" s="48"/>
      <c r="JY17" s="48"/>
      <c r="JZ17" s="48"/>
      <c r="KA17" s="48"/>
      <c r="KB17" s="48"/>
      <c r="KC17" s="48"/>
      <c r="KD17" s="48"/>
      <c r="KE17" s="48"/>
      <c r="KF17" s="48"/>
      <c r="KG17" s="48"/>
      <c r="KH17" s="48"/>
      <c r="KI17" s="48"/>
      <c r="KJ17" s="48"/>
      <c r="KK17" s="48"/>
      <c r="KL17" s="48"/>
      <c r="KM17" s="48"/>
      <c r="KN17" s="48"/>
      <c r="KO17" s="48"/>
      <c r="KP17" s="48"/>
      <c r="KQ17" s="48"/>
      <c r="KR17" s="48"/>
      <c r="KS17" s="48"/>
      <c r="KT17" s="48"/>
      <c r="KU17" s="48"/>
      <c r="KV17" s="48"/>
      <c r="KW17" s="48"/>
      <c r="KX17" s="48"/>
      <c r="KY17" s="48"/>
      <c r="KZ17" s="48"/>
      <c r="LA17" s="48"/>
      <c r="LB17" s="48"/>
      <c r="LC17" s="48"/>
      <c r="LD17" s="48"/>
      <c r="LE17" s="48"/>
      <c r="LF17" s="48"/>
      <c r="LG17" s="48"/>
      <c r="LH17" s="48"/>
      <c r="LI17" s="48"/>
      <c r="LJ17" s="48"/>
      <c r="LK17" s="48"/>
      <c r="LL17" s="48"/>
      <c r="LM17" s="48"/>
      <c r="LN17" s="48"/>
      <c r="LO17" s="48"/>
      <c r="LP17" s="48"/>
      <c r="LQ17" s="48"/>
      <c r="LR17" s="48"/>
      <c r="LS17" s="48"/>
      <c r="LT17" s="48"/>
      <c r="LU17" s="48"/>
      <c r="LV17" s="48"/>
      <c r="LW17" s="48"/>
      <c r="LX17" s="48"/>
      <c r="LY17" s="48"/>
      <c r="LZ17" s="48"/>
      <c r="MA17" s="48"/>
      <c r="MB17" s="48"/>
      <c r="MC17" s="48"/>
      <c r="MD17" s="48"/>
      <c r="ME17" s="48"/>
      <c r="MF17" s="48"/>
      <c r="MG17" s="48"/>
      <c r="MH17" s="48"/>
      <c r="MI17" s="48"/>
      <c r="MJ17" s="48"/>
      <c r="MK17" s="48"/>
      <c r="ML17" s="48"/>
      <c r="MM17" s="48"/>
      <c r="MN17" s="48"/>
      <c r="MO17" s="48"/>
      <c r="MP17" s="48"/>
      <c r="MQ17" s="48"/>
      <c r="MR17" s="48"/>
      <c r="MS17" s="48"/>
      <c r="MT17" s="48"/>
      <c r="MU17" s="48"/>
      <c r="MV17" s="48"/>
      <c r="MW17" s="48"/>
      <c r="MX17" s="48"/>
      <c r="MY17" s="48"/>
      <c r="MZ17" s="48"/>
      <c r="NA17" s="48"/>
      <c r="NB17" s="48"/>
      <c r="NC17" s="48"/>
      <c r="ND17" s="48"/>
      <c r="NE17" s="48"/>
      <c r="NF17" s="48"/>
      <c r="NG17" s="48"/>
      <c r="NH17" s="48"/>
      <c r="NI17" s="48"/>
      <c r="NJ17" s="48"/>
      <c r="NK17" s="48"/>
      <c r="NL17" s="48"/>
      <c r="NM17" s="48"/>
      <c r="NN17" s="48"/>
      <c r="NO17" s="48"/>
      <c r="NP17" s="48"/>
      <c r="NQ17" s="48"/>
      <c r="NR17" s="48"/>
      <c r="NS17" s="48"/>
      <c r="NT17" s="48"/>
      <c r="NU17" s="48"/>
      <c r="NV17" s="48"/>
      <c r="NW17" s="48"/>
      <c r="NX17" s="48"/>
      <c r="NY17" s="48"/>
      <c r="NZ17" s="48"/>
      <c r="OA17" s="48"/>
      <c r="OB17" s="48"/>
      <c r="OC17" s="48"/>
      <c r="OD17" s="48"/>
      <c r="OE17" s="48"/>
      <c r="OF17" s="48"/>
      <c r="OG17" s="48"/>
      <c r="OH17" s="48"/>
      <c r="OI17" s="48"/>
      <c r="OJ17" s="48"/>
      <c r="OK17" s="48"/>
      <c r="OL17" s="48"/>
      <c r="OM17" s="48"/>
      <c r="ON17" s="48"/>
      <c r="OO17" s="48"/>
      <c r="OP17" s="48"/>
      <c r="OQ17" s="48"/>
      <c r="OR17" s="48"/>
      <c r="OS17" s="48"/>
      <c r="OT17" s="48"/>
      <c r="OU17" s="48"/>
      <c r="OV17" s="48"/>
      <c r="OW17" s="48"/>
      <c r="OX17" s="48"/>
      <c r="OY17" s="48"/>
      <c r="OZ17" s="48"/>
      <c r="PA17" s="48"/>
      <c r="PB17" s="48"/>
      <c r="PC17" s="48"/>
      <c r="PD17" s="48"/>
      <c r="PE17" s="48"/>
      <c r="PF17" s="48"/>
      <c r="PG17" s="48"/>
      <c r="PH17" s="48"/>
      <c r="PI17" s="48"/>
      <c r="PJ17" s="48"/>
      <c r="PK17" s="48"/>
      <c r="PL17" s="48"/>
      <c r="PM17" s="48"/>
      <c r="PN17" s="48"/>
      <c r="PO17" s="48"/>
      <c r="PP17" s="48"/>
      <c r="PQ17" s="48"/>
      <c r="PR17" s="48"/>
      <c r="PS17" s="48"/>
      <c r="PT17" s="48"/>
      <c r="PU17" s="48"/>
      <c r="PV17" s="48"/>
      <c r="PW17" s="48"/>
      <c r="PX17" s="48"/>
      <c r="PY17" s="48"/>
      <c r="PZ17" s="48"/>
      <c r="QA17" s="48"/>
      <c r="QB17" s="48"/>
      <c r="QC17" s="48"/>
      <c r="QD17" s="48"/>
      <c r="QE17" s="48"/>
      <c r="QF17" s="48"/>
      <c r="QG17" s="48"/>
      <c r="QH17" s="48"/>
      <c r="QI17" s="48"/>
      <c r="QJ17" s="48"/>
      <c r="QK17" s="48"/>
      <c r="QL17" s="48"/>
      <c r="QM17" s="48"/>
      <c r="QN17" s="48"/>
      <c r="QO17" s="48"/>
      <c r="QP17" s="48"/>
      <c r="QQ17" s="48"/>
      <c r="QR17" s="48"/>
      <c r="QS17" s="48"/>
      <c r="QT17" s="48"/>
      <c r="QU17" s="48"/>
      <c r="QV17" s="48"/>
      <c r="QW17" s="48"/>
      <c r="QX17" s="48"/>
      <c r="QY17" s="48"/>
      <c r="QZ17" s="48"/>
      <c r="RA17" s="48"/>
      <c r="RB17" s="48"/>
      <c r="RC17" s="48"/>
      <c r="RD17" s="48"/>
      <c r="RE17" s="48"/>
      <c r="RF17" s="48"/>
      <c r="RG17" s="48"/>
      <c r="RH17" s="48"/>
      <c r="RI17" s="48"/>
      <c r="RJ17" s="48"/>
      <c r="RK17" s="48"/>
      <c r="RL17" s="48"/>
      <c r="RM17" s="48"/>
      <c r="RN17" s="48"/>
      <c r="RO17" s="48"/>
      <c r="RP17" s="48"/>
      <c r="RQ17" s="48"/>
      <c r="RR17" s="48"/>
      <c r="RS17" s="48"/>
      <c r="RT17" s="48"/>
      <c r="RU17" s="48"/>
      <c r="RV17" s="48"/>
      <c r="RW17" s="48"/>
      <c r="RX17" s="48"/>
      <c r="RY17" s="48"/>
      <c r="RZ17" s="48"/>
      <c r="SA17" s="48"/>
      <c r="SB17" s="48"/>
      <c r="SC17" s="48"/>
      <c r="SD17" s="48"/>
      <c r="SE17" s="48"/>
      <c r="SF17" s="48"/>
      <c r="SG17" s="48"/>
      <c r="SH17" s="48"/>
      <c r="SI17" s="48"/>
      <c r="SJ17" s="48"/>
      <c r="SK17" s="48"/>
      <c r="SL17" s="48"/>
      <c r="SM17" s="48"/>
      <c r="SN17" s="48"/>
      <c r="SO17" s="48"/>
      <c r="SP17" s="48"/>
      <c r="SQ17" s="48"/>
      <c r="SR17" s="48"/>
      <c r="SS17" s="48"/>
      <c r="ST17" s="48"/>
      <c r="SU17" s="48"/>
      <c r="SV17" s="48"/>
      <c r="SW17" s="48"/>
      <c r="SX17" s="48"/>
      <c r="SY17" s="48"/>
      <c r="SZ17" s="48"/>
      <c r="TA17" s="48"/>
      <c r="TB17" s="48"/>
      <c r="TC17" s="48"/>
      <c r="TD17" s="48"/>
      <c r="TE17" s="48"/>
      <c r="TF17" s="48"/>
      <c r="TG17" s="48"/>
      <c r="TH17" s="48"/>
      <c r="TI17" s="48"/>
      <c r="TJ17" s="48"/>
      <c r="TK17" s="48"/>
      <c r="TL17" s="48"/>
      <c r="TM17" s="48"/>
      <c r="TN17" s="48"/>
      <c r="TO17" s="48"/>
      <c r="TP17" s="48"/>
      <c r="TQ17" s="48"/>
      <c r="TR17" s="48"/>
      <c r="TS17" s="48"/>
      <c r="TT17" s="48"/>
      <c r="TU17" s="48"/>
      <c r="TV17" s="48"/>
      <c r="TW17" s="48"/>
      <c r="TX17" s="48"/>
      <c r="TY17" s="48"/>
      <c r="TZ17" s="48"/>
      <c r="UA17" s="48"/>
      <c r="UB17" s="48"/>
      <c r="UC17" s="48"/>
      <c r="UD17" s="48"/>
      <c r="UE17" s="48"/>
      <c r="UF17" s="48"/>
      <c r="UG17" s="48"/>
      <c r="UH17" s="48"/>
      <c r="UI17" s="48"/>
      <c r="UJ17" s="48"/>
      <c r="UK17" s="48"/>
      <c r="UL17" s="48"/>
      <c r="UM17" s="48"/>
      <c r="UN17" s="48"/>
      <c r="UO17" s="48"/>
      <c r="UP17" s="48"/>
      <c r="UQ17" s="48"/>
      <c r="UR17" s="48"/>
      <c r="US17" s="48"/>
      <c r="UT17" s="48"/>
      <c r="UU17" s="48"/>
      <c r="UV17" s="48"/>
      <c r="UW17" s="48"/>
      <c r="UX17" s="48"/>
      <c r="UY17" s="48"/>
      <c r="UZ17" s="48"/>
      <c r="VA17" s="48"/>
      <c r="VB17" s="48"/>
      <c r="VC17" s="48"/>
      <c r="VD17" s="48"/>
      <c r="VE17" s="48"/>
      <c r="VF17" s="48"/>
      <c r="VG17" s="48"/>
      <c r="VH17" s="48"/>
      <c r="VI17" s="48"/>
      <c r="VJ17" s="48"/>
      <c r="VK17" s="48"/>
      <c r="VL17" s="48"/>
      <c r="VM17" s="48"/>
      <c r="VN17" s="48"/>
      <c r="VO17" s="48"/>
      <c r="VP17" s="48"/>
      <c r="VQ17" s="48"/>
      <c r="VR17" s="48"/>
      <c r="VS17" s="48"/>
      <c r="VT17" s="48"/>
      <c r="VU17" s="48"/>
      <c r="VV17" s="48"/>
      <c r="VW17" s="48"/>
      <c r="VX17" s="48"/>
      <c r="VY17" s="48"/>
      <c r="VZ17" s="48"/>
      <c r="WA17" s="48"/>
      <c r="WB17" s="48"/>
      <c r="WC17" s="48"/>
      <c r="WD17" s="48"/>
      <c r="WE17" s="48"/>
    </row>
    <row r="18" spans="1:603" s="29" customFormat="1" x14ac:dyDescent="0.4">
      <c r="A18" s="45"/>
      <c r="B18" s="45"/>
      <c r="C18" s="45"/>
      <c r="D18" s="45"/>
      <c r="E18" s="45"/>
      <c r="F18" s="45"/>
      <c r="G18" s="45"/>
      <c r="H18" s="45"/>
      <c r="I18" s="45"/>
      <c r="J18" s="48"/>
      <c r="K18" s="48"/>
      <c r="L18" s="49"/>
      <c r="M18" s="49"/>
      <c r="N18" s="48"/>
      <c r="O18" s="48"/>
      <c r="P18" s="49"/>
      <c r="Q18" s="49"/>
      <c r="R18" s="48"/>
      <c r="S18" s="48"/>
      <c r="T18" s="49"/>
      <c r="U18" s="49"/>
      <c r="V18" s="48"/>
      <c r="W18" s="48"/>
      <c r="X18" s="49"/>
      <c r="Y18" s="49"/>
      <c r="Z18" s="48"/>
      <c r="AA18" s="48"/>
      <c r="AB18" s="49"/>
      <c r="AC18" s="49"/>
      <c r="AD18" s="48"/>
      <c r="AE18" s="48"/>
      <c r="AF18" s="49"/>
      <c r="AG18" s="49"/>
      <c r="AH18" s="48"/>
      <c r="AI18" s="48"/>
      <c r="AJ18" s="49"/>
      <c r="AK18" s="49"/>
      <c r="AL18" s="48"/>
      <c r="AM18" s="48"/>
      <c r="AN18" s="49"/>
      <c r="AO18" s="49"/>
      <c r="AP18" s="48"/>
      <c r="AQ18" s="48"/>
      <c r="AR18" s="49"/>
      <c r="AS18" s="49"/>
      <c r="AT18" s="48"/>
      <c r="AU18" s="48"/>
      <c r="AV18" s="49"/>
      <c r="AW18" s="49"/>
      <c r="AX18" s="48"/>
      <c r="AY18" s="48"/>
      <c r="AZ18" s="49"/>
      <c r="BA18" s="49"/>
      <c r="BB18" s="48"/>
      <c r="BC18" s="48"/>
      <c r="BD18" s="49"/>
      <c r="BE18" s="49"/>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c r="IW18" s="48"/>
      <c r="IX18" s="48"/>
      <c r="IY18" s="48"/>
      <c r="IZ18" s="48"/>
      <c r="JA18" s="48"/>
      <c r="JB18" s="48"/>
      <c r="JC18" s="48"/>
      <c r="JD18" s="48"/>
      <c r="JE18" s="48"/>
      <c r="JF18" s="48"/>
      <c r="JG18" s="48"/>
      <c r="JH18" s="48"/>
      <c r="JI18" s="48"/>
      <c r="JJ18" s="48"/>
      <c r="JK18" s="48"/>
      <c r="JL18" s="48"/>
      <c r="JM18" s="48"/>
      <c r="JN18" s="48"/>
      <c r="JO18" s="48"/>
      <c r="JP18" s="48"/>
      <c r="JQ18" s="48"/>
      <c r="JR18" s="48"/>
      <c r="JS18" s="48"/>
      <c r="JT18" s="48"/>
      <c r="JU18" s="48"/>
      <c r="JV18" s="48"/>
      <c r="JW18" s="48"/>
      <c r="JX18" s="48"/>
      <c r="JY18" s="48"/>
      <c r="JZ18" s="48"/>
      <c r="KA18" s="48"/>
      <c r="KB18" s="48"/>
      <c r="KC18" s="48"/>
      <c r="KD18" s="48"/>
      <c r="KE18" s="48"/>
      <c r="KF18" s="48"/>
      <c r="KG18" s="48"/>
      <c r="KH18" s="48"/>
      <c r="KI18" s="48"/>
      <c r="KJ18" s="48"/>
      <c r="KK18" s="48"/>
      <c r="KL18" s="48"/>
      <c r="KM18" s="48"/>
      <c r="KN18" s="48"/>
      <c r="KO18" s="48"/>
      <c r="KP18" s="48"/>
      <c r="KQ18" s="48"/>
      <c r="KR18" s="48"/>
      <c r="KS18" s="48"/>
      <c r="KT18" s="48"/>
      <c r="KU18" s="48"/>
      <c r="KV18" s="48"/>
      <c r="KW18" s="48"/>
      <c r="KX18" s="48"/>
      <c r="KY18" s="48"/>
      <c r="KZ18" s="48"/>
      <c r="LA18" s="48"/>
      <c r="LB18" s="48"/>
      <c r="LC18" s="48"/>
      <c r="LD18" s="48"/>
      <c r="LE18" s="48"/>
      <c r="LF18" s="48"/>
      <c r="LG18" s="48"/>
      <c r="LH18" s="48"/>
      <c r="LI18" s="48"/>
      <c r="LJ18" s="48"/>
      <c r="LK18" s="48"/>
      <c r="LL18" s="48"/>
      <c r="LM18" s="48"/>
      <c r="LN18" s="48"/>
      <c r="LO18" s="48"/>
      <c r="LP18" s="48"/>
      <c r="LQ18" s="48"/>
      <c r="LR18" s="48"/>
      <c r="LS18" s="48"/>
      <c r="LT18" s="48"/>
      <c r="LU18" s="48"/>
      <c r="LV18" s="48"/>
      <c r="LW18" s="48"/>
      <c r="LX18" s="48"/>
      <c r="LY18" s="48"/>
      <c r="LZ18" s="48"/>
      <c r="MA18" s="48"/>
      <c r="MB18" s="48"/>
      <c r="MC18" s="48"/>
      <c r="MD18" s="48"/>
      <c r="ME18" s="48"/>
      <c r="MF18" s="48"/>
      <c r="MG18" s="48"/>
      <c r="MH18" s="48"/>
      <c r="MI18" s="48"/>
      <c r="MJ18" s="48"/>
      <c r="MK18" s="48"/>
      <c r="ML18" s="48"/>
      <c r="MM18" s="48"/>
      <c r="MN18" s="48"/>
      <c r="MO18" s="48"/>
      <c r="MP18" s="48"/>
      <c r="MQ18" s="48"/>
      <c r="MR18" s="48"/>
      <c r="MS18" s="48"/>
      <c r="MT18" s="48"/>
      <c r="MU18" s="48"/>
      <c r="MV18" s="48"/>
      <c r="MW18" s="48"/>
      <c r="MX18" s="48"/>
      <c r="MY18" s="48"/>
      <c r="MZ18" s="48"/>
      <c r="NA18" s="48"/>
      <c r="NB18" s="48"/>
      <c r="NC18" s="48"/>
      <c r="ND18" s="48"/>
      <c r="NE18" s="48"/>
      <c r="NF18" s="48"/>
      <c r="NG18" s="48"/>
      <c r="NH18" s="48"/>
      <c r="NI18" s="48"/>
      <c r="NJ18" s="48"/>
      <c r="NK18" s="48"/>
      <c r="NL18" s="48"/>
      <c r="NM18" s="48"/>
      <c r="NN18" s="48"/>
      <c r="NO18" s="48"/>
      <c r="NP18" s="48"/>
      <c r="NQ18" s="48"/>
      <c r="NR18" s="48"/>
      <c r="NS18" s="48"/>
      <c r="NT18" s="48"/>
      <c r="NU18" s="48"/>
      <c r="NV18" s="48"/>
      <c r="NW18" s="48"/>
      <c r="NX18" s="48"/>
      <c r="NY18" s="48"/>
      <c r="NZ18" s="48"/>
      <c r="OA18" s="48"/>
      <c r="OB18" s="48"/>
      <c r="OC18" s="48"/>
      <c r="OD18" s="48"/>
      <c r="OE18" s="48"/>
      <c r="OF18" s="48"/>
      <c r="OG18" s="48"/>
      <c r="OH18" s="48"/>
      <c r="OI18" s="48"/>
      <c r="OJ18" s="48"/>
      <c r="OK18" s="48"/>
      <c r="OL18" s="48"/>
      <c r="OM18" s="48"/>
      <c r="ON18" s="48"/>
      <c r="OO18" s="48"/>
      <c r="OP18" s="48"/>
      <c r="OQ18" s="48"/>
      <c r="OR18" s="48"/>
      <c r="OS18" s="48"/>
      <c r="OT18" s="48"/>
      <c r="OU18" s="48"/>
      <c r="OV18" s="48"/>
      <c r="OW18" s="48"/>
      <c r="OX18" s="48"/>
      <c r="OY18" s="48"/>
      <c r="OZ18" s="48"/>
      <c r="PA18" s="48"/>
      <c r="PB18" s="48"/>
      <c r="PC18" s="48"/>
      <c r="PD18" s="48"/>
      <c r="PE18" s="48"/>
      <c r="PF18" s="48"/>
      <c r="PG18" s="48"/>
      <c r="PH18" s="48"/>
      <c r="PI18" s="48"/>
      <c r="PJ18" s="48"/>
      <c r="PK18" s="48"/>
      <c r="PL18" s="48"/>
      <c r="PM18" s="48"/>
      <c r="PN18" s="48"/>
      <c r="PO18" s="48"/>
      <c r="PP18" s="48"/>
      <c r="PQ18" s="48"/>
      <c r="PR18" s="48"/>
      <c r="PS18" s="48"/>
      <c r="PT18" s="48"/>
      <c r="PU18" s="48"/>
      <c r="PV18" s="48"/>
      <c r="PW18" s="48"/>
      <c r="PX18" s="48"/>
      <c r="PY18" s="48"/>
      <c r="PZ18" s="48"/>
      <c r="QA18" s="48"/>
      <c r="QB18" s="48"/>
      <c r="QC18" s="48"/>
      <c r="QD18" s="48"/>
      <c r="QE18" s="48"/>
      <c r="QF18" s="48"/>
      <c r="QG18" s="48"/>
      <c r="QH18" s="48"/>
      <c r="QI18" s="48"/>
      <c r="QJ18" s="48"/>
      <c r="QK18" s="48"/>
      <c r="QL18" s="48"/>
      <c r="QM18" s="48"/>
      <c r="QN18" s="48"/>
      <c r="QO18" s="48"/>
      <c r="QP18" s="48"/>
      <c r="QQ18" s="48"/>
      <c r="QR18" s="48"/>
      <c r="QS18" s="48"/>
      <c r="QT18" s="48"/>
      <c r="QU18" s="48"/>
      <c r="QV18" s="48"/>
      <c r="QW18" s="48"/>
      <c r="QX18" s="48"/>
      <c r="QY18" s="48"/>
      <c r="QZ18" s="48"/>
      <c r="RA18" s="48"/>
      <c r="RB18" s="48"/>
      <c r="RC18" s="48"/>
      <c r="RD18" s="48"/>
      <c r="RE18" s="48"/>
      <c r="RF18" s="48"/>
      <c r="RG18" s="48"/>
      <c r="RH18" s="48"/>
      <c r="RI18" s="48"/>
      <c r="RJ18" s="48"/>
      <c r="RK18" s="48"/>
      <c r="RL18" s="48"/>
      <c r="RM18" s="48"/>
      <c r="RN18" s="48"/>
      <c r="RO18" s="48"/>
      <c r="RP18" s="48"/>
      <c r="RQ18" s="48"/>
      <c r="RR18" s="48"/>
      <c r="RS18" s="48"/>
      <c r="RT18" s="48"/>
      <c r="RU18" s="48"/>
      <c r="RV18" s="48"/>
      <c r="RW18" s="48"/>
      <c r="RX18" s="48"/>
      <c r="RY18" s="48"/>
      <c r="RZ18" s="48"/>
      <c r="SA18" s="48"/>
      <c r="SB18" s="48"/>
      <c r="SC18" s="48"/>
      <c r="SD18" s="48"/>
      <c r="SE18" s="48"/>
      <c r="SF18" s="48"/>
      <c r="SG18" s="48"/>
      <c r="SH18" s="48"/>
      <c r="SI18" s="48"/>
      <c r="SJ18" s="48"/>
      <c r="SK18" s="48"/>
      <c r="SL18" s="48"/>
      <c r="SM18" s="48"/>
      <c r="SN18" s="48"/>
      <c r="SO18" s="48"/>
      <c r="SP18" s="48"/>
      <c r="SQ18" s="48"/>
      <c r="SR18" s="48"/>
      <c r="SS18" s="48"/>
      <c r="ST18" s="48"/>
      <c r="SU18" s="48"/>
      <c r="SV18" s="48"/>
      <c r="SW18" s="48"/>
      <c r="SX18" s="48"/>
      <c r="SY18" s="48"/>
      <c r="SZ18" s="48"/>
      <c r="TA18" s="48"/>
      <c r="TB18" s="48"/>
      <c r="TC18" s="48"/>
      <c r="TD18" s="48"/>
      <c r="TE18" s="48"/>
      <c r="TF18" s="48"/>
      <c r="TG18" s="48"/>
      <c r="TH18" s="48"/>
      <c r="TI18" s="48"/>
      <c r="TJ18" s="48"/>
      <c r="TK18" s="48"/>
      <c r="TL18" s="48"/>
      <c r="TM18" s="48"/>
      <c r="TN18" s="48"/>
      <c r="TO18" s="48"/>
      <c r="TP18" s="48"/>
      <c r="TQ18" s="48"/>
      <c r="TR18" s="48"/>
      <c r="TS18" s="48"/>
      <c r="TT18" s="48"/>
      <c r="TU18" s="48"/>
      <c r="TV18" s="48"/>
      <c r="TW18" s="48"/>
      <c r="TX18" s="48"/>
      <c r="TY18" s="48"/>
      <c r="TZ18" s="48"/>
      <c r="UA18" s="48"/>
      <c r="UB18" s="48"/>
      <c r="UC18" s="48"/>
      <c r="UD18" s="48"/>
      <c r="UE18" s="48"/>
      <c r="UF18" s="48"/>
      <c r="UG18" s="48"/>
      <c r="UH18" s="48"/>
      <c r="UI18" s="48"/>
      <c r="UJ18" s="48"/>
      <c r="UK18" s="48"/>
      <c r="UL18" s="48"/>
      <c r="UM18" s="48"/>
      <c r="UN18" s="48"/>
      <c r="UO18" s="48"/>
      <c r="UP18" s="48"/>
      <c r="UQ18" s="48"/>
      <c r="UR18" s="48"/>
      <c r="US18" s="48"/>
      <c r="UT18" s="48"/>
      <c r="UU18" s="48"/>
      <c r="UV18" s="48"/>
      <c r="UW18" s="48"/>
      <c r="UX18" s="48"/>
      <c r="UY18" s="48"/>
      <c r="UZ18" s="48"/>
      <c r="VA18" s="48"/>
      <c r="VB18" s="48"/>
      <c r="VC18" s="48"/>
      <c r="VD18" s="48"/>
      <c r="VE18" s="48"/>
      <c r="VF18" s="48"/>
      <c r="VG18" s="48"/>
      <c r="VH18" s="48"/>
      <c r="VI18" s="48"/>
      <c r="VJ18" s="48"/>
      <c r="VK18" s="48"/>
      <c r="VL18" s="48"/>
      <c r="VM18" s="48"/>
      <c r="VN18" s="48"/>
      <c r="VO18" s="48"/>
      <c r="VP18" s="48"/>
      <c r="VQ18" s="48"/>
      <c r="VR18" s="48"/>
      <c r="VS18" s="48"/>
      <c r="VT18" s="48"/>
      <c r="VU18" s="48"/>
      <c r="VV18" s="48"/>
      <c r="VW18" s="48"/>
      <c r="VX18" s="48"/>
      <c r="VY18" s="48"/>
      <c r="VZ18" s="48"/>
      <c r="WA18" s="48"/>
      <c r="WB18" s="48"/>
      <c r="WC18" s="48"/>
      <c r="WD18" s="48"/>
      <c r="WE18" s="48"/>
    </row>
    <row r="19" spans="1:603" s="29" customFormat="1" x14ac:dyDescent="0.4">
      <c r="A19" s="45"/>
      <c r="B19" s="45"/>
      <c r="C19" s="45"/>
      <c r="D19" s="45"/>
      <c r="E19" s="45"/>
      <c r="F19" s="45"/>
      <c r="G19" s="45"/>
      <c r="H19" s="45"/>
      <c r="I19" s="45"/>
      <c r="J19" s="48"/>
      <c r="K19" s="48"/>
      <c r="L19" s="49"/>
      <c r="M19" s="49"/>
      <c r="N19" s="48"/>
      <c r="O19" s="48"/>
      <c r="P19" s="49"/>
      <c r="Q19" s="49"/>
      <c r="R19" s="48"/>
      <c r="S19" s="48"/>
      <c r="T19" s="49"/>
      <c r="U19" s="49"/>
      <c r="V19" s="48"/>
      <c r="W19" s="48"/>
      <c r="X19" s="49"/>
      <c r="Y19" s="49"/>
      <c r="Z19" s="48"/>
      <c r="AA19" s="48"/>
      <c r="AB19" s="49"/>
      <c r="AC19" s="49"/>
      <c r="AD19" s="48"/>
      <c r="AE19" s="48"/>
      <c r="AF19" s="49"/>
      <c r="AG19" s="49"/>
      <c r="AH19" s="48"/>
      <c r="AI19" s="48"/>
      <c r="AJ19" s="49"/>
      <c r="AK19" s="49"/>
      <c r="AL19" s="48"/>
      <c r="AM19" s="48"/>
      <c r="AN19" s="49"/>
      <c r="AO19" s="49"/>
      <c r="AP19" s="48"/>
      <c r="AQ19" s="48"/>
      <c r="AR19" s="49"/>
      <c r="AS19" s="49"/>
      <c r="AT19" s="48"/>
      <c r="AU19" s="48"/>
      <c r="AV19" s="49"/>
      <c r="AW19" s="49"/>
      <c r="AX19" s="48"/>
      <c r="AY19" s="48"/>
      <c r="AZ19" s="49"/>
      <c r="BA19" s="49"/>
      <c r="BB19" s="48"/>
      <c r="BC19" s="48"/>
      <c r="BD19" s="49"/>
      <c r="BE19" s="49"/>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c r="IW19" s="48"/>
      <c r="IX19" s="48"/>
      <c r="IY19" s="48"/>
      <c r="IZ19" s="48"/>
      <c r="JA19" s="48"/>
      <c r="JB19" s="48"/>
      <c r="JC19" s="48"/>
      <c r="JD19" s="48"/>
      <c r="JE19" s="48"/>
      <c r="JF19" s="48"/>
      <c r="JG19" s="48"/>
      <c r="JH19" s="48"/>
      <c r="JI19" s="48"/>
      <c r="JJ19" s="48"/>
      <c r="JK19" s="48"/>
      <c r="JL19" s="48"/>
      <c r="JM19" s="48"/>
      <c r="JN19" s="48"/>
      <c r="JO19" s="48"/>
      <c r="JP19" s="48"/>
      <c r="JQ19" s="48"/>
      <c r="JR19" s="48"/>
      <c r="JS19" s="48"/>
      <c r="JT19" s="48"/>
      <c r="JU19" s="48"/>
      <c r="JV19" s="48"/>
      <c r="JW19" s="48"/>
      <c r="JX19" s="48"/>
      <c r="JY19" s="48"/>
      <c r="JZ19" s="48"/>
      <c r="KA19" s="48"/>
      <c r="KB19" s="48"/>
      <c r="KC19" s="48"/>
      <c r="KD19" s="48"/>
      <c r="KE19" s="48"/>
      <c r="KF19" s="48"/>
      <c r="KG19" s="48"/>
      <c r="KH19" s="48"/>
      <c r="KI19" s="48"/>
      <c r="KJ19" s="48"/>
      <c r="KK19" s="48"/>
      <c r="KL19" s="48"/>
      <c r="KM19" s="48"/>
      <c r="KN19" s="48"/>
      <c r="KO19" s="48"/>
      <c r="KP19" s="48"/>
      <c r="KQ19" s="48"/>
      <c r="KR19" s="48"/>
      <c r="KS19" s="48"/>
      <c r="KT19" s="48"/>
      <c r="KU19" s="48"/>
      <c r="KV19" s="48"/>
      <c r="KW19" s="48"/>
      <c r="KX19" s="48"/>
      <c r="KY19" s="48"/>
      <c r="KZ19" s="48"/>
      <c r="LA19" s="48"/>
      <c r="LB19" s="48"/>
      <c r="LC19" s="48"/>
      <c r="LD19" s="48"/>
      <c r="LE19" s="48"/>
      <c r="LF19" s="48"/>
      <c r="LG19" s="48"/>
      <c r="LH19" s="48"/>
      <c r="LI19" s="48"/>
      <c r="LJ19" s="48"/>
      <c r="LK19" s="48"/>
      <c r="LL19" s="48"/>
      <c r="LM19" s="48"/>
      <c r="LN19" s="48"/>
      <c r="LO19" s="48"/>
      <c r="LP19" s="48"/>
      <c r="LQ19" s="48"/>
      <c r="LR19" s="48"/>
      <c r="LS19" s="48"/>
      <c r="LT19" s="48"/>
      <c r="LU19" s="48"/>
      <c r="LV19" s="48"/>
      <c r="LW19" s="48"/>
      <c r="LX19" s="48"/>
      <c r="LY19" s="48"/>
      <c r="LZ19" s="48"/>
      <c r="MA19" s="48"/>
      <c r="MB19" s="48"/>
      <c r="MC19" s="48"/>
      <c r="MD19" s="48"/>
      <c r="ME19" s="48"/>
      <c r="MF19" s="48"/>
      <c r="MG19" s="48"/>
      <c r="MH19" s="48"/>
      <c r="MI19" s="48"/>
      <c r="MJ19" s="48"/>
      <c r="MK19" s="48"/>
      <c r="ML19" s="48"/>
      <c r="MM19" s="48"/>
      <c r="MN19" s="48"/>
      <c r="MO19" s="48"/>
      <c r="MP19" s="48"/>
      <c r="MQ19" s="48"/>
      <c r="MR19" s="48"/>
      <c r="MS19" s="48"/>
      <c r="MT19" s="48"/>
      <c r="MU19" s="48"/>
      <c r="MV19" s="48"/>
      <c r="MW19" s="48"/>
      <c r="MX19" s="48"/>
      <c r="MY19" s="48"/>
      <c r="MZ19" s="48"/>
      <c r="NA19" s="48"/>
      <c r="NB19" s="48"/>
      <c r="NC19" s="48"/>
      <c r="ND19" s="48"/>
      <c r="NE19" s="48"/>
      <c r="NF19" s="48"/>
      <c r="NG19" s="48"/>
      <c r="NH19" s="48"/>
      <c r="NI19" s="48"/>
      <c r="NJ19" s="48"/>
      <c r="NK19" s="48"/>
      <c r="NL19" s="48"/>
      <c r="NM19" s="48"/>
      <c r="NN19" s="48"/>
      <c r="NO19" s="48"/>
      <c r="NP19" s="48"/>
      <c r="NQ19" s="48"/>
      <c r="NR19" s="48"/>
      <c r="NS19" s="48"/>
      <c r="NT19" s="48"/>
      <c r="NU19" s="48"/>
      <c r="NV19" s="48"/>
      <c r="NW19" s="48"/>
      <c r="NX19" s="48"/>
      <c r="NY19" s="48"/>
      <c r="NZ19" s="48"/>
      <c r="OA19" s="48"/>
      <c r="OB19" s="48"/>
      <c r="OC19" s="48"/>
      <c r="OD19" s="48"/>
      <c r="OE19" s="48"/>
      <c r="OF19" s="48"/>
      <c r="OG19" s="48"/>
      <c r="OH19" s="48"/>
      <c r="OI19" s="48"/>
      <c r="OJ19" s="48"/>
      <c r="OK19" s="48"/>
      <c r="OL19" s="48"/>
      <c r="OM19" s="48"/>
      <c r="ON19" s="48"/>
      <c r="OO19" s="48"/>
      <c r="OP19" s="48"/>
      <c r="OQ19" s="48"/>
      <c r="OR19" s="48"/>
      <c r="OS19" s="48"/>
      <c r="OT19" s="48"/>
      <c r="OU19" s="48"/>
      <c r="OV19" s="48"/>
      <c r="OW19" s="48"/>
      <c r="OX19" s="48"/>
      <c r="OY19" s="48"/>
      <c r="OZ19" s="48"/>
      <c r="PA19" s="48"/>
      <c r="PB19" s="48"/>
      <c r="PC19" s="48"/>
      <c r="PD19" s="48"/>
      <c r="PE19" s="48"/>
      <c r="PF19" s="48"/>
      <c r="PG19" s="48"/>
      <c r="PH19" s="48"/>
      <c r="PI19" s="48"/>
      <c r="PJ19" s="48"/>
      <c r="PK19" s="48"/>
      <c r="PL19" s="48"/>
      <c r="PM19" s="48"/>
      <c r="PN19" s="48"/>
      <c r="PO19" s="48"/>
      <c r="PP19" s="48"/>
      <c r="PQ19" s="48"/>
      <c r="PR19" s="48"/>
      <c r="PS19" s="48"/>
      <c r="PT19" s="48"/>
      <c r="PU19" s="48"/>
      <c r="PV19" s="48"/>
      <c r="PW19" s="48"/>
      <c r="PX19" s="48"/>
      <c r="PY19" s="48"/>
      <c r="PZ19" s="48"/>
      <c r="QA19" s="48"/>
      <c r="QB19" s="48"/>
      <c r="QC19" s="48"/>
      <c r="QD19" s="48"/>
      <c r="QE19" s="48"/>
      <c r="QF19" s="48"/>
      <c r="QG19" s="48"/>
      <c r="QH19" s="48"/>
      <c r="QI19" s="48"/>
      <c r="QJ19" s="48"/>
      <c r="QK19" s="48"/>
      <c r="QL19" s="48"/>
      <c r="QM19" s="48"/>
      <c r="QN19" s="48"/>
      <c r="QO19" s="48"/>
      <c r="QP19" s="48"/>
      <c r="QQ19" s="48"/>
      <c r="QR19" s="48"/>
      <c r="QS19" s="48"/>
      <c r="QT19" s="48"/>
      <c r="QU19" s="48"/>
      <c r="QV19" s="48"/>
      <c r="QW19" s="48"/>
      <c r="QX19" s="48"/>
      <c r="QY19" s="48"/>
      <c r="QZ19" s="48"/>
      <c r="RA19" s="48"/>
      <c r="RB19" s="48"/>
      <c r="RC19" s="48"/>
      <c r="RD19" s="48"/>
      <c r="RE19" s="48"/>
      <c r="RF19" s="48"/>
      <c r="RG19" s="48"/>
      <c r="RH19" s="48"/>
      <c r="RI19" s="48"/>
      <c r="RJ19" s="48"/>
      <c r="RK19" s="48"/>
      <c r="RL19" s="48"/>
      <c r="RM19" s="48"/>
      <c r="RN19" s="48"/>
      <c r="RO19" s="48"/>
      <c r="RP19" s="48"/>
      <c r="RQ19" s="48"/>
      <c r="RR19" s="48"/>
      <c r="RS19" s="48"/>
      <c r="RT19" s="48"/>
      <c r="RU19" s="48"/>
      <c r="RV19" s="48"/>
      <c r="RW19" s="48"/>
      <c r="RX19" s="48"/>
      <c r="RY19" s="48"/>
      <c r="RZ19" s="48"/>
      <c r="SA19" s="48"/>
      <c r="SB19" s="48"/>
      <c r="SC19" s="48"/>
      <c r="SD19" s="48"/>
      <c r="SE19" s="48"/>
      <c r="SF19" s="48"/>
      <c r="SG19" s="48"/>
      <c r="SH19" s="48"/>
      <c r="SI19" s="48"/>
      <c r="SJ19" s="48"/>
      <c r="SK19" s="48"/>
      <c r="SL19" s="48"/>
      <c r="SM19" s="48"/>
      <c r="SN19" s="48"/>
      <c r="SO19" s="48"/>
      <c r="SP19" s="48"/>
      <c r="SQ19" s="48"/>
      <c r="SR19" s="48"/>
      <c r="SS19" s="48"/>
      <c r="ST19" s="48"/>
      <c r="SU19" s="48"/>
      <c r="SV19" s="48"/>
      <c r="SW19" s="48"/>
      <c r="SX19" s="48"/>
      <c r="SY19" s="48"/>
      <c r="SZ19" s="48"/>
      <c r="TA19" s="48"/>
      <c r="TB19" s="48"/>
      <c r="TC19" s="48"/>
      <c r="TD19" s="48"/>
      <c r="TE19" s="48"/>
      <c r="TF19" s="48"/>
      <c r="TG19" s="48"/>
      <c r="TH19" s="48"/>
      <c r="TI19" s="48"/>
      <c r="TJ19" s="48"/>
      <c r="TK19" s="48"/>
      <c r="TL19" s="48"/>
      <c r="TM19" s="48"/>
      <c r="TN19" s="48"/>
      <c r="TO19" s="48"/>
      <c r="TP19" s="48"/>
      <c r="TQ19" s="48"/>
      <c r="TR19" s="48"/>
      <c r="TS19" s="48"/>
      <c r="TT19" s="48"/>
      <c r="TU19" s="48"/>
      <c r="TV19" s="48"/>
      <c r="TW19" s="48"/>
      <c r="TX19" s="48"/>
      <c r="TY19" s="48"/>
      <c r="TZ19" s="48"/>
      <c r="UA19" s="48"/>
      <c r="UB19" s="48"/>
      <c r="UC19" s="48"/>
      <c r="UD19" s="48"/>
      <c r="UE19" s="48"/>
      <c r="UF19" s="48"/>
      <c r="UG19" s="48"/>
      <c r="UH19" s="48"/>
      <c r="UI19" s="48"/>
      <c r="UJ19" s="48"/>
      <c r="UK19" s="48"/>
      <c r="UL19" s="48"/>
      <c r="UM19" s="48"/>
      <c r="UN19" s="48"/>
      <c r="UO19" s="48"/>
      <c r="UP19" s="48"/>
      <c r="UQ19" s="48"/>
      <c r="UR19" s="48"/>
      <c r="US19" s="48"/>
      <c r="UT19" s="48"/>
      <c r="UU19" s="48"/>
      <c r="UV19" s="48"/>
      <c r="UW19" s="48"/>
      <c r="UX19" s="48"/>
      <c r="UY19" s="48"/>
      <c r="UZ19" s="48"/>
      <c r="VA19" s="48"/>
      <c r="VB19" s="48"/>
      <c r="VC19" s="48"/>
      <c r="VD19" s="48"/>
      <c r="VE19" s="48"/>
      <c r="VF19" s="48"/>
      <c r="VG19" s="48"/>
      <c r="VH19" s="48"/>
      <c r="VI19" s="48"/>
      <c r="VJ19" s="48"/>
      <c r="VK19" s="48"/>
      <c r="VL19" s="48"/>
      <c r="VM19" s="48"/>
      <c r="VN19" s="48"/>
      <c r="VO19" s="48"/>
      <c r="VP19" s="48"/>
      <c r="VQ19" s="48"/>
      <c r="VR19" s="48"/>
      <c r="VS19" s="48"/>
      <c r="VT19" s="48"/>
      <c r="VU19" s="48"/>
      <c r="VV19" s="48"/>
      <c r="VW19" s="48"/>
      <c r="VX19" s="48"/>
      <c r="VY19" s="48"/>
      <c r="VZ19" s="48"/>
      <c r="WA19" s="48"/>
      <c r="WB19" s="48"/>
      <c r="WC19" s="48"/>
      <c r="WD19" s="48"/>
      <c r="WE19" s="48"/>
    </row>
    <row r="20" spans="1:603" s="29" customFormat="1" x14ac:dyDescent="0.4">
      <c r="A20" s="45"/>
      <c r="B20" s="45"/>
      <c r="C20" s="45"/>
      <c r="D20" s="45"/>
      <c r="E20" s="45"/>
      <c r="F20" s="45"/>
      <c r="G20" s="45"/>
      <c r="H20" s="45"/>
      <c r="I20" s="45"/>
      <c r="J20" s="48"/>
      <c r="K20" s="48"/>
      <c r="L20" s="49"/>
      <c r="M20" s="49"/>
      <c r="N20" s="48"/>
      <c r="O20" s="48"/>
      <c r="P20" s="49"/>
      <c r="Q20" s="49"/>
      <c r="R20" s="48"/>
      <c r="S20" s="48"/>
      <c r="T20" s="49"/>
      <c r="U20" s="49"/>
      <c r="V20" s="48"/>
      <c r="W20" s="48"/>
      <c r="X20" s="49"/>
      <c r="Y20" s="49"/>
      <c r="Z20" s="48"/>
      <c r="AA20" s="48"/>
      <c r="AB20" s="49"/>
      <c r="AC20" s="49"/>
      <c r="AD20" s="48"/>
      <c r="AE20" s="48"/>
      <c r="AF20" s="49"/>
      <c r="AG20" s="49"/>
      <c r="AH20" s="48"/>
      <c r="AI20" s="48"/>
      <c r="AJ20" s="49"/>
      <c r="AK20" s="49"/>
      <c r="AL20" s="48"/>
      <c r="AM20" s="48"/>
      <c r="AN20" s="49"/>
      <c r="AO20" s="49"/>
      <c r="AP20" s="48"/>
      <c r="AQ20" s="48"/>
      <c r="AR20" s="49"/>
      <c r="AS20" s="49"/>
      <c r="AT20" s="48"/>
      <c r="AU20" s="48"/>
      <c r="AV20" s="49"/>
      <c r="AW20" s="49"/>
      <c r="AX20" s="48"/>
      <c r="AY20" s="48"/>
      <c r="AZ20" s="49"/>
      <c r="BA20" s="49"/>
      <c r="BB20" s="48"/>
      <c r="BC20" s="48"/>
      <c r="BD20" s="49"/>
      <c r="BE20" s="49"/>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c r="IW20" s="48"/>
      <c r="IX20" s="48"/>
      <c r="IY20" s="48"/>
      <c r="IZ20" s="48"/>
      <c r="JA20" s="48"/>
      <c r="JB20" s="48"/>
      <c r="JC20" s="48"/>
      <c r="JD20" s="48"/>
      <c r="JE20" s="48"/>
      <c r="JF20" s="48"/>
      <c r="JG20" s="48"/>
      <c r="JH20" s="48"/>
      <c r="JI20" s="48"/>
      <c r="JJ20" s="48"/>
      <c r="JK20" s="48"/>
      <c r="JL20" s="48"/>
      <c r="JM20" s="48"/>
      <c r="JN20" s="48"/>
      <c r="JO20" s="48"/>
      <c r="JP20" s="48"/>
      <c r="JQ20" s="48"/>
      <c r="JR20" s="48"/>
      <c r="JS20" s="48"/>
      <c r="JT20" s="48"/>
      <c r="JU20" s="48"/>
      <c r="JV20" s="48"/>
      <c r="JW20" s="48"/>
      <c r="JX20" s="48"/>
      <c r="JY20" s="48"/>
      <c r="JZ20" s="48"/>
      <c r="KA20" s="48"/>
      <c r="KB20" s="48"/>
      <c r="KC20" s="48"/>
      <c r="KD20" s="48"/>
      <c r="KE20" s="48"/>
      <c r="KF20" s="48"/>
      <c r="KG20" s="48"/>
      <c r="KH20" s="48"/>
      <c r="KI20" s="48"/>
      <c r="KJ20" s="48"/>
      <c r="KK20" s="48"/>
      <c r="KL20" s="48"/>
      <c r="KM20" s="48"/>
      <c r="KN20" s="48"/>
      <c r="KO20" s="48"/>
      <c r="KP20" s="48"/>
      <c r="KQ20" s="48"/>
      <c r="KR20" s="48"/>
      <c r="KS20" s="48"/>
      <c r="KT20" s="48"/>
      <c r="KU20" s="48"/>
      <c r="KV20" s="48"/>
      <c r="KW20" s="48"/>
      <c r="KX20" s="48"/>
      <c r="KY20" s="48"/>
      <c r="KZ20" s="48"/>
      <c r="LA20" s="48"/>
      <c r="LB20" s="48"/>
      <c r="LC20" s="48"/>
      <c r="LD20" s="48"/>
      <c r="LE20" s="48"/>
      <c r="LF20" s="48"/>
      <c r="LG20" s="48"/>
      <c r="LH20" s="48"/>
      <c r="LI20" s="48"/>
      <c r="LJ20" s="48"/>
      <c r="LK20" s="48"/>
      <c r="LL20" s="48"/>
      <c r="LM20" s="48"/>
      <c r="LN20" s="48"/>
      <c r="LO20" s="48"/>
      <c r="LP20" s="48"/>
      <c r="LQ20" s="48"/>
      <c r="LR20" s="48"/>
      <c r="LS20" s="48"/>
      <c r="LT20" s="48"/>
      <c r="LU20" s="48"/>
      <c r="LV20" s="48"/>
      <c r="LW20" s="48"/>
      <c r="LX20" s="48"/>
      <c r="LY20" s="48"/>
      <c r="LZ20" s="48"/>
      <c r="MA20" s="48"/>
      <c r="MB20" s="48"/>
      <c r="MC20" s="48"/>
      <c r="MD20" s="48"/>
      <c r="ME20" s="48"/>
      <c r="MF20" s="48"/>
      <c r="MG20" s="48"/>
      <c r="MH20" s="48"/>
      <c r="MI20" s="48"/>
      <c r="MJ20" s="48"/>
      <c r="MK20" s="48"/>
      <c r="ML20" s="48"/>
      <c r="MM20" s="48"/>
      <c r="MN20" s="48"/>
      <c r="MO20" s="48"/>
      <c r="MP20" s="48"/>
      <c r="MQ20" s="48"/>
      <c r="MR20" s="48"/>
      <c r="MS20" s="48"/>
      <c r="MT20" s="48"/>
      <c r="MU20" s="48"/>
      <c r="MV20" s="48"/>
      <c r="MW20" s="48"/>
      <c r="MX20" s="48"/>
      <c r="MY20" s="48"/>
      <c r="MZ20" s="48"/>
      <c r="NA20" s="48"/>
      <c r="NB20" s="48"/>
      <c r="NC20" s="48"/>
      <c r="ND20" s="48"/>
      <c r="NE20" s="48"/>
      <c r="NF20" s="48"/>
      <c r="NG20" s="48"/>
      <c r="NH20" s="48"/>
      <c r="NI20" s="48"/>
      <c r="NJ20" s="48"/>
      <c r="NK20" s="48"/>
      <c r="NL20" s="48"/>
      <c r="NM20" s="48"/>
      <c r="NN20" s="48"/>
      <c r="NO20" s="48"/>
      <c r="NP20" s="48"/>
      <c r="NQ20" s="48"/>
      <c r="NR20" s="48"/>
      <c r="NS20" s="48"/>
      <c r="NT20" s="48"/>
      <c r="NU20" s="48"/>
      <c r="NV20" s="48"/>
      <c r="NW20" s="48"/>
      <c r="NX20" s="48"/>
      <c r="NY20" s="48"/>
      <c r="NZ20" s="48"/>
      <c r="OA20" s="48"/>
      <c r="OB20" s="48"/>
      <c r="OC20" s="48"/>
      <c r="OD20" s="48"/>
      <c r="OE20" s="48"/>
      <c r="OF20" s="48"/>
      <c r="OG20" s="48"/>
      <c r="OH20" s="48"/>
      <c r="OI20" s="48"/>
      <c r="OJ20" s="48"/>
      <c r="OK20" s="48"/>
      <c r="OL20" s="48"/>
      <c r="OM20" s="48"/>
      <c r="ON20" s="48"/>
      <c r="OO20" s="48"/>
      <c r="OP20" s="48"/>
      <c r="OQ20" s="48"/>
      <c r="OR20" s="48"/>
      <c r="OS20" s="48"/>
      <c r="OT20" s="48"/>
      <c r="OU20" s="48"/>
      <c r="OV20" s="48"/>
      <c r="OW20" s="48"/>
      <c r="OX20" s="48"/>
      <c r="OY20" s="48"/>
      <c r="OZ20" s="48"/>
      <c r="PA20" s="48"/>
      <c r="PB20" s="48"/>
      <c r="PC20" s="48"/>
      <c r="PD20" s="48"/>
      <c r="PE20" s="48"/>
      <c r="PF20" s="48"/>
      <c r="PG20" s="48"/>
      <c r="PH20" s="48"/>
      <c r="PI20" s="48"/>
      <c r="PJ20" s="48"/>
      <c r="PK20" s="48"/>
      <c r="PL20" s="48"/>
      <c r="PM20" s="48"/>
      <c r="PN20" s="48"/>
      <c r="PO20" s="48"/>
      <c r="PP20" s="48"/>
      <c r="PQ20" s="48"/>
      <c r="PR20" s="48"/>
      <c r="PS20" s="48"/>
      <c r="PT20" s="48"/>
      <c r="PU20" s="48"/>
      <c r="PV20" s="48"/>
      <c r="PW20" s="48"/>
      <c r="PX20" s="48"/>
      <c r="PY20" s="48"/>
      <c r="PZ20" s="48"/>
      <c r="QA20" s="48"/>
      <c r="QB20" s="48"/>
      <c r="QC20" s="48"/>
      <c r="QD20" s="48"/>
      <c r="QE20" s="48"/>
      <c r="QF20" s="48"/>
      <c r="QG20" s="48"/>
      <c r="QH20" s="48"/>
      <c r="QI20" s="48"/>
      <c r="QJ20" s="48"/>
      <c r="QK20" s="48"/>
      <c r="QL20" s="48"/>
      <c r="QM20" s="48"/>
      <c r="QN20" s="48"/>
      <c r="QO20" s="48"/>
      <c r="QP20" s="48"/>
      <c r="QQ20" s="48"/>
      <c r="QR20" s="48"/>
      <c r="QS20" s="48"/>
      <c r="QT20" s="48"/>
      <c r="QU20" s="48"/>
      <c r="QV20" s="48"/>
      <c r="QW20" s="48"/>
      <c r="QX20" s="48"/>
      <c r="QY20" s="48"/>
      <c r="QZ20" s="48"/>
      <c r="RA20" s="48"/>
      <c r="RB20" s="48"/>
      <c r="RC20" s="48"/>
      <c r="RD20" s="48"/>
      <c r="RE20" s="48"/>
      <c r="RF20" s="48"/>
      <c r="RG20" s="48"/>
      <c r="RH20" s="48"/>
      <c r="RI20" s="48"/>
      <c r="RJ20" s="48"/>
      <c r="RK20" s="48"/>
      <c r="RL20" s="48"/>
      <c r="RM20" s="48"/>
      <c r="RN20" s="48"/>
      <c r="RO20" s="48"/>
      <c r="RP20" s="48"/>
      <c r="RQ20" s="48"/>
      <c r="RR20" s="48"/>
      <c r="RS20" s="48"/>
      <c r="RT20" s="48"/>
      <c r="RU20" s="48"/>
      <c r="RV20" s="48"/>
      <c r="RW20" s="48"/>
      <c r="RX20" s="48"/>
      <c r="RY20" s="48"/>
      <c r="RZ20" s="48"/>
      <c r="SA20" s="48"/>
      <c r="SB20" s="48"/>
      <c r="SC20" s="48"/>
      <c r="SD20" s="48"/>
      <c r="SE20" s="48"/>
      <c r="SF20" s="48"/>
      <c r="SG20" s="48"/>
      <c r="SH20" s="48"/>
      <c r="SI20" s="48"/>
      <c r="SJ20" s="48"/>
      <c r="SK20" s="48"/>
      <c r="SL20" s="48"/>
      <c r="SM20" s="48"/>
      <c r="SN20" s="48"/>
      <c r="SO20" s="48"/>
      <c r="SP20" s="48"/>
      <c r="SQ20" s="48"/>
      <c r="SR20" s="48"/>
      <c r="SS20" s="48"/>
      <c r="ST20" s="48"/>
      <c r="SU20" s="48"/>
      <c r="SV20" s="48"/>
      <c r="SW20" s="48"/>
      <c r="SX20" s="48"/>
      <c r="SY20" s="48"/>
      <c r="SZ20" s="48"/>
      <c r="TA20" s="48"/>
      <c r="TB20" s="48"/>
      <c r="TC20" s="48"/>
      <c r="TD20" s="48"/>
      <c r="TE20" s="48"/>
      <c r="TF20" s="48"/>
      <c r="TG20" s="48"/>
      <c r="TH20" s="48"/>
      <c r="TI20" s="48"/>
      <c r="TJ20" s="48"/>
      <c r="TK20" s="48"/>
      <c r="TL20" s="48"/>
      <c r="TM20" s="48"/>
      <c r="TN20" s="48"/>
      <c r="TO20" s="48"/>
      <c r="TP20" s="48"/>
      <c r="TQ20" s="48"/>
      <c r="TR20" s="48"/>
      <c r="TS20" s="48"/>
      <c r="TT20" s="48"/>
      <c r="TU20" s="48"/>
      <c r="TV20" s="48"/>
      <c r="TW20" s="48"/>
      <c r="TX20" s="48"/>
      <c r="TY20" s="48"/>
      <c r="TZ20" s="48"/>
      <c r="UA20" s="48"/>
      <c r="UB20" s="48"/>
      <c r="UC20" s="48"/>
      <c r="UD20" s="48"/>
      <c r="UE20" s="48"/>
      <c r="UF20" s="48"/>
      <c r="UG20" s="48"/>
      <c r="UH20" s="48"/>
      <c r="UI20" s="48"/>
      <c r="UJ20" s="48"/>
      <c r="UK20" s="48"/>
      <c r="UL20" s="48"/>
      <c r="UM20" s="48"/>
      <c r="UN20" s="48"/>
      <c r="UO20" s="48"/>
      <c r="UP20" s="48"/>
      <c r="UQ20" s="48"/>
      <c r="UR20" s="48"/>
      <c r="US20" s="48"/>
      <c r="UT20" s="48"/>
      <c r="UU20" s="48"/>
      <c r="UV20" s="48"/>
      <c r="UW20" s="48"/>
      <c r="UX20" s="48"/>
      <c r="UY20" s="48"/>
      <c r="UZ20" s="48"/>
      <c r="VA20" s="48"/>
      <c r="VB20" s="48"/>
      <c r="VC20" s="48"/>
      <c r="VD20" s="48"/>
      <c r="VE20" s="48"/>
      <c r="VF20" s="48"/>
      <c r="VG20" s="48"/>
      <c r="VH20" s="48"/>
      <c r="VI20" s="48"/>
      <c r="VJ20" s="48"/>
      <c r="VK20" s="48"/>
      <c r="VL20" s="48"/>
      <c r="VM20" s="48"/>
      <c r="VN20" s="48"/>
      <c r="VO20" s="48"/>
      <c r="VP20" s="48"/>
      <c r="VQ20" s="48"/>
      <c r="VR20" s="48"/>
      <c r="VS20" s="48"/>
      <c r="VT20" s="48"/>
      <c r="VU20" s="48"/>
      <c r="VV20" s="48"/>
      <c r="VW20" s="48"/>
      <c r="VX20" s="48"/>
      <c r="VY20" s="48"/>
      <c r="VZ20" s="48"/>
      <c r="WA20" s="48"/>
      <c r="WB20" s="48"/>
      <c r="WC20" s="48"/>
      <c r="WD20" s="48"/>
      <c r="WE20" s="48"/>
    </row>
    <row r="21" spans="1:603" s="29" customFormat="1" x14ac:dyDescent="0.4">
      <c r="A21" s="45"/>
      <c r="B21" s="45"/>
      <c r="C21" s="45"/>
      <c r="D21" s="45"/>
      <c r="E21" s="45"/>
      <c r="F21" s="45"/>
      <c r="G21" s="45"/>
      <c r="H21" s="45"/>
      <c r="I21" s="45"/>
      <c r="J21" s="48"/>
      <c r="K21" s="48"/>
      <c r="L21" s="49"/>
      <c r="M21" s="49"/>
      <c r="N21" s="48"/>
      <c r="O21" s="48"/>
      <c r="P21" s="49"/>
      <c r="Q21" s="49"/>
      <c r="R21" s="48"/>
      <c r="S21" s="48"/>
      <c r="T21" s="49"/>
      <c r="U21" s="49"/>
      <c r="V21" s="48"/>
      <c r="W21" s="48"/>
      <c r="X21" s="49"/>
      <c r="Y21" s="49"/>
      <c r="Z21" s="48"/>
      <c r="AA21" s="48"/>
      <c r="AB21" s="49"/>
      <c r="AC21" s="49"/>
      <c r="AD21" s="48"/>
      <c r="AE21" s="48"/>
      <c r="AF21" s="49"/>
      <c r="AG21" s="49"/>
      <c r="AH21" s="48"/>
      <c r="AI21" s="48"/>
      <c r="AJ21" s="49"/>
      <c r="AK21" s="49"/>
      <c r="AL21" s="48"/>
      <c r="AM21" s="48"/>
      <c r="AN21" s="49"/>
      <c r="AO21" s="49"/>
      <c r="AP21" s="48"/>
      <c r="AQ21" s="48"/>
      <c r="AR21" s="49"/>
      <c r="AS21" s="49"/>
      <c r="AT21" s="48"/>
      <c r="AU21" s="48"/>
      <c r="AV21" s="49"/>
      <c r="AW21" s="49"/>
      <c r="AX21" s="48"/>
      <c r="AY21" s="48"/>
      <c r="AZ21" s="49"/>
      <c r="BA21" s="49"/>
      <c r="BB21" s="48"/>
      <c r="BC21" s="48"/>
      <c r="BD21" s="49"/>
      <c r="BE21" s="49"/>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c r="IW21" s="48"/>
      <c r="IX21" s="48"/>
      <c r="IY21" s="48"/>
      <c r="IZ21" s="48"/>
      <c r="JA21" s="48"/>
      <c r="JB21" s="48"/>
      <c r="JC21" s="48"/>
      <c r="JD21" s="48"/>
      <c r="JE21" s="48"/>
      <c r="JF21" s="48"/>
      <c r="JG21" s="48"/>
      <c r="JH21" s="48"/>
      <c r="JI21" s="48"/>
      <c r="JJ21" s="48"/>
      <c r="JK21" s="48"/>
      <c r="JL21" s="48"/>
      <c r="JM21" s="48"/>
      <c r="JN21" s="48"/>
      <c r="JO21" s="48"/>
      <c r="JP21" s="48"/>
      <c r="JQ21" s="48"/>
      <c r="JR21" s="48"/>
      <c r="JS21" s="48"/>
      <c r="JT21" s="48"/>
      <c r="JU21" s="48"/>
      <c r="JV21" s="48"/>
      <c r="JW21" s="48"/>
      <c r="JX21" s="48"/>
      <c r="JY21" s="48"/>
      <c r="JZ21" s="48"/>
      <c r="KA21" s="48"/>
      <c r="KB21" s="48"/>
      <c r="KC21" s="48"/>
      <c r="KD21" s="48"/>
      <c r="KE21" s="48"/>
      <c r="KF21" s="48"/>
      <c r="KG21" s="48"/>
      <c r="KH21" s="48"/>
      <c r="KI21" s="48"/>
      <c r="KJ21" s="48"/>
      <c r="KK21" s="48"/>
      <c r="KL21" s="48"/>
      <c r="KM21" s="48"/>
      <c r="KN21" s="48"/>
      <c r="KO21" s="48"/>
      <c r="KP21" s="48"/>
      <c r="KQ21" s="48"/>
      <c r="KR21" s="48"/>
      <c r="KS21" s="48"/>
      <c r="KT21" s="48"/>
      <c r="KU21" s="48"/>
      <c r="KV21" s="48"/>
      <c r="KW21" s="48"/>
      <c r="KX21" s="48"/>
      <c r="KY21" s="48"/>
      <c r="KZ21" s="48"/>
      <c r="LA21" s="48"/>
      <c r="LB21" s="48"/>
      <c r="LC21" s="48"/>
      <c r="LD21" s="48"/>
      <c r="LE21" s="48"/>
      <c r="LF21" s="48"/>
      <c r="LG21" s="48"/>
      <c r="LH21" s="48"/>
      <c r="LI21" s="48"/>
      <c r="LJ21" s="48"/>
      <c r="LK21" s="48"/>
      <c r="LL21" s="48"/>
      <c r="LM21" s="48"/>
      <c r="LN21" s="48"/>
      <c r="LO21" s="48"/>
      <c r="LP21" s="48"/>
      <c r="LQ21" s="48"/>
      <c r="LR21" s="48"/>
      <c r="LS21" s="48"/>
      <c r="LT21" s="48"/>
      <c r="LU21" s="48"/>
      <c r="LV21" s="48"/>
      <c r="LW21" s="48"/>
      <c r="LX21" s="48"/>
      <c r="LY21" s="48"/>
      <c r="LZ21" s="48"/>
      <c r="MA21" s="48"/>
      <c r="MB21" s="48"/>
      <c r="MC21" s="48"/>
      <c r="MD21" s="48"/>
      <c r="ME21" s="48"/>
      <c r="MF21" s="48"/>
      <c r="MG21" s="48"/>
      <c r="MH21" s="48"/>
      <c r="MI21" s="48"/>
      <c r="MJ21" s="48"/>
      <c r="MK21" s="48"/>
      <c r="ML21" s="48"/>
      <c r="MM21" s="48"/>
      <c r="MN21" s="48"/>
      <c r="MO21" s="48"/>
      <c r="MP21" s="48"/>
      <c r="MQ21" s="48"/>
      <c r="MR21" s="48"/>
      <c r="MS21" s="48"/>
      <c r="MT21" s="48"/>
      <c r="MU21" s="48"/>
      <c r="MV21" s="48"/>
      <c r="MW21" s="48"/>
      <c r="MX21" s="48"/>
      <c r="MY21" s="48"/>
      <c r="MZ21" s="48"/>
      <c r="NA21" s="48"/>
      <c r="NB21" s="48"/>
      <c r="NC21" s="48"/>
      <c r="ND21" s="48"/>
      <c r="NE21" s="48"/>
      <c r="NF21" s="48"/>
      <c r="NG21" s="48"/>
      <c r="NH21" s="48"/>
      <c r="NI21" s="48"/>
      <c r="NJ21" s="48"/>
      <c r="NK21" s="48"/>
      <c r="NL21" s="48"/>
      <c r="NM21" s="48"/>
      <c r="NN21" s="48"/>
      <c r="NO21" s="48"/>
      <c r="NP21" s="48"/>
      <c r="NQ21" s="48"/>
      <c r="NR21" s="48"/>
      <c r="NS21" s="48"/>
      <c r="NT21" s="48"/>
      <c r="NU21" s="48"/>
      <c r="NV21" s="48"/>
      <c r="NW21" s="48"/>
      <c r="NX21" s="48"/>
      <c r="NY21" s="48"/>
      <c r="NZ21" s="48"/>
      <c r="OA21" s="48"/>
      <c r="OB21" s="48"/>
      <c r="OC21" s="48"/>
      <c r="OD21" s="48"/>
      <c r="OE21" s="48"/>
      <c r="OF21" s="48"/>
      <c r="OG21" s="48"/>
      <c r="OH21" s="48"/>
      <c r="OI21" s="48"/>
      <c r="OJ21" s="48"/>
      <c r="OK21" s="48"/>
      <c r="OL21" s="48"/>
      <c r="OM21" s="48"/>
      <c r="ON21" s="48"/>
      <c r="OO21" s="48"/>
      <c r="OP21" s="48"/>
      <c r="OQ21" s="48"/>
      <c r="OR21" s="48"/>
      <c r="OS21" s="48"/>
      <c r="OT21" s="48"/>
      <c r="OU21" s="48"/>
      <c r="OV21" s="48"/>
      <c r="OW21" s="48"/>
      <c r="OX21" s="48"/>
      <c r="OY21" s="48"/>
      <c r="OZ21" s="48"/>
      <c r="PA21" s="48"/>
      <c r="PB21" s="48"/>
      <c r="PC21" s="48"/>
      <c r="PD21" s="48"/>
      <c r="PE21" s="48"/>
      <c r="PF21" s="48"/>
      <c r="PG21" s="48"/>
      <c r="PH21" s="48"/>
      <c r="PI21" s="48"/>
      <c r="PJ21" s="48"/>
      <c r="PK21" s="48"/>
      <c r="PL21" s="48"/>
      <c r="PM21" s="48"/>
      <c r="PN21" s="48"/>
      <c r="PO21" s="48"/>
      <c r="PP21" s="48"/>
      <c r="PQ21" s="48"/>
      <c r="PR21" s="48"/>
      <c r="PS21" s="48"/>
      <c r="PT21" s="48"/>
      <c r="PU21" s="48"/>
      <c r="PV21" s="48"/>
      <c r="PW21" s="48"/>
      <c r="PX21" s="48"/>
      <c r="PY21" s="48"/>
      <c r="PZ21" s="48"/>
      <c r="QA21" s="48"/>
      <c r="QB21" s="48"/>
      <c r="QC21" s="48"/>
      <c r="QD21" s="48"/>
      <c r="QE21" s="48"/>
      <c r="QF21" s="48"/>
      <c r="QG21" s="48"/>
      <c r="QH21" s="48"/>
      <c r="QI21" s="48"/>
      <c r="QJ21" s="48"/>
      <c r="QK21" s="48"/>
      <c r="QL21" s="48"/>
      <c r="QM21" s="48"/>
      <c r="QN21" s="48"/>
      <c r="QO21" s="48"/>
      <c r="QP21" s="48"/>
      <c r="QQ21" s="48"/>
      <c r="QR21" s="48"/>
      <c r="QS21" s="48"/>
      <c r="QT21" s="48"/>
      <c r="QU21" s="48"/>
      <c r="QV21" s="48"/>
      <c r="QW21" s="48"/>
      <c r="QX21" s="48"/>
      <c r="QY21" s="48"/>
      <c r="QZ21" s="48"/>
      <c r="RA21" s="48"/>
      <c r="RB21" s="48"/>
      <c r="RC21" s="48"/>
      <c r="RD21" s="48"/>
      <c r="RE21" s="48"/>
      <c r="RF21" s="48"/>
      <c r="RG21" s="48"/>
      <c r="RH21" s="48"/>
      <c r="RI21" s="48"/>
      <c r="RJ21" s="48"/>
      <c r="RK21" s="48"/>
      <c r="RL21" s="48"/>
      <c r="RM21" s="48"/>
      <c r="RN21" s="48"/>
      <c r="RO21" s="48"/>
      <c r="RP21" s="48"/>
      <c r="RQ21" s="48"/>
      <c r="RR21" s="48"/>
      <c r="RS21" s="48"/>
      <c r="RT21" s="48"/>
      <c r="RU21" s="48"/>
      <c r="RV21" s="48"/>
      <c r="RW21" s="48"/>
      <c r="RX21" s="48"/>
      <c r="RY21" s="48"/>
      <c r="RZ21" s="48"/>
      <c r="SA21" s="48"/>
      <c r="SB21" s="48"/>
      <c r="SC21" s="48"/>
      <c r="SD21" s="48"/>
      <c r="SE21" s="48"/>
      <c r="SF21" s="48"/>
      <c r="SG21" s="48"/>
      <c r="SH21" s="48"/>
      <c r="SI21" s="48"/>
      <c r="SJ21" s="48"/>
      <c r="SK21" s="48"/>
      <c r="SL21" s="48"/>
      <c r="SM21" s="48"/>
      <c r="SN21" s="48"/>
      <c r="SO21" s="48"/>
      <c r="SP21" s="48"/>
      <c r="SQ21" s="48"/>
      <c r="SR21" s="48"/>
      <c r="SS21" s="48"/>
      <c r="ST21" s="48"/>
      <c r="SU21" s="48"/>
      <c r="SV21" s="48"/>
      <c r="SW21" s="48"/>
      <c r="SX21" s="48"/>
      <c r="SY21" s="48"/>
      <c r="SZ21" s="48"/>
      <c r="TA21" s="48"/>
      <c r="TB21" s="48"/>
      <c r="TC21" s="48"/>
      <c r="TD21" s="48"/>
      <c r="TE21" s="48"/>
      <c r="TF21" s="48"/>
      <c r="TG21" s="48"/>
      <c r="TH21" s="48"/>
      <c r="TI21" s="48"/>
      <c r="TJ21" s="48"/>
      <c r="TK21" s="48"/>
      <c r="TL21" s="48"/>
      <c r="TM21" s="48"/>
      <c r="TN21" s="48"/>
      <c r="TO21" s="48"/>
      <c r="TP21" s="48"/>
      <c r="TQ21" s="48"/>
      <c r="TR21" s="48"/>
      <c r="TS21" s="48"/>
      <c r="TT21" s="48"/>
      <c r="TU21" s="48"/>
      <c r="TV21" s="48"/>
      <c r="TW21" s="48"/>
      <c r="TX21" s="48"/>
      <c r="TY21" s="48"/>
      <c r="TZ21" s="48"/>
      <c r="UA21" s="48"/>
      <c r="UB21" s="48"/>
      <c r="UC21" s="48"/>
      <c r="UD21" s="48"/>
      <c r="UE21" s="48"/>
      <c r="UF21" s="48"/>
      <c r="UG21" s="48"/>
      <c r="UH21" s="48"/>
      <c r="UI21" s="48"/>
      <c r="UJ21" s="48"/>
      <c r="UK21" s="48"/>
      <c r="UL21" s="48"/>
      <c r="UM21" s="48"/>
      <c r="UN21" s="48"/>
      <c r="UO21" s="48"/>
      <c r="UP21" s="48"/>
      <c r="UQ21" s="48"/>
      <c r="UR21" s="48"/>
      <c r="US21" s="48"/>
      <c r="UT21" s="48"/>
      <c r="UU21" s="48"/>
      <c r="UV21" s="48"/>
      <c r="UW21" s="48"/>
      <c r="UX21" s="48"/>
      <c r="UY21" s="48"/>
      <c r="UZ21" s="48"/>
      <c r="VA21" s="48"/>
      <c r="VB21" s="48"/>
      <c r="VC21" s="48"/>
      <c r="VD21" s="48"/>
      <c r="VE21" s="48"/>
      <c r="VF21" s="48"/>
      <c r="VG21" s="48"/>
      <c r="VH21" s="48"/>
      <c r="VI21" s="48"/>
      <c r="VJ21" s="48"/>
      <c r="VK21" s="48"/>
      <c r="VL21" s="48"/>
      <c r="VM21" s="48"/>
      <c r="VN21" s="48"/>
      <c r="VO21" s="48"/>
      <c r="VP21" s="48"/>
      <c r="VQ21" s="48"/>
      <c r="VR21" s="48"/>
      <c r="VS21" s="48"/>
      <c r="VT21" s="48"/>
      <c r="VU21" s="48"/>
      <c r="VV21" s="48"/>
      <c r="VW21" s="48"/>
      <c r="VX21" s="48"/>
      <c r="VY21" s="48"/>
      <c r="VZ21" s="48"/>
      <c r="WA21" s="48"/>
      <c r="WB21" s="48"/>
      <c r="WC21" s="48"/>
      <c r="WD21" s="48"/>
      <c r="WE21" s="48"/>
    </row>
    <row r="22" spans="1:603" s="29" customFormat="1" x14ac:dyDescent="0.4">
      <c r="A22" s="45"/>
      <c r="B22" s="45"/>
      <c r="C22" s="45"/>
      <c r="D22" s="45"/>
      <c r="E22" s="45"/>
      <c r="F22" s="45"/>
      <c r="G22" s="45"/>
      <c r="H22" s="45"/>
      <c r="I22" s="45"/>
      <c r="J22" s="48"/>
      <c r="K22" s="48"/>
      <c r="L22" s="49"/>
      <c r="M22" s="49"/>
      <c r="N22" s="48"/>
      <c r="O22" s="48"/>
      <c r="P22" s="49"/>
      <c r="Q22" s="49"/>
      <c r="R22" s="48"/>
      <c r="S22" s="48"/>
      <c r="T22" s="49"/>
      <c r="U22" s="49"/>
      <c r="V22" s="48"/>
      <c r="W22" s="48"/>
      <c r="X22" s="49"/>
      <c r="Y22" s="49"/>
      <c r="Z22" s="48"/>
      <c r="AA22" s="48"/>
      <c r="AB22" s="49"/>
      <c r="AC22" s="49"/>
      <c r="AD22" s="48"/>
      <c r="AE22" s="48"/>
      <c r="AF22" s="49"/>
      <c r="AG22" s="49"/>
      <c r="AH22" s="48"/>
      <c r="AI22" s="48"/>
      <c r="AJ22" s="49"/>
      <c r="AK22" s="49"/>
      <c r="AL22" s="48"/>
      <c r="AM22" s="48"/>
      <c r="AN22" s="49"/>
      <c r="AO22" s="49"/>
      <c r="AP22" s="48"/>
      <c r="AQ22" s="48"/>
      <c r="AR22" s="49"/>
      <c r="AS22" s="49"/>
      <c r="AT22" s="48"/>
      <c r="AU22" s="48"/>
      <c r="AV22" s="49"/>
      <c r="AW22" s="49"/>
      <c r="AX22" s="48"/>
      <c r="AY22" s="48"/>
      <c r="AZ22" s="49"/>
      <c r="BA22" s="49"/>
      <c r="BB22" s="48"/>
      <c r="BC22" s="48"/>
      <c r="BD22" s="49"/>
      <c r="BE22" s="49"/>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c r="IW22" s="48"/>
      <c r="IX22" s="48"/>
      <c r="IY22" s="48"/>
      <c r="IZ22" s="48"/>
      <c r="JA22" s="48"/>
      <c r="JB22" s="48"/>
      <c r="JC22" s="48"/>
      <c r="JD22" s="48"/>
      <c r="JE22" s="48"/>
      <c r="JF22" s="48"/>
      <c r="JG22" s="48"/>
      <c r="JH22" s="48"/>
      <c r="JI22" s="48"/>
      <c r="JJ22" s="48"/>
      <c r="JK22" s="48"/>
      <c r="JL22" s="48"/>
      <c r="JM22" s="48"/>
      <c r="JN22" s="48"/>
      <c r="JO22" s="48"/>
      <c r="JP22" s="48"/>
      <c r="JQ22" s="48"/>
      <c r="JR22" s="48"/>
      <c r="JS22" s="48"/>
      <c r="JT22" s="48"/>
      <c r="JU22" s="48"/>
      <c r="JV22" s="48"/>
      <c r="JW22" s="48"/>
      <c r="JX22" s="48"/>
      <c r="JY22" s="48"/>
      <c r="JZ22" s="48"/>
      <c r="KA22" s="48"/>
      <c r="KB22" s="48"/>
      <c r="KC22" s="48"/>
      <c r="KD22" s="48"/>
      <c r="KE22" s="48"/>
      <c r="KF22" s="48"/>
      <c r="KG22" s="48"/>
      <c r="KH22" s="48"/>
      <c r="KI22" s="48"/>
      <c r="KJ22" s="48"/>
      <c r="KK22" s="48"/>
      <c r="KL22" s="48"/>
      <c r="KM22" s="48"/>
      <c r="KN22" s="48"/>
      <c r="KO22" s="48"/>
      <c r="KP22" s="48"/>
      <c r="KQ22" s="48"/>
      <c r="KR22" s="48"/>
      <c r="KS22" s="48"/>
      <c r="KT22" s="48"/>
      <c r="KU22" s="48"/>
      <c r="KV22" s="48"/>
      <c r="KW22" s="48"/>
      <c r="KX22" s="48"/>
      <c r="KY22" s="48"/>
      <c r="KZ22" s="48"/>
      <c r="LA22" s="48"/>
      <c r="LB22" s="48"/>
      <c r="LC22" s="48"/>
      <c r="LD22" s="48"/>
      <c r="LE22" s="48"/>
      <c r="LF22" s="48"/>
      <c r="LG22" s="48"/>
      <c r="LH22" s="48"/>
      <c r="LI22" s="48"/>
      <c r="LJ22" s="48"/>
      <c r="LK22" s="48"/>
      <c r="LL22" s="48"/>
      <c r="LM22" s="48"/>
      <c r="LN22" s="48"/>
      <c r="LO22" s="48"/>
      <c r="LP22" s="48"/>
      <c r="LQ22" s="48"/>
      <c r="LR22" s="48"/>
      <c r="LS22" s="48"/>
      <c r="LT22" s="48"/>
      <c r="LU22" s="48"/>
      <c r="LV22" s="48"/>
      <c r="LW22" s="48"/>
      <c r="LX22" s="48"/>
      <c r="LY22" s="48"/>
      <c r="LZ22" s="48"/>
      <c r="MA22" s="48"/>
      <c r="MB22" s="48"/>
      <c r="MC22" s="48"/>
      <c r="MD22" s="48"/>
      <c r="ME22" s="48"/>
      <c r="MF22" s="48"/>
      <c r="MG22" s="48"/>
      <c r="MH22" s="48"/>
      <c r="MI22" s="48"/>
      <c r="MJ22" s="48"/>
      <c r="MK22" s="48"/>
      <c r="ML22" s="48"/>
      <c r="MM22" s="48"/>
      <c r="MN22" s="48"/>
      <c r="MO22" s="48"/>
      <c r="MP22" s="48"/>
      <c r="MQ22" s="48"/>
      <c r="MR22" s="48"/>
      <c r="MS22" s="48"/>
      <c r="MT22" s="48"/>
      <c r="MU22" s="48"/>
      <c r="MV22" s="48"/>
      <c r="MW22" s="48"/>
      <c r="MX22" s="48"/>
      <c r="MY22" s="48"/>
      <c r="MZ22" s="48"/>
      <c r="NA22" s="48"/>
      <c r="NB22" s="48"/>
      <c r="NC22" s="48"/>
      <c r="ND22" s="48"/>
      <c r="NE22" s="48"/>
      <c r="NF22" s="48"/>
      <c r="NG22" s="48"/>
      <c r="NH22" s="48"/>
      <c r="NI22" s="48"/>
      <c r="NJ22" s="48"/>
      <c r="NK22" s="48"/>
      <c r="NL22" s="48"/>
      <c r="NM22" s="48"/>
      <c r="NN22" s="48"/>
      <c r="NO22" s="48"/>
      <c r="NP22" s="48"/>
      <c r="NQ22" s="48"/>
      <c r="NR22" s="48"/>
      <c r="NS22" s="48"/>
      <c r="NT22" s="48"/>
      <c r="NU22" s="48"/>
      <c r="NV22" s="48"/>
      <c r="NW22" s="48"/>
      <c r="NX22" s="48"/>
      <c r="NY22" s="48"/>
      <c r="NZ22" s="48"/>
      <c r="OA22" s="48"/>
      <c r="OB22" s="48"/>
      <c r="OC22" s="48"/>
      <c r="OD22" s="48"/>
      <c r="OE22" s="48"/>
      <c r="OF22" s="48"/>
      <c r="OG22" s="48"/>
      <c r="OH22" s="48"/>
      <c r="OI22" s="48"/>
      <c r="OJ22" s="48"/>
      <c r="OK22" s="48"/>
      <c r="OL22" s="48"/>
      <c r="OM22" s="48"/>
      <c r="ON22" s="48"/>
      <c r="OO22" s="48"/>
      <c r="OP22" s="48"/>
      <c r="OQ22" s="48"/>
      <c r="OR22" s="48"/>
      <c r="OS22" s="48"/>
      <c r="OT22" s="48"/>
      <c r="OU22" s="48"/>
      <c r="OV22" s="48"/>
      <c r="OW22" s="48"/>
      <c r="OX22" s="48"/>
      <c r="OY22" s="48"/>
      <c r="OZ22" s="48"/>
      <c r="PA22" s="48"/>
      <c r="PB22" s="48"/>
      <c r="PC22" s="48"/>
      <c r="PD22" s="48"/>
      <c r="PE22" s="48"/>
      <c r="PF22" s="48"/>
      <c r="PG22" s="48"/>
      <c r="PH22" s="48"/>
      <c r="PI22" s="48"/>
      <c r="PJ22" s="48"/>
      <c r="PK22" s="48"/>
      <c r="PL22" s="48"/>
      <c r="PM22" s="48"/>
      <c r="PN22" s="48"/>
      <c r="PO22" s="48"/>
      <c r="PP22" s="48"/>
      <c r="PQ22" s="48"/>
      <c r="PR22" s="48"/>
      <c r="PS22" s="48"/>
      <c r="PT22" s="48"/>
      <c r="PU22" s="48"/>
      <c r="PV22" s="48"/>
      <c r="PW22" s="48"/>
      <c r="PX22" s="48"/>
      <c r="PY22" s="48"/>
      <c r="PZ22" s="48"/>
      <c r="QA22" s="48"/>
      <c r="QB22" s="48"/>
      <c r="QC22" s="48"/>
      <c r="QD22" s="48"/>
      <c r="QE22" s="48"/>
      <c r="QF22" s="48"/>
      <c r="QG22" s="48"/>
      <c r="QH22" s="48"/>
      <c r="QI22" s="48"/>
      <c r="QJ22" s="48"/>
      <c r="QK22" s="48"/>
      <c r="QL22" s="48"/>
      <c r="QM22" s="48"/>
      <c r="QN22" s="48"/>
      <c r="QO22" s="48"/>
      <c r="QP22" s="48"/>
      <c r="QQ22" s="48"/>
      <c r="QR22" s="48"/>
      <c r="QS22" s="48"/>
      <c r="QT22" s="48"/>
      <c r="QU22" s="48"/>
      <c r="QV22" s="48"/>
      <c r="QW22" s="48"/>
      <c r="QX22" s="48"/>
      <c r="QY22" s="48"/>
      <c r="QZ22" s="48"/>
      <c r="RA22" s="48"/>
      <c r="RB22" s="48"/>
      <c r="RC22" s="48"/>
      <c r="RD22" s="48"/>
      <c r="RE22" s="48"/>
      <c r="RF22" s="48"/>
      <c r="RG22" s="48"/>
      <c r="RH22" s="48"/>
      <c r="RI22" s="48"/>
      <c r="RJ22" s="48"/>
      <c r="RK22" s="48"/>
      <c r="RL22" s="48"/>
      <c r="RM22" s="48"/>
      <c r="RN22" s="48"/>
      <c r="RO22" s="48"/>
      <c r="RP22" s="48"/>
      <c r="RQ22" s="48"/>
      <c r="RR22" s="48"/>
      <c r="RS22" s="48"/>
      <c r="RT22" s="48"/>
      <c r="RU22" s="48"/>
      <c r="RV22" s="48"/>
      <c r="RW22" s="48"/>
      <c r="RX22" s="48"/>
      <c r="RY22" s="48"/>
      <c r="RZ22" s="48"/>
      <c r="SA22" s="48"/>
      <c r="SB22" s="48"/>
      <c r="SC22" s="48"/>
      <c r="SD22" s="48"/>
      <c r="SE22" s="48"/>
      <c r="SF22" s="48"/>
      <c r="SG22" s="48"/>
      <c r="SH22" s="48"/>
      <c r="SI22" s="48"/>
      <c r="SJ22" s="48"/>
      <c r="SK22" s="48"/>
      <c r="SL22" s="48"/>
      <c r="SM22" s="48"/>
      <c r="SN22" s="48"/>
      <c r="SO22" s="48"/>
      <c r="SP22" s="48"/>
      <c r="SQ22" s="48"/>
      <c r="SR22" s="48"/>
      <c r="SS22" s="48"/>
      <c r="ST22" s="48"/>
      <c r="SU22" s="48"/>
      <c r="SV22" s="48"/>
      <c r="SW22" s="48"/>
      <c r="SX22" s="48"/>
      <c r="SY22" s="48"/>
      <c r="SZ22" s="48"/>
      <c r="TA22" s="48"/>
      <c r="TB22" s="48"/>
      <c r="TC22" s="48"/>
      <c r="TD22" s="48"/>
      <c r="TE22" s="48"/>
      <c r="TF22" s="48"/>
      <c r="TG22" s="48"/>
      <c r="TH22" s="48"/>
      <c r="TI22" s="48"/>
      <c r="TJ22" s="48"/>
      <c r="TK22" s="48"/>
      <c r="TL22" s="48"/>
      <c r="TM22" s="48"/>
      <c r="TN22" s="48"/>
      <c r="TO22" s="48"/>
      <c r="TP22" s="48"/>
      <c r="TQ22" s="48"/>
      <c r="TR22" s="48"/>
      <c r="TS22" s="48"/>
      <c r="TT22" s="48"/>
      <c r="TU22" s="48"/>
      <c r="TV22" s="48"/>
      <c r="TW22" s="48"/>
      <c r="TX22" s="48"/>
      <c r="TY22" s="48"/>
      <c r="TZ22" s="48"/>
      <c r="UA22" s="48"/>
      <c r="UB22" s="48"/>
      <c r="UC22" s="48"/>
      <c r="UD22" s="48"/>
      <c r="UE22" s="48"/>
      <c r="UF22" s="48"/>
      <c r="UG22" s="48"/>
      <c r="UH22" s="48"/>
      <c r="UI22" s="48"/>
      <c r="UJ22" s="48"/>
      <c r="UK22" s="48"/>
      <c r="UL22" s="48"/>
      <c r="UM22" s="48"/>
      <c r="UN22" s="48"/>
      <c r="UO22" s="48"/>
      <c r="UP22" s="48"/>
      <c r="UQ22" s="48"/>
      <c r="UR22" s="48"/>
      <c r="US22" s="48"/>
      <c r="UT22" s="48"/>
      <c r="UU22" s="48"/>
      <c r="UV22" s="48"/>
      <c r="UW22" s="48"/>
      <c r="UX22" s="48"/>
      <c r="UY22" s="48"/>
      <c r="UZ22" s="48"/>
      <c r="VA22" s="48"/>
      <c r="VB22" s="48"/>
      <c r="VC22" s="48"/>
      <c r="VD22" s="48"/>
      <c r="VE22" s="48"/>
      <c r="VF22" s="48"/>
      <c r="VG22" s="48"/>
      <c r="VH22" s="48"/>
      <c r="VI22" s="48"/>
      <c r="VJ22" s="48"/>
      <c r="VK22" s="48"/>
      <c r="VL22" s="48"/>
      <c r="VM22" s="48"/>
      <c r="VN22" s="48"/>
      <c r="VO22" s="48"/>
      <c r="VP22" s="48"/>
      <c r="VQ22" s="48"/>
      <c r="VR22" s="48"/>
      <c r="VS22" s="48"/>
      <c r="VT22" s="48"/>
      <c r="VU22" s="48"/>
      <c r="VV22" s="48"/>
      <c r="VW22" s="48"/>
      <c r="VX22" s="48"/>
      <c r="VY22" s="48"/>
      <c r="VZ22" s="48"/>
      <c r="WA22" s="48"/>
      <c r="WB22" s="48"/>
      <c r="WC22" s="48"/>
      <c r="WD22" s="48"/>
      <c r="WE22" s="48"/>
    </row>
    <row r="23" spans="1:603" s="29" customFormat="1" x14ac:dyDescent="0.4">
      <c r="A23" s="45"/>
      <c r="B23" s="45"/>
      <c r="C23" s="45"/>
      <c r="D23" s="45"/>
      <c r="E23" s="45"/>
      <c r="F23" s="45"/>
      <c r="G23" s="45"/>
      <c r="H23" s="45"/>
      <c r="I23" s="45"/>
      <c r="J23" s="48"/>
      <c r="K23" s="48"/>
      <c r="L23" s="49"/>
      <c r="M23" s="49"/>
      <c r="N23" s="48"/>
      <c r="O23" s="48"/>
      <c r="P23" s="49"/>
      <c r="Q23" s="49"/>
      <c r="R23" s="48"/>
      <c r="S23" s="48"/>
      <c r="T23" s="49"/>
      <c r="U23" s="49"/>
      <c r="V23" s="48"/>
      <c r="W23" s="48"/>
      <c r="X23" s="49"/>
      <c r="Y23" s="49"/>
      <c r="Z23" s="48"/>
      <c r="AA23" s="48"/>
      <c r="AB23" s="49"/>
      <c r="AC23" s="49"/>
      <c r="AD23" s="48"/>
      <c r="AE23" s="48"/>
      <c r="AF23" s="49"/>
      <c r="AG23" s="49"/>
      <c r="AH23" s="48"/>
      <c r="AI23" s="48"/>
      <c r="AJ23" s="49"/>
      <c r="AK23" s="49"/>
      <c r="AL23" s="48"/>
      <c r="AM23" s="48"/>
      <c r="AN23" s="49"/>
      <c r="AO23" s="49"/>
      <c r="AP23" s="48"/>
      <c r="AQ23" s="48"/>
      <c r="AR23" s="49"/>
      <c r="AS23" s="49"/>
      <c r="AT23" s="48"/>
      <c r="AU23" s="48"/>
      <c r="AV23" s="49"/>
      <c r="AW23" s="49"/>
      <c r="AX23" s="48"/>
      <c r="AY23" s="48"/>
      <c r="AZ23" s="49"/>
      <c r="BA23" s="49"/>
      <c r="BB23" s="48"/>
      <c r="BC23" s="48"/>
      <c r="BD23" s="49"/>
      <c r="BE23" s="49"/>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c r="IW23" s="48"/>
      <c r="IX23" s="48"/>
      <c r="IY23" s="48"/>
      <c r="IZ23" s="48"/>
      <c r="JA23" s="48"/>
      <c r="JB23" s="48"/>
      <c r="JC23" s="48"/>
      <c r="JD23" s="48"/>
      <c r="JE23" s="48"/>
      <c r="JF23" s="48"/>
      <c r="JG23" s="48"/>
      <c r="JH23" s="48"/>
      <c r="JI23" s="48"/>
      <c r="JJ23" s="48"/>
      <c r="JK23" s="48"/>
      <c r="JL23" s="48"/>
      <c r="JM23" s="48"/>
      <c r="JN23" s="48"/>
      <c r="JO23" s="48"/>
      <c r="JP23" s="48"/>
      <c r="JQ23" s="48"/>
      <c r="JR23" s="48"/>
      <c r="JS23" s="48"/>
      <c r="JT23" s="48"/>
      <c r="JU23" s="48"/>
      <c r="JV23" s="48"/>
      <c r="JW23" s="48"/>
      <c r="JX23" s="48"/>
      <c r="JY23" s="48"/>
      <c r="JZ23" s="48"/>
      <c r="KA23" s="48"/>
      <c r="KB23" s="48"/>
      <c r="KC23" s="48"/>
      <c r="KD23" s="48"/>
      <c r="KE23" s="48"/>
      <c r="KF23" s="48"/>
      <c r="KG23" s="48"/>
      <c r="KH23" s="48"/>
      <c r="KI23" s="48"/>
      <c r="KJ23" s="48"/>
      <c r="KK23" s="48"/>
      <c r="KL23" s="48"/>
      <c r="KM23" s="48"/>
      <c r="KN23" s="48"/>
      <c r="KO23" s="48"/>
      <c r="KP23" s="48"/>
      <c r="KQ23" s="48"/>
      <c r="KR23" s="48"/>
      <c r="KS23" s="48"/>
      <c r="KT23" s="48"/>
      <c r="KU23" s="48"/>
      <c r="KV23" s="48"/>
      <c r="KW23" s="48"/>
      <c r="KX23" s="48"/>
      <c r="KY23" s="48"/>
      <c r="KZ23" s="48"/>
      <c r="LA23" s="48"/>
      <c r="LB23" s="48"/>
      <c r="LC23" s="48"/>
      <c r="LD23" s="48"/>
      <c r="LE23" s="48"/>
      <c r="LF23" s="48"/>
      <c r="LG23" s="48"/>
      <c r="LH23" s="48"/>
      <c r="LI23" s="48"/>
      <c r="LJ23" s="48"/>
      <c r="LK23" s="48"/>
      <c r="LL23" s="48"/>
      <c r="LM23" s="48"/>
      <c r="LN23" s="48"/>
      <c r="LO23" s="48"/>
      <c r="LP23" s="48"/>
      <c r="LQ23" s="48"/>
      <c r="LR23" s="48"/>
      <c r="LS23" s="48"/>
      <c r="LT23" s="48"/>
      <c r="LU23" s="48"/>
      <c r="LV23" s="48"/>
      <c r="LW23" s="48"/>
      <c r="LX23" s="48"/>
      <c r="LY23" s="48"/>
      <c r="LZ23" s="48"/>
      <c r="MA23" s="48"/>
      <c r="MB23" s="48"/>
      <c r="MC23" s="48"/>
      <c r="MD23" s="48"/>
      <c r="ME23" s="48"/>
      <c r="MF23" s="48"/>
      <c r="MG23" s="48"/>
      <c r="MH23" s="48"/>
      <c r="MI23" s="48"/>
      <c r="MJ23" s="48"/>
      <c r="MK23" s="48"/>
      <c r="ML23" s="48"/>
      <c r="MM23" s="48"/>
      <c r="MN23" s="48"/>
      <c r="MO23" s="48"/>
      <c r="MP23" s="48"/>
      <c r="MQ23" s="48"/>
      <c r="MR23" s="48"/>
      <c r="MS23" s="48"/>
      <c r="MT23" s="48"/>
      <c r="MU23" s="48"/>
      <c r="MV23" s="48"/>
      <c r="MW23" s="48"/>
      <c r="MX23" s="48"/>
      <c r="MY23" s="48"/>
      <c r="MZ23" s="48"/>
      <c r="NA23" s="48"/>
      <c r="NB23" s="48"/>
      <c r="NC23" s="48"/>
      <c r="ND23" s="48"/>
      <c r="NE23" s="48"/>
      <c r="NF23" s="48"/>
      <c r="NG23" s="48"/>
      <c r="NH23" s="48"/>
      <c r="NI23" s="48"/>
      <c r="NJ23" s="48"/>
      <c r="NK23" s="48"/>
      <c r="NL23" s="48"/>
      <c r="NM23" s="48"/>
      <c r="NN23" s="48"/>
      <c r="NO23" s="48"/>
      <c r="NP23" s="48"/>
      <c r="NQ23" s="48"/>
      <c r="NR23" s="48"/>
      <c r="NS23" s="48"/>
      <c r="NT23" s="48"/>
      <c r="NU23" s="48"/>
      <c r="NV23" s="48"/>
      <c r="NW23" s="48"/>
      <c r="NX23" s="48"/>
      <c r="NY23" s="48"/>
      <c r="NZ23" s="48"/>
      <c r="OA23" s="48"/>
      <c r="OB23" s="48"/>
      <c r="OC23" s="48"/>
      <c r="OD23" s="48"/>
      <c r="OE23" s="48"/>
      <c r="OF23" s="48"/>
      <c r="OG23" s="48"/>
      <c r="OH23" s="48"/>
      <c r="OI23" s="48"/>
      <c r="OJ23" s="48"/>
      <c r="OK23" s="48"/>
      <c r="OL23" s="48"/>
      <c r="OM23" s="48"/>
      <c r="ON23" s="48"/>
      <c r="OO23" s="48"/>
      <c r="OP23" s="48"/>
      <c r="OQ23" s="48"/>
      <c r="OR23" s="48"/>
      <c r="OS23" s="48"/>
      <c r="OT23" s="48"/>
      <c r="OU23" s="48"/>
      <c r="OV23" s="48"/>
      <c r="OW23" s="48"/>
      <c r="OX23" s="48"/>
      <c r="OY23" s="48"/>
      <c r="OZ23" s="48"/>
      <c r="PA23" s="48"/>
      <c r="PB23" s="48"/>
      <c r="PC23" s="48"/>
      <c r="PD23" s="48"/>
      <c r="PE23" s="48"/>
      <c r="PF23" s="48"/>
      <c r="PG23" s="48"/>
      <c r="PH23" s="48"/>
      <c r="PI23" s="48"/>
      <c r="PJ23" s="48"/>
      <c r="PK23" s="48"/>
      <c r="PL23" s="48"/>
      <c r="PM23" s="48"/>
      <c r="PN23" s="48"/>
      <c r="PO23" s="48"/>
      <c r="PP23" s="48"/>
      <c r="PQ23" s="48"/>
      <c r="PR23" s="48"/>
      <c r="PS23" s="48"/>
      <c r="PT23" s="48"/>
      <c r="PU23" s="48"/>
      <c r="PV23" s="48"/>
      <c r="PW23" s="48"/>
      <c r="PX23" s="48"/>
      <c r="PY23" s="48"/>
      <c r="PZ23" s="48"/>
      <c r="QA23" s="48"/>
      <c r="QB23" s="48"/>
      <c r="QC23" s="48"/>
      <c r="QD23" s="48"/>
      <c r="QE23" s="48"/>
      <c r="QF23" s="48"/>
      <c r="QG23" s="48"/>
      <c r="QH23" s="48"/>
      <c r="QI23" s="48"/>
      <c r="QJ23" s="48"/>
      <c r="QK23" s="48"/>
      <c r="QL23" s="48"/>
      <c r="QM23" s="48"/>
      <c r="QN23" s="48"/>
      <c r="QO23" s="48"/>
      <c r="QP23" s="48"/>
      <c r="QQ23" s="48"/>
      <c r="QR23" s="48"/>
      <c r="QS23" s="48"/>
      <c r="QT23" s="48"/>
      <c r="QU23" s="48"/>
      <c r="QV23" s="48"/>
      <c r="QW23" s="48"/>
      <c r="QX23" s="48"/>
      <c r="QY23" s="48"/>
      <c r="QZ23" s="48"/>
      <c r="RA23" s="48"/>
      <c r="RB23" s="48"/>
      <c r="RC23" s="48"/>
      <c r="RD23" s="48"/>
      <c r="RE23" s="48"/>
      <c r="RF23" s="48"/>
      <c r="RG23" s="48"/>
      <c r="RH23" s="48"/>
      <c r="RI23" s="48"/>
      <c r="RJ23" s="48"/>
      <c r="RK23" s="48"/>
      <c r="RL23" s="48"/>
      <c r="RM23" s="48"/>
      <c r="RN23" s="48"/>
      <c r="RO23" s="48"/>
      <c r="RP23" s="48"/>
      <c r="RQ23" s="48"/>
      <c r="RR23" s="48"/>
      <c r="RS23" s="48"/>
      <c r="RT23" s="48"/>
      <c r="RU23" s="48"/>
      <c r="RV23" s="48"/>
      <c r="RW23" s="48"/>
      <c r="RX23" s="48"/>
      <c r="RY23" s="48"/>
      <c r="RZ23" s="48"/>
      <c r="SA23" s="48"/>
      <c r="SB23" s="48"/>
      <c r="SC23" s="48"/>
      <c r="SD23" s="48"/>
      <c r="SE23" s="48"/>
      <c r="SF23" s="48"/>
      <c r="SG23" s="48"/>
      <c r="SH23" s="48"/>
      <c r="SI23" s="48"/>
      <c r="SJ23" s="48"/>
      <c r="SK23" s="48"/>
      <c r="SL23" s="48"/>
      <c r="SM23" s="48"/>
      <c r="SN23" s="48"/>
      <c r="SO23" s="48"/>
      <c r="SP23" s="48"/>
      <c r="SQ23" s="48"/>
      <c r="SR23" s="48"/>
      <c r="SS23" s="48"/>
      <c r="ST23" s="48"/>
      <c r="SU23" s="48"/>
      <c r="SV23" s="48"/>
      <c r="SW23" s="48"/>
      <c r="SX23" s="48"/>
      <c r="SY23" s="48"/>
      <c r="SZ23" s="48"/>
      <c r="TA23" s="48"/>
      <c r="TB23" s="48"/>
      <c r="TC23" s="48"/>
      <c r="TD23" s="48"/>
      <c r="TE23" s="48"/>
      <c r="TF23" s="48"/>
      <c r="TG23" s="48"/>
      <c r="TH23" s="48"/>
      <c r="TI23" s="48"/>
      <c r="TJ23" s="48"/>
      <c r="TK23" s="48"/>
      <c r="TL23" s="48"/>
      <c r="TM23" s="48"/>
      <c r="TN23" s="48"/>
      <c r="TO23" s="48"/>
      <c r="TP23" s="48"/>
      <c r="TQ23" s="48"/>
      <c r="TR23" s="48"/>
      <c r="TS23" s="48"/>
      <c r="TT23" s="48"/>
      <c r="TU23" s="48"/>
      <c r="TV23" s="48"/>
      <c r="TW23" s="48"/>
      <c r="TX23" s="48"/>
      <c r="TY23" s="48"/>
      <c r="TZ23" s="48"/>
      <c r="UA23" s="48"/>
      <c r="UB23" s="48"/>
      <c r="UC23" s="48"/>
      <c r="UD23" s="48"/>
      <c r="UE23" s="48"/>
      <c r="UF23" s="48"/>
      <c r="UG23" s="48"/>
      <c r="UH23" s="48"/>
      <c r="UI23" s="48"/>
      <c r="UJ23" s="48"/>
      <c r="UK23" s="48"/>
      <c r="UL23" s="48"/>
      <c r="UM23" s="48"/>
      <c r="UN23" s="48"/>
      <c r="UO23" s="48"/>
      <c r="UP23" s="48"/>
      <c r="UQ23" s="48"/>
      <c r="UR23" s="48"/>
      <c r="US23" s="48"/>
      <c r="UT23" s="48"/>
      <c r="UU23" s="48"/>
      <c r="UV23" s="48"/>
      <c r="UW23" s="48"/>
      <c r="UX23" s="48"/>
      <c r="UY23" s="48"/>
      <c r="UZ23" s="48"/>
      <c r="VA23" s="48"/>
      <c r="VB23" s="48"/>
      <c r="VC23" s="48"/>
      <c r="VD23" s="48"/>
      <c r="VE23" s="48"/>
      <c r="VF23" s="48"/>
      <c r="VG23" s="48"/>
      <c r="VH23" s="48"/>
      <c r="VI23" s="48"/>
      <c r="VJ23" s="48"/>
      <c r="VK23" s="48"/>
      <c r="VL23" s="48"/>
      <c r="VM23" s="48"/>
      <c r="VN23" s="48"/>
      <c r="VO23" s="48"/>
      <c r="VP23" s="48"/>
      <c r="VQ23" s="48"/>
      <c r="VR23" s="48"/>
      <c r="VS23" s="48"/>
      <c r="VT23" s="48"/>
      <c r="VU23" s="48"/>
      <c r="VV23" s="48"/>
      <c r="VW23" s="48"/>
      <c r="VX23" s="48"/>
      <c r="VY23" s="48"/>
      <c r="VZ23" s="48"/>
      <c r="WA23" s="48"/>
      <c r="WB23" s="48"/>
      <c r="WC23" s="48"/>
      <c r="WD23" s="48"/>
      <c r="WE23" s="48"/>
    </row>
    <row r="24" spans="1:603" s="52" customFormat="1" x14ac:dyDescent="0.4">
      <c r="A24" s="45"/>
      <c r="B24" s="45"/>
      <c r="C24" s="45"/>
      <c r="D24" s="45"/>
      <c r="E24" s="45"/>
      <c r="F24" s="45"/>
      <c r="G24" s="45"/>
      <c r="H24" s="45"/>
      <c r="I24" s="45"/>
      <c r="J24" s="48"/>
      <c r="K24" s="48"/>
      <c r="L24" s="49"/>
      <c r="M24" s="49"/>
      <c r="N24" s="48"/>
      <c r="O24" s="48"/>
      <c r="P24" s="49"/>
      <c r="Q24" s="49"/>
      <c r="R24" s="48"/>
      <c r="S24" s="48"/>
      <c r="T24" s="49"/>
      <c r="U24" s="49"/>
      <c r="V24" s="48"/>
      <c r="W24" s="48"/>
      <c r="X24" s="49"/>
      <c r="Y24" s="49"/>
      <c r="Z24" s="48"/>
      <c r="AA24" s="48"/>
      <c r="AB24" s="49"/>
      <c r="AC24" s="49"/>
      <c r="AD24" s="48"/>
      <c r="AE24" s="48"/>
      <c r="AF24" s="49"/>
      <c r="AG24" s="49"/>
      <c r="AH24" s="48"/>
      <c r="AI24" s="48"/>
      <c r="AJ24" s="49"/>
      <c r="AK24" s="49"/>
      <c r="AL24" s="48"/>
      <c r="AM24" s="48"/>
      <c r="AN24" s="49"/>
      <c r="AO24" s="49"/>
      <c r="AP24" s="48"/>
      <c r="AQ24" s="48"/>
      <c r="AR24" s="49"/>
      <c r="AS24" s="49"/>
      <c r="AT24" s="48"/>
      <c r="AU24" s="48"/>
      <c r="AV24" s="49"/>
      <c r="AW24" s="49"/>
      <c r="AX24" s="48"/>
      <c r="AY24" s="48"/>
      <c r="AZ24" s="49"/>
      <c r="BA24" s="49"/>
      <c r="BB24" s="48"/>
      <c r="BC24" s="48"/>
      <c r="BD24" s="49"/>
      <c r="BE24" s="49"/>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c r="IW24" s="48"/>
      <c r="IX24" s="48"/>
      <c r="IY24" s="48"/>
      <c r="IZ24" s="48"/>
      <c r="JA24" s="48"/>
      <c r="JB24" s="48"/>
      <c r="JC24" s="48"/>
      <c r="JD24" s="48"/>
      <c r="JE24" s="48"/>
      <c r="JF24" s="48"/>
      <c r="JG24" s="48"/>
      <c r="JH24" s="48"/>
      <c r="JI24" s="48"/>
      <c r="JJ24" s="48"/>
      <c r="JK24" s="48"/>
      <c r="JL24" s="48"/>
      <c r="JM24" s="48"/>
      <c r="JN24" s="48"/>
      <c r="JO24" s="48"/>
      <c r="JP24" s="48"/>
      <c r="JQ24" s="48"/>
      <c r="JR24" s="48"/>
      <c r="JS24" s="48"/>
      <c r="JT24" s="48"/>
      <c r="JU24" s="48"/>
      <c r="JV24" s="48"/>
      <c r="JW24" s="48"/>
      <c r="JX24" s="48"/>
      <c r="JY24" s="48"/>
      <c r="JZ24" s="48"/>
      <c r="KA24" s="48"/>
      <c r="KB24" s="48"/>
      <c r="KC24" s="48"/>
      <c r="KD24" s="48"/>
      <c r="KE24" s="48"/>
      <c r="KF24" s="48"/>
      <c r="KG24" s="48"/>
      <c r="KH24" s="48"/>
      <c r="KI24" s="48"/>
      <c r="KJ24" s="48"/>
      <c r="KK24" s="48"/>
      <c r="KL24" s="48"/>
      <c r="KM24" s="48"/>
      <c r="KN24" s="48"/>
      <c r="KO24" s="48"/>
      <c r="KP24" s="48"/>
      <c r="KQ24" s="48"/>
      <c r="KR24" s="48"/>
      <c r="KS24" s="48"/>
      <c r="KT24" s="48"/>
      <c r="KU24" s="48"/>
      <c r="KV24" s="48"/>
      <c r="KW24" s="48"/>
      <c r="KX24" s="48"/>
      <c r="KY24" s="48"/>
      <c r="KZ24" s="48"/>
      <c r="LA24" s="48"/>
      <c r="LB24" s="48"/>
      <c r="LC24" s="48"/>
      <c r="LD24" s="48"/>
      <c r="LE24" s="48"/>
      <c r="LF24" s="48"/>
      <c r="LG24" s="48"/>
      <c r="LH24" s="48"/>
      <c r="LI24" s="48"/>
      <c r="LJ24" s="48"/>
      <c r="LK24" s="48"/>
      <c r="LL24" s="48"/>
      <c r="LM24" s="48"/>
      <c r="LN24" s="48"/>
      <c r="LO24" s="48"/>
      <c r="LP24" s="48"/>
      <c r="LQ24" s="48"/>
      <c r="LR24" s="48"/>
      <c r="LS24" s="48"/>
      <c r="LT24" s="48"/>
      <c r="LU24" s="48"/>
      <c r="LV24" s="48"/>
      <c r="LW24" s="48"/>
      <c r="LX24" s="48"/>
      <c r="LY24" s="48"/>
      <c r="LZ24" s="48"/>
      <c r="MA24" s="48"/>
      <c r="MB24" s="48"/>
      <c r="MC24" s="48"/>
      <c r="MD24" s="48"/>
      <c r="ME24" s="48"/>
      <c r="MF24" s="48"/>
      <c r="MG24" s="48"/>
      <c r="MH24" s="48"/>
      <c r="MI24" s="48"/>
      <c r="MJ24" s="48"/>
      <c r="MK24" s="48"/>
      <c r="ML24" s="48"/>
      <c r="MM24" s="48"/>
      <c r="MN24" s="48"/>
      <c r="MO24" s="48"/>
      <c r="MP24" s="48"/>
      <c r="MQ24" s="48"/>
      <c r="MR24" s="48"/>
      <c r="MS24" s="48"/>
      <c r="MT24" s="48"/>
      <c r="MU24" s="48"/>
      <c r="MV24" s="48"/>
      <c r="MW24" s="48"/>
      <c r="MX24" s="48"/>
      <c r="MY24" s="48"/>
      <c r="MZ24" s="48"/>
      <c r="NA24" s="48"/>
      <c r="NB24" s="48"/>
      <c r="NC24" s="48"/>
      <c r="ND24" s="48"/>
      <c r="NE24" s="48"/>
      <c r="NF24" s="48"/>
      <c r="NG24" s="48"/>
      <c r="NH24" s="48"/>
      <c r="NI24" s="48"/>
      <c r="NJ24" s="48"/>
      <c r="NK24" s="48"/>
      <c r="NL24" s="48"/>
      <c r="NM24" s="48"/>
      <c r="NN24" s="48"/>
      <c r="NO24" s="48"/>
      <c r="NP24" s="48"/>
      <c r="NQ24" s="48"/>
      <c r="NR24" s="48"/>
      <c r="NS24" s="48"/>
      <c r="NT24" s="48"/>
      <c r="NU24" s="48"/>
      <c r="NV24" s="48"/>
      <c r="NW24" s="48"/>
      <c r="NX24" s="48"/>
      <c r="NY24" s="48"/>
      <c r="NZ24" s="48"/>
      <c r="OA24" s="48"/>
      <c r="OB24" s="48"/>
      <c r="OC24" s="48"/>
      <c r="OD24" s="48"/>
      <c r="OE24" s="48"/>
      <c r="OF24" s="48"/>
      <c r="OG24" s="48"/>
      <c r="OH24" s="48"/>
      <c r="OI24" s="48"/>
      <c r="OJ24" s="48"/>
      <c r="OK24" s="48"/>
      <c r="OL24" s="48"/>
      <c r="OM24" s="48"/>
      <c r="ON24" s="48"/>
      <c r="OO24" s="48"/>
      <c r="OP24" s="48"/>
      <c r="OQ24" s="48"/>
      <c r="OR24" s="48"/>
      <c r="OS24" s="48"/>
      <c r="OT24" s="48"/>
      <c r="OU24" s="48"/>
      <c r="OV24" s="48"/>
      <c r="OW24" s="48"/>
      <c r="OX24" s="48"/>
      <c r="OY24" s="48"/>
      <c r="OZ24" s="48"/>
      <c r="PA24" s="48"/>
      <c r="PB24" s="48"/>
      <c r="PC24" s="48"/>
      <c r="PD24" s="48"/>
      <c r="PE24" s="48"/>
      <c r="PF24" s="48"/>
      <c r="PG24" s="48"/>
      <c r="PH24" s="48"/>
      <c r="PI24" s="48"/>
      <c r="PJ24" s="48"/>
      <c r="PK24" s="48"/>
      <c r="PL24" s="48"/>
      <c r="PM24" s="48"/>
      <c r="PN24" s="48"/>
      <c r="PO24" s="48"/>
      <c r="PP24" s="48"/>
      <c r="PQ24" s="48"/>
      <c r="PR24" s="48"/>
      <c r="PS24" s="48"/>
      <c r="PT24" s="48"/>
      <c r="PU24" s="48"/>
      <c r="PV24" s="48"/>
      <c r="PW24" s="48"/>
      <c r="PX24" s="48"/>
      <c r="PY24" s="48"/>
      <c r="PZ24" s="48"/>
      <c r="QA24" s="48"/>
      <c r="QB24" s="48"/>
      <c r="QC24" s="48"/>
      <c r="QD24" s="48"/>
      <c r="QE24" s="48"/>
      <c r="QF24" s="48"/>
      <c r="QG24" s="48"/>
      <c r="QH24" s="48"/>
      <c r="QI24" s="48"/>
      <c r="QJ24" s="48"/>
      <c r="QK24" s="48"/>
      <c r="QL24" s="48"/>
      <c r="QM24" s="48"/>
      <c r="QN24" s="48"/>
      <c r="QO24" s="48"/>
      <c r="QP24" s="48"/>
      <c r="QQ24" s="48"/>
      <c r="QR24" s="48"/>
      <c r="QS24" s="48"/>
      <c r="QT24" s="48"/>
      <c r="QU24" s="48"/>
      <c r="QV24" s="48"/>
      <c r="QW24" s="48"/>
      <c r="QX24" s="48"/>
      <c r="QY24" s="48"/>
      <c r="QZ24" s="48"/>
      <c r="RA24" s="48"/>
      <c r="RB24" s="48"/>
      <c r="RC24" s="48"/>
      <c r="RD24" s="48"/>
      <c r="RE24" s="48"/>
      <c r="RF24" s="48"/>
      <c r="RG24" s="48"/>
      <c r="RH24" s="48"/>
      <c r="RI24" s="48"/>
      <c r="RJ24" s="48"/>
      <c r="RK24" s="48"/>
      <c r="RL24" s="48"/>
      <c r="RM24" s="48"/>
      <c r="RN24" s="48"/>
      <c r="RO24" s="48"/>
      <c r="RP24" s="48"/>
      <c r="RQ24" s="48"/>
      <c r="RR24" s="48"/>
      <c r="RS24" s="48"/>
      <c r="RT24" s="48"/>
      <c r="RU24" s="48"/>
      <c r="RV24" s="48"/>
      <c r="RW24" s="48"/>
      <c r="RX24" s="48"/>
      <c r="RY24" s="48"/>
      <c r="RZ24" s="48"/>
      <c r="SA24" s="48"/>
      <c r="SB24" s="48"/>
      <c r="SC24" s="48"/>
      <c r="SD24" s="48"/>
      <c r="SE24" s="48"/>
      <c r="SF24" s="48"/>
      <c r="SG24" s="48"/>
      <c r="SH24" s="48"/>
      <c r="SI24" s="48"/>
      <c r="SJ24" s="48"/>
      <c r="SK24" s="48"/>
      <c r="SL24" s="48"/>
      <c r="SM24" s="48"/>
      <c r="SN24" s="48"/>
      <c r="SO24" s="48"/>
      <c r="SP24" s="48"/>
      <c r="SQ24" s="48"/>
      <c r="SR24" s="48"/>
      <c r="SS24" s="48"/>
      <c r="ST24" s="48"/>
      <c r="SU24" s="48"/>
      <c r="SV24" s="48"/>
      <c r="SW24" s="48"/>
      <c r="SX24" s="48"/>
      <c r="SY24" s="48"/>
      <c r="SZ24" s="48"/>
      <c r="TA24" s="48"/>
      <c r="TB24" s="48"/>
      <c r="TC24" s="48"/>
      <c r="TD24" s="48"/>
      <c r="TE24" s="48"/>
      <c r="TF24" s="48"/>
      <c r="TG24" s="48"/>
      <c r="TH24" s="48"/>
      <c r="TI24" s="48"/>
      <c r="TJ24" s="48"/>
      <c r="TK24" s="48"/>
      <c r="TL24" s="48"/>
      <c r="TM24" s="48"/>
      <c r="TN24" s="48"/>
      <c r="TO24" s="48"/>
      <c r="TP24" s="48"/>
      <c r="TQ24" s="48"/>
      <c r="TR24" s="48"/>
      <c r="TS24" s="48"/>
      <c r="TT24" s="48"/>
      <c r="TU24" s="48"/>
      <c r="TV24" s="48"/>
      <c r="TW24" s="48"/>
      <c r="TX24" s="48"/>
      <c r="TY24" s="48"/>
      <c r="TZ24" s="48"/>
      <c r="UA24" s="48"/>
      <c r="UB24" s="48"/>
      <c r="UC24" s="48"/>
      <c r="UD24" s="48"/>
      <c r="UE24" s="48"/>
      <c r="UF24" s="48"/>
      <c r="UG24" s="48"/>
      <c r="UH24" s="48"/>
      <c r="UI24" s="48"/>
      <c r="UJ24" s="48"/>
      <c r="UK24" s="48"/>
      <c r="UL24" s="48"/>
      <c r="UM24" s="48"/>
      <c r="UN24" s="48"/>
      <c r="UO24" s="48"/>
      <c r="UP24" s="48"/>
      <c r="UQ24" s="48"/>
      <c r="UR24" s="48"/>
      <c r="US24" s="48"/>
      <c r="UT24" s="48"/>
      <c r="UU24" s="48"/>
      <c r="UV24" s="48"/>
      <c r="UW24" s="48"/>
      <c r="UX24" s="48"/>
      <c r="UY24" s="48"/>
      <c r="UZ24" s="48"/>
      <c r="VA24" s="48"/>
      <c r="VB24" s="48"/>
      <c r="VC24" s="48"/>
      <c r="VD24" s="48"/>
      <c r="VE24" s="48"/>
      <c r="VF24" s="48"/>
      <c r="VG24" s="48"/>
      <c r="VH24" s="48"/>
      <c r="VI24" s="48"/>
      <c r="VJ24" s="48"/>
      <c r="VK24" s="48"/>
      <c r="VL24" s="48"/>
      <c r="VM24" s="48"/>
      <c r="VN24" s="48"/>
      <c r="VO24" s="48"/>
      <c r="VP24" s="48"/>
      <c r="VQ24" s="48"/>
      <c r="VR24" s="48"/>
      <c r="VS24" s="48"/>
      <c r="VT24" s="48"/>
      <c r="VU24" s="48"/>
      <c r="VV24" s="48"/>
      <c r="VW24" s="48"/>
      <c r="VX24" s="48"/>
      <c r="VY24" s="48"/>
      <c r="VZ24" s="48"/>
      <c r="WA24" s="48"/>
      <c r="WB24" s="48"/>
      <c r="WC24" s="48"/>
      <c r="WD24" s="48"/>
      <c r="WE24" s="48"/>
    </row>
    <row r="25" spans="1:603" s="53" customFormat="1" x14ac:dyDescent="0.4">
      <c r="A25" s="45"/>
      <c r="B25" s="45"/>
      <c r="C25" s="45"/>
      <c r="D25" s="45"/>
      <c r="E25" s="45"/>
      <c r="F25" s="45"/>
      <c r="G25" s="45"/>
      <c r="H25" s="45"/>
      <c r="I25" s="45"/>
      <c r="J25" s="48"/>
      <c r="K25" s="48"/>
      <c r="L25" s="49"/>
      <c r="M25" s="49"/>
      <c r="N25" s="48"/>
      <c r="O25" s="48"/>
      <c r="P25" s="49"/>
      <c r="Q25" s="49"/>
      <c r="R25" s="48"/>
      <c r="S25" s="48"/>
      <c r="T25" s="49"/>
      <c r="U25" s="49"/>
      <c r="V25" s="48"/>
      <c r="W25" s="48"/>
      <c r="X25" s="49"/>
      <c r="Y25" s="49"/>
      <c r="Z25" s="48"/>
      <c r="AA25" s="48"/>
      <c r="AB25" s="49"/>
      <c r="AC25" s="49"/>
      <c r="AD25" s="48"/>
      <c r="AE25" s="48"/>
      <c r="AF25" s="49"/>
      <c r="AG25" s="49"/>
      <c r="AH25" s="48"/>
      <c r="AI25" s="48"/>
      <c r="AJ25" s="49"/>
      <c r="AK25" s="49"/>
      <c r="AL25" s="48"/>
      <c r="AM25" s="48"/>
      <c r="AN25" s="49"/>
      <c r="AO25" s="49"/>
      <c r="AP25" s="48"/>
      <c r="AQ25" s="48"/>
      <c r="AR25" s="49"/>
      <c r="AS25" s="49"/>
      <c r="AT25" s="48"/>
      <c r="AU25" s="48"/>
      <c r="AV25" s="49"/>
      <c r="AW25" s="49"/>
      <c r="AX25" s="48"/>
      <c r="AY25" s="48"/>
      <c r="AZ25" s="49"/>
      <c r="BA25" s="49"/>
      <c r="BB25" s="48"/>
      <c r="BC25" s="48"/>
      <c r="BD25" s="49"/>
      <c r="BE25" s="49"/>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c r="IW25" s="48"/>
      <c r="IX25" s="48"/>
      <c r="IY25" s="48"/>
      <c r="IZ25" s="48"/>
      <c r="JA25" s="48"/>
      <c r="JB25" s="48"/>
      <c r="JC25" s="48"/>
      <c r="JD25" s="48"/>
      <c r="JE25" s="48"/>
      <c r="JF25" s="48"/>
      <c r="JG25" s="48"/>
      <c r="JH25" s="48"/>
      <c r="JI25" s="48"/>
      <c r="JJ25" s="48"/>
      <c r="JK25" s="48"/>
      <c r="JL25" s="48"/>
      <c r="JM25" s="48"/>
      <c r="JN25" s="48"/>
      <c r="JO25" s="48"/>
      <c r="JP25" s="48"/>
      <c r="JQ25" s="48"/>
      <c r="JR25" s="48"/>
      <c r="JS25" s="48"/>
      <c r="JT25" s="48"/>
      <c r="JU25" s="48"/>
      <c r="JV25" s="48"/>
      <c r="JW25" s="48"/>
      <c r="JX25" s="48"/>
      <c r="JY25" s="48"/>
      <c r="JZ25" s="48"/>
      <c r="KA25" s="48"/>
      <c r="KB25" s="48"/>
      <c r="KC25" s="48"/>
      <c r="KD25" s="48"/>
      <c r="KE25" s="48"/>
      <c r="KF25" s="48"/>
      <c r="KG25" s="48"/>
      <c r="KH25" s="48"/>
      <c r="KI25" s="48"/>
      <c r="KJ25" s="48"/>
      <c r="KK25" s="48"/>
      <c r="KL25" s="48"/>
      <c r="KM25" s="48"/>
      <c r="KN25" s="48"/>
      <c r="KO25" s="48"/>
      <c r="KP25" s="48"/>
      <c r="KQ25" s="48"/>
      <c r="KR25" s="48"/>
      <c r="KS25" s="48"/>
      <c r="KT25" s="48"/>
      <c r="KU25" s="48"/>
      <c r="KV25" s="48"/>
      <c r="KW25" s="48"/>
      <c r="KX25" s="48"/>
      <c r="KY25" s="48"/>
      <c r="KZ25" s="48"/>
      <c r="LA25" s="48"/>
      <c r="LB25" s="48"/>
      <c r="LC25" s="48"/>
      <c r="LD25" s="48"/>
      <c r="LE25" s="48"/>
      <c r="LF25" s="48"/>
      <c r="LG25" s="48"/>
      <c r="LH25" s="48"/>
      <c r="LI25" s="48"/>
      <c r="LJ25" s="48"/>
      <c r="LK25" s="48"/>
      <c r="LL25" s="48"/>
      <c r="LM25" s="48"/>
      <c r="LN25" s="48"/>
      <c r="LO25" s="48"/>
      <c r="LP25" s="48"/>
      <c r="LQ25" s="48"/>
      <c r="LR25" s="48"/>
      <c r="LS25" s="48"/>
      <c r="LT25" s="48"/>
      <c r="LU25" s="48"/>
      <c r="LV25" s="48"/>
      <c r="LW25" s="48"/>
      <c r="LX25" s="48"/>
      <c r="LY25" s="48"/>
      <c r="LZ25" s="48"/>
      <c r="MA25" s="48"/>
      <c r="MB25" s="48"/>
      <c r="MC25" s="48"/>
      <c r="MD25" s="48"/>
      <c r="ME25" s="48"/>
      <c r="MF25" s="48"/>
      <c r="MG25" s="48"/>
      <c r="MH25" s="48"/>
      <c r="MI25" s="48"/>
      <c r="MJ25" s="48"/>
      <c r="MK25" s="48"/>
      <c r="ML25" s="48"/>
      <c r="MM25" s="48"/>
      <c r="MN25" s="48"/>
      <c r="MO25" s="48"/>
      <c r="MP25" s="48"/>
      <c r="MQ25" s="48"/>
      <c r="MR25" s="48"/>
      <c r="MS25" s="48"/>
      <c r="MT25" s="48"/>
      <c r="MU25" s="48"/>
      <c r="MV25" s="48"/>
      <c r="MW25" s="48"/>
      <c r="MX25" s="48"/>
      <c r="MY25" s="48"/>
      <c r="MZ25" s="48"/>
      <c r="NA25" s="48"/>
      <c r="NB25" s="48"/>
      <c r="NC25" s="48"/>
      <c r="ND25" s="48"/>
      <c r="NE25" s="48"/>
      <c r="NF25" s="48"/>
      <c r="NG25" s="48"/>
      <c r="NH25" s="48"/>
      <c r="NI25" s="48"/>
      <c r="NJ25" s="48"/>
      <c r="NK25" s="48"/>
      <c r="NL25" s="48"/>
      <c r="NM25" s="48"/>
      <c r="NN25" s="48"/>
      <c r="NO25" s="48"/>
      <c r="NP25" s="48"/>
      <c r="NQ25" s="48"/>
      <c r="NR25" s="48"/>
      <c r="NS25" s="48"/>
      <c r="NT25" s="48"/>
      <c r="NU25" s="48"/>
      <c r="NV25" s="48"/>
      <c r="NW25" s="48"/>
      <c r="NX25" s="48"/>
      <c r="NY25" s="48"/>
      <c r="NZ25" s="48"/>
      <c r="OA25" s="48"/>
      <c r="OB25" s="48"/>
      <c r="OC25" s="48"/>
      <c r="OD25" s="48"/>
      <c r="OE25" s="48"/>
      <c r="OF25" s="48"/>
      <c r="OG25" s="48"/>
      <c r="OH25" s="48"/>
      <c r="OI25" s="48"/>
      <c r="OJ25" s="48"/>
      <c r="OK25" s="48"/>
      <c r="OL25" s="48"/>
      <c r="OM25" s="48"/>
      <c r="ON25" s="48"/>
      <c r="OO25" s="48"/>
      <c r="OP25" s="48"/>
      <c r="OQ25" s="48"/>
      <c r="OR25" s="48"/>
      <c r="OS25" s="48"/>
      <c r="OT25" s="48"/>
      <c r="OU25" s="48"/>
      <c r="OV25" s="48"/>
      <c r="OW25" s="48"/>
      <c r="OX25" s="48"/>
      <c r="OY25" s="48"/>
      <c r="OZ25" s="48"/>
      <c r="PA25" s="48"/>
      <c r="PB25" s="48"/>
      <c r="PC25" s="48"/>
      <c r="PD25" s="48"/>
      <c r="PE25" s="48"/>
      <c r="PF25" s="48"/>
      <c r="PG25" s="48"/>
      <c r="PH25" s="48"/>
      <c r="PI25" s="48"/>
      <c r="PJ25" s="48"/>
      <c r="PK25" s="48"/>
      <c r="PL25" s="48"/>
      <c r="PM25" s="48"/>
      <c r="PN25" s="48"/>
      <c r="PO25" s="48"/>
      <c r="PP25" s="48"/>
      <c r="PQ25" s="48"/>
      <c r="PR25" s="48"/>
      <c r="PS25" s="48"/>
      <c r="PT25" s="48"/>
      <c r="PU25" s="48"/>
      <c r="PV25" s="48"/>
      <c r="PW25" s="48"/>
      <c r="PX25" s="48"/>
      <c r="PY25" s="48"/>
      <c r="PZ25" s="48"/>
      <c r="QA25" s="48"/>
      <c r="QB25" s="48"/>
      <c r="QC25" s="48"/>
      <c r="QD25" s="48"/>
      <c r="QE25" s="48"/>
      <c r="QF25" s="48"/>
      <c r="QG25" s="48"/>
      <c r="QH25" s="48"/>
      <c r="QI25" s="48"/>
      <c r="QJ25" s="48"/>
      <c r="QK25" s="48"/>
      <c r="QL25" s="48"/>
      <c r="QM25" s="48"/>
      <c r="QN25" s="48"/>
      <c r="QO25" s="48"/>
      <c r="QP25" s="48"/>
      <c r="QQ25" s="48"/>
      <c r="QR25" s="48"/>
      <c r="QS25" s="48"/>
      <c r="QT25" s="48"/>
      <c r="QU25" s="48"/>
      <c r="QV25" s="48"/>
      <c r="QW25" s="48"/>
      <c r="QX25" s="48"/>
      <c r="QY25" s="48"/>
      <c r="QZ25" s="48"/>
      <c r="RA25" s="48"/>
      <c r="RB25" s="48"/>
      <c r="RC25" s="48"/>
      <c r="RD25" s="48"/>
      <c r="RE25" s="48"/>
      <c r="RF25" s="48"/>
      <c r="RG25" s="48"/>
      <c r="RH25" s="48"/>
      <c r="RI25" s="48"/>
      <c r="RJ25" s="48"/>
      <c r="RK25" s="48"/>
      <c r="RL25" s="48"/>
      <c r="RM25" s="48"/>
      <c r="RN25" s="48"/>
      <c r="RO25" s="48"/>
      <c r="RP25" s="48"/>
      <c r="RQ25" s="48"/>
      <c r="RR25" s="48"/>
      <c r="RS25" s="48"/>
      <c r="RT25" s="48"/>
      <c r="RU25" s="48"/>
      <c r="RV25" s="48"/>
      <c r="RW25" s="48"/>
      <c r="RX25" s="48"/>
      <c r="RY25" s="48"/>
      <c r="RZ25" s="48"/>
      <c r="SA25" s="48"/>
      <c r="SB25" s="48"/>
      <c r="SC25" s="48"/>
      <c r="SD25" s="48"/>
      <c r="SE25" s="48"/>
      <c r="SF25" s="48"/>
      <c r="SG25" s="48"/>
      <c r="SH25" s="48"/>
      <c r="SI25" s="48"/>
      <c r="SJ25" s="48"/>
      <c r="SK25" s="48"/>
      <c r="SL25" s="48"/>
      <c r="SM25" s="48"/>
      <c r="SN25" s="48"/>
      <c r="SO25" s="48"/>
      <c r="SP25" s="48"/>
      <c r="SQ25" s="48"/>
      <c r="SR25" s="48"/>
      <c r="SS25" s="48"/>
      <c r="ST25" s="48"/>
      <c r="SU25" s="48"/>
      <c r="SV25" s="48"/>
      <c r="SW25" s="48"/>
      <c r="SX25" s="48"/>
      <c r="SY25" s="48"/>
      <c r="SZ25" s="48"/>
      <c r="TA25" s="48"/>
      <c r="TB25" s="48"/>
      <c r="TC25" s="48"/>
      <c r="TD25" s="48"/>
      <c r="TE25" s="48"/>
      <c r="TF25" s="48"/>
      <c r="TG25" s="48"/>
      <c r="TH25" s="48"/>
      <c r="TI25" s="48"/>
      <c r="TJ25" s="48"/>
      <c r="TK25" s="48"/>
      <c r="TL25" s="48"/>
      <c r="TM25" s="48"/>
      <c r="TN25" s="48"/>
      <c r="TO25" s="48"/>
      <c r="TP25" s="48"/>
      <c r="TQ25" s="48"/>
      <c r="TR25" s="48"/>
      <c r="TS25" s="48"/>
      <c r="TT25" s="48"/>
      <c r="TU25" s="48"/>
      <c r="TV25" s="48"/>
      <c r="TW25" s="48"/>
      <c r="TX25" s="48"/>
      <c r="TY25" s="48"/>
      <c r="TZ25" s="48"/>
      <c r="UA25" s="48"/>
      <c r="UB25" s="48"/>
      <c r="UC25" s="48"/>
      <c r="UD25" s="48"/>
      <c r="UE25" s="48"/>
      <c r="UF25" s="48"/>
      <c r="UG25" s="48"/>
      <c r="UH25" s="48"/>
      <c r="UI25" s="48"/>
      <c r="UJ25" s="48"/>
      <c r="UK25" s="48"/>
      <c r="UL25" s="48"/>
      <c r="UM25" s="48"/>
      <c r="UN25" s="48"/>
      <c r="UO25" s="48"/>
      <c r="UP25" s="48"/>
      <c r="UQ25" s="48"/>
      <c r="UR25" s="48"/>
      <c r="US25" s="48"/>
      <c r="UT25" s="48"/>
      <c r="UU25" s="48"/>
      <c r="UV25" s="48"/>
      <c r="UW25" s="48"/>
      <c r="UX25" s="48"/>
      <c r="UY25" s="48"/>
      <c r="UZ25" s="48"/>
      <c r="VA25" s="48"/>
      <c r="VB25" s="48"/>
      <c r="VC25" s="48"/>
      <c r="VD25" s="48"/>
      <c r="VE25" s="48"/>
      <c r="VF25" s="48"/>
      <c r="VG25" s="48"/>
      <c r="VH25" s="48"/>
      <c r="VI25" s="48"/>
      <c r="VJ25" s="48"/>
      <c r="VK25" s="48"/>
      <c r="VL25" s="48"/>
      <c r="VM25" s="48"/>
      <c r="VN25" s="48"/>
      <c r="VO25" s="48"/>
      <c r="VP25" s="48"/>
      <c r="VQ25" s="48"/>
      <c r="VR25" s="48"/>
      <c r="VS25" s="48"/>
      <c r="VT25" s="48"/>
      <c r="VU25" s="48"/>
      <c r="VV25" s="48"/>
      <c r="VW25" s="48"/>
      <c r="VX25" s="48"/>
      <c r="VY25" s="48"/>
      <c r="VZ25" s="48"/>
      <c r="WA25" s="48"/>
      <c r="WB25" s="48"/>
      <c r="WC25" s="48"/>
      <c r="WD25" s="48"/>
      <c r="WE25" s="48"/>
    </row>
    <row r="26" spans="1:603" s="53" customFormat="1" x14ac:dyDescent="0.4">
      <c r="A26" s="45"/>
      <c r="B26" s="45"/>
      <c r="C26" s="45"/>
      <c r="D26" s="45"/>
      <c r="E26" s="45"/>
      <c r="F26" s="45"/>
      <c r="G26" s="45"/>
      <c r="H26" s="45"/>
      <c r="I26" s="45"/>
      <c r="J26" s="48"/>
      <c r="K26" s="48"/>
      <c r="L26" s="49"/>
      <c r="M26" s="49"/>
      <c r="N26" s="48"/>
      <c r="O26" s="48"/>
      <c r="P26" s="49"/>
      <c r="Q26" s="49"/>
      <c r="R26" s="48"/>
      <c r="S26" s="48"/>
      <c r="T26" s="49"/>
      <c r="U26" s="49"/>
      <c r="V26" s="48"/>
      <c r="W26" s="48"/>
      <c r="X26" s="49"/>
      <c r="Y26" s="49"/>
      <c r="Z26" s="48"/>
      <c r="AA26" s="48"/>
      <c r="AB26" s="49"/>
      <c r="AC26" s="49"/>
      <c r="AD26" s="48"/>
      <c r="AE26" s="48"/>
      <c r="AF26" s="49"/>
      <c r="AG26" s="49"/>
      <c r="AH26" s="48"/>
      <c r="AI26" s="48"/>
      <c r="AJ26" s="49"/>
      <c r="AK26" s="49"/>
      <c r="AL26" s="48"/>
      <c r="AM26" s="48"/>
      <c r="AN26" s="49"/>
      <c r="AO26" s="49"/>
      <c r="AP26" s="48"/>
      <c r="AQ26" s="48"/>
      <c r="AR26" s="49"/>
      <c r="AS26" s="49"/>
      <c r="AT26" s="48"/>
      <c r="AU26" s="48"/>
      <c r="AV26" s="49"/>
      <c r="AW26" s="49"/>
      <c r="AX26" s="48"/>
      <c r="AY26" s="48"/>
      <c r="AZ26" s="49"/>
      <c r="BA26" s="49"/>
      <c r="BB26" s="48"/>
      <c r="BC26" s="48"/>
      <c r="BD26" s="49"/>
      <c r="BE26" s="49"/>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c r="IW26" s="48"/>
      <c r="IX26" s="48"/>
      <c r="IY26" s="48"/>
      <c r="IZ26" s="48"/>
      <c r="JA26" s="48"/>
      <c r="JB26" s="48"/>
      <c r="JC26" s="48"/>
      <c r="JD26" s="48"/>
      <c r="JE26" s="48"/>
      <c r="JF26" s="48"/>
      <c r="JG26" s="48"/>
      <c r="JH26" s="48"/>
      <c r="JI26" s="48"/>
      <c r="JJ26" s="48"/>
      <c r="JK26" s="48"/>
      <c r="JL26" s="48"/>
      <c r="JM26" s="48"/>
      <c r="JN26" s="48"/>
      <c r="JO26" s="48"/>
      <c r="JP26" s="48"/>
      <c r="JQ26" s="48"/>
      <c r="JR26" s="48"/>
      <c r="JS26" s="48"/>
      <c r="JT26" s="48"/>
      <c r="JU26" s="48"/>
      <c r="JV26" s="48"/>
      <c r="JW26" s="48"/>
      <c r="JX26" s="48"/>
      <c r="JY26" s="48"/>
      <c r="JZ26" s="48"/>
      <c r="KA26" s="48"/>
      <c r="KB26" s="48"/>
      <c r="KC26" s="48"/>
      <c r="KD26" s="48"/>
      <c r="KE26" s="48"/>
      <c r="KF26" s="48"/>
      <c r="KG26" s="48"/>
      <c r="KH26" s="48"/>
      <c r="KI26" s="48"/>
      <c r="KJ26" s="48"/>
      <c r="KK26" s="48"/>
      <c r="KL26" s="48"/>
      <c r="KM26" s="48"/>
      <c r="KN26" s="48"/>
      <c r="KO26" s="48"/>
      <c r="KP26" s="48"/>
      <c r="KQ26" s="48"/>
      <c r="KR26" s="48"/>
      <c r="KS26" s="48"/>
      <c r="KT26" s="48"/>
      <c r="KU26" s="48"/>
      <c r="KV26" s="48"/>
      <c r="KW26" s="48"/>
      <c r="KX26" s="48"/>
      <c r="KY26" s="48"/>
      <c r="KZ26" s="48"/>
      <c r="LA26" s="48"/>
      <c r="LB26" s="48"/>
      <c r="LC26" s="48"/>
      <c r="LD26" s="48"/>
      <c r="LE26" s="48"/>
      <c r="LF26" s="48"/>
      <c r="LG26" s="48"/>
      <c r="LH26" s="48"/>
      <c r="LI26" s="48"/>
      <c r="LJ26" s="48"/>
      <c r="LK26" s="48"/>
      <c r="LL26" s="48"/>
      <c r="LM26" s="48"/>
      <c r="LN26" s="48"/>
      <c r="LO26" s="48"/>
      <c r="LP26" s="48"/>
      <c r="LQ26" s="48"/>
      <c r="LR26" s="48"/>
      <c r="LS26" s="48"/>
      <c r="LT26" s="48"/>
      <c r="LU26" s="48"/>
      <c r="LV26" s="48"/>
      <c r="LW26" s="48"/>
      <c r="LX26" s="48"/>
      <c r="LY26" s="48"/>
      <c r="LZ26" s="48"/>
      <c r="MA26" s="48"/>
      <c r="MB26" s="48"/>
      <c r="MC26" s="48"/>
      <c r="MD26" s="48"/>
      <c r="ME26" s="48"/>
      <c r="MF26" s="48"/>
      <c r="MG26" s="48"/>
      <c r="MH26" s="48"/>
      <c r="MI26" s="48"/>
      <c r="MJ26" s="48"/>
      <c r="MK26" s="48"/>
      <c r="ML26" s="48"/>
      <c r="MM26" s="48"/>
      <c r="MN26" s="48"/>
      <c r="MO26" s="48"/>
      <c r="MP26" s="48"/>
      <c r="MQ26" s="48"/>
      <c r="MR26" s="48"/>
      <c r="MS26" s="48"/>
      <c r="MT26" s="48"/>
      <c r="MU26" s="48"/>
      <c r="MV26" s="48"/>
      <c r="MW26" s="48"/>
      <c r="MX26" s="48"/>
      <c r="MY26" s="48"/>
      <c r="MZ26" s="48"/>
      <c r="NA26" s="48"/>
      <c r="NB26" s="48"/>
      <c r="NC26" s="48"/>
      <c r="ND26" s="48"/>
      <c r="NE26" s="48"/>
      <c r="NF26" s="48"/>
      <c r="NG26" s="48"/>
      <c r="NH26" s="48"/>
      <c r="NI26" s="48"/>
      <c r="NJ26" s="48"/>
      <c r="NK26" s="48"/>
      <c r="NL26" s="48"/>
      <c r="NM26" s="48"/>
      <c r="NN26" s="48"/>
      <c r="NO26" s="48"/>
      <c r="NP26" s="48"/>
      <c r="NQ26" s="48"/>
      <c r="NR26" s="48"/>
      <c r="NS26" s="48"/>
      <c r="NT26" s="48"/>
      <c r="NU26" s="48"/>
      <c r="NV26" s="48"/>
      <c r="NW26" s="48"/>
      <c r="NX26" s="48"/>
      <c r="NY26" s="48"/>
      <c r="NZ26" s="48"/>
      <c r="OA26" s="48"/>
      <c r="OB26" s="48"/>
      <c r="OC26" s="48"/>
      <c r="OD26" s="48"/>
      <c r="OE26" s="48"/>
      <c r="OF26" s="48"/>
      <c r="OG26" s="48"/>
      <c r="OH26" s="48"/>
      <c r="OI26" s="48"/>
      <c r="OJ26" s="48"/>
      <c r="OK26" s="48"/>
      <c r="OL26" s="48"/>
      <c r="OM26" s="48"/>
      <c r="ON26" s="48"/>
      <c r="OO26" s="48"/>
      <c r="OP26" s="48"/>
      <c r="OQ26" s="48"/>
      <c r="OR26" s="48"/>
      <c r="OS26" s="48"/>
      <c r="OT26" s="48"/>
      <c r="OU26" s="48"/>
      <c r="OV26" s="48"/>
      <c r="OW26" s="48"/>
      <c r="OX26" s="48"/>
      <c r="OY26" s="48"/>
      <c r="OZ26" s="48"/>
      <c r="PA26" s="48"/>
      <c r="PB26" s="48"/>
      <c r="PC26" s="48"/>
      <c r="PD26" s="48"/>
      <c r="PE26" s="48"/>
      <c r="PF26" s="48"/>
      <c r="PG26" s="48"/>
      <c r="PH26" s="48"/>
      <c r="PI26" s="48"/>
      <c r="PJ26" s="48"/>
      <c r="PK26" s="48"/>
      <c r="PL26" s="48"/>
      <c r="PM26" s="48"/>
      <c r="PN26" s="48"/>
      <c r="PO26" s="48"/>
      <c r="PP26" s="48"/>
      <c r="PQ26" s="48"/>
      <c r="PR26" s="48"/>
      <c r="PS26" s="48"/>
      <c r="PT26" s="48"/>
      <c r="PU26" s="48"/>
      <c r="PV26" s="48"/>
      <c r="PW26" s="48"/>
      <c r="PX26" s="48"/>
      <c r="PY26" s="48"/>
      <c r="PZ26" s="48"/>
      <c r="QA26" s="48"/>
      <c r="QB26" s="48"/>
      <c r="QC26" s="48"/>
      <c r="QD26" s="48"/>
      <c r="QE26" s="48"/>
      <c r="QF26" s="48"/>
      <c r="QG26" s="48"/>
      <c r="QH26" s="48"/>
      <c r="QI26" s="48"/>
      <c r="QJ26" s="48"/>
      <c r="QK26" s="48"/>
      <c r="QL26" s="48"/>
      <c r="QM26" s="48"/>
      <c r="QN26" s="48"/>
      <c r="QO26" s="48"/>
      <c r="QP26" s="48"/>
      <c r="QQ26" s="48"/>
      <c r="QR26" s="48"/>
      <c r="QS26" s="48"/>
      <c r="QT26" s="48"/>
      <c r="QU26" s="48"/>
      <c r="QV26" s="48"/>
      <c r="QW26" s="48"/>
      <c r="QX26" s="48"/>
      <c r="QY26" s="48"/>
      <c r="QZ26" s="48"/>
      <c r="RA26" s="48"/>
      <c r="RB26" s="48"/>
      <c r="RC26" s="48"/>
      <c r="RD26" s="48"/>
      <c r="RE26" s="48"/>
      <c r="RF26" s="48"/>
      <c r="RG26" s="48"/>
      <c r="RH26" s="48"/>
      <c r="RI26" s="48"/>
      <c r="RJ26" s="48"/>
      <c r="RK26" s="48"/>
      <c r="RL26" s="48"/>
      <c r="RM26" s="48"/>
      <c r="RN26" s="48"/>
      <c r="RO26" s="48"/>
      <c r="RP26" s="48"/>
      <c r="RQ26" s="48"/>
      <c r="RR26" s="48"/>
      <c r="RS26" s="48"/>
      <c r="RT26" s="48"/>
      <c r="RU26" s="48"/>
      <c r="RV26" s="48"/>
      <c r="RW26" s="48"/>
      <c r="RX26" s="48"/>
      <c r="RY26" s="48"/>
      <c r="RZ26" s="48"/>
      <c r="SA26" s="48"/>
      <c r="SB26" s="48"/>
      <c r="SC26" s="48"/>
      <c r="SD26" s="48"/>
      <c r="SE26" s="48"/>
      <c r="SF26" s="48"/>
      <c r="SG26" s="48"/>
      <c r="SH26" s="48"/>
      <c r="SI26" s="48"/>
      <c r="SJ26" s="48"/>
      <c r="SK26" s="48"/>
      <c r="SL26" s="48"/>
      <c r="SM26" s="48"/>
      <c r="SN26" s="48"/>
      <c r="SO26" s="48"/>
      <c r="SP26" s="48"/>
      <c r="SQ26" s="48"/>
      <c r="SR26" s="48"/>
      <c r="SS26" s="48"/>
      <c r="ST26" s="48"/>
      <c r="SU26" s="48"/>
      <c r="SV26" s="48"/>
      <c r="SW26" s="48"/>
      <c r="SX26" s="48"/>
      <c r="SY26" s="48"/>
      <c r="SZ26" s="48"/>
      <c r="TA26" s="48"/>
      <c r="TB26" s="48"/>
      <c r="TC26" s="48"/>
      <c r="TD26" s="48"/>
      <c r="TE26" s="48"/>
      <c r="TF26" s="48"/>
      <c r="TG26" s="48"/>
      <c r="TH26" s="48"/>
      <c r="TI26" s="48"/>
      <c r="TJ26" s="48"/>
      <c r="TK26" s="48"/>
      <c r="TL26" s="48"/>
      <c r="TM26" s="48"/>
      <c r="TN26" s="48"/>
      <c r="TO26" s="48"/>
      <c r="TP26" s="48"/>
      <c r="TQ26" s="48"/>
      <c r="TR26" s="48"/>
      <c r="TS26" s="48"/>
      <c r="TT26" s="48"/>
      <c r="TU26" s="48"/>
      <c r="TV26" s="48"/>
      <c r="TW26" s="48"/>
      <c r="TX26" s="48"/>
      <c r="TY26" s="48"/>
      <c r="TZ26" s="48"/>
      <c r="UA26" s="48"/>
      <c r="UB26" s="48"/>
      <c r="UC26" s="48"/>
      <c r="UD26" s="48"/>
      <c r="UE26" s="48"/>
      <c r="UF26" s="48"/>
      <c r="UG26" s="48"/>
      <c r="UH26" s="48"/>
      <c r="UI26" s="48"/>
      <c r="UJ26" s="48"/>
      <c r="UK26" s="48"/>
      <c r="UL26" s="48"/>
      <c r="UM26" s="48"/>
      <c r="UN26" s="48"/>
      <c r="UO26" s="48"/>
      <c r="UP26" s="48"/>
      <c r="UQ26" s="48"/>
      <c r="UR26" s="48"/>
      <c r="US26" s="48"/>
      <c r="UT26" s="48"/>
      <c r="UU26" s="48"/>
      <c r="UV26" s="48"/>
      <c r="UW26" s="48"/>
      <c r="UX26" s="48"/>
      <c r="UY26" s="48"/>
      <c r="UZ26" s="48"/>
      <c r="VA26" s="48"/>
      <c r="VB26" s="48"/>
      <c r="VC26" s="48"/>
      <c r="VD26" s="48"/>
      <c r="VE26" s="48"/>
      <c r="VF26" s="48"/>
      <c r="VG26" s="48"/>
      <c r="VH26" s="48"/>
      <c r="VI26" s="48"/>
      <c r="VJ26" s="48"/>
      <c r="VK26" s="48"/>
      <c r="VL26" s="48"/>
      <c r="VM26" s="48"/>
      <c r="VN26" s="48"/>
      <c r="VO26" s="48"/>
      <c r="VP26" s="48"/>
      <c r="VQ26" s="48"/>
      <c r="VR26" s="48"/>
      <c r="VS26" s="48"/>
      <c r="VT26" s="48"/>
      <c r="VU26" s="48"/>
      <c r="VV26" s="48"/>
      <c r="VW26" s="48"/>
      <c r="VX26" s="48"/>
      <c r="VY26" s="48"/>
      <c r="VZ26" s="48"/>
      <c r="WA26" s="48"/>
      <c r="WB26" s="48"/>
      <c r="WC26" s="48"/>
      <c r="WD26" s="48"/>
      <c r="WE26" s="48"/>
    </row>
    <row r="27" spans="1:603" s="53" customFormat="1" x14ac:dyDescent="0.4">
      <c r="A27" s="45"/>
      <c r="B27" s="45"/>
      <c r="C27" s="45"/>
      <c r="D27" s="45"/>
      <c r="E27" s="45"/>
      <c r="F27" s="45"/>
      <c r="G27" s="45"/>
      <c r="H27" s="45"/>
      <c r="I27" s="45"/>
      <c r="J27" s="48"/>
      <c r="K27" s="48"/>
      <c r="L27" s="49"/>
      <c r="M27" s="49"/>
      <c r="N27" s="48"/>
      <c r="O27" s="48"/>
      <c r="P27" s="49"/>
      <c r="Q27" s="49"/>
      <c r="R27" s="48"/>
      <c r="S27" s="48"/>
      <c r="T27" s="49"/>
      <c r="U27" s="49"/>
      <c r="V27" s="48"/>
      <c r="W27" s="48"/>
      <c r="X27" s="49"/>
      <c r="Y27" s="49"/>
      <c r="Z27" s="48"/>
      <c r="AA27" s="48"/>
      <c r="AB27" s="49"/>
      <c r="AC27" s="49"/>
      <c r="AD27" s="48"/>
      <c r="AE27" s="48"/>
      <c r="AF27" s="49"/>
      <c r="AG27" s="49"/>
      <c r="AH27" s="48"/>
      <c r="AI27" s="48"/>
      <c r="AJ27" s="49"/>
      <c r="AK27" s="49"/>
      <c r="AL27" s="48"/>
      <c r="AM27" s="48"/>
      <c r="AN27" s="49"/>
      <c r="AO27" s="49"/>
      <c r="AP27" s="48"/>
      <c r="AQ27" s="48"/>
      <c r="AR27" s="49"/>
      <c r="AS27" s="49"/>
      <c r="AT27" s="48"/>
      <c r="AU27" s="48"/>
      <c r="AV27" s="49"/>
      <c r="AW27" s="49"/>
      <c r="AX27" s="48"/>
      <c r="AY27" s="48"/>
      <c r="AZ27" s="49"/>
      <c r="BA27" s="49"/>
      <c r="BB27" s="48"/>
      <c r="BC27" s="48"/>
      <c r="BD27" s="49"/>
      <c r="BE27" s="49"/>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c r="IW27" s="48"/>
      <c r="IX27" s="48"/>
      <c r="IY27" s="48"/>
      <c r="IZ27" s="48"/>
      <c r="JA27" s="48"/>
      <c r="JB27" s="48"/>
      <c r="JC27" s="48"/>
      <c r="JD27" s="48"/>
      <c r="JE27" s="48"/>
      <c r="JF27" s="48"/>
      <c r="JG27" s="48"/>
      <c r="JH27" s="48"/>
      <c r="JI27" s="48"/>
      <c r="JJ27" s="48"/>
      <c r="JK27" s="48"/>
      <c r="JL27" s="48"/>
      <c r="JM27" s="48"/>
      <c r="JN27" s="48"/>
      <c r="JO27" s="48"/>
      <c r="JP27" s="48"/>
      <c r="JQ27" s="48"/>
      <c r="JR27" s="48"/>
      <c r="JS27" s="48"/>
      <c r="JT27" s="48"/>
      <c r="JU27" s="48"/>
      <c r="JV27" s="48"/>
      <c r="JW27" s="48"/>
      <c r="JX27" s="48"/>
      <c r="JY27" s="48"/>
      <c r="JZ27" s="48"/>
      <c r="KA27" s="48"/>
      <c r="KB27" s="48"/>
      <c r="KC27" s="48"/>
      <c r="KD27" s="48"/>
      <c r="KE27" s="48"/>
      <c r="KF27" s="48"/>
      <c r="KG27" s="48"/>
      <c r="KH27" s="48"/>
      <c r="KI27" s="48"/>
      <c r="KJ27" s="48"/>
      <c r="KK27" s="48"/>
      <c r="KL27" s="48"/>
      <c r="KM27" s="48"/>
      <c r="KN27" s="48"/>
      <c r="KO27" s="48"/>
      <c r="KP27" s="48"/>
      <c r="KQ27" s="48"/>
      <c r="KR27" s="48"/>
      <c r="KS27" s="48"/>
      <c r="KT27" s="48"/>
      <c r="KU27" s="48"/>
      <c r="KV27" s="48"/>
      <c r="KW27" s="48"/>
      <c r="KX27" s="48"/>
      <c r="KY27" s="48"/>
      <c r="KZ27" s="48"/>
      <c r="LA27" s="48"/>
      <c r="LB27" s="48"/>
      <c r="LC27" s="48"/>
      <c r="LD27" s="48"/>
      <c r="LE27" s="48"/>
      <c r="LF27" s="48"/>
      <c r="LG27" s="48"/>
      <c r="LH27" s="48"/>
      <c r="LI27" s="48"/>
      <c r="LJ27" s="48"/>
      <c r="LK27" s="48"/>
      <c r="LL27" s="48"/>
      <c r="LM27" s="48"/>
      <c r="LN27" s="48"/>
      <c r="LO27" s="48"/>
      <c r="LP27" s="48"/>
      <c r="LQ27" s="48"/>
      <c r="LR27" s="48"/>
      <c r="LS27" s="48"/>
      <c r="LT27" s="48"/>
      <c r="LU27" s="48"/>
      <c r="LV27" s="48"/>
      <c r="LW27" s="48"/>
      <c r="LX27" s="48"/>
      <c r="LY27" s="48"/>
      <c r="LZ27" s="48"/>
      <c r="MA27" s="48"/>
      <c r="MB27" s="48"/>
      <c r="MC27" s="48"/>
      <c r="MD27" s="48"/>
      <c r="ME27" s="48"/>
      <c r="MF27" s="48"/>
      <c r="MG27" s="48"/>
      <c r="MH27" s="48"/>
      <c r="MI27" s="48"/>
      <c r="MJ27" s="48"/>
      <c r="MK27" s="48"/>
      <c r="ML27" s="48"/>
      <c r="MM27" s="48"/>
      <c r="MN27" s="48"/>
      <c r="MO27" s="48"/>
      <c r="MP27" s="48"/>
      <c r="MQ27" s="48"/>
      <c r="MR27" s="48"/>
      <c r="MS27" s="48"/>
      <c r="MT27" s="48"/>
      <c r="MU27" s="48"/>
      <c r="MV27" s="48"/>
      <c r="MW27" s="48"/>
      <c r="MX27" s="48"/>
      <c r="MY27" s="48"/>
      <c r="MZ27" s="48"/>
      <c r="NA27" s="48"/>
      <c r="NB27" s="48"/>
      <c r="NC27" s="48"/>
      <c r="ND27" s="48"/>
      <c r="NE27" s="48"/>
      <c r="NF27" s="48"/>
      <c r="NG27" s="48"/>
      <c r="NH27" s="48"/>
      <c r="NI27" s="48"/>
      <c r="NJ27" s="48"/>
      <c r="NK27" s="48"/>
      <c r="NL27" s="48"/>
      <c r="NM27" s="48"/>
      <c r="NN27" s="48"/>
      <c r="NO27" s="48"/>
      <c r="NP27" s="48"/>
      <c r="NQ27" s="48"/>
      <c r="NR27" s="48"/>
      <c r="NS27" s="48"/>
      <c r="NT27" s="48"/>
      <c r="NU27" s="48"/>
      <c r="NV27" s="48"/>
      <c r="NW27" s="48"/>
      <c r="NX27" s="48"/>
      <c r="NY27" s="48"/>
      <c r="NZ27" s="48"/>
      <c r="OA27" s="48"/>
      <c r="OB27" s="48"/>
      <c r="OC27" s="48"/>
      <c r="OD27" s="48"/>
      <c r="OE27" s="48"/>
      <c r="OF27" s="48"/>
      <c r="OG27" s="48"/>
      <c r="OH27" s="48"/>
      <c r="OI27" s="48"/>
      <c r="OJ27" s="48"/>
      <c r="OK27" s="48"/>
      <c r="OL27" s="48"/>
      <c r="OM27" s="48"/>
      <c r="ON27" s="48"/>
      <c r="OO27" s="48"/>
      <c r="OP27" s="48"/>
      <c r="OQ27" s="48"/>
      <c r="OR27" s="48"/>
      <c r="OS27" s="48"/>
      <c r="OT27" s="48"/>
      <c r="OU27" s="48"/>
      <c r="OV27" s="48"/>
      <c r="OW27" s="48"/>
      <c r="OX27" s="48"/>
      <c r="OY27" s="48"/>
      <c r="OZ27" s="48"/>
      <c r="PA27" s="48"/>
      <c r="PB27" s="48"/>
      <c r="PC27" s="48"/>
      <c r="PD27" s="48"/>
      <c r="PE27" s="48"/>
      <c r="PF27" s="48"/>
      <c r="PG27" s="48"/>
      <c r="PH27" s="48"/>
      <c r="PI27" s="48"/>
      <c r="PJ27" s="48"/>
      <c r="PK27" s="48"/>
      <c r="PL27" s="48"/>
      <c r="PM27" s="48"/>
      <c r="PN27" s="48"/>
      <c r="PO27" s="48"/>
      <c r="PP27" s="48"/>
      <c r="PQ27" s="48"/>
      <c r="PR27" s="48"/>
      <c r="PS27" s="48"/>
      <c r="PT27" s="48"/>
      <c r="PU27" s="48"/>
      <c r="PV27" s="48"/>
      <c r="PW27" s="48"/>
      <c r="PX27" s="48"/>
      <c r="PY27" s="48"/>
      <c r="PZ27" s="48"/>
      <c r="QA27" s="48"/>
      <c r="QB27" s="48"/>
      <c r="QC27" s="48"/>
      <c r="QD27" s="48"/>
      <c r="QE27" s="48"/>
      <c r="QF27" s="48"/>
      <c r="QG27" s="48"/>
      <c r="QH27" s="48"/>
      <c r="QI27" s="48"/>
      <c r="QJ27" s="48"/>
      <c r="QK27" s="48"/>
      <c r="QL27" s="48"/>
      <c r="QM27" s="48"/>
      <c r="QN27" s="48"/>
      <c r="QO27" s="48"/>
      <c r="QP27" s="48"/>
      <c r="QQ27" s="48"/>
      <c r="QR27" s="48"/>
      <c r="QS27" s="48"/>
      <c r="QT27" s="48"/>
      <c r="QU27" s="48"/>
      <c r="QV27" s="48"/>
      <c r="QW27" s="48"/>
      <c r="QX27" s="48"/>
      <c r="QY27" s="48"/>
      <c r="QZ27" s="48"/>
      <c r="RA27" s="48"/>
      <c r="RB27" s="48"/>
      <c r="RC27" s="48"/>
      <c r="RD27" s="48"/>
      <c r="RE27" s="48"/>
      <c r="RF27" s="48"/>
      <c r="RG27" s="48"/>
      <c r="RH27" s="48"/>
      <c r="RI27" s="48"/>
      <c r="RJ27" s="48"/>
      <c r="RK27" s="48"/>
      <c r="RL27" s="48"/>
      <c r="RM27" s="48"/>
      <c r="RN27" s="48"/>
      <c r="RO27" s="48"/>
      <c r="RP27" s="48"/>
      <c r="RQ27" s="48"/>
      <c r="RR27" s="48"/>
      <c r="RS27" s="48"/>
      <c r="RT27" s="48"/>
      <c r="RU27" s="48"/>
      <c r="RV27" s="48"/>
      <c r="RW27" s="48"/>
      <c r="RX27" s="48"/>
      <c r="RY27" s="48"/>
      <c r="RZ27" s="48"/>
      <c r="SA27" s="48"/>
      <c r="SB27" s="48"/>
      <c r="SC27" s="48"/>
      <c r="SD27" s="48"/>
      <c r="SE27" s="48"/>
      <c r="SF27" s="48"/>
      <c r="SG27" s="48"/>
      <c r="SH27" s="48"/>
      <c r="SI27" s="48"/>
      <c r="SJ27" s="48"/>
      <c r="SK27" s="48"/>
      <c r="SL27" s="48"/>
      <c r="SM27" s="48"/>
      <c r="SN27" s="48"/>
      <c r="SO27" s="48"/>
      <c r="SP27" s="48"/>
      <c r="SQ27" s="48"/>
      <c r="SR27" s="48"/>
      <c r="SS27" s="48"/>
      <c r="ST27" s="48"/>
      <c r="SU27" s="48"/>
      <c r="SV27" s="48"/>
      <c r="SW27" s="48"/>
      <c r="SX27" s="48"/>
      <c r="SY27" s="48"/>
      <c r="SZ27" s="48"/>
      <c r="TA27" s="48"/>
      <c r="TB27" s="48"/>
      <c r="TC27" s="48"/>
      <c r="TD27" s="48"/>
      <c r="TE27" s="48"/>
      <c r="TF27" s="48"/>
      <c r="TG27" s="48"/>
      <c r="TH27" s="48"/>
      <c r="TI27" s="48"/>
      <c r="TJ27" s="48"/>
      <c r="TK27" s="48"/>
      <c r="TL27" s="48"/>
      <c r="TM27" s="48"/>
      <c r="TN27" s="48"/>
      <c r="TO27" s="48"/>
      <c r="TP27" s="48"/>
      <c r="TQ27" s="48"/>
      <c r="TR27" s="48"/>
      <c r="TS27" s="48"/>
      <c r="TT27" s="48"/>
      <c r="TU27" s="48"/>
      <c r="TV27" s="48"/>
      <c r="TW27" s="48"/>
      <c r="TX27" s="48"/>
      <c r="TY27" s="48"/>
      <c r="TZ27" s="48"/>
      <c r="UA27" s="48"/>
      <c r="UB27" s="48"/>
      <c r="UC27" s="48"/>
      <c r="UD27" s="48"/>
      <c r="UE27" s="48"/>
      <c r="UF27" s="48"/>
      <c r="UG27" s="48"/>
      <c r="UH27" s="48"/>
      <c r="UI27" s="48"/>
      <c r="UJ27" s="48"/>
      <c r="UK27" s="48"/>
      <c r="UL27" s="48"/>
      <c r="UM27" s="48"/>
      <c r="UN27" s="48"/>
      <c r="UO27" s="48"/>
      <c r="UP27" s="48"/>
      <c r="UQ27" s="48"/>
      <c r="UR27" s="48"/>
      <c r="US27" s="48"/>
      <c r="UT27" s="48"/>
      <c r="UU27" s="48"/>
      <c r="UV27" s="48"/>
      <c r="UW27" s="48"/>
      <c r="UX27" s="48"/>
      <c r="UY27" s="48"/>
      <c r="UZ27" s="48"/>
      <c r="VA27" s="48"/>
      <c r="VB27" s="48"/>
      <c r="VC27" s="48"/>
      <c r="VD27" s="48"/>
      <c r="VE27" s="48"/>
      <c r="VF27" s="48"/>
      <c r="VG27" s="48"/>
      <c r="VH27" s="48"/>
      <c r="VI27" s="48"/>
      <c r="VJ27" s="48"/>
      <c r="VK27" s="48"/>
      <c r="VL27" s="48"/>
      <c r="VM27" s="48"/>
      <c r="VN27" s="48"/>
      <c r="VO27" s="48"/>
      <c r="VP27" s="48"/>
      <c r="VQ27" s="48"/>
      <c r="VR27" s="48"/>
      <c r="VS27" s="48"/>
      <c r="VT27" s="48"/>
      <c r="VU27" s="48"/>
      <c r="VV27" s="48"/>
      <c r="VW27" s="48"/>
      <c r="VX27" s="48"/>
      <c r="VY27" s="48"/>
      <c r="VZ27" s="48"/>
      <c r="WA27" s="48"/>
      <c r="WB27" s="48"/>
      <c r="WC27" s="48"/>
      <c r="WD27" s="48"/>
      <c r="WE27" s="48"/>
    </row>
  </sheetData>
  <sheetProtection algorithmName="SHA-512" hashValue="hiaQ85ZD8YuRCSd8CUw2De8O4jD21fmmtCuqfdBcDT3PH+o6cWEF4nlxOg6UuKKTyI1yeE+NCnyuMg5iQ0XA0Q==" saltValue="eztqZeM7oYW5hJYe+YZdug==" spinCount="100000" sheet="1" objects="1" scenarios="1" format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9"/>
  <dimension ref="A3:I58"/>
  <sheetViews>
    <sheetView showGridLines="0" topLeftCell="A4" zoomScale="130" zoomScaleNormal="130" workbookViewId="0">
      <selection activeCell="F18" sqref="F18"/>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9" x14ac:dyDescent="0.4">
      <c r="A3" s="88" t="s">
        <v>45</v>
      </c>
      <c r="B3" s="88" t="s">
        <v>46</v>
      </c>
      <c r="C3" s="88" t="s">
        <v>83</v>
      </c>
      <c r="D3" s="89" t="s">
        <v>47</v>
      </c>
      <c r="E3" s="88" t="s">
        <v>1</v>
      </c>
      <c r="F3" s="88" t="s">
        <v>1</v>
      </c>
      <c r="G3" s="89" t="s">
        <v>47</v>
      </c>
      <c r="H3" s="89" t="s">
        <v>47</v>
      </c>
      <c r="I3" s="88" t="s">
        <v>1</v>
      </c>
    </row>
    <row r="4" spans="1:9" x14ac:dyDescent="0.4">
      <c r="A4" t="s">
        <v>14</v>
      </c>
      <c r="B4" t="s">
        <v>23</v>
      </c>
      <c r="C4" t="s">
        <v>88</v>
      </c>
      <c r="D4" s="4" t="s">
        <v>50</v>
      </c>
      <c r="E4" s="1" t="s">
        <v>51</v>
      </c>
      <c r="F4" s="3" t="s">
        <v>52</v>
      </c>
      <c r="G4" s="1" t="s">
        <v>9</v>
      </c>
      <c r="H4" t="s">
        <v>53</v>
      </c>
      <c r="I4" s="1" t="s">
        <v>51</v>
      </c>
    </row>
    <row r="5" spans="1:9" x14ac:dyDescent="0.4">
      <c r="A5" t="s">
        <v>15</v>
      </c>
      <c r="B5" t="s">
        <v>24</v>
      </c>
      <c r="C5" t="s">
        <v>89</v>
      </c>
      <c r="D5" s="2" t="s">
        <v>12</v>
      </c>
      <c r="E5" s="1" t="s">
        <v>48</v>
      </c>
      <c r="F5" s="3" t="s">
        <v>54</v>
      </c>
      <c r="G5" s="1" t="s">
        <v>55</v>
      </c>
      <c r="H5" t="s">
        <v>56</v>
      </c>
      <c r="I5" s="1" t="s">
        <v>48</v>
      </c>
    </row>
    <row r="6" spans="1:9" x14ac:dyDescent="0.4">
      <c r="A6" t="s">
        <v>16</v>
      </c>
      <c r="B6" t="s">
        <v>25</v>
      </c>
      <c r="C6" t="s">
        <v>90</v>
      </c>
      <c r="D6" s="90" t="s">
        <v>11</v>
      </c>
      <c r="E6" s="1" t="s">
        <v>10</v>
      </c>
      <c r="F6" s="3" t="s">
        <v>57</v>
      </c>
      <c r="I6" s="1" t="s">
        <v>10</v>
      </c>
    </row>
    <row r="7" spans="1:9" x14ac:dyDescent="0.4">
      <c r="A7" t="s">
        <v>17</v>
      </c>
      <c r="D7" s="6" t="s">
        <v>263</v>
      </c>
      <c r="E7" s="1" t="s">
        <v>59</v>
      </c>
      <c r="F7" s="3" t="s">
        <v>60</v>
      </c>
      <c r="I7" s="1" t="s">
        <v>59</v>
      </c>
    </row>
    <row r="8" spans="1:9" x14ac:dyDescent="0.4">
      <c r="A8" t="s">
        <v>3</v>
      </c>
      <c r="D8" s="2" t="s">
        <v>61</v>
      </c>
      <c r="E8" s="1" t="s">
        <v>62</v>
      </c>
      <c r="F8" s="5"/>
      <c r="I8" s="1" t="s">
        <v>62</v>
      </c>
    </row>
    <row r="9" spans="1:9" x14ac:dyDescent="0.4">
      <c r="A9" t="s">
        <v>18</v>
      </c>
      <c r="D9" s="2" t="s">
        <v>63</v>
      </c>
      <c r="E9" s="1" t="s">
        <v>64</v>
      </c>
      <c r="F9" s="5"/>
      <c r="I9" s="1" t="s">
        <v>64</v>
      </c>
    </row>
    <row r="10" spans="1:9" x14ac:dyDescent="0.4">
      <c r="A10" t="s">
        <v>20</v>
      </c>
      <c r="E10" s="1" t="s">
        <v>49</v>
      </c>
      <c r="F10" s="1"/>
      <c r="I10" s="1" t="s">
        <v>66</v>
      </c>
    </row>
    <row r="11" spans="1:9" x14ac:dyDescent="0.4">
      <c r="A11" t="s">
        <v>4</v>
      </c>
      <c r="E11" s="1" t="s">
        <v>58</v>
      </c>
      <c r="I11" s="1" t="s">
        <v>49</v>
      </c>
    </row>
    <row r="12" spans="1:9" x14ac:dyDescent="0.4">
      <c r="A12" t="s">
        <v>22</v>
      </c>
      <c r="E12" s="1" t="s">
        <v>67</v>
      </c>
      <c r="I12" s="1" t="s">
        <v>58</v>
      </c>
    </row>
    <row r="13" spans="1:9" x14ac:dyDescent="0.4">
      <c r="A13" t="s">
        <v>19</v>
      </c>
      <c r="E13" s="1" t="s">
        <v>68</v>
      </c>
      <c r="I13" s="1" t="s">
        <v>67</v>
      </c>
    </row>
    <row r="14" spans="1:9" x14ac:dyDescent="0.4">
      <c r="A14" t="s">
        <v>21</v>
      </c>
      <c r="E14" s="1" t="s">
        <v>69</v>
      </c>
      <c r="I14" s="1" t="s">
        <v>70</v>
      </c>
    </row>
    <row r="15" spans="1:9" x14ac:dyDescent="0.4">
      <c r="A15" t="s">
        <v>71</v>
      </c>
      <c r="E15" s="3" t="s">
        <v>65</v>
      </c>
      <c r="I15" s="1" t="s">
        <v>68</v>
      </c>
    </row>
    <row r="16" spans="1:9" x14ac:dyDescent="0.4">
      <c r="E16" s="3" t="s">
        <v>52</v>
      </c>
      <c r="I16" s="1" t="s">
        <v>69</v>
      </c>
    </row>
    <row r="17" spans="1:9" x14ac:dyDescent="0.4">
      <c r="E17" s="1" t="s">
        <v>54</v>
      </c>
      <c r="I17" s="1" t="s">
        <v>72</v>
      </c>
    </row>
    <row r="18" spans="1:9" x14ac:dyDescent="0.4">
      <c r="E18" s="1" t="s">
        <v>66</v>
      </c>
      <c r="I18" s="1" t="s">
        <v>65</v>
      </c>
    </row>
    <row r="19" spans="1:9" x14ac:dyDescent="0.4">
      <c r="E19" s="1" t="s">
        <v>73</v>
      </c>
      <c r="I19" s="1" t="s">
        <v>73</v>
      </c>
    </row>
    <row r="20" spans="1:9" x14ac:dyDescent="0.4">
      <c r="A20" s="88" t="s">
        <v>41</v>
      </c>
      <c r="B20" s="88" t="s">
        <v>43</v>
      </c>
      <c r="C20" s="88" t="s">
        <v>42</v>
      </c>
      <c r="D20" s="88" t="s">
        <v>74</v>
      </c>
      <c r="E20" s="88"/>
      <c r="F20" s="88" t="s">
        <v>44</v>
      </c>
      <c r="G20" s="88" t="s">
        <v>265</v>
      </c>
      <c r="H20" s="1"/>
    </row>
    <row r="21" spans="1:9" x14ac:dyDescent="0.4">
      <c r="A21" s="1" t="s">
        <v>9</v>
      </c>
      <c r="B21" s="1" t="s">
        <v>50</v>
      </c>
      <c r="C21" s="1" t="s">
        <v>50</v>
      </c>
      <c r="D21" s="1" t="s">
        <v>50</v>
      </c>
      <c r="F21" s="1" t="s">
        <v>50</v>
      </c>
      <c r="G21" t="s">
        <v>266</v>
      </c>
      <c r="H21" s="1"/>
    </row>
    <row r="22" spans="1:9" x14ac:dyDescent="0.4">
      <c r="A22" s="1" t="s">
        <v>55</v>
      </c>
      <c r="B22" s="1" t="s">
        <v>12</v>
      </c>
      <c r="C22" s="1" t="s">
        <v>12</v>
      </c>
      <c r="D22" s="1" t="s">
        <v>12</v>
      </c>
      <c r="F22" s="1" t="s">
        <v>75</v>
      </c>
      <c r="H22" s="1"/>
    </row>
    <row r="23" spans="1:9" x14ac:dyDescent="0.4">
      <c r="A23" s="1" t="s">
        <v>266</v>
      </c>
      <c r="B23" s="1" t="s">
        <v>11</v>
      </c>
      <c r="C23" s="1" t="s">
        <v>11</v>
      </c>
      <c r="D23" s="1" t="s">
        <v>11</v>
      </c>
      <c r="F23" s="1" t="s">
        <v>76</v>
      </c>
      <c r="H23" s="1"/>
    </row>
    <row r="24" spans="1:9" x14ac:dyDescent="0.4">
      <c r="B24" t="s">
        <v>266</v>
      </c>
      <c r="C24" s="1" t="s">
        <v>263</v>
      </c>
      <c r="D24" s="1" t="s">
        <v>263</v>
      </c>
      <c r="F24" s="1" t="s">
        <v>11</v>
      </c>
      <c r="H24" s="1"/>
    </row>
    <row r="25" spans="1:9" ht="14.25" customHeight="1" x14ac:dyDescent="0.4">
      <c r="C25" t="s">
        <v>266</v>
      </c>
      <c r="D25" s="1" t="s">
        <v>61</v>
      </c>
      <c r="F25" t="s">
        <v>266</v>
      </c>
    </row>
    <row r="26" spans="1:9" x14ac:dyDescent="0.4">
      <c r="D26" s="1" t="s">
        <v>63</v>
      </c>
    </row>
    <row r="27" spans="1:9" x14ac:dyDescent="0.4">
      <c r="D27" t="s">
        <v>266</v>
      </c>
    </row>
    <row r="28" spans="1:9" x14ac:dyDescent="0.4">
      <c r="A28" s="88" t="s">
        <v>96</v>
      </c>
      <c r="B28" s="88"/>
    </row>
    <row r="29" spans="1:9" x14ac:dyDescent="0.4">
      <c r="A29" s="91" t="s">
        <v>92</v>
      </c>
      <c r="B29" s="91" t="s">
        <v>95</v>
      </c>
    </row>
    <row r="30" spans="1:9" x14ac:dyDescent="0.4">
      <c r="A30" s="8" t="s">
        <v>15</v>
      </c>
      <c r="B30" s="9" t="s">
        <v>14</v>
      </c>
    </row>
    <row r="31" spans="1:9" x14ac:dyDescent="0.4">
      <c r="A31" s="8" t="s">
        <v>16</v>
      </c>
      <c r="B31" s="9" t="s">
        <v>17</v>
      </c>
    </row>
    <row r="32" spans="1:9" x14ac:dyDescent="0.4">
      <c r="A32" s="8" t="s">
        <v>91</v>
      </c>
      <c r="B32" s="9" t="s">
        <v>3</v>
      </c>
    </row>
    <row r="33" spans="1:7" x14ac:dyDescent="0.4">
      <c r="A33" s="8" t="s">
        <v>93</v>
      </c>
      <c r="B33" s="9" t="s">
        <v>18</v>
      </c>
    </row>
    <row r="34" spans="1:7" x14ac:dyDescent="0.4">
      <c r="A34" s="8" t="s">
        <v>247</v>
      </c>
      <c r="B34" s="9" t="s">
        <v>20</v>
      </c>
    </row>
    <row r="35" spans="1:7" x14ac:dyDescent="0.4">
      <c r="A35" s="8"/>
      <c r="B35" s="9" t="s">
        <v>4</v>
      </c>
    </row>
    <row r="36" spans="1:7" x14ac:dyDescent="0.4">
      <c r="A36" s="8"/>
      <c r="B36" s="9" t="s">
        <v>22</v>
      </c>
    </row>
    <row r="37" spans="1:7" x14ac:dyDescent="0.4">
      <c r="B37" s="9" t="s">
        <v>19</v>
      </c>
    </row>
    <row r="38" spans="1:7" x14ac:dyDescent="0.4">
      <c r="B38" s="9" t="s">
        <v>21</v>
      </c>
    </row>
    <row r="39" spans="1:7" x14ac:dyDescent="0.4">
      <c r="B39" s="9" t="s">
        <v>71</v>
      </c>
    </row>
    <row r="42" spans="1:7" x14ac:dyDescent="0.4">
      <c r="A42" s="88" t="s">
        <v>97</v>
      </c>
      <c r="B42" s="88"/>
      <c r="C42" s="88"/>
      <c r="D42" s="88"/>
      <c r="E42" s="88"/>
      <c r="F42" s="88"/>
      <c r="G42" s="88"/>
    </row>
    <row r="43" spans="1:7" x14ac:dyDescent="0.4">
      <c r="A43" s="91" t="s">
        <v>99</v>
      </c>
      <c r="B43" s="91" t="s">
        <v>8</v>
      </c>
      <c r="C43" s="91" t="s">
        <v>104</v>
      </c>
      <c r="D43" s="91" t="s">
        <v>111</v>
      </c>
      <c r="E43" s="91" t="s">
        <v>110</v>
      </c>
      <c r="F43" s="91" t="s">
        <v>94</v>
      </c>
      <c r="G43" s="92" t="s">
        <v>193</v>
      </c>
    </row>
    <row r="44" spans="1:7" x14ac:dyDescent="0.4">
      <c r="A44" t="s">
        <v>81</v>
      </c>
      <c r="B44" t="s">
        <v>82</v>
      </c>
      <c r="C44" t="s">
        <v>103</v>
      </c>
      <c r="D44" t="s">
        <v>86</v>
      </c>
      <c r="E44" t="s">
        <v>112</v>
      </c>
      <c r="F44" t="s">
        <v>189</v>
      </c>
      <c r="G44" t="s">
        <v>195</v>
      </c>
    </row>
    <row r="45" spans="1:7" x14ac:dyDescent="0.4">
      <c r="A45" t="s">
        <v>98</v>
      </c>
      <c r="B45" t="s">
        <v>100</v>
      </c>
      <c r="C45" t="s">
        <v>105</v>
      </c>
      <c r="D45" t="s">
        <v>109</v>
      </c>
      <c r="E45" t="s">
        <v>116</v>
      </c>
      <c r="F45" t="s">
        <v>190</v>
      </c>
      <c r="G45" t="s">
        <v>85</v>
      </c>
    </row>
    <row r="46" spans="1:7" x14ac:dyDescent="0.4">
      <c r="A46" t="s">
        <v>117</v>
      </c>
      <c r="B46" t="s">
        <v>101</v>
      </c>
      <c r="C46" t="s">
        <v>106</v>
      </c>
      <c r="D46" t="s">
        <v>101</v>
      </c>
      <c r="E46" t="s">
        <v>87</v>
      </c>
      <c r="F46" t="s">
        <v>188</v>
      </c>
      <c r="G46" t="s">
        <v>194</v>
      </c>
    </row>
    <row r="47" spans="1:7" x14ac:dyDescent="0.4">
      <c r="B47" t="s">
        <v>102</v>
      </c>
      <c r="C47" t="s">
        <v>107</v>
      </c>
      <c r="E47" t="s">
        <v>113</v>
      </c>
    </row>
    <row r="48" spans="1:7" x14ac:dyDescent="0.4">
      <c r="C48" t="s">
        <v>108</v>
      </c>
      <c r="E48" t="s">
        <v>114</v>
      </c>
    </row>
    <row r="49" spans="1:5" x14ac:dyDescent="0.4">
      <c r="E49" t="s">
        <v>115</v>
      </c>
    </row>
    <row r="50" spans="1:5" x14ac:dyDescent="0.4">
      <c r="E50" t="s">
        <v>84</v>
      </c>
    </row>
    <row r="51" spans="1:5" x14ac:dyDescent="0.4">
      <c r="E51" t="s">
        <v>108</v>
      </c>
    </row>
    <row r="53" spans="1:5" x14ac:dyDescent="0.4">
      <c r="A53" s="132" t="s">
        <v>216</v>
      </c>
    </row>
    <row r="54" spans="1:5" x14ac:dyDescent="0.4">
      <c r="A54" s="133" t="s">
        <v>217</v>
      </c>
      <c r="B54" s="91" t="s">
        <v>77</v>
      </c>
    </row>
    <row r="55" spans="1:5" x14ac:dyDescent="0.4">
      <c r="A55" s="134" t="s">
        <v>218</v>
      </c>
      <c r="B55" t="s">
        <v>214</v>
      </c>
    </row>
    <row r="56" spans="1:5" x14ac:dyDescent="0.4">
      <c r="A56" t="s">
        <v>219</v>
      </c>
      <c r="B56" t="s">
        <v>215</v>
      </c>
    </row>
    <row r="57" spans="1:5" x14ac:dyDescent="0.4">
      <c r="A57" t="s">
        <v>220</v>
      </c>
    </row>
    <row r="58" spans="1:5" x14ac:dyDescent="0.4">
      <c r="A58" t="s">
        <v>221</v>
      </c>
    </row>
  </sheetData>
  <sheetProtection algorithmName="SHA-512" hashValue="aggjSVCGBi3JOWgI2eQaJPVAS5VJ/77X73eEsSG37EVJcqY427kK/3ZmDtDJBRftEsj4o5HBQeh+G8HNnhGdyg==" saltValue="t3Q1TltjjWj2YF6r8DxOuQ==" spinCount="100000" sheet="1" objects="1" scenarios="1" formatRows="0"/>
  <sortState xmlns:xlrd2="http://schemas.microsoft.com/office/spreadsheetml/2017/richdata2" ref="H21:H27">
    <sortCondition ref="H21:H27"/>
  </sortState>
  <phoneticPr fontId="6" type="noConversion"/>
  <conditionalFormatting sqref="D6:D9">
    <cfRule type="expression" priority="9">
      <formula>IF($B$3="Industrie",1,0)</formula>
    </cfRule>
  </conditionalFormatting>
  <conditionalFormatting sqref="D4:G5 E6:G12">
    <cfRule type="expression" priority="82">
      <formula>IF($B$3="Industrie",1,0)</formula>
    </cfRule>
  </conditionalFormatting>
  <conditionalFormatting sqref="I4:I13 I15 I17:I19 A21:A23">
    <cfRule type="expression" priority="8">
      <formula>IF($B$3="Industrie",1,0)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3.xml><?xml version="1.0" encoding="utf-8"?>
<ds:datastoreItem xmlns:ds="http://schemas.openxmlformats.org/officeDocument/2006/customXml" ds:itemID="{AA52DDF1-DB9E-4C0C-9E16-F265EDFF44E6}">
  <ds:schemaRefs>
    <ds:schemaRef ds:uri="http://purl.org/dc/terms/"/>
    <ds:schemaRef ds:uri="http://schemas.openxmlformats.org/package/2006/metadata/core-properties"/>
    <ds:schemaRef ds:uri="81251141-7599-4081-9962-8622873f55aa"/>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afd5fb63-b61f-423b-93e7-958e038eacd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23</vt:i4>
      </vt:variant>
    </vt:vector>
  </HeadingPairs>
  <TitlesOfParts>
    <vt:vector size="26" baseType="lpstr">
      <vt:lpstr>Thermo</vt:lpstr>
      <vt:lpstr>Critères</vt:lpstr>
      <vt:lpstr>PARAM</vt:lpstr>
      <vt:lpstr>Asservissement</vt:lpstr>
      <vt:lpstr>CODE_SANDRE_3</vt:lpstr>
      <vt:lpstr>CODE_SANDRE_SCL</vt:lpstr>
      <vt:lpstr>CODE_SANDRE_STEU</vt:lpstr>
      <vt:lpstr>conditions_meteo</vt:lpstr>
      <vt:lpstr>Conformité</vt:lpstr>
      <vt:lpstr>EQUIPEMENT_PREL</vt:lpstr>
      <vt:lpstr>EQUIPEMENT_Q</vt:lpstr>
      <vt:lpstr>Frequence</vt:lpstr>
      <vt:lpstr>LISTE_1</vt:lpstr>
      <vt:lpstr>LISTE_2</vt:lpstr>
      <vt:lpstr>LISTE_3</vt:lpstr>
      <vt:lpstr>LISTE_4</vt:lpstr>
      <vt:lpstr>LISTE_5</vt:lpstr>
      <vt:lpstr>LISTE_6</vt:lpstr>
      <vt:lpstr>Montage_sonde</vt:lpstr>
      <vt:lpstr>Q_en_charge</vt:lpstr>
      <vt:lpstr>Q_Gravitaire</vt:lpstr>
      <vt:lpstr>Satisfaction</vt:lpstr>
      <vt:lpstr>Type_capteur</vt:lpstr>
      <vt:lpstr>Type_equipement</vt:lpstr>
      <vt:lpstr>TypeDeMesure</vt:lpstr>
      <vt:lpstr>Thermo!Zone_d_impression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 Benoit</dc:creator>
  <cp:keywords/>
  <dc:description/>
  <cp:lastModifiedBy>Nicolas Dhuygelaere</cp:lastModifiedBy>
  <cp:revision/>
  <cp:lastPrinted>2025-09-29T13:35:24Z</cp:lastPrinted>
  <dcterms:created xsi:type="dcterms:W3CDTF">2022-12-06T13:32:43Z</dcterms:created>
  <dcterms:modified xsi:type="dcterms:W3CDTF">2026-08-03T13:00:32Z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