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80875CFF-90A4-4763-B69F-BB2A626BE347}" xr6:coauthVersionLast="47" xr6:coauthVersionMax="47" xr10:uidLastSave="{00000000-0000-0000-0000-000000000000}"/>
  <bookViews>
    <workbookView xWindow="-8205" yWindow="-16320" windowWidth="29040" windowHeight="15720" tabRatio="777" xr2:uid="{00000000-000D-0000-FFFF-FFFF00000000}"/>
  </bookViews>
  <sheets>
    <sheet name="Thermo" sheetId="62" r:id="rId1"/>
    <sheet name="Critères" sheetId="47" r:id="rId2"/>
    <sheet name="PARAM" sheetId="5" r:id="rId3"/>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PARAM!$D$21:$D$27</definedName>
    <definedName name="LISTE_5">PARAM!$F$21:$F$25</definedName>
    <definedName name="LISTE_6">PARAM!$G$21</definedName>
    <definedName name="Montage_sonde">PARAM!$G$44:$G$46</definedName>
    <definedName name="Q_en_charge">PARAM!$A$30:$A$36</definedName>
    <definedName name="Q_Gravitaire">PARAM!$B$30:$B$39</definedName>
    <definedName name="Satisfaction">PARAM!$D$44:$D$46</definedName>
    <definedName name="Type_capteur">PARAM!$C$44:$C$48</definedName>
    <definedName name="Type_equipement">PARAM!$C$4:$C$6</definedName>
    <definedName name="TypeDeMesure">PARAM!$B$55:$B$56</definedName>
    <definedName name="_xlnm.Print_Area" localSheetId="0">Thermo!$B$1:$S$42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X15" i="47" l="1"/>
  <c r="BT15" i="47"/>
  <c r="BP15" i="47"/>
  <c r="BL15" i="47"/>
  <c r="BH15" i="47"/>
  <c r="BD15" i="47"/>
  <c r="AZ15" i="47"/>
  <c r="AV15" i="47"/>
  <c r="AR15" i="47"/>
  <c r="AN15" i="47"/>
  <c r="AJ15" i="47"/>
  <c r="AF15" i="47"/>
  <c r="AB15" i="47"/>
  <c r="X15" i="47"/>
  <c r="T15" i="47"/>
  <c r="P15" i="47"/>
  <c r="L15" i="47"/>
  <c r="H15" i="47"/>
  <c r="D15" i="47"/>
  <c r="P29" i="62"/>
  <c r="P30" i="62"/>
  <c r="P31" i="62"/>
  <c r="P28" i="62"/>
  <c r="Q29" i="62"/>
  <c r="Q30" i="62"/>
  <c r="Q31" i="62"/>
  <c r="Q28" i="62"/>
  <c r="J29" i="62"/>
  <c r="J30" i="62"/>
  <c r="J31" i="62"/>
  <c r="J28" i="62"/>
  <c r="E29" i="62"/>
  <c r="E30" i="62"/>
  <c r="E31" i="62"/>
  <c r="E28" i="62"/>
  <c r="J6" i="62" l="1"/>
  <c r="L21" i="62"/>
  <c r="N31" i="62" s="1"/>
  <c r="P33" i="62" l="1"/>
  <c r="N33" i="62" s="1"/>
</calcChain>
</file>

<file path=xl/sharedStrings.xml><?xml version="1.0" encoding="utf-8"?>
<sst xmlns="http://schemas.openxmlformats.org/spreadsheetml/2006/main" count="926" uniqueCount="308">
  <si>
    <t>Pluviomètre</t>
  </si>
  <si>
    <t>Code</t>
  </si>
  <si>
    <t>Libellé</t>
  </si>
  <si>
    <t>Caisson</t>
  </si>
  <si>
    <t>Clapet</t>
  </si>
  <si>
    <t>Choix LISTE</t>
  </si>
  <si>
    <t>Score</t>
  </si>
  <si>
    <t>Commentaires</t>
  </si>
  <si>
    <t>Conformité</t>
  </si>
  <si>
    <t>Oui</t>
  </si>
  <si>
    <t>A4</t>
  </si>
  <si>
    <t>Non contrôlé</t>
  </si>
  <si>
    <t>Non validé</t>
  </si>
  <si>
    <t>N°</t>
  </si>
  <si>
    <t>Canal Venturi</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</si>
  <si>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</si>
  <si>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</si>
  <si>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</si>
  <si>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</si>
  <si>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</si>
  <si>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</si>
  <si>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</si>
  <si>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</si>
  <si>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</si>
  <si>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</si>
  <si>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</si>
  <si>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</si>
  <si>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</si>
  <si>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</si>
  <si>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</si>
  <si>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</si>
  <si>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</si>
  <si>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</si>
  <si>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</si>
  <si>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</si>
  <si>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</si>
  <si>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</si>
  <si>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</si>
  <si>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</si>
  <si>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</si>
  <si>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</si>
  <si>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</si>
  <si>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</si>
  <si>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</si>
  <si>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</si>
  <si>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</si>
  <si>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</si>
  <si>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</si>
  <si>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</si>
  <si>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</si>
  <si>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</si>
  <si>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</si>
  <si>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</si>
  <si>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</si>
  <si>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</si>
  <si>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</si>
  <si>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</si>
  <si>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</si>
  <si>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</si>
  <si>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</si>
  <si>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</si>
  <si>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</si>
  <si>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</si>
  <si>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</si>
  <si>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</si>
  <si>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</si>
  <si>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</si>
  <si>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</si>
  <si>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</si>
  <si>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</si>
  <si>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</si>
  <si>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</si>
  <si>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</si>
  <si>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</si>
  <si>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Type de mesure</t>
  </si>
  <si>
    <t>Mesure Exploitant
Te en °C</t>
  </si>
  <si>
    <t>Mesure Intervenant
Ti en °C</t>
  </si>
  <si>
    <t>Evaluation</t>
  </si>
  <si>
    <t>Au débit</t>
  </si>
  <si>
    <t>Conforme</t>
  </si>
  <si>
    <t>Type</t>
  </si>
  <si>
    <t>Annuelle</t>
  </si>
  <si>
    <t>En V</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</si>
  <si>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</si>
  <si>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</si>
  <si>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</si>
  <si>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</si>
  <si>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</si>
  <si>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</si>
  <si>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</si>
  <si>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</si>
  <si>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</si>
  <si>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</si>
  <si>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</si>
  <si>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</si>
  <si>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</si>
  <si>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</si>
  <si>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</si>
  <si>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</si>
  <si>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</si>
  <si>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</si>
  <si>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</si>
  <si>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</si>
  <si>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</si>
  <si>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</si>
  <si>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</si>
  <si>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</si>
  <si>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</si>
  <si>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</si>
  <si>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</si>
  <si>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</si>
  <si>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</si>
  <si>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</si>
  <si>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</si>
  <si>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</si>
  <si>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</si>
  <si>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</si>
  <si>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</si>
  <si>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</si>
  <si>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</si>
  <si>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</si>
  <si>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</si>
  <si>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</si>
  <si>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</si>
  <si>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</si>
  <si>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</si>
  <si>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</si>
  <si>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</si>
  <si>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</si>
  <si>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</si>
  <si>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</si>
  <si>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</si>
  <si>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</si>
  <si>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</si>
  <si>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</si>
  <si>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</si>
  <si>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</si>
  <si>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</si>
  <si>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</si>
  <si>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</si>
  <si>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</si>
  <si>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</si>
  <si>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</si>
  <si>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</si>
  <si>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</si>
  <si>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</si>
  <si>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</si>
  <si>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</si>
  <si>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</si>
  <si>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</si>
  <si>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</si>
  <si>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</si>
  <si>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</si>
  <si>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</si>
  <si>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</si>
  <si>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</si>
  <si>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</si>
  <si>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</si>
  <si>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</si>
  <si>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</si>
  <si>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</si>
  <si>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</si>
  <si>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</si>
  <si>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</si>
  <si>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</si>
  <si>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</si>
  <si>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</si>
  <si>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</si>
  <si>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</si>
  <si>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</si>
  <si>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</si>
  <si>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</si>
  <si>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</si>
  <si>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</si>
  <si>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</si>
  <si>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</si>
  <si>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</si>
  <si>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</si>
  <si>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</si>
  <si>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En direct</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</si>
  <si>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</si>
  <si>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</si>
  <si>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</si>
  <si>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</si>
  <si>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</si>
  <si>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</si>
  <si>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</si>
  <si>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</si>
  <si>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</si>
  <si>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Libellé des critères</t>
  </si>
  <si>
    <t>Note</t>
  </si>
  <si>
    <t>Vérification de la température</t>
  </si>
  <si>
    <t>Écart en °C (Te - Ti)
EMT ± 1°C</t>
  </si>
  <si>
    <t>Équipement de contrôle installé</t>
  </si>
  <si>
    <t>Équipement existant sur site</t>
  </si>
  <si>
    <t>Points</t>
  </si>
  <si>
    <t>Ponctuelle</t>
  </si>
  <si>
    <t>En continu</t>
  </si>
  <si>
    <t>Listes méthode contrôle</t>
  </si>
  <si>
    <t>Méthode</t>
  </si>
  <si>
    <t>…</t>
  </si>
  <si>
    <t>Simulation d'une hauteur d'eau (plaque)</t>
  </si>
  <si>
    <t>Mesure en parallèle</t>
  </si>
  <si>
    <t>Simulation d'une hauteur d'eau et mesure en parallèle</t>
  </si>
  <si>
    <t>Température extérieure
en °C</t>
  </si>
  <si>
    <r>
      <t>CONTRÔLE DE L'</t>
    </r>
    <r>
      <rPr>
        <b/>
        <sz val="18"/>
        <color theme="0"/>
        <rFont val="Calibri"/>
        <family val="2"/>
      </rPr>
      <t>É</t>
    </r>
    <r>
      <rPr>
        <b/>
        <sz val="18"/>
        <color theme="0"/>
        <rFont val="Calibri"/>
        <family val="2"/>
        <scheme val="minor"/>
      </rPr>
      <t>QUIPEMENT</t>
    </r>
  </si>
  <si>
    <t>ÉVALUATION</t>
  </si>
  <si>
    <t>AXES D'AMÉLIORATION</t>
  </si>
  <si>
    <t xml:space="preserve">CODE SANDRE : </t>
  </si>
  <si>
    <t xml:space="preserve">MAITRE D'OUVRAGE : </t>
  </si>
  <si>
    <t xml:space="preserve">EXPLOITANT : </t>
  </si>
  <si>
    <t xml:space="preserve">LOCALISATION : </t>
  </si>
  <si>
    <t xml:space="preserve">TYPE DE MATERIEL : </t>
  </si>
  <si>
    <t xml:space="preserve">ORGANISME DE CONTRÔLE : </t>
  </si>
  <si>
    <t xml:space="preserve">DATE(S) D'INTERVENTION : </t>
  </si>
  <si>
    <t xml:space="preserve">STATION / RÉSEAU : </t>
  </si>
  <si>
    <t xml:space="preserve">CODE DU POINT : </t>
  </si>
  <si>
    <t xml:space="preserve">TYPE D'ÉQUIPEMENT : </t>
  </si>
  <si>
    <t xml:space="preserve">NOM(S) DU(ES) CONTROLEUR(S) : </t>
  </si>
  <si>
    <t xml:space="preserve">CONDITION(S) MÉTÉO : </t>
  </si>
  <si>
    <t xml:space="preserve">Marque de l'équipement : </t>
  </si>
  <si>
    <t xml:space="preserve">Modèle de l'équipement : </t>
  </si>
  <si>
    <t xml:space="preserve">Type d'appareil : </t>
  </si>
  <si>
    <t xml:space="preserve">Localisation exacte du dispositif : </t>
  </si>
  <si>
    <t xml:space="preserve">Report en supervision (O/N) : </t>
  </si>
  <si>
    <t xml:space="preserve">Incertitude de mesure (°C) : </t>
  </si>
  <si>
    <t xml:space="preserve">Numéro de l'équipement : </t>
  </si>
  <si>
    <t xml:space="preserve">Date du dernier étalonnage : </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</si>
  <si>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</si>
  <si>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</si>
  <si>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</si>
  <si>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</si>
  <si>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</si>
  <si>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</si>
  <si>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</si>
  <si>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</si>
  <si>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</si>
  <si>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</si>
  <si>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</si>
  <si>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</si>
  <si>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</si>
  <si>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</si>
  <si>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t>
  </si>
  <si>
    <t>LISTE_6</t>
  </si>
  <si>
    <t>Non applicable</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</si>
  <si>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</si>
  <si>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</si>
  <si>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</si>
  <si>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</si>
  <si>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</si>
  <si>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</si>
  <si>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</si>
  <si>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</si>
  <si>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</si>
  <si>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</si>
  <si>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</si>
  <si>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</si>
  <si>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</si>
  <si>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</si>
  <si>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</si>
  <si>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</si>
  <si>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</si>
  <si>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</si>
  <si>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</si>
  <si>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</si>
  <si>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</si>
  <si>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</si>
  <si>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</si>
  <si>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</si>
  <si>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</si>
  <si>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</si>
  <si>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</si>
  <si>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</si>
  <si>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</si>
  <si>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</si>
  <si>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</si>
  <si>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</si>
  <si>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</si>
  <si>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</si>
  <si>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</si>
  <si>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</si>
  <si>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</si>
  <si>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</si>
  <si>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</si>
  <si>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</si>
  <si>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</si>
  <si>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</si>
  <si>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</si>
  <si>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</si>
  <si>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</si>
  <si>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</si>
  <si>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</si>
  <si>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Equipement de contrôle H</t>
  </si>
  <si>
    <t>Réglet</t>
  </si>
  <si>
    <t>Sonde</t>
  </si>
  <si>
    <t>Câble</t>
  </si>
  <si>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</si>
  <si>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</si>
  <si>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</si>
  <si>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</si>
  <si>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</si>
  <si>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</si>
  <si>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t>Existe-t-il un afficheur de proximité (Volume) ?</t>
  </si>
  <si>
    <t>Existe t-il un dispositif de contrôle adapté et un afficheur de proximité (Angle + Débit + Volume) ?</t>
  </si>
  <si>
    <t>Préleveur</t>
  </si>
  <si>
    <t>Autres équipements</t>
  </si>
  <si>
    <t>question non applicable</t>
  </si>
  <si>
    <t>La vanne de prélèvement est-elle asservie au débit, ou au volume écoulé, et assure-t-elle un nombre de prélèvements égal, en moyenne, à au moins à 6 par heure de rejet effectif ? soit 144 prélèvements unitaires par 24h de rejet.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</si>
</sst>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
  </numFmts>
  <fonts count="40" x14ac:knownFonts="1">
    <font>
      <sz val="10"/>
      <color theme="1"/>
      <name val="Arial"/>
      <family val="2"/>
    </font>
    <font>
      <sz val="11"/>
      <color theme="1"/>
      <name val="Calibri"/>
      <family val="2"/>
      <scheme val="minor"/>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sz val="10"/>
      <name val="Calibri"/>
      <family val="2"/>
      <scheme val="minor"/>
    </font>
    <font>
      <b/>
      <sz val="11"/>
      <color theme="1"/>
      <name val="Calibri"/>
      <family val="2"/>
      <scheme val="minor"/>
    </font>
    <font>
      <b/>
      <sz val="10"/>
      <color theme="1"/>
      <name val="Calibri"/>
      <family val="2"/>
      <scheme val="minor"/>
    </font>
    <font>
      <sz val="10"/>
      <color theme="2"/>
      <name val="Arial"/>
      <family val="2"/>
    </font>
    <font>
      <sz val="1"/>
      <color theme="2"/>
      <name val="Calibri"/>
      <family val="2"/>
      <scheme val="minor"/>
    </font>
    <font>
      <b/>
      <sz val="20"/>
      <color theme="1"/>
      <name val="Calibri"/>
      <family val="2"/>
      <scheme val="minor"/>
    </font>
    <font>
      <b/>
      <sz val="18"/>
      <color theme="0"/>
      <name val="Calibri"/>
      <family val="2"/>
    </font>
    <font>
      <b/>
      <sz val="10"/>
      <name val="Arial"/>
      <family val="2"/>
    </font>
    <font>
      <b/>
      <sz val="16"/>
      <color theme="0"/>
      <name val="Arial"/>
      <family val="2"/>
    </font>
  </fonts>
  <fills count="27">
    <fill>
      <patternFill patternType="none"/>
    </fill>
    <fill>
      <patternFill patternType="gray125"/>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
      <patternFill patternType="solid">
        <fgColor theme="4" tint="-0.249977111117893"/>
        <bgColor indexed="64"/>
      </patternFill>
    </fill>
    <fill>
      <patternFill patternType="gray0625">
        <bgColor theme="2"/>
      </patternFill>
    </fill>
    <fill>
      <patternFill patternType="solid">
        <fgColor theme="0" tint="-0.14999847407452621"/>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
      <patternFill patternType="solid">
        <fgColor theme="0"/>
        <bgColor indexed="64"/>
      </patternFill>
    </fill>
  </fills>
  <borders count="9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thin">
        <color rgb="FF000000"/>
      </left>
      <right style="medium">
        <color indexed="64"/>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s>
  <cellStyleXfs count="4">
    <xf numFmtId="0" fontId="0" fillId="0" borderId="0"/>
    <xf numFmtId="0" fontId="7" fillId="0" borderId="0"/>
    <xf numFmtId="9" fontId="7" fillId="0" borderId="0" applyFont="0" applyFill="0" applyBorder="0" applyAlignment="0" applyProtection="0"/>
    <xf numFmtId="0" fontId="2" fillId="0" borderId="0"/>
  </cellStyleXfs>
  <cellXfs count="251">
    <xf numFmtId="0" fontId="0" fillId="0" borderId="0" xfId="0"/>
    <xf numFmtId="0" fontId="0" fillId="0" borderId="0" xfId="0" applyAlignment="1">
      <alignment horizontal="center"/>
    </xf>
    <xf numFmtId="0" fontId="9" fillId="4" borderId="4" xfId="0" applyFont="1" applyFill="1" applyBorder="1" applyAlignment="1">
      <alignment horizontal="center" vertical="center"/>
    </xf>
    <xf numFmtId="0" fontId="7" fillId="0" borderId="0" xfId="0" applyFont="1" applyAlignment="1">
      <alignment horizontal="center"/>
    </xf>
    <xf numFmtId="0" fontId="6" fillId="5" borderId="4" xfId="0" applyFont="1" applyFill="1" applyBorder="1" applyAlignment="1">
      <alignment horizontal="center" vertical="center"/>
    </xf>
    <xf numFmtId="0" fontId="7" fillId="0" borderId="0" xfId="0" applyFont="1" applyAlignment="1">
      <alignment horizontal="center" vertical="center"/>
    </xf>
    <xf numFmtId="0" fontId="6" fillId="6" borderId="4" xfId="0" applyFont="1" applyFill="1" applyBorder="1" applyAlignment="1">
      <alignment horizontal="center" vertical="center"/>
    </xf>
    <xf numFmtId="0" fontId="0" fillId="0" borderId="0" xfId="0" applyAlignment="1">
      <alignment vertical="center"/>
    </xf>
    <xf numFmtId="0" fontId="0" fillId="3" borderId="0" xfId="0" applyFill="1"/>
    <xf numFmtId="0" fontId="0" fillId="7" borderId="0" xfId="0" applyFill="1"/>
    <xf numFmtId="0" fontId="0" fillId="0" borderId="24" xfId="0" applyBorder="1" applyAlignment="1">
      <alignment vertical="top" wrapText="1"/>
    </xf>
    <xf numFmtId="0" fontId="0" fillId="8" borderId="0" xfId="0" applyFill="1" applyAlignment="1">
      <alignment vertical="top" wrapText="1"/>
    </xf>
    <xf numFmtId="0" fontId="0" fillId="0" borderId="27" xfId="0" applyBorder="1" applyAlignment="1">
      <alignment vertical="top" wrapText="1"/>
    </xf>
    <xf numFmtId="0" fontId="0" fillId="0" borderId="28" xfId="0" applyBorder="1" applyAlignment="1">
      <alignment vertical="top" wrapText="1"/>
    </xf>
    <xf numFmtId="0" fontId="0" fillId="0" borderId="28" xfId="0" applyBorder="1" applyAlignment="1">
      <alignment horizontal="center" vertical="top" wrapText="1"/>
    </xf>
    <xf numFmtId="0" fontId="0" fillId="0" borderId="29" xfId="0" applyBorder="1" applyAlignment="1">
      <alignment horizontal="center" vertical="top" wrapText="1"/>
    </xf>
    <xf numFmtId="0" fontId="0" fillId="0" borderId="0" xfId="0" applyAlignment="1">
      <alignment horizontal="center" vertical="center" wrapText="1"/>
    </xf>
    <xf numFmtId="0" fontId="8" fillId="0" borderId="0" xfId="0" applyFont="1" applyAlignment="1">
      <alignment horizontal="left" vertical="center"/>
    </xf>
    <xf numFmtId="0" fontId="8"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5" xfId="0" applyBorder="1" applyAlignment="1">
      <alignment wrapText="1"/>
    </xf>
    <xf numFmtId="0" fontId="0" fillId="2" borderId="0" xfId="0" applyFill="1" applyAlignment="1">
      <alignment vertical="top" wrapText="1"/>
    </xf>
    <xf numFmtId="0" fontId="0" fillId="0" borderId="0" xfId="0"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15" fillId="9" borderId="6" xfId="0" applyFont="1" applyFill="1" applyBorder="1" applyAlignment="1">
      <alignment horizontal="center" vertical="center"/>
    </xf>
    <xf numFmtId="0" fontId="15" fillId="9" borderId="8" xfId="0" applyFont="1" applyFill="1" applyBorder="1" applyAlignment="1">
      <alignment vertical="center"/>
    </xf>
    <xf numFmtId="0" fontId="15" fillId="9" borderId="8" xfId="0" applyFont="1" applyFill="1" applyBorder="1" applyAlignment="1">
      <alignment horizontal="center" vertical="center"/>
    </xf>
    <xf numFmtId="0" fontId="15" fillId="9" borderId="9" xfId="0" applyFont="1" applyFill="1" applyBorder="1" applyAlignment="1">
      <alignment horizontal="center" vertical="center"/>
    </xf>
    <xf numFmtId="0" fontId="15" fillId="9" borderId="10" xfId="0" applyFont="1" applyFill="1" applyBorder="1" applyAlignment="1">
      <alignment vertical="center"/>
    </xf>
    <xf numFmtId="0" fontId="16" fillId="9" borderId="8" xfId="0" applyFont="1" applyFill="1" applyBorder="1" applyAlignment="1">
      <alignment vertical="center"/>
    </xf>
    <xf numFmtId="0" fontId="17" fillId="9" borderId="8" xfId="0" applyFont="1" applyFill="1" applyBorder="1" applyAlignment="1">
      <alignment vertical="center"/>
    </xf>
    <xf numFmtId="0" fontId="17" fillId="9" borderId="8" xfId="0" applyFont="1" applyFill="1" applyBorder="1" applyAlignment="1">
      <alignment horizontal="center" vertical="center"/>
    </xf>
    <xf numFmtId="0" fontId="17" fillId="9" borderId="9" xfId="0" applyFont="1" applyFill="1" applyBorder="1" applyAlignment="1">
      <alignment horizontal="center" vertical="center"/>
    </xf>
    <xf numFmtId="0" fontId="15" fillId="9" borderId="11" xfId="0" applyFont="1" applyFill="1" applyBorder="1" applyAlignment="1">
      <alignment horizontal="center" vertical="center" wrapText="1"/>
    </xf>
    <xf numFmtId="0" fontId="18" fillId="9" borderId="12" xfId="0" applyFont="1" applyFill="1" applyBorder="1" applyAlignment="1">
      <alignment horizontal="center" vertical="center" wrapText="1"/>
    </xf>
    <xf numFmtId="0" fontId="18" fillId="9" borderId="13" xfId="0" applyFont="1" applyFill="1" applyBorder="1" applyAlignment="1">
      <alignment horizontal="center" vertical="center" wrapText="1"/>
    </xf>
    <xf numFmtId="0" fontId="18" fillId="9" borderId="14" xfId="0" applyFont="1" applyFill="1" applyBorder="1" applyAlignment="1">
      <alignment horizontal="center" vertical="center" wrapText="1"/>
    </xf>
    <xf numFmtId="0" fontId="4" fillId="10" borderId="20" xfId="0" applyFont="1" applyFill="1" applyBorder="1" applyAlignment="1">
      <alignment horizontal="center" vertical="center" wrapText="1"/>
    </xf>
    <xf numFmtId="0" fontId="0" fillId="10" borderId="21" xfId="0" applyFill="1" applyBorder="1" applyAlignment="1">
      <alignment vertical="top" wrapText="1"/>
    </xf>
    <xf numFmtId="0" fontId="0" fillId="10" borderId="22" xfId="0" applyFill="1" applyBorder="1" applyAlignment="1">
      <alignment vertical="top" wrapText="1"/>
    </xf>
    <xf numFmtId="0" fontId="0" fillId="10" borderId="22" xfId="0" applyFill="1" applyBorder="1" applyAlignment="1">
      <alignment horizontal="center" vertical="top" wrapText="1"/>
    </xf>
    <xf numFmtId="0" fontId="0" fillId="10" borderId="23" xfId="0" applyFill="1" applyBorder="1" applyAlignment="1">
      <alignment horizontal="center" vertical="top" wrapText="1"/>
    </xf>
    <xf numFmtId="0" fontId="0" fillId="10" borderId="24" xfId="0" applyFill="1" applyBorder="1" applyAlignment="1">
      <alignment vertical="top" wrapText="1"/>
    </xf>
    <xf numFmtId="0" fontId="14" fillId="10" borderId="22" xfId="0" applyFont="1" applyFill="1" applyBorder="1" applyAlignment="1">
      <alignment vertical="top" wrapText="1"/>
    </xf>
    <xf numFmtId="0" fontId="0" fillId="10" borderId="0" xfId="0" applyFill="1" applyAlignment="1">
      <alignment vertical="top" wrapText="1"/>
    </xf>
    <xf numFmtId="0" fontId="20" fillId="10" borderId="21" xfId="0" applyFont="1" applyFill="1" applyBorder="1" applyAlignment="1">
      <alignment vertical="top" wrapText="1"/>
    </xf>
    <xf numFmtId="0" fontId="20" fillId="10" borderId="22" xfId="0" applyFont="1" applyFill="1" applyBorder="1" applyAlignment="1">
      <alignment vertical="top" wrapText="1"/>
    </xf>
    <xf numFmtId="0" fontId="20" fillId="10" borderId="22" xfId="0" applyFont="1" applyFill="1" applyBorder="1" applyAlignment="1">
      <alignment horizontal="center" vertical="top" wrapText="1"/>
    </xf>
    <xf numFmtId="0" fontId="20" fillId="10" borderId="23" xfId="0" applyFont="1" applyFill="1" applyBorder="1" applyAlignment="1">
      <alignment horizontal="center" vertical="top" wrapText="1"/>
    </xf>
    <xf numFmtId="0" fontId="0" fillId="10" borderId="25" xfId="0" applyFill="1" applyBorder="1" applyAlignment="1">
      <alignment vertical="top" wrapText="1"/>
    </xf>
    <xf numFmtId="0" fontId="4" fillId="10" borderId="7" xfId="0" applyFont="1" applyFill="1" applyBorder="1" applyAlignment="1">
      <alignment horizontal="center" vertical="center" wrapText="1"/>
    </xf>
    <xf numFmtId="0" fontId="0" fillId="10" borderId="31" xfId="0" applyFill="1" applyBorder="1" applyAlignment="1">
      <alignment vertical="top" wrapText="1"/>
    </xf>
    <xf numFmtId="0" fontId="0" fillId="10" borderId="32" xfId="0" applyFill="1" applyBorder="1" applyAlignment="1">
      <alignment vertical="top" wrapText="1"/>
    </xf>
    <xf numFmtId="0" fontId="0" fillId="10" borderId="32" xfId="0" applyFill="1" applyBorder="1" applyAlignment="1">
      <alignment horizontal="center" vertical="top" wrapText="1"/>
    </xf>
    <xf numFmtId="0" fontId="0" fillId="10" borderId="33" xfId="0" applyFill="1" applyBorder="1" applyAlignment="1">
      <alignment horizontal="center" vertical="top" wrapText="1"/>
    </xf>
    <xf numFmtId="0" fontId="0" fillId="10" borderId="34" xfId="0" applyFill="1" applyBorder="1" applyAlignment="1">
      <alignment vertical="top" wrapText="1"/>
    </xf>
    <xf numFmtId="0" fontId="3" fillId="9" borderId="0" xfId="0" applyFont="1" applyFill="1"/>
    <xf numFmtId="0" fontId="3" fillId="9" borderId="0" xfId="0" applyFont="1" applyFill="1" applyAlignment="1">
      <alignment horizontal="center"/>
    </xf>
    <xf numFmtId="0" fontId="6" fillId="10" borderId="4" xfId="0" applyFont="1" applyFill="1" applyBorder="1" applyAlignment="1">
      <alignment horizontal="center" vertical="center"/>
    </xf>
    <xf numFmtId="0" fontId="5" fillId="10" borderId="0" xfId="0" applyFont="1" applyFill="1"/>
    <xf numFmtId="0" fontId="3" fillId="10" borderId="0" xfId="0" applyFont="1" applyFill="1"/>
    <xf numFmtId="0" fontId="27" fillId="0" borderId="36" xfId="0" applyFont="1" applyBorder="1" applyAlignment="1">
      <alignment horizontal="left" vertical="center"/>
    </xf>
    <xf numFmtId="0" fontId="27" fillId="0" borderId="37" xfId="0" applyFont="1" applyBorder="1" applyAlignment="1">
      <alignment horizontal="left" vertical="center"/>
    </xf>
    <xf numFmtId="0" fontId="27" fillId="0" borderId="38" xfId="0" applyFont="1" applyBorder="1" applyAlignment="1">
      <alignment horizontal="left" vertical="center"/>
    </xf>
    <xf numFmtId="0" fontId="13" fillId="0" borderId="39" xfId="0" applyFont="1" applyBorder="1" applyAlignment="1">
      <alignment vertical="center"/>
    </xf>
    <xf numFmtId="0" fontId="13" fillId="0" borderId="43" xfId="0" applyFont="1" applyBorder="1" applyAlignment="1">
      <alignment vertical="center"/>
    </xf>
    <xf numFmtId="0" fontId="1" fillId="0" borderId="39" xfId="0" applyFont="1" applyBorder="1" applyAlignment="1">
      <alignment horizontal="left" vertical="center"/>
    </xf>
    <xf numFmtId="0" fontId="1" fillId="0" borderId="43" xfId="0" applyFont="1" applyBorder="1" applyAlignment="1">
      <alignment horizontal="left" vertical="center"/>
    </xf>
    <xf numFmtId="0" fontId="29" fillId="0" borderId="39" xfId="0" applyFont="1" applyBorder="1" applyAlignment="1">
      <alignment horizontal="left" vertical="center"/>
    </xf>
    <xf numFmtId="0" fontId="29" fillId="0" borderId="43" xfId="0" applyFont="1" applyBorder="1" applyAlignment="1">
      <alignment horizontal="left" vertical="center"/>
    </xf>
    <xf numFmtId="0" fontId="29" fillId="0" borderId="0" xfId="0" applyFont="1" applyAlignment="1">
      <alignment horizontal="left" vertical="center"/>
    </xf>
    <xf numFmtId="0" fontId="0" fillId="0" borderId="39" xfId="0" applyBorder="1" applyAlignment="1">
      <alignment horizontal="center" vertical="center"/>
    </xf>
    <xf numFmtId="0" fontId="0" fillId="0" borderId="0" xfId="0" applyAlignment="1">
      <alignment horizontal="center" vertical="center"/>
    </xf>
    <xf numFmtId="0" fontId="0" fillId="0" borderId="43" xfId="0" applyBorder="1" applyAlignment="1">
      <alignment horizontal="center" vertical="center"/>
    </xf>
    <xf numFmtId="0" fontId="0" fillId="11" borderId="0" xfId="0" applyFill="1" applyAlignment="1">
      <alignment horizontal="center" vertical="center"/>
    </xf>
    <xf numFmtId="0" fontId="30" fillId="0" borderId="0" xfId="0" applyFont="1" applyAlignment="1">
      <alignment vertical="center"/>
    </xf>
    <xf numFmtId="0" fontId="0" fillId="11" borderId="0" xfId="0" applyFill="1" applyAlignment="1">
      <alignment vertical="center"/>
    </xf>
    <xf numFmtId="0" fontId="0" fillId="0" borderId="39" xfId="0" applyBorder="1" applyAlignment="1">
      <alignment vertical="center"/>
    </xf>
    <xf numFmtId="0" fontId="0" fillId="0" borderId="43" xfId="0" applyBorder="1" applyAlignment="1">
      <alignment vertical="center"/>
    </xf>
    <xf numFmtId="0" fontId="0" fillId="0" borderId="53" xfId="0" applyBorder="1" applyAlignment="1">
      <alignment vertical="center"/>
    </xf>
    <xf numFmtId="0" fontId="0" fillId="0" borderId="54" xfId="0" applyBorder="1" applyAlignment="1">
      <alignment vertical="center"/>
    </xf>
    <xf numFmtId="0" fontId="0" fillId="0" borderId="55" xfId="0" applyBorder="1" applyAlignment="1">
      <alignment vertical="center"/>
    </xf>
    <xf numFmtId="0" fontId="0" fillId="0" borderId="58" xfId="0" applyBorder="1" applyAlignment="1">
      <alignment vertical="center"/>
    </xf>
    <xf numFmtId="0" fontId="0" fillId="0" borderId="59" xfId="0" applyBorder="1" applyAlignment="1">
      <alignment vertical="center"/>
    </xf>
    <xf numFmtId="0" fontId="0" fillId="0" borderId="58" xfId="0" applyBorder="1" applyAlignment="1">
      <alignment horizontal="center" vertical="center"/>
    </xf>
    <xf numFmtId="0" fontId="0" fillId="0" borderId="59" xfId="0" applyBorder="1" applyAlignment="1">
      <alignment horizontal="center" vertical="center"/>
    </xf>
    <xf numFmtId="0" fontId="0" fillId="0" borderId="60" xfId="0" applyBorder="1" applyAlignment="1">
      <alignment vertical="center"/>
    </xf>
    <xf numFmtId="0" fontId="0" fillId="0" borderId="61" xfId="0" applyBorder="1" applyAlignment="1">
      <alignment vertical="center"/>
    </xf>
    <xf numFmtId="0" fontId="0" fillId="0" borderId="62" xfId="0" applyBorder="1" applyAlignment="1">
      <alignment vertical="center"/>
    </xf>
    <xf numFmtId="0" fontId="27" fillId="0" borderId="58" xfId="0" applyFont="1" applyBorder="1" applyAlignment="1">
      <alignment vertical="center"/>
    </xf>
    <xf numFmtId="0" fontId="27" fillId="0" borderId="59" xfId="0" applyFont="1" applyBorder="1" applyAlignment="1">
      <alignment vertical="center"/>
    </xf>
    <xf numFmtId="0" fontId="27" fillId="17" borderId="4" xfId="0" applyFont="1" applyFill="1" applyBorder="1" applyAlignment="1">
      <alignment horizontal="center" vertical="center"/>
    </xf>
    <xf numFmtId="0" fontId="27" fillId="0" borderId="60" xfId="0" applyFont="1" applyBorder="1" applyAlignment="1">
      <alignment vertical="center"/>
    </xf>
    <xf numFmtId="0" fontId="27" fillId="0" borderId="61" xfId="0" applyFont="1" applyBorder="1" applyAlignment="1">
      <alignment vertical="center"/>
    </xf>
    <xf numFmtId="0" fontId="27" fillId="0" borderId="62" xfId="0" applyFont="1" applyBorder="1" applyAlignment="1">
      <alignment vertical="center"/>
    </xf>
    <xf numFmtId="0" fontId="27" fillId="0" borderId="0" xfId="0" applyFont="1" applyAlignment="1">
      <alignment vertical="center"/>
    </xf>
    <xf numFmtId="0" fontId="33" fillId="15" borderId="4" xfId="0" applyFont="1" applyFill="1" applyBorder="1" applyAlignment="1">
      <alignment horizontal="center" vertical="center"/>
    </xf>
    <xf numFmtId="0" fontId="27" fillId="11" borderId="4" xfId="0" applyFont="1" applyFill="1" applyBorder="1" applyAlignment="1">
      <alignment horizontal="center" vertical="center"/>
    </xf>
    <xf numFmtId="0" fontId="3" fillId="4" borderId="0" xfId="0" applyFont="1" applyFill="1"/>
    <xf numFmtId="0" fontId="5" fillId="18" borderId="0" xfId="0" applyFont="1" applyFill="1"/>
    <xf numFmtId="0" fontId="7" fillId="0" borderId="0" xfId="0" applyFont="1"/>
    <xf numFmtId="0" fontId="16" fillId="9" borderId="63" xfId="0" applyFont="1" applyFill="1" applyBorder="1" applyAlignment="1">
      <alignment vertical="center"/>
    </xf>
    <xf numFmtId="0" fontId="17" fillId="9" borderId="64" xfId="0" applyFont="1" applyFill="1" applyBorder="1" applyAlignment="1">
      <alignment vertical="center"/>
    </xf>
    <xf numFmtId="0" fontId="17" fillId="9" borderId="64" xfId="0" applyFont="1" applyFill="1" applyBorder="1" applyAlignment="1">
      <alignment horizontal="center" vertical="center"/>
    </xf>
    <xf numFmtId="0" fontId="17" fillId="9" borderId="65" xfId="0" applyFont="1" applyFill="1" applyBorder="1" applyAlignment="1">
      <alignment horizontal="center" vertical="center"/>
    </xf>
    <xf numFmtId="0" fontId="18" fillId="9" borderId="66" xfId="0" applyFont="1" applyFill="1" applyBorder="1" applyAlignment="1">
      <alignment horizontal="center" vertical="center" wrapText="1"/>
    </xf>
    <xf numFmtId="0" fontId="18" fillId="9" borderId="67" xfId="0" applyFont="1" applyFill="1" applyBorder="1" applyAlignment="1">
      <alignment horizontal="center" vertical="center" wrapText="1"/>
    </xf>
    <xf numFmtId="0" fontId="0" fillId="10" borderId="71" xfId="0" applyFill="1" applyBorder="1" applyAlignment="1">
      <alignment horizontal="center" vertical="top" wrapText="1"/>
    </xf>
    <xf numFmtId="0" fontId="0" fillId="10" borderId="72" xfId="0" applyFill="1" applyBorder="1" applyAlignment="1">
      <alignment vertical="top" wrapText="1"/>
    </xf>
    <xf numFmtId="0" fontId="0" fillId="10" borderId="73" xfId="0" applyFill="1" applyBorder="1" applyAlignment="1">
      <alignment horizontal="center" vertical="top" wrapText="1"/>
    </xf>
    <xf numFmtId="0" fontId="0" fillId="10" borderId="75" xfId="0" applyFill="1" applyBorder="1" applyAlignment="1">
      <alignment horizontal="center" vertical="top" wrapText="1"/>
    </xf>
    <xf numFmtId="0" fontId="7" fillId="0" borderId="78" xfId="0" applyFont="1" applyBorder="1" applyAlignment="1">
      <alignment horizontal="center"/>
    </xf>
    <xf numFmtId="0" fontId="7" fillId="0" borderId="79" xfId="0" applyFont="1" applyBorder="1" applyAlignment="1">
      <alignment horizontal="left"/>
    </xf>
    <xf numFmtId="0" fontId="0" fillId="0" borderId="79" xfId="0" applyBorder="1"/>
    <xf numFmtId="0" fontId="7" fillId="20" borderId="78" xfId="0" applyFont="1" applyFill="1" applyBorder="1" applyAlignment="1">
      <alignment horizontal="center"/>
    </xf>
    <xf numFmtId="0" fontId="7" fillId="20" borderId="79" xfId="0" applyFont="1" applyFill="1" applyBorder="1" applyAlignment="1">
      <alignment horizontal="left"/>
    </xf>
    <xf numFmtId="0" fontId="0" fillId="0" borderId="79" xfId="0" applyBorder="1" applyAlignment="1">
      <alignment horizontal="left"/>
    </xf>
    <xf numFmtId="0" fontId="7" fillId="0" borderId="80" xfId="0" applyFont="1" applyBorder="1" applyAlignment="1">
      <alignment horizontal="center"/>
    </xf>
    <xf numFmtId="0" fontId="7" fillId="0" borderId="81" xfId="0" applyFont="1" applyBorder="1" applyAlignment="1">
      <alignment horizontal="left"/>
    </xf>
    <xf numFmtId="0" fontId="4" fillId="0" borderId="15" xfId="0" applyFont="1" applyBorder="1" applyAlignment="1">
      <alignment horizontal="center" vertical="center" wrapText="1"/>
    </xf>
    <xf numFmtId="0" fontId="0" fillId="0" borderId="16" xfId="0" applyBorder="1" applyAlignment="1">
      <alignment vertical="top" wrapText="1"/>
    </xf>
    <xf numFmtId="0" fontId="0" fillId="0" borderId="17" xfId="0" applyBorder="1" applyAlignment="1">
      <alignment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0" fillId="0" borderId="19" xfId="0" applyBorder="1" applyAlignment="1">
      <alignment vertical="top" wrapText="1"/>
    </xf>
    <xf numFmtId="0" fontId="0" fillId="0" borderId="68" xfId="0" applyBorder="1" applyAlignment="1">
      <alignment horizontal="center" vertical="top" wrapText="1"/>
    </xf>
    <xf numFmtId="0" fontId="0" fillId="0" borderId="69" xfId="0" applyBorder="1" applyAlignment="1">
      <alignment vertical="top" wrapText="1"/>
    </xf>
    <xf numFmtId="0" fontId="0" fillId="0" borderId="70" xfId="0" applyBorder="1" applyAlignment="1">
      <alignment horizontal="center" vertical="top" wrapText="1"/>
    </xf>
    <xf numFmtId="0" fontId="4" fillId="0" borderId="20" xfId="0" applyFont="1" applyBorder="1" applyAlignment="1">
      <alignment horizontal="center" vertical="center" wrapText="1"/>
    </xf>
    <xf numFmtId="0" fontId="0" fillId="0" borderId="22" xfId="0" applyBorder="1" applyAlignment="1">
      <alignment horizontal="center" vertical="top" wrapText="1"/>
    </xf>
    <xf numFmtId="0" fontId="0" fillId="0" borderId="23" xfId="0" applyBorder="1" applyAlignment="1">
      <alignment horizontal="center" vertical="top" wrapText="1"/>
    </xf>
    <xf numFmtId="0" fontId="14" fillId="0" borderId="22" xfId="0" applyFont="1" applyBorder="1" applyAlignment="1">
      <alignment vertical="top" wrapText="1"/>
    </xf>
    <xf numFmtId="0" fontId="0" fillId="0" borderId="71" xfId="0" applyBorder="1" applyAlignment="1">
      <alignment horizontal="center" vertical="top" wrapText="1"/>
    </xf>
    <xf numFmtId="0" fontId="0" fillId="0" borderId="72" xfId="0" applyBorder="1" applyAlignment="1">
      <alignment vertical="top" wrapText="1"/>
    </xf>
    <xf numFmtId="0" fontId="0" fillId="0" borderId="73" xfId="0" applyBorder="1" applyAlignment="1">
      <alignment horizontal="center" vertical="top" wrapText="1"/>
    </xf>
    <xf numFmtId="0" fontId="20" fillId="0" borderId="21" xfId="0" applyFont="1" applyBorder="1" applyAlignment="1">
      <alignment vertical="top" wrapText="1"/>
    </xf>
    <xf numFmtId="0" fontId="20" fillId="0" borderId="22" xfId="0" applyFont="1" applyBorder="1" applyAlignment="1">
      <alignment vertical="top" wrapText="1"/>
    </xf>
    <xf numFmtId="0" fontId="20" fillId="0" borderId="22" xfId="0" applyFont="1" applyBorder="1" applyAlignment="1">
      <alignment horizontal="center" vertical="top" wrapText="1"/>
    </xf>
    <xf numFmtId="0" fontId="20" fillId="0" borderId="23" xfId="0" applyFont="1" applyBorder="1" applyAlignment="1">
      <alignment horizontal="center" vertical="top" wrapText="1"/>
    </xf>
    <xf numFmtId="0" fontId="7" fillId="0" borderId="22" xfId="0" applyFont="1" applyBorder="1" applyAlignment="1">
      <alignment vertical="top" wrapText="1"/>
    </xf>
    <xf numFmtId="0" fontId="4" fillId="0" borderId="26" xfId="0" applyFont="1" applyBorder="1" applyAlignment="1">
      <alignment horizontal="center" vertical="center" wrapText="1"/>
    </xf>
    <xf numFmtId="0" fontId="0" fillId="0" borderId="30" xfId="0" applyBorder="1" applyAlignment="1">
      <alignment vertical="top" wrapText="1"/>
    </xf>
    <xf numFmtId="0" fontId="20" fillId="0" borderId="27" xfId="0" applyFont="1" applyBorder="1" applyAlignment="1">
      <alignment vertical="top" wrapText="1"/>
    </xf>
    <xf numFmtId="0" fontId="20" fillId="0" borderId="28" xfId="0" applyFont="1" applyBorder="1" applyAlignment="1">
      <alignment vertical="top" wrapText="1"/>
    </xf>
    <xf numFmtId="0" fontId="20" fillId="0" borderId="28" xfId="0" applyFont="1" applyBorder="1" applyAlignment="1">
      <alignment horizontal="center" vertical="top" wrapText="1"/>
    </xf>
    <xf numFmtId="0" fontId="20" fillId="0" borderId="29" xfId="0" applyFont="1" applyBorder="1" applyAlignment="1">
      <alignment horizontal="center" vertical="top" wrapText="1"/>
    </xf>
    <xf numFmtId="0" fontId="14" fillId="0" borderId="28" xfId="0" applyFont="1" applyBorder="1" applyAlignment="1">
      <alignment vertical="top" wrapText="1"/>
    </xf>
    <xf numFmtId="0" fontId="0" fillId="0" borderId="74" xfId="0" applyBorder="1" applyAlignment="1">
      <alignment horizontal="center" vertical="top" wrapText="1"/>
    </xf>
    <xf numFmtId="0" fontId="0" fillId="0" borderId="82" xfId="0" applyBorder="1" applyAlignment="1">
      <alignment horizontal="center" vertical="top" wrapText="1"/>
    </xf>
    <xf numFmtId="0" fontId="0" fillId="10" borderId="82" xfId="0" applyFill="1" applyBorder="1" applyAlignment="1">
      <alignment horizontal="center" vertical="top" wrapText="1"/>
    </xf>
    <xf numFmtId="0" fontId="0" fillId="0" borderId="83" xfId="0" applyBorder="1" applyAlignment="1">
      <alignment horizontal="center" vertical="top" wrapText="1"/>
    </xf>
    <xf numFmtId="0" fontId="0" fillId="10" borderId="84" xfId="0" applyFill="1" applyBorder="1" applyAlignment="1">
      <alignment horizontal="center" vertical="top" wrapText="1"/>
    </xf>
    <xf numFmtId="0" fontId="0" fillId="10" borderId="83" xfId="0" applyFill="1" applyBorder="1" applyAlignment="1">
      <alignment horizontal="center" vertical="top" wrapText="1"/>
    </xf>
    <xf numFmtId="0" fontId="0" fillId="10" borderId="87" xfId="0" applyFill="1" applyBorder="1" applyAlignment="1">
      <alignment vertical="top" wrapText="1"/>
    </xf>
    <xf numFmtId="0" fontId="0" fillId="10" borderId="88" xfId="0" applyFill="1" applyBorder="1" applyAlignment="1">
      <alignment horizontal="center" vertical="top" wrapText="1"/>
    </xf>
    <xf numFmtId="0" fontId="0" fillId="10" borderId="89" xfId="0" applyFill="1" applyBorder="1" applyAlignment="1">
      <alignment horizontal="center" vertical="top" wrapText="1"/>
    </xf>
    <xf numFmtId="0" fontId="0" fillId="21" borderId="0" xfId="0" applyFill="1" applyAlignment="1">
      <alignment horizontal="center" vertical="center" wrapText="1"/>
    </xf>
    <xf numFmtId="0" fontId="39" fillId="22" borderId="0" xfId="0" applyFont="1" applyFill="1" applyAlignment="1">
      <alignment horizontal="center" vertical="center" wrapText="1"/>
    </xf>
    <xf numFmtId="0" fontId="0" fillId="22" borderId="0" xfId="0" applyFill="1" applyAlignment="1">
      <alignment horizontal="center" vertical="center" wrapText="1"/>
    </xf>
    <xf numFmtId="0" fontId="0" fillId="22" borderId="0" xfId="0" applyFill="1" applyAlignment="1">
      <alignment wrapText="1"/>
    </xf>
    <xf numFmtId="0" fontId="0" fillId="22" borderId="0" xfId="0" applyFill="1" applyAlignment="1">
      <alignment horizontal="center" wrapText="1"/>
    </xf>
    <xf numFmtId="0" fontId="39" fillId="23" borderId="0" xfId="0" applyFont="1" applyFill="1" applyAlignment="1">
      <alignment horizontal="center" vertical="center" wrapText="1"/>
    </xf>
    <xf numFmtId="0" fontId="0" fillId="23" borderId="0" xfId="0" applyFill="1" applyAlignment="1">
      <alignment wrapText="1"/>
    </xf>
    <xf numFmtId="0" fontId="0" fillId="23" borderId="0" xfId="0" applyFill="1" applyAlignment="1">
      <alignment horizontal="center" wrapText="1"/>
    </xf>
    <xf numFmtId="0" fontId="39" fillId="24" borderId="0" xfId="0" applyFont="1" applyFill="1" applyAlignment="1">
      <alignment horizontal="center" vertical="center" wrapText="1"/>
    </xf>
    <xf numFmtId="0" fontId="0" fillId="24" borderId="0" xfId="0" applyFill="1" applyAlignment="1">
      <alignment wrapText="1"/>
    </xf>
    <xf numFmtId="0" fontId="39" fillId="25" borderId="0" xfId="0" applyFont="1" applyFill="1" applyAlignment="1">
      <alignment horizontal="center" vertical="center" wrapText="1"/>
    </xf>
    <xf numFmtId="0" fontId="0" fillId="25" borderId="0" xfId="0" applyFill="1" applyAlignment="1">
      <alignment wrapText="1"/>
    </xf>
    <xf numFmtId="0" fontId="0" fillId="26" borderId="72" xfId="0" applyFill="1" applyBorder="1" applyAlignment="1">
      <alignment vertical="top" wrapText="1"/>
    </xf>
    <xf numFmtId="0" fontId="0" fillId="26" borderId="22" xfId="0" applyFill="1" applyBorder="1" applyAlignment="1">
      <alignment vertical="top" wrapText="1"/>
    </xf>
    <xf numFmtId="0" fontId="0" fillId="26" borderId="22" xfId="0" applyFill="1" applyBorder="1" applyAlignment="1">
      <alignment horizontal="center" vertical="top" wrapText="1"/>
    </xf>
    <xf numFmtId="0" fontId="0" fillId="26" borderId="73" xfId="0" applyFill="1" applyBorder="1" applyAlignment="1">
      <alignment vertical="top" wrapText="1"/>
    </xf>
    <xf numFmtId="0" fontId="0" fillId="26" borderId="85" xfId="0" applyFill="1" applyBorder="1" applyAlignment="1">
      <alignment vertical="top" wrapText="1"/>
    </xf>
    <xf numFmtId="0" fontId="0" fillId="26" borderId="28" xfId="0" applyFill="1" applyBorder="1" applyAlignment="1">
      <alignment vertical="top" wrapText="1"/>
    </xf>
    <xf numFmtId="0" fontId="0" fillId="26" borderId="28" xfId="0" applyFill="1" applyBorder="1" applyAlignment="1">
      <alignment horizontal="center" vertical="top" wrapText="1"/>
    </xf>
    <xf numFmtId="0" fontId="0" fillId="26" borderId="86" xfId="0" applyFill="1" applyBorder="1" applyAlignment="1">
      <alignment horizontal="center" vertical="top" wrapText="1"/>
    </xf>
    <xf numFmtId="0" fontId="30" fillId="14" borderId="4" xfId="0" applyFont="1" applyFill="1" applyBorder="1" applyAlignment="1">
      <alignment horizontal="left" vertical="center"/>
    </xf>
    <xf numFmtId="0" fontId="31" fillId="15" borderId="1" xfId="0" applyFont="1" applyFill="1" applyBorder="1" applyAlignment="1">
      <alignment horizontal="right" vertical="center"/>
    </xf>
    <xf numFmtId="0" fontId="31" fillId="15" borderId="2" xfId="0" applyFont="1" applyFill="1" applyBorder="1" applyAlignment="1">
      <alignment horizontal="right" vertical="center"/>
    </xf>
    <xf numFmtId="0" fontId="31" fillId="15" borderId="3" xfId="0" applyFont="1" applyFill="1" applyBorder="1" applyAlignment="1">
      <alignment horizontal="right" vertical="center"/>
    </xf>
    <xf numFmtId="0" fontId="7" fillId="0" borderId="1" xfId="0" applyFont="1" applyBorder="1" applyAlignment="1" applyProtection="1">
      <alignment horizontal="left" vertical="center"/>
      <protection locked="0"/>
    </xf>
    <xf numFmtId="0" fontId="7" fillId="0" borderId="2" xfId="0" applyFont="1" applyBorder="1" applyAlignment="1" applyProtection="1">
      <alignment horizontal="left" vertical="center"/>
      <protection locked="0"/>
    </xf>
    <xf numFmtId="0" fontId="7" fillId="0" borderId="3" xfId="0" applyFont="1" applyBorder="1" applyAlignment="1" applyProtection="1">
      <alignment horizontal="left" vertical="center"/>
      <protection locked="0"/>
    </xf>
    <xf numFmtId="14" fontId="7" fillId="0" borderId="1" xfId="0" applyNumberFormat="1" applyFont="1" applyBorder="1" applyAlignment="1" applyProtection="1">
      <alignment horizontal="left" vertical="center"/>
      <protection locked="0"/>
    </xf>
    <xf numFmtId="14" fontId="7" fillId="0" borderId="2" xfId="0" applyNumberFormat="1" applyFont="1" applyBorder="1" applyAlignment="1" applyProtection="1">
      <alignment horizontal="left" vertical="center"/>
      <protection locked="0"/>
    </xf>
    <xf numFmtId="14" fontId="7" fillId="0" borderId="3" xfId="0" applyNumberFormat="1" applyFont="1" applyBorder="1" applyAlignment="1" applyProtection="1">
      <alignment horizontal="left" vertical="center"/>
      <protection locked="0"/>
    </xf>
    <xf numFmtId="2" fontId="7" fillId="0" borderId="1" xfId="0" applyNumberFormat="1" applyFont="1" applyBorder="1" applyAlignment="1" applyProtection="1">
      <alignment horizontal="left" vertical="center" wrapText="1"/>
      <protection locked="0"/>
    </xf>
    <xf numFmtId="2" fontId="7" fillId="0" borderId="2" xfId="0" applyNumberFormat="1" applyFont="1" applyBorder="1" applyAlignment="1" applyProtection="1">
      <alignment horizontal="left" vertical="center" wrapText="1"/>
      <protection locked="0"/>
    </xf>
    <xf numFmtId="2" fontId="7" fillId="0" borderId="3" xfId="0" applyNumberFormat="1" applyFont="1" applyBorder="1" applyAlignment="1" applyProtection="1">
      <alignment horizontal="left" vertical="center" wrapText="1"/>
      <protection locked="0"/>
    </xf>
    <xf numFmtId="0" fontId="13" fillId="13" borderId="50" xfId="0" applyFont="1" applyFill="1" applyBorder="1" applyAlignment="1">
      <alignment horizontal="left" vertical="center"/>
    </xf>
    <xf numFmtId="0" fontId="13" fillId="13" borderId="51" xfId="0" applyFont="1" applyFill="1" applyBorder="1" applyAlignment="1">
      <alignment horizontal="left" vertical="center"/>
    </xf>
    <xf numFmtId="0" fontId="13" fillId="13" borderId="52" xfId="0" applyFont="1" applyFill="1" applyBorder="1" applyAlignment="1">
      <alignment horizontal="left" vertical="center"/>
    </xf>
    <xf numFmtId="0" fontId="30" fillId="14" borderId="1" xfId="0" applyFont="1" applyFill="1" applyBorder="1" applyAlignment="1">
      <alignment horizontal="left" vertical="center"/>
    </xf>
    <xf numFmtId="0" fontId="30" fillId="14" borderId="2" xfId="0" applyFont="1" applyFill="1" applyBorder="1" applyAlignment="1">
      <alignment horizontal="left" vertical="center"/>
    </xf>
    <xf numFmtId="0" fontId="30" fillId="14" borderId="3" xfId="0" applyFont="1" applyFill="1" applyBorder="1" applyAlignment="1">
      <alignment horizontal="left" vertical="center"/>
    </xf>
    <xf numFmtId="49" fontId="7" fillId="0" borderId="1" xfId="0" applyNumberFormat="1" applyFont="1" applyBorder="1" applyAlignment="1" applyProtection="1">
      <alignment horizontal="left" vertical="center" wrapText="1"/>
      <protection locked="0"/>
    </xf>
    <xf numFmtId="49" fontId="7" fillId="0" borderId="2" xfId="0" applyNumberFormat="1" applyFont="1" applyBorder="1" applyAlignment="1" applyProtection="1">
      <alignment horizontal="left" vertical="center" wrapText="1"/>
      <protection locked="0"/>
    </xf>
    <xf numFmtId="49" fontId="7" fillId="0" borderId="3" xfId="0" applyNumberFormat="1" applyFont="1" applyBorder="1" applyAlignment="1" applyProtection="1">
      <alignment horizontal="left" vertical="center" wrapText="1"/>
      <protection locked="0"/>
    </xf>
    <xf numFmtId="0" fontId="28" fillId="0" borderId="47" xfId="0" applyFont="1" applyBorder="1" applyAlignment="1">
      <alignment horizontal="right" vertical="center"/>
    </xf>
    <xf numFmtId="0" fontId="28" fillId="0" borderId="48" xfId="0" applyFont="1" applyBorder="1" applyAlignment="1">
      <alignment horizontal="right" vertical="center"/>
    </xf>
    <xf numFmtId="0" fontId="11" fillId="0" borderId="48" xfId="0" applyFont="1" applyBorder="1" applyAlignment="1">
      <alignment horizontal="left" vertical="center" wrapText="1"/>
    </xf>
    <xf numFmtId="0" fontId="11" fillId="0" borderId="45" xfId="0" applyFont="1" applyBorder="1" applyAlignment="1">
      <alignment horizontal="left" vertical="center" wrapText="1"/>
    </xf>
    <xf numFmtId="0" fontId="28" fillId="0" borderId="45" xfId="0" applyFont="1" applyBorder="1" applyAlignment="1">
      <alignment horizontal="right" vertical="center"/>
    </xf>
    <xf numFmtId="14" fontId="11" fillId="0" borderId="45" xfId="0" applyNumberFormat="1" applyFont="1" applyBorder="1" applyAlignment="1" applyProtection="1">
      <alignment horizontal="left" vertical="center" wrapText="1"/>
      <protection locked="0"/>
    </xf>
    <xf numFmtId="14" fontId="11" fillId="0" borderId="46" xfId="0" applyNumberFormat="1" applyFont="1" applyBorder="1" applyAlignment="1" applyProtection="1">
      <alignment horizontal="left" vertical="center" wrapText="1"/>
      <protection locked="0"/>
    </xf>
    <xf numFmtId="0" fontId="11" fillId="0" borderId="45" xfId="0" applyFont="1" applyBorder="1" applyAlignment="1" applyProtection="1">
      <alignment horizontal="left" vertical="center" wrapText="1"/>
      <protection locked="0"/>
    </xf>
    <xf numFmtId="0" fontId="11" fillId="0" borderId="46" xfId="0" applyFont="1" applyBorder="1" applyAlignment="1" applyProtection="1">
      <alignment horizontal="left" vertical="center" wrapText="1"/>
      <protection locked="0"/>
    </xf>
    <xf numFmtId="0" fontId="12" fillId="12" borderId="40" xfId="0" applyFont="1" applyFill="1" applyBorder="1" applyAlignment="1">
      <alignment horizontal="center" vertical="center"/>
    </xf>
    <xf numFmtId="0" fontId="12" fillId="12" borderId="41" xfId="0" applyFont="1" applyFill="1" applyBorder="1" applyAlignment="1">
      <alignment horizontal="center" vertical="center"/>
    </xf>
    <xf numFmtId="0" fontId="12" fillId="12" borderId="42" xfId="0" applyFont="1" applyFill="1" applyBorder="1" applyAlignment="1">
      <alignment horizontal="center" vertical="center"/>
    </xf>
    <xf numFmtId="0" fontId="28" fillId="0" borderId="44" xfId="0" applyFont="1" applyBorder="1" applyAlignment="1">
      <alignment horizontal="right" vertical="center"/>
    </xf>
    <xf numFmtId="14" fontId="11" fillId="0" borderId="48" xfId="0" applyNumberFormat="1" applyFont="1" applyBorder="1" applyAlignment="1" applyProtection="1">
      <alignment horizontal="left" vertical="center" wrapText="1"/>
      <protection locked="0"/>
    </xf>
    <xf numFmtId="14" fontId="11" fillId="0" borderId="49" xfId="0" applyNumberFormat="1" applyFont="1" applyBorder="1" applyAlignment="1" applyProtection="1">
      <alignment horizontal="left" vertical="center" wrapText="1"/>
      <protection locked="0"/>
    </xf>
    <xf numFmtId="0" fontId="0" fillId="15" borderId="5" xfId="0" applyFill="1" applyBorder="1" applyAlignment="1">
      <alignment horizontal="center" vertical="center"/>
    </xf>
    <xf numFmtId="0" fontId="0" fillId="15" borderId="5" xfId="0" applyFill="1" applyBorder="1" applyAlignment="1">
      <alignment horizontal="center" vertical="center" wrapText="1"/>
    </xf>
    <xf numFmtId="0" fontId="0" fillId="16" borderId="5" xfId="0" applyFill="1" applyBorder="1" applyAlignment="1">
      <alignment horizontal="center" vertical="center" wrapText="1"/>
    </xf>
    <xf numFmtId="0" fontId="31" fillId="0" borderId="58" xfId="0" applyFont="1" applyBorder="1" applyAlignment="1" applyProtection="1">
      <alignment horizontal="center" vertical="center" wrapText="1"/>
      <protection locked="0"/>
    </xf>
    <xf numFmtId="0" fontId="31" fillId="0" borderId="0" xfId="0" applyFont="1" applyAlignment="1" applyProtection="1">
      <alignment horizontal="center" vertical="center"/>
      <protection locked="0"/>
    </xf>
    <xf numFmtId="0" fontId="31" fillId="0" borderId="59" xfId="0" applyFont="1" applyBorder="1" applyAlignment="1" applyProtection="1">
      <alignment horizontal="center" vertical="center"/>
      <protection locked="0"/>
    </xf>
    <xf numFmtId="0" fontId="31" fillId="0" borderId="58" xfId="0" applyFont="1" applyBorder="1" applyAlignment="1" applyProtection="1">
      <alignment horizontal="center" vertical="center"/>
      <protection locked="0"/>
    </xf>
    <xf numFmtId="0" fontId="31" fillId="0" borderId="60" xfId="0" applyFont="1" applyBorder="1" applyAlignment="1" applyProtection="1">
      <alignment horizontal="center" vertical="center"/>
      <protection locked="0"/>
    </xf>
    <xf numFmtId="0" fontId="31" fillId="0" borderId="61" xfId="0" applyFont="1" applyBorder="1" applyAlignment="1" applyProtection="1">
      <alignment horizontal="center" vertical="center"/>
      <protection locked="0"/>
    </xf>
    <xf numFmtId="0" fontId="31" fillId="0" borderId="62" xfId="0" applyFont="1" applyBorder="1" applyAlignment="1" applyProtection="1">
      <alignment horizontal="center" vertical="center"/>
      <protection locked="0"/>
    </xf>
    <xf numFmtId="0" fontId="0" fillId="0" borderId="56" xfId="0" applyBorder="1" applyAlignment="1" applyProtection="1">
      <alignment horizontal="center" vertical="center"/>
      <protection locked="0"/>
    </xf>
    <xf numFmtId="0" fontId="0" fillId="0" borderId="57" xfId="0" applyBorder="1" applyAlignment="1" applyProtection="1">
      <alignment horizontal="center" vertical="center"/>
      <protection locked="0"/>
    </xf>
    <xf numFmtId="164" fontId="0" fillId="11" borderId="56" xfId="0" applyNumberFormat="1" applyFill="1" applyBorder="1" applyAlignment="1">
      <alignment horizontal="center" vertical="center"/>
    </xf>
    <xf numFmtId="164" fontId="0" fillId="11" borderId="57" xfId="0" applyNumberFormat="1" applyFill="1" applyBorder="1" applyAlignment="1">
      <alignment horizontal="center" vertical="center"/>
    </xf>
    <xf numFmtId="0" fontId="13" fillId="14" borderId="4" xfId="0" applyFont="1" applyFill="1" applyBorder="1" applyAlignment="1">
      <alignment horizontal="left" vertical="center"/>
    </xf>
    <xf numFmtId="0" fontId="33" fillId="15" borderId="4" xfId="0" applyFont="1" applyFill="1" applyBorder="1" applyAlignment="1">
      <alignment horizontal="center" vertical="center"/>
    </xf>
    <xf numFmtId="0" fontId="27" fillId="0" borderId="4" xfId="0" applyFont="1" applyBorder="1" applyAlignment="1" applyProtection="1">
      <alignment horizontal="center" vertical="center"/>
      <protection locked="0"/>
    </xf>
    <xf numFmtId="0" fontId="35" fillId="19" borderId="4" xfId="0" applyFont="1" applyFill="1" applyBorder="1" applyAlignment="1">
      <alignment horizontal="center" vertical="center"/>
    </xf>
    <xf numFmtId="0" fontId="36" fillId="11" borderId="1" xfId="0" applyFont="1" applyFill="1" applyBorder="1" applyAlignment="1">
      <alignment horizontal="center" vertical="center"/>
    </xf>
    <xf numFmtId="0" fontId="36" fillId="11" borderId="3" xfId="0" applyFont="1" applyFill="1" applyBorder="1" applyAlignment="1">
      <alignment horizontal="center" vertical="center"/>
    </xf>
    <xf numFmtId="0" fontId="27" fillId="0" borderId="1" xfId="0" applyFont="1" applyBorder="1" applyAlignment="1" applyProtection="1">
      <alignment horizontal="center" vertical="center"/>
      <protection locked="0"/>
    </xf>
    <xf numFmtId="0" fontId="27" fillId="0" borderId="3" xfId="0" applyFont="1" applyBorder="1" applyAlignment="1" applyProtection="1">
      <alignment horizontal="center" vertical="center"/>
      <protection locked="0"/>
    </xf>
    <xf numFmtId="0" fontId="33" fillId="15" borderId="1" xfId="0" applyFont="1" applyFill="1" applyBorder="1" applyAlignment="1">
      <alignment horizontal="center" vertical="center"/>
    </xf>
    <xf numFmtId="0" fontId="33" fillId="15" borderId="2" xfId="0" applyFont="1" applyFill="1" applyBorder="1" applyAlignment="1">
      <alignment horizontal="center" vertical="center"/>
    </xf>
    <xf numFmtId="0" fontId="33" fillId="15" borderId="3" xfId="0" applyFont="1" applyFill="1" applyBorder="1" applyAlignment="1">
      <alignment horizontal="center" vertical="center"/>
    </xf>
    <xf numFmtId="0" fontId="27" fillId="0" borderId="1" xfId="0" applyFont="1" applyBorder="1" applyAlignment="1">
      <alignment horizontal="left" vertical="center" wrapText="1"/>
    </xf>
    <xf numFmtId="0" fontId="27" fillId="0" borderId="2" xfId="0" applyFont="1" applyBorder="1" applyAlignment="1">
      <alignment horizontal="left" vertical="center" wrapText="1"/>
    </xf>
    <xf numFmtId="0" fontId="32" fillId="14" borderId="4" xfId="0" applyFont="1" applyFill="1" applyBorder="1" applyAlignment="1">
      <alignment horizontal="left" vertical="center"/>
    </xf>
    <xf numFmtId="0" fontId="32" fillId="16" borderId="4" xfId="0" applyFont="1" applyFill="1" applyBorder="1" applyAlignment="1">
      <alignment horizontal="center" vertical="center"/>
    </xf>
    <xf numFmtId="0" fontId="27" fillId="0" borderId="3" xfId="0" applyFont="1" applyBorder="1" applyAlignment="1">
      <alignment horizontal="left" vertical="center" wrapText="1"/>
    </xf>
    <xf numFmtId="0" fontId="38" fillId="9" borderId="76" xfId="0" applyFont="1" applyFill="1" applyBorder="1" applyAlignment="1">
      <alignment horizontal="center"/>
    </xf>
    <xf numFmtId="0" fontId="38" fillId="9" borderId="77" xfId="0" applyFont="1" applyFill="1" applyBorder="1" applyAlignment="1">
      <alignment horizontal="center"/>
    </xf>
    <xf numFmtId="165" fontId="0" fillId="11" borderId="0" xfId="0" applyNumberFormat="1" applyFill="1" applyAlignment="1">
      <alignment vertical="center"/>
    </xf>
    <xf numFmtId="165" fontId="34" fillId="11" borderId="0" xfId="0" applyNumberFormat="1" applyFont="1" applyFill="1" applyAlignment="1">
      <alignment vertical="center"/>
    </xf>
    <xf numFmtId="165" fontId="0" fillId="11" borderId="0" xfId="0" applyNumberFormat="1" applyFill="1" applyAlignment="1">
      <alignment horizontal="center" vertical="center"/>
    </xf>
    <xf numFmtId="165" fontId="34" fillId="11" borderId="0" xfId="0" applyNumberFormat="1" applyFont="1" applyFill="1" applyAlignment="1">
      <alignment horizontal="center" vertical="center"/>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11">
    <dxf>
      <fill>
        <patternFill>
          <bgColor theme="7"/>
        </patternFill>
      </fill>
    </dxf>
    <dxf>
      <fill>
        <patternFill>
          <bgColor theme="8"/>
        </patternFill>
      </fill>
    </dxf>
    <dxf>
      <fill>
        <patternFill>
          <bgColor theme="9"/>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9" tint="-0.24994659260841701"/>
        </patternFill>
      </fill>
    </dxf>
    <dxf>
      <font>
        <b/>
        <i val="0"/>
        <color theme="0"/>
      </font>
      <fill>
        <patternFill>
          <bgColor theme="7"/>
        </patternFill>
      </fill>
    </dxf>
  </dxfs>
  <tableStyles count="0" defaultTableStyle="TableStyleMedium2" defaultPivotStyle="PivotStyleLight16"/>
  <colors>
    <mruColors>
      <color rgb="FFE6B08F"/>
      <color rgb="FFE6DC8F"/>
      <color rgb="FF76B82A"/>
      <color rgb="FF009FE3"/>
      <color rgb="FF008080"/>
      <color rgb="FF00B0AC"/>
      <color rgb="FFFFFFB9"/>
      <color rgb="FF006699"/>
      <color rgb="FFD9FFFF"/>
      <color rgb="FFF9B4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pageSetUpPr fitToPage="1"/>
  </sheetPr>
  <dimension ref="B1:Z42"/>
  <sheetViews>
    <sheetView showGridLines="0" tabSelected="1" view="pageBreakPreview" zoomScaleNormal="100" zoomScaleSheetLayoutView="100" workbookViewId="0">
      <selection activeCell="A2" sqref="A2"/>
    </sheetView>
  </sheetViews>
  <sheetFormatPr baseColWidth="10" defaultColWidth="10.703125" defaultRowHeight="20.100000000000001" customHeight="1" outlineLevelRow="1" x14ac:dyDescent="0.4"/>
  <cols>
    <col min="1" max="2" width="2.703125" style="78" customWidth="1"/>
    <col min="3" max="18" width="10.703125" style="78"/>
    <col min="19" max="19" width="2.703125" style="78" customWidth="1"/>
    <col min="20" max="20" width="2.703125" style="247" customWidth="1"/>
    <col min="21" max="21" width="10.703125" style="248"/>
    <col min="22" max="26" width="10.703125" style="247"/>
    <col min="27" max="16384" width="10.703125" style="78"/>
  </cols>
  <sheetData>
    <row r="1" spans="2:19" ht="9.9499999999999993" customHeight="1" thickBot="1" x14ac:dyDescent="0.45">
      <c r="B1" s="63"/>
      <c r="C1" s="64"/>
      <c r="D1" s="64"/>
      <c r="E1" s="64"/>
      <c r="F1" s="64"/>
      <c r="G1" s="64"/>
      <c r="H1" s="64"/>
      <c r="I1" s="64"/>
      <c r="J1" s="64"/>
      <c r="K1" s="64"/>
      <c r="L1" s="64"/>
      <c r="M1" s="64"/>
      <c r="N1" s="64"/>
      <c r="O1" s="64"/>
      <c r="P1" s="64"/>
      <c r="Q1" s="64"/>
      <c r="R1" s="64"/>
      <c r="S1" s="65"/>
    </row>
    <row r="2" spans="2:19" ht="30" customHeight="1" thickTop="1" x14ac:dyDescent="0.4">
      <c r="B2" s="66"/>
      <c r="C2" s="209" t="s">
        <v>245</v>
      </c>
      <c r="D2" s="210"/>
      <c r="E2" s="210"/>
      <c r="F2" s="210"/>
      <c r="G2" s="210"/>
      <c r="H2" s="210"/>
      <c r="I2" s="210"/>
      <c r="J2" s="210"/>
      <c r="K2" s="210"/>
      <c r="L2" s="210"/>
      <c r="M2" s="210"/>
      <c r="N2" s="210"/>
      <c r="O2" s="210"/>
      <c r="P2" s="210"/>
      <c r="Q2" s="210"/>
      <c r="R2" s="211"/>
      <c r="S2" s="67"/>
    </row>
    <row r="3" spans="2:19" ht="20.100000000000001" customHeight="1" x14ac:dyDescent="0.4">
      <c r="B3" s="68"/>
      <c r="C3" s="212" t="s">
        <v>215</v>
      </c>
      <c r="D3" s="204"/>
      <c r="E3" s="203"/>
      <c r="F3" s="203"/>
      <c r="G3" s="203"/>
      <c r="H3" s="204" t="s">
        <v>211</v>
      </c>
      <c r="I3" s="204"/>
      <c r="J3" s="203"/>
      <c r="K3" s="203"/>
      <c r="L3" s="203"/>
      <c r="M3" s="204" t="s">
        <v>213</v>
      </c>
      <c r="N3" s="204"/>
      <c r="O3" s="204"/>
      <c r="P3" s="207"/>
      <c r="Q3" s="207"/>
      <c r="R3" s="208"/>
      <c r="S3" s="69"/>
    </row>
    <row r="4" spans="2:19" ht="20.100000000000001" customHeight="1" x14ac:dyDescent="0.4">
      <c r="B4" s="68"/>
      <c r="C4" s="212" t="s">
        <v>208</v>
      </c>
      <c r="D4" s="204"/>
      <c r="E4" s="203"/>
      <c r="F4" s="203"/>
      <c r="G4" s="203"/>
      <c r="H4" s="204" t="s">
        <v>216</v>
      </c>
      <c r="I4" s="204"/>
      <c r="J4" s="203"/>
      <c r="K4" s="203"/>
      <c r="L4" s="203"/>
      <c r="M4" s="204" t="s">
        <v>218</v>
      </c>
      <c r="N4" s="204"/>
      <c r="O4" s="204"/>
      <c r="P4" s="207"/>
      <c r="Q4" s="207"/>
      <c r="R4" s="208"/>
      <c r="S4" s="69"/>
    </row>
    <row r="5" spans="2:19" ht="20.100000000000001" customHeight="1" x14ac:dyDescent="0.4">
      <c r="B5" s="68"/>
      <c r="C5" s="212" t="s">
        <v>209</v>
      </c>
      <c r="D5" s="204"/>
      <c r="E5" s="203"/>
      <c r="F5" s="203"/>
      <c r="G5" s="203"/>
      <c r="H5" s="204" t="s">
        <v>217</v>
      </c>
      <c r="I5" s="204"/>
      <c r="J5" s="203"/>
      <c r="K5" s="203"/>
      <c r="L5" s="203"/>
      <c r="M5" s="204" t="s">
        <v>214</v>
      </c>
      <c r="N5" s="204"/>
      <c r="O5" s="204"/>
      <c r="P5" s="205"/>
      <c r="Q5" s="205"/>
      <c r="R5" s="206"/>
      <c r="S5" s="69"/>
    </row>
    <row r="6" spans="2:19" ht="20.100000000000001" customHeight="1" thickBot="1" x14ac:dyDescent="0.45">
      <c r="B6" s="68"/>
      <c r="C6" s="200" t="s">
        <v>210</v>
      </c>
      <c r="D6" s="201"/>
      <c r="E6" s="202"/>
      <c r="F6" s="202"/>
      <c r="G6" s="202"/>
      <c r="H6" s="201" t="s">
        <v>212</v>
      </c>
      <c r="I6" s="201"/>
      <c r="J6" s="202" t="str">
        <f>D26</f>
        <v>Thermomètre</v>
      </c>
      <c r="K6" s="202"/>
      <c r="L6" s="202"/>
      <c r="M6" s="201" t="s">
        <v>219</v>
      </c>
      <c r="N6" s="201"/>
      <c r="O6" s="201"/>
      <c r="P6" s="213"/>
      <c r="Q6" s="213"/>
      <c r="R6" s="214"/>
      <c r="S6" s="69"/>
    </row>
    <row r="7" spans="2:19" ht="9.9499999999999993" customHeight="1" thickTop="1" thickBot="1" x14ac:dyDescent="0.45">
      <c r="B7" s="70"/>
      <c r="C7" s="72"/>
      <c r="D7" s="72"/>
      <c r="E7" s="72"/>
      <c r="F7" s="72"/>
      <c r="G7" s="72"/>
      <c r="H7" s="72"/>
      <c r="I7" s="72"/>
      <c r="J7" s="72"/>
      <c r="K7" s="72"/>
      <c r="L7" s="72"/>
      <c r="M7" s="72"/>
      <c r="N7" s="72"/>
      <c r="O7" s="72"/>
      <c r="P7" s="72"/>
      <c r="Q7" s="72"/>
      <c r="R7" s="72"/>
      <c r="S7" s="71"/>
    </row>
    <row r="8" spans="2:19" ht="20.100000000000001" customHeight="1" thickTop="1" thickBot="1" x14ac:dyDescent="0.45">
      <c r="B8" s="70"/>
      <c r="C8" s="191" t="s">
        <v>205</v>
      </c>
      <c r="D8" s="192"/>
      <c r="E8" s="192"/>
      <c r="F8" s="192"/>
      <c r="G8" s="192"/>
      <c r="H8" s="192"/>
      <c r="I8" s="192"/>
      <c r="J8" s="192"/>
      <c r="K8" s="192"/>
      <c r="L8" s="192"/>
      <c r="M8" s="192"/>
      <c r="N8" s="192"/>
      <c r="O8" s="192"/>
      <c r="P8" s="192"/>
      <c r="Q8" s="192"/>
      <c r="R8" s="193"/>
      <c r="S8" s="71"/>
    </row>
    <row r="9" spans="2:19" ht="20.100000000000001" customHeight="1" outlineLevel="1" thickTop="1" x14ac:dyDescent="0.4">
      <c r="B9" s="79"/>
      <c r="C9" s="84"/>
      <c r="D9" s="7"/>
      <c r="E9" s="7"/>
      <c r="F9" s="7"/>
      <c r="G9" s="7"/>
      <c r="H9" s="7"/>
      <c r="I9" s="7"/>
      <c r="J9" s="7"/>
      <c r="K9" s="7"/>
      <c r="L9" s="7"/>
      <c r="M9" s="7"/>
      <c r="N9" s="7"/>
      <c r="O9" s="7"/>
      <c r="P9" s="7"/>
      <c r="Q9" s="7"/>
      <c r="R9" s="85"/>
      <c r="S9" s="80"/>
    </row>
    <row r="10" spans="2:19" ht="20.100000000000001" customHeight="1" outlineLevel="1" x14ac:dyDescent="0.4">
      <c r="B10" s="79"/>
      <c r="C10" s="84"/>
      <c r="D10" s="194" t="s">
        <v>194</v>
      </c>
      <c r="E10" s="195"/>
      <c r="F10" s="195"/>
      <c r="G10" s="195"/>
      <c r="H10" s="195"/>
      <c r="I10" s="195"/>
      <c r="J10" s="195"/>
      <c r="K10" s="195"/>
      <c r="L10" s="195"/>
      <c r="M10" s="195"/>
      <c r="N10" s="195"/>
      <c r="O10" s="195"/>
      <c r="P10" s="195"/>
      <c r="Q10" s="196"/>
      <c r="R10" s="85"/>
      <c r="S10" s="80"/>
    </row>
    <row r="11" spans="2:19" ht="20.100000000000001" customHeight="1" outlineLevel="1" x14ac:dyDescent="0.4">
      <c r="B11" s="79"/>
      <c r="C11" s="84"/>
      <c r="D11" s="179" t="s">
        <v>220</v>
      </c>
      <c r="E11" s="180"/>
      <c r="F11" s="181"/>
      <c r="G11" s="182"/>
      <c r="H11" s="183"/>
      <c r="I11" s="183"/>
      <c r="J11" s="184"/>
      <c r="K11" s="179" t="s">
        <v>223</v>
      </c>
      <c r="L11" s="180"/>
      <c r="M11" s="181"/>
      <c r="N11" s="197"/>
      <c r="O11" s="198"/>
      <c r="P11" s="198"/>
      <c r="Q11" s="199"/>
      <c r="R11" s="85"/>
      <c r="S11" s="80"/>
    </row>
    <row r="12" spans="2:19" ht="20.100000000000001" customHeight="1" outlineLevel="1" x14ac:dyDescent="0.4">
      <c r="B12" s="79"/>
      <c r="C12" s="84"/>
      <c r="D12" s="179" t="s">
        <v>221</v>
      </c>
      <c r="E12" s="180"/>
      <c r="F12" s="181"/>
      <c r="G12" s="182"/>
      <c r="H12" s="183"/>
      <c r="I12" s="183"/>
      <c r="J12" s="184"/>
      <c r="K12" s="179" t="s">
        <v>224</v>
      </c>
      <c r="L12" s="180"/>
      <c r="M12" s="181"/>
      <c r="N12" s="182"/>
      <c r="O12" s="183"/>
      <c r="P12" s="183"/>
      <c r="Q12" s="184"/>
      <c r="R12" s="85"/>
      <c r="S12" s="80"/>
    </row>
    <row r="13" spans="2:19" ht="20.100000000000001" customHeight="1" outlineLevel="1" x14ac:dyDescent="0.4">
      <c r="B13" s="79"/>
      <c r="C13" s="84"/>
      <c r="D13" s="179" t="s">
        <v>222</v>
      </c>
      <c r="E13" s="180"/>
      <c r="F13" s="181"/>
      <c r="G13" s="182"/>
      <c r="H13" s="183"/>
      <c r="I13" s="183"/>
      <c r="J13" s="184"/>
      <c r="K13" s="179" t="s">
        <v>225</v>
      </c>
      <c r="L13" s="180"/>
      <c r="M13" s="181"/>
      <c r="N13" s="188"/>
      <c r="O13" s="189"/>
      <c r="P13" s="189"/>
      <c r="Q13" s="190"/>
      <c r="R13" s="85"/>
      <c r="S13" s="80"/>
    </row>
    <row r="14" spans="2:19" ht="20.100000000000001" customHeight="1" outlineLevel="1" x14ac:dyDescent="0.4">
      <c r="B14" s="79"/>
      <c r="C14" s="84"/>
      <c r="D14" s="7"/>
      <c r="E14" s="7"/>
      <c r="F14" s="7"/>
      <c r="G14" s="7"/>
      <c r="H14" s="7"/>
      <c r="I14" s="7"/>
      <c r="J14" s="7"/>
      <c r="K14" s="7"/>
      <c r="L14" s="7"/>
      <c r="M14" s="7"/>
      <c r="N14" s="7"/>
      <c r="O14" s="7"/>
      <c r="P14" s="7"/>
      <c r="Q14" s="7"/>
      <c r="R14" s="85"/>
      <c r="S14" s="80"/>
    </row>
    <row r="15" spans="2:19" ht="20.100000000000001" customHeight="1" outlineLevel="1" x14ac:dyDescent="0.4">
      <c r="B15" s="79"/>
      <c r="C15" s="84"/>
      <c r="D15" s="178" t="s">
        <v>193</v>
      </c>
      <c r="E15" s="178"/>
      <c r="F15" s="178"/>
      <c r="G15" s="178"/>
      <c r="H15" s="178"/>
      <c r="I15" s="178"/>
      <c r="J15" s="178"/>
      <c r="K15" s="178"/>
      <c r="L15" s="178"/>
      <c r="M15" s="178"/>
      <c r="N15" s="178"/>
      <c r="O15" s="178"/>
      <c r="P15" s="178"/>
      <c r="Q15" s="178"/>
      <c r="R15" s="85"/>
      <c r="S15" s="80"/>
    </row>
    <row r="16" spans="2:19" ht="20.100000000000001" customHeight="1" outlineLevel="1" x14ac:dyDescent="0.4">
      <c r="B16" s="79"/>
      <c r="C16" s="84"/>
      <c r="D16" s="179" t="s">
        <v>220</v>
      </c>
      <c r="E16" s="180"/>
      <c r="F16" s="181"/>
      <c r="G16" s="182"/>
      <c r="H16" s="183"/>
      <c r="I16" s="183"/>
      <c r="J16" s="184"/>
      <c r="K16" s="179" t="s">
        <v>226</v>
      </c>
      <c r="L16" s="180"/>
      <c r="M16" s="181"/>
      <c r="N16" s="182"/>
      <c r="O16" s="183"/>
      <c r="P16" s="183"/>
      <c r="Q16" s="184"/>
      <c r="R16" s="85"/>
      <c r="S16" s="80"/>
    </row>
    <row r="17" spans="2:26" ht="20.100000000000001" customHeight="1" outlineLevel="1" x14ac:dyDescent="0.4">
      <c r="B17" s="79"/>
      <c r="C17" s="84"/>
      <c r="D17" s="179" t="s">
        <v>221</v>
      </c>
      <c r="E17" s="180"/>
      <c r="F17" s="181"/>
      <c r="G17" s="182"/>
      <c r="H17" s="183"/>
      <c r="I17" s="183"/>
      <c r="J17" s="184"/>
      <c r="K17" s="179" t="s">
        <v>227</v>
      </c>
      <c r="L17" s="180"/>
      <c r="M17" s="181"/>
      <c r="N17" s="185"/>
      <c r="O17" s="186"/>
      <c r="P17" s="186"/>
      <c r="Q17" s="187"/>
      <c r="R17" s="85"/>
      <c r="S17" s="80"/>
    </row>
    <row r="18" spans="2:26" ht="20.100000000000001" customHeight="1" outlineLevel="1" x14ac:dyDescent="0.4">
      <c r="B18" s="79"/>
      <c r="C18" s="84"/>
      <c r="D18" s="7"/>
      <c r="E18" s="7"/>
      <c r="F18" s="7"/>
      <c r="G18" s="7"/>
      <c r="H18" s="7"/>
      <c r="I18" s="7"/>
      <c r="J18" s="7"/>
      <c r="K18" s="7"/>
      <c r="L18" s="7"/>
      <c r="M18" s="7"/>
      <c r="N18" s="7"/>
      <c r="O18" s="7"/>
      <c r="P18" s="7"/>
      <c r="Q18" s="7"/>
      <c r="R18" s="85"/>
      <c r="S18" s="80"/>
    </row>
    <row r="19" spans="2:26" ht="20.100000000000001" customHeight="1" outlineLevel="1" x14ac:dyDescent="0.4">
      <c r="B19" s="79"/>
      <c r="C19" s="84"/>
      <c r="D19" s="194" t="s">
        <v>191</v>
      </c>
      <c r="E19" s="195"/>
      <c r="F19" s="195"/>
      <c r="G19" s="195"/>
      <c r="H19" s="195"/>
      <c r="I19" s="195"/>
      <c r="J19" s="195"/>
      <c r="K19" s="195"/>
      <c r="L19" s="195"/>
      <c r="M19" s="196"/>
      <c r="N19" s="77"/>
      <c r="O19" s="77"/>
      <c r="P19" s="77"/>
      <c r="Q19" s="77"/>
      <c r="R19" s="85"/>
      <c r="S19" s="80"/>
    </row>
    <row r="20" spans="2:26" s="76" customFormat="1" ht="30" customHeight="1" outlineLevel="1" x14ac:dyDescent="0.4">
      <c r="B20" s="73"/>
      <c r="C20" s="86"/>
      <c r="D20" s="215" t="s">
        <v>74</v>
      </c>
      <c r="E20" s="215"/>
      <c r="F20" s="216" t="s">
        <v>204</v>
      </c>
      <c r="G20" s="215"/>
      <c r="H20" s="216" t="s">
        <v>75</v>
      </c>
      <c r="I20" s="216"/>
      <c r="J20" s="216" t="s">
        <v>76</v>
      </c>
      <c r="K20" s="216"/>
      <c r="L20" s="217" t="s">
        <v>192</v>
      </c>
      <c r="M20" s="217"/>
      <c r="N20" s="74"/>
      <c r="O20" s="74"/>
      <c r="P20" s="74"/>
      <c r="Q20" s="74"/>
      <c r="R20" s="87"/>
      <c r="S20" s="75"/>
      <c r="T20" s="249"/>
      <c r="U20" s="250"/>
      <c r="V20" s="249"/>
      <c r="W20" s="249"/>
      <c r="X20" s="249"/>
      <c r="Y20" s="249"/>
      <c r="Z20" s="249"/>
    </row>
    <row r="21" spans="2:26" ht="20.100000000000001" customHeight="1" outlineLevel="1" x14ac:dyDescent="0.4">
      <c r="B21" s="79"/>
      <c r="C21" s="84"/>
      <c r="D21" s="225"/>
      <c r="E21" s="226"/>
      <c r="F21" s="225"/>
      <c r="G21" s="226"/>
      <c r="H21" s="225"/>
      <c r="I21" s="226"/>
      <c r="J21" s="225"/>
      <c r="K21" s="226"/>
      <c r="L21" s="227" t="str">
        <f>IF(H21&gt;0,H21-J21,"-")</f>
        <v>-</v>
      </c>
      <c r="M21" s="228"/>
      <c r="N21" s="7"/>
      <c r="O21" s="7"/>
      <c r="P21" s="7"/>
      <c r="Q21" s="7"/>
      <c r="R21" s="85"/>
      <c r="S21" s="80"/>
    </row>
    <row r="22" spans="2:26" ht="20.100000000000001" customHeight="1" outlineLevel="1" thickBot="1" x14ac:dyDescent="0.45">
      <c r="B22" s="79"/>
      <c r="C22" s="88"/>
      <c r="D22" s="89"/>
      <c r="E22" s="89"/>
      <c r="F22" s="89"/>
      <c r="G22" s="89"/>
      <c r="H22" s="89"/>
      <c r="I22" s="89"/>
      <c r="J22" s="89"/>
      <c r="K22" s="89"/>
      <c r="L22" s="89"/>
      <c r="M22" s="89"/>
      <c r="N22" s="89"/>
      <c r="O22" s="89"/>
      <c r="P22" s="89"/>
      <c r="Q22" s="89"/>
      <c r="R22" s="90"/>
      <c r="S22" s="80"/>
    </row>
    <row r="23" spans="2:26" ht="9.9499999999999993" customHeight="1" thickTop="1" thickBot="1" x14ac:dyDescent="0.45">
      <c r="B23" s="79"/>
      <c r="C23" s="7"/>
      <c r="D23" s="7"/>
      <c r="E23" s="7"/>
      <c r="F23" s="7"/>
      <c r="G23" s="7"/>
      <c r="H23" s="7"/>
      <c r="I23" s="7"/>
      <c r="J23" s="7"/>
      <c r="K23" s="7"/>
      <c r="L23" s="7"/>
      <c r="M23" s="7"/>
      <c r="N23" s="7"/>
      <c r="O23" s="7"/>
      <c r="P23" s="7"/>
      <c r="Q23" s="7"/>
      <c r="R23" s="7"/>
      <c r="S23" s="80"/>
    </row>
    <row r="24" spans="2:26" ht="20.100000000000001" customHeight="1" thickTop="1" thickBot="1" x14ac:dyDescent="0.45">
      <c r="B24" s="79"/>
      <c r="C24" s="191" t="s">
        <v>206</v>
      </c>
      <c r="D24" s="192"/>
      <c r="E24" s="192"/>
      <c r="F24" s="192"/>
      <c r="G24" s="192"/>
      <c r="H24" s="192"/>
      <c r="I24" s="192"/>
      <c r="J24" s="192"/>
      <c r="K24" s="192"/>
      <c r="L24" s="192"/>
      <c r="M24" s="192"/>
      <c r="N24" s="192"/>
      <c r="O24" s="192"/>
      <c r="P24" s="192"/>
      <c r="Q24" s="192"/>
      <c r="R24" s="193"/>
      <c r="S24" s="80"/>
    </row>
    <row r="25" spans="2:26" ht="20.100000000000001" customHeight="1" outlineLevel="1" thickTop="1" x14ac:dyDescent="0.4">
      <c r="B25" s="79"/>
      <c r="C25" s="84"/>
      <c r="D25" s="7"/>
      <c r="E25" s="7"/>
      <c r="F25" s="7"/>
      <c r="G25" s="7"/>
      <c r="H25" s="7"/>
      <c r="I25" s="7"/>
      <c r="J25" s="7"/>
      <c r="K25" s="7"/>
      <c r="L25" s="7"/>
      <c r="M25" s="7"/>
      <c r="N25" s="7"/>
      <c r="O25" s="7"/>
      <c r="P25" s="7"/>
      <c r="Q25" s="7"/>
      <c r="R25" s="85"/>
      <c r="S25" s="80"/>
    </row>
    <row r="26" spans="2:26" ht="30" customHeight="1" outlineLevel="1" x14ac:dyDescent="0.4">
      <c r="B26" s="79"/>
      <c r="C26" s="91"/>
      <c r="D26" s="229" t="s">
        <v>180</v>
      </c>
      <c r="E26" s="229"/>
      <c r="F26" s="229"/>
      <c r="G26" s="229"/>
      <c r="H26" s="229"/>
      <c r="I26" s="229"/>
      <c r="J26" s="229"/>
      <c r="K26" s="229"/>
      <c r="L26" s="229"/>
      <c r="M26" s="229"/>
      <c r="N26" s="229"/>
      <c r="O26" s="229"/>
      <c r="P26" s="229"/>
      <c r="Q26" s="229"/>
      <c r="R26" s="92"/>
      <c r="S26" s="80"/>
    </row>
    <row r="27" spans="2:26" ht="20.100000000000001" customHeight="1" outlineLevel="1" x14ac:dyDescent="0.4">
      <c r="B27" s="79"/>
      <c r="C27" s="91"/>
      <c r="D27" s="237" t="s">
        <v>189</v>
      </c>
      <c r="E27" s="238"/>
      <c r="F27" s="238"/>
      <c r="G27" s="238"/>
      <c r="H27" s="238"/>
      <c r="I27" s="239"/>
      <c r="J27" s="237" t="s">
        <v>176</v>
      </c>
      <c r="K27" s="238"/>
      <c r="L27" s="238"/>
      <c r="M27" s="239"/>
      <c r="N27" s="230" t="s">
        <v>77</v>
      </c>
      <c r="O27" s="230"/>
      <c r="P27" s="98" t="s">
        <v>190</v>
      </c>
      <c r="Q27" s="98" t="s">
        <v>195</v>
      </c>
      <c r="R27" s="92"/>
      <c r="S27" s="80"/>
      <c r="U27" s="248" t="s">
        <v>5</v>
      </c>
    </row>
    <row r="28" spans="2:26" ht="99.95" customHeight="1" outlineLevel="1" x14ac:dyDescent="0.4">
      <c r="B28" s="79"/>
      <c r="C28" s="91"/>
      <c r="D28" s="93">
        <v>1</v>
      </c>
      <c r="E28" s="240" t="str">
        <f>IFERROR(HLOOKUP($D$26,Critères!$B$3:$BY$16,D28+2,FALSE),"-")</f>
        <v>L'accès à l'ouvrage et aux équipements de mesure se fait-il en toute sécurité pour les agents en charge des opérations de contrôles et d'entretien ?</v>
      </c>
      <c r="F28" s="241"/>
      <c r="G28" s="241"/>
      <c r="H28" s="241"/>
      <c r="I28" s="241"/>
      <c r="J28" s="240" t="str">
        <f>IFERROR(INDEX(Critères!$B$3:$BY$16, D28+2, MATCH($D$26, Critères!$B$3:$BY$3, 0) + 1),"-")</f>
        <v>En cas d'accès nécessitant des équipements de protection individuels renforcés (ARI par exemple) ou d'intervenir à 2 personnes, retenir "Validé avec réserve"</v>
      </c>
      <c r="K28" s="241"/>
      <c r="L28" s="241"/>
      <c r="M28" s="244"/>
      <c r="N28" s="235"/>
      <c r="O28" s="236"/>
      <c r="P28" s="99">
        <f>IF(OR(N28="Validé",N28="Réserve",N28="Oui"),Q28,0)</f>
        <v>0</v>
      </c>
      <c r="Q28" s="99">
        <f>IFERROR(INDEX(Critères!$B$3:$BY$16, D28+2, MATCH($D$26, Critères!$B$3:$BY$3, 0) + 2),"")</f>
        <v>10</v>
      </c>
      <c r="R28" s="92"/>
      <c r="S28" s="80"/>
      <c r="U28" s="248" t="s">
        <v>39</v>
      </c>
    </row>
    <row r="29" spans="2:26" ht="99.95" customHeight="1" outlineLevel="1" x14ac:dyDescent="0.4">
      <c r="B29" s="79"/>
      <c r="C29" s="91"/>
      <c r="D29" s="93">
        <v>2</v>
      </c>
      <c r="E29" s="240" t="str">
        <f>IFERROR(HLOOKUP($D$26,Critères!$B$3:$BY$16,D29+2,FALSE),"-")</f>
        <v>La sonde est-elle installée conformément aux règles de l'art et/ou aux prescriptions des constructeurs ?</v>
      </c>
      <c r="F29" s="241"/>
      <c r="G29" s="241"/>
      <c r="H29" s="241"/>
      <c r="I29" s="241"/>
      <c r="J29" s="240" t="str">
        <f>IFERROR(INDEX(Critères!$B$3:$BY$16, D29+2, MATCH($D$26, Critères!$B$3:$BY$3, 0) + 1),"-")</f>
        <v>Dans le canal de rejet, au centre de l'écoulement, à 2/3 de la profondeur et façon à être toujours immergé et à l'ombre.</v>
      </c>
      <c r="K29" s="241"/>
      <c r="L29" s="241"/>
      <c r="M29" s="244"/>
      <c r="N29" s="235"/>
      <c r="O29" s="236"/>
      <c r="P29" s="99">
        <f t="shared" ref="P29:P31" si="0">IF(OR(N29="Validé",N29="Réserve",N29="Oui"),Q29,0)</f>
        <v>0</v>
      </c>
      <c r="Q29" s="99">
        <f>IFERROR(INDEX(Critères!$B$3:$BY$16, D29+2, MATCH($D$26, Critères!$B$3:$BY$3, 0) + 2),"")</f>
        <v>30</v>
      </c>
      <c r="R29" s="92"/>
      <c r="S29" s="80"/>
      <c r="U29" s="248" t="s">
        <v>39</v>
      </c>
    </row>
    <row r="30" spans="2:26" ht="99.95" customHeight="1" outlineLevel="1" x14ac:dyDescent="0.4">
      <c r="B30" s="79"/>
      <c r="C30" s="91"/>
      <c r="D30" s="93">
        <v>3</v>
      </c>
      <c r="E30" s="240" t="str">
        <f>IFERROR(HLOOKUP($D$26,Critères!$B$3:$BY$16,D30+2,FALSE),"-")</f>
        <v>La propreté et l'état d'entretien de la sonde, sont-ils satisfaisants ?</v>
      </c>
      <c r="F30" s="241"/>
      <c r="G30" s="241"/>
      <c r="H30" s="241"/>
      <c r="I30" s="241"/>
      <c r="J30" s="240" t="str">
        <f>IFERROR(INDEX(Critères!$B$3:$BY$16, D30+2, MATCH($D$26, Critères!$B$3:$BY$3, 0) + 1),"-")</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30" s="241"/>
      <c r="L30" s="241"/>
      <c r="M30" s="244"/>
      <c r="N30" s="235"/>
      <c r="O30" s="236"/>
      <c r="P30" s="99">
        <f t="shared" si="0"/>
        <v>0</v>
      </c>
      <c r="Q30" s="99">
        <f>IFERROR(INDEX(Critères!$B$3:$BY$16, D30+2, MATCH($D$26, Critères!$B$3:$BY$3, 0) + 2),"")</f>
        <v>30</v>
      </c>
      <c r="R30" s="92"/>
      <c r="S30" s="80"/>
      <c r="U30" s="248" t="s">
        <v>39</v>
      </c>
    </row>
    <row r="31" spans="2:26" ht="99.95" customHeight="1" outlineLevel="1" x14ac:dyDescent="0.4">
      <c r="B31" s="79"/>
      <c r="C31" s="91"/>
      <c r="D31" s="93">
        <v>4</v>
      </c>
      <c r="E31" s="240" t="str">
        <f>IFERROR(HLOOKUP($D$26,Critères!$B$3:$BY$16,D31+2,FALSE),"-")</f>
        <v>L'écart entre d'une part la mesure de la température réalisée à partir du dispositif en place et celle réalisée par l'organisme de contrôle d'autre part, est-il cohérent (EMT ± 1°C) ?</v>
      </c>
      <c r="F31" s="241"/>
      <c r="G31" s="241"/>
      <c r="H31" s="241"/>
      <c r="I31" s="241"/>
      <c r="J31" s="240" t="str">
        <f>IFERROR(INDEX(Critères!$B$3:$BY$16, D31+2, MATCH($D$26, Critères!$B$3:$BY$3, 0) + 1),"-")</f>
        <v>-</v>
      </c>
      <c r="K31" s="241"/>
      <c r="L31" s="241"/>
      <c r="M31" s="244"/>
      <c r="N31" s="235" t="str">
        <f>IF(L21&lt;&gt;"-",IF(ABS(L21)&lt;=1,"Validé","Non validé"),"Non contrôlé")</f>
        <v>Non contrôlé</v>
      </c>
      <c r="O31" s="236"/>
      <c r="P31" s="99">
        <f t="shared" si="0"/>
        <v>0</v>
      </c>
      <c r="Q31" s="99">
        <f>IFERROR(INDEX(Critères!$B$3:$BY$16, D31+2, MATCH($D$26, Critères!$B$3:$BY$3, 0) + 2),"")</f>
        <v>30</v>
      </c>
      <c r="R31" s="92"/>
      <c r="S31" s="80"/>
      <c r="U31" s="248" t="s">
        <v>39</v>
      </c>
    </row>
    <row r="32" spans="2:26" ht="20.100000000000001" customHeight="1" outlineLevel="1" x14ac:dyDescent="0.4">
      <c r="B32" s="79"/>
      <c r="C32" s="91"/>
      <c r="D32" s="242" t="s">
        <v>7</v>
      </c>
      <c r="E32" s="242"/>
      <c r="F32" s="242"/>
      <c r="G32" s="242"/>
      <c r="H32" s="242"/>
      <c r="I32" s="242"/>
      <c r="J32" s="242"/>
      <c r="K32" s="242"/>
      <c r="L32" s="242"/>
      <c r="M32" s="242"/>
      <c r="N32" s="243"/>
      <c r="O32" s="243"/>
      <c r="P32" s="243" t="s">
        <v>6</v>
      </c>
      <c r="Q32" s="243"/>
      <c r="R32" s="92"/>
      <c r="S32" s="80"/>
    </row>
    <row r="33" spans="2:19" ht="99.95" customHeight="1" outlineLevel="1" x14ac:dyDescent="0.4">
      <c r="B33" s="79"/>
      <c r="C33" s="91"/>
      <c r="D33" s="231"/>
      <c r="E33" s="231"/>
      <c r="F33" s="231"/>
      <c r="G33" s="231"/>
      <c r="H33" s="231"/>
      <c r="I33" s="231"/>
      <c r="J33" s="231"/>
      <c r="K33" s="231"/>
      <c r="L33" s="231"/>
      <c r="M33" s="231"/>
      <c r="N33" s="232" t="str">
        <f>IF(P33&gt;80,"Validé",IF(P33&lt;70,"Non Validé", "Réserve"))</f>
        <v>Non Validé</v>
      </c>
      <c r="O33" s="232"/>
      <c r="P33" s="233">
        <f>IF(SUM(P28:P31)&gt;100,100,SUM(P28:P31))</f>
        <v>0</v>
      </c>
      <c r="Q33" s="234"/>
      <c r="R33" s="92"/>
      <c r="S33" s="80"/>
    </row>
    <row r="34" spans="2:19" ht="20.100000000000001" customHeight="1" outlineLevel="1" thickBot="1" x14ac:dyDescent="0.45">
      <c r="B34" s="79"/>
      <c r="C34" s="94"/>
      <c r="D34" s="95"/>
      <c r="E34" s="95"/>
      <c r="F34" s="95"/>
      <c r="G34" s="95"/>
      <c r="H34" s="95"/>
      <c r="I34" s="95"/>
      <c r="J34" s="95"/>
      <c r="K34" s="95"/>
      <c r="L34" s="95"/>
      <c r="M34" s="95"/>
      <c r="N34" s="95"/>
      <c r="O34" s="95"/>
      <c r="P34" s="95"/>
      <c r="Q34" s="95"/>
      <c r="R34" s="96"/>
      <c r="S34" s="80"/>
    </row>
    <row r="35" spans="2:19" ht="9.9499999999999993" customHeight="1" thickTop="1" thickBot="1" x14ac:dyDescent="0.45">
      <c r="B35" s="79"/>
      <c r="C35" s="97"/>
      <c r="D35" s="97"/>
      <c r="E35" s="97"/>
      <c r="F35" s="97"/>
      <c r="G35" s="97"/>
      <c r="H35" s="97"/>
      <c r="I35" s="97"/>
      <c r="J35" s="97"/>
      <c r="K35" s="97"/>
      <c r="L35" s="97"/>
      <c r="M35" s="97"/>
      <c r="N35" s="97"/>
      <c r="O35" s="97"/>
      <c r="P35" s="97"/>
      <c r="Q35" s="97"/>
      <c r="R35" s="97"/>
      <c r="S35" s="80"/>
    </row>
    <row r="36" spans="2:19" ht="20.100000000000001" customHeight="1" thickTop="1" thickBot="1" x14ac:dyDescent="0.45">
      <c r="B36" s="79"/>
      <c r="C36" s="191" t="s">
        <v>207</v>
      </c>
      <c r="D36" s="192"/>
      <c r="E36" s="192"/>
      <c r="F36" s="192"/>
      <c r="G36" s="192"/>
      <c r="H36" s="192"/>
      <c r="I36" s="192"/>
      <c r="J36" s="192"/>
      <c r="K36" s="192"/>
      <c r="L36" s="192"/>
      <c r="M36" s="192"/>
      <c r="N36" s="192"/>
      <c r="O36" s="192"/>
      <c r="P36" s="192"/>
      <c r="Q36" s="192"/>
      <c r="R36" s="193"/>
      <c r="S36" s="80"/>
    </row>
    <row r="37" spans="2:19" ht="20.100000000000001" customHeight="1" thickTop="1" x14ac:dyDescent="0.4">
      <c r="B37" s="79"/>
      <c r="C37" s="218"/>
      <c r="D37" s="219"/>
      <c r="E37" s="219"/>
      <c r="F37" s="219"/>
      <c r="G37" s="219"/>
      <c r="H37" s="219"/>
      <c r="I37" s="219"/>
      <c r="J37" s="219"/>
      <c r="K37" s="219"/>
      <c r="L37" s="219"/>
      <c r="M37" s="219"/>
      <c r="N37" s="219"/>
      <c r="O37" s="219"/>
      <c r="P37" s="219"/>
      <c r="Q37" s="219"/>
      <c r="R37" s="220"/>
      <c r="S37" s="80"/>
    </row>
    <row r="38" spans="2:19" ht="20.100000000000001" customHeight="1" x14ac:dyDescent="0.4">
      <c r="B38" s="79"/>
      <c r="C38" s="221"/>
      <c r="D38" s="219"/>
      <c r="E38" s="219"/>
      <c r="F38" s="219"/>
      <c r="G38" s="219"/>
      <c r="H38" s="219"/>
      <c r="I38" s="219"/>
      <c r="J38" s="219"/>
      <c r="K38" s="219"/>
      <c r="L38" s="219"/>
      <c r="M38" s="219"/>
      <c r="N38" s="219"/>
      <c r="O38" s="219"/>
      <c r="P38" s="219"/>
      <c r="Q38" s="219"/>
      <c r="R38" s="220"/>
      <c r="S38" s="80"/>
    </row>
    <row r="39" spans="2:19" ht="20.100000000000001" customHeight="1" x14ac:dyDescent="0.4">
      <c r="B39" s="79"/>
      <c r="C39" s="221"/>
      <c r="D39" s="219"/>
      <c r="E39" s="219"/>
      <c r="F39" s="219"/>
      <c r="G39" s="219"/>
      <c r="H39" s="219"/>
      <c r="I39" s="219"/>
      <c r="J39" s="219"/>
      <c r="K39" s="219"/>
      <c r="L39" s="219"/>
      <c r="M39" s="219"/>
      <c r="N39" s="219"/>
      <c r="O39" s="219"/>
      <c r="P39" s="219"/>
      <c r="Q39" s="219"/>
      <c r="R39" s="220"/>
      <c r="S39" s="80"/>
    </row>
    <row r="40" spans="2:19" ht="20.100000000000001" customHeight="1" x14ac:dyDescent="0.4">
      <c r="B40" s="79"/>
      <c r="C40" s="221"/>
      <c r="D40" s="219"/>
      <c r="E40" s="219"/>
      <c r="F40" s="219"/>
      <c r="G40" s="219"/>
      <c r="H40" s="219"/>
      <c r="I40" s="219"/>
      <c r="J40" s="219"/>
      <c r="K40" s="219"/>
      <c r="L40" s="219"/>
      <c r="M40" s="219"/>
      <c r="N40" s="219"/>
      <c r="O40" s="219"/>
      <c r="P40" s="219"/>
      <c r="Q40" s="219"/>
      <c r="R40" s="220"/>
      <c r="S40" s="80"/>
    </row>
    <row r="41" spans="2:19" ht="20.100000000000001" customHeight="1" thickBot="1" x14ac:dyDescent="0.45">
      <c r="B41" s="79"/>
      <c r="C41" s="222"/>
      <c r="D41" s="223"/>
      <c r="E41" s="223"/>
      <c r="F41" s="223"/>
      <c r="G41" s="223"/>
      <c r="H41" s="223"/>
      <c r="I41" s="223"/>
      <c r="J41" s="223"/>
      <c r="K41" s="223"/>
      <c r="L41" s="223"/>
      <c r="M41" s="223"/>
      <c r="N41" s="223"/>
      <c r="O41" s="223"/>
      <c r="P41" s="223"/>
      <c r="Q41" s="223"/>
      <c r="R41" s="224"/>
      <c r="S41" s="80"/>
    </row>
    <row r="42" spans="2:19" ht="9.9499999999999993" customHeight="1" thickTop="1" x14ac:dyDescent="0.4">
      <c r="B42" s="81"/>
      <c r="C42" s="82"/>
      <c r="D42" s="82"/>
      <c r="E42" s="82"/>
      <c r="F42" s="82"/>
      <c r="G42" s="82"/>
      <c r="H42" s="82"/>
      <c r="I42" s="82"/>
      <c r="J42" s="82"/>
      <c r="K42" s="82"/>
      <c r="L42" s="82"/>
      <c r="M42" s="82"/>
      <c r="N42" s="82"/>
      <c r="O42" s="82"/>
      <c r="P42" s="82"/>
      <c r="Q42" s="82"/>
      <c r="R42" s="82"/>
      <c r="S42" s="83"/>
    </row>
  </sheetData>
  <sheetProtection algorithmName="SHA-512" hashValue="hi9ZhV9bKTQaxNuT0jDfHOJ5L6xHqscZ8uQSl5hFAr+6F9Y5Iv+Ac5Qp0EDBTAj1wXEuE0P4U1loijcV5fxVxw==" saltValue="pLHbEaIUMf3+qd1EgYfymA==" spinCount="100000" sheet="1" objects="1" scenarios="1" formatRows="0"/>
  <mergeCells count="84">
    <mergeCell ref="J27:M27"/>
    <mergeCell ref="E29:I29"/>
    <mergeCell ref="E30:I30"/>
    <mergeCell ref="E31:I31"/>
    <mergeCell ref="J28:M28"/>
    <mergeCell ref="J29:M29"/>
    <mergeCell ref="J30:M30"/>
    <mergeCell ref="J31:M31"/>
    <mergeCell ref="D32:M32"/>
    <mergeCell ref="N32:O32"/>
    <mergeCell ref="P32:Q32"/>
    <mergeCell ref="N29:O29"/>
    <mergeCell ref="N30:O30"/>
    <mergeCell ref="N31:O31"/>
    <mergeCell ref="C36:R36"/>
    <mergeCell ref="C37:R41"/>
    <mergeCell ref="C24:R24"/>
    <mergeCell ref="D21:E21"/>
    <mergeCell ref="F21:G21"/>
    <mergeCell ref="H21:I21"/>
    <mergeCell ref="J21:K21"/>
    <mergeCell ref="L21:M21"/>
    <mergeCell ref="D26:Q26"/>
    <mergeCell ref="N27:O27"/>
    <mergeCell ref="D33:M33"/>
    <mergeCell ref="N33:O33"/>
    <mergeCell ref="P33:Q33"/>
    <mergeCell ref="N28:O28"/>
    <mergeCell ref="D27:I27"/>
    <mergeCell ref="E28:I28"/>
    <mergeCell ref="D20:E20"/>
    <mergeCell ref="F20:G20"/>
    <mergeCell ref="H20:I20"/>
    <mergeCell ref="J20:K20"/>
    <mergeCell ref="L20:M20"/>
    <mergeCell ref="D19:M19"/>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 ref="E5:G5"/>
    <mergeCell ref="H5:I5"/>
    <mergeCell ref="J5:L5"/>
    <mergeCell ref="M5:O5"/>
    <mergeCell ref="P5:R5"/>
    <mergeCell ref="C6:D6"/>
    <mergeCell ref="E6:G6"/>
    <mergeCell ref="H6:I6"/>
    <mergeCell ref="J6:L6"/>
    <mergeCell ref="M6:O6"/>
    <mergeCell ref="C8:R8"/>
    <mergeCell ref="D10:Q10"/>
    <mergeCell ref="D11:F11"/>
    <mergeCell ref="G11:J11"/>
    <mergeCell ref="K11:M11"/>
    <mergeCell ref="N11:Q11"/>
    <mergeCell ref="D12:F12"/>
    <mergeCell ref="G12:J12"/>
    <mergeCell ref="K13:M13"/>
    <mergeCell ref="N13:Q13"/>
    <mergeCell ref="D13:F13"/>
    <mergeCell ref="G13:J13"/>
    <mergeCell ref="K12:M12"/>
    <mergeCell ref="N12:Q12"/>
    <mergeCell ref="D15:Q15"/>
    <mergeCell ref="D16:F16"/>
    <mergeCell ref="G16:J16"/>
    <mergeCell ref="D17:F17"/>
    <mergeCell ref="G17:J17"/>
    <mergeCell ref="K16:M16"/>
    <mergeCell ref="N16:Q16"/>
    <mergeCell ref="K17:M17"/>
    <mergeCell ref="N17:Q17"/>
  </mergeCells>
  <conditionalFormatting sqref="L21:M21">
    <cfRule type="expression" dxfId="10" priority="10">
      <formula>AND($L$21&lt;&gt;"-",AND($L$21&gt;=-1,$L$21&lt;=1))</formula>
    </cfRule>
    <cfRule type="expression" dxfId="9" priority="11">
      <formula>AND($L$21&lt;&gt;"-",OR($L$21&lt;-1,$L$21&gt;1))</formula>
    </cfRule>
  </conditionalFormatting>
  <conditionalFormatting sqref="N28:O28">
    <cfRule type="cellIs" dxfId="8" priority="1" operator="equal">
      <formula>"Non"</formula>
    </cfRule>
    <cfRule type="cellIs" dxfId="7" priority="2" operator="equal">
      <formula>"Oui"</formula>
    </cfRule>
  </conditionalFormatting>
  <conditionalFormatting sqref="N28:O31">
    <cfRule type="cellIs" dxfId="6" priority="3" operator="equal">
      <formula>"Réserve"</formula>
    </cfRule>
    <cfRule type="cellIs" dxfId="5" priority="4" operator="equal">
      <formula>"Non validé"</formula>
    </cfRule>
    <cfRule type="cellIs" dxfId="4" priority="5" operator="equal">
      <formula>"Non contrôlé"</formula>
    </cfRule>
    <cfRule type="cellIs" dxfId="3" priority="6" operator="equal">
      <formula>"Validé"</formula>
    </cfRule>
  </conditionalFormatting>
  <conditionalFormatting sqref="P33:Q33">
    <cfRule type="cellIs" dxfId="2" priority="7" operator="lessThan">
      <formula>70</formula>
    </cfRule>
    <cfRule type="cellIs" dxfId="1" priority="8" operator="between">
      <formula>70</formula>
      <formula>80</formula>
    </cfRule>
    <cfRule type="cellIs" dxfId="0" priority="9" operator="greaterThanOrEqual">
      <formula>80</formula>
    </cfRule>
  </conditionalFormatting>
  <dataValidations count="3">
    <dataValidation type="list" allowBlank="1" showInputMessage="1" showErrorMessage="1" sqref="N12:Q12" xr:uid="{00000000-0002-0000-0800-000000000000}">
      <formula1>LISTE_1</formula1>
    </dataValidation>
    <dataValidation type="list" allowBlank="1" showInputMessage="1" showErrorMessage="1" sqref="N28:O31" xr:uid="{00000000-0002-0000-0800-000001000000}">
      <formula1>INDIRECT(U28)</formula1>
    </dataValidation>
    <dataValidation type="list" allowBlank="1" showInputMessage="1" showErrorMessage="1" sqref="D21:E21" xr:uid="{DB86FC0E-4110-4309-B3E8-C8D9E4755037}">
      <formula1>TypeDeMesure</formula1>
    </dataValidation>
  </dataValidations>
  <pageMargins left="0.70866141732283472" right="0.70866141732283472" top="0.74803149606299213" bottom="0.74803149606299213" header="0.31496062992125984" footer="0.31496062992125984"/>
  <pageSetup paperSize="9" scale="5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activeCell="F6" sqref="F6"/>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175</v>
      </c>
      <c r="C1" s="18"/>
      <c r="D1" s="18"/>
      <c r="E1" s="18"/>
      <c r="F1" s="18"/>
      <c r="G1" s="18"/>
      <c r="H1" s="18"/>
      <c r="I1" s="18"/>
    </row>
    <row r="2" spans="1:603" ht="37.700000000000003" customHeight="1" thickBot="1" x14ac:dyDescent="0.45">
      <c r="A2" s="158"/>
      <c r="B2" s="159" t="s">
        <v>88</v>
      </c>
      <c r="C2" s="160"/>
      <c r="D2" s="160"/>
      <c r="E2" s="160"/>
      <c r="F2" s="160"/>
      <c r="G2" s="160"/>
      <c r="H2" s="160"/>
      <c r="I2" s="160"/>
      <c r="J2" s="161"/>
      <c r="K2" s="161"/>
      <c r="L2" s="162"/>
      <c r="M2" s="162"/>
      <c r="N2" s="161"/>
      <c r="O2" s="161"/>
      <c r="P2" s="162"/>
      <c r="Q2" s="162"/>
      <c r="R2" s="161"/>
      <c r="S2" s="161"/>
      <c r="T2" s="162"/>
      <c r="U2" s="162"/>
      <c r="V2" s="163" t="s">
        <v>91</v>
      </c>
      <c r="W2" s="164"/>
      <c r="X2" s="165"/>
      <c r="Y2" s="165"/>
      <c r="Z2" s="164"/>
      <c r="AA2" s="164"/>
      <c r="AB2" s="165"/>
      <c r="AC2" s="165"/>
      <c r="AD2" s="164"/>
      <c r="AE2" s="164"/>
      <c r="AF2" s="165"/>
      <c r="AG2" s="165"/>
      <c r="AH2" s="164"/>
      <c r="AI2" s="164"/>
      <c r="AJ2" s="165"/>
      <c r="AK2" s="165"/>
      <c r="AL2" s="164"/>
      <c r="AM2" s="164"/>
      <c r="AN2" s="165"/>
      <c r="AO2" s="165"/>
      <c r="AP2" s="164"/>
      <c r="AQ2" s="164"/>
      <c r="AR2" s="165"/>
      <c r="AS2" s="165"/>
      <c r="AT2" s="164"/>
      <c r="AU2" s="164"/>
      <c r="AV2" s="165"/>
      <c r="AW2" s="165"/>
      <c r="AX2" s="164"/>
      <c r="AY2" s="164"/>
      <c r="AZ2" s="165"/>
      <c r="BA2" s="165"/>
      <c r="BB2" s="164"/>
      <c r="BC2" s="164"/>
      <c r="BD2" s="165"/>
      <c r="BE2" s="165"/>
      <c r="BF2" s="166" t="s">
        <v>304</v>
      </c>
      <c r="BG2" s="167"/>
      <c r="BH2" s="167"/>
      <c r="BI2" s="167"/>
      <c r="BJ2" s="167"/>
      <c r="BK2" s="167"/>
      <c r="BL2" s="167"/>
      <c r="BM2" s="167"/>
      <c r="BN2" s="167"/>
      <c r="BO2" s="167"/>
      <c r="BP2" s="167"/>
      <c r="BQ2" s="167"/>
      <c r="BR2" s="168" t="s">
        <v>305</v>
      </c>
      <c r="BS2" s="169"/>
      <c r="BT2" s="169"/>
      <c r="BU2" s="169"/>
      <c r="BV2" s="169"/>
      <c r="BW2" s="169"/>
      <c r="BX2" s="169"/>
      <c r="BY2" s="169"/>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13</v>
      </c>
      <c r="B3" s="27" t="s">
        <v>114</v>
      </c>
      <c r="C3" s="27"/>
      <c r="D3" s="28"/>
      <c r="E3" s="29"/>
      <c r="F3" s="27" t="s">
        <v>115</v>
      </c>
      <c r="G3" s="27"/>
      <c r="H3" s="28"/>
      <c r="I3" s="29"/>
      <c r="J3" s="27" t="s">
        <v>228</v>
      </c>
      <c r="K3" s="27"/>
      <c r="L3" s="28"/>
      <c r="M3" s="29"/>
      <c r="N3" s="27" t="s">
        <v>89</v>
      </c>
      <c r="O3" s="27"/>
      <c r="P3" s="28"/>
      <c r="Q3" s="29"/>
      <c r="R3" s="27" t="s">
        <v>229</v>
      </c>
      <c r="S3" s="27"/>
      <c r="T3" s="28"/>
      <c r="U3" s="29"/>
      <c r="V3" s="30" t="s">
        <v>14</v>
      </c>
      <c r="W3" s="27"/>
      <c r="X3" s="28"/>
      <c r="Y3" s="29"/>
      <c r="Z3" s="31" t="s">
        <v>15</v>
      </c>
      <c r="AA3" s="32"/>
      <c r="AB3" s="33"/>
      <c r="AC3" s="34"/>
      <c r="AD3" s="31" t="s">
        <v>3</v>
      </c>
      <c r="AE3" s="32"/>
      <c r="AF3" s="33"/>
      <c r="AG3" s="34"/>
      <c r="AH3" s="31" t="s">
        <v>286</v>
      </c>
      <c r="AI3" s="32"/>
      <c r="AJ3" s="33"/>
      <c r="AK3" s="34"/>
      <c r="AL3" s="31" t="s">
        <v>16</v>
      </c>
      <c r="AM3" s="32"/>
      <c r="AN3" s="33"/>
      <c r="AO3" s="34"/>
      <c r="AP3" s="31" t="s">
        <v>17</v>
      </c>
      <c r="AQ3" s="27"/>
      <c r="AR3" s="28"/>
      <c r="AS3" s="29"/>
      <c r="AT3" s="31" t="s">
        <v>4</v>
      </c>
      <c r="AU3" s="32"/>
      <c r="AV3" s="33"/>
      <c r="AW3" s="34"/>
      <c r="AX3" s="31" t="s">
        <v>18</v>
      </c>
      <c r="AY3" s="32"/>
      <c r="AZ3" s="33"/>
      <c r="BA3" s="34"/>
      <c r="BB3" s="31" t="s">
        <v>19</v>
      </c>
      <c r="BC3" s="32"/>
      <c r="BD3" s="33"/>
      <c r="BE3" s="34"/>
      <c r="BF3" s="31" t="s">
        <v>20</v>
      </c>
      <c r="BG3" s="32"/>
      <c r="BH3" s="33"/>
      <c r="BI3" s="33"/>
      <c r="BJ3" s="103" t="s">
        <v>21</v>
      </c>
      <c r="BK3" s="104"/>
      <c r="BL3" s="105"/>
      <c r="BM3" s="106"/>
      <c r="BN3" s="31" t="s">
        <v>22</v>
      </c>
      <c r="BO3" s="27"/>
      <c r="BP3" s="28"/>
      <c r="BQ3" s="29"/>
      <c r="BR3" s="31" t="s">
        <v>180</v>
      </c>
      <c r="BS3" s="27"/>
      <c r="BT3" s="28"/>
      <c r="BU3" s="29"/>
      <c r="BV3" s="31" t="s">
        <v>0</v>
      </c>
      <c r="BW3" s="27"/>
      <c r="BX3" s="28"/>
      <c r="BY3" s="29"/>
    </row>
    <row r="4" spans="1:603" s="16" customFormat="1" ht="21.7" thickBot="1" x14ac:dyDescent="0.45">
      <c r="A4" s="35"/>
      <c r="B4" s="36" t="s">
        <v>2</v>
      </c>
      <c r="C4" s="36" t="s">
        <v>116</v>
      </c>
      <c r="D4" s="36" t="s">
        <v>117</v>
      </c>
      <c r="E4" s="37" t="s">
        <v>118</v>
      </c>
      <c r="F4" s="36" t="s">
        <v>2</v>
      </c>
      <c r="G4" s="36" t="s">
        <v>116</v>
      </c>
      <c r="H4" s="36" t="s">
        <v>117</v>
      </c>
      <c r="I4" s="37" t="s">
        <v>118</v>
      </c>
      <c r="J4" s="36" t="s">
        <v>2</v>
      </c>
      <c r="K4" s="36" t="s">
        <v>116</v>
      </c>
      <c r="L4" s="36" t="s">
        <v>117</v>
      </c>
      <c r="M4" s="37" t="s">
        <v>118</v>
      </c>
      <c r="N4" s="36" t="s">
        <v>2</v>
      </c>
      <c r="O4" s="36" t="s">
        <v>116</v>
      </c>
      <c r="P4" s="36" t="s">
        <v>117</v>
      </c>
      <c r="Q4" s="37" t="s">
        <v>118</v>
      </c>
      <c r="R4" s="36" t="s">
        <v>2</v>
      </c>
      <c r="S4" s="36" t="s">
        <v>116</v>
      </c>
      <c r="T4" s="36" t="s">
        <v>117</v>
      </c>
      <c r="U4" s="37" t="s">
        <v>118</v>
      </c>
      <c r="V4" s="38" t="s">
        <v>2</v>
      </c>
      <c r="W4" s="36" t="s">
        <v>116</v>
      </c>
      <c r="X4" s="36" t="s">
        <v>117</v>
      </c>
      <c r="Y4" s="37" t="s">
        <v>118</v>
      </c>
      <c r="Z4" s="36" t="s">
        <v>2</v>
      </c>
      <c r="AA4" s="36" t="s">
        <v>116</v>
      </c>
      <c r="AB4" s="36" t="s">
        <v>117</v>
      </c>
      <c r="AC4" s="37" t="s">
        <v>118</v>
      </c>
      <c r="AD4" s="36" t="s">
        <v>2</v>
      </c>
      <c r="AE4" s="36" t="s">
        <v>116</v>
      </c>
      <c r="AF4" s="36" t="s">
        <v>117</v>
      </c>
      <c r="AG4" s="37" t="s">
        <v>118</v>
      </c>
      <c r="AH4" s="36" t="s">
        <v>2</v>
      </c>
      <c r="AI4" s="36" t="s">
        <v>116</v>
      </c>
      <c r="AJ4" s="36" t="s">
        <v>117</v>
      </c>
      <c r="AK4" s="37" t="s">
        <v>118</v>
      </c>
      <c r="AL4" s="36" t="s">
        <v>2</v>
      </c>
      <c r="AM4" s="36" t="s">
        <v>116</v>
      </c>
      <c r="AN4" s="36" t="s">
        <v>117</v>
      </c>
      <c r="AO4" s="37" t="s">
        <v>118</v>
      </c>
      <c r="AP4" s="36" t="s">
        <v>2</v>
      </c>
      <c r="AQ4" s="36" t="s">
        <v>116</v>
      </c>
      <c r="AR4" s="36" t="s">
        <v>117</v>
      </c>
      <c r="AS4" s="37" t="s">
        <v>118</v>
      </c>
      <c r="AT4" s="36" t="s">
        <v>2</v>
      </c>
      <c r="AU4" s="36" t="s">
        <v>116</v>
      </c>
      <c r="AV4" s="36" t="s">
        <v>117</v>
      </c>
      <c r="AW4" s="37" t="s">
        <v>118</v>
      </c>
      <c r="AX4" s="36" t="s">
        <v>2</v>
      </c>
      <c r="AY4" s="36" t="s">
        <v>116</v>
      </c>
      <c r="AZ4" s="36" t="s">
        <v>117</v>
      </c>
      <c r="BA4" s="37" t="s">
        <v>118</v>
      </c>
      <c r="BB4" s="36" t="s">
        <v>2</v>
      </c>
      <c r="BC4" s="36" t="s">
        <v>116</v>
      </c>
      <c r="BD4" s="36" t="s">
        <v>117</v>
      </c>
      <c r="BE4" s="37" t="s">
        <v>118</v>
      </c>
      <c r="BF4" s="36" t="s">
        <v>2</v>
      </c>
      <c r="BG4" s="36" t="s">
        <v>116</v>
      </c>
      <c r="BH4" s="36" t="s">
        <v>117</v>
      </c>
      <c r="BI4" s="36" t="s">
        <v>118</v>
      </c>
      <c r="BJ4" s="107" t="s">
        <v>2</v>
      </c>
      <c r="BK4" s="36" t="s">
        <v>116</v>
      </c>
      <c r="BL4" s="36" t="s">
        <v>117</v>
      </c>
      <c r="BM4" s="108" t="s">
        <v>118</v>
      </c>
      <c r="BN4" s="36" t="s">
        <v>2</v>
      </c>
      <c r="BO4" s="36" t="s">
        <v>116</v>
      </c>
      <c r="BP4" s="36" t="s">
        <v>117</v>
      </c>
      <c r="BQ4" s="37" t="s">
        <v>118</v>
      </c>
      <c r="BR4" s="36" t="s">
        <v>2</v>
      </c>
      <c r="BS4" s="36" t="s">
        <v>116</v>
      </c>
      <c r="BT4" s="36" t="s">
        <v>117</v>
      </c>
      <c r="BU4" s="37" t="s">
        <v>118</v>
      </c>
      <c r="BV4" s="36" t="s">
        <v>2</v>
      </c>
      <c r="BW4" s="36" t="s">
        <v>116</v>
      </c>
      <c r="BX4" s="36" t="s">
        <v>117</v>
      </c>
      <c r="BY4" s="37" t="s">
        <v>118</v>
      </c>
    </row>
    <row r="5" spans="1:603" s="23" customFormat="1" ht="51" thickTop="1" x14ac:dyDescent="0.4">
      <c r="A5" s="121">
        <v>1</v>
      </c>
      <c r="B5" s="122" t="s">
        <v>119</v>
      </c>
      <c r="C5" s="123" t="s">
        <v>230</v>
      </c>
      <c r="D5" s="124">
        <v>10</v>
      </c>
      <c r="E5" s="125" t="s">
        <v>39</v>
      </c>
      <c r="F5" s="122" t="s">
        <v>119</v>
      </c>
      <c r="G5" s="123" t="s">
        <v>230</v>
      </c>
      <c r="H5" s="124">
        <v>10</v>
      </c>
      <c r="I5" s="125" t="s">
        <v>39</v>
      </c>
      <c r="J5" s="122" t="s">
        <v>119</v>
      </c>
      <c r="K5" s="123" t="s">
        <v>230</v>
      </c>
      <c r="L5" s="124">
        <v>10</v>
      </c>
      <c r="M5" s="125" t="s">
        <v>39</v>
      </c>
      <c r="N5" s="122" t="s">
        <v>119</v>
      </c>
      <c r="O5" s="123" t="s">
        <v>230</v>
      </c>
      <c r="P5" s="124">
        <v>10</v>
      </c>
      <c r="Q5" s="125" t="s">
        <v>39</v>
      </c>
      <c r="R5" s="122" t="s">
        <v>119</v>
      </c>
      <c r="S5" s="123" t="s">
        <v>230</v>
      </c>
      <c r="T5" s="124">
        <v>10</v>
      </c>
      <c r="U5" s="125" t="s">
        <v>39</v>
      </c>
      <c r="V5" s="126" t="s">
        <v>119</v>
      </c>
      <c r="W5" s="123" t="s">
        <v>230</v>
      </c>
      <c r="X5" s="124">
        <v>10</v>
      </c>
      <c r="Y5" s="125" t="s">
        <v>39</v>
      </c>
      <c r="Z5" s="122" t="s">
        <v>119</v>
      </c>
      <c r="AA5" s="123" t="s">
        <v>230</v>
      </c>
      <c r="AB5" s="124">
        <v>10</v>
      </c>
      <c r="AC5" s="125" t="s">
        <v>39</v>
      </c>
      <c r="AD5" s="122" t="s">
        <v>119</v>
      </c>
      <c r="AE5" s="123" t="s">
        <v>230</v>
      </c>
      <c r="AF5" s="124">
        <v>10</v>
      </c>
      <c r="AG5" s="125" t="s">
        <v>39</v>
      </c>
      <c r="AH5" s="122" t="s">
        <v>119</v>
      </c>
      <c r="AI5" s="123" t="s">
        <v>230</v>
      </c>
      <c r="AJ5" s="124">
        <v>10</v>
      </c>
      <c r="AK5" s="125" t="s">
        <v>39</v>
      </c>
      <c r="AL5" s="122" t="s">
        <v>119</v>
      </c>
      <c r="AM5" s="123" t="s">
        <v>230</v>
      </c>
      <c r="AN5" s="124">
        <v>10</v>
      </c>
      <c r="AO5" s="125" t="s">
        <v>39</v>
      </c>
      <c r="AP5" s="126" t="s">
        <v>119</v>
      </c>
      <c r="AQ5" s="123" t="s">
        <v>230</v>
      </c>
      <c r="AR5" s="124">
        <v>10</v>
      </c>
      <c r="AS5" s="125" t="s">
        <v>39</v>
      </c>
      <c r="AT5" s="126" t="s">
        <v>119</v>
      </c>
      <c r="AU5" s="123" t="s">
        <v>230</v>
      </c>
      <c r="AV5" s="124">
        <v>10</v>
      </c>
      <c r="AW5" s="125" t="s">
        <v>39</v>
      </c>
      <c r="AX5" s="122" t="s">
        <v>119</v>
      </c>
      <c r="AY5" s="123" t="s">
        <v>230</v>
      </c>
      <c r="AZ5" s="124">
        <v>10</v>
      </c>
      <c r="BA5" s="125" t="s">
        <v>39</v>
      </c>
      <c r="BB5" s="122" t="s">
        <v>119</v>
      </c>
      <c r="BC5" s="123" t="s">
        <v>230</v>
      </c>
      <c r="BD5" s="124">
        <v>10</v>
      </c>
      <c r="BE5" s="125" t="s">
        <v>39</v>
      </c>
      <c r="BF5" s="122" t="s">
        <v>119</v>
      </c>
      <c r="BG5" s="123" t="s">
        <v>230</v>
      </c>
      <c r="BH5" s="124">
        <v>10</v>
      </c>
      <c r="BI5" s="127" t="s">
        <v>39</v>
      </c>
      <c r="BJ5" s="128" t="s">
        <v>119</v>
      </c>
      <c r="BK5" s="123" t="s">
        <v>230</v>
      </c>
      <c r="BL5" s="124">
        <v>10</v>
      </c>
      <c r="BM5" s="129" t="s">
        <v>39</v>
      </c>
      <c r="BN5" s="122" t="s">
        <v>119</v>
      </c>
      <c r="BO5" s="123" t="s">
        <v>230</v>
      </c>
      <c r="BP5" s="124">
        <v>10</v>
      </c>
      <c r="BQ5" s="125" t="s">
        <v>39</v>
      </c>
      <c r="BR5" s="126" t="s">
        <v>119</v>
      </c>
      <c r="BS5" s="123" t="s">
        <v>230</v>
      </c>
      <c r="BT5" s="124">
        <v>10</v>
      </c>
      <c r="BU5" s="125" t="s">
        <v>39</v>
      </c>
      <c r="BV5" s="126" t="s">
        <v>119</v>
      </c>
      <c r="BW5" s="123" t="s">
        <v>230</v>
      </c>
      <c r="BX5" s="124">
        <v>10</v>
      </c>
      <c r="BY5" s="125" t="s">
        <v>39</v>
      </c>
    </row>
    <row r="6" spans="1:603" s="46" customFormat="1" ht="114" x14ac:dyDescent="0.4">
      <c r="A6" s="39">
        <v>2</v>
      </c>
      <c r="B6" s="40" t="s">
        <v>120</v>
      </c>
      <c r="C6" s="41" t="s">
        <v>242</v>
      </c>
      <c r="D6" s="42">
        <v>10</v>
      </c>
      <c r="E6" s="43" t="s">
        <v>39</v>
      </c>
      <c r="F6" s="40" t="s">
        <v>120</v>
      </c>
      <c r="G6" s="41" t="s">
        <v>242</v>
      </c>
      <c r="H6" s="42">
        <v>10</v>
      </c>
      <c r="I6" s="43" t="s">
        <v>39</v>
      </c>
      <c r="J6" s="40" t="s">
        <v>120</v>
      </c>
      <c r="K6" s="41" t="s">
        <v>242</v>
      </c>
      <c r="L6" s="42">
        <v>10</v>
      </c>
      <c r="M6" s="43" t="s">
        <v>39</v>
      </c>
      <c r="N6" s="40" t="s">
        <v>120</v>
      </c>
      <c r="O6" s="41" t="s">
        <v>242</v>
      </c>
      <c r="P6" s="42">
        <v>10</v>
      </c>
      <c r="Q6" s="43" t="s">
        <v>39</v>
      </c>
      <c r="R6" s="40" t="s">
        <v>120</v>
      </c>
      <c r="S6" s="41" t="s">
        <v>242</v>
      </c>
      <c r="T6" s="42">
        <v>10</v>
      </c>
      <c r="U6" s="43" t="s">
        <v>39</v>
      </c>
      <c r="V6" s="44" t="s">
        <v>121</v>
      </c>
      <c r="W6" s="41" t="s">
        <v>242</v>
      </c>
      <c r="X6" s="42">
        <v>10</v>
      </c>
      <c r="Y6" s="43" t="s">
        <v>39</v>
      </c>
      <c r="Z6" s="40" t="s">
        <v>121</v>
      </c>
      <c r="AA6" s="41" t="s">
        <v>242</v>
      </c>
      <c r="AB6" s="42">
        <v>10</v>
      </c>
      <c r="AC6" s="43" t="s">
        <v>39</v>
      </c>
      <c r="AD6" s="40" t="s">
        <v>23</v>
      </c>
      <c r="AE6" s="41" t="s">
        <v>242</v>
      </c>
      <c r="AF6" s="42">
        <v>10</v>
      </c>
      <c r="AG6" s="43" t="s">
        <v>39</v>
      </c>
      <c r="AH6" s="40" t="s">
        <v>287</v>
      </c>
      <c r="AI6" s="45"/>
      <c r="AJ6" s="42">
        <v>10</v>
      </c>
      <c r="AK6" s="43" t="s">
        <v>39</v>
      </c>
      <c r="AL6" s="40" t="s">
        <v>288</v>
      </c>
      <c r="AM6" s="45"/>
      <c r="AN6" s="42">
        <v>10</v>
      </c>
      <c r="AO6" s="43" t="s">
        <v>39</v>
      </c>
      <c r="AP6" s="40" t="s">
        <v>120</v>
      </c>
      <c r="AQ6" s="41" t="s">
        <v>242</v>
      </c>
      <c r="AR6" s="42">
        <v>10</v>
      </c>
      <c r="AS6" s="43" t="s">
        <v>39</v>
      </c>
      <c r="AT6" s="40" t="s">
        <v>122</v>
      </c>
      <c r="AU6" s="41" t="s">
        <v>242</v>
      </c>
      <c r="AV6" s="42">
        <v>10</v>
      </c>
      <c r="AW6" s="43" t="s">
        <v>39</v>
      </c>
      <c r="AX6" s="40" t="s">
        <v>231</v>
      </c>
      <c r="AY6" s="45" t="s">
        <v>242</v>
      </c>
      <c r="AZ6" s="42">
        <v>10</v>
      </c>
      <c r="BA6" s="43" t="s">
        <v>39</v>
      </c>
      <c r="BB6" s="40" t="s">
        <v>123</v>
      </c>
      <c r="BC6" s="45" t="s">
        <v>242</v>
      </c>
      <c r="BD6" s="42">
        <v>20</v>
      </c>
      <c r="BE6" s="43" t="s">
        <v>39</v>
      </c>
      <c r="BF6" s="40" t="s">
        <v>24</v>
      </c>
      <c r="BG6" s="41" t="s">
        <v>242</v>
      </c>
      <c r="BH6" s="42">
        <v>15</v>
      </c>
      <c r="BI6" s="109" t="s">
        <v>39</v>
      </c>
      <c r="BJ6" s="110" t="s">
        <v>25</v>
      </c>
      <c r="BK6" s="41"/>
      <c r="BL6" s="42">
        <v>15</v>
      </c>
      <c r="BM6" s="111" t="s">
        <v>39</v>
      </c>
      <c r="BN6" s="40" t="s">
        <v>26</v>
      </c>
      <c r="BO6" s="41" t="s">
        <v>242</v>
      </c>
      <c r="BP6" s="42">
        <v>20</v>
      </c>
      <c r="BQ6" s="43" t="s">
        <v>39</v>
      </c>
      <c r="BR6" s="44" t="s">
        <v>181</v>
      </c>
      <c r="BS6" s="41" t="s">
        <v>182</v>
      </c>
      <c r="BT6" s="42">
        <v>30</v>
      </c>
      <c r="BU6" s="43" t="s">
        <v>39</v>
      </c>
      <c r="BV6" s="40" t="s">
        <v>183</v>
      </c>
      <c r="BW6" s="41" t="s">
        <v>184</v>
      </c>
      <c r="BX6" s="42">
        <v>20</v>
      </c>
      <c r="BY6" s="43" t="s">
        <v>39</v>
      </c>
    </row>
    <row r="7" spans="1:603" s="23" customFormat="1" ht="114" x14ac:dyDescent="0.4">
      <c r="A7" s="130">
        <v>3</v>
      </c>
      <c r="B7" s="24" t="s">
        <v>124</v>
      </c>
      <c r="C7" s="25" t="s">
        <v>242</v>
      </c>
      <c r="D7" s="131">
        <v>10</v>
      </c>
      <c r="E7" s="132" t="s">
        <v>39</v>
      </c>
      <c r="F7" s="24" t="s">
        <v>124</v>
      </c>
      <c r="G7" s="25" t="s">
        <v>242</v>
      </c>
      <c r="H7" s="131">
        <v>10</v>
      </c>
      <c r="I7" s="132" t="s">
        <v>39</v>
      </c>
      <c r="J7" s="24" t="s">
        <v>124</v>
      </c>
      <c r="K7" s="25" t="s">
        <v>242</v>
      </c>
      <c r="L7" s="131">
        <v>10</v>
      </c>
      <c r="M7" s="132" t="s">
        <v>39</v>
      </c>
      <c r="N7" s="24" t="s">
        <v>124</v>
      </c>
      <c r="O7" s="25" t="s">
        <v>242</v>
      </c>
      <c r="P7" s="131">
        <v>10</v>
      </c>
      <c r="Q7" s="132" t="s">
        <v>39</v>
      </c>
      <c r="R7" s="24" t="s">
        <v>124</v>
      </c>
      <c r="S7" s="25" t="s">
        <v>242</v>
      </c>
      <c r="T7" s="131">
        <v>10</v>
      </c>
      <c r="U7" s="132" t="s">
        <v>39</v>
      </c>
      <c r="V7" s="10" t="s">
        <v>285</v>
      </c>
      <c r="W7" s="25" t="s">
        <v>125</v>
      </c>
      <c r="X7" s="131">
        <v>10</v>
      </c>
      <c r="Y7" s="132" t="s">
        <v>39</v>
      </c>
      <c r="Z7" s="24" t="s">
        <v>285</v>
      </c>
      <c r="AA7" s="25" t="s">
        <v>125</v>
      </c>
      <c r="AB7" s="131">
        <v>10</v>
      </c>
      <c r="AC7" s="132" t="s">
        <v>39</v>
      </c>
      <c r="AD7" s="24" t="s">
        <v>296</v>
      </c>
      <c r="AE7" s="25" t="s">
        <v>242</v>
      </c>
      <c r="AF7" s="131">
        <v>10</v>
      </c>
      <c r="AG7" s="132" t="s">
        <v>39</v>
      </c>
      <c r="AH7" s="24" t="s">
        <v>289</v>
      </c>
      <c r="AI7" s="25"/>
      <c r="AJ7" s="131">
        <v>10</v>
      </c>
      <c r="AK7" s="132" t="s">
        <v>40</v>
      </c>
      <c r="AL7" s="24" t="s">
        <v>126</v>
      </c>
      <c r="AM7" s="25"/>
      <c r="AN7" s="131">
        <v>10</v>
      </c>
      <c r="AO7" s="132" t="s">
        <v>40</v>
      </c>
      <c r="AP7" s="24" t="s">
        <v>127</v>
      </c>
      <c r="AQ7" s="25" t="s">
        <v>242</v>
      </c>
      <c r="AR7" s="131">
        <v>10</v>
      </c>
      <c r="AS7" s="132" t="s">
        <v>39</v>
      </c>
      <c r="AT7" s="24" t="s">
        <v>128</v>
      </c>
      <c r="AU7" s="133" t="s">
        <v>242</v>
      </c>
      <c r="AV7" s="131">
        <v>10</v>
      </c>
      <c r="AW7" s="132" t="s">
        <v>39</v>
      </c>
      <c r="AX7" s="24" t="s">
        <v>129</v>
      </c>
      <c r="AY7" s="25" t="s">
        <v>242</v>
      </c>
      <c r="AZ7" s="131">
        <v>10</v>
      </c>
      <c r="BA7" s="132" t="s">
        <v>40</v>
      </c>
      <c r="BB7" s="24" t="s">
        <v>130</v>
      </c>
      <c r="BC7" s="25" t="s">
        <v>242</v>
      </c>
      <c r="BD7" s="131">
        <v>20</v>
      </c>
      <c r="BE7" s="132" t="s">
        <v>40</v>
      </c>
      <c r="BF7" s="24" t="s">
        <v>131</v>
      </c>
      <c r="BG7" s="25" t="s">
        <v>132</v>
      </c>
      <c r="BH7" s="131">
        <v>5</v>
      </c>
      <c r="BI7" s="134" t="s">
        <v>39</v>
      </c>
      <c r="BJ7" s="135" t="s">
        <v>131</v>
      </c>
      <c r="BK7" s="25" t="s">
        <v>132</v>
      </c>
      <c r="BL7" s="131">
        <v>5</v>
      </c>
      <c r="BM7" s="136" t="s">
        <v>39</v>
      </c>
      <c r="BN7" s="24" t="s">
        <v>133</v>
      </c>
      <c r="BO7" s="25" t="s">
        <v>242</v>
      </c>
      <c r="BP7" s="131">
        <v>30</v>
      </c>
      <c r="BQ7" s="132" t="s">
        <v>39</v>
      </c>
      <c r="BR7" s="24" t="s">
        <v>185</v>
      </c>
      <c r="BS7" s="25" t="s">
        <v>137</v>
      </c>
      <c r="BT7" s="131">
        <v>30</v>
      </c>
      <c r="BU7" s="132" t="s">
        <v>39</v>
      </c>
      <c r="BV7" s="24" t="s">
        <v>186</v>
      </c>
      <c r="BW7" s="25" t="s">
        <v>290</v>
      </c>
      <c r="BX7" s="131">
        <v>20</v>
      </c>
      <c r="BY7" s="132" t="s">
        <v>39</v>
      </c>
    </row>
    <row r="8" spans="1:603" s="46" customFormat="1" ht="101.35" x14ac:dyDescent="0.4">
      <c r="A8" s="39">
        <v>4</v>
      </c>
      <c r="B8" s="40" t="s">
        <v>134</v>
      </c>
      <c r="C8" s="41" t="s">
        <v>135</v>
      </c>
      <c r="D8" s="42">
        <v>40</v>
      </c>
      <c r="E8" s="43" t="s">
        <v>41</v>
      </c>
      <c r="F8" s="40" t="s">
        <v>136</v>
      </c>
      <c r="G8" s="41" t="s">
        <v>135</v>
      </c>
      <c r="H8" s="42">
        <v>40</v>
      </c>
      <c r="I8" s="43" t="s">
        <v>41</v>
      </c>
      <c r="J8" s="40" t="s">
        <v>134</v>
      </c>
      <c r="K8" s="41" t="s">
        <v>135</v>
      </c>
      <c r="L8" s="42">
        <v>40</v>
      </c>
      <c r="M8" s="43" t="s">
        <v>41</v>
      </c>
      <c r="N8" s="40" t="s">
        <v>134</v>
      </c>
      <c r="O8" s="41" t="s">
        <v>135</v>
      </c>
      <c r="P8" s="42">
        <v>40</v>
      </c>
      <c r="Q8" s="43" t="s">
        <v>41</v>
      </c>
      <c r="R8" s="40" t="s">
        <v>134</v>
      </c>
      <c r="S8" s="41" t="s">
        <v>135</v>
      </c>
      <c r="T8" s="42">
        <v>40</v>
      </c>
      <c r="U8" s="43" t="s">
        <v>41</v>
      </c>
      <c r="V8" s="44" t="s">
        <v>28</v>
      </c>
      <c r="W8" s="41" t="s">
        <v>137</v>
      </c>
      <c r="X8" s="42">
        <v>10</v>
      </c>
      <c r="Y8" s="43" t="s">
        <v>39</v>
      </c>
      <c r="Z8" s="40" t="s">
        <v>28</v>
      </c>
      <c r="AA8" s="41" t="s">
        <v>137</v>
      </c>
      <c r="AB8" s="42">
        <v>10</v>
      </c>
      <c r="AC8" s="43" t="s">
        <v>39</v>
      </c>
      <c r="AD8" s="40" t="s">
        <v>29</v>
      </c>
      <c r="AE8" s="41" t="s">
        <v>137</v>
      </c>
      <c r="AF8" s="42">
        <v>10</v>
      </c>
      <c r="AG8" s="43" t="s">
        <v>39</v>
      </c>
      <c r="AH8" s="40" t="s">
        <v>30</v>
      </c>
      <c r="AI8" s="41" t="s">
        <v>137</v>
      </c>
      <c r="AJ8" s="42">
        <v>10</v>
      </c>
      <c r="AK8" s="43" t="s">
        <v>39</v>
      </c>
      <c r="AL8" s="40" t="s">
        <v>30</v>
      </c>
      <c r="AM8" s="41" t="s">
        <v>137</v>
      </c>
      <c r="AN8" s="42">
        <v>10</v>
      </c>
      <c r="AO8" s="43" t="s">
        <v>39</v>
      </c>
      <c r="AP8" s="44" t="s">
        <v>30</v>
      </c>
      <c r="AQ8" s="41" t="s">
        <v>137</v>
      </c>
      <c r="AR8" s="42">
        <v>10</v>
      </c>
      <c r="AS8" s="43" t="s">
        <v>39</v>
      </c>
      <c r="AT8" s="40" t="s">
        <v>138</v>
      </c>
      <c r="AU8" s="41" t="s">
        <v>137</v>
      </c>
      <c r="AV8" s="42">
        <v>10</v>
      </c>
      <c r="AW8" s="43" t="s">
        <v>39</v>
      </c>
      <c r="AX8" s="40" t="s">
        <v>31</v>
      </c>
      <c r="AY8" s="41" t="s">
        <v>137</v>
      </c>
      <c r="AZ8" s="42">
        <v>10</v>
      </c>
      <c r="BA8" s="43" t="s">
        <v>40</v>
      </c>
      <c r="BB8" s="40" t="s">
        <v>139</v>
      </c>
      <c r="BC8" s="41" t="s">
        <v>242</v>
      </c>
      <c r="BD8" s="42">
        <v>20</v>
      </c>
      <c r="BE8" s="43" t="s">
        <v>39</v>
      </c>
      <c r="BF8" s="40" t="s">
        <v>27</v>
      </c>
      <c r="BG8" s="41" t="s">
        <v>242</v>
      </c>
      <c r="BH8" s="42">
        <v>5</v>
      </c>
      <c r="BI8" s="109" t="s">
        <v>39</v>
      </c>
      <c r="BJ8" s="110" t="s">
        <v>140</v>
      </c>
      <c r="BK8" s="41"/>
      <c r="BL8" s="42">
        <v>5</v>
      </c>
      <c r="BM8" s="111" t="s">
        <v>39</v>
      </c>
      <c r="BN8" s="40" t="s">
        <v>32</v>
      </c>
      <c r="BO8" s="41" t="s">
        <v>132</v>
      </c>
      <c r="BP8" s="42">
        <v>20</v>
      </c>
      <c r="BQ8" s="43" t="s">
        <v>39</v>
      </c>
      <c r="BR8" s="44" t="s">
        <v>187</v>
      </c>
      <c r="BS8" s="41" t="s">
        <v>242</v>
      </c>
      <c r="BT8" s="42">
        <v>30</v>
      </c>
      <c r="BU8" s="43" t="s">
        <v>39</v>
      </c>
      <c r="BV8" s="40" t="s">
        <v>188</v>
      </c>
      <c r="BW8" s="41" t="s">
        <v>137</v>
      </c>
      <c r="BX8" s="42">
        <v>20</v>
      </c>
      <c r="BY8" s="43" t="s">
        <v>39</v>
      </c>
    </row>
    <row r="9" spans="1:603" s="23" customFormat="1" ht="114.7" x14ac:dyDescent="0.4">
      <c r="A9" s="130">
        <v>5</v>
      </c>
      <c r="B9" s="137" t="s">
        <v>141</v>
      </c>
      <c r="C9" s="138" t="s">
        <v>142</v>
      </c>
      <c r="D9" s="139">
        <v>20</v>
      </c>
      <c r="E9" s="140" t="s">
        <v>40</v>
      </c>
      <c r="F9" s="137" t="s">
        <v>143</v>
      </c>
      <c r="G9" s="138" t="s">
        <v>142</v>
      </c>
      <c r="H9" s="139">
        <v>20</v>
      </c>
      <c r="I9" s="140" t="s">
        <v>40</v>
      </c>
      <c r="J9" s="137" t="s">
        <v>141</v>
      </c>
      <c r="K9" s="138" t="s">
        <v>142</v>
      </c>
      <c r="L9" s="139">
        <v>20</v>
      </c>
      <c r="M9" s="140" t="s">
        <v>40</v>
      </c>
      <c r="N9" s="137" t="s">
        <v>141</v>
      </c>
      <c r="O9" s="138" t="s">
        <v>142</v>
      </c>
      <c r="P9" s="139">
        <v>20</v>
      </c>
      <c r="Q9" s="140" t="s">
        <v>40</v>
      </c>
      <c r="R9" s="137" t="s">
        <v>141</v>
      </c>
      <c r="S9" s="138" t="s">
        <v>142</v>
      </c>
      <c r="T9" s="139">
        <v>20</v>
      </c>
      <c r="U9" s="140" t="s">
        <v>40</v>
      </c>
      <c r="V9" s="10" t="s">
        <v>33</v>
      </c>
      <c r="W9" s="25" t="s">
        <v>232</v>
      </c>
      <c r="X9" s="131">
        <v>10</v>
      </c>
      <c r="Y9" s="132" t="s">
        <v>39</v>
      </c>
      <c r="Z9" s="24" t="s">
        <v>33</v>
      </c>
      <c r="AA9" s="25" t="s">
        <v>232</v>
      </c>
      <c r="AB9" s="131">
        <v>10</v>
      </c>
      <c r="AC9" s="132" t="s">
        <v>39</v>
      </c>
      <c r="AD9" s="24" t="s">
        <v>33</v>
      </c>
      <c r="AE9" s="25" t="s">
        <v>233</v>
      </c>
      <c r="AF9" s="131">
        <v>10</v>
      </c>
      <c r="AG9" s="132" t="s">
        <v>39</v>
      </c>
      <c r="AH9" s="24" t="s">
        <v>144</v>
      </c>
      <c r="AI9" s="25" t="s">
        <v>234</v>
      </c>
      <c r="AJ9" s="131">
        <v>10</v>
      </c>
      <c r="AK9" s="132" t="s">
        <v>39</v>
      </c>
      <c r="AL9" s="24" t="s">
        <v>144</v>
      </c>
      <c r="AM9" s="25" t="s">
        <v>234</v>
      </c>
      <c r="AN9" s="131">
        <v>10</v>
      </c>
      <c r="AO9" s="132" t="s">
        <v>39</v>
      </c>
      <c r="AP9" s="10" t="s">
        <v>144</v>
      </c>
      <c r="AQ9" s="25" t="s">
        <v>145</v>
      </c>
      <c r="AR9" s="131">
        <v>10</v>
      </c>
      <c r="AS9" s="132" t="s">
        <v>39</v>
      </c>
      <c r="AT9" s="24" t="s">
        <v>146</v>
      </c>
      <c r="AU9" s="141" t="s">
        <v>147</v>
      </c>
      <c r="AV9" s="131">
        <v>10</v>
      </c>
      <c r="AW9" s="132" t="s">
        <v>39</v>
      </c>
      <c r="AX9" s="24" t="s">
        <v>148</v>
      </c>
      <c r="AY9" s="141" t="s">
        <v>147</v>
      </c>
      <c r="AZ9" s="131">
        <v>10</v>
      </c>
      <c r="BA9" s="132" t="s">
        <v>39</v>
      </c>
      <c r="BB9" s="24" t="s">
        <v>149</v>
      </c>
      <c r="BC9" s="133" t="s">
        <v>242</v>
      </c>
      <c r="BD9" s="131">
        <v>20</v>
      </c>
      <c r="BE9" s="132" t="s">
        <v>39</v>
      </c>
      <c r="BF9" s="24" t="s">
        <v>150</v>
      </c>
      <c r="BG9" s="25" t="s">
        <v>151</v>
      </c>
      <c r="BH9" s="131">
        <v>5</v>
      </c>
      <c r="BI9" s="134" t="s">
        <v>40</v>
      </c>
      <c r="BJ9" s="135" t="s">
        <v>150</v>
      </c>
      <c r="BK9" s="25" t="s">
        <v>151</v>
      </c>
      <c r="BL9" s="131">
        <v>5</v>
      </c>
      <c r="BM9" s="136" t="s">
        <v>40</v>
      </c>
      <c r="BN9" s="137" t="s">
        <v>152</v>
      </c>
      <c r="BO9" s="138" t="s">
        <v>242</v>
      </c>
      <c r="BP9" s="139">
        <v>20</v>
      </c>
      <c r="BQ9" s="140" t="s">
        <v>39</v>
      </c>
      <c r="BR9" s="10" t="s">
        <v>242</v>
      </c>
      <c r="BS9" s="138" t="s">
        <v>242</v>
      </c>
      <c r="BT9" s="139"/>
      <c r="BU9" s="150" t="s">
        <v>243</v>
      </c>
      <c r="BV9" s="10" t="s">
        <v>235</v>
      </c>
      <c r="BW9" s="138" t="s">
        <v>242</v>
      </c>
      <c r="BX9" s="131">
        <v>30</v>
      </c>
      <c r="BY9" s="132" t="s">
        <v>39</v>
      </c>
    </row>
    <row r="10" spans="1:603" s="46" customFormat="1" ht="101.35" x14ac:dyDescent="0.4">
      <c r="A10" s="39">
        <v>6</v>
      </c>
      <c r="B10" s="47" t="s">
        <v>236</v>
      </c>
      <c r="C10" s="48" t="s">
        <v>242</v>
      </c>
      <c r="D10" s="49">
        <v>20</v>
      </c>
      <c r="E10" s="50" t="s">
        <v>40</v>
      </c>
      <c r="F10" s="47" t="s">
        <v>297</v>
      </c>
      <c r="G10" s="48" t="s">
        <v>242</v>
      </c>
      <c r="H10" s="49">
        <v>20</v>
      </c>
      <c r="I10" s="50" t="s">
        <v>40</v>
      </c>
      <c r="J10" s="47" t="s">
        <v>236</v>
      </c>
      <c r="K10" s="48" t="s">
        <v>242</v>
      </c>
      <c r="L10" s="49">
        <v>20</v>
      </c>
      <c r="M10" s="50" t="s">
        <v>40</v>
      </c>
      <c r="N10" s="47" t="s">
        <v>236</v>
      </c>
      <c r="O10" s="48" t="s">
        <v>242</v>
      </c>
      <c r="P10" s="49">
        <v>20</v>
      </c>
      <c r="Q10" s="50" t="s">
        <v>40</v>
      </c>
      <c r="R10" s="47" t="s">
        <v>236</v>
      </c>
      <c r="S10" s="48" t="s">
        <v>242</v>
      </c>
      <c r="T10" s="49">
        <v>20</v>
      </c>
      <c r="U10" s="50" t="s">
        <v>40</v>
      </c>
      <c r="V10" s="44" t="s">
        <v>153</v>
      </c>
      <c r="W10" s="45" t="s">
        <v>242</v>
      </c>
      <c r="X10" s="42">
        <v>10</v>
      </c>
      <c r="Y10" s="43" t="s">
        <v>39</v>
      </c>
      <c r="Z10" s="40" t="s">
        <v>154</v>
      </c>
      <c r="AA10" s="41" t="s">
        <v>242</v>
      </c>
      <c r="AB10" s="42">
        <v>10</v>
      </c>
      <c r="AC10" s="43" t="s">
        <v>39</v>
      </c>
      <c r="AD10" s="40" t="s">
        <v>237</v>
      </c>
      <c r="AE10" s="41" t="s">
        <v>242</v>
      </c>
      <c r="AF10" s="42">
        <v>10</v>
      </c>
      <c r="AG10" s="43" t="s">
        <v>39</v>
      </c>
      <c r="AH10" s="40" t="s">
        <v>237</v>
      </c>
      <c r="AI10" s="41"/>
      <c r="AJ10" s="42">
        <v>10</v>
      </c>
      <c r="AK10" s="43" t="s">
        <v>39</v>
      </c>
      <c r="AL10" s="40" t="s">
        <v>237</v>
      </c>
      <c r="AM10" s="41"/>
      <c r="AN10" s="42">
        <v>10</v>
      </c>
      <c r="AO10" s="43" t="s">
        <v>39</v>
      </c>
      <c r="AP10" s="44" t="s">
        <v>237</v>
      </c>
      <c r="AQ10" s="45" t="s">
        <v>242</v>
      </c>
      <c r="AR10" s="42">
        <v>10</v>
      </c>
      <c r="AS10" s="43" t="s">
        <v>39</v>
      </c>
      <c r="AT10" s="40" t="s">
        <v>238</v>
      </c>
      <c r="AU10" s="41" t="s">
        <v>242</v>
      </c>
      <c r="AV10" s="42">
        <v>10</v>
      </c>
      <c r="AW10" s="43" t="s">
        <v>39</v>
      </c>
      <c r="AX10" s="40" t="s">
        <v>155</v>
      </c>
      <c r="AY10" s="41" t="s">
        <v>242</v>
      </c>
      <c r="AZ10" s="42">
        <v>20</v>
      </c>
      <c r="BA10" s="43" t="s">
        <v>40</v>
      </c>
      <c r="BB10" s="40" t="s">
        <v>156</v>
      </c>
      <c r="BC10" s="41" t="s">
        <v>242</v>
      </c>
      <c r="BD10" s="42">
        <v>5</v>
      </c>
      <c r="BE10" s="43" t="s">
        <v>40</v>
      </c>
      <c r="BF10" s="40" t="s">
        <v>34</v>
      </c>
      <c r="BG10" s="41" t="s">
        <v>151</v>
      </c>
      <c r="BH10" s="42">
        <v>5</v>
      </c>
      <c r="BI10" s="109" t="s">
        <v>40</v>
      </c>
      <c r="BJ10" s="110" t="s">
        <v>242</v>
      </c>
      <c r="BK10" s="41" t="s">
        <v>306</v>
      </c>
      <c r="BL10" s="42">
        <v>0</v>
      </c>
      <c r="BM10" s="111" t="s">
        <v>39</v>
      </c>
      <c r="BN10" s="40" t="s">
        <v>242</v>
      </c>
      <c r="BO10" s="41" t="s">
        <v>242</v>
      </c>
      <c r="BP10" s="42"/>
      <c r="BQ10" s="151" t="s">
        <v>243</v>
      </c>
      <c r="BR10" s="44" t="s">
        <v>242</v>
      </c>
      <c r="BS10" s="41" t="s">
        <v>242</v>
      </c>
      <c r="BT10" s="42"/>
      <c r="BU10" s="43" t="s">
        <v>243</v>
      </c>
      <c r="BV10" s="44" t="s">
        <v>242</v>
      </c>
      <c r="BW10" s="41" t="s">
        <v>242</v>
      </c>
      <c r="BX10" s="42"/>
      <c r="BY10" s="151" t="s">
        <v>243</v>
      </c>
    </row>
    <row r="11" spans="1:603" s="23" customFormat="1" ht="140.35" x14ac:dyDescent="0.4">
      <c r="A11" s="130">
        <v>7</v>
      </c>
      <c r="B11" s="137" t="s">
        <v>240</v>
      </c>
      <c r="C11" s="138" t="s">
        <v>242</v>
      </c>
      <c r="D11" s="139">
        <v>20</v>
      </c>
      <c r="E11" s="140" t="s">
        <v>40</v>
      </c>
      <c r="F11" s="137" t="s">
        <v>298</v>
      </c>
      <c r="G11" s="138" t="s">
        <v>242</v>
      </c>
      <c r="H11" s="139">
        <v>20</v>
      </c>
      <c r="I11" s="140" t="s">
        <v>40</v>
      </c>
      <c r="J11" s="137" t="s">
        <v>240</v>
      </c>
      <c r="K11" s="138" t="s">
        <v>242</v>
      </c>
      <c r="L11" s="139">
        <v>20</v>
      </c>
      <c r="M11" s="140" t="s">
        <v>40</v>
      </c>
      <c r="N11" s="137" t="s">
        <v>240</v>
      </c>
      <c r="O11" s="138" t="s">
        <v>242</v>
      </c>
      <c r="P11" s="139">
        <v>20</v>
      </c>
      <c r="Q11" s="140" t="s">
        <v>40</v>
      </c>
      <c r="R11" s="137" t="s">
        <v>240</v>
      </c>
      <c r="S11" s="138" t="s">
        <v>242</v>
      </c>
      <c r="T11" s="139">
        <v>20</v>
      </c>
      <c r="U11" s="140" t="s">
        <v>40</v>
      </c>
      <c r="V11" s="10" t="s">
        <v>158</v>
      </c>
      <c r="W11" s="25" t="s">
        <v>242</v>
      </c>
      <c r="X11" s="131">
        <v>10</v>
      </c>
      <c r="Y11" s="132" t="s">
        <v>40</v>
      </c>
      <c r="Z11" s="10" t="s">
        <v>158</v>
      </c>
      <c r="AA11" s="25" t="s">
        <v>242</v>
      </c>
      <c r="AB11" s="131">
        <v>10</v>
      </c>
      <c r="AC11" s="132" t="s">
        <v>40</v>
      </c>
      <c r="AD11" s="10" t="s">
        <v>158</v>
      </c>
      <c r="AE11" s="25" t="s">
        <v>242</v>
      </c>
      <c r="AF11" s="131">
        <v>10</v>
      </c>
      <c r="AG11" s="132" t="s">
        <v>40</v>
      </c>
      <c r="AH11" s="10" t="s">
        <v>158</v>
      </c>
      <c r="AI11" s="25" t="s">
        <v>242</v>
      </c>
      <c r="AJ11" s="131">
        <v>10</v>
      </c>
      <c r="AK11" s="132" t="s">
        <v>40</v>
      </c>
      <c r="AL11" s="10" t="s">
        <v>158</v>
      </c>
      <c r="AM11" s="25" t="s">
        <v>242</v>
      </c>
      <c r="AN11" s="131">
        <v>10</v>
      </c>
      <c r="AO11" s="132" t="s">
        <v>40</v>
      </c>
      <c r="AP11" s="10" t="s">
        <v>158</v>
      </c>
      <c r="AQ11" s="25" t="s">
        <v>242</v>
      </c>
      <c r="AR11" s="131">
        <v>10</v>
      </c>
      <c r="AS11" s="132" t="s">
        <v>40</v>
      </c>
      <c r="AT11" s="24" t="s">
        <v>299</v>
      </c>
      <c r="AU11" s="133" t="s">
        <v>242</v>
      </c>
      <c r="AV11" s="131">
        <v>15</v>
      </c>
      <c r="AW11" s="132" t="s">
        <v>40</v>
      </c>
      <c r="AX11" s="10" t="s">
        <v>159</v>
      </c>
      <c r="AY11" s="25" t="s">
        <v>242</v>
      </c>
      <c r="AZ11" s="131">
        <v>20</v>
      </c>
      <c r="BA11" s="132" t="s">
        <v>40</v>
      </c>
      <c r="BB11" s="24" t="s">
        <v>160</v>
      </c>
      <c r="BC11" s="25" t="s">
        <v>242</v>
      </c>
      <c r="BD11" s="131">
        <v>5</v>
      </c>
      <c r="BE11" s="132" t="s">
        <v>40</v>
      </c>
      <c r="BF11" s="24" t="s">
        <v>157</v>
      </c>
      <c r="BG11" s="25" t="s">
        <v>239</v>
      </c>
      <c r="BH11" s="131">
        <v>10</v>
      </c>
      <c r="BI11" s="134" t="s">
        <v>39</v>
      </c>
      <c r="BJ11" s="170" t="s">
        <v>307</v>
      </c>
      <c r="BK11" s="171" t="s">
        <v>239</v>
      </c>
      <c r="BL11" s="172">
        <v>10</v>
      </c>
      <c r="BM11" s="173" t="s">
        <v>40</v>
      </c>
      <c r="BN11" s="24" t="s">
        <v>242</v>
      </c>
      <c r="BO11" s="25" t="s">
        <v>242</v>
      </c>
      <c r="BP11" s="131"/>
      <c r="BQ11" s="15" t="s">
        <v>243</v>
      </c>
      <c r="BR11" s="10" t="s">
        <v>242</v>
      </c>
      <c r="BS11" s="25" t="s">
        <v>242</v>
      </c>
      <c r="BT11" s="131"/>
      <c r="BU11" s="152" t="s">
        <v>243</v>
      </c>
      <c r="BV11" s="10" t="s">
        <v>242</v>
      </c>
      <c r="BW11" s="25" t="s">
        <v>242</v>
      </c>
      <c r="BX11" s="131"/>
      <c r="BY11" s="132" t="s">
        <v>243</v>
      </c>
    </row>
    <row r="12" spans="1:603" s="46" customFormat="1" ht="178.35" x14ac:dyDescent="0.4">
      <c r="A12" s="39">
        <v>8</v>
      </c>
      <c r="B12" s="51" t="s">
        <v>161</v>
      </c>
      <c r="C12" s="46" t="s">
        <v>162</v>
      </c>
      <c r="D12" s="42">
        <v>10</v>
      </c>
      <c r="E12" s="43" t="s">
        <v>40</v>
      </c>
      <c r="F12" s="40" t="s">
        <v>161</v>
      </c>
      <c r="G12" s="41" t="s">
        <v>162</v>
      </c>
      <c r="H12" s="42">
        <v>10</v>
      </c>
      <c r="I12" s="43" t="s">
        <v>40</v>
      </c>
      <c r="J12" s="51" t="s">
        <v>161</v>
      </c>
      <c r="K12" s="46" t="s">
        <v>162</v>
      </c>
      <c r="L12" s="42">
        <v>10</v>
      </c>
      <c r="M12" s="43" t="s">
        <v>40</v>
      </c>
      <c r="N12" s="51" t="s">
        <v>161</v>
      </c>
      <c r="O12" s="46" t="s">
        <v>162</v>
      </c>
      <c r="P12" s="42">
        <v>10</v>
      </c>
      <c r="Q12" s="43" t="s">
        <v>40</v>
      </c>
      <c r="R12" s="51" t="s">
        <v>161</v>
      </c>
      <c r="S12" s="46" t="s">
        <v>162</v>
      </c>
      <c r="T12" s="42">
        <v>10</v>
      </c>
      <c r="U12" s="43" t="s">
        <v>40</v>
      </c>
      <c r="V12" s="44" t="s">
        <v>163</v>
      </c>
      <c r="W12" s="41" t="s">
        <v>291</v>
      </c>
      <c r="X12" s="42">
        <v>10</v>
      </c>
      <c r="Y12" s="43" t="s">
        <v>40</v>
      </c>
      <c r="Z12" s="44" t="s">
        <v>163</v>
      </c>
      <c r="AA12" s="41" t="s">
        <v>291</v>
      </c>
      <c r="AB12" s="42">
        <v>10</v>
      </c>
      <c r="AC12" s="43" t="s">
        <v>40</v>
      </c>
      <c r="AD12" s="44" t="s">
        <v>163</v>
      </c>
      <c r="AE12" s="41" t="s">
        <v>291</v>
      </c>
      <c r="AF12" s="42">
        <v>10</v>
      </c>
      <c r="AG12" s="43" t="s">
        <v>40</v>
      </c>
      <c r="AH12" s="44" t="s">
        <v>163</v>
      </c>
      <c r="AI12" s="41" t="s">
        <v>291</v>
      </c>
      <c r="AJ12" s="42">
        <v>10</v>
      </c>
      <c r="AK12" s="43" t="s">
        <v>40</v>
      </c>
      <c r="AL12" s="44" t="s">
        <v>163</v>
      </c>
      <c r="AM12" s="41" t="s">
        <v>291</v>
      </c>
      <c r="AN12" s="42">
        <v>10</v>
      </c>
      <c r="AO12" s="43" t="s">
        <v>40</v>
      </c>
      <c r="AP12" s="44" t="s">
        <v>163</v>
      </c>
      <c r="AQ12" s="41" t="s">
        <v>291</v>
      </c>
      <c r="AR12" s="42">
        <v>10</v>
      </c>
      <c r="AS12" s="43" t="s">
        <v>40</v>
      </c>
      <c r="AT12" s="40" t="s">
        <v>300</v>
      </c>
      <c r="AU12" s="41" t="s">
        <v>301</v>
      </c>
      <c r="AV12" s="42">
        <v>15</v>
      </c>
      <c r="AW12" s="43" t="s">
        <v>40</v>
      </c>
      <c r="AX12" s="47" t="s">
        <v>164</v>
      </c>
      <c r="AY12" s="48" t="s">
        <v>165</v>
      </c>
      <c r="AZ12" s="49">
        <v>20</v>
      </c>
      <c r="BA12" s="50" t="s">
        <v>40</v>
      </c>
      <c r="BB12" s="40" t="s">
        <v>242</v>
      </c>
      <c r="BC12" s="41" t="s">
        <v>242</v>
      </c>
      <c r="BD12" s="42"/>
      <c r="BE12" s="43" t="s">
        <v>243</v>
      </c>
      <c r="BF12" s="40" t="s">
        <v>35</v>
      </c>
      <c r="BG12" s="41" t="s">
        <v>242</v>
      </c>
      <c r="BH12" s="42">
        <v>5</v>
      </c>
      <c r="BI12" s="109" t="s">
        <v>40</v>
      </c>
      <c r="BJ12" s="110" t="s">
        <v>35</v>
      </c>
      <c r="BK12" s="41" t="s">
        <v>242</v>
      </c>
      <c r="BL12" s="42">
        <v>5</v>
      </c>
      <c r="BM12" s="111" t="s">
        <v>40</v>
      </c>
      <c r="BN12" s="40" t="s">
        <v>242</v>
      </c>
      <c r="BO12" s="41" t="s">
        <v>242</v>
      </c>
      <c r="BP12" s="42"/>
      <c r="BQ12" s="153" t="s">
        <v>243</v>
      </c>
      <c r="BR12" s="44" t="s">
        <v>242</v>
      </c>
      <c r="BS12" s="41" t="s">
        <v>242</v>
      </c>
      <c r="BT12" s="42"/>
      <c r="BU12" s="151" t="s">
        <v>243</v>
      </c>
      <c r="BV12" s="44" t="s">
        <v>242</v>
      </c>
      <c r="BW12" s="41" t="s">
        <v>242</v>
      </c>
      <c r="BX12" s="42"/>
      <c r="BY12" s="154" t="s">
        <v>243</v>
      </c>
    </row>
    <row r="13" spans="1:603" s="23" customFormat="1" ht="93.35" x14ac:dyDescent="0.4">
      <c r="A13" s="142">
        <v>9</v>
      </c>
      <c r="B13" s="12" t="s">
        <v>36</v>
      </c>
      <c r="C13" s="13" t="s">
        <v>242</v>
      </c>
      <c r="D13" s="14">
        <v>20</v>
      </c>
      <c r="E13" s="15" t="s">
        <v>38</v>
      </c>
      <c r="F13" s="12" t="s">
        <v>36</v>
      </c>
      <c r="G13" s="13" t="s">
        <v>242</v>
      </c>
      <c r="H13" s="14">
        <v>20</v>
      </c>
      <c r="I13" s="15" t="s">
        <v>38</v>
      </c>
      <c r="J13" s="12" t="s">
        <v>36</v>
      </c>
      <c r="K13" s="13" t="s">
        <v>242</v>
      </c>
      <c r="L13" s="14">
        <v>20</v>
      </c>
      <c r="M13" s="15" t="s">
        <v>38</v>
      </c>
      <c r="N13" s="12" t="s">
        <v>36</v>
      </c>
      <c r="O13" s="13" t="s">
        <v>242</v>
      </c>
      <c r="P13" s="14">
        <v>20</v>
      </c>
      <c r="Q13" s="15" t="s">
        <v>38</v>
      </c>
      <c r="R13" s="12" t="s">
        <v>302</v>
      </c>
      <c r="S13" s="13" t="s">
        <v>242</v>
      </c>
      <c r="T13" s="14">
        <v>20</v>
      </c>
      <c r="U13" s="15" t="s">
        <v>38</v>
      </c>
      <c r="V13" s="143" t="s">
        <v>167</v>
      </c>
      <c r="W13" s="13" t="s">
        <v>168</v>
      </c>
      <c r="X13" s="14">
        <v>10</v>
      </c>
      <c r="Y13" s="15" t="s">
        <v>40</v>
      </c>
      <c r="Z13" s="143" t="s">
        <v>167</v>
      </c>
      <c r="AA13" s="13" t="s">
        <v>168</v>
      </c>
      <c r="AB13" s="14">
        <v>10</v>
      </c>
      <c r="AC13" s="15" t="s">
        <v>40</v>
      </c>
      <c r="AD13" s="143" t="s">
        <v>167</v>
      </c>
      <c r="AE13" s="13" t="s">
        <v>168</v>
      </c>
      <c r="AF13" s="14">
        <v>10</v>
      </c>
      <c r="AG13" s="15" t="s">
        <v>40</v>
      </c>
      <c r="AH13" s="143" t="s">
        <v>167</v>
      </c>
      <c r="AI13" s="13" t="s">
        <v>168</v>
      </c>
      <c r="AJ13" s="14">
        <v>10</v>
      </c>
      <c r="AK13" s="15" t="s">
        <v>40</v>
      </c>
      <c r="AL13" s="143" t="s">
        <v>167</v>
      </c>
      <c r="AM13" s="13" t="s">
        <v>168</v>
      </c>
      <c r="AN13" s="14">
        <v>10</v>
      </c>
      <c r="AO13" s="15" t="s">
        <v>40</v>
      </c>
      <c r="AP13" s="143" t="s">
        <v>167</v>
      </c>
      <c r="AQ13" s="13" t="s">
        <v>168</v>
      </c>
      <c r="AR13" s="14">
        <v>10</v>
      </c>
      <c r="AS13" s="15" t="s">
        <v>40</v>
      </c>
      <c r="AT13" s="12" t="s">
        <v>242</v>
      </c>
      <c r="AU13" s="13" t="s">
        <v>306</v>
      </c>
      <c r="AV13" s="14">
        <v>0</v>
      </c>
      <c r="AW13" s="15" t="s">
        <v>38</v>
      </c>
      <c r="AX13" s="144" t="s">
        <v>170</v>
      </c>
      <c r="AY13" s="145" t="s">
        <v>242</v>
      </c>
      <c r="AZ13" s="146">
        <v>20</v>
      </c>
      <c r="BA13" s="147" t="s">
        <v>40</v>
      </c>
      <c r="BB13" s="24" t="s">
        <v>242</v>
      </c>
      <c r="BC13" s="13" t="s">
        <v>242</v>
      </c>
      <c r="BD13" s="14"/>
      <c r="BE13" s="15" t="s">
        <v>243</v>
      </c>
      <c r="BF13" s="12" t="s">
        <v>166</v>
      </c>
      <c r="BG13" s="148" t="s">
        <v>242</v>
      </c>
      <c r="BH13" s="14">
        <v>15</v>
      </c>
      <c r="BI13" s="149" t="s">
        <v>40</v>
      </c>
      <c r="BJ13" s="174" t="s">
        <v>166</v>
      </c>
      <c r="BK13" s="175" t="s">
        <v>242</v>
      </c>
      <c r="BL13" s="176">
        <v>15</v>
      </c>
      <c r="BM13" s="177" t="s">
        <v>40</v>
      </c>
      <c r="BN13" s="12" t="s">
        <v>242</v>
      </c>
      <c r="BO13" s="13" t="s">
        <v>242</v>
      </c>
      <c r="BP13" s="14"/>
      <c r="BQ13" s="152" t="s">
        <v>243</v>
      </c>
      <c r="BR13" s="143" t="s">
        <v>242</v>
      </c>
      <c r="BS13" s="13" t="s">
        <v>242</v>
      </c>
      <c r="BT13" s="14"/>
      <c r="BU13" s="132" t="s">
        <v>243</v>
      </c>
      <c r="BV13" s="143" t="s">
        <v>242</v>
      </c>
      <c r="BW13" s="13" t="s">
        <v>242</v>
      </c>
      <c r="BX13" s="14"/>
      <c r="BY13" s="132" t="s">
        <v>243</v>
      </c>
    </row>
    <row r="14" spans="1:603" s="46" customFormat="1" ht="38.35" thickBot="1" x14ac:dyDescent="0.45">
      <c r="A14" s="52">
        <v>10</v>
      </c>
      <c r="B14" s="53" t="s">
        <v>242</v>
      </c>
      <c r="C14" s="54" t="s">
        <v>242</v>
      </c>
      <c r="D14" s="55"/>
      <c r="E14" s="56" t="s">
        <v>243</v>
      </c>
      <c r="F14" s="53" t="s">
        <v>242</v>
      </c>
      <c r="G14" s="54" t="s">
        <v>242</v>
      </c>
      <c r="H14" s="55"/>
      <c r="I14" s="56" t="s">
        <v>243</v>
      </c>
      <c r="J14" s="53" t="s">
        <v>242</v>
      </c>
      <c r="K14" s="54" t="s">
        <v>242</v>
      </c>
      <c r="L14" s="55"/>
      <c r="M14" s="56" t="s">
        <v>243</v>
      </c>
      <c r="N14" s="53" t="s">
        <v>242</v>
      </c>
      <c r="O14" s="54" t="s">
        <v>242</v>
      </c>
      <c r="P14" s="55"/>
      <c r="Q14" s="56" t="s">
        <v>243</v>
      </c>
      <c r="R14" s="53" t="s">
        <v>242</v>
      </c>
      <c r="S14" s="54" t="s">
        <v>242</v>
      </c>
      <c r="T14" s="55"/>
      <c r="U14" s="56" t="s">
        <v>243</v>
      </c>
      <c r="V14" s="57" t="s">
        <v>169</v>
      </c>
      <c r="W14" s="54" t="s">
        <v>242</v>
      </c>
      <c r="X14" s="55">
        <v>10</v>
      </c>
      <c r="Y14" s="56" t="s">
        <v>38</v>
      </c>
      <c r="Z14" s="57" t="s">
        <v>169</v>
      </c>
      <c r="AA14" s="54" t="s">
        <v>242</v>
      </c>
      <c r="AB14" s="55">
        <v>10</v>
      </c>
      <c r="AC14" s="56" t="s">
        <v>38</v>
      </c>
      <c r="AD14" s="57" t="s">
        <v>169</v>
      </c>
      <c r="AE14" s="54" t="s">
        <v>242</v>
      </c>
      <c r="AF14" s="55">
        <v>10</v>
      </c>
      <c r="AG14" s="56" t="s">
        <v>38</v>
      </c>
      <c r="AH14" s="57" t="s">
        <v>169</v>
      </c>
      <c r="AI14" s="54" t="s">
        <v>242</v>
      </c>
      <c r="AJ14" s="55">
        <v>10</v>
      </c>
      <c r="AK14" s="56" t="s">
        <v>38</v>
      </c>
      <c r="AL14" s="57" t="s">
        <v>169</v>
      </c>
      <c r="AM14" s="54" t="s">
        <v>242</v>
      </c>
      <c r="AN14" s="55">
        <v>10</v>
      </c>
      <c r="AO14" s="56" t="s">
        <v>38</v>
      </c>
      <c r="AP14" s="57" t="s">
        <v>169</v>
      </c>
      <c r="AQ14" s="54" t="s">
        <v>242</v>
      </c>
      <c r="AR14" s="55">
        <v>10</v>
      </c>
      <c r="AS14" s="56" t="s">
        <v>38</v>
      </c>
      <c r="AT14" s="53" t="s">
        <v>303</v>
      </c>
      <c r="AU14" s="54" t="s">
        <v>242</v>
      </c>
      <c r="AV14" s="55">
        <v>10</v>
      </c>
      <c r="AW14" s="56" t="s">
        <v>243</v>
      </c>
      <c r="AX14" s="53" t="s">
        <v>171</v>
      </c>
      <c r="AY14" s="54" t="s">
        <v>242</v>
      </c>
      <c r="AZ14" s="55">
        <v>10</v>
      </c>
      <c r="BA14" s="56" t="s">
        <v>38</v>
      </c>
      <c r="BB14" s="53" t="s">
        <v>242</v>
      </c>
      <c r="BC14" s="54" t="s">
        <v>242</v>
      </c>
      <c r="BD14" s="55"/>
      <c r="BE14" s="56" t="s">
        <v>243</v>
      </c>
      <c r="BF14" s="53" t="s">
        <v>37</v>
      </c>
      <c r="BG14" s="54" t="s">
        <v>242</v>
      </c>
      <c r="BH14" s="55">
        <v>25</v>
      </c>
      <c r="BI14" s="112" t="s">
        <v>40</v>
      </c>
      <c r="BJ14" s="155" t="s">
        <v>37</v>
      </c>
      <c r="BK14" s="54" t="s">
        <v>242</v>
      </c>
      <c r="BL14" s="55">
        <v>30</v>
      </c>
      <c r="BM14" s="156" t="s">
        <v>243</v>
      </c>
      <c r="BN14" s="53" t="s">
        <v>242</v>
      </c>
      <c r="BO14" s="54" t="s">
        <v>242</v>
      </c>
      <c r="BP14" s="55"/>
      <c r="BQ14" s="56" t="s">
        <v>243</v>
      </c>
      <c r="BR14" s="57" t="s">
        <v>242</v>
      </c>
      <c r="BS14" s="54" t="s">
        <v>242</v>
      </c>
      <c r="BT14" s="55"/>
      <c r="BU14" s="157" t="s">
        <v>243</v>
      </c>
      <c r="BV14" s="57" t="s">
        <v>242</v>
      </c>
      <c r="BW14" s="54" t="s">
        <v>242</v>
      </c>
      <c r="BX14" s="55"/>
      <c r="BY14" s="157" t="s">
        <v>243</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140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LQMtKq4u3SZ3dWG40l6cNSz8DcSFM64Y4sgz55qgAQx0IZGc1ZqZCrvkq9Rz59W7Nwq/SA5eBCtyJ7SJGvzE0A==" saltValue="cLd5StC2DkxbwF8AwNEjAQ==" spinCount="100000" sheet="1" objects="1" scenarios="1" formatRow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J58"/>
  <sheetViews>
    <sheetView showGridLines="0" topLeftCell="A16" zoomScale="130" zoomScaleNormal="130" workbookViewId="0">
      <selection activeCell="A17" sqref="A17"/>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42</v>
      </c>
      <c r="B3" s="58" t="s">
        <v>43</v>
      </c>
      <c r="C3" s="58" t="s">
        <v>80</v>
      </c>
      <c r="D3" s="59" t="s">
        <v>44</v>
      </c>
      <c r="E3" s="58" t="s">
        <v>1</v>
      </c>
      <c r="F3" s="58" t="s">
        <v>1</v>
      </c>
      <c r="G3" s="59" t="s">
        <v>44</v>
      </c>
      <c r="H3" s="59" t="s">
        <v>44</v>
      </c>
      <c r="I3" s="245" t="s">
        <v>246</v>
      </c>
      <c r="J3" s="246"/>
    </row>
    <row r="4" spans="1:10" x14ac:dyDescent="0.4">
      <c r="A4" t="s">
        <v>14</v>
      </c>
      <c r="B4" t="s">
        <v>20</v>
      </c>
      <c r="C4" t="s">
        <v>85</v>
      </c>
      <c r="D4" s="4" t="s">
        <v>47</v>
      </c>
      <c r="E4" s="1" t="s">
        <v>48</v>
      </c>
      <c r="F4" s="3" t="s">
        <v>49</v>
      </c>
      <c r="G4" s="1" t="s">
        <v>9</v>
      </c>
      <c r="H4" t="s">
        <v>50</v>
      </c>
      <c r="I4" s="113" t="s">
        <v>48</v>
      </c>
      <c r="J4" s="114" t="s">
        <v>247</v>
      </c>
    </row>
    <row r="5" spans="1:10" x14ac:dyDescent="0.4">
      <c r="A5" t="s">
        <v>114</v>
      </c>
      <c r="B5" t="s">
        <v>21</v>
      </c>
      <c r="C5" t="s">
        <v>86</v>
      </c>
      <c r="D5" s="2" t="s">
        <v>12</v>
      </c>
      <c r="E5" s="1" t="s">
        <v>45</v>
      </c>
      <c r="F5" s="3" t="s">
        <v>51</v>
      </c>
      <c r="G5" s="1" t="s">
        <v>52</v>
      </c>
      <c r="H5" t="s">
        <v>53</v>
      </c>
      <c r="I5" s="113" t="s">
        <v>45</v>
      </c>
      <c r="J5" s="114" t="s">
        <v>248</v>
      </c>
    </row>
    <row r="6" spans="1:10" x14ac:dyDescent="0.4">
      <c r="A6" t="s">
        <v>115</v>
      </c>
      <c r="B6" t="s">
        <v>22</v>
      </c>
      <c r="C6" t="s">
        <v>87</v>
      </c>
      <c r="D6" s="60" t="s">
        <v>11</v>
      </c>
      <c r="E6" s="1" t="s">
        <v>10</v>
      </c>
      <c r="F6" s="3" t="s">
        <v>54</v>
      </c>
      <c r="I6" s="113" t="s">
        <v>10</v>
      </c>
      <c r="J6" s="115" t="s">
        <v>249</v>
      </c>
    </row>
    <row r="7" spans="1:10" x14ac:dyDescent="0.4">
      <c r="A7" t="s">
        <v>15</v>
      </c>
      <c r="D7" s="6" t="s">
        <v>241</v>
      </c>
      <c r="E7" s="1" t="s">
        <v>56</v>
      </c>
      <c r="F7" s="3" t="s">
        <v>57</v>
      </c>
      <c r="I7" s="113" t="s">
        <v>56</v>
      </c>
      <c r="J7" s="115" t="s">
        <v>250</v>
      </c>
    </row>
    <row r="8" spans="1:10" x14ac:dyDescent="0.4">
      <c r="A8" t="s">
        <v>3</v>
      </c>
      <c r="D8" s="2" t="s">
        <v>58</v>
      </c>
      <c r="E8" s="1" t="s">
        <v>59</v>
      </c>
      <c r="F8" s="5"/>
      <c r="I8" s="113" t="s">
        <v>59</v>
      </c>
      <c r="J8" s="115" t="s">
        <v>251</v>
      </c>
    </row>
    <row r="9" spans="1:10" x14ac:dyDescent="0.4">
      <c r="A9" t="s">
        <v>286</v>
      </c>
      <c r="D9" s="2" t="s">
        <v>60</v>
      </c>
      <c r="E9" s="1" t="s">
        <v>61</v>
      </c>
      <c r="F9" s="5"/>
      <c r="I9" s="113" t="s">
        <v>61</v>
      </c>
      <c r="J9" s="114" t="s">
        <v>252</v>
      </c>
    </row>
    <row r="10" spans="1:10" x14ac:dyDescent="0.4">
      <c r="A10" t="s">
        <v>17</v>
      </c>
      <c r="E10" s="1" t="s">
        <v>46</v>
      </c>
      <c r="F10" s="1"/>
      <c r="I10" s="113" t="s">
        <v>63</v>
      </c>
      <c r="J10" s="114" t="s">
        <v>253</v>
      </c>
    </row>
    <row r="11" spans="1:10" x14ac:dyDescent="0.4">
      <c r="A11" t="s">
        <v>4</v>
      </c>
      <c r="E11" s="1" t="s">
        <v>55</v>
      </c>
      <c r="I11" s="113" t="s">
        <v>46</v>
      </c>
      <c r="J11" s="114" t="s">
        <v>254</v>
      </c>
    </row>
    <row r="12" spans="1:10" x14ac:dyDescent="0.4">
      <c r="A12" t="s">
        <v>19</v>
      </c>
      <c r="E12" s="1" t="s">
        <v>64</v>
      </c>
      <c r="I12" s="113" t="s">
        <v>55</v>
      </c>
      <c r="J12" s="114" t="s">
        <v>255</v>
      </c>
    </row>
    <row r="13" spans="1:10" x14ac:dyDescent="0.4">
      <c r="A13" t="s">
        <v>16</v>
      </c>
      <c r="E13" s="1" t="s">
        <v>65</v>
      </c>
      <c r="I13" s="113" t="s">
        <v>64</v>
      </c>
      <c r="J13" s="114" t="s">
        <v>250</v>
      </c>
    </row>
    <row r="14" spans="1:10" x14ac:dyDescent="0.4">
      <c r="A14" t="s">
        <v>18</v>
      </c>
      <c r="E14" s="1" t="s">
        <v>66</v>
      </c>
      <c r="I14" s="113" t="s">
        <v>67</v>
      </c>
      <c r="J14" s="114" t="s">
        <v>256</v>
      </c>
    </row>
    <row r="15" spans="1:10" x14ac:dyDescent="0.4">
      <c r="A15" t="s">
        <v>68</v>
      </c>
      <c r="E15" s="3" t="s">
        <v>62</v>
      </c>
      <c r="I15" s="113" t="s">
        <v>65</v>
      </c>
      <c r="J15" s="114" t="s">
        <v>257</v>
      </c>
    </row>
    <row r="16" spans="1:10" x14ac:dyDescent="0.4">
      <c r="E16" s="3" t="s">
        <v>49</v>
      </c>
      <c r="I16" s="116" t="s">
        <v>258</v>
      </c>
      <c r="J16" s="117" t="s">
        <v>259</v>
      </c>
    </row>
    <row r="17" spans="1:10" x14ac:dyDescent="0.4">
      <c r="E17" s="1" t="s">
        <v>51</v>
      </c>
      <c r="I17" s="116" t="s">
        <v>260</v>
      </c>
      <c r="J17" s="117" t="s">
        <v>261</v>
      </c>
    </row>
    <row r="18" spans="1:10" x14ac:dyDescent="0.4">
      <c r="E18" s="1" t="s">
        <v>63</v>
      </c>
      <c r="I18" s="116" t="s">
        <v>262</v>
      </c>
      <c r="J18" s="117" t="s">
        <v>263</v>
      </c>
    </row>
    <row r="19" spans="1:10" x14ac:dyDescent="0.4">
      <c r="E19" s="1" t="s">
        <v>70</v>
      </c>
      <c r="I19" s="116" t="s">
        <v>264</v>
      </c>
      <c r="J19" s="117" t="s">
        <v>265</v>
      </c>
    </row>
    <row r="20" spans="1:10" x14ac:dyDescent="0.4">
      <c r="A20" s="58" t="s">
        <v>38</v>
      </c>
      <c r="B20" s="58" t="s">
        <v>40</v>
      </c>
      <c r="C20" s="58" t="s">
        <v>39</v>
      </c>
      <c r="D20" s="58" t="s">
        <v>71</v>
      </c>
      <c r="E20" s="58"/>
      <c r="F20" s="58" t="s">
        <v>41</v>
      </c>
      <c r="G20" s="58" t="s">
        <v>243</v>
      </c>
      <c r="H20" s="1"/>
      <c r="I20" s="116" t="s">
        <v>266</v>
      </c>
      <c r="J20" s="117" t="s">
        <v>267</v>
      </c>
    </row>
    <row r="21" spans="1:10" x14ac:dyDescent="0.4">
      <c r="A21" s="1" t="s">
        <v>9</v>
      </c>
      <c r="B21" s="1" t="s">
        <v>47</v>
      </c>
      <c r="C21" s="1" t="s">
        <v>47</v>
      </c>
      <c r="D21" s="1" t="s">
        <v>47</v>
      </c>
      <c r="F21" s="1" t="s">
        <v>47</v>
      </c>
      <c r="G21" t="s">
        <v>244</v>
      </c>
      <c r="H21" s="1"/>
      <c r="I21" s="116" t="s">
        <v>268</v>
      </c>
      <c r="J21" s="117" t="s">
        <v>269</v>
      </c>
    </row>
    <row r="22" spans="1:10" x14ac:dyDescent="0.4">
      <c r="A22" s="1" t="s">
        <v>52</v>
      </c>
      <c r="B22" s="1" t="s">
        <v>12</v>
      </c>
      <c r="C22" s="1" t="s">
        <v>12</v>
      </c>
      <c r="D22" s="1" t="s">
        <v>12</v>
      </c>
      <c r="F22" s="1" t="s">
        <v>72</v>
      </c>
      <c r="H22" s="1"/>
      <c r="I22" s="116" t="s">
        <v>66</v>
      </c>
      <c r="J22" s="117" t="s">
        <v>270</v>
      </c>
    </row>
    <row r="23" spans="1:10" x14ac:dyDescent="0.4">
      <c r="A23" s="1" t="s">
        <v>244</v>
      </c>
      <c r="B23" s="1" t="s">
        <v>11</v>
      </c>
      <c r="C23" s="1" t="s">
        <v>11</v>
      </c>
      <c r="D23" s="1" t="s">
        <v>11</v>
      </c>
      <c r="F23" s="1" t="s">
        <v>73</v>
      </c>
      <c r="H23" s="1"/>
      <c r="I23" s="113" t="s">
        <v>69</v>
      </c>
      <c r="J23" s="114" t="s">
        <v>271</v>
      </c>
    </row>
    <row r="24" spans="1:10" x14ac:dyDescent="0.4">
      <c r="B24" t="s">
        <v>244</v>
      </c>
      <c r="C24" s="1" t="s">
        <v>241</v>
      </c>
      <c r="D24" s="1" t="s">
        <v>241</v>
      </c>
      <c r="F24" s="1" t="s">
        <v>11</v>
      </c>
      <c r="H24" s="1"/>
      <c r="I24" s="116" t="s">
        <v>272</v>
      </c>
      <c r="J24" s="117" t="s">
        <v>273</v>
      </c>
    </row>
    <row r="25" spans="1:10" ht="14.25" customHeight="1" x14ac:dyDescent="0.4">
      <c r="C25" t="s">
        <v>244</v>
      </c>
      <c r="D25" s="1" t="s">
        <v>58</v>
      </c>
      <c r="F25" t="s">
        <v>244</v>
      </c>
      <c r="I25" s="116" t="s">
        <v>274</v>
      </c>
      <c r="J25" s="117" t="s">
        <v>275</v>
      </c>
    </row>
    <row r="26" spans="1:10" x14ac:dyDescent="0.4">
      <c r="D26" s="1" t="s">
        <v>60</v>
      </c>
      <c r="I26" s="113" t="s">
        <v>62</v>
      </c>
      <c r="J26" s="114" t="s">
        <v>247</v>
      </c>
    </row>
    <row r="27" spans="1:10" x14ac:dyDescent="0.4">
      <c r="D27" t="s">
        <v>244</v>
      </c>
      <c r="I27" s="116" t="s">
        <v>276</v>
      </c>
      <c r="J27" s="117" t="s">
        <v>277</v>
      </c>
    </row>
    <row r="28" spans="1:10" x14ac:dyDescent="0.4">
      <c r="A28" s="58" t="s">
        <v>92</v>
      </c>
      <c r="B28" s="58"/>
      <c r="C28" s="58"/>
      <c r="I28" s="116" t="s">
        <v>278</v>
      </c>
      <c r="J28" s="117" t="s">
        <v>279</v>
      </c>
    </row>
    <row r="29" spans="1:10" x14ac:dyDescent="0.4">
      <c r="A29" s="61" t="s">
        <v>88</v>
      </c>
      <c r="B29" s="61" t="s">
        <v>91</v>
      </c>
      <c r="C29" s="61" t="s">
        <v>292</v>
      </c>
      <c r="I29" s="113" t="s">
        <v>70</v>
      </c>
      <c r="J29" s="114" t="s">
        <v>280</v>
      </c>
    </row>
    <row r="30" spans="1:10" x14ac:dyDescent="0.4">
      <c r="A30" s="8" t="s">
        <v>114</v>
      </c>
      <c r="B30" s="9" t="s">
        <v>14</v>
      </c>
      <c r="C30" t="s">
        <v>293</v>
      </c>
      <c r="I30" s="113" t="s">
        <v>49</v>
      </c>
      <c r="J30" s="118" t="s">
        <v>281</v>
      </c>
    </row>
    <row r="31" spans="1:10" x14ac:dyDescent="0.4">
      <c r="A31" s="8" t="s">
        <v>115</v>
      </c>
      <c r="B31" s="9" t="s">
        <v>15</v>
      </c>
      <c r="C31" t="s">
        <v>294</v>
      </c>
      <c r="I31" s="113" t="s">
        <v>51</v>
      </c>
      <c r="J31" s="114" t="s">
        <v>282</v>
      </c>
    </row>
    <row r="32" spans="1:10" x14ac:dyDescent="0.4">
      <c r="A32" s="8" t="s">
        <v>228</v>
      </c>
      <c r="B32" s="9" t="s">
        <v>3</v>
      </c>
      <c r="C32" t="s">
        <v>295</v>
      </c>
      <c r="I32" s="113" t="s">
        <v>54</v>
      </c>
      <c r="J32" s="114" t="s">
        <v>283</v>
      </c>
    </row>
    <row r="33" spans="1:10" x14ac:dyDescent="0.4">
      <c r="A33" s="8" t="s">
        <v>89</v>
      </c>
      <c r="B33" s="9" t="s">
        <v>286</v>
      </c>
      <c r="I33" s="119" t="s">
        <v>57</v>
      </c>
      <c r="J33" s="120" t="s">
        <v>284</v>
      </c>
    </row>
    <row r="34" spans="1:10" x14ac:dyDescent="0.4">
      <c r="A34" s="8" t="s">
        <v>229</v>
      </c>
      <c r="B34" s="9" t="s">
        <v>17</v>
      </c>
    </row>
    <row r="35" spans="1:10" x14ac:dyDescent="0.4">
      <c r="A35" s="8"/>
      <c r="B35" s="9" t="s">
        <v>4</v>
      </c>
    </row>
    <row r="36" spans="1:10" x14ac:dyDescent="0.4">
      <c r="A36" s="8"/>
      <c r="B36" s="9" t="s">
        <v>19</v>
      </c>
    </row>
    <row r="37" spans="1:10" x14ac:dyDescent="0.4">
      <c r="B37" s="9" t="s">
        <v>16</v>
      </c>
    </row>
    <row r="38" spans="1:10" x14ac:dyDescent="0.4">
      <c r="B38" s="9" t="s">
        <v>18</v>
      </c>
    </row>
    <row r="39" spans="1:10" x14ac:dyDescent="0.4">
      <c r="B39" s="9" t="s">
        <v>68</v>
      </c>
    </row>
    <row r="42" spans="1:10" x14ac:dyDescent="0.4">
      <c r="A42" s="58" t="s">
        <v>93</v>
      </c>
      <c r="B42" s="58"/>
      <c r="C42" s="58"/>
      <c r="D42" s="58"/>
      <c r="E42" s="58"/>
      <c r="F42" s="58"/>
      <c r="G42" s="58"/>
    </row>
    <row r="43" spans="1:10" x14ac:dyDescent="0.4">
      <c r="A43" s="61" t="s">
        <v>95</v>
      </c>
      <c r="B43" s="61" t="s">
        <v>8</v>
      </c>
      <c r="C43" s="61" t="s">
        <v>100</v>
      </c>
      <c r="D43" s="61" t="s">
        <v>107</v>
      </c>
      <c r="E43" s="61" t="s">
        <v>106</v>
      </c>
      <c r="F43" s="61" t="s">
        <v>90</v>
      </c>
      <c r="G43" s="62" t="s">
        <v>177</v>
      </c>
    </row>
    <row r="44" spans="1:10" x14ac:dyDescent="0.4">
      <c r="A44" t="s">
        <v>78</v>
      </c>
      <c r="B44" t="s">
        <v>79</v>
      </c>
      <c r="C44" t="s">
        <v>99</v>
      </c>
      <c r="D44" t="s">
        <v>83</v>
      </c>
      <c r="E44" t="s">
        <v>108</v>
      </c>
      <c r="F44" t="s">
        <v>173</v>
      </c>
      <c r="G44" t="s">
        <v>179</v>
      </c>
    </row>
    <row r="45" spans="1:10" x14ac:dyDescent="0.4">
      <c r="A45" t="s">
        <v>94</v>
      </c>
      <c r="B45" t="s">
        <v>96</v>
      </c>
      <c r="C45" t="s">
        <v>101</v>
      </c>
      <c r="D45" t="s">
        <v>105</v>
      </c>
      <c r="E45" t="s">
        <v>112</v>
      </c>
      <c r="F45" t="s">
        <v>174</v>
      </c>
      <c r="G45" t="s">
        <v>82</v>
      </c>
    </row>
    <row r="46" spans="1:10" x14ac:dyDescent="0.4">
      <c r="A46" t="s">
        <v>113</v>
      </c>
      <c r="B46" t="s">
        <v>97</v>
      </c>
      <c r="C46" t="s">
        <v>102</v>
      </c>
      <c r="D46" t="s">
        <v>97</v>
      </c>
      <c r="E46" t="s">
        <v>84</v>
      </c>
      <c r="F46" t="s">
        <v>172</v>
      </c>
      <c r="G46" t="s">
        <v>178</v>
      </c>
    </row>
    <row r="47" spans="1:10" x14ac:dyDescent="0.4">
      <c r="B47" t="s">
        <v>98</v>
      </c>
      <c r="C47" t="s">
        <v>103</v>
      </c>
      <c r="E47" t="s">
        <v>109</v>
      </c>
    </row>
    <row r="48" spans="1:10" x14ac:dyDescent="0.4">
      <c r="C48" t="s">
        <v>104</v>
      </c>
      <c r="E48" t="s">
        <v>110</v>
      </c>
    </row>
    <row r="49" spans="1:5" x14ac:dyDescent="0.4">
      <c r="E49" t="s">
        <v>111</v>
      </c>
    </row>
    <row r="50" spans="1:5" x14ac:dyDescent="0.4">
      <c r="E50" t="s">
        <v>81</v>
      </c>
    </row>
    <row r="51" spans="1:5" x14ac:dyDescent="0.4">
      <c r="E51" t="s">
        <v>104</v>
      </c>
    </row>
    <row r="53" spans="1:5" x14ac:dyDescent="0.4">
      <c r="A53" s="100" t="s">
        <v>198</v>
      </c>
    </row>
    <row r="54" spans="1:5" x14ac:dyDescent="0.4">
      <c r="A54" s="101" t="s">
        <v>199</v>
      </c>
      <c r="B54" s="61" t="s">
        <v>74</v>
      </c>
    </row>
    <row r="55" spans="1:5" x14ac:dyDescent="0.4">
      <c r="A55" s="102" t="s">
        <v>200</v>
      </c>
      <c r="B55" t="s">
        <v>196</v>
      </c>
    </row>
    <row r="56" spans="1:5" x14ac:dyDescent="0.4">
      <c r="A56" t="s">
        <v>201</v>
      </c>
      <c r="B56" t="s">
        <v>197</v>
      </c>
    </row>
    <row r="57" spans="1:5" x14ac:dyDescent="0.4">
      <c r="A57" t="s">
        <v>202</v>
      </c>
    </row>
    <row r="58" spans="1:5" x14ac:dyDescent="0.4">
      <c r="A58" t="s">
        <v>203</v>
      </c>
    </row>
  </sheetData>
  <sheetProtection algorithmName="SHA-512" hashValue="1MxSPBFMde9JIRLWOPvU43L0QdXjOahuzb5lpDZhGe0jH8V1TF4lLAW7nRlKmS4mza+bL34d5MsGJIH87I7p8g==" saltValue="lhvCuzcF+p495iSxI4kDiA==" spinCount="100000" sheet="1" objects="1" scenarios="1" formatRows="0"/>
  <sortState xmlns:xlrd2="http://schemas.microsoft.com/office/spreadsheetml/2017/richdata2" ref="H21:H27">
    <sortCondition ref="H21:H27"/>
  </sortState>
  <mergeCells count="1">
    <mergeCell ref="I3:J3"/>
  </mergeCells>
  <phoneticPr fontId="6" type="noConversion"/>
  <conditionalFormatting sqref="A21:A23">
    <cfRule type="expression" priority="12">
      <formula>IF($B$3="Industrie",1,0)</formula>
    </cfRule>
  </conditionalFormatting>
  <conditionalFormatting sqref="D6:D9">
    <cfRule type="expression" priority="13">
      <formula>IF($B$3="Industrie",1,0)</formula>
    </cfRule>
  </conditionalFormatting>
  <conditionalFormatting sqref="D4:G5 E6:G12">
    <cfRule type="expression" priority="86">
      <formula>IF($B$3="Industrie",1,0)</formula>
    </cfRule>
  </conditionalFormatting>
  <conditionalFormatting sqref="I30:I33">
    <cfRule type="expression" priority="2">
      <formula>IF($B$3="Industrie",1,0)</formula>
    </cfRule>
  </conditionalFormatting>
  <conditionalFormatting sqref="I4:J5 I6:I8 I9:J13 I15:J21">
    <cfRule type="expression" priority="3">
      <formula>IF($B$3="Industrie",1,0)</formula>
    </cfRule>
  </conditionalFormatting>
  <conditionalFormatting sqref="I23:J29">
    <cfRule type="expression" priority="4">
      <formula>IF($B$3="Industrie",1,0)</formula>
    </cfRule>
  </conditionalFormatting>
  <conditionalFormatting sqref="J31:J33">
    <cfRule type="expression" priority="1">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AA52DDF1-DB9E-4C0C-9E16-F265EDFF44E6}">
  <ds:schemaRefs>
    <ds:schemaRef ds:uri="http://purl.org/dc/terms/"/>
    <ds:schemaRef ds:uri="http://schemas.openxmlformats.org/package/2006/metadata/core-properties"/>
    <ds:schemaRef ds:uri="81251141-7599-4081-9962-8622873f55aa"/>
    <ds:schemaRef ds:uri="http://purl.org/dc/dcmitype/"/>
    <ds:schemaRef ds:uri="http://schemas.microsoft.com/office/2006/documentManagement/types"/>
    <ds:schemaRef ds:uri="http://purl.org/dc/elements/1.1/"/>
    <ds:schemaRef ds:uri="http://schemas.microsoft.com/office/2006/metadata/properties"/>
    <ds:schemaRef ds:uri="http://schemas.microsoft.com/office/infopath/2007/PartnerControls"/>
    <ds:schemaRef ds:uri="afd5fb63-b61f-423b-93e7-958e038eacd2"/>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23</vt:i4>
      </vt:variant>
    </vt:vector>
  </HeadingPairs>
  <TitlesOfParts>
    <vt:vector size="26" baseType="lpstr">
      <vt:lpstr>Thermo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LISTE_6</vt:lpstr>
      <vt:lpstr>Montage_sonde</vt:lpstr>
      <vt:lpstr>Q_en_charge</vt:lpstr>
      <vt:lpstr>Q_Gravitaire</vt:lpstr>
      <vt:lpstr>Satisfaction</vt:lpstr>
      <vt:lpstr>Type_capteur</vt:lpstr>
      <vt:lpstr>Type_equipement</vt:lpstr>
      <vt:lpstr>TypeDeMesure</vt:lpstr>
      <vt:lpstr>Thermo!Zone_d_impression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2026-09-04T14:38:04Z</cp:lastPrinted>
  <dcterms:created xsi:type="dcterms:W3CDTF">2022-12-06T13:32:43Z</dcterms:created>
  <dcterms:modified xsi:type="dcterms:W3CDTF">2026-10-05T08:56:32Z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