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huy\AppData\Roaming\Microsoft\AddIns\AutosurveillanceTemplates\"/>
    </mc:Choice>
  </mc:AlternateContent>
  <xr:revisionPtr revIDLastSave="0" documentId="13_ncr:1_{11A22113-9D09-48E7-A57C-DF7B2923CBB3}" xr6:coauthVersionLast="47" xr6:coauthVersionMax="47" xr10:uidLastSave="{00000000-0000-0000-0000-000000000000}"/>
  <bookViews>
    <workbookView xWindow="-28920" yWindow="3135" windowWidth="29040" windowHeight="15720" xr2:uid="{00000000-000D-0000-FFFF-FFFF00000000}"/>
  </bookViews>
  <sheets>
    <sheet name="Comparatif" sheetId="3" r:id="rId1"/>
    <sheet name="SeuilsComparaison-EMT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4" i="3" l="1"/>
  <c r="L9" i="3"/>
  <c r="S9" i="3" s="1"/>
  <c r="J31" i="3"/>
  <c r="C31" i="3"/>
  <c r="J30" i="3"/>
  <c r="C30" i="3"/>
  <c r="J29" i="3"/>
  <c r="C29" i="3"/>
  <c r="J28" i="3"/>
  <c r="C28" i="3"/>
  <c r="J27" i="3"/>
  <c r="C27" i="3"/>
  <c r="J26" i="3"/>
  <c r="C26" i="3"/>
  <c r="J25" i="3"/>
  <c r="C25" i="3"/>
  <c r="C24" i="3"/>
  <c r="J23" i="3"/>
  <c r="C23" i="3"/>
  <c r="J22" i="3"/>
  <c r="C22" i="3"/>
  <c r="J21" i="3"/>
  <c r="C21" i="3"/>
  <c r="J20" i="3"/>
  <c r="C20" i="3"/>
  <c r="J19" i="3"/>
  <c r="C19" i="3"/>
  <c r="J18" i="3"/>
  <c r="C18" i="3"/>
  <c r="J17" i="3"/>
  <c r="C17" i="3"/>
  <c r="J16" i="3"/>
  <c r="C16" i="3"/>
  <c r="J15" i="3"/>
  <c r="C15" i="3"/>
  <c r="J14" i="3"/>
  <c r="C14" i="3"/>
  <c r="J13" i="3"/>
  <c r="C13" i="3"/>
  <c r="J12" i="3"/>
  <c r="C12" i="3"/>
  <c r="J11" i="3"/>
  <c r="C11" i="3"/>
  <c r="J9" i="3" l="1"/>
  <c r="R9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tc={B4132B75-E79F-4C91-84CF-E3DED874F9F6}</author>
  </authors>
  <commentList>
    <comment ref="J27" authorId="0" shapeId="0" xr:uid="{00000000-0006-0000-0000-000001000000}">
      <text>
        <r>
          <rPr>
            <sz val="10"/>
            <color theme="1"/>
            <rFont val="Arial"/>
            <family val="2"/>
          </rPr>
  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En attente du retour de RMC si % ou mg/l</t>
        </r>
      </text>
    </comment>
  </commentList>
</comments>
</file>

<file path=xl/sharedStrings.xml><?xml version="1.0" encoding="utf-8"?>
<sst xmlns="http://schemas.openxmlformats.org/spreadsheetml/2006/main" count="97" uniqueCount="58">
  <si>
    <t xml:space="preserve"> COMPARATIF ANALYTIQUE : DEFINITION DES ECARTS MAXIMUM TOLERES (EMT)</t>
  </si>
  <si>
    <t>Code SANDRE</t>
  </si>
  <si>
    <t>Paramètres</t>
  </si>
  <si>
    <t>Unités</t>
  </si>
  <si>
    <t>Limites de quantification</t>
  </si>
  <si>
    <t>Seuil de comparaison</t>
  </si>
  <si>
    <t>Concentration supérieure au seuil de comparaison et   inférieure ou égale à</t>
  </si>
  <si>
    <t>Ecart Maximum Toléré</t>
  </si>
  <si>
    <t>Concentration supérieure à</t>
  </si>
  <si>
    <t>DBO5</t>
  </si>
  <si>
    <r>
      <t>en mg/l de O</t>
    </r>
    <r>
      <rPr>
        <vertAlign val="subscript"/>
        <sz val="10"/>
        <rFont val="Arial"/>
        <family val="2"/>
      </rPr>
      <t>2</t>
    </r>
  </si>
  <si>
    <t>DCO</t>
  </si>
  <si>
    <t>ST DCO</t>
  </si>
  <si>
    <t>MEST</t>
  </si>
  <si>
    <t>en mg/l</t>
  </si>
  <si>
    <t>NKJ (N)</t>
  </si>
  <si>
    <t>en mg/l de N</t>
  </si>
  <si>
    <t>NGL</t>
  </si>
  <si>
    <t>NH4 (NH4)</t>
  </si>
  <si>
    <r>
      <t>en mg/l de NH</t>
    </r>
    <r>
      <rPr>
        <vertAlign val="subscript"/>
        <sz val="10"/>
        <rFont val="Arial"/>
        <family val="2"/>
      </rPr>
      <t>4</t>
    </r>
    <r>
      <rPr>
        <vertAlign val="superscript"/>
        <sz val="10"/>
        <rFont val="Arial"/>
        <family val="2"/>
      </rPr>
      <t>+</t>
    </r>
  </si>
  <si>
    <t>NO2 (NO2)</t>
  </si>
  <si>
    <r>
      <t>en mg/l de NO</t>
    </r>
    <r>
      <rPr>
        <vertAlign val="subscript"/>
        <sz val="10"/>
        <rFont val="Arial"/>
        <family val="2"/>
      </rPr>
      <t>2</t>
    </r>
  </si>
  <si>
    <t>NO3 (NO3)</t>
  </si>
  <si>
    <r>
      <t>en mg/l de NO</t>
    </r>
    <r>
      <rPr>
        <vertAlign val="subscript"/>
        <sz val="10"/>
        <rFont val="Arial"/>
        <family val="2"/>
      </rPr>
      <t>3</t>
    </r>
  </si>
  <si>
    <t>PT</t>
  </si>
  <si>
    <t>en mg/l de P</t>
  </si>
  <si>
    <t>As</t>
  </si>
  <si>
    <t>Cd</t>
  </si>
  <si>
    <t>Cr</t>
  </si>
  <si>
    <t>Cu</t>
  </si>
  <si>
    <t>Hg</t>
  </si>
  <si>
    <t>Ni</t>
  </si>
  <si>
    <t>Pb</t>
  </si>
  <si>
    <t>Zn</t>
  </si>
  <si>
    <t>AOX</t>
  </si>
  <si>
    <t>COT</t>
  </si>
  <si>
    <t>Conductivité</t>
  </si>
  <si>
    <t>Cl</t>
  </si>
  <si>
    <t>MS</t>
  </si>
  <si>
    <r>
      <t xml:space="preserve">Le cacul des écarts analytiques est effectué si l'un des deux ou les deux résultats sont au dessus du seuil de comparaison. </t>
    </r>
    <r>
      <rPr>
        <b/>
        <sz val="10"/>
        <rFont val="Arial"/>
        <family val="2"/>
      </rPr>
      <t>L'écart est calculé par rapport à la moyenne des 2 valeurs.</t>
    </r>
  </si>
  <si>
    <t>LQ
en mg/l</t>
  </si>
  <si>
    <t>COFRAC</t>
  </si>
  <si>
    <t>Nb conformes</t>
  </si>
  <si>
    <t>Ecart (%)</t>
  </si>
  <si>
    <t>Conformité</t>
  </si>
  <si>
    <t>Informations sur le comparatif</t>
  </si>
  <si>
    <t>Préleveur :</t>
  </si>
  <si>
    <t>Date du comparatif :</t>
  </si>
  <si>
    <t>Code de la station :</t>
  </si>
  <si>
    <t>Nom de la station :</t>
  </si>
  <si>
    <t>Le comparatif est-il effectué à partir des prélévements d'une autre station ? (si oui, précisez la station)</t>
  </si>
  <si>
    <t>Résultats du comparatif</t>
  </si>
  <si>
    <t>Laboratoire de contrôle</t>
  </si>
  <si>
    <t>Laboratoire du MO/exploitant</t>
  </si>
  <si>
    <t>NB analyses</t>
  </si>
  <si>
    <t>COMMENTAIRES :</t>
  </si>
  <si>
    <t>en g/l</t>
  </si>
  <si>
    <t>(Dupliquer ce bloc en cas de comparatif multiple)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</si>
</sst>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color indexed="9"/>
      <name val="Arial"/>
      <family val="2"/>
    </font>
    <font>
      <sz val="10"/>
      <color indexed="9"/>
      <name val="Arial"/>
      <family val="2"/>
    </font>
    <font>
      <sz val="10"/>
      <color theme="0"/>
      <name val="Arial"/>
      <family val="2"/>
    </font>
    <font>
      <vertAlign val="subscript"/>
      <sz val="10"/>
      <name val="Arial"/>
      <family val="2"/>
    </font>
    <font>
      <sz val="10"/>
      <color theme="1"/>
      <name val="Arial"/>
      <family val="2"/>
    </font>
    <font>
      <sz val="10"/>
      <color indexed="8"/>
      <name val="Arial"/>
      <family val="2"/>
    </font>
    <font>
      <vertAlign val="superscript"/>
      <sz val="10"/>
      <name val="Arial"/>
      <family val="2"/>
    </font>
    <font>
      <b/>
      <sz val="10"/>
      <name val="Arial"/>
      <family val="2"/>
    </font>
    <font>
      <b/>
      <sz val="14"/>
      <color theme="0"/>
      <name val="Calibri"/>
      <family val="2"/>
      <scheme val="minor"/>
    </font>
    <font>
      <sz val="10"/>
      <name val="Calibri"/>
      <family val="2"/>
      <scheme val="minor"/>
    </font>
    <font>
      <i/>
      <sz val="12"/>
      <color theme="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009FE3"/>
        <bgColor indexed="64"/>
      </patternFill>
    </fill>
    <fill>
      <patternFill patternType="solid">
        <fgColor rgb="FF8FC5EC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theme="6"/>
      </left>
      <right/>
      <top style="thin">
        <color theme="6"/>
      </top>
      <bottom/>
      <diagonal/>
    </border>
    <border>
      <left/>
      <right/>
      <top style="thin">
        <color theme="6"/>
      </top>
      <bottom/>
      <diagonal/>
    </border>
    <border>
      <left/>
      <right style="thin">
        <color theme="6"/>
      </right>
      <top style="thin">
        <color theme="6"/>
      </top>
      <bottom/>
      <diagonal/>
    </border>
    <border>
      <left style="thin">
        <color theme="6"/>
      </left>
      <right/>
      <top/>
      <bottom/>
      <diagonal/>
    </border>
    <border>
      <left/>
      <right style="thin">
        <color theme="6"/>
      </right>
      <top/>
      <bottom/>
      <diagonal/>
    </border>
    <border>
      <left style="thin">
        <color theme="6"/>
      </left>
      <right/>
      <top/>
      <bottom style="thin">
        <color theme="6"/>
      </bottom>
      <diagonal/>
    </border>
    <border>
      <left/>
      <right/>
      <top/>
      <bottom style="thin">
        <color theme="6"/>
      </bottom>
      <diagonal/>
    </border>
    <border>
      <left/>
      <right style="thin">
        <color theme="6"/>
      </right>
      <top/>
      <bottom style="thin">
        <color theme="6"/>
      </bottom>
      <diagonal/>
    </border>
    <border>
      <left style="thin">
        <color theme="6"/>
      </left>
      <right style="thin">
        <color theme="6"/>
      </right>
      <top/>
      <bottom style="thin">
        <color theme="6"/>
      </bottom>
      <diagonal/>
    </border>
    <border>
      <left style="thin">
        <color indexed="64"/>
      </left>
      <right style="thin">
        <color theme="6"/>
      </right>
      <top/>
      <bottom/>
      <diagonal/>
    </border>
    <border>
      <left style="medium">
        <color theme="6"/>
      </left>
      <right/>
      <top style="medium">
        <color theme="6"/>
      </top>
      <bottom style="thin">
        <color theme="6"/>
      </bottom>
      <diagonal/>
    </border>
    <border>
      <left/>
      <right/>
      <top style="medium">
        <color theme="6"/>
      </top>
      <bottom style="thin">
        <color theme="6"/>
      </bottom>
      <diagonal/>
    </border>
    <border>
      <left/>
      <right style="medium">
        <color theme="6"/>
      </right>
      <top style="medium">
        <color theme="6"/>
      </top>
      <bottom style="thin">
        <color theme="6"/>
      </bottom>
      <diagonal/>
    </border>
    <border>
      <left style="medium">
        <color theme="6"/>
      </left>
      <right style="thin">
        <color theme="6"/>
      </right>
      <top/>
      <bottom style="thin">
        <color theme="6"/>
      </bottom>
      <diagonal/>
    </border>
    <border>
      <left style="thin">
        <color theme="6"/>
      </left>
      <right style="medium">
        <color theme="6"/>
      </right>
      <top/>
      <bottom style="thin">
        <color theme="6"/>
      </bottom>
      <diagonal/>
    </border>
    <border>
      <left style="medium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theme="6"/>
      </left>
      <right style="medium">
        <color theme="6"/>
      </right>
      <top style="thin">
        <color theme="6"/>
      </top>
      <bottom style="thin">
        <color theme="6"/>
      </bottom>
      <diagonal/>
    </border>
    <border>
      <left style="medium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medium">
        <color theme="6"/>
      </right>
      <top style="thin">
        <color theme="6"/>
      </top>
      <bottom style="medium">
        <color theme="6"/>
      </bottom>
      <diagonal/>
    </border>
  </borders>
  <cellStyleXfs count="2">
    <xf numFmtId="0" fontId="0" fillId="0" borderId="0"/>
    <xf numFmtId="0" fontId="1" fillId="0" borderId="0"/>
  </cellStyleXfs>
  <cellXfs count="106">
    <xf numFmtId="0" fontId="0" fillId="0" borderId="0" xfId="0"/>
    <xf numFmtId="0" fontId="1" fillId="2" borderId="0" xfId="1" applyFill="1" applyAlignment="1" applyProtection="1">
      <alignment vertical="center"/>
      <protection hidden="1"/>
    </xf>
    <xf numFmtId="0" fontId="1" fillId="2" borderId="0" xfId="1" applyFill="1" applyAlignment="1" applyProtection="1">
      <alignment horizontal="center" vertical="center"/>
      <protection hidden="1"/>
    </xf>
    <xf numFmtId="0" fontId="1" fillId="0" borderId="0" xfId="1" applyAlignment="1" applyProtection="1">
      <alignment vertical="center"/>
      <protection hidden="1"/>
    </xf>
    <xf numFmtId="0" fontId="1" fillId="2" borderId="0" xfId="1" applyFill="1" applyAlignment="1" applyProtection="1">
      <alignment vertical="center" wrapText="1"/>
      <protection hidden="1"/>
    </xf>
    <xf numFmtId="0" fontId="3" fillId="3" borderId="4" xfId="1" applyFont="1" applyFill="1" applyBorder="1" applyAlignment="1" applyProtection="1">
      <alignment horizontal="center" vertical="center" wrapText="1"/>
      <protection hidden="1"/>
    </xf>
    <xf numFmtId="0" fontId="3" fillId="3" borderId="1" xfId="1" applyFont="1" applyFill="1" applyBorder="1" applyAlignment="1" applyProtection="1">
      <alignment horizontal="center" vertical="center" wrapText="1"/>
      <protection hidden="1"/>
    </xf>
    <xf numFmtId="0" fontId="3" fillId="3" borderId="5" xfId="1" applyFont="1" applyFill="1" applyBorder="1" applyAlignment="1" applyProtection="1">
      <alignment horizontal="center" vertical="center" wrapText="1"/>
      <protection hidden="1"/>
    </xf>
    <xf numFmtId="0" fontId="3" fillId="3" borderId="6" xfId="1" applyFont="1" applyFill="1" applyBorder="1" applyAlignment="1" applyProtection="1">
      <alignment horizontal="center" vertical="center" wrapText="1"/>
      <protection hidden="1"/>
    </xf>
    <xf numFmtId="0" fontId="4" fillId="3" borderId="7" xfId="1" applyFont="1" applyFill="1" applyBorder="1" applyAlignment="1" applyProtection="1">
      <alignment horizontal="center" vertical="center" wrapText="1"/>
      <protection hidden="1"/>
    </xf>
    <xf numFmtId="0" fontId="1" fillId="2" borderId="8" xfId="1" applyFill="1" applyBorder="1" applyAlignment="1" applyProtection="1">
      <alignment vertical="center" wrapText="1"/>
      <protection hidden="1"/>
    </xf>
    <xf numFmtId="0" fontId="1" fillId="0" borderId="0" xfId="1" applyAlignment="1" applyProtection="1">
      <alignment vertical="center" wrapText="1"/>
      <protection hidden="1"/>
    </xf>
    <xf numFmtId="0" fontId="1" fillId="4" borderId="9" xfId="1" applyFill="1" applyBorder="1" applyAlignment="1" applyProtection="1">
      <alignment horizontal="center" vertical="center"/>
      <protection hidden="1"/>
    </xf>
    <xf numFmtId="0" fontId="1" fillId="4" borderId="10" xfId="1" applyFill="1" applyBorder="1" applyAlignment="1" applyProtection="1">
      <alignment horizontal="center" vertical="center"/>
      <protection hidden="1"/>
    </xf>
    <xf numFmtId="0" fontId="6" fillId="4" borderId="9" xfId="1" applyFont="1" applyFill="1" applyBorder="1" applyAlignment="1" applyProtection="1">
      <alignment horizontal="center" vertical="center"/>
      <protection hidden="1"/>
    </xf>
    <xf numFmtId="0" fontId="1" fillId="4" borderId="11" xfId="1" applyFill="1" applyBorder="1" applyAlignment="1" applyProtection="1">
      <alignment horizontal="center" vertical="center"/>
      <protection hidden="1"/>
    </xf>
    <xf numFmtId="9" fontId="1" fillId="4" borderId="12" xfId="1" applyNumberFormat="1" applyFill="1" applyBorder="1" applyAlignment="1" applyProtection="1">
      <alignment horizontal="center" vertical="center"/>
      <protection hidden="1"/>
    </xf>
    <xf numFmtId="0" fontId="1" fillId="4" borderId="13" xfId="1" applyFill="1" applyBorder="1" applyAlignment="1" applyProtection="1">
      <alignment horizontal="center" vertical="center"/>
      <protection hidden="1"/>
    </xf>
    <xf numFmtId="9" fontId="1" fillId="4" borderId="14" xfId="1" applyNumberFormat="1" applyFill="1" applyBorder="1" applyAlignment="1" applyProtection="1">
      <alignment horizontal="center" vertical="center"/>
      <protection hidden="1"/>
    </xf>
    <xf numFmtId="0" fontId="1" fillId="4" borderId="15" xfId="1" applyFill="1" applyBorder="1" applyAlignment="1" applyProtection="1">
      <alignment horizontal="center" vertical="center"/>
      <protection hidden="1"/>
    </xf>
    <xf numFmtId="0" fontId="1" fillId="4" borderId="16" xfId="1" applyFill="1" applyBorder="1" applyAlignment="1" applyProtection="1">
      <alignment horizontal="center" vertical="center"/>
      <protection hidden="1"/>
    </xf>
    <xf numFmtId="0" fontId="6" fillId="4" borderId="15" xfId="1" applyFont="1" applyFill="1" applyBorder="1" applyAlignment="1" applyProtection="1">
      <alignment horizontal="center" vertical="center"/>
      <protection hidden="1"/>
    </xf>
    <xf numFmtId="0" fontId="1" fillId="4" borderId="17" xfId="1" applyFill="1" applyBorder="1" applyAlignment="1" applyProtection="1">
      <alignment horizontal="center" vertical="center"/>
      <protection hidden="1"/>
    </xf>
    <xf numFmtId="9" fontId="1" fillId="4" borderId="18" xfId="1" applyNumberFormat="1" applyFill="1" applyBorder="1" applyAlignment="1" applyProtection="1">
      <alignment horizontal="center" vertical="center"/>
      <protection hidden="1"/>
    </xf>
    <xf numFmtId="0" fontId="7" fillId="4" borderId="16" xfId="1" applyFont="1" applyFill="1" applyBorder="1" applyAlignment="1" applyProtection="1">
      <alignment horizontal="center" vertical="center"/>
      <protection hidden="1"/>
    </xf>
    <xf numFmtId="0" fontId="1" fillId="5" borderId="17" xfId="1" applyFill="1" applyBorder="1" applyAlignment="1" applyProtection="1">
      <alignment vertical="center"/>
      <protection hidden="1"/>
    </xf>
    <xf numFmtId="0" fontId="1" fillId="5" borderId="18" xfId="1" applyFill="1" applyBorder="1" applyAlignment="1" applyProtection="1">
      <alignment vertical="center"/>
      <protection hidden="1"/>
    </xf>
    <xf numFmtId="0" fontId="1" fillId="4" borderId="16" xfId="1" applyFill="1" applyBorder="1" applyAlignment="1" applyProtection="1">
      <alignment horizontal="center" vertical="center" wrapText="1"/>
      <protection hidden="1"/>
    </xf>
    <xf numFmtId="0" fontId="1" fillId="4" borderId="19" xfId="1" applyFill="1" applyBorder="1" applyAlignment="1" applyProtection="1">
      <alignment horizontal="center" vertical="center"/>
      <protection hidden="1"/>
    </xf>
    <xf numFmtId="0" fontId="1" fillId="4" borderId="20" xfId="1" applyFill="1" applyBorder="1" applyAlignment="1" applyProtection="1">
      <alignment horizontal="center" vertical="center" wrapText="1"/>
      <protection hidden="1"/>
    </xf>
    <xf numFmtId="0" fontId="6" fillId="4" borderId="19" xfId="1" applyFont="1" applyFill="1" applyBorder="1" applyAlignment="1" applyProtection="1">
      <alignment horizontal="center" vertical="center"/>
      <protection hidden="1"/>
    </xf>
    <xf numFmtId="0" fontId="1" fillId="4" borderId="20" xfId="1" applyFill="1" applyBorder="1" applyAlignment="1" applyProtection="1">
      <alignment horizontal="center" vertical="center"/>
      <protection hidden="1"/>
    </xf>
    <xf numFmtId="0" fontId="1" fillId="4" borderId="21" xfId="1" applyFill="1" applyBorder="1" applyAlignment="1" applyProtection="1">
      <alignment horizontal="center" vertical="center"/>
      <protection hidden="1"/>
    </xf>
    <xf numFmtId="9" fontId="1" fillId="4" borderId="22" xfId="1" applyNumberFormat="1" applyFill="1" applyBorder="1" applyAlignment="1" applyProtection="1">
      <alignment horizontal="center" vertical="center"/>
      <protection hidden="1"/>
    </xf>
    <xf numFmtId="0" fontId="1" fillId="4" borderId="1" xfId="1" applyFill="1" applyBorder="1" applyAlignment="1" applyProtection="1">
      <alignment horizontal="center" vertical="center"/>
      <protection hidden="1"/>
    </xf>
    <xf numFmtId="0" fontId="1" fillId="4" borderId="5" xfId="1" applyFill="1" applyBorder="1" applyAlignment="1" applyProtection="1">
      <alignment horizontal="center" vertical="center" wrapText="1"/>
      <protection hidden="1"/>
    </xf>
    <xf numFmtId="0" fontId="1" fillId="4" borderId="5" xfId="1" applyFill="1" applyBorder="1" applyAlignment="1" applyProtection="1">
      <alignment horizontal="center" vertical="center"/>
      <protection hidden="1"/>
    </xf>
    <xf numFmtId="0" fontId="1" fillId="4" borderId="6" xfId="1" applyFill="1" applyBorder="1" applyAlignment="1" applyProtection="1">
      <alignment horizontal="center" vertical="center"/>
      <protection hidden="1"/>
    </xf>
    <xf numFmtId="9" fontId="1" fillId="4" borderId="7" xfId="1" applyNumberFormat="1" applyFill="1" applyBorder="1" applyAlignment="1" applyProtection="1">
      <alignment horizontal="center" vertical="center"/>
      <protection hidden="1"/>
    </xf>
    <xf numFmtId="0" fontId="0" fillId="6" borderId="0" xfId="0" applyFill="1" applyAlignment="1">
      <alignment vertical="center"/>
    </xf>
    <xf numFmtId="0" fontId="0" fillId="0" borderId="24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10" borderId="0" xfId="0" applyFill="1" applyAlignment="1">
      <alignment vertical="center"/>
    </xf>
    <xf numFmtId="0" fontId="10" fillId="7" borderId="41" xfId="0" applyFont="1" applyFill="1" applyBorder="1" applyAlignment="1">
      <alignment vertical="center"/>
    </xf>
    <xf numFmtId="0" fontId="10" fillId="7" borderId="42" xfId="0" applyFont="1" applyFill="1" applyBorder="1" applyAlignment="1">
      <alignment vertical="center"/>
    </xf>
    <xf numFmtId="0" fontId="13" fillId="7" borderId="42" xfId="0" applyFont="1" applyFill="1" applyBorder="1" applyAlignment="1">
      <alignment vertical="center"/>
    </xf>
    <xf numFmtId="0" fontId="10" fillId="7" borderId="43" xfId="0" applyFont="1" applyFill="1" applyBorder="1" applyAlignment="1">
      <alignment vertical="center"/>
    </xf>
    <xf numFmtId="0" fontId="0" fillId="11" borderId="0" xfId="0" applyFill="1" applyAlignment="1">
      <alignment vertical="center"/>
    </xf>
    <xf numFmtId="0" fontId="0" fillId="11" borderId="35" xfId="0" applyFill="1" applyBorder="1" applyAlignment="1">
      <alignment vertical="center"/>
    </xf>
    <xf numFmtId="0" fontId="10" fillId="11" borderId="40" xfId="0" applyFont="1" applyFill="1" applyBorder="1" applyAlignment="1">
      <alignment vertical="center"/>
    </xf>
    <xf numFmtId="0" fontId="0" fillId="11" borderId="35" xfId="0" applyFill="1" applyBorder="1" applyAlignment="1">
      <alignment horizontal="center" vertical="center"/>
    </xf>
    <xf numFmtId="0" fontId="12" fillId="11" borderId="35" xfId="0" applyFont="1" applyFill="1" applyBorder="1" applyAlignment="1">
      <alignment vertical="center"/>
    </xf>
    <xf numFmtId="0" fontId="12" fillId="10" borderId="31" xfId="0" applyFont="1" applyFill="1" applyBorder="1" applyAlignment="1">
      <alignment horizontal="center" vertical="center"/>
    </xf>
    <xf numFmtId="0" fontId="12" fillId="10" borderId="32" xfId="0" applyFont="1" applyFill="1" applyBorder="1" applyAlignment="1">
      <alignment horizontal="center" vertical="center"/>
    </xf>
    <xf numFmtId="0" fontId="12" fillId="10" borderId="33" xfId="0" applyFont="1" applyFill="1" applyBorder="1" applyAlignment="1">
      <alignment horizontal="center" vertical="center"/>
    </xf>
    <xf numFmtId="0" fontId="12" fillId="10" borderId="34" xfId="0" applyFont="1" applyFill="1" applyBorder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12" fillId="10" borderId="35" xfId="0" applyFont="1" applyFill="1" applyBorder="1" applyAlignment="1">
      <alignment horizontal="center" vertical="center"/>
    </xf>
    <xf numFmtId="0" fontId="12" fillId="10" borderId="36" xfId="0" applyFont="1" applyFill="1" applyBorder="1" applyAlignment="1">
      <alignment horizontal="center" vertical="center"/>
    </xf>
    <xf numFmtId="0" fontId="12" fillId="10" borderId="37" xfId="0" applyFont="1" applyFill="1" applyBorder="1" applyAlignment="1">
      <alignment horizontal="center" vertical="center"/>
    </xf>
    <xf numFmtId="0" fontId="12" fillId="10" borderId="38" xfId="0" applyFont="1" applyFill="1" applyBorder="1" applyAlignment="1">
      <alignment horizontal="center" vertical="center"/>
    </xf>
    <xf numFmtId="0" fontId="12" fillId="11" borderId="0" xfId="0" applyFont="1" applyFill="1" applyAlignment="1">
      <alignment horizontal="left" vertical="center"/>
    </xf>
    <xf numFmtId="0" fontId="15" fillId="6" borderId="28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15" fillId="6" borderId="29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5" fillId="6" borderId="25" xfId="0" applyFont="1" applyFill="1" applyBorder="1" applyAlignment="1">
      <alignment horizontal="center" vertical="center"/>
    </xf>
    <xf numFmtId="0" fontId="15" fillId="6" borderId="27" xfId="0" applyFont="1" applyFill="1" applyBorder="1" applyAlignment="1">
      <alignment horizontal="center" vertical="center"/>
    </xf>
    <xf numFmtId="0" fontId="15" fillId="6" borderId="24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8" borderId="23" xfId="0" applyFill="1" applyBorder="1" applyAlignment="1">
      <alignment horizontal="center" vertical="center"/>
    </xf>
    <xf numFmtId="0" fontId="0" fillId="8" borderId="23" xfId="0" applyFill="1" applyBorder="1" applyAlignment="1">
      <alignment horizontal="center" vertical="center" wrapText="1"/>
    </xf>
    <xf numFmtId="0" fontId="11" fillId="8" borderId="44" xfId="0" applyFont="1" applyFill="1" applyBorder="1" applyAlignment="1">
      <alignment horizontal="left" vertical="center"/>
    </xf>
    <xf numFmtId="0" fontId="11" fillId="8" borderId="39" xfId="0" applyFont="1" applyFill="1" applyBorder="1" applyAlignment="1">
      <alignment horizontal="left" vertical="center"/>
    </xf>
    <xf numFmtId="0" fontId="1" fillId="0" borderId="39" xfId="0" applyFont="1" applyBorder="1" applyAlignment="1">
      <alignment horizontal="left" vertical="center"/>
    </xf>
    <xf numFmtId="0" fontId="1" fillId="0" borderId="45" xfId="0" applyFont="1" applyBorder="1" applyAlignment="1">
      <alignment horizontal="left" vertical="center"/>
    </xf>
    <xf numFmtId="0" fontId="10" fillId="7" borderId="25" xfId="0" applyFont="1" applyFill="1" applyBorder="1" applyAlignment="1">
      <alignment horizontal="left" vertical="center"/>
    </xf>
    <xf numFmtId="0" fontId="10" fillId="7" borderId="26" xfId="0" applyFont="1" applyFill="1" applyBorder="1" applyAlignment="1">
      <alignment horizontal="left" vertical="center"/>
    </xf>
    <xf numFmtId="0" fontId="0" fillId="6" borderId="23" xfId="0" applyFill="1" applyBorder="1" applyAlignment="1">
      <alignment horizontal="center" vertical="center"/>
    </xf>
    <xf numFmtId="0" fontId="14" fillId="6" borderId="30" xfId="0" applyFont="1" applyFill="1" applyBorder="1" applyAlignment="1">
      <alignment horizontal="left" vertical="center"/>
    </xf>
    <xf numFmtId="0" fontId="1" fillId="0" borderId="30" xfId="0" applyFont="1" applyBorder="1" applyAlignment="1">
      <alignment horizontal="left" vertical="center"/>
    </xf>
    <xf numFmtId="0" fontId="1" fillId="0" borderId="47" xfId="0" applyFont="1" applyBorder="1" applyAlignment="1">
      <alignment horizontal="left" vertical="center"/>
    </xf>
    <xf numFmtId="0" fontId="14" fillId="6" borderId="49" xfId="0" applyFont="1" applyFill="1" applyBorder="1" applyAlignment="1">
      <alignment horizontal="left" vertical="center"/>
    </xf>
    <xf numFmtId="0" fontId="1" fillId="0" borderId="49" xfId="0" applyFont="1" applyBorder="1" applyAlignment="1">
      <alignment horizontal="left" vertical="center"/>
    </xf>
    <xf numFmtId="0" fontId="1" fillId="0" borderId="50" xfId="0" applyFont="1" applyBorder="1" applyAlignment="1">
      <alignment horizontal="left" vertical="center"/>
    </xf>
    <xf numFmtId="0" fontId="1" fillId="0" borderId="30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1" fillId="8" borderId="46" xfId="0" applyFont="1" applyFill="1" applyBorder="1" applyAlignment="1">
      <alignment horizontal="left" vertical="center" wrapText="1"/>
    </xf>
    <xf numFmtId="0" fontId="11" fillId="8" borderId="30" xfId="0" applyFont="1" applyFill="1" applyBorder="1" applyAlignment="1">
      <alignment horizontal="left" vertical="center" wrapText="1"/>
    </xf>
    <xf numFmtId="0" fontId="11" fillId="8" borderId="48" xfId="0" applyFont="1" applyFill="1" applyBorder="1" applyAlignment="1">
      <alignment horizontal="left" vertical="center" wrapText="1"/>
    </xf>
    <xf numFmtId="0" fontId="11" fillId="8" borderId="49" xfId="0" applyFont="1" applyFill="1" applyBorder="1" applyAlignment="1">
      <alignment horizontal="left" vertical="center" wrapText="1"/>
    </xf>
    <xf numFmtId="0" fontId="2" fillId="3" borderId="1" xfId="1" applyFont="1" applyFill="1" applyBorder="1" applyAlignment="1" applyProtection="1">
      <alignment horizontal="center" vertical="center"/>
      <protection hidden="1"/>
    </xf>
    <xf numFmtId="0" fontId="2" fillId="3" borderId="2" xfId="1" applyFont="1" applyFill="1" applyBorder="1" applyAlignment="1" applyProtection="1">
      <alignment horizontal="center" vertical="center"/>
      <protection hidden="1"/>
    </xf>
    <xf numFmtId="0" fontId="2" fillId="3" borderId="3" xfId="1" applyFont="1" applyFill="1" applyBorder="1" applyAlignment="1" applyProtection="1">
      <alignment horizontal="center" vertical="center"/>
      <protection hidden="1"/>
    </xf>
    <xf numFmtId="0" fontId="1" fillId="2" borderId="0" xfId="1" applyFill="1" applyAlignment="1" applyProtection="1">
      <alignment horizontal="center" vertical="center" wrapText="1"/>
      <protection hidden="1"/>
    </xf>
    <xf numFmtId="0" fontId="0" fillId="12" borderId="0" xfId="0" applyFill="1" applyAlignment="1">
      <alignment vertical="center"/>
    </xf>
    <xf numFmtId="0" fontId="16" fillId="12" borderId="0" xfId="0" applyFont="1" applyFill="1" applyAlignment="1">
      <alignment vertical="center"/>
    </xf>
  </cellXfs>
  <cellStyles count="2">
    <cellStyle name="Normal" xfId="0" builtinId="0"/>
    <cellStyle name="Normal 2" xfId="1" xr:uid="{00000000-0005-0000-0000-000001000000}"/>
  </cellStyles>
  <dxfs count="2">
    <dxf>
      <font>
        <color auto="1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>
          <bgColor theme="6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Personnalisé 1">
      <a:dk1>
        <a:sysClr val="windowText" lastClr="000000"/>
      </a:dk1>
      <a:lt1>
        <a:sysClr val="window" lastClr="FFFFFF"/>
      </a:lt1>
      <a:dk2>
        <a:srgbClr val="1F497D"/>
      </a:dk2>
      <a:lt2>
        <a:srgbClr val="E6E6E6"/>
      </a:lt2>
      <a:accent1>
        <a:srgbClr val="571CB5"/>
      </a:accent1>
      <a:accent2>
        <a:srgbClr val="8FC4E6"/>
      </a:accent2>
      <a:accent3>
        <a:srgbClr val="009DE0"/>
      </a:accent3>
      <a:accent4>
        <a:srgbClr val="7AB51C"/>
      </a:accent4>
      <a:accent5>
        <a:srgbClr val="E6DC8F"/>
      </a:accent5>
      <a:accent6>
        <a:srgbClr val="E6B08F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2"/>
  <dimension ref="A1:AE218"/>
  <sheetViews>
    <sheetView showGridLines="0" tabSelected="1" workbookViewId="0">
      <selection activeCell="AH13" sqref="AH13"/>
    </sheetView>
  </sheetViews>
  <sheetFormatPr baseColWidth="10" defaultColWidth="10.703125" defaultRowHeight="20.100000000000001" customHeight="1" x14ac:dyDescent="0.5"/>
  <cols>
    <col min="1" max="14" width="10.703125" style="39"/>
    <col min="15" max="15" width="10.703125" style="105"/>
    <col min="16" max="17" width="2.703125" style="105" customWidth="1"/>
    <col min="18" max="22" width="10.703125" style="105"/>
    <col min="23" max="31" width="10.703125" style="104"/>
    <col min="32" max="16384" width="10.703125" style="39"/>
  </cols>
  <sheetData>
    <row r="1" spans="1:19" ht="20.100000000000001" customHeight="1" thickBot="1" x14ac:dyDescent="0.55000000000000004">
      <c r="A1" s="53"/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9" ht="20.100000000000001" customHeight="1" x14ac:dyDescent="0.5">
      <c r="A2" s="49" t="s">
        <v>45</v>
      </c>
      <c r="B2" s="50"/>
      <c r="C2" s="50"/>
      <c r="D2" s="50"/>
      <c r="E2" s="50"/>
      <c r="F2" s="51" t="s">
        <v>57</v>
      </c>
      <c r="G2" s="50"/>
      <c r="H2" s="50"/>
      <c r="I2" s="50"/>
      <c r="J2" s="50"/>
      <c r="K2" s="50"/>
      <c r="L2" s="50"/>
      <c r="M2" s="50"/>
      <c r="N2" s="52"/>
    </row>
    <row r="3" spans="1:19" ht="20.100000000000001" customHeight="1" x14ac:dyDescent="0.5">
      <c r="A3" s="81" t="s">
        <v>46</v>
      </c>
      <c r="B3" s="82"/>
      <c r="C3" s="82"/>
      <c r="D3" s="83"/>
      <c r="E3" s="83"/>
      <c r="F3" s="83"/>
      <c r="G3" s="83"/>
      <c r="H3" s="82" t="s">
        <v>47</v>
      </c>
      <c r="I3" s="82"/>
      <c r="J3" s="82"/>
      <c r="K3" s="83"/>
      <c r="L3" s="83"/>
      <c r="M3" s="83"/>
      <c r="N3" s="84"/>
    </row>
    <row r="4" spans="1:19" ht="20.100000000000001" customHeight="1" x14ac:dyDescent="0.5">
      <c r="A4" s="96" t="s">
        <v>50</v>
      </c>
      <c r="B4" s="97"/>
      <c r="C4" s="97"/>
      <c r="D4" s="94"/>
      <c r="E4" s="94"/>
      <c r="F4" s="94"/>
      <c r="G4" s="94"/>
      <c r="H4" s="88" t="s">
        <v>49</v>
      </c>
      <c r="I4" s="88"/>
      <c r="J4" s="88"/>
      <c r="K4" s="89"/>
      <c r="L4" s="89"/>
      <c r="M4" s="89"/>
      <c r="N4" s="90"/>
    </row>
    <row r="5" spans="1:19" ht="20.100000000000001" customHeight="1" thickBot="1" x14ac:dyDescent="0.55000000000000004">
      <c r="A5" s="98"/>
      <c r="B5" s="99"/>
      <c r="C5" s="99"/>
      <c r="D5" s="95"/>
      <c r="E5" s="95"/>
      <c r="F5" s="95"/>
      <c r="G5" s="95"/>
      <c r="H5" s="91" t="s">
        <v>48</v>
      </c>
      <c r="I5" s="91"/>
      <c r="J5" s="91"/>
      <c r="K5" s="92"/>
      <c r="L5" s="92"/>
      <c r="M5" s="92"/>
      <c r="N5" s="93"/>
    </row>
    <row r="6" spans="1:19" ht="20.100000000000001" customHeight="1" x14ac:dyDescent="0.5">
      <c r="A6" s="53"/>
      <c r="B6" s="53"/>
      <c r="C6" s="53"/>
      <c r="D6" s="53"/>
      <c r="E6" s="53"/>
      <c r="F6" s="53"/>
      <c r="G6" s="53"/>
      <c r="H6" s="53"/>
      <c r="I6" s="53"/>
      <c r="J6" s="53"/>
      <c r="K6" s="53"/>
      <c r="L6" s="53"/>
      <c r="M6" s="53"/>
      <c r="N6" s="54"/>
    </row>
    <row r="7" spans="1:19" ht="20.100000000000001" customHeight="1" x14ac:dyDescent="0.5">
      <c r="A7" s="85" t="s">
        <v>51</v>
      </c>
      <c r="B7" s="86"/>
      <c r="C7" s="86"/>
      <c r="D7" s="86"/>
      <c r="E7" s="86"/>
      <c r="F7" s="86"/>
      <c r="G7" s="86"/>
      <c r="H7" s="86"/>
      <c r="I7" s="86"/>
      <c r="J7" s="86"/>
      <c r="K7" s="86"/>
      <c r="L7" s="86"/>
      <c r="M7" s="86"/>
      <c r="N7" s="55"/>
    </row>
    <row r="8" spans="1:19" ht="20.100000000000001" customHeight="1" x14ac:dyDescent="0.5">
      <c r="A8" s="79" t="s">
        <v>2</v>
      </c>
      <c r="B8" s="79"/>
      <c r="C8" s="80" t="s">
        <v>40</v>
      </c>
      <c r="D8" s="80" t="s">
        <v>53</v>
      </c>
      <c r="E8" s="80"/>
      <c r="F8" s="79" t="s">
        <v>41</v>
      </c>
      <c r="G8" s="80" t="s">
        <v>52</v>
      </c>
      <c r="H8" s="80"/>
      <c r="I8" s="79" t="s">
        <v>41</v>
      </c>
      <c r="J8" s="78" t="s">
        <v>54</v>
      </c>
      <c r="K8" s="78"/>
      <c r="L8" s="78" t="s">
        <v>42</v>
      </c>
      <c r="M8" s="78"/>
      <c r="N8" s="56"/>
    </row>
    <row r="9" spans="1:19" ht="20.100000000000001" customHeight="1" x14ac:dyDescent="0.5">
      <c r="A9" s="79"/>
      <c r="B9" s="79"/>
      <c r="C9" s="80"/>
      <c r="D9" s="80"/>
      <c r="E9" s="80"/>
      <c r="F9" s="79"/>
      <c r="G9" s="80"/>
      <c r="H9" s="80"/>
      <c r="I9" s="79"/>
      <c r="J9" s="87">
        <f>COUNT(J11:K31)</f>
        <v>0</v>
      </c>
      <c r="K9" s="87"/>
      <c r="L9" s="87">
        <f>COUNTIF(L11:M31,"=oui")</f>
        <v>0</v>
      </c>
      <c r="M9" s="87"/>
      <c r="N9" s="54"/>
      <c r="R9" s="105">
        <f>J9</f>
        <v>0</v>
      </c>
      <c r="S9" s="105">
        <f>L9</f>
        <v>0</v>
      </c>
    </row>
    <row r="10" spans="1:19" ht="20.100000000000001" customHeight="1" x14ac:dyDescent="0.5">
      <c r="A10" s="79"/>
      <c r="B10" s="79"/>
      <c r="C10" s="80"/>
      <c r="D10" s="80"/>
      <c r="E10" s="80"/>
      <c r="F10" s="79"/>
      <c r="G10" s="80"/>
      <c r="H10" s="80"/>
      <c r="I10" s="79"/>
      <c r="J10" s="78" t="s">
        <v>43</v>
      </c>
      <c r="K10" s="78"/>
      <c r="L10" s="78" t="s">
        <v>44</v>
      </c>
      <c r="M10" s="78"/>
      <c r="N10" s="54"/>
    </row>
    <row r="11" spans="1:19" ht="20.100000000000001" customHeight="1" x14ac:dyDescent="0.5">
      <c r="A11" s="76" t="s">
        <v>9</v>
      </c>
      <c r="B11" s="76"/>
      <c r="C11" s="42">
        <f>VLOOKUP(A11, 'SeuilsComparaison-EMT'!$C$5:$E$28, 3, FALSE)</f>
        <v>3</v>
      </c>
      <c r="D11" s="77"/>
      <c r="E11" s="77"/>
      <c r="F11" s="40"/>
      <c r="G11" s="77"/>
      <c r="H11" s="77"/>
      <c r="I11" s="40"/>
      <c r="J11" s="77" t="str">
        <f>IF(OR(G11="",D11=""),"",IF(ISERROR(VLOOKUP(A11,'SeuilsComparaison-EMT'!$C$5:$J$25,4,FALSE)),"-",IF(OR(IF(ISTEXT(G11)=TRUE,SUBSTITUTE(G11,"&lt;","",1)*1,G11)&gt;VLOOKUP(A11,'SeuilsComparaison-EMT'!$C$5:$J$25,4,FALSE),IF(ISTEXT(D11)=TRUE,SUBSTITUTE(D11,"&lt;","",1)*1,D11)&gt;VLOOKUP(A11,'SeuilsComparaison-EMT'!$C$5:$J$25,4,FALSE)=TRUE),(IF(ISTEXT(D11)=TRUE,SUBSTITUTE(D11,"&lt;","",1)*1,D11)-((IF(ISTEXT(D11)=TRUE,SUBSTITUTE(D11,"&lt;","",1)*1,D11)+IF(ISTEXT(G11)=TRUE,SUBSTITUTE(G11,"&lt;","",1)*1,G11))/2))/((IF(ISTEXT(D11)=TRUE,SUBSTITUTE(D11,"&lt;","",1)*1,D11)+IF(ISTEXT(G11)=TRUE,SUBSTITUTE(G11,"&lt;","",1),G11))/2),"-")))</f>
        <v/>
      </c>
      <c r="K11" s="77"/>
      <c r="L11" s="77"/>
      <c r="M11" s="77"/>
      <c r="N11" s="54"/>
    </row>
    <row r="12" spans="1:19" ht="20.100000000000001" customHeight="1" x14ac:dyDescent="0.5">
      <c r="A12" s="68" t="s">
        <v>11</v>
      </c>
      <c r="B12" s="68"/>
      <c r="C12" s="43">
        <f>VLOOKUP(A12, 'SeuilsComparaison-EMT'!$C$5:$E$28, 3, FALSE)</f>
        <v>30</v>
      </c>
      <c r="D12" s="69"/>
      <c r="E12" s="69"/>
      <c r="F12" s="41"/>
      <c r="G12" s="69"/>
      <c r="H12" s="69"/>
      <c r="I12" s="41"/>
      <c r="J12" s="69" t="str">
        <f>IF(OR(G12="",D12=""),"",IF(ISERROR(VLOOKUP(A12,'SeuilsComparaison-EMT'!$C$5:$J$25,4,FALSE)),"-",IF(OR(IF(ISTEXT(G12)=TRUE,SUBSTITUTE(G12,"&lt;","",1)*1,G12)&gt;VLOOKUP(A12,'SeuilsComparaison-EMT'!$C$5:$J$25,4,FALSE),IF(ISTEXT(D12)=TRUE,SUBSTITUTE(D12,"&lt;","",1)*1,D12)&gt;VLOOKUP(A12,'SeuilsComparaison-EMT'!$C$5:$J$25,4,FALSE)=TRUE),(IF(ISTEXT(D12)=TRUE,SUBSTITUTE(D12,"&lt;","",1)*1,D12)-((IF(ISTEXT(D12)=TRUE,SUBSTITUTE(D12,"&lt;","",1)*1,D12)+IF(ISTEXT(G12)=TRUE,SUBSTITUTE(G12,"&lt;","",1)*1,G12))/2))/((IF(ISTEXT(D12)=TRUE,SUBSTITUTE(D12,"&lt;","",1)*1,D12)+IF(ISTEXT(G12)=TRUE,SUBSTITUTE(G12,"&lt;","",1),G12))/2),"-")))</f>
        <v/>
      </c>
      <c r="K12" s="69"/>
      <c r="L12" s="69"/>
      <c r="M12" s="69"/>
      <c r="N12" s="54"/>
    </row>
    <row r="13" spans="1:19" ht="20.100000000000001" customHeight="1" x14ac:dyDescent="0.5">
      <c r="A13" s="68" t="s">
        <v>12</v>
      </c>
      <c r="B13" s="68"/>
      <c r="C13" s="43">
        <f>VLOOKUP(A13, 'SeuilsComparaison-EMT'!$C$5:$E$28, 3, FALSE)</f>
        <v>10</v>
      </c>
      <c r="D13" s="69"/>
      <c r="E13" s="69"/>
      <c r="F13" s="41"/>
      <c r="G13" s="69"/>
      <c r="H13" s="69"/>
      <c r="I13" s="41"/>
      <c r="J13" s="69" t="str">
        <f>IF(OR(G13="",D13=""),"",IF(ISERROR(VLOOKUP(A13,'SeuilsComparaison-EMT'!$C$5:$J$25,4,FALSE)),"-",IF(OR(IF(ISTEXT(G13)=TRUE,SUBSTITUTE(G13,"&lt;","",1)*1,G13)&gt;VLOOKUP(A13,'SeuilsComparaison-EMT'!$C$5:$J$25,4,FALSE),IF(ISTEXT(D13)=TRUE,SUBSTITUTE(D13,"&lt;","",1)*1,D13)&gt;VLOOKUP(A13,'SeuilsComparaison-EMT'!$C$5:$J$25,4,FALSE)=TRUE),(IF(ISTEXT(D13)=TRUE,SUBSTITUTE(D13,"&lt;","",1)*1,D13)-((IF(ISTEXT(D13)=TRUE,SUBSTITUTE(D13,"&lt;","",1)*1,D13)+IF(ISTEXT(G13)=TRUE,SUBSTITUTE(G13,"&lt;","",1)*1,G13))/2))/((IF(ISTEXT(D13)=TRUE,SUBSTITUTE(D13,"&lt;","",1)*1,D13)+IF(ISTEXT(G13)=TRUE,SUBSTITUTE(G13,"&lt;","",1),G13))/2),"-")))</f>
        <v/>
      </c>
      <c r="K13" s="69"/>
      <c r="L13" s="69"/>
      <c r="M13" s="69"/>
      <c r="N13" s="54"/>
    </row>
    <row r="14" spans="1:19" ht="20.100000000000001" customHeight="1" x14ac:dyDescent="0.5">
      <c r="A14" s="68" t="s">
        <v>13</v>
      </c>
      <c r="B14" s="68"/>
      <c r="C14" s="43">
        <f>VLOOKUP(A14, 'SeuilsComparaison-EMT'!$C$5:$E$28, 3, FALSE)</f>
        <v>2</v>
      </c>
      <c r="D14" s="69"/>
      <c r="E14" s="69"/>
      <c r="F14" s="41"/>
      <c r="G14" s="69"/>
      <c r="H14" s="69"/>
      <c r="I14" s="41"/>
      <c r="J14" s="69" t="str">
        <f>IF(OR(G14="",D14=""),"",IF(ISERROR(VLOOKUP(A14,'SeuilsComparaison-EMT'!$C$5:$J$25,4,FALSE)),"-",IF(OR(IF(ISTEXT(G14)=TRUE,SUBSTITUTE(G14,"&lt;","",1)*1,G14)&gt;VLOOKUP(A14,'SeuilsComparaison-EMT'!$C$5:$J$25,4,FALSE),IF(ISTEXT(D14)=TRUE,SUBSTITUTE(D14,"&lt;","",1)*1,D14)&gt;VLOOKUP(A14,'SeuilsComparaison-EMT'!$C$5:$J$25,4,FALSE)=TRUE),(IF(ISTEXT(D14)=TRUE,SUBSTITUTE(D14,"&lt;","",1)*1,D14)-((IF(ISTEXT(D14)=TRUE,SUBSTITUTE(D14,"&lt;","",1)*1,D14)+IF(ISTEXT(G14)=TRUE,SUBSTITUTE(G14,"&lt;","",1)*1,G14))/2))/((IF(ISTEXT(D14)=TRUE,SUBSTITUTE(D14,"&lt;","",1)*1,D14)+IF(ISTEXT(G14)=TRUE,SUBSTITUTE(G14,"&lt;","",1),G14))/2),"-")))</f>
        <v/>
      </c>
      <c r="K14" s="69"/>
      <c r="L14" s="69"/>
      <c r="M14" s="69"/>
      <c r="N14" s="54"/>
    </row>
    <row r="15" spans="1:19" ht="20.100000000000001" customHeight="1" x14ac:dyDescent="0.5">
      <c r="A15" s="68" t="s">
        <v>15</v>
      </c>
      <c r="B15" s="68"/>
      <c r="C15" s="43">
        <f>VLOOKUP(A15, 'SeuilsComparaison-EMT'!$C$5:$E$28, 3, FALSE)</f>
        <v>0.5</v>
      </c>
      <c r="D15" s="69"/>
      <c r="E15" s="69"/>
      <c r="F15" s="41"/>
      <c r="G15" s="69"/>
      <c r="H15" s="69"/>
      <c r="I15" s="41"/>
      <c r="J15" s="69" t="str">
        <f>IF(OR(G15="",D15=""),"",IF(ISERROR(VLOOKUP(A15,'SeuilsComparaison-EMT'!$C$5:$J$25,4,FALSE)),"-",IF(OR(IF(ISTEXT(G15)=TRUE,SUBSTITUTE(G15,"&lt;","",1)*1,G15)&gt;VLOOKUP(A15,'SeuilsComparaison-EMT'!$C$5:$J$25,4,FALSE),IF(ISTEXT(D15)=TRUE,SUBSTITUTE(D15,"&lt;","",1)*1,D15)&gt;VLOOKUP(A15,'SeuilsComparaison-EMT'!$C$5:$J$25,4,FALSE)=TRUE),(IF(ISTEXT(D15)=TRUE,SUBSTITUTE(D15,"&lt;","",1)*1,D15)-((IF(ISTEXT(D15)=TRUE,SUBSTITUTE(D15,"&lt;","",1)*1,D15)+IF(ISTEXT(G15)=TRUE,SUBSTITUTE(G15,"&lt;","",1)*1,G15))/2))/((IF(ISTEXT(D15)=TRUE,SUBSTITUTE(D15,"&lt;","",1)*1,D15)+IF(ISTEXT(G15)=TRUE,SUBSTITUTE(G15,"&lt;","",1),G15))/2),"-")))</f>
        <v/>
      </c>
      <c r="K15" s="69"/>
      <c r="L15" s="69"/>
      <c r="M15" s="69"/>
      <c r="N15" s="54"/>
    </row>
    <row r="16" spans="1:19" ht="20.100000000000001" customHeight="1" x14ac:dyDescent="0.5">
      <c r="A16" s="68" t="s">
        <v>18</v>
      </c>
      <c r="B16" s="68"/>
      <c r="C16" s="43">
        <f>VLOOKUP(A16, 'SeuilsComparaison-EMT'!$C$5:$E$28, 3, FALSE)</f>
        <v>0.5</v>
      </c>
      <c r="D16" s="69"/>
      <c r="E16" s="69"/>
      <c r="F16" s="41"/>
      <c r="G16" s="69"/>
      <c r="H16" s="69"/>
      <c r="I16" s="41"/>
      <c r="J16" s="69" t="str">
        <f>IF(OR(G16="",D16=""),"",IF(ISERROR(VLOOKUP(A16,'SeuilsComparaison-EMT'!$C$5:$J$25,4,FALSE)),"-",IF(OR(IF(ISTEXT(G16)=TRUE,SUBSTITUTE(G16,"&lt;","",1)*1,G16)&gt;VLOOKUP(A16,'SeuilsComparaison-EMT'!$C$5:$J$25,4,FALSE),IF(ISTEXT(D16)=TRUE,SUBSTITUTE(D16,"&lt;","",1)*1,D16)&gt;VLOOKUP(A16,'SeuilsComparaison-EMT'!$C$5:$J$25,4,FALSE)=TRUE),(IF(ISTEXT(D16)=TRUE,SUBSTITUTE(D16,"&lt;","",1)*1,D16)-((IF(ISTEXT(D16)=TRUE,SUBSTITUTE(D16,"&lt;","",1)*1,D16)+IF(ISTEXT(G16)=TRUE,SUBSTITUTE(G16,"&lt;","",1)*1,G16))/2))/((IF(ISTEXT(D16)=TRUE,SUBSTITUTE(D16,"&lt;","",1)*1,D16)+IF(ISTEXT(G16)=TRUE,SUBSTITUTE(G16,"&lt;","",1),G16))/2),"-")))</f>
        <v/>
      </c>
      <c r="K16" s="69"/>
      <c r="L16" s="69"/>
      <c r="M16" s="69"/>
      <c r="N16" s="54"/>
    </row>
    <row r="17" spans="1:14" ht="20.100000000000001" customHeight="1" x14ac:dyDescent="0.5">
      <c r="A17" s="68" t="s">
        <v>20</v>
      </c>
      <c r="B17" s="68"/>
      <c r="C17" s="43">
        <f>VLOOKUP(A17, 'SeuilsComparaison-EMT'!$C$5:$E$28, 3, FALSE)</f>
        <v>0.05</v>
      </c>
      <c r="D17" s="69"/>
      <c r="E17" s="69"/>
      <c r="F17" s="41"/>
      <c r="G17" s="69"/>
      <c r="H17" s="69"/>
      <c r="I17" s="41"/>
      <c r="J17" s="69" t="str">
        <f>IF(OR(G17="",D17=""),"",IF(ISERROR(VLOOKUP(A17,'SeuilsComparaison-EMT'!$C$5:$J$25,4,FALSE)),"-",IF(OR(IF(ISTEXT(G17)=TRUE,SUBSTITUTE(G17,"&lt;","",1)*1,G17)&gt;VLOOKUP(A17,'SeuilsComparaison-EMT'!$C$5:$J$25,4,FALSE),IF(ISTEXT(D17)=TRUE,SUBSTITUTE(D17,"&lt;","",1)*1,D17)&gt;VLOOKUP(A17,'SeuilsComparaison-EMT'!$C$5:$J$25,4,FALSE)=TRUE),(IF(ISTEXT(D17)=TRUE,SUBSTITUTE(D17,"&lt;","",1)*1,D17)-((IF(ISTEXT(D17)=TRUE,SUBSTITUTE(D17,"&lt;","",1)*1,D17)+IF(ISTEXT(G17)=TRUE,SUBSTITUTE(G17,"&lt;","",1)*1,G17))/2))/((IF(ISTEXT(D17)=TRUE,SUBSTITUTE(D17,"&lt;","",1)*1,D17)+IF(ISTEXT(G17)=TRUE,SUBSTITUTE(G17,"&lt;","",1),G17))/2),"-")))</f>
        <v/>
      </c>
      <c r="K17" s="69"/>
      <c r="L17" s="69"/>
      <c r="M17" s="69"/>
      <c r="N17" s="54"/>
    </row>
    <row r="18" spans="1:14" ht="20.100000000000001" customHeight="1" x14ac:dyDescent="0.5">
      <c r="A18" s="68" t="s">
        <v>22</v>
      </c>
      <c r="B18" s="68"/>
      <c r="C18" s="43">
        <f>VLOOKUP(A18, 'SeuilsComparaison-EMT'!$C$5:$E$28, 3, FALSE)</f>
        <v>1</v>
      </c>
      <c r="D18" s="69"/>
      <c r="E18" s="69"/>
      <c r="F18" s="41"/>
      <c r="G18" s="69"/>
      <c r="H18" s="69"/>
      <c r="I18" s="41"/>
      <c r="J18" s="69" t="str">
        <f>IF(OR(G18="",D18=""),"",IF(ISERROR(VLOOKUP(A18,'SeuilsComparaison-EMT'!$C$5:$J$25,4,FALSE)),"-",IF(OR(IF(ISTEXT(G18)=TRUE,SUBSTITUTE(G18,"&lt;","",1)*1,G18)&gt;VLOOKUP(A18,'SeuilsComparaison-EMT'!$C$5:$J$25,4,FALSE),IF(ISTEXT(D18)=TRUE,SUBSTITUTE(D18,"&lt;","",1)*1,D18)&gt;VLOOKUP(A18,'SeuilsComparaison-EMT'!$C$5:$J$25,4,FALSE)=TRUE),(IF(ISTEXT(D18)=TRUE,SUBSTITUTE(D18,"&lt;","",1)*1,D18)-((IF(ISTEXT(D18)=TRUE,SUBSTITUTE(D18,"&lt;","",1)*1,D18)+IF(ISTEXT(G18)=TRUE,SUBSTITUTE(G18,"&lt;","",1)*1,G18))/2))/((IF(ISTEXT(D18)=TRUE,SUBSTITUTE(D18,"&lt;","",1)*1,D18)+IF(ISTEXT(G18)=TRUE,SUBSTITUTE(G18,"&lt;","",1),G18))/2),"-")))</f>
        <v/>
      </c>
      <c r="K18" s="69"/>
      <c r="L18" s="69"/>
      <c r="M18" s="69"/>
      <c r="N18" s="54"/>
    </row>
    <row r="19" spans="1:14" ht="20.100000000000001" customHeight="1" x14ac:dyDescent="0.5">
      <c r="A19" s="68" t="s">
        <v>24</v>
      </c>
      <c r="B19" s="68"/>
      <c r="C19" s="43">
        <f>VLOOKUP(A19, 'SeuilsComparaison-EMT'!$C$5:$E$28, 3, FALSE)</f>
        <v>0.05</v>
      </c>
      <c r="D19" s="69"/>
      <c r="E19" s="69"/>
      <c r="F19" s="41"/>
      <c r="G19" s="69"/>
      <c r="H19" s="69"/>
      <c r="I19" s="41"/>
      <c r="J19" s="69" t="str">
        <f>IF(OR(G19="",D19=""),"",IF(ISERROR(VLOOKUP(A19,'SeuilsComparaison-EMT'!$C$5:$J$25,4,FALSE)),"-",IF(OR(IF(ISTEXT(G19)=TRUE,SUBSTITUTE(G19,"&lt;","",1)*1,G19)&gt;VLOOKUP(A19,'SeuilsComparaison-EMT'!$C$5:$J$25,4,FALSE),IF(ISTEXT(D19)=TRUE,SUBSTITUTE(D19,"&lt;","",1)*1,D19)&gt;VLOOKUP(A19,'SeuilsComparaison-EMT'!$C$5:$J$25,4,FALSE)=TRUE),(IF(ISTEXT(D19)=TRUE,SUBSTITUTE(D19,"&lt;","",1)*1,D19)-((IF(ISTEXT(D19)=TRUE,SUBSTITUTE(D19,"&lt;","",1)*1,D19)+IF(ISTEXT(G19)=TRUE,SUBSTITUTE(G19,"&lt;","",1)*1,G19))/2))/((IF(ISTEXT(D19)=TRUE,SUBSTITUTE(D19,"&lt;","",1)*1,D19)+IF(ISTEXT(G19)=TRUE,SUBSTITUTE(G19,"&lt;","",1),G19))/2),"-")))</f>
        <v/>
      </c>
      <c r="K19" s="69"/>
      <c r="L19" s="69"/>
      <c r="M19" s="69"/>
      <c r="N19" s="54"/>
    </row>
    <row r="20" spans="1:14" ht="20.100000000000001" customHeight="1" x14ac:dyDescent="0.5">
      <c r="A20" s="68" t="s">
        <v>26</v>
      </c>
      <c r="B20" s="68"/>
      <c r="C20" s="43">
        <f>VLOOKUP(A20, 'SeuilsComparaison-EMT'!$C$5:$E$28, 3, FALSE)</f>
        <v>5.0000000000000001E-3</v>
      </c>
      <c r="D20" s="69"/>
      <c r="E20" s="69"/>
      <c r="F20" s="41"/>
      <c r="G20" s="69"/>
      <c r="H20" s="69"/>
      <c r="I20" s="41"/>
      <c r="J20" s="69" t="str">
        <f>IF(OR(G20="",D20=""),"",IF(ISERROR(VLOOKUP(A20,'SeuilsComparaison-EMT'!$C$5:$J$25,4,FALSE)),"-",IF(OR(IF(ISTEXT(G20)=TRUE,SUBSTITUTE(G20,"&lt;","",1)*1,G20)&gt;VLOOKUP(A20,'SeuilsComparaison-EMT'!$C$5:$J$25,4,FALSE),IF(ISTEXT(D20)=TRUE,SUBSTITUTE(D20,"&lt;","",1)*1,D20)&gt;VLOOKUP(A20,'SeuilsComparaison-EMT'!$C$5:$J$25,4,FALSE)=TRUE),(IF(ISTEXT(D20)=TRUE,SUBSTITUTE(D20,"&lt;","",1)*1,D20)-((IF(ISTEXT(D20)=TRUE,SUBSTITUTE(D20,"&lt;","",1)*1,D20)+IF(ISTEXT(G20)=TRUE,SUBSTITUTE(G20,"&lt;","",1)*1,G20))/2))/((IF(ISTEXT(D20)=TRUE,SUBSTITUTE(D20,"&lt;","",1)*1,D20)+IF(ISTEXT(G20)=TRUE,SUBSTITUTE(G20,"&lt;","",1),G20))/2),"-")))</f>
        <v/>
      </c>
      <c r="K20" s="69"/>
      <c r="L20" s="69"/>
      <c r="M20" s="69"/>
      <c r="N20" s="54"/>
    </row>
    <row r="21" spans="1:14" ht="20.100000000000001" customHeight="1" x14ac:dyDescent="0.5">
      <c r="A21" s="68" t="s">
        <v>27</v>
      </c>
      <c r="B21" s="68"/>
      <c r="C21" s="43">
        <f>VLOOKUP(A21, 'SeuilsComparaison-EMT'!$C$5:$E$28, 3, FALSE)</f>
        <v>1E-3</v>
      </c>
      <c r="D21" s="69"/>
      <c r="E21" s="69"/>
      <c r="F21" s="41"/>
      <c r="G21" s="69"/>
      <c r="H21" s="69"/>
      <c r="I21" s="41"/>
      <c r="J21" s="69" t="str">
        <f>IF(OR(G21="",D21=""),"",IF(ISERROR(VLOOKUP(A21,'SeuilsComparaison-EMT'!$C$5:$J$25,4,FALSE)),"-",IF(OR(IF(ISTEXT(G21)=TRUE,SUBSTITUTE(G21,"&lt;","",1)*1,G21)&gt;VLOOKUP(A21,'SeuilsComparaison-EMT'!$C$5:$J$25,4,FALSE),IF(ISTEXT(D21)=TRUE,SUBSTITUTE(D21,"&lt;","",1)*1,D21)&gt;VLOOKUP(A21,'SeuilsComparaison-EMT'!$C$5:$J$25,4,FALSE)=TRUE),(IF(ISTEXT(D21)=TRUE,SUBSTITUTE(D21,"&lt;","",1)*1,D21)-((IF(ISTEXT(D21)=TRUE,SUBSTITUTE(D21,"&lt;","",1)*1,D21)+IF(ISTEXT(G21)=TRUE,SUBSTITUTE(G21,"&lt;","",1)*1,G21))/2))/((IF(ISTEXT(D21)=TRUE,SUBSTITUTE(D21,"&lt;","",1)*1,D21)+IF(ISTEXT(G21)=TRUE,SUBSTITUTE(G21,"&lt;","",1),G21))/2),"-")))</f>
        <v/>
      </c>
      <c r="K21" s="69"/>
      <c r="L21" s="69"/>
      <c r="M21" s="69"/>
      <c r="N21" s="54"/>
    </row>
    <row r="22" spans="1:14" ht="20.100000000000001" customHeight="1" x14ac:dyDescent="0.5">
      <c r="A22" s="68" t="s">
        <v>28</v>
      </c>
      <c r="B22" s="68"/>
      <c r="C22" s="43">
        <f>VLOOKUP(A22, 'SeuilsComparaison-EMT'!$C$5:$E$28, 3, FALSE)</f>
        <v>5.0000000000000001E-3</v>
      </c>
      <c r="D22" s="69"/>
      <c r="E22" s="69"/>
      <c r="F22" s="41"/>
      <c r="G22" s="69"/>
      <c r="H22" s="69"/>
      <c r="I22" s="41"/>
      <c r="J22" s="69" t="str">
        <f>IF(OR(G22="",D22=""),"",IF(ISERROR(VLOOKUP(A22,'SeuilsComparaison-EMT'!$C$5:$J$25,4,FALSE)),"-",IF(OR(IF(ISTEXT(G22)=TRUE,SUBSTITUTE(G22,"&lt;","",1)*1,G22)&gt;VLOOKUP(A22,'SeuilsComparaison-EMT'!$C$5:$J$25,4,FALSE),IF(ISTEXT(D22)=TRUE,SUBSTITUTE(D22,"&lt;","",1)*1,D22)&gt;VLOOKUP(A22,'SeuilsComparaison-EMT'!$C$5:$J$25,4,FALSE)=TRUE),(IF(ISTEXT(D22)=TRUE,SUBSTITUTE(D22,"&lt;","",1)*1,D22)-((IF(ISTEXT(D22)=TRUE,SUBSTITUTE(D22,"&lt;","",1)*1,D22)+IF(ISTEXT(G22)=TRUE,SUBSTITUTE(G22,"&lt;","",1)*1,G22))/2))/((IF(ISTEXT(D22)=TRUE,SUBSTITUTE(D22,"&lt;","",1)*1,D22)+IF(ISTEXT(G22)=TRUE,SUBSTITUTE(G22,"&lt;","",1),G22))/2),"-")))</f>
        <v/>
      </c>
      <c r="K22" s="69"/>
      <c r="L22" s="69"/>
      <c r="M22" s="69"/>
      <c r="N22" s="54"/>
    </row>
    <row r="23" spans="1:14" ht="20.100000000000001" customHeight="1" x14ac:dyDescent="0.5">
      <c r="A23" s="68" t="s">
        <v>29</v>
      </c>
      <c r="B23" s="68"/>
      <c r="C23" s="43">
        <f>VLOOKUP(A23, 'SeuilsComparaison-EMT'!$C$5:$E$28, 3, FALSE)</f>
        <v>5.0000000000000001E-3</v>
      </c>
      <c r="D23" s="69"/>
      <c r="E23" s="69"/>
      <c r="F23" s="41"/>
      <c r="G23" s="69"/>
      <c r="H23" s="69"/>
      <c r="I23" s="41"/>
      <c r="J23" s="69" t="str">
        <f>IF(OR(G23="",D23=""),"",IF(ISERROR(VLOOKUP(A23,'SeuilsComparaison-EMT'!$C$5:$J$25,4,FALSE)),"-",IF(OR(IF(ISTEXT(G23)=TRUE,SUBSTITUTE(G23,"&lt;","",1)*1,G23)&gt;VLOOKUP(A23,'SeuilsComparaison-EMT'!$C$5:$J$25,4,FALSE),IF(ISTEXT(D23)=TRUE,SUBSTITUTE(D23,"&lt;","",1)*1,D23)&gt;VLOOKUP(A23,'SeuilsComparaison-EMT'!$C$5:$J$25,4,FALSE)=TRUE),(IF(ISTEXT(D23)=TRUE,SUBSTITUTE(D23,"&lt;","",1)*1,D23)-((IF(ISTEXT(D23)=TRUE,SUBSTITUTE(D23,"&lt;","",1)*1,D23)+IF(ISTEXT(G23)=TRUE,SUBSTITUTE(G23,"&lt;","",1)*1,G23))/2))/((IF(ISTEXT(D23)=TRUE,SUBSTITUTE(D23,"&lt;","",1)*1,D23)+IF(ISTEXT(G23)=TRUE,SUBSTITUTE(G23,"&lt;","",1),G23))/2),"-")))</f>
        <v/>
      </c>
      <c r="K23" s="69"/>
      <c r="L23" s="69"/>
      <c r="M23" s="69"/>
      <c r="N23" s="54"/>
    </row>
    <row r="24" spans="1:14" ht="20.100000000000001" customHeight="1" x14ac:dyDescent="0.5">
      <c r="A24" s="68" t="s">
        <v>30</v>
      </c>
      <c r="B24" s="68"/>
      <c r="C24" s="43">
        <f>VLOOKUP(A24, 'SeuilsComparaison-EMT'!$C$5:$E$28, 3, FALSE)</f>
        <v>2.0000000000000001E-4</v>
      </c>
      <c r="D24" s="69"/>
      <c r="E24" s="69"/>
      <c r="F24" s="41"/>
      <c r="G24" s="69"/>
      <c r="H24" s="69"/>
      <c r="I24" s="41"/>
      <c r="J24" s="69" t="str">
        <f>IF(OR(G24="",D24=""),"",IF(ISERROR(VLOOKUP(A24,'SeuilsComparaison-EMT'!$C$5:$J$25,4,FALSE)),"-",IF(OR(IF(ISTEXT(G24)=TRUE,SUBSTITUTE(G24,"&lt;","",1)*1,G24)&gt;VLOOKUP(A24,'SeuilsComparaison-EMT'!$C$5:$J$25,4,FALSE),IF(ISTEXT(D24)=TRUE,SUBSTITUTE(D24,"&lt;","",1)*1,D24)&gt;VLOOKUP(A24,'SeuilsComparaison-EMT'!$C$5:$J$25,4,FALSE)=TRUE),(IF(ISTEXT(D24)=TRUE,SUBSTITUTE(D24,"&lt;","",1)*1,D24)-((IF(ISTEXT(D24)=TRUE,SUBSTITUTE(D24,"&lt;","",1)*1,D24)+IF(ISTEXT(G24)=TRUE,SUBSTITUTE(G24,"&lt;","",1)*1,G24))/2))/((IF(ISTEXT(D24)=TRUE,SUBSTITUTE(D24,"&lt;","",1)*1,D24)+IF(ISTEXT(G24)=TRUE,SUBSTITUTE(G24,"&lt;","",1),G24))/2),"-")))</f>
        <v/>
      </c>
      <c r="K24" s="69"/>
      <c r="L24" s="69"/>
      <c r="M24" s="69"/>
      <c r="N24" s="54"/>
    </row>
    <row r="25" spans="1:14" ht="20.100000000000001" customHeight="1" x14ac:dyDescent="0.5">
      <c r="A25" s="68" t="s">
        <v>31</v>
      </c>
      <c r="B25" s="68"/>
      <c r="C25" s="43">
        <f>VLOOKUP(A25, 'SeuilsComparaison-EMT'!$C$5:$E$28, 3, FALSE)</f>
        <v>5.0000000000000001E-3</v>
      </c>
      <c r="D25" s="69"/>
      <c r="E25" s="69"/>
      <c r="F25" s="41"/>
      <c r="G25" s="69"/>
      <c r="H25" s="69"/>
      <c r="I25" s="41"/>
      <c r="J25" s="69" t="str">
        <f>IF(OR(G25="",D25=""),"",IF(ISERROR(VLOOKUP(A25,'SeuilsComparaison-EMT'!$C$5:$J$25,4,FALSE)),"-",IF(OR(IF(ISTEXT(G25)=TRUE,SUBSTITUTE(G25,"&lt;","",1)*1,G25)&gt;VLOOKUP(A25,'SeuilsComparaison-EMT'!$C$5:$J$25,4,FALSE),IF(ISTEXT(D25)=TRUE,SUBSTITUTE(D25,"&lt;","",1)*1,D25)&gt;VLOOKUP(A25,'SeuilsComparaison-EMT'!$C$5:$J$25,4,FALSE)=TRUE),(IF(ISTEXT(D25)=TRUE,SUBSTITUTE(D25,"&lt;","",1)*1,D25)-((IF(ISTEXT(D25)=TRUE,SUBSTITUTE(D25,"&lt;","",1)*1,D25)+IF(ISTEXT(G25)=TRUE,SUBSTITUTE(G25,"&lt;","",1)*1,G25))/2))/((IF(ISTEXT(D25)=TRUE,SUBSTITUTE(D25,"&lt;","",1)*1,D25)+IF(ISTEXT(G25)=TRUE,SUBSTITUTE(G25,"&lt;","",1),G25))/2),"-")))</f>
        <v/>
      </c>
      <c r="K25" s="69"/>
      <c r="L25" s="69"/>
      <c r="M25" s="69"/>
      <c r="N25" s="54"/>
    </row>
    <row r="26" spans="1:14" ht="20.100000000000001" customHeight="1" x14ac:dyDescent="0.5">
      <c r="A26" s="68" t="s">
        <v>32</v>
      </c>
      <c r="B26" s="68"/>
      <c r="C26" s="43">
        <f>VLOOKUP(A26, 'SeuilsComparaison-EMT'!$C$5:$E$28, 3, FALSE)</f>
        <v>2E-3</v>
      </c>
      <c r="D26" s="69"/>
      <c r="E26" s="69"/>
      <c r="F26" s="41"/>
      <c r="G26" s="69"/>
      <c r="H26" s="69"/>
      <c r="I26" s="41"/>
      <c r="J26" s="69" t="str">
        <f>IF(OR(G26="",D26=""),"",IF(ISERROR(VLOOKUP(A26,'SeuilsComparaison-EMT'!$C$5:$J$25,4,FALSE)),"-",IF(OR(IF(ISTEXT(G26)=TRUE,SUBSTITUTE(G26,"&lt;","",1)*1,G26)&gt;VLOOKUP(A26,'SeuilsComparaison-EMT'!$C$5:$J$25,4,FALSE),IF(ISTEXT(D26)=TRUE,SUBSTITUTE(D26,"&lt;","",1)*1,D26)&gt;VLOOKUP(A26,'SeuilsComparaison-EMT'!$C$5:$J$25,4,FALSE)=TRUE),(IF(ISTEXT(D26)=TRUE,SUBSTITUTE(D26,"&lt;","",1)*1,D26)-((IF(ISTEXT(D26)=TRUE,SUBSTITUTE(D26,"&lt;","",1)*1,D26)+IF(ISTEXT(G26)=TRUE,SUBSTITUTE(G26,"&lt;","",1)*1,G26))/2))/((IF(ISTEXT(D26)=TRUE,SUBSTITUTE(D26,"&lt;","",1)*1,D26)+IF(ISTEXT(G26)=TRUE,SUBSTITUTE(G26,"&lt;","",1),G26))/2),"-")))</f>
        <v/>
      </c>
      <c r="K26" s="69"/>
      <c r="L26" s="69"/>
      <c r="M26" s="69"/>
      <c r="N26" s="54"/>
    </row>
    <row r="27" spans="1:14" ht="20.100000000000001" customHeight="1" x14ac:dyDescent="0.5">
      <c r="A27" s="68" t="s">
        <v>33</v>
      </c>
      <c r="B27" s="68"/>
      <c r="C27" s="43">
        <f>VLOOKUP(A27, 'SeuilsComparaison-EMT'!$C$5:$E$28, 3, FALSE)</f>
        <v>5.0000000000000001E-3</v>
      </c>
      <c r="D27" s="69"/>
      <c r="E27" s="69"/>
      <c r="F27" s="41"/>
      <c r="G27" s="69"/>
      <c r="H27" s="69"/>
      <c r="I27" s="41"/>
      <c r="J27" s="69" t="str">
        <f>IF(OR(G27="",D27=""),"",IF(ISERROR(VLOOKUP(A27,'SeuilsComparaison-EMT'!$C$5:$J$25,4,FALSE)),"-",IF(OR(IF(ISTEXT(G27)=TRUE,SUBSTITUTE(G27,"&lt;","",1)*1,G27)&gt;VLOOKUP(A27,'SeuilsComparaison-EMT'!$C$5:$J$25,4,FALSE),IF(ISTEXT(D27)=TRUE,SUBSTITUTE(D27,"&lt;","",1)*1,D27)&gt;VLOOKUP(A27,'SeuilsComparaison-EMT'!$C$5:$J$25,4,FALSE)=TRUE),(IF(ISTEXT(D27)=TRUE,SUBSTITUTE(D27,"&lt;","",1)*1,D27)-((IF(ISTEXT(D27)=TRUE,SUBSTITUTE(D27,"&lt;","",1)*1,D27)+IF(ISTEXT(G27)=TRUE,SUBSTITUTE(G27,"&lt;","",1)*1,G27))/2))/((IF(ISTEXT(D27)=TRUE,SUBSTITUTE(D27,"&lt;","",1)*1,D27)+IF(ISTEXT(G27)=TRUE,SUBSTITUTE(G27,"&lt;","",1),G27))/2),"-")))</f>
        <v/>
      </c>
      <c r="K27" s="69"/>
      <c r="L27" s="69"/>
      <c r="M27" s="69"/>
      <c r="N27" s="54"/>
    </row>
    <row r="28" spans="1:14" ht="20.100000000000001" customHeight="1" x14ac:dyDescent="0.5">
      <c r="A28" s="68" t="s">
        <v>34</v>
      </c>
      <c r="B28" s="68"/>
      <c r="C28" s="43">
        <f>VLOOKUP(A28, 'SeuilsComparaison-EMT'!$C$5:$E$28, 3, FALSE)</f>
        <v>0.01</v>
      </c>
      <c r="D28" s="69"/>
      <c r="E28" s="69"/>
      <c r="F28" s="41"/>
      <c r="G28" s="69"/>
      <c r="H28" s="69"/>
      <c r="I28" s="41"/>
      <c r="J28" s="69" t="str">
        <f>IF(OR(G28="",D28=""),"",IF(ISERROR(VLOOKUP(A28,'SeuilsComparaison-EMT'!$C$5:$J$25,4,FALSE)),"-",IF(OR(IF(ISTEXT(G28)=TRUE,SUBSTITUTE(G28,"&lt;","",1)*1,G28)&gt;VLOOKUP(A28,'SeuilsComparaison-EMT'!$C$5:$J$25,4,FALSE),IF(ISTEXT(D28)=TRUE,SUBSTITUTE(D28,"&lt;","",1)*1,D28)&gt;VLOOKUP(A28,'SeuilsComparaison-EMT'!$C$5:$J$25,4,FALSE)=TRUE),(IF(ISTEXT(D28)=TRUE,SUBSTITUTE(D28,"&lt;","",1)*1,D28)-((IF(ISTEXT(D28)=TRUE,SUBSTITUTE(D28,"&lt;","",1)*1,D28)+IF(ISTEXT(G28)=TRUE,SUBSTITUTE(G28,"&lt;","",1)*1,G28))/2))/((IF(ISTEXT(D28)=TRUE,SUBSTITUTE(D28,"&lt;","",1)*1,D28)+IF(ISTEXT(G28)=TRUE,SUBSTITUTE(G28,"&lt;","",1),G28))/2),"-")))</f>
        <v/>
      </c>
      <c r="K28" s="69"/>
      <c r="L28" s="69"/>
      <c r="M28" s="69"/>
      <c r="N28" s="54"/>
    </row>
    <row r="29" spans="1:14" ht="20.100000000000001" customHeight="1" x14ac:dyDescent="0.5">
      <c r="A29" s="68" t="s">
        <v>35</v>
      </c>
      <c r="B29" s="68"/>
      <c r="C29" s="43">
        <f>VLOOKUP(A29, 'SeuilsComparaison-EMT'!$C$5:$E$28, 3, FALSE)</f>
        <v>0.3</v>
      </c>
      <c r="D29" s="69"/>
      <c r="E29" s="69"/>
      <c r="F29" s="41"/>
      <c r="G29" s="69"/>
      <c r="H29" s="69"/>
      <c r="I29" s="41"/>
      <c r="J29" s="69" t="str">
        <f>IF(OR(G29="",D29=""),"",IF(ISERROR(VLOOKUP(A29,'SeuilsComparaison-EMT'!$C$5:$J$25,4,FALSE)),"-",IF(OR(IF(ISTEXT(G29)=TRUE,SUBSTITUTE(G29,"&lt;","",1)*1,G29)&gt;VLOOKUP(A29,'SeuilsComparaison-EMT'!$C$5:$J$25,4,FALSE),IF(ISTEXT(D29)=TRUE,SUBSTITUTE(D29,"&lt;","",1)*1,D29)&gt;VLOOKUP(A29,'SeuilsComparaison-EMT'!$C$5:$J$25,4,FALSE)=TRUE),(IF(ISTEXT(D29)=TRUE,SUBSTITUTE(D29,"&lt;","",1)*1,D29)-((IF(ISTEXT(D29)=TRUE,SUBSTITUTE(D29,"&lt;","",1)*1,D29)+IF(ISTEXT(G29)=TRUE,SUBSTITUTE(G29,"&lt;","",1)*1,G29))/2))/((IF(ISTEXT(D29)=TRUE,SUBSTITUTE(D29,"&lt;","",1)*1,D29)+IF(ISTEXT(G29)=TRUE,SUBSTITUTE(G29,"&lt;","",1),G29))/2),"-")))</f>
        <v/>
      </c>
      <c r="K29" s="69"/>
      <c r="L29" s="69"/>
      <c r="M29" s="69"/>
      <c r="N29" s="54"/>
    </row>
    <row r="30" spans="1:14" ht="20.100000000000001" customHeight="1" x14ac:dyDescent="0.5">
      <c r="A30" s="68" t="s">
        <v>36</v>
      </c>
      <c r="B30" s="68"/>
      <c r="C30" s="43">
        <f>VLOOKUP(A30, 'SeuilsComparaison-EMT'!$C$5:$E$28, 3, FALSE)</f>
        <v>0</v>
      </c>
      <c r="D30" s="69"/>
      <c r="E30" s="69"/>
      <c r="F30" s="41"/>
      <c r="G30" s="69"/>
      <c r="H30" s="69"/>
      <c r="I30" s="41"/>
      <c r="J30" s="69" t="str">
        <f>IF(OR(G30="",D30=""),"",IF(ISERROR(VLOOKUP(A30,'SeuilsComparaison-EMT'!$C$5:$J$25,4,FALSE)),"-",IF(OR(IF(ISTEXT(G30)=TRUE,SUBSTITUTE(G30,"&lt;","",1)*1,G30)&gt;VLOOKUP(A30,'SeuilsComparaison-EMT'!$C$5:$J$25,4,FALSE),IF(ISTEXT(D30)=TRUE,SUBSTITUTE(D30,"&lt;","",1)*1,D30)&gt;VLOOKUP(A30,'SeuilsComparaison-EMT'!$C$5:$J$25,4,FALSE)=TRUE),(IF(ISTEXT(D30)=TRUE,SUBSTITUTE(D30,"&lt;","",1)*1,D30)-((IF(ISTEXT(D30)=TRUE,SUBSTITUTE(D30,"&lt;","",1)*1,D30)+IF(ISTEXT(G30)=TRUE,SUBSTITUTE(G30,"&lt;","",1)*1,G30))/2))/((IF(ISTEXT(D30)=TRUE,SUBSTITUTE(D30,"&lt;","",1)*1,D30)+IF(ISTEXT(G30)=TRUE,SUBSTITUTE(G30,"&lt;","",1),G30))/2),"-")))</f>
        <v/>
      </c>
      <c r="K30" s="69"/>
      <c r="L30" s="69"/>
      <c r="M30" s="69"/>
      <c r="N30" s="54"/>
    </row>
    <row r="31" spans="1:14" ht="20.100000000000001" customHeight="1" x14ac:dyDescent="0.5">
      <c r="A31" s="70" t="s">
        <v>37</v>
      </c>
      <c r="B31" s="70"/>
      <c r="C31" s="44">
        <f>VLOOKUP(A31, 'SeuilsComparaison-EMT'!$C$5:$E$28, 3, FALSE)</f>
        <v>5</v>
      </c>
      <c r="D31" s="71"/>
      <c r="E31" s="71"/>
      <c r="F31" s="45"/>
      <c r="G31" s="71"/>
      <c r="H31" s="71"/>
      <c r="I31" s="45"/>
      <c r="J31" s="71" t="str">
        <f>IF(OR(G31="",D31=""),"",IF(ISERROR(VLOOKUP(A31,'SeuilsComparaison-EMT'!$C$5:$J$25,4,FALSE)),"-",IF(OR(IF(ISTEXT(G31)=TRUE,SUBSTITUTE(G31,"&lt;","",1)*1,G31)&gt;VLOOKUP(A31,'SeuilsComparaison-EMT'!$C$5:$J$25,4,FALSE),IF(ISTEXT(D31)=TRUE,SUBSTITUTE(D31,"&lt;","",1)*1,D31)&gt;VLOOKUP(A31,'SeuilsComparaison-EMT'!$C$5:$J$25,4,FALSE)=TRUE),(IF(ISTEXT(D31)=TRUE,SUBSTITUTE(D31,"&lt;","",1)*1,D31)-((IF(ISTEXT(D31)=TRUE,SUBSTITUTE(D31,"&lt;","",1)*1,D31)+IF(ISTEXT(G31)=TRUE,SUBSTITUTE(G31,"&lt;","",1)*1,G31))/2))/((IF(ISTEXT(D31)=TRUE,SUBSTITUTE(D31,"&lt;","",1)*1,D31)+IF(ISTEXT(G31)=TRUE,SUBSTITUTE(G31,"&lt;","",1),G31))/2),"-")))</f>
        <v/>
      </c>
      <c r="K31" s="71"/>
      <c r="L31" s="71"/>
      <c r="M31" s="71"/>
      <c r="N31" s="54"/>
    </row>
    <row r="32" spans="1:14" ht="20.100000000000001" customHeight="1" x14ac:dyDescent="0.5">
      <c r="A32" s="74" t="s">
        <v>38</v>
      </c>
      <c r="B32" s="75"/>
      <c r="C32" s="46"/>
      <c r="D32" s="72"/>
      <c r="E32" s="73"/>
      <c r="F32" s="47"/>
      <c r="G32" s="72"/>
      <c r="H32" s="73"/>
      <c r="I32" s="47"/>
      <c r="J32" s="72"/>
      <c r="K32" s="73"/>
      <c r="L32" s="72"/>
      <c r="M32" s="73"/>
      <c r="N32" s="54"/>
    </row>
    <row r="33" spans="1:14" ht="20.100000000000001" customHeight="1" x14ac:dyDescent="0.5">
      <c r="A33" s="53"/>
      <c r="B33" s="53"/>
      <c r="C33" s="53"/>
      <c r="D33" s="53"/>
      <c r="E33" s="53"/>
      <c r="F33" s="53"/>
      <c r="G33" s="53"/>
      <c r="H33" s="53"/>
      <c r="I33" s="53"/>
      <c r="J33" s="53"/>
      <c r="K33" s="53"/>
      <c r="L33" s="53"/>
      <c r="M33" s="53"/>
      <c r="N33" s="54"/>
    </row>
    <row r="34" spans="1:14" ht="20.100000000000001" customHeight="1" x14ac:dyDescent="0.5">
      <c r="A34" s="67" t="s">
        <v>55</v>
      </c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54"/>
    </row>
    <row r="35" spans="1:14" ht="20.100000000000001" customHeight="1" x14ac:dyDescent="0.5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60"/>
      <c r="N35" s="57"/>
    </row>
    <row r="36" spans="1:14" ht="20.100000000000001" customHeight="1" x14ac:dyDescent="0.5">
      <c r="A36" s="61"/>
      <c r="B36" s="62"/>
      <c r="C36" s="62"/>
      <c r="D36" s="62"/>
      <c r="E36" s="62"/>
      <c r="F36" s="62"/>
      <c r="G36" s="62"/>
      <c r="H36" s="62"/>
      <c r="I36" s="62"/>
      <c r="J36" s="62"/>
      <c r="K36" s="62"/>
      <c r="L36" s="62"/>
      <c r="M36" s="63"/>
      <c r="N36" s="57"/>
    </row>
    <row r="37" spans="1:14" ht="20.100000000000001" customHeight="1" x14ac:dyDescent="0.5">
      <c r="A37" s="64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6"/>
      <c r="N37" s="57"/>
    </row>
    <row r="38" spans="1:14" ht="20.100000000000001" customHeight="1" x14ac:dyDescent="0.5">
      <c r="A38" s="53"/>
      <c r="B38" s="53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4"/>
    </row>
    <row r="39" spans="1:14" ht="20.100000000000001" customHeight="1" x14ac:dyDescent="0.5">
      <c r="A39" s="53"/>
      <c r="B39" s="53"/>
      <c r="C39" s="53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4"/>
    </row>
    <row r="40" spans="1:14" ht="20.100000000000001" customHeight="1" x14ac:dyDescent="0.5">
      <c r="A40" s="53"/>
      <c r="B40" s="53"/>
      <c r="C40" s="53"/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4"/>
    </row>
    <row r="41" spans="1:14" ht="20.100000000000001" customHeight="1" x14ac:dyDescent="0.5">
      <c r="A41" s="48"/>
      <c r="B41" s="48"/>
      <c r="C41" s="48"/>
      <c r="D41" s="48"/>
      <c r="E41" s="48"/>
      <c r="F41" s="48"/>
      <c r="G41" s="48"/>
      <c r="H41" s="48"/>
      <c r="I41" s="48"/>
      <c r="J41" s="48"/>
      <c r="K41" s="48"/>
      <c r="L41" s="48"/>
      <c r="M41" s="48"/>
      <c r="N41" s="48"/>
    </row>
    <row r="42" spans="1:14" ht="20.100000000000001" customHeight="1" x14ac:dyDescent="0.5">
      <c r="A42" s="48"/>
      <c r="B42" s="48"/>
      <c r="C42" s="48"/>
      <c r="D42" s="48"/>
      <c r="E42" s="48"/>
      <c r="F42" s="48"/>
      <c r="G42" s="48"/>
      <c r="H42" s="48"/>
      <c r="I42" s="48"/>
      <c r="J42" s="48"/>
      <c r="K42" s="48"/>
      <c r="L42" s="48"/>
      <c r="M42" s="48"/>
      <c r="N42" s="48"/>
    </row>
    <row r="43" spans="1:14" ht="20.100000000000001" customHeight="1" x14ac:dyDescent="0.5">
      <c r="A43" s="48"/>
      <c r="B43" s="48"/>
      <c r="C43" s="48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</row>
    <row r="44" spans="1:14" ht="20.100000000000001" customHeight="1" x14ac:dyDescent="0.5">
      <c r="A44" s="48"/>
      <c r="B44" s="48"/>
      <c r="C44" s="48"/>
      <c r="D44" s="48"/>
      <c r="E44" s="48"/>
      <c r="F44" s="48"/>
      <c r="G44" s="48"/>
      <c r="H44" s="48"/>
      <c r="I44" s="48"/>
      <c r="J44" s="48"/>
      <c r="K44" s="48"/>
      <c r="L44" s="48"/>
      <c r="M44" s="48"/>
      <c r="N44" s="48"/>
    </row>
    <row r="45" spans="1:14" ht="20.100000000000001" customHeight="1" x14ac:dyDescent="0.5">
      <c r="A45" s="48"/>
      <c r="B45" s="48"/>
      <c r="C45" s="48"/>
      <c r="D45" s="48"/>
      <c r="E45" s="48"/>
      <c r="F45" s="48"/>
      <c r="G45" s="48"/>
      <c r="H45" s="48"/>
      <c r="I45" s="48"/>
      <c r="J45" s="48"/>
      <c r="K45" s="48"/>
      <c r="L45" s="48"/>
      <c r="M45" s="48"/>
      <c r="N45" s="48"/>
    </row>
    <row r="46" spans="1:14" ht="20.100000000000001" customHeight="1" x14ac:dyDescent="0.5">
      <c r="A46" s="48"/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</row>
    <row r="47" spans="1:14" ht="20.100000000000001" customHeight="1" x14ac:dyDescent="0.5">
      <c r="A47" s="48"/>
      <c r="B47" s="48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</row>
    <row r="48" spans="1:14" ht="20.100000000000001" customHeight="1" x14ac:dyDescent="0.5">
      <c r="A48" s="48"/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</row>
    <row r="49" spans="1:14" ht="20.100000000000001" customHeight="1" x14ac:dyDescent="0.5">
      <c r="A49" s="48"/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</row>
    <row r="50" spans="1:14" ht="20.100000000000001" customHeight="1" x14ac:dyDescent="0.5">
      <c r="A50" s="48"/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</row>
    <row r="51" spans="1:14" ht="20.100000000000001" customHeight="1" x14ac:dyDescent="0.5">
      <c r="A51" s="48"/>
      <c r="B51" s="48"/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</row>
    <row r="52" spans="1:14" ht="20.100000000000001" customHeight="1" x14ac:dyDescent="0.5">
      <c r="A52" s="48"/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</row>
    <row r="53" spans="1:14" ht="20.100000000000001" customHeight="1" x14ac:dyDescent="0.5">
      <c r="A53" s="48"/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</row>
    <row r="54" spans="1:14" ht="20.100000000000001" customHeight="1" x14ac:dyDescent="0.5">
      <c r="A54" s="48"/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</row>
    <row r="55" spans="1:14" ht="20.100000000000001" customHeight="1" x14ac:dyDescent="0.5">
      <c r="A55" s="48"/>
      <c r="B55" s="48"/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</row>
    <row r="56" spans="1:14" ht="20.100000000000001" customHeight="1" x14ac:dyDescent="0.5">
      <c r="A56" s="48"/>
      <c r="B56" s="48"/>
      <c r="C56" s="48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</row>
    <row r="57" spans="1:14" ht="20.100000000000001" customHeight="1" x14ac:dyDescent="0.5">
      <c r="A57" s="48"/>
      <c r="B57" s="48"/>
      <c r="C57" s="48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</row>
    <row r="58" spans="1:14" ht="20.100000000000001" customHeight="1" x14ac:dyDescent="0.5">
      <c r="A58" s="48"/>
      <c r="B58" s="48"/>
      <c r="C58" s="48"/>
      <c r="D58" s="48"/>
      <c r="E58" s="48"/>
      <c r="F58" s="48"/>
      <c r="G58" s="48"/>
      <c r="H58" s="48"/>
      <c r="I58" s="48"/>
      <c r="J58" s="48"/>
      <c r="K58" s="48"/>
      <c r="L58" s="48"/>
      <c r="M58" s="48"/>
      <c r="N58" s="48"/>
    </row>
    <row r="59" spans="1:14" ht="20.100000000000001" customHeight="1" x14ac:dyDescent="0.5">
      <c r="A59" s="48"/>
      <c r="B59" s="48"/>
      <c r="C59" s="48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</row>
    <row r="60" spans="1:14" ht="20.100000000000001" customHeight="1" x14ac:dyDescent="0.5">
      <c r="A60" s="48"/>
      <c r="B60" s="48"/>
      <c r="C60" s="48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</row>
    <row r="61" spans="1:14" ht="20.100000000000001" customHeight="1" x14ac:dyDescent="0.5">
      <c r="A61" s="48"/>
      <c r="B61" s="48"/>
      <c r="C61" s="48"/>
      <c r="D61" s="48"/>
      <c r="E61" s="48"/>
      <c r="F61" s="48"/>
      <c r="G61" s="48"/>
      <c r="H61" s="48"/>
      <c r="I61" s="48"/>
      <c r="J61" s="48"/>
      <c r="K61" s="48"/>
      <c r="L61" s="48"/>
      <c r="M61" s="48"/>
      <c r="N61" s="48"/>
    </row>
    <row r="62" spans="1:14" ht="20.100000000000001" customHeight="1" x14ac:dyDescent="0.5">
      <c r="A62" s="48"/>
      <c r="B62" s="48"/>
      <c r="C62" s="48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</row>
    <row r="63" spans="1:14" ht="20.100000000000001" customHeight="1" x14ac:dyDescent="0.5">
      <c r="A63" s="48"/>
      <c r="B63" s="48"/>
      <c r="C63" s="48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</row>
    <row r="64" spans="1:14" ht="20.100000000000001" customHeight="1" x14ac:dyDescent="0.5">
      <c r="A64" s="48"/>
      <c r="B64" s="48"/>
      <c r="C64" s="48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8"/>
    </row>
    <row r="65" spans="1:14" ht="20.100000000000001" customHeight="1" x14ac:dyDescent="0.5">
      <c r="A65" s="48"/>
      <c r="B65" s="48"/>
      <c r="C65" s="48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</row>
    <row r="66" spans="1:14" ht="20.100000000000001" customHeight="1" x14ac:dyDescent="0.5">
      <c r="A66" s="48"/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</row>
    <row r="67" spans="1:14" ht="20.100000000000001" customHeight="1" x14ac:dyDescent="0.5">
      <c r="A67" s="48"/>
      <c r="B67" s="48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</row>
    <row r="68" spans="1:14" ht="20.100000000000001" customHeight="1" x14ac:dyDescent="0.5">
      <c r="A68" s="48"/>
      <c r="B68" s="48"/>
      <c r="C68" s="48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</row>
    <row r="69" spans="1:14" ht="20.100000000000001" customHeight="1" x14ac:dyDescent="0.5">
      <c r="A69" s="48"/>
      <c r="B69" s="48"/>
      <c r="C69" s="48"/>
      <c r="D69" s="48"/>
      <c r="E69" s="48"/>
      <c r="F69" s="48"/>
      <c r="G69" s="48"/>
      <c r="H69" s="48"/>
      <c r="I69" s="48"/>
      <c r="J69" s="48"/>
      <c r="K69" s="48"/>
      <c r="L69" s="48"/>
      <c r="M69" s="48"/>
      <c r="N69" s="48"/>
    </row>
    <row r="70" spans="1:14" ht="20.100000000000001" customHeight="1" x14ac:dyDescent="0.5">
      <c r="A70" s="48"/>
      <c r="B70" s="48"/>
      <c r="C70" s="48"/>
      <c r="D70" s="48"/>
      <c r="E70" s="48"/>
      <c r="F70" s="48"/>
      <c r="G70" s="48"/>
      <c r="H70" s="48"/>
      <c r="I70" s="48"/>
      <c r="J70" s="48"/>
      <c r="K70" s="48"/>
      <c r="L70" s="48"/>
      <c r="M70" s="48"/>
      <c r="N70" s="48"/>
    </row>
    <row r="71" spans="1:14" ht="20.100000000000001" customHeight="1" x14ac:dyDescent="0.5">
      <c r="A71" s="48"/>
      <c r="B71" s="48"/>
      <c r="C71" s="48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</row>
    <row r="72" spans="1:14" ht="20.100000000000001" customHeight="1" x14ac:dyDescent="0.5">
      <c r="A72" s="48"/>
      <c r="B72" s="48"/>
      <c r="C72" s="48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/>
    </row>
    <row r="73" spans="1:14" ht="20.100000000000001" customHeight="1" x14ac:dyDescent="0.5">
      <c r="A73" s="48"/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</row>
    <row r="74" spans="1:14" ht="20.100000000000001" customHeight="1" x14ac:dyDescent="0.5">
      <c r="A74" s="48"/>
      <c r="B74" s="48"/>
      <c r="C74" s="48"/>
      <c r="D74" s="48"/>
      <c r="E74" s="48"/>
      <c r="F74" s="48"/>
      <c r="G74" s="48"/>
      <c r="H74" s="48"/>
      <c r="I74" s="48"/>
      <c r="J74" s="48"/>
      <c r="K74" s="48"/>
      <c r="L74" s="48"/>
      <c r="M74" s="48"/>
      <c r="N74" s="48"/>
    </row>
    <row r="75" spans="1:14" ht="20.100000000000001" customHeight="1" x14ac:dyDescent="0.5">
      <c r="A75" s="48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</row>
    <row r="76" spans="1:14" ht="20.100000000000001" customHeight="1" x14ac:dyDescent="0.5">
      <c r="A76" s="48"/>
      <c r="B76" s="48"/>
      <c r="C76" s="48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</row>
    <row r="77" spans="1:14" ht="20.100000000000001" customHeight="1" x14ac:dyDescent="0.5">
      <c r="A77" s="48"/>
      <c r="B77" s="48"/>
      <c r="C77" s="48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</row>
    <row r="78" spans="1:14" ht="20.100000000000001" customHeight="1" x14ac:dyDescent="0.5">
      <c r="A78" s="48"/>
      <c r="B78" s="48"/>
      <c r="C78" s="48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</row>
    <row r="79" spans="1:14" ht="20.100000000000001" customHeight="1" x14ac:dyDescent="0.5">
      <c r="A79" s="48"/>
      <c r="B79" s="48"/>
      <c r="C79" s="48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</row>
    <row r="80" spans="1:14" ht="20.100000000000001" customHeight="1" x14ac:dyDescent="0.5">
      <c r="A80" s="48"/>
      <c r="B80" s="48"/>
      <c r="C80" s="48"/>
      <c r="D80" s="48"/>
      <c r="E80" s="48"/>
      <c r="F80" s="48"/>
      <c r="G80" s="48"/>
      <c r="H80" s="48"/>
      <c r="I80" s="48"/>
      <c r="J80" s="48"/>
      <c r="K80" s="48"/>
      <c r="L80" s="48"/>
      <c r="M80" s="48"/>
      <c r="N80" s="48"/>
    </row>
    <row r="81" spans="1:14" ht="20.100000000000001" customHeight="1" x14ac:dyDescent="0.5">
      <c r="A81" s="48"/>
      <c r="B81" s="48"/>
      <c r="C81" s="48"/>
      <c r="D81" s="48"/>
      <c r="E81" s="48"/>
      <c r="F81" s="48"/>
      <c r="G81" s="48"/>
      <c r="H81" s="48"/>
      <c r="I81" s="48"/>
      <c r="J81" s="48"/>
      <c r="K81" s="48"/>
      <c r="L81" s="48"/>
      <c r="M81" s="48"/>
      <c r="N81" s="48"/>
    </row>
    <row r="82" spans="1:14" ht="20.100000000000001" customHeight="1" x14ac:dyDescent="0.5">
      <c r="A82" s="48"/>
      <c r="B82" s="48"/>
      <c r="C82" s="48"/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</row>
    <row r="83" spans="1:14" ht="20.100000000000001" customHeight="1" x14ac:dyDescent="0.5">
      <c r="A83" s="48"/>
      <c r="B83" s="48"/>
      <c r="C83" s="48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</row>
    <row r="84" spans="1:14" ht="20.100000000000001" customHeight="1" x14ac:dyDescent="0.5">
      <c r="A84" s="48"/>
      <c r="B84" s="48"/>
      <c r="C84" s="48"/>
      <c r="D84" s="48"/>
      <c r="E84" s="48"/>
      <c r="F84" s="48"/>
      <c r="G84" s="48"/>
      <c r="H84" s="48"/>
      <c r="I84" s="48"/>
      <c r="J84" s="48"/>
      <c r="K84" s="48"/>
      <c r="L84" s="48"/>
      <c r="M84" s="48"/>
      <c r="N84" s="48"/>
    </row>
    <row r="85" spans="1:14" ht="20.100000000000001" customHeight="1" x14ac:dyDescent="0.5">
      <c r="A85" s="48"/>
      <c r="B85" s="48"/>
      <c r="C85" s="48"/>
      <c r="D85" s="48"/>
      <c r="E85" s="48"/>
      <c r="F85" s="48"/>
      <c r="G85" s="48"/>
      <c r="H85" s="48"/>
      <c r="I85" s="48"/>
      <c r="J85" s="48"/>
      <c r="K85" s="48"/>
      <c r="L85" s="48"/>
      <c r="M85" s="48"/>
      <c r="N85" s="48"/>
    </row>
    <row r="86" spans="1:14" ht="20.100000000000001" customHeight="1" x14ac:dyDescent="0.5">
      <c r="A86" s="48"/>
      <c r="B86" s="48"/>
      <c r="C86" s="48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</row>
    <row r="87" spans="1:14" ht="20.100000000000001" customHeight="1" x14ac:dyDescent="0.5">
      <c r="A87" s="48"/>
      <c r="B87" s="48"/>
      <c r="C87" s="48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</row>
    <row r="88" spans="1:14" ht="20.100000000000001" customHeight="1" x14ac:dyDescent="0.5">
      <c r="A88" s="48"/>
      <c r="B88" s="48"/>
      <c r="C88" s="48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</row>
    <row r="89" spans="1:14" ht="20.100000000000001" customHeight="1" x14ac:dyDescent="0.5">
      <c r="A89" s="48"/>
      <c r="B89" s="48"/>
      <c r="C89" s="48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</row>
    <row r="90" spans="1:14" ht="20.100000000000001" customHeight="1" x14ac:dyDescent="0.5">
      <c r="A90" s="48"/>
      <c r="B90" s="48"/>
      <c r="C90" s="48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</row>
    <row r="91" spans="1:14" ht="20.100000000000001" customHeight="1" x14ac:dyDescent="0.5">
      <c r="A91" s="48"/>
      <c r="B91" s="48"/>
      <c r="C91" s="48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</row>
    <row r="92" spans="1:14" ht="20.100000000000001" customHeight="1" x14ac:dyDescent="0.5">
      <c r="A92" s="48"/>
      <c r="B92" s="48"/>
      <c r="C92" s="48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</row>
    <row r="93" spans="1:14" ht="20.100000000000001" customHeight="1" x14ac:dyDescent="0.5">
      <c r="A93" s="48"/>
      <c r="B93" s="48"/>
      <c r="C93" s="48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</row>
    <row r="94" spans="1:14" ht="20.100000000000001" customHeight="1" x14ac:dyDescent="0.5">
      <c r="A94" s="48"/>
      <c r="B94" s="48"/>
      <c r="C94" s="48"/>
      <c r="D94" s="48"/>
      <c r="E94" s="48"/>
      <c r="F94" s="48"/>
      <c r="G94" s="48"/>
      <c r="H94" s="48"/>
      <c r="I94" s="48"/>
      <c r="J94" s="48"/>
      <c r="K94" s="48"/>
      <c r="L94" s="48"/>
      <c r="M94" s="48"/>
      <c r="N94" s="48"/>
    </row>
    <row r="95" spans="1:14" ht="20.100000000000001" customHeight="1" x14ac:dyDescent="0.5">
      <c r="A95" s="48"/>
      <c r="B95" s="48"/>
      <c r="C95" s="48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</row>
    <row r="96" spans="1:14" ht="20.100000000000001" customHeight="1" x14ac:dyDescent="0.5">
      <c r="A96" s="48"/>
      <c r="B96" s="48"/>
      <c r="C96" s="48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</row>
    <row r="97" spans="1:14" ht="20.100000000000001" customHeight="1" x14ac:dyDescent="0.5">
      <c r="A97" s="48"/>
      <c r="B97" s="48"/>
      <c r="C97" s="48"/>
      <c r="D97" s="48"/>
      <c r="E97" s="48"/>
      <c r="F97" s="48"/>
      <c r="G97" s="48"/>
      <c r="H97" s="48"/>
      <c r="I97" s="48"/>
      <c r="J97" s="48"/>
      <c r="K97" s="48"/>
      <c r="L97" s="48"/>
      <c r="M97" s="48"/>
      <c r="N97" s="48"/>
    </row>
    <row r="98" spans="1:14" ht="20.100000000000001" customHeight="1" x14ac:dyDescent="0.5">
      <c r="A98" s="48"/>
      <c r="B98" s="48"/>
      <c r="C98" s="48"/>
      <c r="D98" s="48"/>
      <c r="E98" s="48"/>
      <c r="F98" s="48"/>
      <c r="G98" s="48"/>
      <c r="H98" s="48"/>
      <c r="I98" s="48"/>
      <c r="J98" s="48"/>
      <c r="K98" s="48"/>
      <c r="L98" s="48"/>
      <c r="M98" s="48"/>
      <c r="N98" s="48"/>
    </row>
    <row r="99" spans="1:14" ht="20.100000000000001" customHeight="1" x14ac:dyDescent="0.5">
      <c r="A99" s="48"/>
      <c r="B99" s="48"/>
      <c r="C99" s="48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</row>
    <row r="100" spans="1:14" ht="20.100000000000001" customHeight="1" x14ac:dyDescent="0.5">
      <c r="A100" s="48"/>
      <c r="B100" s="48"/>
      <c r="C100" s="48"/>
      <c r="D100" s="48"/>
      <c r="E100" s="48"/>
      <c r="F100" s="48"/>
      <c r="G100" s="48"/>
      <c r="H100" s="48"/>
      <c r="I100" s="48"/>
      <c r="J100" s="48"/>
      <c r="K100" s="48"/>
      <c r="L100" s="48"/>
      <c r="M100" s="48"/>
      <c r="N100" s="48"/>
    </row>
    <row r="101" spans="1:14" ht="20.100000000000001" customHeight="1" x14ac:dyDescent="0.5">
      <c r="A101" s="48"/>
      <c r="B101" s="48"/>
      <c r="C101" s="48"/>
      <c r="D101" s="48"/>
      <c r="E101" s="48"/>
      <c r="F101" s="48"/>
      <c r="G101" s="48"/>
      <c r="H101" s="48"/>
      <c r="I101" s="48"/>
      <c r="J101" s="48"/>
      <c r="K101" s="48"/>
      <c r="L101" s="48"/>
      <c r="M101" s="48"/>
      <c r="N101" s="48"/>
    </row>
    <row r="102" spans="1:14" ht="20.100000000000001" customHeight="1" x14ac:dyDescent="0.5">
      <c r="A102" s="48"/>
      <c r="B102" s="48"/>
      <c r="C102" s="48"/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</row>
    <row r="103" spans="1:14" ht="20.100000000000001" customHeight="1" x14ac:dyDescent="0.5">
      <c r="A103" s="48"/>
      <c r="B103" s="48"/>
      <c r="C103" s="48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</row>
    <row r="104" spans="1:14" ht="20.100000000000001" customHeight="1" x14ac:dyDescent="0.5">
      <c r="A104" s="48"/>
      <c r="B104" s="48"/>
      <c r="C104" s="48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/>
    </row>
    <row r="105" spans="1:14" ht="20.100000000000001" customHeight="1" x14ac:dyDescent="0.5">
      <c r="A105" s="48"/>
      <c r="B105" s="48"/>
      <c r="C105" s="48"/>
      <c r="D105" s="48"/>
      <c r="E105" s="48"/>
      <c r="F105" s="48"/>
      <c r="G105" s="48"/>
      <c r="H105" s="48"/>
      <c r="I105" s="48"/>
      <c r="J105" s="48"/>
      <c r="K105" s="48"/>
      <c r="L105" s="48"/>
      <c r="M105" s="48"/>
      <c r="N105" s="48"/>
    </row>
    <row r="106" spans="1:14" ht="20.100000000000001" customHeight="1" x14ac:dyDescent="0.5">
      <c r="A106" s="48"/>
      <c r="B106" s="48"/>
      <c r="C106" s="48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</row>
    <row r="107" spans="1:14" ht="20.100000000000001" customHeight="1" x14ac:dyDescent="0.5">
      <c r="A107" s="48"/>
      <c r="B107" s="48"/>
      <c r="C107" s="48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</row>
    <row r="108" spans="1:14" ht="20.100000000000001" customHeight="1" x14ac:dyDescent="0.5">
      <c r="A108" s="48"/>
      <c r="B108" s="48"/>
      <c r="C108" s="48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/>
    </row>
    <row r="109" spans="1:14" ht="20.100000000000001" customHeight="1" x14ac:dyDescent="0.5">
      <c r="A109" s="48"/>
      <c r="B109" s="48"/>
      <c r="C109" s="48"/>
      <c r="D109" s="48"/>
      <c r="E109" s="48"/>
      <c r="F109" s="48"/>
      <c r="G109" s="48"/>
      <c r="H109" s="48"/>
      <c r="I109" s="48"/>
      <c r="J109" s="48"/>
      <c r="K109" s="48"/>
      <c r="L109" s="48"/>
      <c r="M109" s="48"/>
      <c r="N109" s="48"/>
    </row>
    <row r="110" spans="1:14" ht="20.100000000000001" customHeight="1" x14ac:dyDescent="0.5">
      <c r="A110" s="48"/>
      <c r="B110" s="48"/>
      <c r="C110" s="48"/>
      <c r="D110" s="48"/>
      <c r="E110" s="48"/>
      <c r="F110" s="48"/>
      <c r="G110" s="48"/>
      <c r="H110" s="48"/>
      <c r="I110" s="48"/>
      <c r="J110" s="48"/>
      <c r="K110" s="48"/>
      <c r="L110" s="48"/>
      <c r="M110" s="48"/>
      <c r="N110" s="48"/>
    </row>
    <row r="111" spans="1:14" ht="20.100000000000001" customHeight="1" x14ac:dyDescent="0.5">
      <c r="A111" s="48"/>
      <c r="B111" s="48"/>
      <c r="C111" s="48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</row>
    <row r="112" spans="1:14" ht="20.100000000000001" customHeight="1" x14ac:dyDescent="0.5">
      <c r="A112" s="48"/>
      <c r="B112" s="48"/>
      <c r="C112" s="48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</row>
    <row r="113" spans="1:14" ht="20.100000000000001" customHeight="1" x14ac:dyDescent="0.5">
      <c r="A113" s="48"/>
      <c r="B113" s="48"/>
      <c r="C113" s="48"/>
      <c r="D113" s="48"/>
      <c r="E113" s="48"/>
      <c r="F113" s="48"/>
      <c r="G113" s="48"/>
      <c r="H113" s="48"/>
      <c r="I113" s="48"/>
      <c r="J113" s="48"/>
      <c r="K113" s="48"/>
      <c r="L113" s="48"/>
      <c r="M113" s="48"/>
      <c r="N113" s="48"/>
    </row>
    <row r="114" spans="1:14" ht="20.100000000000001" customHeight="1" x14ac:dyDescent="0.5">
      <c r="A114" s="48"/>
      <c r="B114" s="48"/>
      <c r="C114" s="48"/>
      <c r="D114" s="48"/>
      <c r="E114" s="48"/>
      <c r="F114" s="48"/>
      <c r="G114" s="48"/>
      <c r="H114" s="48"/>
      <c r="I114" s="48"/>
      <c r="J114" s="48"/>
      <c r="K114" s="48"/>
      <c r="L114" s="48"/>
      <c r="M114" s="48"/>
      <c r="N114" s="48"/>
    </row>
    <row r="115" spans="1:14" ht="20.100000000000001" customHeight="1" x14ac:dyDescent="0.5">
      <c r="A115" s="48"/>
      <c r="B115" s="48"/>
      <c r="C115" s="48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</row>
    <row r="116" spans="1:14" ht="20.100000000000001" customHeight="1" x14ac:dyDescent="0.5">
      <c r="A116" s="48"/>
      <c r="B116" s="48"/>
      <c r="C116" s="48"/>
      <c r="D116" s="48"/>
      <c r="E116" s="48"/>
      <c r="F116" s="48"/>
      <c r="G116" s="48"/>
      <c r="H116" s="48"/>
      <c r="I116" s="48"/>
      <c r="J116" s="48"/>
      <c r="K116" s="48"/>
      <c r="L116" s="48"/>
      <c r="M116" s="48"/>
      <c r="N116" s="48"/>
    </row>
    <row r="117" spans="1:14" ht="20.100000000000001" customHeight="1" x14ac:dyDescent="0.5">
      <c r="A117" s="48"/>
      <c r="B117" s="48"/>
      <c r="C117" s="48"/>
      <c r="D117" s="48"/>
      <c r="E117" s="48"/>
      <c r="F117" s="48"/>
      <c r="G117" s="48"/>
      <c r="H117" s="48"/>
      <c r="I117" s="48"/>
      <c r="J117" s="48"/>
      <c r="K117" s="48"/>
      <c r="L117" s="48"/>
      <c r="M117" s="48"/>
      <c r="N117" s="48"/>
    </row>
    <row r="118" spans="1:14" ht="20.100000000000001" customHeight="1" x14ac:dyDescent="0.5">
      <c r="A118" s="48"/>
      <c r="B118" s="48"/>
      <c r="C118" s="48"/>
      <c r="D118" s="48"/>
      <c r="E118" s="48"/>
      <c r="F118" s="48"/>
      <c r="G118" s="48"/>
      <c r="H118" s="48"/>
      <c r="I118" s="48"/>
      <c r="J118" s="48"/>
      <c r="K118" s="48"/>
      <c r="L118" s="48"/>
      <c r="M118" s="48"/>
      <c r="N118" s="48"/>
    </row>
    <row r="119" spans="1:14" ht="20.100000000000001" customHeight="1" x14ac:dyDescent="0.5">
      <c r="A119" s="48"/>
      <c r="B119" s="48"/>
      <c r="C119" s="48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</row>
    <row r="120" spans="1:14" ht="20.100000000000001" customHeight="1" x14ac:dyDescent="0.5">
      <c r="A120" s="48"/>
      <c r="B120" s="48"/>
      <c r="C120" s="48"/>
      <c r="D120" s="48"/>
      <c r="E120" s="48"/>
      <c r="F120" s="48"/>
      <c r="G120" s="48"/>
      <c r="H120" s="48"/>
      <c r="I120" s="48"/>
      <c r="J120" s="48"/>
      <c r="K120" s="48"/>
      <c r="L120" s="48"/>
      <c r="M120" s="48"/>
      <c r="N120" s="48"/>
    </row>
    <row r="121" spans="1:14" ht="20.100000000000001" customHeight="1" x14ac:dyDescent="0.5">
      <c r="A121" s="48"/>
      <c r="B121" s="48"/>
      <c r="C121" s="48"/>
      <c r="D121" s="48"/>
      <c r="E121" s="48"/>
      <c r="F121" s="48"/>
      <c r="G121" s="48"/>
      <c r="H121" s="48"/>
      <c r="I121" s="48"/>
      <c r="J121" s="48"/>
      <c r="K121" s="48"/>
      <c r="L121" s="48"/>
      <c r="M121" s="48"/>
      <c r="N121" s="48"/>
    </row>
    <row r="122" spans="1:14" ht="20.100000000000001" customHeight="1" x14ac:dyDescent="0.5">
      <c r="A122" s="48"/>
      <c r="B122" s="48"/>
      <c r="C122" s="48"/>
      <c r="D122" s="48"/>
      <c r="E122" s="48"/>
      <c r="F122" s="48"/>
      <c r="G122" s="48"/>
      <c r="H122" s="48"/>
      <c r="I122" s="48"/>
      <c r="J122" s="48"/>
      <c r="K122" s="48"/>
      <c r="L122" s="48"/>
      <c r="M122" s="48"/>
      <c r="N122" s="48"/>
    </row>
    <row r="123" spans="1:14" ht="20.100000000000001" customHeight="1" x14ac:dyDescent="0.5">
      <c r="A123" s="48"/>
      <c r="B123" s="48"/>
      <c r="C123" s="48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</row>
    <row r="124" spans="1:14" ht="20.100000000000001" customHeight="1" x14ac:dyDescent="0.5">
      <c r="A124" s="48"/>
      <c r="B124" s="48"/>
      <c r="C124" s="48"/>
      <c r="D124" s="48"/>
      <c r="E124" s="48"/>
      <c r="F124" s="48"/>
      <c r="G124" s="48"/>
      <c r="H124" s="48"/>
      <c r="I124" s="48"/>
      <c r="J124" s="48"/>
      <c r="K124" s="48"/>
      <c r="L124" s="48"/>
      <c r="M124" s="48"/>
      <c r="N124" s="48"/>
    </row>
    <row r="125" spans="1:14" ht="20.100000000000001" customHeight="1" x14ac:dyDescent="0.5">
      <c r="A125" s="48"/>
      <c r="B125" s="48"/>
      <c r="C125" s="48"/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</row>
    <row r="126" spans="1:14" ht="20.100000000000001" customHeight="1" x14ac:dyDescent="0.5">
      <c r="A126" s="48"/>
      <c r="B126" s="48"/>
      <c r="C126" s="48"/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</row>
    <row r="127" spans="1:14" ht="20.100000000000001" customHeight="1" x14ac:dyDescent="0.5">
      <c r="A127" s="48"/>
      <c r="B127" s="48"/>
      <c r="C127" s="48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</row>
    <row r="128" spans="1:14" ht="20.100000000000001" customHeight="1" x14ac:dyDescent="0.5">
      <c r="A128" s="48"/>
      <c r="B128" s="48"/>
      <c r="C128" s="48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</row>
    <row r="129" spans="1:14" ht="20.100000000000001" customHeight="1" x14ac:dyDescent="0.5">
      <c r="A129" s="48"/>
      <c r="B129" s="48"/>
      <c r="C129" s="48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</row>
    <row r="130" spans="1:14" ht="20.100000000000001" customHeight="1" x14ac:dyDescent="0.5">
      <c r="A130" s="48"/>
      <c r="B130" s="48"/>
      <c r="C130" s="48"/>
      <c r="D130" s="48"/>
      <c r="E130" s="48"/>
      <c r="F130" s="48"/>
      <c r="G130" s="48"/>
      <c r="H130" s="48"/>
      <c r="I130" s="48"/>
      <c r="J130" s="48"/>
      <c r="K130" s="48"/>
      <c r="L130" s="48"/>
      <c r="M130" s="48"/>
      <c r="N130" s="48"/>
    </row>
    <row r="131" spans="1:14" ht="20.100000000000001" customHeight="1" x14ac:dyDescent="0.5">
      <c r="A131" s="48"/>
      <c r="B131" s="48"/>
      <c r="C131" s="48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</row>
    <row r="132" spans="1:14" ht="20.100000000000001" customHeight="1" x14ac:dyDescent="0.5">
      <c r="A132" s="48"/>
      <c r="B132" s="48"/>
      <c r="C132" s="48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</row>
    <row r="133" spans="1:14" ht="20.100000000000001" customHeight="1" x14ac:dyDescent="0.5">
      <c r="A133" s="48"/>
      <c r="B133" s="48"/>
      <c r="C133" s="48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</row>
    <row r="134" spans="1:14" ht="20.100000000000001" customHeight="1" x14ac:dyDescent="0.5">
      <c r="A134" s="48"/>
      <c r="B134" s="48"/>
      <c r="C134" s="48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</row>
    <row r="135" spans="1:14" ht="20.100000000000001" customHeight="1" x14ac:dyDescent="0.5">
      <c r="A135" s="48"/>
      <c r="B135" s="48"/>
      <c r="C135" s="48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</row>
    <row r="136" spans="1:14" ht="20.100000000000001" customHeight="1" x14ac:dyDescent="0.5">
      <c r="A136" s="48"/>
      <c r="B136" s="48"/>
      <c r="C136" s="48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</row>
    <row r="137" spans="1:14" ht="20.100000000000001" customHeight="1" x14ac:dyDescent="0.5">
      <c r="A137" s="48"/>
      <c r="B137" s="48"/>
      <c r="C137" s="48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</row>
    <row r="138" spans="1:14" ht="20.100000000000001" customHeight="1" x14ac:dyDescent="0.5">
      <c r="A138" s="48"/>
      <c r="B138" s="48"/>
      <c r="C138" s="48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</row>
    <row r="139" spans="1:14" ht="20.100000000000001" customHeight="1" x14ac:dyDescent="0.5">
      <c r="A139" s="48"/>
      <c r="B139" s="48"/>
      <c r="C139" s="48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</row>
    <row r="140" spans="1:14" ht="20.100000000000001" customHeight="1" x14ac:dyDescent="0.5">
      <c r="A140" s="48"/>
      <c r="B140" s="48"/>
      <c r="C140" s="48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</row>
    <row r="141" spans="1:14" ht="20.100000000000001" customHeight="1" x14ac:dyDescent="0.5">
      <c r="A141" s="48"/>
      <c r="B141" s="48"/>
      <c r="C141" s="48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</row>
    <row r="142" spans="1:14" ht="20.100000000000001" customHeight="1" x14ac:dyDescent="0.5">
      <c r="A142" s="48"/>
      <c r="B142" s="48"/>
      <c r="C142" s="48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</row>
    <row r="143" spans="1:14" ht="20.100000000000001" customHeight="1" x14ac:dyDescent="0.5">
      <c r="A143" s="48"/>
      <c r="B143" s="48"/>
      <c r="C143" s="48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</row>
    <row r="144" spans="1:14" ht="20.100000000000001" customHeight="1" x14ac:dyDescent="0.5">
      <c r="A144" s="48"/>
      <c r="B144" s="48"/>
      <c r="C144" s="48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</row>
    <row r="145" spans="1:14" ht="20.100000000000001" customHeight="1" x14ac:dyDescent="0.5">
      <c r="A145" s="48"/>
      <c r="B145" s="48"/>
      <c r="C145" s="48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</row>
    <row r="146" spans="1:14" ht="20.100000000000001" customHeight="1" x14ac:dyDescent="0.5">
      <c r="A146" s="48"/>
      <c r="B146" s="48"/>
      <c r="C146" s="48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</row>
    <row r="147" spans="1:14" ht="20.100000000000001" customHeight="1" x14ac:dyDescent="0.5">
      <c r="A147" s="48"/>
      <c r="B147" s="48"/>
      <c r="C147" s="48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</row>
    <row r="148" spans="1:14" ht="20.100000000000001" customHeight="1" x14ac:dyDescent="0.5">
      <c r="A148" s="48"/>
      <c r="B148" s="48"/>
      <c r="C148" s="48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</row>
    <row r="149" spans="1:14" ht="20.100000000000001" customHeight="1" x14ac:dyDescent="0.5">
      <c r="A149" s="48"/>
      <c r="B149" s="48"/>
      <c r="C149" s="48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</row>
    <row r="150" spans="1:14" ht="20.100000000000001" customHeight="1" x14ac:dyDescent="0.5">
      <c r="A150" s="48"/>
      <c r="B150" s="48"/>
      <c r="C150" s="48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</row>
    <row r="151" spans="1:14" ht="20.100000000000001" customHeight="1" x14ac:dyDescent="0.5">
      <c r="A151" s="48"/>
      <c r="B151" s="48"/>
      <c r="C151" s="48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</row>
    <row r="152" spans="1:14" ht="20.100000000000001" customHeight="1" x14ac:dyDescent="0.5">
      <c r="A152" s="48"/>
      <c r="B152" s="48"/>
      <c r="C152" s="48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</row>
    <row r="153" spans="1:14" ht="20.100000000000001" customHeight="1" x14ac:dyDescent="0.5">
      <c r="A153" s="48"/>
      <c r="B153" s="48"/>
      <c r="C153" s="48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</row>
    <row r="154" spans="1:14" ht="20.100000000000001" customHeight="1" x14ac:dyDescent="0.5">
      <c r="A154" s="48"/>
      <c r="B154" s="48"/>
      <c r="C154" s="48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</row>
    <row r="155" spans="1:14" ht="20.100000000000001" customHeight="1" x14ac:dyDescent="0.5">
      <c r="A155" s="48"/>
      <c r="B155" s="48"/>
      <c r="C155" s="48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</row>
    <row r="156" spans="1:14" ht="20.100000000000001" customHeight="1" x14ac:dyDescent="0.5">
      <c r="A156" s="48"/>
      <c r="B156" s="48"/>
      <c r="C156" s="48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</row>
    <row r="157" spans="1:14" ht="20.100000000000001" customHeight="1" x14ac:dyDescent="0.5">
      <c r="A157" s="48"/>
      <c r="B157" s="48"/>
      <c r="C157" s="48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</row>
    <row r="158" spans="1:14" ht="20.100000000000001" customHeight="1" x14ac:dyDescent="0.5">
      <c r="A158" s="48"/>
      <c r="B158" s="48"/>
      <c r="C158" s="48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</row>
    <row r="159" spans="1:14" ht="20.100000000000001" customHeight="1" x14ac:dyDescent="0.5">
      <c r="A159" s="48"/>
      <c r="B159" s="48"/>
      <c r="C159" s="48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</row>
    <row r="160" spans="1:14" ht="20.100000000000001" customHeight="1" x14ac:dyDescent="0.5">
      <c r="A160" s="48"/>
      <c r="B160" s="48"/>
      <c r="C160" s="48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</row>
    <row r="161" spans="1:14" ht="20.100000000000001" customHeight="1" x14ac:dyDescent="0.5">
      <c r="A161" s="48"/>
      <c r="B161" s="48"/>
      <c r="C161" s="48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</row>
    <row r="162" spans="1:14" ht="20.100000000000001" customHeight="1" x14ac:dyDescent="0.5">
      <c r="A162" s="48"/>
      <c r="B162" s="48"/>
      <c r="C162" s="48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</row>
    <row r="163" spans="1:14" ht="20.100000000000001" customHeight="1" x14ac:dyDescent="0.5">
      <c r="A163" s="48"/>
      <c r="B163" s="48"/>
      <c r="C163" s="48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</row>
    <row r="164" spans="1:14" ht="20.100000000000001" customHeight="1" x14ac:dyDescent="0.5">
      <c r="A164" s="48"/>
      <c r="B164" s="48"/>
      <c r="C164" s="48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</row>
    <row r="165" spans="1:14" ht="20.100000000000001" customHeight="1" x14ac:dyDescent="0.5">
      <c r="A165" s="48"/>
      <c r="B165" s="48"/>
      <c r="C165" s="48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</row>
    <row r="166" spans="1:14" ht="20.100000000000001" customHeight="1" x14ac:dyDescent="0.5">
      <c r="A166" s="48"/>
      <c r="B166" s="48"/>
      <c r="C166" s="48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</row>
    <row r="167" spans="1:14" ht="20.100000000000001" customHeight="1" x14ac:dyDescent="0.5">
      <c r="A167" s="48"/>
      <c r="B167" s="48"/>
      <c r="C167" s="48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</row>
    <row r="168" spans="1:14" ht="20.100000000000001" customHeight="1" x14ac:dyDescent="0.5">
      <c r="A168" s="48"/>
      <c r="B168" s="48"/>
      <c r="C168" s="48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</row>
    <row r="169" spans="1:14" ht="20.100000000000001" customHeight="1" x14ac:dyDescent="0.5">
      <c r="A169" s="48"/>
      <c r="B169" s="48"/>
      <c r="C169" s="48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</row>
    <row r="170" spans="1:14" ht="20.100000000000001" customHeight="1" x14ac:dyDescent="0.5">
      <c r="A170" s="48"/>
      <c r="B170" s="48"/>
      <c r="C170" s="48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</row>
    <row r="171" spans="1:14" ht="20.100000000000001" customHeight="1" x14ac:dyDescent="0.5">
      <c r="A171" s="48"/>
      <c r="B171" s="48"/>
      <c r="C171" s="48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</row>
    <row r="172" spans="1:14" ht="20.100000000000001" customHeight="1" x14ac:dyDescent="0.5">
      <c r="A172" s="48"/>
      <c r="B172" s="48"/>
      <c r="C172" s="48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</row>
    <row r="173" spans="1:14" ht="20.100000000000001" customHeight="1" x14ac:dyDescent="0.5">
      <c r="A173" s="48"/>
      <c r="B173" s="48"/>
      <c r="C173" s="48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</row>
    <row r="174" spans="1:14" ht="20.100000000000001" customHeight="1" x14ac:dyDescent="0.5">
      <c r="A174" s="48"/>
      <c r="B174" s="48"/>
      <c r="C174" s="48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</row>
    <row r="175" spans="1:14" ht="20.100000000000001" customHeight="1" x14ac:dyDescent="0.5">
      <c r="A175" s="48"/>
      <c r="B175" s="48"/>
      <c r="C175" s="48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</row>
    <row r="176" spans="1:14" ht="20.100000000000001" customHeight="1" x14ac:dyDescent="0.5">
      <c r="A176" s="48"/>
      <c r="B176" s="48"/>
      <c r="C176" s="48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</row>
    <row r="177" spans="1:14" ht="20.100000000000001" customHeight="1" x14ac:dyDescent="0.5">
      <c r="A177" s="48"/>
      <c r="B177" s="48"/>
      <c r="C177" s="48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</row>
    <row r="178" spans="1:14" ht="20.100000000000001" customHeight="1" x14ac:dyDescent="0.5">
      <c r="A178" s="48"/>
      <c r="B178" s="48"/>
      <c r="C178" s="48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</row>
    <row r="179" spans="1:14" ht="20.100000000000001" customHeight="1" x14ac:dyDescent="0.5">
      <c r="A179" s="48"/>
      <c r="B179" s="48"/>
      <c r="C179" s="48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</row>
    <row r="180" spans="1:14" ht="20.100000000000001" customHeight="1" x14ac:dyDescent="0.5">
      <c r="A180" s="48"/>
      <c r="B180" s="48"/>
      <c r="C180" s="48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</row>
    <row r="181" spans="1:14" ht="20.100000000000001" customHeight="1" x14ac:dyDescent="0.5">
      <c r="A181" s="48"/>
      <c r="B181" s="48"/>
      <c r="C181" s="48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</row>
    <row r="182" spans="1:14" ht="20.100000000000001" customHeight="1" x14ac:dyDescent="0.5">
      <c r="A182" s="48"/>
      <c r="B182" s="48"/>
      <c r="C182" s="48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</row>
    <row r="183" spans="1:14" ht="20.100000000000001" customHeight="1" x14ac:dyDescent="0.5">
      <c r="A183" s="48"/>
      <c r="B183" s="48"/>
      <c r="C183" s="48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</row>
    <row r="184" spans="1:14" ht="20.100000000000001" customHeight="1" x14ac:dyDescent="0.5">
      <c r="A184" s="48"/>
      <c r="B184" s="48"/>
      <c r="C184" s="48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</row>
    <row r="185" spans="1:14" ht="20.100000000000001" customHeight="1" x14ac:dyDescent="0.5">
      <c r="A185" s="48"/>
      <c r="B185" s="48"/>
      <c r="C185" s="48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</row>
    <row r="186" spans="1:14" ht="20.100000000000001" customHeight="1" x14ac:dyDescent="0.5">
      <c r="A186" s="48"/>
      <c r="B186" s="48"/>
      <c r="C186" s="48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</row>
    <row r="187" spans="1:14" ht="20.100000000000001" customHeight="1" x14ac:dyDescent="0.5">
      <c r="A187" s="48"/>
      <c r="B187" s="48"/>
      <c r="C187" s="48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</row>
    <row r="188" spans="1:14" ht="20.100000000000001" customHeight="1" x14ac:dyDescent="0.5">
      <c r="A188" s="48"/>
      <c r="B188" s="48"/>
      <c r="C188" s="48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</row>
    <row r="189" spans="1:14" ht="20.100000000000001" customHeight="1" x14ac:dyDescent="0.5">
      <c r="A189" s="48"/>
      <c r="B189" s="48"/>
      <c r="C189" s="48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</row>
    <row r="190" spans="1:14" ht="20.100000000000001" customHeight="1" x14ac:dyDescent="0.5">
      <c r="A190" s="48"/>
      <c r="B190" s="48"/>
      <c r="C190" s="48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</row>
    <row r="191" spans="1:14" ht="20.100000000000001" customHeight="1" x14ac:dyDescent="0.5">
      <c r="A191" s="48"/>
      <c r="B191" s="48"/>
      <c r="C191" s="48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</row>
    <row r="192" spans="1:14" ht="20.100000000000001" customHeight="1" x14ac:dyDescent="0.5">
      <c r="A192" s="48"/>
      <c r="B192" s="48"/>
      <c r="C192" s="48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</row>
    <row r="193" spans="1:14" ht="20.100000000000001" customHeight="1" x14ac:dyDescent="0.5">
      <c r="A193" s="48"/>
      <c r="B193" s="48"/>
      <c r="C193" s="48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</row>
    <row r="194" spans="1:14" ht="20.100000000000001" customHeight="1" x14ac:dyDescent="0.5">
      <c r="A194" s="48"/>
      <c r="B194" s="48"/>
      <c r="C194" s="48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</row>
    <row r="195" spans="1:14" ht="20.100000000000001" customHeight="1" x14ac:dyDescent="0.5">
      <c r="A195" s="48"/>
      <c r="B195" s="48"/>
      <c r="C195" s="48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</row>
    <row r="196" spans="1:14" ht="20.100000000000001" customHeight="1" x14ac:dyDescent="0.5">
      <c r="A196" s="48"/>
      <c r="B196" s="48"/>
      <c r="C196" s="48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</row>
    <row r="197" spans="1:14" ht="20.100000000000001" customHeight="1" x14ac:dyDescent="0.5">
      <c r="A197" s="48"/>
      <c r="B197" s="48"/>
      <c r="C197" s="48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</row>
    <row r="198" spans="1:14" ht="20.100000000000001" customHeight="1" x14ac:dyDescent="0.5">
      <c r="A198" s="48"/>
      <c r="B198" s="48"/>
      <c r="C198" s="48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</row>
    <row r="199" spans="1:14" ht="20.100000000000001" customHeight="1" x14ac:dyDescent="0.5">
      <c r="A199" s="48"/>
      <c r="B199" s="48"/>
      <c r="C199" s="48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</row>
    <row r="200" spans="1:14" ht="20.100000000000001" customHeight="1" x14ac:dyDescent="0.5">
      <c r="A200" s="48"/>
      <c r="B200" s="48"/>
      <c r="C200" s="48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</row>
    <row r="201" spans="1:14" ht="20.100000000000001" customHeight="1" x14ac:dyDescent="0.5">
      <c r="A201" s="48"/>
      <c r="B201" s="48"/>
      <c r="C201" s="48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</row>
    <row r="202" spans="1:14" ht="20.100000000000001" customHeight="1" x14ac:dyDescent="0.5">
      <c r="A202" s="48"/>
      <c r="B202" s="48"/>
      <c r="C202" s="48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</row>
    <row r="203" spans="1:14" ht="20.100000000000001" customHeight="1" x14ac:dyDescent="0.5">
      <c r="A203" s="48"/>
      <c r="B203" s="48"/>
      <c r="C203" s="48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</row>
    <row r="204" spans="1:14" ht="20.100000000000001" customHeight="1" x14ac:dyDescent="0.5">
      <c r="A204" s="48"/>
      <c r="B204" s="48"/>
      <c r="C204" s="48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</row>
    <row r="205" spans="1:14" ht="20.100000000000001" customHeight="1" x14ac:dyDescent="0.5">
      <c r="A205" s="48"/>
      <c r="B205" s="48"/>
      <c r="C205" s="48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</row>
    <row r="206" spans="1:14" ht="20.100000000000001" customHeight="1" x14ac:dyDescent="0.5">
      <c r="A206" s="48"/>
      <c r="B206" s="48"/>
      <c r="C206" s="48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</row>
    <row r="207" spans="1:14" ht="20.100000000000001" customHeight="1" x14ac:dyDescent="0.5">
      <c r="A207" s="48"/>
      <c r="B207" s="48"/>
      <c r="C207" s="48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</row>
    <row r="208" spans="1:14" ht="20.100000000000001" customHeight="1" x14ac:dyDescent="0.5">
      <c r="A208" s="48"/>
      <c r="B208" s="48"/>
      <c r="C208" s="48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</row>
    <row r="209" spans="1:14" ht="20.100000000000001" customHeight="1" x14ac:dyDescent="0.5">
      <c r="A209" s="48"/>
      <c r="B209" s="48"/>
      <c r="C209" s="48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</row>
    <row r="210" spans="1:14" ht="20.100000000000001" customHeight="1" x14ac:dyDescent="0.5">
      <c r="A210" s="48"/>
      <c r="B210" s="48"/>
      <c r="C210" s="48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</row>
    <row r="211" spans="1:14" ht="20.100000000000001" customHeight="1" x14ac:dyDescent="0.5">
      <c r="A211" s="48"/>
      <c r="B211" s="48"/>
      <c r="C211" s="48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</row>
    <row r="212" spans="1:14" ht="20.100000000000001" customHeight="1" x14ac:dyDescent="0.5">
      <c r="A212" s="48"/>
      <c r="B212" s="48"/>
      <c r="C212" s="48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</row>
    <row r="213" spans="1:14" ht="20.100000000000001" customHeight="1" x14ac:dyDescent="0.5">
      <c r="A213" s="48"/>
      <c r="B213" s="48"/>
      <c r="C213" s="48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48"/>
    </row>
    <row r="214" spans="1:14" ht="20.100000000000001" customHeight="1" x14ac:dyDescent="0.5">
      <c r="A214" s="48"/>
      <c r="B214" s="48"/>
      <c r="C214" s="48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</row>
    <row r="215" spans="1:14" ht="20.100000000000001" customHeight="1" x14ac:dyDescent="0.5">
      <c r="A215" s="48"/>
      <c r="B215" s="48"/>
      <c r="C215" s="48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</row>
    <row r="216" spans="1:14" ht="20.100000000000001" customHeight="1" x14ac:dyDescent="0.5">
      <c r="A216" s="48"/>
      <c r="B216" s="48"/>
      <c r="C216" s="48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48"/>
    </row>
    <row r="217" spans="1:14" ht="20.100000000000001" customHeight="1" x14ac:dyDescent="0.5">
      <c r="A217" s="48"/>
      <c r="B217" s="48"/>
      <c r="C217" s="48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</row>
    <row r="218" spans="1:14" ht="20.100000000000001" customHeight="1" x14ac:dyDescent="0.5">
      <c r="A218" s="48"/>
      <c r="B218" s="48"/>
      <c r="C218" s="48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</row>
  </sheetData>
  <mergeCells count="135">
    <mergeCell ref="A3:C3"/>
    <mergeCell ref="D3:G3"/>
    <mergeCell ref="H3:J3"/>
    <mergeCell ref="K3:N3"/>
    <mergeCell ref="A7:M7"/>
    <mergeCell ref="I8:I10"/>
    <mergeCell ref="J9:K9"/>
    <mergeCell ref="L9:M9"/>
    <mergeCell ref="H4:J4"/>
    <mergeCell ref="K4:N4"/>
    <mergeCell ref="H5:J5"/>
    <mergeCell ref="K5:N5"/>
    <mergeCell ref="D4:G5"/>
    <mergeCell ref="A4:C5"/>
    <mergeCell ref="A11:B11"/>
    <mergeCell ref="D11:E11"/>
    <mergeCell ref="G11:H11"/>
    <mergeCell ref="J11:K11"/>
    <mergeCell ref="L11:M11"/>
    <mergeCell ref="J10:K10"/>
    <mergeCell ref="L10:M10"/>
    <mergeCell ref="A8:B10"/>
    <mergeCell ref="C8:C10"/>
    <mergeCell ref="D8:E10"/>
    <mergeCell ref="F8:F10"/>
    <mergeCell ref="G8:H10"/>
    <mergeCell ref="J8:K8"/>
    <mergeCell ref="L8:M8"/>
    <mergeCell ref="A12:B12"/>
    <mergeCell ref="D12:E12"/>
    <mergeCell ref="G12:H12"/>
    <mergeCell ref="J12:K12"/>
    <mergeCell ref="L12:M12"/>
    <mergeCell ref="A13:B13"/>
    <mergeCell ref="D13:E13"/>
    <mergeCell ref="G13:H13"/>
    <mergeCell ref="J13:K13"/>
    <mergeCell ref="L13:M13"/>
    <mergeCell ref="A14:B14"/>
    <mergeCell ref="D14:E14"/>
    <mergeCell ref="G14:H14"/>
    <mergeCell ref="J14:K14"/>
    <mergeCell ref="L14:M14"/>
    <mergeCell ref="A15:B15"/>
    <mergeCell ref="D15:E15"/>
    <mergeCell ref="G15:H15"/>
    <mergeCell ref="J15:K15"/>
    <mergeCell ref="L15:M15"/>
    <mergeCell ref="A16:B16"/>
    <mergeCell ref="D16:E16"/>
    <mergeCell ref="G16:H16"/>
    <mergeCell ref="J16:K16"/>
    <mergeCell ref="L16:M16"/>
    <mergeCell ref="A17:B17"/>
    <mergeCell ref="D17:E17"/>
    <mergeCell ref="G17:H17"/>
    <mergeCell ref="J17:K17"/>
    <mergeCell ref="L17:M17"/>
    <mergeCell ref="A18:B18"/>
    <mergeCell ref="D18:E18"/>
    <mergeCell ref="G18:H18"/>
    <mergeCell ref="J18:K18"/>
    <mergeCell ref="L18:M18"/>
    <mergeCell ref="A19:B19"/>
    <mergeCell ref="D19:E19"/>
    <mergeCell ref="G19:H19"/>
    <mergeCell ref="J19:K19"/>
    <mergeCell ref="L19:M19"/>
    <mergeCell ref="A20:B20"/>
    <mergeCell ref="D20:E20"/>
    <mergeCell ref="G20:H20"/>
    <mergeCell ref="J20:K20"/>
    <mergeCell ref="L20:M20"/>
    <mergeCell ref="A21:B21"/>
    <mergeCell ref="D21:E21"/>
    <mergeCell ref="G21:H21"/>
    <mergeCell ref="J21:K21"/>
    <mergeCell ref="L21:M21"/>
    <mergeCell ref="A22:B22"/>
    <mergeCell ref="D22:E22"/>
    <mergeCell ref="G22:H22"/>
    <mergeCell ref="J22:K22"/>
    <mergeCell ref="L22:M22"/>
    <mergeCell ref="A23:B23"/>
    <mergeCell ref="D23:E23"/>
    <mergeCell ref="G23:H23"/>
    <mergeCell ref="J23:K23"/>
    <mergeCell ref="L23:M23"/>
    <mergeCell ref="A24:B24"/>
    <mergeCell ref="D24:E24"/>
    <mergeCell ref="G24:H24"/>
    <mergeCell ref="J24:K24"/>
    <mergeCell ref="L24:M24"/>
    <mergeCell ref="A25:B25"/>
    <mergeCell ref="D25:E25"/>
    <mergeCell ref="G25:H25"/>
    <mergeCell ref="J25:K25"/>
    <mergeCell ref="L25:M25"/>
    <mergeCell ref="A26:B26"/>
    <mergeCell ref="D26:E26"/>
    <mergeCell ref="G26:H26"/>
    <mergeCell ref="J26:K26"/>
    <mergeCell ref="L26:M26"/>
    <mergeCell ref="A27:B27"/>
    <mergeCell ref="D27:E27"/>
    <mergeCell ref="G27:H27"/>
    <mergeCell ref="J27:K27"/>
    <mergeCell ref="L27:M27"/>
    <mergeCell ref="A28:B28"/>
    <mergeCell ref="D28:E28"/>
    <mergeCell ref="G28:H28"/>
    <mergeCell ref="J28:K28"/>
    <mergeCell ref="L28:M28"/>
    <mergeCell ref="A29:B29"/>
    <mergeCell ref="D29:E29"/>
    <mergeCell ref="G29:H29"/>
    <mergeCell ref="J29:K29"/>
    <mergeCell ref="L29:M29"/>
    <mergeCell ref="A35:M37"/>
    <mergeCell ref="A34:M34"/>
    <mergeCell ref="A30:B30"/>
    <mergeCell ref="D30:E30"/>
    <mergeCell ref="G30:H30"/>
    <mergeCell ref="J30:K30"/>
    <mergeCell ref="L30:M30"/>
    <mergeCell ref="A31:B31"/>
    <mergeCell ref="D31:E31"/>
    <mergeCell ref="G31:H31"/>
    <mergeCell ref="J31:K31"/>
    <mergeCell ref="L31:M31"/>
    <mergeCell ref="D32:E32"/>
    <mergeCell ref="G32:H32"/>
    <mergeCell ref="J32:K32"/>
    <mergeCell ref="L32:M32"/>
    <mergeCell ref="A32:B32"/>
  </mergeCells>
  <conditionalFormatting sqref="H4:J5">
    <cfRule type="expression" dxfId="1" priority="2">
      <formula>$D$4="Oui"</formula>
    </cfRule>
  </conditionalFormatting>
  <conditionalFormatting sqref="K4:N5">
    <cfRule type="expression" dxfId="0" priority="1">
      <formula>$D$4="Oui"</formula>
    </cfRule>
  </conditionalFormatting>
  <dataValidations count="1">
    <dataValidation type="list" allowBlank="1" showInputMessage="1" showErrorMessage="1" sqref="F11:F32 I11:I32 L11:L32 M11:M31" xr:uid="{00000000-0002-0000-0200-000000000000}">
      <formula1>"Oui,Non"</formula1>
    </dataValidation>
  </dataValidation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29"/>
  <sheetViews>
    <sheetView workbookViewId="0">
      <selection activeCell="N4" sqref="N4"/>
    </sheetView>
  </sheetViews>
  <sheetFormatPr baseColWidth="10" defaultRowHeight="14.35" x14ac:dyDescent="0.5"/>
  <cols>
    <col min="1" max="1" width="2.41015625" customWidth="1"/>
  </cols>
  <sheetData>
    <row r="1" spans="1:11" s="3" customFormat="1" ht="13" thickBot="1" x14ac:dyDescent="0.55000000000000004">
      <c r="A1" s="1"/>
      <c r="B1" s="1"/>
      <c r="C1" s="2"/>
      <c r="D1" s="2"/>
      <c r="E1" s="1"/>
      <c r="F1" s="1"/>
      <c r="G1" s="1"/>
      <c r="H1" s="1"/>
      <c r="I1" s="1"/>
      <c r="J1" s="1"/>
      <c r="K1" s="1"/>
    </row>
    <row r="2" spans="1:11" s="3" customFormat="1" ht="15.7" thickBot="1" x14ac:dyDescent="0.55000000000000004">
      <c r="A2" s="1"/>
      <c r="B2" s="100" t="s">
        <v>0</v>
      </c>
      <c r="C2" s="101"/>
      <c r="D2" s="101"/>
      <c r="E2" s="101"/>
      <c r="F2" s="101"/>
      <c r="G2" s="101"/>
      <c r="H2" s="101"/>
      <c r="I2" s="101"/>
      <c r="J2" s="102"/>
      <c r="K2" s="1"/>
    </row>
    <row r="3" spans="1:11" s="3" customFormat="1" ht="13" thickBot="1" x14ac:dyDescent="0.55000000000000004">
      <c r="A3" s="1"/>
      <c r="B3" s="1"/>
      <c r="C3" s="2"/>
      <c r="D3" s="2"/>
      <c r="E3" s="1"/>
      <c r="F3" s="1"/>
      <c r="G3" s="1"/>
      <c r="H3" s="1"/>
      <c r="I3" s="1"/>
      <c r="J3" s="1"/>
      <c r="K3" s="1"/>
    </row>
    <row r="4" spans="1:11" s="11" customFormat="1" ht="89" thickBot="1" x14ac:dyDescent="0.55000000000000004">
      <c r="A4" s="4"/>
      <c r="B4" s="5" t="s">
        <v>1</v>
      </c>
      <c r="C4" s="5" t="s">
        <v>2</v>
      </c>
      <c r="D4" s="5" t="s">
        <v>3</v>
      </c>
      <c r="E4" s="6" t="s">
        <v>4</v>
      </c>
      <c r="F4" s="7" t="s">
        <v>5</v>
      </c>
      <c r="G4" s="8" t="s">
        <v>6</v>
      </c>
      <c r="H4" s="9" t="s">
        <v>7</v>
      </c>
      <c r="I4" s="8" t="s">
        <v>8</v>
      </c>
      <c r="J4" s="9" t="s">
        <v>7</v>
      </c>
      <c r="K4" s="10"/>
    </row>
    <row r="5" spans="1:11" s="3" customFormat="1" ht="14.7" x14ac:dyDescent="0.5">
      <c r="A5" s="1"/>
      <c r="B5" s="12">
        <v>1313</v>
      </c>
      <c r="C5" s="12" t="s">
        <v>9</v>
      </c>
      <c r="D5" s="13" t="s">
        <v>10</v>
      </c>
      <c r="E5" s="14">
        <v>3</v>
      </c>
      <c r="F5" s="13">
        <v>15</v>
      </c>
      <c r="G5" s="15">
        <v>80</v>
      </c>
      <c r="H5" s="16">
        <v>0.3</v>
      </c>
      <c r="I5" s="17">
        <v>80</v>
      </c>
      <c r="J5" s="18">
        <v>0.2</v>
      </c>
      <c r="K5" s="1"/>
    </row>
    <row r="6" spans="1:11" s="3" customFormat="1" ht="14.7" x14ac:dyDescent="0.5">
      <c r="A6" s="1"/>
      <c r="B6" s="19">
        <v>1314</v>
      </c>
      <c r="C6" s="19" t="s">
        <v>11</v>
      </c>
      <c r="D6" s="20" t="s">
        <v>10</v>
      </c>
      <c r="E6" s="21">
        <v>30</v>
      </c>
      <c r="F6" s="20">
        <v>80</v>
      </c>
      <c r="G6" s="22">
        <v>250</v>
      </c>
      <c r="H6" s="23">
        <v>0.2</v>
      </c>
      <c r="I6" s="22">
        <v>250</v>
      </c>
      <c r="J6" s="23">
        <v>0.1</v>
      </c>
      <c r="K6" s="1"/>
    </row>
    <row r="7" spans="1:11" s="3" customFormat="1" ht="14.7" x14ac:dyDescent="0.5">
      <c r="A7" s="1"/>
      <c r="B7" s="19">
        <v>6396</v>
      </c>
      <c r="C7" s="19" t="s">
        <v>12</v>
      </c>
      <c r="D7" s="20" t="s">
        <v>10</v>
      </c>
      <c r="E7" s="21">
        <v>10</v>
      </c>
      <c r="F7" s="20">
        <v>20</v>
      </c>
      <c r="G7" s="22">
        <v>150</v>
      </c>
      <c r="H7" s="23">
        <v>0.2</v>
      </c>
      <c r="I7" s="22">
        <v>150</v>
      </c>
      <c r="J7" s="23">
        <v>0.1</v>
      </c>
      <c r="K7" s="1"/>
    </row>
    <row r="8" spans="1:11" s="3" customFormat="1" ht="12.7" x14ac:dyDescent="0.5">
      <c r="A8" s="1"/>
      <c r="B8" s="19">
        <v>1305</v>
      </c>
      <c r="C8" s="19" t="s">
        <v>13</v>
      </c>
      <c r="D8" s="20" t="s">
        <v>14</v>
      </c>
      <c r="E8" s="21">
        <v>2</v>
      </c>
      <c r="F8" s="20">
        <v>15</v>
      </c>
      <c r="G8" s="22">
        <v>60</v>
      </c>
      <c r="H8" s="23">
        <v>0.3</v>
      </c>
      <c r="I8" s="22">
        <v>60</v>
      </c>
      <c r="J8" s="23">
        <v>0.2</v>
      </c>
      <c r="K8" s="1"/>
    </row>
    <row r="9" spans="1:11" s="3" customFormat="1" ht="12.7" x14ac:dyDescent="0.5">
      <c r="A9" s="1"/>
      <c r="B9" s="24">
        <v>1319</v>
      </c>
      <c r="C9" s="24" t="s">
        <v>15</v>
      </c>
      <c r="D9" s="20" t="s">
        <v>16</v>
      </c>
      <c r="E9" s="21">
        <v>0.5</v>
      </c>
      <c r="F9" s="20">
        <v>6</v>
      </c>
      <c r="G9" s="25"/>
      <c r="H9" s="26"/>
      <c r="I9" s="22">
        <v>6</v>
      </c>
      <c r="J9" s="23">
        <v>0.1</v>
      </c>
      <c r="K9" s="1"/>
    </row>
    <row r="10" spans="1:11" s="3" customFormat="1" ht="12.7" x14ac:dyDescent="0.5">
      <c r="A10" s="1"/>
      <c r="B10" s="19">
        <v>1551</v>
      </c>
      <c r="C10" s="19" t="s">
        <v>17</v>
      </c>
      <c r="D10" s="20" t="s">
        <v>16</v>
      </c>
      <c r="E10" s="21">
        <v>1</v>
      </c>
      <c r="F10" s="20">
        <v>6</v>
      </c>
      <c r="G10" s="25"/>
      <c r="H10" s="26"/>
      <c r="I10" s="22">
        <v>6</v>
      </c>
      <c r="J10" s="23">
        <v>0.2</v>
      </c>
      <c r="K10" s="1"/>
    </row>
    <row r="11" spans="1:11" s="3" customFormat="1" ht="14.7" x14ac:dyDescent="0.5">
      <c r="A11" s="1"/>
      <c r="B11" s="24">
        <v>1335</v>
      </c>
      <c r="C11" s="24" t="s">
        <v>18</v>
      </c>
      <c r="D11" s="20" t="s">
        <v>19</v>
      </c>
      <c r="E11" s="21">
        <v>0.5</v>
      </c>
      <c r="F11" s="20">
        <v>6</v>
      </c>
      <c r="G11" s="25"/>
      <c r="H11" s="26"/>
      <c r="I11" s="22">
        <v>6</v>
      </c>
      <c r="J11" s="23">
        <v>0.1</v>
      </c>
      <c r="K11" s="1"/>
    </row>
    <row r="12" spans="1:11" s="3" customFormat="1" ht="14.7" x14ac:dyDescent="0.5">
      <c r="A12" s="1"/>
      <c r="B12" s="24">
        <v>1339</v>
      </c>
      <c r="C12" s="24" t="s">
        <v>20</v>
      </c>
      <c r="D12" s="20" t="s">
        <v>21</v>
      </c>
      <c r="E12" s="21">
        <v>0.05</v>
      </c>
      <c r="F12" s="20">
        <v>1</v>
      </c>
      <c r="G12" s="25"/>
      <c r="H12" s="26"/>
      <c r="I12" s="22">
        <v>1</v>
      </c>
      <c r="J12" s="23">
        <v>0.2</v>
      </c>
      <c r="K12" s="1"/>
    </row>
    <row r="13" spans="1:11" s="3" customFormat="1" ht="14.7" x14ac:dyDescent="0.5">
      <c r="A13" s="1"/>
      <c r="B13" s="24">
        <v>1340</v>
      </c>
      <c r="C13" s="24" t="s">
        <v>22</v>
      </c>
      <c r="D13" s="20" t="s">
        <v>23</v>
      </c>
      <c r="E13" s="21">
        <v>1</v>
      </c>
      <c r="F13" s="20">
        <v>5</v>
      </c>
      <c r="G13" s="25"/>
      <c r="H13" s="26"/>
      <c r="I13" s="22">
        <v>5</v>
      </c>
      <c r="J13" s="23">
        <v>0.2</v>
      </c>
      <c r="K13" s="1"/>
    </row>
    <row r="14" spans="1:11" s="3" customFormat="1" ht="12.7" x14ac:dyDescent="0.5">
      <c r="A14" s="1"/>
      <c r="B14" s="19">
        <v>1350</v>
      </c>
      <c r="C14" s="19" t="s">
        <v>24</v>
      </c>
      <c r="D14" s="20" t="s">
        <v>25</v>
      </c>
      <c r="E14" s="21">
        <v>0.05</v>
      </c>
      <c r="F14" s="20">
        <v>1</v>
      </c>
      <c r="G14" s="25"/>
      <c r="H14" s="26"/>
      <c r="I14" s="22">
        <v>1</v>
      </c>
      <c r="J14" s="23">
        <v>0.2</v>
      </c>
      <c r="K14" s="1"/>
    </row>
    <row r="15" spans="1:11" s="3" customFormat="1" ht="12.7" x14ac:dyDescent="0.5">
      <c r="A15" s="1"/>
      <c r="B15" s="19">
        <v>1369</v>
      </c>
      <c r="C15" s="19" t="s">
        <v>26</v>
      </c>
      <c r="D15" s="27" t="s">
        <v>14</v>
      </c>
      <c r="E15" s="21">
        <v>5.0000000000000001E-3</v>
      </c>
      <c r="F15" s="20">
        <v>0.5</v>
      </c>
      <c r="G15" s="22">
        <v>1</v>
      </c>
      <c r="H15" s="23">
        <v>0.6</v>
      </c>
      <c r="I15" s="22">
        <v>1</v>
      </c>
      <c r="J15" s="23">
        <v>0.3</v>
      </c>
      <c r="K15" s="1"/>
    </row>
    <row r="16" spans="1:11" s="3" customFormat="1" ht="12.7" x14ac:dyDescent="0.5">
      <c r="A16" s="1"/>
      <c r="B16" s="19">
        <v>1388</v>
      </c>
      <c r="C16" s="19" t="s">
        <v>27</v>
      </c>
      <c r="D16" s="27" t="s">
        <v>14</v>
      </c>
      <c r="E16" s="21">
        <v>1E-3</v>
      </c>
      <c r="F16" s="20">
        <v>0.5</v>
      </c>
      <c r="G16" s="22">
        <v>1</v>
      </c>
      <c r="H16" s="23">
        <v>0.6</v>
      </c>
      <c r="I16" s="22">
        <v>1</v>
      </c>
      <c r="J16" s="23">
        <v>0.3</v>
      </c>
      <c r="K16" s="1"/>
    </row>
    <row r="17" spans="1:11" s="3" customFormat="1" ht="12.7" x14ac:dyDescent="0.5">
      <c r="A17" s="1"/>
      <c r="B17" s="19">
        <v>1389</v>
      </c>
      <c r="C17" s="19" t="s">
        <v>28</v>
      </c>
      <c r="D17" s="27" t="s">
        <v>14</v>
      </c>
      <c r="E17" s="21">
        <v>5.0000000000000001E-3</v>
      </c>
      <c r="F17" s="20">
        <v>0.5</v>
      </c>
      <c r="G17" s="22">
        <v>1</v>
      </c>
      <c r="H17" s="23">
        <v>0.6</v>
      </c>
      <c r="I17" s="22">
        <v>1</v>
      </c>
      <c r="J17" s="23">
        <v>0.3</v>
      </c>
      <c r="K17" s="1"/>
    </row>
    <row r="18" spans="1:11" s="3" customFormat="1" ht="12.7" x14ac:dyDescent="0.5">
      <c r="A18" s="1"/>
      <c r="B18" s="19">
        <v>1392</v>
      </c>
      <c r="C18" s="19" t="s">
        <v>29</v>
      </c>
      <c r="D18" s="27" t="s">
        <v>14</v>
      </c>
      <c r="E18" s="21">
        <v>5.0000000000000001E-3</v>
      </c>
      <c r="F18" s="20">
        <v>0.5</v>
      </c>
      <c r="G18" s="22">
        <v>1</v>
      </c>
      <c r="H18" s="23">
        <v>0.6</v>
      </c>
      <c r="I18" s="22">
        <v>1</v>
      </c>
      <c r="J18" s="23">
        <v>0.3</v>
      </c>
      <c r="K18" s="1"/>
    </row>
    <row r="19" spans="1:11" s="3" customFormat="1" ht="12.7" x14ac:dyDescent="0.5">
      <c r="A19" s="1"/>
      <c r="B19" s="19">
        <v>1387</v>
      </c>
      <c r="C19" s="19" t="s">
        <v>30</v>
      </c>
      <c r="D19" s="27" t="s">
        <v>14</v>
      </c>
      <c r="E19" s="21">
        <v>2.0000000000000001E-4</v>
      </c>
      <c r="F19" s="20">
        <v>5.0000000000000001E-3</v>
      </c>
      <c r="G19" s="22">
        <v>0.01</v>
      </c>
      <c r="H19" s="23">
        <v>0.6</v>
      </c>
      <c r="I19" s="22">
        <v>0.01</v>
      </c>
      <c r="J19" s="23">
        <v>0.3</v>
      </c>
      <c r="K19" s="1"/>
    </row>
    <row r="20" spans="1:11" s="3" customFormat="1" ht="12.7" x14ac:dyDescent="0.5">
      <c r="A20" s="1"/>
      <c r="B20" s="19">
        <v>1386</v>
      </c>
      <c r="C20" s="19" t="s">
        <v>31</v>
      </c>
      <c r="D20" s="27" t="s">
        <v>14</v>
      </c>
      <c r="E20" s="21">
        <v>5.0000000000000001E-3</v>
      </c>
      <c r="F20" s="20">
        <v>0.5</v>
      </c>
      <c r="G20" s="22">
        <v>1</v>
      </c>
      <c r="H20" s="23">
        <v>0.6</v>
      </c>
      <c r="I20" s="22">
        <v>1</v>
      </c>
      <c r="J20" s="23">
        <v>0.3</v>
      </c>
      <c r="K20" s="1"/>
    </row>
    <row r="21" spans="1:11" s="3" customFormat="1" ht="12.7" x14ac:dyDescent="0.5">
      <c r="A21" s="1"/>
      <c r="B21" s="19">
        <v>1382</v>
      </c>
      <c r="C21" s="19" t="s">
        <v>32</v>
      </c>
      <c r="D21" s="27" t="s">
        <v>14</v>
      </c>
      <c r="E21" s="21">
        <v>2E-3</v>
      </c>
      <c r="F21" s="20">
        <v>0.5</v>
      </c>
      <c r="G21" s="22">
        <v>1</v>
      </c>
      <c r="H21" s="23">
        <v>0.6</v>
      </c>
      <c r="I21" s="22">
        <v>1</v>
      </c>
      <c r="J21" s="23">
        <v>0.3</v>
      </c>
      <c r="K21" s="1"/>
    </row>
    <row r="22" spans="1:11" s="3" customFormat="1" ht="12.7" x14ac:dyDescent="0.5">
      <c r="A22" s="1"/>
      <c r="B22" s="19">
        <v>1383</v>
      </c>
      <c r="C22" s="19" t="s">
        <v>33</v>
      </c>
      <c r="D22" s="27" t="s">
        <v>14</v>
      </c>
      <c r="E22" s="21">
        <v>5.0000000000000001E-3</v>
      </c>
      <c r="F22" s="20">
        <v>0.5</v>
      </c>
      <c r="G22" s="22">
        <v>1</v>
      </c>
      <c r="H22" s="23">
        <v>0.6</v>
      </c>
      <c r="I22" s="22">
        <v>1</v>
      </c>
      <c r="J22" s="23">
        <v>0.3</v>
      </c>
      <c r="K22" s="1"/>
    </row>
    <row r="23" spans="1:11" s="3" customFormat="1" ht="12.7" x14ac:dyDescent="0.5">
      <c r="A23" s="1"/>
      <c r="B23" s="19">
        <v>1106</v>
      </c>
      <c r="C23" s="19" t="s">
        <v>34</v>
      </c>
      <c r="D23" s="27" t="s">
        <v>14</v>
      </c>
      <c r="E23" s="21">
        <v>0.01</v>
      </c>
      <c r="F23" s="20">
        <v>0.05</v>
      </c>
      <c r="G23" s="22">
        <v>0.5</v>
      </c>
      <c r="H23" s="23">
        <v>0.6</v>
      </c>
      <c r="I23" s="22">
        <v>0.5</v>
      </c>
      <c r="J23" s="23">
        <v>0.3</v>
      </c>
      <c r="K23" s="1"/>
    </row>
    <row r="24" spans="1:11" s="3" customFormat="1" ht="12.7" x14ac:dyDescent="0.5">
      <c r="A24" s="1"/>
      <c r="B24" s="19">
        <v>1841</v>
      </c>
      <c r="C24" s="19" t="s">
        <v>35</v>
      </c>
      <c r="D24" s="27" t="s">
        <v>14</v>
      </c>
      <c r="E24" s="21">
        <v>0.3</v>
      </c>
      <c r="F24" s="20">
        <v>5</v>
      </c>
      <c r="G24" s="22">
        <v>15</v>
      </c>
      <c r="H24" s="23">
        <v>0.3</v>
      </c>
      <c r="I24" s="22">
        <v>15</v>
      </c>
      <c r="J24" s="23">
        <v>0.1</v>
      </c>
      <c r="K24" s="1"/>
    </row>
    <row r="25" spans="1:11" s="3" customFormat="1" ht="12.7" x14ac:dyDescent="0.5">
      <c r="A25" s="1"/>
      <c r="B25" s="19">
        <v>1798</v>
      </c>
      <c r="C25" s="19" t="s">
        <v>36</v>
      </c>
      <c r="D25" s="27"/>
      <c r="E25" s="21"/>
      <c r="F25" s="20"/>
      <c r="G25" s="22"/>
      <c r="H25" s="23"/>
      <c r="I25" s="22"/>
      <c r="J25" s="23"/>
      <c r="K25" s="1"/>
    </row>
    <row r="26" spans="1:11" s="3" customFormat="1" ht="13" thickBot="1" x14ac:dyDescent="0.55000000000000004">
      <c r="A26" s="1"/>
      <c r="B26" s="28">
        <v>1337</v>
      </c>
      <c r="C26" s="28" t="s">
        <v>37</v>
      </c>
      <c r="D26" s="29" t="s">
        <v>14</v>
      </c>
      <c r="E26" s="30">
        <v>5</v>
      </c>
      <c r="F26" s="31"/>
      <c r="G26" s="32"/>
      <c r="H26" s="33"/>
      <c r="I26" s="32"/>
      <c r="J26" s="33"/>
      <c r="K26" s="1"/>
    </row>
    <row r="27" spans="1:11" s="3" customFormat="1" ht="13" thickBot="1" x14ac:dyDescent="0.55000000000000004">
      <c r="A27" s="1"/>
      <c r="B27" s="34">
        <v>1799</v>
      </c>
      <c r="C27" s="34" t="s">
        <v>38</v>
      </c>
      <c r="D27" s="35" t="s">
        <v>56</v>
      </c>
      <c r="E27" s="34"/>
      <c r="F27" s="36"/>
      <c r="G27" s="37"/>
      <c r="H27" s="38">
        <v>0.2</v>
      </c>
      <c r="I27" s="37"/>
      <c r="J27" s="38">
        <v>0.05</v>
      </c>
      <c r="K27" s="1"/>
    </row>
    <row r="28" spans="1:11" s="3" customFormat="1" ht="12.75" customHeight="1" x14ac:dyDescent="0.5">
      <c r="A28" s="1"/>
      <c r="B28" s="103" t="s">
        <v>39</v>
      </c>
      <c r="C28" s="103"/>
      <c r="D28" s="103"/>
      <c r="E28" s="103"/>
      <c r="F28" s="103"/>
      <c r="G28" s="103"/>
      <c r="H28" s="103"/>
      <c r="I28" s="103"/>
      <c r="J28" s="103"/>
      <c r="K28" s="1"/>
    </row>
    <row r="29" spans="1:11" s="3" customFormat="1" ht="14.45" customHeight="1" x14ac:dyDescent="0.5">
      <c r="A29" s="1"/>
      <c r="B29" s="103"/>
      <c r="C29" s="103"/>
      <c r="D29" s="103"/>
      <c r="E29" s="103"/>
      <c r="F29" s="103"/>
      <c r="G29" s="103"/>
      <c r="H29" s="103"/>
      <c r="I29" s="103"/>
      <c r="J29" s="103"/>
      <c r="K29" s="1"/>
    </row>
  </sheetData>
  <mergeCells count="2">
    <mergeCell ref="B2:J2"/>
    <mergeCell ref="B28:J29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Comparatif</vt:lpstr>
      <vt:lpstr>SeuilsComparaison-EMT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Dhuygelaere</dc:creator>
  <cp:lastModifiedBy>Nicolas Dhuygelaere</cp:lastModifiedBy>
  <dcterms:created xsi:type="dcterms:W3CDTF">2025-07-10T09:51:57Z</dcterms:created>
  <dcterms:modified xsi:type="dcterms:W3CDTF">2025-10-08T08:29:08Z</dcterms:modified>
</cp:coreProperties>
</file>