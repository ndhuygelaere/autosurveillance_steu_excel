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huy\AppData\Roaming\Microsoft\AddIns\AutosurveillanceTemplates\"/>
    </mc:Choice>
  </mc:AlternateContent>
  <xr:revisionPtr revIDLastSave="0" documentId="13_ncr:1_{B34A16B1-30EE-496B-8C59-FAFC8ED3D4B6}" xr6:coauthVersionLast="47" xr6:coauthVersionMax="47" xr10:uidLastSave="{00000000-0000-0000-0000-000000000000}"/>
  <bookViews>
    <workbookView xWindow="-8205" yWindow="-16320" windowWidth="29040" windowHeight="15720" tabRatio="887" xr2:uid="{00000000-000D-0000-FFFF-FFFF00000000}"/>
  </bookViews>
  <sheets>
    <sheet name="Comparatif" sheetId="137" r:id="rId1"/>
    <sheet name="SeuilsComparaison-EMT" sheetId="8" r:id="rId2"/>
    <sheet name="LimitequantificationSDE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37" l="1"/>
  <c r="J13" i="137"/>
  <c r="L17" i="137"/>
  <c r="L20" i="137"/>
  <c r="L25" i="137"/>
  <c r="L26" i="137"/>
  <c r="L27" i="137"/>
  <c r="L16" i="137"/>
  <c r="N16" i="137"/>
  <c r="N17" i="137"/>
  <c r="N18" i="137"/>
  <c r="N19" i="137"/>
  <c r="N20" i="137"/>
  <c r="N21" i="137"/>
  <c r="N22" i="137"/>
  <c r="N23" i="137"/>
  <c r="N24" i="137"/>
  <c r="N25" i="137"/>
  <c r="N26" i="137"/>
  <c r="N27" i="137"/>
  <c r="N15" i="137"/>
  <c r="J27" i="137" l="1"/>
  <c r="C27" i="137"/>
  <c r="J26" i="137"/>
  <c r="C26" i="137"/>
  <c r="J25" i="137"/>
  <c r="C25" i="137"/>
  <c r="J24" i="137"/>
  <c r="L24" i="137" s="1"/>
  <c r="C24" i="137"/>
  <c r="J23" i="137"/>
  <c r="L23" i="137" s="1"/>
  <c r="C23" i="137"/>
  <c r="J22" i="137"/>
  <c r="L22" i="137" s="1"/>
  <c r="C22" i="137"/>
  <c r="J21" i="137"/>
  <c r="L21" i="137" s="1"/>
  <c r="C21" i="137"/>
  <c r="J20" i="137"/>
  <c r="C20" i="137"/>
  <c r="J19" i="137"/>
  <c r="L19" i="137" s="1"/>
  <c r="C19" i="137"/>
  <c r="J18" i="137"/>
  <c r="L18" i="137" s="1"/>
  <c r="C18" i="137"/>
  <c r="J17" i="137"/>
  <c r="C17" i="137"/>
  <c r="J16" i="137"/>
  <c r="C16" i="137"/>
  <c r="J15" i="137"/>
  <c r="L15" i="137" s="1"/>
  <c r="C15" i="137"/>
  <c r="Q13" i="137"/>
  <c r="R13" i="137" l="1"/>
  <c r="T13" i="137" l="1"/>
  <c r="S13" i="137"/>
</calcChain>
</file>

<file path=xl/sharedStrings.xml><?xml version="1.0" encoding="utf-8"?>
<sst xmlns="http://schemas.openxmlformats.org/spreadsheetml/2006/main" count="133" uniqueCount="90">
  <si>
    <t>Code SANDRE</t>
  </si>
  <si>
    <t>Paramètres</t>
  </si>
  <si>
    <t>LQ
en mg/l</t>
  </si>
  <si>
    <t>COFRAC</t>
  </si>
  <si>
    <t>Ecart (%)</t>
  </si>
  <si>
    <t>Conformité</t>
  </si>
  <si>
    <t>DBO5</t>
  </si>
  <si>
    <t>DCO</t>
  </si>
  <si>
    <t>ST DCO</t>
  </si>
  <si>
    <t>COT</t>
  </si>
  <si>
    <t>MEST</t>
  </si>
  <si>
    <t>NKJ (N)</t>
  </si>
  <si>
    <t>NH4 (NH4)</t>
  </si>
  <si>
    <t>NO2 (NO2)</t>
  </si>
  <si>
    <t>NO3 (NO3)</t>
  </si>
  <si>
    <t>NGL</t>
  </si>
  <si>
    <t>PT</t>
  </si>
  <si>
    <t>AOX</t>
  </si>
  <si>
    <t>As</t>
  </si>
  <si>
    <t>Cd</t>
  </si>
  <si>
    <t>Cr</t>
  </si>
  <si>
    <t>Cu</t>
  </si>
  <si>
    <t>Hg</t>
  </si>
  <si>
    <t>Ni</t>
  </si>
  <si>
    <t>Pb</t>
  </si>
  <si>
    <t>Zn</t>
  </si>
  <si>
    <t>MS</t>
  </si>
  <si>
    <t xml:space="preserve"> COMPARATIF ANALYTIQUE : DEFINITION DES ECARTS MAXIMUM TOLERES (EMT)</t>
  </si>
  <si>
    <t>Unités</t>
  </si>
  <si>
    <t>Limites de quantification</t>
  </si>
  <si>
    <t>Seuil de comparaison</t>
  </si>
  <si>
    <t>Concentration supérieure au seuil de comparaison et   inférieure ou égale à</t>
  </si>
  <si>
    <t>Ecart Maximum Toléré</t>
  </si>
  <si>
    <t>Concentration supérieure à</t>
  </si>
  <si>
    <r>
      <t>en mg/l de O</t>
    </r>
    <r>
      <rPr>
        <vertAlign val="subscript"/>
        <sz val="10"/>
        <rFont val="Arial"/>
        <family val="2"/>
      </rPr>
      <t>2</t>
    </r>
  </si>
  <si>
    <t>en mg/l</t>
  </si>
  <si>
    <t>en mg/l de N</t>
  </si>
  <si>
    <r>
      <t>en mg/l de NH</t>
    </r>
    <r>
      <rPr>
        <vertAlign val="subscript"/>
        <sz val="10"/>
        <rFont val="Arial"/>
        <family val="2"/>
      </rPr>
      <t>4</t>
    </r>
    <r>
      <rPr>
        <vertAlign val="superscript"/>
        <sz val="10"/>
        <rFont val="Arial"/>
        <family val="2"/>
      </rPr>
      <t>+</t>
    </r>
  </si>
  <si>
    <r>
      <t>en mg/l de NO</t>
    </r>
    <r>
      <rPr>
        <vertAlign val="subscript"/>
        <sz val="10"/>
        <rFont val="Arial"/>
        <family val="2"/>
      </rPr>
      <t>2</t>
    </r>
  </si>
  <si>
    <r>
      <t>en mg/l de NO</t>
    </r>
    <r>
      <rPr>
        <vertAlign val="subscript"/>
        <sz val="10"/>
        <rFont val="Arial"/>
        <family val="2"/>
      </rPr>
      <t>3</t>
    </r>
  </si>
  <si>
    <t>en mg/l de P</t>
  </si>
  <si>
    <r>
      <t xml:space="preserve">Le cacul des écarts analytiques est effectué si l'un des deux ou les deux résultats sont au dessus du seuil de comparaison. </t>
    </r>
    <r>
      <rPr>
        <b/>
        <sz val="10"/>
        <rFont val="Arial"/>
        <family val="2"/>
      </rPr>
      <t>L'écart est calculé par rapport à la moyenne des 2 valeurs.</t>
    </r>
  </si>
  <si>
    <t xml:space="preserve"> LIMITES DE QUANTIFICATION POUR LES SDE</t>
  </si>
  <si>
    <t>Coefficient multiplicateur de la masse rejetée</t>
  </si>
  <si>
    <t>Anthracène</t>
  </si>
  <si>
    <t>0,010 µg/l</t>
  </si>
  <si>
    <t>Benzène</t>
  </si>
  <si>
    <t>1,0 µg/l</t>
  </si>
  <si>
    <t>Benzo(a)pyrène</t>
  </si>
  <si>
    <t>Benzo(b)fluoranthène</t>
  </si>
  <si>
    <t>0,005 µg/l</t>
  </si>
  <si>
    <t>Benzo(k)fluoranthène</t>
  </si>
  <si>
    <t>Benzo(ghi)pérylène</t>
  </si>
  <si>
    <t>Di(2-éthylhexyl)phtalate DEHP</t>
  </si>
  <si>
    <t>Ethylbenzène</t>
  </si>
  <si>
    <t>Fluoranthène</t>
  </si>
  <si>
    <t>Indeno(1,2,3-cd)pyrène</t>
  </si>
  <si>
    <t>Naphtalène</t>
  </si>
  <si>
    <t>0,050 µg/l</t>
  </si>
  <si>
    <t>Nonylphénols mélange</t>
  </si>
  <si>
    <t>0,5 µg/l</t>
  </si>
  <si>
    <t>p-Octylphénol mélange</t>
  </si>
  <si>
    <t>Toluène</t>
  </si>
  <si>
    <t>1 µg/l</t>
  </si>
  <si>
    <t>Tributylétain cation</t>
  </si>
  <si>
    <t>0,02 µg/l</t>
  </si>
  <si>
    <t>Xylènes</t>
  </si>
  <si>
    <t>2 µg/l</t>
  </si>
  <si>
    <t>Conductivité</t>
  </si>
  <si>
    <t>Cl</t>
  </si>
  <si>
    <t>en g/l</t>
  </si>
  <si>
    <t>COMMENTAIRES :</t>
  </si>
  <si>
    <t xml:space="preserve">Préleveur : </t>
  </si>
  <si>
    <t xml:space="preserve">Date du comparatif : </t>
  </si>
  <si>
    <t xml:space="preserve">Le comparatif est-il effectué à partir des prélévements d'une autre station ? </t>
  </si>
  <si>
    <t>EMT</t>
  </si>
  <si>
    <t>Nombre d'analyses
réalisées</t>
  </si>
  <si>
    <t>Nombre d'analyses
conformes</t>
  </si>
  <si>
    <t>Coefficient Analytique</t>
  </si>
  <si>
    <t xml:space="preserve">Dans l'affirmative, préciser la station : </t>
  </si>
  <si>
    <t>Informations sur le comparatif analytique</t>
  </si>
  <si>
    <t>Résultats du comparatif analytique</t>
  </si>
  <si>
    <t>Laboratoire du
Maître d'Ouvrage/exploitant</t>
  </si>
  <si>
    <t>Laboratoire de
contrôle</t>
  </si>
  <si>
    <t>Les analyses sont-elles correctement effectuées ?</t>
  </si>
  <si>
    <t xml:space="preserve">Nom du(des) laboratoire(s) réalisant les analyses de la matrice eau : </t>
  </si>
  <si>
    <t xml:space="preserve">Nom du(des) laboratoire(s) réalisant l'analyse de la siccité des boues et des matières séches : </t>
  </si>
  <si>
    <t xml:space="preserve">Le(s) laboratoire(s) est/sont-il(s) agréé(s) au titre du code de l’environnement pour l'ensemble des paramètres de la matrice eau résiduaire ? </t>
  </si>
  <si>
    <t xml:space="preserve">A défaut, est ce que le laboratoire réalise un exercice concluant d’intercalibration avec un laboratoire agréé ? </t>
  </si>
  <si>
    <t>non prise en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</si>
</sst>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indexed="9"/>
      <name val="Arial"/>
      <family val="2"/>
    </font>
    <font>
      <b/>
      <sz val="10"/>
      <color rgb="FFFF000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vertAlign val="subscript"/>
      <sz val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2"/>
      <color theme="3"/>
      <name val="Calibri"/>
      <family val="2"/>
      <scheme val="minor"/>
    </font>
    <font>
      <sz val="10"/>
      <color theme="2"/>
      <name val="Calibri"/>
      <family val="2"/>
      <scheme val="minor"/>
    </font>
    <font>
      <i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009F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FC5E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896EF"/>
        <bgColor indexed="64"/>
      </patternFill>
    </fill>
    <fill>
      <patternFill patternType="solid">
        <fgColor rgb="FFC6EE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ck">
        <color theme="9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9" fontId="9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</cellStyleXfs>
  <cellXfs count="177">
    <xf numFmtId="0" fontId="0" fillId="0" borderId="0" xfId="0"/>
    <xf numFmtId="0" fontId="9" fillId="0" borderId="0" xfId="1" applyAlignment="1" applyProtection="1">
      <alignment vertical="center"/>
      <protection hidden="1"/>
    </xf>
    <xf numFmtId="0" fontId="9" fillId="0" borderId="0" xfId="1" applyAlignment="1" applyProtection="1">
      <alignment vertical="center" wrapText="1"/>
      <protection hidden="1"/>
    </xf>
    <xf numFmtId="0" fontId="9" fillId="4" borderId="34" xfId="1" applyFill="1" applyBorder="1" applyAlignment="1" applyProtection="1">
      <alignment vertical="center"/>
      <protection hidden="1"/>
    </xf>
    <xf numFmtId="0" fontId="9" fillId="4" borderId="35" xfId="1" applyFill="1" applyBorder="1" applyAlignment="1" applyProtection="1">
      <alignment vertical="center"/>
      <protection hidden="1"/>
    </xf>
    <xf numFmtId="0" fontId="9" fillId="0" borderId="0" xfId="1" applyAlignment="1" applyProtection="1">
      <alignment horizontal="center" vertical="center"/>
      <protection hidden="1"/>
    </xf>
    <xf numFmtId="0" fontId="8" fillId="0" borderId="0" xfId="1" applyFont="1" applyAlignment="1" applyProtection="1">
      <alignment vertical="center"/>
      <protection hidden="1"/>
    </xf>
    <xf numFmtId="3" fontId="9" fillId="0" borderId="0" xfId="1" applyNumberFormat="1" applyAlignment="1" applyProtection="1">
      <alignment vertical="center"/>
      <protection hidden="1"/>
    </xf>
    <xf numFmtId="0" fontId="0" fillId="2" borderId="0" xfId="0" applyFill="1" applyAlignment="1">
      <alignment vertical="center"/>
    </xf>
    <xf numFmtId="0" fontId="9" fillId="6" borderId="0" xfId="1" applyFill="1" applyAlignment="1" applyProtection="1">
      <alignment vertical="center"/>
      <protection hidden="1"/>
    </xf>
    <xf numFmtId="0" fontId="12" fillId="6" borderId="0" xfId="1" applyFont="1" applyFill="1" applyAlignment="1" applyProtection="1">
      <alignment vertical="center"/>
      <protection hidden="1"/>
    </xf>
    <xf numFmtId="3" fontId="9" fillId="6" borderId="0" xfId="1" applyNumberFormat="1" applyFill="1" applyAlignment="1" applyProtection="1">
      <alignment vertical="center"/>
      <protection hidden="1"/>
    </xf>
    <xf numFmtId="0" fontId="13" fillId="6" borderId="0" xfId="1" applyFont="1" applyFill="1" applyAlignment="1" applyProtection="1">
      <alignment vertical="center"/>
      <protection hidden="1"/>
    </xf>
    <xf numFmtId="0" fontId="9" fillId="6" borderId="0" xfId="1" applyFill="1" applyAlignment="1" applyProtection="1">
      <alignment vertical="center" wrapText="1"/>
      <protection hidden="1"/>
    </xf>
    <xf numFmtId="0" fontId="14" fillId="5" borderId="22" xfId="1" applyFont="1" applyFill="1" applyBorder="1" applyAlignment="1" applyProtection="1">
      <alignment horizontal="center" vertical="center" wrapText="1"/>
      <protection hidden="1"/>
    </xf>
    <xf numFmtId="0" fontId="14" fillId="5" borderId="23" xfId="1" applyFont="1" applyFill="1" applyBorder="1" applyAlignment="1" applyProtection="1">
      <alignment horizontal="center" vertical="center" wrapText="1"/>
      <protection hidden="1"/>
    </xf>
    <xf numFmtId="3" fontId="14" fillId="5" borderId="7" xfId="1" applyNumberFormat="1" applyFont="1" applyFill="1" applyBorder="1" applyAlignment="1" applyProtection="1">
      <alignment horizontal="center" vertical="center" wrapText="1"/>
      <protection hidden="1"/>
    </xf>
    <xf numFmtId="0" fontId="9" fillId="7" borderId="11" xfId="1" applyFill="1" applyBorder="1" applyAlignment="1" applyProtection="1">
      <alignment horizontal="center" vertical="center"/>
      <protection hidden="1"/>
    </xf>
    <xf numFmtId="0" fontId="9" fillId="7" borderId="12" xfId="1" applyFill="1" applyBorder="1" applyAlignment="1" applyProtection="1">
      <alignment horizontal="center" vertical="center"/>
      <protection hidden="1"/>
    </xf>
    <xf numFmtId="0" fontId="10" fillId="7" borderId="12" xfId="1" applyFont="1" applyFill="1" applyBorder="1" applyAlignment="1" applyProtection="1">
      <alignment horizontal="center" vertical="center"/>
      <protection hidden="1"/>
    </xf>
    <xf numFmtId="3" fontId="9" fillId="7" borderId="13" xfId="1" applyNumberFormat="1" applyFill="1" applyBorder="1" applyAlignment="1" applyProtection="1">
      <alignment horizontal="center" vertical="center"/>
      <protection hidden="1"/>
    </xf>
    <xf numFmtId="0" fontId="9" fillId="7" borderId="20" xfId="1" applyFill="1" applyBorder="1" applyAlignment="1" applyProtection="1">
      <alignment horizontal="center" vertical="center"/>
      <protection hidden="1"/>
    </xf>
    <xf numFmtId="0" fontId="9" fillId="7" borderId="4" xfId="1" applyFill="1" applyBorder="1" applyAlignment="1" applyProtection="1">
      <alignment horizontal="center" vertical="center"/>
      <protection hidden="1"/>
    </xf>
    <xf numFmtId="0" fontId="10" fillId="7" borderId="4" xfId="1" applyFont="1" applyFill="1" applyBorder="1" applyAlignment="1" applyProtection="1">
      <alignment horizontal="center" vertical="center"/>
      <protection hidden="1"/>
    </xf>
    <xf numFmtId="3" fontId="9" fillId="7" borderId="19" xfId="1" applyNumberFormat="1" applyFill="1" applyBorder="1" applyAlignment="1" applyProtection="1">
      <alignment horizontal="center" vertical="center"/>
      <protection hidden="1"/>
    </xf>
    <xf numFmtId="0" fontId="9" fillId="7" borderId="20" xfId="1" applyFill="1" applyBorder="1" applyAlignment="1" applyProtection="1">
      <alignment horizontal="center" vertical="center" wrapText="1"/>
      <protection hidden="1"/>
    </xf>
    <xf numFmtId="0" fontId="9" fillId="7" borderId="4" xfId="1" applyFill="1" applyBorder="1" applyAlignment="1" applyProtection="1">
      <alignment horizontal="center" vertical="center" wrapText="1"/>
      <protection hidden="1"/>
    </xf>
    <xf numFmtId="0" fontId="8" fillId="6" borderId="0" xfId="1" applyFont="1" applyFill="1" applyAlignment="1" applyProtection="1">
      <alignment vertical="center"/>
      <protection hidden="1"/>
    </xf>
    <xf numFmtId="0" fontId="9" fillId="7" borderId="21" xfId="1" applyFill="1" applyBorder="1" applyAlignment="1" applyProtection="1">
      <alignment horizontal="center" vertical="center" wrapText="1"/>
      <protection hidden="1"/>
    </xf>
    <xf numFmtId="0" fontId="9" fillId="7" borderId="14" xfId="1" applyFill="1" applyBorder="1" applyAlignment="1" applyProtection="1">
      <alignment horizontal="center" vertical="center" wrapText="1"/>
      <protection hidden="1"/>
    </xf>
    <xf numFmtId="0" fontId="9" fillId="7" borderId="14" xfId="1" applyFill="1" applyBorder="1" applyAlignment="1" applyProtection="1">
      <alignment horizontal="center" vertical="center"/>
      <protection hidden="1"/>
    </xf>
    <xf numFmtId="3" fontId="9" fillId="7" borderId="9" xfId="1" applyNumberFormat="1" applyFill="1" applyBorder="1" applyAlignment="1" applyProtection="1">
      <alignment horizontal="center" vertical="center"/>
      <protection hidden="1"/>
    </xf>
    <xf numFmtId="0" fontId="9" fillId="6" borderId="0" xfId="1" applyFill="1" applyAlignment="1" applyProtection="1">
      <alignment horizontal="left" vertical="center"/>
      <protection hidden="1"/>
    </xf>
    <xf numFmtId="0" fontId="9" fillId="6" borderId="0" xfId="1" applyFill="1" applyAlignment="1" applyProtection="1">
      <alignment horizontal="center" vertical="center"/>
      <protection hidden="1"/>
    </xf>
    <xf numFmtId="3" fontId="9" fillId="6" borderId="0" xfId="1" applyNumberFormat="1" applyFill="1" applyAlignment="1" applyProtection="1">
      <alignment horizontal="center" vertical="center"/>
      <protection hidden="1"/>
    </xf>
    <xf numFmtId="0" fontId="14" fillId="5" borderId="5" xfId="1" applyFont="1" applyFill="1" applyBorder="1" applyAlignment="1" applyProtection="1">
      <alignment horizontal="center" vertical="center" wrapText="1"/>
      <protection hidden="1"/>
    </xf>
    <xf numFmtId="0" fontId="14" fillId="5" borderId="8" xfId="1" applyFont="1" applyFill="1" applyBorder="1" applyAlignment="1" applyProtection="1">
      <alignment horizontal="center" vertical="center" wrapText="1"/>
      <protection hidden="1"/>
    </xf>
    <xf numFmtId="0" fontId="14" fillId="5" borderId="24" xfId="1" applyFont="1" applyFill="1" applyBorder="1" applyAlignment="1" applyProtection="1">
      <alignment horizontal="center" vertical="center" wrapText="1"/>
      <protection hidden="1"/>
    </xf>
    <xf numFmtId="0" fontId="7" fillId="5" borderId="25" xfId="1" applyFont="1" applyFill="1" applyBorder="1" applyAlignment="1" applyProtection="1">
      <alignment horizontal="center" vertical="center" wrapText="1"/>
      <protection hidden="1"/>
    </xf>
    <xf numFmtId="0" fontId="9" fillId="6" borderId="18" xfId="1" applyFill="1" applyBorder="1" applyAlignment="1" applyProtection="1">
      <alignment vertical="center" wrapText="1"/>
      <protection hidden="1"/>
    </xf>
    <xf numFmtId="0" fontId="9" fillId="7" borderId="26" xfId="1" applyFill="1" applyBorder="1" applyAlignment="1" applyProtection="1">
      <alignment horizontal="center" vertical="center"/>
      <protection hidden="1"/>
    </xf>
    <xf numFmtId="0" fontId="9" fillId="7" borderId="27" xfId="1" applyFill="1" applyBorder="1" applyAlignment="1" applyProtection="1">
      <alignment horizontal="center" vertical="center"/>
      <protection hidden="1"/>
    </xf>
    <xf numFmtId="0" fontId="10" fillId="7" borderId="26" xfId="1" applyFont="1" applyFill="1" applyBorder="1" applyAlignment="1" applyProtection="1">
      <alignment horizontal="center" vertical="center"/>
      <protection hidden="1"/>
    </xf>
    <xf numFmtId="0" fontId="9" fillId="7" borderId="28" xfId="1" applyFill="1" applyBorder="1" applyAlignment="1" applyProtection="1">
      <alignment horizontal="center" vertical="center"/>
      <protection hidden="1"/>
    </xf>
    <xf numFmtId="9" fontId="9" fillId="7" borderId="29" xfId="1" applyNumberFormat="1" applyFill="1" applyBorder="1" applyAlignment="1" applyProtection="1">
      <alignment horizontal="center" vertical="center"/>
      <protection hidden="1"/>
    </xf>
    <xf numFmtId="0" fontId="9" fillId="7" borderId="30" xfId="1" applyFill="1" applyBorder="1" applyAlignment="1" applyProtection="1">
      <alignment horizontal="center" vertical="center"/>
      <protection hidden="1"/>
    </xf>
    <xf numFmtId="9" fontId="9" fillId="7" borderId="31" xfId="1" applyNumberFormat="1" applyFill="1" applyBorder="1" applyAlignment="1" applyProtection="1">
      <alignment horizontal="center" vertical="center"/>
      <protection hidden="1"/>
    </xf>
    <xf numFmtId="0" fontId="9" fillId="7" borderId="32" xfId="1" applyFill="1" applyBorder="1" applyAlignment="1" applyProtection="1">
      <alignment horizontal="center" vertical="center"/>
      <protection hidden="1"/>
    </xf>
    <xf numFmtId="0" fontId="9" fillId="7" borderId="33" xfId="1" applyFill="1" applyBorder="1" applyAlignment="1" applyProtection="1">
      <alignment horizontal="center" vertical="center"/>
      <protection hidden="1"/>
    </xf>
    <xf numFmtId="0" fontId="10" fillId="7" borderId="32" xfId="1" applyFont="1" applyFill="1" applyBorder="1" applyAlignment="1" applyProtection="1">
      <alignment horizontal="center" vertical="center"/>
      <protection hidden="1"/>
    </xf>
    <xf numFmtId="0" fontId="9" fillId="7" borderId="34" xfId="1" applyFill="1" applyBorder="1" applyAlignment="1" applyProtection="1">
      <alignment horizontal="center" vertical="center"/>
      <protection hidden="1"/>
    </xf>
    <xf numFmtId="9" fontId="9" fillId="7" borderId="35" xfId="1" applyNumberFormat="1" applyFill="1" applyBorder="1" applyAlignment="1" applyProtection="1">
      <alignment horizontal="center" vertical="center"/>
      <protection hidden="1"/>
    </xf>
    <xf numFmtId="0" fontId="16" fillId="7" borderId="33" xfId="1" applyFont="1" applyFill="1" applyBorder="1" applyAlignment="1" applyProtection="1">
      <alignment horizontal="center" vertical="center"/>
      <protection hidden="1"/>
    </xf>
    <xf numFmtId="0" fontId="9" fillId="7" borderId="33" xfId="1" applyFill="1" applyBorder="1" applyAlignment="1" applyProtection="1">
      <alignment horizontal="center" vertical="center" wrapText="1"/>
      <protection hidden="1"/>
    </xf>
    <xf numFmtId="0" fontId="9" fillId="7" borderId="43" xfId="1" applyFill="1" applyBorder="1" applyAlignment="1" applyProtection="1">
      <alignment horizontal="center" vertical="center"/>
      <protection hidden="1"/>
    </xf>
    <xf numFmtId="0" fontId="9" fillId="7" borderId="44" xfId="1" applyFill="1" applyBorder="1" applyAlignment="1" applyProtection="1">
      <alignment horizontal="center" vertical="center" wrapText="1"/>
      <protection hidden="1"/>
    </xf>
    <xf numFmtId="0" fontId="10" fillId="7" borderId="43" xfId="1" applyFont="1" applyFill="1" applyBorder="1" applyAlignment="1" applyProtection="1">
      <alignment horizontal="center" vertical="center"/>
      <protection hidden="1"/>
    </xf>
    <xf numFmtId="0" fontId="9" fillId="7" borderId="44" xfId="1" applyFill="1" applyBorder="1" applyAlignment="1" applyProtection="1">
      <alignment horizontal="center" vertical="center"/>
      <protection hidden="1"/>
    </xf>
    <xf numFmtId="0" fontId="9" fillId="7" borderId="45" xfId="1" applyFill="1" applyBorder="1" applyAlignment="1" applyProtection="1">
      <alignment horizontal="center" vertical="center"/>
      <protection hidden="1"/>
    </xf>
    <xf numFmtId="9" fontId="9" fillId="7" borderId="46" xfId="1" applyNumberFormat="1" applyFill="1" applyBorder="1" applyAlignment="1" applyProtection="1">
      <alignment horizontal="center" vertical="center"/>
      <protection hidden="1"/>
    </xf>
    <xf numFmtId="0" fontId="9" fillId="7" borderId="5" xfId="1" applyFill="1" applyBorder="1" applyAlignment="1" applyProtection="1">
      <alignment horizontal="center" vertical="center"/>
      <protection hidden="1"/>
    </xf>
    <xf numFmtId="0" fontId="9" fillId="7" borderId="8" xfId="1" applyFill="1" applyBorder="1" applyAlignment="1" applyProtection="1">
      <alignment horizontal="center" vertical="center" wrapText="1"/>
      <protection hidden="1"/>
    </xf>
    <xf numFmtId="0" fontId="9" fillId="7" borderId="8" xfId="1" applyFill="1" applyBorder="1" applyAlignment="1" applyProtection="1">
      <alignment horizontal="center" vertical="center"/>
      <protection hidden="1"/>
    </xf>
    <xf numFmtId="0" fontId="9" fillId="7" borderId="24" xfId="1" applyFill="1" applyBorder="1" applyAlignment="1" applyProtection="1">
      <alignment horizontal="center" vertical="center"/>
      <protection hidden="1"/>
    </xf>
    <xf numFmtId="9" fontId="9" fillId="7" borderId="25" xfId="1" applyNumberFormat="1" applyFill="1" applyBorder="1" applyAlignment="1" applyProtection="1">
      <alignment horizontal="center" vertical="center"/>
      <protection hidden="1"/>
    </xf>
    <xf numFmtId="0" fontId="21" fillId="8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0" fillId="8" borderId="51" xfId="0" applyFill="1" applyBorder="1" applyAlignment="1">
      <alignment horizontal="center" vertical="center"/>
    </xf>
    <xf numFmtId="0" fontId="18" fillId="2" borderId="47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19" fillId="2" borderId="0" xfId="0" applyFont="1" applyFill="1" applyAlignment="1">
      <alignment vertical="center"/>
    </xf>
    <xf numFmtId="0" fontId="19" fillId="2" borderId="48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0" fillId="10" borderId="4" xfId="0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/>
    </xf>
    <xf numFmtId="9" fontId="9" fillId="8" borderId="57" xfId="0" applyNumberFormat="1" applyFont="1" applyFill="1" applyBorder="1" applyAlignment="1">
      <alignment horizontal="center" vertical="center"/>
    </xf>
    <xf numFmtId="9" fontId="9" fillId="8" borderId="50" xfId="0" applyNumberFormat="1" applyFont="1" applyFill="1" applyBorder="1" applyAlignment="1">
      <alignment horizontal="center" vertical="center"/>
    </xf>
    <xf numFmtId="9" fontId="9" fillId="8" borderId="58" xfId="0" applyNumberFormat="1" applyFont="1" applyFill="1" applyBorder="1" applyAlignment="1">
      <alignment horizontal="center" vertical="center"/>
    </xf>
    <xf numFmtId="9" fontId="9" fillId="8" borderId="55" xfId="0" applyNumberFormat="1" applyFont="1" applyFill="1" applyBorder="1" applyAlignment="1">
      <alignment horizontal="center" vertical="center"/>
    </xf>
    <xf numFmtId="2" fontId="9" fillId="8" borderId="4" xfId="0" applyNumberFormat="1" applyFont="1" applyFill="1" applyBorder="1" applyAlignment="1">
      <alignment horizontal="center" vertical="center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12" borderId="4" xfId="0" applyFont="1" applyFill="1" applyBorder="1" applyAlignment="1" applyProtection="1">
      <alignment horizontal="center" vertical="center" wrapText="1"/>
      <protection locked="0"/>
    </xf>
    <xf numFmtId="0" fontId="0" fillId="13" borderId="50" xfId="0" applyFill="1" applyBorder="1" applyAlignment="1" applyProtection="1">
      <alignment horizontal="center" vertical="center"/>
      <protection locked="0"/>
    </xf>
    <xf numFmtId="0" fontId="0" fillId="13" borderId="51" xfId="0" applyFill="1" applyBorder="1" applyAlignment="1" applyProtection="1">
      <alignment horizontal="center" vertic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49" fontId="1" fillId="11" borderId="1" xfId="0" applyNumberFormat="1" applyFont="1" applyFill="1" applyBorder="1" applyAlignment="1">
      <alignment horizontal="right" vertical="center" wrapText="1"/>
    </xf>
    <xf numFmtId="49" fontId="1" fillId="11" borderId="2" xfId="0" applyNumberFormat="1" applyFont="1" applyFill="1" applyBorder="1" applyAlignment="1">
      <alignment horizontal="right" vertical="center" wrapText="1"/>
    </xf>
    <xf numFmtId="0" fontId="24" fillId="2" borderId="2" xfId="0" applyFont="1" applyFill="1" applyBorder="1" applyAlignment="1" applyProtection="1">
      <alignment horizontal="center" vertical="center"/>
      <protection locked="0"/>
    </xf>
    <xf numFmtId="0" fontId="24" fillId="2" borderId="3" xfId="0" applyFont="1" applyFill="1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>
      <alignment horizontal="right" vertical="center" wrapText="1"/>
    </xf>
    <xf numFmtId="0" fontId="1" fillId="11" borderId="2" xfId="0" applyFont="1" applyFill="1" applyBorder="1" applyAlignment="1">
      <alignment horizontal="right" vertical="center" wrapText="1"/>
    </xf>
    <xf numFmtId="0" fontId="25" fillId="12" borderId="2" xfId="0" applyFont="1" applyFill="1" applyBorder="1" applyAlignment="1" applyProtection="1">
      <alignment horizontal="center" vertical="center"/>
      <protection locked="0"/>
    </xf>
    <xf numFmtId="0" fontId="25" fillId="12" borderId="3" xfId="0" applyFont="1" applyFill="1" applyBorder="1" applyAlignment="1" applyProtection="1">
      <alignment horizontal="center" vertical="center"/>
      <protection locked="0"/>
    </xf>
    <xf numFmtId="0" fontId="23" fillId="9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right" vertical="center"/>
    </xf>
    <xf numFmtId="0" fontId="1" fillId="11" borderId="2" xfId="0" applyFont="1" applyFill="1" applyBorder="1" applyAlignment="1">
      <alignment horizontal="right" vertical="center"/>
    </xf>
    <xf numFmtId="0" fontId="1" fillId="11" borderId="3" xfId="0" applyFont="1" applyFill="1" applyBorder="1" applyAlignment="1">
      <alignment horizontal="right" vertical="center"/>
    </xf>
    <xf numFmtId="0" fontId="24" fillId="2" borderId="1" xfId="0" applyFont="1" applyFill="1" applyBorder="1" applyAlignment="1" applyProtection="1">
      <alignment horizontal="center" vertical="center"/>
      <protection locked="0"/>
    </xf>
    <xf numFmtId="0" fontId="1" fillId="11" borderId="38" xfId="0" applyFont="1" applyFill="1" applyBorder="1" applyAlignment="1">
      <alignment horizontal="right" vertical="center"/>
    </xf>
    <xf numFmtId="0" fontId="24" fillId="0" borderId="1" xfId="0" applyFont="1" applyBorder="1" applyAlignment="1" applyProtection="1">
      <alignment horizontal="center" vertical="center"/>
      <protection locked="0"/>
    </xf>
    <xf numFmtId="0" fontId="24" fillId="0" borderId="2" xfId="0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4" fillId="3" borderId="1" xfId="0" applyFont="1" applyFill="1" applyBorder="1" applyAlignment="1">
      <alignment horizontal="right" vertical="center" wrapText="1"/>
    </xf>
    <xf numFmtId="0" fontId="24" fillId="3" borderId="2" xfId="0" applyFont="1" applyFill="1" applyBorder="1" applyAlignment="1">
      <alignment horizontal="right" vertical="center" wrapText="1"/>
    </xf>
    <xf numFmtId="0" fontId="24" fillId="3" borderId="3" xfId="0" applyFont="1" applyFill="1" applyBorder="1" applyAlignment="1">
      <alignment horizontal="right" vertical="center" wrapText="1"/>
    </xf>
    <xf numFmtId="0" fontId="23" fillId="9" borderId="36" xfId="0" applyFont="1" applyFill="1" applyBorder="1" applyAlignment="1">
      <alignment horizontal="center" vertical="center"/>
    </xf>
    <xf numFmtId="0" fontId="23" fillId="9" borderId="37" xfId="0" applyFont="1" applyFill="1" applyBorder="1" applyAlignment="1">
      <alignment horizontal="center" vertical="center"/>
    </xf>
    <xf numFmtId="0" fontId="23" fillId="9" borderId="38" xfId="0" applyFont="1" applyFill="1" applyBorder="1" applyAlignment="1">
      <alignment horizontal="center" vertical="center"/>
    </xf>
    <xf numFmtId="0" fontId="20" fillId="8" borderId="36" xfId="0" applyFont="1" applyFill="1" applyBorder="1" applyAlignment="1" applyProtection="1">
      <alignment horizontal="center" vertical="center" wrapText="1"/>
      <protection locked="0"/>
    </xf>
    <xf numFmtId="0" fontId="20" fillId="8" borderId="37" xfId="0" applyFont="1" applyFill="1" applyBorder="1" applyAlignment="1" applyProtection="1">
      <alignment horizontal="center" vertical="center" wrapText="1"/>
      <protection locked="0"/>
    </xf>
    <xf numFmtId="0" fontId="20" fillId="8" borderId="38" xfId="0" applyFont="1" applyFill="1" applyBorder="1" applyAlignment="1" applyProtection="1">
      <alignment horizontal="center" vertical="center" wrapText="1"/>
      <protection locked="0"/>
    </xf>
    <xf numFmtId="0" fontId="20" fillId="8" borderId="40" xfId="0" applyFont="1" applyFill="1" applyBorder="1" applyAlignment="1" applyProtection="1">
      <alignment horizontal="center" vertical="center" wrapText="1"/>
      <protection locked="0"/>
    </xf>
    <xf numFmtId="0" fontId="20" fillId="8" borderId="0" xfId="0" applyFont="1" applyFill="1" applyAlignment="1" applyProtection="1">
      <alignment horizontal="center" vertical="center" wrapText="1"/>
      <protection locked="0"/>
    </xf>
    <xf numFmtId="0" fontId="20" fillId="8" borderId="41" xfId="0" applyFont="1" applyFill="1" applyBorder="1" applyAlignment="1" applyProtection="1">
      <alignment horizontal="center" vertical="center" wrapText="1"/>
      <protection locked="0"/>
    </xf>
    <xf numFmtId="0" fontId="20" fillId="8" borderId="15" xfId="0" applyFont="1" applyFill="1" applyBorder="1" applyAlignment="1" applyProtection="1">
      <alignment horizontal="center" vertical="center" wrapText="1"/>
      <protection locked="0"/>
    </xf>
    <xf numFmtId="0" fontId="20" fillId="8" borderId="16" xfId="0" applyFont="1" applyFill="1" applyBorder="1" applyAlignment="1" applyProtection="1">
      <alignment horizontal="center" vertical="center" wrapText="1"/>
      <protection locked="0"/>
    </xf>
    <xf numFmtId="0" fontId="20" fillId="8" borderId="39" xfId="0" applyFont="1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4" fontId="24" fillId="0" borderId="4" xfId="0" applyNumberFormat="1" applyFont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10" fontId="0" fillId="0" borderId="49" xfId="0" applyNumberFormat="1" applyBorder="1" applyAlignment="1">
      <alignment horizontal="center" vertical="center"/>
    </xf>
    <xf numFmtId="10" fontId="0" fillId="0" borderId="42" xfId="0" applyNumberForma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24" fillId="3" borderId="53" xfId="0" applyFont="1" applyFill="1" applyBorder="1" applyAlignment="1">
      <alignment horizontal="right" vertical="center"/>
    </xf>
    <xf numFmtId="0" fontId="24" fillId="3" borderId="59" xfId="0" applyFont="1" applyFill="1" applyBorder="1" applyAlignment="1">
      <alignment horizontal="right" vertical="center"/>
    </xf>
    <xf numFmtId="0" fontId="24" fillId="3" borderId="60" xfId="0" applyFont="1" applyFill="1" applyBorder="1" applyAlignment="1">
      <alignment horizontal="right" vertical="center"/>
    </xf>
    <xf numFmtId="0" fontId="24" fillId="0" borderId="61" xfId="0" applyFont="1" applyBorder="1" applyAlignment="1" applyProtection="1">
      <alignment horizontal="center" vertical="center"/>
      <protection locked="0"/>
    </xf>
    <xf numFmtId="0" fontId="24" fillId="0" borderId="59" xfId="0" applyFont="1" applyBorder="1" applyAlignment="1" applyProtection="1">
      <alignment horizontal="center" vertical="center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24" fillId="3" borderId="56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0" fillId="8" borderId="5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13" borderId="50" xfId="0" applyFill="1" applyBorder="1" applyAlignment="1" applyProtection="1">
      <alignment horizontal="center" vertical="center"/>
      <protection locked="0"/>
    </xf>
    <xf numFmtId="10" fontId="0" fillId="13" borderId="49" xfId="0" applyNumberFormat="1" applyFill="1" applyBorder="1" applyAlignment="1">
      <alignment horizontal="center" vertical="center"/>
    </xf>
    <xf numFmtId="10" fontId="0" fillId="13" borderId="42" xfId="0" applyNumberFormat="1" applyFill="1" applyBorder="1" applyAlignment="1">
      <alignment horizontal="center" vertical="center"/>
    </xf>
    <xf numFmtId="0" fontId="22" fillId="13" borderId="52" xfId="0" applyFont="1" applyFill="1" applyBorder="1" applyAlignment="1">
      <alignment horizontal="center" vertical="center" wrapText="1"/>
    </xf>
    <xf numFmtId="0" fontId="22" fillId="13" borderId="5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13" borderId="4" xfId="0" applyFill="1" applyBorder="1" applyAlignment="1" applyProtection="1">
      <alignment horizontal="center" vertical="center"/>
      <protection locked="0"/>
    </xf>
    <xf numFmtId="10" fontId="0" fillId="13" borderId="1" xfId="0" applyNumberFormat="1" applyFill="1" applyBorder="1" applyAlignment="1">
      <alignment horizontal="center" vertical="center"/>
    </xf>
    <xf numFmtId="10" fontId="0" fillId="13" borderId="3" xfId="0" applyNumberFormat="1" applyFill="1" applyBorder="1" applyAlignment="1">
      <alignment horizontal="center" vertic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39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center"/>
    </xf>
    <xf numFmtId="0" fontId="0" fillId="8" borderId="51" xfId="0" applyFill="1" applyBorder="1" applyAlignment="1">
      <alignment horizontal="center" vertical="center"/>
    </xf>
    <xf numFmtId="0" fontId="0" fillId="13" borderId="51" xfId="0" applyFill="1" applyBorder="1" applyAlignment="1" applyProtection="1">
      <alignment horizontal="center" vertical="center"/>
      <protection locked="0"/>
    </xf>
    <xf numFmtId="0" fontId="22" fillId="13" borderId="53" xfId="0" applyFont="1" applyFill="1" applyBorder="1" applyAlignment="1">
      <alignment horizontal="center" vertical="center" wrapText="1"/>
    </xf>
    <xf numFmtId="0" fontId="22" fillId="13" borderId="56" xfId="0" applyFont="1" applyFill="1" applyBorder="1" applyAlignment="1">
      <alignment horizontal="center" vertical="center" wrapText="1"/>
    </xf>
    <xf numFmtId="0" fontId="11" fillId="5" borderId="5" xfId="1" applyFont="1" applyFill="1" applyBorder="1" applyAlignment="1" applyProtection="1">
      <alignment horizontal="center" vertical="center"/>
      <protection hidden="1"/>
    </xf>
    <xf numFmtId="0" fontId="11" fillId="5" borderId="6" xfId="1" applyFont="1" applyFill="1" applyBorder="1" applyAlignment="1" applyProtection="1">
      <alignment horizontal="center" vertical="center"/>
      <protection hidden="1"/>
    </xf>
    <xf numFmtId="0" fontId="11" fillId="5" borderId="17" xfId="1" applyFont="1" applyFill="1" applyBorder="1" applyAlignment="1" applyProtection="1">
      <alignment horizontal="center" vertical="center"/>
      <protection hidden="1"/>
    </xf>
    <xf numFmtId="0" fontId="9" fillId="6" borderId="0" xfId="1" applyFill="1" applyAlignment="1" applyProtection="1">
      <alignment horizontal="center" vertical="center" wrapText="1"/>
      <protection hidden="1"/>
    </xf>
    <xf numFmtId="0" fontId="8" fillId="0" borderId="0" xfId="1" applyFont="1" applyAlignment="1" applyProtection="1">
      <alignment horizontal="left" vertical="center" wrapText="1"/>
      <protection hidden="1"/>
    </xf>
    <xf numFmtId="0" fontId="9" fillId="0" borderId="0" xfId="1" applyAlignment="1" applyProtection="1">
      <alignment horizontal="left" vertical="center" wrapText="1"/>
      <protection hidden="1"/>
    </xf>
  </cellXfs>
  <cellStyles count="7">
    <cellStyle name="Normal" xfId="0" builtinId="0"/>
    <cellStyle name="Normal 2" xfId="1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A19F0B02-47E9-4D2C-B3F6-A8C99D86DDDE}"/>
    <cellStyle name="Pourcentage 2" xfId="2" xr:uid="{00000000-0005-0000-0000-000006000000}"/>
  </cellStyles>
  <dxfs count="9">
    <dxf>
      <font>
        <b/>
        <i val="0"/>
        <color theme="0"/>
      </font>
      <fill>
        <patternFill>
          <bgColor rgb="FFD57A44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color theme="0"/>
      </font>
      <fill>
        <patternFill>
          <bgColor rgb="FF7AB51C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color rgb="FF000000"/>
      </font>
      <fill>
        <patternFill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color rgb="FFC0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color rgb="FF000000"/>
      </font>
      <fill>
        <patternFill>
          <bgColor rgb="FFC6EEFF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0"/>
      </font>
      <fill>
        <patternFill>
          <bgColor rgb="FFD57A44"/>
        </patternFill>
      </fill>
    </dxf>
    <dxf>
      <font>
        <b/>
        <i val="0"/>
        <color theme="0"/>
      </font>
      <fill>
        <patternFill>
          <bgColor rgb="FF7AB51C"/>
        </patternFill>
      </fill>
    </dxf>
    <dxf>
      <fill>
        <patternFill patternType="mediumGray"/>
      </fill>
    </dxf>
  </dxfs>
  <tableStyles count="0" defaultTableStyle="TableStyleMedium2" defaultPivotStyle="PivotStyleLight16"/>
  <colors>
    <mruColors>
      <color rgb="FFD57A44"/>
      <color rgb="FF7AB51C"/>
      <color rgb="FFFFC7CE"/>
      <color rgb="FF9C0006"/>
      <color rgb="FFC6EFCE"/>
      <color rgb="FF1F497D"/>
      <color rgb="FFE6DC8F"/>
      <color rgb="FF81421D"/>
      <color rgb="FFFF9966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1F497D"/>
      </a:dk2>
      <a:lt2>
        <a:srgbClr val="E6E6E6"/>
      </a:lt2>
      <a:accent1>
        <a:srgbClr val="571CB5"/>
      </a:accent1>
      <a:accent2>
        <a:srgbClr val="8FC4E6"/>
      </a:accent2>
      <a:accent3>
        <a:srgbClr val="009DE0"/>
      </a:accent3>
      <a:accent4>
        <a:srgbClr val="7AB51C"/>
      </a:accent4>
      <a:accent5>
        <a:srgbClr val="E6DC8F"/>
      </a:accent5>
      <a:accent6>
        <a:srgbClr val="E6B08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D775-84A5-4DBA-AC81-69F58B98E90C}">
  <sheetPr codeName="Feuil27">
    <tabColor theme="3" tint="0.39997558519241921"/>
  </sheetPr>
  <dimension ref="A1:AC35"/>
  <sheetViews>
    <sheetView tabSelected="1" zoomScaleNormal="100" workbookViewId="0">
      <selection sqref="A1:N1"/>
    </sheetView>
  </sheetViews>
  <sheetFormatPr baseColWidth="10" defaultColWidth="10.703125" defaultRowHeight="13" outlineLevelRow="1" x14ac:dyDescent="0.4"/>
  <cols>
    <col min="1" max="13" width="12.703125" style="66" customWidth="1"/>
    <col min="14" max="14" width="12.703125" style="72" customWidth="1"/>
    <col min="15" max="15" width="15.64453125" style="72" customWidth="1"/>
    <col min="16" max="16" width="2.703125" style="66" customWidth="1"/>
    <col min="17" max="17" width="2.703125" style="65" customWidth="1"/>
    <col min="18" max="19" width="10.703125" style="65" customWidth="1"/>
    <col min="20" max="29" width="10.703125" style="65"/>
    <col min="30" max="16384" width="10.703125" style="66"/>
  </cols>
  <sheetData>
    <row r="1" spans="1:20" ht="20.100000000000001" customHeight="1" outlineLevel="1" x14ac:dyDescent="0.4">
      <c r="A1" s="130" t="s">
        <v>80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76"/>
      <c r="P1" s="68"/>
    </row>
    <row r="2" spans="1:20" ht="20.100000000000001" customHeight="1" outlineLevel="1" x14ac:dyDescent="0.4">
      <c r="A2" s="142" t="s">
        <v>72</v>
      </c>
      <c r="B2" s="143"/>
      <c r="C2" s="144"/>
      <c r="D2" s="145"/>
      <c r="E2" s="146"/>
      <c r="F2" s="146"/>
      <c r="G2" s="147"/>
      <c r="H2" s="142" t="s">
        <v>73</v>
      </c>
      <c r="I2" s="143"/>
      <c r="J2" s="148"/>
      <c r="K2" s="133"/>
      <c r="L2" s="133"/>
      <c r="M2" s="133"/>
      <c r="N2" s="133"/>
      <c r="O2" s="76"/>
      <c r="P2" s="68"/>
    </row>
    <row r="3" spans="1:20" ht="30" customHeight="1" outlineLevel="1" x14ac:dyDescent="0.4">
      <c r="A3" s="107" t="s">
        <v>74</v>
      </c>
      <c r="B3" s="108"/>
      <c r="C3" s="109"/>
      <c r="D3" s="104"/>
      <c r="E3" s="105"/>
      <c r="F3" s="105"/>
      <c r="G3" s="106"/>
      <c r="H3" s="149" t="s">
        <v>79</v>
      </c>
      <c r="I3" s="150"/>
      <c r="J3" s="151"/>
      <c r="K3" s="134"/>
      <c r="L3" s="134"/>
      <c r="M3" s="134"/>
      <c r="N3" s="134"/>
      <c r="O3" s="76"/>
      <c r="P3" s="68"/>
    </row>
    <row r="4" spans="1:20" ht="20.100000000000001" customHeight="1" outlineLevel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7"/>
      <c r="O4" s="76"/>
      <c r="P4" s="68"/>
    </row>
    <row r="5" spans="1:20" ht="20.100000000000001" customHeight="1" outlineLevel="1" x14ac:dyDescent="0.4">
      <c r="A5" s="98" t="s">
        <v>84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76"/>
      <c r="P5" s="68"/>
    </row>
    <row r="6" spans="1:20" ht="19.45" customHeight="1" outlineLevel="1" x14ac:dyDescent="0.4">
      <c r="A6" s="99" t="s">
        <v>85</v>
      </c>
      <c r="B6" s="100"/>
      <c r="C6" s="100"/>
      <c r="D6" s="100"/>
      <c r="E6" s="100"/>
      <c r="F6" s="100"/>
      <c r="G6" s="101"/>
      <c r="H6" s="102"/>
      <c r="I6" s="92"/>
      <c r="J6" s="92"/>
      <c r="K6" s="92"/>
      <c r="L6" s="92"/>
      <c r="M6" s="92"/>
      <c r="N6" s="93"/>
      <c r="O6" s="76"/>
      <c r="P6" s="68"/>
    </row>
    <row r="7" spans="1:20" ht="19.45" customHeight="1" outlineLevel="1" x14ac:dyDescent="0.4">
      <c r="A7" s="99" t="s">
        <v>86</v>
      </c>
      <c r="B7" s="100"/>
      <c r="C7" s="100"/>
      <c r="D7" s="100"/>
      <c r="E7" s="100"/>
      <c r="F7" s="100"/>
      <c r="G7" s="103"/>
      <c r="H7" s="102"/>
      <c r="I7" s="92"/>
      <c r="J7" s="92"/>
      <c r="K7" s="92"/>
      <c r="L7" s="92"/>
      <c r="M7" s="92"/>
      <c r="N7" s="93"/>
      <c r="O7" s="76"/>
      <c r="P7" s="68"/>
    </row>
    <row r="8" spans="1:20" ht="30.7" customHeight="1" outlineLevel="1" x14ac:dyDescent="0.4">
      <c r="A8" s="90" t="s">
        <v>87</v>
      </c>
      <c r="B8" s="91"/>
      <c r="C8" s="91"/>
      <c r="D8" s="91"/>
      <c r="E8" s="91"/>
      <c r="F8" s="91"/>
      <c r="G8" s="85"/>
      <c r="H8" s="92"/>
      <c r="I8" s="92"/>
      <c r="J8" s="92"/>
      <c r="K8" s="92"/>
      <c r="L8" s="92"/>
      <c r="M8" s="92"/>
      <c r="N8" s="93"/>
      <c r="O8" s="76"/>
      <c r="P8" s="68"/>
    </row>
    <row r="9" spans="1:20" ht="32" customHeight="1" outlineLevel="1" x14ac:dyDescent="0.4">
      <c r="A9" s="94" t="s">
        <v>88</v>
      </c>
      <c r="B9" s="95"/>
      <c r="C9" s="95"/>
      <c r="D9" s="95"/>
      <c r="E9" s="95"/>
      <c r="F9" s="95"/>
      <c r="G9" s="86"/>
      <c r="H9" s="96"/>
      <c r="I9" s="96"/>
      <c r="J9" s="96"/>
      <c r="K9" s="96"/>
      <c r="L9" s="96"/>
      <c r="M9" s="96"/>
      <c r="N9" s="97"/>
      <c r="O9" s="76"/>
      <c r="P9" s="68"/>
    </row>
    <row r="10" spans="1:20" ht="20.100000000000001" customHeight="1" outlineLevel="1" x14ac:dyDescent="0.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7"/>
      <c r="O10" s="76"/>
      <c r="P10" s="68"/>
    </row>
    <row r="11" spans="1:20" ht="20.100000000000001" customHeight="1" outlineLevel="1" x14ac:dyDescent="0.4">
      <c r="A11" s="110" t="s">
        <v>81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2"/>
      <c r="O11" s="76"/>
      <c r="P11" s="68"/>
    </row>
    <row r="12" spans="1:20" ht="30" customHeight="1" outlineLevel="1" x14ac:dyDescent="0.4">
      <c r="A12" s="126" t="s">
        <v>1</v>
      </c>
      <c r="B12" s="126"/>
      <c r="C12" s="127" t="s">
        <v>2</v>
      </c>
      <c r="D12" s="127" t="s">
        <v>82</v>
      </c>
      <c r="E12" s="127"/>
      <c r="F12" s="126" t="s">
        <v>3</v>
      </c>
      <c r="G12" s="127" t="s">
        <v>83</v>
      </c>
      <c r="H12" s="127"/>
      <c r="I12" s="126" t="s">
        <v>3</v>
      </c>
      <c r="J12" s="128" t="s">
        <v>76</v>
      </c>
      <c r="K12" s="129"/>
      <c r="L12" s="128" t="s">
        <v>77</v>
      </c>
      <c r="M12" s="129"/>
      <c r="N12" s="78" t="s">
        <v>78</v>
      </c>
      <c r="O12" s="76"/>
      <c r="P12" s="68"/>
    </row>
    <row r="13" spans="1:20" ht="20.100000000000001" customHeight="1" outlineLevel="1" x14ac:dyDescent="0.4">
      <c r="A13" s="126"/>
      <c r="B13" s="126"/>
      <c r="C13" s="127"/>
      <c r="D13" s="127"/>
      <c r="E13" s="127"/>
      <c r="F13" s="126"/>
      <c r="G13" s="127"/>
      <c r="H13" s="127"/>
      <c r="I13" s="126"/>
      <c r="J13" s="122">
        <f>COUNTA(D15:E24)</f>
        <v>0</v>
      </c>
      <c r="K13" s="123"/>
      <c r="L13" s="122">
        <f>COUNTIF(L15:M24,"=Oui")</f>
        <v>0</v>
      </c>
      <c r="M13" s="123"/>
      <c r="N13" s="84"/>
      <c r="O13" s="76"/>
      <c r="P13" s="68"/>
      <c r="Q13" s="65" t="str">
        <f>IF(D2&lt;&gt;"",D2,"")</f>
        <v/>
      </c>
      <c r="R13" s="65" t="str">
        <f>IF(Q13&lt;&gt;"",J13,"")</f>
        <v/>
      </c>
      <c r="S13" s="65" t="str">
        <f>IF(Q13&lt;&gt;"",L13,"")</f>
        <v/>
      </c>
      <c r="T13" s="65" t="str">
        <f>IF(J13&gt;0,100*(L13/J13),"")</f>
        <v/>
      </c>
    </row>
    <row r="14" spans="1:20" ht="20.100000000000001" customHeight="1" outlineLevel="1" x14ac:dyDescent="0.4">
      <c r="A14" s="126"/>
      <c r="B14" s="126"/>
      <c r="C14" s="127"/>
      <c r="D14" s="127"/>
      <c r="E14" s="127"/>
      <c r="F14" s="126"/>
      <c r="G14" s="127"/>
      <c r="H14" s="127"/>
      <c r="I14" s="126"/>
      <c r="J14" s="124" t="s">
        <v>4</v>
      </c>
      <c r="K14" s="125"/>
      <c r="L14" s="124" t="s">
        <v>5</v>
      </c>
      <c r="M14" s="125"/>
      <c r="N14" s="79" t="s">
        <v>75</v>
      </c>
      <c r="O14" s="76"/>
      <c r="P14" s="68"/>
    </row>
    <row r="15" spans="1:20" ht="20.100000000000001" customHeight="1" outlineLevel="1" x14ac:dyDescent="0.4">
      <c r="A15" s="153" t="s">
        <v>6</v>
      </c>
      <c r="B15" s="153"/>
      <c r="C15" s="71">
        <f>VLOOKUP(A15, 'SeuilsComparaison-EMT'!$C$5:$E$28, 3, FALSE)</f>
        <v>3</v>
      </c>
      <c r="D15" s="154"/>
      <c r="E15" s="154"/>
      <c r="F15" s="73"/>
      <c r="G15" s="154"/>
      <c r="H15" s="154"/>
      <c r="I15" s="74"/>
      <c r="J15" s="140" t="str">
        <f>IF(OR(G15="",D15=""),"",IF(ISERROR(VLOOKUP(A15,'SeuilsComparaison-EMT'!$C$5:$J$25,4,FALSE)),"-",IF(OR(IF(ISTEXT(G15)=TRUE,SUBSTITUTE(G15,"&lt;","",1)*1,G15)&gt;VLOOKUP(A15,'SeuilsComparaison-EMT'!$C$5:$J$25,4,FALSE),IF(ISTEXT(D15)=TRUE,SUBSTITUTE(D15,"&lt;","",1)*1,D15)&gt;VLOOKUP(A15,'SeuilsComparaison-EMT'!$C$5:$J$25,4,FALSE)=TRUE),(IF(ISTEXT(D15)=TRUE,SUBSTITUTE(D15,"&lt;","",1)*1,D15)-((IF(ISTEXT(D15)=TRUE,SUBSTITUTE(D15,"&lt;","",1)*1,D15)+IF(ISTEXT(G15)=TRUE,SUBSTITUTE(G15,"&lt;","",1)*1,G15))/2))/((IF(ISTEXT(D15)=TRUE,SUBSTITUTE(D15,"&lt;","",1)*1,D15)+IF(ISTEXT(G15)=TRUE,SUBSTITUTE(G15,"&lt;","",1),G15))/2),"-")))</f>
        <v/>
      </c>
      <c r="K15" s="141"/>
      <c r="L15" s="138" t="str">
        <f>IF(OR(D15="",G15=""),"",IF(AND(F15="Oui",I15="Oui"),"Oui",IF(J15="-","Oui",IF(OR(G15&gt;VLOOKUP(A15,'SeuilsComparaison-EMT'!$C$5:$J$27,4,FALSE),D15&gt;VLOOKUP(A15,'SeuilsComparaison-EMT'!$C$5:$J$27,4,FALSE)=TRUE),IF(G15&lt;=VLOOKUP(A15,'SeuilsComparaison-EMT'!$C$5:$J$27,5,FALSE),IF(ABS(J15)&lt;=VLOOKUP(A15,'SeuilsComparaison-EMT'!$C$5:$J$27,6,FALSE),"Oui","Non"),IF(ABS(J15)&lt;=VLOOKUP(A15,'SeuilsComparaison-EMT'!$C$5:$J$27,8,FALSE),"Oui","Non")),"Oui"))))</f>
        <v/>
      </c>
      <c r="M15" s="139"/>
      <c r="N15" s="80" t="str">
        <f>IF(OR(AND(ISNUMBER(D15),D15&gt;VLOOKUP(A15,'SeuilsComparaison-EMT'!$C$5:$J$27,4,FALSE)),AND(ISNUMBER(G15),G15&gt;VLOOKUP(A15,'SeuilsComparaison-EMT'!$C$5:$J$27,4,FALSE))),IF(AVERAGE(D15,G15)&lt;=VLOOKUP(A15,'SeuilsComparaison-EMT'!$C$5:$J$27,5,FALSE),VLOOKUP(A15,'SeuilsComparaison-EMT'!$C$5:$J$27,6,FALSE),VLOOKUP(A15,'SeuilsComparaison-EMT'!$C$5:$J$27,8,FALSE)),"")</f>
        <v/>
      </c>
      <c r="O15" s="76"/>
      <c r="P15" s="68"/>
    </row>
    <row r="16" spans="1:20" ht="20.100000000000001" customHeight="1" outlineLevel="1" x14ac:dyDescent="0.4">
      <c r="A16" s="152" t="s">
        <v>7</v>
      </c>
      <c r="B16" s="152"/>
      <c r="C16" s="71">
        <f>VLOOKUP(A16, 'SeuilsComparaison-EMT'!$C$5:$E$28, 3, FALSE)</f>
        <v>30</v>
      </c>
      <c r="D16" s="135"/>
      <c r="E16" s="135"/>
      <c r="F16" s="74"/>
      <c r="G16" s="135"/>
      <c r="H16" s="135"/>
      <c r="I16" s="74"/>
      <c r="J16" s="136" t="str">
        <f>IF(OR(G16="",D16=""),"",IF(ISERROR(VLOOKUP(A16,'SeuilsComparaison-EMT'!$C$5:$J$25,4,FALSE)),"-",IF(OR(IF(ISTEXT(G16)=TRUE,SUBSTITUTE(G16,"&lt;","",1)*1,G16)&gt;VLOOKUP(A16,'SeuilsComparaison-EMT'!$C$5:$J$25,4,FALSE),IF(ISTEXT(D16)=TRUE,SUBSTITUTE(D16,"&lt;","",1)*1,D16)&gt;VLOOKUP(A16,'SeuilsComparaison-EMT'!$C$5:$J$25,4,FALSE)=TRUE),(IF(ISTEXT(D16)=TRUE,SUBSTITUTE(D16,"&lt;","",1)*1,D16)-((IF(ISTEXT(D16)=TRUE,SUBSTITUTE(D16,"&lt;","",1)*1,D16)+IF(ISTEXT(G16)=TRUE,SUBSTITUTE(G16,"&lt;","",1)*1,G16))/2))/((IF(ISTEXT(D16)=TRUE,SUBSTITUTE(D16,"&lt;","",1)*1,D16)+IF(ISTEXT(G16)=TRUE,SUBSTITUTE(G16,"&lt;","",1),G16))/2),"-")))</f>
        <v/>
      </c>
      <c r="K16" s="137"/>
      <c r="L16" s="138" t="str">
        <f>IF(OR(D16="",G16=""),"",IF(AND(F16="Oui",I16="Oui"),"Oui",IF(J16="-","Oui",IF(OR(G16&gt;VLOOKUP(A16,'SeuilsComparaison-EMT'!$C$5:$J$27,4,FALSE),D16&gt;VLOOKUP(A16,'SeuilsComparaison-EMT'!$C$5:$J$27,4,FALSE)=TRUE),IF(G16&lt;=VLOOKUP(A16,'SeuilsComparaison-EMT'!$C$5:$J$27,5,FALSE),IF(ABS(J16)&lt;=VLOOKUP(A16,'SeuilsComparaison-EMT'!$C$5:$J$27,6,FALSE),"Oui","Non"),IF(ABS(J16)&lt;=VLOOKUP(A16,'SeuilsComparaison-EMT'!$C$5:$J$27,8,FALSE),"Oui","Non")),"Oui"))))</f>
        <v/>
      </c>
      <c r="M16" s="139"/>
      <c r="N16" s="81" t="str">
        <f>IF(OR(AND(ISNUMBER(D16),D16&gt;VLOOKUP(A16,'SeuilsComparaison-EMT'!$C$5:$J$27,4,FALSE)),AND(ISNUMBER(G16),G16&gt;VLOOKUP(A16,'SeuilsComparaison-EMT'!$C$5:$J$27,4,FALSE))),IF(AVERAGE(D16,G16)&lt;=VLOOKUP(A16,'SeuilsComparaison-EMT'!$C$5:$J$27,5,FALSE),VLOOKUP(A16,'SeuilsComparaison-EMT'!$C$5:$J$27,6,FALSE),VLOOKUP(A16,'SeuilsComparaison-EMT'!$C$5:$J$27,8,FALSE)),"")</f>
        <v/>
      </c>
      <c r="O16" s="76"/>
      <c r="P16" s="68"/>
    </row>
    <row r="17" spans="1:16" ht="20.100000000000001" customHeight="1" outlineLevel="1" x14ac:dyDescent="0.4">
      <c r="A17" s="152" t="s">
        <v>8</v>
      </c>
      <c r="B17" s="152"/>
      <c r="C17" s="71">
        <f>VLOOKUP(A17, 'SeuilsComparaison-EMT'!$C$5:$E$28, 3, FALSE)</f>
        <v>10</v>
      </c>
      <c r="D17" s="135"/>
      <c r="E17" s="135"/>
      <c r="F17" s="74"/>
      <c r="G17" s="135"/>
      <c r="H17" s="135"/>
      <c r="I17" s="74"/>
      <c r="J17" s="136" t="str">
        <f>IF(OR(G17="",D17=""),"",IF(ISERROR(VLOOKUP(A17,'SeuilsComparaison-EMT'!$C$5:$J$25,4,FALSE)),"-",IF(OR(IF(ISTEXT(G17)=TRUE,SUBSTITUTE(G17,"&lt;","",1)*1,G17)&gt;VLOOKUP(A17,'SeuilsComparaison-EMT'!$C$5:$J$25,4,FALSE),IF(ISTEXT(D17)=TRUE,SUBSTITUTE(D17,"&lt;","",1)*1,D17)&gt;VLOOKUP(A17,'SeuilsComparaison-EMT'!$C$5:$J$25,4,FALSE)=TRUE),(IF(ISTEXT(D17)=TRUE,SUBSTITUTE(D17,"&lt;","",1)*1,D17)-((IF(ISTEXT(D17)=TRUE,SUBSTITUTE(D17,"&lt;","",1)*1,D17)+IF(ISTEXT(G17)=TRUE,SUBSTITUTE(G17,"&lt;","",1)*1,G17))/2))/((IF(ISTEXT(D17)=TRUE,SUBSTITUTE(D17,"&lt;","",1)*1,D17)+IF(ISTEXT(G17)=TRUE,SUBSTITUTE(G17,"&lt;","",1),G17))/2),"-")))</f>
        <v/>
      </c>
      <c r="K17" s="137"/>
      <c r="L17" s="138" t="str">
        <f>IF(OR(D17="",G17=""),"",IF(AND(F17="Oui",I17="Oui"),"Oui",IF(J17="-","Oui",IF(OR(G17&gt;VLOOKUP(A17,'SeuilsComparaison-EMT'!$C$5:$J$27,4,FALSE),D17&gt;VLOOKUP(A17,'SeuilsComparaison-EMT'!$C$5:$J$27,4,FALSE)=TRUE),IF(G17&lt;=VLOOKUP(A17,'SeuilsComparaison-EMT'!$C$5:$J$27,5,FALSE),IF(ABS(J17)&lt;=VLOOKUP(A17,'SeuilsComparaison-EMT'!$C$5:$J$27,6,FALSE),"Oui","Non"),IF(ABS(J17)&lt;=VLOOKUP(A17,'SeuilsComparaison-EMT'!$C$5:$J$27,8,FALSE),"Oui","Non")),"Oui"))))</f>
        <v/>
      </c>
      <c r="M17" s="139"/>
      <c r="N17" s="81" t="str">
        <f>IF(OR(AND(ISNUMBER(D17),D17&gt;VLOOKUP(A17,'SeuilsComparaison-EMT'!$C$5:$J$27,4,FALSE)),AND(ISNUMBER(G17),G17&gt;VLOOKUP(A17,'SeuilsComparaison-EMT'!$C$5:$J$27,4,FALSE))),IF(AVERAGE(D17,G17)&lt;=VLOOKUP(A17,'SeuilsComparaison-EMT'!$C$5:$J$27,5,FALSE),VLOOKUP(A17,'SeuilsComparaison-EMT'!$C$5:$J$27,6,FALSE),VLOOKUP(A17,'SeuilsComparaison-EMT'!$C$5:$J$27,8,FALSE)),"")</f>
        <v/>
      </c>
      <c r="O17" s="76"/>
      <c r="P17" s="68"/>
    </row>
    <row r="18" spans="1:16" ht="20.100000000000001" customHeight="1" outlineLevel="1" x14ac:dyDescent="0.4">
      <c r="A18" s="152" t="s">
        <v>10</v>
      </c>
      <c r="B18" s="152"/>
      <c r="C18" s="71">
        <f>VLOOKUP(A18, 'SeuilsComparaison-EMT'!$C$5:$E$28, 3, FALSE)</f>
        <v>2</v>
      </c>
      <c r="D18" s="135"/>
      <c r="E18" s="135"/>
      <c r="F18" s="74"/>
      <c r="G18" s="135"/>
      <c r="H18" s="135"/>
      <c r="I18" s="74"/>
      <c r="J18" s="136" t="str">
        <f>IF(OR(G18="",D18=""),"",IF(ISERROR(VLOOKUP(A18,'SeuilsComparaison-EMT'!$C$5:$J$25,4,FALSE)),"-",IF(OR(IF(ISTEXT(G18)=TRUE,SUBSTITUTE(G18,"&lt;","",1)*1,G18)&gt;VLOOKUP(A18,'SeuilsComparaison-EMT'!$C$5:$J$25,4,FALSE),IF(ISTEXT(D18)=TRUE,SUBSTITUTE(D18,"&lt;","",1)*1,D18)&gt;VLOOKUP(A18,'SeuilsComparaison-EMT'!$C$5:$J$25,4,FALSE)=TRUE),(IF(ISTEXT(D18)=TRUE,SUBSTITUTE(D18,"&lt;","",1)*1,D18)-((IF(ISTEXT(D18)=TRUE,SUBSTITUTE(D18,"&lt;","",1)*1,D18)+IF(ISTEXT(G18)=TRUE,SUBSTITUTE(G18,"&lt;","",1)*1,G18))/2))/((IF(ISTEXT(D18)=TRUE,SUBSTITUTE(D18,"&lt;","",1)*1,D18)+IF(ISTEXT(G18)=TRUE,SUBSTITUTE(G18,"&lt;","",1),G18))/2),"-")))</f>
        <v/>
      </c>
      <c r="K18" s="137"/>
      <c r="L18" s="138" t="str">
        <f>IF(OR(D18="",G18=""),"",IF(AND(F18="Oui",I18="Oui"),"Oui",IF(J18="-","Oui",IF(OR(G18&gt;VLOOKUP(A18,'SeuilsComparaison-EMT'!$C$5:$J$27,4,FALSE),D18&gt;VLOOKUP(A18,'SeuilsComparaison-EMT'!$C$5:$J$27,4,FALSE)=TRUE),IF(G18&lt;=VLOOKUP(A18,'SeuilsComparaison-EMT'!$C$5:$J$27,5,FALSE),IF(ABS(J18)&lt;=VLOOKUP(A18,'SeuilsComparaison-EMT'!$C$5:$J$27,6,FALSE),"Oui","Non"),IF(ABS(J18)&lt;=VLOOKUP(A18,'SeuilsComparaison-EMT'!$C$5:$J$27,8,FALSE),"Oui","Non")),"Oui"))))</f>
        <v/>
      </c>
      <c r="M18" s="139"/>
      <c r="N18" s="81" t="str">
        <f>IF(OR(AND(ISNUMBER(D18),D18&gt;VLOOKUP(A18,'SeuilsComparaison-EMT'!$C$5:$J$27,4,FALSE)),AND(ISNUMBER(G18),G18&gt;VLOOKUP(A18,'SeuilsComparaison-EMT'!$C$5:$J$27,4,FALSE))),IF(AVERAGE(D18,G18)&lt;=VLOOKUP(A18,'SeuilsComparaison-EMT'!$C$5:$J$27,5,FALSE),VLOOKUP(A18,'SeuilsComparaison-EMT'!$C$5:$J$27,6,FALSE),VLOOKUP(A18,'SeuilsComparaison-EMT'!$C$5:$J$27,8,FALSE)),"")</f>
        <v/>
      </c>
      <c r="O18" s="76"/>
      <c r="P18" s="68"/>
    </row>
    <row r="19" spans="1:16" ht="20.100000000000001" customHeight="1" outlineLevel="1" x14ac:dyDescent="0.4">
      <c r="A19" s="152" t="s">
        <v>11</v>
      </c>
      <c r="B19" s="152"/>
      <c r="C19" s="71">
        <f>VLOOKUP(A19, 'SeuilsComparaison-EMT'!$C$5:$E$28, 3, FALSE)</f>
        <v>0.5</v>
      </c>
      <c r="D19" s="135"/>
      <c r="E19" s="135"/>
      <c r="F19" s="74"/>
      <c r="G19" s="135"/>
      <c r="H19" s="135"/>
      <c r="I19" s="74"/>
      <c r="J19" s="136" t="str">
        <f>IF(OR(G19="",D19=""),"",IF(ISERROR(VLOOKUP(A19,'SeuilsComparaison-EMT'!$C$5:$J$25,4,FALSE)),"-",IF(OR(IF(ISTEXT(G19)=TRUE,SUBSTITUTE(G19,"&lt;","",1)*1,G19)&gt;VLOOKUP(A19,'SeuilsComparaison-EMT'!$C$5:$J$25,4,FALSE),IF(ISTEXT(D19)=TRUE,SUBSTITUTE(D19,"&lt;","",1)*1,D19)&gt;VLOOKUP(A19,'SeuilsComparaison-EMT'!$C$5:$J$25,4,FALSE)=TRUE),(IF(ISTEXT(D19)=TRUE,SUBSTITUTE(D19,"&lt;","",1)*1,D19)-((IF(ISTEXT(D19)=TRUE,SUBSTITUTE(D19,"&lt;","",1)*1,D19)+IF(ISTEXT(G19)=TRUE,SUBSTITUTE(G19,"&lt;","",1)*1,G19))/2))/((IF(ISTEXT(D19)=TRUE,SUBSTITUTE(D19,"&lt;","",1)*1,D19)+IF(ISTEXT(G19)=TRUE,SUBSTITUTE(G19,"&lt;","",1),G19))/2),"-")))</f>
        <v/>
      </c>
      <c r="K19" s="137"/>
      <c r="L19" s="138" t="str">
        <f>IF(OR(D19="",G19=""),"",IF(AND(F19="Oui",I19="Oui"),"Oui",IF(J19="-","Oui",IF(OR(G19&gt;VLOOKUP(A19,'SeuilsComparaison-EMT'!$C$5:$J$27,4,FALSE),D19&gt;VLOOKUP(A19,'SeuilsComparaison-EMT'!$C$5:$J$27,4,FALSE)=TRUE),IF(G19&lt;=VLOOKUP(A19,'SeuilsComparaison-EMT'!$C$5:$J$27,5,FALSE),IF(ABS(J19)&lt;=VLOOKUP(A19,'SeuilsComparaison-EMT'!$C$5:$J$27,6,FALSE),"Oui","Non"),IF(ABS(J19)&lt;=VLOOKUP(A19,'SeuilsComparaison-EMT'!$C$5:$J$27,8,FALSE),"Oui","Non")),"Oui"))))</f>
        <v/>
      </c>
      <c r="M19" s="139"/>
      <c r="N19" s="81" t="str">
        <f>IF(OR(AND(ISNUMBER(D19),D19&gt;VLOOKUP(A19,'SeuilsComparaison-EMT'!$C$5:$J$27,4,FALSE)),AND(ISNUMBER(G19),G19&gt;VLOOKUP(A19,'SeuilsComparaison-EMT'!$C$5:$J$27,4,FALSE))),IF(AVERAGE(D19,G19)&lt;=VLOOKUP(A19,'SeuilsComparaison-EMT'!$C$5:$J$27,5,FALSE),VLOOKUP(A19,'SeuilsComparaison-EMT'!$C$5:$J$27,6,FALSE),VLOOKUP(A19,'SeuilsComparaison-EMT'!$C$5:$J$27,8,FALSE)),"")</f>
        <v/>
      </c>
      <c r="O19" s="76"/>
      <c r="P19" s="68"/>
    </row>
    <row r="20" spans="1:16" ht="20.100000000000001" customHeight="1" outlineLevel="1" x14ac:dyDescent="0.4">
      <c r="A20" s="152" t="s">
        <v>15</v>
      </c>
      <c r="B20" s="152"/>
      <c r="C20" s="71">
        <f>VLOOKUP(A20, 'SeuilsComparaison-EMT'!$C$5:$E$28, 3, FALSE)</f>
        <v>1</v>
      </c>
      <c r="D20" s="135"/>
      <c r="E20" s="135"/>
      <c r="F20" s="74"/>
      <c r="G20" s="135"/>
      <c r="H20" s="135"/>
      <c r="I20" s="74"/>
      <c r="J20" s="136" t="str">
        <f>IF(OR(G20="",D20=""),"",IF(ISERROR(VLOOKUP(A20,'SeuilsComparaison-EMT'!$C$5:$J$25,4,FALSE)),"-",IF(OR(IF(ISTEXT(G20)=TRUE,SUBSTITUTE(G20,"&lt;","",1)*1,G20)&gt;VLOOKUP(A20,'SeuilsComparaison-EMT'!$C$5:$J$25,4,FALSE),IF(ISTEXT(D20)=TRUE,SUBSTITUTE(D20,"&lt;","",1)*1,D20)&gt;VLOOKUP(A20,'SeuilsComparaison-EMT'!$C$5:$J$25,4,FALSE)=TRUE),(IF(ISTEXT(D20)=TRUE,SUBSTITUTE(D20,"&lt;","",1)*1,D20)-((IF(ISTEXT(D20)=TRUE,SUBSTITUTE(D20,"&lt;","",1)*1,D20)+IF(ISTEXT(G20)=TRUE,SUBSTITUTE(G20,"&lt;","",1)*1,G20))/2))/((IF(ISTEXT(D20)=TRUE,SUBSTITUTE(D20,"&lt;","",1)*1,D20)+IF(ISTEXT(G20)=TRUE,SUBSTITUTE(G20,"&lt;","",1),G20))/2),"-")))</f>
        <v/>
      </c>
      <c r="K20" s="137"/>
      <c r="L20" s="138" t="str">
        <f>IF(OR(D20="",G20=""),"",IF(AND(F20="Oui",I20="Oui"),"Oui",IF(J20="-","Oui",IF(OR(G20&gt;VLOOKUP(A20,'SeuilsComparaison-EMT'!$C$5:$J$27,4,FALSE),D20&gt;VLOOKUP(A20,'SeuilsComparaison-EMT'!$C$5:$J$27,4,FALSE)=TRUE),IF(G20&lt;=VLOOKUP(A20,'SeuilsComparaison-EMT'!$C$5:$J$27,5,FALSE),IF(ABS(J20)&lt;=VLOOKUP(A20,'SeuilsComparaison-EMT'!$C$5:$J$27,6,FALSE),"Oui","Non"),IF(ABS(J20)&lt;=VLOOKUP(A20,'SeuilsComparaison-EMT'!$C$5:$J$27,8,FALSE),"Oui","Non")),"Oui"))))</f>
        <v/>
      </c>
      <c r="M20" s="139"/>
      <c r="N20" s="81" t="str">
        <f>IF(OR(AND(ISNUMBER(D20),D20&gt;VLOOKUP(A20,'SeuilsComparaison-EMT'!$C$5:$J$27,4,FALSE)),AND(ISNUMBER(G20),G20&gt;VLOOKUP(A20,'SeuilsComparaison-EMT'!$C$5:$J$27,4,FALSE))),IF(AVERAGE(D20,G20)&lt;=VLOOKUP(A20,'SeuilsComparaison-EMT'!$C$5:$J$27,5,FALSE),VLOOKUP(A20,'SeuilsComparaison-EMT'!$C$5:$J$27,6,FALSE),VLOOKUP(A20,'SeuilsComparaison-EMT'!$C$5:$J$27,8,FALSE)),"")</f>
        <v/>
      </c>
      <c r="O20" s="76"/>
      <c r="P20" s="68"/>
    </row>
    <row r="21" spans="1:16" ht="20.100000000000001" customHeight="1" outlineLevel="1" x14ac:dyDescent="0.4">
      <c r="A21" s="152" t="s">
        <v>12</v>
      </c>
      <c r="B21" s="152"/>
      <c r="C21" s="71">
        <f>VLOOKUP(A21, 'SeuilsComparaison-EMT'!$C$5:$E$28, 3, FALSE)</f>
        <v>0.5</v>
      </c>
      <c r="D21" s="135"/>
      <c r="E21" s="135"/>
      <c r="F21" s="74"/>
      <c r="G21" s="135"/>
      <c r="H21" s="135"/>
      <c r="I21" s="74"/>
      <c r="J21" s="136" t="str">
        <f>IF(OR(G21="",D21=""),"",IF(ISERROR(VLOOKUP(A21,'SeuilsComparaison-EMT'!$C$5:$J$25,4,FALSE)),"-",IF(OR(IF(ISTEXT(G21)=TRUE,SUBSTITUTE(G21,"&lt;","",1)*1,G21)&gt;VLOOKUP(A21,'SeuilsComparaison-EMT'!$C$5:$J$25,4,FALSE),IF(ISTEXT(D21)=TRUE,SUBSTITUTE(D21,"&lt;","",1)*1,D21)&gt;VLOOKUP(A21,'SeuilsComparaison-EMT'!$C$5:$J$25,4,FALSE)=TRUE),(IF(ISTEXT(D21)=TRUE,SUBSTITUTE(D21,"&lt;","",1)*1,D21)-((IF(ISTEXT(D21)=TRUE,SUBSTITUTE(D21,"&lt;","",1)*1,D21)+IF(ISTEXT(G21)=TRUE,SUBSTITUTE(G21,"&lt;","",1)*1,G21))/2))/((IF(ISTEXT(D21)=TRUE,SUBSTITUTE(D21,"&lt;","",1)*1,D21)+IF(ISTEXT(G21)=TRUE,SUBSTITUTE(G21,"&lt;","",1),G21))/2),"-")))</f>
        <v/>
      </c>
      <c r="K21" s="137"/>
      <c r="L21" s="138" t="str">
        <f>IF(OR(D21="",G21=""),"",IF(AND(F21="Oui",I21="Oui"),"Oui",IF(J21="-","Oui",IF(OR(G21&gt;VLOOKUP(A21,'SeuilsComparaison-EMT'!$C$5:$J$27,4,FALSE),D21&gt;VLOOKUP(A21,'SeuilsComparaison-EMT'!$C$5:$J$27,4,FALSE)=TRUE),IF(G21&lt;=VLOOKUP(A21,'SeuilsComparaison-EMT'!$C$5:$J$27,5,FALSE),IF(ABS(J21)&lt;=VLOOKUP(A21,'SeuilsComparaison-EMT'!$C$5:$J$27,6,FALSE),"Oui","Non"),IF(ABS(J21)&lt;=VLOOKUP(A21,'SeuilsComparaison-EMT'!$C$5:$J$27,8,FALSE),"Oui","Non")),"Oui"))))</f>
        <v/>
      </c>
      <c r="M21" s="139"/>
      <c r="N21" s="81" t="str">
        <f>IF(OR(AND(ISNUMBER(D21),D21&gt;VLOOKUP(A21,'SeuilsComparaison-EMT'!$C$5:$J$27,4,FALSE)),AND(ISNUMBER(G21),G21&gt;VLOOKUP(A21,'SeuilsComparaison-EMT'!$C$5:$J$27,4,FALSE))),IF(AVERAGE(D21,G21)&lt;=VLOOKUP(A21,'SeuilsComparaison-EMT'!$C$5:$J$27,5,FALSE),VLOOKUP(A21,'SeuilsComparaison-EMT'!$C$5:$J$27,6,FALSE),VLOOKUP(A21,'SeuilsComparaison-EMT'!$C$5:$J$27,8,FALSE)),"")</f>
        <v/>
      </c>
      <c r="O21" s="76"/>
      <c r="P21" s="68"/>
    </row>
    <row r="22" spans="1:16" ht="20.100000000000001" customHeight="1" outlineLevel="1" x14ac:dyDescent="0.4">
      <c r="A22" s="152" t="s">
        <v>13</v>
      </c>
      <c r="B22" s="152"/>
      <c r="C22" s="71">
        <f>VLOOKUP(A22, 'SeuilsComparaison-EMT'!$C$5:$E$28, 3, FALSE)</f>
        <v>0.05</v>
      </c>
      <c r="D22" s="135"/>
      <c r="E22" s="135"/>
      <c r="F22" s="74"/>
      <c r="G22" s="135"/>
      <c r="H22" s="135"/>
      <c r="I22" s="74"/>
      <c r="J22" s="136" t="str">
        <f>IF(OR(G22="",D22=""),"",IF(ISERROR(VLOOKUP(A22,'SeuilsComparaison-EMT'!$C$5:$J$25,4,FALSE)),"-",IF(OR(IF(ISTEXT(G22)=TRUE,SUBSTITUTE(G22,"&lt;","",1)*1,G22)&gt;VLOOKUP(A22,'SeuilsComparaison-EMT'!$C$5:$J$25,4,FALSE),IF(ISTEXT(D22)=TRUE,SUBSTITUTE(D22,"&lt;","",1)*1,D22)&gt;VLOOKUP(A22,'SeuilsComparaison-EMT'!$C$5:$J$25,4,FALSE)=TRUE),(IF(ISTEXT(D22)=TRUE,SUBSTITUTE(D22,"&lt;","",1)*1,D22)-((IF(ISTEXT(D22)=TRUE,SUBSTITUTE(D22,"&lt;","",1)*1,D22)+IF(ISTEXT(G22)=TRUE,SUBSTITUTE(G22,"&lt;","",1)*1,G22))/2))/((IF(ISTEXT(D22)=TRUE,SUBSTITUTE(D22,"&lt;","",1)*1,D22)+IF(ISTEXT(G22)=TRUE,SUBSTITUTE(G22,"&lt;","",1),G22))/2),"-")))</f>
        <v/>
      </c>
      <c r="K22" s="137"/>
      <c r="L22" s="138" t="str">
        <f>IF(OR(D22="",G22=""),"",IF(AND(F22="Oui",I22="Oui"),"Oui",IF(J22="-","Oui",IF(OR(G22&gt;VLOOKUP(A22,'SeuilsComparaison-EMT'!$C$5:$J$27,4,FALSE),D22&gt;VLOOKUP(A22,'SeuilsComparaison-EMT'!$C$5:$J$27,4,FALSE)=TRUE),IF(G22&lt;=VLOOKUP(A22,'SeuilsComparaison-EMT'!$C$5:$J$27,5,FALSE),IF(ABS(J22)&lt;=VLOOKUP(A22,'SeuilsComparaison-EMT'!$C$5:$J$27,6,FALSE),"Oui","Non"),IF(ABS(J22)&lt;=VLOOKUP(A22,'SeuilsComparaison-EMT'!$C$5:$J$27,8,FALSE),"Oui","Non")),"Oui"))))</f>
        <v/>
      </c>
      <c r="M22" s="139"/>
      <c r="N22" s="81" t="str">
        <f>IF(OR(AND(ISNUMBER(D22),D22&gt;VLOOKUP(A22,'SeuilsComparaison-EMT'!$C$5:$J$27,4,FALSE)),AND(ISNUMBER(G22),G22&gt;VLOOKUP(A22,'SeuilsComparaison-EMT'!$C$5:$J$27,4,FALSE))),IF(AVERAGE(D22,G22)&lt;=VLOOKUP(A22,'SeuilsComparaison-EMT'!$C$5:$J$27,5,FALSE),VLOOKUP(A22,'SeuilsComparaison-EMT'!$C$5:$J$27,6,FALSE),VLOOKUP(A22,'SeuilsComparaison-EMT'!$C$5:$J$27,8,FALSE)),"")</f>
        <v/>
      </c>
      <c r="O22" s="76"/>
      <c r="P22" s="68"/>
    </row>
    <row r="23" spans="1:16" ht="20.100000000000001" customHeight="1" outlineLevel="1" x14ac:dyDescent="0.4">
      <c r="A23" s="152" t="s">
        <v>14</v>
      </c>
      <c r="B23" s="152"/>
      <c r="C23" s="71">
        <f>VLOOKUP(A23, 'SeuilsComparaison-EMT'!$C$5:$E$28, 3, FALSE)</f>
        <v>1</v>
      </c>
      <c r="D23" s="135"/>
      <c r="E23" s="135"/>
      <c r="F23" s="74"/>
      <c r="G23" s="135"/>
      <c r="H23" s="135"/>
      <c r="I23" s="74"/>
      <c r="J23" s="136" t="str">
        <f>IF(OR(G23="",D23=""),"",IF(ISERROR(VLOOKUP(A23,'SeuilsComparaison-EMT'!$C$5:$J$25,4,FALSE)),"-",IF(OR(IF(ISTEXT(G23)=TRUE,SUBSTITUTE(G23,"&lt;","",1)*1,G23)&gt;VLOOKUP(A23,'SeuilsComparaison-EMT'!$C$5:$J$25,4,FALSE),IF(ISTEXT(D23)=TRUE,SUBSTITUTE(D23,"&lt;","",1)*1,D23)&gt;VLOOKUP(A23,'SeuilsComparaison-EMT'!$C$5:$J$25,4,FALSE)=TRUE),(IF(ISTEXT(D23)=TRUE,SUBSTITUTE(D23,"&lt;","",1)*1,D23)-((IF(ISTEXT(D23)=TRUE,SUBSTITUTE(D23,"&lt;","",1)*1,D23)+IF(ISTEXT(G23)=TRUE,SUBSTITUTE(G23,"&lt;","",1)*1,G23))/2))/((IF(ISTEXT(D23)=TRUE,SUBSTITUTE(D23,"&lt;","",1)*1,D23)+IF(ISTEXT(G23)=TRUE,SUBSTITUTE(G23,"&lt;","",1),G23))/2),"-")))</f>
        <v/>
      </c>
      <c r="K23" s="137"/>
      <c r="L23" s="138" t="str">
        <f>IF(OR(D23="",G23=""),"",IF(AND(F23="Oui",I23="Oui"),"Oui",IF(J23="-","Oui",IF(OR(G23&gt;VLOOKUP(A23,'SeuilsComparaison-EMT'!$C$5:$J$27,4,FALSE),D23&gt;VLOOKUP(A23,'SeuilsComparaison-EMT'!$C$5:$J$27,4,FALSE)=TRUE),IF(G23&lt;=VLOOKUP(A23,'SeuilsComparaison-EMT'!$C$5:$J$27,5,FALSE),IF(ABS(J23)&lt;=VLOOKUP(A23,'SeuilsComparaison-EMT'!$C$5:$J$27,6,FALSE),"Oui","Non"),IF(ABS(J23)&lt;=VLOOKUP(A23,'SeuilsComparaison-EMT'!$C$5:$J$27,8,FALSE),"Oui","Non")),"Oui"))))</f>
        <v/>
      </c>
      <c r="M23" s="139"/>
      <c r="N23" s="81" t="str">
        <f>IF(OR(AND(ISNUMBER(D23),D23&gt;VLOOKUP(A23,'SeuilsComparaison-EMT'!$C$5:$J$27,4,FALSE)),AND(ISNUMBER(G23),G23&gt;VLOOKUP(A23,'SeuilsComparaison-EMT'!$C$5:$J$27,4,FALSE))),IF(AVERAGE(D23,G23)&lt;=VLOOKUP(A23,'SeuilsComparaison-EMT'!$C$5:$J$27,5,FALSE),VLOOKUP(A23,'SeuilsComparaison-EMT'!$C$5:$J$27,6,FALSE),VLOOKUP(A23,'SeuilsComparaison-EMT'!$C$5:$J$27,8,FALSE)),"")</f>
        <v/>
      </c>
      <c r="O23" s="76"/>
      <c r="P23" s="68"/>
    </row>
    <row r="24" spans="1:16" ht="20.100000000000001" customHeight="1" outlineLevel="1" x14ac:dyDescent="0.4">
      <c r="A24" s="152" t="s">
        <v>16</v>
      </c>
      <c r="B24" s="152"/>
      <c r="C24" s="71">
        <f>VLOOKUP(A24, 'SeuilsComparaison-EMT'!$C$5:$E$28, 3, FALSE)</f>
        <v>0.05</v>
      </c>
      <c r="D24" s="135"/>
      <c r="E24" s="135"/>
      <c r="F24" s="74"/>
      <c r="G24" s="135"/>
      <c r="H24" s="135"/>
      <c r="I24" s="74"/>
      <c r="J24" s="136" t="str">
        <f>IF(OR(G24="",D24=""),"",IF(ISERROR(VLOOKUP(A24,'SeuilsComparaison-EMT'!$C$5:$J$25,4,FALSE)),"-",IF(OR(IF(ISTEXT(G24)=TRUE,SUBSTITUTE(G24,"&lt;","",1)*1,G24)&gt;VLOOKUP(A24,'SeuilsComparaison-EMT'!$C$5:$J$25,4,FALSE),IF(ISTEXT(D24)=TRUE,SUBSTITUTE(D24,"&lt;","",1)*1,D24)&gt;VLOOKUP(A24,'SeuilsComparaison-EMT'!$C$5:$J$25,4,FALSE)=TRUE),(IF(ISTEXT(D24)=TRUE,SUBSTITUTE(D24,"&lt;","",1)*1,D24)-((IF(ISTEXT(D24)=TRUE,SUBSTITUTE(D24,"&lt;","",1)*1,D24)+IF(ISTEXT(G24)=TRUE,SUBSTITUTE(G24,"&lt;","",1)*1,G24))/2))/((IF(ISTEXT(D24)=TRUE,SUBSTITUTE(D24,"&lt;","",1)*1,D24)+IF(ISTEXT(G24)=TRUE,SUBSTITUTE(G24,"&lt;","",1),G24))/2),"-")))</f>
        <v/>
      </c>
      <c r="K24" s="137"/>
      <c r="L24" s="138" t="str">
        <f>IF(OR(D24="",G24=""),"",IF(AND(F24="Oui",I24="Oui"),"Oui",IF(J24="-","Oui",IF(OR(G24&gt;VLOOKUP(A24,'SeuilsComparaison-EMT'!$C$5:$J$27,4,FALSE),D24&gt;VLOOKUP(A24,'SeuilsComparaison-EMT'!$C$5:$J$27,4,FALSE)=TRUE),IF(G24&lt;=VLOOKUP(A24,'SeuilsComparaison-EMT'!$C$5:$J$27,5,FALSE),IF(ABS(J24)&lt;=VLOOKUP(A24,'SeuilsComparaison-EMT'!$C$5:$J$27,6,FALSE),"Oui","Non"),IF(ABS(J24)&lt;=VLOOKUP(A24,'SeuilsComparaison-EMT'!$C$5:$J$27,8,FALSE),"Oui","Non")),"Oui"))))</f>
        <v/>
      </c>
      <c r="M24" s="139"/>
      <c r="N24" s="81" t="str">
        <f>IF(OR(AND(ISNUMBER(D24),D24&gt;VLOOKUP(A24,'SeuilsComparaison-EMT'!$C$5:$J$27,4,FALSE)),AND(ISNUMBER(G24),G24&gt;VLOOKUP(A24,'SeuilsComparaison-EMT'!$C$5:$J$27,4,FALSE))),IF(AVERAGE(D24,G24)&lt;=VLOOKUP(A24,'SeuilsComparaison-EMT'!$C$5:$J$27,5,FALSE),VLOOKUP(A24,'SeuilsComparaison-EMT'!$C$5:$J$27,6,FALSE),VLOOKUP(A24,'SeuilsComparaison-EMT'!$C$5:$J$27,8,FALSE)),"")</f>
        <v/>
      </c>
      <c r="O24" s="76"/>
      <c r="P24" s="68"/>
    </row>
    <row r="25" spans="1:16" ht="20.100000000000001" customHeight="1" outlineLevel="1" x14ac:dyDescent="0.4">
      <c r="A25" s="152" t="s">
        <v>68</v>
      </c>
      <c r="B25" s="152"/>
      <c r="C25" s="71">
        <f>VLOOKUP(A25, 'SeuilsComparaison-EMT'!$C$5:$E$28, 3, FALSE)</f>
        <v>0</v>
      </c>
      <c r="D25" s="155"/>
      <c r="E25" s="155"/>
      <c r="F25" s="87"/>
      <c r="G25" s="155"/>
      <c r="H25" s="155"/>
      <c r="I25" s="87"/>
      <c r="J25" s="156" t="str">
        <f>IF(OR(G25="",D25=""),"",IF(ISERROR(VLOOKUP(A25,'SeuilsComparaison-EMT'!$C$5:$J$25,4,FALSE)),"-",IF(OR(IF(ISTEXT(G25)=TRUE,SUBSTITUTE(G25,"&lt;","",1)*1,G25)&gt;VLOOKUP(A25,'SeuilsComparaison-EMT'!$C$5:$J$25,4,FALSE),IF(ISTEXT(D25)=TRUE,SUBSTITUTE(D25,"&lt;","",1)*1,D25)&gt;VLOOKUP(A25,'SeuilsComparaison-EMT'!$C$5:$J$25,4,FALSE)=TRUE),(IF(ISTEXT(D25)=TRUE,SUBSTITUTE(D25,"&lt;","",1)*1,D25)-((IF(ISTEXT(D25)=TRUE,SUBSTITUTE(D25,"&lt;","",1)*1,D25)+IF(ISTEXT(G25)=TRUE,SUBSTITUTE(G25,"&lt;","",1)*1,G25))/2))/((IF(ISTEXT(D25)=TRUE,SUBSTITUTE(D25,"&lt;","",1)*1,D25)+IF(ISTEXT(G25)=TRUE,SUBSTITUTE(G25,"&lt;","",1),G25))/2),"-")))</f>
        <v/>
      </c>
      <c r="K25" s="157"/>
      <c r="L25" s="158" t="str">
        <f>IF(OR(D25="",G25=""),"",IF(AND(F25="Oui",I25="Oui"),"Oui",IF(J25="-","Oui",IF(OR(G25&gt;VLOOKUP(A25,'SeuilsComparaison-EMT'!$C$5:$J$27,4,FALSE),D25&gt;VLOOKUP(A25,'SeuilsComparaison-EMT'!$C$5:$J$27,4,FALSE)=TRUE),IF(G25&lt;=VLOOKUP(A25,'SeuilsComparaison-EMT'!$C$5:$J$27,5,FALSE),IF(ABS(J25)&lt;=VLOOKUP(A25,'SeuilsComparaison-EMT'!$C$5:$J$27,6,FALSE),"Oui","Non"),IF(ABS(J25)&lt;=VLOOKUP(A25,'SeuilsComparaison-EMT'!$C$5:$J$27,8,FALSE),"Oui","Non")),"Oui"))))</f>
        <v/>
      </c>
      <c r="M25" s="159"/>
      <c r="N25" s="81" t="str">
        <f>IF(OR(AND(ISNUMBER(D25),D25&gt;VLOOKUP(A25,'SeuilsComparaison-EMT'!$C$5:$J$27,4,FALSE)),AND(ISNUMBER(G25),G25&gt;VLOOKUP(A25,'SeuilsComparaison-EMT'!$C$5:$J$27,4,FALSE))),IF(AVERAGE(D25,G25)&lt;=VLOOKUP(A25,'SeuilsComparaison-EMT'!$C$5:$J$27,5,FALSE),VLOOKUP(A25,'SeuilsComparaison-EMT'!$C$5:$J$27,6,FALSE),VLOOKUP(A25,'SeuilsComparaison-EMT'!$C$5:$J$27,8,FALSE)),"")</f>
        <v/>
      </c>
      <c r="O25" s="76" t="s">
        <v>89</v>
      </c>
      <c r="P25" s="68"/>
    </row>
    <row r="26" spans="1:16" ht="20.100000000000001" customHeight="1" outlineLevel="1" x14ac:dyDescent="0.4">
      <c r="A26" s="167" t="s">
        <v>69</v>
      </c>
      <c r="B26" s="167"/>
      <c r="C26" s="67">
        <f>VLOOKUP(A26, 'SeuilsComparaison-EMT'!$C$5:$E$28, 3, FALSE)</f>
        <v>5</v>
      </c>
      <c r="D26" s="168"/>
      <c r="E26" s="168"/>
      <c r="F26" s="88"/>
      <c r="G26" s="168"/>
      <c r="H26" s="168"/>
      <c r="I26" s="88"/>
      <c r="J26" s="156" t="str">
        <f>IF(OR(G26="",D26=""),"",IF(ISERROR(VLOOKUP(A26,'SeuilsComparaison-EMT'!$C$5:$J$25,4,FALSE)),"-",IF(OR(IF(ISTEXT(G26)=TRUE,SUBSTITUTE(G26,"&lt;","",1)*1,G26)&gt;VLOOKUP(A26,'SeuilsComparaison-EMT'!$C$5:$J$25,4,FALSE),IF(ISTEXT(D26)=TRUE,SUBSTITUTE(D26,"&lt;","",1)*1,D26)&gt;VLOOKUP(A26,'SeuilsComparaison-EMT'!$C$5:$J$25,4,FALSE)=TRUE),(IF(ISTEXT(D26)=TRUE,SUBSTITUTE(D26,"&lt;","",1)*1,D26)-((IF(ISTEXT(D26)=TRUE,SUBSTITUTE(D26,"&lt;","",1)*1,D26)+IF(ISTEXT(G26)=TRUE,SUBSTITUTE(G26,"&lt;","",1)*1,G26))/2))/((IF(ISTEXT(D26)=TRUE,SUBSTITUTE(D26,"&lt;","",1)*1,D26)+IF(ISTEXT(G26)=TRUE,SUBSTITUTE(G26,"&lt;","",1),G26))/2),"-")))</f>
        <v/>
      </c>
      <c r="K26" s="157"/>
      <c r="L26" s="169" t="str">
        <f>IF(OR(D26="",G26=""),"",IF(AND(F26="Oui",I26="Oui"),"Oui",IF(J26="-","Oui",IF(OR(G26&gt;VLOOKUP(A26,'SeuilsComparaison-EMT'!$C$5:$J$27,4,FALSE),D26&gt;VLOOKUP(A26,'SeuilsComparaison-EMT'!$C$5:$J$27,4,FALSE)=TRUE),IF(G26&lt;=VLOOKUP(A26,'SeuilsComparaison-EMT'!$C$5:$J$27,5,FALSE),IF(ABS(J26)&lt;=VLOOKUP(A26,'SeuilsComparaison-EMT'!$C$5:$J$27,6,FALSE),"Oui","Non"),IF(ABS(J26)&lt;=VLOOKUP(A26,'SeuilsComparaison-EMT'!$C$5:$J$27,8,FALSE),"Oui","Non")),"Oui"))))</f>
        <v/>
      </c>
      <c r="M26" s="170"/>
      <c r="N26" s="82" t="str">
        <f>IF(OR(AND(ISNUMBER(D26),D26&gt;VLOOKUP(A26,'SeuilsComparaison-EMT'!$C$5:$J$27,4,FALSE)),AND(ISNUMBER(G26),G26&gt;VLOOKUP(A26,'SeuilsComparaison-EMT'!$C$5:$J$27,4,FALSE))),IF(AVERAGE(D26,G26)&lt;=VLOOKUP(A26,'SeuilsComparaison-EMT'!$C$5:$J$27,5,FALSE),VLOOKUP(A26,'SeuilsComparaison-EMT'!$C$5:$J$27,6,FALSE),VLOOKUP(A26,'SeuilsComparaison-EMT'!$C$5:$J$27,8,FALSE)),"")</f>
        <v/>
      </c>
      <c r="O26" s="76" t="s">
        <v>89</v>
      </c>
      <c r="P26" s="68"/>
    </row>
    <row r="27" spans="1:16" ht="20.100000000000001" customHeight="1" outlineLevel="1" x14ac:dyDescent="0.4">
      <c r="A27" s="160" t="s">
        <v>26</v>
      </c>
      <c r="B27" s="160"/>
      <c r="C27" s="70">
        <f>VLOOKUP(A27, 'SeuilsComparaison-EMT'!$C$5:$E$28, 3, FALSE)</f>
        <v>0</v>
      </c>
      <c r="D27" s="161"/>
      <c r="E27" s="161"/>
      <c r="F27" s="89"/>
      <c r="G27" s="161"/>
      <c r="H27" s="161"/>
      <c r="I27" s="89"/>
      <c r="J27" s="162" t="str">
        <f>IF(OR(G27="",D27=""),"",IF(ISERROR(VLOOKUP(A27,'SeuilsComparaison-EMT'!$C$5:$J$25,4,FALSE)),"-",IF(OR(IF(ISTEXT(G27)=TRUE,SUBSTITUTE(G27,"&lt;","",1)*1,G27)&gt;VLOOKUP(A27,'SeuilsComparaison-EMT'!$C$5:$J$25,4,FALSE),IF(ISTEXT(D27)=TRUE,SUBSTITUTE(D27,"&lt;","",1)*1,D27)&gt;VLOOKUP(A27,'SeuilsComparaison-EMT'!$C$5:$J$25,4,FALSE)=TRUE),(IF(ISTEXT(D27)=TRUE,SUBSTITUTE(D27,"&lt;","",1)*1,D27)-((IF(ISTEXT(D27)=TRUE,SUBSTITUTE(D27,"&lt;","",1)*1,D27)+IF(ISTEXT(G27)=TRUE,SUBSTITUTE(G27,"&lt;","",1)*1,G27))/2))/((IF(ISTEXT(D27)=TRUE,SUBSTITUTE(D27,"&lt;","",1)*1,D27)+IF(ISTEXT(G27)=TRUE,SUBSTITUTE(G27,"&lt;","",1),G27))/2),"-")))</f>
        <v/>
      </c>
      <c r="K27" s="163"/>
      <c r="L27" s="164" t="str">
        <f>IF(OR(D27="",G27=""),"",IF(AND(F27="Oui",I27="Oui"),"Oui",IF(J27="-","Oui",IF(OR(G27&gt;VLOOKUP(A27,'SeuilsComparaison-EMT'!$C$5:$J$27,4,FALSE),D27&gt;VLOOKUP(A27,'SeuilsComparaison-EMT'!$C$5:$J$27,4,FALSE)=TRUE),IF(G27&lt;=VLOOKUP(A27,'SeuilsComparaison-EMT'!$C$5:$J$27,5,FALSE),IF(ABS(J27)&lt;=VLOOKUP(A27,'SeuilsComparaison-EMT'!$C$5:$J$27,6,FALSE),"Oui","Non"),IF(ABS(J27)&lt;=VLOOKUP(A27,'SeuilsComparaison-EMT'!$C$5:$J$27,8,FALSE),"Oui","Non")),"Oui"))))</f>
        <v/>
      </c>
      <c r="M27" s="165"/>
      <c r="N27" s="83" t="str">
        <f>IF(OR(AND(ISNUMBER(D27),D27&gt;VLOOKUP(A27,'SeuilsComparaison-EMT'!$C$5:$J$27,4,FALSE)),AND(ISNUMBER(G27),G27&gt;VLOOKUP(A27,'SeuilsComparaison-EMT'!$C$5:$J$27,4,FALSE))),IF(AVERAGE(D27,G27)&lt;=VLOOKUP(A27,'SeuilsComparaison-EMT'!$C$5:$J$27,5,FALSE),VLOOKUP(A27,'SeuilsComparaison-EMT'!$C$5:$J$27,6,FALSE),VLOOKUP(A27,'SeuilsComparaison-EMT'!$C$5:$J$27,8,FALSE)),"")</f>
        <v/>
      </c>
      <c r="O27" s="76" t="s">
        <v>89</v>
      </c>
      <c r="P27" s="68"/>
    </row>
    <row r="28" spans="1:16" ht="20.100000000000001" customHeight="1" outlineLevel="1" x14ac:dyDescent="0.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7"/>
      <c r="O28" s="76"/>
      <c r="P28" s="68"/>
    </row>
    <row r="29" spans="1:16" ht="20.100000000000001" customHeight="1" outlineLevel="1" x14ac:dyDescent="0.4">
      <c r="A29" s="166" t="s">
        <v>71</v>
      </c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77"/>
      <c r="O29" s="76"/>
      <c r="P29" s="68"/>
    </row>
    <row r="30" spans="1:16" ht="20.100000000000001" customHeight="1" outlineLevel="1" x14ac:dyDescent="0.4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5"/>
      <c r="O30" s="76"/>
      <c r="P30" s="68"/>
    </row>
    <row r="31" spans="1:16" ht="20.100000000000001" customHeight="1" outlineLevel="1" x14ac:dyDescent="0.4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8"/>
      <c r="O31" s="76"/>
      <c r="P31" s="68"/>
    </row>
    <row r="32" spans="1:16" ht="20.100000000000001" customHeight="1" outlineLevel="1" x14ac:dyDescent="0.4">
      <c r="A32" s="116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8"/>
      <c r="O32" s="76"/>
      <c r="P32" s="68"/>
    </row>
    <row r="33" spans="1:16" ht="20.100000000000001" customHeight="1" outlineLevel="1" x14ac:dyDescent="0.4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8"/>
      <c r="O33" s="76"/>
      <c r="P33" s="68"/>
    </row>
    <row r="34" spans="1:16" ht="20.100000000000001" customHeight="1" outlineLevel="1" x14ac:dyDescent="0.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1"/>
      <c r="O34" s="76"/>
      <c r="P34" s="68"/>
    </row>
    <row r="35" spans="1:16" ht="20.100000000000001" customHeight="1" outlineLevel="1" x14ac:dyDescent="0.4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75"/>
      <c r="O35" s="76"/>
      <c r="P35" s="68"/>
    </row>
  </sheetData>
  <sheetProtection algorithmName="SHA-512" hashValue="E0vgYSLd6IzN3zQpTtpwF407YWeiFI/59Uy/KfslbgamR5SvUT6ebXKuaEoF2kOs5D1P4aRMpT40oh0DZU5zTQ==" saltValue="ZofzeV6n80OCTfHoPp6DgQ==" spinCount="100000" sheet="1" objects="1" scenarios="1" formatRows="0"/>
  <mergeCells count="98">
    <mergeCell ref="J24:K24"/>
    <mergeCell ref="A29:M29"/>
    <mergeCell ref="J19:K19"/>
    <mergeCell ref="L19:M19"/>
    <mergeCell ref="L24:M24"/>
    <mergeCell ref="A23:B23"/>
    <mergeCell ref="D23:E23"/>
    <mergeCell ref="G23:H23"/>
    <mergeCell ref="J23:K23"/>
    <mergeCell ref="L23:M23"/>
    <mergeCell ref="A26:B26"/>
    <mergeCell ref="D26:E26"/>
    <mergeCell ref="G26:H26"/>
    <mergeCell ref="J26:K26"/>
    <mergeCell ref="L26:M26"/>
    <mergeCell ref="A25:B25"/>
    <mergeCell ref="D25:E25"/>
    <mergeCell ref="G25:H25"/>
    <mergeCell ref="J25:K25"/>
    <mergeCell ref="L25:M25"/>
    <mergeCell ref="A27:B27"/>
    <mergeCell ref="D27:E27"/>
    <mergeCell ref="G27:H27"/>
    <mergeCell ref="J27:K27"/>
    <mergeCell ref="L27:M27"/>
    <mergeCell ref="J20:K20"/>
    <mergeCell ref="L20:M20"/>
    <mergeCell ref="D22:E22"/>
    <mergeCell ref="G22:H22"/>
    <mergeCell ref="J22:K22"/>
    <mergeCell ref="L22:M22"/>
    <mergeCell ref="D21:E21"/>
    <mergeCell ref="G21:H21"/>
    <mergeCell ref="J21:K21"/>
    <mergeCell ref="L21:M21"/>
    <mergeCell ref="A24:B24"/>
    <mergeCell ref="D24:E24"/>
    <mergeCell ref="G24:H24"/>
    <mergeCell ref="A20:B20"/>
    <mergeCell ref="D20:E20"/>
    <mergeCell ref="G20:H20"/>
    <mergeCell ref="A21:B21"/>
    <mergeCell ref="A22:B22"/>
    <mergeCell ref="A19:B19"/>
    <mergeCell ref="D19:E19"/>
    <mergeCell ref="G19:H19"/>
    <mergeCell ref="A15:B15"/>
    <mergeCell ref="D15:E15"/>
    <mergeCell ref="G15:H15"/>
    <mergeCell ref="A16:B16"/>
    <mergeCell ref="D16:E16"/>
    <mergeCell ref="G16:H16"/>
    <mergeCell ref="A17:B17"/>
    <mergeCell ref="D17:E17"/>
    <mergeCell ref="G17:H17"/>
    <mergeCell ref="A18:B18"/>
    <mergeCell ref="D18:E18"/>
    <mergeCell ref="A1:N1"/>
    <mergeCell ref="K2:N2"/>
    <mergeCell ref="K3:N3"/>
    <mergeCell ref="G18:H18"/>
    <mergeCell ref="J18:K18"/>
    <mergeCell ref="L18:M18"/>
    <mergeCell ref="J15:K15"/>
    <mergeCell ref="L15:M15"/>
    <mergeCell ref="J16:K16"/>
    <mergeCell ref="L16:M16"/>
    <mergeCell ref="J17:K17"/>
    <mergeCell ref="L17:M17"/>
    <mergeCell ref="A2:C2"/>
    <mergeCell ref="D2:G2"/>
    <mergeCell ref="H2:J2"/>
    <mergeCell ref="H3:J3"/>
    <mergeCell ref="D3:G3"/>
    <mergeCell ref="A3:C3"/>
    <mergeCell ref="A11:N11"/>
    <mergeCell ref="A30:N34"/>
    <mergeCell ref="L13:M13"/>
    <mergeCell ref="J14:K14"/>
    <mergeCell ref="L14:M14"/>
    <mergeCell ref="A12:B14"/>
    <mergeCell ref="C12:C14"/>
    <mergeCell ref="D12:E14"/>
    <mergeCell ref="F12:F14"/>
    <mergeCell ref="G12:H14"/>
    <mergeCell ref="I12:I14"/>
    <mergeCell ref="J12:K12"/>
    <mergeCell ref="L12:M12"/>
    <mergeCell ref="J13:K13"/>
    <mergeCell ref="A8:F8"/>
    <mergeCell ref="H8:N8"/>
    <mergeCell ref="A9:F9"/>
    <mergeCell ref="H9:N9"/>
    <mergeCell ref="A5:N5"/>
    <mergeCell ref="A6:G6"/>
    <mergeCell ref="H6:N6"/>
    <mergeCell ref="A7:G7"/>
    <mergeCell ref="H7:N7"/>
  </mergeCells>
  <conditionalFormatting sqref="A9:N9">
    <cfRule type="expression" dxfId="8" priority="1">
      <formula>$J$26 = "Oui"</formula>
    </cfRule>
  </conditionalFormatting>
  <conditionalFormatting sqref="G8:G9">
    <cfRule type="cellIs" dxfId="7" priority="2" operator="equal">
      <formula>"Oui"</formula>
    </cfRule>
    <cfRule type="cellIs" dxfId="6" priority="3" operator="equal">
      <formula>"Non"</formula>
    </cfRule>
  </conditionalFormatting>
  <conditionalFormatting sqref="H3:J3">
    <cfRule type="expression" dxfId="5" priority="59">
      <formula>$A3="Oui"</formula>
    </cfRule>
  </conditionalFormatting>
  <conditionalFormatting sqref="J15:K26">
    <cfRule type="expression" dxfId="4" priority="5" stopIfTrue="1">
      <formula>IF(ABS(J15)&gt;N15,TRUE,FALSE)</formula>
    </cfRule>
  </conditionalFormatting>
  <conditionalFormatting sqref="J15:K27">
    <cfRule type="expression" dxfId="3" priority="4" stopIfTrue="1">
      <formula>IF(ABS(J15)&lt;=N15,TRUE,FALSE)</formula>
    </cfRule>
  </conditionalFormatting>
  <conditionalFormatting sqref="K3">
    <cfRule type="expression" dxfId="2" priority="62">
      <formula>$A3="Non"</formula>
    </cfRule>
  </conditionalFormatting>
  <conditionalFormatting sqref="L15:L27">
    <cfRule type="cellIs" dxfId="1" priority="6" operator="equal">
      <formula>"Oui"</formula>
    </cfRule>
    <cfRule type="cellIs" dxfId="0" priority="7" operator="equal">
      <formula>"Non"</formula>
    </cfRule>
  </conditionalFormatting>
  <dataValidations count="4">
    <dataValidation type="list" allowBlank="1" showInputMessage="1" showErrorMessage="1" sqref="D3 L15:M27 G8:G9" xr:uid="{D9571EBC-6FF8-4CB6-B6B8-5654E9E0B57B}">
      <formula1>LISTE_1</formula1>
    </dataValidation>
    <dataValidation type="list" allowBlank="1" showInputMessage="1" showErrorMessage="1" sqref="D2" xr:uid="{6478A3AA-E53F-46B7-8EB5-18387D457970}">
      <formula1>listePreleveurs</formula1>
    </dataValidation>
    <dataValidation type="list" allowBlank="1" showInputMessage="1" showErrorMessage="1" sqref="I15:I27 F15:F27" xr:uid="{9827A3EB-1CBF-4ADD-9F4D-3F87BB2F1115}">
      <formula1>"Oui,Non"</formula1>
    </dataValidation>
    <dataValidation allowBlank="1" showInputMessage="1" showErrorMessage="1" promptTitle="Coefficient Analytique" prompt="Le coefficient est égale au nombre d'analyse conforme / nombre d'analyse réalisées x le score de pénalité" sqref="N12" xr:uid="{98B0E8A5-51FC-414B-9825-B4FB9B54760B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3"/>
  <dimension ref="A1:N47"/>
  <sheetViews>
    <sheetView showGridLines="0" zoomScaleNormal="100" zoomScaleSheetLayoutView="100" workbookViewId="0">
      <selection activeCell="C25" sqref="C25"/>
    </sheetView>
  </sheetViews>
  <sheetFormatPr baseColWidth="10" defaultColWidth="0" defaultRowHeight="12.75" customHeight="1" zeroHeight="1" x14ac:dyDescent="0.4"/>
  <cols>
    <col min="1" max="1" width="2.703125" style="1" customWidth="1"/>
    <col min="2" max="2" width="10.1171875" style="1" bestFit="1" customWidth="1"/>
    <col min="3" max="3" width="10.5859375" style="5" bestFit="1" customWidth="1"/>
    <col min="4" max="4" width="14" style="5" bestFit="1" customWidth="1"/>
    <col min="5" max="5" width="11.87890625" style="1" bestFit="1" customWidth="1"/>
    <col min="6" max="6" width="11.5859375" style="1" bestFit="1" customWidth="1"/>
    <col min="7" max="7" width="17.87890625" style="1" customWidth="1"/>
    <col min="8" max="8" width="9.1171875" style="1" bestFit="1" customWidth="1"/>
    <col min="9" max="9" width="12.41015625" style="1" bestFit="1" customWidth="1"/>
    <col min="10" max="10" width="9.1171875" style="1" bestFit="1" customWidth="1"/>
    <col min="11" max="11" width="7.5859375" style="1" customWidth="1"/>
    <col min="12" max="14" width="0" style="1" hidden="1" customWidth="1"/>
    <col min="15" max="16384" width="11.41015625" style="1" hidden="1"/>
  </cols>
  <sheetData>
    <row r="1" spans="1:11" ht="13" thickBot="1" x14ac:dyDescent="0.45">
      <c r="A1" s="9"/>
      <c r="B1" s="9"/>
      <c r="C1" s="33"/>
      <c r="D1" s="33"/>
      <c r="E1" s="9"/>
      <c r="F1" s="9"/>
      <c r="G1" s="9"/>
      <c r="H1" s="9"/>
      <c r="I1" s="9"/>
      <c r="J1" s="9"/>
      <c r="K1" s="9"/>
    </row>
    <row r="2" spans="1:11" ht="15.7" thickBot="1" x14ac:dyDescent="0.45">
      <c r="A2" s="9"/>
      <c r="B2" s="171" t="s">
        <v>27</v>
      </c>
      <c r="C2" s="172"/>
      <c r="D2" s="172"/>
      <c r="E2" s="172"/>
      <c r="F2" s="172"/>
      <c r="G2" s="172"/>
      <c r="H2" s="172"/>
      <c r="I2" s="172"/>
      <c r="J2" s="173"/>
      <c r="K2" s="9"/>
    </row>
    <row r="3" spans="1:11" ht="13" thickBot="1" x14ac:dyDescent="0.45">
      <c r="A3" s="9"/>
      <c r="B3" s="9"/>
      <c r="C3" s="33"/>
      <c r="D3" s="33"/>
      <c r="E3" s="9"/>
      <c r="F3" s="9"/>
      <c r="G3" s="9"/>
      <c r="H3" s="9"/>
      <c r="I3" s="9"/>
      <c r="J3" s="9"/>
      <c r="K3" s="9"/>
    </row>
    <row r="4" spans="1:11" s="2" customFormat="1" ht="67.7" customHeight="1" thickBot="1" x14ac:dyDescent="0.45">
      <c r="A4" s="13"/>
      <c r="B4" s="14" t="s">
        <v>0</v>
      </c>
      <c r="C4" s="14" t="s">
        <v>1</v>
      </c>
      <c r="D4" s="14" t="s">
        <v>28</v>
      </c>
      <c r="E4" s="35" t="s">
        <v>29</v>
      </c>
      <c r="F4" s="36" t="s">
        <v>30</v>
      </c>
      <c r="G4" s="37" t="s">
        <v>31</v>
      </c>
      <c r="H4" s="38" t="s">
        <v>32</v>
      </c>
      <c r="I4" s="37" t="s">
        <v>33</v>
      </c>
      <c r="J4" s="38" t="s">
        <v>32</v>
      </c>
      <c r="K4" s="39"/>
    </row>
    <row r="5" spans="1:11" ht="14.7" x14ac:dyDescent="0.4">
      <c r="A5" s="9"/>
      <c r="B5" s="40">
        <v>1313</v>
      </c>
      <c r="C5" s="40" t="s">
        <v>6</v>
      </c>
      <c r="D5" s="41" t="s">
        <v>34</v>
      </c>
      <c r="E5" s="42">
        <v>3</v>
      </c>
      <c r="F5" s="41">
        <v>15</v>
      </c>
      <c r="G5" s="43">
        <v>80</v>
      </c>
      <c r="H5" s="44">
        <v>0.3</v>
      </c>
      <c r="I5" s="45">
        <v>80</v>
      </c>
      <c r="J5" s="46">
        <v>0.2</v>
      </c>
      <c r="K5" s="9"/>
    </row>
    <row r="6" spans="1:11" ht="14.7" x14ac:dyDescent="0.4">
      <c r="A6" s="9"/>
      <c r="B6" s="47">
        <v>1314</v>
      </c>
      <c r="C6" s="47" t="s">
        <v>7</v>
      </c>
      <c r="D6" s="48" t="s">
        <v>34</v>
      </c>
      <c r="E6" s="49">
        <v>30</v>
      </c>
      <c r="F6" s="48">
        <v>80</v>
      </c>
      <c r="G6" s="50">
        <v>250</v>
      </c>
      <c r="H6" s="51">
        <v>0.2</v>
      </c>
      <c r="I6" s="50">
        <v>250</v>
      </c>
      <c r="J6" s="51">
        <v>0.1</v>
      </c>
      <c r="K6" s="9"/>
    </row>
    <row r="7" spans="1:11" ht="14.7" x14ac:dyDescent="0.4">
      <c r="A7" s="9"/>
      <c r="B7" s="47">
        <v>6396</v>
      </c>
      <c r="C7" s="47" t="s">
        <v>8</v>
      </c>
      <c r="D7" s="48" t="s">
        <v>34</v>
      </c>
      <c r="E7" s="49">
        <v>10</v>
      </c>
      <c r="F7" s="48">
        <v>20</v>
      </c>
      <c r="G7" s="50">
        <v>150</v>
      </c>
      <c r="H7" s="51">
        <v>0.2</v>
      </c>
      <c r="I7" s="50">
        <v>150</v>
      </c>
      <c r="J7" s="51">
        <v>0.1</v>
      </c>
      <c r="K7" s="9"/>
    </row>
    <row r="8" spans="1:11" ht="12.7" x14ac:dyDescent="0.4">
      <c r="A8" s="9"/>
      <c r="B8" s="47">
        <v>1305</v>
      </c>
      <c r="C8" s="47" t="s">
        <v>10</v>
      </c>
      <c r="D8" s="48" t="s">
        <v>35</v>
      </c>
      <c r="E8" s="49">
        <v>2</v>
      </c>
      <c r="F8" s="48">
        <v>15</v>
      </c>
      <c r="G8" s="50">
        <v>60</v>
      </c>
      <c r="H8" s="51">
        <v>0.3</v>
      </c>
      <c r="I8" s="50">
        <v>60</v>
      </c>
      <c r="J8" s="51">
        <v>0.2</v>
      </c>
      <c r="K8" s="9"/>
    </row>
    <row r="9" spans="1:11" ht="12.7" x14ac:dyDescent="0.4">
      <c r="A9" s="9"/>
      <c r="B9" s="52">
        <v>1319</v>
      </c>
      <c r="C9" s="52" t="s">
        <v>11</v>
      </c>
      <c r="D9" s="48" t="s">
        <v>36</v>
      </c>
      <c r="E9" s="49">
        <v>0.5</v>
      </c>
      <c r="F9" s="48">
        <v>6</v>
      </c>
      <c r="G9" s="3"/>
      <c r="H9" s="4"/>
      <c r="I9" s="50">
        <v>6</v>
      </c>
      <c r="J9" s="51">
        <v>0.1</v>
      </c>
      <c r="K9" s="9"/>
    </row>
    <row r="10" spans="1:11" ht="12.7" x14ac:dyDescent="0.4">
      <c r="A10" s="9"/>
      <c r="B10" s="47">
        <v>1551</v>
      </c>
      <c r="C10" s="47" t="s">
        <v>15</v>
      </c>
      <c r="D10" s="48" t="s">
        <v>36</v>
      </c>
      <c r="E10" s="49">
        <v>1</v>
      </c>
      <c r="F10" s="48">
        <v>6</v>
      </c>
      <c r="G10" s="3"/>
      <c r="H10" s="4"/>
      <c r="I10" s="50">
        <v>6</v>
      </c>
      <c r="J10" s="51">
        <v>0.2</v>
      </c>
      <c r="K10" s="9"/>
    </row>
    <row r="11" spans="1:11" ht="14.7" x14ac:dyDescent="0.4">
      <c r="A11" s="9"/>
      <c r="B11" s="52">
        <v>1335</v>
      </c>
      <c r="C11" s="52" t="s">
        <v>12</v>
      </c>
      <c r="D11" s="48" t="s">
        <v>37</v>
      </c>
      <c r="E11" s="49">
        <v>0.5</v>
      </c>
      <c r="F11" s="48">
        <v>6</v>
      </c>
      <c r="G11" s="3"/>
      <c r="H11" s="4"/>
      <c r="I11" s="50">
        <v>6</v>
      </c>
      <c r="J11" s="51">
        <v>0.1</v>
      </c>
      <c r="K11" s="9"/>
    </row>
    <row r="12" spans="1:11" ht="14.7" x14ac:dyDescent="0.4">
      <c r="A12" s="9"/>
      <c r="B12" s="52">
        <v>1339</v>
      </c>
      <c r="C12" s="52" t="s">
        <v>13</v>
      </c>
      <c r="D12" s="48" t="s">
        <v>38</v>
      </c>
      <c r="E12" s="49">
        <v>0.05</v>
      </c>
      <c r="F12" s="48">
        <v>1</v>
      </c>
      <c r="G12" s="3"/>
      <c r="H12" s="4"/>
      <c r="I12" s="50">
        <v>1</v>
      </c>
      <c r="J12" s="51">
        <v>0.2</v>
      </c>
      <c r="K12" s="9"/>
    </row>
    <row r="13" spans="1:11" ht="14.7" x14ac:dyDescent="0.4">
      <c r="A13" s="9"/>
      <c r="B13" s="52">
        <v>1340</v>
      </c>
      <c r="C13" s="52" t="s">
        <v>14</v>
      </c>
      <c r="D13" s="48" t="s">
        <v>39</v>
      </c>
      <c r="E13" s="49">
        <v>1</v>
      </c>
      <c r="F13" s="48">
        <v>5</v>
      </c>
      <c r="G13" s="3"/>
      <c r="H13" s="4"/>
      <c r="I13" s="50">
        <v>5</v>
      </c>
      <c r="J13" s="51">
        <v>0.2</v>
      </c>
      <c r="K13" s="9"/>
    </row>
    <row r="14" spans="1:11" ht="12.7" x14ac:dyDescent="0.4">
      <c r="A14" s="9"/>
      <c r="B14" s="47">
        <v>1350</v>
      </c>
      <c r="C14" s="47" t="s">
        <v>16</v>
      </c>
      <c r="D14" s="48" t="s">
        <v>40</v>
      </c>
      <c r="E14" s="49">
        <v>0.05</v>
      </c>
      <c r="F14" s="48">
        <v>1</v>
      </c>
      <c r="G14" s="3"/>
      <c r="H14" s="4"/>
      <c r="I14" s="50">
        <v>1</v>
      </c>
      <c r="J14" s="51">
        <v>0.2</v>
      </c>
      <c r="K14" s="9"/>
    </row>
    <row r="15" spans="1:11" ht="12.7" x14ac:dyDescent="0.4">
      <c r="A15" s="9"/>
      <c r="B15" s="47">
        <v>1369</v>
      </c>
      <c r="C15" s="47" t="s">
        <v>18</v>
      </c>
      <c r="D15" s="53" t="s">
        <v>35</v>
      </c>
      <c r="E15" s="49">
        <v>5.0000000000000001E-3</v>
      </c>
      <c r="F15" s="48">
        <v>0.5</v>
      </c>
      <c r="G15" s="50">
        <v>1</v>
      </c>
      <c r="H15" s="51">
        <v>0.6</v>
      </c>
      <c r="I15" s="50">
        <v>1</v>
      </c>
      <c r="J15" s="51">
        <v>0.3</v>
      </c>
      <c r="K15" s="9"/>
    </row>
    <row r="16" spans="1:11" ht="12.7" x14ac:dyDescent="0.4">
      <c r="A16" s="9"/>
      <c r="B16" s="47">
        <v>1388</v>
      </c>
      <c r="C16" s="47" t="s">
        <v>19</v>
      </c>
      <c r="D16" s="53" t="s">
        <v>35</v>
      </c>
      <c r="E16" s="49">
        <v>1E-3</v>
      </c>
      <c r="F16" s="48">
        <v>0.5</v>
      </c>
      <c r="G16" s="50">
        <v>1</v>
      </c>
      <c r="H16" s="51">
        <v>0.6</v>
      </c>
      <c r="I16" s="50">
        <v>1</v>
      </c>
      <c r="J16" s="51">
        <v>0.3</v>
      </c>
      <c r="K16" s="9"/>
    </row>
    <row r="17" spans="1:11" ht="12.7" x14ac:dyDescent="0.4">
      <c r="A17" s="9"/>
      <c r="B17" s="47">
        <v>1389</v>
      </c>
      <c r="C17" s="47" t="s">
        <v>20</v>
      </c>
      <c r="D17" s="53" t="s">
        <v>35</v>
      </c>
      <c r="E17" s="49">
        <v>5.0000000000000001E-3</v>
      </c>
      <c r="F17" s="48">
        <v>0.5</v>
      </c>
      <c r="G17" s="50">
        <v>1</v>
      </c>
      <c r="H17" s="51">
        <v>0.6</v>
      </c>
      <c r="I17" s="50">
        <v>1</v>
      </c>
      <c r="J17" s="51">
        <v>0.3</v>
      </c>
      <c r="K17" s="9"/>
    </row>
    <row r="18" spans="1:11" ht="12.7" x14ac:dyDescent="0.4">
      <c r="A18" s="9"/>
      <c r="B18" s="47">
        <v>1392</v>
      </c>
      <c r="C18" s="47" t="s">
        <v>21</v>
      </c>
      <c r="D18" s="53" t="s">
        <v>35</v>
      </c>
      <c r="E18" s="49">
        <v>5.0000000000000001E-3</v>
      </c>
      <c r="F18" s="48">
        <v>0.5</v>
      </c>
      <c r="G18" s="50">
        <v>1</v>
      </c>
      <c r="H18" s="51">
        <v>0.6</v>
      </c>
      <c r="I18" s="50">
        <v>1</v>
      </c>
      <c r="J18" s="51">
        <v>0.3</v>
      </c>
      <c r="K18" s="9"/>
    </row>
    <row r="19" spans="1:11" ht="12.7" x14ac:dyDescent="0.4">
      <c r="A19" s="9"/>
      <c r="B19" s="47">
        <v>1387</v>
      </c>
      <c r="C19" s="47" t="s">
        <v>22</v>
      </c>
      <c r="D19" s="53" t="s">
        <v>35</v>
      </c>
      <c r="E19" s="49">
        <v>2.0000000000000001E-4</v>
      </c>
      <c r="F19" s="48">
        <v>5.0000000000000001E-3</v>
      </c>
      <c r="G19" s="50">
        <v>0.01</v>
      </c>
      <c r="H19" s="51">
        <v>0.6</v>
      </c>
      <c r="I19" s="50">
        <v>0.01</v>
      </c>
      <c r="J19" s="51">
        <v>0.3</v>
      </c>
      <c r="K19" s="9"/>
    </row>
    <row r="20" spans="1:11" ht="12.7" x14ac:dyDescent="0.4">
      <c r="A20" s="9"/>
      <c r="B20" s="47">
        <v>1386</v>
      </c>
      <c r="C20" s="47" t="s">
        <v>23</v>
      </c>
      <c r="D20" s="53" t="s">
        <v>35</v>
      </c>
      <c r="E20" s="49">
        <v>5.0000000000000001E-3</v>
      </c>
      <c r="F20" s="48">
        <v>0.5</v>
      </c>
      <c r="G20" s="50">
        <v>1</v>
      </c>
      <c r="H20" s="51">
        <v>0.6</v>
      </c>
      <c r="I20" s="50">
        <v>1</v>
      </c>
      <c r="J20" s="51">
        <v>0.3</v>
      </c>
      <c r="K20" s="9"/>
    </row>
    <row r="21" spans="1:11" ht="12.7" x14ac:dyDescent="0.4">
      <c r="A21" s="9"/>
      <c r="B21" s="47">
        <v>1382</v>
      </c>
      <c r="C21" s="47" t="s">
        <v>24</v>
      </c>
      <c r="D21" s="53" t="s">
        <v>35</v>
      </c>
      <c r="E21" s="49">
        <v>2E-3</v>
      </c>
      <c r="F21" s="48">
        <v>0.5</v>
      </c>
      <c r="G21" s="50">
        <v>1</v>
      </c>
      <c r="H21" s="51">
        <v>0.6</v>
      </c>
      <c r="I21" s="50">
        <v>1</v>
      </c>
      <c r="J21" s="51">
        <v>0.3</v>
      </c>
      <c r="K21" s="9"/>
    </row>
    <row r="22" spans="1:11" ht="12.7" x14ac:dyDescent="0.4">
      <c r="A22" s="9"/>
      <c r="B22" s="47">
        <v>1383</v>
      </c>
      <c r="C22" s="47" t="s">
        <v>25</v>
      </c>
      <c r="D22" s="53" t="s">
        <v>35</v>
      </c>
      <c r="E22" s="49">
        <v>5.0000000000000001E-3</v>
      </c>
      <c r="F22" s="48">
        <v>0.5</v>
      </c>
      <c r="G22" s="50">
        <v>1</v>
      </c>
      <c r="H22" s="51">
        <v>0.6</v>
      </c>
      <c r="I22" s="50">
        <v>1</v>
      </c>
      <c r="J22" s="51">
        <v>0.3</v>
      </c>
      <c r="K22" s="9"/>
    </row>
    <row r="23" spans="1:11" ht="12.7" x14ac:dyDescent="0.4">
      <c r="A23" s="9"/>
      <c r="B23" s="47">
        <v>1106</v>
      </c>
      <c r="C23" s="47" t="s">
        <v>17</v>
      </c>
      <c r="D23" s="53" t="s">
        <v>35</v>
      </c>
      <c r="E23" s="49">
        <v>0.01</v>
      </c>
      <c r="F23" s="48">
        <v>0.05</v>
      </c>
      <c r="G23" s="50">
        <v>0.5</v>
      </c>
      <c r="H23" s="51">
        <v>0.6</v>
      </c>
      <c r="I23" s="50">
        <v>0.5</v>
      </c>
      <c r="J23" s="51">
        <v>0.3</v>
      </c>
      <c r="K23" s="9"/>
    </row>
    <row r="24" spans="1:11" ht="12.7" x14ac:dyDescent="0.4">
      <c r="A24" s="9"/>
      <c r="B24" s="47">
        <v>1841</v>
      </c>
      <c r="C24" s="47" t="s">
        <v>9</v>
      </c>
      <c r="D24" s="53" t="s">
        <v>35</v>
      </c>
      <c r="E24" s="49">
        <v>0.3</v>
      </c>
      <c r="F24" s="48">
        <v>5</v>
      </c>
      <c r="G24" s="50">
        <v>15</v>
      </c>
      <c r="H24" s="51">
        <v>0.3</v>
      </c>
      <c r="I24" s="50">
        <v>15</v>
      </c>
      <c r="J24" s="51">
        <v>0.1</v>
      </c>
      <c r="K24" s="9"/>
    </row>
    <row r="25" spans="1:11" ht="12.7" x14ac:dyDescent="0.4">
      <c r="A25" s="9"/>
      <c r="B25" s="47">
        <v>1798</v>
      </c>
      <c r="C25" s="47" t="s">
        <v>68</v>
      </c>
      <c r="D25" s="53"/>
      <c r="E25" s="49"/>
      <c r="F25" s="48"/>
      <c r="G25" s="50"/>
      <c r="H25" s="51"/>
      <c r="I25" s="50"/>
      <c r="J25" s="51"/>
      <c r="K25" s="9"/>
    </row>
    <row r="26" spans="1:11" ht="13" thickBot="1" x14ac:dyDescent="0.45">
      <c r="A26" s="9"/>
      <c r="B26" s="54">
        <v>1337</v>
      </c>
      <c r="C26" s="54" t="s">
        <v>69</v>
      </c>
      <c r="D26" s="55" t="s">
        <v>35</v>
      </c>
      <c r="E26" s="56">
        <v>5</v>
      </c>
      <c r="F26" s="57"/>
      <c r="G26" s="58"/>
      <c r="H26" s="59"/>
      <c r="I26" s="58"/>
      <c r="J26" s="59"/>
      <c r="K26" s="9"/>
    </row>
    <row r="27" spans="1:11" ht="13" thickBot="1" x14ac:dyDescent="0.45">
      <c r="A27" s="9"/>
      <c r="B27" s="60">
        <v>1799</v>
      </c>
      <c r="C27" s="60" t="s">
        <v>26</v>
      </c>
      <c r="D27" s="61" t="s">
        <v>70</v>
      </c>
      <c r="E27" s="60"/>
      <c r="F27" s="62"/>
      <c r="G27" s="63"/>
      <c r="H27" s="64">
        <v>0.2</v>
      </c>
      <c r="I27" s="63"/>
      <c r="J27" s="64">
        <v>0.05</v>
      </c>
      <c r="K27" s="10"/>
    </row>
    <row r="28" spans="1:11" ht="12.75" customHeight="1" x14ac:dyDescent="0.4">
      <c r="A28" s="9"/>
      <c r="B28" s="174" t="s">
        <v>41</v>
      </c>
      <c r="C28" s="174"/>
      <c r="D28" s="174"/>
      <c r="E28" s="174"/>
      <c r="F28" s="174"/>
      <c r="G28" s="174"/>
      <c r="H28" s="174"/>
      <c r="I28" s="174"/>
      <c r="J28" s="174"/>
      <c r="K28" s="9"/>
    </row>
    <row r="29" spans="1:11" ht="14.45" customHeight="1" x14ac:dyDescent="0.4">
      <c r="A29" s="9"/>
      <c r="B29" s="174"/>
      <c r="C29" s="174"/>
      <c r="D29" s="174"/>
      <c r="E29" s="174"/>
      <c r="F29" s="174"/>
      <c r="G29" s="174"/>
      <c r="H29" s="174"/>
      <c r="I29" s="174"/>
      <c r="J29" s="174"/>
      <c r="K29" s="9"/>
    </row>
    <row r="33" spans="4:9" ht="2.1" customHeight="1" x14ac:dyDescent="0.4"/>
    <row r="34" spans="4:9" ht="66.75" hidden="1" customHeight="1" x14ac:dyDescent="0.4"/>
    <row r="37" spans="4:9" ht="12.7" hidden="1" x14ac:dyDescent="0.4">
      <c r="D37" s="175"/>
      <c r="E37" s="176"/>
      <c r="F37" s="176"/>
      <c r="G37" s="176"/>
      <c r="H37" s="176"/>
      <c r="I37" s="176"/>
    </row>
    <row r="38" spans="4:9" ht="12.7" hidden="1" x14ac:dyDescent="0.4">
      <c r="D38" s="176"/>
      <c r="E38" s="176"/>
      <c r="F38" s="176"/>
      <c r="G38" s="176"/>
      <c r="H38" s="176"/>
      <c r="I38" s="176"/>
    </row>
    <row r="39" spans="4:9" ht="12.7" hidden="1" x14ac:dyDescent="0.4">
      <c r="D39" s="176"/>
      <c r="E39" s="176"/>
      <c r="F39" s="176"/>
      <c r="G39" s="176"/>
      <c r="H39" s="176"/>
      <c r="I39" s="176"/>
    </row>
    <row r="40" spans="4:9" ht="12.7" hidden="1" x14ac:dyDescent="0.4">
      <c r="D40" s="176"/>
      <c r="E40" s="176"/>
      <c r="F40" s="176"/>
      <c r="G40" s="176"/>
      <c r="H40" s="176"/>
      <c r="I40" s="176"/>
    </row>
    <row r="41" spans="4:9" ht="12.7" hidden="1" x14ac:dyDescent="0.4">
      <c r="D41" s="176"/>
      <c r="E41" s="176"/>
      <c r="F41" s="176"/>
      <c r="G41" s="176"/>
      <c r="H41" s="176"/>
      <c r="I41" s="176"/>
    </row>
    <row r="42" spans="4:9" ht="12.7" hidden="1" x14ac:dyDescent="0.4">
      <c r="D42" s="176"/>
      <c r="E42" s="176"/>
      <c r="F42" s="176"/>
      <c r="G42" s="176"/>
      <c r="H42" s="176"/>
      <c r="I42" s="176"/>
    </row>
    <row r="43" spans="4:9" ht="12.7" hidden="1" x14ac:dyDescent="0.4">
      <c r="D43" s="176"/>
      <c r="E43" s="176"/>
      <c r="F43" s="176"/>
      <c r="G43" s="176"/>
      <c r="H43" s="176"/>
      <c r="I43" s="176"/>
    </row>
    <row r="44" spans="4:9" ht="12.7" hidden="1" x14ac:dyDescent="0.4">
      <c r="D44" s="176"/>
      <c r="E44" s="176"/>
      <c r="F44" s="176"/>
      <c r="G44" s="176"/>
      <c r="H44" s="176"/>
      <c r="I44" s="176"/>
    </row>
    <row r="45" spans="4:9" ht="12.7" hidden="1" x14ac:dyDescent="0.4">
      <c r="D45" s="176"/>
      <c r="E45" s="176"/>
      <c r="F45" s="176"/>
      <c r="G45" s="176"/>
      <c r="H45" s="176"/>
      <c r="I45" s="176"/>
    </row>
    <row r="46" spans="4:9" ht="12.7" hidden="1" x14ac:dyDescent="0.4">
      <c r="D46" s="176"/>
      <c r="E46" s="176"/>
      <c r="F46" s="176"/>
      <c r="G46" s="176"/>
      <c r="H46" s="176"/>
      <c r="I46" s="176"/>
    </row>
    <row r="47" spans="4:9" ht="12.7" hidden="1" x14ac:dyDescent="0.4">
      <c r="D47" s="176"/>
      <c r="E47" s="176"/>
      <c r="F47" s="176"/>
      <c r="G47" s="176"/>
      <c r="H47" s="176"/>
      <c r="I47" s="176"/>
    </row>
  </sheetData>
  <sheetProtection algorithmName="SHA-512" hashValue="JwiDGO3o+2dFxARJYVMUFaBdhSvRBZA582rInYQkmxbsbCPz5oJElMjGmHNl7DdUq/+ISSVBZ98ecfJTPjkUnw==" saltValue="jmeV8ejQYWV9oXQtWWgugQ==" spinCount="100000" sheet="1" objects="1" scenarios="1" formatRows="0"/>
  <mergeCells count="3">
    <mergeCell ref="B2:J2"/>
    <mergeCell ref="B28:J29"/>
    <mergeCell ref="D37:I47"/>
  </mergeCells>
  <pageMargins left="0.78740157499999996" right="0.78740157499999996" top="0.984251969" bottom="0.984251969" header="0.4921259845" footer="0.4921259845"/>
  <pageSetup paperSize="9" scale="7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7"/>
  <dimension ref="A1:K21"/>
  <sheetViews>
    <sheetView showGridLines="0" zoomScaleNormal="100" zoomScaleSheetLayoutView="100" workbookViewId="0">
      <selection activeCell="C21" sqref="C21"/>
    </sheetView>
  </sheetViews>
  <sheetFormatPr baseColWidth="10" defaultColWidth="0" defaultRowHeight="12.75" customHeight="1" zeroHeight="1" x14ac:dyDescent="0.4"/>
  <cols>
    <col min="1" max="1" width="2.703125" style="1" customWidth="1"/>
    <col min="2" max="2" width="8.703125" style="1" bestFit="1" customWidth="1"/>
    <col min="3" max="3" width="26.5859375" style="1" bestFit="1" customWidth="1"/>
    <col min="4" max="4" width="19" style="1" customWidth="1"/>
    <col min="5" max="5" width="13" style="7" customWidth="1"/>
    <col min="6" max="6" width="2.703125" style="1" customWidth="1"/>
    <col min="7" max="7" width="12.1171875" style="1" hidden="1" customWidth="1"/>
    <col min="8" max="11" width="0" style="1" hidden="1" customWidth="1"/>
    <col min="12" max="16384" width="11.41015625" style="1" hidden="1"/>
  </cols>
  <sheetData>
    <row r="1" spans="1:6" ht="13" thickBot="1" x14ac:dyDescent="0.45">
      <c r="A1" s="9"/>
      <c r="B1" s="9"/>
      <c r="C1" s="9"/>
      <c r="D1" s="9"/>
      <c r="E1" s="11"/>
      <c r="F1" s="9"/>
    </row>
    <row r="2" spans="1:6" ht="15.7" thickBot="1" x14ac:dyDescent="0.45">
      <c r="A2" s="9"/>
      <c r="B2" s="171" t="s">
        <v>42</v>
      </c>
      <c r="C2" s="172"/>
      <c r="D2" s="172"/>
      <c r="E2" s="173"/>
      <c r="F2" s="12"/>
    </row>
    <row r="3" spans="1:6" ht="13" thickBot="1" x14ac:dyDescent="0.45">
      <c r="A3" s="9"/>
      <c r="B3" s="9"/>
      <c r="C3" s="9"/>
      <c r="D3" s="9"/>
      <c r="E3" s="11"/>
      <c r="F3" s="9"/>
    </row>
    <row r="4" spans="1:6" s="2" customFormat="1" ht="51" thickBot="1" x14ac:dyDescent="0.45">
      <c r="A4" s="13"/>
      <c r="B4" s="14" t="s">
        <v>0</v>
      </c>
      <c r="C4" s="15" t="s">
        <v>1</v>
      </c>
      <c r="D4" s="15" t="s">
        <v>29</v>
      </c>
      <c r="E4" s="16" t="s">
        <v>43</v>
      </c>
      <c r="F4" s="13"/>
    </row>
    <row r="5" spans="1:6" ht="20.100000000000001" customHeight="1" x14ac:dyDescent="0.4">
      <c r="A5" s="9"/>
      <c r="B5" s="17">
        <v>1458</v>
      </c>
      <c r="C5" s="18" t="s">
        <v>44</v>
      </c>
      <c r="D5" s="19" t="s">
        <v>45</v>
      </c>
      <c r="E5" s="20">
        <v>100</v>
      </c>
      <c r="F5" s="9"/>
    </row>
    <row r="6" spans="1:6" ht="20.100000000000001" customHeight="1" x14ac:dyDescent="0.4">
      <c r="A6" s="9"/>
      <c r="B6" s="21">
        <v>1114</v>
      </c>
      <c r="C6" s="22" t="s">
        <v>46</v>
      </c>
      <c r="D6" s="23" t="s">
        <v>47</v>
      </c>
      <c r="E6" s="24">
        <v>10</v>
      </c>
      <c r="F6" s="9"/>
    </row>
    <row r="7" spans="1:6" ht="20.100000000000001" customHeight="1" x14ac:dyDescent="0.4">
      <c r="A7" s="9"/>
      <c r="B7" s="21">
        <v>1115</v>
      </c>
      <c r="C7" s="22" t="s">
        <v>48</v>
      </c>
      <c r="D7" s="23" t="s">
        <v>45</v>
      </c>
      <c r="E7" s="24">
        <v>100</v>
      </c>
      <c r="F7" s="9"/>
    </row>
    <row r="8" spans="1:6" ht="20.100000000000001" customHeight="1" x14ac:dyDescent="0.4">
      <c r="A8" s="9"/>
      <c r="B8" s="21">
        <v>1116</v>
      </c>
      <c r="C8" s="22" t="s">
        <v>49</v>
      </c>
      <c r="D8" s="23" t="s">
        <v>50</v>
      </c>
      <c r="E8" s="24">
        <v>100</v>
      </c>
      <c r="F8" s="9"/>
    </row>
    <row r="9" spans="1:6" ht="20.100000000000001" customHeight="1" x14ac:dyDescent="0.4">
      <c r="A9" s="9"/>
      <c r="B9" s="21">
        <v>1117</v>
      </c>
      <c r="C9" s="22" t="s">
        <v>51</v>
      </c>
      <c r="D9" s="23" t="s">
        <v>50</v>
      </c>
      <c r="E9" s="24">
        <v>100</v>
      </c>
      <c r="F9" s="9"/>
    </row>
    <row r="10" spans="1:6" ht="20.100000000000001" customHeight="1" x14ac:dyDescent="0.4">
      <c r="A10" s="9"/>
      <c r="B10" s="21">
        <v>1118</v>
      </c>
      <c r="C10" s="22" t="s">
        <v>52</v>
      </c>
      <c r="D10" s="23" t="s">
        <v>50</v>
      </c>
      <c r="E10" s="24">
        <v>1000</v>
      </c>
      <c r="F10" s="9"/>
    </row>
    <row r="11" spans="1:6" ht="20.100000000000001" customHeight="1" x14ac:dyDescent="0.4">
      <c r="A11" s="9"/>
      <c r="B11" s="21">
        <v>6616</v>
      </c>
      <c r="C11" s="22" t="s">
        <v>53</v>
      </c>
      <c r="D11" s="23" t="s">
        <v>47</v>
      </c>
      <c r="E11" s="24">
        <v>10</v>
      </c>
      <c r="F11" s="9"/>
    </row>
    <row r="12" spans="1:6" ht="20.100000000000001" customHeight="1" x14ac:dyDescent="0.4">
      <c r="A12" s="9"/>
      <c r="B12" s="21">
        <v>1497</v>
      </c>
      <c r="C12" s="22" t="s">
        <v>54</v>
      </c>
      <c r="D12" s="23" t="s">
        <v>47</v>
      </c>
      <c r="E12" s="24">
        <v>10</v>
      </c>
      <c r="F12" s="9"/>
    </row>
    <row r="13" spans="1:6" ht="20.100000000000001" customHeight="1" x14ac:dyDescent="0.4">
      <c r="A13" s="9"/>
      <c r="B13" s="21">
        <v>1191</v>
      </c>
      <c r="C13" s="22" t="s">
        <v>55</v>
      </c>
      <c r="D13" s="23" t="s">
        <v>45</v>
      </c>
      <c r="E13" s="24">
        <v>100</v>
      </c>
      <c r="F13" s="9"/>
    </row>
    <row r="14" spans="1:6" ht="20.100000000000001" customHeight="1" x14ac:dyDescent="0.4">
      <c r="A14" s="9"/>
      <c r="B14" s="25">
        <v>1204</v>
      </c>
      <c r="C14" s="26" t="s">
        <v>56</v>
      </c>
      <c r="D14" s="23" t="s">
        <v>50</v>
      </c>
      <c r="E14" s="24">
        <v>1000</v>
      </c>
      <c r="F14" s="9"/>
    </row>
    <row r="15" spans="1:6" ht="20.100000000000001" customHeight="1" x14ac:dyDescent="0.4">
      <c r="A15" s="9"/>
      <c r="B15" s="25">
        <v>1517</v>
      </c>
      <c r="C15" s="26" t="s">
        <v>57</v>
      </c>
      <c r="D15" s="23" t="s">
        <v>58</v>
      </c>
      <c r="E15" s="24">
        <v>10</v>
      </c>
      <c r="F15" s="9"/>
    </row>
    <row r="16" spans="1:6" ht="20.100000000000001" customHeight="1" x14ac:dyDescent="0.4">
      <c r="A16" s="9"/>
      <c r="B16" s="25">
        <v>6598</v>
      </c>
      <c r="C16" s="26" t="s">
        <v>59</v>
      </c>
      <c r="D16" s="23" t="s">
        <v>60</v>
      </c>
      <c r="E16" s="24">
        <v>50</v>
      </c>
      <c r="F16" s="9"/>
    </row>
    <row r="17" spans="1:6" s="6" customFormat="1" ht="20.100000000000001" customHeight="1" x14ac:dyDescent="0.4">
      <c r="A17" s="27"/>
      <c r="B17" s="25">
        <v>6600</v>
      </c>
      <c r="C17" s="26" t="s">
        <v>61</v>
      </c>
      <c r="D17" s="23" t="s">
        <v>60</v>
      </c>
      <c r="E17" s="24">
        <v>100</v>
      </c>
      <c r="F17" s="27"/>
    </row>
    <row r="18" spans="1:6" ht="20.100000000000001" customHeight="1" x14ac:dyDescent="0.4">
      <c r="A18" s="9"/>
      <c r="B18" s="25">
        <v>1278</v>
      </c>
      <c r="C18" s="26" t="s">
        <v>62</v>
      </c>
      <c r="D18" s="23" t="s">
        <v>63</v>
      </c>
      <c r="E18" s="24">
        <v>10</v>
      </c>
      <c r="F18" s="9"/>
    </row>
    <row r="19" spans="1:6" ht="20.100000000000001" customHeight="1" x14ac:dyDescent="0.4">
      <c r="A19" s="9"/>
      <c r="B19" s="25">
        <v>2879</v>
      </c>
      <c r="C19" s="26" t="s">
        <v>64</v>
      </c>
      <c r="D19" s="23" t="s">
        <v>65</v>
      </c>
      <c r="E19" s="24">
        <v>1000</v>
      </c>
      <c r="F19" s="9"/>
    </row>
    <row r="20" spans="1:6" ht="20.100000000000001" customHeight="1" thickBot="1" x14ac:dyDescent="0.45">
      <c r="A20" s="9"/>
      <c r="B20" s="28">
        <v>1780</v>
      </c>
      <c r="C20" s="29" t="s">
        <v>66</v>
      </c>
      <c r="D20" s="30" t="s">
        <v>67</v>
      </c>
      <c r="E20" s="31">
        <v>10</v>
      </c>
      <c r="F20" s="9"/>
    </row>
    <row r="21" spans="1:6" ht="12.7" x14ac:dyDescent="0.4">
      <c r="A21" s="9"/>
      <c r="B21" s="9"/>
      <c r="C21" s="32"/>
      <c r="D21" s="33"/>
      <c r="E21" s="34"/>
      <c r="F21" s="9"/>
    </row>
  </sheetData>
  <sheetProtection algorithmName="SHA-512" hashValue="td8wN30mSYRWu68SIYcnfdsAk9EQQuaGdVZDwFc6A+7b+qRG61fZRsb8x7NdEViRu+ic3l+SQ/Fe1k4b/kU7Dw==" saltValue="5H22qEbW9lCx00y8/S02cQ==" spinCount="100000" sheet="1" objects="1" scenarios="1" formatRows="0"/>
  <mergeCells count="1">
    <mergeCell ref="B2:E2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ED2B215C6A64A8EEA6A4A280DADE5" ma:contentTypeVersion="11" ma:contentTypeDescription="Create a new document." ma:contentTypeScope="" ma:versionID="3888bf875947002d9437d5c56d07b5d3">
  <xsd:schema xmlns:xsd="http://www.w3.org/2001/XMLSchema" xmlns:xs="http://www.w3.org/2001/XMLSchema" xmlns:p="http://schemas.microsoft.com/office/2006/metadata/properties" xmlns:ns2="81251141-7599-4081-9962-8622873f55aa" xmlns:ns3="afd5fb63-b61f-423b-93e7-958e038eacd2" targetNamespace="http://schemas.microsoft.com/office/2006/metadata/properties" ma:root="true" ma:fieldsID="047a8574d06dd2c3496ab08796c0e7b5" ns2:_="" ns3:_="">
    <xsd:import namespace="81251141-7599-4081-9962-8622873f55aa"/>
    <xsd:import namespace="afd5fb63-b61f-423b-93e7-958e038ea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51141-7599-4081-9962-8622873f5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5fb63-b61f-423b-93e7-958e038eacd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702087-7E88-4AF3-B693-D27B95F899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814875-A1EC-46C5-A2DA-1FD958EE2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51141-7599-4081-9962-8622873f55aa"/>
    <ds:schemaRef ds:uri="afd5fb63-b61f-423b-93e7-958e038ea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52DDF1-DB9E-4C0C-9E16-F265EDFF44E6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81251141-7599-4081-9962-8622873f55aa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fd5fb63-b61f-423b-93e7-958e038eacd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Comparatif</vt:lpstr>
      <vt:lpstr>SeuilsComparaison-EMT</vt:lpstr>
      <vt:lpstr>LimitequantificationSDE</vt:lpstr>
    </vt:vector>
  </TitlesOfParts>
  <Manager/>
  <Company>Agence de l'eau Loire-Bretagne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Dhuygelaere</dc:creator>
  <cp:keywords/>
  <dc:description/>
  <cp:lastModifiedBy>Nicolas Dhuygelaere</cp:lastModifiedBy>
  <cp:revision/>
  <dcterms:created xsi:type="dcterms:W3CDTF">2022-12-06T13:32:43Z</dcterms:created>
  <dcterms:modified xsi:type="dcterms:W3CDTF">2026-08-03T13:02:19Z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0x010100B79ED2B215C6A64A8EEA6A4A280DADE5</vt:lpwstr>
  </property>
</Properties>
</file>