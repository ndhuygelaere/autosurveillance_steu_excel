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CB390021-59C5-4E7B-983C-1F37172085FA}"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AnalysesComparatives_SCL" sheetId="24" state="hidden" r:id="rId4"/>
    <sheet name="SA_GRILLE_SCL" sheetId="19" state="hidden" r:id="rId5"/>
    <sheet name="AnalysesComparatives" sheetId="7" state="hidden" r:id="rId6"/>
    <sheet name="Controle_Pluvio_Thermo" sheetId="17" state="hidden" r:id="rId7"/>
    <sheet name="Comparatif" sheetId="137" r:id="rId8"/>
    <sheet name="LimitequantificationSDE" sheetId="9" r:id="rId9"/>
    <sheet name="SeuilsComparaison-EMT" sheetId="8" r:id="rId10"/>
  </sheets>
  <definedNames>
    <definedName name="Print_Area" localSheetId="5">AnalysesComparatives!$A$1:$V$29</definedName>
    <definedName name="Print_Area" localSheetId="3">AnalysesComparatives_SCL!$A$1:$V$34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1" i="137" l="1"/>
  <c r="C12" i="137"/>
  <c r="C13" i="137"/>
  <c r="C14" i="137"/>
  <c r="C15" i="137"/>
  <c r="C16" i="137"/>
  <c r="C17" i="137"/>
  <c r="C18" i="137"/>
  <c r="C19" i="137"/>
  <c r="C20" i="137"/>
  <c r="C21" i="137"/>
  <c r="C22" i="137"/>
  <c r="C23" i="137"/>
  <c r="C24" i="137"/>
  <c r="C25" i="137"/>
  <c r="C26" i="137"/>
  <c r="C27" i="137"/>
  <c r="C28" i="137"/>
  <c r="C29" i="137"/>
  <c r="C30" i="137"/>
  <c r="C10" i="137"/>
  <c r="C11" i="137"/>
  <c r="J11" i="137"/>
  <c r="J12" i="137"/>
  <c r="J13" i="137"/>
  <c r="J14" i="137"/>
  <c r="J15" i="137"/>
  <c r="J16" i="137"/>
  <c r="J17" i="137"/>
  <c r="J18" i="137"/>
  <c r="J19" i="137"/>
  <c r="J20" i="137"/>
  <c r="J21" i="137"/>
  <c r="J22" i="137"/>
  <c r="J23" i="137"/>
  <c r="J24" i="137"/>
  <c r="J25" i="137"/>
  <c r="J26" i="137"/>
  <c r="J27" i="137"/>
  <c r="J28" i="137"/>
  <c r="J29" i="137"/>
  <c r="J30" i="137"/>
  <c r="J31" i="137"/>
  <c r="J10" i="137"/>
  <c r="L8" i="137"/>
  <c r="S8" i="137" s="1"/>
  <c r="J8" i="137" l="1"/>
  <c r="R8" i="137" s="1"/>
  <c r="E8" i="19"/>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7" i="10" a="1"/>
  <c r="E13" i="10" a="1"/>
  <c r="E14" i="10" a="1"/>
  <c r="E13" i="10" l="1"/>
  <c r="E14" i="10"/>
  <c r="E17" i="10"/>
  <c r="D6" i="10"/>
  <c r="D5" i="10"/>
  <c r="D4" i="10"/>
  <c r="E15" i="10" a="1"/>
  <c r="E12" i="10" a="1"/>
  <c r="E16" i="10" a="1"/>
  <c r="E19" i="10" a="1"/>
  <c r="E20" i="10" a="1"/>
  <c r="E19" i="10" l="1"/>
  <c r="E12" i="10"/>
  <c r="E20" i="10"/>
  <c r="E15" i="10"/>
  <c r="E16"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I36" i="10"/>
  <c r="I51" i="10"/>
  <c r="AR37" i="3"/>
  <c r="AH19" i="3"/>
  <c r="AR19" i="3"/>
  <c r="AM19" i="3"/>
  <c r="AC19" i="3"/>
  <c r="E10" i="10" a="1"/>
  <c r="E18" i="10" a="1"/>
  <c r="E11" i="10" a="1"/>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tc={B4132B75-E79F-4C91-84CF-E3DED874F9F6}</author>
  </authors>
  <commentList>
    <comment ref="J27" authorId="0" shapeId="0" xr:uid="{00000000-0006-0000-1700-000001000000}">
      <text>
        <r>
          <rPr>
            <sz val="10"/>
            <color theme="1"/>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du retour de RMC si % ou mg/l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<sst xmlns="http://schemas.openxmlformats.org/spreadsheetml/2006/main" count="960" uniqueCount="210">
  <si>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</si>
  <si>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</si>
  <si>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</si>
  <si>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</si>
  <si>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</si>
  <si>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</si>
  <si>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</si>
  <si>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</si>
  <si>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</si>
  <si>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</si>
  <si>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</si>
  <si>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</si>
  <si>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</si>
  <si>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</si>
  <si>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</si>
  <si>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</si>
  <si>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</si>
  <si>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</si>
  <si>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</si>
  <si>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</si>
  <si>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</si>
  <si>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</si>
  <si>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</si>
  <si>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</si>
  <si>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</si>
  <si>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</si>
  <si>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</si>
  <si>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</si>
  <si>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</si>
  <si>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</si>
  <si>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</si>
  <si>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</si>
  <si>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</si>
  <si>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</si>
  <si>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</si>
  <si>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</si>
  <si>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</si>
  <si>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</si>
  <si>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</si>
  <si>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</si>
  <si>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</si>
  <si>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</si>
  <si>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</si>
  <si>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</si>
  <si>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</si>
  <si>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</si>
  <si>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</si>
  <si>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</si>
  <si>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</si>
  <si>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</si>
  <si>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</si>
  <si>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</si>
  <si>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</si>
  <si>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</si>
  <si>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</si>
  <si>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</si>
  <si>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</si>
  <si>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</si>
  <si>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</si>
  <si>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</si>
  <si>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</si>
  <si>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</si>
  <si>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</si>
  <si>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</si>
  <si>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</si>
  <si>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</si>
  <si>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</si>
  <si>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</si>
  <si>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</si>
  <si>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</si>
  <si>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</si>
  <si>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</si>
  <si>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</si>
  <si>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</si>
  <si>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Paramètres</t>
  </si>
  <si>
    <t>Nb conformes</t>
  </si>
  <si>
    <t>LQ
en mg/l</t>
  </si>
  <si>
    <t>COFRAC</t>
  </si>
  <si>
    <t>Ecart (%)</t>
  </si>
  <si>
    <t>Conformité</t>
  </si>
  <si>
    <t>DBO5</t>
  </si>
  <si>
    <t>DCO</t>
  </si>
  <si>
    <t>ST DCO</t>
  </si>
  <si>
    <t>COT</t>
  </si>
  <si>
    <t>MEST</t>
  </si>
  <si>
    <t>NKJ (N)</t>
  </si>
  <si>
    <t>NH4 (NH4)</t>
  </si>
  <si>
    <t>NO2 (NO2)</t>
  </si>
  <si>
    <t>NO3 (NO3)</t>
  </si>
  <si>
    <t>NGL</t>
  </si>
  <si>
    <t>PT</t>
  </si>
  <si>
    <t>AOX</t>
  </si>
  <si>
    <t>As</t>
  </si>
  <si>
    <t>Cd</t>
  </si>
  <si>
    <t>Cr</t>
  </si>
  <si>
    <t>Cu</t>
  </si>
  <si>
    <t>Hg</t>
  </si>
  <si>
    <t>Ni</t>
  </si>
  <si>
    <t>Pb</t>
  </si>
  <si>
    <t>Zn</t>
  </si>
  <si>
    <t>MS</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</si>
  <si>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</si>
  <si>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</si>
  <si>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</si>
  <si>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</si>
  <si>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</si>
  <si>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</si>
  <si>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</si>
  <si>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</si>
  <si>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</si>
  <si>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</si>
  <si>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</si>
  <si>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</si>
  <si>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</si>
  <si>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</si>
  <si>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</si>
  <si>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</si>
  <si>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</si>
  <si>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</si>
  <si>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</si>
  <si>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</si>
  <si>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</si>
  <si>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</si>
  <si>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</si>
  <si>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</si>
  <si>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</si>
  <si>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</si>
  <si>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</si>
  <si>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</si>
  <si>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</si>
  <si>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</si>
  <si>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</si>
  <si>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</si>
  <si>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</si>
  <si>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</si>
  <si>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</si>
  <si>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</si>
  <si>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</si>
  <si>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</si>
  <si>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</si>
  <si>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</si>
  <si>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</si>
  <si>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</si>
  <si>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</si>
  <si>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Préleveur Automatique</t>
  </si>
  <si>
    <t>Vanne de prélèvement asservie</t>
  </si>
  <si>
    <t>Validé</t>
  </si>
  <si>
    <t xml:space="preserve"> COMPARATIF ANALYTIQUE : DEFINITION DES ECARTS MAXIMUM TOLERES (EMT)</t>
  </si>
  <si>
    <t>Unités</t>
  </si>
  <si>
    <t>Limites de quantification</t>
  </si>
  <si>
    <t>Seuil de comparaison</t>
  </si>
  <si>
    <t>Concentration supérieure au seuil de comparaison et   inférieure ou égale à</t>
  </si>
  <si>
    <t>Ecart Maximum Toléré</t>
  </si>
  <si>
    <t>Concentration supérieure à</t>
  </si>
  <si>
    <r>
      <t>en mg/l de O</t>
    </r>
    <r>
      <rPr>
        <vertAlign val="subscript"/>
        <sz val="10"/>
        <rFont val="Arial"/>
        <family val="2"/>
      </rPr>
      <t>2</t>
    </r>
  </si>
  <si>
    <t>en mg/l</t>
  </si>
  <si>
    <t>en mg/l de N</t>
  </si>
  <si>
    <r>
      <t>en mg/l de NH</t>
    </r>
    <r>
      <rPr>
        <vertAlign val="subscript"/>
        <sz val="10"/>
        <rFont val="Arial"/>
        <family val="2"/>
      </rPr>
      <t>4</t>
    </r>
    <r>
      <rPr>
        <vertAlign val="superscript"/>
        <sz val="10"/>
        <rFont val="Arial"/>
        <family val="2"/>
      </rPr>
      <t>+</t>
    </r>
  </si>
  <si>
    <r>
      <t>en mg/l de NO</t>
    </r>
    <r>
      <rPr>
        <vertAlign val="subscript"/>
        <sz val="10"/>
        <rFont val="Arial"/>
        <family val="2"/>
      </rPr>
      <t>2</t>
    </r>
  </si>
  <si>
    <r>
      <t>en mg/l de NO</t>
    </r>
    <r>
      <rPr>
        <vertAlign val="subscript"/>
        <sz val="10"/>
        <rFont val="Arial"/>
        <family val="2"/>
      </rPr>
      <t>3</t>
    </r>
  </si>
  <si>
    <t>en mg/l de P</t>
  </si>
  <si>
    <r>
      <t xml:space="preserve">Le cacul des écarts analytiques est effectué si l'un des deux ou les deux résultats sont au dessus du seuil de comparaison. </t>
    </r>
    <r>
      <rPr>
        <b/>
        <sz val="10"/>
        <rFont val="Arial"/>
        <family val="2"/>
      </rPr>
      <t>L'écart est calculé par rapport à la moyenne des 2 valeurs.</t>
    </r>
  </si>
  <si>
    <t xml:space="preserve"> LIMITES DE QUANTIFICATION POUR LES SDE</t>
  </si>
  <si>
    <t>Coefficient multiplicateur de la masse rejetée</t>
  </si>
  <si>
    <t>Anthracène</t>
  </si>
  <si>
    <t>0,010 µg/l</t>
  </si>
  <si>
    <t>Benzène</t>
  </si>
  <si>
    <t>1,0 µg/l</t>
  </si>
  <si>
    <t>Benzo(a)pyrène</t>
  </si>
  <si>
    <t>Benzo(b)fluoranthène</t>
  </si>
  <si>
    <t>0,005 µg/l</t>
  </si>
  <si>
    <t>Benzo(k)fluoranthène</t>
  </si>
  <si>
    <t>Benzo(ghi)pérylène</t>
  </si>
  <si>
    <t>Di(2-éthylhexyl)phtalate DEHP</t>
  </si>
  <si>
    <t>Ethylbenzène</t>
  </si>
  <si>
    <t>Fluoranthène</t>
  </si>
  <si>
    <t>Indeno(1,2,3-cd)pyrène</t>
  </si>
  <si>
    <t>Naphtalène</t>
  </si>
  <si>
    <t>0,050 µg/l</t>
  </si>
  <si>
    <t>Nonylphénols mélange</t>
  </si>
  <si>
    <t>0,5 µg/l</t>
  </si>
  <si>
    <t>p-Octylphénol mélange</t>
  </si>
  <si>
    <t>Toluène</t>
  </si>
  <si>
    <t>1 µg/l</t>
  </si>
  <si>
    <t>Tributylétain cation</t>
  </si>
  <si>
    <t>0,02 µg/l</t>
  </si>
  <si>
    <t>Xylènes</t>
  </si>
  <si>
    <t>2 µg/l</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</si>
  <si>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</si>
  <si>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</si>
  <si>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</si>
  <si>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</si>
  <si>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</si>
  <si>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</si>
  <si>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r>
      <t xml:space="preserve">Note forcée à </t>
    </r>
    <r>
      <rPr>
        <b/>
        <sz val="9"/>
        <rFont val="Arial"/>
        <family val="2"/>
      </rPr>
      <t>10</t>
    </r>
    <r>
      <rPr>
        <sz val="9"/>
        <rFont val="Arial"/>
        <family val="2"/>
      </rPr>
      <t xml:space="preserve"> en cas de rendu </t>
    </r>
    <r>
      <rPr>
        <b/>
        <sz val="9"/>
        <rFont val="Arial"/>
        <family val="2"/>
      </rPr>
      <t>sous agrément</t>
    </r>
  </si>
  <si>
    <t>Conductivité</t>
  </si>
  <si>
    <t>Cl</t>
  </si>
  <si>
    <t>en g/l</t>
  </si>
  <si>
    <t>si S4</t>
  </si>
  <si>
    <t>COMMENTAIRES :</t>
  </si>
  <si>
    <t>Informations sur le comparatif</t>
  </si>
  <si>
    <t>Préleveur :</t>
  </si>
  <si>
    <t>Date du comparatif :</t>
  </si>
  <si>
    <t>Nom de la station :</t>
  </si>
  <si>
    <t>Code de la station :</t>
  </si>
  <si>
    <t>Résultats du comparatif</t>
  </si>
  <si>
    <t>Laboratoire du MO/exploitant</t>
  </si>
  <si>
    <t>Laboratoire de contrôle</t>
  </si>
  <si>
    <t>NB analyses</t>
  </si>
  <si>
    <t>Le comparatif est-il effectué à partir des prélévements d'une autre station ? 
(si oui, précisez la station)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</si>
</sst>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7" x14ac:knownFonts="1">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z val="10"/>
      <color indexed="9"/>
      <name val="Arial"/>
      <family val="2"/>
    </font>
    <font>
      <vertAlign val="subscript"/>
      <sz val="10"/>
      <name val="Arial"/>
      <family val="2"/>
    </font>
    <font>
      <sz val="10"/>
      <color indexed="8"/>
      <name val="Arial"/>
      <family val="2"/>
    </font>
    <font>
      <vertAlign val="superscript"/>
      <sz val="10"/>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sz val="10"/>
      <color theme="1"/>
      <name val="Calibri"/>
      <family val="2"/>
      <scheme val="minor"/>
    </font>
    <font>
      <sz val="10"/>
      <name val="Calibri"/>
      <family val="2"/>
      <scheme val="minor"/>
    </font>
    <font>
      <i/>
      <sz val="12"/>
      <color theme="3"/>
      <name val="Calibri"/>
      <family val="2"/>
      <scheme val="minor"/>
    </font>
    <font>
      <b/>
      <sz val="14"/>
      <color theme="0"/>
      <name val="Calibri"/>
      <family val="2"/>
      <scheme val="minor"/>
    </font>
    <font>
      <sz val="10"/>
      <color theme="2"/>
      <name val="Calibri"/>
      <family val="2"/>
      <scheme val="minor"/>
    </font>
    <font>
      <sz val="10"/>
      <color theme="0"/>
      <name val="Calibri"/>
      <family val="2"/>
      <scheme val="minor"/>
    </font>
  </fonts>
  <fills count="2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6" tint="0.79998168889431442"/>
        <bgColor indexed="64"/>
      </patternFill>
    </fill>
    <fill>
      <patternFill patternType="solid">
        <fgColor indexed="55"/>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5"/>
        <bgColor indexed="64"/>
      </patternFill>
    </fill>
    <fill>
      <patternFill patternType="solid">
        <fgColor theme="8"/>
        <bgColor indexed="64"/>
      </patternFill>
    </fill>
  </fills>
  <borders count="16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style="medium">
        <color indexed="64"/>
      </left>
      <right/>
      <top style="hair">
        <color indexed="64"/>
      </top>
      <bottom/>
      <diagonal/>
    </border>
    <border>
      <left style="medium">
        <color indexed="64"/>
      </left>
      <right style="medium">
        <color indexed="64"/>
      </right>
      <top style="hair">
        <color indexed="64"/>
      </top>
      <bottom/>
      <diagonal/>
    </border>
    <border>
      <left style="medium">
        <color indexed="64"/>
      </left>
      <right style="hair">
        <color indexed="64"/>
      </right>
      <top style="hair">
        <color indexed="64"/>
      </top>
      <bottom/>
      <diagonal/>
    </border>
    <border>
      <left style="hair">
        <color indexed="64"/>
      </left>
      <right style="medium">
        <color indexed="64"/>
      </right>
      <top style="hair">
        <color indexed="64"/>
      </top>
      <bottom/>
      <diagonal/>
    </border>
    <border>
      <left/>
      <right style="thin">
        <color theme="0" tint="-0.34998626667073579"/>
      </right>
      <top/>
      <bottom/>
      <diagonal/>
    </border>
    <border>
      <left/>
      <right style="thick">
        <color theme="9"/>
      </right>
      <top/>
      <bottom/>
      <diagonal/>
    </border>
    <border>
      <left style="thin">
        <color indexed="64"/>
      </left>
      <right/>
      <top style="hair">
        <color indexed="64"/>
      </top>
      <bottom style="hair">
        <color indexed="64"/>
      </bottom>
      <diagonal/>
    </border>
    <border>
      <left style="thin">
        <color indexed="64"/>
      </left>
      <right/>
      <top style="hair">
        <color indexed="64"/>
      </top>
      <bottom/>
      <diagonal/>
    </border>
    <border>
      <left/>
      <right style="thin">
        <color indexed="64"/>
      </right>
      <top style="hair">
        <color indexed="64"/>
      </top>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s>
  <cellStyleXfs count="7">
    <xf numFmtId="0" fontId="0" fillId="0" borderId="0"/>
    <xf numFmtId="0" fontId="18" fillId="0" borderId="0"/>
    <xf numFmtId="9" fontId="18" fillId="0" borderId="0" applyFont="0" applyFill="0" applyBorder="0" applyAlignment="0" applyProtection="0"/>
    <xf numFmtId="0" fontId="4" fillId="0" borderId="0"/>
    <xf numFmtId="0" fontId="3" fillId="0" borderId="0"/>
    <xf numFmtId="0" fontId="2" fillId="0" borderId="0"/>
    <xf numFmtId="0" fontId="1" fillId="0" borderId="0"/>
  </cellStyleXfs>
  <cellXfs count="680">
    <xf numFmtId="0" fontId="0" fillId="0" borderId="0" xfId="0"/>
    <xf numFmtId="0" fontId="12" fillId="3" borderId="3" xfId="0" applyFont="1" applyFill="1" applyBorder="1" applyAlignment="1" applyProtection="1">
      <alignment horizontal="left" vertical="top" wrapText="1"/>
      <protection hidden="1"/>
    </xf>
    <xf numFmtId="0" fontId="12" fillId="3" borderId="1" xfId="0" applyFont="1" applyFill="1" applyBorder="1" applyAlignment="1" applyProtection="1">
      <alignment horizontal="left" vertical="top" wrapText="1"/>
      <protection hidden="1"/>
    </xf>
    <xf numFmtId="0" fontId="12" fillId="3" borderId="2" xfId="0" applyFont="1" applyFill="1" applyBorder="1" applyAlignment="1" applyProtection="1">
      <alignment horizontal="left" vertical="top" wrapText="1"/>
      <protection hidden="1"/>
    </xf>
    <xf numFmtId="0" fontId="12" fillId="3" borderId="21" xfId="0" applyFont="1" applyFill="1" applyBorder="1" applyAlignment="1" applyProtection="1">
      <alignment horizontal="left" vertical="top" wrapText="1"/>
      <protection hidden="1"/>
    </xf>
    <xf numFmtId="0" fontId="18" fillId="0" borderId="0" xfId="1" applyAlignment="1">
      <alignment vertical="center"/>
    </xf>
    <xf numFmtId="0" fontId="18" fillId="2" borderId="0" xfId="1" applyFill="1" applyAlignment="1" applyProtection="1">
      <alignment vertical="center"/>
      <protection hidden="1"/>
    </xf>
    <xf numFmtId="0" fontId="18" fillId="0" borderId="0" xfId="1" applyAlignment="1" applyProtection="1">
      <alignment vertical="center"/>
      <protection hidden="1"/>
    </xf>
    <xf numFmtId="0" fontId="18" fillId="0" borderId="0" xfId="1" applyAlignment="1" applyProtection="1">
      <alignment vertical="center" wrapText="1"/>
      <protection hidden="1"/>
    </xf>
    <xf numFmtId="0" fontId="18" fillId="7" borderId="70" xfId="1" applyFill="1" applyBorder="1" applyAlignment="1" applyProtection="1">
      <alignment vertical="center"/>
      <protection hidden="1"/>
    </xf>
    <xf numFmtId="0" fontId="18" fillId="7" borderId="71" xfId="1" applyFill="1" applyBorder="1" applyAlignment="1" applyProtection="1">
      <alignment vertical="center"/>
      <protection hidden="1"/>
    </xf>
    <xf numFmtId="0" fontId="18" fillId="0" borderId="0" xfId="1" applyAlignment="1" applyProtection="1">
      <alignment horizontal="center" vertical="center"/>
      <protection hidden="1"/>
    </xf>
    <xf numFmtId="0" fontId="9" fillId="0" borderId="0" xfId="1" applyFont="1" applyAlignment="1" applyProtection="1">
      <alignment vertical="center"/>
      <protection hidden="1"/>
    </xf>
    <xf numFmtId="3" fontId="18" fillId="0" borderId="0" xfId="1" applyNumberFormat="1" applyAlignment="1" applyProtection="1">
      <alignment vertical="center"/>
      <protection hidden="1"/>
    </xf>
    <xf numFmtId="0" fontId="9" fillId="0" borderId="4" xfId="1" applyFont="1" applyBorder="1" applyAlignment="1" applyProtection="1">
      <alignment horizontal="center" vertical="center"/>
      <protection locked="0"/>
    </xf>
    <xf numFmtId="0" fontId="12" fillId="3" borderId="0" xfId="0" applyFont="1" applyFill="1" applyAlignment="1" applyProtection="1">
      <alignment horizontal="left" vertical="top" wrapText="1"/>
      <protection hidden="1"/>
    </xf>
    <xf numFmtId="0" fontId="17" fillId="4" borderId="82" xfId="0" applyFont="1" applyFill="1" applyBorder="1" applyAlignment="1" applyProtection="1">
      <alignment horizontal="center" vertical="center"/>
      <protection locked="0"/>
    </xf>
    <xf numFmtId="0" fontId="12" fillId="3" borderId="76" xfId="0" applyFont="1" applyFill="1" applyBorder="1" applyAlignment="1" applyProtection="1">
      <alignment horizontal="left" vertical="top" wrapText="1"/>
      <protection hidden="1"/>
    </xf>
    <xf numFmtId="0" fontId="55" fillId="3" borderId="0" xfId="0" applyFont="1" applyFill="1" applyAlignment="1">
      <alignment horizontal="center" vertical="center" wrapText="1"/>
    </xf>
    <xf numFmtId="0" fontId="57" fillId="3" borderId="0" xfId="0" applyFont="1" applyFill="1" applyAlignment="1">
      <alignment horizontal="center" vertical="center" wrapText="1"/>
    </xf>
    <xf numFmtId="0" fontId="58" fillId="3" borderId="0" xfId="0" applyFont="1" applyFill="1" applyAlignment="1">
      <alignment vertical="center" wrapText="1"/>
    </xf>
    <xf numFmtId="0" fontId="58" fillId="3" borderId="0" xfId="0" applyFont="1" applyFill="1" applyAlignment="1">
      <alignment horizontal="center" vertical="center"/>
    </xf>
    <xf numFmtId="0" fontId="58" fillId="3" borderId="0" xfId="0" applyFont="1" applyFill="1" applyAlignment="1">
      <alignment vertical="center"/>
    </xf>
    <xf numFmtId="0" fontId="53" fillId="0" borderId="0" xfId="0" applyFont="1" applyAlignment="1">
      <alignment vertical="center" wrapText="1"/>
    </xf>
    <xf numFmtId="14" fontId="34"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62" fillId="3" borderId="51" xfId="0" applyFont="1" applyFill="1" applyBorder="1" applyAlignment="1">
      <alignment vertical="center" wrapText="1"/>
    </xf>
    <xf numFmtId="0" fontId="62" fillId="3" borderId="17" xfId="0" applyFont="1" applyFill="1" applyBorder="1" applyAlignment="1">
      <alignment vertical="center" wrapText="1"/>
    </xf>
    <xf numFmtId="0" fontId="62" fillId="3" borderId="51" xfId="0" applyFont="1" applyFill="1" applyBorder="1" applyAlignment="1">
      <alignment horizontal="justify" vertical="center" wrapText="1"/>
    </xf>
    <xf numFmtId="0" fontId="62" fillId="3" borderId="80" xfId="0" applyFont="1" applyFill="1" applyBorder="1" applyAlignment="1">
      <alignment horizontal="justify" vertical="center" wrapText="1"/>
    </xf>
    <xf numFmtId="0" fontId="63" fillId="0" borderId="0" xfId="0" applyFont="1"/>
    <xf numFmtId="0" fontId="63" fillId="0" borderId="0" xfId="0" quotePrefix="1" applyFont="1"/>
    <xf numFmtId="0" fontId="12" fillId="3" borderId="21" xfId="0" applyFont="1" applyFill="1" applyBorder="1" applyAlignment="1" applyProtection="1">
      <alignment horizontal="left" vertical="center" wrapText="1"/>
      <protection hidden="1"/>
    </xf>
    <xf numFmtId="0" fontId="12" fillId="3" borderId="2" xfId="0" applyFont="1" applyFill="1" applyBorder="1" applyAlignment="1" applyProtection="1">
      <alignment horizontal="left" vertical="center" wrapText="1"/>
      <protection hidden="1"/>
    </xf>
    <xf numFmtId="0" fontId="12" fillId="3" borderId="1" xfId="0" applyFont="1" applyFill="1" applyBorder="1" applyAlignment="1" applyProtection="1">
      <alignment horizontal="left" vertical="center" wrapText="1"/>
      <protection hidden="1"/>
    </xf>
    <xf numFmtId="0" fontId="12" fillId="3" borderId="76" xfId="0" applyFont="1" applyFill="1" applyBorder="1" applyAlignment="1" applyProtection="1">
      <alignment horizontal="left" vertical="center" wrapText="1"/>
      <protection hidden="1"/>
    </xf>
    <xf numFmtId="0" fontId="12" fillId="3" borderId="3" xfId="0" applyFont="1" applyFill="1" applyBorder="1" applyAlignment="1" applyProtection="1">
      <alignment horizontal="left" vertical="center" wrapText="1"/>
      <protection hidden="1"/>
    </xf>
    <xf numFmtId="0" fontId="12" fillId="3" borderId="0" xfId="0" applyFont="1" applyFill="1" applyAlignment="1" applyProtection="1">
      <alignment horizontal="left" vertical="center" wrapText="1"/>
      <protection hidden="1"/>
    </xf>
    <xf numFmtId="0" fontId="19" fillId="3" borderId="21" xfId="0" applyFont="1" applyFill="1" applyBorder="1" applyAlignment="1" applyProtection="1">
      <alignment horizontal="left" vertical="center" wrapText="1"/>
      <protection hidden="1"/>
    </xf>
    <xf numFmtId="0" fontId="19" fillId="3" borderId="2" xfId="0" applyFont="1" applyFill="1" applyBorder="1" applyAlignment="1" applyProtection="1">
      <alignment horizontal="left" vertical="center" wrapText="1"/>
      <protection hidden="1"/>
    </xf>
    <xf numFmtId="0" fontId="19" fillId="3" borderId="0" xfId="0" applyFont="1" applyFill="1" applyAlignment="1" applyProtection="1">
      <alignment horizontal="left" vertical="center" wrapText="1"/>
      <protection hidden="1"/>
    </xf>
    <xf numFmtId="0" fontId="60" fillId="13" borderId="73" xfId="0" applyFont="1" applyFill="1" applyBorder="1" applyAlignment="1">
      <alignment horizontal="center" vertical="center" wrapText="1"/>
    </xf>
    <xf numFmtId="0" fontId="72" fillId="13" borderId="39" xfId="0" applyFont="1" applyFill="1" applyBorder="1" applyAlignment="1">
      <alignment horizontal="center" vertical="center" wrapText="1"/>
    </xf>
    <xf numFmtId="0" fontId="43" fillId="0" borderId="80" xfId="0" applyFont="1" applyBorder="1" applyAlignment="1">
      <alignment vertical="center" wrapText="1"/>
    </xf>
    <xf numFmtId="0" fontId="43" fillId="3" borderId="51" xfId="0" applyFont="1" applyFill="1" applyBorder="1" applyAlignment="1">
      <alignment horizontal="justify" vertical="center" wrapText="1"/>
    </xf>
    <xf numFmtId="0" fontId="43" fillId="3" borderId="80" xfId="0" applyFont="1" applyFill="1" applyBorder="1" applyAlignment="1">
      <alignment horizontal="justify" vertical="center" wrapText="1"/>
    </xf>
    <xf numFmtId="0" fontId="9" fillId="0" borderId="77" xfId="1" applyFont="1" applyBorder="1" applyAlignment="1" applyProtection="1">
      <alignment horizontal="center" vertical="center"/>
      <protection locked="0"/>
    </xf>
    <xf numFmtId="0" fontId="59" fillId="3" borderId="97" xfId="0" applyFont="1" applyFill="1" applyBorder="1" applyAlignment="1" applyProtection="1">
      <alignment horizontal="center" vertical="center"/>
      <protection locked="0"/>
    </xf>
    <xf numFmtId="0" fontId="58" fillId="3" borderId="52" xfId="0" applyFont="1" applyFill="1" applyBorder="1" applyAlignment="1" applyProtection="1">
      <alignment vertical="center"/>
      <protection locked="0"/>
    </xf>
    <xf numFmtId="0" fontId="58" fillId="3" borderId="41" xfId="0" applyFont="1" applyFill="1" applyBorder="1" applyAlignment="1" applyProtection="1">
      <alignment vertical="center"/>
      <protection locked="0"/>
    </xf>
    <xf numFmtId="0" fontId="58" fillId="3" borderId="97" xfId="0" applyFont="1" applyFill="1" applyBorder="1" applyAlignment="1" applyProtection="1">
      <alignment vertical="center"/>
      <protection locked="0"/>
    </xf>
    <xf numFmtId="0" fontId="57" fillId="3" borderId="19" xfId="0" applyFont="1" applyFill="1" applyBorder="1" applyAlignment="1" applyProtection="1">
      <alignment horizontal="center" vertical="center" wrapText="1"/>
      <protection locked="0"/>
    </xf>
    <xf numFmtId="0" fontId="59" fillId="3" borderId="97" xfId="0" applyFont="1" applyFill="1" applyBorder="1" applyAlignment="1" applyProtection="1">
      <alignment horizontal="left" vertical="center"/>
      <protection locked="0"/>
    </xf>
    <xf numFmtId="0" fontId="58" fillId="3" borderId="52" xfId="0" applyFont="1" applyFill="1" applyBorder="1" applyAlignment="1" applyProtection="1">
      <alignment horizontal="left" vertical="center"/>
      <protection locked="0"/>
    </xf>
    <xf numFmtId="0" fontId="58" fillId="3" borderId="41" xfId="0" applyFont="1" applyFill="1" applyBorder="1" applyAlignment="1" applyProtection="1">
      <alignment horizontal="left" vertical="center"/>
      <protection locked="0"/>
    </xf>
    <xf numFmtId="0" fontId="58" fillId="0" borderId="52" xfId="0" applyFont="1" applyBorder="1" applyAlignment="1" applyProtection="1">
      <alignment horizontal="left" vertical="center"/>
      <protection locked="0"/>
    </xf>
    <xf numFmtId="0" fontId="58" fillId="0" borderId="121" xfId="0" applyFont="1" applyBorder="1" applyAlignment="1" applyProtection="1">
      <alignment horizontal="left" vertical="center"/>
      <protection locked="0"/>
    </xf>
    <xf numFmtId="0" fontId="57" fillId="3" borderId="18" xfId="0" applyFont="1" applyFill="1" applyBorder="1" applyAlignment="1" applyProtection="1">
      <alignment horizontal="center" vertical="center" wrapText="1"/>
      <protection locked="0"/>
    </xf>
    <xf numFmtId="0" fontId="58" fillId="0" borderId="97" xfId="0" applyFont="1" applyBorder="1" applyAlignment="1" applyProtection="1">
      <alignment horizontal="left" vertical="center"/>
      <protection locked="0"/>
    </xf>
    <xf numFmtId="0" fontId="59" fillId="3" borderId="41" xfId="0" applyFont="1" applyFill="1" applyBorder="1" applyAlignment="1" applyProtection="1">
      <alignment horizontal="left" vertical="center"/>
      <protection locked="0"/>
    </xf>
    <xf numFmtId="0" fontId="58" fillId="3" borderId="97" xfId="0" applyFont="1" applyFill="1" applyBorder="1" applyAlignment="1" applyProtection="1">
      <alignment horizontal="left" vertical="center"/>
      <protection locked="0"/>
    </xf>
    <xf numFmtId="0" fontId="75" fillId="0" borderId="4" xfId="0" applyFont="1" applyBorder="1" applyAlignment="1" applyProtection="1">
      <alignment horizontal="center" vertical="center" wrapText="1"/>
      <protection locked="0"/>
    </xf>
    <xf numFmtId="164" fontId="64" fillId="3" borderId="126" xfId="0" applyNumberFormat="1" applyFont="1" applyFill="1" applyBorder="1" applyAlignment="1" applyProtection="1">
      <alignment horizontal="center" vertical="center" wrapText="1"/>
      <protection locked="0"/>
    </xf>
    <xf numFmtId="164" fontId="64" fillId="3" borderId="127" xfId="0" applyNumberFormat="1" applyFont="1" applyFill="1" applyBorder="1" applyAlignment="1" applyProtection="1">
      <alignment horizontal="center" vertical="center" wrapText="1"/>
      <protection locked="0"/>
    </xf>
    <xf numFmtId="164" fontId="57" fillId="3" borderId="128" xfId="0" applyNumberFormat="1" applyFont="1" applyFill="1" applyBorder="1" applyAlignment="1" applyProtection="1">
      <alignment horizontal="center" vertical="center" wrapText="1"/>
      <protection locked="0"/>
    </xf>
    <xf numFmtId="0" fontId="57" fillId="3" borderId="35" xfId="0" applyFont="1" applyFill="1" applyBorder="1" applyAlignment="1" applyProtection="1">
      <alignment horizontal="center" vertical="center"/>
      <protection locked="0"/>
    </xf>
    <xf numFmtId="0" fontId="76" fillId="3" borderId="35" xfId="0" applyFont="1" applyFill="1" applyBorder="1" applyAlignment="1" applyProtection="1">
      <alignment horizontal="center" vertical="center"/>
      <protection locked="0"/>
    </xf>
    <xf numFmtId="0" fontId="57" fillId="3" borderId="108" xfId="0" applyFont="1" applyFill="1" applyBorder="1" applyAlignment="1" applyProtection="1">
      <alignment horizontal="center" vertical="center"/>
      <protection locked="0"/>
    </xf>
    <xf numFmtId="0" fontId="18" fillId="2" borderId="0" xfId="1" applyFill="1" applyAlignment="1">
      <alignment vertical="center"/>
    </xf>
    <xf numFmtId="0" fontId="18" fillId="5" borderId="0" xfId="1" applyFill="1" applyAlignment="1">
      <alignment vertical="center"/>
    </xf>
    <xf numFmtId="0" fontId="31" fillId="14" borderId="0" xfId="1" applyFont="1" applyFill="1" applyAlignment="1" applyProtection="1">
      <alignment vertical="center"/>
      <protection hidden="1"/>
    </xf>
    <xf numFmtId="0" fontId="19" fillId="3" borderId="21" xfId="0" applyFont="1" applyFill="1" applyBorder="1" applyAlignment="1" applyProtection="1">
      <alignment horizontal="left" vertical="top" wrapText="1"/>
      <protection hidden="1"/>
    </xf>
    <xf numFmtId="0" fontId="19" fillId="3" borderId="2" xfId="0" applyFont="1" applyFill="1" applyBorder="1" applyAlignment="1" applyProtection="1">
      <alignment horizontal="left" vertical="top" wrapText="1"/>
      <protection hidden="1"/>
    </xf>
    <xf numFmtId="0" fontId="19" fillId="3" borderId="0" xfId="0" applyFont="1" applyFill="1" applyAlignment="1" applyProtection="1">
      <alignment horizontal="left" vertical="top" wrapText="1"/>
      <protection hidden="1"/>
    </xf>
    <xf numFmtId="0" fontId="47" fillId="4" borderId="32" xfId="0" applyFont="1" applyFill="1" applyBorder="1" applyAlignment="1" applyProtection="1">
      <alignment horizontal="center"/>
      <protection hidden="1"/>
    </xf>
    <xf numFmtId="0" fontId="17" fillId="4" borderId="12" xfId="0" applyFont="1" applyFill="1" applyBorder="1" applyAlignment="1" applyProtection="1">
      <alignment horizontal="center" vertical="center"/>
      <protection hidden="1"/>
    </xf>
    <xf numFmtId="0" fontId="13" fillId="4" borderId="15" xfId="0" applyFont="1" applyFill="1" applyBorder="1" applyAlignment="1" applyProtection="1">
      <alignment horizontal="center" vertical="center"/>
      <protection hidden="1"/>
    </xf>
    <xf numFmtId="0" fontId="48" fillId="4" borderId="35" xfId="0" applyFont="1" applyFill="1" applyBorder="1" applyAlignment="1" applyProtection="1">
      <alignment horizontal="center"/>
      <protection hidden="1"/>
    </xf>
    <xf numFmtId="0" fontId="17" fillId="4" borderId="19" xfId="0" applyFont="1" applyFill="1" applyBorder="1" applyAlignment="1" applyProtection="1">
      <alignment horizontal="center" vertical="center"/>
      <protection hidden="1"/>
    </xf>
    <xf numFmtId="0" fontId="13" fillId="4" borderId="19"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4" fillId="3" borderId="36" xfId="0" applyFont="1" applyFill="1" applyBorder="1" applyAlignment="1" applyProtection="1">
      <alignment horizontal="center" vertical="center"/>
      <protection hidden="1"/>
    </xf>
    <xf numFmtId="0" fontId="15" fillId="14" borderId="58" xfId="0" applyFont="1" applyFill="1" applyBorder="1" applyAlignment="1" applyProtection="1">
      <alignment horizontal="center" vertical="center" textRotation="90" wrapText="1"/>
      <protection hidden="1"/>
    </xf>
    <xf numFmtId="0" fontId="15" fillId="14" borderId="59" xfId="0" applyFont="1" applyFill="1" applyBorder="1" applyAlignment="1" applyProtection="1">
      <alignment horizontal="center" vertical="center" textRotation="90" wrapText="1"/>
      <protection hidden="1"/>
    </xf>
    <xf numFmtId="0" fontId="15" fillId="14" borderId="7" xfId="0" applyFont="1" applyFill="1" applyBorder="1" applyAlignment="1" applyProtection="1">
      <alignment horizontal="center" vertical="center" textRotation="90" wrapText="1"/>
      <protection hidden="1"/>
    </xf>
    <xf numFmtId="0" fontId="11" fillId="14" borderId="28" xfId="0" applyFont="1" applyFill="1" applyBorder="1" applyAlignment="1" applyProtection="1">
      <alignment horizontal="center" vertical="center" wrapText="1"/>
      <protection hidden="1"/>
    </xf>
    <xf numFmtId="0" fontId="11" fillId="14" borderId="28" xfId="0" applyFont="1" applyFill="1" applyBorder="1" applyAlignment="1" applyProtection="1">
      <alignment vertical="center" wrapText="1"/>
      <protection hidden="1"/>
    </xf>
    <xf numFmtId="0" fontId="18" fillId="4" borderId="12" xfId="0" applyFont="1" applyFill="1" applyBorder="1" applyAlignment="1" applyProtection="1">
      <alignment horizontal="center" vertical="center" wrapText="1"/>
      <protection hidden="1"/>
    </xf>
    <xf numFmtId="0" fontId="18" fillId="4" borderId="19" xfId="0" applyFont="1" applyFill="1" applyBorder="1" applyAlignment="1" applyProtection="1">
      <alignment horizontal="center" vertical="center" wrapText="1"/>
      <protection hidden="1"/>
    </xf>
    <xf numFmtId="164" fontId="9" fillId="3" borderId="12" xfId="0" applyNumberFormat="1" applyFont="1" applyFill="1" applyBorder="1" applyAlignment="1" applyProtection="1">
      <alignment horizontal="center" vertical="center" wrapText="1"/>
      <protection locked="0" hidden="1"/>
    </xf>
    <xf numFmtId="164" fontId="9" fillId="3" borderId="106" xfId="0" applyNumberFormat="1" applyFont="1" applyFill="1" applyBorder="1" applyAlignment="1" applyProtection="1">
      <alignment horizontal="center" vertical="center" wrapText="1"/>
      <protection locked="0" hidden="1"/>
    </xf>
    <xf numFmtId="0" fontId="46" fillId="0" borderId="0" xfId="0" applyFont="1" applyProtection="1">
      <protection hidden="1"/>
    </xf>
    <xf numFmtId="0" fontId="0" fillId="0" borderId="0" xfId="0" applyAlignment="1" applyProtection="1">
      <alignment horizontal="center" vertical="center"/>
      <protection hidden="1"/>
    </xf>
    <xf numFmtId="0" fontId="66" fillId="0" borderId="0" xfId="0" applyFont="1" applyProtection="1">
      <protection hidden="1"/>
    </xf>
    <xf numFmtId="0" fontId="22" fillId="0" borderId="45" xfId="0" applyFont="1" applyBorder="1" applyAlignment="1" applyProtection="1">
      <alignment horizontal="right" vertical="center"/>
      <protection hidden="1"/>
    </xf>
    <xf numFmtId="0" fontId="22" fillId="0" borderId="0" xfId="0" applyFont="1" applyAlignment="1" applyProtection="1">
      <alignment horizontal="center" vertical="center"/>
      <protection hidden="1"/>
    </xf>
    <xf numFmtId="0" fontId="0" fillId="0" borderId="54" xfId="0" applyBorder="1" applyProtection="1">
      <protection hidden="1"/>
    </xf>
    <xf numFmtId="0" fontId="0" fillId="0" borderId="46" xfId="0" applyBorder="1" applyProtection="1">
      <protection hidden="1"/>
    </xf>
    <xf numFmtId="0" fontId="22" fillId="0" borderId="21" xfId="0" applyFont="1" applyBorder="1" applyAlignment="1" applyProtection="1">
      <alignment horizontal="center" vertical="center"/>
      <protection hidden="1"/>
    </xf>
    <xf numFmtId="0" fontId="22" fillId="0" borderId="54" xfId="0" applyFont="1" applyBorder="1" applyAlignment="1" applyProtection="1">
      <alignment horizontal="center" vertical="center"/>
      <protection hidden="1"/>
    </xf>
    <xf numFmtId="0" fontId="19" fillId="0" borderId="2" xfId="0" applyFont="1" applyBorder="1" applyAlignment="1" applyProtection="1">
      <alignment wrapText="1"/>
      <protection hidden="1"/>
    </xf>
    <xf numFmtId="0" fontId="19" fillId="0" borderId="0" xfId="0" applyFont="1" applyAlignment="1" applyProtection="1">
      <alignment wrapText="1"/>
      <protection hidden="1"/>
    </xf>
    <xf numFmtId="0" fontId="19" fillId="3" borderId="2" xfId="0" applyFont="1" applyFill="1" applyBorder="1" applyAlignment="1" applyProtection="1">
      <alignment horizontal="center" vertical="center" textRotation="90"/>
      <protection hidden="1"/>
    </xf>
    <xf numFmtId="0" fontId="23" fillId="3" borderId="52" xfId="0" applyFont="1" applyFill="1" applyBorder="1" applyAlignment="1" applyProtection="1">
      <alignment horizontal="center" vertical="center"/>
      <protection hidden="1"/>
    </xf>
    <xf numFmtId="0" fontId="7" fillId="0" borderId="52" xfId="0" applyFont="1" applyBorder="1" applyProtection="1">
      <protection hidden="1"/>
    </xf>
    <xf numFmtId="0" fontId="19" fillId="3" borderId="0" xfId="0" applyFont="1" applyFill="1" applyAlignment="1" applyProtection="1">
      <alignment horizontal="center" vertical="center" textRotation="90"/>
      <protection hidden="1"/>
    </xf>
    <xf numFmtId="0" fontId="23" fillId="0" borderId="52"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6" fillId="3" borderId="29" xfId="0" applyNumberFormat="1" applyFont="1" applyFill="1" applyBorder="1" applyAlignment="1" applyProtection="1">
      <alignment horizontal="center" vertical="center"/>
      <protection hidden="1"/>
    </xf>
    <xf numFmtId="0" fontId="18" fillId="3" borderId="0" xfId="0" applyFont="1" applyFill="1" applyProtection="1">
      <protection hidden="1"/>
    </xf>
    <xf numFmtId="0" fontId="16" fillId="0" borderId="0" xfId="0" applyFont="1" applyProtection="1">
      <protection hidden="1"/>
    </xf>
    <xf numFmtId="0" fontId="26" fillId="10" borderId="0" xfId="0" applyFont="1" applyFill="1" applyAlignment="1" applyProtection="1">
      <alignment horizontal="right"/>
      <protection hidden="1"/>
    </xf>
    <xf numFmtId="0" fontId="26" fillId="10" borderId="0" xfId="0" applyFont="1" applyFill="1" applyAlignment="1" applyProtection="1">
      <alignment horizontal="left" vertical="top"/>
      <protection hidden="1"/>
    </xf>
    <xf numFmtId="164" fontId="16" fillId="10" borderId="0" xfId="0" applyNumberFormat="1" applyFont="1" applyFill="1" applyAlignment="1" applyProtection="1">
      <alignment horizontal="center" vertical="center" wrapText="1"/>
      <protection hidden="1"/>
    </xf>
    <xf numFmtId="1" fontId="26" fillId="10" borderId="0" xfId="0" applyNumberFormat="1" applyFont="1" applyFill="1" applyAlignment="1" applyProtection="1">
      <alignment horizontal="center" vertical="center"/>
      <protection hidden="1"/>
    </xf>
    <xf numFmtId="0" fontId="0" fillId="10" borderId="0" xfId="0" applyFill="1" applyProtection="1">
      <protection hidden="1"/>
    </xf>
    <xf numFmtId="0" fontId="0" fillId="3" borderId="0" xfId="0" applyFill="1" applyProtection="1">
      <protection hidden="1"/>
    </xf>
    <xf numFmtId="0" fontId="26" fillId="0" borderId="0" xfId="0" applyFont="1" applyProtection="1">
      <protection hidden="1"/>
    </xf>
    <xf numFmtId="0" fontId="0" fillId="0" borderId="6" xfId="0" applyBorder="1" applyProtection="1">
      <protection hidden="1"/>
    </xf>
    <xf numFmtId="0" fontId="22" fillId="0" borderId="46" xfId="0" applyFont="1" applyBorder="1" applyAlignment="1" applyProtection="1">
      <alignment horizontal="center" vertical="center"/>
      <protection hidden="1"/>
    </xf>
    <xf numFmtId="0" fontId="14" fillId="12" borderId="87" xfId="0" applyFont="1" applyFill="1" applyBorder="1" applyAlignment="1" applyProtection="1">
      <alignment horizontal="center" vertical="center" wrapText="1"/>
      <protection hidden="1"/>
    </xf>
    <xf numFmtId="0" fontId="14" fillId="12" borderId="52" xfId="0" applyFont="1" applyFill="1" applyBorder="1" applyAlignment="1" applyProtection="1">
      <alignment horizontal="center" vertical="center" wrapText="1"/>
      <protection hidden="1"/>
    </xf>
    <xf numFmtId="0" fontId="14" fillId="12" borderId="2" xfId="0" applyFont="1" applyFill="1" applyBorder="1" applyAlignment="1" applyProtection="1">
      <alignment horizontal="center" vertical="center" wrapText="1"/>
      <protection hidden="1"/>
    </xf>
    <xf numFmtId="0" fontId="14" fillId="12" borderId="130" xfId="0" applyFont="1" applyFill="1" applyBorder="1" applyAlignment="1" applyProtection="1">
      <alignment horizontal="center" vertical="center" wrapText="1"/>
      <protection hidden="1"/>
    </xf>
    <xf numFmtId="0" fontId="7" fillId="3" borderId="101" xfId="0" applyFont="1" applyFill="1" applyBorder="1" applyProtection="1">
      <protection hidden="1"/>
    </xf>
    <xf numFmtId="0" fontId="7" fillId="3" borderId="54" xfId="0" applyFont="1" applyFill="1" applyBorder="1" applyProtection="1">
      <protection hidden="1"/>
    </xf>
    <xf numFmtId="0" fontId="51" fillId="4" borderId="91" xfId="0" applyFont="1" applyFill="1" applyBorder="1" applyAlignment="1" applyProtection="1">
      <alignment horizontal="center" vertical="center"/>
      <protection hidden="1"/>
    </xf>
    <xf numFmtId="0" fontId="7" fillId="3" borderId="54" xfId="0" applyFont="1" applyFill="1" applyBorder="1" applyAlignment="1" applyProtection="1">
      <alignment vertical="center"/>
      <protection hidden="1"/>
    </xf>
    <xf numFmtId="0" fontId="7" fillId="0" borderId="54" xfId="0" applyFont="1" applyBorder="1" applyAlignment="1" applyProtection="1">
      <alignment vertical="center"/>
      <protection hidden="1"/>
    </xf>
    <xf numFmtId="0" fontId="0" fillId="0" borderId="0" xfId="0" applyAlignment="1" applyProtection="1">
      <alignment vertical="top"/>
      <protection hidden="1"/>
    </xf>
    <xf numFmtId="0" fontId="51" fillId="4" borderId="90" xfId="0" applyFont="1" applyFill="1" applyBorder="1" applyAlignment="1" applyProtection="1">
      <alignment horizontal="center" vertical="center"/>
      <protection hidden="1"/>
    </xf>
    <xf numFmtId="0" fontId="23" fillId="3" borderId="46" xfId="0" applyFont="1" applyFill="1" applyBorder="1" applyAlignment="1" applyProtection="1">
      <alignment horizontal="center" vertical="center"/>
      <protection hidden="1"/>
    </xf>
    <xf numFmtId="0" fontId="20" fillId="0" borderId="37" xfId="0" applyFont="1" applyBorder="1" applyAlignment="1" applyProtection="1">
      <alignment horizontal="right" vertical="top"/>
      <protection hidden="1"/>
    </xf>
    <xf numFmtId="0" fontId="20" fillId="0" borderId="37" xfId="0" applyFont="1" applyBorder="1" applyAlignment="1" applyProtection="1">
      <alignment horizontal="center" vertical="top"/>
      <protection hidden="1"/>
    </xf>
    <xf numFmtId="0" fontId="23" fillId="0" borderId="46"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8" fillId="0" borderId="28" xfId="0" applyFont="1" applyBorder="1" applyProtection="1">
      <protection hidden="1"/>
    </xf>
    <xf numFmtId="0" fontId="17" fillId="0" borderId="27" xfId="0" applyFont="1" applyBorder="1" applyAlignment="1" applyProtection="1">
      <alignment horizontal="right"/>
      <protection hidden="1"/>
    </xf>
    <xf numFmtId="0" fontId="17" fillId="0" borderId="27" xfId="0" applyFont="1" applyBorder="1" applyProtection="1">
      <protection hidden="1"/>
    </xf>
    <xf numFmtId="0" fontId="18" fillId="0" borderId="0" xfId="0" applyFont="1" applyProtection="1">
      <protection hidden="1"/>
    </xf>
    <xf numFmtId="0" fontId="0" fillId="0" borderId="0" xfId="0" applyAlignment="1" applyProtection="1">
      <alignment horizontal="right"/>
      <protection hidden="1"/>
    </xf>
    <xf numFmtId="0" fontId="19" fillId="0" borderId="0" xfId="0" applyFont="1" applyProtection="1">
      <protection hidden="1"/>
    </xf>
    <xf numFmtId="164" fontId="17" fillId="3" borderId="89" xfId="0" applyNumberFormat="1" applyFont="1" applyFill="1" applyBorder="1" applyAlignment="1" applyProtection="1">
      <alignment horizontal="center" vertical="center" wrapText="1"/>
      <protection locked="0" hidden="1"/>
    </xf>
    <xf numFmtId="164" fontId="16" fillId="3" borderId="87" xfId="0" applyNumberFormat="1" applyFont="1" applyFill="1" applyBorder="1" applyAlignment="1" applyProtection="1">
      <alignment horizontal="center" vertical="center" wrapText="1"/>
      <protection locked="0" hidden="1"/>
    </xf>
    <xf numFmtId="164" fontId="16" fillId="3" borderId="88" xfId="0" applyNumberFormat="1" applyFont="1" applyFill="1" applyBorder="1" applyAlignment="1" applyProtection="1">
      <alignment horizontal="center" vertical="center" wrapText="1"/>
      <protection locked="0" hidden="1"/>
    </xf>
    <xf numFmtId="0" fontId="16" fillId="0" borderId="106" xfId="0" applyFont="1" applyBorder="1" applyProtection="1">
      <protection locked="0" hidden="1"/>
    </xf>
    <xf numFmtId="164" fontId="16" fillId="3" borderId="119" xfId="0" applyNumberFormat="1" applyFont="1" applyFill="1" applyBorder="1" applyAlignment="1" applyProtection="1">
      <alignment horizontal="center" vertical="center" wrapText="1"/>
      <protection locked="0" hidden="1"/>
    </xf>
    <xf numFmtId="0" fontId="16" fillId="0" borderId="106" xfId="0" applyFont="1" applyBorder="1" applyAlignment="1" applyProtection="1">
      <alignment horizontal="left" vertical="top"/>
      <protection locked="0" hidden="1"/>
    </xf>
    <xf numFmtId="164" fontId="17" fillId="3" borderId="87" xfId="0" applyNumberFormat="1" applyFont="1" applyFill="1" applyBorder="1" applyAlignment="1" applyProtection="1">
      <alignment horizontal="center" vertical="center" wrapText="1"/>
      <protection locked="0" hidden="1"/>
    </xf>
    <xf numFmtId="0" fontId="16" fillId="0" borderId="35" xfId="0" applyFont="1" applyBorder="1" applyProtection="1">
      <protection locked="0" hidden="1"/>
    </xf>
    <xf numFmtId="0" fontId="16" fillId="0" borderId="35" xfId="0" applyFont="1" applyBorder="1" applyAlignment="1" applyProtection="1">
      <alignment horizontal="left" vertical="top"/>
      <protection locked="0" hidden="1"/>
    </xf>
    <xf numFmtId="0" fontId="0" fillId="0" borderId="0" xfId="0" applyProtection="1">
      <protection locked="0" hidden="1"/>
    </xf>
    <xf numFmtId="0" fontId="66" fillId="0" borderId="0" xfId="0" applyFont="1" applyProtection="1">
      <protection locked="0" hidden="1"/>
    </xf>
    <xf numFmtId="164" fontId="51" fillId="3" borderId="89" xfId="0" applyNumberFormat="1" applyFont="1" applyFill="1" applyBorder="1" applyAlignment="1" applyProtection="1">
      <alignment horizontal="center" vertical="center" wrapText="1"/>
      <protection locked="0" hidden="1"/>
    </xf>
    <xf numFmtId="164" fontId="26" fillId="3" borderId="87" xfId="0" applyNumberFormat="1" applyFont="1" applyFill="1" applyBorder="1" applyAlignment="1" applyProtection="1">
      <alignment horizontal="center" vertical="center" wrapText="1"/>
      <protection locked="0" hidden="1"/>
    </xf>
    <xf numFmtId="164" fontId="26" fillId="3" borderId="88" xfId="0" applyNumberFormat="1" applyFont="1" applyFill="1" applyBorder="1" applyAlignment="1" applyProtection="1">
      <alignment horizontal="center" vertical="center" wrapText="1"/>
      <protection locked="0" hidden="1"/>
    </xf>
    <xf numFmtId="0" fontId="16" fillId="0" borderId="115" xfId="0" applyFont="1" applyBorder="1" applyAlignment="1" applyProtection="1">
      <alignment horizontal="left" vertical="top"/>
      <protection locked="0" hidden="1"/>
    </xf>
    <xf numFmtId="0" fontId="16" fillId="0" borderId="115" xfId="0" applyFont="1" applyBorder="1" applyProtection="1">
      <protection locked="0" hidden="1"/>
    </xf>
    <xf numFmtId="0" fontId="0" fillId="14" borderId="0" xfId="0" applyFill="1" applyProtection="1">
      <protection hidden="1"/>
    </xf>
    <xf numFmtId="0" fontId="14" fillId="14" borderId="87" xfId="0" applyFont="1" applyFill="1" applyBorder="1" applyAlignment="1" applyProtection="1">
      <alignment horizontal="center" vertical="center" wrapText="1"/>
      <protection hidden="1"/>
    </xf>
    <xf numFmtId="0" fontId="14" fillId="14" borderId="118" xfId="0" applyFont="1" applyFill="1" applyBorder="1" applyAlignment="1" applyProtection="1">
      <alignment horizontal="center" vertical="center" wrapText="1"/>
      <protection hidden="1"/>
    </xf>
    <xf numFmtId="0" fontId="14" fillId="14" borderId="52" xfId="0" applyFont="1" applyFill="1" applyBorder="1" applyAlignment="1" applyProtection="1">
      <alignment horizontal="center" vertical="center" wrapText="1"/>
      <protection hidden="1"/>
    </xf>
    <xf numFmtId="0" fontId="14" fillId="14" borderId="86" xfId="0" applyFont="1" applyFill="1" applyBorder="1" applyAlignment="1" applyProtection="1">
      <alignment horizontal="center" vertical="center" wrapText="1"/>
      <protection hidden="1"/>
    </xf>
    <xf numFmtId="0" fontId="14" fillId="14" borderId="117" xfId="0" applyFont="1" applyFill="1" applyBorder="1" applyAlignment="1" applyProtection="1">
      <alignment horizontal="center" vertical="center" wrapText="1"/>
      <protection hidden="1"/>
    </xf>
    <xf numFmtId="0" fontId="0" fillId="14" borderId="2" xfId="0" applyFill="1" applyBorder="1" applyAlignment="1" applyProtection="1">
      <alignment horizontal="center"/>
      <protection hidden="1"/>
    </xf>
    <xf numFmtId="0" fontId="0" fillId="14"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8" fillId="5" borderId="0" xfId="1" applyFill="1" applyAlignment="1" applyProtection="1">
      <alignment vertical="center"/>
      <protection hidden="1"/>
    </xf>
    <xf numFmtId="0" fontId="15" fillId="14" borderId="122" xfId="0" applyFont="1" applyFill="1" applyBorder="1" applyAlignment="1" applyProtection="1">
      <alignment horizontal="center" vertical="center" wrapText="1"/>
      <protection hidden="1"/>
    </xf>
    <xf numFmtId="0" fontId="36" fillId="14" borderId="0" xfId="1" applyFont="1" applyFill="1" applyAlignment="1" applyProtection="1">
      <alignment horizontal="center" vertical="center"/>
      <protection hidden="1"/>
    </xf>
    <xf numFmtId="0" fontId="15" fillId="14" borderId="79" xfId="0" applyFont="1" applyFill="1" applyBorder="1" applyAlignment="1" applyProtection="1">
      <alignment horizontal="center" vertical="center" wrapText="1"/>
      <protection hidden="1"/>
    </xf>
    <xf numFmtId="0" fontId="17" fillId="4" borderId="72" xfId="0" applyFont="1" applyFill="1" applyBorder="1" applyAlignment="1" applyProtection="1">
      <alignment horizontal="center" vertical="center"/>
      <protection locked="0" hidden="1"/>
    </xf>
    <xf numFmtId="0" fontId="17" fillId="4" borderId="81" xfId="0" applyFont="1" applyFill="1" applyBorder="1" applyAlignment="1" applyProtection="1">
      <alignment horizontal="center" vertical="center"/>
      <protection locked="0" hidden="1"/>
    </xf>
    <xf numFmtId="0" fontId="17" fillId="4" borderId="82" xfId="0" applyFont="1" applyFill="1" applyBorder="1" applyAlignment="1" applyProtection="1">
      <alignment horizontal="center" vertical="center"/>
      <protection locked="0" hidden="1"/>
    </xf>
    <xf numFmtId="0" fontId="17" fillId="4" borderId="83" xfId="0" applyFont="1" applyFill="1" applyBorder="1" applyAlignment="1" applyProtection="1">
      <alignment horizontal="center" vertical="center"/>
      <protection locked="0" hidden="1"/>
    </xf>
    <xf numFmtId="0" fontId="9" fillId="0" borderId="4" xfId="1" applyFont="1" applyBorder="1" applyAlignment="1" applyProtection="1">
      <alignment horizontal="center" vertical="center"/>
      <protection locked="0" hidden="1"/>
    </xf>
    <xf numFmtId="0" fontId="9" fillId="0" borderId="77" xfId="1" applyFont="1" applyBorder="1" applyAlignment="1" applyProtection="1">
      <alignment horizontal="center" vertical="center"/>
      <protection locked="0" hidden="1"/>
    </xf>
    <xf numFmtId="0" fontId="43" fillId="15" borderId="51" xfId="0" applyFont="1" applyFill="1" applyBorder="1" applyAlignment="1">
      <alignment vertical="center" wrapText="1"/>
    </xf>
    <xf numFmtId="0" fontId="77" fillId="15" borderId="80" xfId="0" applyFont="1" applyFill="1" applyBorder="1" applyAlignment="1">
      <alignment vertical="center" wrapText="1"/>
    </xf>
    <xf numFmtId="0" fontId="11" fillId="14" borderId="23" xfId="0" applyFont="1" applyFill="1" applyBorder="1" applyAlignment="1" applyProtection="1">
      <alignment horizontal="center" vertical="center" wrapText="1"/>
      <protection hidden="1"/>
    </xf>
    <xf numFmtId="0" fontId="0" fillId="3" borderId="52" xfId="0" applyFill="1" applyBorder="1" applyProtection="1">
      <protection hidden="1"/>
    </xf>
    <xf numFmtId="0" fontId="19" fillId="3" borderId="52" xfId="0" applyFont="1" applyFill="1" applyBorder="1" applyAlignment="1" applyProtection="1">
      <alignment horizontal="center" vertical="center"/>
      <protection hidden="1"/>
    </xf>
    <xf numFmtId="164" fontId="9" fillId="3" borderId="51" xfId="0" applyNumberFormat="1" applyFont="1" applyFill="1" applyBorder="1" applyAlignment="1" applyProtection="1">
      <alignment horizontal="center" vertical="center" wrapText="1"/>
      <protection locked="0" hidden="1"/>
    </xf>
    <xf numFmtId="1" fontId="17" fillId="4" borderId="131" xfId="0" applyNumberFormat="1" applyFont="1" applyFill="1" applyBorder="1" applyAlignment="1" applyProtection="1">
      <alignment horizontal="center" vertical="center"/>
      <protection hidden="1"/>
    </xf>
    <xf numFmtId="1" fontId="17" fillId="4" borderId="132" xfId="0" applyNumberFormat="1" applyFont="1" applyFill="1" applyBorder="1" applyAlignment="1" applyProtection="1">
      <alignment horizontal="center" vertical="center"/>
      <protection hidden="1"/>
    </xf>
    <xf numFmtId="1" fontId="17" fillId="4" borderId="133" xfId="0" applyNumberFormat="1" applyFont="1" applyFill="1" applyBorder="1" applyAlignment="1" applyProtection="1">
      <alignment horizontal="center" vertical="center"/>
      <protection hidden="1"/>
    </xf>
    <xf numFmtId="0" fontId="79" fillId="3" borderId="52" xfId="0" applyFont="1" applyFill="1" applyBorder="1" applyProtection="1">
      <protection hidden="1"/>
    </xf>
    <xf numFmtId="0" fontId="80" fillId="3" borderId="52" xfId="0" applyFont="1" applyFill="1" applyBorder="1" applyAlignment="1" applyProtection="1">
      <alignment horizontal="center" vertical="center"/>
      <protection hidden="1"/>
    </xf>
    <xf numFmtId="0" fontId="13" fillId="5" borderId="15" xfId="0" applyFont="1" applyFill="1" applyBorder="1" applyAlignment="1" applyProtection="1">
      <alignment horizontal="center" vertical="center"/>
      <protection hidden="1"/>
    </xf>
    <xf numFmtId="0" fontId="0" fillId="5" borderId="0" xfId="0" applyFill="1" applyProtection="1">
      <protection hidden="1"/>
    </xf>
    <xf numFmtId="0" fontId="14" fillId="16" borderId="87" xfId="0" applyFont="1" applyFill="1" applyBorder="1" applyAlignment="1" applyProtection="1">
      <alignment horizontal="center" vertical="center" wrapText="1"/>
      <protection hidden="1"/>
    </xf>
    <xf numFmtId="0" fontId="14" fillId="16" borderId="118" xfId="0" applyFont="1" applyFill="1" applyBorder="1" applyAlignment="1" applyProtection="1">
      <alignment horizontal="center" vertical="center" wrapText="1"/>
      <protection hidden="1"/>
    </xf>
    <xf numFmtId="0" fontId="14" fillId="16" borderId="52" xfId="0" applyFont="1" applyFill="1" applyBorder="1" applyAlignment="1" applyProtection="1">
      <alignment horizontal="center" vertical="center" wrapText="1"/>
      <protection hidden="1"/>
    </xf>
    <xf numFmtId="0" fontId="51" fillId="17" borderId="98" xfId="0" applyFont="1" applyFill="1" applyBorder="1" applyAlignment="1" applyProtection="1">
      <alignment horizontal="center" vertical="center"/>
      <protection hidden="1"/>
    </xf>
    <xf numFmtId="0" fontId="51" fillId="17" borderId="48" xfId="0" applyFont="1" applyFill="1" applyBorder="1" applyAlignment="1" applyProtection="1">
      <alignment horizontal="center" vertical="center"/>
      <protection hidden="1"/>
    </xf>
    <xf numFmtId="0" fontId="14" fillId="16" borderId="86" xfId="0" applyFont="1" applyFill="1" applyBorder="1" applyAlignment="1" applyProtection="1">
      <alignment horizontal="center" vertical="center" wrapText="1"/>
      <protection hidden="1"/>
    </xf>
    <xf numFmtId="0" fontId="14" fillId="16" borderId="117" xfId="0" applyFont="1" applyFill="1" applyBorder="1" applyAlignment="1" applyProtection="1">
      <alignment horizontal="center" vertical="center" wrapText="1"/>
      <protection hidden="1"/>
    </xf>
    <xf numFmtId="0" fontId="16" fillId="17" borderId="34" xfId="0" applyFont="1" applyFill="1" applyBorder="1" applyAlignment="1" applyProtection="1">
      <alignment horizontal="right"/>
      <protection hidden="1"/>
    </xf>
    <xf numFmtId="0" fontId="16" fillId="17" borderId="27" xfId="0" applyFont="1" applyFill="1" applyBorder="1" applyAlignment="1" applyProtection="1">
      <alignment horizontal="right"/>
      <protection hidden="1"/>
    </xf>
    <xf numFmtId="0" fontId="16" fillId="17" borderId="30" xfId="0" applyFont="1" applyFill="1" applyBorder="1" applyAlignment="1" applyProtection="1">
      <alignment horizontal="right"/>
      <protection hidden="1"/>
    </xf>
    <xf numFmtId="0" fontId="16" fillId="17" borderId="27" xfId="0" applyFont="1" applyFill="1" applyBorder="1" applyProtection="1">
      <protection hidden="1"/>
    </xf>
    <xf numFmtId="0" fontId="51" fillId="17" borderId="91" xfId="0" applyFont="1" applyFill="1" applyBorder="1" applyAlignment="1" applyProtection="1">
      <alignment horizontal="center" vertical="center"/>
      <protection hidden="1"/>
    </xf>
    <xf numFmtId="0" fontId="51" fillId="17" borderId="90" xfId="0" applyFont="1" applyFill="1" applyBorder="1" applyAlignment="1" applyProtection="1">
      <alignment horizontal="center" vertical="center"/>
      <protection hidden="1"/>
    </xf>
    <xf numFmtId="0" fontId="20" fillId="17" borderId="37" xfId="0" applyFont="1" applyFill="1" applyBorder="1" applyAlignment="1" applyProtection="1">
      <alignment horizontal="right" vertical="top"/>
      <protection hidden="1"/>
    </xf>
    <xf numFmtId="0" fontId="20" fillId="17" borderId="37" xfId="0" applyFont="1" applyFill="1" applyBorder="1" applyAlignment="1" applyProtection="1">
      <alignment horizontal="center" vertical="top"/>
      <protection hidden="1"/>
    </xf>
    <xf numFmtId="0" fontId="66" fillId="17" borderId="43" xfId="0" applyFont="1" applyFill="1" applyBorder="1" applyAlignment="1" applyProtection="1">
      <alignment vertical="center" wrapText="1"/>
      <protection hidden="1"/>
    </xf>
    <xf numFmtId="0" fontId="0" fillId="17" borderId="0" xfId="0" applyFill="1" applyProtection="1">
      <protection hidden="1"/>
    </xf>
    <xf numFmtId="0" fontId="10" fillId="17" borderId="0" xfId="0" applyFont="1" applyFill="1" applyProtection="1">
      <protection hidden="1"/>
    </xf>
    <xf numFmtId="0" fontId="21" fillId="17" borderId="0" xfId="0" applyFont="1" applyFill="1" applyAlignment="1" applyProtection="1">
      <alignment vertical="center"/>
      <protection hidden="1"/>
    </xf>
    <xf numFmtId="0" fontId="27" fillId="17" borderId="0" xfId="0" applyFont="1" applyFill="1" applyProtection="1">
      <protection hidden="1"/>
    </xf>
    <xf numFmtId="0" fontId="19" fillId="17" borderId="0" xfId="0" applyFont="1" applyFill="1" applyAlignment="1" applyProtection="1">
      <alignment wrapText="1"/>
      <protection hidden="1"/>
    </xf>
    <xf numFmtId="0" fontId="45" fillId="17" borderId="0" xfId="0" applyFont="1" applyFill="1" applyProtection="1">
      <protection hidden="1"/>
    </xf>
    <xf numFmtId="0" fontId="26" fillId="17" borderId="0" xfId="0" applyFont="1" applyFill="1" applyProtection="1">
      <protection hidden="1"/>
    </xf>
    <xf numFmtId="0" fontId="44" fillId="17" borderId="0" xfId="0" applyFont="1" applyFill="1" applyAlignment="1" applyProtection="1">
      <alignment horizontal="center" wrapText="1"/>
      <protection hidden="1"/>
    </xf>
    <xf numFmtId="1" fontId="0" fillId="17" borderId="0" xfId="0" applyNumberFormat="1" applyFill="1" applyAlignment="1" applyProtection="1">
      <alignment horizontal="center" vertical="center"/>
      <protection hidden="1"/>
    </xf>
    <xf numFmtId="0" fontId="0" fillId="17" borderId="0" xfId="0" applyFill="1" applyAlignment="1" applyProtection="1">
      <alignment horizontal="left" vertical="center"/>
      <protection hidden="1"/>
    </xf>
    <xf numFmtId="0" fontId="74" fillId="17" borderId="0" xfId="0" applyFont="1" applyFill="1" applyAlignment="1" applyProtection="1">
      <alignment horizontal="left"/>
      <protection hidden="1"/>
    </xf>
    <xf numFmtId="0" fontId="12" fillId="17" borderId="0" xfId="0" applyFont="1" applyFill="1" applyProtection="1">
      <protection hidden="1"/>
    </xf>
    <xf numFmtId="0" fontId="9" fillId="17" borderId="0" xfId="0" applyFont="1" applyFill="1" applyProtection="1">
      <protection hidden="1"/>
    </xf>
    <xf numFmtId="0" fontId="60" fillId="16" borderId="73" xfId="0" applyFont="1" applyFill="1" applyBorder="1" applyAlignment="1">
      <alignment horizontal="center" vertical="center" wrapText="1"/>
    </xf>
    <xf numFmtId="0" fontId="34" fillId="18" borderId="99" xfId="0" applyFont="1" applyFill="1" applyBorder="1" applyAlignment="1">
      <alignment horizontal="right" vertical="center" wrapText="1"/>
    </xf>
    <xf numFmtId="0" fontId="56" fillId="17" borderId="47" xfId="0" applyFont="1" applyFill="1" applyBorder="1" applyAlignment="1">
      <alignment horizontal="center" vertical="center" wrapText="1"/>
    </xf>
    <xf numFmtId="0" fontId="59" fillId="17" borderId="39" xfId="0" applyFont="1" applyFill="1" applyBorder="1" applyAlignment="1">
      <alignment horizontal="center" vertical="center"/>
    </xf>
    <xf numFmtId="0" fontId="72" fillId="16" borderId="39" xfId="0" applyFont="1" applyFill="1" applyBorder="1" applyAlignment="1">
      <alignment horizontal="center" vertical="center" wrapText="1"/>
    </xf>
    <xf numFmtId="0" fontId="56" fillId="19" borderId="30" xfId="0" applyFont="1" applyFill="1" applyBorder="1" applyAlignment="1">
      <alignment horizontal="center" vertical="center" wrapText="1"/>
    </xf>
    <xf numFmtId="0" fontId="64" fillId="17" borderId="42" xfId="0" applyFont="1" applyFill="1" applyBorder="1" applyAlignment="1">
      <alignment horizontal="center" vertical="center"/>
    </xf>
    <xf numFmtId="0" fontId="64" fillId="17" borderId="15" xfId="0" applyFont="1" applyFill="1" applyBorder="1" applyAlignment="1">
      <alignment horizontal="center" vertical="center"/>
    </xf>
    <xf numFmtId="0" fontId="18" fillId="17" borderId="0" xfId="1" applyFill="1" applyAlignment="1">
      <alignment vertical="center"/>
    </xf>
    <xf numFmtId="0" fontId="9" fillId="17" borderId="43" xfId="1" applyFont="1" applyFill="1" applyBorder="1" applyAlignment="1" applyProtection="1">
      <alignment horizontal="right" vertical="center"/>
      <protection hidden="1"/>
    </xf>
    <xf numFmtId="0" fontId="9" fillId="17" borderId="43" xfId="1" applyFont="1" applyFill="1" applyBorder="1" applyAlignment="1" applyProtection="1">
      <alignment horizontal="center" vertical="center"/>
      <protection hidden="1"/>
    </xf>
    <xf numFmtId="0" fontId="69" fillId="17" borderId="0" xfId="1" applyFont="1" applyFill="1" applyAlignment="1">
      <alignment vertical="center"/>
    </xf>
    <xf numFmtId="0" fontId="30" fillId="17" borderId="0" xfId="1" applyFont="1" applyFill="1" applyAlignment="1">
      <alignment vertical="center"/>
    </xf>
    <xf numFmtId="0" fontId="30" fillId="17" borderId="0" xfId="1" applyFont="1" applyFill="1" applyAlignment="1">
      <alignment horizontal="right" vertical="center"/>
    </xf>
    <xf numFmtId="0" fontId="30" fillId="17" borderId="0" xfId="1" applyFont="1" applyFill="1" applyAlignment="1">
      <alignment horizontal="center" vertical="center"/>
    </xf>
    <xf numFmtId="0" fontId="18" fillId="17" borderId="0" xfId="1" applyFill="1" applyAlignment="1" applyProtection="1">
      <alignment vertical="center"/>
      <protection hidden="1"/>
    </xf>
    <xf numFmtId="0" fontId="9" fillId="17" borderId="0" xfId="1" applyFont="1" applyFill="1" applyAlignment="1" applyProtection="1">
      <alignment horizontal="right" vertical="center"/>
      <protection hidden="1"/>
    </xf>
    <xf numFmtId="0" fontId="31" fillId="17" borderId="0" xfId="1" applyFont="1" applyFill="1" applyAlignment="1">
      <alignment vertical="center"/>
    </xf>
    <xf numFmtId="0" fontId="31" fillId="16" borderId="0" xfId="1" applyFont="1" applyFill="1" applyAlignment="1" applyProtection="1">
      <alignment vertical="center"/>
      <protection hidden="1"/>
    </xf>
    <xf numFmtId="0" fontId="9" fillId="17" borderId="0" xfId="1" applyFont="1" applyFill="1" applyAlignment="1">
      <alignment wrapText="1"/>
    </xf>
    <xf numFmtId="0" fontId="9" fillId="17" borderId="0" xfId="1" applyFont="1" applyFill="1" applyAlignment="1">
      <alignment vertical="center" wrapText="1"/>
    </xf>
    <xf numFmtId="0" fontId="18" fillId="17" borderId="0" xfId="1" applyFill="1"/>
    <xf numFmtId="0" fontId="15" fillId="16" borderId="122" xfId="0" applyFont="1" applyFill="1" applyBorder="1" applyAlignment="1">
      <alignment horizontal="center" vertical="center" wrapText="1"/>
    </xf>
    <xf numFmtId="0" fontId="18" fillId="17" borderId="77" xfId="1" applyFill="1" applyBorder="1" applyAlignment="1" applyProtection="1">
      <alignment horizontal="center" vertical="center"/>
      <protection hidden="1"/>
    </xf>
    <xf numFmtId="0" fontId="36" fillId="16" borderId="0" xfId="1" applyFont="1" applyFill="1" applyAlignment="1">
      <alignment horizontal="center" vertical="center"/>
    </xf>
    <xf numFmtId="1" fontId="9" fillId="17" borderId="4" xfId="1" applyNumberFormat="1" applyFont="1" applyFill="1" applyBorder="1" applyAlignment="1" applyProtection="1">
      <alignment horizontal="center" vertical="center"/>
      <protection hidden="1"/>
    </xf>
    <xf numFmtId="0" fontId="18" fillId="17" borderId="4" xfId="1" applyFill="1" applyBorder="1" applyAlignment="1" applyProtection="1">
      <alignment horizontal="center" vertical="center"/>
      <protection hidden="1"/>
    </xf>
    <xf numFmtId="0" fontId="15" fillId="16" borderId="79" xfId="0" applyFont="1" applyFill="1" applyBorder="1" applyAlignment="1">
      <alignment horizontal="center" vertical="center" wrapText="1"/>
    </xf>
    <xf numFmtId="0" fontId="69" fillId="17" borderId="0" xfId="1" applyFont="1" applyFill="1" applyAlignment="1">
      <alignment horizontal="left" vertical="center"/>
    </xf>
    <xf numFmtId="1" fontId="33" fillId="17" borderId="0" xfId="1" applyNumberFormat="1" applyFont="1" applyFill="1" applyAlignment="1" applyProtection="1">
      <alignment horizontal="center" vertical="center"/>
      <protection hidden="1"/>
    </xf>
    <xf numFmtId="0" fontId="24" fillId="17" borderId="0" xfId="1" applyFont="1" applyFill="1" applyAlignment="1">
      <alignment vertical="center"/>
    </xf>
    <xf numFmtId="0" fontId="9" fillId="17" borderId="0" xfId="1" applyFont="1" applyFill="1" applyAlignment="1" applyProtection="1">
      <alignment horizontal="center" vertical="center"/>
      <protection hidden="1"/>
    </xf>
    <xf numFmtId="1" fontId="6" fillId="17" borderId="0" xfId="1" applyNumberFormat="1" applyFont="1" applyFill="1" applyAlignment="1" applyProtection="1">
      <alignment horizontal="center" vertical="center"/>
      <protection hidden="1"/>
    </xf>
    <xf numFmtId="164" fontId="9" fillId="17" borderId="0" xfId="1" quotePrefix="1" applyNumberFormat="1" applyFont="1" applyFill="1" applyAlignment="1">
      <alignment horizontal="center" vertical="center"/>
    </xf>
    <xf numFmtId="0" fontId="37" fillId="17" borderId="0" xfId="1" applyFont="1" applyFill="1" applyAlignment="1">
      <alignment vertical="center"/>
    </xf>
    <xf numFmtId="0" fontId="31" fillId="17" borderId="0" xfId="1" applyFont="1" applyFill="1" applyAlignment="1" applyProtection="1">
      <alignment vertical="center"/>
      <protection hidden="1"/>
    </xf>
    <xf numFmtId="0" fontId="5" fillId="18" borderId="8" xfId="1" applyFont="1" applyFill="1" applyBorder="1" applyAlignment="1" applyProtection="1">
      <alignment horizontal="center" vertical="center"/>
      <protection hidden="1"/>
    </xf>
    <xf numFmtId="0" fontId="30" fillId="18" borderId="0" xfId="1" applyFont="1" applyFill="1" applyAlignment="1" applyProtection="1">
      <alignment vertical="center"/>
      <protection hidden="1"/>
    </xf>
    <xf numFmtId="0" fontId="18" fillId="18" borderId="0" xfId="1" applyFill="1" applyAlignment="1" applyProtection="1">
      <alignment vertical="center"/>
      <protection hidden="1"/>
    </xf>
    <xf numFmtId="0" fontId="6" fillId="18" borderId="0" xfId="1" applyFont="1" applyFill="1" applyAlignment="1" applyProtection="1">
      <alignment horizontal="right" vertical="center"/>
      <protection hidden="1"/>
    </xf>
    <xf numFmtId="0" fontId="24" fillId="17" borderId="0" xfId="1" applyFont="1" applyFill="1" applyAlignment="1" applyProtection="1">
      <alignment vertical="center"/>
      <protection hidden="1"/>
    </xf>
    <xf numFmtId="0" fontId="30" fillId="17" borderId="0" xfId="1" applyFont="1" applyFill="1" applyAlignment="1" applyProtection="1">
      <alignment vertical="center"/>
      <protection hidden="1"/>
    </xf>
    <xf numFmtId="0" fontId="42" fillId="17" borderId="0" xfId="1" applyFont="1" applyFill="1" applyAlignment="1" applyProtection="1">
      <alignment vertical="center"/>
      <protection hidden="1"/>
    </xf>
    <xf numFmtId="0" fontId="6" fillId="17" borderId="0" xfId="1" applyFont="1" applyFill="1" applyAlignment="1" applyProtection="1">
      <alignment horizontal="right" vertical="center"/>
      <protection hidden="1"/>
    </xf>
    <xf numFmtId="9" fontId="18" fillId="17" borderId="0" xfId="2" applyFont="1" applyFill="1" applyBorder="1" applyAlignment="1" applyProtection="1">
      <alignment horizontal="center" vertical="center"/>
      <protection hidden="1"/>
    </xf>
    <xf numFmtId="0" fontId="69" fillId="17" borderId="0" xfId="1" applyFont="1" applyFill="1" applyAlignment="1" applyProtection="1">
      <alignment horizontal="left" vertical="center"/>
      <protection hidden="1"/>
    </xf>
    <xf numFmtId="0" fontId="67" fillId="17" borderId="0" xfId="1" applyFont="1" applyFill="1" applyAlignment="1" applyProtection="1">
      <alignment vertical="center"/>
      <protection hidden="1"/>
    </xf>
    <xf numFmtId="9" fontId="67" fillId="17" borderId="0" xfId="2" applyFont="1" applyFill="1" applyBorder="1" applyAlignment="1" applyProtection="1">
      <alignment horizontal="center" vertical="center"/>
      <protection hidden="1"/>
    </xf>
    <xf numFmtId="0" fontId="30" fillId="17" borderId="0" xfId="1" applyFont="1" applyFill="1" applyAlignment="1" applyProtection="1">
      <alignment horizontal="right" vertical="center"/>
      <protection hidden="1"/>
    </xf>
    <xf numFmtId="0" fontId="30" fillId="17" borderId="0" xfId="1" applyFont="1" applyFill="1" applyAlignment="1" applyProtection="1">
      <alignment horizontal="center" vertical="center"/>
      <protection hidden="1"/>
    </xf>
    <xf numFmtId="0" fontId="69" fillId="17" borderId="0" xfId="1" applyFont="1" applyFill="1" applyAlignment="1" applyProtection="1">
      <alignment vertical="center"/>
      <protection hidden="1"/>
    </xf>
    <xf numFmtId="0" fontId="9" fillId="17" borderId="0" xfId="1" applyFont="1" applyFill="1" applyAlignment="1" applyProtection="1">
      <alignment wrapText="1"/>
      <protection hidden="1"/>
    </xf>
    <xf numFmtId="0" fontId="9" fillId="17" borderId="0" xfId="1" applyFont="1" applyFill="1" applyAlignment="1" applyProtection="1">
      <alignment vertical="center" wrapText="1"/>
      <protection hidden="1"/>
    </xf>
    <xf numFmtId="0" fontId="18" fillId="17" borderId="0" xfId="1" applyFill="1" applyProtection="1">
      <protection hidden="1"/>
    </xf>
    <xf numFmtId="3" fontId="18" fillId="17" borderId="0" xfId="1" applyNumberFormat="1" applyFill="1" applyAlignment="1" applyProtection="1">
      <alignment vertical="center"/>
      <protection hidden="1"/>
    </xf>
    <xf numFmtId="0" fontId="33" fillId="17" borderId="0" xfId="1" applyFont="1" applyFill="1" applyAlignment="1" applyProtection="1">
      <alignment vertical="center"/>
      <protection hidden="1"/>
    </xf>
    <xf numFmtId="0" fontId="18" fillId="17" borderId="0" xfId="1" applyFill="1" applyAlignment="1" applyProtection="1">
      <alignment vertical="center" wrapText="1"/>
      <protection hidden="1"/>
    </xf>
    <xf numFmtId="0" fontId="38" fillId="16" borderId="58" xfId="1" applyFont="1" applyFill="1" applyBorder="1" applyAlignment="1" applyProtection="1">
      <alignment horizontal="center" vertical="center" wrapText="1"/>
      <protection hidden="1"/>
    </xf>
    <xf numFmtId="0" fontId="38" fillId="16" borderId="59" xfId="1" applyFont="1" applyFill="1" applyBorder="1" applyAlignment="1" applyProtection="1">
      <alignment horizontal="center" vertical="center" wrapText="1"/>
      <protection hidden="1"/>
    </xf>
    <xf numFmtId="3" fontId="38" fillId="16" borderId="7" xfId="1" applyNumberFormat="1" applyFont="1" applyFill="1" applyBorder="1" applyAlignment="1" applyProtection="1">
      <alignment horizontal="center" vertical="center" wrapText="1"/>
      <protection hidden="1"/>
    </xf>
    <xf numFmtId="0" fontId="18" fillId="18" borderId="14" xfId="1" applyFill="1" applyBorder="1" applyAlignment="1" applyProtection="1">
      <alignment horizontal="center" vertical="center"/>
      <protection hidden="1"/>
    </xf>
    <xf numFmtId="0" fontId="18" fillId="18" borderId="15" xfId="1" applyFill="1" applyBorder="1" applyAlignment="1" applyProtection="1">
      <alignment horizontal="center" vertical="center"/>
      <protection hidden="1"/>
    </xf>
    <xf numFmtId="0" fontId="24" fillId="18" borderId="15" xfId="1" applyFont="1" applyFill="1" applyBorder="1" applyAlignment="1" applyProtection="1">
      <alignment horizontal="center" vertical="center"/>
      <protection hidden="1"/>
    </xf>
    <xf numFmtId="3" fontId="18" fillId="18" borderId="16" xfId="1" applyNumberFormat="1" applyFill="1" applyBorder="1" applyAlignment="1" applyProtection="1">
      <alignment horizontal="center" vertical="center"/>
      <protection hidden="1"/>
    </xf>
    <xf numFmtId="0" fontId="18" fillId="18" borderId="48" xfId="1" applyFill="1" applyBorder="1" applyAlignment="1" applyProtection="1">
      <alignment horizontal="center" vertical="center"/>
      <protection hidden="1"/>
    </xf>
    <xf numFmtId="0" fontId="18" fillId="18" borderId="4" xfId="1" applyFill="1" applyBorder="1" applyAlignment="1" applyProtection="1">
      <alignment horizontal="center" vertical="center"/>
      <protection hidden="1"/>
    </xf>
    <xf numFmtId="0" fontId="24" fillId="18" borderId="4" xfId="1" applyFont="1" applyFill="1" applyBorder="1" applyAlignment="1" applyProtection="1">
      <alignment horizontal="center" vertical="center"/>
      <protection hidden="1"/>
    </xf>
    <xf numFmtId="3" fontId="18" fillId="18" borderId="47" xfId="1" applyNumberFormat="1" applyFill="1" applyBorder="1" applyAlignment="1" applyProtection="1">
      <alignment horizontal="center" vertical="center"/>
      <protection hidden="1"/>
    </xf>
    <xf numFmtId="0" fontId="18" fillId="18" borderId="48" xfId="1" applyFill="1" applyBorder="1" applyAlignment="1" applyProtection="1">
      <alignment horizontal="center" vertical="center" wrapText="1"/>
      <protection hidden="1"/>
    </xf>
    <xf numFmtId="0" fontId="18" fillId="18" borderId="4" xfId="1" applyFill="1" applyBorder="1" applyAlignment="1" applyProtection="1">
      <alignment horizontal="center" vertical="center" wrapText="1"/>
      <protection hidden="1"/>
    </xf>
    <xf numFmtId="0" fontId="9" fillId="17" borderId="0" xfId="1" applyFont="1" applyFill="1" applyAlignment="1" applyProtection="1">
      <alignment vertical="center"/>
      <protection hidden="1"/>
    </xf>
    <xf numFmtId="0" fontId="18" fillId="18" borderId="49" xfId="1" applyFill="1" applyBorder="1" applyAlignment="1" applyProtection="1">
      <alignment horizontal="center" vertical="center" wrapText="1"/>
      <protection hidden="1"/>
    </xf>
    <xf numFmtId="0" fontId="18" fillId="18" borderId="19" xfId="1" applyFill="1" applyBorder="1" applyAlignment="1" applyProtection="1">
      <alignment horizontal="center" vertical="center" wrapText="1"/>
      <protection hidden="1"/>
    </xf>
    <xf numFmtId="0" fontId="18" fillId="18" borderId="19" xfId="1" applyFill="1" applyBorder="1" applyAlignment="1" applyProtection="1">
      <alignment horizontal="center" vertical="center"/>
      <protection hidden="1"/>
    </xf>
    <xf numFmtId="3" fontId="18" fillId="18" borderId="10" xfId="1" applyNumberFormat="1" applyFill="1" applyBorder="1" applyAlignment="1" applyProtection="1">
      <alignment horizontal="center" vertical="center"/>
      <protection hidden="1"/>
    </xf>
    <xf numFmtId="0" fontId="18" fillId="17" borderId="0" xfId="1" applyFill="1" applyAlignment="1" applyProtection="1">
      <alignment horizontal="left" vertical="center"/>
      <protection hidden="1"/>
    </xf>
    <xf numFmtId="0" fontId="18" fillId="17" borderId="0" xfId="1" applyFill="1" applyAlignment="1" applyProtection="1">
      <alignment horizontal="center" vertical="center"/>
      <protection hidden="1"/>
    </xf>
    <xf numFmtId="3" fontId="18" fillId="17" borderId="0" xfId="1" applyNumberFormat="1" applyFill="1" applyAlignment="1" applyProtection="1">
      <alignment horizontal="center" vertical="center"/>
      <protection hidden="1"/>
    </xf>
    <xf numFmtId="0" fontId="38" fillId="16" borderId="5" xfId="1" applyFont="1" applyFill="1" applyBorder="1" applyAlignment="1" applyProtection="1">
      <alignment horizontal="center" vertical="center" wrapText="1"/>
      <protection hidden="1"/>
    </xf>
    <xf numFmtId="0" fontId="38" fillId="16" borderId="8" xfId="1" applyFont="1" applyFill="1" applyBorder="1" applyAlignment="1" applyProtection="1">
      <alignment horizontal="center" vertical="center" wrapText="1"/>
      <protection hidden="1"/>
    </xf>
    <xf numFmtId="0" fontId="38" fillId="16" borderId="60" xfId="1" applyFont="1" applyFill="1" applyBorder="1" applyAlignment="1" applyProtection="1">
      <alignment horizontal="center" vertical="center" wrapText="1"/>
      <protection hidden="1"/>
    </xf>
    <xf numFmtId="0" fontId="7" fillId="16" borderId="61" xfId="1" applyFont="1" applyFill="1" applyBorder="1" applyAlignment="1" applyProtection="1">
      <alignment horizontal="center" vertical="center" wrapText="1"/>
      <protection hidden="1"/>
    </xf>
    <xf numFmtId="0" fontId="18" fillId="17" borderId="45" xfId="1" applyFill="1" applyBorder="1" applyAlignment="1" applyProtection="1">
      <alignment vertical="center" wrapText="1"/>
      <protection hidden="1"/>
    </xf>
    <xf numFmtId="0" fontId="18" fillId="18" borderId="62" xfId="1" applyFill="1" applyBorder="1" applyAlignment="1" applyProtection="1">
      <alignment horizontal="center" vertical="center"/>
      <protection hidden="1"/>
    </xf>
    <xf numFmtId="0" fontId="18" fillId="18" borderId="63" xfId="1" applyFill="1" applyBorder="1" applyAlignment="1" applyProtection="1">
      <alignment horizontal="center" vertical="center"/>
      <protection hidden="1"/>
    </xf>
    <xf numFmtId="0" fontId="24" fillId="18" borderId="62" xfId="1" applyFont="1" applyFill="1" applyBorder="1" applyAlignment="1" applyProtection="1">
      <alignment horizontal="center" vertical="center"/>
      <protection hidden="1"/>
    </xf>
    <xf numFmtId="0" fontId="18" fillId="18" borderId="64" xfId="1" applyFill="1" applyBorder="1" applyAlignment="1" applyProtection="1">
      <alignment horizontal="center" vertical="center"/>
      <protection hidden="1"/>
    </xf>
    <xf numFmtId="9" fontId="18" fillId="18" borderId="65" xfId="1" applyNumberFormat="1" applyFill="1" applyBorder="1" applyAlignment="1" applyProtection="1">
      <alignment horizontal="center" vertical="center"/>
      <protection hidden="1"/>
    </xf>
    <xf numFmtId="0" fontId="18" fillId="18" borderId="66" xfId="1" applyFill="1" applyBorder="1" applyAlignment="1" applyProtection="1">
      <alignment horizontal="center" vertical="center"/>
      <protection hidden="1"/>
    </xf>
    <xf numFmtId="9" fontId="18" fillId="18" borderId="67" xfId="1" applyNumberFormat="1" applyFill="1" applyBorder="1" applyAlignment="1" applyProtection="1">
      <alignment horizontal="center" vertical="center"/>
      <protection hidden="1"/>
    </xf>
    <xf numFmtId="0" fontId="18" fillId="18" borderId="68" xfId="1" applyFill="1" applyBorder="1" applyAlignment="1" applyProtection="1">
      <alignment horizontal="center" vertical="center"/>
      <protection hidden="1"/>
    </xf>
    <xf numFmtId="0" fontId="18" fillId="18" borderId="69" xfId="1" applyFill="1" applyBorder="1" applyAlignment="1" applyProtection="1">
      <alignment horizontal="center" vertical="center"/>
      <protection hidden="1"/>
    </xf>
    <xf numFmtId="0" fontId="24" fillId="18" borderId="68" xfId="1" applyFont="1" applyFill="1" applyBorder="1" applyAlignment="1" applyProtection="1">
      <alignment horizontal="center" vertical="center"/>
      <protection hidden="1"/>
    </xf>
    <xf numFmtId="0" fontId="18" fillId="18" borderId="70" xfId="1" applyFill="1" applyBorder="1" applyAlignment="1" applyProtection="1">
      <alignment horizontal="center" vertical="center"/>
      <protection hidden="1"/>
    </xf>
    <xf numFmtId="9" fontId="18" fillId="18" borderId="71" xfId="1" applyNumberFormat="1" applyFill="1" applyBorder="1" applyAlignment="1" applyProtection="1">
      <alignment horizontal="center" vertical="center"/>
      <protection hidden="1"/>
    </xf>
    <xf numFmtId="0" fontId="40" fillId="18" borderId="69" xfId="1" applyFont="1" applyFill="1" applyBorder="1" applyAlignment="1" applyProtection="1">
      <alignment horizontal="center" vertical="center"/>
      <protection hidden="1"/>
    </xf>
    <xf numFmtId="0" fontId="18" fillId="18" borderId="69" xfId="1" applyFill="1" applyBorder="1" applyAlignment="1" applyProtection="1">
      <alignment horizontal="center" vertical="center" wrapText="1"/>
      <protection hidden="1"/>
    </xf>
    <xf numFmtId="0" fontId="18" fillId="18" borderId="134" xfId="1" applyFill="1" applyBorder="1" applyAlignment="1" applyProtection="1">
      <alignment horizontal="center" vertical="center"/>
      <protection hidden="1"/>
    </xf>
    <xf numFmtId="0" fontId="18" fillId="18" borderId="135" xfId="1" applyFill="1" applyBorder="1" applyAlignment="1" applyProtection="1">
      <alignment horizontal="center" vertical="center" wrapText="1"/>
      <protection hidden="1"/>
    </xf>
    <xf numFmtId="0" fontId="24" fillId="18" borderId="134" xfId="1" applyFont="1" applyFill="1" applyBorder="1" applyAlignment="1" applyProtection="1">
      <alignment horizontal="center" vertical="center"/>
      <protection hidden="1"/>
    </xf>
    <xf numFmtId="0" fontId="18" fillId="18" borderId="135" xfId="1" applyFill="1" applyBorder="1" applyAlignment="1" applyProtection="1">
      <alignment horizontal="center" vertical="center"/>
      <protection hidden="1"/>
    </xf>
    <xf numFmtId="0" fontId="18" fillId="18" borderId="136" xfId="1" applyFill="1" applyBorder="1" applyAlignment="1" applyProtection="1">
      <alignment horizontal="center" vertical="center"/>
      <protection hidden="1"/>
    </xf>
    <xf numFmtId="9" fontId="18" fillId="18" borderId="137" xfId="1" applyNumberFormat="1" applyFill="1" applyBorder="1" applyAlignment="1" applyProtection="1">
      <alignment horizontal="center" vertical="center"/>
      <protection hidden="1"/>
    </xf>
    <xf numFmtId="0" fontId="18" fillId="18" borderId="5" xfId="1" applyFill="1" applyBorder="1" applyAlignment="1" applyProtection="1">
      <alignment horizontal="center" vertical="center"/>
      <protection hidden="1"/>
    </xf>
    <xf numFmtId="0" fontId="18" fillId="18" borderId="8" xfId="1" applyFill="1" applyBorder="1" applyAlignment="1" applyProtection="1">
      <alignment horizontal="center" vertical="center" wrapText="1"/>
      <protection hidden="1"/>
    </xf>
    <xf numFmtId="0" fontId="18" fillId="18" borderId="8" xfId="1" applyFill="1" applyBorder="1" applyAlignment="1" applyProtection="1">
      <alignment horizontal="center" vertical="center"/>
      <protection hidden="1"/>
    </xf>
    <xf numFmtId="0" fontId="18" fillId="18" borderId="60" xfId="1" applyFill="1" applyBorder="1" applyAlignment="1" applyProtection="1">
      <alignment horizontal="center" vertical="center"/>
      <protection hidden="1"/>
    </xf>
    <xf numFmtId="9" fontId="18" fillId="18" borderId="61" xfId="1" applyNumberFormat="1" applyFill="1" applyBorder="1" applyAlignment="1" applyProtection="1">
      <alignment horizontal="center" vertical="center"/>
      <protection hidden="1"/>
    </xf>
    <xf numFmtId="0" fontId="85" fillId="20" borderId="0" xfId="0" applyFont="1" applyFill="1" applyAlignment="1">
      <alignment vertical="center"/>
    </xf>
    <xf numFmtId="0" fontId="81" fillId="20" borderId="0" xfId="0" applyFont="1" applyFill="1" applyAlignment="1">
      <alignment vertical="center"/>
    </xf>
    <xf numFmtId="0" fontId="82" fillId="20" borderId="0" xfId="0" applyFont="1" applyFill="1" applyAlignment="1">
      <alignment vertical="center"/>
    </xf>
    <xf numFmtId="0" fontId="0" fillId="0" borderId="147" xfId="0" applyBorder="1" applyAlignment="1">
      <alignment horizontal="center" vertical="center"/>
    </xf>
    <xf numFmtId="0" fontId="0" fillId="20" borderId="147" xfId="0" applyFill="1" applyBorder="1" applyAlignment="1">
      <alignment horizontal="center" vertical="center"/>
    </xf>
    <xf numFmtId="0" fontId="81" fillId="3" borderId="139" xfId="0" applyFont="1" applyFill="1" applyBorder="1" applyAlignment="1">
      <alignment vertical="center"/>
    </xf>
    <xf numFmtId="0" fontId="81" fillId="3" borderId="138" xfId="0" applyFont="1" applyFill="1" applyBorder="1" applyAlignment="1">
      <alignment vertical="center"/>
    </xf>
    <xf numFmtId="0" fontId="81" fillId="3" borderId="0" xfId="0" applyFont="1" applyFill="1" applyAlignment="1">
      <alignment vertical="center"/>
    </xf>
    <xf numFmtId="0" fontId="0" fillId="20" borderId="4" xfId="0" applyFill="1" applyBorder="1" applyAlignment="1">
      <alignment horizontal="center" vertical="center"/>
    </xf>
    <xf numFmtId="0" fontId="0" fillId="0" borderId="13" xfId="0" applyBorder="1" applyAlignment="1">
      <alignment horizontal="center" vertical="center"/>
    </xf>
    <xf numFmtId="0" fontId="0" fillId="20" borderId="146" xfId="0" applyFill="1" applyBorder="1" applyAlignment="1">
      <alignment horizontal="center" vertical="center"/>
    </xf>
    <xf numFmtId="0" fontId="0" fillId="0" borderId="146" xfId="0" applyBorder="1" applyAlignment="1">
      <alignment horizontal="center" vertical="center"/>
    </xf>
    <xf numFmtId="0" fontId="0" fillId="0" borderId="4" xfId="0" applyBorder="1" applyAlignment="1">
      <alignment horizontal="center" vertical="center"/>
    </xf>
    <xf numFmtId="0" fontId="84" fillId="3" borderId="103" xfId="0" applyFont="1" applyFill="1" applyBorder="1" applyAlignment="1">
      <alignment vertical="center"/>
    </xf>
    <xf numFmtId="0" fontId="52" fillId="17" borderId="11" xfId="0" applyFont="1" applyFill="1" applyBorder="1" applyAlignment="1">
      <alignment horizontal="center" vertical="center"/>
    </xf>
    <xf numFmtId="0" fontId="52" fillId="17" borderId="43" xfId="0" applyFont="1" applyFill="1" applyBorder="1" applyAlignment="1">
      <alignment horizontal="center" vertical="center"/>
    </xf>
    <xf numFmtId="0" fontId="52" fillId="17" borderId="44" xfId="0" applyFont="1" applyFill="1" applyBorder="1" applyAlignment="1">
      <alignment horizontal="center" vertical="center"/>
    </xf>
    <xf numFmtId="0" fontId="52" fillId="17" borderId="27" xfId="0" applyFont="1" applyFill="1" applyBorder="1" applyAlignment="1">
      <alignment horizontal="center" vertical="center"/>
    </xf>
    <xf numFmtId="0" fontId="52" fillId="17" borderId="28" xfId="0" applyFont="1" applyFill="1" applyBorder="1" applyAlignment="1">
      <alignment horizontal="center" vertical="center"/>
    </xf>
    <xf numFmtId="0" fontId="52" fillId="17" borderId="29" xfId="0" applyFont="1" applyFill="1" applyBorder="1" applyAlignment="1">
      <alignment horizontal="center" vertical="center"/>
    </xf>
    <xf numFmtId="0" fontId="14" fillId="12" borderId="51" xfId="0" applyFont="1" applyFill="1" applyBorder="1" applyAlignment="1" applyProtection="1">
      <alignment horizontal="center" vertical="center" wrapText="1"/>
      <protection hidden="1"/>
    </xf>
    <xf numFmtId="0" fontId="14" fillId="12" borderId="2" xfId="0" applyFont="1" applyFill="1" applyBorder="1" applyAlignment="1" applyProtection="1">
      <alignment horizontal="center" vertical="center" wrapText="1"/>
      <protection hidden="1"/>
    </xf>
    <xf numFmtId="0" fontId="66" fillId="0" borderId="45" xfId="0" applyFont="1" applyBorder="1" applyAlignment="1" applyProtection="1">
      <alignment horizontal="center" vertical="center"/>
      <protection locked="0" hidden="1"/>
    </xf>
    <xf numFmtId="0" fontId="66" fillId="0" borderId="0" xfId="0" applyFont="1" applyAlignment="1" applyProtection="1">
      <alignment horizontal="center" vertical="center"/>
      <protection locked="0" hidden="1"/>
    </xf>
    <xf numFmtId="0" fontId="66" fillId="0" borderId="46" xfId="0" applyFont="1" applyBorder="1" applyAlignment="1" applyProtection="1">
      <alignment horizontal="center" vertical="center"/>
      <protection locked="0" hidden="1"/>
    </xf>
    <xf numFmtId="0" fontId="6" fillId="17" borderId="80" xfId="0" applyFont="1" applyFill="1" applyBorder="1" applyAlignment="1" applyProtection="1">
      <alignment horizontal="center" vertical="center"/>
      <protection hidden="1"/>
    </xf>
    <xf numFmtId="0" fontId="6" fillId="17" borderId="2" xfId="0" applyFont="1" applyFill="1" applyBorder="1" applyAlignment="1" applyProtection="1">
      <alignment horizontal="center" vertical="center"/>
      <protection hidden="1"/>
    </xf>
    <xf numFmtId="0" fontId="6" fillId="4" borderId="80" xfId="0" applyFont="1" applyFill="1" applyBorder="1" applyAlignment="1" applyProtection="1">
      <alignment horizontal="center" vertical="center"/>
      <protection hidden="1"/>
    </xf>
    <xf numFmtId="0" fontId="6" fillId="4" borderId="2" xfId="0" applyFont="1" applyFill="1" applyBorder="1" applyAlignment="1" applyProtection="1">
      <alignment horizontal="center" vertical="center"/>
      <protection hidden="1"/>
    </xf>
    <xf numFmtId="0" fontId="14" fillId="16" borderId="51" xfId="0" applyFont="1" applyFill="1" applyBorder="1" applyAlignment="1" applyProtection="1">
      <alignment horizontal="center" vertical="center" wrapText="1"/>
      <protection hidden="1"/>
    </xf>
    <xf numFmtId="0" fontId="14" fillId="16" borderId="116" xfId="0" applyFont="1" applyFill="1" applyBorder="1" applyAlignment="1" applyProtection="1">
      <alignment horizontal="center" vertical="center" wrapText="1"/>
      <protection hidden="1"/>
    </xf>
    <xf numFmtId="0" fontId="14" fillId="12" borderId="5" xfId="0" applyFont="1" applyFill="1" applyBorder="1" applyAlignment="1" applyProtection="1">
      <alignment horizontal="center" vertical="center" wrapText="1"/>
      <protection hidden="1"/>
    </xf>
    <xf numFmtId="0" fontId="14" fillId="12" borderId="6" xfId="0" applyFont="1" applyFill="1" applyBorder="1" applyAlignment="1" applyProtection="1">
      <alignment horizontal="center" vertical="center" wrapText="1"/>
      <protection hidden="1"/>
    </xf>
    <xf numFmtId="0" fontId="14" fillId="12" borderId="22" xfId="0" applyFont="1" applyFill="1" applyBorder="1" applyAlignment="1" applyProtection="1">
      <alignment horizontal="center" vertical="center" wrapText="1"/>
      <protection hidden="1"/>
    </xf>
    <xf numFmtId="0" fontId="21" fillId="0" borderId="109" xfId="0" applyFont="1" applyBorder="1" applyAlignment="1" applyProtection="1">
      <alignment horizontal="center" vertical="center"/>
      <protection locked="0" hidden="1"/>
    </xf>
    <xf numFmtId="0" fontId="21" fillId="0" borderId="110" xfId="0" applyFont="1" applyBorder="1" applyAlignment="1" applyProtection="1">
      <alignment horizontal="center" vertical="center"/>
      <protection locked="0" hidden="1"/>
    </xf>
    <xf numFmtId="0" fontId="20" fillId="0" borderId="12" xfId="0" applyFont="1" applyBorder="1" applyAlignment="1" applyProtection="1">
      <alignment horizontal="center" vertical="center"/>
      <protection hidden="1"/>
    </xf>
    <xf numFmtId="0" fontId="20" fillId="0" borderId="44" xfId="0" applyFont="1" applyBorder="1" applyAlignment="1" applyProtection="1">
      <alignment horizontal="center" vertical="center"/>
      <protection hidden="1"/>
    </xf>
    <xf numFmtId="0" fontId="14" fillId="16" borderId="45" xfId="0" applyFont="1" applyFill="1" applyBorder="1" applyAlignment="1" applyProtection="1">
      <alignment horizontal="center" vertical="center" wrapText="1"/>
      <protection hidden="1"/>
    </xf>
    <xf numFmtId="0" fontId="14" fillId="16" borderId="0" xfId="0" applyFont="1" applyFill="1" applyAlignment="1" applyProtection="1">
      <alignment horizontal="center" vertical="center" wrapText="1"/>
      <protection hidden="1"/>
    </xf>
    <xf numFmtId="0" fontId="14" fillId="16" borderId="46" xfId="0" applyFont="1" applyFill="1" applyBorder="1" applyAlignment="1" applyProtection="1">
      <alignment horizontal="center" vertical="center" wrapText="1"/>
      <protection hidden="1"/>
    </xf>
    <xf numFmtId="0" fontId="20" fillId="0" borderId="109" xfId="0" applyFont="1" applyBorder="1" applyAlignment="1" applyProtection="1">
      <alignment horizontal="center" vertical="center"/>
      <protection hidden="1"/>
    </xf>
    <xf numFmtId="0" fontId="20" fillId="0" borderId="110" xfId="0" applyFont="1" applyBorder="1" applyAlignment="1" applyProtection="1">
      <alignment horizontal="center" vertical="center"/>
      <protection hidden="1"/>
    </xf>
    <xf numFmtId="0" fontId="21" fillId="0" borderId="84" xfId="0" applyFont="1" applyBorder="1" applyAlignment="1" applyProtection="1">
      <alignment horizontal="center" vertical="center"/>
      <protection locked="0" hidden="1"/>
    </xf>
    <xf numFmtId="0" fontId="21" fillId="0" borderId="85" xfId="0" applyFont="1" applyBorder="1" applyAlignment="1" applyProtection="1">
      <alignment horizontal="center" vertical="center"/>
      <protection locked="0" hidden="1"/>
    </xf>
    <xf numFmtId="0" fontId="35" fillId="18" borderId="5" xfId="0" applyFont="1" applyFill="1" applyBorder="1" applyAlignment="1" applyProtection="1">
      <alignment horizontal="center"/>
      <protection hidden="1"/>
    </xf>
    <xf numFmtId="0" fontId="35" fillId="18" borderId="6" xfId="0" applyFont="1" applyFill="1" applyBorder="1" applyAlignment="1" applyProtection="1">
      <alignment horizontal="center"/>
      <protection hidden="1"/>
    </xf>
    <xf numFmtId="0" fontId="35" fillId="18" borderId="22" xfId="0" applyFont="1" applyFill="1" applyBorder="1" applyAlignment="1" applyProtection="1">
      <alignment horizontal="center"/>
      <protection hidden="1"/>
    </xf>
    <xf numFmtId="0" fontId="35" fillId="18" borderId="43" xfId="0" applyFont="1" applyFill="1" applyBorder="1" applyAlignment="1" applyProtection="1">
      <alignment horizontal="center"/>
      <protection hidden="1"/>
    </xf>
    <xf numFmtId="0" fontId="35" fillId="18" borderId="44" xfId="0" applyFont="1" applyFill="1" applyBorder="1" applyAlignment="1" applyProtection="1">
      <alignment horizontal="center"/>
      <protection hidden="1"/>
    </xf>
    <xf numFmtId="0" fontId="14" fillId="16" borderId="98" xfId="0" applyFont="1" applyFill="1" applyBorder="1" applyAlignment="1" applyProtection="1">
      <alignment horizontal="center" vertical="center" wrapText="1"/>
      <protection hidden="1"/>
    </xf>
    <xf numFmtId="0" fontId="14" fillId="16" borderId="77" xfId="0" applyFont="1" applyFill="1" applyBorder="1" applyAlignment="1" applyProtection="1">
      <alignment horizontal="center" vertical="center" wrapText="1"/>
      <protection hidden="1"/>
    </xf>
    <xf numFmtId="0" fontId="14" fillId="16" borderId="20" xfId="0" applyFont="1" applyFill="1" applyBorder="1" applyAlignment="1" applyProtection="1">
      <alignment horizontal="center" vertical="center" wrapText="1"/>
      <protection hidden="1"/>
    </xf>
    <xf numFmtId="0" fontId="14" fillId="16" borderId="37" xfId="0" applyFont="1" applyFill="1" applyBorder="1" applyAlignment="1" applyProtection="1">
      <alignment horizontal="center" vertical="center" wrapText="1"/>
      <protection hidden="1"/>
    </xf>
    <xf numFmtId="0" fontId="14" fillId="16" borderId="107" xfId="0" applyFont="1" applyFill="1" applyBorder="1" applyAlignment="1" applyProtection="1">
      <alignment horizontal="center" vertical="center" wrapText="1"/>
      <protection hidden="1"/>
    </xf>
    <xf numFmtId="0" fontId="21" fillId="0" borderId="113" xfId="0" applyFont="1" applyBorder="1" applyAlignment="1" applyProtection="1">
      <alignment horizontal="center" vertical="center"/>
      <protection locked="0" hidden="1"/>
    </xf>
    <xf numFmtId="0" fontId="21" fillId="0" borderId="114" xfId="0" applyFont="1" applyBorder="1" applyAlignment="1" applyProtection="1">
      <alignment horizontal="center" vertical="center"/>
      <protection locked="0" hidden="1"/>
    </xf>
    <xf numFmtId="0" fontId="14" fillId="16" borderId="111" xfId="0" applyFont="1" applyFill="1" applyBorder="1" applyAlignment="1" applyProtection="1">
      <alignment horizontal="center" vertical="center" wrapText="1"/>
      <protection hidden="1"/>
    </xf>
    <xf numFmtId="0" fontId="14" fillId="16" borderId="112" xfId="0" applyFont="1" applyFill="1" applyBorder="1" applyAlignment="1" applyProtection="1">
      <alignment horizontal="center" vertical="center" wrapText="1"/>
      <protection hidden="1"/>
    </xf>
    <xf numFmtId="0" fontId="20" fillId="0" borderId="103" xfId="0" applyFont="1" applyBorder="1" applyAlignment="1" applyProtection="1">
      <alignment horizontal="center" vertical="center"/>
      <protection hidden="1"/>
    </xf>
    <xf numFmtId="0" fontId="20" fillId="0" borderId="46" xfId="0" applyFont="1" applyBorder="1" applyAlignment="1" applyProtection="1">
      <alignment horizontal="center" vertical="center"/>
      <protection hidden="1"/>
    </xf>
    <xf numFmtId="0" fontId="9" fillId="18" borderId="31" xfId="0" applyFont="1" applyFill="1" applyBorder="1" applyAlignment="1" applyProtection="1">
      <alignment horizontal="center" vertical="center"/>
      <protection hidden="1"/>
    </xf>
    <xf numFmtId="0" fontId="9" fillId="18" borderId="34" xfId="0" applyFont="1" applyFill="1" applyBorder="1" applyAlignment="1" applyProtection="1">
      <alignment horizontal="center" vertical="center"/>
      <protection hidden="1"/>
    </xf>
    <xf numFmtId="0" fontId="25" fillId="4" borderId="32" xfId="0" applyFont="1" applyFill="1" applyBorder="1" applyAlignment="1" applyProtection="1">
      <alignment horizontal="center" vertical="center" wrapText="1"/>
      <protection hidden="1"/>
    </xf>
    <xf numFmtId="0" fontId="25" fillId="4" borderId="35" xfId="0" applyFont="1" applyFill="1" applyBorder="1" applyAlignment="1" applyProtection="1">
      <alignment horizontal="center" vertical="center" wrapText="1"/>
      <protection hidden="1"/>
    </xf>
    <xf numFmtId="164" fontId="13" fillId="4" borderId="55" xfId="0" applyNumberFormat="1" applyFont="1" applyFill="1" applyBorder="1" applyAlignment="1" applyProtection="1">
      <alignment horizontal="center" vertical="center" wrapText="1"/>
      <protection hidden="1"/>
    </xf>
    <xf numFmtId="164" fontId="13" fillId="4" borderId="42" xfId="0" applyNumberFormat="1" applyFont="1" applyFill="1" applyBorder="1" applyAlignment="1" applyProtection="1">
      <alignment horizontal="center" vertical="center" wrapText="1"/>
      <protection hidden="1"/>
    </xf>
    <xf numFmtId="0" fontId="18" fillId="4" borderId="27" xfId="0" applyFont="1" applyFill="1" applyBorder="1" applyAlignment="1" applyProtection="1">
      <alignment horizontal="left" vertical="center" wrapText="1"/>
      <protection hidden="1"/>
    </xf>
    <xf numFmtId="0" fontId="18" fillId="4" borderId="28" xfId="0" applyFont="1" applyFill="1" applyBorder="1" applyAlignment="1" applyProtection="1">
      <alignment horizontal="left" vertical="center" wrapText="1"/>
      <protection hidden="1"/>
    </xf>
    <xf numFmtId="0" fontId="18" fillId="4" borderId="29" xfId="0" applyFont="1" applyFill="1" applyBorder="1" applyAlignment="1" applyProtection="1">
      <alignment horizontal="left" vertical="center" wrapText="1"/>
      <protection hidden="1"/>
    </xf>
    <xf numFmtId="0" fontId="49" fillId="17" borderId="11" xfId="0" applyFont="1" applyFill="1" applyBorder="1" applyAlignment="1" applyProtection="1">
      <alignment horizontal="center" vertical="center" wrapText="1"/>
      <protection hidden="1"/>
    </xf>
    <xf numFmtId="0" fontId="49" fillId="17" borderId="43" xfId="0" applyFont="1" applyFill="1" applyBorder="1" applyAlignment="1" applyProtection="1">
      <alignment horizontal="center" vertical="center" wrapText="1"/>
      <protection hidden="1"/>
    </xf>
    <xf numFmtId="0" fontId="49" fillId="17" borderId="44" xfId="0" applyFont="1" applyFill="1" applyBorder="1" applyAlignment="1" applyProtection="1">
      <alignment horizontal="center" vertical="center" wrapText="1"/>
      <protection hidden="1"/>
    </xf>
    <xf numFmtId="0" fontId="49" fillId="17" borderId="27" xfId="0" applyFont="1" applyFill="1" applyBorder="1" applyAlignment="1" applyProtection="1">
      <alignment horizontal="center" vertical="center" wrapText="1"/>
      <protection hidden="1"/>
    </xf>
    <xf numFmtId="0" fontId="49" fillId="17" borderId="28" xfId="0" applyFont="1" applyFill="1" applyBorder="1" applyAlignment="1" applyProtection="1">
      <alignment horizontal="center" vertical="center" wrapText="1"/>
      <protection hidden="1"/>
    </xf>
    <xf numFmtId="0" fontId="49" fillId="17" borderId="29" xfId="0" applyFont="1" applyFill="1" applyBorder="1" applyAlignment="1" applyProtection="1">
      <alignment horizontal="center" vertical="center" wrapText="1"/>
      <protection hidden="1"/>
    </xf>
    <xf numFmtId="0" fontId="18" fillId="4" borderId="24" xfId="0" applyFont="1" applyFill="1" applyBorder="1" applyAlignment="1" applyProtection="1">
      <alignment horizontal="left" vertical="center" wrapText="1"/>
      <protection hidden="1"/>
    </xf>
    <xf numFmtId="0" fontId="18" fillId="4" borderId="25" xfId="0" applyFont="1" applyFill="1" applyBorder="1" applyAlignment="1" applyProtection="1">
      <alignment horizontal="left" vertical="center" wrapText="1"/>
      <protection hidden="1"/>
    </xf>
    <xf numFmtId="0" fontId="18" fillId="4" borderId="26" xfId="0" applyFont="1" applyFill="1" applyBorder="1" applyAlignment="1" applyProtection="1">
      <alignment horizontal="left" vertical="center" wrapText="1"/>
      <protection hidden="1"/>
    </xf>
    <xf numFmtId="164" fontId="13" fillId="4" borderId="36" xfId="0" applyNumberFormat="1" applyFont="1" applyFill="1" applyBorder="1" applyAlignment="1" applyProtection="1">
      <alignment horizontal="center" vertical="center" wrapText="1"/>
      <protection hidden="1"/>
    </xf>
    <xf numFmtId="164" fontId="13" fillId="4" borderId="18" xfId="0" applyNumberFormat="1" applyFont="1" applyFill="1" applyBorder="1" applyAlignment="1" applyProtection="1">
      <alignment horizontal="center" vertical="center" wrapText="1"/>
      <protection hidden="1"/>
    </xf>
    <xf numFmtId="164" fontId="31" fillId="14" borderId="50" xfId="0" applyNumberFormat="1" applyFont="1" applyFill="1" applyBorder="1" applyAlignment="1" applyProtection="1">
      <alignment horizontal="center" vertical="center"/>
      <protection hidden="1"/>
    </xf>
    <xf numFmtId="164" fontId="31" fillId="14" borderId="39" xfId="0" applyNumberFormat="1" applyFont="1" applyFill="1" applyBorder="1" applyAlignment="1" applyProtection="1">
      <alignment horizontal="center" vertical="center"/>
      <protection hidden="1"/>
    </xf>
    <xf numFmtId="164" fontId="31" fillId="14" borderId="17" xfId="0" applyNumberFormat="1" applyFont="1" applyFill="1" applyBorder="1" applyAlignment="1" applyProtection="1">
      <alignment horizontal="center" vertical="center"/>
      <protection hidden="1"/>
    </xf>
    <xf numFmtId="164" fontId="31" fillId="14" borderId="41" xfId="0" applyNumberFormat="1" applyFont="1" applyFill="1" applyBorder="1" applyAlignment="1" applyProtection="1">
      <alignment horizontal="center" vertical="center"/>
      <protection hidden="1"/>
    </xf>
    <xf numFmtId="164" fontId="31" fillId="14" borderId="51" xfId="0" applyNumberFormat="1" applyFont="1" applyFill="1" applyBorder="1" applyAlignment="1" applyProtection="1">
      <alignment horizontal="center" vertical="center"/>
      <protection hidden="1"/>
    </xf>
    <xf numFmtId="164" fontId="31" fillId="14" borderId="52" xfId="0" applyNumberFormat="1" applyFont="1" applyFill="1" applyBorder="1" applyAlignment="1" applyProtection="1">
      <alignment horizontal="center" vertical="center"/>
      <protection hidden="1"/>
    </xf>
    <xf numFmtId="164" fontId="31" fillId="14" borderId="8" xfId="0" applyNumberFormat="1" applyFont="1" applyFill="1" applyBorder="1" applyAlignment="1" applyProtection="1">
      <alignment horizontal="center" vertical="center" wrapText="1"/>
      <protection hidden="1"/>
    </xf>
    <xf numFmtId="0" fontId="62" fillId="3" borderId="8" xfId="0" applyFont="1" applyFill="1" applyBorder="1" applyAlignment="1" applyProtection="1">
      <alignment horizontal="center" vertical="top"/>
      <protection locked="0"/>
    </xf>
    <xf numFmtId="0" fontId="18" fillId="3" borderId="5" xfId="0" applyFont="1" applyFill="1" applyBorder="1" applyAlignment="1" applyProtection="1">
      <alignment horizontal="left" vertical="top" wrapText="1"/>
      <protection locked="0"/>
    </xf>
    <xf numFmtId="0" fontId="18" fillId="3" borderId="6" xfId="0" applyFont="1" applyFill="1" applyBorder="1" applyAlignment="1" applyProtection="1">
      <alignment horizontal="left" vertical="top" wrapText="1"/>
      <protection locked="0"/>
    </xf>
    <xf numFmtId="0" fontId="18" fillId="3" borderId="22" xfId="0" applyFont="1" applyFill="1" applyBorder="1" applyAlignment="1" applyProtection="1">
      <alignment horizontal="left" vertical="top" wrapText="1"/>
      <protection locked="0"/>
    </xf>
    <xf numFmtId="164" fontId="16" fillId="4" borderId="32" xfId="0" applyNumberFormat="1" applyFont="1" applyFill="1" applyBorder="1" applyAlignment="1" applyProtection="1">
      <alignment horizontal="center" vertical="center" textRotation="90" wrapText="1"/>
      <protection hidden="1"/>
    </xf>
    <xf numFmtId="164" fontId="16" fillId="4" borderId="35" xfId="0" applyNumberFormat="1" applyFont="1" applyFill="1" applyBorder="1" applyAlignment="1" applyProtection="1">
      <alignment horizontal="center" vertical="center" textRotation="90" wrapText="1"/>
      <protection hidden="1"/>
    </xf>
    <xf numFmtId="0" fontId="21" fillId="17" borderId="11" xfId="0" applyFont="1" applyFill="1" applyBorder="1" applyAlignment="1" applyProtection="1">
      <alignment horizontal="center" vertical="center"/>
      <protection hidden="1"/>
    </xf>
    <xf numFmtId="0" fontId="21" fillId="17" borderId="43" xfId="0" applyFont="1" applyFill="1" applyBorder="1" applyAlignment="1" applyProtection="1">
      <alignment horizontal="center" vertical="center"/>
      <protection hidden="1"/>
    </xf>
    <xf numFmtId="0" fontId="21" fillId="17" borderId="44" xfId="0" applyFont="1" applyFill="1" applyBorder="1" applyAlignment="1" applyProtection="1">
      <alignment horizontal="center" vertical="center"/>
      <protection hidden="1"/>
    </xf>
    <xf numFmtId="0" fontId="21" fillId="17" borderId="27" xfId="0" applyFont="1" applyFill="1" applyBorder="1" applyAlignment="1" applyProtection="1">
      <alignment horizontal="center" vertical="center"/>
      <protection hidden="1"/>
    </xf>
    <xf numFmtId="0" fontId="21" fillId="17" borderId="28" xfId="0" applyFont="1" applyFill="1" applyBorder="1" applyAlignment="1" applyProtection="1">
      <alignment horizontal="center" vertical="center"/>
      <protection hidden="1"/>
    </xf>
    <xf numFmtId="0" fontId="21" fillId="17" borderId="29" xfId="0" applyFont="1" applyFill="1" applyBorder="1" applyAlignment="1" applyProtection="1">
      <alignment horizontal="center" vertical="center"/>
      <protection hidden="1"/>
    </xf>
    <xf numFmtId="0" fontId="14" fillId="18" borderId="23" xfId="0" applyFont="1" applyFill="1" applyBorder="1" applyAlignment="1" applyProtection="1">
      <alignment horizontal="center" vertical="center" textRotation="90" wrapText="1"/>
      <protection hidden="1"/>
    </xf>
    <xf numFmtId="0" fontId="14" fillId="18" borderId="30" xfId="0" applyFont="1" applyFill="1" applyBorder="1" applyAlignment="1" applyProtection="1">
      <alignment horizontal="center" vertical="center" textRotation="90" wrapText="1"/>
      <protection hidden="1"/>
    </xf>
    <xf numFmtId="0" fontId="6" fillId="17" borderId="23" xfId="0" applyFont="1" applyFill="1" applyBorder="1" applyAlignment="1" applyProtection="1">
      <alignment horizontal="center" vertical="center"/>
      <protection hidden="1"/>
    </xf>
    <xf numFmtId="0" fontId="6" fillId="17" borderId="30" xfId="0" applyFont="1" applyFill="1" applyBorder="1" applyAlignment="1" applyProtection="1">
      <alignment horizontal="center" vertical="center"/>
      <protection hidden="1"/>
    </xf>
    <xf numFmtId="0" fontId="62" fillId="3" borderId="73" xfId="0" applyFont="1" applyFill="1" applyBorder="1" applyAlignment="1" applyProtection="1">
      <alignment horizontal="left" vertical="top" wrapText="1"/>
      <protection locked="0"/>
    </xf>
    <xf numFmtId="0" fontId="62" fillId="3" borderId="74" xfId="0" applyFont="1" applyFill="1" applyBorder="1" applyAlignment="1" applyProtection="1">
      <alignment horizontal="left" vertical="top" wrapText="1"/>
      <protection locked="0"/>
    </xf>
    <xf numFmtId="0" fontId="62" fillId="3" borderId="75" xfId="0" applyFont="1" applyFill="1" applyBorder="1" applyAlignment="1" applyProtection="1">
      <alignment horizontal="left" vertical="top" wrapText="1"/>
      <protection locked="0"/>
    </xf>
    <xf numFmtId="0" fontId="62" fillId="3" borderId="103" xfId="0" applyFont="1" applyFill="1" applyBorder="1" applyAlignment="1" applyProtection="1">
      <alignment horizontal="left" vertical="top" wrapText="1"/>
      <protection locked="0"/>
    </xf>
    <xf numFmtId="0" fontId="62" fillId="3" borderId="0" xfId="0" applyFont="1" applyFill="1" applyAlignment="1" applyProtection="1">
      <alignment horizontal="left" vertical="top" wrapText="1"/>
      <protection locked="0"/>
    </xf>
    <xf numFmtId="0" fontId="62" fillId="3" borderId="104" xfId="0" applyFont="1" applyFill="1" applyBorder="1" applyAlignment="1" applyProtection="1">
      <alignment horizontal="left" vertical="top" wrapText="1"/>
      <protection locked="0"/>
    </xf>
    <xf numFmtId="0" fontId="62" fillId="3" borderId="20" xfId="0" applyFont="1" applyFill="1" applyBorder="1" applyAlignment="1" applyProtection="1">
      <alignment horizontal="left" vertical="top" wrapText="1"/>
      <protection locked="0"/>
    </xf>
    <xf numFmtId="0" fontId="62" fillId="3" borderId="21" xfId="0" applyFont="1" applyFill="1" applyBorder="1" applyAlignment="1" applyProtection="1">
      <alignment horizontal="left" vertical="top" wrapText="1"/>
      <protection locked="0"/>
    </xf>
    <xf numFmtId="0" fontId="62" fillId="3" borderId="76" xfId="0" applyFont="1" applyFill="1" applyBorder="1" applyAlignment="1" applyProtection="1">
      <alignment horizontal="left" vertical="top" wrapText="1"/>
      <protection locked="0"/>
    </xf>
    <xf numFmtId="164" fontId="16" fillId="4" borderId="33" xfId="0" applyNumberFormat="1" applyFont="1" applyFill="1" applyBorder="1" applyAlignment="1" applyProtection="1">
      <alignment horizontal="center" vertical="center" textRotation="90" wrapText="1"/>
      <protection hidden="1"/>
    </xf>
    <xf numFmtId="164" fontId="16" fillId="4" borderId="78" xfId="0" applyNumberFormat="1" applyFont="1" applyFill="1" applyBorder="1" applyAlignment="1" applyProtection="1">
      <alignment horizontal="center" vertical="center" textRotation="90" wrapText="1"/>
      <protection hidden="1"/>
    </xf>
    <xf numFmtId="0" fontId="31" fillId="14" borderId="31" xfId="0" applyFont="1" applyFill="1" applyBorder="1" applyAlignment="1" applyProtection="1">
      <alignment horizontal="center" vertical="center" wrapText="1"/>
      <protection hidden="1"/>
    </xf>
    <xf numFmtId="0" fontId="31" fillId="14" borderId="34" xfId="0" applyFont="1" applyFill="1" applyBorder="1" applyAlignment="1" applyProtection="1">
      <alignment horizontal="center" vertical="center" wrapText="1"/>
      <protection hidden="1"/>
    </xf>
    <xf numFmtId="0" fontId="34" fillId="11" borderId="93" xfId="0" applyFont="1" applyFill="1" applyBorder="1" applyAlignment="1" applyProtection="1">
      <alignment horizontal="center" vertical="center" wrapText="1"/>
      <protection locked="0" hidden="1"/>
    </xf>
    <xf numFmtId="0" fontId="34" fillId="11" borderId="52" xfId="0" applyFont="1" applyFill="1" applyBorder="1" applyAlignment="1" applyProtection="1">
      <alignment horizontal="center" vertical="center" wrapText="1"/>
      <protection locked="0" hidden="1"/>
    </xf>
    <xf numFmtId="0" fontId="25" fillId="18" borderId="17" xfId="0" applyFont="1" applyFill="1" applyBorder="1" applyAlignment="1" applyProtection="1">
      <alignment horizontal="center" vertical="center" wrapText="1"/>
      <protection hidden="1"/>
    </xf>
    <xf numFmtId="0" fontId="25" fillId="18" borderId="40" xfId="0" applyFont="1" applyFill="1" applyBorder="1" applyAlignment="1" applyProtection="1">
      <alignment horizontal="center" vertical="center" wrapText="1"/>
      <protection hidden="1"/>
    </xf>
    <xf numFmtId="0" fontId="25" fillId="18" borderId="18" xfId="0" applyFont="1" applyFill="1" applyBorder="1" applyAlignment="1" applyProtection="1">
      <alignment horizontal="center" vertical="center" wrapText="1"/>
      <protection hidden="1"/>
    </xf>
    <xf numFmtId="14" fontId="34" fillId="3" borderId="36" xfId="0" applyNumberFormat="1" applyFont="1" applyFill="1" applyBorder="1" applyAlignment="1" applyProtection="1">
      <alignment horizontal="center" vertical="center"/>
      <protection locked="0" hidden="1"/>
    </xf>
    <xf numFmtId="14" fontId="34" fillId="3" borderId="40" xfId="0" applyNumberFormat="1" applyFont="1" applyFill="1" applyBorder="1" applyAlignment="1" applyProtection="1">
      <alignment horizontal="center" vertical="center"/>
      <protection locked="0" hidden="1"/>
    </xf>
    <xf numFmtId="0" fontId="34" fillId="18" borderId="51" xfId="0" applyFont="1" applyFill="1" applyBorder="1" applyAlignment="1" applyProtection="1">
      <alignment horizontal="center" vertical="center" wrapText="1"/>
      <protection hidden="1"/>
    </xf>
    <xf numFmtId="0" fontId="34" fillId="18" borderId="2" xfId="0" applyFont="1" applyFill="1" applyBorder="1" applyAlignment="1" applyProtection="1">
      <alignment horizontal="center" vertical="center" wrapText="1"/>
      <protection hidden="1"/>
    </xf>
    <xf numFmtId="0" fontId="34" fillId="18" borderId="3" xfId="0" applyFont="1" applyFill="1" applyBorder="1" applyAlignment="1" applyProtection="1">
      <alignment horizontal="center" vertical="center" wrapText="1"/>
      <protection hidden="1"/>
    </xf>
    <xf numFmtId="0" fontId="34" fillId="3" borderId="1" xfId="0" applyFont="1" applyFill="1" applyBorder="1" applyAlignment="1" applyProtection="1">
      <alignment horizontal="center" vertical="center" wrapText="1"/>
      <protection locked="0" hidden="1"/>
    </xf>
    <xf numFmtId="0" fontId="34" fillId="3" borderId="2" xfId="0" applyFont="1" applyFill="1" applyBorder="1" applyAlignment="1" applyProtection="1">
      <alignment horizontal="center" vertical="center" wrapText="1"/>
      <protection locked="0" hidden="1"/>
    </xf>
    <xf numFmtId="0" fontId="34" fillId="3" borderId="95" xfId="0" applyFont="1" applyFill="1" applyBorder="1" applyAlignment="1" applyProtection="1">
      <alignment horizontal="center" vertical="center" wrapText="1"/>
      <protection locked="0" hidden="1"/>
    </xf>
    <xf numFmtId="0" fontId="44" fillId="17" borderId="28" xfId="0" applyFont="1" applyFill="1" applyBorder="1" applyAlignment="1" applyProtection="1">
      <alignment horizontal="center" vertical="center"/>
      <protection hidden="1"/>
    </xf>
    <xf numFmtId="0" fontId="44" fillId="17" borderId="29" xfId="0" applyFont="1" applyFill="1" applyBorder="1" applyAlignment="1" applyProtection="1">
      <alignment horizontal="center" vertical="center"/>
      <protection hidden="1"/>
    </xf>
    <xf numFmtId="0" fontId="21" fillId="17" borderId="0" xfId="0" applyFont="1" applyFill="1" applyAlignment="1" applyProtection="1">
      <alignment horizontal="center" vertical="center"/>
      <protection hidden="1"/>
    </xf>
    <xf numFmtId="0" fontId="25" fillId="3" borderId="36" xfId="0" applyFont="1" applyFill="1" applyBorder="1" applyAlignment="1" applyProtection="1">
      <alignment horizontal="center" vertical="center" wrapText="1"/>
      <protection locked="0" hidden="1"/>
    </xf>
    <xf numFmtId="0" fontId="25" fillId="3" borderId="40" xfId="0" applyFont="1" applyFill="1" applyBorder="1" applyAlignment="1" applyProtection="1">
      <alignment horizontal="center" vertical="center" wrapText="1"/>
      <protection locked="0" hidden="1"/>
    </xf>
    <xf numFmtId="0" fontId="25" fillId="3" borderId="18" xfId="0" applyFont="1" applyFill="1" applyBorder="1" applyAlignment="1" applyProtection="1">
      <alignment horizontal="center" vertical="center" wrapText="1"/>
      <protection locked="0" hidden="1"/>
    </xf>
    <xf numFmtId="164" fontId="43" fillId="3" borderId="5" xfId="0" applyNumberFormat="1" applyFont="1" applyFill="1" applyBorder="1" applyAlignment="1" applyProtection="1">
      <alignment horizontal="center" vertical="center" wrapText="1"/>
      <protection locked="0"/>
    </xf>
    <xf numFmtId="164" fontId="43" fillId="3" borderId="6" xfId="0" applyNumberFormat="1" applyFont="1" applyFill="1" applyBorder="1" applyAlignment="1" applyProtection="1">
      <alignment horizontal="center" vertical="center" wrapText="1"/>
      <protection locked="0"/>
    </xf>
    <xf numFmtId="164" fontId="43" fillId="3" borderId="22" xfId="0" applyNumberFormat="1" applyFont="1" applyFill="1" applyBorder="1" applyAlignment="1" applyProtection="1">
      <alignment horizontal="center" vertical="center" wrapText="1"/>
      <protection locked="0"/>
    </xf>
    <xf numFmtId="0" fontId="34" fillId="11" borderId="94" xfId="0" applyFont="1" applyFill="1" applyBorder="1" applyAlignment="1" applyProtection="1">
      <alignment horizontal="center" vertical="center" wrapText="1"/>
      <protection locked="0" hidden="1"/>
    </xf>
    <xf numFmtId="0" fontId="34" fillId="11" borderId="41" xfId="0" applyFont="1" applyFill="1" applyBorder="1" applyAlignment="1" applyProtection="1">
      <alignment horizontal="center" vertical="center" wrapText="1"/>
      <protection locked="0" hidden="1"/>
    </xf>
    <xf numFmtId="14" fontId="34" fillId="3" borderId="1" xfId="0" applyNumberFormat="1" applyFont="1" applyFill="1" applyBorder="1" applyAlignment="1" applyProtection="1">
      <alignment horizontal="center" vertical="center"/>
      <protection locked="0" hidden="1"/>
    </xf>
    <xf numFmtId="14" fontId="34" fillId="3" borderId="2" xfId="0" applyNumberFormat="1" applyFont="1" applyFill="1" applyBorder="1" applyAlignment="1" applyProtection="1">
      <alignment horizontal="center" vertical="center"/>
      <protection locked="0" hidden="1"/>
    </xf>
    <xf numFmtId="0" fontId="34" fillId="18" borderId="1" xfId="0" applyFont="1" applyFill="1" applyBorder="1" applyAlignment="1" applyProtection="1">
      <alignment horizontal="center" vertical="center" wrapText="1"/>
      <protection hidden="1"/>
    </xf>
    <xf numFmtId="0" fontId="34" fillId="18" borderId="36" xfId="0" applyFont="1" applyFill="1" applyBorder="1" applyAlignment="1" applyProtection="1">
      <alignment horizontal="center" vertical="center" wrapText="1"/>
      <protection hidden="1"/>
    </xf>
    <xf numFmtId="0" fontId="34" fillId="18" borderId="40" xfId="0" applyFont="1" applyFill="1" applyBorder="1" applyAlignment="1" applyProtection="1">
      <alignment horizontal="center" vertical="center" wrapText="1"/>
      <protection hidden="1"/>
    </xf>
    <xf numFmtId="0" fontId="0" fillId="16" borderId="11" xfId="0" applyFill="1" applyBorder="1" applyAlignment="1" applyProtection="1">
      <alignment horizontal="center"/>
      <protection hidden="1"/>
    </xf>
    <xf numFmtId="0" fontId="0" fillId="16" borderId="43" xfId="0" applyFill="1" applyBorder="1" applyAlignment="1" applyProtection="1">
      <alignment horizontal="center"/>
      <protection hidden="1"/>
    </xf>
    <xf numFmtId="0" fontId="8" fillId="14" borderId="9" xfId="0" applyFont="1" applyFill="1" applyBorder="1" applyAlignment="1" applyProtection="1">
      <alignment horizontal="center" vertical="center" wrapText="1"/>
      <protection hidden="1"/>
    </xf>
    <xf numFmtId="0" fontId="8" fillId="14" borderId="59" xfId="0" applyFont="1" applyFill="1" applyBorder="1" applyAlignment="1" applyProtection="1">
      <alignment horizontal="center" vertical="center" wrapText="1"/>
      <protection hidden="1"/>
    </xf>
    <xf numFmtId="0" fontId="8" fillId="14" borderId="7" xfId="0" applyFont="1" applyFill="1" applyBorder="1" applyAlignment="1" applyProtection="1">
      <alignment horizontal="center" vertical="center" wrapText="1"/>
      <protection hidden="1"/>
    </xf>
    <xf numFmtId="0" fontId="34" fillId="18" borderId="50" xfId="0" applyFont="1" applyFill="1" applyBorder="1" applyAlignment="1" applyProtection="1">
      <alignment horizontal="center" vertical="center" wrapText="1"/>
      <protection hidden="1"/>
    </xf>
    <xf numFmtId="0" fontId="34" fillId="18" borderId="38" xfId="0" applyFont="1" applyFill="1" applyBorder="1" applyAlignment="1" applyProtection="1">
      <alignment horizontal="center" vertical="center" wrapText="1"/>
      <protection hidden="1"/>
    </xf>
    <xf numFmtId="0" fontId="34" fillId="18" borderId="76" xfId="0" applyFont="1" applyFill="1" applyBorder="1" applyAlignment="1" applyProtection="1">
      <alignment horizontal="center" vertical="center" wrapText="1"/>
      <protection hidden="1"/>
    </xf>
    <xf numFmtId="0" fontId="47" fillId="3" borderId="1" xfId="0" applyFont="1" applyFill="1" applyBorder="1" applyAlignment="1" applyProtection="1">
      <alignment horizontal="center" vertical="center"/>
      <protection locked="0" hidden="1"/>
    </xf>
    <xf numFmtId="0" fontId="47" fillId="3" borderId="2" xfId="0" applyFont="1" applyFill="1" applyBorder="1" applyAlignment="1" applyProtection="1">
      <alignment horizontal="center" vertical="center"/>
      <protection locked="0" hidden="1"/>
    </xf>
    <xf numFmtId="0" fontId="28" fillId="3" borderId="20" xfId="0" applyFont="1" applyFill="1" applyBorder="1" applyAlignment="1" applyProtection="1">
      <alignment horizontal="center" vertical="center"/>
      <protection locked="0" hidden="1"/>
    </xf>
    <xf numFmtId="0" fontId="28" fillId="3" borderId="21" xfId="0" applyFont="1" applyFill="1" applyBorder="1" applyAlignment="1" applyProtection="1">
      <alignment horizontal="center" vertical="center"/>
      <protection locked="0" hidden="1"/>
    </xf>
    <xf numFmtId="0" fontId="25" fillId="18" borderId="120" xfId="0" applyFont="1" applyFill="1" applyBorder="1" applyAlignment="1" applyProtection="1">
      <alignment horizontal="center" vertical="center" wrapText="1"/>
      <protection hidden="1"/>
    </xf>
    <xf numFmtId="0" fontId="25" fillId="18" borderId="54" xfId="0" applyFont="1" applyFill="1" applyBorder="1" applyAlignment="1" applyProtection="1">
      <alignment horizontal="center" vertical="center" wrapText="1"/>
      <protection hidden="1"/>
    </xf>
    <xf numFmtId="14" fontId="34" fillId="11" borderId="93" xfId="0" applyNumberFormat="1" applyFont="1" applyFill="1" applyBorder="1" applyAlignment="1" applyProtection="1">
      <alignment horizontal="center" vertical="center" wrapText="1"/>
      <protection locked="0" hidden="1"/>
    </xf>
    <xf numFmtId="0" fontId="6" fillId="17" borderId="8" xfId="0" applyFont="1" applyFill="1" applyBorder="1" applyAlignment="1" applyProtection="1">
      <alignment horizontal="center" vertical="center"/>
      <protection hidden="1"/>
    </xf>
    <xf numFmtId="0" fontId="6" fillId="17" borderId="129" xfId="0" applyFont="1" applyFill="1" applyBorder="1" applyAlignment="1" applyProtection="1">
      <alignment horizontal="center" vertical="center"/>
      <protection hidden="1"/>
    </xf>
    <xf numFmtId="49" fontId="43" fillId="3" borderId="5" xfId="0" quotePrefix="1" applyNumberFormat="1" applyFont="1" applyFill="1" applyBorder="1" applyAlignment="1" applyProtection="1">
      <alignment horizontal="center" vertical="center" wrapText="1"/>
      <protection locked="0"/>
    </xf>
    <xf numFmtId="49" fontId="43" fillId="3" borderId="6" xfId="0" applyNumberFormat="1" applyFont="1" applyFill="1" applyBorder="1" applyAlignment="1" applyProtection="1">
      <alignment horizontal="center" vertical="center" wrapText="1"/>
      <protection locked="0"/>
    </xf>
    <xf numFmtId="49" fontId="43" fillId="3" borderId="22" xfId="0" applyNumberFormat="1" applyFont="1" applyFill="1" applyBorder="1" applyAlignment="1" applyProtection="1">
      <alignment horizontal="center" vertical="center" wrapText="1"/>
      <protection locked="0"/>
    </xf>
    <xf numFmtId="0" fontId="35" fillId="14" borderId="5" xfId="0" applyFont="1" applyFill="1" applyBorder="1" applyAlignment="1" applyProtection="1">
      <alignment horizontal="center" vertical="center" wrapText="1"/>
      <protection hidden="1"/>
    </xf>
    <xf numFmtId="0" fontId="35" fillId="14" borderId="6" xfId="0" applyFont="1" applyFill="1" applyBorder="1" applyAlignment="1" applyProtection="1">
      <alignment horizontal="center" vertical="center" wrapText="1"/>
      <protection hidden="1"/>
    </xf>
    <xf numFmtId="0" fontId="35" fillId="14" borderId="22" xfId="0" applyFont="1" applyFill="1" applyBorder="1" applyAlignment="1" applyProtection="1">
      <alignment horizontal="center" vertical="center" wrapText="1"/>
      <protection hidden="1"/>
    </xf>
    <xf numFmtId="0" fontId="14" fillId="8" borderId="23" xfId="0" applyFont="1" applyFill="1" applyBorder="1" applyAlignment="1" applyProtection="1">
      <alignment horizontal="center" vertical="center" textRotation="90" wrapText="1"/>
      <protection hidden="1"/>
    </xf>
    <xf numFmtId="0" fontId="14" fillId="8" borderId="30" xfId="0" applyFont="1" applyFill="1" applyBorder="1" applyAlignment="1" applyProtection="1">
      <alignment horizontal="center" vertical="center" textRotation="90" wrapText="1"/>
      <protection hidden="1"/>
    </xf>
    <xf numFmtId="0" fontId="11" fillId="14" borderId="5" xfId="0" applyFont="1" applyFill="1" applyBorder="1" applyAlignment="1" applyProtection="1">
      <alignment horizontal="right" vertical="center" wrapText="1"/>
      <protection hidden="1"/>
    </xf>
    <xf numFmtId="0" fontId="11" fillId="14" borderId="6" xfId="0" applyFont="1" applyFill="1" applyBorder="1" applyAlignment="1" applyProtection="1">
      <alignment horizontal="right" vertical="center" wrapText="1"/>
      <protection hidden="1"/>
    </xf>
    <xf numFmtId="0" fontId="11" fillId="14" borderId="28" xfId="0" applyFont="1" applyFill="1" applyBorder="1" applyAlignment="1" applyProtection="1">
      <alignment horizontal="center" vertical="center" wrapText="1"/>
      <protection hidden="1"/>
    </xf>
    <xf numFmtId="0" fontId="11" fillId="14" borderId="29" xfId="0" applyFont="1" applyFill="1" applyBorder="1" applyAlignment="1" applyProtection="1">
      <alignment horizontal="center" vertical="center" wrapText="1"/>
      <protection hidden="1"/>
    </xf>
    <xf numFmtId="0" fontId="47" fillId="4" borderId="32" xfId="0" applyFont="1" applyFill="1" applyBorder="1" applyAlignment="1" applyProtection="1">
      <alignment horizontal="center" vertical="center"/>
      <protection hidden="1"/>
    </xf>
    <xf numFmtId="0" fontId="47" fillId="4" borderId="35" xfId="0" applyFont="1" applyFill="1" applyBorder="1" applyAlignment="1" applyProtection="1">
      <alignment horizontal="center" vertical="center"/>
      <protection hidden="1"/>
    </xf>
    <xf numFmtId="0" fontId="15" fillId="14" borderId="105" xfId="0" applyFont="1" applyFill="1" applyBorder="1" applyAlignment="1" applyProtection="1">
      <alignment horizontal="center" vertical="center" wrapText="1"/>
      <protection hidden="1"/>
    </xf>
    <xf numFmtId="0" fontId="15" fillId="14" borderId="125" xfId="0" applyFont="1" applyFill="1" applyBorder="1" applyAlignment="1" applyProtection="1">
      <alignment horizontal="center" vertical="center" wrapText="1"/>
      <protection hidden="1"/>
    </xf>
    <xf numFmtId="0" fontId="18" fillId="17" borderId="4" xfId="1" applyFill="1" applyBorder="1" applyAlignment="1" applyProtection="1">
      <alignment horizontal="center" vertical="center"/>
      <protection hidden="1"/>
    </xf>
    <xf numFmtId="0" fontId="15" fillId="14" borderId="123" xfId="0" applyFont="1" applyFill="1" applyBorder="1" applyAlignment="1" applyProtection="1">
      <alignment horizontal="center" vertical="center" wrapText="1"/>
      <protection hidden="1"/>
    </xf>
    <xf numFmtId="0" fontId="15" fillId="14" borderId="124" xfId="0" applyFont="1" applyFill="1" applyBorder="1" applyAlignment="1" applyProtection="1">
      <alignment horizontal="center" vertical="center" wrapText="1"/>
      <protection hidden="1"/>
    </xf>
    <xf numFmtId="0" fontId="31" fillId="14" borderId="0" xfId="1" applyFont="1" applyFill="1" applyAlignment="1" applyProtection="1">
      <alignment horizontal="left" vertical="center"/>
      <protection hidden="1"/>
    </xf>
    <xf numFmtId="0" fontId="31" fillId="14" borderId="0" xfId="1" applyFont="1" applyFill="1" applyAlignment="1" applyProtection="1">
      <alignment horizontal="center" vertical="center"/>
      <protection hidden="1"/>
    </xf>
    <xf numFmtId="0" fontId="9" fillId="5" borderId="13" xfId="1" applyFont="1" applyFill="1" applyBorder="1" applyAlignment="1" applyProtection="1">
      <alignment horizontal="center" wrapText="1"/>
      <protection hidden="1"/>
    </xf>
    <xf numFmtId="0" fontId="9" fillId="5" borderId="77" xfId="1" applyFont="1" applyFill="1" applyBorder="1" applyAlignment="1" applyProtection="1">
      <alignment horizontal="center" wrapText="1"/>
      <protection hidden="1"/>
    </xf>
    <xf numFmtId="0" fontId="5" fillId="14" borderId="13" xfId="1" applyFont="1" applyFill="1" applyBorder="1" applyAlignment="1" applyProtection="1">
      <alignment horizontal="center" vertical="center" wrapText="1"/>
      <protection hidden="1"/>
    </xf>
    <xf numFmtId="0" fontId="5" fillId="14" borderId="77" xfId="1" applyFont="1" applyFill="1" applyBorder="1" applyAlignment="1" applyProtection="1">
      <alignment horizontal="center" vertical="center" wrapText="1"/>
      <protection hidden="1"/>
    </xf>
    <xf numFmtId="0" fontId="11" fillId="14" borderId="4" xfId="1" applyFont="1" applyFill="1" applyBorder="1" applyAlignment="1" applyProtection="1">
      <alignment horizontal="center" vertical="center"/>
      <protection hidden="1"/>
    </xf>
    <xf numFmtId="0" fontId="5" fillId="14" borderId="73" xfId="1" applyFont="1" applyFill="1" applyBorder="1" applyAlignment="1" applyProtection="1">
      <alignment horizontal="center" vertical="center" wrapText="1"/>
      <protection hidden="1"/>
    </xf>
    <xf numFmtId="0" fontId="5" fillId="14" borderId="74" xfId="1" applyFont="1" applyFill="1" applyBorder="1" applyAlignment="1" applyProtection="1">
      <alignment horizontal="center" vertical="center" wrapText="1"/>
      <protection hidden="1"/>
    </xf>
    <xf numFmtId="0" fontId="5" fillId="14" borderId="75" xfId="1" applyFont="1" applyFill="1" applyBorder="1" applyAlignment="1" applyProtection="1">
      <alignment horizontal="center" vertical="center" wrapText="1"/>
      <protection hidden="1"/>
    </xf>
    <xf numFmtId="0" fontId="5" fillId="14" borderId="20" xfId="1" applyFont="1" applyFill="1" applyBorder="1" applyAlignment="1" applyProtection="1">
      <alignment horizontal="center" vertical="center" wrapText="1"/>
      <protection hidden="1"/>
    </xf>
    <xf numFmtId="0" fontId="5" fillId="14" borderId="21" xfId="1" applyFont="1" applyFill="1" applyBorder="1" applyAlignment="1" applyProtection="1">
      <alignment horizontal="center" vertical="center" wrapText="1"/>
      <protection hidden="1"/>
    </xf>
    <xf numFmtId="0" fontId="5" fillId="14" borderId="76" xfId="1" applyFont="1" applyFill="1" applyBorder="1" applyAlignment="1" applyProtection="1">
      <alignment horizontal="center" vertical="center" wrapText="1"/>
      <protection hidden="1"/>
    </xf>
    <xf numFmtId="0" fontId="18" fillId="4" borderId="73" xfId="1" applyFill="1" applyBorder="1" applyAlignment="1" applyProtection="1">
      <alignment horizontal="left" vertical="top"/>
      <protection locked="0" hidden="1"/>
    </xf>
    <xf numFmtId="0" fontId="18" fillId="4" borderId="74" xfId="1" applyFill="1" applyBorder="1" applyAlignment="1" applyProtection="1">
      <alignment horizontal="left" vertical="top"/>
      <protection locked="0" hidden="1"/>
    </xf>
    <xf numFmtId="0" fontId="18" fillId="4" borderId="75" xfId="1" applyFill="1" applyBorder="1" applyAlignment="1" applyProtection="1">
      <alignment horizontal="left" vertical="top"/>
      <protection locked="0" hidden="1"/>
    </xf>
    <xf numFmtId="0" fontId="18" fillId="4" borderId="103" xfId="1" applyFill="1" applyBorder="1" applyAlignment="1" applyProtection="1">
      <alignment horizontal="left" vertical="top"/>
      <protection locked="0" hidden="1"/>
    </xf>
    <xf numFmtId="0" fontId="18" fillId="4" borderId="0" xfId="1" applyFill="1" applyAlignment="1" applyProtection="1">
      <alignment horizontal="left" vertical="top"/>
      <protection locked="0" hidden="1"/>
    </xf>
    <xf numFmtId="0" fontId="18" fillId="4" borderId="104" xfId="1" applyFill="1" applyBorder="1" applyAlignment="1" applyProtection="1">
      <alignment horizontal="left" vertical="top"/>
      <protection locked="0" hidden="1"/>
    </xf>
    <xf numFmtId="0" fontId="18" fillId="4" borderId="20" xfId="1" applyFill="1" applyBorder="1" applyAlignment="1" applyProtection="1">
      <alignment horizontal="left" vertical="top"/>
      <protection locked="0" hidden="1"/>
    </xf>
    <xf numFmtId="0" fontId="18" fillId="4" borderId="21" xfId="1" applyFill="1" applyBorder="1" applyAlignment="1" applyProtection="1">
      <alignment horizontal="left" vertical="top"/>
      <protection locked="0" hidden="1"/>
    </xf>
    <xf numFmtId="0" fontId="18" fillId="4" borderId="76" xfId="1" applyFill="1" applyBorder="1" applyAlignment="1" applyProtection="1">
      <alignment horizontal="left" vertical="top"/>
      <protection locked="0" hidden="1"/>
    </xf>
    <xf numFmtId="0" fontId="29" fillId="14" borderId="5" xfId="1" applyFont="1" applyFill="1" applyBorder="1" applyAlignment="1" applyProtection="1">
      <alignment horizontal="center" vertical="center"/>
      <protection hidden="1"/>
    </xf>
    <xf numFmtId="0" fontId="29" fillId="14" borderId="6" xfId="1" applyFont="1" applyFill="1" applyBorder="1" applyAlignment="1" applyProtection="1">
      <alignment horizontal="center" vertical="center"/>
      <protection hidden="1"/>
    </xf>
    <xf numFmtId="0" fontId="29" fillId="14" borderId="22" xfId="1" applyFont="1" applyFill="1" applyBorder="1" applyAlignment="1" applyProtection="1">
      <alignment horizontal="center" vertical="center"/>
      <protection hidden="1"/>
    </xf>
    <xf numFmtId="0" fontId="9" fillId="18" borderId="11" xfId="0" applyFont="1" applyFill="1" applyBorder="1" applyAlignment="1" applyProtection="1">
      <alignment horizontal="right" vertical="center" wrapText="1"/>
      <protection hidden="1"/>
    </xf>
    <xf numFmtId="0" fontId="9" fillId="18" borderId="43" xfId="0" applyFont="1" applyFill="1" applyBorder="1" applyAlignment="1" applyProtection="1">
      <alignment horizontal="right" vertical="center" wrapText="1"/>
      <protection hidden="1"/>
    </xf>
    <xf numFmtId="0" fontId="9" fillId="4" borderId="43" xfId="1" applyFont="1" applyFill="1" applyBorder="1" applyAlignment="1" applyProtection="1">
      <alignment horizontal="left" vertical="center"/>
      <protection hidden="1"/>
    </xf>
    <xf numFmtId="0" fontId="9" fillId="4" borderId="44" xfId="1" applyFont="1" applyFill="1" applyBorder="1" applyAlignment="1" applyProtection="1">
      <alignment horizontal="left" vertical="center"/>
      <protection hidden="1"/>
    </xf>
    <xf numFmtId="0" fontId="9" fillId="18" borderId="56" xfId="0" applyFont="1" applyFill="1" applyBorder="1" applyAlignment="1" applyProtection="1">
      <alignment horizontal="right" vertical="center" wrapText="1"/>
      <protection hidden="1"/>
    </xf>
    <xf numFmtId="0" fontId="9" fillId="18" borderId="57" xfId="0" applyFont="1" applyFill="1" applyBorder="1" applyAlignment="1" applyProtection="1">
      <alignment horizontal="right" vertical="center" wrapText="1"/>
      <protection hidden="1"/>
    </xf>
    <xf numFmtId="0" fontId="9" fillId="4" borderId="57" xfId="1" applyFont="1" applyFill="1" applyBorder="1" applyAlignment="1" applyProtection="1">
      <alignment horizontal="left" vertical="center"/>
      <protection hidden="1"/>
    </xf>
    <xf numFmtId="0" fontId="9" fillId="4" borderId="92" xfId="1" applyFont="1" applyFill="1" applyBorder="1" applyAlignment="1" applyProtection="1">
      <alignment horizontal="left" vertical="center"/>
      <protection hidden="1"/>
    </xf>
    <xf numFmtId="0" fontId="14" fillId="14" borderId="0" xfId="1" applyFont="1" applyFill="1" applyAlignment="1" applyProtection="1">
      <alignment horizontal="center" vertical="center"/>
      <protection hidden="1"/>
    </xf>
    <xf numFmtId="9" fontId="18" fillId="4" borderId="1" xfId="2" applyFont="1" applyFill="1" applyBorder="1" applyAlignment="1" applyProtection="1">
      <alignment horizontal="center" vertical="center"/>
      <protection hidden="1"/>
    </xf>
    <xf numFmtId="9" fontId="18" fillId="4" borderId="3" xfId="2" applyFont="1" applyFill="1" applyBorder="1" applyAlignment="1" applyProtection="1">
      <alignment horizontal="center" vertical="center"/>
      <protection hidden="1"/>
    </xf>
    <xf numFmtId="9" fontId="18" fillId="4" borderId="4" xfId="2" applyFont="1" applyFill="1" applyBorder="1" applyAlignment="1" applyProtection="1">
      <alignment horizontal="center" vertical="center"/>
      <protection hidden="1"/>
    </xf>
    <xf numFmtId="0" fontId="6" fillId="17" borderId="0" xfId="1" applyFont="1" applyFill="1" applyAlignment="1" applyProtection="1">
      <alignment horizontal="right" vertical="top" wrapText="1"/>
      <protection hidden="1"/>
    </xf>
    <xf numFmtId="0" fontId="14" fillId="14" borderId="45" xfId="0" applyFont="1" applyFill="1" applyBorder="1" applyAlignment="1" applyProtection="1">
      <alignment horizontal="center" vertical="center" wrapText="1"/>
      <protection hidden="1"/>
    </xf>
    <xf numFmtId="0" fontId="14" fillId="14" borderId="0" xfId="0" applyFont="1" applyFill="1" applyAlignment="1" applyProtection="1">
      <alignment horizontal="center" vertical="center" wrapText="1"/>
      <protection hidden="1"/>
    </xf>
    <xf numFmtId="0" fontId="14" fillId="14" borderId="46" xfId="0" applyFont="1" applyFill="1" applyBorder="1" applyAlignment="1" applyProtection="1">
      <alignment horizontal="center" vertical="center" wrapText="1"/>
      <protection hidden="1"/>
    </xf>
    <xf numFmtId="0" fontId="14" fillId="14" borderId="98" xfId="0" applyFont="1" applyFill="1" applyBorder="1" applyAlignment="1" applyProtection="1">
      <alignment horizontal="center" vertical="center" wrapText="1"/>
      <protection hidden="1"/>
    </xf>
    <xf numFmtId="0" fontId="14" fillId="14" borderId="77" xfId="0" applyFont="1" applyFill="1" applyBorder="1" applyAlignment="1" applyProtection="1">
      <alignment horizontal="center" vertical="center" wrapText="1"/>
      <protection hidden="1"/>
    </xf>
    <xf numFmtId="0" fontId="14" fillId="14" borderId="51" xfId="0" applyFont="1" applyFill="1" applyBorder="1" applyAlignment="1" applyProtection="1">
      <alignment horizontal="center" vertical="center" wrapText="1"/>
      <protection hidden="1"/>
    </xf>
    <xf numFmtId="0" fontId="14" fillId="14" borderId="116" xfId="0" applyFont="1" applyFill="1" applyBorder="1" applyAlignment="1" applyProtection="1">
      <alignment horizontal="center" vertical="center" wrapText="1"/>
      <protection hidden="1"/>
    </xf>
    <xf numFmtId="0" fontId="14" fillId="14" borderId="37" xfId="0" applyFont="1" applyFill="1" applyBorder="1" applyAlignment="1" applyProtection="1">
      <alignment horizontal="center" vertical="center" wrapText="1"/>
      <protection hidden="1"/>
    </xf>
    <xf numFmtId="0" fontId="14" fillId="14" borderId="107" xfId="0" applyFont="1" applyFill="1" applyBorder="1" applyAlignment="1" applyProtection="1">
      <alignment horizontal="center" vertical="center" wrapText="1"/>
      <protection hidden="1"/>
    </xf>
    <xf numFmtId="0" fontId="14" fillId="14" borderId="111" xfId="0" applyFont="1" applyFill="1" applyBorder="1" applyAlignment="1" applyProtection="1">
      <alignment horizontal="center" vertical="center" wrapText="1"/>
      <protection hidden="1"/>
    </xf>
    <xf numFmtId="0" fontId="14" fillId="14" borderId="112" xfId="0" applyFont="1" applyFill="1" applyBorder="1" applyAlignment="1" applyProtection="1">
      <alignment horizontal="center" vertical="center" wrapText="1"/>
      <protection hidden="1"/>
    </xf>
    <xf numFmtId="0" fontId="14" fillId="14" borderId="20" xfId="0" applyFont="1" applyFill="1" applyBorder="1" applyAlignment="1" applyProtection="1">
      <alignment horizontal="center" vertical="center" wrapText="1"/>
      <protection hidden="1"/>
    </xf>
    <xf numFmtId="0" fontId="15" fillId="16" borderId="105" xfId="0" applyFont="1" applyFill="1" applyBorder="1" applyAlignment="1">
      <alignment horizontal="center" vertical="center" wrapText="1"/>
    </xf>
    <xf numFmtId="0" fontId="15" fillId="16" borderId="125" xfId="0" applyFont="1" applyFill="1" applyBorder="1" applyAlignment="1">
      <alignment horizontal="center" vertical="center" wrapText="1"/>
    </xf>
    <xf numFmtId="0" fontId="16" fillId="5" borderId="1" xfId="1" quotePrefix="1" applyFont="1" applyFill="1" applyBorder="1" applyAlignment="1">
      <alignment horizontal="center" vertical="center" wrapText="1"/>
    </xf>
    <xf numFmtId="0" fontId="16" fillId="5" borderId="2" xfId="1" quotePrefix="1" applyFont="1" applyFill="1" applyBorder="1" applyAlignment="1">
      <alignment horizontal="center" vertical="center" wrapText="1"/>
    </xf>
    <xf numFmtId="0" fontId="16" fillId="5" borderId="3" xfId="1" quotePrefix="1" applyFont="1" applyFill="1" applyBorder="1" applyAlignment="1">
      <alignment horizontal="center" vertical="center" wrapText="1"/>
    </xf>
    <xf numFmtId="0" fontId="16" fillId="17" borderId="1" xfId="1" quotePrefix="1" applyFont="1" applyFill="1" applyBorder="1" applyAlignment="1">
      <alignment horizontal="center" vertical="center" wrapText="1"/>
    </xf>
    <xf numFmtId="0" fontId="16" fillId="17" borderId="2" xfId="1" quotePrefix="1" applyFont="1" applyFill="1" applyBorder="1" applyAlignment="1">
      <alignment horizontal="center" vertical="center" wrapText="1"/>
    </xf>
    <xf numFmtId="0" fontId="16" fillId="17" borderId="3" xfId="1" quotePrefix="1" applyFont="1" applyFill="1" applyBorder="1" applyAlignment="1">
      <alignment horizontal="center" vertical="center" wrapText="1"/>
    </xf>
    <xf numFmtId="0" fontId="31" fillId="16" borderId="0" xfId="1" applyFont="1" applyFill="1" applyAlignment="1">
      <alignment horizontal="center" vertical="center"/>
    </xf>
    <xf numFmtId="0" fontId="9" fillId="17" borderId="0" xfId="1" applyFont="1" applyFill="1" applyAlignment="1">
      <alignment horizontal="right" vertical="top" wrapText="1"/>
    </xf>
    <xf numFmtId="0" fontId="31" fillId="16" borderId="0" xfId="1" applyFont="1" applyFill="1" applyAlignment="1" applyProtection="1">
      <alignment horizontal="left" vertical="center"/>
      <protection hidden="1"/>
    </xf>
    <xf numFmtId="0" fontId="31" fillId="9" borderId="0" xfId="1" applyFont="1" applyFill="1" applyAlignment="1" applyProtection="1">
      <alignment horizontal="left" vertical="center"/>
      <protection hidden="1"/>
    </xf>
    <xf numFmtId="0" fontId="15" fillId="16" borderId="123" xfId="0" applyFont="1" applyFill="1" applyBorder="1" applyAlignment="1">
      <alignment horizontal="center" vertical="center" wrapText="1"/>
    </xf>
    <xf numFmtId="0" fontId="15" fillId="16" borderId="124" xfId="0" applyFont="1" applyFill="1" applyBorder="1" applyAlignment="1">
      <alignment horizontal="center" vertical="center" wrapText="1"/>
    </xf>
    <xf numFmtId="0" fontId="5" fillId="16" borderId="73" xfId="1" applyFont="1" applyFill="1" applyBorder="1" applyAlignment="1">
      <alignment horizontal="center" vertical="center" wrapText="1"/>
    </xf>
    <xf numFmtId="0" fontId="5" fillId="16" borderId="75" xfId="1" applyFont="1" applyFill="1" applyBorder="1" applyAlignment="1">
      <alignment horizontal="center" vertical="center" wrapText="1"/>
    </xf>
    <xf numFmtId="0" fontId="5" fillId="16" borderId="20" xfId="1" applyFont="1" applyFill="1" applyBorder="1" applyAlignment="1">
      <alignment horizontal="center" vertical="center" wrapText="1"/>
    </xf>
    <xf numFmtId="0" fontId="5" fillId="16" borderId="76" xfId="1" applyFont="1" applyFill="1" applyBorder="1" applyAlignment="1">
      <alignment horizontal="center" vertical="center" wrapText="1"/>
    </xf>
    <xf numFmtId="0" fontId="18" fillId="17" borderId="1" xfId="1" applyFill="1" applyBorder="1" applyAlignment="1" applyProtection="1">
      <alignment horizontal="center" vertical="center"/>
      <protection hidden="1"/>
    </xf>
    <xf numFmtId="0" fontId="18" fillId="17" borderId="3" xfId="1" applyFill="1" applyBorder="1" applyAlignment="1" applyProtection="1">
      <alignment horizontal="center" vertical="center"/>
      <protection hidden="1"/>
    </xf>
    <xf numFmtId="0" fontId="5" fillId="16" borderId="13" xfId="1" applyFont="1" applyFill="1" applyBorder="1" applyAlignment="1">
      <alignment horizontal="center" wrapText="1"/>
    </xf>
    <xf numFmtId="0" fontId="5" fillId="16" borderId="77" xfId="1" applyFont="1" applyFill="1" applyBorder="1" applyAlignment="1">
      <alignment horizontal="center" wrapText="1"/>
    </xf>
    <xf numFmtId="0" fontId="11" fillId="16" borderId="4" xfId="1" applyFont="1" applyFill="1" applyBorder="1" applyAlignment="1">
      <alignment horizontal="center" vertical="center"/>
    </xf>
    <xf numFmtId="0" fontId="5" fillId="16" borderId="13" xfId="1" applyFont="1" applyFill="1" applyBorder="1" applyAlignment="1">
      <alignment horizontal="center" vertical="center" wrapText="1"/>
    </xf>
    <xf numFmtId="0" fontId="5" fillId="16" borderId="77" xfId="1" applyFont="1" applyFill="1" applyBorder="1" applyAlignment="1">
      <alignment horizontal="center" vertical="center" wrapText="1"/>
    </xf>
    <xf numFmtId="0" fontId="29" fillId="16" borderId="5" xfId="1" applyFont="1" applyFill="1" applyBorder="1" applyAlignment="1" applyProtection="1">
      <alignment horizontal="center" vertical="center"/>
      <protection hidden="1"/>
    </xf>
    <xf numFmtId="0" fontId="29" fillId="16" borderId="6" xfId="1" applyFont="1" applyFill="1" applyBorder="1" applyAlignment="1" applyProtection="1">
      <alignment horizontal="center" vertical="center"/>
      <protection hidden="1"/>
    </xf>
    <xf numFmtId="0" fontId="29" fillId="16" borderId="22" xfId="1" applyFont="1" applyFill="1" applyBorder="1" applyAlignment="1" applyProtection="1">
      <alignment horizontal="center" vertical="center"/>
      <protection hidden="1"/>
    </xf>
    <xf numFmtId="0" fontId="9" fillId="18" borderId="11" xfId="0" applyFont="1" applyFill="1" applyBorder="1" applyAlignment="1">
      <alignment horizontal="right" vertical="center" wrapText="1"/>
    </xf>
    <xf numFmtId="0" fontId="9" fillId="18" borderId="43" xfId="0" applyFont="1" applyFill="1" applyBorder="1" applyAlignment="1">
      <alignment horizontal="right" vertical="center" wrapText="1"/>
    </xf>
    <xf numFmtId="0" fontId="9" fillId="18" borderId="56" xfId="0" applyFont="1" applyFill="1" applyBorder="1" applyAlignment="1">
      <alignment horizontal="right" vertical="center" wrapText="1"/>
    </xf>
    <xf numFmtId="0" fontId="9" fillId="18" borderId="57" xfId="0" applyFont="1" applyFill="1" applyBorder="1" applyAlignment="1">
      <alignment horizontal="right" vertical="center" wrapText="1"/>
    </xf>
    <xf numFmtId="0" fontId="5" fillId="16" borderId="74" xfId="1" applyFont="1" applyFill="1" applyBorder="1" applyAlignment="1">
      <alignment horizontal="center" vertical="center" wrapText="1"/>
    </xf>
    <xf numFmtId="0" fontId="5" fillId="16" borderId="21" xfId="1" applyFont="1" applyFill="1" applyBorder="1" applyAlignment="1">
      <alignment horizontal="center" vertical="center" wrapText="1"/>
    </xf>
    <xf numFmtId="0" fontId="71" fillId="13" borderId="50" xfId="0" applyFont="1" applyFill="1" applyBorder="1" applyAlignment="1">
      <alignment horizontal="right" vertical="center" wrapText="1"/>
    </xf>
    <xf numFmtId="0" fontId="71" fillId="13" borderId="42" xfId="0" applyFont="1" applyFill="1" applyBorder="1" applyAlignment="1">
      <alignment horizontal="right" vertical="center" wrapText="1"/>
    </xf>
    <xf numFmtId="14" fontId="34" fillId="3" borderId="100" xfId="0" applyNumberFormat="1" applyFont="1" applyFill="1" applyBorder="1" applyAlignment="1" applyProtection="1">
      <alignment horizontal="center" vertical="center"/>
      <protection locked="0"/>
    </xf>
    <xf numFmtId="14" fontId="34" fillId="3" borderId="3" xfId="0" applyNumberFormat="1" applyFont="1" applyFill="1" applyBorder="1" applyAlignment="1" applyProtection="1">
      <alignment horizontal="center" vertical="center"/>
      <protection locked="0"/>
    </xf>
    <xf numFmtId="0" fontId="71" fillId="16" borderId="50" xfId="0" applyFont="1" applyFill="1" applyBorder="1" applyAlignment="1">
      <alignment horizontal="right" vertical="center" wrapText="1"/>
    </xf>
    <xf numFmtId="0" fontId="71" fillId="16" borderId="42" xfId="0" applyFont="1" applyFill="1" applyBorder="1" applyAlignment="1">
      <alignment horizontal="right" vertical="center" wrapText="1"/>
    </xf>
    <xf numFmtId="0" fontId="59" fillId="17" borderId="39" xfId="0" applyFont="1" applyFill="1" applyBorder="1" applyAlignment="1">
      <alignment horizontal="center" vertical="center"/>
    </xf>
    <xf numFmtId="0" fontId="59" fillId="17" borderId="52" xfId="0" applyFont="1" applyFill="1" applyBorder="1" applyAlignment="1">
      <alignment horizontal="center" vertical="center"/>
    </xf>
    <xf numFmtId="0" fontId="59" fillId="17" borderId="31" xfId="0" applyFont="1" applyFill="1" applyBorder="1" applyAlignment="1">
      <alignment horizontal="center" vertical="center" wrapText="1"/>
    </xf>
    <xf numFmtId="0" fontId="59" fillId="17" borderId="98" xfId="0" applyFont="1" applyFill="1" applyBorder="1" applyAlignment="1">
      <alignment horizontal="center" vertical="center" wrapText="1"/>
    </xf>
    <xf numFmtId="0" fontId="59" fillId="17" borderId="23" xfId="0" applyFont="1" applyFill="1" applyBorder="1" applyAlignment="1">
      <alignment horizontal="left" vertical="center" wrapText="1"/>
    </xf>
    <xf numFmtId="0" fontId="59" fillId="17" borderId="96" xfId="0" applyFont="1" applyFill="1" applyBorder="1" applyAlignment="1">
      <alignment horizontal="left" vertical="center" wrapText="1"/>
    </xf>
    <xf numFmtId="0" fontId="57" fillId="3" borderId="48" xfId="0" applyFont="1" applyFill="1" applyBorder="1" applyAlignment="1" applyProtection="1">
      <alignment horizontal="center" vertical="center" wrapText="1"/>
      <protection locked="0"/>
    </xf>
    <xf numFmtId="0" fontId="57" fillId="3" borderId="49" xfId="0" applyFont="1" applyFill="1" applyBorder="1" applyAlignment="1" applyProtection="1">
      <alignment horizontal="center" vertical="center" wrapText="1"/>
      <protection locked="0"/>
    </xf>
    <xf numFmtId="0" fontId="56" fillId="17" borderId="73" xfId="0" applyFont="1" applyFill="1" applyBorder="1" applyAlignment="1">
      <alignment horizontal="center" vertical="center" wrapText="1"/>
    </xf>
    <xf numFmtId="0" fontId="56" fillId="17" borderId="21" xfId="0" applyFont="1" applyFill="1" applyBorder="1" applyAlignment="1">
      <alignment horizontal="center" vertical="center" wrapText="1"/>
    </xf>
    <xf numFmtId="0" fontId="56" fillId="17" borderId="14" xfId="0" applyFont="1" applyFill="1" applyBorder="1" applyAlignment="1">
      <alignment horizontal="center" vertical="center" wrapText="1"/>
    </xf>
    <xf numFmtId="0" fontId="56" fillId="17" borderId="48" xfId="0" applyFont="1" applyFill="1" applyBorder="1" applyAlignment="1">
      <alignment horizontal="center" vertical="center" wrapText="1"/>
    </xf>
    <xf numFmtId="0" fontId="57" fillId="3" borderId="47" xfId="0" applyFont="1" applyFill="1" applyBorder="1" applyAlignment="1" applyProtection="1">
      <alignment horizontal="left" vertical="center" wrapText="1"/>
      <protection locked="0"/>
    </xf>
    <xf numFmtId="0" fontId="57" fillId="3" borderId="10" xfId="0" applyFont="1" applyFill="1" applyBorder="1" applyAlignment="1" applyProtection="1">
      <alignment horizontal="left" vertical="center" wrapText="1"/>
      <protection locked="0"/>
    </xf>
    <xf numFmtId="0" fontId="56" fillId="17" borderId="55" xfId="0" applyFont="1" applyFill="1" applyBorder="1" applyAlignment="1">
      <alignment horizontal="center" vertical="center" wrapText="1"/>
    </xf>
    <xf numFmtId="0" fontId="56" fillId="17" borderId="39" xfId="0" applyFont="1" applyFill="1" applyBorder="1" applyAlignment="1">
      <alignment horizontal="center" vertical="center" wrapText="1"/>
    </xf>
    <xf numFmtId="0" fontId="56" fillId="17" borderId="50" xfId="0" applyFont="1" applyFill="1" applyBorder="1" applyAlignment="1">
      <alignment horizontal="center" vertical="center" wrapText="1"/>
    </xf>
    <xf numFmtId="0" fontId="56" fillId="17" borderId="17" xfId="0" applyFont="1" applyFill="1" applyBorder="1" applyAlignment="1">
      <alignment horizontal="center" vertical="center" wrapText="1"/>
    </xf>
    <xf numFmtId="0" fontId="56" fillId="17" borderId="20" xfId="0" applyFont="1" applyFill="1" applyBorder="1" applyAlignment="1">
      <alignment horizontal="center" vertical="center" wrapText="1"/>
    </xf>
    <xf numFmtId="0" fontId="56" fillId="17" borderId="53" xfId="0" applyFont="1" applyFill="1" applyBorder="1" applyAlignment="1">
      <alignment horizontal="center" vertical="center" wrapText="1"/>
    </xf>
    <xf numFmtId="0" fontId="56" fillId="17" borderId="102" xfId="0" applyFont="1" applyFill="1" applyBorder="1" applyAlignment="1">
      <alignment horizontal="center" vertical="center" wrapText="1"/>
    </xf>
    <xf numFmtId="0" fontId="59" fillId="17" borderId="44" xfId="0" applyFont="1" applyFill="1" applyBorder="1" applyAlignment="1">
      <alignment horizontal="center" vertical="center"/>
    </xf>
    <xf numFmtId="0" fontId="59" fillId="17" borderId="54" xfId="0" applyFont="1" applyFill="1" applyBorder="1" applyAlignment="1">
      <alignment horizontal="center" vertical="center"/>
    </xf>
    <xf numFmtId="0" fontId="59" fillId="17" borderId="33" xfId="0" applyFont="1" applyFill="1" applyBorder="1" applyAlignment="1">
      <alignment horizontal="center" vertical="center"/>
    </xf>
    <xf numFmtId="0" fontId="59" fillId="17" borderId="101" xfId="0" applyFont="1" applyFill="1" applyBorder="1" applyAlignment="1">
      <alignment horizontal="center" vertical="center"/>
    </xf>
    <xf numFmtId="0" fontId="57" fillId="3" borderId="17" xfId="0" applyFont="1" applyFill="1" applyBorder="1" applyAlignment="1" applyProtection="1">
      <alignment horizontal="center" vertical="center" wrapText="1"/>
      <protection locked="0"/>
    </xf>
    <xf numFmtId="0" fontId="57" fillId="3" borderId="41" xfId="0" applyFont="1" applyFill="1" applyBorder="1" applyAlignment="1" applyProtection="1">
      <alignment horizontal="left" vertical="center" wrapText="1"/>
      <protection locked="0"/>
    </xf>
    <xf numFmtId="0" fontId="82" fillId="6" borderId="150" xfId="0" applyFont="1" applyFill="1" applyBorder="1" applyAlignment="1">
      <alignment horizontal="left" vertical="center" wrapText="1"/>
    </xf>
    <xf numFmtId="0" fontId="82" fillId="6" borderId="151" xfId="0" applyFont="1" applyFill="1" applyBorder="1" applyAlignment="1">
      <alignment horizontal="left" vertical="center" wrapText="1"/>
    </xf>
    <xf numFmtId="0" fontId="82" fillId="6" borderId="152" xfId="0" applyFont="1" applyFill="1" applyBorder="1" applyAlignment="1">
      <alignment horizontal="left" vertical="center" wrapText="1"/>
    </xf>
    <xf numFmtId="0" fontId="82" fillId="6" borderId="153" xfId="0" applyFont="1" applyFill="1" applyBorder="1" applyAlignment="1">
      <alignment horizontal="left" vertical="center" wrapText="1"/>
    </xf>
    <xf numFmtId="0" fontId="82" fillId="0" borderId="151" xfId="0" applyFont="1" applyBorder="1" applyAlignment="1">
      <alignment horizontal="left" vertical="center"/>
    </xf>
    <xf numFmtId="0" fontId="82" fillId="0" borderId="145" xfId="0" applyFont="1" applyBorder="1" applyAlignment="1">
      <alignment horizontal="left" vertical="center"/>
    </xf>
    <xf numFmtId="0" fontId="82" fillId="0" borderId="153" xfId="0" applyFont="1" applyBorder="1" applyAlignment="1">
      <alignment horizontal="left" vertical="center"/>
    </xf>
    <xf numFmtId="0" fontId="82" fillId="0" borderId="149" xfId="0" applyFont="1" applyBorder="1" applyAlignment="1">
      <alignment horizontal="left" vertical="center"/>
    </xf>
    <xf numFmtId="0" fontId="86" fillId="0" borderId="103" xfId="0" applyFont="1" applyBorder="1" applyAlignment="1">
      <alignment horizontal="left" vertical="center"/>
    </xf>
    <xf numFmtId="0" fontId="86" fillId="0" borderId="0" xfId="0" applyFont="1" applyAlignment="1">
      <alignment horizontal="left" vertical="center"/>
    </xf>
    <xf numFmtId="0" fontId="82" fillId="0" borderId="0" xfId="0" applyFont="1" applyAlignment="1">
      <alignment horizontal="left" vertical="center"/>
    </xf>
    <xf numFmtId="0" fontId="84" fillId="21" borderId="1" xfId="0" applyFont="1" applyFill="1" applyBorder="1" applyAlignment="1">
      <alignment horizontal="left" vertical="center"/>
    </xf>
    <xf numFmtId="0" fontId="84" fillId="21" borderId="2" xfId="0" applyFont="1" applyFill="1" applyBorder="1" applyAlignment="1">
      <alignment horizontal="left" vertical="center"/>
    </xf>
    <xf numFmtId="0" fontId="84" fillId="21" borderId="3" xfId="0" applyFont="1" applyFill="1" applyBorder="1" applyAlignment="1">
      <alignment horizontal="left" vertical="center"/>
    </xf>
    <xf numFmtId="0" fontId="82" fillId="6" borderId="148" xfId="0" applyFont="1" applyFill="1" applyBorder="1" applyAlignment="1">
      <alignment horizontal="left" vertical="center"/>
    </xf>
    <xf numFmtId="0" fontId="82" fillId="6" borderId="143" xfId="0" applyFont="1" applyFill="1" applyBorder="1" applyAlignment="1">
      <alignment horizontal="left" vertical="center"/>
    </xf>
    <xf numFmtId="0" fontId="82" fillId="0" borderId="143" xfId="0" applyFont="1" applyBorder="1" applyAlignment="1">
      <alignment horizontal="left" vertical="center"/>
    </xf>
    <xf numFmtId="0" fontId="82" fillId="0" borderId="144" xfId="0" applyFont="1" applyBorder="1" applyAlignment="1">
      <alignment horizontal="left" vertical="center"/>
    </xf>
    <xf numFmtId="0" fontId="0" fillId="20" borderId="4" xfId="0" applyFill="1" applyBorder="1" applyAlignment="1">
      <alignment horizontal="center" vertical="center"/>
    </xf>
    <xf numFmtId="0" fontId="0" fillId="22" borderId="4" xfId="0" applyFill="1" applyBorder="1" applyAlignment="1">
      <alignment horizontal="center" vertical="center"/>
    </xf>
    <xf numFmtId="0" fontId="0" fillId="20" borderId="13" xfId="0" applyFill="1" applyBorder="1" applyAlignment="1">
      <alignment horizontal="center" vertical="center"/>
    </xf>
    <xf numFmtId="0" fontId="0" fillId="0" borderId="13" xfId="0" applyBorder="1" applyAlignment="1">
      <alignment horizontal="center" vertical="center"/>
    </xf>
    <xf numFmtId="165" fontId="0" fillId="0" borderId="13" xfId="0" applyNumberFormat="1" applyBorder="1" applyAlignment="1">
      <alignment horizontal="center" vertical="center"/>
    </xf>
    <xf numFmtId="0" fontId="0" fillId="6" borderId="4" xfId="0" applyFill="1" applyBorder="1" applyAlignment="1">
      <alignment horizontal="center" vertical="center"/>
    </xf>
    <xf numFmtId="0" fontId="0" fillId="6" borderId="4" xfId="0" applyFill="1" applyBorder="1" applyAlignment="1">
      <alignment horizontal="center" vertical="center" wrapText="1"/>
    </xf>
    <xf numFmtId="0" fontId="0" fillId="20" borderId="146" xfId="0" applyFill="1" applyBorder="1" applyAlignment="1">
      <alignment horizontal="center" vertical="center"/>
    </xf>
    <xf numFmtId="0" fontId="0" fillId="0" borderId="146" xfId="0" applyBorder="1" applyAlignment="1">
      <alignment horizontal="center" vertical="center"/>
    </xf>
    <xf numFmtId="10" fontId="0" fillId="0" borderId="140" xfId="0" applyNumberFormat="1" applyBorder="1" applyAlignment="1">
      <alignment horizontal="center" vertical="center"/>
    </xf>
    <xf numFmtId="10" fontId="0" fillId="0" borderId="125" xfId="0" applyNumberFormat="1" applyBorder="1" applyAlignment="1">
      <alignment horizontal="center" vertical="center"/>
    </xf>
    <xf numFmtId="0" fontId="83" fillId="3" borderId="0" xfId="0" applyFont="1" applyFill="1" applyAlignment="1">
      <alignment horizontal="left" vertical="center"/>
    </xf>
    <xf numFmtId="0" fontId="83" fillId="20" borderId="154" xfId="0" applyFont="1" applyFill="1" applyBorder="1" applyAlignment="1">
      <alignment horizontal="left" vertical="top" wrapText="1"/>
    </xf>
    <xf numFmtId="0" fontId="83" fillId="20" borderId="155" xfId="0" applyFont="1" applyFill="1" applyBorder="1" applyAlignment="1">
      <alignment horizontal="left" vertical="top" wrapText="1"/>
    </xf>
    <xf numFmtId="0" fontId="83" fillId="20" borderId="156" xfId="0" applyFont="1" applyFill="1" applyBorder="1" applyAlignment="1">
      <alignment horizontal="left" vertical="top" wrapText="1"/>
    </xf>
    <xf numFmtId="0" fontId="83" fillId="20" borderId="157" xfId="0" applyFont="1" applyFill="1" applyBorder="1" applyAlignment="1">
      <alignment horizontal="left" vertical="top" wrapText="1"/>
    </xf>
    <xf numFmtId="0" fontId="83" fillId="20" borderId="0" xfId="0" applyFont="1" applyFill="1" applyAlignment="1">
      <alignment horizontal="left" vertical="top" wrapText="1"/>
    </xf>
    <xf numFmtId="0" fontId="83" fillId="20" borderId="158" xfId="0" applyFont="1" applyFill="1" applyBorder="1" applyAlignment="1">
      <alignment horizontal="left" vertical="top" wrapText="1"/>
    </xf>
    <xf numFmtId="0" fontId="83" fillId="20" borderId="159" xfId="0" applyFont="1" applyFill="1" applyBorder="1" applyAlignment="1">
      <alignment horizontal="left" vertical="top" wrapText="1"/>
    </xf>
    <xf numFmtId="0" fontId="83" fillId="20" borderId="160" xfId="0" applyFont="1" applyFill="1" applyBorder="1" applyAlignment="1">
      <alignment horizontal="left" vertical="top" wrapText="1"/>
    </xf>
    <xf numFmtId="0" fontId="83" fillId="20" borderId="161" xfId="0" applyFont="1" applyFill="1" applyBorder="1" applyAlignment="1">
      <alignment horizontal="left" vertical="top" wrapText="1"/>
    </xf>
    <xf numFmtId="0" fontId="0" fillId="0" borderId="4" xfId="0" applyBorder="1" applyAlignment="1">
      <alignment horizontal="center" vertical="center"/>
    </xf>
    <xf numFmtId="10" fontId="0" fillId="0" borderId="1" xfId="0" applyNumberFormat="1" applyBorder="1" applyAlignment="1">
      <alignment horizontal="center" vertical="center"/>
    </xf>
    <xf numFmtId="10" fontId="0" fillId="0" borderId="3" xfId="0" applyNumberFormat="1" applyBorder="1" applyAlignment="1">
      <alignment horizontal="center" vertical="center"/>
    </xf>
    <xf numFmtId="0" fontId="0" fillId="20" borderId="147" xfId="0" applyFill="1" applyBorder="1" applyAlignment="1">
      <alignment horizontal="center" vertical="center"/>
    </xf>
    <xf numFmtId="0" fontId="0" fillId="0" borderId="147" xfId="0" applyBorder="1" applyAlignment="1">
      <alignment horizontal="center" vertical="center"/>
    </xf>
    <xf numFmtId="10" fontId="0" fillId="0" borderId="141" xfId="0" applyNumberFormat="1" applyBorder="1" applyAlignment="1">
      <alignment horizontal="center" vertical="center"/>
    </xf>
    <xf numFmtId="10" fontId="0" fillId="0" borderId="142" xfId="0" applyNumberFormat="1" applyBorder="1" applyAlignment="1">
      <alignment horizontal="center" vertical="center"/>
    </xf>
    <xf numFmtId="0" fontId="18" fillId="17" borderId="0" xfId="1" applyFill="1" applyAlignment="1" applyProtection="1">
      <alignment horizontal="center" vertical="center" wrapText="1"/>
      <protection hidden="1"/>
    </xf>
    <xf numFmtId="0" fontId="9" fillId="0" borderId="0" xfId="1" applyFont="1" applyAlignment="1" applyProtection="1">
      <alignment horizontal="left" vertical="center" wrapText="1"/>
      <protection hidden="1"/>
    </xf>
    <xf numFmtId="0" fontId="18" fillId="0" borderId="0" xfId="1" applyAlignment="1" applyProtection="1">
      <alignment horizontal="left" vertical="center" wrapText="1"/>
      <protection hidden="1"/>
    </xf>
  </cellXfs>
  <cellStyles count="7">
    <cellStyle name="Normal" xfId="0" builtinId="0"/>
    <cellStyle name="Normal 2" xfId="1" xr:uid="{00000000-0005-0000-0000-000002000000}"/>
    <cellStyle name="Normal 3" xfId="3" xr:uid="{00000000-0005-0000-0000-000003000000}"/>
    <cellStyle name="Normal 4" xfId="4" xr:uid="{00000000-0005-0000-0000-000004000000}"/>
    <cellStyle name="Normal 5" xfId="5" xr:uid="{00000000-0005-0000-0000-000005000000}"/>
    <cellStyle name="Normal 6" xfId="6" xr:uid="{A19F0B02-47E9-4D2C-B3F6-A8C99D86DDDE}"/>
    <cellStyle name="Pourcentage 2" xfId="2" xr:uid="{00000000-0005-0000-0000-000006000000}"/>
  </cellStyles>
  <dxfs count="776">
    <dxf>
      <fill>
        <patternFill>
          <bgColor theme="0"/>
        </patternFill>
      </fill>
      <border>
        <left style="hair">
          <color auto="1"/>
        </left>
        <right style="thin">
          <color auto="1"/>
        </right>
        <top style="thin">
          <color auto="1"/>
        </top>
        <bottom style="thin">
          <color auto="1"/>
        </bottom>
        <vertical/>
        <horizontal/>
      </border>
    </dxf>
    <dxf>
      <font>
        <color auto="1"/>
      </font>
      <border>
        <left style="hair">
          <color auto="1"/>
        </left>
        <right style="thin">
          <color auto="1"/>
        </right>
        <top style="thin">
          <color auto="1"/>
        </top>
        <bottom style="thin">
          <color auto="1"/>
        </bottom>
        <vertical/>
        <horizontal/>
      </border>
    </dxf>
    <dxf>
      <font>
        <color auto="1"/>
      </font>
      <fill>
        <patternFill>
          <bgColor theme="6" tint="0.79998168889431442"/>
        </patternFill>
      </fill>
      <border>
        <left style="thin">
          <color auto="1"/>
        </left>
        <right style="hair">
          <color auto="1"/>
        </right>
        <top style="thin">
          <color auto="1"/>
        </top>
        <bottom style="thin">
          <color auto="1"/>
        </bottom>
        <vertical/>
        <horizontal/>
      </border>
    </dxf>
    <dxf>
      <font>
        <color auto="1"/>
      </font>
      <fill>
        <patternFill>
          <bgColor theme="6" tint="0.79998168889431442"/>
        </patternFill>
      </fill>
      <border>
        <left style="thin">
          <color auto="1"/>
        </left>
        <right style="hair">
          <color auto="1"/>
        </right>
        <top style="thin">
          <color auto="1"/>
        </top>
        <bottom style="thin">
          <color auto="1"/>
        </bottom>
        <vertical/>
        <horizontal/>
      </border>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s>
  <tableStyles count="0" defaultTableStyle="TableStyleMedium2" defaultPivotStyle="PivotStyleLight16"/>
  <colors>
    <mruColors>
      <color rgb="FF76B82A"/>
      <color rgb="FF002DE0"/>
      <color rgb="FF00E0B3"/>
      <color rgb="FF009DE0"/>
      <color rgb="FF009FE3"/>
      <color rgb="FF008080"/>
      <color rgb="FF00B0AC"/>
      <color rgb="FFFFFFB9"/>
      <color rgb="FF006699"/>
      <color rgb="FFD9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25" dT="2023-11-24T10:15:44.48" personId="{5FA9D90E-9B90-4400-BDE0-D953E751ACC4}" id="{B4132B75-E79F-4C91-84CF-E3DED874F9F6}">
    <text>En attente du retour de RMC si % ou mg/l</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9.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346" t="s">
        <v>0</v>
      </c>
      <c r="H3" s="347"/>
      <c r="I3" s="347"/>
      <c r="J3" s="347"/>
      <c r="K3" s="348"/>
    </row>
    <row r="4" spans="2:11" ht="13" thickBot="1" x14ac:dyDescent="0.45">
      <c r="G4" s="349"/>
      <c r="H4" s="350"/>
      <c r="I4" s="350"/>
      <c r="J4" s="350"/>
      <c r="K4" s="351"/>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5" customWidth="1"/>
    <col min="2" max="2" width="90.703125" style="146" customWidth="1"/>
    <col min="3" max="3" width="13.41015625" style="83" customWidth="1"/>
    <col min="4" max="4" width="6.703125" style="83" customWidth="1"/>
    <col min="5" max="5" width="5.703125" style="83" customWidth="1"/>
    <col min="6" max="6" width="2.703125" style="145" customWidth="1"/>
    <col min="7" max="7" width="90.703125" style="83" customWidth="1"/>
    <col min="8" max="8" width="13.29296875" style="83" customWidth="1"/>
    <col min="9" max="9" width="6.703125" style="83" customWidth="1"/>
    <col min="10" max="10" width="3.1171875" style="83" hidden="1" customWidth="1"/>
    <col min="11" max="11" width="2.703125" style="145" customWidth="1"/>
    <col min="12" max="12" width="90.703125" style="83" customWidth="1"/>
    <col min="13" max="13" width="13.29296875" style="83" customWidth="1"/>
    <col min="14" max="14" width="6.703125" style="83" customWidth="1"/>
    <col min="15" max="15" width="4.87890625" style="83" hidden="1" customWidth="1"/>
    <col min="16" max="16" width="2.703125" style="145" customWidth="1"/>
    <col min="17" max="17" width="90.703125" style="83" customWidth="1"/>
    <col min="18" max="18" width="13.29296875" style="83" customWidth="1"/>
    <col min="19" max="19" width="6.703125" style="83" customWidth="1"/>
    <col min="20" max="20" width="4.87890625" style="83" hidden="1" customWidth="1"/>
    <col min="21" max="21" width="2.703125" style="83" customWidth="1"/>
    <col min="22" max="22" width="90.703125" style="83" customWidth="1"/>
    <col min="23" max="23" width="13.29296875" style="83" customWidth="1"/>
    <col min="24" max="24" width="6.703125" style="83" customWidth="1"/>
    <col min="25" max="25" width="4.87890625" style="83" hidden="1" customWidth="1"/>
    <col min="26" max="26" width="2.703125" style="83" customWidth="1"/>
    <col min="27" max="27" width="90.703125" style="83" customWidth="1"/>
    <col min="28" max="28" width="13.29296875" style="83" customWidth="1"/>
    <col min="29" max="29" width="6.703125" style="83" customWidth="1"/>
    <col min="30" max="30" width="4.87890625" style="83" hidden="1" customWidth="1"/>
    <col min="31" max="31" width="2.703125" style="83" customWidth="1"/>
    <col min="32" max="32" width="90.703125" style="83" customWidth="1"/>
    <col min="33" max="33" width="13.29296875" style="83" customWidth="1"/>
    <col min="34" max="34" width="6.703125" style="83" customWidth="1"/>
    <col min="35" max="35" width="4.87890625" style="83" hidden="1" customWidth="1"/>
    <col min="36" max="36" width="2.703125" style="83" customWidth="1"/>
    <col min="37" max="37" width="90.703125" style="83" customWidth="1"/>
    <col min="38" max="38" width="13.29296875" style="83" customWidth="1"/>
    <col min="39" max="39" width="6.703125" style="83" customWidth="1"/>
    <col min="40" max="40" width="4.87890625" style="83" hidden="1" customWidth="1"/>
    <col min="41" max="41" width="2.703125" style="83" customWidth="1"/>
    <col min="42" max="42" width="90.703125" style="83" customWidth="1"/>
    <col min="43" max="43" width="13.29296875" style="83" customWidth="1"/>
    <col min="44" max="44" width="6.703125" style="83" customWidth="1"/>
    <col min="45" max="45" width="4.87890625" style="83" hidden="1" customWidth="1"/>
    <col min="46" max="46" width="2.703125" style="83" customWidth="1"/>
    <col min="47" max="47" width="90.703125" style="83" customWidth="1"/>
    <col min="48" max="48" width="13.29296875" style="83" customWidth="1"/>
    <col min="49" max="49" width="6.703125" style="83" customWidth="1"/>
    <col min="50" max="50" width="4.87890625" style="83" hidden="1" customWidth="1"/>
    <col min="51" max="51" width="2.703125" style="83" customWidth="1"/>
    <col min="52" max="52" width="90.703125" style="83" customWidth="1"/>
    <col min="53" max="53" width="13.29296875" style="83" customWidth="1"/>
    <col min="54" max="54" width="6.703125" style="83" customWidth="1"/>
    <col min="55" max="55" width="4.87890625" style="83" hidden="1" customWidth="1"/>
    <col min="56" max="56" width="2.703125" style="83" customWidth="1"/>
    <col min="57" max="57" width="90.703125" style="83" customWidth="1"/>
    <col min="58" max="58" width="13.29296875" style="83" customWidth="1"/>
    <col min="59" max="59" width="6.703125" style="83" customWidth="1"/>
    <col min="60" max="60" width="4.87890625" style="83" hidden="1" customWidth="1"/>
    <col min="61" max="16384" width="11.41015625" style="83"/>
  </cols>
  <sheetData>
    <row r="1" spans="1:60" s="94" customFormat="1" ht="16.5" customHeight="1" thickBot="1" x14ac:dyDescent="0.55000000000000004">
      <c r="A1" s="377" t="s">
        <v>23</v>
      </c>
      <c r="B1" s="378"/>
      <c r="C1" s="378"/>
      <c r="D1" s="379"/>
      <c r="F1" s="377" t="s">
        <v>24</v>
      </c>
      <c r="G1" s="378"/>
      <c r="H1" s="378"/>
      <c r="I1" s="379"/>
      <c r="K1" s="377" t="s">
        <v>25</v>
      </c>
      <c r="L1" s="378"/>
      <c r="M1" s="378"/>
      <c r="N1" s="379"/>
      <c r="P1" s="377" t="s">
        <v>33</v>
      </c>
      <c r="Q1" s="378"/>
      <c r="R1" s="378"/>
      <c r="S1" s="379"/>
      <c r="U1" s="377" t="s">
        <v>34</v>
      </c>
      <c r="V1" s="378"/>
      <c r="W1" s="378"/>
      <c r="X1" s="379"/>
      <c r="Z1" s="377" t="s">
        <v>35</v>
      </c>
      <c r="AA1" s="378"/>
      <c r="AB1" s="378"/>
      <c r="AC1" s="379"/>
      <c r="AE1" s="377" t="s">
        <v>36</v>
      </c>
      <c r="AF1" s="378"/>
      <c r="AG1" s="378"/>
      <c r="AH1" s="379"/>
      <c r="AJ1" s="377" t="s">
        <v>37</v>
      </c>
      <c r="AK1" s="378"/>
      <c r="AL1" s="378"/>
      <c r="AM1" s="379"/>
      <c r="AO1" s="377" t="s">
        <v>38</v>
      </c>
      <c r="AP1" s="378"/>
      <c r="AQ1" s="378"/>
      <c r="AR1" s="379"/>
      <c r="AT1" s="377" t="s">
        <v>39</v>
      </c>
      <c r="AU1" s="378"/>
      <c r="AV1" s="378"/>
      <c r="AW1" s="379"/>
      <c r="AY1" s="377" t="s">
        <v>40</v>
      </c>
      <c r="AZ1" s="378"/>
      <c r="BA1" s="378"/>
      <c r="BB1" s="379"/>
      <c r="BD1" s="377" t="s">
        <v>41</v>
      </c>
      <c r="BE1" s="378"/>
      <c r="BF1" s="380"/>
      <c r="BG1" s="381"/>
    </row>
    <row r="2" spans="1:60" ht="15" customHeight="1" thickBot="1" x14ac:dyDescent="0.45">
      <c r="A2" s="385" t="s">
        <v>42</v>
      </c>
      <c r="B2" s="386"/>
      <c r="C2" s="391" t="s">
        <v>43</v>
      </c>
      <c r="D2" s="392"/>
      <c r="F2" s="385" t="s">
        <v>42</v>
      </c>
      <c r="G2" s="386"/>
      <c r="H2" s="368" t="s">
        <v>43</v>
      </c>
      <c r="I2" s="369"/>
      <c r="K2" s="382" t="s">
        <v>42</v>
      </c>
      <c r="L2" s="383"/>
      <c r="M2" s="368" t="s">
        <v>43</v>
      </c>
      <c r="N2" s="369"/>
      <c r="P2" s="389" t="s">
        <v>42</v>
      </c>
      <c r="Q2" s="390"/>
      <c r="R2" s="368" t="s">
        <v>43</v>
      </c>
      <c r="S2" s="369"/>
      <c r="U2" s="382" t="s">
        <v>42</v>
      </c>
      <c r="V2" s="383"/>
      <c r="W2" s="368" t="s">
        <v>43</v>
      </c>
      <c r="X2" s="369"/>
      <c r="Z2" s="382" t="s">
        <v>42</v>
      </c>
      <c r="AA2" s="383"/>
      <c r="AB2" s="368" t="s">
        <v>43</v>
      </c>
      <c r="AC2" s="369"/>
      <c r="AE2" s="382" t="s">
        <v>42</v>
      </c>
      <c r="AF2" s="383"/>
      <c r="AG2" s="368" t="s">
        <v>43</v>
      </c>
      <c r="AH2" s="369"/>
      <c r="AJ2" s="382" t="s">
        <v>42</v>
      </c>
      <c r="AK2" s="383"/>
      <c r="AL2" s="368" t="s">
        <v>43</v>
      </c>
      <c r="AM2" s="369"/>
      <c r="AO2" s="382" t="s">
        <v>42</v>
      </c>
      <c r="AP2" s="383"/>
      <c r="AQ2" s="368" t="s">
        <v>43</v>
      </c>
      <c r="AR2" s="369"/>
      <c r="AT2" s="382" t="s">
        <v>42</v>
      </c>
      <c r="AU2" s="383"/>
      <c r="AV2" s="368" t="s">
        <v>43</v>
      </c>
      <c r="AW2" s="369"/>
      <c r="AY2" s="382" t="s">
        <v>42</v>
      </c>
      <c r="AZ2" s="383"/>
      <c r="BA2" s="368" t="s">
        <v>43</v>
      </c>
      <c r="BB2" s="369"/>
      <c r="BD2" s="382" t="s">
        <v>42</v>
      </c>
      <c r="BE2" s="384"/>
      <c r="BF2" s="373" t="s">
        <v>43</v>
      </c>
      <c r="BG2" s="374"/>
    </row>
    <row r="3" spans="1:60" s="95" customFormat="1" ht="20.350000000000001" thickBot="1" x14ac:dyDescent="0.45">
      <c r="A3" s="387"/>
      <c r="B3" s="388"/>
      <c r="C3" s="366"/>
      <c r="D3" s="367"/>
      <c r="E3" s="83"/>
      <c r="F3" s="387"/>
      <c r="G3" s="388"/>
      <c r="H3" s="366"/>
      <c r="I3" s="367"/>
      <c r="J3" s="83"/>
      <c r="K3" s="387"/>
      <c r="L3" s="388"/>
      <c r="M3" s="366"/>
      <c r="N3" s="367"/>
      <c r="O3" s="83"/>
      <c r="P3" s="375"/>
      <c r="Q3" s="376"/>
      <c r="R3" s="366"/>
      <c r="S3" s="367"/>
      <c r="T3" s="83"/>
      <c r="U3" s="375"/>
      <c r="V3" s="376"/>
      <c r="W3" s="366"/>
      <c r="X3" s="367"/>
      <c r="Y3" s="83"/>
      <c r="Z3" s="375"/>
      <c r="AA3" s="376"/>
      <c r="AB3" s="366"/>
      <c r="AC3" s="367"/>
      <c r="AD3" s="83"/>
      <c r="AE3" s="375"/>
      <c r="AF3" s="376"/>
      <c r="AG3" s="366"/>
      <c r="AH3" s="367"/>
      <c r="AI3" s="83"/>
      <c r="AJ3" s="375"/>
      <c r="AK3" s="376"/>
      <c r="AL3" s="366"/>
      <c r="AM3" s="367"/>
      <c r="AN3" s="83"/>
      <c r="AO3" s="375"/>
      <c r="AP3" s="376"/>
      <c r="AQ3" s="366"/>
      <c r="AR3" s="367"/>
      <c r="AS3" s="156"/>
      <c r="AT3" s="375"/>
      <c r="AU3" s="376"/>
      <c r="AV3" s="366"/>
      <c r="AW3" s="367"/>
      <c r="AX3" s="156"/>
      <c r="AY3" s="375"/>
      <c r="AZ3" s="376"/>
      <c r="BA3" s="366"/>
      <c r="BB3" s="367"/>
      <c r="BC3" s="83"/>
      <c r="BD3" s="375"/>
      <c r="BE3" s="376"/>
      <c r="BF3" s="366"/>
      <c r="BG3" s="367"/>
      <c r="BH3" s="83"/>
    </row>
    <row r="4" spans="1:60" ht="15" customHeight="1" x14ac:dyDescent="0.4">
      <c r="A4" s="370" t="s">
        <v>188</v>
      </c>
      <c r="B4" s="371"/>
      <c r="C4" s="371"/>
      <c r="D4" s="372"/>
      <c r="F4" s="370" t="s">
        <v>188</v>
      </c>
      <c r="G4" s="371"/>
      <c r="H4" s="371"/>
      <c r="I4" s="372"/>
      <c r="K4" s="370" t="s">
        <v>188</v>
      </c>
      <c r="L4" s="371"/>
      <c r="M4" s="371"/>
      <c r="N4" s="372"/>
      <c r="P4" s="370" t="s">
        <v>188</v>
      </c>
      <c r="Q4" s="371"/>
      <c r="R4" s="371"/>
      <c r="S4" s="372"/>
      <c r="U4" s="370" t="s">
        <v>188</v>
      </c>
      <c r="V4" s="371"/>
      <c r="W4" s="371"/>
      <c r="X4" s="372"/>
      <c r="Z4" s="370" t="s">
        <v>188</v>
      </c>
      <c r="AA4" s="371"/>
      <c r="AB4" s="371"/>
      <c r="AC4" s="372"/>
      <c r="AE4" s="370" t="s">
        <v>188</v>
      </c>
      <c r="AF4" s="371"/>
      <c r="AG4" s="371"/>
      <c r="AH4" s="372"/>
      <c r="AJ4" s="370" t="s">
        <v>188</v>
      </c>
      <c r="AK4" s="371"/>
      <c r="AL4" s="371"/>
      <c r="AM4" s="372"/>
      <c r="AO4" s="370" t="s">
        <v>188</v>
      </c>
      <c r="AP4" s="371"/>
      <c r="AQ4" s="371"/>
      <c r="AR4" s="372"/>
      <c r="AT4" s="370" t="s">
        <v>188</v>
      </c>
      <c r="AU4" s="371"/>
      <c r="AV4" s="371"/>
      <c r="AW4" s="372"/>
      <c r="AY4" s="370" t="s">
        <v>188</v>
      </c>
      <c r="AZ4" s="371"/>
      <c r="BA4" s="371"/>
      <c r="BB4" s="372"/>
      <c r="BD4" s="370" t="s">
        <v>188</v>
      </c>
      <c r="BE4" s="371"/>
      <c r="BF4" s="371"/>
      <c r="BG4" s="372"/>
    </row>
    <row r="5" spans="1:60" s="96" customFormat="1" ht="18" customHeight="1" x14ac:dyDescent="0.55000000000000004">
      <c r="A5" s="354" t="s">
        <v>44</v>
      </c>
      <c r="B5" s="355"/>
      <c r="C5" s="355"/>
      <c r="D5" s="356"/>
      <c r="F5" s="354" t="s">
        <v>45</v>
      </c>
      <c r="G5" s="355"/>
      <c r="H5" s="355"/>
      <c r="I5" s="356"/>
      <c r="K5" s="354"/>
      <c r="L5" s="355"/>
      <c r="M5" s="355"/>
      <c r="N5" s="356"/>
      <c r="P5" s="354"/>
      <c r="Q5" s="355"/>
      <c r="R5" s="355"/>
      <c r="S5" s="356"/>
      <c r="U5" s="354"/>
      <c r="V5" s="355"/>
      <c r="W5" s="355"/>
      <c r="X5" s="356"/>
      <c r="Z5" s="354"/>
      <c r="AA5" s="355"/>
      <c r="AB5" s="355"/>
      <c r="AC5" s="356"/>
      <c r="AE5" s="354"/>
      <c r="AF5" s="355"/>
      <c r="AG5" s="355"/>
      <c r="AH5" s="356"/>
      <c r="AJ5" s="354"/>
      <c r="AK5" s="355"/>
      <c r="AL5" s="355"/>
      <c r="AM5" s="356"/>
      <c r="AO5" s="354"/>
      <c r="AP5" s="355"/>
      <c r="AQ5" s="355"/>
      <c r="AR5" s="356"/>
      <c r="AS5" s="157"/>
      <c r="AT5" s="354"/>
      <c r="AU5" s="355"/>
      <c r="AV5" s="355"/>
      <c r="AW5" s="356"/>
      <c r="AY5" s="354"/>
      <c r="AZ5" s="355"/>
      <c r="BA5" s="355"/>
      <c r="BB5" s="356"/>
      <c r="BD5" s="354"/>
      <c r="BE5" s="355"/>
      <c r="BF5" s="355"/>
      <c r="BG5" s="356"/>
    </row>
    <row r="6" spans="1:60" ht="1.5" customHeight="1" x14ac:dyDescent="0.4">
      <c r="A6" s="97"/>
      <c r="B6" s="98"/>
      <c r="C6" s="98"/>
      <c r="D6" s="99"/>
      <c r="F6" s="97"/>
      <c r="G6" s="98"/>
      <c r="H6" s="98"/>
      <c r="I6" s="100"/>
      <c r="K6" s="97"/>
      <c r="L6" s="98"/>
      <c r="M6" s="101"/>
      <c r="N6" s="100"/>
      <c r="P6" s="97"/>
      <c r="Q6" s="98"/>
      <c r="R6" s="98"/>
      <c r="S6" s="99"/>
      <c r="U6" s="97"/>
      <c r="V6" s="98"/>
      <c r="W6" s="98"/>
      <c r="X6" s="99"/>
      <c r="Z6" s="97"/>
      <c r="AA6" s="98"/>
      <c r="AB6" s="98"/>
      <c r="AC6" s="99"/>
      <c r="AE6" s="97"/>
      <c r="AF6" s="98"/>
      <c r="AG6" s="98"/>
      <c r="AH6" s="99"/>
      <c r="AJ6" s="97"/>
      <c r="AK6" s="98"/>
      <c r="AL6" s="98"/>
      <c r="AM6" s="99"/>
      <c r="AO6" s="97"/>
      <c r="AP6" s="98"/>
      <c r="AQ6" s="98"/>
      <c r="AR6" s="99"/>
      <c r="AT6" s="97"/>
      <c r="AU6" s="98"/>
      <c r="AV6" s="98"/>
      <c r="AW6" s="99"/>
      <c r="AY6" s="97"/>
      <c r="AZ6" s="98"/>
      <c r="BA6" s="98"/>
      <c r="BB6" s="99"/>
      <c r="BD6" s="97"/>
      <c r="BE6" s="98"/>
      <c r="BF6" s="98"/>
      <c r="BG6" s="102"/>
    </row>
    <row r="7" spans="1:60" ht="24" customHeight="1" x14ac:dyDescent="0.4">
      <c r="A7" s="357" t="s">
        <v>46</v>
      </c>
      <c r="B7" s="358"/>
      <c r="C7" s="195" t="s">
        <v>11</v>
      </c>
      <c r="D7" s="196" t="s">
        <v>47</v>
      </c>
      <c r="E7" s="103" t="s">
        <v>48</v>
      </c>
      <c r="F7" s="357" t="s">
        <v>46</v>
      </c>
      <c r="G7" s="358"/>
      <c r="H7" s="195" t="s">
        <v>11</v>
      </c>
      <c r="I7" s="197" t="s">
        <v>47</v>
      </c>
      <c r="J7" s="103" t="s">
        <v>48</v>
      </c>
      <c r="K7" s="357" t="s">
        <v>46</v>
      </c>
      <c r="L7" s="358"/>
      <c r="M7" s="195" t="s">
        <v>11</v>
      </c>
      <c r="N7" s="197" t="s">
        <v>47</v>
      </c>
      <c r="O7" s="103" t="s">
        <v>48</v>
      </c>
      <c r="P7" s="357" t="s">
        <v>46</v>
      </c>
      <c r="Q7" s="358"/>
      <c r="R7" s="195" t="s">
        <v>11</v>
      </c>
      <c r="S7" s="197" t="s">
        <v>47</v>
      </c>
      <c r="T7" s="103" t="s">
        <v>48</v>
      </c>
      <c r="U7" s="357" t="s">
        <v>46</v>
      </c>
      <c r="V7" s="358"/>
      <c r="W7" s="195" t="s">
        <v>11</v>
      </c>
      <c r="X7" s="197" t="s">
        <v>47</v>
      </c>
      <c r="Y7" s="103" t="s">
        <v>48</v>
      </c>
      <c r="Z7" s="357" t="s">
        <v>46</v>
      </c>
      <c r="AA7" s="358"/>
      <c r="AB7" s="195" t="s">
        <v>11</v>
      </c>
      <c r="AC7" s="197" t="s">
        <v>47</v>
      </c>
      <c r="AD7" s="103" t="s">
        <v>48</v>
      </c>
      <c r="AE7" s="357" t="s">
        <v>46</v>
      </c>
      <c r="AF7" s="358"/>
      <c r="AG7" s="195" t="s">
        <v>11</v>
      </c>
      <c r="AH7" s="197" t="s">
        <v>47</v>
      </c>
      <c r="AI7" s="103" t="s">
        <v>48</v>
      </c>
      <c r="AJ7" s="357" t="s">
        <v>46</v>
      </c>
      <c r="AK7" s="358"/>
      <c r="AL7" s="195" t="s">
        <v>11</v>
      </c>
      <c r="AM7" s="197" t="s">
        <v>47</v>
      </c>
      <c r="AN7" s="103" t="s">
        <v>48</v>
      </c>
      <c r="AO7" s="357" t="s">
        <v>46</v>
      </c>
      <c r="AP7" s="358"/>
      <c r="AQ7" s="195" t="s">
        <v>11</v>
      </c>
      <c r="AR7" s="197" t="s">
        <v>47</v>
      </c>
      <c r="AS7" s="103" t="s">
        <v>48</v>
      </c>
      <c r="AT7" s="357" t="s">
        <v>46</v>
      </c>
      <c r="AU7" s="358"/>
      <c r="AV7" s="195" t="s">
        <v>11</v>
      </c>
      <c r="AW7" s="197" t="s">
        <v>47</v>
      </c>
      <c r="AX7" s="103" t="s">
        <v>48</v>
      </c>
      <c r="AY7" s="357" t="s">
        <v>46</v>
      </c>
      <c r="AZ7" s="358"/>
      <c r="BA7" s="195" t="s">
        <v>11</v>
      </c>
      <c r="BB7" s="197" t="s">
        <v>47</v>
      </c>
      <c r="BC7" s="103" t="s">
        <v>48</v>
      </c>
      <c r="BD7" s="357" t="s">
        <v>46</v>
      </c>
      <c r="BE7" s="358"/>
      <c r="BF7" s="195" t="s">
        <v>11</v>
      </c>
      <c r="BG7" s="197" t="s">
        <v>47</v>
      </c>
      <c r="BH7" s="104" t="s">
        <v>48</v>
      </c>
    </row>
    <row r="8" spans="1:60" ht="20.100000000000001" customHeight="1" x14ac:dyDescent="0.4">
      <c r="A8" s="198">
        <v>0</v>
      </c>
      <c r="B8" s="35" t="str">
        <f>IFERROR(HLOOKUP(A$5,#REF!,SA_GRILLE_STEU!$A8+2,FALSE),"")</f>
        <v/>
      </c>
      <c r="C8" s="153" t="s">
        <v>111</v>
      </c>
      <c r="D8" s="191"/>
      <c r="E8" s="105" t="str">
        <f>IFERROR(HLOOKUP(A$5,#REF!,$A8+2,FALSE),"")</f>
        <v/>
      </c>
      <c r="F8" s="198">
        <v>0</v>
      </c>
      <c r="G8" s="36" t="str">
        <f>IFERROR(HLOOKUP(F$5,#REF!,SA_GRILLE_STEU!$A8+2,FALSE),"")</f>
        <v/>
      </c>
      <c r="H8" s="153"/>
      <c r="I8" s="192"/>
      <c r="J8" s="105" t="str">
        <f>IFERROR(HLOOKUP(F$5,#REF!,SA_GRILLE_STEU!$A8+2,FALSE),"")</f>
        <v/>
      </c>
      <c r="K8" s="198">
        <v>0</v>
      </c>
      <c r="L8" s="36" t="str">
        <f>IFERROR(HLOOKUP(K$5,#REF!,SA_GRILLE_STEU!$A8+2,FALSE),"")</f>
        <v/>
      </c>
      <c r="M8" s="153"/>
      <c r="N8" s="192"/>
      <c r="O8" s="105" t="str">
        <f>IFERROR(HLOOKUP(K$5,#REF!,SA_GRILLE_STEU!$A8+2,FALSE),"")</f>
        <v/>
      </c>
      <c r="P8" s="198">
        <v>0</v>
      </c>
      <c r="Q8" s="36" t="str">
        <f>IFERROR(HLOOKUP(P$5,#REF!,SA_GRILLE_STEU!$A8+2,FALSE),"")</f>
        <v/>
      </c>
      <c r="R8" s="153"/>
      <c r="S8" s="192"/>
      <c r="T8" s="105" t="str">
        <f>IFERROR(HLOOKUP(P$5,#REF!,SA_GRILLE_STEU!$A8+2,FALSE),"")</f>
        <v/>
      </c>
      <c r="U8" s="198">
        <v>0</v>
      </c>
      <c r="V8" s="36" t="str">
        <f>IFERROR(HLOOKUP(U$5,#REF!,SA_GRILLE_STEU!$A8+2,FALSE),"")</f>
        <v/>
      </c>
      <c r="W8" s="153"/>
      <c r="X8" s="192"/>
      <c r="Y8" s="105" t="str">
        <f>IFERROR(HLOOKUP(U$5,#REF!,SA_GRILLE_STEU!$A8+2,FALSE),"")</f>
        <v/>
      </c>
      <c r="Z8" s="198">
        <v>0</v>
      </c>
      <c r="AA8" s="36" t="str">
        <f>IFERROR(HLOOKUP(Z$5,#REF!,SA_GRILLE_STEU!$A8+2,FALSE),"")</f>
        <v/>
      </c>
      <c r="AB8" s="153"/>
      <c r="AC8" s="192"/>
      <c r="AD8" s="105" t="str">
        <f>IFERROR(HLOOKUP(Z$5,#REF!,SA_GRILLE_STEU!$A8+2,FALSE),"")</f>
        <v/>
      </c>
      <c r="AE8" s="198">
        <v>0</v>
      </c>
      <c r="AF8" s="36" t="str">
        <f>IFERROR(HLOOKUP(AE$5,#REF!,SA_GRILLE_STEU!$A8+2,FALSE),"")</f>
        <v/>
      </c>
      <c r="AG8" s="153"/>
      <c r="AH8" s="192"/>
      <c r="AI8" s="105" t="str">
        <f>IFERROR(HLOOKUP(AE$5,#REF!,SA_GRILLE_STEU!$A8+2,FALSE),"")</f>
        <v/>
      </c>
      <c r="AJ8" s="198">
        <v>0</v>
      </c>
      <c r="AK8" s="36" t="str">
        <f>IFERROR(HLOOKUP(AJ$5,#REF!,SA_GRILLE_STEU!$A8+2,FALSE),"")</f>
        <v/>
      </c>
      <c r="AL8" s="153"/>
      <c r="AM8" s="106"/>
      <c r="AN8" s="105" t="str">
        <f>IFERROR(HLOOKUP(AJ$5,#REF!,SA_GRILLE_STEU!$A8+2,FALSE),"")</f>
        <v/>
      </c>
      <c r="AO8" s="198">
        <v>0</v>
      </c>
      <c r="AP8" s="36" t="str">
        <f>IFERROR(HLOOKUP(AO$5,#REF!,SA_GRILLE_STEU!$A8+2,FALSE),"")</f>
        <v/>
      </c>
      <c r="AQ8" s="153"/>
      <c r="AR8" s="106"/>
      <c r="AS8" s="105" t="str">
        <f>IFERROR(HLOOKUP(AO$5,#REF!,SA_GRILLE_STEU!$A8+2,FALSE),"")</f>
        <v/>
      </c>
      <c r="AT8" s="198">
        <v>0</v>
      </c>
      <c r="AU8" s="36" t="str">
        <f>IFERROR(HLOOKUP(AT$5,#REF!,SA_GRILLE_STEU!$A8+2,FALSE),"")</f>
        <v/>
      </c>
      <c r="AV8" s="153"/>
      <c r="AW8" s="106"/>
      <c r="AX8" s="105" t="str">
        <f>IFERROR(HLOOKUP(AT$5,#REF!,SA_GRILLE_STEU!$A8+2,FALSE),"")</f>
        <v/>
      </c>
      <c r="AY8" s="198">
        <v>0</v>
      </c>
      <c r="AZ8" s="36" t="str">
        <f>IFERROR(HLOOKUP(AY$5,#REF!,SA_GRILLE_STEU!$A8+2,FALSE),"")</f>
        <v/>
      </c>
      <c r="BA8" s="153"/>
      <c r="BB8" s="106"/>
      <c r="BC8" s="105" t="str">
        <f>IFERROR(HLOOKUP(AY$5,#REF!,SA_GRILLE_STEU!$A8+2,FALSE),"")</f>
        <v/>
      </c>
      <c r="BD8" s="198">
        <v>0</v>
      </c>
      <c r="BE8" s="36" t="str">
        <f>IFERROR(HLOOKUP(BD$5,#REF!,SA_GRILLE_STEU!$A8+2,FALSE),"")</f>
        <v/>
      </c>
      <c r="BF8" s="153"/>
      <c r="BG8" s="107"/>
      <c r="BH8" s="108" t="str">
        <f>IFERROR(HLOOKUP(BD$5,#REF!,SA_GRILLE_STEU!$A8+2,FALSE),"")</f>
        <v/>
      </c>
    </row>
    <row r="9" spans="1:60" ht="30" customHeight="1" x14ac:dyDescent="0.4">
      <c r="A9" s="199">
        <v>1</v>
      </c>
      <c r="B9" s="35" t="str">
        <f>IFERROR(HLOOKUP(A$5,#REF!,SA_GRILLE_STEU!$A9+2,FALSE),"")</f>
        <v/>
      </c>
      <c r="C9" s="148"/>
      <c r="D9" s="192" t="str">
        <f>IFERROR(HLOOKUP(A$5,#REF!,SA_GRILLE_STEU!$A9+2,FALSE),"")</f>
        <v/>
      </c>
      <c r="E9" s="105" t="str">
        <f>IFERROR(HLOOKUP(A$5,#REF!,SA_GRILLE_STEU!$A9+2,FALSE),"")</f>
        <v/>
      </c>
      <c r="F9" s="199">
        <v>1</v>
      </c>
      <c r="G9" s="36" t="str">
        <f>IFERROR(HLOOKUP(F$5,#REF!,SA_GRILLE_STEU!$A9+2,FALSE),"")</f>
        <v/>
      </c>
      <c r="H9" s="148"/>
      <c r="I9" s="192" t="str">
        <f>IFERROR(HLOOKUP(F$5,#REF!,SA_GRILLE_STEU!$A9+2,FALSE),"")</f>
        <v/>
      </c>
      <c r="J9" s="105" t="str">
        <f>IFERROR(HLOOKUP(F$5,#REF!,SA_GRILLE_STEU!$A9+2,FALSE),"")</f>
        <v/>
      </c>
      <c r="K9" s="199">
        <v>1</v>
      </c>
      <c r="L9" s="36" t="str">
        <f>IFERROR(HLOOKUP(K$5,#REF!,SA_GRILLE_STEU!$A9+2,FALSE),"")</f>
        <v/>
      </c>
      <c r="M9" s="148"/>
      <c r="N9" s="192" t="str">
        <f>IFERROR(HLOOKUP(K$5,#REF!,SA_GRILLE_STEU!$A9+2,FALSE),"")</f>
        <v/>
      </c>
      <c r="O9" s="105" t="str">
        <f>IFERROR(HLOOKUP(K$5,#REF!,SA_GRILLE_STEU!$A9+2,FALSE),"")</f>
        <v/>
      </c>
      <c r="P9" s="199">
        <v>1</v>
      </c>
      <c r="Q9" s="36" t="str">
        <f>IFERROR(HLOOKUP(P$5,#REF!,SA_GRILLE_STEU!$A9+2,FALSE),"")</f>
        <v/>
      </c>
      <c r="R9" s="148"/>
      <c r="S9" s="192" t="str">
        <f>IFERROR(HLOOKUP(P$5,#REF!,SA_GRILLE_STEU!$A9+2,FALSE),"")</f>
        <v/>
      </c>
      <c r="T9" s="105" t="str">
        <f>IFERROR(HLOOKUP(P$5,#REF!,SA_GRILLE_STEU!$A9+2,FALSE),"")</f>
        <v/>
      </c>
      <c r="U9" s="199">
        <v>1</v>
      </c>
      <c r="V9" s="36" t="str">
        <f>IFERROR(HLOOKUP(U$5,#REF!,SA_GRILLE_STEU!$A9+2,FALSE),"")</f>
        <v/>
      </c>
      <c r="W9" s="148"/>
      <c r="X9" s="192" t="str">
        <f>IFERROR(HLOOKUP(U$5,#REF!,SA_GRILLE_STEU!$A9+2,FALSE),"")</f>
        <v/>
      </c>
      <c r="Y9" s="105" t="str">
        <f>IFERROR(HLOOKUP(U$5,#REF!,SA_GRILLE_STEU!$A9+2,FALSE),"")</f>
        <v/>
      </c>
      <c r="Z9" s="199">
        <v>1</v>
      </c>
      <c r="AA9" s="36" t="str">
        <f>IFERROR(HLOOKUP(Z$5,#REF!,SA_GRILLE_STEU!$A9+2,FALSE),"")</f>
        <v/>
      </c>
      <c r="AB9" s="148"/>
      <c r="AC9" s="192" t="str">
        <f>IFERROR(HLOOKUP(Z$5,#REF!,SA_GRILLE_STEU!$A9+2,FALSE),"")</f>
        <v/>
      </c>
      <c r="AD9" s="105" t="str">
        <f>IFERROR(HLOOKUP(Z$5,#REF!,SA_GRILLE_STEU!$A9+2,FALSE),"")</f>
        <v/>
      </c>
      <c r="AE9" s="199">
        <v>1</v>
      </c>
      <c r="AF9" s="36" t="str">
        <f>IFERROR(HLOOKUP(AE$5,#REF!,SA_GRILLE_STEU!$A9+2,FALSE),"")</f>
        <v/>
      </c>
      <c r="AG9" s="148"/>
      <c r="AH9" s="192" t="str">
        <f>IFERROR(HLOOKUP(AE$5,#REF!,SA_GRILLE_STEU!$A9+2,FALSE),"")</f>
        <v/>
      </c>
      <c r="AI9" s="105" t="str">
        <f>IFERROR(HLOOKUP(AE$5,#REF!,SA_GRILLE_STEU!$A9+2,FALSE),"")</f>
        <v/>
      </c>
      <c r="AJ9" s="199">
        <v>1</v>
      </c>
      <c r="AK9" s="36" t="str">
        <f>IFERROR(HLOOKUP(AJ$5,#REF!,SA_GRILLE_STEU!$A9+2,FALSE),"")</f>
        <v/>
      </c>
      <c r="AL9" s="148"/>
      <c r="AM9" s="106" t="str">
        <f>IFERROR(HLOOKUP(AJ$5,#REF!,SA_GRILLE_STEU!$A9+2,FALSE),"")</f>
        <v/>
      </c>
      <c r="AN9" s="105" t="str">
        <f>IFERROR(HLOOKUP(AJ$5,#REF!,SA_GRILLE_STEU!$A9+2,FALSE),"")</f>
        <v/>
      </c>
      <c r="AO9" s="199">
        <v>1</v>
      </c>
      <c r="AP9" s="36" t="str">
        <f>IFERROR(HLOOKUP(AO$5,#REF!,SA_GRILLE_STEU!$A9+2,FALSE),"")</f>
        <v/>
      </c>
      <c r="AQ9" s="148"/>
      <c r="AR9" s="106" t="str">
        <f>IFERROR(HLOOKUP(AO$5,#REF!,SA_GRILLE_STEU!$A9+2,FALSE),"")</f>
        <v/>
      </c>
      <c r="AS9" s="105" t="str">
        <f>IFERROR(HLOOKUP(AO$5,#REF!,SA_GRILLE_STEU!$A9+2,FALSE),"")</f>
        <v/>
      </c>
      <c r="AT9" s="199">
        <v>1</v>
      </c>
      <c r="AU9" s="36" t="str">
        <f>IFERROR(HLOOKUP(AT$5,#REF!,SA_GRILLE_STEU!$A9+2,FALSE),"")</f>
        <v/>
      </c>
      <c r="AV9" s="148"/>
      <c r="AW9" s="106" t="str">
        <f>IFERROR(HLOOKUP(AT$5,#REF!,SA_GRILLE_STEU!$A9+2,FALSE),"")</f>
        <v/>
      </c>
      <c r="AX9" s="105" t="str">
        <f>IFERROR(HLOOKUP(AT$5,#REF!,SA_GRILLE_STEU!$A9+2,FALSE),"")</f>
        <v/>
      </c>
      <c r="AY9" s="199">
        <v>1</v>
      </c>
      <c r="AZ9" s="36" t="str">
        <f>IFERROR(HLOOKUP(AY$5,#REF!,SA_GRILLE_STEU!$A9+2,FALSE),"")</f>
        <v/>
      </c>
      <c r="BA9" s="148"/>
      <c r="BB9" s="106" t="str">
        <f>IFERROR(HLOOKUP(AY$5,#REF!,SA_GRILLE_STEU!$A9+2,FALSE),"")</f>
        <v/>
      </c>
      <c r="BC9" s="105" t="str">
        <f>IFERROR(HLOOKUP(AY$5,#REF!,SA_GRILLE_STEU!$A9+2,FALSE),"")</f>
        <v/>
      </c>
      <c r="BD9" s="199">
        <v>1</v>
      </c>
      <c r="BE9" s="36" t="str">
        <f>IFERROR(HLOOKUP(BD$5,#REF!,SA_GRILLE_STEU!$A9+2,FALSE),"")</f>
        <v/>
      </c>
      <c r="BF9" s="148"/>
      <c r="BG9" s="109" t="str">
        <f>IFERROR(HLOOKUP(BD$5,#REF!,SA_GRILLE_STEU!$A9+2,FALSE),"")</f>
        <v/>
      </c>
      <c r="BH9" s="108" t="str">
        <f>IFERROR(HLOOKUP(BD$5,#REF!,SA_GRILLE_STEU!$A9+2,FALSE),"")</f>
        <v/>
      </c>
    </row>
    <row r="10" spans="1:60" ht="30.75" customHeight="1" x14ac:dyDescent="0.4">
      <c r="A10" s="199">
        <v>2</v>
      </c>
      <c r="B10" s="35" t="str">
        <f>IFERROR(HLOOKUP(A$5,#REF!,SA_GRILLE_STEU!$A10+2,FALSE),"")</f>
        <v/>
      </c>
      <c r="C10" s="148"/>
      <c r="D10" s="192" t="str">
        <f>IFERROR(HLOOKUP(A$5,#REF!,SA_GRILLE_STEU!$A10+2,FALSE),"")</f>
        <v/>
      </c>
      <c r="E10" s="105" t="str">
        <f>IFERROR(HLOOKUP(A$5,#REF!,SA_GRILLE_STEU!$A10+2,FALSE),"")</f>
        <v/>
      </c>
      <c r="F10" s="199">
        <v>2</v>
      </c>
      <c r="G10" s="36" t="str">
        <f>IFERROR(HLOOKUP(F$5,#REF!,SA_GRILLE_STEU!$A10+2,FALSE),"")</f>
        <v/>
      </c>
      <c r="H10" s="148"/>
      <c r="I10" s="192" t="str">
        <f>IFERROR(HLOOKUP(F$5,#REF!,SA_GRILLE_STEU!$A10+2,FALSE),"")</f>
        <v/>
      </c>
      <c r="J10" s="105" t="str">
        <f>IFERROR(HLOOKUP(F$5,#REF!,SA_GRILLE_STEU!$A10+2,FALSE),"")</f>
        <v/>
      </c>
      <c r="K10" s="199">
        <v>2</v>
      </c>
      <c r="L10" s="36" t="str">
        <f>IFERROR(HLOOKUP(K$5,#REF!,SA_GRILLE_STEU!$A10+2,FALSE),"")</f>
        <v/>
      </c>
      <c r="M10" s="148"/>
      <c r="N10" s="192" t="str">
        <f>IFERROR(HLOOKUP(K$5,#REF!,SA_GRILLE_STEU!$A10+2,FALSE),"")</f>
        <v/>
      </c>
      <c r="O10" s="105" t="str">
        <f>IFERROR(HLOOKUP(K$5,#REF!,SA_GRILLE_STEU!$A10+2,FALSE),"")</f>
        <v/>
      </c>
      <c r="P10" s="199">
        <v>2</v>
      </c>
      <c r="Q10" s="36" t="str">
        <f>IFERROR(HLOOKUP(P$5,#REF!,SA_GRILLE_STEU!$A10+2,FALSE),"")</f>
        <v/>
      </c>
      <c r="R10" s="148"/>
      <c r="S10" s="192" t="str">
        <f>IFERROR(HLOOKUP(P$5,#REF!,SA_GRILLE_STEU!$A10+2,FALSE),"")</f>
        <v/>
      </c>
      <c r="T10" s="105" t="str">
        <f>IFERROR(HLOOKUP(P$5,#REF!,SA_GRILLE_STEU!$A10+2,FALSE),"")</f>
        <v/>
      </c>
      <c r="U10" s="199">
        <v>2</v>
      </c>
      <c r="V10" s="36" t="str">
        <f>IFERROR(HLOOKUP(U$5,#REF!,SA_GRILLE_STEU!$A10+2,FALSE),"")</f>
        <v/>
      </c>
      <c r="W10" s="148"/>
      <c r="X10" s="192" t="str">
        <f>IFERROR(HLOOKUP(U$5,#REF!,SA_GRILLE_STEU!$A10+2,FALSE),"")</f>
        <v/>
      </c>
      <c r="Y10" s="105" t="str">
        <f>IFERROR(HLOOKUP(U$5,#REF!,SA_GRILLE_STEU!$A10+2,FALSE),"")</f>
        <v/>
      </c>
      <c r="Z10" s="199">
        <v>2</v>
      </c>
      <c r="AA10" s="36" t="str">
        <f>IFERROR(HLOOKUP(Z$5,#REF!,SA_GRILLE_STEU!$A10+2,FALSE),"")</f>
        <v/>
      </c>
      <c r="AB10" s="148"/>
      <c r="AC10" s="192" t="str">
        <f>IFERROR(HLOOKUP(Z$5,#REF!,SA_GRILLE_STEU!$A10+2,FALSE),"")</f>
        <v/>
      </c>
      <c r="AD10" s="105" t="str">
        <f>IFERROR(HLOOKUP(Z$5,#REF!,SA_GRILLE_STEU!$A10+2,FALSE),"")</f>
        <v/>
      </c>
      <c r="AE10" s="199">
        <v>2</v>
      </c>
      <c r="AF10" s="36" t="str">
        <f>IFERROR(HLOOKUP(AE$5,#REF!,SA_GRILLE_STEU!$A10+2,FALSE),"")</f>
        <v/>
      </c>
      <c r="AG10" s="148"/>
      <c r="AH10" s="192" t="str">
        <f>IFERROR(HLOOKUP(AE$5,#REF!,SA_GRILLE_STEU!$A10+2,FALSE),"")</f>
        <v/>
      </c>
      <c r="AI10" s="105" t="str">
        <f>IFERROR(HLOOKUP(AE$5,#REF!,SA_GRILLE_STEU!$A10+2,FALSE),"")</f>
        <v/>
      </c>
      <c r="AJ10" s="199">
        <v>2</v>
      </c>
      <c r="AK10" s="36" t="str">
        <f>IFERROR(HLOOKUP(AJ$5,#REF!,SA_GRILLE_STEU!$A10+2,FALSE),"")</f>
        <v/>
      </c>
      <c r="AL10" s="148"/>
      <c r="AM10" s="106" t="str">
        <f>IFERROR(HLOOKUP(AJ$5,#REF!,SA_GRILLE_STEU!$A10+2,FALSE),"")</f>
        <v/>
      </c>
      <c r="AN10" s="105" t="str">
        <f>IFERROR(HLOOKUP(AJ$5,#REF!,SA_GRILLE_STEU!$A10+2,FALSE),"")</f>
        <v/>
      </c>
      <c r="AO10" s="199">
        <v>2</v>
      </c>
      <c r="AP10" s="36" t="str">
        <f>IFERROR(HLOOKUP(AO$5,#REF!,SA_GRILLE_STEU!$A10+2,FALSE),"")</f>
        <v/>
      </c>
      <c r="AQ10" s="148"/>
      <c r="AR10" s="106" t="str">
        <f>IFERROR(HLOOKUP(AO$5,#REF!,SA_GRILLE_STEU!$A10+2,FALSE),"")</f>
        <v/>
      </c>
      <c r="AS10" s="105" t="str">
        <f>IFERROR(HLOOKUP(AO$5,#REF!,SA_GRILLE_STEU!$A10+2,FALSE),"")</f>
        <v/>
      </c>
      <c r="AT10" s="199">
        <v>2</v>
      </c>
      <c r="AU10" s="36" t="str">
        <f>IFERROR(HLOOKUP(AT$5,#REF!,SA_GRILLE_STEU!$A10+2,FALSE),"")</f>
        <v/>
      </c>
      <c r="AV10" s="148"/>
      <c r="AW10" s="106" t="str">
        <f>IFERROR(HLOOKUP(AT$5,#REF!,SA_GRILLE_STEU!$A10+2,FALSE),"")</f>
        <v/>
      </c>
      <c r="AX10" s="105" t="str">
        <f>IFERROR(HLOOKUP(AT$5,#REF!,SA_GRILLE_STEU!$A10+2,FALSE),"")</f>
        <v/>
      </c>
      <c r="AY10" s="199">
        <v>2</v>
      </c>
      <c r="AZ10" s="36" t="str">
        <f>IFERROR(HLOOKUP(AY$5,#REF!,SA_GRILLE_STEU!$A10+2,FALSE),"")</f>
        <v/>
      </c>
      <c r="BA10" s="148"/>
      <c r="BB10" s="106" t="str">
        <f>IFERROR(HLOOKUP(AY$5,#REF!,SA_GRILLE_STEU!$A10+2,FALSE),"")</f>
        <v/>
      </c>
      <c r="BC10" s="105" t="str">
        <f>IFERROR(HLOOKUP(AY$5,#REF!,SA_GRILLE_STEU!$A10+2,FALSE),"")</f>
        <v/>
      </c>
      <c r="BD10" s="199">
        <v>2</v>
      </c>
      <c r="BE10" s="36" t="str">
        <f>IFERROR(HLOOKUP(BD$5,#REF!,SA_GRILLE_STEU!$A10+2,FALSE),"")</f>
        <v/>
      </c>
      <c r="BF10" s="148"/>
      <c r="BG10" s="109" t="str">
        <f>IFERROR(HLOOKUP(BD$5,#REF!,SA_GRILLE_STEU!$A10+2,FALSE),"")</f>
        <v/>
      </c>
      <c r="BH10" s="108" t="str">
        <f>IFERROR(HLOOKUP(BD$5,#REF!,SA_GRILLE_STEU!$A10+2,FALSE),"")</f>
        <v/>
      </c>
    </row>
    <row r="11" spans="1:60" ht="58.5" customHeight="1" x14ac:dyDescent="0.4">
      <c r="A11" s="199">
        <v>3</v>
      </c>
      <c r="B11" s="35" t="str">
        <f>IFERROR(HLOOKUP(A$5,#REF!,SA_GRILLE_STEU!$A11+2,FALSE),"")</f>
        <v/>
      </c>
      <c r="C11" s="148"/>
      <c r="D11" s="192" t="str">
        <f>IFERROR(HLOOKUP(A$5,#REF!,SA_GRILLE_STEU!$A11+2,FALSE),"")</f>
        <v/>
      </c>
      <c r="E11" s="105" t="str">
        <f>IFERROR(HLOOKUP(A$5,#REF!,SA_GRILLE_STEU!$A11+2,FALSE),"")</f>
        <v/>
      </c>
      <c r="F11" s="199">
        <v>3</v>
      </c>
      <c r="G11" s="36" t="str">
        <f>IFERROR(HLOOKUP(F$5,#REF!,SA_GRILLE_STEU!$A11+2,FALSE),"")</f>
        <v/>
      </c>
      <c r="H11" s="148"/>
      <c r="I11" s="192" t="str">
        <f>IFERROR(HLOOKUP(F$5,#REF!,SA_GRILLE_STEU!$A11+2,FALSE),"")</f>
        <v/>
      </c>
      <c r="J11" s="105" t="str">
        <f>IFERROR(HLOOKUP(F$5,#REF!,SA_GRILLE_STEU!$A11+2,FALSE),"")</f>
        <v/>
      </c>
      <c r="K11" s="199">
        <v>3</v>
      </c>
      <c r="L11" s="36" t="str">
        <f>IFERROR(HLOOKUP(K$5,#REF!,SA_GRILLE_STEU!$A11+2,FALSE),"")</f>
        <v/>
      </c>
      <c r="M11" s="148"/>
      <c r="N11" s="192" t="str">
        <f>IFERROR(HLOOKUP(K$5,#REF!,SA_GRILLE_STEU!$A11+2,FALSE),"")</f>
        <v/>
      </c>
      <c r="O11" s="105" t="str">
        <f>IFERROR(HLOOKUP(K$5,#REF!,SA_GRILLE_STEU!$A11+2,FALSE),"")</f>
        <v/>
      </c>
      <c r="P11" s="199">
        <v>3</v>
      </c>
      <c r="Q11" s="36" t="str">
        <f>IFERROR(HLOOKUP(P$5,#REF!,SA_GRILLE_STEU!$A11+2,FALSE),"")</f>
        <v/>
      </c>
      <c r="R11" s="148"/>
      <c r="S11" s="192" t="str">
        <f>IFERROR(HLOOKUP(P$5,#REF!,SA_GRILLE_STEU!$A11+2,FALSE),"")</f>
        <v/>
      </c>
      <c r="T11" s="105" t="str">
        <f>IFERROR(HLOOKUP(P$5,#REF!,SA_GRILLE_STEU!$A11+2,FALSE),"")</f>
        <v/>
      </c>
      <c r="U11" s="199">
        <v>3</v>
      </c>
      <c r="V11" s="36" t="str">
        <f>IFERROR(HLOOKUP(U$5,#REF!,SA_GRILLE_STEU!$A11+2,FALSE),"")</f>
        <v/>
      </c>
      <c r="W11" s="148"/>
      <c r="X11" s="192" t="str">
        <f>IFERROR(HLOOKUP(U$5,#REF!,SA_GRILLE_STEU!$A11+2,FALSE),"")</f>
        <v/>
      </c>
      <c r="Y11" s="105" t="str">
        <f>IFERROR(HLOOKUP(U$5,#REF!,SA_GRILLE_STEU!$A11+2,FALSE),"")</f>
        <v/>
      </c>
      <c r="Z11" s="199">
        <v>3</v>
      </c>
      <c r="AA11" s="36" t="str">
        <f>IFERROR(HLOOKUP(Z$5,#REF!,SA_GRILLE_STEU!$A11+2,FALSE),"")</f>
        <v/>
      </c>
      <c r="AB11" s="148"/>
      <c r="AC11" s="192" t="str">
        <f>IFERROR(HLOOKUP(Z$5,#REF!,SA_GRILLE_STEU!$A11+2,FALSE),"")</f>
        <v/>
      </c>
      <c r="AD11" s="105" t="str">
        <f>IFERROR(HLOOKUP(Z$5,#REF!,SA_GRILLE_STEU!$A11+2,FALSE),"")</f>
        <v/>
      </c>
      <c r="AE11" s="199">
        <v>3</v>
      </c>
      <c r="AF11" s="36" t="str">
        <f>IFERROR(HLOOKUP(AE$5,#REF!,SA_GRILLE_STEU!$A11+2,FALSE),"")</f>
        <v/>
      </c>
      <c r="AG11" s="148"/>
      <c r="AH11" s="192" t="str">
        <f>IFERROR(HLOOKUP(AE$5,#REF!,SA_GRILLE_STEU!$A11+2,FALSE),"")</f>
        <v/>
      </c>
      <c r="AI11" s="105" t="str">
        <f>IFERROR(HLOOKUP(AE$5,#REF!,SA_GRILLE_STEU!$A11+2,FALSE),"")</f>
        <v/>
      </c>
      <c r="AJ11" s="199">
        <v>3</v>
      </c>
      <c r="AK11" s="36" t="str">
        <f>IFERROR(HLOOKUP(AJ$5,#REF!,SA_GRILLE_STEU!$A11+2,FALSE),"")</f>
        <v/>
      </c>
      <c r="AL11" s="148"/>
      <c r="AM11" s="106" t="str">
        <f>IFERROR(HLOOKUP(AJ$5,#REF!,SA_GRILLE_STEU!$A11+2,FALSE),"")</f>
        <v/>
      </c>
      <c r="AN11" s="105" t="str">
        <f>IFERROR(HLOOKUP(AJ$5,#REF!,SA_GRILLE_STEU!$A11+2,FALSE),"")</f>
        <v/>
      </c>
      <c r="AO11" s="199">
        <v>3</v>
      </c>
      <c r="AP11" s="36" t="str">
        <f>IFERROR(HLOOKUP(AO$5,#REF!,SA_GRILLE_STEU!$A11+2,FALSE),"")</f>
        <v/>
      </c>
      <c r="AQ11" s="148"/>
      <c r="AR11" s="106" t="str">
        <f>IFERROR(HLOOKUP(AO$5,#REF!,SA_GRILLE_STEU!$A11+2,FALSE),"")</f>
        <v/>
      </c>
      <c r="AS11" s="105" t="str">
        <f>IFERROR(HLOOKUP(AO$5,#REF!,SA_GRILLE_STEU!$A11+2,FALSE),"")</f>
        <v/>
      </c>
      <c r="AT11" s="199">
        <v>3</v>
      </c>
      <c r="AU11" s="36" t="str">
        <f>IFERROR(HLOOKUP(AT$5,#REF!,SA_GRILLE_STEU!$A11+2,FALSE),"")</f>
        <v/>
      </c>
      <c r="AV11" s="148"/>
      <c r="AW11" s="106" t="str">
        <f>IFERROR(HLOOKUP(AT$5,#REF!,SA_GRILLE_STEU!$A11+2,FALSE),"")</f>
        <v/>
      </c>
      <c r="AX11" s="105" t="str">
        <f>IFERROR(HLOOKUP(AT$5,#REF!,SA_GRILLE_STEU!$A11+2,FALSE),"")</f>
        <v/>
      </c>
      <c r="AY11" s="199">
        <v>3</v>
      </c>
      <c r="AZ11" s="36" t="str">
        <f>IFERROR(HLOOKUP(AY$5,#REF!,SA_GRILLE_STEU!$A11+2,FALSE),"")</f>
        <v/>
      </c>
      <c r="BA11" s="148"/>
      <c r="BB11" s="106" t="str">
        <f>IFERROR(HLOOKUP(AY$5,#REF!,SA_GRILLE_STEU!$A11+2,FALSE),"")</f>
        <v/>
      </c>
      <c r="BC11" s="105" t="str">
        <f>IFERROR(HLOOKUP(AY$5,#REF!,SA_GRILLE_STEU!$A11+2,FALSE),"")</f>
        <v/>
      </c>
      <c r="BD11" s="199">
        <v>3</v>
      </c>
      <c r="BE11" s="36" t="str">
        <f>IFERROR(HLOOKUP(BD$5,#REF!,SA_GRILLE_STEU!$A11+2,FALSE),"")</f>
        <v/>
      </c>
      <c r="BF11" s="148"/>
      <c r="BG11" s="109" t="str">
        <f>IFERROR(HLOOKUP(BD$5,#REF!,SA_GRILLE_STEU!$A11+2,FALSE),"")</f>
        <v/>
      </c>
      <c r="BH11" s="108" t="str">
        <f>IFERROR(HLOOKUP(BD$5,#REF!,SA_GRILLE_STEU!$A11+2,FALSE),"")</f>
        <v/>
      </c>
    </row>
    <row r="12" spans="1:60" ht="30" customHeight="1" x14ac:dyDescent="0.4">
      <c r="A12" s="199">
        <v>4</v>
      </c>
      <c r="B12" s="35" t="str">
        <f>IFERROR(HLOOKUP(A$5,#REF!,SA_GRILLE_STEU!$A12+2,FALSE),"")</f>
        <v/>
      </c>
      <c r="C12" s="148"/>
      <c r="D12" s="192" t="str">
        <f>IFERROR(HLOOKUP(A$5,#REF!,SA_GRILLE_STEU!$A12+2,FALSE),"")</f>
        <v/>
      </c>
      <c r="E12" s="105" t="str">
        <f>IFERROR(HLOOKUP(A$5,#REF!,SA_GRILLE_STEU!$A12+2,FALSE),"")</f>
        <v/>
      </c>
      <c r="F12" s="199">
        <v>4</v>
      </c>
      <c r="G12" s="36" t="str">
        <f>IFERROR(HLOOKUP(F$5,#REF!,SA_GRILLE_STEU!$A12+2,FALSE),"")</f>
        <v/>
      </c>
      <c r="H12" s="148"/>
      <c r="I12" s="192" t="str">
        <f>IFERROR(HLOOKUP(F$5,#REF!,SA_GRILLE_STEU!$A12+2,FALSE),"")</f>
        <v/>
      </c>
      <c r="J12" s="105" t="str">
        <f>IFERROR(HLOOKUP(F$5,#REF!,SA_GRILLE_STEU!$A12+2,FALSE),"")</f>
        <v/>
      </c>
      <c r="K12" s="199">
        <v>4</v>
      </c>
      <c r="L12" s="36" t="str">
        <f>IFERROR(HLOOKUP(K$5,#REF!,SA_GRILLE_STEU!$A12+2,FALSE),"")</f>
        <v/>
      </c>
      <c r="M12" s="148"/>
      <c r="N12" s="192" t="str">
        <f>IFERROR(HLOOKUP(K$5,#REF!,SA_GRILLE_STEU!$A12+2,FALSE),"")</f>
        <v/>
      </c>
      <c r="O12" s="105" t="str">
        <f>IFERROR(HLOOKUP(K$5,#REF!,SA_GRILLE_STEU!$A12+2,FALSE),"")</f>
        <v/>
      </c>
      <c r="P12" s="199">
        <v>4</v>
      </c>
      <c r="Q12" s="36" t="str">
        <f>IFERROR(HLOOKUP(P$5,#REF!,SA_GRILLE_STEU!$A12+2,FALSE),"")</f>
        <v/>
      </c>
      <c r="R12" s="148"/>
      <c r="S12" s="192" t="str">
        <f>IFERROR(HLOOKUP(P$5,#REF!,SA_GRILLE_STEU!$A12+2,FALSE),"")</f>
        <v/>
      </c>
      <c r="T12" s="105" t="str">
        <f>IFERROR(HLOOKUP(P$5,#REF!,SA_GRILLE_STEU!$A12+2,FALSE),"")</f>
        <v/>
      </c>
      <c r="U12" s="199">
        <v>4</v>
      </c>
      <c r="V12" s="36" t="str">
        <f>IFERROR(HLOOKUP(U$5,#REF!,SA_GRILLE_STEU!$A12+2,FALSE),"")</f>
        <v/>
      </c>
      <c r="W12" s="148"/>
      <c r="X12" s="192" t="str">
        <f>IFERROR(HLOOKUP(U$5,#REF!,SA_GRILLE_STEU!$A12+2,FALSE),"")</f>
        <v/>
      </c>
      <c r="Y12" s="105" t="str">
        <f>IFERROR(HLOOKUP(U$5,#REF!,SA_GRILLE_STEU!$A12+2,FALSE),"")</f>
        <v/>
      </c>
      <c r="Z12" s="199">
        <v>4</v>
      </c>
      <c r="AA12" s="36" t="str">
        <f>IFERROR(HLOOKUP(Z$5,#REF!,SA_GRILLE_STEU!$A12+2,FALSE),"")</f>
        <v/>
      </c>
      <c r="AB12" s="148"/>
      <c r="AC12" s="192" t="str">
        <f>IFERROR(HLOOKUP(Z$5,#REF!,SA_GRILLE_STEU!$A12+2,FALSE),"")</f>
        <v/>
      </c>
      <c r="AD12" s="105" t="str">
        <f>IFERROR(HLOOKUP(Z$5,#REF!,SA_GRILLE_STEU!$A12+2,FALSE),"")</f>
        <v/>
      </c>
      <c r="AE12" s="199">
        <v>4</v>
      </c>
      <c r="AF12" s="36" t="str">
        <f>IFERROR(HLOOKUP(AE$5,#REF!,SA_GRILLE_STEU!$A12+2,FALSE),"")</f>
        <v/>
      </c>
      <c r="AG12" s="148"/>
      <c r="AH12" s="192" t="str">
        <f>IFERROR(HLOOKUP(AE$5,#REF!,SA_GRILLE_STEU!$A12+2,FALSE),"")</f>
        <v/>
      </c>
      <c r="AI12" s="105" t="str">
        <f>IFERROR(HLOOKUP(AE$5,#REF!,SA_GRILLE_STEU!$A12+2,FALSE),"")</f>
        <v/>
      </c>
      <c r="AJ12" s="199">
        <v>4</v>
      </c>
      <c r="AK12" s="36" t="str">
        <f>IFERROR(HLOOKUP(AJ$5,#REF!,SA_GRILLE_STEU!$A12+2,FALSE),"")</f>
        <v/>
      </c>
      <c r="AL12" s="148"/>
      <c r="AM12" s="106" t="str">
        <f>IFERROR(HLOOKUP(AJ$5,#REF!,SA_GRILLE_STEU!$A12+2,FALSE),"")</f>
        <v/>
      </c>
      <c r="AN12" s="105" t="str">
        <f>IFERROR(HLOOKUP(AJ$5,#REF!,SA_GRILLE_STEU!$A12+2,FALSE),"")</f>
        <v/>
      </c>
      <c r="AO12" s="199">
        <v>4</v>
      </c>
      <c r="AP12" s="36" t="str">
        <f>IFERROR(HLOOKUP(AO$5,#REF!,SA_GRILLE_STEU!$A12+2,FALSE),"")</f>
        <v/>
      </c>
      <c r="AQ12" s="148"/>
      <c r="AR12" s="106" t="str">
        <f>IFERROR(HLOOKUP(AO$5,#REF!,SA_GRILLE_STEU!$A12+2,FALSE),"")</f>
        <v/>
      </c>
      <c r="AS12" s="105" t="str">
        <f>IFERROR(HLOOKUP(AO$5,#REF!,SA_GRILLE_STEU!$A12+2,FALSE),"")</f>
        <v/>
      </c>
      <c r="AT12" s="199">
        <v>4</v>
      </c>
      <c r="AU12" s="36" t="str">
        <f>IFERROR(HLOOKUP(AT$5,#REF!,SA_GRILLE_STEU!$A12+2,FALSE),"")</f>
        <v/>
      </c>
      <c r="AV12" s="148"/>
      <c r="AW12" s="106" t="str">
        <f>IFERROR(HLOOKUP(AT$5,#REF!,SA_GRILLE_STEU!$A12+2,FALSE),"")</f>
        <v/>
      </c>
      <c r="AX12" s="105" t="str">
        <f>IFERROR(HLOOKUP(AT$5,#REF!,SA_GRILLE_STEU!$A12+2,FALSE),"")</f>
        <v/>
      </c>
      <c r="AY12" s="199">
        <v>4</v>
      </c>
      <c r="AZ12" s="36" t="str">
        <f>IFERROR(HLOOKUP(AY$5,#REF!,SA_GRILLE_STEU!$A12+2,FALSE),"")</f>
        <v/>
      </c>
      <c r="BA12" s="148"/>
      <c r="BB12" s="106" t="str">
        <f>IFERROR(HLOOKUP(AY$5,#REF!,SA_GRILLE_STEU!$A12+2,FALSE),"")</f>
        <v/>
      </c>
      <c r="BC12" s="105" t="str">
        <f>IFERROR(HLOOKUP(AY$5,#REF!,SA_GRILLE_STEU!$A12+2,FALSE),"")</f>
        <v/>
      </c>
      <c r="BD12" s="199">
        <v>4</v>
      </c>
      <c r="BE12" s="36" t="str">
        <f>IFERROR(HLOOKUP(BD$5,#REF!,SA_GRILLE_STEU!$A12+2,FALSE),"")</f>
        <v/>
      </c>
      <c r="BF12" s="148"/>
      <c r="BG12" s="109" t="str">
        <f>IFERROR(HLOOKUP(BD$5,#REF!,SA_GRILLE_STEU!$A12+2,FALSE),"")</f>
        <v/>
      </c>
      <c r="BH12" s="108" t="str">
        <f>IFERROR(HLOOKUP(BD$5,#REF!,SA_GRILLE_STEU!$A12+2,FALSE),"")</f>
        <v/>
      </c>
    </row>
    <row r="13" spans="1:60" ht="80.25" customHeight="1" x14ac:dyDescent="0.4">
      <c r="A13" s="199">
        <v>5</v>
      </c>
      <c r="B13" s="35" t="str">
        <f>IFERROR(HLOOKUP(A$5,#REF!,SA_GRILLE_STEU!$A13+2,FALSE),"")</f>
        <v/>
      </c>
      <c r="C13" s="148"/>
      <c r="D13" s="192" t="str">
        <f>IFERROR(HLOOKUP(A$5,#REF!,SA_GRILLE_STEU!$A13+2,FALSE),"")</f>
        <v/>
      </c>
      <c r="E13" s="105" t="str">
        <f>IFERROR(HLOOKUP(A$5,#REF!,SA_GRILLE_STEU!$A13+2,FALSE),"")</f>
        <v/>
      </c>
      <c r="F13" s="199">
        <v>5</v>
      </c>
      <c r="G13" s="36" t="str">
        <f>IFERROR(HLOOKUP(F$5,#REF!,SA_GRILLE_STEU!$A13+2,FALSE),"")</f>
        <v/>
      </c>
      <c r="H13" s="148"/>
      <c r="I13" s="192" t="str">
        <f>IFERROR(HLOOKUP(F$5,#REF!,SA_GRILLE_STEU!$A13+2,FALSE),"")</f>
        <v/>
      </c>
      <c r="J13" s="105" t="str">
        <f>IFERROR(HLOOKUP(F$5,#REF!,SA_GRILLE_STEU!$A13+2,FALSE),"")</f>
        <v/>
      </c>
      <c r="K13" s="199">
        <v>5</v>
      </c>
      <c r="L13" s="36" t="str">
        <f>IFERROR(HLOOKUP(K$5,#REF!,SA_GRILLE_STEU!$A13+2,FALSE),"")</f>
        <v/>
      </c>
      <c r="M13" s="148"/>
      <c r="N13" s="192" t="str">
        <f>IFERROR(HLOOKUP(K$5,#REF!,SA_GRILLE_STEU!$A13+2,FALSE),"")</f>
        <v/>
      </c>
      <c r="O13" s="105" t="str">
        <f>IFERROR(HLOOKUP(K$5,#REF!,SA_GRILLE_STEU!$A13+2,FALSE),"")</f>
        <v/>
      </c>
      <c r="P13" s="199">
        <v>5</v>
      </c>
      <c r="Q13" s="36" t="str">
        <f>IFERROR(HLOOKUP(P$5,#REF!,SA_GRILLE_STEU!$A13+2,FALSE),"")</f>
        <v/>
      </c>
      <c r="R13" s="148"/>
      <c r="S13" s="192" t="str">
        <f>IFERROR(HLOOKUP(P$5,#REF!,SA_GRILLE_STEU!$A13+2,FALSE),"")</f>
        <v/>
      </c>
      <c r="T13" s="105" t="str">
        <f>IFERROR(HLOOKUP(P$5,#REF!,SA_GRILLE_STEU!$A13+2,FALSE),"")</f>
        <v/>
      </c>
      <c r="U13" s="199">
        <v>5</v>
      </c>
      <c r="V13" s="36" t="str">
        <f>IFERROR(HLOOKUP(U$5,#REF!,SA_GRILLE_STEU!$A13+2,FALSE),"")</f>
        <v/>
      </c>
      <c r="W13" s="148"/>
      <c r="X13" s="192" t="str">
        <f>IFERROR(HLOOKUP(U$5,#REF!,SA_GRILLE_STEU!$A13+2,FALSE),"")</f>
        <v/>
      </c>
      <c r="Y13" s="105" t="str">
        <f>IFERROR(HLOOKUP(U$5,#REF!,SA_GRILLE_STEU!$A13+2,FALSE),"")</f>
        <v/>
      </c>
      <c r="Z13" s="199">
        <v>5</v>
      </c>
      <c r="AA13" s="36" t="str">
        <f>IFERROR(HLOOKUP(Z$5,#REF!,SA_GRILLE_STEU!$A13+2,FALSE),"")</f>
        <v/>
      </c>
      <c r="AB13" s="148"/>
      <c r="AC13" s="192" t="str">
        <f>IFERROR(HLOOKUP(Z$5,#REF!,SA_GRILLE_STEU!$A13+2,FALSE),"")</f>
        <v/>
      </c>
      <c r="AD13" s="105" t="str">
        <f>IFERROR(HLOOKUP(Z$5,#REF!,SA_GRILLE_STEU!$A13+2,FALSE),"")</f>
        <v/>
      </c>
      <c r="AE13" s="199">
        <v>5</v>
      </c>
      <c r="AF13" s="36" t="str">
        <f>IFERROR(HLOOKUP(AE$5,#REF!,SA_GRILLE_STEU!$A13+2,FALSE),"")</f>
        <v/>
      </c>
      <c r="AG13" s="148"/>
      <c r="AH13" s="192" t="str">
        <f>IFERROR(HLOOKUP(AE$5,#REF!,SA_GRILLE_STEU!$A13+2,FALSE),"")</f>
        <v/>
      </c>
      <c r="AI13" s="105" t="str">
        <f>IFERROR(HLOOKUP(AE$5,#REF!,SA_GRILLE_STEU!$A13+2,FALSE),"")</f>
        <v/>
      </c>
      <c r="AJ13" s="199">
        <v>5</v>
      </c>
      <c r="AK13" s="36" t="str">
        <f>IFERROR(HLOOKUP(AJ$5,#REF!,SA_GRILLE_STEU!$A13+2,FALSE),"")</f>
        <v/>
      </c>
      <c r="AL13" s="148"/>
      <c r="AM13" s="106" t="str">
        <f>IFERROR(HLOOKUP(AJ$5,#REF!,SA_GRILLE_STEU!$A13+2,FALSE),"")</f>
        <v/>
      </c>
      <c r="AN13" s="105" t="str">
        <f>IFERROR(HLOOKUP(AJ$5,#REF!,SA_GRILLE_STEU!$A13+2,FALSE),"")</f>
        <v/>
      </c>
      <c r="AO13" s="199">
        <v>5</v>
      </c>
      <c r="AP13" s="36" t="str">
        <f>IFERROR(HLOOKUP(AO$5,#REF!,SA_GRILLE_STEU!$A13+2,FALSE),"")</f>
        <v/>
      </c>
      <c r="AQ13" s="148"/>
      <c r="AR13" s="106" t="str">
        <f>IFERROR(HLOOKUP(AO$5,#REF!,SA_GRILLE_STEU!$A13+2,FALSE),"")</f>
        <v/>
      </c>
      <c r="AS13" s="105" t="str">
        <f>IFERROR(HLOOKUP(AO$5,#REF!,SA_GRILLE_STEU!$A13+2,FALSE),"")</f>
        <v/>
      </c>
      <c r="AT13" s="199">
        <v>5</v>
      </c>
      <c r="AU13" s="36" t="str">
        <f>IFERROR(HLOOKUP(AT$5,#REF!,SA_GRILLE_STEU!$A13+2,FALSE),"")</f>
        <v/>
      </c>
      <c r="AV13" s="148"/>
      <c r="AW13" s="106" t="str">
        <f>IFERROR(HLOOKUP(AT$5,#REF!,SA_GRILLE_STEU!$A13+2,FALSE),"")</f>
        <v/>
      </c>
      <c r="AX13" s="105" t="str">
        <f>IFERROR(HLOOKUP(AT$5,#REF!,SA_GRILLE_STEU!$A13+2,FALSE),"")</f>
        <v/>
      </c>
      <c r="AY13" s="199">
        <v>5</v>
      </c>
      <c r="AZ13" s="36" t="str">
        <f>IFERROR(HLOOKUP(AY$5,#REF!,SA_GRILLE_STEU!$A13+2,FALSE),"")</f>
        <v/>
      </c>
      <c r="BA13" s="148"/>
      <c r="BB13" s="106" t="str">
        <f>IFERROR(HLOOKUP(AY$5,#REF!,SA_GRILLE_STEU!$A13+2,FALSE),"")</f>
        <v/>
      </c>
      <c r="BC13" s="105" t="str">
        <f>IFERROR(HLOOKUP(AY$5,#REF!,SA_GRILLE_STEU!$A13+2,FALSE),"")</f>
        <v/>
      </c>
      <c r="BD13" s="199">
        <v>5</v>
      </c>
      <c r="BE13" s="36" t="str">
        <f>IFERROR(HLOOKUP(BD$5,#REF!,SA_GRILLE_STEU!$A13+2,FALSE),"")</f>
        <v/>
      </c>
      <c r="BF13" s="148"/>
      <c r="BG13" s="109" t="str">
        <f>IFERROR(HLOOKUP(BD$5,#REF!,SA_GRILLE_STEU!$A13+2,FALSE),"")</f>
        <v/>
      </c>
      <c r="BH13" s="108" t="str">
        <f>IFERROR(HLOOKUP(BD$5,#REF!,SA_GRILLE_STEU!$A13+2,FALSE),"")</f>
        <v/>
      </c>
    </row>
    <row r="14" spans="1:60" ht="64.5" customHeight="1" x14ac:dyDescent="0.4">
      <c r="A14" s="199">
        <v>6</v>
      </c>
      <c r="B14" s="35" t="str">
        <f>IFERROR(HLOOKUP(A$5,#REF!,SA_GRILLE_STEU!$A14+2,FALSE),"")</f>
        <v/>
      </c>
      <c r="C14" s="148"/>
      <c r="D14" s="192" t="str">
        <f>IFERROR(HLOOKUP(A$5,#REF!,SA_GRILLE_STEU!$A14+2,FALSE),"")</f>
        <v/>
      </c>
      <c r="E14" s="105" t="str">
        <f>IFERROR(HLOOKUP(A$5,#REF!,SA_GRILLE_STEU!$A14+2,FALSE),"")</f>
        <v/>
      </c>
      <c r="F14" s="199">
        <v>6</v>
      </c>
      <c r="G14" s="36" t="str">
        <f>IFERROR(HLOOKUP(F$5,#REF!,SA_GRILLE_STEU!$A14+2,FALSE),"")</f>
        <v/>
      </c>
      <c r="H14" s="148"/>
      <c r="I14" s="192" t="str">
        <f>IFERROR(HLOOKUP(F$5,#REF!,SA_GRILLE_STEU!$A14+2,FALSE),"")</f>
        <v/>
      </c>
      <c r="J14" s="105" t="str">
        <f>IFERROR(HLOOKUP(F$5,#REF!,SA_GRILLE_STEU!$A14+2,FALSE),"")</f>
        <v/>
      </c>
      <c r="K14" s="199">
        <v>6</v>
      </c>
      <c r="L14" s="36" t="str">
        <f>IFERROR(HLOOKUP(K$5,#REF!,SA_GRILLE_STEU!$A14+2,FALSE),"")</f>
        <v/>
      </c>
      <c r="M14" s="148"/>
      <c r="N14" s="192" t="str">
        <f>IFERROR(HLOOKUP(K$5,#REF!,SA_GRILLE_STEU!$A14+2,FALSE),"")</f>
        <v/>
      </c>
      <c r="O14" s="105" t="str">
        <f>IFERROR(HLOOKUP(K$5,#REF!,SA_GRILLE_STEU!$A14+2,FALSE),"")</f>
        <v/>
      </c>
      <c r="P14" s="199">
        <v>6</v>
      </c>
      <c r="Q14" s="36" t="str">
        <f>IFERROR(HLOOKUP(P$5,#REF!,SA_GRILLE_STEU!$A14+2,FALSE),"")</f>
        <v/>
      </c>
      <c r="R14" s="148"/>
      <c r="S14" s="192" t="str">
        <f>IFERROR(HLOOKUP(P$5,#REF!,SA_GRILLE_STEU!$A14+2,FALSE),"")</f>
        <v/>
      </c>
      <c r="T14" s="105" t="str">
        <f>IFERROR(HLOOKUP(P$5,#REF!,SA_GRILLE_STEU!$A14+2,FALSE),"")</f>
        <v/>
      </c>
      <c r="U14" s="199">
        <v>6</v>
      </c>
      <c r="V14" s="36" t="str">
        <f>IFERROR(HLOOKUP(U$5,#REF!,SA_GRILLE_STEU!$A14+2,FALSE),"")</f>
        <v/>
      </c>
      <c r="W14" s="148"/>
      <c r="X14" s="192" t="str">
        <f>IFERROR(HLOOKUP(U$5,#REF!,SA_GRILLE_STEU!$A14+2,FALSE),"")</f>
        <v/>
      </c>
      <c r="Y14" s="105" t="str">
        <f>IFERROR(HLOOKUP(U$5,#REF!,SA_GRILLE_STEU!$A14+2,FALSE),"")</f>
        <v/>
      </c>
      <c r="Z14" s="199">
        <v>6</v>
      </c>
      <c r="AA14" s="36" t="str">
        <f>IFERROR(HLOOKUP(Z$5,#REF!,SA_GRILLE_STEU!$A14+2,FALSE),"")</f>
        <v/>
      </c>
      <c r="AB14" s="148"/>
      <c r="AC14" s="192" t="str">
        <f>IFERROR(HLOOKUP(Z$5,#REF!,SA_GRILLE_STEU!$A14+2,FALSE),"")</f>
        <v/>
      </c>
      <c r="AD14" s="105" t="str">
        <f>IFERROR(HLOOKUP(Z$5,#REF!,SA_GRILLE_STEU!$A14+2,FALSE),"")</f>
        <v/>
      </c>
      <c r="AE14" s="199">
        <v>6</v>
      </c>
      <c r="AF14" s="36" t="str">
        <f>IFERROR(HLOOKUP(AE$5,#REF!,SA_GRILLE_STEU!$A14+2,FALSE),"")</f>
        <v/>
      </c>
      <c r="AG14" s="148"/>
      <c r="AH14" s="192" t="str">
        <f>IFERROR(HLOOKUP(AE$5,#REF!,SA_GRILLE_STEU!$A14+2,FALSE),"")</f>
        <v/>
      </c>
      <c r="AI14" s="105" t="str">
        <f>IFERROR(HLOOKUP(AE$5,#REF!,SA_GRILLE_STEU!$A14+2,FALSE),"")</f>
        <v/>
      </c>
      <c r="AJ14" s="199">
        <v>6</v>
      </c>
      <c r="AK14" s="36" t="str">
        <f>IFERROR(HLOOKUP(AJ$5,#REF!,SA_GRILLE_STEU!$A14+2,FALSE),"")</f>
        <v/>
      </c>
      <c r="AL14" s="148"/>
      <c r="AM14" s="106" t="str">
        <f>IFERROR(HLOOKUP(AJ$5,#REF!,SA_GRILLE_STEU!$A14+2,FALSE),"")</f>
        <v/>
      </c>
      <c r="AN14" s="105" t="str">
        <f>IFERROR(HLOOKUP(AJ$5,#REF!,SA_GRILLE_STEU!$A14+2,FALSE),"")</f>
        <v/>
      </c>
      <c r="AO14" s="199">
        <v>6</v>
      </c>
      <c r="AP14" s="36" t="str">
        <f>IFERROR(HLOOKUP(AO$5,#REF!,SA_GRILLE_STEU!$A14+2,FALSE),"")</f>
        <v/>
      </c>
      <c r="AQ14" s="148"/>
      <c r="AR14" s="106" t="str">
        <f>IFERROR(HLOOKUP(AO$5,#REF!,SA_GRILLE_STEU!$A14+2,FALSE),"")</f>
        <v/>
      </c>
      <c r="AS14" s="105" t="str">
        <f>IFERROR(HLOOKUP(AO$5,#REF!,SA_GRILLE_STEU!$A14+2,FALSE),"")</f>
        <v/>
      </c>
      <c r="AT14" s="199">
        <v>6</v>
      </c>
      <c r="AU14" s="36" t="str">
        <f>IFERROR(HLOOKUP(AT$5,#REF!,SA_GRILLE_STEU!$A14+2,FALSE),"")</f>
        <v/>
      </c>
      <c r="AV14" s="148"/>
      <c r="AW14" s="106" t="str">
        <f>IFERROR(HLOOKUP(AT$5,#REF!,SA_GRILLE_STEU!$A14+2,FALSE),"")</f>
        <v/>
      </c>
      <c r="AX14" s="105" t="str">
        <f>IFERROR(HLOOKUP(AT$5,#REF!,SA_GRILLE_STEU!$A14+2,FALSE),"")</f>
        <v/>
      </c>
      <c r="AY14" s="199">
        <v>6</v>
      </c>
      <c r="AZ14" s="36" t="str">
        <f>IFERROR(HLOOKUP(AY$5,#REF!,SA_GRILLE_STEU!$A14+2,FALSE),"")</f>
        <v/>
      </c>
      <c r="BA14" s="148"/>
      <c r="BB14" s="106" t="str">
        <f>IFERROR(HLOOKUP(AY$5,#REF!,SA_GRILLE_STEU!$A14+2,FALSE),"")</f>
        <v/>
      </c>
      <c r="BC14" s="105" t="str">
        <f>IFERROR(HLOOKUP(AY$5,#REF!,SA_GRILLE_STEU!$A14+2,FALSE),"")</f>
        <v/>
      </c>
      <c r="BD14" s="199">
        <v>6</v>
      </c>
      <c r="BE14" s="36" t="str">
        <f>IFERROR(HLOOKUP(BD$5,#REF!,SA_GRILLE_STEU!$A14+2,FALSE),"")</f>
        <v/>
      </c>
      <c r="BF14" s="148"/>
      <c r="BG14" s="109" t="str">
        <f>IFERROR(HLOOKUP(BD$5,#REF!,SA_GRILLE_STEU!$A14+2,FALSE),"")</f>
        <v/>
      </c>
      <c r="BH14" s="108" t="str">
        <f>IFERROR(HLOOKUP(BD$5,#REF!,SA_GRILLE_STEU!$A14+2,FALSE),"")</f>
        <v/>
      </c>
    </row>
    <row r="15" spans="1:60" x14ac:dyDescent="0.4">
      <c r="A15" s="199">
        <v>7</v>
      </c>
      <c r="B15" s="35" t="str">
        <f>IFERROR(HLOOKUP(A$5,#REF!,SA_GRILLE_STEU!$A15+2,FALSE),"")</f>
        <v/>
      </c>
      <c r="C15" s="148"/>
      <c r="D15" s="192" t="str">
        <f>IFERROR(HLOOKUP(A$5,#REF!,SA_GRILLE_STEU!$A15+2,FALSE),"")</f>
        <v/>
      </c>
      <c r="E15" s="105" t="str">
        <f>IFERROR(HLOOKUP(A$5,#REF!,SA_GRILLE_STEU!$A15+2,FALSE),"")</f>
        <v/>
      </c>
      <c r="F15" s="199">
        <v>7</v>
      </c>
      <c r="G15" s="36" t="str">
        <f>IFERROR(HLOOKUP(F$5,#REF!,SA_GRILLE_STEU!$A15+2,FALSE),"")</f>
        <v/>
      </c>
      <c r="H15" s="148"/>
      <c r="I15" s="192" t="str">
        <f>IFERROR(HLOOKUP(F$5,#REF!,SA_GRILLE_STEU!$A15+2,FALSE),"")</f>
        <v/>
      </c>
      <c r="J15" s="105" t="str">
        <f>IFERROR(HLOOKUP(F$5,#REF!,SA_GRILLE_STEU!$A15+2,FALSE),"")</f>
        <v/>
      </c>
      <c r="K15" s="199">
        <v>7</v>
      </c>
      <c r="L15" s="36" t="str">
        <f>IFERROR(HLOOKUP(K$5,#REF!,SA_GRILLE_STEU!$A15+2,FALSE),"")</f>
        <v/>
      </c>
      <c r="M15" s="148"/>
      <c r="N15" s="192" t="str">
        <f>IFERROR(HLOOKUP(K$5,#REF!,SA_GRILLE_STEU!$A15+2,FALSE),"")</f>
        <v/>
      </c>
      <c r="O15" s="105" t="str">
        <f>IFERROR(HLOOKUP(K$5,#REF!,SA_GRILLE_STEU!$A15+2,FALSE),"")</f>
        <v/>
      </c>
      <c r="P15" s="199">
        <v>7</v>
      </c>
      <c r="Q15" s="36" t="str">
        <f>IFERROR(HLOOKUP(P$5,#REF!,SA_GRILLE_STEU!$A15+2,FALSE),"")</f>
        <v/>
      </c>
      <c r="R15" s="148"/>
      <c r="S15" s="192" t="str">
        <f>IFERROR(HLOOKUP(P$5,#REF!,SA_GRILLE_STEU!$A15+2,FALSE),"")</f>
        <v/>
      </c>
      <c r="T15" s="105" t="str">
        <f>IFERROR(HLOOKUP(P$5,#REF!,SA_GRILLE_STEU!$A15+2,FALSE),"")</f>
        <v/>
      </c>
      <c r="U15" s="199">
        <v>7</v>
      </c>
      <c r="V15" s="36" t="str">
        <f>IFERROR(HLOOKUP(U$5,#REF!,SA_GRILLE_STEU!$A15+2,FALSE),"")</f>
        <v/>
      </c>
      <c r="W15" s="148"/>
      <c r="X15" s="192" t="str">
        <f>IFERROR(HLOOKUP(U$5,#REF!,SA_GRILLE_STEU!$A15+2,FALSE),"")</f>
        <v/>
      </c>
      <c r="Y15" s="105" t="str">
        <f>IFERROR(HLOOKUP(U$5,#REF!,SA_GRILLE_STEU!$A15+2,FALSE),"")</f>
        <v/>
      </c>
      <c r="Z15" s="199">
        <v>7</v>
      </c>
      <c r="AA15" s="36" t="str">
        <f>IFERROR(HLOOKUP(Z$5,#REF!,SA_GRILLE_STEU!$A15+2,FALSE),"")</f>
        <v/>
      </c>
      <c r="AB15" s="148"/>
      <c r="AC15" s="192" t="str">
        <f>IFERROR(HLOOKUP(Z$5,#REF!,SA_GRILLE_STEU!$A15+2,FALSE),"")</f>
        <v/>
      </c>
      <c r="AD15" s="105" t="str">
        <f>IFERROR(HLOOKUP(Z$5,#REF!,SA_GRILLE_STEU!$A15+2,FALSE),"")</f>
        <v/>
      </c>
      <c r="AE15" s="199">
        <v>7</v>
      </c>
      <c r="AF15" s="36" t="str">
        <f>IFERROR(HLOOKUP(AE$5,#REF!,SA_GRILLE_STEU!$A15+2,FALSE),"")</f>
        <v/>
      </c>
      <c r="AG15" s="148"/>
      <c r="AH15" s="192" t="str">
        <f>IFERROR(HLOOKUP(AE$5,#REF!,SA_GRILLE_STEU!$A15+2,FALSE),"")</f>
        <v/>
      </c>
      <c r="AI15" s="105" t="str">
        <f>IFERROR(HLOOKUP(AE$5,#REF!,SA_GRILLE_STEU!$A15+2,FALSE),"")</f>
        <v/>
      </c>
      <c r="AJ15" s="199">
        <v>7</v>
      </c>
      <c r="AK15" s="36" t="str">
        <f>IFERROR(HLOOKUP(AJ$5,#REF!,SA_GRILLE_STEU!$A15+2,FALSE),"")</f>
        <v/>
      </c>
      <c r="AL15" s="148"/>
      <c r="AM15" s="106" t="str">
        <f>IFERROR(HLOOKUP(AJ$5,#REF!,SA_GRILLE_STEU!$A15+2,FALSE),"")</f>
        <v/>
      </c>
      <c r="AN15" s="105" t="str">
        <f>IFERROR(HLOOKUP(AJ$5,#REF!,SA_GRILLE_STEU!$A15+2,FALSE),"")</f>
        <v/>
      </c>
      <c r="AO15" s="199">
        <v>7</v>
      </c>
      <c r="AP15" s="36" t="str">
        <f>IFERROR(HLOOKUP(AO$5,#REF!,SA_GRILLE_STEU!$A15+2,FALSE),"")</f>
        <v/>
      </c>
      <c r="AQ15" s="148"/>
      <c r="AR15" s="106" t="str">
        <f>IFERROR(HLOOKUP(AO$5,#REF!,SA_GRILLE_STEU!$A15+2,FALSE),"")</f>
        <v/>
      </c>
      <c r="AS15" s="105" t="str">
        <f>IFERROR(HLOOKUP(AO$5,#REF!,SA_GRILLE_STEU!$A15+2,FALSE),"")</f>
        <v/>
      </c>
      <c r="AT15" s="199">
        <v>7</v>
      </c>
      <c r="AU15" s="36" t="str">
        <f>IFERROR(HLOOKUP(AT$5,#REF!,SA_GRILLE_STEU!$A15+2,FALSE),"")</f>
        <v/>
      </c>
      <c r="AV15" s="148"/>
      <c r="AW15" s="106" t="str">
        <f>IFERROR(HLOOKUP(AT$5,#REF!,SA_GRILLE_STEU!$A15+2,FALSE),"")</f>
        <v/>
      </c>
      <c r="AX15" s="105" t="str">
        <f>IFERROR(HLOOKUP(AT$5,#REF!,SA_GRILLE_STEU!$A15+2,FALSE),"")</f>
        <v/>
      </c>
      <c r="AY15" s="199">
        <v>7</v>
      </c>
      <c r="AZ15" s="36" t="str">
        <f>IFERROR(HLOOKUP(AY$5,#REF!,SA_GRILLE_STEU!$A15+2,FALSE),"")</f>
        <v/>
      </c>
      <c r="BA15" s="148"/>
      <c r="BB15" s="106" t="str">
        <f>IFERROR(HLOOKUP(AY$5,#REF!,SA_GRILLE_STEU!$A15+2,FALSE),"")</f>
        <v/>
      </c>
      <c r="BC15" s="105" t="str">
        <f>IFERROR(HLOOKUP(AY$5,#REF!,SA_GRILLE_STEU!$A15+2,FALSE),"")</f>
        <v/>
      </c>
      <c r="BD15" s="199">
        <v>7</v>
      </c>
      <c r="BE15" s="36" t="str">
        <f>IFERROR(HLOOKUP(BD$5,#REF!,SA_GRILLE_STEU!$A15+2,FALSE),"")</f>
        <v/>
      </c>
      <c r="BF15" s="148"/>
      <c r="BG15" s="109" t="str">
        <f>IFERROR(HLOOKUP(BD$5,#REF!,SA_GRILLE_STEU!$A15+2,FALSE),"")</f>
        <v/>
      </c>
      <c r="BH15" s="108" t="str">
        <f>IFERROR(HLOOKUP(BD$5,#REF!,SA_GRILLE_STEU!$A15+2,FALSE),"")</f>
        <v/>
      </c>
    </row>
    <row r="16" spans="1:60" x14ac:dyDescent="0.4">
      <c r="A16" s="199">
        <v>8</v>
      </c>
      <c r="B16" s="35" t="str">
        <f>IFERROR(HLOOKUP(A$5,#REF!,SA_GRILLE_STEU!$A16+2,FALSE),"")</f>
        <v/>
      </c>
      <c r="C16" s="148"/>
      <c r="D16" s="192" t="str">
        <f>IFERROR(HLOOKUP(A$5,#REF!,SA_GRILLE_STEU!$A16+2,FALSE),"")</f>
        <v/>
      </c>
      <c r="E16" s="105" t="str">
        <f>IFERROR(HLOOKUP(A$5,#REF!,SA_GRILLE_STEU!$A16+2,FALSE),"")</f>
        <v/>
      </c>
      <c r="F16" s="199">
        <v>8</v>
      </c>
      <c r="G16" s="36" t="str">
        <f>IFERROR(HLOOKUP(F$5,#REF!,SA_GRILLE_STEU!$A16+2,FALSE),"")</f>
        <v/>
      </c>
      <c r="H16" s="148"/>
      <c r="I16" s="192" t="str">
        <f>IFERROR(HLOOKUP(F$5,#REF!,SA_GRILLE_STEU!$A16+2,FALSE),"")</f>
        <v/>
      </c>
      <c r="J16" s="105" t="str">
        <f>IFERROR(HLOOKUP(F$5,#REF!,SA_GRILLE_STEU!$A16+2,FALSE),"")</f>
        <v/>
      </c>
      <c r="K16" s="199">
        <v>8</v>
      </c>
      <c r="L16" s="36" t="str">
        <f>IFERROR(HLOOKUP(K$5,#REF!,SA_GRILLE_STEU!$A16+2,FALSE),"")</f>
        <v/>
      </c>
      <c r="M16" s="148"/>
      <c r="N16" s="192" t="str">
        <f>IFERROR(HLOOKUP(K$5,#REF!,SA_GRILLE_STEU!$A16+2,FALSE),"")</f>
        <v/>
      </c>
      <c r="O16" s="105" t="str">
        <f>IFERROR(HLOOKUP(K$5,#REF!,SA_GRILLE_STEU!$A16+2,FALSE),"")</f>
        <v/>
      </c>
      <c r="P16" s="199">
        <v>8</v>
      </c>
      <c r="Q16" s="36" t="str">
        <f>IFERROR(HLOOKUP(P$5,#REF!,SA_GRILLE_STEU!$A16+2,FALSE),"")</f>
        <v/>
      </c>
      <c r="R16" s="148"/>
      <c r="S16" s="192" t="str">
        <f>IFERROR(HLOOKUP(P$5,#REF!,SA_GRILLE_STEU!$A16+2,FALSE),"")</f>
        <v/>
      </c>
      <c r="T16" s="105" t="str">
        <f>IFERROR(HLOOKUP(P$5,#REF!,SA_GRILLE_STEU!$A16+2,FALSE),"")</f>
        <v/>
      </c>
      <c r="U16" s="199">
        <v>8</v>
      </c>
      <c r="V16" s="36" t="str">
        <f>IFERROR(HLOOKUP(U$5,#REF!,SA_GRILLE_STEU!$A16+2,FALSE),"")</f>
        <v/>
      </c>
      <c r="W16" s="148"/>
      <c r="X16" s="192" t="str">
        <f>IFERROR(HLOOKUP(U$5,#REF!,SA_GRILLE_STEU!$A16+2,FALSE),"")</f>
        <v/>
      </c>
      <c r="Y16" s="105" t="str">
        <f>IFERROR(HLOOKUP(U$5,#REF!,SA_GRILLE_STEU!$A16+2,FALSE),"")</f>
        <v/>
      </c>
      <c r="Z16" s="199">
        <v>8</v>
      </c>
      <c r="AA16" s="36" t="str">
        <f>IFERROR(HLOOKUP(Z$5,#REF!,SA_GRILLE_STEU!$A16+2,FALSE),"")</f>
        <v/>
      </c>
      <c r="AB16" s="148"/>
      <c r="AC16" s="192" t="str">
        <f>IFERROR(HLOOKUP(Z$5,#REF!,SA_GRILLE_STEU!$A16+2,FALSE),"")</f>
        <v/>
      </c>
      <c r="AD16" s="105" t="str">
        <f>IFERROR(HLOOKUP(Z$5,#REF!,SA_GRILLE_STEU!$A16+2,FALSE),"")</f>
        <v/>
      </c>
      <c r="AE16" s="199">
        <v>8</v>
      </c>
      <c r="AF16" s="36" t="str">
        <f>IFERROR(HLOOKUP(AE$5,#REF!,SA_GRILLE_STEU!$A16+2,FALSE),"")</f>
        <v/>
      </c>
      <c r="AG16" s="148"/>
      <c r="AH16" s="192" t="str">
        <f>IFERROR(HLOOKUP(AE$5,#REF!,SA_GRILLE_STEU!$A16+2,FALSE),"")</f>
        <v/>
      </c>
      <c r="AI16" s="105" t="str">
        <f>IFERROR(HLOOKUP(AE$5,#REF!,SA_GRILLE_STEU!$A16+2,FALSE),"")</f>
        <v/>
      </c>
      <c r="AJ16" s="199">
        <v>8</v>
      </c>
      <c r="AK16" s="36" t="str">
        <f>IFERROR(HLOOKUP(AJ$5,#REF!,SA_GRILLE_STEU!$A16+2,FALSE),"")</f>
        <v/>
      </c>
      <c r="AL16" s="148"/>
      <c r="AM16" s="106" t="str">
        <f>IFERROR(HLOOKUP(AJ$5,#REF!,SA_GRILLE_STEU!$A16+2,FALSE),"")</f>
        <v/>
      </c>
      <c r="AN16" s="105" t="str">
        <f>IFERROR(HLOOKUP(AJ$5,#REF!,SA_GRILLE_STEU!$A16+2,FALSE),"")</f>
        <v/>
      </c>
      <c r="AO16" s="199">
        <v>8</v>
      </c>
      <c r="AP16" s="36" t="str">
        <f>IFERROR(HLOOKUP(AO$5,#REF!,SA_GRILLE_STEU!$A16+2,FALSE),"")</f>
        <v/>
      </c>
      <c r="AQ16" s="148"/>
      <c r="AR16" s="106" t="str">
        <f>IFERROR(HLOOKUP(AO$5,#REF!,SA_GRILLE_STEU!$A16+2,FALSE),"")</f>
        <v/>
      </c>
      <c r="AS16" s="105" t="str">
        <f>IFERROR(HLOOKUP(AO$5,#REF!,SA_GRILLE_STEU!$A16+2,FALSE),"")</f>
        <v/>
      </c>
      <c r="AT16" s="199">
        <v>8</v>
      </c>
      <c r="AU16" s="36" t="str">
        <f>IFERROR(HLOOKUP(AT$5,#REF!,SA_GRILLE_STEU!$A16+2,FALSE),"")</f>
        <v/>
      </c>
      <c r="AV16" s="148"/>
      <c r="AW16" s="106" t="str">
        <f>IFERROR(HLOOKUP(AT$5,#REF!,SA_GRILLE_STEU!$A16+2,FALSE),"")</f>
        <v/>
      </c>
      <c r="AX16" s="105" t="str">
        <f>IFERROR(HLOOKUP(AT$5,#REF!,SA_GRILLE_STEU!$A16+2,FALSE),"")</f>
        <v/>
      </c>
      <c r="AY16" s="199">
        <v>8</v>
      </c>
      <c r="AZ16" s="36" t="str">
        <f>IFERROR(HLOOKUP(AY$5,#REF!,SA_GRILLE_STEU!$A16+2,FALSE),"")</f>
        <v/>
      </c>
      <c r="BA16" s="148"/>
      <c r="BB16" s="106" t="str">
        <f>IFERROR(HLOOKUP(AY$5,#REF!,SA_GRILLE_STEU!$A16+2,FALSE),"")</f>
        <v/>
      </c>
      <c r="BC16" s="105" t="str">
        <f>IFERROR(HLOOKUP(AY$5,#REF!,SA_GRILLE_STEU!$A16+2,FALSE),"")</f>
        <v/>
      </c>
      <c r="BD16" s="199">
        <v>8</v>
      </c>
      <c r="BE16" s="36" t="str">
        <f>IFERROR(HLOOKUP(BD$5,#REF!,SA_GRILLE_STEU!$A16+2,FALSE),"")</f>
        <v/>
      </c>
      <c r="BF16" s="148"/>
      <c r="BG16" s="109" t="str">
        <f>IFERROR(HLOOKUP(BD$5,#REF!,SA_GRILLE_STEU!$A16+2,FALSE),"")</f>
        <v/>
      </c>
      <c r="BH16" s="108" t="str">
        <f>IFERROR(HLOOKUP(BD$5,#REF!,SA_GRILLE_STEU!$A16+2,FALSE),"")</f>
        <v/>
      </c>
    </row>
    <row r="17" spans="1:60" ht="20.100000000000001" customHeight="1" x14ac:dyDescent="0.4">
      <c r="A17" s="199">
        <v>9</v>
      </c>
      <c r="B17" s="35" t="str">
        <f>IFERROR(HLOOKUP(A$5,#REF!,SA_GRILLE_STEU!$A17+2,FALSE),"")</f>
        <v/>
      </c>
      <c r="C17" s="148"/>
      <c r="D17" s="192" t="str">
        <f>IFERROR(HLOOKUP(A$5,#REF!,SA_GRILLE_STEU!$A17+2,FALSE),"")</f>
        <v/>
      </c>
      <c r="E17" s="105" t="str">
        <f>IFERROR(HLOOKUP(A$5,#REF!,SA_GRILLE_STEU!$A17+2,FALSE),"")</f>
        <v/>
      </c>
      <c r="F17" s="199">
        <v>9</v>
      </c>
      <c r="G17" s="36" t="str">
        <f>IFERROR(HLOOKUP(F$5,#REF!,SA_GRILLE_STEU!$A17+2,FALSE),"")</f>
        <v/>
      </c>
      <c r="H17" s="148"/>
      <c r="I17" s="192" t="str">
        <f>IFERROR(HLOOKUP(F$5,#REF!,SA_GRILLE_STEU!$A17+2,FALSE),"")</f>
        <v/>
      </c>
      <c r="J17" s="105" t="str">
        <f>IFERROR(HLOOKUP(F$5,#REF!,SA_GRILLE_STEU!$A17+2,FALSE),"")</f>
        <v/>
      </c>
      <c r="K17" s="199">
        <v>9</v>
      </c>
      <c r="L17" s="36" t="str">
        <f>IFERROR(HLOOKUP(K$5,#REF!,SA_GRILLE_STEU!$A17+2,FALSE),"")</f>
        <v/>
      </c>
      <c r="M17" s="148"/>
      <c r="N17" s="192" t="str">
        <f>IFERROR(HLOOKUP(K$5,#REF!,SA_GRILLE_STEU!$A17+2,FALSE),"")</f>
        <v/>
      </c>
      <c r="O17" s="105" t="str">
        <f>IFERROR(HLOOKUP(K$5,#REF!,SA_GRILLE_STEU!$A17+2,FALSE),"")</f>
        <v/>
      </c>
      <c r="P17" s="199">
        <v>9</v>
      </c>
      <c r="Q17" s="36" t="str">
        <f>IFERROR(HLOOKUP(P$5,#REF!,SA_GRILLE_STEU!$A17+2,FALSE),"")</f>
        <v/>
      </c>
      <c r="R17" s="148"/>
      <c r="S17" s="192" t="str">
        <f>IFERROR(HLOOKUP(P$5,#REF!,SA_GRILLE_STEU!$A17+2,FALSE),"")</f>
        <v/>
      </c>
      <c r="T17" s="105" t="str">
        <f>IFERROR(HLOOKUP(P$5,#REF!,SA_GRILLE_STEU!$A17+2,FALSE),"")</f>
        <v/>
      </c>
      <c r="U17" s="199">
        <v>9</v>
      </c>
      <c r="V17" s="36" t="str">
        <f>IFERROR(HLOOKUP(U$5,#REF!,SA_GRILLE_STEU!$A17+2,FALSE),"")</f>
        <v/>
      </c>
      <c r="W17" s="148"/>
      <c r="X17" s="192" t="str">
        <f>IFERROR(HLOOKUP(U$5,#REF!,SA_GRILLE_STEU!$A17+2,FALSE),"")</f>
        <v/>
      </c>
      <c r="Y17" s="105" t="str">
        <f>IFERROR(HLOOKUP(U$5,#REF!,SA_GRILLE_STEU!$A17+2,FALSE),"")</f>
        <v/>
      </c>
      <c r="Z17" s="199">
        <v>9</v>
      </c>
      <c r="AA17" s="36" t="str">
        <f>IFERROR(HLOOKUP(Z$5,#REF!,SA_GRILLE_STEU!$A17+2,FALSE),"")</f>
        <v/>
      </c>
      <c r="AB17" s="148"/>
      <c r="AC17" s="192" t="str">
        <f>IFERROR(HLOOKUP(Z$5,#REF!,SA_GRILLE_STEU!$A17+2,FALSE),"")</f>
        <v/>
      </c>
      <c r="AD17" s="105" t="str">
        <f>IFERROR(HLOOKUP(Z$5,#REF!,SA_GRILLE_STEU!$A17+2,FALSE),"")</f>
        <v/>
      </c>
      <c r="AE17" s="199">
        <v>9</v>
      </c>
      <c r="AF17" s="36" t="str">
        <f>IFERROR(HLOOKUP(AE$5,#REF!,SA_GRILLE_STEU!$A17+2,FALSE),"")</f>
        <v/>
      </c>
      <c r="AG17" s="148"/>
      <c r="AH17" s="106" t="str">
        <f>IFERROR(HLOOKUP(AE$5,#REF!,SA_GRILLE_STEU!$A17+2,FALSE),"")</f>
        <v/>
      </c>
      <c r="AI17" s="105" t="str">
        <f>IFERROR(HLOOKUP(AE$5,#REF!,SA_GRILLE_STEU!$A17+2,FALSE),"")</f>
        <v/>
      </c>
      <c r="AJ17" s="199">
        <v>9</v>
      </c>
      <c r="AK17" s="36" t="str">
        <f>IFERROR(HLOOKUP(AJ$5,#REF!,SA_GRILLE_STEU!$A17+2,FALSE),"")</f>
        <v/>
      </c>
      <c r="AL17" s="148"/>
      <c r="AM17" s="106" t="str">
        <f>IFERROR(HLOOKUP(AJ$5,#REF!,SA_GRILLE_STEU!$A17+2,FALSE),"")</f>
        <v/>
      </c>
      <c r="AN17" s="105" t="str">
        <f>IFERROR(HLOOKUP(AJ$5,#REF!,SA_GRILLE_STEU!$A17+2,FALSE),"")</f>
        <v/>
      </c>
      <c r="AO17" s="199">
        <v>9</v>
      </c>
      <c r="AP17" s="36" t="str">
        <f>IFERROR(HLOOKUP(AO$5,#REF!,SA_GRILLE_STEU!$A17+2,FALSE),"")</f>
        <v/>
      </c>
      <c r="AQ17" s="148"/>
      <c r="AR17" s="106" t="str">
        <f>IFERROR(HLOOKUP(AO$5,#REF!,SA_GRILLE_STEU!$A17+2,FALSE),"")</f>
        <v/>
      </c>
      <c r="AS17" s="105" t="str">
        <f>IFERROR(HLOOKUP(AO$5,#REF!,SA_GRILLE_STEU!$A17+2,FALSE),"")</f>
        <v/>
      </c>
      <c r="AT17" s="199">
        <v>9</v>
      </c>
      <c r="AU17" s="36" t="str">
        <f>IFERROR(HLOOKUP(AT$5,#REF!,SA_GRILLE_STEU!$A17+2,FALSE),"")</f>
        <v/>
      </c>
      <c r="AV17" s="148"/>
      <c r="AW17" s="106" t="str">
        <f>IFERROR(HLOOKUP(AT$5,#REF!,SA_GRILLE_STEU!$A17+2,FALSE),"")</f>
        <v/>
      </c>
      <c r="AX17" s="105" t="str">
        <f>IFERROR(HLOOKUP(AT$5,#REF!,SA_GRILLE_STEU!$A17+2,FALSE),"")</f>
        <v/>
      </c>
      <c r="AY17" s="199">
        <v>9</v>
      </c>
      <c r="AZ17" s="2" t="str">
        <f>IFERROR(HLOOKUP(AY$5,#REF!,SA_GRILLE_STEU!$A17+2,FALSE),"")</f>
        <v/>
      </c>
      <c r="BA17" s="148"/>
      <c r="BB17" s="106" t="str">
        <f>IFERROR(HLOOKUP(AY$5,#REF!,SA_GRILLE_STEU!$A17+2,FALSE),"")</f>
        <v/>
      </c>
      <c r="BC17" s="105" t="str">
        <f>IFERROR(HLOOKUP(AY$5,#REF!,SA_GRILLE_STEU!$A17+2,FALSE),"")</f>
        <v/>
      </c>
      <c r="BD17" s="199">
        <v>9</v>
      </c>
      <c r="BE17" s="36" t="str">
        <f>IFERROR(HLOOKUP(BD$5,#REF!,SA_GRILLE_STEU!$A17+2,FALSE),"")</f>
        <v/>
      </c>
      <c r="BF17" s="148"/>
      <c r="BG17" s="109" t="str">
        <f>IFERROR(HLOOKUP(BD$5,#REF!,SA_GRILLE_STEU!$A17+2,FALSE),"")</f>
        <v/>
      </c>
      <c r="BH17" s="108" t="str">
        <f>IFERROR(HLOOKUP(BD$5,#REF!,SA_GRILLE_STEU!$A17+2,FALSE),"")</f>
        <v/>
      </c>
    </row>
    <row r="18" spans="1:60" s="112" customFormat="1" ht="38.25" customHeight="1" x14ac:dyDescent="0.4">
      <c r="A18" s="361" t="s">
        <v>49</v>
      </c>
      <c r="B18" s="362"/>
      <c r="C18" s="200" t="s">
        <v>50</v>
      </c>
      <c r="D18" s="201" t="s">
        <v>51</v>
      </c>
      <c r="E18" s="110"/>
      <c r="F18" s="361" t="s">
        <v>49</v>
      </c>
      <c r="G18" s="362"/>
      <c r="H18" s="200" t="s">
        <v>50</v>
      </c>
      <c r="I18" s="201" t="s">
        <v>51</v>
      </c>
      <c r="J18" s="110"/>
      <c r="K18" s="361" t="s">
        <v>49</v>
      </c>
      <c r="L18" s="362"/>
      <c r="M18" s="200" t="s">
        <v>50</v>
      </c>
      <c r="N18" s="201" t="s">
        <v>51</v>
      </c>
      <c r="O18" s="110"/>
      <c r="P18" s="361" t="s">
        <v>49</v>
      </c>
      <c r="Q18" s="362"/>
      <c r="R18" s="200" t="s">
        <v>50</v>
      </c>
      <c r="S18" s="201" t="s">
        <v>51</v>
      </c>
      <c r="T18" s="110"/>
      <c r="U18" s="361" t="s">
        <v>49</v>
      </c>
      <c r="V18" s="362"/>
      <c r="W18" s="200" t="s">
        <v>50</v>
      </c>
      <c r="X18" s="201" t="s">
        <v>51</v>
      </c>
      <c r="Y18" s="110"/>
      <c r="Z18" s="361" t="s">
        <v>49</v>
      </c>
      <c r="AA18" s="362"/>
      <c r="AB18" s="200" t="s">
        <v>50</v>
      </c>
      <c r="AC18" s="201" t="s">
        <v>51</v>
      </c>
      <c r="AD18" s="110"/>
      <c r="AE18" s="361" t="s">
        <v>49</v>
      </c>
      <c r="AF18" s="362"/>
      <c r="AG18" s="200" t="s">
        <v>50</v>
      </c>
      <c r="AH18" s="201" t="s">
        <v>51</v>
      </c>
      <c r="AI18" s="110"/>
      <c r="AJ18" s="361" t="s">
        <v>49</v>
      </c>
      <c r="AK18" s="362"/>
      <c r="AL18" s="200" t="s">
        <v>50</v>
      </c>
      <c r="AM18" s="201" t="s">
        <v>51</v>
      </c>
      <c r="AN18" s="110"/>
      <c r="AO18" s="361" t="s">
        <v>49</v>
      </c>
      <c r="AP18" s="362"/>
      <c r="AQ18" s="200" t="s">
        <v>50</v>
      </c>
      <c r="AR18" s="201" t="s">
        <v>51</v>
      </c>
      <c r="AS18" s="110"/>
      <c r="AT18" s="361" t="s">
        <v>49</v>
      </c>
      <c r="AU18" s="362"/>
      <c r="AV18" s="200" t="s">
        <v>50</v>
      </c>
      <c r="AW18" s="201" t="s">
        <v>51</v>
      </c>
      <c r="AX18" s="110"/>
      <c r="AY18" s="361" t="s">
        <v>49</v>
      </c>
      <c r="AZ18" s="362"/>
      <c r="BA18" s="200" t="s">
        <v>50</v>
      </c>
      <c r="BB18" s="201" t="s">
        <v>51</v>
      </c>
      <c r="BC18" s="110"/>
      <c r="BD18" s="361" t="s">
        <v>49</v>
      </c>
      <c r="BE18" s="362"/>
      <c r="BF18" s="200" t="s">
        <v>50</v>
      </c>
      <c r="BG18" s="201" t="s">
        <v>51</v>
      </c>
      <c r="BH18" s="111"/>
    </row>
    <row r="19" spans="1:60" s="115" customFormat="1" ht="60" customHeight="1" x14ac:dyDescent="0.4">
      <c r="A19" s="202"/>
      <c r="B19" s="161"/>
      <c r="C19" s="151"/>
      <c r="D19" s="113">
        <f>IF(OR(A5="",C19="Non contrôlé"),"",IF((SUMIF(C9:C17,"Validé",D9:D17)+SUMIF(C9:C17,"Validé avec réserve",D9:D17))&gt;100,100,SUMIF(C9:C17,"Validé",D9:D17)+SUMIF(C9:C17,"Validé avec réserve",D9:D17)))</f>
        <v>0</v>
      </c>
      <c r="E19" s="114"/>
      <c r="F19" s="203"/>
      <c r="G19" s="155"/>
      <c r="H19" s="151"/>
      <c r="I19" s="113">
        <f>IF(F5="","",IF((SUMIF(H9:H17,"Validé",I9:I17)+SUMIF(H9:H17,"Validé avec réserve",I9:I17))&gt;100,100,SUMIF(H9:H17,"Validé",I9:I17)+SUMIF(H9:H17,"Validé avec réserve",I9:I17)))</f>
        <v>0</v>
      </c>
      <c r="J19" s="114"/>
      <c r="K19" s="203"/>
      <c r="L19" s="155"/>
      <c r="M19" s="151"/>
      <c r="N19" s="113" t="str">
        <f>IF(K5="","",IF((SUMIF(M9:M17,"Validé",N9:N17)+SUMIF(M9:M17,"Validé avec réserve",N9:N17))&gt;100,100,SUMIF(M9:M17,"Validé",N9:N17)+SUMIF(M9:M17,"Validé avec réserve",N9:N17)))</f>
        <v/>
      </c>
      <c r="O19" s="114"/>
      <c r="P19" s="204"/>
      <c r="Q19" s="155"/>
      <c r="R19" s="151"/>
      <c r="S19" s="113" t="str">
        <f>IF(P5="","",IF((SUMIF(R9:R17,"Validé",S9:S17)+SUMIF(R9:R17,"Validé avec réserve",S9:S17))&gt;100,100,SUMIF(R9:R17,"Validé",S9:S17)+SUMIF(R9:R17,"Validé avec réserve",S9:S17)))</f>
        <v/>
      </c>
      <c r="T19" s="114"/>
      <c r="U19" s="205"/>
      <c r="V19" s="155"/>
      <c r="W19" s="151"/>
      <c r="X19" s="113" t="str">
        <f>IF(U5="","",IF((SUMIF(W9:W17,"Validé",X9:X17)+SUMIF(W9:W17,"Validé avec réserve",X9:X17))&gt;100,100,SUMIF(W9:W17,"Validé",X9:X17)+SUMIF(W9:W17,"Validé avec réserve",X9:X17)))</f>
        <v/>
      </c>
      <c r="Y19" s="114"/>
      <c r="Z19" s="205"/>
      <c r="AA19" s="154"/>
      <c r="AB19" s="151"/>
      <c r="AC19" s="113" t="str">
        <f>IF(Z5="","",IF((SUMIF(AB9:AB17,"Validé",AC9:AC17)+SUMIF(AB9:AB17,"Validé avec réserve",AC9:AC17))&gt;100,100,SUMIF(AB9:AB17,"Validé",AC9:AC17)+SUMIF(AB9:AB17,"Validé avec réserve",AC9:AC17)))</f>
        <v/>
      </c>
      <c r="AD19" s="114"/>
      <c r="AE19" s="205"/>
      <c r="AF19" s="155"/>
      <c r="AG19" s="151"/>
      <c r="AH19" s="113" t="str">
        <f>IF(AE5="","",IF((SUMIF(AG9:AG17,"Validé",AH9:AH17)+SUMIF(AG9:AG17,"Validé avec réserve",AH9:AH17))&gt;100,100,SUMIF(AG9:AG17,"Validé",AH9:AH17)+SUMIF(AG9:AG17,"Validé avec réserve",AH9:AH17)))</f>
        <v/>
      </c>
      <c r="AI19" s="114"/>
      <c r="AJ19" s="205"/>
      <c r="AK19" s="155"/>
      <c r="AL19" s="151"/>
      <c r="AM19" s="113" t="str">
        <f>IF(AJ5="","",IF((SUMIF(AL9:AL17,"Validé",AM9:AM17)+SUMIF(AL9:AL17,"Validé avec réserve",AM9:AM17))&gt;100,100,SUMIF(AL9:AL17,"Validé",AM9:AM17)+SUMIF(AL9:AL17,"Validé avec réserve",AM9:AM17)))</f>
        <v/>
      </c>
      <c r="AN19" s="114"/>
      <c r="AO19" s="205"/>
      <c r="AP19" s="155"/>
      <c r="AQ19" s="151"/>
      <c r="AR19" s="113" t="str">
        <f>IF(AO5="","",IF((SUMIF(AQ9:AQ17,"Validé",AR9:AR17)+SUMIF(AQ9:AQ17,"Validé avec réserve",AR9:AR17))&gt;100,100,SUMIF(AQ9:AQ17,"Validé",AR9:AR17)+SUMIF(AQ9:AQ17,"Validé avec réserve",AR9:AR17)))</f>
        <v/>
      </c>
      <c r="AS19" s="114"/>
      <c r="AT19" s="205"/>
      <c r="AU19" s="155"/>
      <c r="AV19" s="151"/>
      <c r="AW19" s="113" t="str">
        <f>IF(AT5="","",IF((SUMIF(AV9:AV17,"Validé",AW9:AW17)+SUMIF(AV9:AV17,"Validé avec réserve",AW9:AW17))&gt;100,100,SUMIF(AV9:AV17,"Validé",AW9:AW17)+SUMIF(AV9:AV17,"Validé avec réserve",AW9:AW17)))</f>
        <v/>
      </c>
      <c r="AX19" s="114"/>
      <c r="AY19" s="205"/>
      <c r="AZ19" s="155"/>
      <c r="BA19" s="151"/>
      <c r="BB19" s="113" t="str">
        <f>IF(AY5="","",IF((SUMIF(BA9:BA17,"Validé",BB9:BB17)+SUMIF(BA9:BA17,"Validé avec réserve",BB9:BB17))&gt;100,100,SUMIF(BA9:BA17,"Validé",BB9:BB17)+SUMIF(BA9:BA17,"Validé avec réserve",BB9:BB17)))</f>
        <v/>
      </c>
      <c r="BC19" s="113"/>
      <c r="BD19" s="205"/>
      <c r="BE19" s="152"/>
      <c r="BF19" s="151"/>
      <c r="BG19" s="113" t="str">
        <f>IF(BD5="","",IF((SUMIF(BF9:BF17,"Validé",BG9:BG17)+SUMIF(BF9:BF17,"Validé avec réserve",BG9:BG17))&gt;100,100,SUMIF(BF9:BF17,"Validé",BG9:BG17)+SUMIF(BF9:BF17,"Validé avec réserve",BG9:BG17)))</f>
        <v/>
      </c>
      <c r="BH19" s="113"/>
    </row>
    <row r="20" spans="1:60" s="122" customFormat="1" ht="15" customHeight="1" thickBot="1" x14ac:dyDescent="0.45">
      <c r="A20" s="116"/>
      <c r="B20" s="117"/>
      <c r="C20" s="118"/>
      <c r="D20" s="119"/>
      <c r="E20" s="120"/>
      <c r="F20" s="116"/>
      <c r="G20" s="117"/>
      <c r="H20" s="118"/>
      <c r="I20" s="119"/>
      <c r="J20" s="120"/>
      <c r="K20" s="116"/>
      <c r="L20" s="117"/>
      <c r="M20" s="118"/>
      <c r="N20" s="119"/>
      <c r="O20" s="120"/>
      <c r="P20" s="116"/>
      <c r="Q20" s="117"/>
      <c r="R20" s="117"/>
      <c r="S20" s="119"/>
      <c r="T20" s="117"/>
      <c r="U20" s="117"/>
      <c r="V20" s="117"/>
      <c r="W20" s="117"/>
      <c r="X20" s="119"/>
      <c r="Y20" s="117"/>
      <c r="Z20" s="117"/>
      <c r="AA20" s="117"/>
      <c r="AB20" s="117"/>
      <c r="AC20" s="119"/>
      <c r="AD20" s="117"/>
      <c r="AE20" s="117"/>
      <c r="AF20" s="117"/>
      <c r="AG20" s="117"/>
      <c r="AH20" s="119"/>
      <c r="AI20" s="117"/>
      <c r="AJ20" s="117"/>
      <c r="AK20" s="117"/>
      <c r="AL20" s="117"/>
      <c r="AM20" s="119"/>
      <c r="AN20" s="117"/>
      <c r="AO20" s="117"/>
      <c r="AP20" s="117"/>
      <c r="AQ20" s="117"/>
      <c r="AR20" s="119"/>
      <c r="AS20" s="117"/>
      <c r="AT20" s="117"/>
      <c r="AU20" s="117"/>
      <c r="AV20" s="117"/>
      <c r="AW20" s="119"/>
      <c r="AX20" s="117"/>
      <c r="AY20" s="117"/>
      <c r="AZ20" s="117"/>
      <c r="BA20" s="117"/>
      <c r="BB20" s="119"/>
      <c r="BC20" s="117"/>
      <c r="BD20" s="117"/>
      <c r="BE20" s="117"/>
      <c r="BF20" s="117"/>
      <c r="BG20" s="117"/>
      <c r="BH20" s="121"/>
    </row>
    <row r="21" spans="1:60" ht="12" customHeight="1" thickBot="1" x14ac:dyDescent="0.45">
      <c r="A21" s="363" t="s">
        <v>188</v>
      </c>
      <c r="B21" s="364"/>
      <c r="C21" s="364"/>
      <c r="D21" s="365"/>
      <c r="E21" s="123"/>
      <c r="F21" s="363" t="s">
        <v>188</v>
      </c>
      <c r="G21" s="364"/>
      <c r="H21" s="364"/>
      <c r="I21" s="365"/>
      <c r="J21" s="123"/>
      <c r="K21" s="363" t="s">
        <v>188</v>
      </c>
      <c r="L21" s="364"/>
      <c r="M21" s="364"/>
      <c r="N21" s="365"/>
      <c r="O21" s="123"/>
      <c r="P21" s="363" t="s">
        <v>188</v>
      </c>
      <c r="Q21" s="364"/>
      <c r="R21" s="364"/>
      <c r="S21" s="365"/>
      <c r="T21" s="123"/>
      <c r="U21" s="363" t="s">
        <v>188</v>
      </c>
      <c r="V21" s="364"/>
      <c r="W21" s="364"/>
      <c r="X21" s="365"/>
      <c r="Y21" s="123"/>
      <c r="Z21" s="363" t="s">
        <v>188</v>
      </c>
      <c r="AA21" s="364"/>
      <c r="AB21" s="364"/>
      <c r="AC21" s="365"/>
      <c r="AD21" s="123"/>
      <c r="AE21" s="363" t="s">
        <v>188</v>
      </c>
      <c r="AF21" s="364"/>
      <c r="AG21" s="364"/>
      <c r="AH21" s="365"/>
      <c r="AI21" s="123"/>
      <c r="AJ21" s="363" t="s">
        <v>188</v>
      </c>
      <c r="AK21" s="364"/>
      <c r="AL21" s="364"/>
      <c r="AM21" s="365"/>
      <c r="AN21" s="123"/>
      <c r="AO21" s="363" t="s">
        <v>188</v>
      </c>
      <c r="AP21" s="364"/>
      <c r="AQ21" s="364"/>
      <c r="AR21" s="365"/>
      <c r="AS21" s="123"/>
      <c r="AT21" s="363" t="s">
        <v>188</v>
      </c>
      <c r="AU21" s="364"/>
      <c r="AV21" s="364"/>
      <c r="AW21" s="365"/>
      <c r="AX21" s="123"/>
      <c r="AY21" s="363" t="s">
        <v>188</v>
      </c>
      <c r="AZ21" s="364"/>
      <c r="BA21" s="364"/>
      <c r="BB21" s="365"/>
      <c r="BC21" s="123"/>
      <c r="BD21" s="363" t="s">
        <v>188</v>
      </c>
      <c r="BE21" s="364"/>
      <c r="BF21" s="364"/>
      <c r="BG21" s="365"/>
    </row>
    <row r="22" spans="1:60" s="96" customFormat="1" ht="18" customHeight="1" x14ac:dyDescent="0.55000000000000004">
      <c r="A22" s="354" t="s">
        <v>145</v>
      </c>
      <c r="B22" s="355"/>
      <c r="C22" s="355"/>
      <c r="D22" s="356"/>
      <c r="F22" s="354"/>
      <c r="G22" s="355"/>
      <c r="H22" s="355"/>
      <c r="I22" s="356"/>
      <c r="K22" s="354"/>
      <c r="L22" s="355"/>
      <c r="M22" s="355"/>
      <c r="N22" s="356"/>
      <c r="P22" s="354"/>
      <c r="Q22" s="355"/>
      <c r="R22" s="355"/>
      <c r="S22" s="356"/>
      <c r="U22" s="354"/>
      <c r="V22" s="355"/>
      <c r="W22" s="355"/>
      <c r="X22" s="356"/>
      <c r="Z22" s="354"/>
      <c r="AA22" s="355"/>
      <c r="AB22" s="355"/>
      <c r="AC22" s="356"/>
      <c r="AE22" s="354"/>
      <c r="AF22" s="355"/>
      <c r="AG22" s="355"/>
      <c r="AH22" s="356"/>
      <c r="AJ22" s="354"/>
      <c r="AK22" s="355"/>
      <c r="AL22" s="355"/>
      <c r="AM22" s="356"/>
      <c r="AO22" s="354"/>
      <c r="AP22" s="355"/>
      <c r="AQ22" s="355"/>
      <c r="AR22" s="356"/>
      <c r="AT22" s="354"/>
      <c r="AU22" s="355"/>
      <c r="AV22" s="355"/>
      <c r="AW22" s="356"/>
      <c r="AY22" s="354"/>
      <c r="AZ22" s="355"/>
      <c r="BA22" s="355"/>
      <c r="BB22" s="356"/>
      <c r="BD22" s="354"/>
      <c r="BE22" s="355"/>
      <c r="BF22" s="355"/>
      <c r="BG22" s="356"/>
    </row>
    <row r="23" spans="1:60" ht="1.5" customHeight="1" x14ac:dyDescent="0.4">
      <c r="A23" s="97"/>
      <c r="B23" s="98"/>
      <c r="C23" s="98"/>
      <c r="D23" s="99"/>
      <c r="F23" s="97"/>
      <c r="G23" s="98"/>
      <c r="H23" s="101"/>
      <c r="I23" s="100"/>
      <c r="K23" s="97"/>
      <c r="L23" s="98"/>
      <c r="M23" s="101"/>
      <c r="N23" s="100"/>
      <c r="P23" s="97"/>
      <c r="Q23" s="98"/>
      <c r="R23" s="101"/>
      <c r="S23" s="100"/>
      <c r="U23" s="97"/>
      <c r="V23" s="98"/>
      <c r="W23" s="98"/>
      <c r="X23" s="99"/>
      <c r="Z23" s="97"/>
      <c r="AA23" s="98"/>
      <c r="AB23" s="98"/>
      <c r="AC23" s="99"/>
      <c r="AE23" s="97"/>
      <c r="AF23" s="98"/>
      <c r="AG23" s="124"/>
      <c r="AH23" s="100"/>
      <c r="AJ23" s="97"/>
      <c r="AK23" s="98"/>
      <c r="AL23" s="98"/>
      <c r="AM23" s="99"/>
      <c r="AO23" s="97"/>
      <c r="AP23" s="98"/>
      <c r="AQ23" s="98"/>
      <c r="AR23" s="99"/>
      <c r="AT23" s="97"/>
      <c r="AU23" s="98"/>
      <c r="AV23" s="98"/>
      <c r="AW23" s="99"/>
      <c r="AY23" s="97"/>
      <c r="AZ23" s="98"/>
      <c r="BA23" s="98"/>
      <c r="BB23" s="99"/>
      <c r="BD23" s="97"/>
      <c r="BE23" s="98"/>
      <c r="BF23" s="98"/>
      <c r="BG23" s="102"/>
    </row>
    <row r="24" spans="1:60" ht="24" customHeight="1" x14ac:dyDescent="0.4">
      <c r="A24" s="357" t="s">
        <v>52</v>
      </c>
      <c r="B24" s="358"/>
      <c r="C24" s="125" t="s">
        <v>11</v>
      </c>
      <c r="D24" s="126" t="s">
        <v>47</v>
      </c>
      <c r="E24" s="103" t="s">
        <v>48</v>
      </c>
      <c r="F24" s="357" t="s">
        <v>52</v>
      </c>
      <c r="G24" s="358"/>
      <c r="H24" s="125" t="s">
        <v>11</v>
      </c>
      <c r="I24" s="126" t="s">
        <v>47</v>
      </c>
      <c r="J24" s="103" t="s">
        <v>48</v>
      </c>
      <c r="K24" s="359" t="s">
        <v>52</v>
      </c>
      <c r="L24" s="360"/>
      <c r="M24" s="125" t="s">
        <v>11</v>
      </c>
      <c r="N24" s="126" t="s">
        <v>47</v>
      </c>
      <c r="O24" s="103" t="s">
        <v>48</v>
      </c>
      <c r="P24" s="359" t="s">
        <v>52</v>
      </c>
      <c r="Q24" s="360"/>
      <c r="R24" s="125" t="s">
        <v>11</v>
      </c>
      <c r="S24" s="126" t="s">
        <v>47</v>
      </c>
      <c r="T24" s="103" t="s">
        <v>48</v>
      </c>
      <c r="U24" s="359" t="s">
        <v>52</v>
      </c>
      <c r="V24" s="360"/>
      <c r="W24" s="127" t="s">
        <v>11</v>
      </c>
      <c r="X24" s="128" t="s">
        <v>47</v>
      </c>
      <c r="Y24" s="103" t="s">
        <v>48</v>
      </c>
      <c r="Z24" s="357" t="s">
        <v>52</v>
      </c>
      <c r="AA24" s="358"/>
      <c r="AB24" s="125" t="s">
        <v>11</v>
      </c>
      <c r="AC24" s="126" t="s">
        <v>47</v>
      </c>
      <c r="AD24" s="103" t="s">
        <v>48</v>
      </c>
      <c r="AE24" s="357" t="s">
        <v>52</v>
      </c>
      <c r="AF24" s="358"/>
      <c r="AG24" s="125" t="s">
        <v>11</v>
      </c>
      <c r="AH24" s="126" t="s">
        <v>47</v>
      </c>
      <c r="AI24" s="103" t="s">
        <v>48</v>
      </c>
      <c r="AJ24" s="357" t="s">
        <v>52</v>
      </c>
      <c r="AK24" s="358"/>
      <c r="AL24" s="125" t="s">
        <v>11</v>
      </c>
      <c r="AM24" s="126" t="s">
        <v>47</v>
      </c>
      <c r="AN24" s="103" t="s">
        <v>48</v>
      </c>
      <c r="AO24" s="357" t="s">
        <v>52</v>
      </c>
      <c r="AP24" s="358"/>
      <c r="AQ24" s="125" t="s">
        <v>11</v>
      </c>
      <c r="AR24" s="126" t="s">
        <v>47</v>
      </c>
      <c r="AS24" s="103" t="s">
        <v>48</v>
      </c>
      <c r="AT24" s="357" t="s">
        <v>52</v>
      </c>
      <c r="AU24" s="358"/>
      <c r="AV24" s="125" t="s">
        <v>11</v>
      </c>
      <c r="AW24" s="126" t="s">
        <v>47</v>
      </c>
      <c r="AX24" s="103" t="s">
        <v>48</v>
      </c>
      <c r="AY24" s="357" t="s">
        <v>52</v>
      </c>
      <c r="AZ24" s="358"/>
      <c r="BA24" s="125" t="s">
        <v>11</v>
      </c>
      <c r="BB24" s="126" t="s">
        <v>47</v>
      </c>
      <c r="BC24" s="103" t="s">
        <v>48</v>
      </c>
      <c r="BD24" s="357" t="s">
        <v>52</v>
      </c>
      <c r="BE24" s="358"/>
      <c r="BF24" s="125" t="s">
        <v>11</v>
      </c>
      <c r="BG24" s="126" t="s">
        <v>47</v>
      </c>
      <c r="BH24" s="104" t="s">
        <v>48</v>
      </c>
    </row>
    <row r="25" spans="1:60" s="134" customFormat="1" ht="20.100000000000001" customHeight="1" x14ac:dyDescent="0.4">
      <c r="A25" s="206">
        <v>0</v>
      </c>
      <c r="B25" s="37" t="str">
        <f>IFERROR(HLOOKUP(A$22,#REF!,SA_GRILLE_STEU!$A25+2,FALSE),"")</f>
        <v/>
      </c>
      <c r="C25" s="147" t="s">
        <v>111</v>
      </c>
      <c r="D25" s="129"/>
      <c r="E25" s="108" t="str">
        <f>IFERROR(HLOOKUP(A$22,#REF!,SA_GRILLE_STEU!$A25+2,FALSE),"")</f>
        <v/>
      </c>
      <c r="F25" s="206">
        <v>0</v>
      </c>
      <c r="G25" s="34" t="str">
        <f>IFERROR(HLOOKUP(F$22,#REF!,SA_GRILLE_STEU!$A25+2,FALSE),"")</f>
        <v/>
      </c>
      <c r="H25" s="147"/>
      <c r="I25" s="130"/>
      <c r="J25" s="108" t="str">
        <f>IFERROR(HLOOKUP(F$22,#REF!,SA_GRILLE_STEU!$A25+2,FALSE),"")</f>
        <v/>
      </c>
      <c r="K25" s="131">
        <v>0</v>
      </c>
      <c r="L25" s="37" t="str">
        <f>IFERROR(HLOOKUP(K$22,#REF!,SA_GRILLE_STEU!$A25+2,FALSE),"")</f>
        <v/>
      </c>
      <c r="M25" s="147"/>
      <c r="N25" s="130"/>
      <c r="O25" s="108" t="str">
        <f>IFERROR(HLOOKUP(K$22,#REF!,SA_GRILLE_STEU!$A25+2,FALSE),"")</f>
        <v/>
      </c>
      <c r="P25" s="131">
        <v>0</v>
      </c>
      <c r="Q25" s="37" t="str">
        <f>IFERROR(HLOOKUP(P$22,#REF!,SA_GRILLE_STEU!$A25+2,FALSE),"")</f>
        <v/>
      </c>
      <c r="R25" s="147"/>
      <c r="S25" s="130"/>
      <c r="T25" s="108" t="str">
        <f>IFERROR(HLOOKUP(P$22,#REF!,SA_GRILLE_STEU!$A25+2,FALSE),"")</f>
        <v/>
      </c>
      <c r="U25" s="131">
        <v>0</v>
      </c>
      <c r="V25" s="34" t="str">
        <f>IFERROR(HLOOKUP(U$22,#REF!,SA_GRILLE_STEU!$A25+2,FALSE),"")</f>
        <v/>
      </c>
      <c r="W25" s="147"/>
      <c r="X25" s="130"/>
      <c r="Y25" s="108" t="str">
        <f>IFERROR(HLOOKUP(U$22,#REF!,SA_GRILLE_STEU!$A25+2,FALSE),"")</f>
        <v/>
      </c>
      <c r="Z25" s="206">
        <v>0</v>
      </c>
      <c r="AA25" s="34" t="str">
        <f>IFERROR(HLOOKUP(Z$22,#REF!,SA_GRILLE_STEU!$A25+2,FALSE),"")</f>
        <v/>
      </c>
      <c r="AB25" s="147"/>
      <c r="AC25" s="130"/>
      <c r="AD25" s="108" t="str">
        <f>IFERROR(HLOOKUP(Z$22,#REF!,SA_GRILLE_STEU!$A25+2,FALSE),"")</f>
        <v/>
      </c>
      <c r="AE25" s="206">
        <v>0</v>
      </c>
      <c r="AF25" s="34" t="str">
        <f>IFERROR(HLOOKUP(AE$22,#REF!,SA_GRILLE_STEU!$A25+2,FALSE),"")</f>
        <v/>
      </c>
      <c r="AG25" s="147"/>
      <c r="AH25" s="130"/>
      <c r="AI25" s="108" t="str">
        <f>IFERROR(HLOOKUP(AE$22,#REF!,SA_GRILLE_STEU!$A25+2,FALSE),"")</f>
        <v/>
      </c>
      <c r="AJ25" s="206">
        <v>0</v>
      </c>
      <c r="AK25" s="40" t="str">
        <f>IFERROR(HLOOKUP(AJ$22,#REF!,SA_GRILLE_STEU!$A25+2,FALSE),"")</f>
        <v/>
      </c>
      <c r="AL25" s="158"/>
      <c r="AM25" s="132"/>
      <c r="AN25" s="108" t="str">
        <f>IFERROR(HLOOKUP(AJ$22,#REF!,SA_GRILLE_STEU!$A25+2,FALSE),"")</f>
        <v/>
      </c>
      <c r="AO25" s="206">
        <v>0</v>
      </c>
      <c r="AP25" s="34" t="str">
        <f>IFERROR(HLOOKUP(AO$22,#REF!,SA_GRILLE_STEU!$A25+2,FALSE),"")</f>
        <v/>
      </c>
      <c r="AQ25" s="147"/>
      <c r="AR25" s="132"/>
      <c r="AS25" s="108" t="str">
        <f>IFERROR(HLOOKUP(AO$22,#REF!,SA_GRILLE_STEU!$A25+2,FALSE),"")</f>
        <v/>
      </c>
      <c r="AT25" s="206">
        <v>0</v>
      </c>
      <c r="AU25" s="34" t="str">
        <f>IFERROR(HLOOKUP(AT$22,#REF!,SA_GRILLE_STEU!$A25+2,FALSE),"")</f>
        <v/>
      </c>
      <c r="AV25" s="147"/>
      <c r="AW25" s="132"/>
      <c r="AX25" s="108" t="str">
        <f>IFERROR(HLOOKUP(AT$22,#REF!,SA_GRILLE_STEU!$A25+2,FALSE),"")</f>
        <v/>
      </c>
      <c r="AY25" s="206">
        <v>0</v>
      </c>
      <c r="AZ25" s="40" t="str">
        <f>IFERROR(HLOOKUP(AY$22,#REF!,SA_GRILLE_STEU!$A25+2,FALSE),"")</f>
        <v/>
      </c>
      <c r="BA25" s="147"/>
      <c r="BB25" s="132"/>
      <c r="BC25" s="108" t="str">
        <f>IFERROR(HLOOKUP(AY$22,#REF!,SA_GRILLE_STEU!$A25+2,FALSE),"")</f>
        <v/>
      </c>
      <c r="BD25" s="206">
        <v>0</v>
      </c>
      <c r="BE25" s="34" t="str">
        <f>IFERROR(HLOOKUP(BD$22,#REF!,SA_GRILLE_STEU!$A25+2,FALSE),"")</f>
        <v/>
      </c>
      <c r="BF25" s="147"/>
      <c r="BG25" s="133"/>
      <c r="BH25" s="108" t="str">
        <f>IFERROR(HLOOKUP(BD$22,#REF!,SA_GRILLE_STEU!$A25+2,FALSE),"")</f>
        <v/>
      </c>
    </row>
    <row r="26" spans="1:60" s="134" customFormat="1" ht="30" customHeight="1" x14ac:dyDescent="0.4">
      <c r="A26" s="207">
        <v>1</v>
      </c>
      <c r="B26" s="38" t="str">
        <f>IFERROR(HLOOKUP(A$22,#REF!,SA_GRILLE_STEU!$A26+2,FALSE),"")</f>
        <v/>
      </c>
      <c r="C26" s="148" t="s">
        <v>146</v>
      </c>
      <c r="D26" s="106" t="str">
        <f>IFERROR(HLOOKUP(A$22,#REF!,SA_GRILLE_STEU!$A26+2,FALSE),"")</f>
        <v/>
      </c>
      <c r="E26" s="108" t="str">
        <f>IFERROR(HLOOKUP(A$22,#REF!,SA_GRILLE_STEU!$A26+2,FALSE),"")</f>
        <v/>
      </c>
      <c r="F26" s="207">
        <v>1</v>
      </c>
      <c r="G26" s="35" t="str">
        <f>IFERROR(HLOOKUP(F$22,#REF!,SA_GRILLE_STEU!$A26+2,FALSE),"")</f>
        <v/>
      </c>
      <c r="H26" s="148"/>
      <c r="I26" s="106" t="str">
        <f>IFERROR(HLOOKUP(F$22,#REF!,SA_GRILLE_STEU!$A26+2,FALSE),"")</f>
        <v/>
      </c>
      <c r="J26" s="108" t="str">
        <f>IFERROR(HLOOKUP(F$22,#REF!,SA_GRILLE_STEU!$A26+2,FALSE),"")</f>
        <v/>
      </c>
      <c r="K26" s="135">
        <v>1</v>
      </c>
      <c r="L26" s="38" t="str">
        <f>IFERROR(HLOOKUP(K$22,#REF!,SA_GRILLE_STEU!$A26+2,FALSE),"")</f>
        <v/>
      </c>
      <c r="M26" s="148"/>
      <c r="N26" s="106" t="str">
        <f>IFERROR(HLOOKUP(K$22,#REF!,SA_GRILLE_STEU!$A26+2,FALSE),"")</f>
        <v/>
      </c>
      <c r="O26" s="108" t="str">
        <f>IFERROR(HLOOKUP(K$22,#REF!,SA_GRILLE_STEU!$A26+2,FALSE),"")</f>
        <v/>
      </c>
      <c r="P26" s="135">
        <v>1</v>
      </c>
      <c r="Q26" s="38" t="str">
        <f>IFERROR(HLOOKUP(P$22,#REF!,SA_GRILLE_STEU!$A26+2,FALSE),"")</f>
        <v/>
      </c>
      <c r="R26" s="148"/>
      <c r="S26" s="106" t="str">
        <f>IFERROR(HLOOKUP(P$22,#REF!,SA_GRILLE_STEU!$A26+2,FALSE),"")</f>
        <v/>
      </c>
      <c r="T26" s="108" t="str">
        <f>IFERROR(HLOOKUP(P$22,#REF!,SA_GRILLE_STEU!$A26+2,FALSE),"")</f>
        <v/>
      </c>
      <c r="U26" s="135">
        <v>1</v>
      </c>
      <c r="V26" s="35" t="str">
        <f>IFERROR(HLOOKUP(U$22,#REF!,SA_GRILLE_STEU!$A26+2,FALSE),"")</f>
        <v/>
      </c>
      <c r="W26" s="148"/>
      <c r="X26" s="106" t="str">
        <f>IFERROR(HLOOKUP(U$22,#REF!,SA_GRILLE_STEU!$A26+2,FALSE),"")</f>
        <v/>
      </c>
      <c r="Y26" s="108" t="str">
        <f>IFERROR(HLOOKUP(U$22,#REF!,SA_GRILLE_STEU!$A26+2,FALSE),"")</f>
        <v/>
      </c>
      <c r="Z26" s="207">
        <v>1</v>
      </c>
      <c r="AA26" s="35" t="str">
        <f>IFERROR(HLOOKUP(Z$22,#REF!,SA_GRILLE_STEU!$A26+2,FALSE),"")</f>
        <v/>
      </c>
      <c r="AB26" s="148"/>
      <c r="AC26" s="106" t="str">
        <f>IFERROR(HLOOKUP(Z$22,#REF!,SA_GRILLE_STEU!$A26+2,FALSE),"")</f>
        <v/>
      </c>
      <c r="AD26" s="108" t="str">
        <f>IFERROR(HLOOKUP(Z$22,#REF!,SA_GRILLE_STEU!$A26+2,FALSE),"")</f>
        <v/>
      </c>
      <c r="AE26" s="207">
        <v>1</v>
      </c>
      <c r="AF26" s="35" t="str">
        <f>IFERROR(HLOOKUP(AE$22,#REF!,SA_GRILLE_STEU!$A26+2,FALSE),"")</f>
        <v/>
      </c>
      <c r="AG26" s="148"/>
      <c r="AH26" s="106" t="str">
        <f>IFERROR(HLOOKUP(AE$22,#REF!,SA_GRILLE_STEU!$A26+2,FALSE),"")</f>
        <v/>
      </c>
      <c r="AI26" s="108" t="str">
        <f>IFERROR(HLOOKUP(AE$22,#REF!,SA_GRILLE_STEU!$A26+2,FALSE),"")</f>
        <v/>
      </c>
      <c r="AJ26" s="207">
        <v>1</v>
      </c>
      <c r="AK26" s="41" t="str">
        <f>IFERROR(HLOOKUP(AJ$22,#REF!,SA_GRILLE_STEU!$A26+2,FALSE),"")</f>
        <v/>
      </c>
      <c r="AL26" s="159"/>
      <c r="AM26" s="106" t="str">
        <f>IFERROR(HLOOKUP(AJ$22,#REF!,SA_GRILLE_STEU!$A26+2,FALSE),"")</f>
        <v/>
      </c>
      <c r="AN26" s="108" t="str">
        <f>IFERROR(HLOOKUP(AJ$22,#REF!,SA_GRILLE_STEU!$A26+2,FALSE),"")</f>
        <v/>
      </c>
      <c r="AO26" s="207">
        <v>1</v>
      </c>
      <c r="AP26" s="35" t="str">
        <f>IFERROR(HLOOKUP(AO$22,#REF!,SA_GRILLE_STEU!$A26+2,FALSE),"")</f>
        <v/>
      </c>
      <c r="AQ26" s="148"/>
      <c r="AR26" s="106" t="str">
        <f>IFERROR(HLOOKUP(AO$22,#REF!,SA_GRILLE_STEU!$A26+2,FALSE),"")</f>
        <v/>
      </c>
      <c r="AS26" s="108" t="str">
        <f>IFERROR(HLOOKUP(AO$22,#REF!,SA_GRILLE_STEU!$A26+2,FALSE),"")</f>
        <v/>
      </c>
      <c r="AT26" s="207">
        <v>1</v>
      </c>
      <c r="AU26" s="35" t="str">
        <f>IFERROR(HLOOKUP(AT$22,#REF!,SA_GRILLE_STEU!$A26+2,FALSE),"")</f>
        <v/>
      </c>
      <c r="AV26" s="148"/>
      <c r="AW26" s="106" t="str">
        <f>IFERROR(HLOOKUP(AT$22,#REF!,SA_GRILLE_STEU!$A26+2,FALSE),"")</f>
        <v/>
      </c>
      <c r="AX26" s="108" t="str">
        <f>IFERROR(HLOOKUP(AT$22,#REF!,SA_GRILLE_STEU!$A26+2,FALSE),"")</f>
        <v/>
      </c>
      <c r="AY26" s="207">
        <v>1</v>
      </c>
      <c r="AZ26" s="41" t="str">
        <f>IFERROR(HLOOKUP(AY$22,#REF!,SA_GRILLE_STEU!$A26+2,FALSE),"")</f>
        <v/>
      </c>
      <c r="BA26" s="148"/>
      <c r="BB26" s="106" t="str">
        <f>IFERROR(HLOOKUP(AY$22,#REF!,SA_GRILLE_STEU!$A26+2,FALSE),"")</f>
        <v/>
      </c>
      <c r="BC26" s="108" t="str">
        <f>IFERROR(HLOOKUP(AY$22,#REF!,SA_GRILLE_STEU!$A26+2,FALSE),"")</f>
        <v/>
      </c>
      <c r="BD26" s="207">
        <v>1</v>
      </c>
      <c r="BE26" s="35" t="str">
        <f>IFERROR(HLOOKUP(BD$22,#REF!,SA_GRILLE_STEU!$A26+2,FALSE),"")</f>
        <v/>
      </c>
      <c r="BF26" s="148"/>
      <c r="BG26" s="109" t="str">
        <f>IFERROR(HLOOKUP(BD$22,#REF!,SA_GRILLE_STEU!$A26+2,FALSE),"")</f>
        <v/>
      </c>
      <c r="BH26" s="108" t="str">
        <f>IFERROR(HLOOKUP(BD$22,#REF!,SA_GRILLE_STEU!$A26+2,FALSE),"")</f>
        <v/>
      </c>
    </row>
    <row r="27" spans="1:60" s="134" customFormat="1" ht="20.100000000000001" customHeight="1" x14ac:dyDescent="0.4">
      <c r="A27" s="207">
        <v>2</v>
      </c>
      <c r="B27" s="38" t="str">
        <f>IFERROR(HLOOKUP(A$22,#REF!,SA_GRILLE_STEU!$A27+2,FALSE),"")</f>
        <v/>
      </c>
      <c r="C27" s="148"/>
      <c r="D27" s="106" t="str">
        <f>IFERROR(HLOOKUP(A$22,#REF!,SA_GRILLE_STEU!$A27+2,FALSE),"")</f>
        <v/>
      </c>
      <c r="E27" s="108" t="str">
        <f>IFERROR(HLOOKUP(A$22,#REF!,SA_GRILLE_STEU!$A27+2,FALSE),"")</f>
        <v/>
      </c>
      <c r="F27" s="207">
        <v>2</v>
      </c>
      <c r="G27" s="35" t="str">
        <f>IFERROR(HLOOKUP(F$22,#REF!,SA_GRILLE_STEU!$A27+2,FALSE),"")</f>
        <v/>
      </c>
      <c r="H27" s="148"/>
      <c r="I27" s="106" t="str">
        <f>IFERROR(HLOOKUP(F$22,#REF!,SA_GRILLE_STEU!$A27+2,FALSE),"")</f>
        <v/>
      </c>
      <c r="J27" s="108" t="str">
        <f>IFERROR(HLOOKUP(F$22,#REF!,SA_GRILLE_STEU!$A27+2,FALSE),"")</f>
        <v/>
      </c>
      <c r="K27" s="135">
        <v>2</v>
      </c>
      <c r="L27" s="38" t="str">
        <f>IFERROR(HLOOKUP(K$22,#REF!,SA_GRILLE_STEU!$A27+2,FALSE),"")</f>
        <v/>
      </c>
      <c r="M27" s="148"/>
      <c r="N27" s="106" t="str">
        <f>IFERROR(HLOOKUP(K$22,#REF!,SA_GRILLE_STEU!$A27+2,FALSE),"")</f>
        <v/>
      </c>
      <c r="O27" s="108" t="str">
        <f>IFERROR(HLOOKUP(K$22,#REF!,SA_GRILLE_STEU!$A27+2,FALSE),"")</f>
        <v/>
      </c>
      <c r="P27" s="135">
        <v>2</v>
      </c>
      <c r="Q27" s="38" t="str">
        <f>IFERROR(HLOOKUP(P$22,#REF!,SA_GRILLE_STEU!$A27+2,FALSE),"")</f>
        <v/>
      </c>
      <c r="R27" s="148"/>
      <c r="S27" s="106" t="str">
        <f>IFERROR(HLOOKUP(P$22,#REF!,SA_GRILLE_STEU!$A27+2,FALSE),"")</f>
        <v/>
      </c>
      <c r="T27" s="108" t="str">
        <f>IFERROR(HLOOKUP(P$22,#REF!,SA_GRILLE_STEU!$A27+2,FALSE),"")</f>
        <v/>
      </c>
      <c r="U27" s="135">
        <v>2</v>
      </c>
      <c r="V27" s="35" t="str">
        <f>IFERROR(HLOOKUP(U$22,#REF!,SA_GRILLE_STEU!$A27+2,FALSE),"")</f>
        <v/>
      </c>
      <c r="W27" s="148"/>
      <c r="X27" s="106" t="str">
        <f>IFERROR(HLOOKUP(U$22,#REF!,SA_GRILLE_STEU!$A27+2,FALSE),"")</f>
        <v/>
      </c>
      <c r="Y27" s="108" t="str">
        <f>IFERROR(HLOOKUP(U$22,#REF!,SA_GRILLE_STEU!$A27+2,FALSE),"")</f>
        <v/>
      </c>
      <c r="Z27" s="207">
        <v>2</v>
      </c>
      <c r="AA27" s="35" t="str">
        <f>IFERROR(HLOOKUP(Z$22,#REF!,SA_GRILLE_STEU!$A27+2,FALSE),"")</f>
        <v/>
      </c>
      <c r="AB27" s="148"/>
      <c r="AC27" s="106" t="str">
        <f>IFERROR(HLOOKUP(Z$22,#REF!,SA_GRILLE_STEU!$A27+2,FALSE),"")</f>
        <v/>
      </c>
      <c r="AD27" s="108" t="str">
        <f>IFERROR(HLOOKUP(Z$22,#REF!,SA_GRILLE_STEU!$A27+2,FALSE),"")</f>
        <v/>
      </c>
      <c r="AE27" s="207">
        <v>2</v>
      </c>
      <c r="AF27" s="35" t="str">
        <f>IFERROR(HLOOKUP(AE$22,#REF!,SA_GRILLE_STEU!$A27+2,FALSE),"")</f>
        <v/>
      </c>
      <c r="AG27" s="148"/>
      <c r="AH27" s="106" t="str">
        <f>IFERROR(HLOOKUP(AE$22,#REF!,SA_GRILLE_STEU!$A27+2,FALSE),"")</f>
        <v/>
      </c>
      <c r="AI27" s="108" t="str">
        <f>IFERROR(HLOOKUP(AE$22,#REF!,SA_GRILLE_STEU!$A27+2,FALSE),"")</f>
        <v/>
      </c>
      <c r="AJ27" s="207">
        <v>2</v>
      </c>
      <c r="AK27" s="41" t="str">
        <f>IFERROR(HLOOKUP(AJ$22,#REF!,SA_GRILLE_STEU!$A27+2,FALSE),"")</f>
        <v/>
      </c>
      <c r="AL27" s="159"/>
      <c r="AM27" s="106" t="str">
        <f>IFERROR(HLOOKUP(AJ$22,#REF!,SA_GRILLE_STEU!$A27+2,FALSE),"")</f>
        <v/>
      </c>
      <c r="AN27" s="108" t="str">
        <f>IFERROR(HLOOKUP(AJ$22,#REF!,SA_GRILLE_STEU!$A27+2,FALSE),"")</f>
        <v/>
      </c>
      <c r="AO27" s="207">
        <v>2</v>
      </c>
      <c r="AP27" s="35" t="str">
        <f>IFERROR(HLOOKUP(AO$22,#REF!,SA_GRILLE_STEU!$A27+2,FALSE),"")</f>
        <v/>
      </c>
      <c r="AQ27" s="148"/>
      <c r="AR27" s="106" t="str">
        <f>IFERROR(HLOOKUP(AO$22,#REF!,SA_GRILLE_STEU!$A27+2,FALSE),"")</f>
        <v/>
      </c>
      <c r="AS27" s="108" t="str">
        <f>IFERROR(HLOOKUP(AO$22,#REF!,SA_GRILLE_STEU!$A27+2,FALSE),"")</f>
        <v/>
      </c>
      <c r="AT27" s="207">
        <v>2</v>
      </c>
      <c r="AU27" s="35" t="str">
        <f>IFERROR(HLOOKUP(AT$22,#REF!,SA_GRILLE_STEU!$A27+2,FALSE),"")</f>
        <v/>
      </c>
      <c r="AV27" s="148"/>
      <c r="AW27" s="106" t="str">
        <f>IFERROR(HLOOKUP(AT$22,#REF!,SA_GRILLE_STEU!$A27+2,FALSE),"")</f>
        <v/>
      </c>
      <c r="AX27" s="108" t="str">
        <f>IFERROR(HLOOKUP(AT$22,#REF!,SA_GRILLE_STEU!$A27+2,FALSE),"")</f>
        <v/>
      </c>
      <c r="AY27" s="207">
        <v>2</v>
      </c>
      <c r="AZ27" s="41" t="str">
        <f>IFERROR(HLOOKUP(AY$22,#REF!,SA_GRILLE_STEU!$A27+2,FALSE),"")</f>
        <v/>
      </c>
      <c r="BA27" s="148"/>
      <c r="BB27" s="106" t="str">
        <f>IFERROR(HLOOKUP(AY$22,#REF!,SA_GRILLE_STEU!$A27+2,FALSE),"")</f>
        <v/>
      </c>
      <c r="BC27" s="108" t="str">
        <f>IFERROR(HLOOKUP(AY$22,#REF!,SA_GRILLE_STEU!$A27+2,FALSE),"")</f>
        <v/>
      </c>
      <c r="BD27" s="207">
        <v>2</v>
      </c>
      <c r="BE27" s="35" t="str">
        <f>IFERROR(HLOOKUP(BD$22,#REF!,SA_GRILLE_STEU!$A27+2,FALSE),"")</f>
        <v/>
      </c>
      <c r="BF27" s="148"/>
      <c r="BG27" s="109" t="str">
        <f>IFERROR(HLOOKUP(BD$22,#REF!,SA_GRILLE_STEU!$A27+2,FALSE),"")</f>
        <v/>
      </c>
      <c r="BH27" s="108" t="str">
        <f>IFERROR(HLOOKUP(BD$22,#REF!,SA_GRILLE_STEU!$A27+2,FALSE),"")</f>
        <v/>
      </c>
    </row>
    <row r="28" spans="1:60" s="134" customFormat="1" ht="30" customHeight="1" x14ac:dyDescent="0.4">
      <c r="A28" s="207">
        <v>3</v>
      </c>
      <c r="B28" s="38" t="str">
        <f>IFERROR(HLOOKUP(A$22,#REF!,SA_GRILLE_STEU!$A28+2,FALSE),"")</f>
        <v/>
      </c>
      <c r="C28" s="148"/>
      <c r="D28" s="106" t="str">
        <f>IFERROR(HLOOKUP(A$22,#REF!,SA_GRILLE_STEU!$A28+2,FALSE),"")</f>
        <v/>
      </c>
      <c r="E28" s="108" t="str">
        <f>IFERROR(HLOOKUP(A$22,#REF!,SA_GRILLE_STEU!$A28+2,FALSE),"")</f>
        <v/>
      </c>
      <c r="F28" s="207">
        <v>3</v>
      </c>
      <c r="G28" s="35" t="str">
        <f>IFERROR(HLOOKUP(F$22,#REF!,SA_GRILLE_STEU!$A28+2,FALSE),"")</f>
        <v/>
      </c>
      <c r="H28" s="148"/>
      <c r="I28" s="106" t="str">
        <f>IFERROR(HLOOKUP(F$22,#REF!,SA_GRILLE_STEU!$A28+2,FALSE),"")</f>
        <v/>
      </c>
      <c r="J28" s="108" t="str">
        <f>IFERROR(HLOOKUP(F$22,#REF!,SA_GRILLE_STEU!$A28+2,FALSE),"")</f>
        <v/>
      </c>
      <c r="K28" s="135">
        <v>3</v>
      </c>
      <c r="L28" s="38" t="str">
        <f>IFERROR(HLOOKUP(K$22,#REF!,SA_GRILLE_STEU!$A28+2,FALSE),"")</f>
        <v/>
      </c>
      <c r="M28" s="148"/>
      <c r="N28" s="106" t="str">
        <f>IFERROR(HLOOKUP(K$22,#REF!,SA_GRILLE_STEU!$A28+2,FALSE),"")</f>
        <v/>
      </c>
      <c r="O28" s="108" t="str">
        <f>IFERROR(HLOOKUP(K$22,#REF!,SA_GRILLE_STEU!$A28+2,FALSE),"")</f>
        <v/>
      </c>
      <c r="P28" s="135">
        <v>3</v>
      </c>
      <c r="Q28" s="38" t="str">
        <f>IFERROR(HLOOKUP(P$22,#REF!,SA_GRILLE_STEU!$A28+2,FALSE),"")</f>
        <v/>
      </c>
      <c r="R28" s="148"/>
      <c r="S28" s="106" t="str">
        <f>IFERROR(HLOOKUP(P$22,#REF!,SA_GRILLE_STEU!$A28+2,FALSE),"")</f>
        <v/>
      </c>
      <c r="T28" s="108" t="str">
        <f>IFERROR(HLOOKUP(P$22,#REF!,SA_GRILLE_STEU!$A28+2,FALSE),"")</f>
        <v/>
      </c>
      <c r="U28" s="135">
        <v>3</v>
      </c>
      <c r="V28" s="35" t="str">
        <f>IFERROR(HLOOKUP(U$22,#REF!,SA_GRILLE_STEU!$A28+2,FALSE),"")</f>
        <v/>
      </c>
      <c r="W28" s="148"/>
      <c r="X28" s="106" t="str">
        <f>IFERROR(HLOOKUP(U$22,#REF!,SA_GRILLE_STEU!$A28+2,FALSE),"")</f>
        <v/>
      </c>
      <c r="Y28" s="108" t="str">
        <f>IFERROR(HLOOKUP(U$22,#REF!,SA_GRILLE_STEU!$A28+2,FALSE),"")</f>
        <v/>
      </c>
      <c r="Z28" s="207">
        <v>3</v>
      </c>
      <c r="AA28" s="35" t="str">
        <f>IFERROR(HLOOKUP(Z$22,#REF!,SA_GRILLE_STEU!$A28+2,FALSE),"")</f>
        <v/>
      </c>
      <c r="AB28" s="148"/>
      <c r="AC28" s="106" t="str">
        <f>IFERROR(HLOOKUP(Z$22,#REF!,SA_GRILLE_STEU!$A28+2,FALSE),"")</f>
        <v/>
      </c>
      <c r="AD28" s="108" t="str">
        <f>IFERROR(HLOOKUP(Z$22,#REF!,SA_GRILLE_STEU!$A28+2,FALSE),"")</f>
        <v/>
      </c>
      <c r="AE28" s="207">
        <v>3</v>
      </c>
      <c r="AF28" s="35" t="str">
        <f>IFERROR(HLOOKUP(AE$22,#REF!,SA_GRILLE_STEU!$A28+2,FALSE),"")</f>
        <v/>
      </c>
      <c r="AG28" s="148"/>
      <c r="AH28" s="106" t="str">
        <f>IFERROR(HLOOKUP(AE$22,#REF!,SA_GRILLE_STEU!$A28+2,FALSE),"")</f>
        <v/>
      </c>
      <c r="AI28" s="108" t="str">
        <f>IFERROR(HLOOKUP(AE$22,#REF!,SA_GRILLE_STEU!$A28+2,FALSE),"")</f>
        <v/>
      </c>
      <c r="AJ28" s="207">
        <v>3</v>
      </c>
      <c r="AK28" s="41" t="str">
        <f>IFERROR(HLOOKUP(AJ$22,#REF!,SA_GRILLE_STEU!$A28+2,FALSE),"")</f>
        <v/>
      </c>
      <c r="AL28" s="159"/>
      <c r="AM28" s="106" t="str">
        <f>IFERROR(HLOOKUP(AJ$22,#REF!,SA_GRILLE_STEU!$A28+2,FALSE),"")</f>
        <v/>
      </c>
      <c r="AN28" s="108" t="str">
        <f>IFERROR(HLOOKUP(AJ$22,#REF!,SA_GRILLE_STEU!$A28+2,FALSE),"")</f>
        <v/>
      </c>
      <c r="AO28" s="207">
        <v>3</v>
      </c>
      <c r="AP28" s="35" t="str">
        <f>IFERROR(HLOOKUP(AO$22,#REF!,SA_GRILLE_STEU!$A28+2,FALSE),"")</f>
        <v/>
      </c>
      <c r="AQ28" s="148"/>
      <c r="AR28" s="106" t="str">
        <f>IFERROR(HLOOKUP(AO$22,#REF!,SA_GRILLE_STEU!$A28+2,FALSE),"")</f>
        <v/>
      </c>
      <c r="AS28" s="108" t="str">
        <f>IFERROR(HLOOKUP(AO$22,#REF!,SA_GRILLE_STEU!$A28+2,FALSE),"")</f>
        <v/>
      </c>
      <c r="AT28" s="207">
        <v>3</v>
      </c>
      <c r="AU28" s="35" t="str">
        <f>IFERROR(HLOOKUP(AT$22,#REF!,SA_GRILLE_STEU!$A28+2,FALSE),"")</f>
        <v/>
      </c>
      <c r="AV28" s="148"/>
      <c r="AW28" s="106" t="str">
        <f>IFERROR(HLOOKUP(AT$22,#REF!,SA_GRILLE_STEU!$A28+2,FALSE),"")</f>
        <v/>
      </c>
      <c r="AX28" s="108" t="str">
        <f>IFERROR(HLOOKUP(AT$22,#REF!,SA_GRILLE_STEU!$A28+2,FALSE),"")</f>
        <v/>
      </c>
      <c r="AY28" s="207">
        <v>3</v>
      </c>
      <c r="AZ28" s="41" t="str">
        <f>IFERROR(HLOOKUP(AY$22,#REF!,SA_GRILLE_STEU!$A28+2,FALSE),"")</f>
        <v/>
      </c>
      <c r="BA28" s="148"/>
      <c r="BB28" s="106" t="str">
        <f>IFERROR(HLOOKUP(AY$22,#REF!,SA_GRILLE_STEU!$A28+2,FALSE),"")</f>
        <v/>
      </c>
      <c r="BC28" s="108" t="str">
        <f>IFERROR(HLOOKUP(AY$22,#REF!,SA_GRILLE_STEU!$A28+2,FALSE),"")</f>
        <v/>
      </c>
      <c r="BD28" s="207">
        <v>3</v>
      </c>
      <c r="BE28" s="35" t="str">
        <f>IFERROR(HLOOKUP(BD$22,#REF!,SA_GRILLE_STEU!$A28+2,FALSE),"")</f>
        <v/>
      </c>
      <c r="BF28" s="148"/>
      <c r="BG28" s="109" t="str">
        <f>IFERROR(HLOOKUP(BD$22,#REF!,SA_GRILLE_STEU!$A28+2,FALSE),"")</f>
        <v/>
      </c>
      <c r="BH28" s="108" t="str">
        <f>IFERROR(HLOOKUP(BD$22,#REF!,SA_GRILLE_STEU!$A28+2,FALSE),"")</f>
        <v/>
      </c>
    </row>
    <row r="29" spans="1:60" s="134" customFormat="1" ht="20.100000000000001" customHeight="1" x14ac:dyDescent="0.4">
      <c r="A29" s="207">
        <v>4</v>
      </c>
      <c r="B29" s="38" t="str">
        <f>IFERROR(HLOOKUP(A$22,#REF!,SA_GRILLE_STEU!$A29+2,FALSE),"")</f>
        <v/>
      </c>
      <c r="C29" s="148"/>
      <c r="D29" s="106" t="str">
        <f>IFERROR(HLOOKUP(A$22,#REF!,SA_GRILLE_STEU!$A29+2,FALSE),"")</f>
        <v/>
      </c>
      <c r="E29" s="108" t="str">
        <f>IFERROR(HLOOKUP(A$22,#REF!,SA_GRILLE_STEU!$A29+2,FALSE),"")</f>
        <v/>
      </c>
      <c r="F29" s="207">
        <v>4</v>
      </c>
      <c r="G29" s="35" t="str">
        <f>IFERROR(HLOOKUP(F$22,#REF!,SA_GRILLE_STEU!$A29+2,FALSE),"")</f>
        <v/>
      </c>
      <c r="H29" s="148"/>
      <c r="I29" s="106" t="str">
        <f>IFERROR(HLOOKUP(F$22,#REF!,SA_GRILLE_STEU!$A29+2,FALSE),"")</f>
        <v/>
      </c>
      <c r="J29" s="108" t="str">
        <f>IFERROR(HLOOKUP(F$22,#REF!,SA_GRILLE_STEU!$A29+2,FALSE),"")</f>
        <v/>
      </c>
      <c r="K29" s="135">
        <v>4</v>
      </c>
      <c r="L29" s="38" t="str">
        <f>IFERROR(HLOOKUP(K$22,#REF!,SA_GRILLE_STEU!$A29+2,FALSE),"")</f>
        <v/>
      </c>
      <c r="M29" s="148"/>
      <c r="N29" s="106" t="str">
        <f>IFERROR(HLOOKUP(K$22,#REF!,SA_GRILLE_STEU!$A29+2,FALSE),"")</f>
        <v/>
      </c>
      <c r="O29" s="108" t="str">
        <f>IFERROR(HLOOKUP(K$22,#REF!,SA_GRILLE_STEU!$A29+2,FALSE),"")</f>
        <v/>
      </c>
      <c r="P29" s="135">
        <v>4</v>
      </c>
      <c r="Q29" s="38" t="str">
        <f>IFERROR(HLOOKUP(P$22,#REF!,SA_GRILLE_STEU!$A29+2,FALSE),"")</f>
        <v/>
      </c>
      <c r="R29" s="148"/>
      <c r="S29" s="106" t="str">
        <f>IFERROR(HLOOKUP(P$22,#REF!,SA_GRILLE_STEU!$A29+2,FALSE),"")</f>
        <v/>
      </c>
      <c r="T29" s="108" t="str">
        <f>IFERROR(HLOOKUP(P$22,#REF!,SA_GRILLE_STEU!$A29+2,FALSE),"")</f>
        <v/>
      </c>
      <c r="U29" s="135">
        <v>4</v>
      </c>
      <c r="V29" s="35" t="str">
        <f>IFERROR(HLOOKUP(U$22,#REF!,SA_GRILLE_STEU!$A29+2,FALSE),"")</f>
        <v/>
      </c>
      <c r="W29" s="148"/>
      <c r="X29" s="106" t="str">
        <f>IFERROR(HLOOKUP(U$22,#REF!,SA_GRILLE_STEU!$A29+2,FALSE),"")</f>
        <v/>
      </c>
      <c r="Y29" s="108" t="str">
        <f>IFERROR(HLOOKUP(U$22,#REF!,SA_GRILLE_STEU!$A29+2,FALSE),"")</f>
        <v/>
      </c>
      <c r="Z29" s="207">
        <v>4</v>
      </c>
      <c r="AA29" s="35" t="str">
        <f>IFERROR(HLOOKUP(Z$22,#REF!,SA_GRILLE_STEU!$A29+2,FALSE),"")</f>
        <v/>
      </c>
      <c r="AB29" s="148"/>
      <c r="AC29" s="106" t="str">
        <f>IFERROR(HLOOKUP(Z$22,#REF!,SA_GRILLE_STEU!$A29+2,FALSE),"")</f>
        <v/>
      </c>
      <c r="AD29" s="108" t="str">
        <f>IFERROR(HLOOKUP(Z$22,#REF!,SA_GRILLE_STEU!$A29+2,FALSE),"")</f>
        <v/>
      </c>
      <c r="AE29" s="207">
        <v>4</v>
      </c>
      <c r="AF29" s="35" t="str">
        <f>IFERROR(HLOOKUP(AE$22,#REF!,SA_GRILLE_STEU!$A29+2,FALSE),"")</f>
        <v/>
      </c>
      <c r="AG29" s="148"/>
      <c r="AH29" s="106" t="str">
        <f>IFERROR(HLOOKUP(AE$22,#REF!,SA_GRILLE_STEU!$A29+2,FALSE),"")</f>
        <v/>
      </c>
      <c r="AI29" s="108" t="str">
        <f>IFERROR(HLOOKUP(AE$22,#REF!,SA_GRILLE_STEU!$A29+2,FALSE),"")</f>
        <v/>
      </c>
      <c r="AJ29" s="207">
        <v>4</v>
      </c>
      <c r="AK29" s="41" t="str">
        <f>IFERROR(HLOOKUP(AJ$22,#REF!,SA_GRILLE_STEU!$A29+2,FALSE),"")</f>
        <v/>
      </c>
      <c r="AL29" s="159"/>
      <c r="AM29" s="106" t="str">
        <f>IFERROR(HLOOKUP(AJ$22,#REF!,SA_GRILLE_STEU!$A29+2,FALSE),"")</f>
        <v/>
      </c>
      <c r="AN29" s="108" t="str">
        <f>IFERROR(HLOOKUP(AJ$22,#REF!,SA_GRILLE_STEU!$A29+2,FALSE),"")</f>
        <v/>
      </c>
      <c r="AO29" s="207">
        <v>4</v>
      </c>
      <c r="AP29" s="35" t="str">
        <f>IFERROR(HLOOKUP(AO$22,#REF!,SA_GRILLE_STEU!$A29+2,FALSE),"")</f>
        <v/>
      </c>
      <c r="AQ29" s="148"/>
      <c r="AR29" s="106" t="str">
        <f>IFERROR(HLOOKUP(AO$22,#REF!,SA_GRILLE_STEU!$A29+2,FALSE),"")</f>
        <v/>
      </c>
      <c r="AS29" s="108" t="str">
        <f>IFERROR(HLOOKUP(AO$22,#REF!,SA_GRILLE_STEU!$A29+2,FALSE),"")</f>
        <v/>
      </c>
      <c r="AT29" s="207">
        <v>4</v>
      </c>
      <c r="AU29" s="35" t="str">
        <f>IFERROR(HLOOKUP(AT$22,#REF!,SA_GRILLE_STEU!$A29+2,FALSE),"")</f>
        <v/>
      </c>
      <c r="AV29" s="148"/>
      <c r="AW29" s="106" t="str">
        <f>IFERROR(HLOOKUP(AT$22,#REF!,SA_GRILLE_STEU!$A29+2,FALSE),"")</f>
        <v/>
      </c>
      <c r="AX29" s="108" t="str">
        <f>IFERROR(HLOOKUP(AT$22,#REF!,SA_GRILLE_STEU!$A29+2,FALSE),"")</f>
        <v/>
      </c>
      <c r="AY29" s="207">
        <v>4</v>
      </c>
      <c r="AZ29" s="41" t="str">
        <f>IFERROR(HLOOKUP(AY$22,#REF!,SA_GRILLE_STEU!$A29+2,FALSE),"")</f>
        <v/>
      </c>
      <c r="BA29" s="148"/>
      <c r="BB29" s="106" t="str">
        <f>IFERROR(HLOOKUP(AY$22,#REF!,SA_GRILLE_STEU!$A29+2,FALSE),"")</f>
        <v/>
      </c>
      <c r="BC29" s="108" t="str">
        <f>IFERROR(HLOOKUP(AY$22,#REF!,SA_GRILLE_STEU!$A29+2,FALSE),"")</f>
        <v/>
      </c>
      <c r="BD29" s="207">
        <v>4</v>
      </c>
      <c r="BE29" s="35" t="str">
        <f>IFERROR(HLOOKUP(BD$22,#REF!,SA_GRILLE_STEU!$A29+2,FALSE),"")</f>
        <v/>
      </c>
      <c r="BF29" s="148"/>
      <c r="BG29" s="109" t="str">
        <f>IFERROR(HLOOKUP(BD$22,#REF!,SA_GRILLE_STEU!$A29+2,FALSE),"")</f>
        <v/>
      </c>
      <c r="BH29" s="108" t="str">
        <f>IFERROR(HLOOKUP(BD$22,#REF!,SA_GRILLE_STEU!$A29+2,FALSE),"")</f>
        <v/>
      </c>
    </row>
    <row r="30" spans="1:60" s="134" customFormat="1" ht="20.100000000000001" customHeight="1" x14ac:dyDescent="0.4">
      <c r="A30" s="207">
        <v>5</v>
      </c>
      <c r="B30" s="38" t="str">
        <f>IFERROR(HLOOKUP(A$22,#REF!,SA_GRILLE_STEU!$A30+2,FALSE),"")</f>
        <v/>
      </c>
      <c r="C30" s="148"/>
      <c r="D30" s="106" t="str">
        <f>IFERROR(HLOOKUP(A$22,#REF!,SA_GRILLE_STEU!$A30+2,FALSE),"")</f>
        <v/>
      </c>
      <c r="E30" s="108" t="str">
        <f>IFERROR(HLOOKUP(A$22,#REF!,SA_GRILLE_STEU!$A30+2,FALSE),"")</f>
        <v/>
      </c>
      <c r="F30" s="207">
        <v>5</v>
      </c>
      <c r="G30" s="35" t="str">
        <f>IFERROR(HLOOKUP(F$22,#REF!,SA_GRILLE_STEU!$A30+2,FALSE),"")</f>
        <v/>
      </c>
      <c r="H30" s="148"/>
      <c r="I30" s="106" t="str">
        <f>IFERROR(HLOOKUP(F$22,#REF!,SA_GRILLE_STEU!$A30+2,FALSE),"")</f>
        <v/>
      </c>
      <c r="J30" s="108" t="str">
        <f>IFERROR(HLOOKUP(F$22,#REF!,SA_GRILLE_STEU!$A30+2,FALSE),"")</f>
        <v/>
      </c>
      <c r="K30" s="135">
        <v>5</v>
      </c>
      <c r="L30" s="38" t="str">
        <f>IFERROR(HLOOKUP(K$22,#REF!,SA_GRILLE_STEU!$A30+2,FALSE),"")</f>
        <v/>
      </c>
      <c r="M30" s="148"/>
      <c r="N30" s="106" t="str">
        <f>IFERROR(HLOOKUP(K$22,#REF!,SA_GRILLE_STEU!$A30+2,FALSE),"")</f>
        <v/>
      </c>
      <c r="O30" s="108" t="str">
        <f>IFERROR(HLOOKUP(K$22,#REF!,SA_GRILLE_STEU!$A30+2,FALSE),"")</f>
        <v/>
      </c>
      <c r="P30" s="135">
        <v>5</v>
      </c>
      <c r="Q30" s="38" t="str">
        <f>IFERROR(HLOOKUP(P$22,#REF!,SA_GRILLE_STEU!$A30+2,FALSE),"")</f>
        <v/>
      </c>
      <c r="R30" s="148"/>
      <c r="S30" s="106" t="str">
        <f>IFERROR(HLOOKUP(P$22,#REF!,SA_GRILLE_STEU!$A30+2,FALSE),"")</f>
        <v/>
      </c>
      <c r="T30" s="108" t="str">
        <f>IFERROR(HLOOKUP(P$22,#REF!,SA_GRILLE_STEU!$A30+2,FALSE),"")</f>
        <v/>
      </c>
      <c r="U30" s="135">
        <v>5</v>
      </c>
      <c r="V30" s="35" t="str">
        <f>IFERROR(HLOOKUP(U$22,#REF!,SA_GRILLE_STEU!$A30+2,FALSE),"")</f>
        <v/>
      </c>
      <c r="W30" s="148"/>
      <c r="X30" s="106" t="str">
        <f>IFERROR(HLOOKUP(U$22,#REF!,SA_GRILLE_STEU!$A30+2,FALSE),"")</f>
        <v/>
      </c>
      <c r="Y30" s="108" t="str">
        <f>IFERROR(HLOOKUP(U$22,#REF!,SA_GRILLE_STEU!$A30+2,FALSE),"")</f>
        <v/>
      </c>
      <c r="Z30" s="207">
        <v>5</v>
      </c>
      <c r="AA30" s="35" t="str">
        <f>IFERROR(HLOOKUP(Z$22,#REF!,SA_GRILLE_STEU!$A30+2,FALSE),"")</f>
        <v/>
      </c>
      <c r="AB30" s="148"/>
      <c r="AC30" s="106" t="str">
        <f>IFERROR(HLOOKUP(Z$22,#REF!,SA_GRILLE_STEU!$A30+2,FALSE),"")</f>
        <v/>
      </c>
      <c r="AD30" s="108" t="str">
        <f>IFERROR(HLOOKUP(Z$22,#REF!,SA_GRILLE_STEU!$A30+2,FALSE),"")</f>
        <v/>
      </c>
      <c r="AE30" s="207">
        <v>5</v>
      </c>
      <c r="AF30" s="35" t="str">
        <f>IFERROR(HLOOKUP(AE$22,#REF!,SA_GRILLE_STEU!$A30+2,FALSE),"")</f>
        <v/>
      </c>
      <c r="AG30" s="148"/>
      <c r="AH30" s="106" t="str">
        <f>IFERROR(HLOOKUP(AE$22,#REF!,SA_GRILLE_STEU!$A30+2,FALSE),"")</f>
        <v/>
      </c>
      <c r="AI30" s="108" t="str">
        <f>IFERROR(HLOOKUP(AE$22,#REF!,SA_GRILLE_STEU!$A30+2,FALSE),"")</f>
        <v/>
      </c>
      <c r="AJ30" s="207">
        <v>5</v>
      </c>
      <c r="AK30" s="41" t="str">
        <f>IFERROR(HLOOKUP(AJ$22,#REF!,SA_GRILLE_STEU!$A30+2,FALSE),"")</f>
        <v/>
      </c>
      <c r="AL30" s="159"/>
      <c r="AM30" s="106" t="str">
        <f>IFERROR(HLOOKUP(AJ$22,#REF!,SA_GRILLE_STEU!$A30+2,FALSE),"")</f>
        <v/>
      </c>
      <c r="AN30" s="108" t="str">
        <f>IFERROR(HLOOKUP(AJ$22,#REF!,SA_GRILLE_STEU!$A30+2,FALSE),"")</f>
        <v/>
      </c>
      <c r="AO30" s="207">
        <v>5</v>
      </c>
      <c r="AP30" s="35" t="str">
        <f>IFERROR(HLOOKUP(AO$22,#REF!,SA_GRILLE_STEU!$A30+2,FALSE),"")</f>
        <v/>
      </c>
      <c r="AQ30" s="148"/>
      <c r="AR30" s="106" t="str">
        <f>IFERROR(HLOOKUP(AO$22,#REF!,SA_GRILLE_STEU!$A30+2,FALSE),"")</f>
        <v/>
      </c>
      <c r="AS30" s="108" t="str">
        <f>IFERROR(HLOOKUP(AO$22,#REF!,SA_GRILLE_STEU!$A30+2,FALSE),"")</f>
        <v/>
      </c>
      <c r="AT30" s="207">
        <v>5</v>
      </c>
      <c r="AU30" s="35" t="str">
        <f>IFERROR(HLOOKUP(AT$22,#REF!,SA_GRILLE_STEU!$A30+2,FALSE),"")</f>
        <v/>
      </c>
      <c r="AV30" s="148"/>
      <c r="AW30" s="106" t="str">
        <f>IFERROR(HLOOKUP(AT$22,#REF!,SA_GRILLE_STEU!$A30+2,FALSE),"")</f>
        <v/>
      </c>
      <c r="AX30" s="108" t="str">
        <f>IFERROR(HLOOKUP(AT$22,#REF!,SA_GRILLE_STEU!$A30+2,FALSE),"")</f>
        <v/>
      </c>
      <c r="AY30" s="207">
        <v>5</v>
      </c>
      <c r="AZ30" s="41" t="str">
        <f>IFERROR(HLOOKUP(AY$22,#REF!,SA_GRILLE_STEU!$A30+2,FALSE),"")</f>
        <v/>
      </c>
      <c r="BA30" s="148"/>
      <c r="BB30" s="106" t="str">
        <f>IFERROR(HLOOKUP(AY$22,#REF!,SA_GRILLE_STEU!$A30+2,FALSE),"")</f>
        <v/>
      </c>
      <c r="BC30" s="108" t="str">
        <f>IFERROR(HLOOKUP(AY$22,#REF!,SA_GRILLE_STEU!$A30+2,FALSE),"")</f>
        <v/>
      </c>
      <c r="BD30" s="207">
        <v>5</v>
      </c>
      <c r="BE30" s="35" t="str">
        <f>IFERROR(HLOOKUP(BD$22,#REF!,SA_GRILLE_STEU!$A30+2,FALSE),"")</f>
        <v/>
      </c>
      <c r="BF30" s="148"/>
      <c r="BG30" s="109" t="str">
        <f>IFERROR(HLOOKUP(BD$22,#REF!,SA_GRILLE_STEU!$A30+2,FALSE),"")</f>
        <v/>
      </c>
      <c r="BH30" s="108" t="str">
        <f>IFERROR(HLOOKUP(BD$22,#REF!,SA_GRILLE_STEU!$A30+2,FALSE),"")</f>
        <v/>
      </c>
    </row>
    <row r="31" spans="1:60" s="134" customFormat="1" ht="36" customHeight="1" x14ac:dyDescent="0.4">
      <c r="A31" s="207">
        <v>6</v>
      </c>
      <c r="B31" s="38" t="str">
        <f>IFERROR(HLOOKUP(A$22,#REF!,SA_GRILLE_STEU!$A31+2,FALSE),"")</f>
        <v/>
      </c>
      <c r="C31" s="148"/>
      <c r="D31" s="106" t="str">
        <f>IFERROR(HLOOKUP(A$22,#REF!,SA_GRILLE_STEU!$A31+2,FALSE),"")</f>
        <v/>
      </c>
      <c r="E31" s="108" t="str">
        <f>IFERROR(HLOOKUP(A$22,#REF!,SA_GRILLE_STEU!$A31+2,FALSE),"")</f>
        <v/>
      </c>
      <c r="F31" s="207">
        <v>6</v>
      </c>
      <c r="G31" s="35" t="str">
        <f>IFERROR(HLOOKUP(F$22,#REF!,SA_GRILLE_STEU!$A31+2,FALSE),"")</f>
        <v/>
      </c>
      <c r="H31" s="148"/>
      <c r="I31" s="106" t="str">
        <f>IFERROR(HLOOKUP(F$22,#REF!,SA_GRILLE_STEU!$A31+2,FALSE),"")</f>
        <v/>
      </c>
      <c r="J31" s="108" t="str">
        <f>IFERROR(HLOOKUP(F$22,#REF!,SA_GRILLE_STEU!$A31+2,FALSE),"")</f>
        <v/>
      </c>
      <c r="K31" s="135">
        <v>6</v>
      </c>
      <c r="L31" s="38" t="str">
        <f>IFERROR(HLOOKUP(K$22,#REF!,SA_GRILLE_STEU!$A31+2,FALSE),"")</f>
        <v/>
      </c>
      <c r="M31" s="148"/>
      <c r="N31" s="106" t="str">
        <f>IFERROR(HLOOKUP(K$22,#REF!,SA_GRILLE_STEU!$A31+2,FALSE),"")</f>
        <v/>
      </c>
      <c r="O31" s="108" t="str">
        <f>IFERROR(HLOOKUP(K$22,#REF!,SA_GRILLE_STEU!$A31+2,FALSE),"")</f>
        <v/>
      </c>
      <c r="P31" s="135">
        <v>6</v>
      </c>
      <c r="Q31" s="38" t="str">
        <f>IFERROR(HLOOKUP(P$22,#REF!,SA_GRILLE_STEU!$A31+2,FALSE),"")</f>
        <v/>
      </c>
      <c r="R31" s="148"/>
      <c r="S31" s="106" t="str">
        <f>IFERROR(HLOOKUP(P$22,#REF!,SA_GRILLE_STEU!$A31+2,FALSE),"")</f>
        <v/>
      </c>
      <c r="T31" s="108" t="str">
        <f>IFERROR(HLOOKUP(P$22,#REF!,SA_GRILLE_STEU!$A31+2,FALSE),"")</f>
        <v/>
      </c>
      <c r="U31" s="135">
        <v>6</v>
      </c>
      <c r="V31" s="35" t="str">
        <f>IFERROR(HLOOKUP(U$22,#REF!,SA_GRILLE_STEU!$A31+2,FALSE),"")</f>
        <v/>
      </c>
      <c r="W31" s="148"/>
      <c r="X31" s="106" t="str">
        <f>IFERROR(HLOOKUP(U$22,#REF!,SA_GRILLE_STEU!$A31+2,FALSE),"")</f>
        <v/>
      </c>
      <c r="Y31" s="108" t="str">
        <f>IFERROR(HLOOKUP(U$22,#REF!,SA_GRILLE_STEU!$A31+2,FALSE),"")</f>
        <v/>
      </c>
      <c r="Z31" s="207">
        <v>6</v>
      </c>
      <c r="AA31" s="35" t="str">
        <f>IFERROR(HLOOKUP(Z$22,#REF!,SA_GRILLE_STEU!$A31+2,FALSE),"")</f>
        <v/>
      </c>
      <c r="AB31" s="148"/>
      <c r="AC31" s="106" t="str">
        <f>IFERROR(HLOOKUP(Z$22,#REF!,SA_GRILLE_STEU!$A31+2,FALSE),"")</f>
        <v/>
      </c>
      <c r="AD31" s="108" t="str">
        <f>IFERROR(HLOOKUP(Z$22,#REF!,SA_GRILLE_STEU!$A31+2,FALSE),"")</f>
        <v/>
      </c>
      <c r="AE31" s="207">
        <v>6</v>
      </c>
      <c r="AF31" s="35" t="str">
        <f>IFERROR(HLOOKUP(AE$22,#REF!,SA_GRILLE_STEU!$A31+2,FALSE),"")</f>
        <v/>
      </c>
      <c r="AG31" s="148"/>
      <c r="AH31" s="106" t="str">
        <f>IFERROR(HLOOKUP(AE$22,#REF!,SA_GRILLE_STEU!$A31+2,FALSE),"")</f>
        <v/>
      </c>
      <c r="AI31" s="108" t="str">
        <f>IFERROR(HLOOKUP(AE$22,#REF!,SA_GRILLE_STEU!$A31+2,FALSE),"")</f>
        <v/>
      </c>
      <c r="AJ31" s="207">
        <v>6</v>
      </c>
      <c r="AK31" s="41" t="str">
        <f>IFERROR(HLOOKUP(AJ$22,#REF!,SA_GRILLE_STEU!$A31+2,FALSE),"")</f>
        <v/>
      </c>
      <c r="AL31" s="159"/>
      <c r="AM31" s="106" t="str">
        <f>IFERROR(HLOOKUP(AJ$22,#REF!,SA_GRILLE_STEU!$A31+2,FALSE),"")</f>
        <v/>
      </c>
      <c r="AN31" s="108" t="str">
        <f>IFERROR(HLOOKUP(AJ$22,#REF!,SA_GRILLE_STEU!$A31+2,FALSE),"")</f>
        <v/>
      </c>
      <c r="AO31" s="207">
        <v>6</v>
      </c>
      <c r="AP31" s="35" t="str">
        <f>IFERROR(HLOOKUP(AO$22,#REF!,SA_GRILLE_STEU!$A31+2,FALSE),"")</f>
        <v/>
      </c>
      <c r="AQ31" s="148"/>
      <c r="AR31" s="106" t="str">
        <f>IFERROR(HLOOKUP(AO$22,#REF!,SA_GRILLE_STEU!$A31+2,FALSE),"")</f>
        <v/>
      </c>
      <c r="AS31" s="108" t="str">
        <f>IFERROR(HLOOKUP(AO$22,#REF!,SA_GRILLE_STEU!$A31+2,FALSE),"")</f>
        <v/>
      </c>
      <c r="AT31" s="207">
        <v>6</v>
      </c>
      <c r="AU31" s="35" t="str">
        <f>IFERROR(HLOOKUP(AT$22,#REF!,SA_GRILLE_STEU!$A31+2,FALSE),"")</f>
        <v/>
      </c>
      <c r="AV31" s="148"/>
      <c r="AW31" s="106" t="str">
        <f>IFERROR(HLOOKUP(AT$22,#REF!,SA_GRILLE_STEU!$A31+2,FALSE),"")</f>
        <v/>
      </c>
      <c r="AX31" s="108" t="str">
        <f>IFERROR(HLOOKUP(AT$22,#REF!,SA_GRILLE_STEU!$A31+2,FALSE),"")</f>
        <v/>
      </c>
      <c r="AY31" s="207">
        <v>6</v>
      </c>
      <c r="AZ31" s="41" t="str">
        <f>IFERROR(HLOOKUP(AY$22,#REF!,SA_GRILLE_STEU!$A31+2,FALSE),"")</f>
        <v/>
      </c>
      <c r="BA31" s="148"/>
      <c r="BB31" s="106" t="str">
        <f>IFERROR(HLOOKUP(AY$22,#REF!,SA_GRILLE_STEU!$A31+2,FALSE),"")</f>
        <v/>
      </c>
      <c r="BC31" s="108" t="str">
        <f>IFERROR(HLOOKUP(AY$22,#REF!,SA_GRILLE_STEU!$A31+2,FALSE),"")</f>
        <v/>
      </c>
      <c r="BD31" s="207">
        <v>6</v>
      </c>
      <c r="BE31" s="35" t="str">
        <f>IFERROR(HLOOKUP(BD$22,#REF!,SA_GRILLE_STEU!$A31+2,FALSE),"")</f>
        <v/>
      </c>
      <c r="BF31" s="148"/>
      <c r="BG31" s="109" t="str">
        <f>IFERROR(HLOOKUP(BD$22,#REF!,SA_GRILLE_STEU!$A31+2,FALSE),"")</f>
        <v/>
      </c>
      <c r="BH31" s="108" t="str">
        <f>IFERROR(HLOOKUP(BD$22,#REF!,SA_GRILLE_STEU!$A31+2,FALSE),"")</f>
        <v/>
      </c>
    </row>
    <row r="32" spans="1:60" s="134" customFormat="1" ht="20.100000000000001" customHeight="1" x14ac:dyDescent="0.4">
      <c r="A32" s="207">
        <v>7</v>
      </c>
      <c r="B32" s="38" t="str">
        <f>IFERROR(HLOOKUP(A$22,#REF!,SA_GRILLE_STEU!$A32+2,FALSE),"")</f>
        <v/>
      </c>
      <c r="C32" s="148"/>
      <c r="D32" s="106" t="str">
        <f>IFERROR(HLOOKUP(A$22,#REF!,SA_GRILLE_STEU!$A32+2,FALSE),"")</f>
        <v/>
      </c>
      <c r="E32" s="108" t="str">
        <f>IFERROR(HLOOKUP(A$22,#REF!,SA_GRILLE_STEU!$A32+2,FALSE),"")</f>
        <v/>
      </c>
      <c r="F32" s="207">
        <v>7</v>
      </c>
      <c r="G32" s="35" t="str">
        <f>IFERROR(HLOOKUP(F$22,#REF!,SA_GRILLE_STEU!$A32+2,FALSE),"")</f>
        <v/>
      </c>
      <c r="H32" s="148"/>
      <c r="I32" s="106" t="str">
        <f>IFERROR(HLOOKUP(F$22,#REF!,SA_GRILLE_STEU!$A32+2,FALSE),"")</f>
        <v/>
      </c>
      <c r="J32" s="108" t="str">
        <f>IFERROR(HLOOKUP(F$22,#REF!,SA_GRILLE_STEU!$A32+2,FALSE),"")</f>
        <v/>
      </c>
      <c r="K32" s="135">
        <v>7</v>
      </c>
      <c r="L32" s="38" t="str">
        <f>IFERROR(HLOOKUP(K$22,#REF!,SA_GRILLE_STEU!$A32+2,FALSE),"")</f>
        <v/>
      </c>
      <c r="M32" s="148"/>
      <c r="N32" s="106" t="str">
        <f>IFERROR(HLOOKUP(K$22,#REF!,SA_GRILLE_STEU!$A32+2,FALSE),"")</f>
        <v/>
      </c>
      <c r="O32" s="108" t="str">
        <f>IFERROR(HLOOKUP(K$22,#REF!,SA_GRILLE_STEU!$A32+2,FALSE),"")</f>
        <v/>
      </c>
      <c r="P32" s="135">
        <v>7</v>
      </c>
      <c r="Q32" s="38" t="str">
        <f>IFERROR(HLOOKUP(P$22,#REF!,SA_GRILLE_STEU!$A32+2,FALSE),"")</f>
        <v/>
      </c>
      <c r="R32" s="148"/>
      <c r="S32" s="106" t="str">
        <f>IFERROR(HLOOKUP(P$22,#REF!,SA_GRILLE_STEU!$A32+2,FALSE),"")</f>
        <v/>
      </c>
      <c r="T32" s="108" t="str">
        <f>IFERROR(HLOOKUP(P$22,#REF!,SA_GRILLE_STEU!$A32+2,FALSE),"")</f>
        <v/>
      </c>
      <c r="U32" s="135">
        <v>7</v>
      </c>
      <c r="V32" s="35" t="str">
        <f>IFERROR(HLOOKUP(U$22,#REF!,SA_GRILLE_STEU!$A32+2,FALSE),"")</f>
        <v/>
      </c>
      <c r="W32" s="148"/>
      <c r="X32" s="106" t="str">
        <f>IFERROR(HLOOKUP(U$22,#REF!,SA_GRILLE_STEU!$A32+2,FALSE),"")</f>
        <v/>
      </c>
      <c r="Y32" s="108" t="str">
        <f>IFERROR(HLOOKUP(U$22,#REF!,SA_GRILLE_STEU!$A32+2,FALSE),"")</f>
        <v/>
      </c>
      <c r="Z32" s="207">
        <v>7</v>
      </c>
      <c r="AA32" s="35" t="str">
        <f>IFERROR(HLOOKUP(Z$22,#REF!,SA_GRILLE_STEU!$A32+2,FALSE),"")</f>
        <v/>
      </c>
      <c r="AB32" s="148"/>
      <c r="AC32" s="106" t="str">
        <f>IFERROR(HLOOKUP(Z$22,#REF!,SA_GRILLE_STEU!$A32+2,FALSE),"")</f>
        <v/>
      </c>
      <c r="AD32" s="108" t="str">
        <f>IFERROR(HLOOKUP(Z$22,#REF!,SA_GRILLE_STEU!$A32+2,FALSE),"")</f>
        <v/>
      </c>
      <c r="AE32" s="207">
        <v>7</v>
      </c>
      <c r="AF32" s="35" t="str">
        <f>IFERROR(HLOOKUP(AE$22,#REF!,SA_GRILLE_STEU!$A32+2,FALSE),"")</f>
        <v/>
      </c>
      <c r="AG32" s="148"/>
      <c r="AH32" s="106" t="str">
        <f>IFERROR(HLOOKUP(AE$22,#REF!,SA_GRILLE_STEU!$A32+2,FALSE),"")</f>
        <v/>
      </c>
      <c r="AI32" s="108" t="str">
        <f>IFERROR(HLOOKUP(AE$22,#REF!,SA_GRILLE_STEU!$A32+2,FALSE),"")</f>
        <v/>
      </c>
      <c r="AJ32" s="207">
        <v>7</v>
      </c>
      <c r="AK32" s="41" t="str">
        <f>IFERROR(HLOOKUP(AJ$22,#REF!,SA_GRILLE_STEU!$A32+2,FALSE),"")</f>
        <v/>
      </c>
      <c r="AL32" s="159"/>
      <c r="AM32" s="106" t="str">
        <f>IFERROR(HLOOKUP(AJ$22,#REF!,SA_GRILLE_STEU!$A32+2,FALSE),"")</f>
        <v/>
      </c>
      <c r="AN32" s="108" t="str">
        <f>IFERROR(HLOOKUP(AJ$22,#REF!,SA_GRILLE_STEU!$A32+2,FALSE),"")</f>
        <v/>
      </c>
      <c r="AO32" s="207">
        <v>7</v>
      </c>
      <c r="AP32" s="35" t="str">
        <f>IFERROR(HLOOKUP(AO$22,#REF!,SA_GRILLE_STEU!$A32+2,FALSE),"")</f>
        <v/>
      </c>
      <c r="AQ32" s="148"/>
      <c r="AR32" s="106" t="str">
        <f>IFERROR(HLOOKUP(AO$22,#REF!,SA_GRILLE_STEU!$A32+2,FALSE),"")</f>
        <v/>
      </c>
      <c r="AS32" s="108" t="str">
        <f>IFERROR(HLOOKUP(AO$22,#REF!,SA_GRILLE_STEU!$A32+2,FALSE),"")</f>
        <v/>
      </c>
      <c r="AT32" s="207">
        <v>7</v>
      </c>
      <c r="AU32" s="35" t="str">
        <f>IFERROR(HLOOKUP(AT$22,#REF!,SA_GRILLE_STEU!$A32+2,FALSE),"")</f>
        <v/>
      </c>
      <c r="AV32" s="148"/>
      <c r="AW32" s="106" t="str">
        <f>IFERROR(HLOOKUP(AT$22,#REF!,SA_GRILLE_STEU!$A32+2,FALSE),"")</f>
        <v/>
      </c>
      <c r="AX32" s="108" t="str">
        <f>IFERROR(HLOOKUP(AT$22,#REF!,SA_GRILLE_STEU!$A32+2,FALSE),"")</f>
        <v/>
      </c>
      <c r="AY32" s="207">
        <v>7</v>
      </c>
      <c r="AZ32" s="41" t="str">
        <f>IFERROR(HLOOKUP(AY$22,#REF!,SA_GRILLE_STEU!$A32+2,FALSE),"")</f>
        <v/>
      </c>
      <c r="BA32" s="148"/>
      <c r="BB32" s="106" t="str">
        <f>IFERROR(HLOOKUP(AY$22,#REF!,SA_GRILLE_STEU!$A32+2,FALSE),"")</f>
        <v/>
      </c>
      <c r="BC32" s="108" t="str">
        <f>IFERROR(HLOOKUP(AY$22,#REF!,SA_GRILLE_STEU!$A32+2,FALSE),"")</f>
        <v/>
      </c>
      <c r="BD32" s="207">
        <v>7</v>
      </c>
      <c r="BE32" s="35" t="str">
        <f>IFERROR(HLOOKUP(BD$22,#REF!,SA_GRILLE_STEU!$A32+2,FALSE),"")</f>
        <v/>
      </c>
      <c r="BF32" s="148"/>
      <c r="BG32" s="109" t="str">
        <f>IFERROR(HLOOKUP(BD$22,#REF!,SA_GRILLE_STEU!$A32+2,FALSE),"")</f>
        <v/>
      </c>
      <c r="BH32" s="108" t="str">
        <f>IFERROR(HLOOKUP(BD$22,#REF!,SA_GRILLE_STEU!$A32+2,FALSE),"")</f>
        <v/>
      </c>
    </row>
    <row r="33" spans="1:60" s="134" customFormat="1" ht="20.100000000000001" customHeight="1" x14ac:dyDescent="0.4">
      <c r="A33" s="207">
        <v>8</v>
      </c>
      <c r="B33" s="38" t="str">
        <f>IFERROR(HLOOKUP(A$22,#REF!,SA_GRILLE_STEU!$A33+2,FALSE),"")</f>
        <v/>
      </c>
      <c r="C33" s="148"/>
      <c r="D33" s="106" t="str">
        <f>IFERROR(HLOOKUP(A$22,#REF!,SA_GRILLE_STEU!$A33+2,FALSE),"")</f>
        <v/>
      </c>
      <c r="E33" s="108" t="str">
        <f>IFERROR(HLOOKUP(A$22,#REF!,SA_GRILLE_STEU!$A33+2,FALSE),"")</f>
        <v/>
      </c>
      <c r="F33" s="207">
        <v>8</v>
      </c>
      <c r="G33" s="35" t="str">
        <f>IFERROR(HLOOKUP(F$22,#REF!,SA_GRILLE_STEU!$A33+2,FALSE),"")</f>
        <v/>
      </c>
      <c r="H33" s="148"/>
      <c r="I33" s="106" t="str">
        <f>IFERROR(HLOOKUP(F$22,#REF!,SA_GRILLE_STEU!$A33+2,FALSE),"")</f>
        <v/>
      </c>
      <c r="J33" s="108" t="str">
        <f>IFERROR(HLOOKUP(F$22,#REF!,SA_GRILLE_STEU!$A33+2,FALSE),"")</f>
        <v/>
      </c>
      <c r="K33" s="135">
        <v>8</v>
      </c>
      <c r="L33" s="38" t="str">
        <f>IFERROR(HLOOKUP(K$22,#REF!,SA_GRILLE_STEU!$A33+2,FALSE),"")</f>
        <v/>
      </c>
      <c r="M33" s="148"/>
      <c r="N33" s="106" t="str">
        <f>IFERROR(HLOOKUP(K$22,#REF!,SA_GRILLE_STEU!$A33+2,FALSE),"")</f>
        <v/>
      </c>
      <c r="O33" s="108" t="str">
        <f>IFERROR(HLOOKUP(K$22,#REF!,SA_GRILLE_STEU!$A33+2,FALSE),"")</f>
        <v/>
      </c>
      <c r="P33" s="135">
        <v>8</v>
      </c>
      <c r="Q33" s="38" t="str">
        <f>IFERROR(HLOOKUP(P$22,#REF!,SA_GRILLE_STEU!$A33+2,FALSE),"")</f>
        <v/>
      </c>
      <c r="R33" s="148"/>
      <c r="S33" s="106" t="str">
        <f>IFERROR(HLOOKUP(P$22,#REF!,SA_GRILLE_STEU!$A33+2,FALSE),"")</f>
        <v/>
      </c>
      <c r="T33" s="108" t="str">
        <f>IFERROR(HLOOKUP(P$22,#REF!,SA_GRILLE_STEU!$A33+2,FALSE),"")</f>
        <v/>
      </c>
      <c r="U33" s="135">
        <v>8</v>
      </c>
      <c r="V33" s="35" t="str">
        <f>IFERROR(HLOOKUP(U$22,#REF!,SA_GRILLE_STEU!$A33+2,FALSE),"")</f>
        <v/>
      </c>
      <c r="W33" s="148"/>
      <c r="X33" s="106" t="str">
        <f>IFERROR(HLOOKUP(U$22,#REF!,SA_GRILLE_STEU!$A33+2,FALSE),"")</f>
        <v/>
      </c>
      <c r="Y33" s="108" t="str">
        <f>IFERROR(HLOOKUP(U$22,#REF!,SA_GRILLE_STEU!$A33+2,FALSE),"")</f>
        <v/>
      </c>
      <c r="Z33" s="207">
        <v>8</v>
      </c>
      <c r="AA33" s="35" t="str">
        <f>IFERROR(HLOOKUP(Z$22,#REF!,SA_GRILLE_STEU!$A33+2,FALSE),"")</f>
        <v/>
      </c>
      <c r="AB33" s="148"/>
      <c r="AC33" s="106" t="str">
        <f>IFERROR(HLOOKUP(Z$22,#REF!,SA_GRILLE_STEU!$A33+2,FALSE),"")</f>
        <v/>
      </c>
      <c r="AD33" s="108" t="str">
        <f>IFERROR(HLOOKUP(Z$22,#REF!,SA_GRILLE_STEU!$A33+2,FALSE),"")</f>
        <v/>
      </c>
      <c r="AE33" s="207">
        <v>8</v>
      </c>
      <c r="AF33" s="35" t="str">
        <f>IFERROR(HLOOKUP(AE$22,#REF!,SA_GRILLE_STEU!$A33+2,FALSE),"")</f>
        <v/>
      </c>
      <c r="AG33" s="148"/>
      <c r="AH33" s="106" t="str">
        <f>IFERROR(HLOOKUP(AE$22,#REF!,SA_GRILLE_STEU!$A33+2,FALSE),"")</f>
        <v/>
      </c>
      <c r="AI33" s="108" t="str">
        <f>IFERROR(HLOOKUP(AE$22,#REF!,SA_GRILLE_STEU!$A33+2,FALSE),"")</f>
        <v/>
      </c>
      <c r="AJ33" s="207">
        <v>8</v>
      </c>
      <c r="AK33" s="41" t="str">
        <f>IFERROR(HLOOKUP(AJ$22,#REF!,SA_GRILLE_STEU!$A33+2,FALSE),"")</f>
        <v/>
      </c>
      <c r="AL33" s="159"/>
      <c r="AM33" s="106" t="str">
        <f>IFERROR(HLOOKUP(AJ$22,#REF!,SA_GRILLE_STEU!$A33+2,FALSE),"")</f>
        <v/>
      </c>
      <c r="AN33" s="108" t="str">
        <f>IFERROR(HLOOKUP(AJ$22,#REF!,SA_GRILLE_STEU!$A33+2,FALSE),"")</f>
        <v/>
      </c>
      <c r="AO33" s="207">
        <v>8</v>
      </c>
      <c r="AP33" s="35" t="str">
        <f>IFERROR(HLOOKUP(AO$22,#REF!,SA_GRILLE_STEU!$A33+2,FALSE),"")</f>
        <v/>
      </c>
      <c r="AQ33" s="148"/>
      <c r="AR33" s="106" t="str">
        <f>IFERROR(HLOOKUP(AO$22,#REF!,SA_GRILLE_STEU!$A33+2,FALSE),"")</f>
        <v/>
      </c>
      <c r="AS33" s="108" t="str">
        <f>IFERROR(HLOOKUP(AO$22,#REF!,SA_GRILLE_STEU!$A33+2,FALSE),"")</f>
        <v/>
      </c>
      <c r="AT33" s="207">
        <v>8</v>
      </c>
      <c r="AU33" s="35" t="str">
        <f>IFERROR(HLOOKUP(AT$22,#REF!,SA_GRILLE_STEU!$A33+2,FALSE),"")</f>
        <v/>
      </c>
      <c r="AV33" s="148"/>
      <c r="AW33" s="106" t="str">
        <f>IFERROR(HLOOKUP(AT$22,#REF!,SA_GRILLE_STEU!$A33+2,FALSE),"")</f>
        <v/>
      </c>
      <c r="AX33" s="108" t="str">
        <f>IFERROR(HLOOKUP(AT$22,#REF!,SA_GRILLE_STEU!$A33+2,FALSE),"")</f>
        <v/>
      </c>
      <c r="AY33" s="207">
        <v>8</v>
      </c>
      <c r="AZ33" s="41" t="str">
        <f>IFERROR(HLOOKUP(AY$22,#REF!,SA_GRILLE_STEU!$A33+2,FALSE),"")</f>
        <v/>
      </c>
      <c r="BA33" s="148"/>
      <c r="BB33" s="106" t="str">
        <f>IFERROR(HLOOKUP(AY$22,#REF!,SA_GRILLE_STEU!$A33+2,FALSE),"")</f>
        <v/>
      </c>
      <c r="BC33" s="108" t="str">
        <f>IFERROR(HLOOKUP(AY$22,#REF!,SA_GRILLE_STEU!$A33+2,FALSE),"")</f>
        <v/>
      </c>
      <c r="BD33" s="207">
        <v>8</v>
      </c>
      <c r="BE33" s="35" t="str">
        <f>IFERROR(HLOOKUP(BD$22,#REF!,SA_GRILLE_STEU!$A33+2,FALSE),"")</f>
        <v/>
      </c>
      <c r="BF33" s="148"/>
      <c r="BG33" s="109" t="str">
        <f>IFERROR(HLOOKUP(BD$22,#REF!,SA_GRILLE_STEU!$A33+2,FALSE),"")</f>
        <v/>
      </c>
      <c r="BH33" s="108" t="str">
        <f>IFERROR(HLOOKUP(BD$22,#REF!,SA_GRILLE_STEU!$A33+2,FALSE),"")</f>
        <v/>
      </c>
    </row>
    <row r="34" spans="1:60" s="134" customFormat="1" ht="20.100000000000001" customHeight="1" x14ac:dyDescent="0.4">
      <c r="A34" s="207">
        <v>9</v>
      </c>
      <c r="B34" s="38" t="str">
        <f>IFERROR(HLOOKUP(A$22,#REF!,SA_GRILLE_STEU!$A34+2,FALSE),"")</f>
        <v/>
      </c>
      <c r="C34" s="148"/>
      <c r="D34" s="106" t="str">
        <f>IFERROR(HLOOKUP(A$22,#REF!,SA_GRILLE_STEU!$A34+2,FALSE),"")</f>
        <v/>
      </c>
      <c r="E34" s="108" t="str">
        <f>IFERROR(HLOOKUP(A$22,#REF!,SA_GRILLE_STEU!$A34+2,FALSE),"")</f>
        <v/>
      </c>
      <c r="F34" s="207">
        <v>9</v>
      </c>
      <c r="G34" s="35" t="str">
        <f>IFERROR(HLOOKUP(F$22,#REF!,SA_GRILLE_STEU!$A34+2,FALSE),"")</f>
        <v/>
      </c>
      <c r="H34" s="148"/>
      <c r="I34" s="106" t="str">
        <f>IFERROR(HLOOKUP(F$22,#REF!,SA_GRILLE_STEU!$A34+2,FALSE),"")</f>
        <v/>
      </c>
      <c r="J34" s="108" t="str">
        <f>IFERROR(HLOOKUP(F$22,#REF!,SA_GRILLE_STEU!$A34+2,FALSE),"")</f>
        <v/>
      </c>
      <c r="K34" s="135">
        <v>9</v>
      </c>
      <c r="L34" s="38" t="str">
        <f>IFERROR(HLOOKUP(K$22,#REF!,SA_GRILLE_STEU!$A34+2,FALSE),"")</f>
        <v/>
      </c>
      <c r="M34" s="148"/>
      <c r="N34" s="106" t="str">
        <f>IFERROR(HLOOKUP(K$22,#REF!,SA_GRILLE_STEU!$A34+2,FALSE),"")</f>
        <v/>
      </c>
      <c r="O34" s="108" t="str">
        <f>IFERROR(HLOOKUP(K$22,#REF!,SA_GRILLE_STEU!$A34+2,FALSE),"")</f>
        <v/>
      </c>
      <c r="P34" s="135">
        <v>9</v>
      </c>
      <c r="Q34" s="38" t="str">
        <f>IFERROR(HLOOKUP(P$22,#REF!,SA_GRILLE_STEU!$A34+2,FALSE),"")</f>
        <v/>
      </c>
      <c r="R34" s="148"/>
      <c r="S34" s="106" t="str">
        <f>IFERROR(HLOOKUP(P$22,#REF!,SA_GRILLE_STEU!$A34+2,FALSE),"")</f>
        <v/>
      </c>
      <c r="T34" s="108" t="str">
        <f>IFERROR(HLOOKUP(P$22,#REF!,SA_GRILLE_STEU!$A34+2,FALSE),"")</f>
        <v/>
      </c>
      <c r="U34" s="135">
        <v>9</v>
      </c>
      <c r="V34" s="35" t="str">
        <f>IFERROR(HLOOKUP(U$22,#REF!,SA_GRILLE_STEU!$A34+2,FALSE),"")</f>
        <v/>
      </c>
      <c r="W34" s="148"/>
      <c r="X34" s="106" t="str">
        <f>IFERROR(HLOOKUP(U$22,#REF!,SA_GRILLE_STEU!$A34+2,FALSE),"")</f>
        <v/>
      </c>
      <c r="Y34" s="108" t="str">
        <f>IFERROR(HLOOKUP(U$22,#REF!,SA_GRILLE_STEU!$A34+2,FALSE),"")</f>
        <v/>
      </c>
      <c r="Z34" s="207">
        <v>9</v>
      </c>
      <c r="AA34" s="35" t="str">
        <f>IFERROR(HLOOKUP(Z$22,#REF!,SA_GRILLE_STEU!$A34+2,FALSE),"")</f>
        <v/>
      </c>
      <c r="AB34" s="148"/>
      <c r="AC34" s="106" t="str">
        <f>IFERROR(HLOOKUP(Z$22,#REF!,SA_GRILLE_STEU!$A34+2,FALSE),"")</f>
        <v/>
      </c>
      <c r="AD34" s="108" t="str">
        <f>IFERROR(HLOOKUP(Z$22,#REF!,SA_GRILLE_STEU!$A34+2,FALSE),"")</f>
        <v/>
      </c>
      <c r="AE34" s="207">
        <v>9</v>
      </c>
      <c r="AF34" s="35" t="str">
        <f>IFERROR(HLOOKUP(AE$22,#REF!,SA_GRILLE_STEU!$A34+2,FALSE),"")</f>
        <v/>
      </c>
      <c r="AG34" s="148"/>
      <c r="AH34" s="106" t="str">
        <f>IFERROR(HLOOKUP(AE$22,#REF!,SA_GRILLE_STEU!$A34+2,FALSE),"")</f>
        <v/>
      </c>
      <c r="AI34" s="108" t="str">
        <f>IFERROR(HLOOKUP(AE$22,#REF!,SA_GRILLE_STEU!$A34+2,FALSE),"")</f>
        <v/>
      </c>
      <c r="AJ34" s="207">
        <v>9</v>
      </c>
      <c r="AK34" s="41" t="str">
        <f>IFERROR(HLOOKUP(AJ$22,#REF!,SA_GRILLE_STEU!$A34+2,FALSE),"")</f>
        <v/>
      </c>
      <c r="AL34" s="159"/>
      <c r="AM34" s="106" t="str">
        <f>IFERROR(HLOOKUP(AJ$22,#REF!,SA_GRILLE_STEU!$A34+2,FALSE),"")</f>
        <v/>
      </c>
      <c r="AN34" s="108" t="str">
        <f>IFERROR(HLOOKUP(AJ$22,#REF!,SA_GRILLE_STEU!$A34+2,FALSE),"")</f>
        <v/>
      </c>
      <c r="AO34" s="207">
        <v>9</v>
      </c>
      <c r="AP34" s="35" t="str">
        <f>IFERROR(HLOOKUP(AO$22,#REF!,SA_GRILLE_STEU!$A34+2,FALSE),"")</f>
        <v/>
      </c>
      <c r="AQ34" s="148"/>
      <c r="AR34" s="106" t="str">
        <f>IFERROR(HLOOKUP(AO$22,#REF!,SA_GRILLE_STEU!$A34+2,FALSE),"")</f>
        <v/>
      </c>
      <c r="AS34" s="108" t="str">
        <f>IFERROR(HLOOKUP(AO$22,#REF!,SA_GRILLE_STEU!$A34+2,FALSE),"")</f>
        <v/>
      </c>
      <c r="AT34" s="207">
        <v>9</v>
      </c>
      <c r="AU34" s="35" t="str">
        <f>IFERROR(HLOOKUP(AT$22,#REF!,SA_GRILLE_STEU!$A34+2,FALSE),"")</f>
        <v/>
      </c>
      <c r="AV34" s="148"/>
      <c r="AW34" s="106" t="str">
        <f>IFERROR(HLOOKUP(AT$22,#REF!,SA_GRILLE_STEU!$A34+2,FALSE),"")</f>
        <v/>
      </c>
      <c r="AX34" s="108" t="str">
        <f>IFERROR(HLOOKUP(AT$22,#REF!,SA_GRILLE_STEU!$A34+2,FALSE),"")</f>
        <v/>
      </c>
      <c r="AY34" s="207">
        <v>9</v>
      </c>
      <c r="AZ34" s="41" t="str">
        <f>IFERROR(HLOOKUP(AY$22,#REF!,SA_GRILLE_STEU!$A34+2,FALSE),"")</f>
        <v/>
      </c>
      <c r="BA34" s="148"/>
      <c r="BB34" s="106" t="str">
        <f>IFERROR(HLOOKUP(AY$22,#REF!,SA_GRILLE_STEU!$A34+2,FALSE),"")</f>
        <v/>
      </c>
      <c r="BC34" s="108" t="str">
        <f>IFERROR(HLOOKUP(AY$22,#REF!,SA_GRILLE_STEU!$A34+2,FALSE),"")</f>
        <v/>
      </c>
      <c r="BD34" s="207">
        <v>9</v>
      </c>
      <c r="BE34" s="35" t="str">
        <f>IFERROR(HLOOKUP(BD$22,#REF!,SA_GRILLE_STEU!$A34+2,FALSE),"")</f>
        <v/>
      </c>
      <c r="BF34" s="148"/>
      <c r="BG34" s="109" t="str">
        <f>IFERROR(HLOOKUP(BD$22,#REF!,SA_GRILLE_STEU!$A34+2,FALSE),"")</f>
        <v/>
      </c>
      <c r="BH34" s="108" t="str">
        <f>IFERROR(HLOOKUP(BD$22,#REF!,SA_GRILLE_STEU!$A34+2,FALSE),"")</f>
        <v/>
      </c>
    </row>
    <row r="35" spans="1:60" s="134" customFormat="1" ht="16.5" customHeight="1" x14ac:dyDescent="0.4">
      <c r="A35" s="208"/>
      <c r="B35" s="39"/>
      <c r="C35" s="148"/>
      <c r="D35" s="136"/>
      <c r="E35" s="108"/>
      <c r="F35" s="208"/>
      <c r="G35" s="39"/>
      <c r="H35" s="148"/>
      <c r="I35" s="136"/>
      <c r="J35" s="108"/>
      <c r="K35" s="137"/>
      <c r="L35" s="39"/>
      <c r="M35" s="149"/>
      <c r="N35" s="136"/>
      <c r="O35" s="108"/>
      <c r="P35" s="137"/>
      <c r="Q35" s="39"/>
      <c r="R35" s="149"/>
      <c r="S35" s="136"/>
      <c r="T35" s="108"/>
      <c r="U35" s="138"/>
      <c r="V35" s="39"/>
      <c r="W35" s="149"/>
      <c r="X35" s="136"/>
      <c r="Y35" s="108"/>
      <c r="Z35" s="209"/>
      <c r="AA35" s="39"/>
      <c r="AB35" s="149"/>
      <c r="AC35" s="136"/>
      <c r="AD35" s="108"/>
      <c r="AE35" s="209"/>
      <c r="AF35" s="39"/>
      <c r="AG35" s="149"/>
      <c r="AH35" s="136"/>
      <c r="AI35" s="108"/>
      <c r="AJ35" s="209"/>
      <c r="AK35" s="42"/>
      <c r="AL35" s="160"/>
      <c r="AM35" s="136"/>
      <c r="AN35" s="108"/>
      <c r="AO35" s="209"/>
      <c r="AP35" s="39"/>
      <c r="AQ35" s="149"/>
      <c r="AR35" s="136"/>
      <c r="AS35" s="108"/>
      <c r="AT35" s="209"/>
      <c r="AU35" s="39"/>
      <c r="AV35" s="149"/>
      <c r="AW35" s="136"/>
      <c r="AX35" s="108"/>
      <c r="AY35" s="209"/>
      <c r="AZ35" s="42"/>
      <c r="BA35" s="149"/>
      <c r="BB35" s="136"/>
      <c r="BC35" s="108"/>
      <c r="BD35" s="209"/>
      <c r="BE35" s="39"/>
      <c r="BF35" s="149"/>
      <c r="BG35" s="139"/>
      <c r="BH35" s="108"/>
    </row>
    <row r="36" spans="1:60" ht="25.5" customHeight="1" x14ac:dyDescent="0.4">
      <c r="A36" s="352" t="s">
        <v>49</v>
      </c>
      <c r="B36" s="353"/>
      <c r="C36" s="125" t="s">
        <v>50</v>
      </c>
      <c r="D36" s="126" t="s">
        <v>51</v>
      </c>
      <c r="E36" s="140"/>
      <c r="F36" s="352" t="s">
        <v>49</v>
      </c>
      <c r="G36" s="353"/>
      <c r="H36" s="125" t="s">
        <v>50</v>
      </c>
      <c r="I36" s="126" t="s">
        <v>51</v>
      </c>
      <c r="J36" s="140"/>
      <c r="K36" s="352" t="s">
        <v>49</v>
      </c>
      <c r="L36" s="353"/>
      <c r="M36" s="125" t="s">
        <v>50</v>
      </c>
      <c r="N36" s="126" t="s">
        <v>51</v>
      </c>
      <c r="O36" s="140"/>
      <c r="P36" s="352" t="s">
        <v>49</v>
      </c>
      <c r="Q36" s="353"/>
      <c r="R36" s="125" t="s">
        <v>50</v>
      </c>
      <c r="S36" s="126" t="s">
        <v>51</v>
      </c>
      <c r="T36" s="105"/>
      <c r="U36" s="352" t="s">
        <v>49</v>
      </c>
      <c r="V36" s="353"/>
      <c r="W36" s="125" t="s">
        <v>50</v>
      </c>
      <c r="X36" s="126" t="s">
        <v>51</v>
      </c>
      <c r="Y36" s="105"/>
      <c r="Z36" s="352" t="s">
        <v>49</v>
      </c>
      <c r="AA36" s="353"/>
      <c r="AB36" s="125" t="s">
        <v>50</v>
      </c>
      <c r="AC36" s="126" t="s">
        <v>51</v>
      </c>
      <c r="AD36" s="105"/>
      <c r="AE36" s="352" t="s">
        <v>49</v>
      </c>
      <c r="AF36" s="353"/>
      <c r="AG36" s="125" t="s">
        <v>50</v>
      </c>
      <c r="AH36" s="126" t="s">
        <v>51</v>
      </c>
      <c r="AI36" s="105"/>
      <c r="AJ36" s="352" t="s">
        <v>49</v>
      </c>
      <c r="AK36" s="353"/>
      <c r="AL36" s="125" t="s">
        <v>50</v>
      </c>
      <c r="AM36" s="126" t="s">
        <v>51</v>
      </c>
      <c r="AN36" s="105"/>
      <c r="AO36" s="352" t="s">
        <v>49</v>
      </c>
      <c r="AP36" s="353"/>
      <c r="AQ36" s="125" t="s">
        <v>50</v>
      </c>
      <c r="AR36" s="126" t="s">
        <v>51</v>
      </c>
      <c r="AS36" s="105"/>
      <c r="AT36" s="352" t="s">
        <v>49</v>
      </c>
      <c r="AU36" s="353"/>
      <c r="AV36" s="125" t="s">
        <v>50</v>
      </c>
      <c r="AW36" s="126" t="s">
        <v>51</v>
      </c>
      <c r="AX36" s="105"/>
      <c r="AY36" s="352" t="s">
        <v>49</v>
      </c>
      <c r="AZ36" s="353"/>
      <c r="BA36" s="125" t="s">
        <v>50</v>
      </c>
      <c r="BB36" s="126" t="s">
        <v>51</v>
      </c>
      <c r="BC36" s="105"/>
      <c r="BD36" s="352" t="s">
        <v>49</v>
      </c>
      <c r="BE36" s="353"/>
      <c r="BF36" s="125" t="s">
        <v>50</v>
      </c>
      <c r="BG36" s="126" t="s">
        <v>51</v>
      </c>
      <c r="BH36" s="108"/>
    </row>
    <row r="37" spans="1:60" s="115" customFormat="1" ht="60" customHeight="1" thickBot="1" x14ac:dyDescent="0.45">
      <c r="A37" s="203"/>
      <c r="B37" s="162"/>
      <c r="C37" s="151"/>
      <c r="D37" s="113">
        <f>IF(A22="","",IF(A22="Préleveur A3",#REF!,IF((SUMIF(C26:C34,"Validé",D26:D34)+SUMIF(C26:C34,"Validé avec réserve",D26:D34))&gt;100,100,SUMIF(C26:C34,"Validé",D26:D34)+SUMIF(C26:C34,"Validé avec réserve",D26:D34))))</f>
        <v>0</v>
      </c>
      <c r="E37" s="141"/>
      <c r="F37" s="203"/>
      <c r="G37" s="154"/>
      <c r="H37" s="151"/>
      <c r="I37" s="113" t="str">
        <f>IF(F22="","",IF(F22="Préleveur A3",#REF!,IF((SUMIF(H26:H34,"Validé",I26:I34)+SUMIF(H26:H34,"Validé avec réserve",I26:I34))&gt;100,100,SUMIF(H26:H34,"Validé",I26:I34)+SUMIF(H26:H34,"Validé avec réserve",I26:I34))))</f>
        <v/>
      </c>
      <c r="J37" s="141"/>
      <c r="K37" s="203"/>
      <c r="L37" s="154"/>
      <c r="M37" s="151"/>
      <c r="N37" s="113" t="str">
        <f>IF(K22="","",IF(K22="Préleveur A3",#REF!,IF((SUMIF(M26:M34,"Validé",N26:N34)+SUMIF(M26:M34,"Validé avec réserve",N26:N34))&gt;100,100,SUMIF(M26:M34,"Validé",N26:N34)+SUMIF(M26:M34,"Validé avec réserve",N26:N34))))</f>
        <v/>
      </c>
      <c r="O37" s="141"/>
      <c r="P37" s="142"/>
      <c r="Q37" s="154"/>
      <c r="R37" s="151"/>
      <c r="S37" s="113" t="str">
        <f>IF(P22="","",IF(P22="Préleveur A3",#REF!,IF((SUMIF(R26:R34,"Validé",S26:S34)+SUMIF(R26:R34,"Validé avec réserve",S26:S34))&gt;100,100,SUMIF(R26:R34,"Validé",S26:S34)+SUMIF(R26:R34,"Validé avec réserve",S26:S34))))</f>
        <v/>
      </c>
      <c r="T37" s="141"/>
      <c r="U37" s="143"/>
      <c r="V37" s="154"/>
      <c r="W37" s="151"/>
      <c r="X37" s="113" t="str">
        <f>IF(U22="","",IF(U22="Préleveur A3",#REF!,IF((SUMIF(W26:W34,"Validé",X26:X34)+SUMIF(W26:W34,"Validé avec réserve",X26:X34))&gt;100,100,SUMIF(W26:W34,"Validé",X26:X34)+SUMIF(W26:W34,"Validé avec réserve",X26:X34))))</f>
        <v/>
      </c>
      <c r="Y37" s="141"/>
      <c r="Z37" s="205"/>
      <c r="AA37" s="154"/>
      <c r="AB37" s="151"/>
      <c r="AC37" s="113" t="str">
        <f>IF(Z22="","",IF(Z22="Préleveur A3",#REF!,IF((SUMIF(AB26:AB34,"Validé",AC26:AC34)+SUMIF(AB26:AB34,"Validé avec réserve",AC26:AC34))&gt;100,100,SUMIF(AB26:AB34,"Validé",AC26:AC34)+SUMIF(AB26:AB34,"Validé avec réserve",AC26:AC34))))</f>
        <v/>
      </c>
      <c r="AD37" s="113"/>
      <c r="AE37" s="205"/>
      <c r="AF37" s="154"/>
      <c r="AG37" s="151"/>
      <c r="AH37" s="113" t="str">
        <f>IF(AE22="","",IF(AE22="Préleveur A3",#REF!,IF((SUMIF(AG26:AG34,"Validé",AH26:AH34)+SUMIF(AG26:AG34,"Validé avec réserve",AH26:AH34))&gt;100,100,SUMIF(AG26:AG34,"Validé",AH26:AH34)+SUMIF(AG26:AG34,"Validé avec réserve",AH26:AH34))))</f>
        <v/>
      </c>
      <c r="AI37" s="141"/>
      <c r="AJ37" s="205"/>
      <c r="AK37" s="154"/>
      <c r="AL37" s="151"/>
      <c r="AM37" s="113" t="str">
        <f>IF(AJ22="","",IF(AJ22="Préleveur A3",#REF!,IF((SUMIF(AL26:AL34,"Validé",AM26:AM34)+SUMIF(AL26:AL34,"Validé avec réserve",AM26:AM34))&gt;100,100,SUMIF(AL26:AL34,"Validé",AM26:AM34)+SUMIF(AL26:AL34,"Validé avec réserve",AM26:AM34))))</f>
        <v/>
      </c>
      <c r="AN37" s="141"/>
      <c r="AO37" s="205"/>
      <c r="AP37" s="154"/>
      <c r="AQ37" s="151"/>
      <c r="AR37" s="113" t="str">
        <f>IF(AO22="","",IF(AO22="Préleveur A3",#REF!,IF((SUMIF(AQ26:AQ34,"Validé",AR26:AR34)+SUMIF(AQ26:AQ34,"Validé avec réserve",AR26:AR34))&gt;100,100,SUMIF(AQ26:AQ34,"Validé",AR26:AR34)+SUMIF(AQ26:AQ34,"Validé avec réserve",AR26:AR34))))</f>
        <v/>
      </c>
      <c r="AS37" s="113"/>
      <c r="AT37" s="205"/>
      <c r="AU37" s="154"/>
      <c r="AV37" s="151"/>
      <c r="AW37" s="113" t="str">
        <f>IF(AT22="","",IF(AT22="Préleveur A3",#REF!,IF((SUMIF(AV26:AV34,"Validé",AW26:AW34)+SUMIF(AV26:AV34,"Validé avec réserve",AW26:AW34))&gt;100,100,SUMIF(AV26:AV34,"Validé",AW26:AW34)+SUMIF(AV26:AV34,"Validé avec réserve",AW26:AW34))))</f>
        <v/>
      </c>
      <c r="AX37" s="113"/>
      <c r="AY37" s="205"/>
      <c r="AZ37" s="154"/>
      <c r="BA37" s="151"/>
      <c r="BB37" s="113" t="str">
        <f>IF(AY22="","",IF(AY22="Préleveur A3",#REF!,IF((SUMIF(BA26:BA34,"Validé",BB26:BB34)+SUMIF(BA26:BA34,"Validé avec réserve",BB26:BB34))&gt;100,100,SUMIF(BA26:BA34,"Validé",BB26:BB34)+SUMIF(BA26:BA34,"Validé avec réserve",BB26:BB34))))</f>
        <v/>
      </c>
      <c r="BC37" s="113"/>
      <c r="BD37" s="205"/>
      <c r="BE37" s="150"/>
      <c r="BF37" s="151"/>
      <c r="BG37" s="113" t="str">
        <f>IF(BD22="","",IF(BD22="Préleveur A3",#REF!,IF((SUMIF(BF26:BF34,"Validé",BG26:BG34)+SUMIF(BF26:BF34,"Validé avec réserve",BG26:BG34))&gt;100,100,SUMIF(BF26:BF34,"Validé",BG26:BG34)+SUMIF(BF26:BF34,"Validé avec réserve",BG26:BG34))))</f>
        <v/>
      </c>
      <c r="BH37" s="113"/>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75" priority="162" operator="containsText" text="Non contrôlé">
      <formula>NOT(ISERROR(SEARCH("Non contrôlé",C9)))</formula>
    </cfRule>
    <cfRule type="containsText" dxfId="774" priority="163" operator="containsText" text="Non validé">
      <formula>NOT(ISERROR(SEARCH("Non validé",C9)))</formula>
    </cfRule>
    <cfRule type="containsText" dxfId="773" priority="164" operator="containsText" text="réserve">
      <formula>NOT(ISERROR(SEARCH("réserve",C9)))</formula>
    </cfRule>
    <cfRule type="endsWith" dxfId="772" priority="165" operator="endsWith" text="Validé">
      <formula>RIGHT(C9,LEN("Validé"))="Validé"</formula>
    </cfRule>
  </conditionalFormatting>
  <conditionalFormatting sqref="C19:C20">
    <cfRule type="containsText" dxfId="771" priority="158" operator="containsText" text="Non contrôlé">
      <formula>NOT(ISERROR(SEARCH("Non contrôlé",C19)))</formula>
    </cfRule>
    <cfRule type="containsText" dxfId="770" priority="159" operator="containsText" text="Non validé">
      <formula>NOT(ISERROR(SEARCH("Non validé",C19)))</formula>
    </cfRule>
    <cfRule type="containsText" dxfId="769" priority="160" operator="containsText" text="réserve">
      <formula>NOT(ISERROR(SEARCH("réserve",C19)))</formula>
    </cfRule>
    <cfRule type="endsWith" dxfId="768" priority="161" operator="endsWith" text="Validé">
      <formula>RIGHT(C19,LEN("Validé"))="Validé"</formula>
    </cfRule>
  </conditionalFormatting>
  <conditionalFormatting sqref="C26:C35">
    <cfRule type="containsText" dxfId="767" priority="182" operator="containsText" text="Non contrôlé">
      <formula>NOT(ISERROR(SEARCH("Non contrôlé",C26)))</formula>
    </cfRule>
    <cfRule type="containsText" dxfId="766" priority="183" operator="containsText" text="Non validé">
      <formula>NOT(ISERROR(SEARCH("Non validé",C26)))</formula>
    </cfRule>
    <cfRule type="containsText" dxfId="765" priority="184" operator="containsText" text="réserve">
      <formula>NOT(ISERROR(SEARCH("réserve",C26)))</formula>
    </cfRule>
    <cfRule type="endsWith" dxfId="764" priority="185" operator="endsWith" text="Validé">
      <formula>RIGHT(C26,LEN("Validé"))="Validé"</formula>
    </cfRule>
  </conditionalFormatting>
  <conditionalFormatting sqref="C37">
    <cfRule type="containsText" dxfId="763" priority="178" operator="containsText" text="Non contrôlé">
      <formula>NOT(ISERROR(SEARCH("Non contrôlé",C37)))</formula>
    </cfRule>
    <cfRule type="containsText" dxfId="762" priority="179" operator="containsText" text="Non validé">
      <formula>NOT(ISERROR(SEARCH("Non validé",C37)))</formula>
    </cfRule>
    <cfRule type="containsText" dxfId="761" priority="180" operator="containsText" text="réserve">
      <formula>NOT(ISERROR(SEARCH("réserve",C37)))</formula>
    </cfRule>
    <cfRule type="endsWith" dxfId="760" priority="181" operator="endsWith" text="Validé">
      <formula>RIGHT(C37,LEN("Validé"))="Validé"</formula>
    </cfRule>
  </conditionalFormatting>
  <conditionalFormatting sqref="D19">
    <cfRule type="cellIs" dxfId="759" priority="91" operator="greaterThanOrEqual">
      <formula>80</formula>
    </cfRule>
    <cfRule type="cellIs" dxfId="758" priority="92" operator="between">
      <formula>70</formula>
      <formula>79</formula>
    </cfRule>
    <cfRule type="cellIs" dxfId="757" priority="93" operator="lessThan">
      <formula>69</formula>
    </cfRule>
  </conditionalFormatting>
  <conditionalFormatting sqref="D37">
    <cfRule type="cellIs" dxfId="756" priority="1" operator="greaterThanOrEqual">
      <formula>80</formula>
    </cfRule>
    <cfRule type="cellIs" dxfId="755" priority="2" operator="between">
      <formula>70</formula>
      <formula>79</formula>
    </cfRule>
    <cfRule type="cellIs" dxfId="754" priority="3" operator="lessThan">
      <formula>69</formula>
    </cfRule>
  </conditionalFormatting>
  <conditionalFormatting sqref="H9:H17">
    <cfRule type="containsText" dxfId="753" priority="322" operator="containsText" text="Non contrôlé">
      <formula>NOT(ISERROR(SEARCH("Non contrôlé",H9)))</formula>
    </cfRule>
    <cfRule type="containsText" dxfId="752" priority="323" operator="containsText" text="Non validé">
      <formula>NOT(ISERROR(SEARCH("Non validé",H9)))</formula>
    </cfRule>
    <cfRule type="containsText" dxfId="751" priority="324" operator="containsText" text="réserve">
      <formula>NOT(ISERROR(SEARCH("réserve",H9)))</formula>
    </cfRule>
    <cfRule type="endsWith" dxfId="750" priority="325" operator="endsWith" text="Validé">
      <formula>RIGHT(H9,LEN("Validé"))="Validé"</formula>
    </cfRule>
  </conditionalFormatting>
  <conditionalFormatting sqref="H19:H20">
    <cfRule type="containsText" dxfId="749" priority="318" operator="containsText" text="Non contrôlé">
      <formula>NOT(ISERROR(SEARCH("Non contrôlé",H19)))</formula>
    </cfRule>
    <cfRule type="containsText" dxfId="748" priority="319" operator="containsText" text="Non validé">
      <formula>NOT(ISERROR(SEARCH("Non validé",H19)))</formula>
    </cfRule>
    <cfRule type="containsText" dxfId="747" priority="320" operator="containsText" text="réserve">
      <formula>NOT(ISERROR(SEARCH("réserve",H19)))</formula>
    </cfRule>
    <cfRule type="endsWith" dxfId="746" priority="321" operator="endsWith" text="Validé">
      <formula>RIGHT(H19,LEN("Validé"))="Validé"</formula>
    </cfRule>
  </conditionalFormatting>
  <conditionalFormatting sqref="H26:H35">
    <cfRule type="containsText" dxfId="745" priority="154" operator="containsText" text="Non contrôlé">
      <formula>NOT(ISERROR(SEARCH("Non contrôlé",H26)))</formula>
    </cfRule>
    <cfRule type="containsText" dxfId="744" priority="155" operator="containsText" text="Non validé">
      <formula>NOT(ISERROR(SEARCH("Non validé",H26)))</formula>
    </cfRule>
    <cfRule type="containsText" dxfId="743" priority="156" operator="containsText" text="réserve">
      <formula>NOT(ISERROR(SEARCH("réserve",H26)))</formula>
    </cfRule>
    <cfRule type="endsWith" dxfId="742" priority="157" operator="endsWith" text="Validé">
      <formula>RIGHT(H26,LEN("Validé"))="Validé"</formula>
    </cfRule>
  </conditionalFormatting>
  <conditionalFormatting sqref="H37">
    <cfRule type="containsText" dxfId="741" priority="190" operator="containsText" text="Non contrôlé">
      <formula>NOT(ISERROR(SEARCH("Non contrôlé",H37)))</formula>
    </cfRule>
    <cfRule type="containsText" dxfId="740" priority="191" operator="containsText" text="Non validé">
      <formula>NOT(ISERROR(SEARCH("Non validé",H37)))</formula>
    </cfRule>
    <cfRule type="containsText" dxfId="739" priority="192" operator="containsText" text="réserve">
      <formula>NOT(ISERROR(SEARCH("réserve",H37)))</formula>
    </cfRule>
    <cfRule type="endsWith" dxfId="738" priority="193" operator="endsWith" text="Validé">
      <formula>RIGHT(H37,LEN("Validé"))="Validé"</formula>
    </cfRule>
  </conditionalFormatting>
  <conditionalFormatting sqref="I19">
    <cfRule type="cellIs" dxfId="737" priority="88" operator="greaterThanOrEqual">
      <formula>80</formula>
    </cfRule>
    <cfRule type="cellIs" dxfId="736" priority="89" operator="between">
      <formula>70</formula>
      <formula>79</formula>
    </cfRule>
    <cfRule type="cellIs" dxfId="735" priority="90" operator="lessThan">
      <formula>69</formula>
    </cfRule>
  </conditionalFormatting>
  <conditionalFormatting sqref="I37">
    <cfRule type="cellIs" dxfId="734" priority="4" operator="greaterThanOrEqual">
      <formula>80</formula>
    </cfRule>
    <cfRule type="cellIs" dxfId="733" priority="5" operator="between">
      <formula>70</formula>
      <formula>79</formula>
    </cfRule>
    <cfRule type="cellIs" dxfId="732" priority="6" operator="lessThan">
      <formula>69</formula>
    </cfRule>
  </conditionalFormatting>
  <conditionalFormatting sqref="M9:M17">
    <cfRule type="containsText" dxfId="731" priority="330" operator="containsText" text="Non contrôlé">
      <formula>NOT(ISERROR(SEARCH("Non contrôlé",M9)))</formula>
    </cfRule>
    <cfRule type="containsText" dxfId="730" priority="331" operator="containsText" text="Non validé">
      <formula>NOT(ISERROR(SEARCH("Non validé",M9)))</formula>
    </cfRule>
    <cfRule type="containsText" dxfId="729" priority="332" operator="containsText" text="réserve">
      <formula>NOT(ISERROR(SEARCH("réserve",M9)))</formula>
    </cfRule>
    <cfRule type="endsWith" dxfId="728" priority="333" operator="endsWith" text="Validé">
      <formula>RIGHT(M9,LEN("Validé"))="Validé"</formula>
    </cfRule>
  </conditionalFormatting>
  <conditionalFormatting sqref="M19:M20">
    <cfRule type="containsText" dxfId="727" priority="326" operator="containsText" text="Non contrôlé">
      <formula>NOT(ISERROR(SEARCH("Non contrôlé",M19)))</formula>
    </cfRule>
    <cfRule type="containsText" dxfId="726" priority="327" operator="containsText" text="Non validé">
      <formula>NOT(ISERROR(SEARCH("Non validé",M19)))</formula>
    </cfRule>
    <cfRule type="containsText" dxfId="725" priority="328" operator="containsText" text="réserve">
      <formula>NOT(ISERROR(SEARCH("réserve",M19)))</formula>
    </cfRule>
    <cfRule type="endsWith" dxfId="724" priority="329" operator="endsWith" text="Validé">
      <formula>RIGHT(M19,LEN("Validé"))="Validé"</formula>
    </cfRule>
  </conditionalFormatting>
  <conditionalFormatting sqref="M26:M34">
    <cfRule type="containsText" dxfId="723" priority="206" operator="containsText" text="Non contrôlé">
      <formula>NOT(ISERROR(SEARCH("Non contrôlé",M26)))</formula>
    </cfRule>
    <cfRule type="containsText" dxfId="722" priority="207" operator="containsText" text="Non validé">
      <formula>NOT(ISERROR(SEARCH("Non validé",M26)))</formula>
    </cfRule>
    <cfRule type="containsText" dxfId="721" priority="208" operator="containsText" text="réserve">
      <formula>NOT(ISERROR(SEARCH("réserve",M26)))</formula>
    </cfRule>
    <cfRule type="endsWith" dxfId="720" priority="209" operator="endsWith" text="Validé">
      <formula>RIGHT(M26,LEN("Validé"))="Validé"</formula>
    </cfRule>
  </conditionalFormatting>
  <conditionalFormatting sqref="M35">
    <cfRule type="containsText" dxfId="719" priority="210" operator="containsText" text="Non contrôlé">
      <formula>NOT(ISERROR(SEARCH("Non contrôlé",M35)))</formula>
    </cfRule>
    <cfRule type="containsText" dxfId="718" priority="211" operator="containsText" text="Non validé">
      <formula>NOT(ISERROR(SEARCH("Non validé",M35)))</formula>
    </cfRule>
    <cfRule type="containsText" dxfId="717" priority="212" operator="containsText" text="réserve">
      <formula>NOT(ISERROR(SEARCH("réserve",M35)))</formula>
    </cfRule>
    <cfRule type="endsWith" dxfId="716" priority="213" operator="endsWith" text="Validé">
      <formula>RIGHT(M35,LEN("Validé"))="Validé"</formula>
    </cfRule>
  </conditionalFormatting>
  <conditionalFormatting sqref="M37">
    <cfRule type="containsText" dxfId="715" priority="202" operator="containsText" text="Non contrôlé">
      <formula>NOT(ISERROR(SEARCH("Non contrôlé",M37)))</formula>
    </cfRule>
    <cfRule type="containsText" dxfId="714" priority="203" operator="containsText" text="Non validé">
      <formula>NOT(ISERROR(SEARCH("Non validé",M37)))</formula>
    </cfRule>
    <cfRule type="containsText" dxfId="713" priority="204" operator="containsText" text="réserve">
      <formula>NOT(ISERROR(SEARCH("réserve",M37)))</formula>
    </cfRule>
    <cfRule type="endsWith" dxfId="712" priority="205" operator="endsWith" text="Validé">
      <formula>RIGHT(M37,LEN("Validé"))="Validé"</formula>
    </cfRule>
  </conditionalFormatting>
  <conditionalFormatting sqref="N19">
    <cfRule type="cellIs" dxfId="711" priority="85" operator="greaterThanOrEqual">
      <formula>80</formula>
    </cfRule>
    <cfRule type="cellIs" dxfId="710" priority="86" operator="between">
      <formula>70</formula>
      <formula>79</formula>
    </cfRule>
    <cfRule type="cellIs" dxfId="709" priority="87" operator="lessThan">
      <formula>69</formula>
    </cfRule>
  </conditionalFormatting>
  <conditionalFormatting sqref="N37">
    <cfRule type="cellIs" dxfId="708" priority="7" operator="greaterThanOrEqual">
      <formula>80</formula>
    </cfRule>
    <cfRule type="cellIs" dxfId="707" priority="8" operator="between">
      <formula>70</formula>
      <formula>79</formula>
    </cfRule>
    <cfRule type="cellIs" dxfId="706" priority="9" operator="lessThan">
      <formula>69</formula>
    </cfRule>
  </conditionalFormatting>
  <conditionalFormatting sqref="R9:R17">
    <cfRule type="containsText" dxfId="705" priority="338" operator="containsText" text="Non contrôlé">
      <formula>NOT(ISERROR(SEARCH("Non contrôlé",R9)))</formula>
    </cfRule>
    <cfRule type="containsText" dxfId="704" priority="339" operator="containsText" text="Non validé">
      <formula>NOT(ISERROR(SEARCH("Non validé",R9)))</formula>
    </cfRule>
    <cfRule type="containsText" dxfId="703" priority="340" operator="containsText" text="réserve">
      <formula>NOT(ISERROR(SEARCH("réserve",R9)))</formula>
    </cfRule>
    <cfRule type="endsWith" dxfId="702" priority="341" operator="endsWith" text="Validé">
      <formula>RIGHT(R9,LEN("Validé"))="Validé"</formula>
    </cfRule>
  </conditionalFormatting>
  <conditionalFormatting sqref="R19">
    <cfRule type="containsText" dxfId="701" priority="334" operator="containsText" text="Non contrôlé">
      <formula>NOT(ISERROR(SEARCH("Non contrôlé",R19)))</formula>
    </cfRule>
    <cfRule type="containsText" dxfId="700" priority="335" operator="containsText" text="Non validé">
      <formula>NOT(ISERROR(SEARCH("Non validé",R19)))</formula>
    </cfRule>
    <cfRule type="containsText" dxfId="699" priority="336" operator="containsText" text="réserve">
      <formula>NOT(ISERROR(SEARCH("réserve",R19)))</formula>
    </cfRule>
    <cfRule type="endsWith" dxfId="698" priority="337" operator="endsWith" text="Validé">
      <formula>RIGHT(R19,LEN("Validé"))="Validé"</formula>
    </cfRule>
  </conditionalFormatting>
  <conditionalFormatting sqref="R26:R34">
    <cfRule type="containsText" dxfId="697" priority="218" operator="containsText" text="Non contrôlé">
      <formula>NOT(ISERROR(SEARCH("Non contrôlé",R26)))</formula>
    </cfRule>
    <cfRule type="containsText" dxfId="696" priority="219" operator="containsText" text="Non validé">
      <formula>NOT(ISERROR(SEARCH("Non validé",R26)))</formula>
    </cfRule>
    <cfRule type="containsText" dxfId="695" priority="220" operator="containsText" text="réserve">
      <formula>NOT(ISERROR(SEARCH("réserve",R26)))</formula>
    </cfRule>
    <cfRule type="endsWith" dxfId="694" priority="221" operator="endsWith" text="Validé">
      <formula>RIGHT(R26,LEN("Validé"))="Validé"</formula>
    </cfRule>
  </conditionalFormatting>
  <conditionalFormatting sqref="R35">
    <cfRule type="containsText" dxfId="693" priority="222" operator="containsText" text="Non contrôlé">
      <formula>NOT(ISERROR(SEARCH("Non contrôlé",R35)))</formula>
    </cfRule>
    <cfRule type="containsText" dxfId="692" priority="223" operator="containsText" text="Non validé">
      <formula>NOT(ISERROR(SEARCH("Non validé",R35)))</formula>
    </cfRule>
    <cfRule type="containsText" dxfId="691" priority="224" operator="containsText" text="réserve">
      <formula>NOT(ISERROR(SEARCH("réserve",R35)))</formula>
    </cfRule>
    <cfRule type="endsWith" dxfId="690" priority="225" operator="endsWith" text="Validé">
      <formula>RIGHT(R35,LEN("Validé"))="Validé"</formula>
    </cfRule>
  </conditionalFormatting>
  <conditionalFormatting sqref="R37">
    <cfRule type="containsText" dxfId="689" priority="214" operator="containsText" text="Non contrôlé">
      <formula>NOT(ISERROR(SEARCH("Non contrôlé",R37)))</formula>
    </cfRule>
    <cfRule type="containsText" dxfId="688" priority="215" operator="containsText" text="Non validé">
      <formula>NOT(ISERROR(SEARCH("Non validé",R37)))</formula>
    </cfRule>
    <cfRule type="containsText" dxfId="687" priority="216" operator="containsText" text="réserve">
      <formula>NOT(ISERROR(SEARCH("réserve",R37)))</formula>
    </cfRule>
    <cfRule type="endsWith" dxfId="686" priority="217" operator="endsWith" text="Validé">
      <formula>RIGHT(R37,LEN("Validé"))="Validé"</formula>
    </cfRule>
  </conditionalFormatting>
  <conditionalFormatting sqref="S19">
    <cfRule type="cellIs" dxfId="685" priority="82" operator="greaterThanOrEqual">
      <formula>80</formula>
    </cfRule>
    <cfRule type="cellIs" dxfId="684" priority="83" operator="between">
      <formula>70</formula>
      <formula>79</formula>
    </cfRule>
    <cfRule type="cellIs" dxfId="683" priority="84" operator="lessThan">
      <formula>69</formula>
    </cfRule>
  </conditionalFormatting>
  <conditionalFormatting sqref="S37">
    <cfRule type="cellIs" dxfId="682" priority="10" operator="greaterThanOrEqual">
      <formula>80</formula>
    </cfRule>
    <cfRule type="cellIs" dxfId="681" priority="11" operator="between">
      <formula>70</formula>
      <formula>79</formula>
    </cfRule>
    <cfRule type="cellIs" dxfId="680" priority="12" operator="lessThan">
      <formula>69</formula>
    </cfRule>
  </conditionalFormatting>
  <conditionalFormatting sqref="W9:W17">
    <cfRule type="containsText" dxfId="679" priority="170" operator="containsText" text="Non contrôlé">
      <formula>NOT(ISERROR(SEARCH("Non contrôlé",W9)))</formula>
    </cfRule>
    <cfRule type="containsText" dxfId="678" priority="171" operator="containsText" text="Non validé">
      <formula>NOT(ISERROR(SEARCH("Non validé",W9)))</formula>
    </cfRule>
    <cfRule type="containsText" dxfId="677" priority="172" operator="containsText" text="réserve">
      <formula>NOT(ISERROR(SEARCH("réserve",W9)))</formula>
    </cfRule>
    <cfRule type="endsWith" dxfId="676" priority="173" operator="endsWith" text="Validé">
      <formula>RIGHT(W9,LEN("Validé"))="Validé"</formula>
    </cfRule>
  </conditionalFormatting>
  <conditionalFormatting sqref="W19">
    <cfRule type="containsText" dxfId="675" priority="342" operator="containsText" text="Non contrôlé">
      <formula>NOT(ISERROR(SEARCH("Non contrôlé",W19)))</formula>
    </cfRule>
    <cfRule type="containsText" dxfId="674" priority="343" operator="containsText" text="Non validé">
      <formula>NOT(ISERROR(SEARCH("Non validé",W19)))</formula>
    </cfRule>
    <cfRule type="containsText" dxfId="673" priority="344" operator="containsText" text="réserve">
      <formula>NOT(ISERROR(SEARCH("réserve",W19)))</formula>
    </cfRule>
    <cfRule type="endsWith" dxfId="672" priority="345" operator="endsWith" text="Validé">
      <formula>RIGHT(W19,LEN("Validé"))="Validé"</formula>
    </cfRule>
  </conditionalFormatting>
  <conditionalFormatting sqref="W26:W34">
    <cfRule type="containsText" dxfId="671" priority="230" operator="containsText" text="Non contrôlé">
      <formula>NOT(ISERROR(SEARCH("Non contrôlé",W26)))</formula>
    </cfRule>
    <cfRule type="containsText" dxfId="670" priority="231" operator="containsText" text="Non validé">
      <formula>NOT(ISERROR(SEARCH("Non validé",W26)))</formula>
    </cfRule>
    <cfRule type="containsText" dxfId="669" priority="232" operator="containsText" text="réserve">
      <formula>NOT(ISERROR(SEARCH("réserve",W26)))</formula>
    </cfRule>
    <cfRule type="endsWith" dxfId="668" priority="233" operator="endsWith" text="Validé">
      <formula>RIGHT(W26,LEN("Validé"))="Validé"</formula>
    </cfRule>
  </conditionalFormatting>
  <conditionalFormatting sqref="W35">
    <cfRule type="containsText" dxfId="667" priority="234" operator="containsText" text="Non contrôlé">
      <formula>NOT(ISERROR(SEARCH("Non contrôlé",W35)))</formula>
    </cfRule>
    <cfRule type="containsText" dxfId="666" priority="235" operator="containsText" text="Non validé">
      <formula>NOT(ISERROR(SEARCH("Non validé",W35)))</formula>
    </cfRule>
    <cfRule type="containsText" dxfId="665" priority="236" operator="containsText" text="réserve">
      <formula>NOT(ISERROR(SEARCH("réserve",W35)))</formula>
    </cfRule>
    <cfRule type="endsWith" dxfId="664" priority="237" operator="endsWith" text="Validé">
      <formula>RIGHT(W35,LEN("Validé"))="Validé"</formula>
    </cfRule>
  </conditionalFormatting>
  <conditionalFormatting sqref="W37">
    <cfRule type="containsText" dxfId="663" priority="226" operator="containsText" text="Non contrôlé">
      <formula>NOT(ISERROR(SEARCH("Non contrôlé",W37)))</formula>
    </cfRule>
    <cfRule type="containsText" dxfId="662" priority="227" operator="containsText" text="Non validé">
      <formula>NOT(ISERROR(SEARCH("Non validé",W37)))</formula>
    </cfRule>
    <cfRule type="containsText" dxfId="661" priority="228" operator="containsText" text="réserve">
      <formula>NOT(ISERROR(SEARCH("réserve",W37)))</formula>
    </cfRule>
    <cfRule type="endsWith" dxfId="660" priority="229" operator="endsWith" text="Validé">
      <formula>RIGHT(W37,LEN("Validé"))="Validé"</formula>
    </cfRule>
  </conditionalFormatting>
  <conditionalFormatting sqref="X19">
    <cfRule type="cellIs" dxfId="659" priority="79" operator="greaterThanOrEqual">
      <formula>80</formula>
    </cfRule>
    <cfRule type="cellIs" dxfId="658" priority="80" operator="between">
      <formula>70</formula>
      <formula>79</formula>
    </cfRule>
    <cfRule type="cellIs" dxfId="657" priority="81" operator="lessThan">
      <formula>69</formula>
    </cfRule>
  </conditionalFormatting>
  <conditionalFormatting sqref="X37">
    <cfRule type="cellIs" dxfId="656" priority="13" operator="greaterThanOrEqual">
      <formula>80</formula>
    </cfRule>
    <cfRule type="cellIs" dxfId="655" priority="14" operator="between">
      <formula>70</formula>
      <formula>79</formula>
    </cfRule>
    <cfRule type="cellIs" dxfId="654" priority="15" operator="lessThan">
      <formula>69</formula>
    </cfRule>
  </conditionalFormatting>
  <conditionalFormatting sqref="AB9:AB17">
    <cfRule type="containsText" dxfId="653" priority="354" operator="containsText" text="Non contrôlé">
      <formula>NOT(ISERROR(SEARCH("Non contrôlé",AB9)))</formula>
    </cfRule>
    <cfRule type="containsText" dxfId="652" priority="355" operator="containsText" text="Non validé">
      <formula>NOT(ISERROR(SEARCH("Non validé",AB9)))</formula>
    </cfRule>
    <cfRule type="containsText" dxfId="651" priority="356" operator="containsText" text="réserve">
      <formula>NOT(ISERROR(SEARCH("réserve",AB9)))</formula>
    </cfRule>
    <cfRule type="endsWith" dxfId="650" priority="357" operator="endsWith" text="Validé">
      <formula>RIGHT(AB9,LEN("Validé"))="Validé"</formula>
    </cfRule>
  </conditionalFormatting>
  <conditionalFormatting sqref="AB19">
    <cfRule type="containsText" dxfId="649" priority="350" operator="containsText" text="Non contrôlé">
      <formula>NOT(ISERROR(SEARCH("Non contrôlé",AB19)))</formula>
    </cfRule>
    <cfRule type="containsText" dxfId="648" priority="351" operator="containsText" text="Non validé">
      <formula>NOT(ISERROR(SEARCH("Non validé",AB19)))</formula>
    </cfRule>
    <cfRule type="containsText" dxfId="647" priority="352" operator="containsText" text="réserve">
      <formula>NOT(ISERROR(SEARCH("réserve",AB19)))</formula>
    </cfRule>
    <cfRule type="endsWith" dxfId="646" priority="353" operator="endsWith" text="Validé">
      <formula>RIGHT(AB19,LEN("Validé"))="Validé"</formula>
    </cfRule>
  </conditionalFormatting>
  <conditionalFormatting sqref="AB26:AB34">
    <cfRule type="containsText" dxfId="645" priority="242" operator="containsText" text="Non contrôlé">
      <formula>NOT(ISERROR(SEARCH("Non contrôlé",AB26)))</formula>
    </cfRule>
    <cfRule type="containsText" dxfId="644" priority="243" operator="containsText" text="Non validé">
      <formula>NOT(ISERROR(SEARCH("Non validé",AB26)))</formula>
    </cfRule>
    <cfRule type="containsText" dxfId="643" priority="244" operator="containsText" text="réserve">
      <formula>NOT(ISERROR(SEARCH("réserve",AB26)))</formula>
    </cfRule>
    <cfRule type="endsWith" dxfId="642" priority="245" operator="endsWith" text="Validé">
      <formula>RIGHT(AB26,LEN("Validé"))="Validé"</formula>
    </cfRule>
  </conditionalFormatting>
  <conditionalFormatting sqref="AB35">
    <cfRule type="containsText" dxfId="641" priority="246" operator="containsText" text="Non contrôlé">
      <formula>NOT(ISERROR(SEARCH("Non contrôlé",AB35)))</formula>
    </cfRule>
    <cfRule type="containsText" dxfId="640" priority="247" operator="containsText" text="Non validé">
      <formula>NOT(ISERROR(SEARCH("Non validé",AB35)))</formula>
    </cfRule>
    <cfRule type="containsText" dxfId="639" priority="248" operator="containsText" text="réserve">
      <formula>NOT(ISERROR(SEARCH("réserve",AB35)))</formula>
    </cfRule>
    <cfRule type="endsWith" dxfId="638" priority="249" operator="endsWith" text="Validé">
      <formula>RIGHT(AB35,LEN("Validé"))="Validé"</formula>
    </cfRule>
  </conditionalFormatting>
  <conditionalFormatting sqref="AB37">
    <cfRule type="containsText" dxfId="637" priority="238" operator="containsText" text="Non contrôlé">
      <formula>NOT(ISERROR(SEARCH("Non contrôlé",AB37)))</formula>
    </cfRule>
    <cfRule type="containsText" dxfId="636" priority="239" operator="containsText" text="Non validé">
      <formula>NOT(ISERROR(SEARCH("Non validé",AB37)))</formula>
    </cfRule>
    <cfRule type="containsText" dxfId="635" priority="240" operator="containsText" text="réserve">
      <formula>NOT(ISERROR(SEARCH("réserve",AB37)))</formula>
    </cfRule>
    <cfRule type="endsWith" dxfId="634" priority="241" operator="endsWith" text="Validé">
      <formula>RIGHT(AB37,LEN("Validé"))="Validé"</formula>
    </cfRule>
  </conditionalFormatting>
  <conditionalFormatting sqref="AC19">
    <cfRule type="cellIs" dxfId="633" priority="76" operator="greaterThanOrEqual">
      <formula>80</formula>
    </cfRule>
    <cfRule type="cellIs" dxfId="632" priority="77" operator="between">
      <formula>70</formula>
      <formula>79</formula>
    </cfRule>
    <cfRule type="cellIs" dxfId="631" priority="78" operator="lessThan">
      <formula>69</formula>
    </cfRule>
  </conditionalFormatting>
  <conditionalFormatting sqref="AC37:AD37">
    <cfRule type="cellIs" dxfId="630" priority="16" operator="greaterThanOrEqual">
      <formula>80</formula>
    </cfRule>
    <cfRule type="cellIs" dxfId="629" priority="17" operator="between">
      <formula>70</formula>
      <formula>79</formula>
    </cfRule>
    <cfRule type="cellIs" dxfId="628" priority="18" operator="lessThan">
      <formula>69</formula>
    </cfRule>
  </conditionalFormatting>
  <conditionalFormatting sqref="AG9:AG17">
    <cfRule type="containsText" dxfId="627" priority="362" operator="containsText" text="Non contrôlé">
      <formula>NOT(ISERROR(SEARCH("Non contrôlé",AG9)))</formula>
    </cfRule>
    <cfRule type="containsText" dxfId="626" priority="363" operator="containsText" text="Non validé">
      <formula>NOT(ISERROR(SEARCH("Non validé",AG9)))</formula>
    </cfRule>
    <cfRule type="containsText" dxfId="625" priority="364" operator="containsText" text="réserve">
      <formula>NOT(ISERROR(SEARCH("réserve",AG9)))</formula>
    </cfRule>
    <cfRule type="endsWith" dxfId="624" priority="365" operator="endsWith" text="Validé">
      <formula>RIGHT(AG9,LEN("Validé"))="Validé"</formula>
    </cfRule>
  </conditionalFormatting>
  <conditionalFormatting sqref="AG19">
    <cfRule type="containsText" dxfId="623" priority="358" operator="containsText" text="Non contrôlé">
      <formula>NOT(ISERROR(SEARCH("Non contrôlé",AG19)))</formula>
    </cfRule>
    <cfRule type="containsText" dxfId="622" priority="359" operator="containsText" text="Non validé">
      <formula>NOT(ISERROR(SEARCH("Non validé",AG19)))</formula>
    </cfRule>
    <cfRule type="containsText" dxfId="621" priority="360" operator="containsText" text="réserve">
      <formula>NOT(ISERROR(SEARCH("réserve",AG19)))</formula>
    </cfRule>
    <cfRule type="endsWith" dxfId="620" priority="361" operator="endsWith" text="Validé">
      <formula>RIGHT(AG19,LEN("Validé"))="Validé"</formula>
    </cfRule>
  </conditionalFormatting>
  <conditionalFormatting sqref="AG26:AG34">
    <cfRule type="containsText" dxfId="619" priority="254" operator="containsText" text="Non contrôlé">
      <formula>NOT(ISERROR(SEARCH("Non contrôlé",AG26)))</formula>
    </cfRule>
    <cfRule type="containsText" dxfId="618" priority="255" operator="containsText" text="Non validé">
      <formula>NOT(ISERROR(SEARCH("Non validé",AG26)))</formula>
    </cfRule>
    <cfRule type="containsText" dxfId="617" priority="256" operator="containsText" text="réserve">
      <formula>NOT(ISERROR(SEARCH("réserve",AG26)))</formula>
    </cfRule>
    <cfRule type="endsWith" dxfId="616" priority="257" operator="endsWith" text="Validé">
      <formula>RIGHT(AG26,LEN("Validé"))="Validé"</formula>
    </cfRule>
  </conditionalFormatting>
  <conditionalFormatting sqref="AG35">
    <cfRule type="containsText" dxfId="615" priority="258" operator="containsText" text="Non contrôlé">
      <formula>NOT(ISERROR(SEARCH("Non contrôlé",AG35)))</formula>
    </cfRule>
    <cfRule type="containsText" dxfId="614" priority="259" operator="containsText" text="Non validé">
      <formula>NOT(ISERROR(SEARCH("Non validé",AG35)))</formula>
    </cfRule>
    <cfRule type="containsText" dxfId="613" priority="260" operator="containsText" text="réserve">
      <formula>NOT(ISERROR(SEARCH("réserve",AG35)))</formula>
    </cfRule>
    <cfRule type="endsWith" dxfId="612" priority="261" operator="endsWith" text="Validé">
      <formula>RIGHT(AG35,LEN("Validé"))="Validé"</formula>
    </cfRule>
  </conditionalFormatting>
  <conditionalFormatting sqref="AG37">
    <cfRule type="containsText" dxfId="611" priority="250" operator="containsText" text="Non contrôlé">
      <formula>NOT(ISERROR(SEARCH("Non contrôlé",AG37)))</formula>
    </cfRule>
    <cfRule type="containsText" dxfId="610" priority="251" operator="containsText" text="Non validé">
      <formula>NOT(ISERROR(SEARCH("Non validé",AG37)))</formula>
    </cfRule>
    <cfRule type="containsText" dxfId="609" priority="252" operator="containsText" text="réserve">
      <formula>NOT(ISERROR(SEARCH("réserve",AG37)))</formula>
    </cfRule>
    <cfRule type="endsWith" dxfId="608" priority="253" operator="endsWith" text="Validé">
      <formula>RIGHT(AG37,LEN("Validé"))="Validé"</formula>
    </cfRule>
  </conditionalFormatting>
  <conditionalFormatting sqref="AH19">
    <cfRule type="cellIs" dxfId="607" priority="73" operator="greaterThanOrEqual">
      <formula>80</formula>
    </cfRule>
    <cfRule type="cellIs" dxfId="606" priority="74" operator="between">
      <formula>70</formula>
      <formula>79</formula>
    </cfRule>
    <cfRule type="cellIs" dxfId="605" priority="75" operator="lessThan">
      <formula>69</formula>
    </cfRule>
  </conditionalFormatting>
  <conditionalFormatting sqref="AH37">
    <cfRule type="cellIs" dxfId="604" priority="22" operator="greaterThanOrEqual">
      <formula>80</formula>
    </cfRule>
    <cfRule type="cellIs" dxfId="603" priority="23" operator="between">
      <formula>70</formula>
      <formula>79</formula>
    </cfRule>
    <cfRule type="cellIs" dxfId="602" priority="24" operator="lessThan">
      <formula>69</formula>
    </cfRule>
  </conditionalFormatting>
  <conditionalFormatting sqref="AL9:AL17">
    <cfRule type="containsText" dxfId="601" priority="370" operator="containsText" text="Non contrôlé">
      <formula>NOT(ISERROR(SEARCH("Non contrôlé",AL9)))</formula>
    </cfRule>
    <cfRule type="containsText" dxfId="600" priority="371" operator="containsText" text="Non validé">
      <formula>NOT(ISERROR(SEARCH("Non validé",AL9)))</formula>
    </cfRule>
    <cfRule type="containsText" dxfId="599" priority="372" operator="containsText" text="réserve">
      <formula>NOT(ISERROR(SEARCH("réserve",AL9)))</formula>
    </cfRule>
    <cfRule type="endsWith" dxfId="598" priority="373" operator="endsWith" text="Validé">
      <formula>RIGHT(AL9,LEN("Validé"))="Validé"</formula>
    </cfRule>
  </conditionalFormatting>
  <conditionalFormatting sqref="AL19">
    <cfRule type="containsText" dxfId="597" priority="366" operator="containsText" text="Non contrôlé">
      <formula>NOT(ISERROR(SEARCH("Non contrôlé",AL19)))</formula>
    </cfRule>
    <cfRule type="containsText" dxfId="596" priority="367" operator="containsText" text="Non validé">
      <formula>NOT(ISERROR(SEARCH("Non validé",AL19)))</formula>
    </cfRule>
    <cfRule type="containsText" dxfId="595" priority="368" operator="containsText" text="réserve">
      <formula>NOT(ISERROR(SEARCH("réserve",AL19)))</formula>
    </cfRule>
    <cfRule type="endsWith" dxfId="594" priority="369" operator="endsWith" text="Validé">
      <formula>RIGHT(AL19,LEN("Validé"))="Validé"</formula>
    </cfRule>
  </conditionalFormatting>
  <conditionalFormatting sqref="AL26:AL34">
    <cfRule type="containsText" dxfId="593" priority="266" operator="containsText" text="Non contrôlé">
      <formula>NOT(ISERROR(SEARCH("Non contrôlé",AL26)))</formula>
    </cfRule>
    <cfRule type="containsText" dxfId="592" priority="267" operator="containsText" text="Non validé">
      <formula>NOT(ISERROR(SEARCH("Non validé",AL26)))</formula>
    </cfRule>
    <cfRule type="containsText" dxfId="591" priority="268" operator="containsText" text="réserve">
      <formula>NOT(ISERROR(SEARCH("réserve",AL26)))</formula>
    </cfRule>
    <cfRule type="endsWith" dxfId="590" priority="269" operator="endsWith" text="Validé">
      <formula>RIGHT(AL26,LEN("Validé"))="Validé"</formula>
    </cfRule>
  </conditionalFormatting>
  <conditionalFormatting sqref="AL35">
    <cfRule type="containsText" dxfId="589" priority="270" operator="containsText" text="Non contrôlé">
      <formula>NOT(ISERROR(SEARCH("Non contrôlé",AL35)))</formula>
    </cfRule>
    <cfRule type="containsText" dxfId="588" priority="271" operator="containsText" text="Non validé">
      <formula>NOT(ISERROR(SEARCH("Non validé",AL35)))</formula>
    </cfRule>
    <cfRule type="containsText" dxfId="587" priority="272" operator="containsText" text="réserve">
      <formula>NOT(ISERROR(SEARCH("réserve",AL35)))</formula>
    </cfRule>
    <cfRule type="endsWith" dxfId="586" priority="273" operator="endsWith" text="Validé">
      <formula>RIGHT(AL35,LEN("Validé"))="Validé"</formula>
    </cfRule>
  </conditionalFormatting>
  <conditionalFormatting sqref="AL37">
    <cfRule type="containsText" dxfId="585" priority="262" operator="containsText" text="Non contrôlé">
      <formula>NOT(ISERROR(SEARCH("Non contrôlé",AL37)))</formula>
    </cfRule>
    <cfRule type="containsText" dxfId="584" priority="263" operator="containsText" text="Non validé">
      <formula>NOT(ISERROR(SEARCH("Non validé",AL37)))</formula>
    </cfRule>
    <cfRule type="containsText" dxfId="583" priority="264" operator="containsText" text="réserve">
      <formula>NOT(ISERROR(SEARCH("réserve",AL37)))</formula>
    </cfRule>
    <cfRule type="endsWith" dxfId="582" priority="265" operator="endsWith" text="Validé">
      <formula>RIGHT(AL37,LEN("Validé"))="Validé"</formula>
    </cfRule>
  </conditionalFormatting>
  <conditionalFormatting sqref="AM19">
    <cfRule type="cellIs" dxfId="581" priority="70" operator="greaterThanOrEqual">
      <formula>80</formula>
    </cfRule>
    <cfRule type="cellIs" dxfId="580" priority="71" operator="between">
      <formula>70</formula>
      <formula>79</formula>
    </cfRule>
    <cfRule type="cellIs" dxfId="579" priority="72" operator="lessThan">
      <formula>69</formula>
    </cfRule>
  </conditionalFormatting>
  <conditionalFormatting sqref="AM37">
    <cfRule type="cellIs" dxfId="578" priority="25" operator="greaterThanOrEqual">
      <formula>80</formula>
    </cfRule>
    <cfRule type="cellIs" dxfId="577" priority="26" operator="between">
      <formula>70</formula>
      <formula>79</formula>
    </cfRule>
    <cfRule type="cellIs" dxfId="576" priority="27" operator="lessThan">
      <formula>69</formula>
    </cfRule>
  </conditionalFormatting>
  <conditionalFormatting sqref="AQ9:AQ17">
    <cfRule type="containsText" dxfId="575" priority="378" operator="containsText" text="Non contrôlé">
      <formula>NOT(ISERROR(SEARCH("Non contrôlé",AQ9)))</formula>
    </cfRule>
    <cfRule type="containsText" dxfId="574" priority="379" operator="containsText" text="Non validé">
      <formula>NOT(ISERROR(SEARCH("Non validé",AQ9)))</formula>
    </cfRule>
    <cfRule type="containsText" dxfId="573" priority="380" operator="containsText" text="réserve">
      <formula>NOT(ISERROR(SEARCH("réserve",AQ9)))</formula>
    </cfRule>
    <cfRule type="endsWith" dxfId="572" priority="381" operator="endsWith" text="Validé">
      <formula>RIGHT(AQ9,LEN("Validé"))="Validé"</formula>
    </cfRule>
  </conditionalFormatting>
  <conditionalFormatting sqref="AQ19">
    <cfRule type="containsText" dxfId="571" priority="374" operator="containsText" text="Non contrôlé">
      <formula>NOT(ISERROR(SEARCH("Non contrôlé",AQ19)))</formula>
    </cfRule>
    <cfRule type="containsText" dxfId="570" priority="375" operator="containsText" text="Non validé">
      <formula>NOT(ISERROR(SEARCH("Non validé",AQ19)))</formula>
    </cfRule>
    <cfRule type="containsText" dxfId="569" priority="376" operator="containsText" text="réserve">
      <formula>NOT(ISERROR(SEARCH("réserve",AQ19)))</formula>
    </cfRule>
    <cfRule type="endsWith" dxfId="568" priority="377" operator="endsWith" text="Validé">
      <formula>RIGHT(AQ19,LEN("Validé"))="Validé"</formula>
    </cfRule>
  </conditionalFormatting>
  <conditionalFormatting sqref="AQ26:AQ34">
    <cfRule type="containsText" dxfId="567" priority="278" operator="containsText" text="Non contrôlé">
      <formula>NOT(ISERROR(SEARCH("Non contrôlé",AQ26)))</formula>
    </cfRule>
    <cfRule type="containsText" dxfId="566" priority="279" operator="containsText" text="Non validé">
      <formula>NOT(ISERROR(SEARCH("Non validé",AQ26)))</formula>
    </cfRule>
    <cfRule type="containsText" dxfId="565" priority="280" operator="containsText" text="réserve">
      <formula>NOT(ISERROR(SEARCH("réserve",AQ26)))</formula>
    </cfRule>
    <cfRule type="endsWith" dxfId="564" priority="281" operator="endsWith" text="Validé">
      <formula>RIGHT(AQ26,LEN("Validé"))="Validé"</formula>
    </cfRule>
  </conditionalFormatting>
  <conditionalFormatting sqref="AQ35">
    <cfRule type="containsText" dxfId="563" priority="282" operator="containsText" text="Non contrôlé">
      <formula>NOT(ISERROR(SEARCH("Non contrôlé",AQ35)))</formula>
    </cfRule>
    <cfRule type="containsText" dxfId="562" priority="283" operator="containsText" text="Non validé">
      <formula>NOT(ISERROR(SEARCH("Non validé",AQ35)))</formula>
    </cfRule>
    <cfRule type="containsText" dxfId="561" priority="284" operator="containsText" text="réserve">
      <formula>NOT(ISERROR(SEARCH("réserve",AQ35)))</formula>
    </cfRule>
    <cfRule type="endsWith" dxfId="560" priority="285" operator="endsWith" text="Validé">
      <formula>RIGHT(AQ35,LEN("Validé"))="Validé"</formula>
    </cfRule>
  </conditionalFormatting>
  <conditionalFormatting sqref="AQ37">
    <cfRule type="containsText" dxfId="559" priority="274" operator="containsText" text="Non contrôlé">
      <formula>NOT(ISERROR(SEARCH("Non contrôlé",AQ37)))</formula>
    </cfRule>
    <cfRule type="containsText" dxfId="558" priority="275" operator="containsText" text="Non validé">
      <formula>NOT(ISERROR(SEARCH("Non validé",AQ37)))</formula>
    </cfRule>
    <cfRule type="containsText" dxfId="557" priority="276" operator="containsText" text="réserve">
      <formula>NOT(ISERROR(SEARCH("réserve",AQ37)))</formula>
    </cfRule>
    <cfRule type="endsWith" dxfId="556" priority="277" operator="endsWith" text="Validé">
      <formula>RIGHT(AQ37,LEN("Validé"))="Validé"</formula>
    </cfRule>
  </conditionalFormatting>
  <conditionalFormatting sqref="AR19">
    <cfRule type="cellIs" dxfId="555" priority="67" operator="greaterThanOrEqual">
      <formula>80</formula>
    </cfRule>
    <cfRule type="cellIs" dxfId="554" priority="68" operator="between">
      <formula>70</formula>
      <formula>79</formula>
    </cfRule>
    <cfRule type="cellIs" dxfId="553" priority="69" operator="lessThan">
      <formula>69</formula>
    </cfRule>
  </conditionalFormatting>
  <conditionalFormatting sqref="AR37:AS37">
    <cfRule type="cellIs" dxfId="552" priority="28" operator="greaterThanOrEqual">
      <formula>80</formula>
    </cfRule>
    <cfRule type="cellIs" dxfId="551" priority="29" operator="between">
      <formula>70</formula>
      <formula>79</formula>
    </cfRule>
    <cfRule type="cellIs" dxfId="550" priority="30" operator="lessThan">
      <formula>69</formula>
    </cfRule>
  </conditionalFormatting>
  <conditionalFormatting sqref="AV9:AV17">
    <cfRule type="containsText" dxfId="549" priority="386" operator="containsText" text="Non contrôlé">
      <formula>NOT(ISERROR(SEARCH("Non contrôlé",AV9)))</formula>
    </cfRule>
    <cfRule type="containsText" dxfId="548" priority="387" operator="containsText" text="Non validé">
      <formula>NOT(ISERROR(SEARCH("Non validé",AV9)))</formula>
    </cfRule>
    <cfRule type="containsText" dxfId="547" priority="388" operator="containsText" text="réserve">
      <formula>NOT(ISERROR(SEARCH("réserve",AV9)))</formula>
    </cfRule>
    <cfRule type="endsWith" dxfId="546" priority="389" operator="endsWith" text="Validé">
      <formula>RIGHT(AV9,LEN("Validé"))="Validé"</formula>
    </cfRule>
  </conditionalFormatting>
  <conditionalFormatting sqref="AV19">
    <cfRule type="containsText" dxfId="545" priority="382" operator="containsText" text="Non contrôlé">
      <formula>NOT(ISERROR(SEARCH("Non contrôlé",AV19)))</formula>
    </cfRule>
    <cfRule type="containsText" dxfId="544" priority="383" operator="containsText" text="Non validé">
      <formula>NOT(ISERROR(SEARCH("Non validé",AV19)))</formula>
    </cfRule>
    <cfRule type="containsText" dxfId="543" priority="384" operator="containsText" text="réserve">
      <formula>NOT(ISERROR(SEARCH("réserve",AV19)))</formula>
    </cfRule>
    <cfRule type="endsWith" dxfId="542" priority="385" operator="endsWith" text="Validé">
      <formula>RIGHT(AV19,LEN("Validé"))="Validé"</formula>
    </cfRule>
  </conditionalFormatting>
  <conditionalFormatting sqref="AV26:AV34">
    <cfRule type="containsText" dxfId="541" priority="102" operator="containsText" text="Non contrôlé">
      <formula>NOT(ISERROR(SEARCH("Non contrôlé",AV26)))</formula>
    </cfRule>
    <cfRule type="containsText" dxfId="540" priority="103" operator="containsText" text="Non validé">
      <formula>NOT(ISERROR(SEARCH("Non validé",AV26)))</formula>
    </cfRule>
    <cfRule type="containsText" dxfId="539" priority="104" operator="containsText" text="réserve">
      <formula>NOT(ISERROR(SEARCH("réserve",AV26)))</formula>
    </cfRule>
    <cfRule type="endsWith" dxfId="538" priority="105" operator="endsWith" text="Validé">
      <formula>RIGHT(AV26,LEN("Validé"))="Validé"</formula>
    </cfRule>
  </conditionalFormatting>
  <conditionalFormatting sqref="AV35">
    <cfRule type="containsText" dxfId="537" priority="110" operator="containsText" text="Non contrôlé">
      <formula>NOT(ISERROR(SEARCH("Non contrôlé",AV35)))</formula>
    </cfRule>
    <cfRule type="containsText" dxfId="536" priority="111" operator="containsText" text="Non validé">
      <formula>NOT(ISERROR(SEARCH("Non validé",AV35)))</formula>
    </cfRule>
    <cfRule type="containsText" dxfId="535" priority="112" operator="containsText" text="réserve">
      <formula>NOT(ISERROR(SEARCH("réserve",AV35)))</formula>
    </cfRule>
    <cfRule type="endsWith" dxfId="534" priority="113" operator="endsWith" text="Validé">
      <formula>RIGHT(AV35,LEN("Validé"))="Validé"</formula>
    </cfRule>
  </conditionalFormatting>
  <conditionalFormatting sqref="AV37">
    <cfRule type="containsText" dxfId="533" priority="286" operator="containsText" text="Non contrôlé">
      <formula>NOT(ISERROR(SEARCH("Non contrôlé",AV37)))</formula>
    </cfRule>
    <cfRule type="containsText" dxfId="532" priority="287" operator="containsText" text="Non validé">
      <formula>NOT(ISERROR(SEARCH("Non validé",AV37)))</formula>
    </cfRule>
    <cfRule type="containsText" dxfId="531" priority="288" operator="containsText" text="réserve">
      <formula>NOT(ISERROR(SEARCH("réserve",AV37)))</formula>
    </cfRule>
    <cfRule type="endsWith" dxfId="530" priority="289" operator="endsWith" text="Validé">
      <formula>RIGHT(AV37,LEN("Validé"))="Validé"</formula>
    </cfRule>
  </conditionalFormatting>
  <conditionalFormatting sqref="AW19">
    <cfRule type="cellIs" dxfId="529" priority="64" operator="greaterThanOrEqual">
      <formula>80</formula>
    </cfRule>
    <cfRule type="cellIs" dxfId="528" priority="65" operator="between">
      <formula>70</formula>
      <formula>79</formula>
    </cfRule>
    <cfRule type="cellIs" dxfId="527" priority="66" operator="lessThan">
      <formula>69</formula>
    </cfRule>
  </conditionalFormatting>
  <conditionalFormatting sqref="AW37:AX37">
    <cfRule type="cellIs" dxfId="526" priority="34" operator="greaterThanOrEqual">
      <formula>80</formula>
    </cfRule>
    <cfRule type="cellIs" dxfId="525" priority="35" operator="between">
      <formula>70</formula>
      <formula>79</formula>
    </cfRule>
    <cfRule type="cellIs" dxfId="524" priority="36" operator="lessThan">
      <formula>69</formula>
    </cfRule>
  </conditionalFormatting>
  <conditionalFormatting sqref="BA9:BA17">
    <cfRule type="containsText" dxfId="523" priority="146" operator="containsText" text="Non contrôlé">
      <formula>NOT(ISERROR(SEARCH("Non contrôlé",BA9)))</formula>
    </cfRule>
    <cfRule type="containsText" dxfId="522" priority="147" operator="containsText" text="Non validé">
      <formula>NOT(ISERROR(SEARCH("Non validé",BA9)))</formula>
    </cfRule>
    <cfRule type="containsText" dxfId="521" priority="148" operator="containsText" text="réserve">
      <formula>NOT(ISERROR(SEARCH("réserve",BA9)))</formula>
    </cfRule>
    <cfRule type="endsWith" dxfId="520" priority="149" operator="endsWith" text="Validé">
      <formula>RIGHT(BA9,LEN("Validé"))="Validé"</formula>
    </cfRule>
  </conditionalFormatting>
  <conditionalFormatting sqref="BA19">
    <cfRule type="containsText" dxfId="519" priority="390" operator="containsText" text="Non contrôlé">
      <formula>NOT(ISERROR(SEARCH("Non contrôlé",BA19)))</formula>
    </cfRule>
    <cfRule type="containsText" dxfId="518" priority="391" operator="containsText" text="Non validé">
      <formula>NOT(ISERROR(SEARCH("Non validé",BA19)))</formula>
    </cfRule>
    <cfRule type="containsText" dxfId="517" priority="392" operator="containsText" text="réserve">
      <formula>NOT(ISERROR(SEARCH("réserve",BA19)))</formula>
    </cfRule>
    <cfRule type="endsWith" dxfId="516" priority="393" operator="endsWith" text="Validé">
      <formula>RIGHT(BA19,LEN("Validé"))="Validé"</formula>
    </cfRule>
  </conditionalFormatting>
  <conditionalFormatting sqref="BA26:BA34">
    <cfRule type="containsText" dxfId="515" priority="138" operator="containsText" text="Non contrôlé">
      <formula>NOT(ISERROR(SEARCH("Non contrôlé",BA26)))</formula>
    </cfRule>
    <cfRule type="containsText" dxfId="514" priority="139" operator="containsText" text="Non validé">
      <formula>NOT(ISERROR(SEARCH("Non validé",BA26)))</formula>
    </cfRule>
    <cfRule type="containsText" dxfId="513" priority="140" operator="containsText" text="réserve">
      <formula>NOT(ISERROR(SEARCH("réserve",BA26)))</formula>
    </cfRule>
    <cfRule type="endsWith" dxfId="512" priority="141" operator="endsWith" text="Validé">
      <formula>RIGHT(BA26,LEN("Validé"))="Validé"</formula>
    </cfRule>
  </conditionalFormatting>
  <conditionalFormatting sqref="BA35">
    <cfRule type="containsText" dxfId="511" priority="142" operator="containsText" text="Non contrôlé">
      <formula>NOT(ISERROR(SEARCH("Non contrôlé",BA35)))</formula>
    </cfRule>
    <cfRule type="containsText" dxfId="510" priority="143" operator="containsText" text="Non validé">
      <formula>NOT(ISERROR(SEARCH("Non validé",BA35)))</formula>
    </cfRule>
    <cfRule type="containsText" dxfId="509" priority="144" operator="containsText" text="réserve">
      <formula>NOT(ISERROR(SEARCH("réserve",BA35)))</formula>
    </cfRule>
    <cfRule type="endsWith" dxfId="508" priority="145" operator="endsWith" text="Validé">
      <formula>RIGHT(BA35,LEN("Validé"))="Validé"</formula>
    </cfRule>
  </conditionalFormatting>
  <conditionalFormatting sqref="BA37">
    <cfRule type="containsText" dxfId="507" priority="298" operator="containsText" text="Non contrôlé">
      <formula>NOT(ISERROR(SEARCH("Non contrôlé",BA37)))</formula>
    </cfRule>
    <cfRule type="containsText" dxfId="506" priority="299" operator="containsText" text="Non validé">
      <formula>NOT(ISERROR(SEARCH("Non validé",BA37)))</formula>
    </cfRule>
    <cfRule type="containsText" dxfId="505" priority="300" operator="containsText" text="réserve">
      <formula>NOT(ISERROR(SEARCH("réserve",BA37)))</formula>
    </cfRule>
    <cfRule type="endsWith" dxfId="504" priority="301" operator="endsWith" text="Validé">
      <formula>RIGHT(BA37,LEN("Validé"))="Validé"</formula>
    </cfRule>
  </conditionalFormatting>
  <conditionalFormatting sqref="BB19:BC19">
    <cfRule type="cellIs" dxfId="503" priority="58" operator="greaterThanOrEqual">
      <formula>80</formula>
    </cfRule>
    <cfRule type="cellIs" dxfId="502" priority="59" operator="between">
      <formula>70</formula>
      <formula>79</formula>
    </cfRule>
    <cfRule type="cellIs" dxfId="501" priority="60" operator="lessThan">
      <formula>69</formula>
    </cfRule>
  </conditionalFormatting>
  <conditionalFormatting sqref="BB37:BC37">
    <cfRule type="cellIs" dxfId="500" priority="40" operator="greaterThanOrEqual">
      <formula>80</formula>
    </cfRule>
    <cfRule type="cellIs" dxfId="499" priority="41" operator="between">
      <formula>70</formula>
      <formula>79</formula>
    </cfRule>
    <cfRule type="cellIs" dxfId="498" priority="42" operator="lessThan">
      <formula>69</formula>
    </cfRule>
  </conditionalFormatting>
  <conditionalFormatting sqref="BF9:BF17">
    <cfRule type="containsText" dxfId="497" priority="542" operator="containsText" text="Non contrôlé">
      <formula>NOT(ISERROR(SEARCH("Non contrôlé",BF9)))</formula>
    </cfRule>
    <cfRule type="containsText" dxfId="496" priority="543" operator="containsText" text="Non validé">
      <formula>NOT(ISERROR(SEARCH("Non validé",BF9)))</formula>
    </cfRule>
    <cfRule type="containsText" dxfId="495" priority="544" operator="containsText" text="réserve">
      <formula>NOT(ISERROR(SEARCH("réserve",BF9)))</formula>
    </cfRule>
    <cfRule type="endsWith" dxfId="494" priority="545" operator="endsWith" text="Validé">
      <formula>RIGHT(BF9,LEN("Validé"))="Validé"</formula>
    </cfRule>
  </conditionalFormatting>
  <conditionalFormatting sqref="BF19">
    <cfRule type="containsText" dxfId="493" priority="538" operator="containsText" text="Non contrôlé">
      <formula>NOT(ISERROR(SEARCH("Non contrôlé",BF19)))</formula>
    </cfRule>
    <cfRule type="containsText" dxfId="492" priority="539" operator="containsText" text="Non validé">
      <formula>NOT(ISERROR(SEARCH("Non validé",BF19)))</formula>
    </cfRule>
    <cfRule type="containsText" dxfId="491" priority="540" operator="containsText" text="réserve">
      <formula>NOT(ISERROR(SEARCH("réserve",BF19)))</formula>
    </cfRule>
    <cfRule type="endsWith" dxfId="490" priority="541" operator="endsWith" text="Validé">
      <formula>RIGHT(BF19,LEN("Validé"))="Validé"</formula>
    </cfRule>
  </conditionalFormatting>
  <conditionalFormatting sqref="BF26:BF34">
    <cfRule type="containsText" dxfId="489" priority="94" operator="containsText" text="Non contrôlé">
      <formula>NOT(ISERROR(SEARCH("Non contrôlé",BF26)))</formula>
    </cfRule>
    <cfRule type="containsText" dxfId="488" priority="95" operator="containsText" text="Non validé">
      <formula>NOT(ISERROR(SEARCH("Non validé",BF26)))</formula>
    </cfRule>
    <cfRule type="containsText" dxfId="487" priority="96" operator="containsText" text="réserve">
      <formula>NOT(ISERROR(SEARCH("réserve",BF26)))</formula>
    </cfRule>
    <cfRule type="endsWith" dxfId="486" priority="97" operator="endsWith" text="Validé">
      <formula>RIGHT(BF26,LEN("Validé"))="Validé"</formula>
    </cfRule>
  </conditionalFormatting>
  <conditionalFormatting sqref="BF35">
    <cfRule type="containsText" dxfId="485" priority="710" operator="containsText" text="Non contrôlé">
      <formula>NOT(ISERROR(SEARCH("Non contrôlé",BF35)))</formula>
    </cfRule>
    <cfRule type="containsText" dxfId="484" priority="711" operator="containsText" text="Non validé">
      <formula>NOT(ISERROR(SEARCH("Non validé",BF35)))</formula>
    </cfRule>
    <cfRule type="containsText" dxfId="483" priority="712" operator="containsText" text="réserve">
      <formula>NOT(ISERROR(SEARCH("réserve",BF35)))</formula>
    </cfRule>
    <cfRule type="endsWith" dxfId="482" priority="713" operator="endsWith" text="Validé">
      <formula>RIGHT(BF35,LEN("Validé"))="Validé"</formula>
    </cfRule>
  </conditionalFormatting>
  <conditionalFormatting sqref="BF37">
    <cfRule type="containsText" dxfId="481" priority="442" operator="containsText" text="Non contrôlé">
      <formula>NOT(ISERROR(SEARCH("Non contrôlé",BF37)))</formula>
    </cfRule>
    <cfRule type="containsText" dxfId="480" priority="443" operator="containsText" text="Non validé">
      <formula>NOT(ISERROR(SEARCH("Non validé",BF37)))</formula>
    </cfRule>
    <cfRule type="containsText" dxfId="479" priority="444" operator="containsText" text="réserve">
      <formula>NOT(ISERROR(SEARCH("réserve",BF37)))</formula>
    </cfRule>
    <cfRule type="endsWith" dxfId="478" priority="445" operator="endsWith" text="Validé">
      <formula>RIGHT(BF37,LEN("Validé"))="Validé"</formula>
    </cfRule>
  </conditionalFormatting>
  <conditionalFormatting sqref="BG19:BH19">
    <cfRule type="cellIs" dxfId="477" priority="52" operator="greaterThanOrEqual">
      <formula>80</formula>
    </cfRule>
    <cfRule type="cellIs" dxfId="476" priority="53" operator="between">
      <formula>70</formula>
      <formula>79</formula>
    </cfRule>
    <cfRule type="cellIs" dxfId="475" priority="54" operator="lessThan">
      <formula>69</formula>
    </cfRule>
  </conditionalFormatting>
  <conditionalFormatting sqref="BG37:BH37">
    <cfRule type="cellIs" dxfId="474" priority="46" operator="greaterThanOrEqual">
      <formula>80</formula>
    </cfRule>
    <cfRule type="cellIs" dxfId="473" priority="47" operator="between">
      <formula>70</formula>
      <formula>79</formula>
    </cfRule>
    <cfRule type="cellIs" dxfId="472" priority="48" operator="lessThan">
      <formula>69</formula>
    </cfRule>
  </conditionalFormatting>
  <dataValidations count="3">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 type="list" allowBlank="1" showInputMessage="1" showErrorMessage="1" sqref="K23:M23 A23:C23 F23:H23 P23:R23 Z23:AC23 AE23:AH23 AJ23:AM23 AO23:AR23 AT23:AW23 AY23:BB23 BD23:BG23 U23:W23 A22:BG22 C3:D3 H3:I3 M3:N3 R3:S3 W3:X3 AB3:AC3 AG3:AH3 AL3:AM3 AQ3:AR3 AV3:AW3 BA3:BB3 BF3:BG3 BF37 H19 M19 R19 W19 AB19 AG19 AL19 AQ19 AV19 BA19 BF19 C37 H37 M37 R37 W37 AB37 AG37 AL37 AQ37 AV37 BA37 C19 BD6 AY6 AT6 AO6 AJ6 AE6 Z6 U6 P6 K6 A6:C6 F6 AD5:BG5 Y5:Z5 A5:U5" xr:uid="{00000000-0002-0000-0100-000002000000}">
      <formula1>#REF!</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2" customWidth="1"/>
    <col min="2" max="2" width="7.5859375" style="82" customWidth="1"/>
    <col min="3" max="3" width="6.29296875" style="82" customWidth="1"/>
    <col min="4" max="4" width="16.703125" style="82" customWidth="1"/>
    <col min="5" max="5" width="10.41015625" style="82" customWidth="1"/>
    <col min="6" max="6" width="14.41015625" style="82" customWidth="1"/>
    <col min="7" max="7" width="10.703125" style="82" customWidth="1"/>
    <col min="8" max="9" width="4.29296875" style="82" customWidth="1"/>
    <col min="10" max="10" width="4.87890625" style="82" customWidth="1"/>
    <col min="11" max="19" width="4.29296875" style="82" customWidth="1"/>
    <col min="20" max="20" width="5.87890625" style="82" customWidth="1"/>
    <col min="21" max="21" width="31.5859375" style="82" customWidth="1"/>
    <col min="22" max="22" width="13.1171875" style="82" customWidth="1"/>
    <col min="23" max="23" width="5.1171875" style="82" customWidth="1"/>
    <col min="24" max="24" width="1" style="82" customWidth="1"/>
    <col min="25" max="25" width="0.41015625" style="82" customWidth="1"/>
    <col min="26" max="26" width="13.703125" style="82" hidden="1" customWidth="1"/>
    <col min="27" max="27" width="1.703125" style="82" hidden="1" customWidth="1"/>
    <col min="28" max="16384" width="1.703125" style="82" hidden="1"/>
  </cols>
  <sheetData>
    <row r="2" spans="1:26" s="83" customFormat="1" ht="77.25" customHeight="1" thickBot="1" x14ac:dyDescent="0.45">
      <c r="B2" s="478"/>
      <c r="C2" s="479"/>
      <c r="D2" s="480" t="s">
        <v>101</v>
      </c>
      <c r="E2" s="481"/>
      <c r="F2" s="481"/>
      <c r="G2" s="481"/>
      <c r="H2" s="481"/>
      <c r="I2" s="481"/>
      <c r="J2" s="481"/>
      <c r="K2" s="481"/>
      <c r="L2" s="481"/>
      <c r="M2" s="481"/>
      <c r="N2" s="481"/>
      <c r="O2" s="481"/>
      <c r="P2" s="481"/>
      <c r="Q2" s="481"/>
      <c r="R2" s="481"/>
      <c r="S2" s="481"/>
      <c r="T2" s="481"/>
      <c r="U2" s="481"/>
      <c r="V2" s="481"/>
      <c r="W2" s="482"/>
    </row>
    <row r="3" spans="1:26" s="83" customFormat="1" ht="35.25" customHeight="1" x14ac:dyDescent="0.4">
      <c r="B3" s="483" t="s">
        <v>102</v>
      </c>
      <c r="C3" s="484"/>
      <c r="D3" s="485"/>
      <c r="E3" s="488"/>
      <c r="F3" s="489"/>
      <c r="G3" s="489"/>
      <c r="H3" s="489"/>
      <c r="I3" s="489"/>
      <c r="J3" s="489"/>
      <c r="K3" s="489"/>
      <c r="L3" s="489"/>
      <c r="M3" s="489"/>
      <c r="N3" s="489"/>
      <c r="O3" s="489"/>
      <c r="P3" s="489"/>
      <c r="Q3" s="489"/>
      <c r="R3" s="489"/>
      <c r="S3" s="489"/>
      <c r="T3" s="489"/>
      <c r="U3" s="489"/>
      <c r="V3" s="490" t="s">
        <v>3</v>
      </c>
      <c r="W3" s="491"/>
    </row>
    <row r="4" spans="1:26" s="83" customFormat="1" ht="24.75" customHeight="1" x14ac:dyDescent="0.4">
      <c r="B4" s="456" t="s">
        <v>103</v>
      </c>
      <c r="C4" s="457"/>
      <c r="D4" s="458" t="e">
        <f>IF(#REF!="","",#REF!)</f>
        <v>#REF!</v>
      </c>
      <c r="E4" s="486"/>
      <c r="F4" s="487"/>
      <c r="G4" s="487"/>
      <c r="H4" s="475" t="s">
        <v>4</v>
      </c>
      <c r="I4" s="457"/>
      <c r="J4" s="457"/>
      <c r="K4" s="457"/>
      <c r="L4" s="457"/>
      <c r="M4" s="457"/>
      <c r="N4" s="457"/>
      <c r="O4" s="458"/>
      <c r="P4" s="459"/>
      <c r="Q4" s="460"/>
      <c r="R4" s="460"/>
      <c r="S4" s="460"/>
      <c r="T4" s="460"/>
      <c r="U4" s="461"/>
      <c r="V4" s="492"/>
      <c r="W4" s="450"/>
    </row>
    <row r="5" spans="1:26" s="83" customFormat="1" ht="24.75" customHeight="1" x14ac:dyDescent="0.4">
      <c r="B5" s="456" t="s">
        <v>5</v>
      </c>
      <c r="C5" s="457"/>
      <c r="D5" s="458" t="e">
        <f>IF(#REF!="","",#REF!)</f>
        <v>#REF!</v>
      </c>
      <c r="E5" s="473"/>
      <c r="F5" s="474"/>
      <c r="G5" s="474"/>
      <c r="H5" s="475" t="s">
        <v>6</v>
      </c>
      <c r="I5" s="457"/>
      <c r="J5" s="457"/>
      <c r="K5" s="457"/>
      <c r="L5" s="457"/>
      <c r="M5" s="457"/>
      <c r="N5" s="457"/>
      <c r="O5" s="458"/>
      <c r="P5" s="459"/>
      <c r="Q5" s="460"/>
      <c r="R5" s="460"/>
      <c r="S5" s="460"/>
      <c r="T5" s="460"/>
      <c r="U5" s="461"/>
      <c r="V5" s="449"/>
      <c r="W5" s="450"/>
    </row>
    <row r="6" spans="1:26" s="83" customFormat="1" ht="27.75" customHeight="1" x14ac:dyDescent="0.4">
      <c r="B6" s="451" t="s">
        <v>7</v>
      </c>
      <c r="C6" s="452"/>
      <c r="D6" s="453" t="e">
        <f>IF(#REF!="","",#REF!)</f>
        <v>#REF!</v>
      </c>
      <c r="E6" s="454"/>
      <c r="F6" s="455"/>
      <c r="G6" s="455"/>
      <c r="H6" s="476" t="s">
        <v>8</v>
      </c>
      <c r="I6" s="477"/>
      <c r="J6" s="477"/>
      <c r="K6" s="477"/>
      <c r="L6" s="477"/>
      <c r="M6" s="477"/>
      <c r="N6" s="477"/>
      <c r="O6" s="477"/>
      <c r="P6" s="465"/>
      <c r="Q6" s="466"/>
      <c r="R6" s="466"/>
      <c r="S6" s="466"/>
      <c r="T6" s="467"/>
      <c r="U6" s="84"/>
      <c r="V6" s="471"/>
      <c r="W6" s="472"/>
    </row>
    <row r="7" spans="1:26" s="83" customFormat="1" ht="17.25" customHeight="1" x14ac:dyDescent="0.4">
      <c r="B7" s="210"/>
      <c r="C7" s="210"/>
      <c r="D7" s="210"/>
      <c r="E7" s="211"/>
      <c r="F7" s="211"/>
      <c r="G7" s="211"/>
      <c r="H7" s="211"/>
      <c r="I7" s="211"/>
      <c r="J7" s="211"/>
      <c r="K7" s="211"/>
      <c r="L7" s="211"/>
      <c r="M7" s="211"/>
      <c r="N7" s="211"/>
      <c r="O7" s="211"/>
      <c r="P7" s="211"/>
      <c r="Q7" s="211"/>
      <c r="R7" s="211"/>
      <c r="S7" s="211"/>
      <c r="T7" s="211"/>
      <c r="U7" s="212"/>
      <c r="V7" s="211"/>
      <c r="W7" s="211"/>
    </row>
    <row r="8" spans="1:26" s="83" customFormat="1" ht="38.25" customHeight="1" thickBot="1" x14ac:dyDescent="0.45">
      <c r="B8" s="464" t="s">
        <v>9</v>
      </c>
      <c r="C8" s="464"/>
      <c r="D8" s="464"/>
      <c r="E8" s="464"/>
      <c r="F8" s="213"/>
      <c r="G8" s="213" t="s">
        <v>10</v>
      </c>
      <c r="H8" s="213"/>
      <c r="I8" s="213"/>
      <c r="J8" s="213"/>
      <c r="K8" s="213"/>
      <c r="L8" s="213"/>
      <c r="M8" s="213"/>
      <c r="N8" s="214" t="s">
        <v>11</v>
      </c>
      <c r="O8" s="211"/>
      <c r="P8" s="215"/>
      <c r="Q8" s="215"/>
      <c r="R8" s="213"/>
      <c r="S8" s="213"/>
      <c r="T8" s="213"/>
      <c r="U8" s="216" t="s">
        <v>12</v>
      </c>
      <c r="V8" s="217"/>
      <c r="W8" s="217"/>
    </row>
    <row r="9" spans="1:26" s="83" customFormat="1" ht="36.75" customHeight="1" x14ac:dyDescent="0.5">
      <c r="B9" s="462" t="s">
        <v>104</v>
      </c>
      <c r="C9" s="462"/>
      <c r="D9" s="463"/>
      <c r="E9" s="184" t="s">
        <v>13</v>
      </c>
      <c r="F9" s="218"/>
      <c r="G9" s="419" t="s">
        <v>14</v>
      </c>
      <c r="H9" s="419"/>
      <c r="I9" s="419"/>
      <c r="J9" s="419"/>
      <c r="K9" s="495"/>
      <c r="L9" s="496"/>
      <c r="M9" s="496"/>
      <c r="N9" s="496"/>
      <c r="O9" s="496"/>
      <c r="P9" s="496"/>
      <c r="Q9" s="497"/>
      <c r="R9" s="213"/>
      <c r="S9" s="213"/>
      <c r="T9" s="213"/>
      <c r="U9" s="421"/>
      <c r="V9" s="422"/>
      <c r="W9" s="423"/>
    </row>
    <row r="10" spans="1:26" ht="36.75" customHeight="1" x14ac:dyDescent="0.5">
      <c r="A10" s="211"/>
      <c r="B10" s="413" t="s">
        <v>23</v>
      </c>
      <c r="C10" s="414"/>
      <c r="D10" s="92"/>
      <c r="E10" s="190" t="e" cm="1">
        <f t="array" ref="E10">_xlfn.IFS(I34="","",$K$10="Validé",AVERAGE(I34:I35,J34),$K$10="Non validé",AVERAGE(I34:I35,J34)*0.9)</f>
        <v>#N/A</v>
      </c>
      <c r="F10" s="218"/>
      <c r="G10" s="419" t="s">
        <v>15</v>
      </c>
      <c r="H10" s="419"/>
      <c r="I10" s="419"/>
      <c r="J10" s="419"/>
      <c r="K10" s="468"/>
      <c r="L10" s="469"/>
      <c r="M10" s="469"/>
      <c r="N10" s="469"/>
      <c r="O10" s="469"/>
      <c r="P10" s="469"/>
      <c r="Q10" s="470"/>
      <c r="R10" s="211"/>
      <c r="S10" s="213"/>
      <c r="T10" s="211"/>
      <c r="U10" s="421"/>
      <c r="V10" s="422"/>
      <c r="W10" s="423"/>
      <c r="X10" s="211"/>
      <c r="Y10" s="211"/>
      <c r="Z10" s="211"/>
    </row>
    <row r="11" spans="1:26" ht="36.75" customHeight="1" x14ac:dyDescent="0.4">
      <c r="A11" s="211"/>
      <c r="B11" s="417" t="s">
        <v>24</v>
      </c>
      <c r="C11" s="418"/>
      <c r="D11" s="187"/>
      <c r="E11" s="189" t="str" cm="1">
        <f t="array" ref="E11">_xlfn.IFS(I36="","",$K$10="Validé",AVERAGE(I36:I37,J36),$K$10="Non validé",AVERAGE(I36:I37,J36)*0.9)</f>
        <v/>
      </c>
      <c r="F11" s="219"/>
      <c r="G11" s="194" t="s">
        <v>192</v>
      </c>
      <c r="H11" s="194"/>
      <c r="I11" s="194"/>
      <c r="J11" s="194"/>
      <c r="K11" s="194"/>
      <c r="L11" s="194"/>
      <c r="M11" s="194"/>
      <c r="N11" s="194"/>
      <c r="O11" s="194"/>
      <c r="P11" s="194"/>
      <c r="Q11" s="211"/>
      <c r="R11" s="211"/>
      <c r="S11" s="211"/>
      <c r="T11" s="211"/>
      <c r="U11" s="220"/>
      <c r="V11" s="220"/>
      <c r="W11" s="220"/>
      <c r="X11" s="211"/>
      <c r="Y11" s="211"/>
      <c r="Z11" s="211"/>
    </row>
    <row r="12" spans="1:26" ht="36.75" customHeight="1" x14ac:dyDescent="0.4">
      <c r="A12" s="211"/>
      <c r="B12" s="417" t="s">
        <v>25</v>
      </c>
      <c r="C12" s="418"/>
      <c r="D12" s="187"/>
      <c r="E12" s="189" t="e" cm="1">
        <f t="array" ref="E12">_xlfn.IFS(I38="","",$K$10="Validé",AVERAGE(I38:I39,J38),$K$10="Non validé",AVERAGE(I38:I39,J38)*0.9)</f>
        <v>#N/A</v>
      </c>
      <c r="F12" s="211"/>
      <c r="G12" s="213" t="s">
        <v>105</v>
      </c>
      <c r="H12" s="211"/>
      <c r="I12" s="211"/>
      <c r="J12" s="211"/>
      <c r="K12" s="211"/>
      <c r="L12" s="211"/>
      <c r="M12" s="211"/>
      <c r="N12" s="211"/>
      <c r="O12" s="211"/>
      <c r="P12" s="211"/>
      <c r="Q12" s="211"/>
      <c r="R12" s="211"/>
      <c r="S12" s="211"/>
      <c r="T12" s="213"/>
      <c r="U12" s="221" t="s">
        <v>62</v>
      </c>
      <c r="V12" s="220"/>
      <c r="W12" s="220"/>
      <c r="X12" s="211"/>
      <c r="Y12" s="211"/>
      <c r="Z12" s="211"/>
    </row>
    <row r="13" spans="1:26" ht="36.75" customHeight="1" x14ac:dyDescent="0.4">
      <c r="A13" s="211"/>
      <c r="B13" s="417" t="s">
        <v>33</v>
      </c>
      <c r="C13" s="418"/>
      <c r="D13" s="187"/>
      <c r="E13" s="189" t="str" cm="1">
        <f t="array" ref="E13">_xlfn.IFS(I40="","",$K$10="Validé",AVERAGE(I40:I41,J40),$K$10="Non validé",AVERAGE(I40:I41,J40)*0.9)</f>
        <v/>
      </c>
      <c r="F13" s="211"/>
      <c r="G13" s="419" t="s">
        <v>106</v>
      </c>
      <c r="H13" s="419"/>
      <c r="I13" s="419"/>
      <c r="J13" s="419"/>
      <c r="K13" s="420"/>
      <c r="L13" s="420"/>
      <c r="M13" s="420"/>
      <c r="N13" s="420"/>
      <c r="O13" s="420"/>
      <c r="P13" s="420"/>
      <c r="Q13" s="420"/>
      <c r="R13" s="211"/>
      <c r="S13" s="211"/>
      <c r="T13" s="211"/>
      <c r="U13" s="421"/>
      <c r="V13" s="422"/>
      <c r="W13" s="423"/>
      <c r="X13" s="211"/>
      <c r="Y13" s="211"/>
      <c r="Z13" s="211"/>
    </row>
    <row r="14" spans="1:26" s="83" customFormat="1" ht="36.75" customHeight="1" x14ac:dyDescent="0.4">
      <c r="B14" s="417" t="s">
        <v>34</v>
      </c>
      <c r="C14" s="418"/>
      <c r="D14" s="187"/>
      <c r="E14" s="189" t="str" cm="1">
        <f t="array" ref="E14">_xlfn.IFS(I42="","",$K$10="Validé",AVERAGE(I42:I43,J42),$K$10="Non validé",AVERAGE(I42:I43,J42)*0.9)</f>
        <v/>
      </c>
      <c r="F14" s="211"/>
      <c r="G14" s="419" t="s">
        <v>107</v>
      </c>
      <c r="H14" s="419"/>
      <c r="I14" s="419"/>
      <c r="J14" s="419"/>
      <c r="K14" s="420"/>
      <c r="L14" s="420"/>
      <c r="M14" s="420"/>
      <c r="N14" s="420"/>
      <c r="O14" s="420"/>
      <c r="P14" s="420"/>
      <c r="Q14" s="420"/>
      <c r="R14" s="211"/>
      <c r="S14" s="211"/>
      <c r="T14" s="211"/>
      <c r="U14" s="421"/>
      <c r="V14" s="422"/>
      <c r="W14" s="423"/>
    </row>
    <row r="15" spans="1:26" ht="36.75" customHeight="1" x14ac:dyDescent="0.4">
      <c r="A15" s="211"/>
      <c r="B15" s="417" t="s">
        <v>35</v>
      </c>
      <c r="C15" s="418"/>
      <c r="D15" s="187"/>
      <c r="E15" s="189" t="str" cm="1">
        <f t="array" ref="E15">_xlfn.IFS(I44="","",$K$10="Validé",AVERAGE(I44:I45,J44),$K$10="Non validé",AVERAGE(I44:I45,J44)*0.9)</f>
        <v/>
      </c>
      <c r="F15" s="211"/>
      <c r="G15" s="419" t="s">
        <v>108</v>
      </c>
      <c r="H15" s="419"/>
      <c r="I15" s="419"/>
      <c r="J15" s="419"/>
      <c r="K15" s="420"/>
      <c r="L15" s="420"/>
      <c r="M15" s="420"/>
      <c r="N15" s="420"/>
      <c r="O15" s="420"/>
      <c r="P15" s="420"/>
      <c r="Q15" s="420"/>
      <c r="R15" s="211"/>
      <c r="S15" s="211"/>
      <c r="T15" s="211"/>
      <c r="U15" s="421"/>
      <c r="V15" s="422"/>
      <c r="W15" s="423"/>
      <c r="X15" s="211"/>
      <c r="Y15" s="211"/>
      <c r="Z15" s="211"/>
    </row>
    <row r="16" spans="1:26" ht="36.75" customHeight="1" x14ac:dyDescent="0.4">
      <c r="A16" s="211"/>
      <c r="B16" s="417" t="s">
        <v>36</v>
      </c>
      <c r="C16" s="418"/>
      <c r="D16" s="187"/>
      <c r="E16" s="189" t="str" cm="1">
        <f t="array" ref="E16">_xlfn.IFS(I46="","",$K$10="Validé",AVERAGE(I46:I47,J46),$K$10="Non validé",AVERAGE(I46:I47,J46)*0.9)</f>
        <v/>
      </c>
      <c r="F16" s="211"/>
      <c r="G16" s="213" t="s">
        <v>17</v>
      </c>
      <c r="H16" s="211"/>
      <c r="I16" s="211"/>
      <c r="J16" s="211"/>
      <c r="K16" s="211"/>
      <c r="L16" s="211"/>
      <c r="M16" s="211"/>
      <c r="N16" s="211"/>
      <c r="O16" s="211"/>
      <c r="P16" s="211"/>
      <c r="Q16" s="211"/>
      <c r="R16" s="211"/>
      <c r="S16" s="211"/>
      <c r="T16" s="211"/>
      <c r="U16" s="211"/>
      <c r="V16" s="211"/>
      <c r="W16" s="211"/>
      <c r="X16" s="211"/>
      <c r="Y16" s="211"/>
      <c r="Z16" s="211"/>
    </row>
    <row r="17" spans="1:26" ht="36.75" customHeight="1" x14ac:dyDescent="0.4">
      <c r="A17" s="211"/>
      <c r="B17" s="417" t="s">
        <v>37</v>
      </c>
      <c r="C17" s="418"/>
      <c r="D17" s="187"/>
      <c r="E17" s="189" t="str" cm="1">
        <f t="array" ref="E17">_xlfn.IFS(I48="","",$K$10="Validé",AVERAGE(I48:I49,J48),$K$10="Non validé",AVERAGE(I48:I49,J48)*0.9)</f>
        <v/>
      </c>
      <c r="F17" s="211"/>
      <c r="G17" s="211"/>
      <c r="H17" s="85" t="s">
        <v>18</v>
      </c>
      <c r="I17" s="86" t="s">
        <v>19</v>
      </c>
      <c r="J17" s="87" t="s">
        <v>20</v>
      </c>
      <c r="K17" s="211"/>
      <c r="L17" s="211"/>
      <c r="M17" s="221" t="s">
        <v>62</v>
      </c>
      <c r="N17" s="211"/>
      <c r="O17" s="211"/>
      <c r="P17" s="211"/>
      <c r="Q17" s="211"/>
      <c r="R17" s="211"/>
      <c r="S17" s="211"/>
      <c r="T17" s="211"/>
      <c r="U17" s="211"/>
      <c r="V17" s="211"/>
      <c r="W17" s="211"/>
      <c r="X17" s="211"/>
      <c r="Y17" s="211"/>
      <c r="Z17" s="211"/>
    </row>
    <row r="18" spans="1:26" ht="36.75" customHeight="1" x14ac:dyDescent="0.4">
      <c r="A18" s="211"/>
      <c r="B18" s="417" t="s">
        <v>38</v>
      </c>
      <c r="C18" s="418"/>
      <c r="D18" s="187"/>
      <c r="E18" s="189" t="str" cm="1">
        <f t="array" ref="E18">_xlfn.IFS(I50="","",$K$10="Validé",AVERAGE(I50:I51,J50),$K$10="Non validé",AVERAGE(I50:I51,J50)*0.9)</f>
        <v/>
      </c>
      <c r="F18" s="211"/>
      <c r="G18" s="447" t="s">
        <v>21</v>
      </c>
      <c r="H18" s="424" t="str">
        <f>IF(AnalysesComparatives_SCL!P9="","",AnalysesComparatives_SCL!P9)</f>
        <v/>
      </c>
      <c r="I18" s="424" t="str">
        <f>IF(AnalysesComparatives_SCL!P10=0,"",AnalysesComparatives_SCL!P10)</f>
        <v/>
      </c>
      <c r="J18" s="445" t="str">
        <f>IF(AnalysesComparatives_SCL!P11=0,"",AnalysesComparatives_SCL!P11)</f>
        <v/>
      </c>
      <c r="K18" s="211"/>
      <c r="L18" s="211"/>
      <c r="M18" s="436">
        <f>AnalysesComparatives_SCL!J14</f>
        <v>0</v>
      </c>
      <c r="N18" s="437"/>
      <c r="O18" s="437"/>
      <c r="P18" s="437"/>
      <c r="Q18" s="437"/>
      <c r="R18" s="437"/>
      <c r="S18" s="437"/>
      <c r="T18" s="437"/>
      <c r="U18" s="437"/>
      <c r="V18" s="437"/>
      <c r="W18" s="438"/>
      <c r="X18" s="211"/>
      <c r="Y18" s="211"/>
      <c r="Z18" s="211"/>
    </row>
    <row r="19" spans="1:26" ht="36.75" customHeight="1" x14ac:dyDescent="0.4">
      <c r="A19" s="211"/>
      <c r="B19" s="417" t="s">
        <v>39</v>
      </c>
      <c r="C19" s="418"/>
      <c r="D19" s="187"/>
      <c r="E19" s="189" t="str" cm="1">
        <f t="array" ref="E19">_xlfn.IFS(I52="","",$K$10="Validé",AVERAGE(I52:I53,J52),$K$10="Non validé",AVERAGE(I52:I53,J52)*0.9)</f>
        <v/>
      </c>
      <c r="F19" s="211"/>
      <c r="G19" s="448"/>
      <c r="H19" s="425"/>
      <c r="I19" s="425"/>
      <c r="J19" s="446"/>
      <c r="K19" s="211"/>
      <c r="L19" s="211"/>
      <c r="M19" s="439"/>
      <c r="N19" s="440"/>
      <c r="O19" s="440"/>
      <c r="P19" s="440"/>
      <c r="Q19" s="440"/>
      <c r="R19" s="440"/>
      <c r="S19" s="440"/>
      <c r="T19" s="440"/>
      <c r="U19" s="440"/>
      <c r="V19" s="440"/>
      <c r="W19" s="441"/>
      <c r="X19" s="211"/>
      <c r="Y19" s="211"/>
      <c r="Z19" s="211"/>
    </row>
    <row r="20" spans="1:26" ht="36.75" customHeight="1" x14ac:dyDescent="0.4">
      <c r="A20" s="211"/>
      <c r="B20" s="417" t="s">
        <v>40</v>
      </c>
      <c r="C20" s="418"/>
      <c r="D20" s="187"/>
      <c r="E20" s="189" t="str" cm="1">
        <f t="array" ref="E20">_xlfn.IFS(I54="","",$K$10="Validé",AVERAGE(I54:I55,J54),$K$10="Non validé",AVERAGE(I54:I55,J54)*0.9)</f>
        <v/>
      </c>
      <c r="F20" s="211"/>
      <c r="G20" s="211"/>
      <c r="H20" s="211"/>
      <c r="I20" s="211"/>
      <c r="J20" s="211"/>
      <c r="K20" s="211"/>
      <c r="L20" s="211"/>
      <c r="M20" s="439"/>
      <c r="N20" s="440"/>
      <c r="O20" s="440"/>
      <c r="P20" s="440"/>
      <c r="Q20" s="440"/>
      <c r="R20" s="440"/>
      <c r="S20" s="440"/>
      <c r="T20" s="440"/>
      <c r="U20" s="440"/>
      <c r="V20" s="440"/>
      <c r="W20" s="441"/>
      <c r="X20" s="211"/>
      <c r="Y20" s="211"/>
      <c r="Z20" s="211"/>
    </row>
    <row r="21" spans="1:26" ht="36.75" customHeight="1" x14ac:dyDescent="0.4">
      <c r="A21" s="211"/>
      <c r="B21" s="415" t="s">
        <v>41</v>
      </c>
      <c r="C21" s="416"/>
      <c r="D21" s="93"/>
      <c r="E21" s="188" t="str" cm="1">
        <f t="array" ref="E21">_xlfn.IFS(I56="","",$K$10="Validé",AVERAGE(I56:I57,J56),$K$10="Non validé",AVERAGE(I56:I57,J56)*0.9)</f>
        <v/>
      </c>
      <c r="F21" s="211"/>
      <c r="G21" s="211"/>
      <c r="H21" s="211"/>
      <c r="I21" s="211"/>
      <c r="J21" s="211"/>
      <c r="K21" s="211"/>
      <c r="L21" s="211"/>
      <c r="M21" s="439"/>
      <c r="N21" s="440"/>
      <c r="O21" s="440"/>
      <c r="P21" s="440"/>
      <c r="Q21" s="440"/>
      <c r="R21" s="440"/>
      <c r="S21" s="440"/>
      <c r="T21" s="440"/>
      <c r="U21" s="440"/>
      <c r="V21" s="440"/>
      <c r="W21" s="441"/>
      <c r="X21" s="211"/>
      <c r="Y21" s="211"/>
      <c r="Z21" s="211"/>
    </row>
    <row r="22" spans="1:26" ht="24.75" customHeight="1" x14ac:dyDescent="0.4">
      <c r="A22" s="211"/>
      <c r="B22" s="211"/>
      <c r="C22" s="211"/>
      <c r="D22" s="211"/>
      <c r="E22" s="211"/>
      <c r="F22" s="211"/>
      <c r="G22" s="211"/>
      <c r="H22" s="211"/>
      <c r="I22" s="211"/>
      <c r="J22" s="211"/>
      <c r="K22" s="211"/>
      <c r="L22" s="211"/>
      <c r="M22" s="439"/>
      <c r="N22" s="440"/>
      <c r="O22" s="440"/>
      <c r="P22" s="440"/>
      <c r="Q22" s="440"/>
      <c r="R22" s="440"/>
      <c r="S22" s="440"/>
      <c r="T22" s="440"/>
      <c r="U22" s="440"/>
      <c r="V22" s="440"/>
      <c r="W22" s="441"/>
      <c r="X22" s="211"/>
      <c r="Y22" s="211"/>
      <c r="Z22" s="211"/>
    </row>
    <row r="23" spans="1:26" ht="24.75" customHeight="1" x14ac:dyDescent="0.4">
      <c r="A23" s="211"/>
      <c r="B23" s="211"/>
      <c r="C23" s="211"/>
      <c r="D23" s="211"/>
      <c r="E23" s="211"/>
      <c r="F23" s="211"/>
      <c r="G23" s="222"/>
      <c r="H23" s="222"/>
      <c r="I23" s="222"/>
      <c r="J23" s="222"/>
      <c r="K23" s="222"/>
      <c r="L23" s="222"/>
      <c r="M23" s="439"/>
      <c r="N23" s="440"/>
      <c r="O23" s="440"/>
      <c r="P23" s="440"/>
      <c r="Q23" s="440"/>
      <c r="R23" s="440"/>
      <c r="S23" s="440"/>
      <c r="T23" s="440"/>
      <c r="U23" s="440"/>
      <c r="V23" s="440"/>
      <c r="W23" s="441"/>
      <c r="X23" s="211"/>
      <c r="Y23" s="211"/>
      <c r="Z23" s="211"/>
    </row>
    <row r="24" spans="1:26" ht="24.75" customHeight="1" x14ac:dyDescent="0.4">
      <c r="A24" s="211"/>
      <c r="B24" s="211"/>
      <c r="C24" s="211"/>
      <c r="D24" s="211"/>
      <c r="E24" s="211"/>
      <c r="F24" s="211"/>
      <c r="G24" s="211"/>
      <c r="H24" s="211"/>
      <c r="I24" s="211"/>
      <c r="J24" s="211"/>
      <c r="K24" s="211"/>
      <c r="L24" s="211"/>
      <c r="M24" s="439"/>
      <c r="N24" s="440"/>
      <c r="O24" s="440"/>
      <c r="P24" s="440"/>
      <c r="Q24" s="440"/>
      <c r="R24" s="440"/>
      <c r="S24" s="440"/>
      <c r="T24" s="440"/>
      <c r="U24" s="440"/>
      <c r="V24" s="440"/>
      <c r="W24" s="441"/>
      <c r="X24" s="211"/>
      <c r="Y24" s="211"/>
      <c r="Z24" s="211"/>
    </row>
    <row r="25" spans="1:26" ht="24.75" customHeight="1" x14ac:dyDescent="0.4">
      <c r="A25" s="211"/>
      <c r="B25" s="211"/>
      <c r="C25" s="211"/>
      <c r="D25" s="211"/>
      <c r="E25" s="211"/>
      <c r="F25" s="211"/>
      <c r="G25" s="211"/>
      <c r="H25" s="211"/>
      <c r="I25" s="211"/>
      <c r="J25" s="211"/>
      <c r="K25" s="211"/>
      <c r="L25" s="211"/>
      <c r="M25" s="442"/>
      <c r="N25" s="443"/>
      <c r="O25" s="443"/>
      <c r="P25" s="443"/>
      <c r="Q25" s="443"/>
      <c r="R25" s="443"/>
      <c r="S25" s="443"/>
      <c r="T25" s="443"/>
      <c r="U25" s="443"/>
      <c r="V25" s="443"/>
      <c r="W25" s="444"/>
      <c r="X25" s="211"/>
      <c r="Y25" s="211"/>
      <c r="Z25" s="211"/>
    </row>
    <row r="26" spans="1:26" ht="22.5" customHeight="1" thickBot="1" x14ac:dyDescent="0.45">
      <c r="A26" s="211"/>
      <c r="B26" s="213"/>
      <c r="C26" s="213"/>
      <c r="D26" s="213"/>
      <c r="E26" s="213"/>
      <c r="F26" s="213"/>
      <c r="G26" s="213"/>
      <c r="H26" s="213"/>
      <c r="I26" s="213"/>
      <c r="J26" s="213"/>
      <c r="K26" s="213"/>
      <c r="L26" s="213"/>
      <c r="M26" s="213"/>
      <c r="N26" s="213"/>
      <c r="O26" s="213"/>
      <c r="P26" s="213"/>
      <c r="Q26" s="213"/>
      <c r="R26" s="213"/>
      <c r="S26" s="213"/>
      <c r="T26" s="213"/>
      <c r="U26" s="213"/>
      <c r="V26" s="213"/>
      <c r="W26" s="213"/>
      <c r="X26" s="211"/>
      <c r="Y26" s="211"/>
      <c r="Z26" s="211"/>
    </row>
    <row r="27" spans="1:26" s="83" customFormat="1" ht="19.5" customHeight="1" x14ac:dyDescent="0.4">
      <c r="B27" s="426" t="s">
        <v>109</v>
      </c>
      <c r="C27" s="427"/>
      <c r="D27" s="427"/>
      <c r="E27" s="427"/>
      <c r="F27" s="427"/>
      <c r="G27" s="427"/>
      <c r="H27" s="427"/>
      <c r="I27" s="427"/>
      <c r="J27" s="427"/>
      <c r="K27" s="427"/>
      <c r="L27" s="427"/>
      <c r="M27" s="427"/>
      <c r="N27" s="427"/>
      <c r="O27" s="427"/>
      <c r="P27" s="427"/>
      <c r="Q27" s="427"/>
      <c r="R27" s="427"/>
      <c r="S27" s="427"/>
      <c r="T27" s="427"/>
      <c r="U27" s="427"/>
      <c r="V27" s="427"/>
      <c r="W27" s="428"/>
      <c r="X27" s="211"/>
      <c r="Y27" s="211"/>
    </row>
    <row r="28" spans="1:26" s="83" customFormat="1" ht="19.5" customHeight="1" thickBot="1" x14ac:dyDescent="0.45">
      <c r="B28" s="429"/>
      <c r="C28" s="430"/>
      <c r="D28" s="430"/>
      <c r="E28" s="430"/>
      <c r="F28" s="430"/>
      <c r="G28" s="430"/>
      <c r="H28" s="430"/>
      <c r="I28" s="430"/>
      <c r="J28" s="430"/>
      <c r="K28" s="430"/>
      <c r="L28" s="430"/>
      <c r="M28" s="430"/>
      <c r="N28" s="430"/>
      <c r="O28" s="430"/>
      <c r="P28" s="430"/>
      <c r="Q28" s="430"/>
      <c r="R28" s="430"/>
      <c r="S28" s="430"/>
      <c r="T28" s="430"/>
      <c r="U28" s="430"/>
      <c r="V28" s="430"/>
      <c r="W28" s="431"/>
      <c r="X28" s="211"/>
      <c r="Y28" s="211"/>
    </row>
    <row r="29" spans="1:26" s="83" customFormat="1" ht="3" customHeight="1" x14ac:dyDescent="0.4">
      <c r="B29" s="223"/>
      <c r="C29" s="211"/>
      <c r="D29" s="211"/>
      <c r="E29" s="211"/>
      <c r="F29" s="211"/>
      <c r="G29" s="211"/>
      <c r="H29" s="211"/>
      <c r="I29" s="211"/>
      <c r="J29" s="211"/>
      <c r="K29" s="211"/>
      <c r="L29" s="211"/>
      <c r="M29" s="211"/>
      <c r="N29" s="211"/>
      <c r="O29" s="211"/>
      <c r="P29" s="211"/>
      <c r="Q29" s="211"/>
      <c r="R29" s="211"/>
      <c r="S29" s="211"/>
      <c r="T29" s="211"/>
      <c r="U29" s="211"/>
      <c r="V29" s="211"/>
      <c r="W29" s="211"/>
      <c r="X29" s="211"/>
      <c r="Y29" s="211"/>
    </row>
    <row r="30" spans="1:26" s="83" customFormat="1" ht="3" customHeight="1" x14ac:dyDescent="0.4">
      <c r="B30" s="223"/>
      <c r="C30" s="211"/>
      <c r="D30" s="211"/>
      <c r="E30" s="211"/>
      <c r="F30" s="211"/>
      <c r="G30" s="211"/>
      <c r="H30" s="211"/>
      <c r="I30" s="211"/>
      <c r="J30" s="211"/>
      <c r="K30" s="211"/>
      <c r="L30" s="211"/>
      <c r="M30" s="211"/>
      <c r="N30" s="211"/>
      <c r="O30" s="211"/>
      <c r="P30" s="211"/>
      <c r="Q30" s="211"/>
      <c r="R30" s="211"/>
      <c r="S30" s="211"/>
      <c r="T30" s="211"/>
      <c r="U30" s="211"/>
      <c r="V30" s="211"/>
      <c r="W30" s="211"/>
      <c r="X30" s="211"/>
      <c r="Y30" s="211"/>
    </row>
    <row r="31" spans="1:26" s="83" customFormat="1" ht="3" customHeight="1" thickBot="1" x14ac:dyDescent="0.45">
      <c r="B31" s="223"/>
      <c r="C31" s="211"/>
      <c r="D31" s="211"/>
      <c r="E31" s="211"/>
      <c r="F31" s="211"/>
      <c r="G31" s="211"/>
      <c r="H31" s="211"/>
      <c r="I31" s="211"/>
      <c r="J31" s="211"/>
      <c r="K31" s="211"/>
      <c r="L31" s="211"/>
      <c r="M31" s="211"/>
      <c r="N31" s="211"/>
      <c r="O31" s="211"/>
      <c r="P31" s="211"/>
      <c r="Q31" s="211"/>
      <c r="R31" s="211"/>
      <c r="S31" s="211"/>
      <c r="T31" s="211"/>
      <c r="U31" s="211"/>
      <c r="V31" s="211"/>
      <c r="W31" s="211"/>
      <c r="X31" s="211"/>
      <c r="Y31" s="211"/>
    </row>
    <row r="32" spans="1:26" ht="20.25" customHeight="1" thickBot="1" x14ac:dyDescent="0.45">
      <c r="A32" s="83"/>
      <c r="B32" s="498" t="s">
        <v>26</v>
      </c>
      <c r="C32" s="499"/>
      <c r="D32" s="499"/>
      <c r="E32" s="499"/>
      <c r="F32" s="499"/>
      <c r="G32" s="499"/>
      <c r="H32" s="500"/>
      <c r="I32" s="501" t="s">
        <v>13</v>
      </c>
      <c r="J32" s="432" t="s">
        <v>27</v>
      </c>
      <c r="K32" s="402" t="s">
        <v>28</v>
      </c>
      <c r="L32" s="403"/>
      <c r="M32" s="404"/>
      <c r="N32" s="211"/>
      <c r="O32" s="211"/>
      <c r="P32" s="211"/>
      <c r="Q32" s="211"/>
      <c r="R32" s="211"/>
      <c r="S32" s="211"/>
      <c r="T32" s="211"/>
      <c r="U32" s="211"/>
      <c r="V32" s="211"/>
      <c r="W32" s="211"/>
      <c r="X32" s="211"/>
      <c r="Y32" s="211"/>
      <c r="Z32" s="211"/>
    </row>
    <row r="33" spans="1:26" ht="29.25" customHeight="1" outlineLevel="1" thickBot="1" x14ac:dyDescent="0.45">
      <c r="A33" s="83"/>
      <c r="B33" s="503" t="s">
        <v>29</v>
      </c>
      <c r="C33" s="504"/>
      <c r="D33" s="88" t="s">
        <v>30</v>
      </c>
      <c r="E33" s="89"/>
      <c r="F33" s="88" t="s">
        <v>31</v>
      </c>
      <c r="G33" s="505" t="s">
        <v>11</v>
      </c>
      <c r="H33" s="506"/>
      <c r="I33" s="502"/>
      <c r="J33" s="433"/>
      <c r="K33" s="405"/>
      <c r="L33" s="406"/>
      <c r="M33" s="407"/>
      <c r="N33" s="211"/>
      <c r="O33" s="211"/>
      <c r="P33" s="211"/>
      <c r="Q33" s="211"/>
      <c r="R33" s="211"/>
      <c r="S33" s="211"/>
      <c r="T33" s="211"/>
      <c r="U33" s="211"/>
      <c r="V33" s="211"/>
      <c r="W33" s="211"/>
      <c r="X33" s="211"/>
      <c r="Y33" s="211"/>
      <c r="Z33" s="211"/>
    </row>
    <row r="34" spans="1:26" ht="28.5" customHeight="1" outlineLevel="1" x14ac:dyDescent="0.4">
      <c r="A34" s="83"/>
      <c r="B34" s="393" t="s">
        <v>23</v>
      </c>
      <c r="C34" s="507" t="str">
        <f>IF(SA_GRILLE_SCL!$C$3="","",SA_GRILLE_SCL!$C$3)</f>
        <v/>
      </c>
      <c r="D34" s="395" t="str">
        <f>IF(SA_GRILLE_SCL!$A$3="","",SA_GRILLE_SCL!$A$3)</f>
        <v/>
      </c>
      <c r="E34" s="77" t="s">
        <v>16</v>
      </c>
      <c r="F34" s="90" t="str">
        <f>IF(SA_GRILLE_SCL!$A$5="","",SA_GRILLE_SCL!$A$5)</f>
        <v>Caisson</v>
      </c>
      <c r="G34" s="397" t="str">
        <f>IF(SA_GRILLE_SCL!$C$19="","",SA_GRILLE_SCL!$C$19)</f>
        <v/>
      </c>
      <c r="H34" s="398"/>
      <c r="I34" s="78">
        <f>IF(SA_GRILLE_SCL!D19="","",SA_GRILLE_SCL!D19)</f>
        <v>0</v>
      </c>
      <c r="J34" s="434" t="str">
        <f>IF(AnalysesComparatives_SCL!F24="","",AnalysesComparatives_SCL!F24)</f>
        <v/>
      </c>
      <c r="K34" s="408" t="str">
        <f>IF(SA_GRILLE_SCL!B$19="","",SA_GRILLE_SCL!B$19)</f>
        <v/>
      </c>
      <c r="L34" s="409"/>
      <c r="M34" s="410"/>
      <c r="N34" s="211"/>
      <c r="O34" s="211"/>
      <c r="P34" s="211"/>
      <c r="Q34" s="211"/>
      <c r="R34" s="211"/>
      <c r="S34" s="211"/>
      <c r="T34" s="211"/>
      <c r="U34" s="211"/>
      <c r="V34" s="211"/>
      <c r="W34" s="211"/>
      <c r="X34" s="211"/>
      <c r="Y34" s="211"/>
      <c r="Z34" s="211"/>
    </row>
    <row r="35" spans="1:26" ht="28.5" customHeight="1" outlineLevel="1" thickBot="1" x14ac:dyDescent="0.45">
      <c r="A35" s="83"/>
      <c r="B35" s="394"/>
      <c r="C35" s="508"/>
      <c r="D35" s="396"/>
      <c r="E35" s="80" t="s">
        <v>32</v>
      </c>
      <c r="F35" s="91" t="str">
        <f>IF(SA_GRILLE_SCL!$A$22="","",SA_GRILLE_SCL!$A$22)</f>
        <v>Préleveur Automatique</v>
      </c>
      <c r="G35" s="411" t="str">
        <f>IF(SA_GRILLE_SCL!$C$37="","",SA_GRILLE_SCL!$C$37)</f>
        <v/>
      </c>
      <c r="H35" s="412"/>
      <c r="I35" s="81">
        <f>IF(SA_GRILLE_SCL!D37="","",SA_GRILLE_SCL!D37)</f>
        <v>0</v>
      </c>
      <c r="J35" s="435"/>
      <c r="K35" s="399" t="str">
        <f>IF(SA_GRILLE_SCL!B$37="","",SA_GRILLE_SCL!B$37)</f>
        <v/>
      </c>
      <c r="L35" s="400"/>
      <c r="M35" s="401"/>
      <c r="N35" s="211"/>
      <c r="O35" s="211"/>
      <c r="P35" s="211"/>
      <c r="Q35" s="211"/>
      <c r="R35" s="211"/>
      <c r="S35" s="211"/>
      <c r="T35" s="211"/>
      <c r="U35" s="211"/>
      <c r="V35" s="211"/>
      <c r="W35" s="211"/>
      <c r="X35" s="211"/>
      <c r="Y35" s="211"/>
      <c r="Z35" s="211"/>
    </row>
    <row r="36" spans="1:26" ht="28.5" customHeight="1" outlineLevel="1" thickBot="1" x14ac:dyDescent="0.65">
      <c r="A36" s="83"/>
      <c r="B36" s="393" t="s">
        <v>24</v>
      </c>
      <c r="C36" s="76" t="str">
        <f>IF(SA_GRILLE_SCL!$H$3="","",SA_GRILLE_SCL!$H$3)</f>
        <v/>
      </c>
      <c r="D36" s="395" t="str">
        <f>IF(SA_GRILLE_SCL!$F$3="","",SA_GRILLE_SCL!$F$3)</f>
        <v/>
      </c>
      <c r="E36" s="77" t="s">
        <v>16</v>
      </c>
      <c r="F36" s="90" t="str">
        <f>IF(SA_GRILLE_SCL!$F$5="","",SA_GRILLE_SCL!$F$5)</f>
        <v/>
      </c>
      <c r="G36" s="397" t="str">
        <f>IF(SA_GRILLE_SCL!$H$19="","",SA_GRILLE_SCL!$H$19)</f>
        <v/>
      </c>
      <c r="H36" s="398"/>
      <c r="I36" s="78" t="str">
        <f>IF(SA_GRILLE_SCL!I$19="","",SA_GRILLE_SCL!I$19)</f>
        <v/>
      </c>
      <c r="J36" s="493" t="str">
        <f>IF(AnalysesComparatives_SCL!F25="","",AnalysesComparatives_SCL!F25)</f>
        <v/>
      </c>
      <c r="K36" s="408" t="str">
        <f>IF(SA_GRILLE_SCL!G$19="","",SA_GRILLE_SCL!G$19)</f>
        <v/>
      </c>
      <c r="L36" s="409"/>
      <c r="M36" s="410"/>
      <c r="N36" s="211"/>
      <c r="O36" s="211"/>
      <c r="P36" s="211"/>
      <c r="Q36" s="211"/>
      <c r="R36" s="211"/>
      <c r="S36" s="211"/>
      <c r="T36" s="211"/>
      <c r="U36" s="211"/>
      <c r="V36" s="211"/>
      <c r="W36" s="211"/>
      <c r="X36" s="211"/>
      <c r="Y36" s="211"/>
      <c r="Z36" s="211"/>
    </row>
    <row r="37" spans="1:26" ht="28.5" customHeight="1" outlineLevel="1" thickBot="1" x14ac:dyDescent="0.65">
      <c r="A37" s="83"/>
      <c r="B37" s="394"/>
      <c r="C37" s="79" t="str">
        <f>C36</f>
        <v/>
      </c>
      <c r="D37" s="396"/>
      <c r="E37" s="80" t="s">
        <v>32</v>
      </c>
      <c r="F37" s="91" t="str">
        <f>IF(SA_GRILLE_SCL!$F$22="","",SA_GRILLE_SCL!$F$22)</f>
        <v/>
      </c>
      <c r="G37" s="411" t="str">
        <f>IF(SA_GRILLE_SCL!$H$37="","",SA_GRILLE_SCL!$H$37)</f>
        <v/>
      </c>
      <c r="H37" s="412"/>
      <c r="I37" s="81" t="str">
        <f>IF(SA_GRILLE_SCL!I$37="","",SA_GRILLE_SCL!I$37)</f>
        <v/>
      </c>
      <c r="J37" s="493"/>
      <c r="K37" s="399" t="str">
        <f>IF(SA_GRILLE_SCL!G$37="","",SA_GRILLE_SCL!G$37)</f>
        <v/>
      </c>
      <c r="L37" s="400"/>
      <c r="M37" s="401"/>
      <c r="N37" s="211"/>
      <c r="O37" s="211"/>
      <c r="P37" s="211"/>
      <c r="Q37" s="211"/>
      <c r="R37" s="211"/>
      <c r="S37" s="211"/>
      <c r="T37" s="211"/>
      <c r="U37" s="211"/>
      <c r="V37" s="211"/>
      <c r="W37" s="211"/>
      <c r="X37" s="211"/>
      <c r="Y37" s="211"/>
      <c r="Z37" s="211"/>
    </row>
    <row r="38" spans="1:26" ht="28.5" customHeight="1" outlineLevel="1" thickBot="1" x14ac:dyDescent="0.65">
      <c r="A38" s="83"/>
      <c r="B38" s="393" t="s">
        <v>25</v>
      </c>
      <c r="C38" s="76" t="str">
        <f>IF(SA_GRILLE_SCL!$M$3="","",SA_GRILLE_SCL!$M$3)</f>
        <v/>
      </c>
      <c r="D38" s="395" t="str">
        <f>IF(SA_GRILLE_SCL!$K$3="","",SA_GRILLE_SCL!$K$3)</f>
        <v/>
      </c>
      <c r="E38" s="77" t="s">
        <v>16</v>
      </c>
      <c r="F38" s="90" t="str">
        <f>IF(SA_GRILLE_SCL!$K$5="","",SA_GRILLE_SCL!$K$5)</f>
        <v/>
      </c>
      <c r="G38" s="397" t="str">
        <f>IF(SA_GRILLE_SCL!$M$19="","",SA_GRILLE_SCL!$M$19)</f>
        <v/>
      </c>
      <c r="H38" s="398"/>
      <c r="I38" s="193" t="s">
        <v>189</v>
      </c>
      <c r="J38" s="493" t="str">
        <f>IF(AnalysesComparatives_SCL!F26="","",AnalysesComparatives_SCL!F26)</f>
        <v/>
      </c>
      <c r="K38" s="408" t="str">
        <f>IF(SA_GRILLE_SCL!L$19="","",SA_GRILLE_SCL!L$19)</f>
        <v/>
      </c>
      <c r="L38" s="409"/>
      <c r="M38" s="410"/>
      <c r="N38" s="211"/>
      <c r="O38" s="211"/>
      <c r="P38" s="211"/>
      <c r="Q38" s="211"/>
      <c r="R38" s="211"/>
      <c r="S38" s="211"/>
      <c r="T38" s="211"/>
      <c r="U38" s="211"/>
      <c r="V38" s="211"/>
      <c r="W38" s="211"/>
      <c r="X38" s="211"/>
      <c r="Y38" s="211"/>
      <c r="Z38" s="211"/>
    </row>
    <row r="39" spans="1:26" ht="28.5" customHeight="1" outlineLevel="1" thickBot="1" x14ac:dyDescent="0.65">
      <c r="A39" s="83"/>
      <c r="B39" s="394"/>
      <c r="C39" s="79" t="str">
        <f>C38</f>
        <v/>
      </c>
      <c r="D39" s="396"/>
      <c r="E39" s="80" t="s">
        <v>32</v>
      </c>
      <c r="F39" s="91" t="str">
        <f>IF(SA_GRILLE_SCL!$K$22="","",SA_GRILLE_SCL!$K$22)</f>
        <v/>
      </c>
      <c r="G39" s="411" t="str">
        <f>IF(SA_GRILLE_SCL!$M$37="","",SA_GRILLE_SCL!$M$37)</f>
        <v/>
      </c>
      <c r="H39" s="412"/>
      <c r="I39" s="81" t="str">
        <f>IF(SA_GRILLE_SCL!N$37="","",SA_GRILLE_SCL!N$37)</f>
        <v/>
      </c>
      <c r="J39" s="493"/>
      <c r="K39" s="399" t="str">
        <f>IF(SA_GRILLE_SCL!L$37="","",SA_GRILLE_SCL!L$37)</f>
        <v/>
      </c>
      <c r="L39" s="400"/>
      <c r="M39" s="401"/>
      <c r="N39" s="211"/>
      <c r="O39" s="211"/>
      <c r="P39" s="211"/>
      <c r="Q39" s="211"/>
      <c r="R39" s="211"/>
      <c r="S39" s="211"/>
      <c r="T39" s="211"/>
      <c r="U39" s="211"/>
      <c r="V39" s="211"/>
      <c r="W39" s="211"/>
      <c r="X39" s="211"/>
      <c r="Y39" s="211"/>
      <c r="Z39" s="211"/>
    </row>
    <row r="40" spans="1:26" ht="28.5" customHeight="1" outlineLevel="1" thickBot="1" x14ac:dyDescent="0.65">
      <c r="A40" s="83"/>
      <c r="B40" s="393" t="s">
        <v>33</v>
      </c>
      <c r="C40" s="76" t="str">
        <f>IF(SA_GRILLE_SCL!$R$3="","",SA_GRILLE_SCL!$R$3)</f>
        <v/>
      </c>
      <c r="D40" s="395" t="str">
        <f>IF(SA_GRILLE_SCL!$P$3="","",SA_GRILLE_SCL!$P$3)</f>
        <v/>
      </c>
      <c r="E40" s="77" t="s">
        <v>16</v>
      </c>
      <c r="F40" s="90" t="str">
        <f>IF(SA_GRILLE_SCL!$P$5="","",SA_GRILLE_SCL!$P$5)</f>
        <v/>
      </c>
      <c r="G40" s="397" t="str">
        <f>IF(SA_GRILLE_SCL!$R$19="","",SA_GRILLE_SCL!$R$19)</f>
        <v/>
      </c>
      <c r="H40" s="398"/>
      <c r="I40" s="78" t="str">
        <f>IF(SA_GRILLE_SCL!S$19="","",SA_GRILLE_SCL!S$19)</f>
        <v/>
      </c>
      <c r="J40" s="493" t="str">
        <f>IF(AnalysesComparatives_SCL!F27="","",AnalysesComparatives_SCL!F27)</f>
        <v/>
      </c>
      <c r="K40" s="408" t="str">
        <f>IF(SA_GRILLE_SCL!Q$19="","",SA_GRILLE_SCL!Q$19)</f>
        <v/>
      </c>
      <c r="L40" s="409"/>
      <c r="M40" s="410"/>
      <c r="N40" s="211"/>
      <c r="O40" s="211"/>
      <c r="P40" s="211"/>
      <c r="Q40" s="211"/>
      <c r="R40" s="211"/>
      <c r="S40" s="211"/>
      <c r="T40" s="211"/>
      <c r="U40" s="211"/>
      <c r="V40" s="211"/>
      <c r="W40" s="211"/>
      <c r="X40" s="211"/>
      <c r="Y40" s="211"/>
      <c r="Z40" s="211"/>
    </row>
    <row r="41" spans="1:26" ht="28.5" customHeight="1" outlineLevel="1" thickBot="1" x14ac:dyDescent="0.65">
      <c r="A41" s="83"/>
      <c r="B41" s="394"/>
      <c r="C41" s="79" t="str">
        <f>C40</f>
        <v/>
      </c>
      <c r="D41" s="396"/>
      <c r="E41" s="80" t="s">
        <v>32</v>
      </c>
      <c r="F41" s="91" t="str">
        <f>IF(SA_GRILLE_SCL!$P$22="","",SA_GRILLE_SCL!$P$22)</f>
        <v/>
      </c>
      <c r="G41" s="411" t="str">
        <f>IF(SA_GRILLE_SCL!$R$37="","",SA_GRILLE_SCL!$R$37)</f>
        <v/>
      </c>
      <c r="H41" s="412"/>
      <c r="I41" s="81" t="str">
        <f>IF(SA_GRILLE_SCL!S$37="","",SA_GRILLE_SCL!S$37)</f>
        <v/>
      </c>
      <c r="J41" s="493"/>
      <c r="K41" s="399" t="str">
        <f>IF(SA_GRILLE_SCL!Q$37="","",SA_GRILLE_SCL!Q$37)</f>
        <v/>
      </c>
      <c r="L41" s="400"/>
      <c r="M41" s="401"/>
      <c r="N41" s="211"/>
      <c r="O41" s="211"/>
      <c r="P41" s="211"/>
      <c r="Q41" s="211"/>
      <c r="R41" s="211"/>
      <c r="S41" s="211"/>
      <c r="T41" s="211"/>
      <c r="U41" s="211"/>
      <c r="V41" s="211"/>
      <c r="W41" s="211"/>
      <c r="X41" s="211"/>
      <c r="Y41" s="211"/>
      <c r="Z41" s="211"/>
    </row>
    <row r="42" spans="1:26" ht="28.5" customHeight="1" outlineLevel="1" thickBot="1" x14ac:dyDescent="0.65">
      <c r="A42" s="83"/>
      <c r="B42" s="393" t="s">
        <v>34</v>
      </c>
      <c r="C42" s="76" t="str">
        <f>IF(SA_GRILLE_SCL!$W$3="","",SA_GRILLE_SCL!$W$3)</f>
        <v/>
      </c>
      <c r="D42" s="395" t="str">
        <f>IF(SA_GRILLE_SCL!$U$3="","",SA_GRILLE_SCL!$U$3)</f>
        <v/>
      </c>
      <c r="E42" s="77" t="s">
        <v>16</v>
      </c>
      <c r="F42" s="90" t="str">
        <f>IF(SA_GRILLE_SCL!$U$5="","",SA_GRILLE_SCL!$U$5)</f>
        <v/>
      </c>
      <c r="G42" s="397" t="str">
        <f>IF(SA_GRILLE_SCL!$W$19="","",SA_GRILLE_SCL!$W$19)</f>
        <v/>
      </c>
      <c r="H42" s="398"/>
      <c r="I42" s="78" t="str">
        <f>IF(SA_GRILLE_SCL!X$19="","",SA_GRILLE_SCL!X$19)</f>
        <v/>
      </c>
      <c r="J42" s="493" t="str">
        <f>IF(AnalysesComparatives_SCL!F28="","",AnalysesComparatives_SCL!F28)</f>
        <v/>
      </c>
      <c r="K42" s="408" t="str">
        <f>IF(SA_GRILLE_SCL!V$19="","",SA_GRILLE_SCL!V$19)</f>
        <v/>
      </c>
      <c r="L42" s="409"/>
      <c r="M42" s="410"/>
      <c r="N42" s="211"/>
      <c r="O42" s="211"/>
      <c r="P42" s="211"/>
      <c r="Q42" s="211"/>
      <c r="R42" s="211"/>
      <c r="S42" s="211"/>
      <c r="T42" s="211"/>
      <c r="U42" s="211"/>
      <c r="V42" s="211"/>
      <c r="W42" s="211"/>
      <c r="X42" s="211"/>
      <c r="Y42" s="211"/>
      <c r="Z42" s="211"/>
    </row>
    <row r="43" spans="1:26" ht="28.5" customHeight="1" outlineLevel="1" thickBot="1" x14ac:dyDescent="0.65">
      <c r="A43" s="83"/>
      <c r="B43" s="394"/>
      <c r="C43" s="79" t="str">
        <f>C42</f>
        <v/>
      </c>
      <c r="D43" s="396"/>
      <c r="E43" s="80" t="s">
        <v>32</v>
      </c>
      <c r="F43" s="91" t="str">
        <f>IF(SA_GRILLE_SCL!$U$22="","",SA_GRILLE_SCL!$U$22)</f>
        <v/>
      </c>
      <c r="G43" s="411" t="str">
        <f>IF(SA_GRILLE_SCL!$W$37="","",SA_GRILLE_SCL!$W$37)</f>
        <v/>
      </c>
      <c r="H43" s="412"/>
      <c r="I43" s="81" t="str">
        <f>IF(SA_GRILLE_SCL!X$37="","",SA_GRILLE_SCL!X$37)</f>
        <v/>
      </c>
      <c r="J43" s="493"/>
      <c r="K43" s="399" t="str">
        <f>IF(SA_GRILLE_SCL!V$37="","",SA_GRILLE_SCL!V$37)</f>
        <v/>
      </c>
      <c r="L43" s="400"/>
      <c r="M43" s="401"/>
      <c r="N43" s="211"/>
      <c r="O43" s="211"/>
      <c r="P43" s="211"/>
      <c r="Q43" s="211"/>
      <c r="R43" s="211"/>
      <c r="S43" s="211"/>
      <c r="T43" s="211"/>
      <c r="U43" s="211"/>
      <c r="V43" s="211"/>
      <c r="W43" s="211"/>
      <c r="X43" s="211"/>
      <c r="Y43" s="211"/>
      <c r="Z43" s="211"/>
    </row>
    <row r="44" spans="1:26" ht="28.5" customHeight="1" outlineLevel="1" thickBot="1" x14ac:dyDescent="0.65">
      <c r="A44" s="83"/>
      <c r="B44" s="393" t="s">
        <v>35</v>
      </c>
      <c r="C44" s="76" t="str">
        <f>IF(SA_GRILLE_SCL!$AB$3="","",SA_GRILLE_SCL!$AB$3)</f>
        <v/>
      </c>
      <c r="D44" s="395" t="str">
        <f>IF(SA_GRILLE_SCL!$Z$3="","",SA_GRILLE_SCL!$Z$3)</f>
        <v/>
      </c>
      <c r="E44" s="77" t="s">
        <v>16</v>
      </c>
      <c r="F44" s="90" t="str">
        <f>IF(SA_GRILLE_SCL!$Z$5="","",SA_GRILLE_SCL!$Z$5)</f>
        <v/>
      </c>
      <c r="G44" s="397" t="str">
        <f>IF(SA_GRILLE_SCL!$AB$19="","",SA_GRILLE_SCL!$AB$19)</f>
        <v/>
      </c>
      <c r="H44" s="398"/>
      <c r="I44" s="78" t="str">
        <f>IF(SA_GRILLE_SCL!AC$19="","",SA_GRILLE_SCL!AC$19)</f>
        <v/>
      </c>
      <c r="J44" s="493" t="str">
        <f>IF(AnalysesComparatives_SCL!F29="","",AnalysesComparatives_SCL!F29)</f>
        <v/>
      </c>
      <c r="K44" s="408" t="str">
        <f>IF(SA_GRILLE_SCL!AA$19="","",SA_GRILLE_SCL!AA$19)</f>
        <v/>
      </c>
      <c r="L44" s="409"/>
      <c r="M44" s="410"/>
      <c r="N44" s="211"/>
      <c r="O44" s="211"/>
      <c r="P44" s="211"/>
      <c r="Q44" s="211"/>
      <c r="R44" s="211"/>
      <c r="S44" s="211"/>
      <c r="T44" s="211"/>
      <c r="U44" s="211"/>
      <c r="V44" s="211"/>
      <c r="W44" s="211"/>
      <c r="X44" s="211"/>
      <c r="Y44" s="211"/>
      <c r="Z44" s="211"/>
    </row>
    <row r="45" spans="1:26" ht="28.5" customHeight="1" outlineLevel="1" thickBot="1" x14ac:dyDescent="0.65">
      <c r="A45" s="83"/>
      <c r="B45" s="394"/>
      <c r="C45" s="79" t="str">
        <f>C44</f>
        <v/>
      </c>
      <c r="D45" s="396"/>
      <c r="E45" s="80" t="s">
        <v>32</v>
      </c>
      <c r="F45" s="91" t="str">
        <f>IF(SA_GRILLE_SCL!$Z$22="","",SA_GRILLE_SCL!$Z$22)</f>
        <v/>
      </c>
      <c r="G45" s="411" t="str">
        <f>IF(SA_GRILLE_SCL!$AB$37="","",SA_GRILLE_SCL!$AB$37)</f>
        <v/>
      </c>
      <c r="H45" s="412"/>
      <c r="I45" s="81" t="str">
        <f>IF(SA_GRILLE_SCL!AC$37="","",SA_GRILLE_SCL!AC$37)</f>
        <v/>
      </c>
      <c r="J45" s="493"/>
      <c r="K45" s="399" t="str">
        <f>IF(SA_GRILLE_SCL!AA$37="","",SA_GRILLE_SCL!AA$37)</f>
        <v/>
      </c>
      <c r="L45" s="400"/>
      <c r="M45" s="401"/>
      <c r="N45" s="211"/>
      <c r="O45" s="211"/>
      <c r="P45" s="211"/>
      <c r="Q45" s="211"/>
      <c r="R45" s="211"/>
      <c r="S45" s="211"/>
      <c r="T45" s="211"/>
      <c r="U45" s="211"/>
      <c r="V45" s="211"/>
      <c r="W45" s="211"/>
      <c r="X45" s="211"/>
      <c r="Y45" s="211"/>
      <c r="Z45" s="211"/>
    </row>
    <row r="46" spans="1:26" ht="28.5" customHeight="1" outlineLevel="1" thickBot="1" x14ac:dyDescent="0.65">
      <c r="A46" s="83"/>
      <c r="B46" s="393" t="s">
        <v>36</v>
      </c>
      <c r="C46" s="76" t="str">
        <f>IF(SA_GRILLE_SCL!$AG$3="","",SA_GRILLE_SCL!$AG$3)</f>
        <v/>
      </c>
      <c r="D46" s="395" t="str">
        <f>IF(SA_GRILLE_SCL!$AE$3="","",SA_GRILLE_SCL!$AE$3)</f>
        <v/>
      </c>
      <c r="E46" s="77" t="s">
        <v>16</v>
      </c>
      <c r="F46" s="90" t="str">
        <f>IF(SA_GRILLE_SCL!$AE$5="","",SA_GRILLE_SCL!$AE$5)</f>
        <v/>
      </c>
      <c r="G46" s="397" t="str">
        <f>IF(SA_GRILLE_SCL!$AG$19="","",SA_GRILLE_SCL!$AG$19)</f>
        <v/>
      </c>
      <c r="H46" s="398"/>
      <c r="I46" s="78" t="str">
        <f>IF(SA_GRILLE_SCL!AH$19="","",SA_GRILLE_SCL!AH$19)</f>
        <v/>
      </c>
      <c r="J46" s="493" t="str">
        <f>IF(AnalysesComparatives_SCL!P24="","",AnalysesComparatives_SCL!P24)</f>
        <v/>
      </c>
      <c r="K46" s="408" t="str">
        <f>IF(SA_GRILLE_SCL!AF$19="","",SA_GRILLE_SCL!AF$19)</f>
        <v/>
      </c>
      <c r="L46" s="409"/>
      <c r="M46" s="410"/>
      <c r="N46" s="211"/>
      <c r="O46" s="211"/>
      <c r="P46" s="211"/>
      <c r="Q46" s="211"/>
      <c r="R46" s="211"/>
      <c r="S46" s="211"/>
      <c r="T46" s="211"/>
      <c r="U46" s="211"/>
      <c r="V46" s="211"/>
      <c r="W46" s="211"/>
      <c r="X46" s="211"/>
      <c r="Y46" s="211"/>
      <c r="Z46" s="211"/>
    </row>
    <row r="47" spans="1:26" ht="28.5" customHeight="1" outlineLevel="1" thickBot="1" x14ac:dyDescent="0.65">
      <c r="A47" s="83"/>
      <c r="B47" s="394"/>
      <c r="C47" s="79" t="str">
        <f>C46</f>
        <v/>
      </c>
      <c r="D47" s="396"/>
      <c r="E47" s="80" t="s">
        <v>32</v>
      </c>
      <c r="F47" s="91" t="str">
        <f>IF(SA_GRILLE_SCL!$AE$22="","",SA_GRILLE_SCL!$AE$22)</f>
        <v/>
      </c>
      <c r="G47" s="411" t="str">
        <f>IF(SA_GRILLE_SCL!$AG$37="","",SA_GRILLE_SCL!$AG$37)</f>
        <v/>
      </c>
      <c r="H47" s="412"/>
      <c r="I47" s="81" t="str">
        <f>IF(SA_GRILLE_SCL!AH$37="","",SA_GRILLE_SCL!AH$37)</f>
        <v/>
      </c>
      <c r="J47" s="493"/>
      <c r="K47" s="399" t="str">
        <f>IF(SA_GRILLE_SCL!AF$37="","",SA_GRILLE_SCL!AF$37)</f>
        <v/>
      </c>
      <c r="L47" s="400"/>
      <c r="M47" s="401"/>
      <c r="N47" s="211"/>
      <c r="O47" s="211"/>
      <c r="P47" s="211"/>
      <c r="Q47" s="211"/>
      <c r="R47" s="211"/>
      <c r="S47" s="211"/>
      <c r="T47" s="211"/>
      <c r="U47" s="211"/>
      <c r="V47" s="211"/>
      <c r="W47" s="211"/>
      <c r="X47" s="211"/>
      <c r="Y47" s="211"/>
      <c r="Z47" s="211"/>
    </row>
    <row r="48" spans="1:26" ht="28.5" customHeight="1" outlineLevel="1" thickBot="1" x14ac:dyDescent="0.65">
      <c r="A48" s="83"/>
      <c r="B48" s="393" t="s">
        <v>37</v>
      </c>
      <c r="C48" s="76" t="str">
        <f>IF(SA_GRILLE_SCL!$AL$3="","",SA_GRILLE_SCL!$AL$3)</f>
        <v/>
      </c>
      <c r="D48" s="395" t="str">
        <f>IF(SA_GRILLE_SCL!$AJ$3="","",SA_GRILLE_SCL!$AJ$3)</f>
        <v/>
      </c>
      <c r="E48" s="77" t="s">
        <v>16</v>
      </c>
      <c r="F48" s="90" t="str">
        <f>IF(SA_GRILLE_SCL!$AJ$5="","",SA_GRILLE_SCL!$AJ$5)</f>
        <v/>
      </c>
      <c r="G48" s="397" t="str">
        <f>IF(SA_GRILLE_SCL!$AL$19="","",SA_GRILLE_SCL!$AL$19)</f>
        <v/>
      </c>
      <c r="H48" s="398"/>
      <c r="I48" s="78" t="str">
        <f>IF(SA_GRILLE_SCL!AM$19="","",SA_GRILLE_SCL!AM$19)</f>
        <v/>
      </c>
      <c r="J48" s="493" t="str">
        <f>IF(AnalysesComparatives_SCL!P25="","",AnalysesComparatives_SCL!P25)</f>
        <v/>
      </c>
      <c r="K48" s="408" t="str">
        <f>IF(SA_GRILLE_SCL!AK$19="","",SA_GRILLE_SCL!AK$19)</f>
        <v/>
      </c>
      <c r="L48" s="409"/>
      <c r="M48" s="410"/>
      <c r="N48" s="211"/>
      <c r="O48" s="211"/>
      <c r="P48" s="211"/>
      <c r="Q48" s="211"/>
      <c r="R48" s="211"/>
      <c r="S48" s="211"/>
      <c r="T48" s="211"/>
      <c r="U48" s="211"/>
      <c r="V48" s="211"/>
      <c r="W48" s="211"/>
      <c r="X48" s="211"/>
      <c r="Y48" s="211"/>
      <c r="Z48" s="211"/>
    </row>
    <row r="49" spans="1:26" ht="28.5" customHeight="1" outlineLevel="1" thickBot="1" x14ac:dyDescent="0.65">
      <c r="A49" s="83"/>
      <c r="B49" s="394"/>
      <c r="C49" s="79" t="str">
        <f>C48</f>
        <v/>
      </c>
      <c r="D49" s="396"/>
      <c r="E49" s="80" t="s">
        <v>32</v>
      </c>
      <c r="F49" s="91" t="str">
        <f>IF(SA_GRILLE_SCL!$AJ$22="","",SA_GRILLE_SCL!$AJ$22)</f>
        <v/>
      </c>
      <c r="G49" s="411" t="str">
        <f>IF(SA_GRILLE_SCL!$AL$37="","",SA_GRILLE_SCL!$AL$37)</f>
        <v/>
      </c>
      <c r="H49" s="412"/>
      <c r="I49" s="81" t="str">
        <f>IF(SA_GRILLE_SCL!AM$37="","",SA_GRILLE_SCL!AM$37)</f>
        <v/>
      </c>
      <c r="J49" s="493"/>
      <c r="K49" s="399" t="str">
        <f>IF(SA_GRILLE_SCL!AK$37="","",SA_GRILLE_SCL!AK$37)</f>
        <v/>
      </c>
      <c r="L49" s="400"/>
      <c r="M49" s="401"/>
      <c r="N49" s="211"/>
      <c r="O49" s="211"/>
      <c r="P49" s="211"/>
      <c r="Q49" s="211"/>
      <c r="R49" s="211"/>
      <c r="S49" s="211"/>
      <c r="T49" s="211"/>
      <c r="U49" s="211"/>
      <c r="V49" s="211"/>
      <c r="W49" s="211"/>
      <c r="X49" s="211"/>
      <c r="Y49" s="211"/>
      <c r="Z49" s="211"/>
    </row>
    <row r="50" spans="1:26" ht="28.5" customHeight="1" outlineLevel="1" thickBot="1" x14ac:dyDescent="0.65">
      <c r="A50" s="83"/>
      <c r="B50" s="393" t="s">
        <v>38</v>
      </c>
      <c r="C50" s="76" t="str">
        <f>IF(SA_GRILLE_SCL!$AQ$3="","",SA_GRILLE_SCL!$AQ$3)</f>
        <v/>
      </c>
      <c r="D50" s="395" t="str">
        <f>IF(SA_GRILLE_SCL!$AO$3="","",SA_GRILLE_SCL!$AO$3)</f>
        <v/>
      </c>
      <c r="E50" s="77" t="s">
        <v>16</v>
      </c>
      <c r="F50" s="90" t="str">
        <f>IF(SA_GRILLE_SCL!$AO$5="","",SA_GRILLE_SCL!$AO$5)</f>
        <v/>
      </c>
      <c r="G50" s="397" t="str">
        <f>IF(SA_GRILLE_SCL!$AQ$19="","",SA_GRILLE_SCL!$AQ$19)</f>
        <v/>
      </c>
      <c r="H50" s="398"/>
      <c r="I50" s="78" t="str">
        <f>IF(SA_GRILLE_SCL!AR$19="","",SA_GRILLE_SCL!AR$19)</f>
        <v/>
      </c>
      <c r="J50" s="493" t="str">
        <f>IF(AnalysesComparatives_SCL!P26="","",AnalysesComparatives_SCL!P26)</f>
        <v/>
      </c>
      <c r="K50" s="408" t="str">
        <f>IF(SA_GRILLE_SCL!AP$19="","",SA_GRILLE_SCL!AP$19)</f>
        <v/>
      </c>
      <c r="L50" s="409"/>
      <c r="M50" s="410"/>
      <c r="N50" s="211"/>
      <c r="O50" s="211"/>
      <c r="P50" s="211"/>
      <c r="Q50" s="211"/>
      <c r="R50" s="211"/>
      <c r="S50" s="211"/>
      <c r="T50" s="211"/>
      <c r="U50" s="211"/>
      <c r="V50" s="211"/>
      <c r="W50" s="211"/>
      <c r="X50" s="211"/>
      <c r="Y50" s="211"/>
      <c r="Z50" s="211"/>
    </row>
    <row r="51" spans="1:26" ht="28.5" customHeight="1" outlineLevel="1" thickBot="1" x14ac:dyDescent="0.65">
      <c r="A51" s="83"/>
      <c r="B51" s="394"/>
      <c r="C51" s="79" t="str">
        <f>C50</f>
        <v/>
      </c>
      <c r="D51" s="396"/>
      <c r="E51" s="80" t="s">
        <v>32</v>
      </c>
      <c r="F51" s="91" t="str">
        <f>IF(SA_GRILLE_SCL!$AO$22="","",SA_GRILLE_SCL!$AO$22)</f>
        <v/>
      </c>
      <c r="G51" s="411" t="str">
        <f>IF(SA_GRILLE_SCL!$AQ$37="","",SA_GRILLE_SCL!$AQ$37)</f>
        <v/>
      </c>
      <c r="H51" s="412"/>
      <c r="I51" s="81" t="str">
        <f>IF(SA_GRILLE_SCL!AR$37="","",SA_GRILLE_SCL!AR$37)</f>
        <v/>
      </c>
      <c r="J51" s="493"/>
      <c r="K51" s="399" t="str">
        <f>IF(SA_GRILLE_SCL!AP$37="","",SA_GRILLE_SCL!AP$37)</f>
        <v/>
      </c>
      <c r="L51" s="400"/>
      <c r="M51" s="401"/>
      <c r="N51" s="211"/>
      <c r="O51" s="211"/>
      <c r="P51" s="211"/>
      <c r="Q51" s="211"/>
      <c r="R51" s="211"/>
      <c r="S51" s="211"/>
      <c r="T51" s="211"/>
      <c r="U51" s="211"/>
      <c r="V51" s="211"/>
      <c r="W51" s="211"/>
      <c r="X51" s="211"/>
      <c r="Y51" s="211"/>
      <c r="Z51" s="211"/>
    </row>
    <row r="52" spans="1:26" ht="28.5" customHeight="1" outlineLevel="1" thickBot="1" x14ac:dyDescent="0.65">
      <c r="A52" s="83"/>
      <c r="B52" s="393" t="s">
        <v>39</v>
      </c>
      <c r="C52" s="76" t="str">
        <f>IF(SA_GRILLE_SCL!$AV$3="","",SA_GRILLE_SCL!$AV$3)</f>
        <v/>
      </c>
      <c r="D52" s="395" t="str">
        <f>IF(SA_GRILLE_SCL!$AT$3="","",SA_GRILLE_SCL!$AT$3)</f>
        <v/>
      </c>
      <c r="E52" s="77" t="s">
        <v>16</v>
      </c>
      <c r="F52" s="90" t="str">
        <f>IF(SA_GRILLE_SCL!$AT$5="","",SA_GRILLE_SCL!$AT$5)</f>
        <v/>
      </c>
      <c r="G52" s="397" t="str">
        <f>IF(SA_GRILLE_SCL!$AV$19="","",SA_GRILLE_SCL!$AV$19)</f>
        <v/>
      </c>
      <c r="H52" s="398"/>
      <c r="I52" s="78" t="str">
        <f>IF(SA_GRILLE_SCL!AW$19="","",SA_GRILLE_SCL!AW$19)</f>
        <v/>
      </c>
      <c r="J52" s="493" t="str">
        <f>IF(AnalysesComparatives_SCL!P27="","",AnalysesComparatives_SCL!P27)</f>
        <v/>
      </c>
      <c r="K52" s="408" t="str">
        <f>IF(SA_GRILLE_SCL!AU$19="","",SA_GRILLE_SCL!AU$19)</f>
        <v/>
      </c>
      <c r="L52" s="409"/>
      <c r="M52" s="410"/>
      <c r="N52" s="211"/>
      <c r="O52" s="211"/>
      <c r="P52" s="211"/>
      <c r="Q52" s="211"/>
      <c r="R52" s="211"/>
      <c r="S52" s="211"/>
      <c r="T52" s="211"/>
      <c r="U52" s="211"/>
      <c r="V52" s="211"/>
      <c r="W52" s="211"/>
      <c r="X52" s="211"/>
      <c r="Y52" s="211"/>
      <c r="Z52" s="211"/>
    </row>
    <row r="53" spans="1:26" ht="28.5" customHeight="1" outlineLevel="1" thickBot="1" x14ac:dyDescent="0.65">
      <c r="A53" s="83"/>
      <c r="B53" s="394"/>
      <c r="C53" s="79" t="str">
        <f>C52</f>
        <v/>
      </c>
      <c r="D53" s="396"/>
      <c r="E53" s="80" t="s">
        <v>32</v>
      </c>
      <c r="F53" s="91" t="str">
        <f>IF(SA_GRILLE_SCL!$AT$22="","",SA_GRILLE_SCL!$AT$22)</f>
        <v/>
      </c>
      <c r="G53" s="411" t="str">
        <f>IF(SA_GRILLE_SCL!$AV$37="","",SA_GRILLE_SCL!$AV$37)</f>
        <v/>
      </c>
      <c r="H53" s="412"/>
      <c r="I53" s="81" t="str">
        <f>IF(SA_GRILLE_SCL!AW$37="","",SA_GRILLE_SCL!AW$37)</f>
        <v/>
      </c>
      <c r="J53" s="493"/>
      <c r="K53" s="399" t="str">
        <f>IF(SA_GRILLE_SCL!AU$37="","",SA_GRILLE_SCL!AU$37)</f>
        <v/>
      </c>
      <c r="L53" s="400"/>
      <c r="M53" s="401"/>
      <c r="N53" s="211"/>
      <c r="O53" s="211"/>
      <c r="P53" s="211"/>
      <c r="Q53" s="211"/>
      <c r="R53" s="211"/>
      <c r="S53" s="211"/>
      <c r="T53" s="211"/>
      <c r="U53" s="211"/>
      <c r="V53" s="211"/>
      <c r="W53" s="211"/>
      <c r="X53" s="211"/>
      <c r="Y53" s="211"/>
      <c r="Z53" s="211"/>
    </row>
    <row r="54" spans="1:26" ht="28.5" customHeight="1" outlineLevel="1" thickBot="1" x14ac:dyDescent="0.65">
      <c r="A54" s="83"/>
      <c r="B54" s="393" t="s">
        <v>40</v>
      </c>
      <c r="C54" s="76" t="str">
        <f>IF(SA_GRILLE_SCL!$BA$3="","",SA_GRILLE_SCL!$BA$3)</f>
        <v/>
      </c>
      <c r="D54" s="395" t="str">
        <f>IF(SA_GRILLE_SCL!$AY$3="","",SA_GRILLE_SCL!$AY$3)</f>
        <v/>
      </c>
      <c r="E54" s="77" t="s">
        <v>16</v>
      </c>
      <c r="F54" s="90" t="str">
        <f>IF(SA_GRILLE_SCL!$AY$5="","",SA_GRILLE_SCL!$AY$5)</f>
        <v/>
      </c>
      <c r="G54" s="397" t="str">
        <f>IF(SA_GRILLE_SCL!$BA$19="","",SA_GRILLE_SCL!$BA$19)</f>
        <v/>
      </c>
      <c r="H54" s="398"/>
      <c r="I54" s="78" t="str">
        <f>IF(SA_GRILLE_SCL!BB$19="","",SA_GRILLE_SCL!BB$19)</f>
        <v/>
      </c>
      <c r="J54" s="493" t="str">
        <f>IF(AnalysesComparatives_SCL!P28="","",AnalysesComparatives_SCL!P28)</f>
        <v/>
      </c>
      <c r="K54" s="408" t="str">
        <f>IF(SA_GRILLE_SCL!AZ$19="","",SA_GRILLE_SCL!AZ$19)</f>
        <v/>
      </c>
      <c r="L54" s="409"/>
      <c r="M54" s="410"/>
      <c r="N54" s="211"/>
      <c r="O54" s="211"/>
      <c r="P54" s="211"/>
      <c r="Q54" s="211"/>
      <c r="R54" s="211"/>
      <c r="S54" s="211"/>
      <c r="T54" s="211"/>
      <c r="U54" s="211"/>
      <c r="V54" s="211"/>
      <c r="W54" s="211"/>
      <c r="X54" s="211"/>
      <c r="Y54" s="211"/>
      <c r="Z54" s="211"/>
    </row>
    <row r="55" spans="1:26" ht="28.5" customHeight="1" outlineLevel="1" thickBot="1" x14ac:dyDescent="0.65">
      <c r="A55" s="83"/>
      <c r="B55" s="394"/>
      <c r="C55" s="79" t="str">
        <f>C54</f>
        <v/>
      </c>
      <c r="D55" s="396"/>
      <c r="E55" s="80" t="s">
        <v>32</v>
      </c>
      <c r="F55" s="91" t="str">
        <f>IF(SA_GRILLE_SCL!$AY$22="","",SA_GRILLE_SCL!$AY$22)</f>
        <v/>
      </c>
      <c r="G55" s="411" t="str">
        <f>IF(SA_GRILLE_SCL!$BA$37="","",SA_GRILLE_SCL!$BA$37)</f>
        <v/>
      </c>
      <c r="H55" s="412"/>
      <c r="I55" s="81" t="str">
        <f>IF(SA_GRILLE_SCL!BB$37="","",SA_GRILLE_SCL!BB$37)</f>
        <v/>
      </c>
      <c r="J55" s="493"/>
      <c r="K55" s="399" t="str">
        <f>IF(SA_GRILLE_SCL!AZ$37="","",SA_GRILLE_SCL!AZ$37)</f>
        <v/>
      </c>
      <c r="L55" s="400"/>
      <c r="M55" s="401"/>
      <c r="N55" s="211"/>
      <c r="O55" s="211"/>
      <c r="P55" s="211"/>
      <c r="Q55" s="211"/>
      <c r="R55" s="211"/>
      <c r="S55" s="211"/>
      <c r="T55" s="211"/>
      <c r="U55" s="211"/>
      <c r="V55" s="211"/>
      <c r="W55" s="211"/>
      <c r="X55" s="211"/>
      <c r="Y55" s="211"/>
      <c r="Z55" s="211"/>
    </row>
    <row r="56" spans="1:26" ht="28.5" customHeight="1" outlineLevel="1" x14ac:dyDescent="0.6">
      <c r="A56" s="83"/>
      <c r="B56" s="393" t="s">
        <v>41</v>
      </c>
      <c r="C56" s="76" t="str">
        <f>IF(SA_GRILLE_SCL!$BF$3="","",SA_GRILLE_SCL!$BF$3)</f>
        <v/>
      </c>
      <c r="D56" s="395" t="str">
        <f>IF(SA_GRILLE_SCL!$BC$3="","",SA_GRILLE_SCL!$BC$3)</f>
        <v/>
      </c>
      <c r="E56" s="77" t="s">
        <v>16</v>
      </c>
      <c r="F56" s="90" t="str">
        <f>IF(SA_GRILLE_SCL!$BD$5="","",SA_GRILLE_SCL!$BD$5)</f>
        <v/>
      </c>
      <c r="G56" s="397" t="str">
        <f>IF(SA_GRILLE_SCL!$BF$19="","",SA_GRILLE_SCL!$BF$19)</f>
        <v/>
      </c>
      <c r="H56" s="398"/>
      <c r="I56" s="78" t="str">
        <f>IF(SA_GRILLE_SCL!BG$19="","",SA_GRILLE_SCL!BG$19)</f>
        <v/>
      </c>
      <c r="J56" s="494" t="str">
        <f>IF(AnalysesComparatives_SCL!P29="","",AnalysesComparatives_SCL!P29)</f>
        <v/>
      </c>
      <c r="K56" s="408" t="str">
        <f>IF(SA_GRILLE_SCL!BE$19="","",SA_GRILLE_SCL!BE$19)</f>
        <v/>
      </c>
      <c r="L56" s="409"/>
      <c r="M56" s="410"/>
      <c r="N56" s="211"/>
      <c r="O56" s="211"/>
      <c r="P56" s="211"/>
      <c r="Q56" s="211"/>
      <c r="R56" s="211"/>
      <c r="S56" s="211"/>
      <c r="T56" s="211"/>
      <c r="U56" s="211"/>
      <c r="V56" s="211"/>
      <c r="W56" s="211"/>
      <c r="X56" s="211"/>
      <c r="Y56" s="211"/>
      <c r="Z56" s="211"/>
    </row>
    <row r="57" spans="1:26" ht="28.5" customHeight="1" outlineLevel="1" thickBot="1" x14ac:dyDescent="0.65">
      <c r="A57" s="83"/>
      <c r="B57" s="394"/>
      <c r="C57" s="79" t="str">
        <f>C56</f>
        <v/>
      </c>
      <c r="D57" s="396"/>
      <c r="E57" s="80" t="s">
        <v>32</v>
      </c>
      <c r="F57" s="91" t="str">
        <f>IF(SA_GRILLE_SCL!$BD$22="","",SA_GRILLE_SCL!$BD$22)</f>
        <v/>
      </c>
      <c r="G57" s="411" t="str">
        <f>IF(SA_GRILLE_SCL!$BF$37="","",SA_GRILLE_SCL!$BF$37)</f>
        <v/>
      </c>
      <c r="H57" s="412"/>
      <c r="I57" s="81" t="str">
        <f>IF(SA_GRILLE_SCL!BG$37="","",SA_GRILLE_SCL!BG$37)</f>
        <v/>
      </c>
      <c r="J57" s="435"/>
      <c r="K57" s="399" t="str">
        <f>IF(SA_GRILLE_STEU!BE$37="","",SA_GRILLE_STEU!BE$37)</f>
        <v/>
      </c>
      <c r="L57" s="400"/>
      <c r="M57" s="401"/>
      <c r="N57" s="211"/>
      <c r="O57" s="211"/>
      <c r="P57" s="211"/>
      <c r="Q57" s="211"/>
      <c r="R57" s="211"/>
      <c r="S57" s="211"/>
      <c r="T57" s="211"/>
      <c r="U57" s="211"/>
      <c r="V57" s="211"/>
      <c r="W57" s="211"/>
      <c r="X57" s="211"/>
      <c r="Y57" s="211"/>
      <c r="Z57" s="211"/>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12" type="noConversion"/>
  <conditionalFormatting sqref="B10:B21">
    <cfRule type="beginsWith" dxfId="471" priority="47" operator="beginsWith" text="Validé">
      <formula>LEFT(B10,LEN("Validé"))="Validé"</formula>
    </cfRule>
    <cfRule type="containsText" dxfId="470" priority="48" operator="containsText" text="Non validé">
      <formula>NOT(ISERROR(SEARCH("Non validé",B10)))</formula>
    </cfRule>
  </conditionalFormatting>
  <conditionalFormatting sqref="D10:D21">
    <cfRule type="containsText" dxfId="469" priority="37" operator="containsText" text="contrôlé">
      <formula>NOT(ISERROR(SEARCH("contrôlé",D10)))</formula>
    </cfRule>
    <cfRule type="containsText" dxfId="468" priority="38" operator="containsText" text="Non validé">
      <formula>NOT(ISERROR(SEARCH("Non validé",D10)))</formula>
    </cfRule>
    <cfRule type="containsText" dxfId="467" priority="39" operator="containsText" text="réserve">
      <formula>NOT(ISERROR(SEARCH("réserve",D10)))</formula>
    </cfRule>
    <cfRule type="beginsWith" dxfId="466" priority="40" operator="beginsWith" text="Validé">
      <formula>LEFT(D10,LEN("Validé"))="Validé"</formula>
    </cfRule>
  </conditionalFormatting>
  <conditionalFormatting sqref="E10:E21">
    <cfRule type="cellIs" dxfId="465" priority="1" operator="greaterThan">
      <formula>80</formula>
    </cfRule>
    <cfRule type="cellIs" dxfId="464" priority="2" operator="greaterThanOrEqual">
      <formula>70</formula>
    </cfRule>
    <cfRule type="cellIs" dxfId="463" priority="3" operator="lessThan">
      <formula>70</formula>
    </cfRule>
    <cfRule type="expression" dxfId="462" priority="4">
      <formula>IF($I9="",1,0)</formula>
    </cfRule>
  </conditionalFormatting>
  <conditionalFormatting sqref="G9:G10">
    <cfRule type="beginsWith" dxfId="461" priority="41" operator="beginsWith" text="Validé">
      <formula>LEFT(G9,LEN("Validé"))="Validé"</formula>
    </cfRule>
    <cfRule type="containsText" dxfId="460" priority="42" operator="containsText" text="Non validé">
      <formula>NOT(ISERROR(SEARCH("Non validé",G9)))</formula>
    </cfRule>
  </conditionalFormatting>
  <conditionalFormatting sqref="G13:G15">
    <cfRule type="beginsWith" dxfId="459" priority="115" operator="beginsWith" text="Validé">
      <formula>LEFT(G13,LEN("Validé"))="Validé"</formula>
    </cfRule>
    <cfRule type="containsText" dxfId="458" priority="116" operator="containsText" text="Non validé">
      <formula>NOT(ISERROR(SEARCH("Non validé",G13)))</formula>
    </cfRule>
  </conditionalFormatting>
  <conditionalFormatting sqref="G34:H57">
    <cfRule type="containsText" dxfId="457" priority="92" operator="containsText" text="contrôlé">
      <formula>NOT(ISERROR(SEARCH("contrôlé",G34)))</formula>
    </cfRule>
    <cfRule type="containsText" dxfId="456" priority="93" operator="containsText" text="Non validé">
      <formula>NOT(ISERROR(SEARCH("Non validé",G34)))</formula>
    </cfRule>
    <cfRule type="containsText" dxfId="455" priority="94" operator="containsText" text="réserve">
      <formula>NOT(ISERROR(SEARCH("réserve",G34)))</formula>
    </cfRule>
    <cfRule type="beginsWith" dxfId="454" priority="95" operator="beginsWith" text="Validé">
      <formula>LEFT(G34,LEN("Validé"))="Validé"</formula>
    </cfRule>
  </conditionalFormatting>
  <conditionalFormatting sqref="H18:J18">
    <cfRule type="containsText" dxfId="453" priority="21" operator="containsText" text="contrôlé">
      <formula>NOT(ISERROR(SEARCH("contrôlé",H18)))</formula>
    </cfRule>
    <cfRule type="containsText" dxfId="452" priority="22" operator="containsText" text="Non validé">
      <formula>NOT(ISERROR(SEARCH("Non validé",H18)))</formula>
    </cfRule>
    <cfRule type="containsText" dxfId="451" priority="23" operator="containsText" text="réserve">
      <formula>NOT(ISERROR(SEARCH("réserve",H18)))</formula>
    </cfRule>
    <cfRule type="beginsWith" dxfId="450" priority="24" operator="beginsWith" text="Validé">
      <formula>LEFT(H18,LEN("Validé"))="Validé"</formula>
    </cfRule>
  </conditionalFormatting>
  <conditionalFormatting sqref="I34:I57">
    <cfRule type="expression" dxfId="449" priority="96">
      <formula>IF($I34="",1,0)</formula>
    </cfRule>
    <cfRule type="cellIs" dxfId="448" priority="97" operator="between">
      <formula>0</formula>
      <formula>60.1</formula>
    </cfRule>
  </conditionalFormatting>
  <conditionalFormatting sqref="K9">
    <cfRule type="expression" dxfId="447" priority="20">
      <formula>IF(#REF!="Industriel",1,0)</formula>
    </cfRule>
  </conditionalFormatting>
  <conditionalFormatting sqref="K10">
    <cfRule type="containsText" dxfId="446" priority="25" operator="containsText" text="contrôlé">
      <formula>NOT(ISERROR(SEARCH("contrôlé",K10)))</formula>
    </cfRule>
    <cfRule type="containsText" dxfId="445" priority="26" operator="containsText" text="Non validé">
      <formula>NOT(ISERROR(SEARCH("Non validé",K10)))</formula>
    </cfRule>
    <cfRule type="containsText" dxfId="444" priority="27" operator="containsText" text="réserve">
      <formula>NOT(ISERROR(SEARCH("réserve",K10)))</formula>
    </cfRule>
    <cfRule type="beginsWith" dxfId="443" priority="28" operator="beginsWith" text="Validé">
      <formula>LEFT(K10,LEN("Validé"))="Validé"</formula>
    </cfRule>
  </conditionalFormatting>
  <conditionalFormatting sqref="K9:Q9">
    <cfRule type="containsText" dxfId="442" priority="18" operator="containsText" text="Non">
      <formula>NOT(ISERROR(SEARCH("Non",K9)))</formula>
    </cfRule>
    <cfRule type="containsText" dxfId="441" priority="19" operator="containsText" text="Oui">
      <formula>NOT(ISERROR(SEARCH("Oui",K9)))</formula>
    </cfRule>
  </conditionalFormatting>
  <dataValidations count="4">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 type="list" allowBlank="1" showInputMessage="1" showErrorMessage="1" sqref="U6 D10:D21" xr:uid="{00000000-0002-0000-0200-000003000000}">
      <formula1>#REF!</formula1>
    </dataValidation>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6" customWidth="1"/>
    <col min="2" max="2" width="13.87890625" style="6" customWidth="1"/>
    <col min="3" max="3" width="8.29296875" style="6" customWidth="1"/>
    <col min="4" max="4" width="14.29296875" style="6" customWidth="1"/>
    <col min="5" max="5" width="3.87890625" style="6" customWidth="1"/>
    <col min="6" max="6" width="14.29296875" style="6" customWidth="1"/>
    <col min="7" max="7" width="3.87890625" style="6" customWidth="1"/>
    <col min="8" max="8" width="9.5859375" style="6" customWidth="1"/>
    <col min="9" max="9" width="9.29296875" style="6" customWidth="1"/>
    <col min="10" max="10" width="16" style="6" customWidth="1"/>
    <col min="11" max="11" width="3.87890625" style="6" customWidth="1"/>
    <col min="12" max="12" width="14.29296875" style="6" customWidth="1"/>
    <col min="13" max="13" width="3.87890625" style="6" customWidth="1"/>
    <col min="14" max="14" width="7.1171875" style="6" customWidth="1"/>
    <col min="15" max="15" width="8.41015625" style="6" customWidth="1"/>
    <col min="16" max="16" width="17.41015625" style="6" customWidth="1"/>
    <col min="17" max="17" width="3.87890625" style="6" customWidth="1"/>
    <col min="18" max="18" width="14.29296875" style="6" customWidth="1"/>
    <col min="19" max="19" width="3.87890625" style="6" customWidth="1"/>
    <col min="20" max="20" width="6.703125" style="6" customWidth="1"/>
    <col min="21" max="21" width="8.41015625" style="6" customWidth="1"/>
    <col min="22" max="22" width="2.703125" style="6" customWidth="1"/>
    <col min="23" max="23" width="11.41015625" style="7" hidden="1" customWidth="1"/>
    <col min="24" max="16384" width="11.41015625" style="7" hidden="1"/>
  </cols>
  <sheetData>
    <row r="1" spans="1:22" ht="9.9499999999999993" customHeight="1" thickBot="1" x14ac:dyDescent="0.45">
      <c r="A1" s="239"/>
      <c r="B1" s="239"/>
      <c r="C1" s="239"/>
      <c r="D1" s="239"/>
      <c r="E1" s="239"/>
      <c r="F1" s="239"/>
      <c r="G1" s="239"/>
      <c r="H1" s="239"/>
      <c r="I1" s="239"/>
      <c r="J1" s="239"/>
      <c r="K1" s="239"/>
      <c r="L1" s="239"/>
      <c r="M1" s="239"/>
      <c r="N1" s="239"/>
      <c r="O1" s="239"/>
      <c r="P1" s="239"/>
      <c r="Q1" s="239"/>
      <c r="R1" s="239"/>
      <c r="S1" s="239"/>
      <c r="T1" s="239"/>
      <c r="U1" s="239"/>
      <c r="V1" s="239"/>
    </row>
    <row r="2" spans="1:22" ht="15.7" thickBot="1" x14ac:dyDescent="0.45">
      <c r="A2" s="239"/>
      <c r="B2" s="536" t="s">
        <v>110</v>
      </c>
      <c r="C2" s="537"/>
      <c r="D2" s="537"/>
      <c r="E2" s="537"/>
      <c r="F2" s="537"/>
      <c r="G2" s="537"/>
      <c r="H2" s="537"/>
      <c r="I2" s="537"/>
      <c r="J2" s="537"/>
      <c r="K2" s="537"/>
      <c r="L2" s="537"/>
      <c r="M2" s="537"/>
      <c r="N2" s="537"/>
      <c r="O2" s="537"/>
      <c r="P2" s="537"/>
      <c r="Q2" s="537"/>
      <c r="R2" s="537"/>
      <c r="S2" s="537"/>
      <c r="T2" s="537"/>
      <c r="U2" s="538"/>
      <c r="V2" s="239"/>
    </row>
    <row r="3" spans="1:22" ht="16.5" customHeight="1" x14ac:dyDescent="0.4">
      <c r="A3" s="239"/>
      <c r="B3" s="539" t="s">
        <v>54</v>
      </c>
      <c r="C3" s="540"/>
      <c r="D3" s="540"/>
      <c r="E3" s="540"/>
      <c r="F3" s="540"/>
      <c r="G3" s="540"/>
      <c r="H3" s="540"/>
      <c r="I3" s="540"/>
      <c r="J3" s="541" t="str">
        <f>IF(SYNTHESE_SCL!P6="","",SYNTHESE_SCL!P6)</f>
        <v/>
      </c>
      <c r="K3" s="541"/>
      <c r="L3" s="541"/>
      <c r="M3" s="541"/>
      <c r="N3" s="541"/>
      <c r="O3" s="541"/>
      <c r="P3" s="541"/>
      <c r="Q3" s="541"/>
      <c r="R3" s="541"/>
      <c r="S3" s="541"/>
      <c r="T3" s="541"/>
      <c r="U3" s="542"/>
      <c r="V3" s="239"/>
    </row>
    <row r="4" spans="1:22" ht="16.5" customHeight="1" thickBot="1" x14ac:dyDescent="0.45">
      <c r="A4" s="239"/>
      <c r="B4" s="543" t="s">
        <v>55</v>
      </c>
      <c r="C4" s="544"/>
      <c r="D4" s="544"/>
      <c r="E4" s="544"/>
      <c r="F4" s="544"/>
      <c r="G4" s="544"/>
      <c r="H4" s="544"/>
      <c r="I4" s="544"/>
      <c r="J4" s="545" t="str">
        <f>IF(SYNTHESE_SCL!E6="","",SYNTHESE_SCL!E6)</f>
        <v/>
      </c>
      <c r="K4" s="545"/>
      <c r="L4" s="545"/>
      <c r="M4" s="545"/>
      <c r="N4" s="545"/>
      <c r="O4" s="545"/>
      <c r="P4" s="545"/>
      <c r="Q4" s="545"/>
      <c r="R4" s="545"/>
      <c r="S4" s="545"/>
      <c r="T4" s="545"/>
      <c r="U4" s="546"/>
      <c r="V4" s="239"/>
    </row>
    <row r="5" spans="1:22" ht="9.9499999999999993" customHeight="1" x14ac:dyDescent="0.4">
      <c r="A5" s="239"/>
      <c r="B5" s="233"/>
      <c r="C5" s="233"/>
      <c r="D5" s="233"/>
      <c r="E5" s="233"/>
      <c r="F5" s="233"/>
      <c r="G5" s="233"/>
      <c r="H5" s="233"/>
      <c r="I5" s="233"/>
      <c r="J5" s="234"/>
      <c r="K5" s="234"/>
      <c r="L5" s="234"/>
      <c r="M5" s="234"/>
      <c r="N5" s="234"/>
      <c r="O5" s="234"/>
      <c r="P5" s="234"/>
      <c r="Q5" s="234"/>
      <c r="R5" s="234"/>
      <c r="S5" s="234"/>
      <c r="T5" s="234"/>
      <c r="U5" s="234"/>
      <c r="V5" s="239"/>
    </row>
    <row r="6" spans="1:22" ht="16" thickBot="1" x14ac:dyDescent="0.45">
      <c r="A6" s="239"/>
      <c r="B6" s="514" t="s">
        <v>56</v>
      </c>
      <c r="C6" s="514"/>
      <c r="D6" s="514"/>
      <c r="E6" s="514"/>
      <c r="F6" s="514"/>
      <c r="G6" s="514"/>
      <c r="H6" s="514"/>
      <c r="I6" s="514"/>
      <c r="J6" s="514"/>
      <c r="K6" s="514"/>
      <c r="L6" s="514"/>
      <c r="M6" s="514"/>
      <c r="N6" s="514"/>
      <c r="O6" s="514"/>
      <c r="P6" s="514"/>
      <c r="Q6" s="72"/>
      <c r="R6" s="547" t="s">
        <v>57</v>
      </c>
      <c r="S6" s="547"/>
      <c r="T6" s="259"/>
      <c r="U6" s="172" t="s">
        <v>190</v>
      </c>
      <c r="V6" s="239"/>
    </row>
    <row r="7" spans="1:22" ht="15" customHeight="1" thickBot="1" x14ac:dyDescent="0.45">
      <c r="A7" s="239"/>
      <c r="B7" s="260" t="s">
        <v>22</v>
      </c>
      <c r="C7" s="261"/>
      <c r="D7" s="262"/>
      <c r="E7" s="262"/>
      <c r="F7" s="262"/>
      <c r="G7" s="262"/>
      <c r="H7" s="262"/>
      <c r="I7" s="262"/>
      <c r="J7" s="262"/>
      <c r="K7" s="262"/>
      <c r="L7" s="262"/>
      <c r="M7" s="262"/>
      <c r="N7" s="263" t="s">
        <v>58</v>
      </c>
      <c r="O7" s="264"/>
      <c r="P7" s="176"/>
      <c r="Q7" s="239"/>
      <c r="R7" s="548" t="str">
        <f>IF(P7="","",IF(P7="Non validé",0.1,0))</f>
        <v/>
      </c>
      <c r="S7" s="549"/>
      <c r="T7" s="239"/>
      <c r="U7" s="172"/>
      <c r="V7" s="239"/>
    </row>
    <row r="8" spans="1:22" ht="15" customHeight="1" thickBot="1" x14ac:dyDescent="0.45">
      <c r="A8" s="239"/>
      <c r="B8" s="265"/>
      <c r="C8" s="265"/>
      <c r="D8" s="239"/>
      <c r="E8" s="239"/>
      <c r="F8" s="239"/>
      <c r="G8" s="239"/>
      <c r="H8" s="239"/>
      <c r="I8" s="239"/>
      <c r="J8" s="239"/>
      <c r="K8" s="239"/>
      <c r="L8" s="239"/>
      <c r="M8" s="239"/>
      <c r="N8" s="239"/>
      <c r="O8" s="239"/>
      <c r="P8" s="239"/>
      <c r="Q8" s="239"/>
      <c r="R8" s="239"/>
      <c r="S8" s="239"/>
      <c r="T8" s="239"/>
      <c r="U8" s="172"/>
      <c r="V8" s="239"/>
    </row>
    <row r="9" spans="1:22" ht="15" customHeight="1" x14ac:dyDescent="0.4">
      <c r="A9" s="239"/>
      <c r="B9" s="265"/>
      <c r="C9" s="265"/>
      <c r="D9" s="239"/>
      <c r="E9" s="239"/>
      <c r="F9" s="266"/>
      <c r="G9" s="266"/>
      <c r="H9" s="266"/>
      <c r="I9" s="266"/>
      <c r="J9" s="266"/>
      <c r="K9" s="266"/>
      <c r="L9" s="266"/>
      <c r="M9" s="266"/>
      <c r="N9" s="267" t="s">
        <v>59</v>
      </c>
      <c r="O9" s="264"/>
      <c r="P9" s="177"/>
      <c r="Q9" s="239"/>
      <c r="R9" s="550" t="str">
        <f>IF(P9="","",IF(P9="Non validé",0.1,0))</f>
        <v/>
      </c>
      <c r="S9" s="550"/>
      <c r="T9" s="239"/>
      <c r="U9" s="172"/>
      <c r="V9" s="239"/>
    </row>
    <row r="10" spans="1:22" ht="15" customHeight="1" x14ac:dyDescent="0.4">
      <c r="A10" s="239"/>
      <c r="B10" s="265"/>
      <c r="C10" s="265"/>
      <c r="D10" s="239"/>
      <c r="E10" s="239"/>
      <c r="F10" s="239"/>
      <c r="G10" s="239"/>
      <c r="H10" s="239"/>
      <c r="I10" s="239"/>
      <c r="J10" s="239"/>
      <c r="K10" s="239"/>
      <c r="L10" s="239"/>
      <c r="M10" s="239"/>
      <c r="N10" s="267" t="s">
        <v>60</v>
      </c>
      <c r="O10" s="264"/>
      <c r="P10" s="178"/>
      <c r="Q10" s="239"/>
      <c r="R10" s="550" t="str">
        <f>IF(P10="","",IF(P10="Non validé",0.1,0))</f>
        <v/>
      </c>
      <c r="S10" s="550"/>
      <c r="T10" s="239"/>
      <c r="U10" s="172" t="s">
        <v>191</v>
      </c>
      <c r="V10" s="239"/>
    </row>
    <row r="11" spans="1:22" ht="17.25" customHeight="1" thickBot="1" x14ac:dyDescent="0.45">
      <c r="A11" s="239"/>
      <c r="B11" s="265"/>
      <c r="C11" s="265"/>
      <c r="D11" s="551" t="s">
        <v>61</v>
      </c>
      <c r="E11" s="551"/>
      <c r="F11" s="551"/>
      <c r="G11" s="551"/>
      <c r="H11" s="551"/>
      <c r="I11" s="551"/>
      <c r="J11" s="551"/>
      <c r="K11" s="551"/>
      <c r="L11" s="551"/>
      <c r="M11" s="551"/>
      <c r="N11" s="551"/>
      <c r="O11" s="264"/>
      <c r="P11" s="179"/>
      <c r="Q11" s="239"/>
      <c r="R11" s="550" t="str">
        <f>IF(P11="","",IF(P11="Non validé",0.1,0))</f>
        <v/>
      </c>
      <c r="S11" s="550"/>
      <c r="T11" s="239"/>
      <c r="U11" s="172"/>
      <c r="V11" s="239"/>
    </row>
    <row r="12" spans="1:22" ht="14.25" customHeight="1" x14ac:dyDescent="0.4">
      <c r="A12" s="239"/>
      <c r="B12" s="265"/>
      <c r="C12" s="265"/>
      <c r="D12" s="551"/>
      <c r="E12" s="551"/>
      <c r="F12" s="551"/>
      <c r="G12" s="551"/>
      <c r="H12" s="551"/>
      <c r="I12" s="551"/>
      <c r="J12" s="551"/>
      <c r="K12" s="551"/>
      <c r="L12" s="551"/>
      <c r="M12" s="551"/>
      <c r="N12" s="551"/>
      <c r="O12" s="264"/>
      <c r="P12" s="264"/>
      <c r="Q12" s="264"/>
      <c r="R12" s="268"/>
      <c r="S12" s="268"/>
      <c r="T12" s="239"/>
      <c r="U12" s="172"/>
      <c r="V12" s="239"/>
    </row>
    <row r="13" spans="1:22" s="6" customFormat="1" ht="15" customHeight="1" x14ac:dyDescent="0.4">
      <c r="A13" s="239"/>
      <c r="B13" s="239"/>
      <c r="C13" s="239"/>
      <c r="D13" s="239"/>
      <c r="E13" s="239"/>
      <c r="F13" s="239"/>
      <c r="G13" s="239"/>
      <c r="H13" s="239"/>
      <c r="I13" s="239"/>
      <c r="J13" s="269" t="s">
        <v>62</v>
      </c>
      <c r="K13" s="239"/>
      <c r="L13" s="239"/>
      <c r="M13" s="239"/>
      <c r="N13" s="239"/>
      <c r="O13" s="239"/>
      <c r="P13" s="239"/>
      <c r="Q13" s="270"/>
      <c r="R13" s="271"/>
      <c r="S13" s="268"/>
      <c r="T13" s="239"/>
      <c r="U13" s="172"/>
      <c r="V13" s="239"/>
    </row>
    <row r="14" spans="1:22" s="6" customFormat="1" ht="15" customHeight="1" x14ac:dyDescent="0.4">
      <c r="A14" s="239"/>
      <c r="B14" s="239"/>
      <c r="C14" s="239"/>
      <c r="D14" s="239"/>
      <c r="E14" s="239"/>
      <c r="F14" s="239"/>
      <c r="G14" s="239"/>
      <c r="H14" s="239"/>
      <c r="I14" s="239"/>
      <c r="J14" s="527"/>
      <c r="K14" s="528"/>
      <c r="L14" s="528"/>
      <c r="M14" s="528"/>
      <c r="N14" s="528"/>
      <c r="O14" s="528"/>
      <c r="P14" s="528"/>
      <c r="Q14" s="528"/>
      <c r="R14" s="528"/>
      <c r="S14" s="529"/>
      <c r="T14" s="239"/>
      <c r="U14" s="172"/>
      <c r="V14" s="239"/>
    </row>
    <row r="15" spans="1:22" s="6" customFormat="1" ht="15" customHeight="1" x14ac:dyDescent="0.4">
      <c r="A15" s="239"/>
      <c r="B15" s="239"/>
      <c r="C15" s="239"/>
      <c r="D15" s="239"/>
      <c r="E15" s="239"/>
      <c r="F15" s="239"/>
      <c r="G15" s="239"/>
      <c r="H15" s="239"/>
      <c r="I15" s="239"/>
      <c r="J15" s="530"/>
      <c r="K15" s="531"/>
      <c r="L15" s="531"/>
      <c r="M15" s="531"/>
      <c r="N15" s="531"/>
      <c r="O15" s="531"/>
      <c r="P15" s="531"/>
      <c r="Q15" s="531"/>
      <c r="R15" s="531"/>
      <c r="S15" s="532"/>
      <c r="T15" s="239"/>
      <c r="U15" s="172"/>
      <c r="V15" s="239"/>
    </row>
    <row r="16" spans="1:22" s="6" customFormat="1" ht="15" customHeight="1" x14ac:dyDescent="0.4">
      <c r="A16" s="239"/>
      <c r="B16" s="239"/>
      <c r="C16" s="239"/>
      <c r="D16" s="239"/>
      <c r="E16" s="239"/>
      <c r="F16" s="239"/>
      <c r="G16" s="239"/>
      <c r="H16" s="239"/>
      <c r="I16" s="239"/>
      <c r="J16" s="530"/>
      <c r="K16" s="531"/>
      <c r="L16" s="531"/>
      <c r="M16" s="531"/>
      <c r="N16" s="531"/>
      <c r="O16" s="531"/>
      <c r="P16" s="531"/>
      <c r="Q16" s="531"/>
      <c r="R16" s="531"/>
      <c r="S16" s="532"/>
      <c r="T16" s="239"/>
      <c r="U16" s="172"/>
      <c r="V16" s="239"/>
    </row>
    <row r="17" spans="1:22" s="6" customFormat="1" ht="15" customHeight="1" x14ac:dyDescent="0.4">
      <c r="A17" s="239"/>
      <c r="B17" s="239"/>
      <c r="C17" s="239"/>
      <c r="D17" s="239"/>
      <c r="E17" s="239"/>
      <c r="F17" s="239"/>
      <c r="G17" s="239"/>
      <c r="H17" s="239"/>
      <c r="I17" s="239"/>
      <c r="J17" s="533"/>
      <c r="K17" s="534"/>
      <c r="L17" s="534"/>
      <c r="M17" s="534"/>
      <c r="N17" s="534"/>
      <c r="O17" s="534"/>
      <c r="P17" s="534"/>
      <c r="Q17" s="534"/>
      <c r="R17" s="534"/>
      <c r="S17" s="535"/>
      <c r="T17" s="239"/>
      <c r="U17" s="172"/>
      <c r="V17" s="239"/>
    </row>
    <row r="18" spans="1:22" ht="15" customHeight="1" x14ac:dyDescent="0.4">
      <c r="A18" s="239"/>
      <c r="B18" s="239"/>
      <c r="C18" s="265"/>
      <c r="D18" s="239"/>
      <c r="E18" s="239"/>
      <c r="F18" s="239"/>
      <c r="G18" s="239"/>
      <c r="H18" s="239"/>
      <c r="I18" s="239"/>
      <c r="J18" s="239"/>
      <c r="K18" s="239"/>
      <c r="L18" s="239"/>
      <c r="M18" s="239"/>
      <c r="N18" s="272"/>
      <c r="O18" s="239"/>
      <c r="P18" s="273"/>
      <c r="Q18" s="239"/>
      <c r="R18" s="240"/>
      <c r="S18" s="240"/>
      <c r="T18" s="253"/>
      <c r="U18" s="172"/>
      <c r="V18" s="239"/>
    </row>
    <row r="19" spans="1:22" ht="15" customHeight="1" x14ac:dyDescent="0.4">
      <c r="A19" s="239"/>
      <c r="B19" s="274" t="s">
        <v>63</v>
      </c>
      <c r="C19" s="265"/>
      <c r="D19" s="239"/>
      <c r="E19" s="239"/>
      <c r="F19" s="239"/>
      <c r="G19" s="239"/>
      <c r="H19" s="239"/>
      <c r="I19" s="239"/>
      <c r="J19" s="239"/>
      <c r="K19" s="239"/>
      <c r="L19" s="239"/>
      <c r="M19" s="239"/>
      <c r="N19" s="272"/>
      <c r="O19" s="239"/>
      <c r="P19" s="273"/>
      <c r="Q19" s="239"/>
      <c r="R19" s="240"/>
      <c r="S19" s="240"/>
      <c r="T19" s="253"/>
      <c r="U19" s="172"/>
      <c r="V19" s="239"/>
    </row>
    <row r="20" spans="1:22" ht="15.75" customHeight="1" x14ac:dyDescent="0.4">
      <c r="A20" s="239"/>
      <c r="B20" s="514" t="s">
        <v>64</v>
      </c>
      <c r="C20" s="514"/>
      <c r="D20" s="514"/>
      <c r="E20" s="514"/>
      <c r="F20" s="514"/>
      <c r="G20" s="514"/>
      <c r="H20" s="514"/>
      <c r="I20" s="514"/>
      <c r="J20" s="514"/>
      <c r="K20" s="514"/>
      <c r="L20" s="514"/>
      <c r="M20" s="514"/>
      <c r="N20" s="514"/>
      <c r="O20" s="514"/>
      <c r="P20" s="514"/>
      <c r="Q20" s="72"/>
      <c r="R20" s="515"/>
      <c r="S20" s="515"/>
      <c r="T20" s="239"/>
      <c r="U20" s="172"/>
      <c r="V20" s="239"/>
    </row>
    <row r="21" spans="1:22" s="172" customFormat="1" ht="15.75" customHeight="1" x14ac:dyDescent="0.4">
      <c r="A21" s="239"/>
      <c r="B21" s="275"/>
      <c r="C21" s="275"/>
      <c r="D21" s="239"/>
      <c r="E21" s="239"/>
      <c r="F21" s="239"/>
      <c r="G21" s="239"/>
      <c r="H21" s="276"/>
      <c r="I21" s="276"/>
      <c r="J21" s="239"/>
      <c r="K21" s="239"/>
      <c r="L21" s="239"/>
      <c r="M21" s="239"/>
      <c r="N21" s="239"/>
      <c r="O21" s="239"/>
      <c r="P21" s="277"/>
      <c r="Q21" s="277"/>
      <c r="R21" s="277"/>
      <c r="S21" s="239"/>
      <c r="T21" s="239"/>
      <c r="U21" s="239"/>
      <c r="V21" s="239"/>
    </row>
    <row r="22" spans="1:22" s="172" customFormat="1" ht="15" customHeight="1" x14ac:dyDescent="0.4">
      <c r="A22" s="239"/>
      <c r="B22" s="516" t="s">
        <v>193</v>
      </c>
      <c r="C22" s="516"/>
      <c r="D22" s="518" t="s">
        <v>66</v>
      </c>
      <c r="E22" s="239"/>
      <c r="F22" s="520" t="s">
        <v>67</v>
      </c>
      <c r="G22" s="239"/>
      <c r="H22" s="276"/>
      <c r="I22" s="276"/>
      <c r="J22" s="521" t="s">
        <v>65</v>
      </c>
      <c r="K22" s="522"/>
      <c r="L22" s="523"/>
      <c r="M22" s="521" t="s">
        <v>66</v>
      </c>
      <c r="N22" s="523"/>
      <c r="O22" s="239"/>
      <c r="P22" s="520" t="s">
        <v>67</v>
      </c>
      <c r="Q22" s="277"/>
      <c r="R22" s="239"/>
      <c r="S22" s="239"/>
      <c r="T22" s="239"/>
      <c r="U22" s="239"/>
      <c r="V22" s="239"/>
    </row>
    <row r="23" spans="1:22" s="172" customFormat="1" ht="11.25" customHeight="1" x14ac:dyDescent="0.4">
      <c r="A23" s="239"/>
      <c r="B23" s="517"/>
      <c r="C23" s="517"/>
      <c r="D23" s="519"/>
      <c r="E23" s="239"/>
      <c r="F23" s="520"/>
      <c r="G23" s="239"/>
      <c r="H23" s="276"/>
      <c r="I23" s="276"/>
      <c r="J23" s="524"/>
      <c r="K23" s="525"/>
      <c r="L23" s="526"/>
      <c r="M23" s="524"/>
      <c r="N23" s="526"/>
      <c r="O23" s="239"/>
      <c r="P23" s="520"/>
      <c r="Q23" s="277"/>
      <c r="R23" s="239"/>
      <c r="S23" s="239"/>
      <c r="T23" s="239"/>
      <c r="U23" s="239"/>
      <c r="V23" s="239"/>
    </row>
    <row r="24" spans="1:22" s="172" customFormat="1" ht="13.5" customHeight="1" x14ac:dyDescent="0.4">
      <c r="A24" s="239"/>
      <c r="B24" s="173" t="s">
        <v>23</v>
      </c>
      <c r="C24" s="181"/>
      <c r="D24" s="247" t="e">
        <f>IF(C24="Oui",10,IF(#REF!=0,"",ROUND(#REF!/#REF!*10,1)))</f>
        <v>#REF!</v>
      </c>
      <c r="E24" s="174" t="s">
        <v>68</v>
      </c>
      <c r="F24" s="249" t="str">
        <f>IFERROR(IF(#REF!&gt;=0,D24*(1-SUM($R$7:$S$11))*10,100),"")</f>
        <v/>
      </c>
      <c r="G24" s="239"/>
      <c r="H24" s="276"/>
      <c r="I24" s="276"/>
      <c r="J24" s="512" t="s">
        <v>36</v>
      </c>
      <c r="K24" s="513"/>
      <c r="L24" s="180"/>
      <c r="M24" s="511" t="e">
        <f>IF(L24="Oui",10,IF(#REF!=0,"",ROUND(#REF!/#REF!*10,1)))</f>
        <v>#REF!</v>
      </c>
      <c r="N24" s="511"/>
      <c r="O24" s="174" t="s">
        <v>68</v>
      </c>
      <c r="P24" s="249" t="str">
        <f>IFERROR(IF(#REF!&gt;=0,M24*(1-SUM($R$7:$R$11))*10,100),"")</f>
        <v/>
      </c>
      <c r="Q24" s="277"/>
      <c r="R24" s="239"/>
      <c r="S24" s="239"/>
      <c r="T24" s="239"/>
      <c r="U24" s="239"/>
      <c r="V24" s="239"/>
    </row>
    <row r="25" spans="1:22" s="6" customFormat="1" ht="13.5" customHeight="1" x14ac:dyDescent="0.4">
      <c r="A25" s="239"/>
      <c r="B25" s="175" t="s">
        <v>24</v>
      </c>
      <c r="C25" s="180"/>
      <c r="D25" s="250" t="e">
        <f>IF(C25="Oui",10,IF(#REF!=0,"",ROUND(#REF!/#REF!*10,1)))</f>
        <v>#REF!</v>
      </c>
      <c r="E25" s="174" t="s">
        <v>68</v>
      </c>
      <c r="F25" s="249" t="str">
        <f>IFERROR(IF(#REF!&gt;=0,D25*(1-SUM($R$7:$R$11))*10,100),"")</f>
        <v/>
      </c>
      <c r="G25" s="239"/>
      <c r="H25" s="276"/>
      <c r="I25" s="276"/>
      <c r="J25" s="509" t="s">
        <v>37</v>
      </c>
      <c r="K25" s="510"/>
      <c r="L25" s="180"/>
      <c r="M25" s="511" t="e">
        <f>IF(L25="Oui",10,IF(#REF!=0,"",ROUND(#REF!/#REF!*10,1)))</f>
        <v>#REF!</v>
      </c>
      <c r="N25" s="511"/>
      <c r="O25" s="174" t="s">
        <v>68</v>
      </c>
      <c r="P25" s="249" t="str">
        <f>IFERROR(IF(#REF!&gt;=0,M25*(1-SUM($R$7:$R$11))*10,100),"")</f>
        <v/>
      </c>
      <c r="Q25" s="277"/>
      <c r="R25" s="239"/>
      <c r="S25" s="239"/>
      <c r="T25" s="239"/>
      <c r="U25" s="239"/>
      <c r="V25" s="239"/>
    </row>
    <row r="26" spans="1:22" s="6" customFormat="1" ht="13.5" customHeight="1" x14ac:dyDescent="0.4">
      <c r="A26" s="239"/>
      <c r="B26" s="175" t="s">
        <v>25</v>
      </c>
      <c r="C26" s="180"/>
      <c r="D26" s="250" t="e">
        <f>IF(C26="Oui",10,IF(#REF!=0,"",ROUND(#REF!/#REF!*10,1)))</f>
        <v>#REF!</v>
      </c>
      <c r="E26" s="174" t="s">
        <v>68</v>
      </c>
      <c r="F26" s="249" t="str">
        <f>IFERROR(IF(#REF!&gt;=0,D26*(1-SUM($R$7:$R$11))*10,100),"")</f>
        <v/>
      </c>
      <c r="G26" s="239"/>
      <c r="H26" s="276"/>
      <c r="I26" s="276"/>
      <c r="J26" s="509" t="s">
        <v>38</v>
      </c>
      <c r="K26" s="510"/>
      <c r="L26" s="180"/>
      <c r="M26" s="511" t="e">
        <f>IF(L26="Oui",10,IF(#REF!=0,"",ROUND(#REF!/#REF!*10,1)))</f>
        <v>#REF!</v>
      </c>
      <c r="N26" s="511"/>
      <c r="O26" s="174" t="s">
        <v>68</v>
      </c>
      <c r="P26" s="249" t="str">
        <f>IFERROR(IF(#REF!&gt;=0,M26*(1-SUM($R$7:$R$11))*10,100),"")</f>
        <v/>
      </c>
      <c r="Q26" s="277"/>
      <c r="R26" s="239"/>
      <c r="S26" s="239"/>
      <c r="T26" s="239"/>
      <c r="U26" s="239"/>
      <c r="V26" s="239"/>
    </row>
    <row r="27" spans="1:22" s="6" customFormat="1" ht="13.5" customHeight="1" x14ac:dyDescent="0.4">
      <c r="A27" s="239"/>
      <c r="B27" s="175" t="s">
        <v>33</v>
      </c>
      <c r="C27" s="180"/>
      <c r="D27" s="250" t="e">
        <f>IF(C27="Oui",10,IF(#REF!=0,"",ROUND(#REF!/#REF!*10,1)))</f>
        <v>#REF!</v>
      </c>
      <c r="E27" s="174" t="s">
        <v>68</v>
      </c>
      <c r="F27" s="249" t="str">
        <f>IFERROR(IF(#REF!&gt;=0,D27*(1-SUM($R$7:$R$11))*10,100),"")</f>
        <v/>
      </c>
      <c r="G27" s="239"/>
      <c r="H27" s="276"/>
      <c r="I27" s="276"/>
      <c r="J27" s="509" t="s">
        <v>39</v>
      </c>
      <c r="K27" s="510"/>
      <c r="L27" s="180"/>
      <c r="M27" s="511" t="e">
        <f>IF(L27="Oui",10,IF(#REF!=0,"",ROUND(#REF!/#REF!*10,1)))</f>
        <v>#REF!</v>
      </c>
      <c r="N27" s="511"/>
      <c r="O27" s="174" t="s">
        <v>68</v>
      </c>
      <c r="P27" s="249" t="str">
        <f>IFERROR(IF(#REF!&gt;=0,M27*(1-SUM($R$7:$R$11))*10,100),"")</f>
        <v/>
      </c>
      <c r="Q27" s="277"/>
      <c r="R27" s="239"/>
      <c r="S27" s="239"/>
      <c r="T27" s="239"/>
      <c r="U27" s="239"/>
      <c r="V27" s="239"/>
    </row>
    <row r="28" spans="1:22" ht="13.5" customHeight="1" x14ac:dyDescent="0.4">
      <c r="A28" s="239"/>
      <c r="B28" s="175" t="s">
        <v>34</v>
      </c>
      <c r="C28" s="180"/>
      <c r="D28" s="250" t="e">
        <f>IF(C28="Oui",10,IF(#REF!=0,"",ROUND(#REF!/#REF!*10,1)))</f>
        <v>#REF!</v>
      </c>
      <c r="E28" s="174" t="s">
        <v>68</v>
      </c>
      <c r="F28" s="249" t="str">
        <f>IFERROR(IF(#REF!&gt;=0,D28*(1-SUM($R$7:$R$11))*10,100),"")</f>
        <v/>
      </c>
      <c r="G28" s="239"/>
      <c r="H28" s="276"/>
      <c r="I28" s="276"/>
      <c r="J28" s="509" t="s">
        <v>40</v>
      </c>
      <c r="K28" s="510"/>
      <c r="L28" s="180"/>
      <c r="M28" s="511" t="e">
        <f>IF(L28="Oui",10,IF(#REF!=0,"",ROUND(#REF!/#REF!*10,1)))</f>
        <v>#REF!</v>
      </c>
      <c r="N28" s="511"/>
      <c r="O28" s="174" t="s">
        <v>68</v>
      </c>
      <c r="P28" s="249" t="str">
        <f>IFERROR(IF(#REF!&gt;=0,M28*(1-SUM($R$7:$R$11))*10,100),"")</f>
        <v/>
      </c>
      <c r="Q28" s="277"/>
      <c r="R28" s="239"/>
      <c r="S28" s="239"/>
      <c r="T28" s="239"/>
      <c r="U28" s="239"/>
      <c r="V28" s="239"/>
    </row>
    <row r="29" spans="1:22" s="6" customFormat="1" ht="13.5" customHeight="1" x14ac:dyDescent="0.4">
      <c r="A29" s="239"/>
      <c r="B29" s="175" t="s">
        <v>35</v>
      </c>
      <c r="C29" s="180"/>
      <c r="D29" s="250" t="e">
        <f>IF(C29="Oui",10,IF(#REF!=0,"",ROUND(#REF!/#REF!*10,1)))</f>
        <v>#REF!</v>
      </c>
      <c r="E29" s="174" t="s">
        <v>68</v>
      </c>
      <c r="F29" s="249" t="str">
        <f>IFERROR(IF(#REF!&gt;=0,D29*(1-SUM($R$7:$R$11))*10,100),"")</f>
        <v/>
      </c>
      <c r="G29" s="239"/>
      <c r="H29" s="239"/>
      <c r="I29" s="239"/>
      <c r="J29" s="509" t="s">
        <v>41</v>
      </c>
      <c r="K29" s="510"/>
      <c r="L29" s="180"/>
      <c r="M29" s="511" t="e">
        <f>IF(L29="Oui",10,IF(#REF!=0,"",ROUND(#REF!/#REF!*10,1)))</f>
        <v>#REF!</v>
      </c>
      <c r="N29" s="511"/>
      <c r="O29" s="174" t="s">
        <v>68</v>
      </c>
      <c r="P29" s="249" t="str">
        <f>IFERROR(IF(#REF!&gt;=0,M29*(1-SUM($R$7:$R$11))*10,100),"")</f>
        <v/>
      </c>
      <c r="Q29" s="277"/>
      <c r="R29" s="239"/>
      <c r="S29" s="239"/>
      <c r="T29" s="239"/>
      <c r="U29" s="239"/>
      <c r="V29" s="239"/>
    </row>
    <row r="30" spans="1:22" s="6" customFormat="1" ht="13.5" customHeight="1" x14ac:dyDescent="0.4">
      <c r="A30" s="239"/>
      <c r="B30" s="239"/>
      <c r="C30" s="239"/>
      <c r="D30" s="239"/>
      <c r="E30" s="239"/>
      <c r="F30" s="239"/>
      <c r="G30" s="239"/>
      <c r="H30" s="239"/>
      <c r="I30" s="239"/>
      <c r="J30" s="239"/>
      <c r="K30" s="239"/>
      <c r="L30" s="239"/>
      <c r="M30" s="239"/>
      <c r="N30" s="239"/>
      <c r="O30" s="239"/>
      <c r="P30" s="239"/>
      <c r="Q30" s="239"/>
      <c r="R30" s="239"/>
      <c r="S30" s="239"/>
      <c r="T30" s="239"/>
      <c r="U30" s="239"/>
      <c r="V30" s="239"/>
    </row>
    <row r="31" spans="1:22" s="6" customFormat="1" ht="13.5" customHeight="1" x14ac:dyDescent="0.4">
      <c r="A31" s="239"/>
      <c r="B31" s="269" t="s">
        <v>69</v>
      </c>
      <c r="C31" s="239"/>
      <c r="D31" s="239"/>
      <c r="E31" s="239"/>
      <c r="F31" s="239"/>
      <c r="G31" s="239"/>
      <c r="H31" s="239"/>
      <c r="I31" s="239"/>
      <c r="J31" s="239"/>
      <c r="K31" s="239"/>
      <c r="L31" s="239"/>
      <c r="M31" s="239"/>
      <c r="N31" s="239"/>
      <c r="O31" s="239"/>
      <c r="P31" s="239"/>
      <c r="Q31" s="239"/>
      <c r="R31" s="239"/>
      <c r="S31" s="239"/>
      <c r="T31" s="239"/>
      <c r="U31" s="239"/>
      <c r="V31" s="239"/>
    </row>
    <row r="32" spans="1:22" ht="15" customHeight="1" x14ac:dyDescent="0.4">
      <c r="A32" s="239"/>
      <c r="B32" s="269" t="s">
        <v>70</v>
      </c>
      <c r="C32" s="239"/>
      <c r="D32" s="239"/>
      <c r="E32" s="239"/>
      <c r="F32" s="239"/>
      <c r="G32" s="239"/>
      <c r="H32" s="239"/>
      <c r="I32" s="239"/>
      <c r="J32" s="239"/>
      <c r="K32" s="239"/>
      <c r="L32" s="239"/>
      <c r="M32" s="239"/>
      <c r="N32" s="239"/>
      <c r="O32" s="239"/>
      <c r="P32" s="239"/>
      <c r="Q32" s="239"/>
      <c r="R32" s="239"/>
      <c r="S32" s="239"/>
      <c r="T32" s="239"/>
      <c r="U32" s="239"/>
      <c r="V32" s="239"/>
    </row>
    <row r="33" spans="1:22" ht="15" customHeight="1" x14ac:dyDescent="0.4">
      <c r="A33" s="239"/>
      <c r="B33" s="239"/>
      <c r="C33" s="239"/>
      <c r="D33" s="239"/>
      <c r="E33" s="239"/>
      <c r="F33" s="239"/>
      <c r="G33" s="239"/>
      <c r="H33" s="239"/>
      <c r="I33" s="239"/>
      <c r="J33" s="239"/>
      <c r="K33" s="239"/>
      <c r="L33" s="239"/>
      <c r="M33" s="239"/>
      <c r="N33" s="239"/>
      <c r="O33" s="239"/>
      <c r="P33" s="239"/>
      <c r="Q33" s="239"/>
      <c r="R33" s="239"/>
      <c r="S33" s="239"/>
      <c r="T33" s="239"/>
      <c r="U33" s="239"/>
      <c r="V33" s="239"/>
    </row>
    <row r="34" spans="1:22" ht="28.5" customHeight="1" x14ac:dyDescent="0.4">
      <c r="A34" s="239"/>
      <c r="B34" s="239"/>
      <c r="C34" s="239"/>
      <c r="D34" s="239"/>
      <c r="E34" s="239"/>
      <c r="F34" s="239"/>
      <c r="G34" s="239"/>
      <c r="H34" s="239"/>
      <c r="I34" s="239"/>
      <c r="J34" s="239"/>
      <c r="K34" s="239"/>
      <c r="L34" s="239"/>
      <c r="M34" s="239"/>
      <c r="N34" s="239"/>
      <c r="O34" s="239"/>
      <c r="P34" s="239"/>
      <c r="Q34" s="239"/>
      <c r="R34" s="239"/>
      <c r="S34" s="239"/>
      <c r="T34" s="239"/>
      <c r="U34" s="239"/>
      <c r="V34" s="239"/>
    </row>
    <row r="35" spans="1:22" x14ac:dyDescent="0.4">
      <c r="A35" s="239"/>
      <c r="B35" s="239"/>
      <c r="C35" s="239"/>
      <c r="D35" s="239"/>
      <c r="E35" s="239"/>
      <c r="F35" s="239"/>
      <c r="G35" s="239"/>
      <c r="H35" s="239"/>
      <c r="I35" s="239"/>
      <c r="J35" s="239"/>
      <c r="K35" s="239"/>
      <c r="L35" s="239"/>
      <c r="M35" s="239"/>
      <c r="N35" s="239"/>
      <c r="O35" s="239"/>
      <c r="P35" s="239"/>
      <c r="Q35" s="239"/>
      <c r="R35" s="239"/>
      <c r="S35" s="239"/>
      <c r="T35" s="239"/>
      <c r="U35" s="239"/>
      <c r="V35" s="239"/>
    </row>
    <row r="36" spans="1:22" x14ac:dyDescent="0.4">
      <c r="A36" s="239"/>
      <c r="B36" s="239"/>
      <c r="C36" s="239"/>
      <c r="D36" s="239"/>
      <c r="E36" s="239"/>
      <c r="F36" s="239"/>
      <c r="G36" s="239"/>
      <c r="H36" s="239"/>
      <c r="I36" s="239"/>
      <c r="J36" s="239"/>
      <c r="K36" s="239"/>
      <c r="L36" s="239"/>
      <c r="M36" s="239"/>
      <c r="N36" s="239"/>
      <c r="O36" s="239"/>
      <c r="P36" s="239"/>
      <c r="Q36" s="239"/>
      <c r="R36" s="239"/>
      <c r="S36" s="239"/>
      <c r="T36" s="239"/>
      <c r="U36" s="239"/>
      <c r="V36" s="239"/>
    </row>
    <row r="37" spans="1:22" x14ac:dyDescent="0.4">
      <c r="A37" s="239"/>
      <c r="B37" s="239"/>
      <c r="C37" s="239"/>
      <c r="D37" s="239"/>
      <c r="E37" s="239"/>
      <c r="F37" s="239"/>
      <c r="G37" s="239"/>
      <c r="H37" s="239"/>
      <c r="I37" s="239"/>
      <c r="J37" s="239"/>
      <c r="K37" s="239"/>
      <c r="L37" s="239"/>
      <c r="M37" s="239"/>
      <c r="N37" s="239"/>
      <c r="O37" s="239"/>
      <c r="P37" s="239"/>
      <c r="Q37" s="239"/>
      <c r="R37" s="239"/>
      <c r="S37" s="239"/>
      <c r="T37" s="239"/>
      <c r="U37" s="239"/>
      <c r="V37" s="239"/>
    </row>
    <row r="38" spans="1:22" x14ac:dyDescent="0.4">
      <c r="A38" s="239"/>
      <c r="B38" s="239"/>
      <c r="C38" s="239"/>
      <c r="D38" s="239"/>
      <c r="E38" s="239"/>
      <c r="F38" s="239"/>
      <c r="G38" s="239"/>
      <c r="H38" s="239"/>
      <c r="I38" s="239"/>
      <c r="J38" s="239"/>
      <c r="K38" s="239"/>
      <c r="L38" s="239"/>
      <c r="M38" s="239"/>
      <c r="N38" s="239"/>
      <c r="O38" s="239"/>
      <c r="P38" s="239"/>
      <c r="Q38" s="239"/>
      <c r="R38" s="239"/>
      <c r="S38" s="239"/>
      <c r="T38" s="239"/>
      <c r="U38" s="239"/>
      <c r="V38" s="239"/>
    </row>
    <row r="39" spans="1:22" x14ac:dyDescent="0.4">
      <c r="A39" s="239"/>
      <c r="B39" s="239"/>
      <c r="C39" s="239"/>
      <c r="D39" s="239"/>
      <c r="E39" s="239"/>
      <c r="F39" s="239"/>
      <c r="G39" s="239"/>
      <c r="H39" s="239"/>
      <c r="I39" s="239"/>
      <c r="J39" s="239"/>
      <c r="K39" s="239"/>
      <c r="L39" s="239"/>
      <c r="M39" s="239"/>
      <c r="N39" s="239"/>
      <c r="O39" s="239"/>
      <c r="P39" s="239"/>
      <c r="Q39" s="239"/>
      <c r="R39" s="239"/>
      <c r="S39" s="239"/>
      <c r="T39" s="239"/>
      <c r="U39" s="239"/>
      <c r="V39" s="239"/>
    </row>
    <row r="40" spans="1:22" x14ac:dyDescent="0.4">
      <c r="A40" s="239"/>
      <c r="B40" s="239"/>
      <c r="C40" s="239"/>
      <c r="D40" s="239"/>
      <c r="E40" s="239"/>
      <c r="F40" s="239"/>
      <c r="G40" s="239"/>
      <c r="H40" s="239"/>
      <c r="I40" s="239"/>
      <c r="J40" s="239"/>
      <c r="K40" s="239"/>
      <c r="L40" s="239"/>
      <c r="M40" s="239"/>
      <c r="N40" s="239"/>
      <c r="O40" s="239"/>
      <c r="P40" s="239"/>
      <c r="Q40" s="239"/>
      <c r="R40" s="239"/>
      <c r="S40" s="239"/>
      <c r="T40" s="239"/>
      <c r="U40" s="239"/>
      <c r="V40" s="239"/>
    </row>
    <row r="41" spans="1:22" x14ac:dyDescent="0.4">
      <c r="A41" s="239"/>
      <c r="B41" s="239"/>
      <c r="C41" s="239"/>
      <c r="D41" s="239"/>
      <c r="E41" s="239"/>
      <c r="F41" s="239"/>
      <c r="G41" s="239"/>
      <c r="H41" s="239"/>
      <c r="I41" s="239"/>
      <c r="J41" s="239"/>
      <c r="K41" s="239"/>
      <c r="L41" s="239"/>
      <c r="M41" s="239"/>
      <c r="N41" s="239"/>
      <c r="O41" s="239"/>
      <c r="P41" s="239"/>
      <c r="Q41" s="239"/>
      <c r="R41" s="239"/>
      <c r="S41" s="239"/>
      <c r="T41" s="239"/>
      <c r="U41" s="239"/>
      <c r="V41" s="239"/>
    </row>
    <row r="42" spans="1:22" x14ac:dyDescent="0.4">
      <c r="A42" s="239"/>
      <c r="B42" s="239"/>
      <c r="C42" s="239"/>
      <c r="D42" s="239"/>
      <c r="E42" s="239"/>
      <c r="F42" s="239"/>
      <c r="G42" s="239"/>
      <c r="H42" s="239"/>
      <c r="I42" s="239"/>
      <c r="J42" s="239"/>
      <c r="K42" s="239"/>
      <c r="L42" s="239"/>
      <c r="M42" s="239"/>
      <c r="N42" s="239"/>
      <c r="O42" s="239"/>
      <c r="P42" s="239"/>
      <c r="Q42" s="239"/>
      <c r="R42" s="239"/>
      <c r="S42" s="239"/>
      <c r="T42" s="239"/>
      <c r="U42" s="239"/>
      <c r="V42" s="239"/>
    </row>
    <row r="43" spans="1:22" x14ac:dyDescent="0.4">
      <c r="A43" s="239"/>
      <c r="B43" s="239"/>
      <c r="C43" s="239"/>
      <c r="D43" s="239"/>
      <c r="E43" s="239"/>
      <c r="F43" s="239"/>
      <c r="G43" s="239"/>
      <c r="H43" s="239"/>
      <c r="I43" s="239"/>
      <c r="J43" s="239"/>
      <c r="K43" s="239"/>
      <c r="L43" s="239"/>
      <c r="M43" s="239"/>
      <c r="N43" s="239"/>
      <c r="O43" s="239"/>
      <c r="P43" s="239"/>
      <c r="Q43" s="239"/>
      <c r="R43" s="239"/>
      <c r="S43" s="239"/>
      <c r="T43" s="239"/>
      <c r="U43" s="239"/>
      <c r="V43" s="239"/>
    </row>
    <row r="44" spans="1:22" x14ac:dyDescent="0.4">
      <c r="A44" s="239"/>
      <c r="B44" s="239"/>
      <c r="C44" s="239"/>
      <c r="D44" s="239"/>
      <c r="E44" s="239"/>
      <c r="F44" s="239"/>
      <c r="G44" s="239"/>
      <c r="H44" s="239"/>
      <c r="I44" s="239"/>
      <c r="J44" s="239"/>
      <c r="K44" s="239"/>
      <c r="L44" s="239"/>
      <c r="M44" s="239"/>
      <c r="N44" s="239"/>
      <c r="O44" s="239"/>
      <c r="P44" s="239"/>
      <c r="Q44" s="239"/>
      <c r="R44" s="239"/>
      <c r="S44" s="239"/>
      <c r="T44" s="239"/>
      <c r="U44" s="239"/>
      <c r="V44" s="239"/>
    </row>
    <row r="45" spans="1:22" x14ac:dyDescent="0.4">
      <c r="A45" s="239"/>
      <c r="B45" s="239"/>
      <c r="C45" s="239"/>
      <c r="D45" s="239"/>
      <c r="E45" s="239"/>
      <c r="F45" s="239"/>
      <c r="G45" s="239"/>
      <c r="H45" s="239"/>
      <c r="I45" s="239"/>
      <c r="J45" s="239"/>
      <c r="K45" s="239"/>
      <c r="L45" s="239"/>
      <c r="M45" s="239"/>
      <c r="N45" s="239"/>
      <c r="O45" s="239"/>
      <c r="P45" s="239"/>
      <c r="Q45" s="239"/>
      <c r="R45" s="239"/>
      <c r="S45" s="239"/>
      <c r="T45" s="239"/>
      <c r="U45" s="239"/>
      <c r="V45" s="239"/>
    </row>
    <row r="46" spans="1:22" x14ac:dyDescent="0.4">
      <c r="A46" s="239"/>
      <c r="B46" s="239"/>
      <c r="C46" s="239"/>
      <c r="D46" s="239"/>
      <c r="E46" s="239"/>
      <c r="F46" s="239"/>
      <c r="G46" s="239"/>
      <c r="H46" s="239"/>
      <c r="I46" s="239"/>
      <c r="J46" s="239"/>
      <c r="K46" s="239"/>
      <c r="L46" s="239"/>
      <c r="M46" s="239"/>
      <c r="N46" s="239"/>
      <c r="O46" s="239"/>
      <c r="P46" s="239"/>
      <c r="Q46" s="239"/>
      <c r="R46" s="239"/>
      <c r="S46" s="239"/>
      <c r="T46" s="239"/>
      <c r="U46" s="239"/>
      <c r="V46" s="239"/>
    </row>
    <row r="47" spans="1:22" x14ac:dyDescent="0.4">
      <c r="A47" s="239"/>
      <c r="B47" s="239"/>
      <c r="C47" s="239"/>
      <c r="D47" s="239"/>
      <c r="E47" s="239"/>
      <c r="F47" s="239"/>
      <c r="G47" s="239"/>
      <c r="H47" s="239"/>
      <c r="I47" s="239"/>
      <c r="J47" s="239"/>
      <c r="K47" s="239"/>
      <c r="L47" s="239"/>
      <c r="M47" s="239"/>
      <c r="N47" s="239"/>
      <c r="O47" s="239"/>
      <c r="P47" s="239"/>
      <c r="Q47" s="239"/>
      <c r="R47" s="239"/>
      <c r="S47" s="239"/>
      <c r="T47" s="239"/>
      <c r="U47" s="239"/>
      <c r="V47" s="239"/>
    </row>
    <row r="48" spans="1:22" x14ac:dyDescent="0.4">
      <c r="A48" s="239"/>
      <c r="B48" s="239"/>
      <c r="C48" s="239"/>
      <c r="D48" s="239"/>
      <c r="E48" s="239"/>
      <c r="F48" s="239"/>
      <c r="G48" s="239"/>
      <c r="H48" s="239"/>
      <c r="I48" s="239"/>
      <c r="J48" s="239"/>
      <c r="K48" s="239"/>
      <c r="L48" s="239"/>
      <c r="M48" s="239"/>
      <c r="N48" s="239"/>
      <c r="O48" s="239"/>
      <c r="P48" s="239"/>
      <c r="Q48" s="239"/>
      <c r="R48" s="239"/>
      <c r="S48" s="239"/>
      <c r="T48" s="239"/>
      <c r="U48" s="239"/>
      <c r="V48" s="239"/>
    </row>
    <row r="49" spans="1:22" x14ac:dyDescent="0.4">
      <c r="A49" s="239"/>
      <c r="B49" s="239"/>
      <c r="C49" s="239"/>
      <c r="D49" s="239"/>
      <c r="E49" s="239"/>
      <c r="F49" s="239"/>
      <c r="G49" s="239"/>
      <c r="H49" s="239"/>
      <c r="I49" s="239"/>
      <c r="J49" s="239"/>
      <c r="K49" s="239"/>
      <c r="L49" s="239"/>
      <c r="M49" s="239"/>
      <c r="N49" s="239"/>
      <c r="O49" s="239"/>
      <c r="P49" s="239"/>
      <c r="Q49" s="239"/>
      <c r="R49" s="239"/>
      <c r="S49" s="239"/>
      <c r="T49" s="239"/>
      <c r="U49" s="239"/>
      <c r="V49" s="239"/>
    </row>
    <row r="50" spans="1:22" x14ac:dyDescent="0.4">
      <c r="A50" s="239"/>
      <c r="B50" s="239"/>
      <c r="C50" s="239"/>
      <c r="D50" s="239"/>
      <c r="E50" s="239"/>
      <c r="F50" s="239"/>
      <c r="G50" s="239"/>
      <c r="H50" s="239"/>
      <c r="I50" s="239"/>
      <c r="J50" s="239"/>
      <c r="K50" s="239"/>
      <c r="L50" s="239"/>
      <c r="M50" s="239"/>
      <c r="N50" s="239"/>
      <c r="O50" s="239"/>
      <c r="P50" s="239"/>
      <c r="Q50" s="239"/>
      <c r="R50" s="239"/>
      <c r="S50" s="239"/>
      <c r="T50" s="239"/>
      <c r="U50" s="239"/>
      <c r="V50" s="239"/>
    </row>
    <row r="51" spans="1:22" x14ac:dyDescent="0.4">
      <c r="A51" s="239"/>
      <c r="B51" s="239"/>
      <c r="C51" s="239"/>
      <c r="D51" s="239"/>
      <c r="E51" s="239"/>
      <c r="F51" s="239"/>
      <c r="G51" s="239"/>
      <c r="H51" s="239"/>
      <c r="I51" s="239"/>
      <c r="J51" s="239"/>
      <c r="K51" s="239"/>
      <c r="L51" s="239"/>
      <c r="M51" s="239"/>
      <c r="N51" s="239"/>
      <c r="O51" s="239"/>
      <c r="P51" s="239"/>
      <c r="Q51" s="239"/>
      <c r="R51" s="239"/>
      <c r="S51" s="239"/>
      <c r="T51" s="239"/>
      <c r="U51" s="239"/>
      <c r="V51" s="239"/>
    </row>
    <row r="52" spans="1:22" x14ac:dyDescent="0.4">
      <c r="A52" s="239"/>
      <c r="B52" s="239"/>
      <c r="C52" s="239"/>
      <c r="D52" s="239"/>
      <c r="E52" s="239"/>
      <c r="F52" s="239"/>
      <c r="G52" s="239"/>
      <c r="H52" s="239"/>
      <c r="I52" s="239"/>
      <c r="J52" s="239"/>
      <c r="K52" s="239"/>
      <c r="L52" s="239"/>
      <c r="M52" s="239"/>
      <c r="N52" s="239"/>
      <c r="O52" s="239"/>
      <c r="P52" s="239"/>
      <c r="Q52" s="239"/>
      <c r="R52" s="239"/>
      <c r="S52" s="239"/>
      <c r="T52" s="239"/>
      <c r="U52" s="239"/>
      <c r="V52" s="239"/>
    </row>
    <row r="53" spans="1:22" x14ac:dyDescent="0.4">
      <c r="A53" s="239"/>
      <c r="B53" s="239"/>
      <c r="C53" s="239"/>
      <c r="D53" s="239"/>
      <c r="E53" s="239"/>
      <c r="F53" s="239"/>
      <c r="G53" s="239"/>
      <c r="H53" s="239"/>
      <c r="I53" s="239"/>
      <c r="J53" s="239"/>
      <c r="K53" s="239"/>
      <c r="L53" s="239"/>
      <c r="M53" s="239"/>
      <c r="N53" s="239"/>
      <c r="O53" s="239"/>
      <c r="P53" s="239"/>
      <c r="Q53" s="239"/>
      <c r="R53" s="239"/>
      <c r="S53" s="239"/>
      <c r="T53" s="239"/>
      <c r="U53" s="239"/>
      <c r="V53" s="239"/>
    </row>
    <row r="54" spans="1:22" x14ac:dyDescent="0.4">
      <c r="A54" s="239"/>
      <c r="B54" s="239"/>
      <c r="C54" s="239"/>
      <c r="D54" s="239"/>
      <c r="E54" s="239"/>
      <c r="F54" s="239"/>
      <c r="G54" s="239"/>
      <c r="H54" s="239"/>
      <c r="I54" s="239"/>
      <c r="J54" s="239"/>
      <c r="K54" s="239"/>
      <c r="L54" s="239"/>
      <c r="M54" s="239"/>
      <c r="N54" s="239"/>
      <c r="O54" s="239"/>
      <c r="P54" s="239"/>
      <c r="Q54" s="239"/>
      <c r="R54" s="239"/>
      <c r="S54" s="239"/>
      <c r="T54" s="239"/>
      <c r="U54" s="239"/>
      <c r="V54" s="239"/>
    </row>
    <row r="55" spans="1:22" x14ac:dyDescent="0.4">
      <c r="A55" s="239"/>
      <c r="B55" s="239"/>
      <c r="C55" s="239"/>
      <c r="D55" s="239"/>
      <c r="E55" s="239"/>
      <c r="F55" s="239"/>
      <c r="G55" s="239"/>
      <c r="H55" s="239"/>
      <c r="I55" s="239"/>
      <c r="J55" s="239"/>
      <c r="K55" s="239"/>
      <c r="L55" s="239"/>
      <c r="M55" s="239"/>
      <c r="N55" s="239"/>
      <c r="O55" s="239"/>
      <c r="P55" s="239"/>
      <c r="Q55" s="239"/>
      <c r="R55" s="239"/>
      <c r="S55" s="239"/>
      <c r="T55" s="239"/>
      <c r="U55" s="239"/>
      <c r="V55" s="239"/>
    </row>
    <row r="56" spans="1:22" x14ac:dyDescent="0.4">
      <c r="A56" s="239"/>
      <c r="B56" s="239"/>
      <c r="C56" s="239"/>
      <c r="D56" s="239"/>
      <c r="E56" s="239"/>
      <c r="F56" s="239"/>
      <c r="G56" s="239"/>
      <c r="H56" s="239"/>
      <c r="I56" s="239"/>
      <c r="J56" s="239"/>
      <c r="K56" s="239"/>
      <c r="L56" s="239"/>
      <c r="M56" s="239"/>
      <c r="N56" s="239"/>
      <c r="O56" s="239"/>
      <c r="P56" s="239"/>
      <c r="Q56" s="239"/>
      <c r="R56" s="239"/>
      <c r="S56" s="239"/>
      <c r="T56" s="239"/>
      <c r="U56" s="239"/>
      <c r="V56" s="239"/>
    </row>
    <row r="57" spans="1:22" hidden="1" x14ac:dyDescent="0.4">
      <c r="A57" s="239"/>
      <c r="B57" s="239"/>
      <c r="C57" s="239"/>
      <c r="D57" s="239"/>
      <c r="E57" s="239"/>
      <c r="F57" s="239"/>
      <c r="G57" s="239"/>
      <c r="H57" s="239"/>
      <c r="I57" s="239"/>
      <c r="J57" s="239"/>
      <c r="K57" s="239"/>
      <c r="L57" s="239"/>
      <c r="M57" s="239"/>
      <c r="N57" s="239"/>
      <c r="O57" s="239"/>
      <c r="P57" s="239"/>
      <c r="Q57" s="239"/>
      <c r="R57" s="239"/>
      <c r="S57" s="239"/>
      <c r="T57" s="239"/>
      <c r="U57" s="239"/>
      <c r="V57" s="239"/>
    </row>
    <row r="58" spans="1:22" hidden="1" x14ac:dyDescent="0.4">
      <c r="A58" s="239"/>
      <c r="B58" s="239"/>
      <c r="C58" s="239"/>
      <c r="D58" s="239"/>
      <c r="E58" s="239"/>
      <c r="F58" s="239"/>
      <c r="G58" s="239"/>
      <c r="H58" s="239"/>
      <c r="I58" s="239"/>
      <c r="J58" s="239"/>
      <c r="K58" s="239"/>
      <c r="L58" s="239"/>
      <c r="M58" s="239"/>
      <c r="N58" s="239"/>
      <c r="O58" s="239"/>
      <c r="P58" s="239"/>
      <c r="Q58" s="239"/>
      <c r="R58" s="239"/>
      <c r="S58" s="239"/>
      <c r="T58" s="239"/>
      <c r="U58" s="239"/>
      <c r="V58" s="239"/>
    </row>
    <row r="59" spans="1:22" hidden="1" x14ac:dyDescent="0.4">
      <c r="A59" s="239"/>
      <c r="B59" s="239"/>
      <c r="C59" s="239"/>
      <c r="D59" s="239"/>
      <c r="E59" s="239"/>
      <c r="F59" s="239"/>
      <c r="G59" s="239"/>
      <c r="H59" s="239"/>
      <c r="I59" s="239"/>
      <c r="J59" s="239"/>
      <c r="K59" s="239"/>
      <c r="L59" s="239"/>
      <c r="M59" s="239"/>
      <c r="N59" s="239"/>
      <c r="O59" s="239"/>
      <c r="P59" s="239"/>
      <c r="Q59" s="239"/>
      <c r="R59" s="239"/>
      <c r="S59" s="239"/>
      <c r="T59" s="239"/>
      <c r="U59" s="239"/>
      <c r="V59" s="239"/>
    </row>
    <row r="60" spans="1:22" hidden="1" x14ac:dyDescent="0.4">
      <c r="A60" s="239"/>
      <c r="B60" s="239"/>
      <c r="C60" s="239"/>
      <c r="D60" s="239"/>
      <c r="E60" s="239"/>
      <c r="F60" s="239"/>
      <c r="G60" s="239"/>
      <c r="H60" s="239"/>
      <c r="I60" s="239"/>
      <c r="J60" s="239"/>
      <c r="K60" s="239"/>
      <c r="L60" s="239"/>
      <c r="M60" s="239"/>
      <c r="N60" s="239"/>
      <c r="O60" s="239"/>
      <c r="P60" s="239"/>
      <c r="Q60" s="239"/>
      <c r="R60" s="239"/>
      <c r="S60" s="239"/>
      <c r="T60" s="239"/>
      <c r="U60" s="239"/>
      <c r="V60" s="239"/>
    </row>
    <row r="61" spans="1:22" hidden="1" x14ac:dyDescent="0.4">
      <c r="A61" s="239"/>
      <c r="B61" s="239"/>
      <c r="C61" s="239"/>
      <c r="D61" s="239"/>
      <c r="E61" s="239"/>
      <c r="F61" s="239"/>
      <c r="G61" s="239"/>
      <c r="H61" s="239"/>
      <c r="I61" s="239"/>
      <c r="J61" s="239"/>
      <c r="K61" s="239"/>
      <c r="L61" s="239"/>
      <c r="M61" s="239"/>
      <c r="N61" s="239"/>
      <c r="O61" s="239"/>
      <c r="P61" s="239"/>
      <c r="Q61" s="239"/>
      <c r="R61" s="239"/>
      <c r="S61" s="239"/>
      <c r="T61" s="239"/>
      <c r="U61" s="239"/>
      <c r="V61" s="239"/>
    </row>
    <row r="62" spans="1:22" hidden="1" x14ac:dyDescent="0.4">
      <c r="A62" s="239"/>
      <c r="B62" s="239"/>
      <c r="C62" s="239"/>
      <c r="D62" s="239"/>
      <c r="E62" s="239"/>
      <c r="F62" s="239"/>
      <c r="G62" s="239"/>
      <c r="H62" s="239"/>
      <c r="I62" s="239"/>
      <c r="J62" s="239"/>
      <c r="K62" s="239"/>
      <c r="L62" s="239"/>
      <c r="M62" s="239"/>
      <c r="N62" s="239"/>
      <c r="O62" s="239"/>
      <c r="P62" s="239"/>
      <c r="Q62" s="239"/>
      <c r="R62" s="239"/>
      <c r="S62" s="239"/>
      <c r="T62" s="239"/>
      <c r="U62" s="239"/>
      <c r="V62" s="239"/>
    </row>
    <row r="63" spans="1:22" hidden="1" x14ac:dyDescent="0.4">
      <c r="A63" s="239"/>
      <c r="B63" s="239"/>
      <c r="C63" s="239"/>
      <c r="D63" s="239"/>
      <c r="E63" s="239"/>
      <c r="F63" s="239"/>
      <c r="G63" s="239"/>
      <c r="H63" s="239"/>
      <c r="I63" s="239"/>
      <c r="J63" s="239"/>
      <c r="K63" s="239"/>
      <c r="L63" s="239"/>
      <c r="M63" s="239"/>
      <c r="N63" s="239"/>
      <c r="O63" s="239"/>
      <c r="P63" s="239"/>
      <c r="Q63" s="239"/>
      <c r="R63" s="239"/>
      <c r="S63" s="239"/>
      <c r="T63" s="239"/>
      <c r="U63" s="239"/>
      <c r="V63" s="239"/>
    </row>
    <row r="64" spans="1:22" hidden="1" x14ac:dyDescent="0.4">
      <c r="A64" s="239"/>
      <c r="B64" s="239"/>
      <c r="C64" s="239"/>
      <c r="D64" s="239"/>
      <c r="E64" s="239"/>
      <c r="F64" s="239"/>
      <c r="G64" s="239"/>
      <c r="H64" s="239"/>
      <c r="I64" s="239"/>
      <c r="J64" s="239"/>
      <c r="K64" s="239"/>
      <c r="L64" s="239"/>
      <c r="M64" s="239"/>
      <c r="N64" s="239"/>
      <c r="O64" s="239"/>
      <c r="P64" s="239"/>
      <c r="Q64" s="239"/>
      <c r="R64" s="239"/>
      <c r="S64" s="239"/>
      <c r="T64" s="239"/>
      <c r="U64" s="239"/>
      <c r="V64" s="239"/>
    </row>
    <row r="65" spans="1:22" hidden="1" x14ac:dyDescent="0.4">
      <c r="A65" s="239"/>
      <c r="B65" s="239"/>
      <c r="C65" s="239"/>
      <c r="D65" s="239"/>
      <c r="E65" s="239"/>
      <c r="F65" s="239"/>
      <c r="G65" s="239"/>
      <c r="H65" s="239"/>
      <c r="I65" s="239"/>
      <c r="J65" s="239"/>
      <c r="K65" s="239"/>
      <c r="L65" s="239"/>
      <c r="M65" s="239"/>
      <c r="N65" s="239"/>
      <c r="O65" s="239"/>
      <c r="P65" s="239"/>
      <c r="Q65" s="239"/>
      <c r="R65" s="239"/>
      <c r="S65" s="239"/>
      <c r="T65" s="239"/>
      <c r="U65" s="239"/>
      <c r="V65" s="239"/>
    </row>
    <row r="66" spans="1:22" hidden="1" x14ac:dyDescent="0.4">
      <c r="A66" s="239"/>
      <c r="B66" s="239"/>
      <c r="C66" s="239"/>
      <c r="D66" s="239"/>
      <c r="E66" s="239"/>
      <c r="F66" s="239"/>
      <c r="G66" s="239"/>
      <c r="H66" s="239"/>
      <c r="I66" s="239"/>
      <c r="J66" s="239"/>
      <c r="K66" s="239"/>
      <c r="L66" s="239"/>
      <c r="M66" s="239"/>
      <c r="N66" s="239"/>
      <c r="O66" s="239"/>
      <c r="P66" s="239"/>
      <c r="Q66" s="239"/>
      <c r="R66" s="239"/>
      <c r="S66" s="239"/>
      <c r="T66" s="239"/>
      <c r="U66" s="239"/>
      <c r="V66" s="239"/>
    </row>
    <row r="67" spans="1:22" hidden="1" x14ac:dyDescent="0.4">
      <c r="A67" s="239"/>
      <c r="B67" s="239"/>
      <c r="C67" s="239"/>
      <c r="D67" s="239"/>
      <c r="E67" s="239"/>
      <c r="F67" s="239"/>
      <c r="G67" s="239"/>
      <c r="H67" s="239"/>
      <c r="I67" s="239"/>
      <c r="J67" s="239"/>
      <c r="K67" s="239"/>
      <c r="L67" s="239"/>
      <c r="M67" s="239"/>
      <c r="N67" s="239"/>
      <c r="O67" s="239"/>
      <c r="P67" s="239"/>
      <c r="Q67" s="239"/>
      <c r="R67" s="239"/>
      <c r="S67" s="239"/>
      <c r="T67" s="239"/>
      <c r="U67" s="239"/>
      <c r="V67" s="239"/>
    </row>
    <row r="68" spans="1:22" hidden="1" x14ac:dyDescent="0.4">
      <c r="A68" s="239"/>
      <c r="B68" s="239"/>
      <c r="C68" s="239"/>
      <c r="D68" s="239"/>
      <c r="E68" s="239"/>
      <c r="F68" s="239"/>
      <c r="G68" s="239"/>
      <c r="H68" s="239"/>
      <c r="I68" s="239"/>
      <c r="J68" s="239"/>
      <c r="K68" s="239"/>
      <c r="L68" s="239"/>
      <c r="M68" s="239"/>
      <c r="N68" s="239"/>
      <c r="O68" s="239"/>
      <c r="P68" s="239"/>
      <c r="Q68" s="239"/>
      <c r="R68" s="239"/>
      <c r="S68" s="239"/>
      <c r="T68" s="239"/>
      <c r="U68" s="239"/>
      <c r="V68" s="239"/>
    </row>
    <row r="69" spans="1:22" hidden="1" x14ac:dyDescent="0.4">
      <c r="A69" s="239"/>
      <c r="B69" s="239"/>
      <c r="C69" s="239"/>
      <c r="D69" s="239"/>
      <c r="E69" s="239"/>
      <c r="F69" s="239"/>
      <c r="G69" s="239"/>
      <c r="H69" s="239"/>
      <c r="I69" s="239"/>
      <c r="J69" s="239"/>
      <c r="K69" s="239"/>
      <c r="L69" s="239"/>
      <c r="M69" s="239"/>
      <c r="N69" s="239"/>
      <c r="O69" s="239"/>
      <c r="P69" s="239"/>
      <c r="Q69" s="239"/>
      <c r="R69" s="239"/>
      <c r="S69" s="239"/>
      <c r="T69" s="239"/>
      <c r="U69" s="239"/>
      <c r="V69" s="239"/>
    </row>
    <row r="70" spans="1:22" hidden="1" x14ac:dyDescent="0.4">
      <c r="A70" s="239"/>
      <c r="B70" s="239"/>
      <c r="C70" s="239"/>
      <c r="D70" s="239"/>
      <c r="E70" s="239"/>
      <c r="F70" s="239"/>
      <c r="G70" s="239"/>
      <c r="H70" s="239"/>
      <c r="I70" s="239"/>
      <c r="J70" s="239"/>
      <c r="K70" s="239"/>
      <c r="L70" s="239"/>
      <c r="M70" s="239"/>
      <c r="N70" s="239"/>
      <c r="O70" s="239"/>
      <c r="P70" s="239"/>
      <c r="Q70" s="239"/>
      <c r="R70" s="239"/>
      <c r="S70" s="239"/>
      <c r="T70" s="239"/>
      <c r="U70" s="239"/>
      <c r="V70" s="239"/>
    </row>
    <row r="71" spans="1:22" hidden="1" x14ac:dyDescent="0.4">
      <c r="A71" s="239"/>
      <c r="B71" s="239"/>
      <c r="C71" s="239"/>
      <c r="D71" s="239"/>
      <c r="E71" s="239"/>
      <c r="F71" s="239"/>
      <c r="G71" s="239"/>
      <c r="H71" s="239"/>
      <c r="I71" s="239"/>
      <c r="J71" s="239"/>
      <c r="K71" s="239"/>
      <c r="L71" s="239"/>
      <c r="M71" s="239"/>
      <c r="N71" s="239"/>
      <c r="O71" s="239"/>
      <c r="P71" s="239"/>
      <c r="Q71" s="239"/>
      <c r="R71" s="239"/>
      <c r="S71" s="239"/>
      <c r="T71" s="239"/>
      <c r="U71" s="239"/>
      <c r="V71" s="239"/>
    </row>
    <row r="72" spans="1:22" hidden="1" x14ac:dyDescent="0.4">
      <c r="A72" s="239"/>
      <c r="B72" s="239"/>
      <c r="C72" s="239"/>
      <c r="D72" s="239"/>
      <c r="E72" s="239"/>
      <c r="F72" s="239"/>
      <c r="G72" s="239"/>
      <c r="H72" s="239"/>
      <c r="I72" s="239"/>
      <c r="J72" s="239"/>
      <c r="K72" s="239"/>
      <c r="L72" s="239"/>
      <c r="M72" s="239"/>
      <c r="N72" s="239"/>
      <c r="O72" s="239"/>
      <c r="P72" s="239"/>
      <c r="Q72" s="239"/>
      <c r="R72" s="239"/>
      <c r="S72" s="239"/>
      <c r="T72" s="239"/>
      <c r="U72" s="239"/>
      <c r="V72" s="239"/>
    </row>
    <row r="73" spans="1:22" hidden="1" x14ac:dyDescent="0.4">
      <c r="A73" s="239"/>
      <c r="B73" s="239"/>
      <c r="C73" s="239"/>
      <c r="D73" s="239"/>
      <c r="E73" s="239"/>
      <c r="F73" s="239"/>
      <c r="G73" s="239"/>
      <c r="H73" s="239"/>
      <c r="I73" s="239"/>
      <c r="J73" s="239"/>
      <c r="K73" s="239"/>
      <c r="L73" s="239"/>
      <c r="M73" s="239"/>
      <c r="N73" s="239"/>
      <c r="O73" s="239"/>
      <c r="P73" s="239"/>
      <c r="Q73" s="239"/>
      <c r="R73" s="239"/>
      <c r="S73" s="239"/>
      <c r="T73" s="239"/>
      <c r="U73" s="239"/>
      <c r="V73" s="239"/>
    </row>
    <row r="74" spans="1:22" hidden="1" x14ac:dyDescent="0.4">
      <c r="A74" s="239"/>
      <c r="B74" s="239"/>
      <c r="C74" s="239"/>
      <c r="D74" s="239"/>
      <c r="E74" s="239"/>
      <c r="F74" s="239"/>
      <c r="G74" s="239"/>
      <c r="H74" s="239"/>
      <c r="I74" s="239"/>
      <c r="J74" s="239"/>
      <c r="K74" s="239"/>
      <c r="L74" s="239"/>
      <c r="M74" s="239"/>
      <c r="N74" s="239"/>
      <c r="O74" s="239"/>
      <c r="P74" s="239"/>
      <c r="Q74" s="239"/>
      <c r="R74" s="239"/>
      <c r="S74" s="239"/>
      <c r="T74" s="239"/>
      <c r="U74" s="239"/>
      <c r="V74" s="239"/>
    </row>
    <row r="75" spans="1:22" hidden="1" x14ac:dyDescent="0.4">
      <c r="A75" s="239"/>
      <c r="B75" s="239"/>
      <c r="C75" s="239"/>
      <c r="D75" s="239"/>
      <c r="E75" s="239"/>
      <c r="F75" s="239"/>
      <c r="G75" s="239"/>
      <c r="H75" s="239"/>
      <c r="I75" s="239"/>
      <c r="J75" s="239"/>
      <c r="K75" s="239"/>
      <c r="L75" s="239"/>
      <c r="M75" s="239"/>
      <c r="N75" s="239"/>
      <c r="O75" s="239"/>
      <c r="P75" s="239"/>
      <c r="Q75" s="239"/>
      <c r="R75" s="239"/>
      <c r="S75" s="239"/>
      <c r="T75" s="239"/>
      <c r="U75" s="239"/>
      <c r="V75" s="239"/>
    </row>
    <row r="76" spans="1:22" hidden="1" x14ac:dyDescent="0.4">
      <c r="A76" s="239"/>
      <c r="B76" s="239"/>
      <c r="C76" s="239"/>
      <c r="D76" s="239"/>
      <c r="E76" s="239"/>
      <c r="F76" s="239"/>
      <c r="G76" s="239"/>
      <c r="H76" s="239"/>
      <c r="I76" s="239"/>
      <c r="J76" s="239"/>
      <c r="K76" s="239"/>
      <c r="L76" s="239"/>
      <c r="M76" s="239"/>
      <c r="N76" s="239"/>
      <c r="O76" s="239"/>
      <c r="P76" s="239"/>
      <c r="Q76" s="239"/>
      <c r="R76" s="239"/>
      <c r="S76" s="239"/>
      <c r="T76" s="239"/>
      <c r="U76" s="239"/>
      <c r="V76" s="239"/>
    </row>
    <row r="77" spans="1:22" hidden="1" x14ac:dyDescent="0.4">
      <c r="A77" s="239"/>
      <c r="B77" s="239"/>
      <c r="C77" s="239"/>
      <c r="D77" s="239"/>
      <c r="E77" s="239"/>
      <c r="F77" s="239"/>
      <c r="G77" s="239"/>
      <c r="H77" s="239"/>
      <c r="I77" s="239"/>
      <c r="J77" s="239"/>
      <c r="K77" s="239"/>
      <c r="L77" s="239"/>
      <c r="M77" s="239"/>
      <c r="N77" s="239"/>
      <c r="O77" s="239"/>
      <c r="P77" s="239"/>
      <c r="Q77" s="239"/>
      <c r="R77" s="239"/>
      <c r="S77" s="239"/>
      <c r="T77" s="239"/>
      <c r="U77" s="239"/>
      <c r="V77" s="239"/>
    </row>
    <row r="78" spans="1:22" hidden="1" x14ac:dyDescent="0.4">
      <c r="A78" s="239"/>
      <c r="B78" s="239"/>
      <c r="C78" s="239"/>
      <c r="D78" s="239"/>
      <c r="E78" s="239"/>
      <c r="F78" s="239"/>
      <c r="G78" s="239"/>
      <c r="H78" s="239"/>
      <c r="I78" s="239"/>
      <c r="J78" s="239"/>
      <c r="K78" s="239"/>
      <c r="L78" s="239"/>
      <c r="M78" s="239"/>
      <c r="N78" s="239"/>
      <c r="O78" s="239"/>
      <c r="P78" s="239"/>
      <c r="Q78" s="239"/>
      <c r="R78" s="239"/>
      <c r="S78" s="239"/>
      <c r="T78" s="239"/>
      <c r="U78" s="239"/>
      <c r="V78" s="239"/>
    </row>
    <row r="79" spans="1:22" hidden="1" x14ac:dyDescent="0.4">
      <c r="A79" s="239"/>
      <c r="B79" s="239"/>
      <c r="C79" s="239"/>
      <c r="D79" s="239"/>
      <c r="E79" s="239"/>
      <c r="F79" s="239"/>
      <c r="G79" s="239"/>
      <c r="H79" s="239"/>
      <c r="I79" s="239"/>
      <c r="J79" s="239"/>
      <c r="K79" s="239"/>
      <c r="L79" s="239"/>
      <c r="M79" s="239"/>
      <c r="N79" s="239"/>
      <c r="O79" s="239"/>
      <c r="P79" s="239"/>
      <c r="Q79" s="239"/>
      <c r="R79" s="239"/>
      <c r="S79" s="239"/>
      <c r="T79" s="239"/>
      <c r="U79" s="239"/>
      <c r="V79" s="239"/>
    </row>
    <row r="80" spans="1:22" hidden="1" x14ac:dyDescent="0.4">
      <c r="A80" s="239"/>
      <c r="B80" s="239"/>
      <c r="C80" s="239"/>
      <c r="D80" s="239"/>
      <c r="E80" s="239"/>
      <c r="F80" s="239"/>
      <c r="G80" s="239"/>
      <c r="H80" s="239"/>
      <c r="I80" s="239"/>
      <c r="J80" s="239"/>
      <c r="K80" s="239"/>
      <c r="L80" s="239"/>
      <c r="M80" s="239"/>
      <c r="N80" s="239"/>
      <c r="O80" s="239"/>
      <c r="P80" s="239"/>
      <c r="Q80" s="239"/>
      <c r="R80" s="239"/>
      <c r="S80" s="239"/>
      <c r="T80" s="239"/>
      <c r="U80" s="239"/>
      <c r="V80" s="239"/>
    </row>
    <row r="81" spans="1:22" hidden="1" x14ac:dyDescent="0.4">
      <c r="A81" s="239"/>
      <c r="B81" s="239"/>
      <c r="C81" s="239"/>
      <c r="D81" s="239"/>
      <c r="E81" s="239"/>
      <c r="F81" s="239"/>
      <c r="G81" s="239"/>
      <c r="H81" s="239"/>
      <c r="I81" s="239"/>
      <c r="J81" s="239"/>
      <c r="K81" s="239"/>
      <c r="L81" s="239"/>
      <c r="M81" s="239"/>
      <c r="N81" s="239"/>
      <c r="O81" s="239"/>
      <c r="P81" s="239"/>
      <c r="Q81" s="239"/>
      <c r="R81" s="239"/>
      <c r="S81" s="239"/>
      <c r="T81" s="239"/>
      <c r="U81" s="239"/>
      <c r="V81" s="239"/>
    </row>
    <row r="82" spans="1:22" hidden="1" x14ac:dyDescent="0.4">
      <c r="A82" s="239"/>
      <c r="B82" s="239"/>
      <c r="C82" s="239"/>
      <c r="D82" s="239"/>
      <c r="E82" s="239"/>
      <c r="F82" s="239"/>
      <c r="G82" s="239"/>
      <c r="H82" s="239"/>
      <c r="I82" s="239"/>
      <c r="J82" s="239"/>
      <c r="K82" s="239"/>
      <c r="L82" s="239"/>
      <c r="M82" s="239"/>
      <c r="N82" s="239"/>
      <c r="O82" s="239"/>
      <c r="P82" s="239"/>
      <c r="Q82" s="239"/>
      <c r="R82" s="239"/>
      <c r="S82" s="239"/>
      <c r="T82" s="239"/>
      <c r="U82" s="239"/>
      <c r="V82" s="239"/>
    </row>
    <row r="83" spans="1:22" hidden="1" x14ac:dyDescent="0.4">
      <c r="A83" s="239"/>
      <c r="B83" s="239"/>
      <c r="C83" s="239"/>
      <c r="D83" s="239"/>
      <c r="E83" s="239"/>
      <c r="F83" s="239"/>
      <c r="G83" s="239"/>
      <c r="H83" s="239"/>
      <c r="I83" s="239"/>
      <c r="J83" s="239"/>
      <c r="K83" s="239"/>
      <c r="L83" s="239"/>
      <c r="M83" s="239"/>
      <c r="N83" s="239"/>
      <c r="O83" s="239"/>
      <c r="P83" s="239"/>
      <c r="Q83" s="239"/>
      <c r="R83" s="239"/>
      <c r="S83" s="239"/>
      <c r="T83" s="239"/>
      <c r="U83" s="239"/>
      <c r="V83" s="239"/>
    </row>
    <row r="84" spans="1:22" hidden="1" x14ac:dyDescent="0.4">
      <c r="A84" s="239"/>
      <c r="B84" s="239"/>
      <c r="C84" s="239"/>
      <c r="D84" s="239"/>
      <c r="E84" s="239"/>
      <c r="F84" s="239"/>
      <c r="G84" s="239"/>
      <c r="H84" s="239"/>
      <c r="I84" s="239"/>
      <c r="J84" s="239"/>
      <c r="K84" s="239"/>
      <c r="L84" s="239"/>
      <c r="M84" s="239"/>
      <c r="N84" s="239"/>
      <c r="O84" s="239"/>
      <c r="P84" s="239"/>
      <c r="Q84" s="239"/>
      <c r="R84" s="239"/>
      <c r="S84" s="239"/>
      <c r="T84" s="239"/>
      <c r="U84" s="239"/>
      <c r="V84" s="239"/>
    </row>
    <row r="85" spans="1:22" hidden="1" x14ac:dyDescent="0.4">
      <c r="A85" s="239"/>
      <c r="B85" s="239"/>
      <c r="C85" s="239"/>
      <c r="D85" s="239"/>
      <c r="E85" s="239"/>
      <c r="F85" s="239"/>
      <c r="G85" s="239"/>
      <c r="H85" s="239"/>
      <c r="I85" s="239"/>
      <c r="J85" s="239"/>
      <c r="K85" s="239"/>
      <c r="L85" s="239"/>
      <c r="M85" s="239"/>
      <c r="N85" s="239"/>
      <c r="O85" s="239"/>
      <c r="P85" s="239"/>
      <c r="Q85" s="239"/>
      <c r="R85" s="239"/>
      <c r="S85" s="239"/>
      <c r="T85" s="239"/>
      <c r="U85" s="239"/>
      <c r="V85" s="239"/>
    </row>
    <row r="86" spans="1:22" hidden="1" x14ac:dyDescent="0.4">
      <c r="A86" s="239"/>
      <c r="B86" s="239"/>
      <c r="C86" s="239"/>
      <c r="D86" s="239"/>
      <c r="E86" s="239"/>
      <c r="F86" s="239"/>
      <c r="G86" s="239"/>
      <c r="H86" s="239"/>
      <c r="I86" s="239"/>
      <c r="J86" s="239"/>
      <c r="K86" s="239"/>
      <c r="L86" s="239"/>
      <c r="M86" s="239"/>
      <c r="N86" s="239"/>
      <c r="O86" s="239"/>
      <c r="P86" s="239"/>
      <c r="Q86" s="239"/>
      <c r="R86" s="239"/>
      <c r="S86" s="239"/>
      <c r="T86" s="239"/>
      <c r="U86" s="239"/>
      <c r="V86" s="239"/>
    </row>
    <row r="87" spans="1:22" hidden="1" x14ac:dyDescent="0.4">
      <c r="A87" s="239"/>
      <c r="B87" s="239"/>
      <c r="C87" s="239"/>
      <c r="D87" s="239"/>
      <c r="E87" s="239"/>
      <c r="F87" s="239"/>
      <c r="G87" s="239"/>
      <c r="H87" s="239"/>
      <c r="I87" s="239"/>
      <c r="J87" s="239"/>
      <c r="K87" s="239"/>
      <c r="L87" s="239"/>
      <c r="M87" s="239"/>
      <c r="N87" s="239"/>
      <c r="O87" s="239"/>
      <c r="P87" s="239"/>
      <c r="Q87" s="239"/>
      <c r="R87" s="239"/>
      <c r="S87" s="239"/>
      <c r="T87" s="239"/>
      <c r="U87" s="239"/>
      <c r="V87" s="239"/>
    </row>
    <row r="88" spans="1:22" hidden="1" x14ac:dyDescent="0.4">
      <c r="A88" s="239"/>
      <c r="B88" s="239"/>
      <c r="C88" s="239"/>
      <c r="D88" s="239"/>
      <c r="E88" s="239"/>
      <c r="F88" s="239"/>
      <c r="G88" s="239"/>
      <c r="H88" s="239"/>
      <c r="I88" s="239"/>
      <c r="J88" s="239"/>
      <c r="K88" s="239"/>
      <c r="L88" s="239"/>
      <c r="M88" s="239"/>
      <c r="N88" s="239"/>
      <c r="O88" s="239"/>
      <c r="P88" s="239"/>
      <c r="Q88" s="239"/>
      <c r="R88" s="239"/>
      <c r="S88" s="239"/>
      <c r="T88" s="239"/>
      <c r="U88" s="239"/>
      <c r="V88" s="239"/>
    </row>
    <row r="89" spans="1:22" hidden="1" x14ac:dyDescent="0.4">
      <c r="A89" s="239"/>
      <c r="B89" s="239"/>
      <c r="C89" s="239"/>
      <c r="D89" s="239"/>
      <c r="E89" s="239"/>
      <c r="F89" s="239"/>
      <c r="G89" s="239"/>
      <c r="H89" s="239"/>
      <c r="I89" s="239"/>
      <c r="J89" s="239"/>
      <c r="K89" s="239"/>
      <c r="L89" s="239"/>
      <c r="M89" s="239"/>
      <c r="N89" s="239"/>
      <c r="O89" s="239"/>
      <c r="P89" s="239"/>
      <c r="Q89" s="239"/>
      <c r="R89" s="239"/>
      <c r="S89" s="239"/>
      <c r="T89" s="239"/>
      <c r="U89" s="239"/>
      <c r="V89" s="239"/>
    </row>
    <row r="90" spans="1:22" hidden="1" x14ac:dyDescent="0.4">
      <c r="A90" s="239"/>
      <c r="B90" s="239"/>
      <c r="C90" s="239"/>
      <c r="D90" s="239"/>
      <c r="E90" s="239"/>
      <c r="F90" s="239"/>
      <c r="G90" s="239"/>
      <c r="H90" s="239"/>
      <c r="I90" s="239"/>
      <c r="J90" s="239"/>
      <c r="K90" s="239"/>
      <c r="L90" s="239"/>
      <c r="M90" s="239"/>
      <c r="N90" s="239"/>
      <c r="O90" s="239"/>
      <c r="P90" s="239"/>
      <c r="Q90" s="239"/>
      <c r="R90" s="239"/>
      <c r="S90" s="239"/>
      <c r="T90" s="239"/>
      <c r="U90" s="239"/>
      <c r="V90" s="239"/>
    </row>
    <row r="91" spans="1:22" hidden="1" x14ac:dyDescent="0.4">
      <c r="A91" s="239"/>
      <c r="B91" s="239"/>
      <c r="C91" s="239"/>
      <c r="D91" s="239"/>
      <c r="E91" s="239"/>
      <c r="F91" s="239"/>
      <c r="G91" s="239"/>
      <c r="H91" s="239"/>
      <c r="I91" s="239"/>
      <c r="J91" s="239"/>
      <c r="K91" s="239"/>
      <c r="L91" s="239"/>
      <c r="M91" s="239"/>
      <c r="N91" s="239"/>
      <c r="O91" s="239"/>
      <c r="P91" s="239"/>
      <c r="Q91" s="239"/>
      <c r="R91" s="239"/>
      <c r="S91" s="239"/>
      <c r="T91" s="239"/>
      <c r="U91" s="239"/>
      <c r="V91" s="239"/>
    </row>
    <row r="92" spans="1:22" hidden="1" x14ac:dyDescent="0.4">
      <c r="A92" s="239"/>
      <c r="B92" s="239"/>
      <c r="C92" s="239"/>
      <c r="D92" s="239"/>
      <c r="E92" s="239"/>
      <c r="F92" s="239"/>
      <c r="G92" s="239"/>
      <c r="H92" s="239"/>
      <c r="I92" s="239"/>
      <c r="J92" s="239"/>
      <c r="K92" s="239"/>
      <c r="L92" s="239"/>
      <c r="M92" s="239"/>
      <c r="N92" s="239"/>
      <c r="O92" s="239"/>
      <c r="P92" s="239"/>
      <c r="Q92" s="239"/>
      <c r="R92" s="239"/>
      <c r="S92" s="239"/>
      <c r="T92" s="239"/>
      <c r="U92" s="239"/>
      <c r="V92" s="239"/>
    </row>
    <row r="93" spans="1:22" hidden="1" x14ac:dyDescent="0.4">
      <c r="A93" s="239"/>
      <c r="B93" s="239"/>
      <c r="C93" s="239"/>
      <c r="D93" s="239"/>
      <c r="E93" s="239"/>
      <c r="F93" s="239"/>
      <c r="G93" s="239"/>
      <c r="H93" s="239"/>
      <c r="I93" s="239"/>
      <c r="J93" s="239"/>
      <c r="K93" s="239"/>
      <c r="L93" s="239"/>
      <c r="M93" s="239"/>
      <c r="N93" s="239"/>
      <c r="O93" s="239"/>
      <c r="P93" s="239"/>
      <c r="Q93" s="239"/>
      <c r="R93" s="239"/>
      <c r="S93" s="239"/>
      <c r="T93" s="239"/>
      <c r="U93" s="239"/>
      <c r="V93" s="239"/>
    </row>
    <row r="94" spans="1:22" hidden="1" x14ac:dyDescent="0.4">
      <c r="A94" s="239"/>
      <c r="B94" s="239"/>
      <c r="C94" s="239"/>
      <c r="D94" s="239"/>
      <c r="E94" s="239"/>
      <c r="F94" s="239"/>
      <c r="G94" s="239"/>
      <c r="H94" s="239"/>
      <c r="I94" s="239"/>
      <c r="J94" s="239"/>
      <c r="K94" s="239"/>
      <c r="L94" s="239"/>
      <c r="M94" s="239"/>
      <c r="N94" s="239"/>
      <c r="O94" s="239"/>
      <c r="P94" s="239"/>
      <c r="Q94" s="239"/>
      <c r="R94" s="239"/>
      <c r="S94" s="239"/>
      <c r="T94" s="239"/>
      <c r="U94" s="239"/>
      <c r="V94" s="239"/>
    </row>
    <row r="95" spans="1:22" hidden="1" x14ac:dyDescent="0.4">
      <c r="A95" s="239"/>
      <c r="B95" s="239"/>
      <c r="C95" s="239"/>
      <c r="D95" s="239"/>
      <c r="E95" s="239"/>
      <c r="F95" s="239"/>
      <c r="G95" s="239"/>
      <c r="H95" s="239"/>
      <c r="I95" s="239"/>
      <c r="J95" s="239"/>
      <c r="K95" s="239"/>
      <c r="L95" s="239"/>
      <c r="M95" s="239"/>
      <c r="N95" s="239"/>
      <c r="O95" s="239"/>
      <c r="P95" s="239"/>
      <c r="Q95" s="239"/>
      <c r="R95" s="239"/>
      <c r="S95" s="239"/>
      <c r="T95" s="239"/>
      <c r="U95" s="239"/>
      <c r="V95" s="239"/>
    </row>
    <row r="96" spans="1:22" hidden="1" x14ac:dyDescent="0.4">
      <c r="A96" s="239"/>
      <c r="B96" s="239"/>
      <c r="C96" s="239"/>
      <c r="D96" s="239"/>
      <c r="E96" s="239"/>
      <c r="F96" s="239"/>
      <c r="G96" s="239"/>
      <c r="H96" s="239"/>
      <c r="I96" s="239"/>
      <c r="J96" s="239"/>
      <c r="K96" s="239"/>
      <c r="L96" s="239"/>
      <c r="M96" s="239"/>
      <c r="N96" s="239"/>
      <c r="O96" s="239"/>
      <c r="P96" s="239"/>
      <c r="Q96" s="239"/>
      <c r="R96" s="239"/>
      <c r="S96" s="239"/>
      <c r="T96" s="239"/>
      <c r="U96" s="239"/>
      <c r="V96" s="239"/>
    </row>
    <row r="97" spans="1:22" hidden="1" x14ac:dyDescent="0.4">
      <c r="A97" s="239"/>
      <c r="B97" s="239"/>
      <c r="C97" s="239"/>
      <c r="D97" s="239"/>
      <c r="E97" s="239"/>
      <c r="F97" s="239"/>
      <c r="G97" s="239"/>
      <c r="H97" s="239"/>
      <c r="I97" s="239"/>
      <c r="J97" s="239"/>
      <c r="K97" s="239"/>
      <c r="L97" s="239"/>
      <c r="M97" s="239"/>
      <c r="N97" s="239"/>
      <c r="O97" s="239"/>
      <c r="P97" s="239"/>
      <c r="Q97" s="239"/>
      <c r="R97" s="239"/>
      <c r="S97" s="239"/>
      <c r="T97" s="239"/>
      <c r="U97" s="239"/>
      <c r="V97" s="239"/>
    </row>
    <row r="98" spans="1:22" hidden="1" x14ac:dyDescent="0.4">
      <c r="A98" s="239"/>
      <c r="B98" s="239"/>
      <c r="C98" s="239"/>
      <c r="D98" s="239"/>
      <c r="E98" s="239"/>
      <c r="F98" s="239"/>
      <c r="G98" s="239"/>
      <c r="H98" s="239"/>
      <c r="I98" s="239"/>
      <c r="J98" s="239"/>
      <c r="K98" s="239"/>
      <c r="L98" s="239"/>
      <c r="M98" s="239"/>
      <c r="N98" s="239"/>
      <c r="O98" s="239"/>
      <c r="P98" s="239"/>
      <c r="Q98" s="239"/>
      <c r="R98" s="239"/>
      <c r="S98" s="239"/>
      <c r="T98" s="239"/>
      <c r="U98" s="239"/>
      <c r="V98" s="239"/>
    </row>
    <row r="99" spans="1:22" hidden="1" x14ac:dyDescent="0.4">
      <c r="A99" s="239"/>
      <c r="B99" s="239"/>
      <c r="C99" s="239"/>
      <c r="D99" s="239"/>
      <c r="E99" s="239"/>
      <c r="F99" s="239"/>
      <c r="G99" s="239"/>
      <c r="H99" s="239"/>
      <c r="I99" s="239"/>
      <c r="J99" s="239"/>
      <c r="K99" s="239"/>
      <c r="L99" s="239"/>
      <c r="M99" s="239"/>
      <c r="N99" s="239"/>
      <c r="O99" s="239"/>
      <c r="P99" s="239"/>
      <c r="Q99" s="239"/>
      <c r="R99" s="239"/>
      <c r="S99" s="239"/>
      <c r="T99" s="239"/>
      <c r="U99" s="239"/>
      <c r="V99" s="239"/>
    </row>
    <row r="100" spans="1:22" hidden="1" x14ac:dyDescent="0.4">
      <c r="A100" s="239"/>
      <c r="B100" s="239"/>
      <c r="C100" s="239"/>
      <c r="D100" s="239"/>
      <c r="E100" s="239"/>
      <c r="F100" s="239"/>
      <c r="G100" s="239"/>
      <c r="H100" s="239"/>
      <c r="I100" s="239"/>
      <c r="J100" s="239"/>
      <c r="K100" s="239"/>
      <c r="L100" s="239"/>
      <c r="M100" s="239"/>
      <c r="N100" s="239"/>
      <c r="O100" s="239"/>
      <c r="P100" s="239"/>
      <c r="Q100" s="239"/>
      <c r="R100" s="239"/>
      <c r="S100" s="239"/>
      <c r="T100" s="239"/>
      <c r="U100" s="239"/>
      <c r="V100" s="239"/>
    </row>
    <row r="101" spans="1:22" hidden="1" x14ac:dyDescent="0.4">
      <c r="A101" s="239"/>
      <c r="B101" s="239"/>
      <c r="C101" s="239"/>
      <c r="D101" s="239"/>
      <c r="E101" s="239"/>
      <c r="F101" s="239"/>
      <c r="G101" s="239"/>
      <c r="H101" s="239"/>
      <c r="I101" s="239"/>
      <c r="J101" s="239"/>
      <c r="K101" s="239"/>
      <c r="L101" s="239"/>
      <c r="M101" s="239"/>
      <c r="N101" s="239"/>
      <c r="O101" s="239"/>
      <c r="P101" s="239"/>
      <c r="Q101" s="239"/>
      <c r="R101" s="239"/>
      <c r="S101" s="239"/>
      <c r="T101" s="239"/>
      <c r="U101" s="239"/>
      <c r="V101" s="239"/>
    </row>
    <row r="102" spans="1:22" hidden="1" x14ac:dyDescent="0.4">
      <c r="A102" s="239"/>
      <c r="B102" s="239"/>
      <c r="C102" s="239"/>
      <c r="D102" s="239"/>
      <c r="E102" s="239"/>
      <c r="F102" s="239"/>
      <c r="G102" s="239"/>
      <c r="H102" s="239"/>
      <c r="I102" s="239"/>
      <c r="J102" s="239"/>
      <c r="K102" s="239"/>
      <c r="L102" s="239"/>
      <c r="M102" s="239"/>
      <c r="N102" s="239"/>
      <c r="O102" s="239"/>
      <c r="P102" s="239"/>
      <c r="Q102" s="239"/>
      <c r="R102" s="239"/>
      <c r="S102" s="239"/>
      <c r="T102" s="239"/>
      <c r="U102" s="239"/>
      <c r="V102" s="239"/>
    </row>
    <row r="103" spans="1:22" hidden="1" x14ac:dyDescent="0.4">
      <c r="A103" s="239"/>
      <c r="B103" s="239"/>
      <c r="C103" s="239"/>
      <c r="D103" s="239"/>
      <c r="E103" s="239"/>
      <c r="F103" s="239"/>
      <c r="G103" s="239"/>
      <c r="H103" s="239"/>
      <c r="I103" s="239"/>
      <c r="J103" s="239"/>
      <c r="K103" s="239"/>
      <c r="L103" s="239"/>
      <c r="M103" s="239"/>
      <c r="N103" s="239"/>
      <c r="O103" s="239"/>
      <c r="P103" s="239"/>
      <c r="Q103" s="239"/>
      <c r="R103" s="239"/>
      <c r="S103" s="239"/>
      <c r="T103" s="239"/>
      <c r="U103" s="239"/>
      <c r="V103" s="239"/>
    </row>
    <row r="104" spans="1:22" hidden="1" x14ac:dyDescent="0.4">
      <c r="A104" s="239"/>
      <c r="B104" s="239"/>
      <c r="C104" s="239"/>
      <c r="D104" s="239"/>
      <c r="E104" s="239"/>
      <c r="F104" s="239"/>
      <c r="G104" s="239"/>
      <c r="H104" s="239"/>
      <c r="I104" s="239"/>
      <c r="J104" s="239"/>
      <c r="K104" s="239"/>
      <c r="L104" s="239"/>
      <c r="M104" s="239"/>
      <c r="N104" s="239"/>
      <c r="O104" s="239"/>
      <c r="P104" s="239"/>
      <c r="Q104" s="239"/>
      <c r="R104" s="239"/>
      <c r="S104" s="239"/>
      <c r="T104" s="239"/>
      <c r="U104" s="239"/>
      <c r="V104" s="239"/>
    </row>
    <row r="105" spans="1:22" hidden="1" x14ac:dyDescent="0.4">
      <c r="A105" s="239"/>
      <c r="B105" s="239"/>
      <c r="C105" s="239"/>
      <c r="D105" s="239"/>
      <c r="E105" s="239"/>
      <c r="F105" s="239"/>
      <c r="G105" s="239"/>
      <c r="H105" s="239"/>
      <c r="I105" s="239"/>
      <c r="J105" s="239"/>
      <c r="K105" s="239"/>
      <c r="L105" s="239"/>
      <c r="M105" s="239"/>
      <c r="N105" s="239"/>
      <c r="O105" s="239"/>
      <c r="P105" s="239"/>
      <c r="Q105" s="239"/>
      <c r="R105" s="239"/>
      <c r="S105" s="239"/>
      <c r="T105" s="239"/>
      <c r="U105" s="239"/>
      <c r="V105" s="239"/>
    </row>
    <row r="106" spans="1:22" hidden="1" x14ac:dyDescent="0.4">
      <c r="A106" s="239"/>
      <c r="B106" s="239"/>
      <c r="C106" s="239"/>
      <c r="D106" s="239"/>
      <c r="E106" s="239"/>
      <c r="F106" s="239"/>
      <c r="G106" s="239"/>
      <c r="H106" s="239"/>
      <c r="I106" s="239"/>
      <c r="J106" s="239"/>
      <c r="K106" s="239"/>
      <c r="L106" s="239"/>
      <c r="M106" s="239"/>
      <c r="N106" s="239"/>
      <c r="O106" s="239"/>
      <c r="P106" s="239"/>
      <c r="Q106" s="239"/>
      <c r="R106" s="239"/>
      <c r="S106" s="239"/>
      <c r="T106" s="239"/>
      <c r="U106" s="239"/>
      <c r="V106" s="239"/>
    </row>
    <row r="107" spans="1:22" hidden="1" x14ac:dyDescent="0.4">
      <c r="A107" s="239"/>
      <c r="B107" s="239"/>
      <c r="C107" s="239"/>
      <c r="D107" s="239"/>
      <c r="E107" s="239"/>
      <c r="F107" s="239"/>
      <c r="G107" s="239"/>
      <c r="H107" s="239"/>
      <c r="I107" s="239"/>
      <c r="J107" s="239"/>
      <c r="K107" s="239"/>
      <c r="L107" s="239"/>
      <c r="M107" s="239"/>
      <c r="N107" s="239"/>
      <c r="O107" s="239"/>
      <c r="P107" s="239"/>
      <c r="Q107" s="239"/>
      <c r="R107" s="239"/>
      <c r="S107" s="239"/>
      <c r="T107" s="239"/>
      <c r="U107" s="239"/>
      <c r="V107" s="239"/>
    </row>
    <row r="108" spans="1:22" hidden="1" x14ac:dyDescent="0.4">
      <c r="A108" s="239"/>
      <c r="B108" s="239"/>
      <c r="C108" s="239"/>
      <c r="D108" s="239"/>
      <c r="E108" s="239"/>
      <c r="F108" s="239"/>
      <c r="G108" s="239"/>
      <c r="H108" s="239"/>
      <c r="I108" s="239"/>
      <c r="J108" s="239"/>
      <c r="K108" s="239"/>
      <c r="L108" s="239"/>
      <c r="M108" s="239"/>
      <c r="N108" s="239"/>
      <c r="O108" s="239"/>
      <c r="P108" s="239"/>
      <c r="Q108" s="239"/>
      <c r="R108" s="239"/>
      <c r="S108" s="239"/>
      <c r="T108" s="239"/>
      <c r="U108" s="239"/>
      <c r="V108" s="239"/>
    </row>
    <row r="109" spans="1:22" hidden="1" x14ac:dyDescent="0.4">
      <c r="A109" s="239"/>
      <c r="B109" s="239"/>
      <c r="C109" s="239"/>
      <c r="D109" s="239"/>
      <c r="E109" s="239"/>
      <c r="F109" s="239"/>
      <c r="G109" s="239"/>
      <c r="H109" s="239"/>
      <c r="I109" s="239"/>
      <c r="J109" s="239"/>
      <c r="K109" s="239"/>
      <c r="L109" s="239"/>
      <c r="M109" s="239"/>
      <c r="N109" s="239"/>
      <c r="O109" s="239"/>
      <c r="P109" s="239"/>
      <c r="Q109" s="239"/>
      <c r="R109" s="239"/>
      <c r="S109" s="239"/>
      <c r="T109" s="239"/>
      <c r="U109" s="239"/>
      <c r="V109" s="239"/>
    </row>
    <row r="110" spans="1:22" hidden="1" x14ac:dyDescent="0.4">
      <c r="A110" s="239"/>
      <c r="B110" s="239"/>
      <c r="C110" s="239"/>
      <c r="D110" s="239"/>
      <c r="E110" s="239"/>
      <c r="F110" s="239"/>
      <c r="G110" s="239"/>
      <c r="H110" s="239"/>
      <c r="I110" s="239"/>
      <c r="J110" s="239"/>
      <c r="K110" s="239"/>
      <c r="L110" s="239"/>
      <c r="M110" s="239"/>
      <c r="N110" s="239"/>
      <c r="O110" s="239"/>
      <c r="P110" s="239"/>
      <c r="Q110" s="239"/>
      <c r="R110" s="239"/>
      <c r="S110" s="239"/>
      <c r="T110" s="239"/>
      <c r="U110" s="239"/>
      <c r="V110" s="239"/>
    </row>
    <row r="111" spans="1:22" hidden="1" x14ac:dyDescent="0.4">
      <c r="A111" s="239"/>
      <c r="B111" s="239"/>
      <c r="C111" s="239"/>
      <c r="D111" s="239"/>
      <c r="E111" s="239"/>
      <c r="F111" s="239"/>
      <c r="G111" s="239"/>
      <c r="H111" s="239"/>
      <c r="I111" s="239"/>
      <c r="J111" s="239"/>
      <c r="K111" s="239"/>
      <c r="L111" s="239"/>
      <c r="M111" s="239"/>
      <c r="N111" s="239"/>
      <c r="O111" s="239"/>
      <c r="P111" s="239"/>
      <c r="Q111" s="239"/>
      <c r="R111" s="239"/>
      <c r="S111" s="239"/>
      <c r="T111" s="239"/>
      <c r="U111" s="239"/>
      <c r="V111" s="239"/>
    </row>
    <row r="112" spans="1:22" hidden="1" x14ac:dyDescent="0.4">
      <c r="A112" s="239"/>
      <c r="B112" s="239"/>
      <c r="C112" s="239"/>
      <c r="D112" s="239"/>
      <c r="E112" s="239"/>
      <c r="F112" s="239"/>
      <c r="G112" s="239"/>
      <c r="H112" s="239"/>
      <c r="I112" s="239"/>
      <c r="J112" s="239"/>
      <c r="K112" s="239"/>
      <c r="L112" s="239"/>
      <c r="M112" s="239"/>
      <c r="N112" s="239"/>
      <c r="O112" s="239"/>
      <c r="P112" s="239"/>
      <c r="Q112" s="239"/>
      <c r="R112" s="239"/>
      <c r="S112" s="239"/>
      <c r="T112" s="239"/>
      <c r="U112" s="239"/>
      <c r="V112" s="239"/>
    </row>
    <row r="113" spans="1:22" hidden="1" x14ac:dyDescent="0.4">
      <c r="A113" s="239"/>
      <c r="B113" s="239"/>
      <c r="C113" s="239"/>
      <c r="D113" s="239"/>
      <c r="E113" s="239"/>
      <c r="F113" s="239"/>
      <c r="G113" s="239"/>
      <c r="H113" s="239"/>
      <c r="I113" s="239"/>
      <c r="J113" s="239"/>
      <c r="K113" s="239"/>
      <c r="L113" s="239"/>
      <c r="M113" s="239"/>
      <c r="N113" s="239"/>
      <c r="O113" s="239"/>
      <c r="P113" s="239"/>
      <c r="Q113" s="239"/>
      <c r="R113" s="239"/>
      <c r="S113" s="239"/>
      <c r="T113" s="239"/>
      <c r="U113" s="239"/>
      <c r="V113" s="239"/>
    </row>
    <row r="114" spans="1:22" hidden="1" x14ac:dyDescent="0.4">
      <c r="A114" s="239"/>
      <c r="B114" s="239"/>
      <c r="C114" s="239"/>
      <c r="D114" s="239"/>
      <c r="E114" s="239"/>
      <c r="F114" s="239"/>
      <c r="G114" s="239"/>
      <c r="H114" s="239"/>
      <c r="I114" s="239"/>
      <c r="J114" s="239"/>
      <c r="K114" s="239"/>
      <c r="L114" s="239"/>
      <c r="M114" s="239"/>
      <c r="N114" s="239"/>
      <c r="O114" s="239"/>
      <c r="P114" s="239"/>
      <c r="Q114" s="239"/>
      <c r="R114" s="239"/>
      <c r="S114" s="239"/>
      <c r="T114" s="239"/>
      <c r="U114" s="239"/>
      <c r="V114" s="239"/>
    </row>
    <row r="115" spans="1:22" hidden="1" x14ac:dyDescent="0.4">
      <c r="A115" s="239"/>
      <c r="B115" s="239"/>
      <c r="C115" s="239"/>
      <c r="D115" s="239"/>
      <c r="E115" s="239"/>
      <c r="F115" s="239"/>
      <c r="G115" s="239"/>
      <c r="H115" s="239"/>
      <c r="I115" s="239"/>
      <c r="J115" s="239"/>
      <c r="K115" s="239"/>
      <c r="L115" s="239"/>
      <c r="M115" s="239"/>
      <c r="N115" s="239"/>
      <c r="O115" s="239"/>
      <c r="P115" s="239"/>
      <c r="Q115" s="239"/>
      <c r="R115" s="239"/>
      <c r="S115" s="239"/>
      <c r="T115" s="239"/>
      <c r="U115" s="239"/>
      <c r="V115" s="239"/>
    </row>
    <row r="116" spans="1:22" hidden="1" x14ac:dyDescent="0.4">
      <c r="A116" s="239"/>
      <c r="B116" s="239"/>
      <c r="C116" s="239"/>
      <c r="D116" s="239"/>
      <c r="E116" s="239"/>
      <c r="F116" s="239"/>
      <c r="G116" s="239"/>
      <c r="H116" s="239"/>
      <c r="I116" s="239"/>
      <c r="J116" s="239"/>
      <c r="K116" s="239"/>
      <c r="L116" s="239"/>
      <c r="M116" s="239"/>
      <c r="N116" s="239"/>
      <c r="O116" s="239"/>
      <c r="P116" s="239"/>
      <c r="Q116" s="239"/>
      <c r="R116" s="239"/>
      <c r="S116" s="239"/>
      <c r="T116" s="239"/>
      <c r="U116" s="239"/>
      <c r="V116" s="239"/>
    </row>
    <row r="117" spans="1:22" hidden="1" x14ac:dyDescent="0.4">
      <c r="A117" s="239"/>
      <c r="B117" s="239"/>
      <c r="C117" s="239"/>
      <c r="D117" s="239"/>
      <c r="E117" s="239"/>
      <c r="F117" s="239"/>
      <c r="G117" s="239"/>
      <c r="H117" s="239"/>
      <c r="I117" s="239"/>
      <c r="J117" s="239"/>
      <c r="K117" s="239"/>
      <c r="L117" s="239"/>
      <c r="M117" s="239"/>
      <c r="N117" s="239"/>
      <c r="O117" s="239"/>
      <c r="P117" s="239"/>
      <c r="Q117" s="239"/>
      <c r="R117" s="239"/>
      <c r="S117" s="239"/>
      <c r="T117" s="239"/>
      <c r="U117" s="239"/>
      <c r="V117" s="239"/>
    </row>
    <row r="118" spans="1:22" hidden="1" x14ac:dyDescent="0.4">
      <c r="A118" s="239"/>
      <c r="B118" s="239"/>
      <c r="C118" s="239"/>
      <c r="D118" s="239"/>
      <c r="E118" s="239"/>
      <c r="F118" s="239"/>
      <c r="G118" s="239"/>
      <c r="H118" s="239"/>
      <c r="I118" s="239"/>
      <c r="J118" s="239"/>
      <c r="K118" s="239"/>
      <c r="L118" s="239"/>
      <c r="M118" s="239"/>
      <c r="N118" s="239"/>
      <c r="O118" s="239"/>
      <c r="P118" s="239"/>
      <c r="Q118" s="239"/>
      <c r="R118" s="239"/>
      <c r="S118" s="239"/>
      <c r="T118" s="239"/>
      <c r="U118" s="239"/>
      <c r="V118" s="239"/>
    </row>
    <row r="119" spans="1:22" hidden="1" x14ac:dyDescent="0.4">
      <c r="A119" s="239"/>
      <c r="B119" s="239"/>
      <c r="C119" s="239"/>
      <c r="D119" s="239"/>
      <c r="E119" s="239"/>
      <c r="F119" s="239"/>
      <c r="G119" s="239"/>
      <c r="H119" s="239"/>
      <c r="I119" s="239"/>
      <c r="J119" s="239"/>
      <c r="K119" s="239"/>
      <c r="L119" s="239"/>
      <c r="M119" s="239"/>
      <c r="N119" s="239"/>
      <c r="O119" s="239"/>
      <c r="P119" s="239"/>
      <c r="Q119" s="239"/>
      <c r="R119" s="239"/>
      <c r="S119" s="239"/>
      <c r="T119" s="239"/>
      <c r="U119" s="239"/>
      <c r="V119" s="239"/>
    </row>
    <row r="120" spans="1:22" hidden="1" x14ac:dyDescent="0.4">
      <c r="A120" s="239"/>
      <c r="B120" s="239"/>
      <c r="C120" s="239"/>
      <c r="D120" s="239"/>
      <c r="E120" s="239"/>
      <c r="F120" s="239"/>
      <c r="G120" s="239"/>
      <c r="H120" s="239"/>
      <c r="I120" s="239"/>
      <c r="J120" s="239"/>
      <c r="K120" s="239"/>
      <c r="L120" s="239"/>
      <c r="M120" s="239"/>
      <c r="N120" s="239"/>
      <c r="O120" s="239"/>
      <c r="P120" s="239"/>
      <c r="Q120" s="239"/>
      <c r="R120" s="239"/>
      <c r="S120" s="239"/>
      <c r="T120" s="239"/>
      <c r="U120" s="239"/>
      <c r="V120" s="239"/>
    </row>
    <row r="121" spans="1:22" hidden="1" x14ac:dyDescent="0.4">
      <c r="A121" s="239"/>
      <c r="B121" s="239"/>
      <c r="C121" s="239"/>
      <c r="D121" s="239"/>
      <c r="E121" s="239"/>
      <c r="F121" s="239"/>
      <c r="G121" s="239"/>
      <c r="H121" s="239"/>
      <c r="I121" s="239"/>
      <c r="J121" s="239"/>
      <c r="K121" s="239"/>
      <c r="L121" s="239"/>
      <c r="M121" s="239"/>
      <c r="N121" s="239"/>
      <c r="O121" s="239"/>
      <c r="P121" s="239"/>
      <c r="Q121" s="239"/>
      <c r="R121" s="239"/>
      <c r="S121" s="239"/>
      <c r="T121" s="239"/>
      <c r="U121" s="239"/>
      <c r="V121" s="239"/>
    </row>
    <row r="122" spans="1:22" hidden="1" x14ac:dyDescent="0.4">
      <c r="A122" s="239"/>
      <c r="B122" s="239"/>
      <c r="C122" s="239"/>
      <c r="D122" s="239"/>
      <c r="E122" s="239"/>
      <c r="F122" s="239"/>
      <c r="G122" s="239"/>
      <c r="H122" s="239"/>
      <c r="I122" s="239"/>
      <c r="J122" s="239"/>
      <c r="K122" s="239"/>
      <c r="L122" s="239"/>
      <c r="M122" s="239"/>
      <c r="N122" s="239"/>
      <c r="O122" s="239"/>
      <c r="P122" s="239"/>
      <c r="Q122" s="239"/>
      <c r="R122" s="239"/>
      <c r="S122" s="239"/>
      <c r="T122" s="239"/>
      <c r="U122" s="239"/>
      <c r="V122" s="239"/>
    </row>
    <row r="123" spans="1:22" hidden="1" x14ac:dyDescent="0.4">
      <c r="A123" s="239"/>
      <c r="B123" s="239"/>
      <c r="C123" s="239"/>
      <c r="D123" s="239"/>
      <c r="E123" s="239"/>
      <c r="F123" s="239"/>
      <c r="G123" s="239"/>
      <c r="H123" s="239"/>
      <c r="I123" s="239"/>
      <c r="J123" s="239"/>
      <c r="K123" s="239"/>
      <c r="L123" s="239"/>
      <c r="M123" s="239"/>
      <c r="N123" s="239"/>
      <c r="O123" s="239"/>
      <c r="P123" s="239"/>
      <c r="Q123" s="239"/>
      <c r="R123" s="239"/>
      <c r="S123" s="239"/>
      <c r="T123" s="239"/>
      <c r="U123" s="239"/>
      <c r="V123" s="239"/>
    </row>
    <row r="124" spans="1:22" hidden="1" x14ac:dyDescent="0.4">
      <c r="A124" s="239"/>
      <c r="B124" s="239"/>
      <c r="C124" s="239"/>
      <c r="D124" s="239"/>
      <c r="E124" s="239"/>
      <c r="F124" s="239"/>
      <c r="G124" s="239"/>
      <c r="H124" s="239"/>
      <c r="I124" s="239"/>
      <c r="J124" s="239"/>
      <c r="K124" s="239"/>
      <c r="L124" s="239"/>
      <c r="M124" s="239"/>
      <c r="N124" s="239"/>
      <c r="O124" s="239"/>
      <c r="P124" s="239"/>
      <c r="Q124" s="239"/>
      <c r="R124" s="239"/>
      <c r="S124" s="239"/>
      <c r="T124" s="239"/>
      <c r="U124" s="239"/>
      <c r="V124" s="239"/>
    </row>
    <row r="125" spans="1:22" x14ac:dyDescent="0.4">
      <c r="A125" s="239"/>
      <c r="B125" s="239"/>
      <c r="C125" s="239"/>
      <c r="D125" s="239"/>
      <c r="E125" s="239"/>
      <c r="F125" s="239"/>
      <c r="G125" s="239"/>
      <c r="H125" s="239"/>
      <c r="I125" s="239"/>
      <c r="J125" s="239"/>
      <c r="K125" s="239"/>
      <c r="L125" s="239"/>
      <c r="M125" s="239"/>
      <c r="N125" s="239"/>
      <c r="O125" s="239"/>
      <c r="P125" s="239"/>
      <c r="Q125" s="239"/>
      <c r="R125" s="239"/>
      <c r="S125" s="239"/>
      <c r="T125" s="239"/>
      <c r="U125" s="239"/>
      <c r="V125" s="239"/>
    </row>
    <row r="126" spans="1:22" x14ac:dyDescent="0.4">
      <c r="A126" s="239"/>
      <c r="B126" s="239"/>
      <c r="C126" s="239"/>
      <c r="D126" s="239"/>
      <c r="E126" s="239"/>
      <c r="F126" s="239"/>
      <c r="G126" s="239"/>
      <c r="H126" s="239"/>
      <c r="I126" s="239"/>
      <c r="J126" s="239"/>
      <c r="K126" s="239"/>
      <c r="L126" s="239"/>
      <c r="M126" s="239"/>
      <c r="N126" s="239"/>
      <c r="O126" s="239"/>
      <c r="P126" s="239"/>
      <c r="Q126" s="239"/>
      <c r="R126" s="239"/>
      <c r="S126" s="239"/>
      <c r="T126" s="239"/>
      <c r="U126" s="239"/>
      <c r="V126" s="239"/>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440" priority="20" operator="containsText" text="Non validé">
      <formula>NOT(ISERROR(SEARCH("Non validé",P7)))</formula>
    </cfRule>
    <cfRule type="containsText" dxfId="439" priority="21" operator="containsText" text="réserve">
      <formula>NOT(ISERROR(SEARCH("réserve",P7)))</formula>
    </cfRule>
    <cfRule type="containsText" dxfId="438" priority="22" operator="containsText" text="Validé">
      <formula>NOT(ISERROR(SEARCH("Validé",P7)))</formula>
    </cfRule>
  </conditionalFormatting>
  <conditionalFormatting sqref="P9:P11">
    <cfRule type="containsText" dxfId="437" priority="17" operator="containsText" text="Non validé">
      <formula>NOT(ISERROR(SEARCH("Non validé",P9)))</formula>
    </cfRule>
    <cfRule type="containsText" dxfId="436" priority="18" operator="containsText" text="réserve">
      <formula>NOT(ISERROR(SEARCH("réserve",P9)))</formula>
    </cfRule>
    <cfRule type="containsText" dxfId="435" priority="19" operator="containsText" text="Validé">
      <formula>NOT(ISERROR(SEARCH("Validé",P9)))</formula>
    </cfRule>
  </conditionalFormatting>
  <dataValidations count="4">
    <dataValidation allowBlank="1" showInputMessage="1" showErrorMessage="1" promptTitle="Paramète supplémentaire" sqref="B31:B32" xr:uid="{00000000-0002-0000-0300-000000000000}"/>
    <dataValidation errorStyle="information" allowBlank="1" showInputMessage="1" sqref="F24:F29 P24:P29" xr:uid="{00000000-0002-0000-0300-000001000000}"/>
    <dataValidation type="list" errorStyle="information" allowBlank="1" showInputMessage="1" sqref="P9:P11 P7" xr:uid="{00000000-0002-0000-0300-000002000000}">
      <formula1>INDIRECT("LISTE_3")</formula1>
    </dataValidation>
    <dataValidation type="list" allowBlank="1" showInputMessage="1" showErrorMessage="1" prompt="Si OUI, alors compléter le tableau et évaluer chaque paramètre" sqref="L24:L29 C24:C29" xr:uid="{00000000-0002-0000-03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5" customWidth="1"/>
    <col min="2" max="2" width="90.703125" style="146" customWidth="1"/>
    <col min="3" max="3" width="13.41015625" style="83" customWidth="1"/>
    <col min="4" max="4" width="6.703125" style="83" customWidth="1"/>
    <col min="5" max="5" width="6.29296875" style="83" customWidth="1"/>
    <col min="6" max="6" width="2.703125" style="145" customWidth="1"/>
    <col min="7" max="7" width="90.703125" style="83" customWidth="1"/>
    <col min="8" max="8" width="13.29296875" style="83" customWidth="1"/>
    <col min="9" max="9" width="6.703125" style="83" customWidth="1"/>
    <col min="10" max="10" width="3.1171875" style="83" hidden="1" customWidth="1"/>
    <col min="11" max="11" width="2.703125" style="145" customWidth="1"/>
    <col min="12" max="12" width="90.703125" style="83" customWidth="1"/>
    <col min="13" max="13" width="13.29296875" style="83" customWidth="1"/>
    <col min="14" max="14" width="6.703125" style="83" customWidth="1"/>
    <col min="15" max="15" width="4.87890625" style="83" hidden="1" customWidth="1"/>
    <col min="16" max="16" width="2.703125" style="145" customWidth="1"/>
    <col min="17" max="17" width="90.703125" style="83" customWidth="1"/>
    <col min="18" max="18" width="13.29296875" style="83" customWidth="1"/>
    <col min="19" max="19" width="6.703125" style="83" customWidth="1"/>
    <col min="20" max="20" width="4.87890625" style="83" hidden="1" customWidth="1"/>
    <col min="21" max="21" width="2.703125" style="83" customWidth="1"/>
    <col min="22" max="22" width="90.703125" style="83" customWidth="1"/>
    <col min="23" max="23" width="13.29296875" style="83" customWidth="1"/>
    <col min="24" max="24" width="6.703125" style="83" customWidth="1"/>
    <col min="25" max="25" width="4.87890625" style="83" hidden="1" customWidth="1"/>
    <col min="26" max="26" width="2.703125" style="83" customWidth="1"/>
    <col min="27" max="27" width="90.703125" style="83" customWidth="1"/>
    <col min="28" max="28" width="13.29296875" style="83" customWidth="1"/>
    <col min="29" max="29" width="6.703125" style="83" customWidth="1"/>
    <col min="30" max="30" width="4.87890625" style="83" hidden="1" customWidth="1"/>
    <col min="31" max="31" width="2.703125" style="83" customWidth="1"/>
    <col min="32" max="32" width="90.703125" style="83" customWidth="1"/>
    <col min="33" max="33" width="13.29296875" style="83" customWidth="1"/>
    <col min="34" max="34" width="6.703125" style="83" customWidth="1"/>
    <col min="35" max="35" width="4.87890625" style="83" hidden="1" customWidth="1"/>
    <col min="36" max="36" width="2.703125" style="83" customWidth="1"/>
    <col min="37" max="37" width="90.703125" style="83" customWidth="1"/>
    <col min="38" max="38" width="13.29296875" style="83" customWidth="1"/>
    <col min="39" max="39" width="6.703125" style="83" customWidth="1"/>
    <col min="40" max="40" width="4.87890625" style="83" hidden="1" customWidth="1"/>
    <col min="41" max="41" width="2.703125" style="83" customWidth="1"/>
    <col min="42" max="42" width="90.703125" style="83" customWidth="1"/>
    <col min="43" max="43" width="13.29296875" style="83" customWidth="1"/>
    <col min="44" max="44" width="6.703125" style="83" customWidth="1"/>
    <col min="45" max="45" width="4.87890625" style="83" hidden="1" customWidth="1"/>
    <col min="46" max="46" width="2.703125" style="83" customWidth="1"/>
    <col min="47" max="47" width="90.703125" style="83" customWidth="1"/>
    <col min="48" max="48" width="13.29296875" style="83" customWidth="1"/>
    <col min="49" max="49" width="6.703125" style="83" customWidth="1"/>
    <col min="50" max="50" width="4.87890625" style="83" hidden="1" customWidth="1"/>
    <col min="51" max="51" width="2.703125" style="83" customWidth="1"/>
    <col min="52" max="52" width="90.703125" style="83" customWidth="1"/>
    <col min="53" max="53" width="13.29296875" style="83" customWidth="1"/>
    <col min="54" max="54" width="6.703125" style="83" customWidth="1"/>
    <col min="55" max="55" width="4.87890625" style="83" hidden="1" customWidth="1"/>
    <col min="56" max="56" width="2.703125" style="83" customWidth="1"/>
    <col min="57" max="57" width="90.703125" style="83" customWidth="1"/>
    <col min="58" max="58" width="13.29296875" style="83" customWidth="1"/>
    <col min="59" max="59" width="6.703125" style="83" customWidth="1"/>
    <col min="60" max="60" width="4.87890625" style="83" hidden="1" customWidth="1"/>
    <col min="61" max="313" width="11.41015625" style="121"/>
    <col min="314" max="16384" width="11.41015625" style="83"/>
  </cols>
  <sheetData>
    <row r="1" spans="1:60" s="94" customFormat="1" ht="16.5" customHeight="1" thickBot="1" x14ac:dyDescent="0.55000000000000004">
      <c r="A1" s="377" t="s">
        <v>23</v>
      </c>
      <c r="B1" s="378"/>
      <c r="C1" s="378"/>
      <c r="D1" s="379"/>
      <c r="F1" s="377" t="s">
        <v>24</v>
      </c>
      <c r="G1" s="378"/>
      <c r="H1" s="378"/>
      <c r="I1" s="379"/>
      <c r="K1" s="377" t="s">
        <v>25</v>
      </c>
      <c r="L1" s="378"/>
      <c r="M1" s="378"/>
      <c r="N1" s="379"/>
      <c r="P1" s="377" t="s">
        <v>33</v>
      </c>
      <c r="Q1" s="378"/>
      <c r="R1" s="378"/>
      <c r="S1" s="379"/>
      <c r="U1" s="377" t="s">
        <v>34</v>
      </c>
      <c r="V1" s="378"/>
      <c r="W1" s="378"/>
      <c r="X1" s="379"/>
      <c r="Z1" s="377" t="s">
        <v>35</v>
      </c>
      <c r="AA1" s="378"/>
      <c r="AB1" s="378"/>
      <c r="AC1" s="379"/>
      <c r="AE1" s="377" t="s">
        <v>36</v>
      </c>
      <c r="AF1" s="378"/>
      <c r="AG1" s="378"/>
      <c r="AH1" s="379"/>
      <c r="AJ1" s="377" t="s">
        <v>37</v>
      </c>
      <c r="AK1" s="378"/>
      <c r="AL1" s="378"/>
      <c r="AM1" s="379"/>
      <c r="AO1" s="377" t="s">
        <v>38</v>
      </c>
      <c r="AP1" s="378"/>
      <c r="AQ1" s="378"/>
      <c r="AR1" s="379"/>
      <c r="AT1" s="377" t="s">
        <v>39</v>
      </c>
      <c r="AU1" s="378"/>
      <c r="AV1" s="378"/>
      <c r="AW1" s="379"/>
      <c r="AY1" s="377" t="s">
        <v>40</v>
      </c>
      <c r="AZ1" s="378"/>
      <c r="BA1" s="378"/>
      <c r="BB1" s="379"/>
      <c r="BD1" s="377" t="s">
        <v>41</v>
      </c>
      <c r="BE1" s="378"/>
      <c r="BF1" s="380"/>
      <c r="BG1" s="381"/>
    </row>
    <row r="2" spans="1:60" ht="15" customHeight="1" thickBot="1" x14ac:dyDescent="0.45">
      <c r="A2" s="559" t="s">
        <v>42</v>
      </c>
      <c r="B2" s="560"/>
      <c r="C2" s="391" t="s">
        <v>43</v>
      </c>
      <c r="D2" s="392"/>
      <c r="F2" s="559" t="s">
        <v>42</v>
      </c>
      <c r="G2" s="560"/>
      <c r="H2" s="368" t="s">
        <v>43</v>
      </c>
      <c r="I2" s="369"/>
      <c r="K2" s="555" t="s">
        <v>42</v>
      </c>
      <c r="L2" s="556"/>
      <c r="M2" s="368" t="s">
        <v>43</v>
      </c>
      <c r="N2" s="369"/>
      <c r="P2" s="561" t="s">
        <v>42</v>
      </c>
      <c r="Q2" s="562"/>
      <c r="R2" s="368" t="s">
        <v>43</v>
      </c>
      <c r="S2" s="369"/>
      <c r="U2" s="555" t="s">
        <v>42</v>
      </c>
      <c r="V2" s="556"/>
      <c r="W2" s="368" t="s">
        <v>43</v>
      </c>
      <c r="X2" s="369"/>
      <c r="Z2" s="555" t="s">
        <v>42</v>
      </c>
      <c r="AA2" s="556"/>
      <c r="AB2" s="368" t="s">
        <v>43</v>
      </c>
      <c r="AC2" s="369"/>
      <c r="AE2" s="555" t="s">
        <v>42</v>
      </c>
      <c r="AF2" s="556"/>
      <c r="AG2" s="368" t="s">
        <v>43</v>
      </c>
      <c r="AH2" s="369"/>
      <c r="AJ2" s="555" t="s">
        <v>42</v>
      </c>
      <c r="AK2" s="556"/>
      <c r="AL2" s="368" t="s">
        <v>43</v>
      </c>
      <c r="AM2" s="369"/>
      <c r="AO2" s="555" t="s">
        <v>42</v>
      </c>
      <c r="AP2" s="556"/>
      <c r="AQ2" s="368" t="s">
        <v>43</v>
      </c>
      <c r="AR2" s="369"/>
      <c r="AT2" s="555" t="s">
        <v>42</v>
      </c>
      <c r="AU2" s="556"/>
      <c r="AV2" s="368" t="s">
        <v>43</v>
      </c>
      <c r="AW2" s="369"/>
      <c r="AY2" s="555" t="s">
        <v>42</v>
      </c>
      <c r="AZ2" s="556"/>
      <c r="BA2" s="368" t="s">
        <v>43</v>
      </c>
      <c r="BB2" s="369"/>
      <c r="BD2" s="555" t="s">
        <v>42</v>
      </c>
      <c r="BE2" s="563"/>
      <c r="BF2" s="373" t="s">
        <v>43</v>
      </c>
      <c r="BG2" s="374"/>
    </row>
    <row r="3" spans="1:60" s="171" customFormat="1" ht="20.350000000000001" thickBot="1" x14ac:dyDescent="0.45">
      <c r="A3" s="387"/>
      <c r="B3" s="388"/>
      <c r="C3" s="366"/>
      <c r="D3" s="367"/>
      <c r="E3" s="156"/>
      <c r="F3" s="387"/>
      <c r="G3" s="388"/>
      <c r="H3" s="366"/>
      <c r="I3" s="367"/>
      <c r="J3" s="156"/>
      <c r="K3" s="387"/>
      <c r="L3" s="388"/>
      <c r="M3" s="366"/>
      <c r="N3" s="367"/>
      <c r="O3" s="156"/>
      <c r="P3" s="375"/>
      <c r="Q3" s="376"/>
      <c r="R3" s="366"/>
      <c r="S3" s="367"/>
      <c r="T3" s="156"/>
      <c r="U3" s="375"/>
      <c r="V3" s="376"/>
      <c r="W3" s="366"/>
      <c r="X3" s="367"/>
      <c r="Y3" s="156"/>
      <c r="Z3" s="375"/>
      <c r="AA3" s="376"/>
      <c r="AB3" s="366"/>
      <c r="AC3" s="367"/>
      <c r="AD3" s="156"/>
      <c r="AE3" s="375"/>
      <c r="AF3" s="376"/>
      <c r="AG3" s="366"/>
      <c r="AH3" s="367"/>
      <c r="AI3" s="156"/>
      <c r="AJ3" s="375"/>
      <c r="AK3" s="376"/>
      <c r="AL3" s="366"/>
      <c r="AM3" s="367"/>
      <c r="AN3" s="156"/>
      <c r="AO3" s="375"/>
      <c r="AP3" s="376"/>
      <c r="AQ3" s="366"/>
      <c r="AR3" s="367"/>
      <c r="AS3" s="156"/>
      <c r="AT3" s="375"/>
      <c r="AU3" s="376"/>
      <c r="AV3" s="366"/>
      <c r="AW3" s="367"/>
      <c r="AX3" s="156"/>
      <c r="AY3" s="375"/>
      <c r="AZ3" s="376"/>
      <c r="BA3" s="366"/>
      <c r="BB3" s="367"/>
      <c r="BC3" s="156"/>
      <c r="BD3" s="375"/>
      <c r="BE3" s="376"/>
      <c r="BF3" s="366"/>
      <c r="BG3" s="367"/>
      <c r="BH3" s="156"/>
    </row>
    <row r="4" spans="1:60" s="163" customFormat="1" ht="15" customHeight="1" x14ac:dyDescent="0.4">
      <c r="A4" s="552" t="s">
        <v>188</v>
      </c>
      <c r="B4" s="553"/>
      <c r="C4" s="553"/>
      <c r="D4" s="554"/>
      <c r="F4" s="552" t="s">
        <v>188</v>
      </c>
      <c r="G4" s="553"/>
      <c r="H4" s="553"/>
      <c r="I4" s="554"/>
      <c r="K4" s="552" t="s">
        <v>188</v>
      </c>
      <c r="L4" s="553"/>
      <c r="M4" s="553"/>
      <c r="N4" s="554"/>
      <c r="P4" s="552" t="s">
        <v>188</v>
      </c>
      <c r="Q4" s="553"/>
      <c r="R4" s="553"/>
      <c r="S4" s="554"/>
      <c r="U4" s="552" t="s">
        <v>188</v>
      </c>
      <c r="V4" s="553"/>
      <c r="W4" s="553"/>
      <c r="X4" s="554"/>
      <c r="Z4" s="552" t="s">
        <v>188</v>
      </c>
      <c r="AA4" s="553"/>
      <c r="AB4" s="553"/>
      <c r="AC4" s="554"/>
      <c r="AE4" s="552" t="s">
        <v>188</v>
      </c>
      <c r="AF4" s="553"/>
      <c r="AG4" s="553"/>
      <c r="AH4" s="554"/>
      <c r="AJ4" s="552" t="s">
        <v>188</v>
      </c>
      <c r="AK4" s="553"/>
      <c r="AL4" s="553"/>
      <c r="AM4" s="554"/>
      <c r="AO4" s="552" t="s">
        <v>188</v>
      </c>
      <c r="AP4" s="553"/>
      <c r="AQ4" s="553"/>
      <c r="AR4" s="554"/>
      <c r="AT4" s="552" t="s">
        <v>188</v>
      </c>
      <c r="AU4" s="553"/>
      <c r="AV4" s="553"/>
      <c r="AW4" s="554"/>
      <c r="AY4" s="552" t="s">
        <v>188</v>
      </c>
      <c r="AZ4" s="553"/>
      <c r="BA4" s="553"/>
      <c r="BB4" s="554"/>
      <c r="BD4" s="552" t="s">
        <v>188</v>
      </c>
      <c r="BE4" s="553"/>
      <c r="BF4" s="553"/>
      <c r="BG4" s="554"/>
    </row>
    <row r="5" spans="1:60" s="157" customFormat="1" ht="18" customHeight="1" x14ac:dyDescent="0.55000000000000004">
      <c r="A5" s="354" t="s">
        <v>44</v>
      </c>
      <c r="B5" s="355"/>
      <c r="C5" s="355"/>
      <c r="D5" s="356"/>
      <c r="F5" s="354"/>
      <c r="G5" s="355"/>
      <c r="H5" s="355"/>
      <c r="I5" s="356"/>
      <c r="K5" s="354"/>
      <c r="L5" s="355"/>
      <c r="M5" s="355"/>
      <c r="N5" s="356"/>
      <c r="P5" s="354"/>
      <c r="Q5" s="355"/>
      <c r="R5" s="355"/>
      <c r="S5" s="356"/>
      <c r="U5" s="354"/>
      <c r="V5" s="355"/>
      <c r="W5" s="355"/>
      <c r="X5" s="356"/>
      <c r="Z5" s="354"/>
      <c r="AA5" s="355"/>
      <c r="AB5" s="355"/>
      <c r="AC5" s="356"/>
      <c r="AE5" s="354"/>
      <c r="AF5" s="355"/>
      <c r="AG5" s="355"/>
      <c r="AH5" s="356"/>
      <c r="AJ5" s="354"/>
      <c r="AK5" s="355"/>
      <c r="AL5" s="355"/>
      <c r="AM5" s="356"/>
      <c r="AO5" s="354"/>
      <c r="AP5" s="355"/>
      <c r="AQ5" s="355"/>
      <c r="AR5" s="356"/>
      <c r="AT5" s="354"/>
      <c r="AU5" s="355"/>
      <c r="AV5" s="355"/>
      <c r="AW5" s="356"/>
      <c r="AY5" s="354"/>
      <c r="AZ5" s="355"/>
      <c r="BA5" s="355"/>
      <c r="BB5" s="356"/>
      <c r="BD5" s="354"/>
      <c r="BE5" s="355"/>
      <c r="BF5" s="355"/>
      <c r="BG5" s="356"/>
    </row>
    <row r="6" spans="1:60" ht="1.5" customHeight="1" x14ac:dyDescent="0.4">
      <c r="A6" s="97"/>
      <c r="B6" s="98"/>
      <c r="C6" s="98"/>
      <c r="D6" s="99"/>
      <c r="F6" s="97"/>
      <c r="G6" s="98"/>
      <c r="H6" s="98"/>
      <c r="I6" s="100"/>
      <c r="K6" s="97"/>
      <c r="L6" s="98"/>
      <c r="M6" s="101"/>
      <c r="N6" s="100"/>
      <c r="P6" s="97"/>
      <c r="Q6" s="98"/>
      <c r="R6" s="98"/>
      <c r="S6" s="99"/>
      <c r="U6" s="97"/>
      <c r="V6" s="98"/>
      <c r="W6" s="98"/>
      <c r="X6" s="99"/>
      <c r="Z6" s="97"/>
      <c r="AA6" s="98"/>
      <c r="AB6" s="98"/>
      <c r="AC6" s="99"/>
      <c r="AE6" s="97"/>
      <c r="AF6" s="98"/>
      <c r="AG6" s="98"/>
      <c r="AH6" s="99"/>
      <c r="AJ6" s="97"/>
      <c r="AK6" s="98"/>
      <c r="AL6" s="98"/>
      <c r="AM6" s="99"/>
      <c r="AO6" s="97"/>
      <c r="AP6" s="98"/>
      <c r="AQ6" s="98"/>
      <c r="AR6" s="99"/>
      <c r="AT6" s="97"/>
      <c r="AU6" s="98"/>
      <c r="AV6" s="98"/>
      <c r="AW6" s="99"/>
      <c r="AY6" s="97"/>
      <c r="AZ6" s="98"/>
      <c r="BA6" s="98"/>
      <c r="BB6" s="99"/>
      <c r="BD6" s="97"/>
      <c r="BE6" s="98"/>
      <c r="BF6" s="98"/>
      <c r="BG6" s="102"/>
    </row>
    <row r="7" spans="1:60" ht="24" customHeight="1" x14ac:dyDescent="0.4">
      <c r="A7" s="357" t="s">
        <v>46</v>
      </c>
      <c r="B7" s="358"/>
      <c r="C7" s="164" t="s">
        <v>11</v>
      </c>
      <c r="D7" s="165" t="s">
        <v>47</v>
      </c>
      <c r="E7" s="103" t="s">
        <v>48</v>
      </c>
      <c r="F7" s="357" t="s">
        <v>46</v>
      </c>
      <c r="G7" s="358"/>
      <c r="H7" s="164" t="s">
        <v>11</v>
      </c>
      <c r="I7" s="166" t="s">
        <v>47</v>
      </c>
      <c r="J7" s="103" t="s">
        <v>48</v>
      </c>
      <c r="K7" s="357" t="s">
        <v>46</v>
      </c>
      <c r="L7" s="358"/>
      <c r="M7" s="164" t="s">
        <v>11</v>
      </c>
      <c r="N7" s="166" t="s">
        <v>47</v>
      </c>
      <c r="O7" s="103" t="s">
        <v>48</v>
      </c>
      <c r="P7" s="357" t="s">
        <v>46</v>
      </c>
      <c r="Q7" s="358"/>
      <c r="R7" s="164" t="s">
        <v>11</v>
      </c>
      <c r="S7" s="166" t="s">
        <v>47</v>
      </c>
      <c r="T7" s="103" t="s">
        <v>48</v>
      </c>
      <c r="U7" s="357" t="s">
        <v>46</v>
      </c>
      <c r="V7" s="358"/>
      <c r="W7" s="164" t="s">
        <v>11</v>
      </c>
      <c r="X7" s="166" t="s">
        <v>47</v>
      </c>
      <c r="Y7" s="103" t="s">
        <v>48</v>
      </c>
      <c r="Z7" s="357" t="s">
        <v>46</v>
      </c>
      <c r="AA7" s="358"/>
      <c r="AB7" s="164" t="s">
        <v>11</v>
      </c>
      <c r="AC7" s="166" t="s">
        <v>47</v>
      </c>
      <c r="AD7" s="103" t="s">
        <v>48</v>
      </c>
      <c r="AE7" s="357" t="s">
        <v>46</v>
      </c>
      <c r="AF7" s="358"/>
      <c r="AG7" s="164" t="s">
        <v>11</v>
      </c>
      <c r="AH7" s="166" t="s">
        <v>47</v>
      </c>
      <c r="AI7" s="103" t="s">
        <v>48</v>
      </c>
      <c r="AJ7" s="357" t="s">
        <v>46</v>
      </c>
      <c r="AK7" s="358"/>
      <c r="AL7" s="164" t="s">
        <v>11</v>
      </c>
      <c r="AM7" s="166" t="s">
        <v>47</v>
      </c>
      <c r="AN7" s="103" t="s">
        <v>48</v>
      </c>
      <c r="AO7" s="357" t="s">
        <v>46</v>
      </c>
      <c r="AP7" s="358"/>
      <c r="AQ7" s="164" t="s">
        <v>11</v>
      </c>
      <c r="AR7" s="166" t="s">
        <v>47</v>
      </c>
      <c r="AS7" s="103" t="s">
        <v>48</v>
      </c>
      <c r="AT7" s="357" t="s">
        <v>46</v>
      </c>
      <c r="AU7" s="358"/>
      <c r="AV7" s="164" t="s">
        <v>11</v>
      </c>
      <c r="AW7" s="166" t="s">
        <v>47</v>
      </c>
      <c r="AX7" s="103" t="s">
        <v>48</v>
      </c>
      <c r="AY7" s="357" t="s">
        <v>46</v>
      </c>
      <c r="AZ7" s="358"/>
      <c r="BA7" s="164" t="s">
        <v>11</v>
      </c>
      <c r="BB7" s="166" t="s">
        <v>47</v>
      </c>
      <c r="BC7" s="103" t="s">
        <v>48</v>
      </c>
      <c r="BD7" s="357" t="s">
        <v>46</v>
      </c>
      <c r="BE7" s="358"/>
      <c r="BF7" s="164" t="s">
        <v>11</v>
      </c>
      <c r="BG7" s="166" t="s">
        <v>47</v>
      </c>
      <c r="BH7" s="104" t="s">
        <v>48</v>
      </c>
    </row>
    <row r="8" spans="1:60" ht="20.100000000000001" customHeight="1" x14ac:dyDescent="0.4">
      <c r="A8" s="198">
        <v>0</v>
      </c>
      <c r="B8" s="3" t="str">
        <f>IFERROR(HLOOKUP(A$5,#REF!,SA_GRILLE_STEU!$A8+2,FALSE),"")</f>
        <v/>
      </c>
      <c r="C8" s="153"/>
      <c r="D8" s="185"/>
      <c r="E8" s="105" t="str">
        <f>IFERROR(HLOOKUP(A$5,#REF!,$A8+2,FALSE),"")</f>
        <v/>
      </c>
      <c r="F8" s="198">
        <v>0</v>
      </c>
      <c r="G8" s="2" t="str">
        <f>IFERROR(HLOOKUP(F$5,#REF!,SA_GRILLE_STEU!$A8+2,FALSE),"")</f>
        <v/>
      </c>
      <c r="H8" s="153"/>
      <c r="I8" s="106"/>
      <c r="J8" s="105" t="str">
        <f>IFERROR(HLOOKUP(F$5,#REF!,SA_GRILLE_STEU!$A8+2,FALSE),"")</f>
        <v/>
      </c>
      <c r="K8" s="198">
        <v>0</v>
      </c>
      <c r="L8" s="2" t="str">
        <f>IFERROR(HLOOKUP(K$5,#REF!,SA_GRILLE_STEU!$A8+2,FALSE),"")</f>
        <v/>
      </c>
      <c r="M8" s="153"/>
      <c r="N8" s="106"/>
      <c r="O8" s="105" t="str">
        <f>IFERROR(HLOOKUP(K$5,#REF!,SA_GRILLE_STEU!$A8+2,FALSE),"")</f>
        <v/>
      </c>
      <c r="P8" s="198">
        <v>0</v>
      </c>
      <c r="Q8" s="2" t="str">
        <f>IFERROR(HLOOKUP(P$5,#REF!,SA_GRILLE_STEU!$A8+2,FALSE),"")</f>
        <v/>
      </c>
      <c r="R8" s="153"/>
      <c r="S8" s="106"/>
      <c r="T8" s="105" t="str">
        <f>IFERROR(HLOOKUP(P$5,#REF!,SA_GRILLE_STEU!$A8+2,FALSE),"")</f>
        <v/>
      </c>
      <c r="U8" s="198">
        <v>0</v>
      </c>
      <c r="V8" s="2" t="str">
        <f>IFERROR(HLOOKUP(U$5,#REF!,SA_GRILLE_STEU!$A8+2,FALSE),"")</f>
        <v/>
      </c>
      <c r="W8" s="153"/>
      <c r="X8" s="106"/>
      <c r="Y8" s="105" t="str">
        <f>IFERROR(HLOOKUP(U$5,#REF!,SA_GRILLE_STEU!$A8+2,FALSE),"")</f>
        <v/>
      </c>
      <c r="Z8" s="198">
        <v>0</v>
      </c>
      <c r="AA8" s="2" t="str">
        <f>IFERROR(HLOOKUP(Z$5,#REF!,SA_GRILLE_STEU!$A8+2,FALSE),"")</f>
        <v/>
      </c>
      <c r="AB8" s="153"/>
      <c r="AC8" s="106"/>
      <c r="AD8" s="105" t="str">
        <f>IFERROR(HLOOKUP(Z$5,#REF!,SA_GRILLE_STEU!$A8+2,FALSE),"")</f>
        <v/>
      </c>
      <c r="AE8" s="198">
        <v>0</v>
      </c>
      <c r="AF8" s="2" t="str">
        <f>IFERROR(HLOOKUP(AE$5,#REF!,SA_GRILLE_STEU!$A8+2,FALSE),"")</f>
        <v/>
      </c>
      <c r="AG8" s="153"/>
      <c r="AH8" s="106"/>
      <c r="AI8" s="105" t="str">
        <f>IFERROR(HLOOKUP(AE$5,#REF!,SA_GRILLE_STEU!$A8+2,FALSE),"")</f>
        <v/>
      </c>
      <c r="AJ8" s="198">
        <v>0</v>
      </c>
      <c r="AK8" s="2" t="str">
        <f>IFERROR(HLOOKUP(AJ$5,#REF!,SA_GRILLE_STEU!$A8+2,FALSE),"")</f>
        <v/>
      </c>
      <c r="AL8" s="153"/>
      <c r="AM8" s="106"/>
      <c r="AN8" s="105" t="str">
        <f>IFERROR(HLOOKUP(AJ$5,#REF!,SA_GRILLE_STEU!$A8+2,FALSE),"")</f>
        <v/>
      </c>
      <c r="AO8" s="198">
        <v>0</v>
      </c>
      <c r="AP8" s="2" t="str">
        <f>IFERROR(HLOOKUP(AO$5,#REF!,SA_GRILLE_STEU!$A8+2,FALSE),"")</f>
        <v/>
      </c>
      <c r="AQ8" s="153"/>
      <c r="AR8" s="106"/>
      <c r="AS8" s="105" t="str">
        <f>IFERROR(HLOOKUP(AO$5,#REF!,SA_GRILLE_STEU!$A8+2,FALSE),"")</f>
        <v/>
      </c>
      <c r="AT8" s="198">
        <v>0</v>
      </c>
      <c r="AU8" s="2" t="str">
        <f>IFERROR(HLOOKUP(AT$5,#REF!,SA_GRILLE_STEU!$A8+2,FALSE),"")</f>
        <v/>
      </c>
      <c r="AV8" s="153"/>
      <c r="AW8" s="106"/>
      <c r="AX8" s="105" t="str">
        <f>IFERROR(HLOOKUP(AT$5,#REF!,SA_GRILLE_STEU!$A8+2,FALSE),"")</f>
        <v/>
      </c>
      <c r="AY8" s="198">
        <v>0</v>
      </c>
      <c r="AZ8" s="2" t="str">
        <f>IFERROR(HLOOKUP(AY$5,#REF!,SA_GRILLE_STEU!$A8+2,FALSE),"")</f>
        <v/>
      </c>
      <c r="BA8" s="153"/>
      <c r="BB8" s="106"/>
      <c r="BC8" s="105" t="str">
        <f>IFERROR(HLOOKUP(AY$5,#REF!,SA_GRILLE_STEU!$A8+2,FALSE),"")</f>
        <v/>
      </c>
      <c r="BD8" s="198">
        <v>0</v>
      </c>
      <c r="BE8" s="2" t="str">
        <f>IFERROR(HLOOKUP(BD$5,#REF!,SA_GRILLE_STEU!$A8+2,FALSE),"")</f>
        <v/>
      </c>
      <c r="BF8" s="153"/>
      <c r="BG8" s="107"/>
      <c r="BH8" s="108" t="str">
        <f>IFERROR(HLOOKUP(BD$5,#REF!,SA_GRILLE_STEU!$A8+2,FALSE),"")</f>
        <v/>
      </c>
    </row>
    <row r="9" spans="1:60" ht="30" customHeight="1" x14ac:dyDescent="0.4">
      <c r="A9" s="199">
        <v>1</v>
      </c>
      <c r="B9" s="3" t="str">
        <f>IFERROR(HLOOKUP(A$5,#REF!,SA_GRILLE_STEU!$A9+2,FALSE),"")</f>
        <v/>
      </c>
      <c r="C9" s="148"/>
      <c r="D9" s="186" t="str">
        <f>IFERROR(HLOOKUP(A$5,#REF!,SA_GRILLE_STEU!$A9+2,FALSE),"")</f>
        <v/>
      </c>
      <c r="E9" s="105" t="str">
        <f>IFERROR(HLOOKUP(A$5,#REF!,SA_GRILLE_STEU!$A9+2,FALSE),"")</f>
        <v/>
      </c>
      <c r="F9" s="199">
        <v>1</v>
      </c>
      <c r="G9" s="2" t="str">
        <f>IFERROR(HLOOKUP(F$5,#REF!,SA_GRILLE_STEU!$A9+2,FALSE),"")</f>
        <v/>
      </c>
      <c r="H9" s="148"/>
      <c r="I9" s="106" t="str">
        <f>IFERROR(HLOOKUP(F$5,#REF!,SA_GRILLE_STEU!$A9+2,FALSE),"")</f>
        <v/>
      </c>
      <c r="J9" s="105" t="str">
        <f>IFERROR(HLOOKUP(F$5,#REF!,SA_GRILLE_STEU!$A9+2,FALSE),"")</f>
        <v/>
      </c>
      <c r="K9" s="199">
        <v>1</v>
      </c>
      <c r="L9" s="2" t="str">
        <f>IFERROR(HLOOKUP(K$5,#REF!,SA_GRILLE_STEU!$A9+2,FALSE),"")</f>
        <v/>
      </c>
      <c r="M9" s="148"/>
      <c r="N9" s="106" t="str">
        <f>IFERROR(HLOOKUP(K$5,#REF!,SA_GRILLE_STEU!$A9+2,FALSE),"")</f>
        <v/>
      </c>
      <c r="O9" s="105" t="str">
        <f>IFERROR(HLOOKUP(K$5,#REF!,SA_GRILLE_STEU!$A9+2,FALSE),"")</f>
        <v/>
      </c>
      <c r="P9" s="199">
        <v>1</v>
      </c>
      <c r="Q9" s="2" t="str">
        <f>IFERROR(HLOOKUP(P$5,#REF!,SA_GRILLE_STEU!$A9+2,FALSE),"")</f>
        <v/>
      </c>
      <c r="R9" s="148"/>
      <c r="S9" s="106" t="str">
        <f>IFERROR(HLOOKUP(P$5,#REF!,SA_GRILLE_STEU!$A9+2,FALSE),"")</f>
        <v/>
      </c>
      <c r="T9" s="105" t="str">
        <f>IFERROR(HLOOKUP(P$5,#REF!,SA_GRILLE_STEU!$A9+2,FALSE),"")</f>
        <v/>
      </c>
      <c r="U9" s="199">
        <v>1</v>
      </c>
      <c r="V9" s="2" t="str">
        <f>IFERROR(HLOOKUP(U$5,#REF!,SA_GRILLE_STEU!$A9+2,FALSE),"")</f>
        <v/>
      </c>
      <c r="W9" s="148"/>
      <c r="X9" s="106" t="str">
        <f>IFERROR(HLOOKUP(U$5,#REF!,SA_GRILLE_STEU!$A9+2,FALSE),"")</f>
        <v/>
      </c>
      <c r="Y9" s="105" t="str">
        <f>IFERROR(HLOOKUP(U$5,#REF!,SA_GRILLE_STEU!$A9+2,FALSE),"")</f>
        <v/>
      </c>
      <c r="Z9" s="199">
        <v>1</v>
      </c>
      <c r="AA9" s="2" t="str">
        <f>IFERROR(HLOOKUP(Z$5,#REF!,SA_GRILLE_STEU!$A9+2,FALSE),"")</f>
        <v/>
      </c>
      <c r="AB9" s="148"/>
      <c r="AC9" s="106" t="str">
        <f>IFERROR(HLOOKUP(Z$5,#REF!,SA_GRILLE_STEU!$A9+2,FALSE),"")</f>
        <v/>
      </c>
      <c r="AD9" s="105" t="str">
        <f>IFERROR(HLOOKUP(Z$5,#REF!,SA_GRILLE_STEU!$A9+2,FALSE),"")</f>
        <v/>
      </c>
      <c r="AE9" s="199">
        <v>1</v>
      </c>
      <c r="AF9" s="2" t="str">
        <f>IFERROR(HLOOKUP(AE$5,#REF!,SA_GRILLE_STEU!$A9+2,FALSE),"")</f>
        <v/>
      </c>
      <c r="AG9" s="148"/>
      <c r="AH9" s="106" t="str">
        <f>IFERROR(HLOOKUP(AE$5,#REF!,SA_GRILLE_STEU!$A9+2,FALSE),"")</f>
        <v/>
      </c>
      <c r="AI9" s="105" t="str">
        <f>IFERROR(HLOOKUP(AE$5,#REF!,SA_GRILLE_STEU!$A9+2,FALSE),"")</f>
        <v/>
      </c>
      <c r="AJ9" s="199">
        <v>1</v>
      </c>
      <c r="AK9" s="2" t="str">
        <f>IFERROR(HLOOKUP(AJ$5,#REF!,SA_GRILLE_STEU!$A9+2,FALSE),"")</f>
        <v/>
      </c>
      <c r="AL9" s="148"/>
      <c r="AM9" s="106" t="str">
        <f>IFERROR(HLOOKUP(AJ$5,#REF!,SA_GRILLE_STEU!$A9+2,FALSE),"")</f>
        <v/>
      </c>
      <c r="AN9" s="105" t="str">
        <f>IFERROR(HLOOKUP(AJ$5,#REF!,SA_GRILLE_STEU!$A9+2,FALSE),"")</f>
        <v/>
      </c>
      <c r="AO9" s="199">
        <v>1</v>
      </c>
      <c r="AP9" s="2" t="str">
        <f>IFERROR(HLOOKUP(AO$5,#REF!,SA_GRILLE_STEU!$A9+2,FALSE),"")</f>
        <v/>
      </c>
      <c r="AQ9" s="148"/>
      <c r="AR9" s="106" t="str">
        <f>IFERROR(HLOOKUP(AO$5,#REF!,SA_GRILLE_STEU!$A9+2,FALSE),"")</f>
        <v/>
      </c>
      <c r="AS9" s="105" t="str">
        <f>IFERROR(HLOOKUP(AO$5,#REF!,SA_GRILLE_STEU!$A9+2,FALSE),"")</f>
        <v/>
      </c>
      <c r="AT9" s="199">
        <v>1</v>
      </c>
      <c r="AU9" s="2" t="str">
        <f>IFERROR(HLOOKUP(AT$5,#REF!,SA_GRILLE_STEU!$A9+2,FALSE),"")</f>
        <v/>
      </c>
      <c r="AV9" s="148"/>
      <c r="AW9" s="106" t="str">
        <f>IFERROR(HLOOKUP(AT$5,#REF!,SA_GRILLE_STEU!$A9+2,FALSE),"")</f>
        <v/>
      </c>
      <c r="AX9" s="105" t="str">
        <f>IFERROR(HLOOKUP(AT$5,#REF!,SA_GRILLE_STEU!$A9+2,FALSE),"")</f>
        <v/>
      </c>
      <c r="AY9" s="199">
        <v>1</v>
      </c>
      <c r="AZ9" s="2" t="str">
        <f>IFERROR(HLOOKUP(AY$5,#REF!,SA_GRILLE_STEU!$A9+2,FALSE),"")</f>
        <v/>
      </c>
      <c r="BA9" s="148"/>
      <c r="BB9" s="106" t="str">
        <f>IFERROR(HLOOKUP(AY$5,#REF!,SA_GRILLE_STEU!$A9+2,FALSE),"")</f>
        <v/>
      </c>
      <c r="BC9" s="105" t="str">
        <f>IFERROR(HLOOKUP(AY$5,#REF!,SA_GRILLE_STEU!$A9+2,FALSE),"")</f>
        <v/>
      </c>
      <c r="BD9" s="199">
        <v>1</v>
      </c>
      <c r="BE9" s="2" t="str">
        <f>IFERROR(HLOOKUP(BD$5,#REF!,SA_GRILLE_STEU!$A9+2,FALSE),"")</f>
        <v/>
      </c>
      <c r="BF9" s="148"/>
      <c r="BG9" s="109" t="str">
        <f>IFERROR(HLOOKUP(BD$5,#REF!,SA_GRILLE_STEU!$A9+2,FALSE),"")</f>
        <v/>
      </c>
      <c r="BH9" s="108" t="str">
        <f>IFERROR(HLOOKUP(BD$5,#REF!,SA_GRILLE_STEU!$A9+2,FALSE),"")</f>
        <v/>
      </c>
    </row>
    <row r="10" spans="1:60" ht="30.75" customHeight="1" x14ac:dyDescent="0.4">
      <c r="A10" s="199">
        <v>2</v>
      </c>
      <c r="B10" s="3" t="str">
        <f>IFERROR(HLOOKUP(A$5,#REF!,SA_GRILLE_STEU!$A10+2,FALSE),"")</f>
        <v/>
      </c>
      <c r="C10" s="148"/>
      <c r="D10" s="186" t="str">
        <f>IFERROR(HLOOKUP(A$5,#REF!,SA_GRILLE_STEU!$A10+2,FALSE),"")</f>
        <v/>
      </c>
      <c r="E10" s="105" t="str">
        <f>IFERROR(HLOOKUP(A$5,#REF!,SA_GRILLE_STEU!$A10+2,FALSE),"")</f>
        <v/>
      </c>
      <c r="F10" s="199">
        <v>2</v>
      </c>
      <c r="G10" s="2" t="str">
        <f>IFERROR(HLOOKUP(F$5,#REF!,SA_GRILLE_STEU!$A10+2,FALSE),"")</f>
        <v/>
      </c>
      <c r="H10" s="148"/>
      <c r="I10" s="106" t="str">
        <f>IFERROR(HLOOKUP(F$5,#REF!,SA_GRILLE_STEU!$A10+2,FALSE),"")</f>
        <v/>
      </c>
      <c r="J10" s="105" t="str">
        <f>IFERROR(HLOOKUP(F$5,#REF!,SA_GRILLE_STEU!$A10+2,FALSE),"")</f>
        <v/>
      </c>
      <c r="K10" s="199">
        <v>2</v>
      </c>
      <c r="L10" s="2" t="str">
        <f>IFERROR(HLOOKUP(K$5,#REF!,SA_GRILLE_STEU!$A10+2,FALSE),"")</f>
        <v/>
      </c>
      <c r="M10" s="148"/>
      <c r="N10" s="106" t="str">
        <f>IFERROR(HLOOKUP(K$5,#REF!,SA_GRILLE_STEU!$A10+2,FALSE),"")</f>
        <v/>
      </c>
      <c r="O10" s="105" t="str">
        <f>IFERROR(HLOOKUP(K$5,#REF!,SA_GRILLE_STEU!$A10+2,FALSE),"")</f>
        <v/>
      </c>
      <c r="P10" s="199">
        <v>2</v>
      </c>
      <c r="Q10" s="2" t="str">
        <f>IFERROR(HLOOKUP(P$5,#REF!,SA_GRILLE_STEU!$A10+2,FALSE),"")</f>
        <v/>
      </c>
      <c r="R10" s="148"/>
      <c r="S10" s="106" t="str">
        <f>IFERROR(HLOOKUP(P$5,#REF!,SA_GRILLE_STEU!$A10+2,FALSE),"")</f>
        <v/>
      </c>
      <c r="T10" s="105" t="str">
        <f>IFERROR(HLOOKUP(P$5,#REF!,SA_GRILLE_STEU!$A10+2,FALSE),"")</f>
        <v/>
      </c>
      <c r="U10" s="199">
        <v>2</v>
      </c>
      <c r="V10" s="2" t="str">
        <f>IFERROR(HLOOKUP(U$5,#REF!,SA_GRILLE_STEU!$A10+2,FALSE),"")</f>
        <v/>
      </c>
      <c r="W10" s="148"/>
      <c r="X10" s="106" t="str">
        <f>IFERROR(HLOOKUP(U$5,#REF!,SA_GRILLE_STEU!$A10+2,FALSE),"")</f>
        <v/>
      </c>
      <c r="Y10" s="105" t="str">
        <f>IFERROR(HLOOKUP(U$5,#REF!,SA_GRILLE_STEU!$A10+2,FALSE),"")</f>
        <v/>
      </c>
      <c r="Z10" s="199">
        <v>2</v>
      </c>
      <c r="AA10" s="2" t="str">
        <f>IFERROR(HLOOKUP(Z$5,#REF!,SA_GRILLE_STEU!$A10+2,FALSE),"")</f>
        <v/>
      </c>
      <c r="AB10" s="148"/>
      <c r="AC10" s="106" t="str">
        <f>IFERROR(HLOOKUP(Z$5,#REF!,SA_GRILLE_STEU!$A10+2,FALSE),"")</f>
        <v/>
      </c>
      <c r="AD10" s="105" t="str">
        <f>IFERROR(HLOOKUP(Z$5,#REF!,SA_GRILLE_STEU!$A10+2,FALSE),"")</f>
        <v/>
      </c>
      <c r="AE10" s="199">
        <v>2</v>
      </c>
      <c r="AF10" s="2" t="str">
        <f>IFERROR(HLOOKUP(AE$5,#REF!,SA_GRILLE_STEU!$A10+2,FALSE),"")</f>
        <v/>
      </c>
      <c r="AG10" s="148"/>
      <c r="AH10" s="106" t="str">
        <f>IFERROR(HLOOKUP(AE$5,#REF!,SA_GRILLE_STEU!$A10+2,FALSE),"")</f>
        <v/>
      </c>
      <c r="AI10" s="105" t="str">
        <f>IFERROR(HLOOKUP(AE$5,#REF!,SA_GRILLE_STEU!$A10+2,FALSE),"")</f>
        <v/>
      </c>
      <c r="AJ10" s="199">
        <v>2</v>
      </c>
      <c r="AK10" s="2" t="str">
        <f>IFERROR(HLOOKUP(AJ$5,#REF!,SA_GRILLE_STEU!$A10+2,FALSE),"")</f>
        <v/>
      </c>
      <c r="AL10" s="148"/>
      <c r="AM10" s="106" t="str">
        <f>IFERROR(HLOOKUP(AJ$5,#REF!,SA_GRILLE_STEU!$A10+2,FALSE),"")</f>
        <v/>
      </c>
      <c r="AN10" s="105" t="str">
        <f>IFERROR(HLOOKUP(AJ$5,#REF!,SA_GRILLE_STEU!$A10+2,FALSE),"")</f>
        <v/>
      </c>
      <c r="AO10" s="199">
        <v>2</v>
      </c>
      <c r="AP10" s="2" t="str">
        <f>IFERROR(HLOOKUP(AO$5,#REF!,SA_GRILLE_STEU!$A10+2,FALSE),"")</f>
        <v/>
      </c>
      <c r="AQ10" s="148"/>
      <c r="AR10" s="106" t="str">
        <f>IFERROR(HLOOKUP(AO$5,#REF!,SA_GRILLE_STEU!$A10+2,FALSE),"")</f>
        <v/>
      </c>
      <c r="AS10" s="105" t="str">
        <f>IFERROR(HLOOKUP(AO$5,#REF!,SA_GRILLE_STEU!$A10+2,FALSE),"")</f>
        <v/>
      </c>
      <c r="AT10" s="199">
        <v>2</v>
      </c>
      <c r="AU10" s="2" t="str">
        <f>IFERROR(HLOOKUP(AT$5,#REF!,SA_GRILLE_STEU!$A10+2,FALSE),"")</f>
        <v/>
      </c>
      <c r="AV10" s="148"/>
      <c r="AW10" s="106" t="str">
        <f>IFERROR(HLOOKUP(AT$5,#REF!,SA_GRILLE_STEU!$A10+2,FALSE),"")</f>
        <v/>
      </c>
      <c r="AX10" s="105" t="str">
        <f>IFERROR(HLOOKUP(AT$5,#REF!,SA_GRILLE_STEU!$A10+2,FALSE),"")</f>
        <v/>
      </c>
      <c r="AY10" s="199">
        <v>2</v>
      </c>
      <c r="AZ10" s="2" t="str">
        <f>IFERROR(HLOOKUP(AY$5,#REF!,SA_GRILLE_STEU!$A10+2,FALSE),"")</f>
        <v/>
      </c>
      <c r="BA10" s="148"/>
      <c r="BB10" s="106" t="str">
        <f>IFERROR(HLOOKUP(AY$5,#REF!,SA_GRILLE_STEU!$A10+2,FALSE),"")</f>
        <v/>
      </c>
      <c r="BC10" s="105" t="str">
        <f>IFERROR(HLOOKUP(AY$5,#REF!,SA_GRILLE_STEU!$A10+2,FALSE),"")</f>
        <v/>
      </c>
      <c r="BD10" s="199">
        <v>2</v>
      </c>
      <c r="BE10" s="2" t="str">
        <f>IFERROR(HLOOKUP(BD$5,#REF!,SA_GRILLE_STEU!$A10+2,FALSE),"")</f>
        <v/>
      </c>
      <c r="BF10" s="148"/>
      <c r="BG10" s="109" t="str">
        <f>IFERROR(HLOOKUP(BD$5,#REF!,SA_GRILLE_STEU!$A10+2,FALSE),"")</f>
        <v/>
      </c>
      <c r="BH10" s="108" t="str">
        <f>IFERROR(HLOOKUP(BD$5,#REF!,SA_GRILLE_STEU!$A10+2,FALSE),"")</f>
        <v/>
      </c>
    </row>
    <row r="11" spans="1:60" ht="58.5" customHeight="1" x14ac:dyDescent="0.4">
      <c r="A11" s="199">
        <v>3</v>
      </c>
      <c r="B11" s="3" t="str">
        <f>IFERROR(HLOOKUP(A$5,#REF!,SA_GRILLE_STEU!$A11+2,FALSE),"")</f>
        <v/>
      </c>
      <c r="C11" s="148"/>
      <c r="D11" s="186" t="str">
        <f>IFERROR(HLOOKUP(A$5,#REF!,SA_GRILLE_STEU!$A11+2,FALSE),"")</f>
        <v/>
      </c>
      <c r="E11" s="105" t="str">
        <f>IFERROR(HLOOKUP(A$5,#REF!,SA_GRILLE_STEU!$A11+2,FALSE),"")</f>
        <v/>
      </c>
      <c r="F11" s="199">
        <v>3</v>
      </c>
      <c r="G11" s="2" t="str">
        <f>IFERROR(HLOOKUP(F$5,#REF!,SA_GRILLE_STEU!$A11+2,FALSE),"")</f>
        <v/>
      </c>
      <c r="H11" s="148"/>
      <c r="I11" s="106" t="str">
        <f>IFERROR(HLOOKUP(F$5,#REF!,SA_GRILLE_STEU!$A11+2,FALSE),"")</f>
        <v/>
      </c>
      <c r="J11" s="105" t="str">
        <f>IFERROR(HLOOKUP(F$5,#REF!,SA_GRILLE_STEU!$A11+2,FALSE),"")</f>
        <v/>
      </c>
      <c r="K11" s="199">
        <v>3</v>
      </c>
      <c r="L11" s="2" t="str">
        <f>IFERROR(HLOOKUP(K$5,#REF!,SA_GRILLE_STEU!$A11+2,FALSE),"")</f>
        <v/>
      </c>
      <c r="M11" s="148"/>
      <c r="N11" s="106" t="str">
        <f>IFERROR(HLOOKUP(K$5,#REF!,SA_GRILLE_STEU!$A11+2,FALSE),"")</f>
        <v/>
      </c>
      <c r="O11" s="105" t="str">
        <f>IFERROR(HLOOKUP(K$5,#REF!,SA_GRILLE_STEU!$A11+2,FALSE),"")</f>
        <v/>
      </c>
      <c r="P11" s="199">
        <v>3</v>
      </c>
      <c r="Q11" s="2" t="str">
        <f>IFERROR(HLOOKUP(P$5,#REF!,SA_GRILLE_STEU!$A11+2,FALSE),"")</f>
        <v/>
      </c>
      <c r="R11" s="148"/>
      <c r="S11" s="106" t="str">
        <f>IFERROR(HLOOKUP(P$5,#REF!,SA_GRILLE_STEU!$A11+2,FALSE),"")</f>
        <v/>
      </c>
      <c r="T11" s="105" t="str">
        <f>IFERROR(HLOOKUP(P$5,#REF!,SA_GRILLE_STEU!$A11+2,FALSE),"")</f>
        <v/>
      </c>
      <c r="U11" s="199">
        <v>3</v>
      </c>
      <c r="V11" s="2" t="str">
        <f>IFERROR(HLOOKUP(U$5,#REF!,SA_GRILLE_STEU!$A11+2,FALSE),"")</f>
        <v/>
      </c>
      <c r="W11" s="148"/>
      <c r="X11" s="106" t="str">
        <f>IFERROR(HLOOKUP(U$5,#REF!,SA_GRILLE_STEU!$A11+2,FALSE),"")</f>
        <v/>
      </c>
      <c r="Y11" s="105" t="str">
        <f>IFERROR(HLOOKUP(U$5,#REF!,SA_GRILLE_STEU!$A11+2,FALSE),"")</f>
        <v/>
      </c>
      <c r="Z11" s="199">
        <v>3</v>
      </c>
      <c r="AA11" s="2" t="str">
        <f>IFERROR(HLOOKUP(Z$5,#REF!,SA_GRILLE_STEU!$A11+2,FALSE),"")</f>
        <v/>
      </c>
      <c r="AB11" s="148"/>
      <c r="AC11" s="106" t="str">
        <f>IFERROR(HLOOKUP(Z$5,#REF!,SA_GRILLE_STEU!$A11+2,FALSE),"")</f>
        <v/>
      </c>
      <c r="AD11" s="105" t="str">
        <f>IFERROR(HLOOKUP(Z$5,#REF!,SA_GRILLE_STEU!$A11+2,FALSE),"")</f>
        <v/>
      </c>
      <c r="AE11" s="199">
        <v>3</v>
      </c>
      <c r="AF11" s="2" t="str">
        <f>IFERROR(HLOOKUP(AE$5,#REF!,SA_GRILLE_STEU!$A11+2,FALSE),"")</f>
        <v/>
      </c>
      <c r="AG11" s="148"/>
      <c r="AH11" s="106" t="str">
        <f>IFERROR(HLOOKUP(AE$5,#REF!,SA_GRILLE_STEU!$A11+2,FALSE),"")</f>
        <v/>
      </c>
      <c r="AI11" s="105" t="str">
        <f>IFERROR(HLOOKUP(AE$5,#REF!,SA_GRILLE_STEU!$A11+2,FALSE),"")</f>
        <v/>
      </c>
      <c r="AJ11" s="199">
        <v>3</v>
      </c>
      <c r="AK11" s="2" t="str">
        <f>IFERROR(HLOOKUP(AJ$5,#REF!,SA_GRILLE_STEU!$A11+2,FALSE),"")</f>
        <v/>
      </c>
      <c r="AL11" s="148"/>
      <c r="AM11" s="106" t="str">
        <f>IFERROR(HLOOKUP(AJ$5,#REF!,SA_GRILLE_STEU!$A11+2,FALSE),"")</f>
        <v/>
      </c>
      <c r="AN11" s="105" t="str">
        <f>IFERROR(HLOOKUP(AJ$5,#REF!,SA_GRILLE_STEU!$A11+2,FALSE),"")</f>
        <v/>
      </c>
      <c r="AO11" s="199">
        <v>3</v>
      </c>
      <c r="AP11" s="2" t="str">
        <f>IFERROR(HLOOKUP(AO$5,#REF!,SA_GRILLE_STEU!$A11+2,FALSE),"")</f>
        <v/>
      </c>
      <c r="AQ11" s="148"/>
      <c r="AR11" s="106" t="str">
        <f>IFERROR(HLOOKUP(AO$5,#REF!,SA_GRILLE_STEU!$A11+2,FALSE),"")</f>
        <v/>
      </c>
      <c r="AS11" s="105" t="str">
        <f>IFERROR(HLOOKUP(AO$5,#REF!,SA_GRILLE_STEU!$A11+2,FALSE),"")</f>
        <v/>
      </c>
      <c r="AT11" s="199">
        <v>3</v>
      </c>
      <c r="AU11" s="2" t="str">
        <f>IFERROR(HLOOKUP(AT$5,#REF!,SA_GRILLE_STEU!$A11+2,FALSE),"")</f>
        <v/>
      </c>
      <c r="AV11" s="148"/>
      <c r="AW11" s="106" t="str">
        <f>IFERROR(HLOOKUP(AT$5,#REF!,SA_GRILLE_STEU!$A11+2,FALSE),"")</f>
        <v/>
      </c>
      <c r="AX11" s="105" t="str">
        <f>IFERROR(HLOOKUP(AT$5,#REF!,SA_GRILLE_STEU!$A11+2,FALSE),"")</f>
        <v/>
      </c>
      <c r="AY11" s="199">
        <v>3</v>
      </c>
      <c r="AZ11" s="2" t="str">
        <f>IFERROR(HLOOKUP(AY$5,#REF!,SA_GRILLE_STEU!$A11+2,FALSE),"")</f>
        <v/>
      </c>
      <c r="BA11" s="148"/>
      <c r="BB11" s="106" t="str">
        <f>IFERROR(HLOOKUP(AY$5,#REF!,SA_GRILLE_STEU!$A11+2,FALSE),"")</f>
        <v/>
      </c>
      <c r="BC11" s="105" t="str">
        <f>IFERROR(HLOOKUP(AY$5,#REF!,SA_GRILLE_STEU!$A11+2,FALSE),"")</f>
        <v/>
      </c>
      <c r="BD11" s="199">
        <v>3</v>
      </c>
      <c r="BE11" s="2" t="str">
        <f>IFERROR(HLOOKUP(BD$5,#REF!,SA_GRILLE_STEU!$A11+2,FALSE),"")</f>
        <v/>
      </c>
      <c r="BF11" s="148"/>
      <c r="BG11" s="109" t="str">
        <f>IFERROR(HLOOKUP(BD$5,#REF!,SA_GRILLE_STEU!$A11+2,FALSE),"")</f>
        <v/>
      </c>
      <c r="BH11" s="108" t="str">
        <f>IFERROR(HLOOKUP(BD$5,#REF!,SA_GRILLE_STEU!$A11+2,FALSE),"")</f>
        <v/>
      </c>
    </row>
    <row r="12" spans="1:60" ht="30" customHeight="1" x14ac:dyDescent="0.4">
      <c r="A12" s="199">
        <v>4</v>
      </c>
      <c r="B12" s="3" t="str">
        <f>IFERROR(HLOOKUP(A$5,#REF!,SA_GRILLE_STEU!$A12+2,FALSE),"")</f>
        <v/>
      </c>
      <c r="C12" s="148"/>
      <c r="D12" s="186" t="str">
        <f>IFERROR(HLOOKUP(A$5,#REF!,SA_GRILLE_STEU!$A12+2,FALSE),"")</f>
        <v/>
      </c>
      <c r="E12" s="105" t="str">
        <f>IFERROR(HLOOKUP(A$5,#REF!,SA_GRILLE_STEU!$A12+2,FALSE),"")</f>
        <v/>
      </c>
      <c r="F12" s="199">
        <v>4</v>
      </c>
      <c r="G12" s="2" t="str">
        <f>IFERROR(HLOOKUP(F$5,#REF!,SA_GRILLE_STEU!$A12+2,FALSE),"")</f>
        <v/>
      </c>
      <c r="H12" s="148"/>
      <c r="I12" s="106" t="str">
        <f>IFERROR(HLOOKUP(F$5,#REF!,SA_GRILLE_STEU!$A12+2,FALSE),"")</f>
        <v/>
      </c>
      <c r="J12" s="105" t="str">
        <f>IFERROR(HLOOKUP(F$5,#REF!,SA_GRILLE_STEU!$A12+2,FALSE),"")</f>
        <v/>
      </c>
      <c r="K12" s="199">
        <v>4</v>
      </c>
      <c r="L12" s="2" t="str">
        <f>IFERROR(HLOOKUP(K$5,#REF!,SA_GRILLE_STEU!$A12+2,FALSE),"")</f>
        <v/>
      </c>
      <c r="M12" s="148"/>
      <c r="N12" s="106" t="str">
        <f>IFERROR(HLOOKUP(K$5,#REF!,SA_GRILLE_STEU!$A12+2,FALSE),"")</f>
        <v/>
      </c>
      <c r="O12" s="105" t="str">
        <f>IFERROR(HLOOKUP(K$5,#REF!,SA_GRILLE_STEU!$A12+2,FALSE),"")</f>
        <v/>
      </c>
      <c r="P12" s="199">
        <v>4</v>
      </c>
      <c r="Q12" s="2" t="str">
        <f>IFERROR(HLOOKUP(P$5,#REF!,SA_GRILLE_STEU!$A12+2,FALSE),"")</f>
        <v/>
      </c>
      <c r="R12" s="148"/>
      <c r="S12" s="106" t="str">
        <f>IFERROR(HLOOKUP(P$5,#REF!,SA_GRILLE_STEU!$A12+2,FALSE),"")</f>
        <v/>
      </c>
      <c r="T12" s="105" t="str">
        <f>IFERROR(HLOOKUP(P$5,#REF!,SA_GRILLE_STEU!$A12+2,FALSE),"")</f>
        <v/>
      </c>
      <c r="U12" s="199">
        <v>4</v>
      </c>
      <c r="V12" s="2" t="str">
        <f>IFERROR(HLOOKUP(U$5,#REF!,SA_GRILLE_STEU!$A12+2,FALSE),"")</f>
        <v/>
      </c>
      <c r="W12" s="148"/>
      <c r="X12" s="106" t="str">
        <f>IFERROR(HLOOKUP(U$5,#REF!,SA_GRILLE_STEU!$A12+2,FALSE),"")</f>
        <v/>
      </c>
      <c r="Y12" s="105" t="str">
        <f>IFERROR(HLOOKUP(U$5,#REF!,SA_GRILLE_STEU!$A12+2,FALSE),"")</f>
        <v/>
      </c>
      <c r="Z12" s="199">
        <v>4</v>
      </c>
      <c r="AA12" s="2" t="str">
        <f>IFERROR(HLOOKUP(Z$5,#REF!,SA_GRILLE_STEU!$A12+2,FALSE),"")</f>
        <v/>
      </c>
      <c r="AB12" s="148"/>
      <c r="AC12" s="106" t="str">
        <f>IFERROR(HLOOKUP(Z$5,#REF!,SA_GRILLE_STEU!$A12+2,FALSE),"")</f>
        <v/>
      </c>
      <c r="AD12" s="105" t="str">
        <f>IFERROR(HLOOKUP(Z$5,#REF!,SA_GRILLE_STEU!$A12+2,FALSE),"")</f>
        <v/>
      </c>
      <c r="AE12" s="199">
        <v>4</v>
      </c>
      <c r="AF12" s="2" t="str">
        <f>IFERROR(HLOOKUP(AE$5,#REF!,SA_GRILLE_STEU!$A12+2,FALSE),"")</f>
        <v/>
      </c>
      <c r="AG12" s="148"/>
      <c r="AH12" s="106" t="str">
        <f>IFERROR(HLOOKUP(AE$5,#REF!,SA_GRILLE_STEU!$A12+2,FALSE),"")</f>
        <v/>
      </c>
      <c r="AI12" s="105" t="str">
        <f>IFERROR(HLOOKUP(AE$5,#REF!,SA_GRILLE_STEU!$A12+2,FALSE),"")</f>
        <v/>
      </c>
      <c r="AJ12" s="199">
        <v>4</v>
      </c>
      <c r="AK12" s="2" t="str">
        <f>IFERROR(HLOOKUP(AJ$5,#REF!,SA_GRILLE_STEU!$A12+2,FALSE),"")</f>
        <v/>
      </c>
      <c r="AL12" s="148"/>
      <c r="AM12" s="106" t="str">
        <f>IFERROR(HLOOKUP(AJ$5,#REF!,SA_GRILLE_STEU!$A12+2,FALSE),"")</f>
        <v/>
      </c>
      <c r="AN12" s="105" t="str">
        <f>IFERROR(HLOOKUP(AJ$5,#REF!,SA_GRILLE_STEU!$A12+2,FALSE),"")</f>
        <v/>
      </c>
      <c r="AO12" s="199">
        <v>4</v>
      </c>
      <c r="AP12" s="2" t="str">
        <f>IFERROR(HLOOKUP(AO$5,#REF!,SA_GRILLE_STEU!$A12+2,FALSE),"")</f>
        <v/>
      </c>
      <c r="AQ12" s="148"/>
      <c r="AR12" s="106" t="str">
        <f>IFERROR(HLOOKUP(AO$5,#REF!,SA_GRILLE_STEU!$A12+2,FALSE),"")</f>
        <v/>
      </c>
      <c r="AS12" s="105" t="str">
        <f>IFERROR(HLOOKUP(AO$5,#REF!,SA_GRILLE_STEU!$A12+2,FALSE),"")</f>
        <v/>
      </c>
      <c r="AT12" s="199">
        <v>4</v>
      </c>
      <c r="AU12" s="2" t="str">
        <f>IFERROR(HLOOKUP(AT$5,#REF!,SA_GRILLE_STEU!$A12+2,FALSE),"")</f>
        <v/>
      </c>
      <c r="AV12" s="148"/>
      <c r="AW12" s="106" t="str">
        <f>IFERROR(HLOOKUP(AT$5,#REF!,SA_GRILLE_STEU!$A12+2,FALSE),"")</f>
        <v/>
      </c>
      <c r="AX12" s="105" t="str">
        <f>IFERROR(HLOOKUP(AT$5,#REF!,SA_GRILLE_STEU!$A12+2,FALSE),"")</f>
        <v/>
      </c>
      <c r="AY12" s="199">
        <v>4</v>
      </c>
      <c r="AZ12" s="2" t="str">
        <f>IFERROR(HLOOKUP(AY$5,#REF!,SA_GRILLE_STEU!$A12+2,FALSE),"")</f>
        <v/>
      </c>
      <c r="BA12" s="148"/>
      <c r="BB12" s="106" t="str">
        <f>IFERROR(HLOOKUP(AY$5,#REF!,SA_GRILLE_STEU!$A12+2,FALSE),"")</f>
        <v/>
      </c>
      <c r="BC12" s="105" t="str">
        <f>IFERROR(HLOOKUP(AY$5,#REF!,SA_GRILLE_STEU!$A12+2,FALSE),"")</f>
        <v/>
      </c>
      <c r="BD12" s="199">
        <v>4</v>
      </c>
      <c r="BE12" s="2" t="str">
        <f>IFERROR(HLOOKUP(BD$5,#REF!,SA_GRILLE_STEU!$A12+2,FALSE),"")</f>
        <v/>
      </c>
      <c r="BF12" s="148"/>
      <c r="BG12" s="109" t="str">
        <f>IFERROR(HLOOKUP(BD$5,#REF!,SA_GRILLE_STEU!$A12+2,FALSE),"")</f>
        <v/>
      </c>
      <c r="BH12" s="108" t="str">
        <f>IFERROR(HLOOKUP(BD$5,#REF!,SA_GRILLE_STEU!$A12+2,FALSE),"")</f>
        <v/>
      </c>
    </row>
    <row r="13" spans="1:60" ht="80.25" customHeight="1" x14ac:dyDescent="0.4">
      <c r="A13" s="199">
        <v>5</v>
      </c>
      <c r="B13" s="3" t="str">
        <f>IFERROR(HLOOKUP(A$5,#REF!,SA_GRILLE_STEU!$A13+2,FALSE),"")</f>
        <v/>
      </c>
      <c r="C13" s="148"/>
      <c r="D13" s="186" t="str">
        <f>IFERROR(HLOOKUP(A$5,#REF!,SA_GRILLE_STEU!$A13+2,FALSE),"")</f>
        <v/>
      </c>
      <c r="E13" s="105" t="str">
        <f>IFERROR(HLOOKUP(A$5,#REF!,SA_GRILLE_STEU!$A13+2,FALSE),"")</f>
        <v/>
      </c>
      <c r="F13" s="199">
        <v>5</v>
      </c>
      <c r="G13" s="2" t="str">
        <f>IFERROR(HLOOKUP(F$5,#REF!,SA_GRILLE_STEU!$A13+2,FALSE),"")</f>
        <v/>
      </c>
      <c r="H13" s="148"/>
      <c r="I13" s="106" t="str">
        <f>IFERROR(HLOOKUP(F$5,#REF!,SA_GRILLE_STEU!$A13+2,FALSE),"")</f>
        <v/>
      </c>
      <c r="J13" s="105" t="str">
        <f>IFERROR(HLOOKUP(F$5,#REF!,SA_GRILLE_STEU!$A13+2,FALSE),"")</f>
        <v/>
      </c>
      <c r="K13" s="199">
        <v>5</v>
      </c>
      <c r="L13" s="2" t="str">
        <f>IFERROR(HLOOKUP(K$5,#REF!,SA_GRILLE_STEU!$A13+2,FALSE),"")</f>
        <v/>
      </c>
      <c r="M13" s="148"/>
      <c r="N13" s="106" t="str">
        <f>IFERROR(HLOOKUP(K$5,#REF!,SA_GRILLE_STEU!$A13+2,FALSE),"")</f>
        <v/>
      </c>
      <c r="O13" s="105" t="str">
        <f>IFERROR(HLOOKUP(K$5,#REF!,SA_GRILLE_STEU!$A13+2,FALSE),"")</f>
        <v/>
      </c>
      <c r="P13" s="199">
        <v>5</v>
      </c>
      <c r="Q13" s="2" t="str">
        <f>IFERROR(HLOOKUP(P$5,#REF!,SA_GRILLE_STEU!$A13+2,FALSE),"")</f>
        <v/>
      </c>
      <c r="R13" s="148"/>
      <c r="S13" s="106" t="str">
        <f>IFERROR(HLOOKUP(P$5,#REF!,SA_GRILLE_STEU!$A13+2,FALSE),"")</f>
        <v/>
      </c>
      <c r="T13" s="105" t="str">
        <f>IFERROR(HLOOKUP(P$5,#REF!,SA_GRILLE_STEU!$A13+2,FALSE),"")</f>
        <v/>
      </c>
      <c r="U13" s="199">
        <v>5</v>
      </c>
      <c r="V13" s="2" t="str">
        <f>IFERROR(HLOOKUP(U$5,#REF!,SA_GRILLE_STEU!$A13+2,FALSE),"")</f>
        <v/>
      </c>
      <c r="W13" s="148"/>
      <c r="X13" s="106" t="str">
        <f>IFERROR(HLOOKUP(U$5,#REF!,SA_GRILLE_STEU!$A13+2,FALSE),"")</f>
        <v/>
      </c>
      <c r="Y13" s="105" t="str">
        <f>IFERROR(HLOOKUP(U$5,#REF!,SA_GRILLE_STEU!$A13+2,FALSE),"")</f>
        <v/>
      </c>
      <c r="Z13" s="199">
        <v>5</v>
      </c>
      <c r="AA13" s="2" t="str">
        <f>IFERROR(HLOOKUP(Z$5,#REF!,SA_GRILLE_STEU!$A13+2,FALSE),"")</f>
        <v/>
      </c>
      <c r="AB13" s="148"/>
      <c r="AC13" s="106" t="str">
        <f>IFERROR(HLOOKUP(Z$5,#REF!,SA_GRILLE_STEU!$A13+2,FALSE),"")</f>
        <v/>
      </c>
      <c r="AD13" s="105" t="str">
        <f>IFERROR(HLOOKUP(Z$5,#REF!,SA_GRILLE_STEU!$A13+2,FALSE),"")</f>
        <v/>
      </c>
      <c r="AE13" s="199">
        <v>5</v>
      </c>
      <c r="AF13" s="2" t="str">
        <f>IFERROR(HLOOKUP(AE$5,#REF!,SA_GRILLE_STEU!$A13+2,FALSE),"")</f>
        <v/>
      </c>
      <c r="AG13" s="148"/>
      <c r="AH13" s="106" t="str">
        <f>IFERROR(HLOOKUP(AE$5,#REF!,SA_GRILLE_STEU!$A13+2,FALSE),"")</f>
        <v/>
      </c>
      <c r="AI13" s="105" t="str">
        <f>IFERROR(HLOOKUP(AE$5,#REF!,SA_GRILLE_STEU!$A13+2,FALSE),"")</f>
        <v/>
      </c>
      <c r="AJ13" s="199">
        <v>5</v>
      </c>
      <c r="AK13" s="2" t="str">
        <f>IFERROR(HLOOKUP(AJ$5,#REF!,SA_GRILLE_STEU!$A13+2,FALSE),"")</f>
        <v/>
      </c>
      <c r="AL13" s="148"/>
      <c r="AM13" s="106" t="str">
        <f>IFERROR(HLOOKUP(AJ$5,#REF!,SA_GRILLE_STEU!$A13+2,FALSE),"")</f>
        <v/>
      </c>
      <c r="AN13" s="105" t="str">
        <f>IFERROR(HLOOKUP(AJ$5,#REF!,SA_GRILLE_STEU!$A13+2,FALSE),"")</f>
        <v/>
      </c>
      <c r="AO13" s="199">
        <v>5</v>
      </c>
      <c r="AP13" s="2" t="str">
        <f>IFERROR(HLOOKUP(AO$5,#REF!,SA_GRILLE_STEU!$A13+2,FALSE),"")</f>
        <v/>
      </c>
      <c r="AQ13" s="148"/>
      <c r="AR13" s="106" t="str">
        <f>IFERROR(HLOOKUP(AO$5,#REF!,SA_GRILLE_STEU!$A13+2,FALSE),"")</f>
        <v/>
      </c>
      <c r="AS13" s="105" t="str">
        <f>IFERROR(HLOOKUP(AO$5,#REF!,SA_GRILLE_STEU!$A13+2,FALSE),"")</f>
        <v/>
      </c>
      <c r="AT13" s="199">
        <v>5</v>
      </c>
      <c r="AU13" s="2" t="str">
        <f>IFERROR(HLOOKUP(AT$5,#REF!,SA_GRILLE_STEU!$A13+2,FALSE),"")</f>
        <v/>
      </c>
      <c r="AV13" s="148"/>
      <c r="AW13" s="106" t="str">
        <f>IFERROR(HLOOKUP(AT$5,#REF!,SA_GRILLE_STEU!$A13+2,FALSE),"")</f>
        <v/>
      </c>
      <c r="AX13" s="105" t="str">
        <f>IFERROR(HLOOKUP(AT$5,#REF!,SA_GRILLE_STEU!$A13+2,FALSE),"")</f>
        <v/>
      </c>
      <c r="AY13" s="199">
        <v>5</v>
      </c>
      <c r="AZ13" s="2" t="str">
        <f>IFERROR(HLOOKUP(AY$5,#REF!,SA_GRILLE_STEU!$A13+2,FALSE),"")</f>
        <v/>
      </c>
      <c r="BA13" s="148"/>
      <c r="BB13" s="106" t="str">
        <f>IFERROR(HLOOKUP(AY$5,#REF!,SA_GRILLE_STEU!$A13+2,FALSE),"")</f>
        <v/>
      </c>
      <c r="BC13" s="105" t="str">
        <f>IFERROR(HLOOKUP(AY$5,#REF!,SA_GRILLE_STEU!$A13+2,FALSE),"")</f>
        <v/>
      </c>
      <c r="BD13" s="199">
        <v>5</v>
      </c>
      <c r="BE13" s="2" t="str">
        <f>IFERROR(HLOOKUP(BD$5,#REF!,SA_GRILLE_STEU!$A13+2,FALSE),"")</f>
        <v/>
      </c>
      <c r="BF13" s="148"/>
      <c r="BG13" s="109" t="str">
        <f>IFERROR(HLOOKUP(BD$5,#REF!,SA_GRILLE_STEU!$A13+2,FALSE),"")</f>
        <v/>
      </c>
      <c r="BH13" s="108" t="str">
        <f>IFERROR(HLOOKUP(BD$5,#REF!,SA_GRILLE_STEU!$A13+2,FALSE),"")</f>
        <v/>
      </c>
    </row>
    <row r="14" spans="1:60" ht="64.5" customHeight="1" x14ac:dyDescent="0.4">
      <c r="A14" s="199">
        <v>6</v>
      </c>
      <c r="B14" s="3" t="str">
        <f>IFERROR(HLOOKUP(A$5,#REF!,SA_GRILLE_STEU!$A14+2,FALSE),"")</f>
        <v/>
      </c>
      <c r="C14" s="148"/>
      <c r="D14" s="186" t="str">
        <f>IFERROR(HLOOKUP(A$5,#REF!,SA_GRILLE_STEU!$A14+2,FALSE),"")</f>
        <v/>
      </c>
      <c r="E14" s="105" t="str">
        <f>IFERROR(HLOOKUP(A$5,#REF!,SA_GRILLE_STEU!$A14+2,FALSE),"")</f>
        <v/>
      </c>
      <c r="F14" s="199">
        <v>6</v>
      </c>
      <c r="G14" s="2" t="str">
        <f>IFERROR(HLOOKUP(F$5,#REF!,SA_GRILLE_STEU!$A14+2,FALSE),"")</f>
        <v/>
      </c>
      <c r="H14" s="148"/>
      <c r="I14" s="106" t="str">
        <f>IFERROR(HLOOKUP(F$5,#REF!,SA_GRILLE_STEU!$A14+2,FALSE),"")</f>
        <v/>
      </c>
      <c r="J14" s="105" t="str">
        <f>IFERROR(HLOOKUP(F$5,#REF!,SA_GRILLE_STEU!$A14+2,FALSE),"")</f>
        <v/>
      </c>
      <c r="K14" s="199">
        <v>6</v>
      </c>
      <c r="L14" s="2" t="str">
        <f>IFERROR(HLOOKUP(K$5,#REF!,SA_GRILLE_STEU!$A14+2,FALSE),"")</f>
        <v/>
      </c>
      <c r="M14" s="148"/>
      <c r="N14" s="106" t="str">
        <f>IFERROR(HLOOKUP(K$5,#REF!,SA_GRILLE_STEU!$A14+2,FALSE),"")</f>
        <v/>
      </c>
      <c r="O14" s="105" t="str">
        <f>IFERROR(HLOOKUP(K$5,#REF!,SA_GRILLE_STEU!$A14+2,FALSE),"")</f>
        <v/>
      </c>
      <c r="P14" s="199">
        <v>6</v>
      </c>
      <c r="Q14" s="2" t="str">
        <f>IFERROR(HLOOKUP(P$5,#REF!,SA_GRILLE_STEU!$A14+2,FALSE),"")</f>
        <v/>
      </c>
      <c r="R14" s="148"/>
      <c r="S14" s="106" t="str">
        <f>IFERROR(HLOOKUP(P$5,#REF!,SA_GRILLE_STEU!$A14+2,FALSE),"")</f>
        <v/>
      </c>
      <c r="T14" s="105" t="str">
        <f>IFERROR(HLOOKUP(P$5,#REF!,SA_GRILLE_STEU!$A14+2,FALSE),"")</f>
        <v/>
      </c>
      <c r="U14" s="199">
        <v>6</v>
      </c>
      <c r="V14" s="2" t="str">
        <f>IFERROR(HLOOKUP(U$5,#REF!,SA_GRILLE_STEU!$A14+2,FALSE),"")</f>
        <v/>
      </c>
      <c r="W14" s="148"/>
      <c r="X14" s="106" t="str">
        <f>IFERROR(HLOOKUP(U$5,#REF!,SA_GRILLE_STEU!$A14+2,FALSE),"")</f>
        <v/>
      </c>
      <c r="Y14" s="105" t="str">
        <f>IFERROR(HLOOKUP(U$5,#REF!,SA_GRILLE_STEU!$A14+2,FALSE),"")</f>
        <v/>
      </c>
      <c r="Z14" s="199">
        <v>6</v>
      </c>
      <c r="AA14" s="2" t="str">
        <f>IFERROR(HLOOKUP(Z$5,#REF!,SA_GRILLE_STEU!$A14+2,FALSE),"")</f>
        <v/>
      </c>
      <c r="AB14" s="148"/>
      <c r="AC14" s="106" t="str">
        <f>IFERROR(HLOOKUP(Z$5,#REF!,SA_GRILLE_STEU!$A14+2,FALSE),"")</f>
        <v/>
      </c>
      <c r="AD14" s="105" t="str">
        <f>IFERROR(HLOOKUP(Z$5,#REF!,SA_GRILLE_STEU!$A14+2,FALSE),"")</f>
        <v/>
      </c>
      <c r="AE14" s="199">
        <v>6</v>
      </c>
      <c r="AF14" s="2" t="str">
        <f>IFERROR(HLOOKUP(AE$5,#REF!,SA_GRILLE_STEU!$A14+2,FALSE),"")</f>
        <v/>
      </c>
      <c r="AG14" s="148"/>
      <c r="AH14" s="106" t="str">
        <f>IFERROR(HLOOKUP(AE$5,#REF!,SA_GRILLE_STEU!$A14+2,FALSE),"")</f>
        <v/>
      </c>
      <c r="AI14" s="105" t="str">
        <f>IFERROR(HLOOKUP(AE$5,#REF!,SA_GRILLE_STEU!$A14+2,FALSE),"")</f>
        <v/>
      </c>
      <c r="AJ14" s="199">
        <v>6</v>
      </c>
      <c r="AK14" s="2" t="str">
        <f>IFERROR(HLOOKUP(AJ$5,#REF!,SA_GRILLE_STEU!$A14+2,FALSE),"")</f>
        <v/>
      </c>
      <c r="AL14" s="148"/>
      <c r="AM14" s="106" t="str">
        <f>IFERROR(HLOOKUP(AJ$5,#REF!,SA_GRILLE_STEU!$A14+2,FALSE),"")</f>
        <v/>
      </c>
      <c r="AN14" s="105" t="str">
        <f>IFERROR(HLOOKUP(AJ$5,#REF!,SA_GRILLE_STEU!$A14+2,FALSE),"")</f>
        <v/>
      </c>
      <c r="AO14" s="199">
        <v>6</v>
      </c>
      <c r="AP14" s="2" t="str">
        <f>IFERROR(HLOOKUP(AO$5,#REF!,SA_GRILLE_STEU!$A14+2,FALSE),"")</f>
        <v/>
      </c>
      <c r="AQ14" s="148"/>
      <c r="AR14" s="106" t="str">
        <f>IFERROR(HLOOKUP(AO$5,#REF!,SA_GRILLE_STEU!$A14+2,FALSE),"")</f>
        <v/>
      </c>
      <c r="AS14" s="105" t="str">
        <f>IFERROR(HLOOKUP(AO$5,#REF!,SA_GRILLE_STEU!$A14+2,FALSE),"")</f>
        <v/>
      </c>
      <c r="AT14" s="199">
        <v>6</v>
      </c>
      <c r="AU14" s="2" t="str">
        <f>IFERROR(HLOOKUP(AT$5,#REF!,SA_GRILLE_STEU!$A14+2,FALSE),"")</f>
        <v/>
      </c>
      <c r="AV14" s="148"/>
      <c r="AW14" s="106" t="str">
        <f>IFERROR(HLOOKUP(AT$5,#REF!,SA_GRILLE_STEU!$A14+2,FALSE),"")</f>
        <v/>
      </c>
      <c r="AX14" s="105" t="str">
        <f>IFERROR(HLOOKUP(AT$5,#REF!,SA_GRILLE_STEU!$A14+2,FALSE),"")</f>
        <v/>
      </c>
      <c r="AY14" s="199">
        <v>6</v>
      </c>
      <c r="AZ14" s="2" t="str">
        <f>IFERROR(HLOOKUP(AY$5,#REF!,SA_GRILLE_STEU!$A14+2,FALSE),"")</f>
        <v/>
      </c>
      <c r="BA14" s="148"/>
      <c r="BB14" s="106" t="str">
        <f>IFERROR(HLOOKUP(AY$5,#REF!,SA_GRILLE_STEU!$A14+2,FALSE),"")</f>
        <v/>
      </c>
      <c r="BC14" s="105" t="str">
        <f>IFERROR(HLOOKUP(AY$5,#REF!,SA_GRILLE_STEU!$A14+2,FALSE),"")</f>
        <v/>
      </c>
      <c r="BD14" s="199">
        <v>6</v>
      </c>
      <c r="BE14" s="2" t="str">
        <f>IFERROR(HLOOKUP(BD$5,#REF!,SA_GRILLE_STEU!$A14+2,FALSE),"")</f>
        <v/>
      </c>
      <c r="BF14" s="148"/>
      <c r="BG14" s="109" t="str">
        <f>IFERROR(HLOOKUP(BD$5,#REF!,SA_GRILLE_STEU!$A14+2,FALSE),"")</f>
        <v/>
      </c>
      <c r="BH14" s="108" t="str">
        <f>IFERROR(HLOOKUP(BD$5,#REF!,SA_GRILLE_STEU!$A14+2,FALSE),"")</f>
        <v/>
      </c>
    </row>
    <row r="15" spans="1:60" ht="45" customHeight="1" x14ac:dyDescent="0.4">
      <c r="A15" s="199">
        <v>7</v>
      </c>
      <c r="B15" s="3" t="str">
        <f>IFERROR(HLOOKUP(A$5,#REF!,SA_GRILLE_STEU!$A15+2,FALSE),"")</f>
        <v/>
      </c>
      <c r="C15" s="148"/>
      <c r="D15" s="186" t="str">
        <f>IFERROR(HLOOKUP(A$5,#REF!,SA_GRILLE_STEU!$A15+2,FALSE),"")</f>
        <v/>
      </c>
      <c r="E15" s="105" t="str">
        <f>IFERROR(HLOOKUP(A$5,#REF!,SA_GRILLE_STEU!$A15+2,FALSE),"")</f>
        <v/>
      </c>
      <c r="F15" s="199">
        <v>7</v>
      </c>
      <c r="G15" s="2" t="str">
        <f>IFERROR(HLOOKUP(F$5,#REF!,SA_GRILLE_STEU!$A15+2,FALSE),"")</f>
        <v/>
      </c>
      <c r="H15" s="148"/>
      <c r="I15" s="106" t="str">
        <f>IFERROR(HLOOKUP(F$5,#REF!,SA_GRILLE_STEU!$A15+2,FALSE),"")</f>
        <v/>
      </c>
      <c r="J15" s="105" t="str">
        <f>IFERROR(HLOOKUP(F$5,#REF!,SA_GRILLE_STEU!$A15+2,FALSE),"")</f>
        <v/>
      </c>
      <c r="K15" s="199">
        <v>7</v>
      </c>
      <c r="L15" s="2" t="str">
        <f>IFERROR(HLOOKUP(K$5,#REF!,SA_GRILLE_STEU!$A15+2,FALSE),"")</f>
        <v/>
      </c>
      <c r="M15" s="148"/>
      <c r="N15" s="106" t="str">
        <f>IFERROR(HLOOKUP(K$5,#REF!,SA_GRILLE_STEU!$A15+2,FALSE),"")</f>
        <v/>
      </c>
      <c r="O15" s="105" t="str">
        <f>IFERROR(HLOOKUP(K$5,#REF!,SA_GRILLE_STEU!$A15+2,FALSE),"")</f>
        <v/>
      </c>
      <c r="P15" s="199">
        <v>7</v>
      </c>
      <c r="Q15" s="2" t="str">
        <f>IFERROR(HLOOKUP(P$5,#REF!,SA_GRILLE_STEU!$A15+2,FALSE),"")</f>
        <v/>
      </c>
      <c r="R15" s="148"/>
      <c r="S15" s="106" t="str">
        <f>IFERROR(HLOOKUP(P$5,#REF!,SA_GRILLE_STEU!$A15+2,FALSE),"")</f>
        <v/>
      </c>
      <c r="T15" s="105" t="str">
        <f>IFERROR(HLOOKUP(P$5,#REF!,SA_GRILLE_STEU!$A15+2,FALSE),"")</f>
        <v/>
      </c>
      <c r="U15" s="199">
        <v>7</v>
      </c>
      <c r="V15" s="2" t="str">
        <f>IFERROR(HLOOKUP(U$5,#REF!,SA_GRILLE_STEU!$A15+2,FALSE),"")</f>
        <v/>
      </c>
      <c r="W15" s="148"/>
      <c r="X15" s="106" t="str">
        <f>IFERROR(HLOOKUP(U$5,#REF!,SA_GRILLE_STEU!$A15+2,FALSE),"")</f>
        <v/>
      </c>
      <c r="Y15" s="105" t="str">
        <f>IFERROR(HLOOKUP(U$5,#REF!,SA_GRILLE_STEU!$A15+2,FALSE),"")</f>
        <v/>
      </c>
      <c r="Z15" s="199">
        <v>7</v>
      </c>
      <c r="AA15" s="2" t="str">
        <f>IFERROR(HLOOKUP(Z$5,#REF!,SA_GRILLE_STEU!$A15+2,FALSE),"")</f>
        <v/>
      </c>
      <c r="AB15" s="148"/>
      <c r="AC15" s="106" t="str">
        <f>IFERROR(HLOOKUP(Z$5,#REF!,SA_GRILLE_STEU!$A15+2,FALSE),"")</f>
        <v/>
      </c>
      <c r="AD15" s="105" t="str">
        <f>IFERROR(HLOOKUP(Z$5,#REF!,SA_GRILLE_STEU!$A15+2,FALSE),"")</f>
        <v/>
      </c>
      <c r="AE15" s="199">
        <v>7</v>
      </c>
      <c r="AF15" s="2" t="str">
        <f>IFERROR(HLOOKUP(AE$5,#REF!,SA_GRILLE_STEU!$A15+2,FALSE),"")</f>
        <v/>
      </c>
      <c r="AG15" s="148"/>
      <c r="AH15" s="106" t="str">
        <f>IFERROR(HLOOKUP(AE$5,#REF!,SA_GRILLE_STEU!$A15+2,FALSE),"")</f>
        <v/>
      </c>
      <c r="AI15" s="105" t="str">
        <f>IFERROR(HLOOKUP(AE$5,#REF!,SA_GRILLE_STEU!$A15+2,FALSE),"")</f>
        <v/>
      </c>
      <c r="AJ15" s="199">
        <v>7</v>
      </c>
      <c r="AK15" s="2" t="str">
        <f>IFERROR(HLOOKUP(AJ$5,#REF!,SA_GRILLE_STEU!$A15+2,FALSE),"")</f>
        <v/>
      </c>
      <c r="AL15" s="148"/>
      <c r="AM15" s="106" t="str">
        <f>IFERROR(HLOOKUP(AJ$5,#REF!,SA_GRILLE_STEU!$A15+2,FALSE),"")</f>
        <v/>
      </c>
      <c r="AN15" s="105" t="str">
        <f>IFERROR(HLOOKUP(AJ$5,#REF!,SA_GRILLE_STEU!$A15+2,FALSE),"")</f>
        <v/>
      </c>
      <c r="AO15" s="199">
        <v>7</v>
      </c>
      <c r="AP15" s="2" t="str">
        <f>IFERROR(HLOOKUP(AO$5,#REF!,SA_GRILLE_STEU!$A15+2,FALSE),"")</f>
        <v/>
      </c>
      <c r="AQ15" s="148"/>
      <c r="AR15" s="106" t="str">
        <f>IFERROR(HLOOKUP(AO$5,#REF!,SA_GRILLE_STEU!$A15+2,FALSE),"")</f>
        <v/>
      </c>
      <c r="AS15" s="105" t="str">
        <f>IFERROR(HLOOKUP(AO$5,#REF!,SA_GRILLE_STEU!$A15+2,FALSE),"")</f>
        <v/>
      </c>
      <c r="AT15" s="199">
        <v>7</v>
      </c>
      <c r="AU15" s="2" t="str">
        <f>IFERROR(HLOOKUP(AT$5,#REF!,SA_GRILLE_STEU!$A15+2,FALSE),"")</f>
        <v/>
      </c>
      <c r="AV15" s="148"/>
      <c r="AW15" s="106" t="str">
        <f>IFERROR(HLOOKUP(AT$5,#REF!,SA_GRILLE_STEU!$A15+2,FALSE),"")</f>
        <v/>
      </c>
      <c r="AX15" s="105" t="str">
        <f>IFERROR(HLOOKUP(AT$5,#REF!,SA_GRILLE_STEU!$A15+2,FALSE),"")</f>
        <v/>
      </c>
      <c r="AY15" s="199">
        <v>7</v>
      </c>
      <c r="AZ15" s="2" t="str">
        <f>IFERROR(HLOOKUP(AY$5,#REF!,SA_GRILLE_STEU!$A15+2,FALSE),"")</f>
        <v/>
      </c>
      <c r="BA15" s="148"/>
      <c r="BB15" s="106" t="str">
        <f>IFERROR(HLOOKUP(AY$5,#REF!,SA_GRILLE_STEU!$A15+2,FALSE),"")</f>
        <v/>
      </c>
      <c r="BC15" s="105" t="str">
        <f>IFERROR(HLOOKUP(AY$5,#REF!,SA_GRILLE_STEU!$A15+2,FALSE),"")</f>
        <v/>
      </c>
      <c r="BD15" s="199">
        <v>7</v>
      </c>
      <c r="BE15" s="2" t="str">
        <f>IFERROR(HLOOKUP(BD$5,#REF!,SA_GRILLE_STEU!$A15+2,FALSE),"")</f>
        <v/>
      </c>
      <c r="BF15" s="148"/>
      <c r="BG15" s="109" t="str">
        <f>IFERROR(HLOOKUP(BD$5,#REF!,SA_GRILLE_STEU!$A15+2,FALSE),"")</f>
        <v/>
      </c>
      <c r="BH15" s="108" t="str">
        <f>IFERROR(HLOOKUP(BD$5,#REF!,SA_GRILLE_STEU!$A15+2,FALSE),"")</f>
        <v/>
      </c>
    </row>
    <row r="16" spans="1:60" ht="38.25" customHeight="1" x14ac:dyDescent="0.4">
      <c r="A16" s="199">
        <v>8</v>
      </c>
      <c r="B16" s="3" t="str">
        <f>IFERROR(HLOOKUP(A$5,#REF!,SA_GRILLE_STEU!$A16+2,FALSE),"")</f>
        <v/>
      </c>
      <c r="C16" s="148"/>
      <c r="D16" s="186" t="str">
        <f>IFERROR(HLOOKUP(A$5,#REF!,SA_GRILLE_STEU!$A16+2,FALSE),"")</f>
        <v/>
      </c>
      <c r="E16" s="105" t="str">
        <f>IFERROR(HLOOKUP(A$5,#REF!,SA_GRILLE_STEU!$A16+2,FALSE),"")</f>
        <v/>
      </c>
      <c r="F16" s="199">
        <v>8</v>
      </c>
      <c r="G16" s="2" t="str">
        <f>IFERROR(HLOOKUP(F$5,#REF!,SA_GRILLE_STEU!$A16+2,FALSE),"")</f>
        <v/>
      </c>
      <c r="H16" s="148"/>
      <c r="I16" s="106" t="str">
        <f>IFERROR(HLOOKUP(F$5,#REF!,SA_GRILLE_STEU!$A16+2,FALSE),"")</f>
        <v/>
      </c>
      <c r="J16" s="105" t="str">
        <f>IFERROR(HLOOKUP(F$5,#REF!,SA_GRILLE_STEU!$A16+2,FALSE),"")</f>
        <v/>
      </c>
      <c r="K16" s="199">
        <v>8</v>
      </c>
      <c r="L16" s="2" t="str">
        <f>IFERROR(HLOOKUP(K$5,#REF!,SA_GRILLE_STEU!$A16+2,FALSE),"")</f>
        <v/>
      </c>
      <c r="M16" s="148"/>
      <c r="N16" s="106" t="str">
        <f>IFERROR(HLOOKUP(K$5,#REF!,SA_GRILLE_STEU!$A16+2,FALSE),"")</f>
        <v/>
      </c>
      <c r="O16" s="105" t="str">
        <f>IFERROR(HLOOKUP(K$5,#REF!,SA_GRILLE_STEU!$A16+2,FALSE),"")</f>
        <v/>
      </c>
      <c r="P16" s="199">
        <v>8</v>
      </c>
      <c r="Q16" s="2" t="str">
        <f>IFERROR(HLOOKUP(P$5,#REF!,SA_GRILLE_STEU!$A16+2,FALSE),"")</f>
        <v/>
      </c>
      <c r="R16" s="148"/>
      <c r="S16" s="106" t="str">
        <f>IFERROR(HLOOKUP(P$5,#REF!,SA_GRILLE_STEU!$A16+2,FALSE),"")</f>
        <v/>
      </c>
      <c r="T16" s="105" t="str">
        <f>IFERROR(HLOOKUP(P$5,#REF!,SA_GRILLE_STEU!$A16+2,FALSE),"")</f>
        <v/>
      </c>
      <c r="U16" s="199">
        <v>8</v>
      </c>
      <c r="V16" s="2" t="str">
        <f>IFERROR(HLOOKUP(U$5,#REF!,SA_GRILLE_STEU!$A16+2,FALSE),"")</f>
        <v/>
      </c>
      <c r="W16" s="148"/>
      <c r="X16" s="106" t="str">
        <f>IFERROR(HLOOKUP(U$5,#REF!,SA_GRILLE_STEU!$A16+2,FALSE),"")</f>
        <v/>
      </c>
      <c r="Y16" s="105" t="str">
        <f>IFERROR(HLOOKUP(U$5,#REF!,SA_GRILLE_STEU!$A16+2,FALSE),"")</f>
        <v/>
      </c>
      <c r="Z16" s="199">
        <v>8</v>
      </c>
      <c r="AA16" s="2" t="str">
        <f>IFERROR(HLOOKUP(Z$5,#REF!,SA_GRILLE_STEU!$A16+2,FALSE),"")</f>
        <v/>
      </c>
      <c r="AB16" s="148"/>
      <c r="AC16" s="106" t="str">
        <f>IFERROR(HLOOKUP(Z$5,#REF!,SA_GRILLE_STEU!$A16+2,FALSE),"")</f>
        <v/>
      </c>
      <c r="AD16" s="105" t="str">
        <f>IFERROR(HLOOKUP(Z$5,#REF!,SA_GRILLE_STEU!$A16+2,FALSE),"")</f>
        <v/>
      </c>
      <c r="AE16" s="199">
        <v>8</v>
      </c>
      <c r="AF16" s="2" t="str">
        <f>IFERROR(HLOOKUP(AE$5,#REF!,SA_GRILLE_STEU!$A16+2,FALSE),"")</f>
        <v/>
      </c>
      <c r="AG16" s="148"/>
      <c r="AH16" s="106" t="str">
        <f>IFERROR(HLOOKUP(AE$5,#REF!,SA_GRILLE_STEU!$A16+2,FALSE),"")</f>
        <v/>
      </c>
      <c r="AI16" s="105" t="str">
        <f>IFERROR(HLOOKUP(AE$5,#REF!,SA_GRILLE_STEU!$A16+2,FALSE),"")</f>
        <v/>
      </c>
      <c r="AJ16" s="199">
        <v>8</v>
      </c>
      <c r="AK16" s="2" t="str">
        <f>IFERROR(HLOOKUP(AJ$5,#REF!,SA_GRILLE_STEU!$A16+2,FALSE),"")</f>
        <v/>
      </c>
      <c r="AL16" s="148"/>
      <c r="AM16" s="106" t="str">
        <f>IFERROR(HLOOKUP(AJ$5,#REF!,SA_GRILLE_STEU!$A16+2,FALSE),"")</f>
        <v/>
      </c>
      <c r="AN16" s="105" t="str">
        <f>IFERROR(HLOOKUP(AJ$5,#REF!,SA_GRILLE_STEU!$A16+2,FALSE),"")</f>
        <v/>
      </c>
      <c r="AO16" s="199">
        <v>8</v>
      </c>
      <c r="AP16" s="2" t="str">
        <f>IFERROR(HLOOKUP(AO$5,#REF!,SA_GRILLE_STEU!$A16+2,FALSE),"")</f>
        <v/>
      </c>
      <c r="AQ16" s="148"/>
      <c r="AR16" s="106" t="str">
        <f>IFERROR(HLOOKUP(AO$5,#REF!,SA_GRILLE_STEU!$A16+2,FALSE),"")</f>
        <v/>
      </c>
      <c r="AS16" s="105" t="str">
        <f>IFERROR(HLOOKUP(AO$5,#REF!,SA_GRILLE_STEU!$A16+2,FALSE),"")</f>
        <v/>
      </c>
      <c r="AT16" s="199">
        <v>8</v>
      </c>
      <c r="AU16" s="2" t="str">
        <f>IFERROR(HLOOKUP(AT$5,#REF!,SA_GRILLE_STEU!$A16+2,FALSE),"")</f>
        <v/>
      </c>
      <c r="AV16" s="148"/>
      <c r="AW16" s="106" t="str">
        <f>IFERROR(HLOOKUP(AT$5,#REF!,SA_GRILLE_STEU!$A16+2,FALSE),"")</f>
        <v/>
      </c>
      <c r="AX16" s="105" t="str">
        <f>IFERROR(HLOOKUP(AT$5,#REF!,SA_GRILLE_STEU!$A16+2,FALSE),"")</f>
        <v/>
      </c>
      <c r="AY16" s="199">
        <v>8</v>
      </c>
      <c r="AZ16" s="2" t="str">
        <f>IFERROR(HLOOKUP(AY$5,#REF!,SA_GRILLE_STEU!$A16+2,FALSE),"")</f>
        <v/>
      </c>
      <c r="BA16" s="148"/>
      <c r="BB16" s="106" t="str">
        <f>IFERROR(HLOOKUP(AY$5,#REF!,SA_GRILLE_STEU!$A16+2,FALSE),"")</f>
        <v/>
      </c>
      <c r="BC16" s="105" t="str">
        <f>IFERROR(HLOOKUP(AY$5,#REF!,SA_GRILLE_STEU!$A16+2,FALSE),"")</f>
        <v/>
      </c>
      <c r="BD16" s="199">
        <v>8</v>
      </c>
      <c r="BE16" s="2" t="str">
        <f>IFERROR(HLOOKUP(BD$5,#REF!,SA_GRILLE_STEU!$A16+2,FALSE),"")</f>
        <v/>
      </c>
      <c r="BF16" s="148"/>
      <c r="BG16" s="109" t="str">
        <f>IFERROR(HLOOKUP(BD$5,#REF!,SA_GRILLE_STEU!$A16+2,FALSE),"")</f>
        <v/>
      </c>
      <c r="BH16" s="108" t="str">
        <f>IFERROR(HLOOKUP(BD$5,#REF!,SA_GRILLE_STEU!$A16+2,FALSE),"")</f>
        <v/>
      </c>
    </row>
    <row r="17" spans="1:60" ht="20.100000000000001" customHeight="1" x14ac:dyDescent="0.4">
      <c r="A17" s="199">
        <v>9</v>
      </c>
      <c r="B17" s="3" t="str">
        <f>IFERROR(HLOOKUP(A$5,#REF!,SA_GRILLE_STEU!$A17+2,FALSE),"")</f>
        <v/>
      </c>
      <c r="C17" s="148"/>
      <c r="D17" s="186" t="str">
        <f>IFERROR(HLOOKUP(A$5,#REF!,SA_GRILLE_STEU!$A17+2,FALSE),"")</f>
        <v/>
      </c>
      <c r="E17" s="105" t="str">
        <f>IFERROR(HLOOKUP(A$5,#REF!,SA_GRILLE_STEU!$A17+2,FALSE),"")</f>
        <v/>
      </c>
      <c r="F17" s="199">
        <v>9</v>
      </c>
      <c r="G17" s="2" t="str">
        <f>IFERROR(HLOOKUP(F$5,#REF!,SA_GRILLE_STEU!$A17+2,FALSE),"")</f>
        <v/>
      </c>
      <c r="H17" s="148"/>
      <c r="I17" s="106" t="str">
        <f>IFERROR(HLOOKUP(F$5,#REF!,SA_GRILLE_STEU!$A17+2,FALSE),"")</f>
        <v/>
      </c>
      <c r="J17" s="105" t="str">
        <f>IFERROR(HLOOKUP(F$5,#REF!,SA_GRILLE_STEU!$A17+2,FALSE),"")</f>
        <v/>
      </c>
      <c r="K17" s="199">
        <v>9</v>
      </c>
      <c r="L17" s="2" t="str">
        <f>IFERROR(HLOOKUP(K$5,#REF!,SA_GRILLE_STEU!$A17+2,FALSE),"")</f>
        <v/>
      </c>
      <c r="M17" s="148"/>
      <c r="N17" s="106" t="str">
        <f>IFERROR(HLOOKUP(K$5,#REF!,SA_GRILLE_STEU!$A17+2,FALSE),"")</f>
        <v/>
      </c>
      <c r="O17" s="105" t="str">
        <f>IFERROR(HLOOKUP(K$5,#REF!,SA_GRILLE_STEU!$A17+2,FALSE),"")</f>
        <v/>
      </c>
      <c r="P17" s="199">
        <v>9</v>
      </c>
      <c r="Q17" s="2" t="str">
        <f>IFERROR(HLOOKUP(P$5,#REF!,SA_GRILLE_STEU!$A17+2,FALSE),"")</f>
        <v/>
      </c>
      <c r="R17" s="148"/>
      <c r="S17" s="106" t="str">
        <f>IFERROR(HLOOKUP(P$5,#REF!,SA_GRILLE_STEU!$A17+2,FALSE),"")</f>
        <v/>
      </c>
      <c r="T17" s="105" t="str">
        <f>IFERROR(HLOOKUP(P$5,#REF!,SA_GRILLE_STEU!$A17+2,FALSE),"")</f>
        <v/>
      </c>
      <c r="U17" s="199">
        <v>9</v>
      </c>
      <c r="V17" s="2" t="str">
        <f>IFERROR(HLOOKUP(U$5,#REF!,SA_GRILLE_STEU!$A17+2,FALSE),"")</f>
        <v/>
      </c>
      <c r="W17" s="148"/>
      <c r="X17" s="106" t="str">
        <f>IFERROR(HLOOKUP(U$5,#REF!,SA_GRILLE_STEU!$A17+2,FALSE),"")</f>
        <v/>
      </c>
      <c r="Y17" s="105" t="str">
        <f>IFERROR(HLOOKUP(U$5,#REF!,SA_GRILLE_STEU!$A17+2,FALSE),"")</f>
        <v/>
      </c>
      <c r="Z17" s="199">
        <v>9</v>
      </c>
      <c r="AA17" s="2" t="str">
        <f>IFERROR(HLOOKUP(Z$5,#REF!,SA_GRILLE_STEU!$A17+2,FALSE),"")</f>
        <v/>
      </c>
      <c r="AB17" s="148"/>
      <c r="AC17" s="106" t="str">
        <f>IFERROR(HLOOKUP(Z$5,#REF!,SA_GRILLE_STEU!$A17+2,FALSE),"")</f>
        <v/>
      </c>
      <c r="AD17" s="105" t="str">
        <f>IFERROR(HLOOKUP(Z$5,#REF!,SA_GRILLE_STEU!$A17+2,FALSE),"")</f>
        <v/>
      </c>
      <c r="AE17" s="199">
        <v>9</v>
      </c>
      <c r="AF17" s="2" t="str">
        <f>IFERROR(HLOOKUP(AE$5,#REF!,SA_GRILLE_STEU!$A17+2,FALSE),"")</f>
        <v/>
      </c>
      <c r="AG17" s="148"/>
      <c r="AH17" s="106" t="str">
        <f>IFERROR(HLOOKUP(AE$5,#REF!,SA_GRILLE_STEU!$A17+2,FALSE),"")</f>
        <v/>
      </c>
      <c r="AI17" s="105" t="str">
        <f>IFERROR(HLOOKUP(AE$5,#REF!,SA_GRILLE_STEU!$A17+2,FALSE),"")</f>
        <v/>
      </c>
      <c r="AJ17" s="199">
        <v>9</v>
      </c>
      <c r="AK17" s="2" t="str">
        <f>IFERROR(HLOOKUP(AJ$5,#REF!,SA_GRILLE_STEU!$A17+2,FALSE),"")</f>
        <v/>
      </c>
      <c r="AL17" s="148"/>
      <c r="AM17" s="106" t="str">
        <f>IFERROR(HLOOKUP(AJ$5,#REF!,SA_GRILLE_STEU!$A17+2,FALSE),"")</f>
        <v/>
      </c>
      <c r="AN17" s="105" t="str">
        <f>IFERROR(HLOOKUP(AJ$5,#REF!,SA_GRILLE_STEU!$A17+2,FALSE),"")</f>
        <v/>
      </c>
      <c r="AO17" s="199">
        <v>9</v>
      </c>
      <c r="AP17" s="2" t="str">
        <f>IFERROR(HLOOKUP(AO$5,#REF!,SA_GRILLE_STEU!$A17+2,FALSE),"")</f>
        <v/>
      </c>
      <c r="AQ17" s="148"/>
      <c r="AR17" s="106" t="str">
        <f>IFERROR(HLOOKUP(AO$5,#REF!,SA_GRILLE_STEU!$A17+2,FALSE),"")</f>
        <v/>
      </c>
      <c r="AS17" s="105" t="str">
        <f>IFERROR(HLOOKUP(AO$5,#REF!,SA_GRILLE_STEU!$A17+2,FALSE),"")</f>
        <v/>
      </c>
      <c r="AT17" s="199">
        <v>9</v>
      </c>
      <c r="AU17" s="2" t="str">
        <f>IFERROR(HLOOKUP(AT$5,#REF!,SA_GRILLE_STEU!$A17+2,FALSE),"")</f>
        <v/>
      </c>
      <c r="AV17" s="148"/>
      <c r="AW17" s="106" t="str">
        <f>IFERROR(HLOOKUP(AT$5,#REF!,SA_GRILLE_STEU!$A17+2,FALSE),"")</f>
        <v/>
      </c>
      <c r="AX17" s="105" t="str">
        <f>IFERROR(HLOOKUP(AT$5,#REF!,SA_GRILLE_STEU!$A17+2,FALSE),"")</f>
        <v/>
      </c>
      <c r="AY17" s="199">
        <v>9</v>
      </c>
      <c r="AZ17" s="2" t="str">
        <f>IFERROR(HLOOKUP(AY$5,#REF!,SA_GRILLE_STEU!$A17+2,FALSE),"")</f>
        <v/>
      </c>
      <c r="BA17" s="148"/>
      <c r="BB17" s="106" t="str">
        <f>IFERROR(HLOOKUP(AY$5,#REF!,SA_GRILLE_STEU!$A17+2,FALSE),"")</f>
        <v/>
      </c>
      <c r="BC17" s="105" t="str">
        <f>IFERROR(HLOOKUP(AY$5,#REF!,SA_GRILLE_STEU!$A17+2,FALSE),"")</f>
        <v/>
      </c>
      <c r="BD17" s="199">
        <v>9</v>
      </c>
      <c r="BE17" s="2" t="str">
        <f>IFERROR(HLOOKUP(BD$5,#REF!,SA_GRILLE_STEU!$A17+2,FALSE),"")</f>
        <v/>
      </c>
      <c r="BF17" s="148"/>
      <c r="BG17" s="109" t="str">
        <f>IFERROR(HLOOKUP(BD$5,#REF!,SA_GRILLE_STEU!$A17+2,FALSE),"")</f>
        <v/>
      </c>
      <c r="BH17" s="108" t="str">
        <f>IFERROR(HLOOKUP(BD$5,#REF!,SA_GRILLE_STEU!$A17+2,FALSE),"")</f>
        <v/>
      </c>
    </row>
    <row r="18" spans="1:60" s="170" customFormat="1" ht="38.25" customHeight="1" x14ac:dyDescent="0.4">
      <c r="A18" s="557" t="s">
        <v>49</v>
      </c>
      <c r="B18" s="558"/>
      <c r="C18" s="167" t="s">
        <v>50</v>
      </c>
      <c r="D18" s="168" t="s">
        <v>51</v>
      </c>
      <c r="E18" s="169"/>
      <c r="F18" s="557" t="s">
        <v>49</v>
      </c>
      <c r="G18" s="558"/>
      <c r="H18" s="167" t="s">
        <v>50</v>
      </c>
      <c r="I18" s="168" t="s">
        <v>51</v>
      </c>
      <c r="J18" s="169"/>
      <c r="K18" s="557" t="s">
        <v>49</v>
      </c>
      <c r="L18" s="558"/>
      <c r="M18" s="167" t="s">
        <v>50</v>
      </c>
      <c r="N18" s="168" t="s">
        <v>51</v>
      </c>
      <c r="O18" s="169"/>
      <c r="P18" s="557" t="s">
        <v>49</v>
      </c>
      <c r="Q18" s="558"/>
      <c r="R18" s="167" t="s">
        <v>50</v>
      </c>
      <c r="S18" s="168" t="s">
        <v>51</v>
      </c>
      <c r="T18" s="169"/>
      <c r="U18" s="557" t="s">
        <v>49</v>
      </c>
      <c r="V18" s="558"/>
      <c r="W18" s="167" t="s">
        <v>50</v>
      </c>
      <c r="X18" s="168" t="s">
        <v>51</v>
      </c>
      <c r="Y18" s="169"/>
      <c r="Z18" s="557" t="s">
        <v>49</v>
      </c>
      <c r="AA18" s="558"/>
      <c r="AB18" s="167" t="s">
        <v>50</v>
      </c>
      <c r="AC18" s="168" t="s">
        <v>51</v>
      </c>
      <c r="AD18" s="169"/>
      <c r="AE18" s="557" t="s">
        <v>49</v>
      </c>
      <c r="AF18" s="558"/>
      <c r="AG18" s="167" t="s">
        <v>50</v>
      </c>
      <c r="AH18" s="168" t="s">
        <v>51</v>
      </c>
      <c r="AI18" s="169"/>
      <c r="AJ18" s="557" t="s">
        <v>49</v>
      </c>
      <c r="AK18" s="558"/>
      <c r="AL18" s="167" t="s">
        <v>50</v>
      </c>
      <c r="AM18" s="168" t="s">
        <v>51</v>
      </c>
      <c r="AN18" s="169"/>
      <c r="AO18" s="557" t="s">
        <v>49</v>
      </c>
      <c r="AP18" s="558"/>
      <c r="AQ18" s="167" t="s">
        <v>50</v>
      </c>
      <c r="AR18" s="168" t="s">
        <v>51</v>
      </c>
      <c r="AS18" s="169"/>
      <c r="AT18" s="557" t="s">
        <v>49</v>
      </c>
      <c r="AU18" s="558"/>
      <c r="AV18" s="167" t="s">
        <v>50</v>
      </c>
      <c r="AW18" s="168" t="s">
        <v>51</v>
      </c>
      <c r="AX18" s="169"/>
      <c r="AY18" s="557" t="s">
        <v>49</v>
      </c>
      <c r="AZ18" s="558"/>
      <c r="BA18" s="167" t="s">
        <v>50</v>
      </c>
      <c r="BB18" s="168" t="s">
        <v>51</v>
      </c>
      <c r="BC18" s="169"/>
      <c r="BD18" s="557" t="s">
        <v>49</v>
      </c>
      <c r="BE18" s="558"/>
      <c r="BF18" s="167" t="s">
        <v>50</v>
      </c>
      <c r="BG18" s="168" t="s">
        <v>51</v>
      </c>
    </row>
    <row r="19" spans="1:60" s="115" customFormat="1" ht="60" customHeight="1" x14ac:dyDescent="0.4">
      <c r="A19" s="202"/>
      <c r="B19" s="161"/>
      <c r="C19" s="151"/>
      <c r="D19" s="113">
        <f>IF(OR(A5="",C19="Non contrôlé"),"",IF((SUMIF(C9:C17,"Validé",D9:D17)+SUMIF(C9:C17,"Validé avec réserve",D9:D17))&gt;100,100,SUMIF(C9:C17,"Validé",D9:D17)+SUMIF(C9:C17,"Validé avec réserve",D9:D17)))</f>
        <v>0</v>
      </c>
      <c r="E19" s="114"/>
      <c r="F19" s="203"/>
      <c r="G19" s="155"/>
      <c r="H19" s="151"/>
      <c r="I19" s="113" t="str">
        <f>IF(F5="","",IF((SUMIF(H9:H17,"Validé",I9:I17)+SUMIF(H9:H17,"Validé avec réserve",I9:I17))&gt;100,100,SUMIF(H9:H17,"Validé",I9:I17)+SUMIF(H9:H17,"Validé avec réserve",I9:I17)))</f>
        <v/>
      </c>
      <c r="J19" s="114"/>
      <c r="K19" s="203"/>
      <c r="L19" s="155"/>
      <c r="M19" s="151"/>
      <c r="N19" s="113" t="str">
        <f>IF(K5="","",IF((SUMIF(M9:M17,"Validé",N9:N17)+SUMIF(M9:M17,"Validé avec réserve",N9:N17))&gt;100,100,SUMIF(M9:M17,"Validé",N9:N17)+SUMIF(M9:M17,"Validé avec réserve",N9:N17)))</f>
        <v/>
      </c>
      <c r="O19" s="114"/>
      <c r="P19" s="204"/>
      <c r="Q19" s="155"/>
      <c r="R19" s="151"/>
      <c r="S19" s="113" t="str">
        <f>IF(P5="","",IF((SUMIF(R9:R17,"Validé",S9:S17)+SUMIF(R9:R17,"Validé avec réserve",S9:S17))&gt;100,100,SUMIF(R9:R17,"Validé",S9:S17)+SUMIF(R9:R17,"Validé avec réserve",S9:S17)))</f>
        <v/>
      </c>
      <c r="T19" s="114"/>
      <c r="U19" s="205"/>
      <c r="V19" s="155"/>
      <c r="W19" s="151"/>
      <c r="X19" s="113" t="str">
        <f>IF(U5="","",IF((SUMIF(W9:W17,"Validé",X9:X17)+SUMIF(W9:W17,"Validé avec réserve",X9:X17))&gt;100,100,SUMIF(W9:W17,"Validé",X9:X17)+SUMIF(W9:W17,"Validé avec réserve",X9:X17)))</f>
        <v/>
      </c>
      <c r="Y19" s="114"/>
      <c r="Z19" s="205"/>
      <c r="AA19" s="154"/>
      <c r="AB19" s="151"/>
      <c r="AC19" s="113" t="str">
        <f>IF(Z5="","",IF((SUMIF(AB9:AB17,"Validé",AC9:AC17)+SUMIF(AB9:AB17,"Validé avec réserve",AC9:AC17))&gt;100,100,SUMIF(AB9:AB17,"Validé",AC9:AC17)+SUMIF(AB9:AB17,"Validé avec réserve",AC9:AC17)))</f>
        <v/>
      </c>
      <c r="AD19" s="114"/>
      <c r="AE19" s="205"/>
      <c r="AF19" s="155"/>
      <c r="AG19" s="151"/>
      <c r="AH19" s="113" t="str">
        <f>IF(AE5="","",IF((SUMIF(AG9:AG17,"Validé",AH9:AH17)+SUMIF(AG9:AG17,"Validé avec réserve",AH9:AH17))&gt;100,100,SUMIF(AG9:AG17,"Validé",AH9:AH17)+SUMIF(AG9:AG17,"Validé avec réserve",AH9:AH17)))</f>
        <v/>
      </c>
      <c r="AI19" s="114"/>
      <c r="AJ19" s="205"/>
      <c r="AK19" s="155"/>
      <c r="AL19" s="151"/>
      <c r="AM19" s="113" t="str">
        <f>IF(AJ5="","",IF((SUMIF(AL9:AL17,"Validé",AM9:AM17)+SUMIF(AL9:AL17,"Validé avec réserve",AM9:AM17))&gt;100,100,SUMIF(AL9:AL17,"Validé",AM9:AM17)+SUMIF(AL9:AL17,"Validé avec réserve",AM9:AM17)))</f>
        <v/>
      </c>
      <c r="AN19" s="114"/>
      <c r="AO19" s="205"/>
      <c r="AP19" s="155"/>
      <c r="AQ19" s="151"/>
      <c r="AR19" s="113" t="str">
        <f>IF(AO5="","",IF((SUMIF(AQ9:AQ17,"Validé",AR9:AR17)+SUMIF(AQ9:AQ17,"Validé avec réserve",AR9:AR17))&gt;100,100,SUMIF(AQ9:AQ17,"Validé",AR9:AR17)+SUMIF(AQ9:AQ17,"Validé avec réserve",AR9:AR17)))</f>
        <v/>
      </c>
      <c r="AS19" s="114"/>
      <c r="AT19" s="205"/>
      <c r="AU19" s="155"/>
      <c r="AV19" s="151"/>
      <c r="AW19" s="113" t="str">
        <f>IF(AT5="","",IF((SUMIF(AV9:AV17,"Validé",AW9:AW17)+SUMIF(AV9:AV17,"Validé avec réserve",AW9:AW17))&gt;100,100,SUMIF(AV9:AV17,"Validé",AW9:AW17)+SUMIF(AV9:AV17,"Validé avec réserve",AW9:AW17)))</f>
        <v/>
      </c>
      <c r="AX19" s="114"/>
      <c r="AY19" s="205"/>
      <c r="AZ19" s="155"/>
      <c r="BA19" s="151"/>
      <c r="BB19" s="113" t="str">
        <f>IF(AY5="","",IF((SUMIF(BA9:BA17,"Validé",BB9:BB17)+SUMIF(BA9:BA17,"Validé avec réserve",BB9:BB17))&gt;100,100,SUMIF(BA9:BA17,"Validé",BB9:BB17)+SUMIF(BA9:BA17,"Validé avec réserve",BB9:BB17)))</f>
        <v/>
      </c>
      <c r="BC19" s="114"/>
      <c r="BD19" s="205"/>
      <c r="BE19" s="152"/>
      <c r="BF19" s="151"/>
      <c r="BG19" s="113" t="str">
        <f>IF(BD5="","",IF((SUMIF(BF9:BF17,"Validé",BG9:BG17)+SUMIF(BF9:BF17,"Validé avec réserve",BG9:BG17))&gt;100,100,SUMIF(BF9:BF17,"Validé",BG9:BG17)+SUMIF(BF9:BF17,"Validé avec réserve",BG9:BG17)))</f>
        <v/>
      </c>
      <c r="BH19" s="114"/>
    </row>
    <row r="20" spans="1:60" s="122" customFormat="1" ht="15" customHeight="1" thickBot="1" x14ac:dyDescent="0.45">
      <c r="A20" s="116"/>
      <c r="B20" s="117"/>
      <c r="C20" s="118"/>
      <c r="D20" s="119"/>
      <c r="E20" s="120"/>
      <c r="F20" s="116"/>
      <c r="G20" s="117"/>
      <c r="H20" s="118"/>
      <c r="I20" s="119"/>
      <c r="J20" s="120"/>
      <c r="K20" s="116"/>
      <c r="L20" s="117"/>
      <c r="M20" s="118"/>
      <c r="N20" s="119"/>
      <c r="O20" s="120"/>
      <c r="P20" s="116"/>
      <c r="Q20" s="117"/>
      <c r="R20" s="117"/>
      <c r="S20" s="119"/>
      <c r="T20" s="117"/>
      <c r="U20" s="117"/>
      <c r="V20" s="117"/>
      <c r="W20" s="117"/>
      <c r="X20" s="119"/>
      <c r="Y20" s="117"/>
      <c r="Z20" s="117"/>
      <c r="AA20" s="117"/>
      <c r="AB20" s="117"/>
      <c r="AC20" s="119"/>
      <c r="AD20" s="117"/>
      <c r="AE20" s="117"/>
      <c r="AF20" s="117"/>
      <c r="AG20" s="117"/>
      <c r="AH20" s="119"/>
      <c r="AI20" s="117"/>
      <c r="AJ20" s="117"/>
      <c r="AK20" s="117"/>
      <c r="AL20" s="117"/>
      <c r="AM20" s="119"/>
      <c r="AN20" s="117"/>
      <c r="AO20" s="117"/>
      <c r="AP20" s="117"/>
      <c r="AQ20" s="117"/>
      <c r="AR20" s="119"/>
      <c r="AS20" s="117"/>
      <c r="AT20" s="117"/>
      <c r="AU20" s="117"/>
      <c r="AV20" s="117"/>
      <c r="AW20" s="119"/>
      <c r="AX20" s="117"/>
      <c r="AY20" s="117"/>
      <c r="AZ20" s="117"/>
      <c r="BA20" s="117"/>
      <c r="BB20" s="119"/>
      <c r="BC20" s="117"/>
      <c r="BD20" s="117"/>
      <c r="BE20" s="117"/>
      <c r="BF20" s="117"/>
      <c r="BG20" s="117"/>
      <c r="BH20" s="121"/>
    </row>
    <row r="21" spans="1:60" ht="12" customHeight="1" thickBot="1" x14ac:dyDescent="0.45">
      <c r="A21" s="363" t="s">
        <v>188</v>
      </c>
      <c r="B21" s="364"/>
      <c r="C21" s="364"/>
      <c r="D21" s="365"/>
      <c r="E21" s="123"/>
      <c r="F21" s="363" t="s">
        <v>188</v>
      </c>
      <c r="G21" s="364"/>
      <c r="H21" s="364"/>
      <c r="I21" s="365"/>
      <c r="J21" s="123"/>
      <c r="K21" s="363" t="s">
        <v>188</v>
      </c>
      <c r="L21" s="364"/>
      <c r="M21" s="364"/>
      <c r="N21" s="365"/>
      <c r="O21" s="123"/>
      <c r="P21" s="363" t="s">
        <v>188</v>
      </c>
      <c r="Q21" s="364"/>
      <c r="R21" s="364"/>
      <c r="S21" s="365"/>
      <c r="T21" s="123"/>
      <c r="U21" s="363" t="s">
        <v>188</v>
      </c>
      <c r="V21" s="364"/>
      <c r="W21" s="364"/>
      <c r="X21" s="365"/>
      <c r="Y21" s="123"/>
      <c r="Z21" s="363" t="s">
        <v>188</v>
      </c>
      <c r="AA21" s="364"/>
      <c r="AB21" s="364"/>
      <c r="AC21" s="365"/>
      <c r="AD21" s="123"/>
      <c r="AE21" s="363" t="s">
        <v>188</v>
      </c>
      <c r="AF21" s="364"/>
      <c r="AG21" s="364"/>
      <c r="AH21" s="365"/>
      <c r="AI21" s="123"/>
      <c r="AJ21" s="363" t="s">
        <v>188</v>
      </c>
      <c r="AK21" s="364"/>
      <c r="AL21" s="364"/>
      <c r="AM21" s="365"/>
      <c r="AN21" s="123"/>
      <c r="AO21" s="363" t="s">
        <v>188</v>
      </c>
      <c r="AP21" s="364"/>
      <c r="AQ21" s="364"/>
      <c r="AR21" s="365"/>
      <c r="AS21" s="123"/>
      <c r="AT21" s="363" t="s">
        <v>188</v>
      </c>
      <c r="AU21" s="364"/>
      <c r="AV21" s="364"/>
      <c r="AW21" s="365"/>
      <c r="AX21" s="123"/>
      <c r="AY21" s="363" t="s">
        <v>188</v>
      </c>
      <c r="AZ21" s="364"/>
      <c r="BA21" s="364"/>
      <c r="BB21" s="365"/>
      <c r="BC21" s="123"/>
      <c r="BD21" s="363" t="s">
        <v>188</v>
      </c>
      <c r="BE21" s="364"/>
      <c r="BF21" s="364"/>
      <c r="BG21" s="365"/>
    </row>
    <row r="22" spans="1:60" s="157" customFormat="1" ht="18" customHeight="1" x14ac:dyDescent="0.55000000000000004">
      <c r="A22" s="354" t="s">
        <v>144</v>
      </c>
      <c r="B22" s="355"/>
      <c r="C22" s="355"/>
      <c r="D22" s="356"/>
      <c r="F22" s="354"/>
      <c r="G22" s="355"/>
      <c r="H22" s="355"/>
      <c r="I22" s="356"/>
      <c r="K22" s="354"/>
      <c r="L22" s="355"/>
      <c r="M22" s="355"/>
      <c r="N22" s="356"/>
      <c r="P22" s="354"/>
      <c r="Q22" s="355"/>
      <c r="R22" s="355"/>
      <c r="S22" s="356"/>
      <c r="U22" s="354"/>
      <c r="V22" s="355"/>
      <c r="W22" s="355"/>
      <c r="X22" s="356"/>
      <c r="Z22" s="354"/>
      <c r="AA22" s="355"/>
      <c r="AB22" s="355"/>
      <c r="AC22" s="356"/>
      <c r="AE22" s="354"/>
      <c r="AF22" s="355"/>
      <c r="AG22" s="355"/>
      <c r="AH22" s="356"/>
      <c r="AJ22" s="354"/>
      <c r="AK22" s="355"/>
      <c r="AL22" s="355"/>
      <c r="AM22" s="356"/>
      <c r="AO22" s="354"/>
      <c r="AP22" s="355"/>
      <c r="AQ22" s="355"/>
      <c r="AR22" s="356"/>
      <c r="AT22" s="354"/>
      <c r="AU22" s="355"/>
      <c r="AV22" s="355"/>
      <c r="AW22" s="356"/>
      <c r="AY22" s="354"/>
      <c r="AZ22" s="355"/>
      <c r="BA22" s="355"/>
      <c r="BB22" s="356"/>
      <c r="BD22" s="354"/>
      <c r="BE22" s="355"/>
      <c r="BF22" s="355"/>
      <c r="BG22" s="356"/>
    </row>
    <row r="23" spans="1:60" ht="1.5" customHeight="1" x14ac:dyDescent="0.4">
      <c r="A23" s="97"/>
      <c r="B23" s="98"/>
      <c r="C23" s="98"/>
      <c r="D23" s="99"/>
      <c r="F23" s="97"/>
      <c r="G23" s="98"/>
      <c r="H23" s="101"/>
      <c r="I23" s="100"/>
      <c r="K23" s="97"/>
      <c r="L23" s="98"/>
      <c r="M23" s="101"/>
      <c r="N23" s="100"/>
      <c r="P23" s="97"/>
      <c r="Q23" s="98"/>
      <c r="R23" s="101"/>
      <c r="S23" s="100"/>
      <c r="U23" s="97"/>
      <c r="V23" s="98"/>
      <c r="W23" s="98"/>
      <c r="X23" s="99"/>
      <c r="Z23" s="97"/>
      <c r="AA23" s="98"/>
      <c r="AB23" s="98"/>
      <c r="AC23" s="99"/>
      <c r="AE23" s="97"/>
      <c r="AF23" s="98"/>
      <c r="AG23" s="124"/>
      <c r="AH23" s="100"/>
      <c r="AJ23" s="97"/>
      <c r="AK23" s="98"/>
      <c r="AL23" s="98"/>
      <c r="AM23" s="99"/>
      <c r="AO23" s="97"/>
      <c r="AP23" s="98"/>
      <c r="AQ23" s="98"/>
      <c r="AR23" s="99"/>
      <c r="AT23" s="97"/>
      <c r="AU23" s="98"/>
      <c r="AV23" s="98"/>
      <c r="AW23" s="99"/>
      <c r="AY23" s="97"/>
      <c r="AZ23" s="98"/>
      <c r="BA23" s="98"/>
      <c r="BB23" s="99"/>
      <c r="BD23" s="97"/>
      <c r="BE23" s="98"/>
      <c r="BF23" s="98"/>
      <c r="BG23" s="102"/>
    </row>
    <row r="24" spans="1:60" ht="24" customHeight="1" x14ac:dyDescent="0.4">
      <c r="A24" s="357" t="s">
        <v>52</v>
      </c>
      <c r="B24" s="358"/>
      <c r="C24" s="125" t="s">
        <v>11</v>
      </c>
      <c r="D24" s="126" t="s">
        <v>47</v>
      </c>
      <c r="E24" s="103" t="s">
        <v>48</v>
      </c>
      <c r="F24" s="357" t="s">
        <v>52</v>
      </c>
      <c r="G24" s="358"/>
      <c r="H24" s="125" t="s">
        <v>11</v>
      </c>
      <c r="I24" s="126" t="s">
        <v>47</v>
      </c>
      <c r="J24" s="103" t="s">
        <v>48</v>
      </c>
      <c r="K24" s="359" t="s">
        <v>52</v>
      </c>
      <c r="L24" s="360"/>
      <c r="M24" s="125" t="s">
        <v>11</v>
      </c>
      <c r="N24" s="126" t="s">
        <v>47</v>
      </c>
      <c r="O24" s="103" t="s">
        <v>48</v>
      </c>
      <c r="P24" s="359" t="s">
        <v>52</v>
      </c>
      <c r="Q24" s="360"/>
      <c r="R24" s="125" t="s">
        <v>11</v>
      </c>
      <c r="S24" s="126" t="s">
        <v>47</v>
      </c>
      <c r="T24" s="103" t="s">
        <v>48</v>
      </c>
      <c r="U24" s="359" t="s">
        <v>52</v>
      </c>
      <c r="V24" s="360"/>
      <c r="W24" s="127" t="s">
        <v>11</v>
      </c>
      <c r="X24" s="128" t="s">
        <v>47</v>
      </c>
      <c r="Y24" s="103" t="s">
        <v>48</v>
      </c>
      <c r="Z24" s="357" t="s">
        <v>52</v>
      </c>
      <c r="AA24" s="358"/>
      <c r="AB24" s="125" t="s">
        <v>11</v>
      </c>
      <c r="AC24" s="126" t="s">
        <v>47</v>
      </c>
      <c r="AD24" s="103" t="s">
        <v>48</v>
      </c>
      <c r="AE24" s="357" t="s">
        <v>52</v>
      </c>
      <c r="AF24" s="358"/>
      <c r="AG24" s="125" t="s">
        <v>11</v>
      </c>
      <c r="AH24" s="126" t="s">
        <v>47</v>
      </c>
      <c r="AI24" s="103" t="s">
        <v>48</v>
      </c>
      <c r="AJ24" s="357" t="s">
        <v>52</v>
      </c>
      <c r="AK24" s="358"/>
      <c r="AL24" s="125" t="s">
        <v>11</v>
      </c>
      <c r="AM24" s="126" t="s">
        <v>47</v>
      </c>
      <c r="AN24" s="103" t="s">
        <v>48</v>
      </c>
      <c r="AO24" s="357" t="s">
        <v>52</v>
      </c>
      <c r="AP24" s="358"/>
      <c r="AQ24" s="125" t="s">
        <v>11</v>
      </c>
      <c r="AR24" s="126" t="s">
        <v>47</v>
      </c>
      <c r="AS24" s="103" t="s">
        <v>48</v>
      </c>
      <c r="AT24" s="357" t="s">
        <v>52</v>
      </c>
      <c r="AU24" s="358"/>
      <c r="AV24" s="125" t="s">
        <v>11</v>
      </c>
      <c r="AW24" s="126" t="s">
        <v>47</v>
      </c>
      <c r="AX24" s="103" t="s">
        <v>48</v>
      </c>
      <c r="AY24" s="357" t="s">
        <v>52</v>
      </c>
      <c r="AZ24" s="358"/>
      <c r="BA24" s="125" t="s">
        <v>11</v>
      </c>
      <c r="BB24" s="126" t="s">
        <v>47</v>
      </c>
      <c r="BC24" s="103" t="s">
        <v>48</v>
      </c>
      <c r="BD24" s="357" t="s">
        <v>52</v>
      </c>
      <c r="BE24" s="358"/>
      <c r="BF24" s="125" t="s">
        <v>11</v>
      </c>
      <c r="BG24" s="126" t="s">
        <v>47</v>
      </c>
      <c r="BH24" s="104" t="s">
        <v>48</v>
      </c>
    </row>
    <row r="25" spans="1:60" s="134" customFormat="1" ht="20.100000000000001" customHeight="1" x14ac:dyDescent="0.4">
      <c r="A25" s="206">
        <v>0</v>
      </c>
      <c r="B25" s="17" t="str">
        <f>IFERROR(HLOOKUP(A$22,#REF!,SA_GRILLE_STEU!$A25+2,FALSE),"")</f>
        <v/>
      </c>
      <c r="C25" s="147"/>
      <c r="D25" s="129"/>
      <c r="E25" s="108" t="str">
        <f>IFERROR(HLOOKUP(A$22,#REF!,SA_GRILLE_STEU!$A25+2,FALSE),"")</f>
        <v/>
      </c>
      <c r="F25" s="206">
        <v>0</v>
      </c>
      <c r="G25" s="4" t="str">
        <f>IFERROR(HLOOKUP(F$22,#REF!,SA_GRILLE_STEU!$A25+2,FALSE),"")</f>
        <v/>
      </c>
      <c r="H25" s="147"/>
      <c r="I25" s="130"/>
      <c r="J25" s="108" t="str">
        <f>IFERROR(HLOOKUP(F$22,#REF!,SA_GRILLE_STEU!$A25+2,FALSE),"")</f>
        <v/>
      </c>
      <c r="K25" s="131">
        <v>0</v>
      </c>
      <c r="L25" s="17" t="str">
        <f>IFERROR(HLOOKUP(K$22,#REF!,SA_GRILLE_STEU!$A25+2,FALSE),"")</f>
        <v/>
      </c>
      <c r="M25" s="147"/>
      <c r="N25" s="130"/>
      <c r="O25" s="108" t="str">
        <f>IFERROR(HLOOKUP(K$22,#REF!,SA_GRILLE_STEU!$A25+2,FALSE),"")</f>
        <v/>
      </c>
      <c r="P25" s="131">
        <v>0</v>
      </c>
      <c r="Q25" s="17" t="str">
        <f>IFERROR(HLOOKUP(P$22,#REF!,SA_GRILLE_STEU!$A25+2,FALSE),"")</f>
        <v/>
      </c>
      <c r="R25" s="147"/>
      <c r="S25" s="130"/>
      <c r="T25" s="108" t="str">
        <f>IFERROR(HLOOKUP(P$22,#REF!,SA_GRILLE_STEU!$A25+2,FALSE),"")</f>
        <v/>
      </c>
      <c r="U25" s="131">
        <v>0</v>
      </c>
      <c r="V25" s="4" t="str">
        <f>IFERROR(HLOOKUP(U$22,#REF!,SA_GRILLE_STEU!$A25+2,FALSE),"")</f>
        <v/>
      </c>
      <c r="W25" s="147"/>
      <c r="X25" s="130"/>
      <c r="Y25" s="108" t="str">
        <f>IFERROR(HLOOKUP(U$22,#REF!,SA_GRILLE_STEU!$A25+2,FALSE),"")</f>
        <v/>
      </c>
      <c r="Z25" s="206">
        <v>0</v>
      </c>
      <c r="AA25" s="4" t="str">
        <f>IFERROR(HLOOKUP(Z$22,#REF!,SA_GRILLE_STEU!$A25+2,FALSE),"")</f>
        <v/>
      </c>
      <c r="AB25" s="147"/>
      <c r="AC25" s="130"/>
      <c r="AD25" s="108" t="str">
        <f>IFERROR(HLOOKUP(Z$22,#REF!,SA_GRILLE_STEU!$A25+2,FALSE),"")</f>
        <v/>
      </c>
      <c r="AE25" s="206">
        <v>0</v>
      </c>
      <c r="AF25" s="4" t="str">
        <f>IFERROR(HLOOKUP(AE$22,#REF!,SA_GRILLE_STEU!$A25+2,FALSE),"")</f>
        <v/>
      </c>
      <c r="AG25" s="147"/>
      <c r="AH25" s="130"/>
      <c r="AI25" s="108" t="str">
        <f>IFERROR(HLOOKUP(AE$22,#REF!,SA_GRILLE_STEU!$A25+2,FALSE),"")</f>
        <v/>
      </c>
      <c r="AJ25" s="206">
        <v>0</v>
      </c>
      <c r="AK25" s="73" t="str">
        <f>IFERROR(HLOOKUP(AJ$22,#REF!,SA_GRILLE_STEU!$A25+2,FALSE),"")</f>
        <v/>
      </c>
      <c r="AL25" s="158"/>
      <c r="AM25" s="132"/>
      <c r="AN25" s="108" t="str">
        <f>IFERROR(HLOOKUP(AJ$22,#REF!,SA_GRILLE_STEU!$A25+2,FALSE),"")</f>
        <v/>
      </c>
      <c r="AO25" s="206">
        <v>0</v>
      </c>
      <c r="AP25" s="4" t="str">
        <f>IFERROR(HLOOKUP(AO$22,#REF!,SA_GRILLE_STEU!$A25+2,FALSE),"")</f>
        <v/>
      </c>
      <c r="AQ25" s="147"/>
      <c r="AR25" s="132"/>
      <c r="AS25" s="108" t="str">
        <f>IFERROR(HLOOKUP(AO$22,#REF!,SA_GRILLE_STEU!$A25+2,FALSE),"")</f>
        <v/>
      </c>
      <c r="AT25" s="206">
        <v>0</v>
      </c>
      <c r="AU25" s="4" t="str">
        <f>IFERROR(HLOOKUP(AT$22,#REF!,SA_GRILLE_STEU!$A25+2,FALSE),"")</f>
        <v/>
      </c>
      <c r="AV25" s="147"/>
      <c r="AW25" s="132"/>
      <c r="AX25" s="108" t="str">
        <f>IFERROR(HLOOKUP(AT$22,#REF!,SA_GRILLE_STEU!$A25+2,FALSE),"")</f>
        <v/>
      </c>
      <c r="AY25" s="206">
        <v>0</v>
      </c>
      <c r="AZ25" s="73" t="str">
        <f>IFERROR(HLOOKUP(AY$22,#REF!,SA_GRILLE_STEU!$A25+2,FALSE),"")</f>
        <v/>
      </c>
      <c r="BA25" s="147"/>
      <c r="BB25" s="132"/>
      <c r="BC25" s="108" t="str">
        <f>IFERROR(HLOOKUP(AY$22,#REF!,SA_GRILLE_STEU!$A25+2,FALSE),"")</f>
        <v/>
      </c>
      <c r="BD25" s="206">
        <v>0</v>
      </c>
      <c r="BE25" s="4" t="str">
        <f>IFERROR(HLOOKUP(BD$22,#REF!,SA_GRILLE_STEU!$A25+2,FALSE),"")</f>
        <v/>
      </c>
      <c r="BF25" s="147"/>
      <c r="BG25" s="133"/>
      <c r="BH25" s="108" t="str">
        <f>IFERROR(HLOOKUP(BD$22,#REF!,SA_GRILLE_STEU!$A25+2,FALSE),"")</f>
        <v/>
      </c>
    </row>
    <row r="26" spans="1:60" s="134" customFormat="1" ht="30" customHeight="1" x14ac:dyDescent="0.4">
      <c r="A26" s="207">
        <v>1</v>
      </c>
      <c r="B26" s="1" t="str">
        <f>IFERROR(HLOOKUP(A$22,#REF!,SA_GRILLE_STEU!$A26+2,FALSE),"")</f>
        <v/>
      </c>
      <c r="C26" s="148"/>
      <c r="D26" s="106" t="str">
        <f>IFERROR(HLOOKUP(A$22,#REF!,SA_GRILLE_STEU!$A26+2,FALSE),"")</f>
        <v/>
      </c>
      <c r="E26" s="108" t="str">
        <f>IFERROR(HLOOKUP(A$22,#REF!,SA_GRILLE_STEU!$A26+2,FALSE),"")</f>
        <v/>
      </c>
      <c r="F26" s="207">
        <v>1</v>
      </c>
      <c r="G26" s="3" t="str">
        <f>IFERROR(HLOOKUP(F$22,#REF!,SA_GRILLE_STEU!$A26+2,FALSE),"")</f>
        <v/>
      </c>
      <c r="H26" s="148"/>
      <c r="I26" s="106" t="str">
        <f>IFERROR(HLOOKUP(F$22,#REF!,SA_GRILLE_STEU!$A26+2,FALSE),"")</f>
        <v/>
      </c>
      <c r="J26" s="108" t="str">
        <f>IFERROR(HLOOKUP(F$22,#REF!,SA_GRILLE_STEU!$A26+2,FALSE),"")</f>
        <v/>
      </c>
      <c r="K26" s="135">
        <v>1</v>
      </c>
      <c r="L26" s="1" t="str">
        <f>IFERROR(HLOOKUP(K$22,#REF!,SA_GRILLE_STEU!$A26+2,FALSE),"")</f>
        <v/>
      </c>
      <c r="M26" s="148"/>
      <c r="N26" s="106" t="str">
        <f>IFERROR(HLOOKUP(K$22,#REF!,SA_GRILLE_STEU!$A26+2,FALSE),"")</f>
        <v/>
      </c>
      <c r="O26" s="108" t="str">
        <f>IFERROR(HLOOKUP(K$22,#REF!,SA_GRILLE_STEU!$A26+2,FALSE),"")</f>
        <v/>
      </c>
      <c r="P26" s="135">
        <v>1</v>
      </c>
      <c r="Q26" s="1" t="str">
        <f>IFERROR(HLOOKUP(P$22,#REF!,SA_GRILLE_STEU!$A26+2,FALSE),"")</f>
        <v/>
      </c>
      <c r="R26" s="148"/>
      <c r="S26" s="106" t="str">
        <f>IFERROR(HLOOKUP(P$22,#REF!,SA_GRILLE_STEU!$A26+2,FALSE),"")</f>
        <v/>
      </c>
      <c r="T26" s="108" t="str">
        <f>IFERROR(HLOOKUP(P$22,#REF!,SA_GRILLE_STEU!$A26+2,FALSE),"")</f>
        <v/>
      </c>
      <c r="U26" s="135">
        <v>1</v>
      </c>
      <c r="V26" s="3" t="str">
        <f>IFERROR(HLOOKUP(U$22,#REF!,SA_GRILLE_STEU!$A26+2,FALSE),"")</f>
        <v/>
      </c>
      <c r="W26" s="148"/>
      <c r="X26" s="106" t="str">
        <f>IFERROR(HLOOKUP(U$22,#REF!,SA_GRILLE_STEU!$A26+2,FALSE),"")</f>
        <v/>
      </c>
      <c r="Y26" s="108" t="str">
        <f>IFERROR(HLOOKUP(U$22,#REF!,SA_GRILLE_STEU!$A26+2,FALSE),"")</f>
        <v/>
      </c>
      <c r="Z26" s="207">
        <v>1</v>
      </c>
      <c r="AA26" s="3" t="str">
        <f>IFERROR(HLOOKUP(Z$22,#REF!,SA_GRILLE_STEU!$A26+2,FALSE),"")</f>
        <v/>
      </c>
      <c r="AB26" s="148"/>
      <c r="AC26" s="106" t="str">
        <f>IFERROR(HLOOKUP(Z$22,#REF!,SA_GRILLE_STEU!$A26+2,FALSE),"")</f>
        <v/>
      </c>
      <c r="AD26" s="108" t="str">
        <f>IFERROR(HLOOKUP(Z$22,#REF!,SA_GRILLE_STEU!$A26+2,FALSE),"")</f>
        <v/>
      </c>
      <c r="AE26" s="207">
        <v>1</v>
      </c>
      <c r="AF26" s="3" t="str">
        <f>IFERROR(HLOOKUP(AE$22,#REF!,SA_GRILLE_STEU!$A26+2,FALSE),"")</f>
        <v/>
      </c>
      <c r="AG26" s="148"/>
      <c r="AH26" s="106" t="str">
        <f>IFERROR(HLOOKUP(AE$22,#REF!,SA_GRILLE_STEU!$A26+2,FALSE),"")</f>
        <v/>
      </c>
      <c r="AI26" s="108" t="str">
        <f>IFERROR(HLOOKUP(AE$22,#REF!,SA_GRILLE_STEU!$A26+2,FALSE),"")</f>
        <v/>
      </c>
      <c r="AJ26" s="207">
        <v>1</v>
      </c>
      <c r="AK26" s="74" t="str">
        <f>IFERROR(HLOOKUP(AJ$22,#REF!,SA_GRILLE_STEU!$A26+2,FALSE),"")</f>
        <v/>
      </c>
      <c r="AL26" s="159"/>
      <c r="AM26" s="106" t="str">
        <f>IFERROR(HLOOKUP(AJ$22,#REF!,SA_GRILLE_STEU!$A26+2,FALSE),"")</f>
        <v/>
      </c>
      <c r="AN26" s="108" t="str">
        <f>IFERROR(HLOOKUP(AJ$22,#REF!,SA_GRILLE_STEU!$A26+2,FALSE),"")</f>
        <v/>
      </c>
      <c r="AO26" s="207">
        <v>1</v>
      </c>
      <c r="AP26" s="3" t="str">
        <f>IFERROR(HLOOKUP(AO$22,#REF!,SA_GRILLE_STEU!$A26+2,FALSE),"")</f>
        <v/>
      </c>
      <c r="AQ26" s="148"/>
      <c r="AR26" s="106" t="str">
        <f>IFERROR(HLOOKUP(AO$22,#REF!,SA_GRILLE_STEU!$A26+2,FALSE),"")</f>
        <v/>
      </c>
      <c r="AS26" s="108" t="str">
        <f>IFERROR(HLOOKUP(AO$22,#REF!,SA_GRILLE_STEU!$A26+2,FALSE),"")</f>
        <v/>
      </c>
      <c r="AT26" s="207">
        <v>1</v>
      </c>
      <c r="AU26" s="3" t="str">
        <f>IFERROR(HLOOKUP(AT$22,#REF!,SA_GRILLE_STEU!$A26+2,FALSE),"")</f>
        <v/>
      </c>
      <c r="AV26" s="148"/>
      <c r="AW26" s="106" t="str">
        <f>IFERROR(HLOOKUP(AT$22,#REF!,SA_GRILLE_STEU!$A26+2,FALSE),"")</f>
        <v/>
      </c>
      <c r="AX26" s="108" t="str">
        <f>IFERROR(HLOOKUP(AT$22,#REF!,SA_GRILLE_STEU!$A26+2,FALSE),"")</f>
        <v/>
      </c>
      <c r="AY26" s="207">
        <v>1</v>
      </c>
      <c r="AZ26" s="74" t="str">
        <f>IFERROR(HLOOKUP(AY$22,#REF!,SA_GRILLE_STEU!$A26+2,FALSE),"")</f>
        <v/>
      </c>
      <c r="BA26" s="148"/>
      <c r="BB26" s="106" t="str">
        <f>IFERROR(HLOOKUP(AY$22,#REF!,SA_GRILLE_STEU!$A26+2,FALSE),"")</f>
        <v/>
      </c>
      <c r="BC26" s="108" t="str">
        <f>IFERROR(HLOOKUP(AY$22,#REF!,SA_GRILLE_STEU!$A26+2,FALSE),"")</f>
        <v/>
      </c>
      <c r="BD26" s="207">
        <v>1</v>
      </c>
      <c r="BE26" s="3" t="str">
        <f>IFERROR(HLOOKUP(BD$22,#REF!,SA_GRILLE_STEU!$A26+2,FALSE),"")</f>
        <v/>
      </c>
      <c r="BF26" s="148"/>
      <c r="BG26" s="109" t="str">
        <f>IFERROR(HLOOKUP(BD$22,#REF!,SA_GRILLE_STEU!$A26+2,FALSE),"")</f>
        <v/>
      </c>
      <c r="BH26" s="108" t="str">
        <f>IFERROR(HLOOKUP(BD$22,#REF!,SA_GRILLE_STEU!$A26+2,FALSE),"")</f>
        <v/>
      </c>
    </row>
    <row r="27" spans="1:60" s="134" customFormat="1" ht="20.100000000000001" customHeight="1" x14ac:dyDescent="0.4">
      <c r="A27" s="207">
        <v>2</v>
      </c>
      <c r="B27" s="1" t="str">
        <f>IFERROR(HLOOKUP(A$22,#REF!,SA_GRILLE_STEU!$A27+2,FALSE),"")</f>
        <v/>
      </c>
      <c r="C27" s="148"/>
      <c r="D27" s="106" t="str">
        <f>IFERROR(HLOOKUP(A$22,#REF!,SA_GRILLE_STEU!$A27+2,FALSE),"")</f>
        <v/>
      </c>
      <c r="E27" s="108" t="str">
        <f>IFERROR(HLOOKUP(A$22,#REF!,SA_GRILLE_STEU!$A27+2,FALSE),"")</f>
        <v/>
      </c>
      <c r="F27" s="207">
        <v>2</v>
      </c>
      <c r="G27" s="3" t="str">
        <f>IFERROR(HLOOKUP(F$22,#REF!,SA_GRILLE_STEU!$A27+2,FALSE),"")</f>
        <v/>
      </c>
      <c r="H27" s="148"/>
      <c r="I27" s="106" t="str">
        <f>IFERROR(HLOOKUP(F$22,#REF!,SA_GRILLE_STEU!$A27+2,FALSE),"")</f>
        <v/>
      </c>
      <c r="J27" s="108" t="str">
        <f>IFERROR(HLOOKUP(F$22,#REF!,SA_GRILLE_STEU!$A27+2,FALSE),"")</f>
        <v/>
      </c>
      <c r="K27" s="135">
        <v>2</v>
      </c>
      <c r="L27" s="1" t="str">
        <f>IFERROR(HLOOKUP(K$22,#REF!,SA_GRILLE_STEU!$A27+2,FALSE),"")</f>
        <v/>
      </c>
      <c r="M27" s="148"/>
      <c r="N27" s="106" t="str">
        <f>IFERROR(HLOOKUP(K$22,#REF!,SA_GRILLE_STEU!$A27+2,FALSE),"")</f>
        <v/>
      </c>
      <c r="O27" s="108" t="str">
        <f>IFERROR(HLOOKUP(K$22,#REF!,SA_GRILLE_STEU!$A27+2,FALSE),"")</f>
        <v/>
      </c>
      <c r="P27" s="135">
        <v>2</v>
      </c>
      <c r="Q27" s="1" t="str">
        <f>IFERROR(HLOOKUP(P$22,#REF!,SA_GRILLE_STEU!$A27+2,FALSE),"")</f>
        <v/>
      </c>
      <c r="R27" s="148"/>
      <c r="S27" s="106" t="str">
        <f>IFERROR(HLOOKUP(P$22,#REF!,SA_GRILLE_STEU!$A27+2,FALSE),"")</f>
        <v/>
      </c>
      <c r="T27" s="108" t="str">
        <f>IFERROR(HLOOKUP(P$22,#REF!,SA_GRILLE_STEU!$A27+2,FALSE),"")</f>
        <v/>
      </c>
      <c r="U27" s="135">
        <v>2</v>
      </c>
      <c r="V27" s="3" t="str">
        <f>IFERROR(HLOOKUP(U$22,#REF!,SA_GRILLE_STEU!$A27+2,FALSE),"")</f>
        <v/>
      </c>
      <c r="W27" s="148"/>
      <c r="X27" s="106" t="str">
        <f>IFERROR(HLOOKUP(U$22,#REF!,SA_GRILLE_STEU!$A27+2,FALSE),"")</f>
        <v/>
      </c>
      <c r="Y27" s="108" t="str">
        <f>IFERROR(HLOOKUP(U$22,#REF!,SA_GRILLE_STEU!$A27+2,FALSE),"")</f>
        <v/>
      </c>
      <c r="Z27" s="207">
        <v>2</v>
      </c>
      <c r="AA27" s="3" t="str">
        <f>IFERROR(HLOOKUP(Z$22,#REF!,SA_GRILLE_STEU!$A27+2,FALSE),"")</f>
        <v/>
      </c>
      <c r="AB27" s="148"/>
      <c r="AC27" s="106" t="str">
        <f>IFERROR(HLOOKUP(Z$22,#REF!,SA_GRILLE_STEU!$A27+2,FALSE),"")</f>
        <v/>
      </c>
      <c r="AD27" s="108" t="str">
        <f>IFERROR(HLOOKUP(Z$22,#REF!,SA_GRILLE_STEU!$A27+2,FALSE),"")</f>
        <v/>
      </c>
      <c r="AE27" s="207">
        <v>2</v>
      </c>
      <c r="AF27" s="3" t="str">
        <f>IFERROR(HLOOKUP(AE$22,#REF!,SA_GRILLE_STEU!$A27+2,FALSE),"")</f>
        <v/>
      </c>
      <c r="AG27" s="148"/>
      <c r="AH27" s="106" t="str">
        <f>IFERROR(HLOOKUP(AE$22,#REF!,SA_GRILLE_STEU!$A27+2,FALSE),"")</f>
        <v/>
      </c>
      <c r="AI27" s="108" t="str">
        <f>IFERROR(HLOOKUP(AE$22,#REF!,SA_GRILLE_STEU!$A27+2,FALSE),"")</f>
        <v/>
      </c>
      <c r="AJ27" s="207">
        <v>2</v>
      </c>
      <c r="AK27" s="74" t="str">
        <f>IFERROR(HLOOKUP(AJ$22,#REF!,SA_GRILLE_STEU!$A27+2,FALSE),"")</f>
        <v/>
      </c>
      <c r="AL27" s="159"/>
      <c r="AM27" s="106" t="str">
        <f>IFERROR(HLOOKUP(AJ$22,#REF!,SA_GRILLE_STEU!$A27+2,FALSE),"")</f>
        <v/>
      </c>
      <c r="AN27" s="108" t="str">
        <f>IFERROR(HLOOKUP(AJ$22,#REF!,SA_GRILLE_STEU!$A27+2,FALSE),"")</f>
        <v/>
      </c>
      <c r="AO27" s="207">
        <v>2</v>
      </c>
      <c r="AP27" s="3" t="str">
        <f>IFERROR(HLOOKUP(AO$22,#REF!,SA_GRILLE_STEU!$A27+2,FALSE),"")</f>
        <v/>
      </c>
      <c r="AQ27" s="148"/>
      <c r="AR27" s="106" t="str">
        <f>IFERROR(HLOOKUP(AO$22,#REF!,SA_GRILLE_STEU!$A27+2,FALSE),"")</f>
        <v/>
      </c>
      <c r="AS27" s="108" t="str">
        <f>IFERROR(HLOOKUP(AO$22,#REF!,SA_GRILLE_STEU!$A27+2,FALSE),"")</f>
        <v/>
      </c>
      <c r="AT27" s="207">
        <v>2</v>
      </c>
      <c r="AU27" s="3" t="str">
        <f>IFERROR(HLOOKUP(AT$22,#REF!,SA_GRILLE_STEU!$A27+2,FALSE),"")</f>
        <v/>
      </c>
      <c r="AV27" s="148"/>
      <c r="AW27" s="106" t="str">
        <f>IFERROR(HLOOKUP(AT$22,#REF!,SA_GRILLE_STEU!$A27+2,FALSE),"")</f>
        <v/>
      </c>
      <c r="AX27" s="108" t="str">
        <f>IFERROR(HLOOKUP(AT$22,#REF!,SA_GRILLE_STEU!$A27+2,FALSE),"")</f>
        <v/>
      </c>
      <c r="AY27" s="207">
        <v>2</v>
      </c>
      <c r="AZ27" s="74" t="str">
        <f>IFERROR(HLOOKUP(AY$22,#REF!,SA_GRILLE_STEU!$A27+2,FALSE),"")</f>
        <v/>
      </c>
      <c r="BA27" s="148"/>
      <c r="BB27" s="106" t="str">
        <f>IFERROR(HLOOKUP(AY$22,#REF!,SA_GRILLE_STEU!$A27+2,FALSE),"")</f>
        <v/>
      </c>
      <c r="BC27" s="108" t="str">
        <f>IFERROR(HLOOKUP(AY$22,#REF!,SA_GRILLE_STEU!$A27+2,FALSE),"")</f>
        <v/>
      </c>
      <c r="BD27" s="207">
        <v>2</v>
      </c>
      <c r="BE27" s="3" t="str">
        <f>IFERROR(HLOOKUP(BD$22,#REF!,SA_GRILLE_STEU!$A27+2,FALSE),"")</f>
        <v/>
      </c>
      <c r="BF27" s="148"/>
      <c r="BG27" s="109" t="str">
        <f>IFERROR(HLOOKUP(BD$22,#REF!,SA_GRILLE_STEU!$A27+2,FALSE),"")</f>
        <v/>
      </c>
      <c r="BH27" s="108" t="str">
        <f>IFERROR(HLOOKUP(BD$22,#REF!,SA_GRILLE_STEU!$A27+2,FALSE),"")</f>
        <v/>
      </c>
    </row>
    <row r="28" spans="1:60" s="134" customFormat="1" ht="30" customHeight="1" x14ac:dyDescent="0.4">
      <c r="A28" s="207">
        <v>3</v>
      </c>
      <c r="B28" s="1" t="str">
        <f>IFERROR(HLOOKUP(A$22,#REF!,SA_GRILLE_STEU!$A28+2,FALSE),"")</f>
        <v/>
      </c>
      <c r="C28" s="148"/>
      <c r="D28" s="106" t="str">
        <f>IFERROR(HLOOKUP(A$22,#REF!,SA_GRILLE_STEU!$A28+2,FALSE),"")</f>
        <v/>
      </c>
      <c r="E28" s="108" t="str">
        <f>IFERROR(HLOOKUP(A$22,#REF!,SA_GRILLE_STEU!$A28+2,FALSE),"")</f>
        <v/>
      </c>
      <c r="F28" s="207">
        <v>3</v>
      </c>
      <c r="G28" s="3" t="str">
        <f>IFERROR(HLOOKUP(F$22,#REF!,SA_GRILLE_STEU!$A28+2,FALSE),"")</f>
        <v/>
      </c>
      <c r="H28" s="148"/>
      <c r="I28" s="106" t="str">
        <f>IFERROR(HLOOKUP(F$22,#REF!,SA_GRILLE_STEU!$A28+2,FALSE),"")</f>
        <v/>
      </c>
      <c r="J28" s="108" t="str">
        <f>IFERROR(HLOOKUP(F$22,#REF!,SA_GRILLE_STEU!$A28+2,FALSE),"")</f>
        <v/>
      </c>
      <c r="K28" s="135">
        <v>3</v>
      </c>
      <c r="L28" s="1" t="str">
        <f>IFERROR(HLOOKUP(K$22,#REF!,SA_GRILLE_STEU!$A28+2,FALSE),"")</f>
        <v/>
      </c>
      <c r="M28" s="148"/>
      <c r="N28" s="106" t="str">
        <f>IFERROR(HLOOKUP(K$22,#REF!,SA_GRILLE_STEU!$A28+2,FALSE),"")</f>
        <v/>
      </c>
      <c r="O28" s="108" t="str">
        <f>IFERROR(HLOOKUP(K$22,#REF!,SA_GRILLE_STEU!$A28+2,FALSE),"")</f>
        <v/>
      </c>
      <c r="P28" s="135">
        <v>3</v>
      </c>
      <c r="Q28" s="1" t="str">
        <f>IFERROR(HLOOKUP(P$22,#REF!,SA_GRILLE_STEU!$A28+2,FALSE),"")</f>
        <v/>
      </c>
      <c r="R28" s="148"/>
      <c r="S28" s="106" t="str">
        <f>IFERROR(HLOOKUP(P$22,#REF!,SA_GRILLE_STEU!$A28+2,FALSE),"")</f>
        <v/>
      </c>
      <c r="T28" s="108" t="str">
        <f>IFERROR(HLOOKUP(P$22,#REF!,SA_GRILLE_STEU!$A28+2,FALSE),"")</f>
        <v/>
      </c>
      <c r="U28" s="135">
        <v>3</v>
      </c>
      <c r="V28" s="3" t="str">
        <f>IFERROR(HLOOKUP(U$22,#REF!,SA_GRILLE_STEU!$A28+2,FALSE),"")</f>
        <v/>
      </c>
      <c r="W28" s="148"/>
      <c r="X28" s="106" t="str">
        <f>IFERROR(HLOOKUP(U$22,#REF!,SA_GRILLE_STEU!$A28+2,FALSE),"")</f>
        <v/>
      </c>
      <c r="Y28" s="108" t="str">
        <f>IFERROR(HLOOKUP(U$22,#REF!,SA_GRILLE_STEU!$A28+2,FALSE),"")</f>
        <v/>
      </c>
      <c r="Z28" s="207">
        <v>3</v>
      </c>
      <c r="AA28" s="3" t="str">
        <f>IFERROR(HLOOKUP(Z$22,#REF!,SA_GRILLE_STEU!$A28+2,FALSE),"")</f>
        <v/>
      </c>
      <c r="AB28" s="148"/>
      <c r="AC28" s="106" t="str">
        <f>IFERROR(HLOOKUP(Z$22,#REF!,SA_GRILLE_STEU!$A28+2,FALSE),"")</f>
        <v/>
      </c>
      <c r="AD28" s="108" t="str">
        <f>IFERROR(HLOOKUP(Z$22,#REF!,SA_GRILLE_STEU!$A28+2,FALSE),"")</f>
        <v/>
      </c>
      <c r="AE28" s="207">
        <v>3</v>
      </c>
      <c r="AF28" s="3" t="str">
        <f>IFERROR(HLOOKUP(AE$22,#REF!,SA_GRILLE_STEU!$A28+2,FALSE),"")</f>
        <v/>
      </c>
      <c r="AG28" s="148"/>
      <c r="AH28" s="106" t="str">
        <f>IFERROR(HLOOKUP(AE$22,#REF!,SA_GRILLE_STEU!$A28+2,FALSE),"")</f>
        <v/>
      </c>
      <c r="AI28" s="108" t="str">
        <f>IFERROR(HLOOKUP(AE$22,#REF!,SA_GRILLE_STEU!$A28+2,FALSE),"")</f>
        <v/>
      </c>
      <c r="AJ28" s="207">
        <v>3</v>
      </c>
      <c r="AK28" s="74" t="str">
        <f>IFERROR(HLOOKUP(AJ$22,#REF!,SA_GRILLE_STEU!$A28+2,FALSE),"")</f>
        <v/>
      </c>
      <c r="AL28" s="159"/>
      <c r="AM28" s="106" t="str">
        <f>IFERROR(HLOOKUP(AJ$22,#REF!,SA_GRILLE_STEU!$A28+2,FALSE),"")</f>
        <v/>
      </c>
      <c r="AN28" s="108" t="str">
        <f>IFERROR(HLOOKUP(AJ$22,#REF!,SA_GRILLE_STEU!$A28+2,FALSE),"")</f>
        <v/>
      </c>
      <c r="AO28" s="207">
        <v>3</v>
      </c>
      <c r="AP28" s="3" t="str">
        <f>IFERROR(HLOOKUP(AO$22,#REF!,SA_GRILLE_STEU!$A28+2,FALSE),"")</f>
        <v/>
      </c>
      <c r="AQ28" s="148"/>
      <c r="AR28" s="106" t="str">
        <f>IFERROR(HLOOKUP(AO$22,#REF!,SA_GRILLE_STEU!$A28+2,FALSE),"")</f>
        <v/>
      </c>
      <c r="AS28" s="108" t="str">
        <f>IFERROR(HLOOKUP(AO$22,#REF!,SA_GRILLE_STEU!$A28+2,FALSE),"")</f>
        <v/>
      </c>
      <c r="AT28" s="207">
        <v>3</v>
      </c>
      <c r="AU28" s="3" t="str">
        <f>IFERROR(HLOOKUP(AT$22,#REF!,SA_GRILLE_STEU!$A28+2,FALSE),"")</f>
        <v/>
      </c>
      <c r="AV28" s="148"/>
      <c r="AW28" s="106" t="str">
        <f>IFERROR(HLOOKUP(AT$22,#REF!,SA_GRILLE_STEU!$A28+2,FALSE),"")</f>
        <v/>
      </c>
      <c r="AX28" s="108" t="str">
        <f>IFERROR(HLOOKUP(AT$22,#REF!,SA_GRILLE_STEU!$A28+2,FALSE),"")</f>
        <v/>
      </c>
      <c r="AY28" s="207">
        <v>3</v>
      </c>
      <c r="AZ28" s="74" t="str">
        <f>IFERROR(HLOOKUP(AY$22,#REF!,SA_GRILLE_STEU!$A28+2,FALSE),"")</f>
        <v/>
      </c>
      <c r="BA28" s="148"/>
      <c r="BB28" s="106" t="str">
        <f>IFERROR(HLOOKUP(AY$22,#REF!,SA_GRILLE_STEU!$A28+2,FALSE),"")</f>
        <v/>
      </c>
      <c r="BC28" s="108" t="str">
        <f>IFERROR(HLOOKUP(AY$22,#REF!,SA_GRILLE_STEU!$A28+2,FALSE),"")</f>
        <v/>
      </c>
      <c r="BD28" s="207">
        <v>3</v>
      </c>
      <c r="BE28" s="3" t="str">
        <f>IFERROR(HLOOKUP(BD$22,#REF!,SA_GRILLE_STEU!$A28+2,FALSE),"")</f>
        <v/>
      </c>
      <c r="BF28" s="148"/>
      <c r="BG28" s="109" t="str">
        <f>IFERROR(HLOOKUP(BD$22,#REF!,SA_GRILLE_STEU!$A28+2,FALSE),"")</f>
        <v/>
      </c>
      <c r="BH28" s="108" t="str">
        <f>IFERROR(HLOOKUP(BD$22,#REF!,SA_GRILLE_STEU!$A28+2,FALSE),"")</f>
        <v/>
      </c>
    </row>
    <row r="29" spans="1:60" s="134" customFormat="1" ht="20.100000000000001" customHeight="1" x14ac:dyDescent="0.4">
      <c r="A29" s="207">
        <v>4</v>
      </c>
      <c r="B29" s="1" t="str">
        <f>IFERROR(HLOOKUP(A$22,#REF!,SA_GRILLE_STEU!$A29+2,FALSE),"")</f>
        <v/>
      </c>
      <c r="C29" s="148"/>
      <c r="D29" s="106" t="str">
        <f>IFERROR(HLOOKUP(A$22,#REF!,SA_GRILLE_STEU!$A29+2,FALSE),"")</f>
        <v/>
      </c>
      <c r="E29" s="108" t="str">
        <f>IFERROR(HLOOKUP(A$22,#REF!,SA_GRILLE_STEU!$A29+2,FALSE),"")</f>
        <v/>
      </c>
      <c r="F29" s="207">
        <v>4</v>
      </c>
      <c r="G29" s="3" t="str">
        <f>IFERROR(HLOOKUP(F$22,#REF!,SA_GRILLE_STEU!$A29+2,FALSE),"")</f>
        <v/>
      </c>
      <c r="H29" s="148"/>
      <c r="I29" s="106" t="str">
        <f>IFERROR(HLOOKUP(F$22,#REF!,SA_GRILLE_STEU!$A29+2,FALSE),"")</f>
        <v/>
      </c>
      <c r="J29" s="108" t="str">
        <f>IFERROR(HLOOKUP(F$22,#REF!,SA_GRILLE_STEU!$A29+2,FALSE),"")</f>
        <v/>
      </c>
      <c r="K29" s="135">
        <v>4</v>
      </c>
      <c r="L29" s="1" t="str">
        <f>IFERROR(HLOOKUP(K$22,#REF!,SA_GRILLE_STEU!$A29+2,FALSE),"")</f>
        <v/>
      </c>
      <c r="M29" s="148"/>
      <c r="N29" s="106" t="str">
        <f>IFERROR(HLOOKUP(K$22,#REF!,SA_GRILLE_STEU!$A29+2,FALSE),"")</f>
        <v/>
      </c>
      <c r="O29" s="108" t="str">
        <f>IFERROR(HLOOKUP(K$22,#REF!,SA_GRILLE_STEU!$A29+2,FALSE),"")</f>
        <v/>
      </c>
      <c r="P29" s="135">
        <v>4</v>
      </c>
      <c r="Q29" s="1" t="str">
        <f>IFERROR(HLOOKUP(P$22,#REF!,SA_GRILLE_STEU!$A29+2,FALSE),"")</f>
        <v/>
      </c>
      <c r="R29" s="148"/>
      <c r="S29" s="106" t="str">
        <f>IFERROR(HLOOKUP(P$22,#REF!,SA_GRILLE_STEU!$A29+2,FALSE),"")</f>
        <v/>
      </c>
      <c r="T29" s="108" t="str">
        <f>IFERROR(HLOOKUP(P$22,#REF!,SA_GRILLE_STEU!$A29+2,FALSE),"")</f>
        <v/>
      </c>
      <c r="U29" s="135">
        <v>4</v>
      </c>
      <c r="V29" s="3" t="str">
        <f>IFERROR(HLOOKUP(U$22,#REF!,SA_GRILLE_STEU!$A29+2,FALSE),"")</f>
        <v/>
      </c>
      <c r="W29" s="148"/>
      <c r="X29" s="106" t="str">
        <f>IFERROR(HLOOKUP(U$22,#REF!,SA_GRILLE_STEU!$A29+2,FALSE),"")</f>
        <v/>
      </c>
      <c r="Y29" s="108" t="str">
        <f>IFERROR(HLOOKUP(U$22,#REF!,SA_GRILLE_STEU!$A29+2,FALSE),"")</f>
        <v/>
      </c>
      <c r="Z29" s="207">
        <v>4</v>
      </c>
      <c r="AA29" s="3" t="str">
        <f>IFERROR(HLOOKUP(Z$22,#REF!,SA_GRILLE_STEU!$A29+2,FALSE),"")</f>
        <v/>
      </c>
      <c r="AB29" s="148"/>
      <c r="AC29" s="106" t="str">
        <f>IFERROR(HLOOKUP(Z$22,#REF!,SA_GRILLE_STEU!$A29+2,FALSE),"")</f>
        <v/>
      </c>
      <c r="AD29" s="108" t="str">
        <f>IFERROR(HLOOKUP(Z$22,#REF!,SA_GRILLE_STEU!$A29+2,FALSE),"")</f>
        <v/>
      </c>
      <c r="AE29" s="207">
        <v>4</v>
      </c>
      <c r="AF29" s="3" t="str">
        <f>IFERROR(HLOOKUP(AE$22,#REF!,SA_GRILLE_STEU!$A29+2,FALSE),"")</f>
        <v/>
      </c>
      <c r="AG29" s="148"/>
      <c r="AH29" s="106" t="str">
        <f>IFERROR(HLOOKUP(AE$22,#REF!,SA_GRILLE_STEU!$A29+2,FALSE),"")</f>
        <v/>
      </c>
      <c r="AI29" s="108" t="str">
        <f>IFERROR(HLOOKUP(AE$22,#REF!,SA_GRILLE_STEU!$A29+2,FALSE),"")</f>
        <v/>
      </c>
      <c r="AJ29" s="207">
        <v>4</v>
      </c>
      <c r="AK29" s="74" t="str">
        <f>IFERROR(HLOOKUP(AJ$22,#REF!,SA_GRILLE_STEU!$A29+2,FALSE),"")</f>
        <v/>
      </c>
      <c r="AL29" s="159"/>
      <c r="AM29" s="106" t="str">
        <f>IFERROR(HLOOKUP(AJ$22,#REF!,SA_GRILLE_STEU!$A29+2,FALSE),"")</f>
        <v/>
      </c>
      <c r="AN29" s="108" t="str">
        <f>IFERROR(HLOOKUP(AJ$22,#REF!,SA_GRILLE_STEU!$A29+2,FALSE),"")</f>
        <v/>
      </c>
      <c r="AO29" s="207">
        <v>4</v>
      </c>
      <c r="AP29" s="3" t="str">
        <f>IFERROR(HLOOKUP(AO$22,#REF!,SA_GRILLE_STEU!$A29+2,FALSE),"")</f>
        <v/>
      </c>
      <c r="AQ29" s="148"/>
      <c r="AR29" s="106" t="str">
        <f>IFERROR(HLOOKUP(AO$22,#REF!,SA_GRILLE_STEU!$A29+2,FALSE),"")</f>
        <v/>
      </c>
      <c r="AS29" s="108" t="str">
        <f>IFERROR(HLOOKUP(AO$22,#REF!,SA_GRILLE_STEU!$A29+2,FALSE),"")</f>
        <v/>
      </c>
      <c r="AT29" s="207">
        <v>4</v>
      </c>
      <c r="AU29" s="3" t="str">
        <f>IFERROR(HLOOKUP(AT$22,#REF!,SA_GRILLE_STEU!$A29+2,FALSE),"")</f>
        <v/>
      </c>
      <c r="AV29" s="148"/>
      <c r="AW29" s="106" t="str">
        <f>IFERROR(HLOOKUP(AT$22,#REF!,SA_GRILLE_STEU!$A29+2,FALSE),"")</f>
        <v/>
      </c>
      <c r="AX29" s="108" t="str">
        <f>IFERROR(HLOOKUP(AT$22,#REF!,SA_GRILLE_STEU!$A29+2,FALSE),"")</f>
        <v/>
      </c>
      <c r="AY29" s="207">
        <v>4</v>
      </c>
      <c r="AZ29" s="74" t="str">
        <f>IFERROR(HLOOKUP(AY$22,#REF!,SA_GRILLE_STEU!$A29+2,FALSE),"")</f>
        <v/>
      </c>
      <c r="BA29" s="148"/>
      <c r="BB29" s="106" t="str">
        <f>IFERROR(HLOOKUP(AY$22,#REF!,SA_GRILLE_STEU!$A29+2,FALSE),"")</f>
        <v/>
      </c>
      <c r="BC29" s="108" t="str">
        <f>IFERROR(HLOOKUP(AY$22,#REF!,SA_GRILLE_STEU!$A29+2,FALSE),"")</f>
        <v/>
      </c>
      <c r="BD29" s="207">
        <v>4</v>
      </c>
      <c r="BE29" s="3" t="str">
        <f>IFERROR(HLOOKUP(BD$22,#REF!,SA_GRILLE_STEU!$A29+2,FALSE),"")</f>
        <v/>
      </c>
      <c r="BF29" s="148"/>
      <c r="BG29" s="109" t="str">
        <f>IFERROR(HLOOKUP(BD$22,#REF!,SA_GRILLE_STEU!$A29+2,FALSE),"")</f>
        <v/>
      </c>
      <c r="BH29" s="108" t="str">
        <f>IFERROR(HLOOKUP(BD$22,#REF!,SA_GRILLE_STEU!$A29+2,FALSE),"")</f>
        <v/>
      </c>
    </row>
    <row r="30" spans="1:60" s="134" customFormat="1" ht="20.100000000000001" customHeight="1" x14ac:dyDescent="0.4">
      <c r="A30" s="207">
        <v>5</v>
      </c>
      <c r="B30" s="1" t="str">
        <f>IFERROR(HLOOKUP(A$22,#REF!,SA_GRILLE_STEU!$A30+2,FALSE),"")</f>
        <v/>
      </c>
      <c r="C30" s="148"/>
      <c r="D30" s="106" t="str">
        <f>IFERROR(HLOOKUP(A$22,#REF!,SA_GRILLE_STEU!$A30+2,FALSE),"")</f>
        <v/>
      </c>
      <c r="E30" s="108" t="str">
        <f>IFERROR(HLOOKUP(A$22,#REF!,SA_GRILLE_STEU!$A30+2,FALSE),"")</f>
        <v/>
      </c>
      <c r="F30" s="207">
        <v>5</v>
      </c>
      <c r="G30" s="3" t="str">
        <f>IFERROR(HLOOKUP(F$22,#REF!,SA_GRILLE_STEU!$A30+2,FALSE),"")</f>
        <v/>
      </c>
      <c r="H30" s="148"/>
      <c r="I30" s="106" t="str">
        <f>IFERROR(HLOOKUP(F$22,#REF!,SA_GRILLE_STEU!$A30+2,FALSE),"")</f>
        <v/>
      </c>
      <c r="J30" s="108" t="str">
        <f>IFERROR(HLOOKUP(F$22,#REF!,SA_GRILLE_STEU!$A30+2,FALSE),"")</f>
        <v/>
      </c>
      <c r="K30" s="135">
        <v>5</v>
      </c>
      <c r="L30" s="1" t="str">
        <f>IFERROR(HLOOKUP(K$22,#REF!,SA_GRILLE_STEU!$A30+2,FALSE),"")</f>
        <v/>
      </c>
      <c r="M30" s="148"/>
      <c r="N30" s="106" t="str">
        <f>IFERROR(HLOOKUP(K$22,#REF!,SA_GRILLE_STEU!$A30+2,FALSE),"")</f>
        <v/>
      </c>
      <c r="O30" s="108" t="str">
        <f>IFERROR(HLOOKUP(K$22,#REF!,SA_GRILLE_STEU!$A30+2,FALSE),"")</f>
        <v/>
      </c>
      <c r="P30" s="135">
        <v>5</v>
      </c>
      <c r="Q30" s="1" t="str">
        <f>IFERROR(HLOOKUP(P$22,#REF!,SA_GRILLE_STEU!$A30+2,FALSE),"")</f>
        <v/>
      </c>
      <c r="R30" s="148"/>
      <c r="S30" s="106" t="str">
        <f>IFERROR(HLOOKUP(P$22,#REF!,SA_GRILLE_STEU!$A30+2,FALSE),"")</f>
        <v/>
      </c>
      <c r="T30" s="108" t="str">
        <f>IFERROR(HLOOKUP(P$22,#REF!,SA_GRILLE_STEU!$A30+2,FALSE),"")</f>
        <v/>
      </c>
      <c r="U30" s="135">
        <v>5</v>
      </c>
      <c r="V30" s="3" t="str">
        <f>IFERROR(HLOOKUP(U$22,#REF!,SA_GRILLE_STEU!$A30+2,FALSE),"")</f>
        <v/>
      </c>
      <c r="W30" s="148"/>
      <c r="X30" s="106" t="str">
        <f>IFERROR(HLOOKUP(U$22,#REF!,SA_GRILLE_STEU!$A30+2,FALSE),"")</f>
        <v/>
      </c>
      <c r="Y30" s="108" t="str">
        <f>IFERROR(HLOOKUP(U$22,#REF!,SA_GRILLE_STEU!$A30+2,FALSE),"")</f>
        <v/>
      </c>
      <c r="Z30" s="207">
        <v>5</v>
      </c>
      <c r="AA30" s="3" t="str">
        <f>IFERROR(HLOOKUP(Z$22,#REF!,SA_GRILLE_STEU!$A30+2,FALSE),"")</f>
        <v/>
      </c>
      <c r="AB30" s="148"/>
      <c r="AC30" s="106" t="str">
        <f>IFERROR(HLOOKUP(Z$22,#REF!,SA_GRILLE_STEU!$A30+2,FALSE),"")</f>
        <v/>
      </c>
      <c r="AD30" s="108" t="str">
        <f>IFERROR(HLOOKUP(Z$22,#REF!,SA_GRILLE_STEU!$A30+2,FALSE),"")</f>
        <v/>
      </c>
      <c r="AE30" s="207">
        <v>5</v>
      </c>
      <c r="AF30" s="3" t="str">
        <f>IFERROR(HLOOKUP(AE$22,#REF!,SA_GRILLE_STEU!$A30+2,FALSE),"")</f>
        <v/>
      </c>
      <c r="AG30" s="148"/>
      <c r="AH30" s="106" t="str">
        <f>IFERROR(HLOOKUP(AE$22,#REF!,SA_GRILLE_STEU!$A30+2,FALSE),"")</f>
        <v/>
      </c>
      <c r="AI30" s="108" t="str">
        <f>IFERROR(HLOOKUP(AE$22,#REF!,SA_GRILLE_STEU!$A30+2,FALSE),"")</f>
        <v/>
      </c>
      <c r="AJ30" s="207">
        <v>5</v>
      </c>
      <c r="AK30" s="74" t="str">
        <f>IFERROR(HLOOKUP(AJ$22,#REF!,SA_GRILLE_STEU!$A30+2,FALSE),"")</f>
        <v/>
      </c>
      <c r="AL30" s="159"/>
      <c r="AM30" s="106" t="str">
        <f>IFERROR(HLOOKUP(AJ$22,#REF!,SA_GRILLE_STEU!$A30+2,FALSE),"")</f>
        <v/>
      </c>
      <c r="AN30" s="108" t="str">
        <f>IFERROR(HLOOKUP(AJ$22,#REF!,SA_GRILLE_STEU!$A30+2,FALSE),"")</f>
        <v/>
      </c>
      <c r="AO30" s="207">
        <v>5</v>
      </c>
      <c r="AP30" s="3" t="str">
        <f>IFERROR(HLOOKUP(AO$22,#REF!,SA_GRILLE_STEU!$A30+2,FALSE),"")</f>
        <v/>
      </c>
      <c r="AQ30" s="148"/>
      <c r="AR30" s="106" t="str">
        <f>IFERROR(HLOOKUP(AO$22,#REF!,SA_GRILLE_STEU!$A30+2,FALSE),"")</f>
        <v/>
      </c>
      <c r="AS30" s="108" t="str">
        <f>IFERROR(HLOOKUP(AO$22,#REF!,SA_GRILLE_STEU!$A30+2,FALSE),"")</f>
        <v/>
      </c>
      <c r="AT30" s="207">
        <v>5</v>
      </c>
      <c r="AU30" s="3" t="str">
        <f>IFERROR(HLOOKUP(AT$22,#REF!,SA_GRILLE_STEU!$A30+2,FALSE),"")</f>
        <v/>
      </c>
      <c r="AV30" s="148"/>
      <c r="AW30" s="106" t="str">
        <f>IFERROR(HLOOKUP(AT$22,#REF!,SA_GRILLE_STEU!$A30+2,FALSE),"")</f>
        <v/>
      </c>
      <c r="AX30" s="108" t="str">
        <f>IFERROR(HLOOKUP(AT$22,#REF!,SA_GRILLE_STEU!$A30+2,FALSE),"")</f>
        <v/>
      </c>
      <c r="AY30" s="207">
        <v>5</v>
      </c>
      <c r="AZ30" s="74" t="str">
        <f>IFERROR(HLOOKUP(AY$22,#REF!,SA_GRILLE_STEU!$A30+2,FALSE),"")</f>
        <v/>
      </c>
      <c r="BA30" s="148"/>
      <c r="BB30" s="106" t="str">
        <f>IFERROR(HLOOKUP(AY$22,#REF!,SA_GRILLE_STEU!$A30+2,FALSE),"")</f>
        <v/>
      </c>
      <c r="BC30" s="108" t="str">
        <f>IFERROR(HLOOKUP(AY$22,#REF!,SA_GRILLE_STEU!$A30+2,FALSE),"")</f>
        <v/>
      </c>
      <c r="BD30" s="207">
        <v>5</v>
      </c>
      <c r="BE30" s="3" t="str">
        <f>IFERROR(HLOOKUP(BD$22,#REF!,SA_GRILLE_STEU!$A30+2,FALSE),"")</f>
        <v/>
      </c>
      <c r="BF30" s="148"/>
      <c r="BG30" s="109" t="str">
        <f>IFERROR(HLOOKUP(BD$22,#REF!,SA_GRILLE_STEU!$A30+2,FALSE),"")</f>
        <v/>
      </c>
      <c r="BH30" s="108" t="str">
        <f>IFERROR(HLOOKUP(BD$22,#REF!,SA_GRILLE_STEU!$A30+2,FALSE),"")</f>
        <v/>
      </c>
    </row>
    <row r="31" spans="1:60" s="134" customFormat="1" ht="36" customHeight="1" x14ac:dyDescent="0.4">
      <c r="A31" s="207">
        <v>6</v>
      </c>
      <c r="B31" s="1" t="str">
        <f>IFERROR(HLOOKUP(A$22,#REF!,SA_GRILLE_STEU!$A31+2,FALSE),"")</f>
        <v/>
      </c>
      <c r="C31" s="148"/>
      <c r="D31" s="106" t="str">
        <f>IFERROR(HLOOKUP(A$22,#REF!,SA_GRILLE_STEU!$A31+2,FALSE),"")</f>
        <v/>
      </c>
      <c r="E31" s="108" t="str">
        <f>IFERROR(HLOOKUP(A$22,#REF!,SA_GRILLE_STEU!$A31+2,FALSE),"")</f>
        <v/>
      </c>
      <c r="F31" s="207">
        <v>6</v>
      </c>
      <c r="G31" s="3" t="str">
        <f>IFERROR(HLOOKUP(F$22,#REF!,SA_GRILLE_STEU!$A31+2,FALSE),"")</f>
        <v/>
      </c>
      <c r="H31" s="148"/>
      <c r="I31" s="106" t="str">
        <f>IFERROR(HLOOKUP(F$22,#REF!,SA_GRILLE_STEU!$A31+2,FALSE),"")</f>
        <v/>
      </c>
      <c r="J31" s="108" t="str">
        <f>IFERROR(HLOOKUP(F$22,#REF!,SA_GRILLE_STEU!$A31+2,FALSE),"")</f>
        <v/>
      </c>
      <c r="K31" s="135">
        <v>6</v>
      </c>
      <c r="L31" s="1" t="str">
        <f>IFERROR(HLOOKUP(K$22,#REF!,SA_GRILLE_STEU!$A31+2,FALSE),"")</f>
        <v/>
      </c>
      <c r="M31" s="148"/>
      <c r="N31" s="106" t="str">
        <f>IFERROR(HLOOKUP(K$22,#REF!,SA_GRILLE_STEU!$A31+2,FALSE),"")</f>
        <v/>
      </c>
      <c r="O31" s="108" t="str">
        <f>IFERROR(HLOOKUP(K$22,#REF!,SA_GRILLE_STEU!$A31+2,FALSE),"")</f>
        <v/>
      </c>
      <c r="P31" s="135">
        <v>6</v>
      </c>
      <c r="Q31" s="1" t="str">
        <f>IFERROR(HLOOKUP(P$22,#REF!,SA_GRILLE_STEU!$A31+2,FALSE),"")</f>
        <v/>
      </c>
      <c r="R31" s="148"/>
      <c r="S31" s="106" t="str">
        <f>IFERROR(HLOOKUP(P$22,#REF!,SA_GRILLE_STEU!$A31+2,FALSE),"")</f>
        <v/>
      </c>
      <c r="T31" s="108" t="str">
        <f>IFERROR(HLOOKUP(P$22,#REF!,SA_GRILLE_STEU!$A31+2,FALSE),"")</f>
        <v/>
      </c>
      <c r="U31" s="135">
        <v>6</v>
      </c>
      <c r="V31" s="3" t="str">
        <f>IFERROR(HLOOKUP(U$22,#REF!,SA_GRILLE_STEU!$A31+2,FALSE),"")</f>
        <v/>
      </c>
      <c r="W31" s="148"/>
      <c r="X31" s="106" t="str">
        <f>IFERROR(HLOOKUP(U$22,#REF!,SA_GRILLE_STEU!$A31+2,FALSE),"")</f>
        <v/>
      </c>
      <c r="Y31" s="108" t="str">
        <f>IFERROR(HLOOKUP(U$22,#REF!,SA_GRILLE_STEU!$A31+2,FALSE),"")</f>
        <v/>
      </c>
      <c r="Z31" s="207">
        <v>6</v>
      </c>
      <c r="AA31" s="3" t="str">
        <f>IFERROR(HLOOKUP(Z$22,#REF!,SA_GRILLE_STEU!$A31+2,FALSE),"")</f>
        <v/>
      </c>
      <c r="AB31" s="148"/>
      <c r="AC31" s="106" t="str">
        <f>IFERROR(HLOOKUP(Z$22,#REF!,SA_GRILLE_STEU!$A31+2,FALSE),"")</f>
        <v/>
      </c>
      <c r="AD31" s="108" t="str">
        <f>IFERROR(HLOOKUP(Z$22,#REF!,SA_GRILLE_STEU!$A31+2,FALSE),"")</f>
        <v/>
      </c>
      <c r="AE31" s="207">
        <v>6</v>
      </c>
      <c r="AF31" s="3" t="str">
        <f>IFERROR(HLOOKUP(AE$22,#REF!,SA_GRILLE_STEU!$A31+2,FALSE),"")</f>
        <v/>
      </c>
      <c r="AG31" s="148"/>
      <c r="AH31" s="106" t="str">
        <f>IFERROR(HLOOKUP(AE$22,#REF!,SA_GRILLE_STEU!$A31+2,FALSE),"")</f>
        <v/>
      </c>
      <c r="AI31" s="108" t="str">
        <f>IFERROR(HLOOKUP(AE$22,#REF!,SA_GRILLE_STEU!$A31+2,FALSE),"")</f>
        <v/>
      </c>
      <c r="AJ31" s="207">
        <v>6</v>
      </c>
      <c r="AK31" s="74" t="str">
        <f>IFERROR(HLOOKUP(AJ$22,#REF!,SA_GRILLE_STEU!$A31+2,FALSE),"")</f>
        <v/>
      </c>
      <c r="AL31" s="159"/>
      <c r="AM31" s="106" t="str">
        <f>IFERROR(HLOOKUP(AJ$22,#REF!,SA_GRILLE_STEU!$A31+2,FALSE),"")</f>
        <v/>
      </c>
      <c r="AN31" s="108" t="str">
        <f>IFERROR(HLOOKUP(AJ$22,#REF!,SA_GRILLE_STEU!$A31+2,FALSE),"")</f>
        <v/>
      </c>
      <c r="AO31" s="207">
        <v>6</v>
      </c>
      <c r="AP31" s="3" t="str">
        <f>IFERROR(HLOOKUP(AO$22,#REF!,SA_GRILLE_STEU!$A31+2,FALSE),"")</f>
        <v/>
      </c>
      <c r="AQ31" s="148"/>
      <c r="AR31" s="106" t="str">
        <f>IFERROR(HLOOKUP(AO$22,#REF!,SA_GRILLE_STEU!$A31+2,FALSE),"")</f>
        <v/>
      </c>
      <c r="AS31" s="108" t="str">
        <f>IFERROR(HLOOKUP(AO$22,#REF!,SA_GRILLE_STEU!$A31+2,FALSE),"")</f>
        <v/>
      </c>
      <c r="AT31" s="207">
        <v>6</v>
      </c>
      <c r="AU31" s="3" t="str">
        <f>IFERROR(HLOOKUP(AT$22,#REF!,SA_GRILLE_STEU!$A31+2,FALSE),"")</f>
        <v/>
      </c>
      <c r="AV31" s="148"/>
      <c r="AW31" s="106" t="str">
        <f>IFERROR(HLOOKUP(AT$22,#REF!,SA_GRILLE_STEU!$A31+2,FALSE),"")</f>
        <v/>
      </c>
      <c r="AX31" s="108" t="str">
        <f>IFERROR(HLOOKUP(AT$22,#REF!,SA_GRILLE_STEU!$A31+2,FALSE),"")</f>
        <v/>
      </c>
      <c r="AY31" s="207">
        <v>6</v>
      </c>
      <c r="AZ31" s="74" t="str">
        <f>IFERROR(HLOOKUP(AY$22,#REF!,SA_GRILLE_STEU!$A31+2,FALSE),"")</f>
        <v/>
      </c>
      <c r="BA31" s="148"/>
      <c r="BB31" s="106" t="str">
        <f>IFERROR(HLOOKUP(AY$22,#REF!,SA_GRILLE_STEU!$A31+2,FALSE),"")</f>
        <v/>
      </c>
      <c r="BC31" s="108" t="str">
        <f>IFERROR(HLOOKUP(AY$22,#REF!,SA_GRILLE_STEU!$A31+2,FALSE),"")</f>
        <v/>
      </c>
      <c r="BD31" s="207">
        <v>6</v>
      </c>
      <c r="BE31" s="3" t="str">
        <f>IFERROR(HLOOKUP(BD$22,#REF!,SA_GRILLE_STEU!$A31+2,FALSE),"")</f>
        <v/>
      </c>
      <c r="BF31" s="148"/>
      <c r="BG31" s="109" t="str">
        <f>IFERROR(HLOOKUP(BD$22,#REF!,SA_GRILLE_STEU!$A31+2,FALSE),"")</f>
        <v/>
      </c>
      <c r="BH31" s="108" t="str">
        <f>IFERROR(HLOOKUP(BD$22,#REF!,SA_GRILLE_STEU!$A31+2,FALSE),"")</f>
        <v/>
      </c>
    </row>
    <row r="32" spans="1:60" s="134" customFormat="1" ht="20.100000000000001" customHeight="1" x14ac:dyDescent="0.4">
      <c r="A32" s="207">
        <v>7</v>
      </c>
      <c r="B32" s="1" t="str">
        <f>IFERROR(HLOOKUP(A$22,#REF!,SA_GRILLE_STEU!$A32+2,FALSE),"")</f>
        <v/>
      </c>
      <c r="C32" s="148"/>
      <c r="D32" s="106" t="str">
        <f>IFERROR(HLOOKUP(A$22,#REF!,SA_GRILLE_STEU!$A32+2,FALSE),"")</f>
        <v/>
      </c>
      <c r="E32" s="108" t="str">
        <f>IFERROR(HLOOKUP(A$22,#REF!,SA_GRILLE_STEU!$A32+2,FALSE),"")</f>
        <v/>
      </c>
      <c r="F32" s="207">
        <v>7</v>
      </c>
      <c r="G32" s="3" t="str">
        <f>IFERROR(HLOOKUP(F$22,#REF!,SA_GRILLE_STEU!$A32+2,FALSE),"")</f>
        <v/>
      </c>
      <c r="H32" s="148"/>
      <c r="I32" s="106" t="str">
        <f>IFERROR(HLOOKUP(F$22,#REF!,SA_GRILLE_STEU!$A32+2,FALSE),"")</f>
        <v/>
      </c>
      <c r="J32" s="108" t="str">
        <f>IFERROR(HLOOKUP(F$22,#REF!,SA_GRILLE_STEU!$A32+2,FALSE),"")</f>
        <v/>
      </c>
      <c r="K32" s="135">
        <v>7</v>
      </c>
      <c r="L32" s="1" t="str">
        <f>IFERROR(HLOOKUP(K$22,#REF!,SA_GRILLE_STEU!$A32+2,FALSE),"")</f>
        <v/>
      </c>
      <c r="M32" s="148"/>
      <c r="N32" s="106" t="str">
        <f>IFERROR(HLOOKUP(K$22,#REF!,SA_GRILLE_STEU!$A32+2,FALSE),"")</f>
        <v/>
      </c>
      <c r="O32" s="108" t="str">
        <f>IFERROR(HLOOKUP(K$22,#REF!,SA_GRILLE_STEU!$A32+2,FALSE),"")</f>
        <v/>
      </c>
      <c r="P32" s="135">
        <v>7</v>
      </c>
      <c r="Q32" s="1" t="str">
        <f>IFERROR(HLOOKUP(P$22,#REF!,SA_GRILLE_STEU!$A32+2,FALSE),"")</f>
        <v/>
      </c>
      <c r="R32" s="148"/>
      <c r="S32" s="106" t="str">
        <f>IFERROR(HLOOKUP(P$22,#REF!,SA_GRILLE_STEU!$A32+2,FALSE),"")</f>
        <v/>
      </c>
      <c r="T32" s="108" t="str">
        <f>IFERROR(HLOOKUP(P$22,#REF!,SA_GRILLE_STEU!$A32+2,FALSE),"")</f>
        <v/>
      </c>
      <c r="U32" s="135">
        <v>7</v>
      </c>
      <c r="V32" s="3" t="str">
        <f>IFERROR(HLOOKUP(U$22,#REF!,SA_GRILLE_STEU!$A32+2,FALSE),"")</f>
        <v/>
      </c>
      <c r="W32" s="148"/>
      <c r="X32" s="106" t="str">
        <f>IFERROR(HLOOKUP(U$22,#REF!,SA_GRILLE_STEU!$A32+2,FALSE),"")</f>
        <v/>
      </c>
      <c r="Y32" s="108" t="str">
        <f>IFERROR(HLOOKUP(U$22,#REF!,SA_GRILLE_STEU!$A32+2,FALSE),"")</f>
        <v/>
      </c>
      <c r="Z32" s="207">
        <v>7</v>
      </c>
      <c r="AA32" s="3" t="str">
        <f>IFERROR(HLOOKUP(Z$22,#REF!,SA_GRILLE_STEU!$A32+2,FALSE),"")</f>
        <v/>
      </c>
      <c r="AB32" s="148"/>
      <c r="AC32" s="106" t="str">
        <f>IFERROR(HLOOKUP(Z$22,#REF!,SA_GRILLE_STEU!$A32+2,FALSE),"")</f>
        <v/>
      </c>
      <c r="AD32" s="108" t="str">
        <f>IFERROR(HLOOKUP(Z$22,#REF!,SA_GRILLE_STEU!$A32+2,FALSE),"")</f>
        <v/>
      </c>
      <c r="AE32" s="207">
        <v>7</v>
      </c>
      <c r="AF32" s="3" t="str">
        <f>IFERROR(HLOOKUP(AE$22,#REF!,SA_GRILLE_STEU!$A32+2,FALSE),"")</f>
        <v/>
      </c>
      <c r="AG32" s="148"/>
      <c r="AH32" s="106" t="str">
        <f>IFERROR(HLOOKUP(AE$22,#REF!,SA_GRILLE_STEU!$A32+2,FALSE),"")</f>
        <v/>
      </c>
      <c r="AI32" s="108" t="str">
        <f>IFERROR(HLOOKUP(AE$22,#REF!,SA_GRILLE_STEU!$A32+2,FALSE),"")</f>
        <v/>
      </c>
      <c r="AJ32" s="207">
        <v>7</v>
      </c>
      <c r="AK32" s="74" t="str">
        <f>IFERROR(HLOOKUP(AJ$22,#REF!,SA_GRILLE_STEU!$A32+2,FALSE),"")</f>
        <v/>
      </c>
      <c r="AL32" s="159"/>
      <c r="AM32" s="106" t="str">
        <f>IFERROR(HLOOKUP(AJ$22,#REF!,SA_GRILLE_STEU!$A32+2,FALSE),"")</f>
        <v/>
      </c>
      <c r="AN32" s="108" t="str">
        <f>IFERROR(HLOOKUP(AJ$22,#REF!,SA_GRILLE_STEU!$A32+2,FALSE),"")</f>
        <v/>
      </c>
      <c r="AO32" s="207">
        <v>7</v>
      </c>
      <c r="AP32" s="3" t="str">
        <f>IFERROR(HLOOKUP(AO$22,#REF!,SA_GRILLE_STEU!$A32+2,FALSE),"")</f>
        <v/>
      </c>
      <c r="AQ32" s="148"/>
      <c r="AR32" s="106" t="str">
        <f>IFERROR(HLOOKUP(AO$22,#REF!,SA_GRILLE_STEU!$A32+2,FALSE),"")</f>
        <v/>
      </c>
      <c r="AS32" s="108" t="str">
        <f>IFERROR(HLOOKUP(AO$22,#REF!,SA_GRILLE_STEU!$A32+2,FALSE),"")</f>
        <v/>
      </c>
      <c r="AT32" s="207">
        <v>7</v>
      </c>
      <c r="AU32" s="3" t="str">
        <f>IFERROR(HLOOKUP(AT$22,#REF!,SA_GRILLE_STEU!$A32+2,FALSE),"")</f>
        <v/>
      </c>
      <c r="AV32" s="148"/>
      <c r="AW32" s="106" t="str">
        <f>IFERROR(HLOOKUP(AT$22,#REF!,SA_GRILLE_STEU!$A32+2,FALSE),"")</f>
        <v/>
      </c>
      <c r="AX32" s="108" t="str">
        <f>IFERROR(HLOOKUP(AT$22,#REF!,SA_GRILLE_STEU!$A32+2,FALSE),"")</f>
        <v/>
      </c>
      <c r="AY32" s="207">
        <v>7</v>
      </c>
      <c r="AZ32" s="74" t="str">
        <f>IFERROR(HLOOKUP(AY$22,#REF!,SA_GRILLE_STEU!$A32+2,FALSE),"")</f>
        <v/>
      </c>
      <c r="BA32" s="148"/>
      <c r="BB32" s="106" t="str">
        <f>IFERROR(HLOOKUP(AY$22,#REF!,SA_GRILLE_STEU!$A32+2,FALSE),"")</f>
        <v/>
      </c>
      <c r="BC32" s="108" t="str">
        <f>IFERROR(HLOOKUP(AY$22,#REF!,SA_GRILLE_STEU!$A32+2,FALSE),"")</f>
        <v/>
      </c>
      <c r="BD32" s="207">
        <v>7</v>
      </c>
      <c r="BE32" s="3" t="str">
        <f>IFERROR(HLOOKUP(BD$22,#REF!,SA_GRILLE_STEU!$A32+2,FALSE),"")</f>
        <v/>
      </c>
      <c r="BF32" s="148"/>
      <c r="BG32" s="109" t="str">
        <f>IFERROR(HLOOKUP(BD$22,#REF!,SA_GRILLE_STEU!$A32+2,FALSE),"")</f>
        <v/>
      </c>
      <c r="BH32" s="108" t="str">
        <f>IFERROR(HLOOKUP(BD$22,#REF!,SA_GRILLE_STEU!$A32+2,FALSE),"")</f>
        <v/>
      </c>
    </row>
    <row r="33" spans="1:60" s="134" customFormat="1" ht="20.100000000000001" customHeight="1" x14ac:dyDescent="0.4">
      <c r="A33" s="207">
        <v>8</v>
      </c>
      <c r="B33" s="1" t="str">
        <f>IFERROR(HLOOKUP(A$22,#REF!,SA_GRILLE_STEU!$A33+2,FALSE),"")</f>
        <v/>
      </c>
      <c r="C33" s="148"/>
      <c r="D33" s="106" t="str">
        <f>IFERROR(HLOOKUP(A$22,#REF!,SA_GRILLE_STEU!$A33+2,FALSE),"")</f>
        <v/>
      </c>
      <c r="E33" s="108" t="str">
        <f>IFERROR(HLOOKUP(A$22,#REF!,SA_GRILLE_STEU!$A33+2,FALSE),"")</f>
        <v/>
      </c>
      <c r="F33" s="207">
        <v>8</v>
      </c>
      <c r="G33" s="3" t="str">
        <f>IFERROR(HLOOKUP(F$22,#REF!,SA_GRILLE_STEU!$A33+2,FALSE),"")</f>
        <v/>
      </c>
      <c r="H33" s="148"/>
      <c r="I33" s="106" t="str">
        <f>IFERROR(HLOOKUP(F$22,#REF!,SA_GRILLE_STEU!$A33+2,FALSE),"")</f>
        <v/>
      </c>
      <c r="J33" s="108" t="str">
        <f>IFERROR(HLOOKUP(F$22,#REF!,SA_GRILLE_STEU!$A33+2,FALSE),"")</f>
        <v/>
      </c>
      <c r="K33" s="135">
        <v>8</v>
      </c>
      <c r="L33" s="1" t="str">
        <f>IFERROR(HLOOKUP(K$22,#REF!,SA_GRILLE_STEU!$A33+2,FALSE),"")</f>
        <v/>
      </c>
      <c r="M33" s="148"/>
      <c r="N33" s="106" t="str">
        <f>IFERROR(HLOOKUP(K$22,#REF!,SA_GRILLE_STEU!$A33+2,FALSE),"")</f>
        <v/>
      </c>
      <c r="O33" s="108" t="str">
        <f>IFERROR(HLOOKUP(K$22,#REF!,SA_GRILLE_STEU!$A33+2,FALSE),"")</f>
        <v/>
      </c>
      <c r="P33" s="135">
        <v>8</v>
      </c>
      <c r="Q33" s="1" t="str">
        <f>IFERROR(HLOOKUP(P$22,#REF!,SA_GRILLE_STEU!$A33+2,FALSE),"")</f>
        <v/>
      </c>
      <c r="R33" s="148"/>
      <c r="S33" s="106" t="str">
        <f>IFERROR(HLOOKUP(P$22,#REF!,SA_GRILLE_STEU!$A33+2,FALSE),"")</f>
        <v/>
      </c>
      <c r="T33" s="108" t="str">
        <f>IFERROR(HLOOKUP(P$22,#REF!,SA_GRILLE_STEU!$A33+2,FALSE),"")</f>
        <v/>
      </c>
      <c r="U33" s="135">
        <v>8</v>
      </c>
      <c r="V33" s="3" t="str">
        <f>IFERROR(HLOOKUP(U$22,#REF!,SA_GRILLE_STEU!$A33+2,FALSE),"")</f>
        <v/>
      </c>
      <c r="W33" s="148"/>
      <c r="X33" s="106" t="str">
        <f>IFERROR(HLOOKUP(U$22,#REF!,SA_GRILLE_STEU!$A33+2,FALSE),"")</f>
        <v/>
      </c>
      <c r="Y33" s="108" t="str">
        <f>IFERROR(HLOOKUP(U$22,#REF!,SA_GRILLE_STEU!$A33+2,FALSE),"")</f>
        <v/>
      </c>
      <c r="Z33" s="207">
        <v>8</v>
      </c>
      <c r="AA33" s="3" t="str">
        <f>IFERROR(HLOOKUP(Z$22,#REF!,SA_GRILLE_STEU!$A33+2,FALSE),"")</f>
        <v/>
      </c>
      <c r="AB33" s="148"/>
      <c r="AC33" s="106" t="str">
        <f>IFERROR(HLOOKUP(Z$22,#REF!,SA_GRILLE_STEU!$A33+2,FALSE),"")</f>
        <v/>
      </c>
      <c r="AD33" s="108" t="str">
        <f>IFERROR(HLOOKUP(Z$22,#REF!,SA_GRILLE_STEU!$A33+2,FALSE),"")</f>
        <v/>
      </c>
      <c r="AE33" s="207">
        <v>8</v>
      </c>
      <c r="AF33" s="3" t="str">
        <f>IFERROR(HLOOKUP(AE$22,#REF!,SA_GRILLE_STEU!$A33+2,FALSE),"")</f>
        <v/>
      </c>
      <c r="AG33" s="148"/>
      <c r="AH33" s="106" t="str">
        <f>IFERROR(HLOOKUP(AE$22,#REF!,SA_GRILLE_STEU!$A33+2,FALSE),"")</f>
        <v/>
      </c>
      <c r="AI33" s="108" t="str">
        <f>IFERROR(HLOOKUP(AE$22,#REF!,SA_GRILLE_STEU!$A33+2,FALSE),"")</f>
        <v/>
      </c>
      <c r="AJ33" s="207">
        <v>8</v>
      </c>
      <c r="AK33" s="74" t="str">
        <f>IFERROR(HLOOKUP(AJ$22,#REF!,SA_GRILLE_STEU!$A33+2,FALSE),"")</f>
        <v/>
      </c>
      <c r="AL33" s="159"/>
      <c r="AM33" s="106" t="str">
        <f>IFERROR(HLOOKUP(AJ$22,#REF!,SA_GRILLE_STEU!$A33+2,FALSE),"")</f>
        <v/>
      </c>
      <c r="AN33" s="108" t="str">
        <f>IFERROR(HLOOKUP(AJ$22,#REF!,SA_GRILLE_STEU!$A33+2,FALSE),"")</f>
        <v/>
      </c>
      <c r="AO33" s="207">
        <v>8</v>
      </c>
      <c r="AP33" s="3" t="str">
        <f>IFERROR(HLOOKUP(AO$22,#REF!,SA_GRILLE_STEU!$A33+2,FALSE),"")</f>
        <v/>
      </c>
      <c r="AQ33" s="148"/>
      <c r="AR33" s="106" t="str">
        <f>IFERROR(HLOOKUP(AO$22,#REF!,SA_GRILLE_STEU!$A33+2,FALSE),"")</f>
        <v/>
      </c>
      <c r="AS33" s="108" t="str">
        <f>IFERROR(HLOOKUP(AO$22,#REF!,SA_GRILLE_STEU!$A33+2,FALSE),"")</f>
        <v/>
      </c>
      <c r="AT33" s="207">
        <v>8</v>
      </c>
      <c r="AU33" s="3" t="str">
        <f>IFERROR(HLOOKUP(AT$22,#REF!,SA_GRILLE_STEU!$A33+2,FALSE),"")</f>
        <v/>
      </c>
      <c r="AV33" s="148"/>
      <c r="AW33" s="106" t="str">
        <f>IFERROR(HLOOKUP(AT$22,#REF!,SA_GRILLE_STEU!$A33+2,FALSE),"")</f>
        <v/>
      </c>
      <c r="AX33" s="108" t="str">
        <f>IFERROR(HLOOKUP(AT$22,#REF!,SA_GRILLE_STEU!$A33+2,FALSE),"")</f>
        <v/>
      </c>
      <c r="AY33" s="207">
        <v>8</v>
      </c>
      <c r="AZ33" s="74" t="str">
        <f>IFERROR(HLOOKUP(AY$22,#REF!,SA_GRILLE_STEU!$A33+2,FALSE),"")</f>
        <v/>
      </c>
      <c r="BA33" s="148"/>
      <c r="BB33" s="106" t="str">
        <f>IFERROR(HLOOKUP(AY$22,#REF!,SA_GRILLE_STEU!$A33+2,FALSE),"")</f>
        <v/>
      </c>
      <c r="BC33" s="108" t="str">
        <f>IFERROR(HLOOKUP(AY$22,#REF!,SA_GRILLE_STEU!$A33+2,FALSE),"")</f>
        <v/>
      </c>
      <c r="BD33" s="207">
        <v>8</v>
      </c>
      <c r="BE33" s="3" t="str">
        <f>IFERROR(HLOOKUP(BD$22,#REF!,SA_GRILLE_STEU!$A33+2,FALSE),"")</f>
        <v/>
      </c>
      <c r="BF33" s="148"/>
      <c r="BG33" s="109" t="str">
        <f>IFERROR(HLOOKUP(BD$22,#REF!,SA_GRILLE_STEU!$A33+2,FALSE),"")</f>
        <v/>
      </c>
      <c r="BH33" s="108" t="str">
        <f>IFERROR(HLOOKUP(BD$22,#REF!,SA_GRILLE_STEU!$A33+2,FALSE),"")</f>
        <v/>
      </c>
    </row>
    <row r="34" spans="1:60" s="134" customFormat="1" ht="20.100000000000001" customHeight="1" x14ac:dyDescent="0.4">
      <c r="A34" s="207">
        <v>9</v>
      </c>
      <c r="B34" s="1" t="str">
        <f>IFERROR(HLOOKUP(A$22,#REF!,SA_GRILLE_STEU!$A34+2,FALSE),"")</f>
        <v/>
      </c>
      <c r="C34" s="148"/>
      <c r="D34" s="106" t="str">
        <f>IFERROR(HLOOKUP(A$22,#REF!,SA_GRILLE_STEU!$A34+2,FALSE),"")</f>
        <v/>
      </c>
      <c r="E34" s="108" t="str">
        <f>IFERROR(HLOOKUP(A$22,#REF!,SA_GRILLE_STEU!$A34+2,FALSE),"")</f>
        <v/>
      </c>
      <c r="F34" s="207">
        <v>9</v>
      </c>
      <c r="G34" s="3" t="str">
        <f>IFERROR(HLOOKUP(F$22,#REF!,SA_GRILLE_STEU!$A34+2,FALSE),"")</f>
        <v/>
      </c>
      <c r="H34" s="148"/>
      <c r="I34" s="106" t="str">
        <f>IFERROR(HLOOKUP(F$22,#REF!,SA_GRILLE_STEU!$A34+2,FALSE),"")</f>
        <v/>
      </c>
      <c r="J34" s="108" t="str">
        <f>IFERROR(HLOOKUP(F$22,#REF!,SA_GRILLE_STEU!$A34+2,FALSE),"")</f>
        <v/>
      </c>
      <c r="K34" s="135">
        <v>9</v>
      </c>
      <c r="L34" s="1" t="str">
        <f>IFERROR(HLOOKUP(K$22,#REF!,SA_GRILLE_STEU!$A34+2,FALSE),"")</f>
        <v/>
      </c>
      <c r="M34" s="148"/>
      <c r="N34" s="106" t="str">
        <f>IFERROR(HLOOKUP(K$22,#REF!,SA_GRILLE_STEU!$A34+2,FALSE),"")</f>
        <v/>
      </c>
      <c r="O34" s="108" t="str">
        <f>IFERROR(HLOOKUP(K$22,#REF!,SA_GRILLE_STEU!$A34+2,FALSE),"")</f>
        <v/>
      </c>
      <c r="P34" s="135">
        <v>9</v>
      </c>
      <c r="Q34" s="1" t="str">
        <f>IFERROR(HLOOKUP(P$22,#REF!,SA_GRILLE_STEU!$A34+2,FALSE),"")</f>
        <v/>
      </c>
      <c r="R34" s="148"/>
      <c r="S34" s="106" t="str">
        <f>IFERROR(HLOOKUP(P$22,#REF!,SA_GRILLE_STEU!$A34+2,FALSE),"")</f>
        <v/>
      </c>
      <c r="T34" s="108" t="str">
        <f>IFERROR(HLOOKUP(P$22,#REF!,SA_GRILLE_STEU!$A34+2,FALSE),"")</f>
        <v/>
      </c>
      <c r="U34" s="135">
        <v>9</v>
      </c>
      <c r="V34" s="3" t="str">
        <f>IFERROR(HLOOKUP(U$22,#REF!,SA_GRILLE_STEU!$A34+2,FALSE),"")</f>
        <v/>
      </c>
      <c r="W34" s="148"/>
      <c r="X34" s="106" t="str">
        <f>IFERROR(HLOOKUP(U$22,#REF!,SA_GRILLE_STEU!$A34+2,FALSE),"")</f>
        <v/>
      </c>
      <c r="Y34" s="108" t="str">
        <f>IFERROR(HLOOKUP(U$22,#REF!,SA_GRILLE_STEU!$A34+2,FALSE),"")</f>
        <v/>
      </c>
      <c r="Z34" s="207">
        <v>9</v>
      </c>
      <c r="AA34" s="3" t="str">
        <f>IFERROR(HLOOKUP(Z$22,#REF!,SA_GRILLE_STEU!$A34+2,FALSE),"")</f>
        <v/>
      </c>
      <c r="AB34" s="148"/>
      <c r="AC34" s="106" t="str">
        <f>IFERROR(HLOOKUP(Z$22,#REF!,SA_GRILLE_STEU!$A34+2,FALSE),"")</f>
        <v/>
      </c>
      <c r="AD34" s="108" t="str">
        <f>IFERROR(HLOOKUP(Z$22,#REF!,SA_GRILLE_STEU!$A34+2,FALSE),"")</f>
        <v/>
      </c>
      <c r="AE34" s="207">
        <v>9</v>
      </c>
      <c r="AF34" s="3" t="str">
        <f>IFERROR(HLOOKUP(AE$22,#REF!,SA_GRILLE_STEU!$A34+2,FALSE),"")</f>
        <v/>
      </c>
      <c r="AG34" s="148"/>
      <c r="AH34" s="106" t="str">
        <f>IFERROR(HLOOKUP(AE$22,#REF!,SA_GRILLE_STEU!$A34+2,FALSE),"")</f>
        <v/>
      </c>
      <c r="AI34" s="108" t="str">
        <f>IFERROR(HLOOKUP(AE$22,#REF!,SA_GRILLE_STEU!$A34+2,FALSE),"")</f>
        <v/>
      </c>
      <c r="AJ34" s="207">
        <v>9</v>
      </c>
      <c r="AK34" s="74" t="str">
        <f>IFERROR(HLOOKUP(AJ$22,#REF!,SA_GRILLE_STEU!$A34+2,FALSE),"")</f>
        <v/>
      </c>
      <c r="AL34" s="159"/>
      <c r="AM34" s="106" t="str">
        <f>IFERROR(HLOOKUP(AJ$22,#REF!,SA_GRILLE_STEU!$A34+2,FALSE),"")</f>
        <v/>
      </c>
      <c r="AN34" s="108" t="str">
        <f>IFERROR(HLOOKUP(AJ$22,#REF!,SA_GRILLE_STEU!$A34+2,FALSE),"")</f>
        <v/>
      </c>
      <c r="AO34" s="207">
        <v>9</v>
      </c>
      <c r="AP34" s="3" t="str">
        <f>IFERROR(HLOOKUP(AO$22,#REF!,SA_GRILLE_STEU!$A34+2,FALSE),"")</f>
        <v/>
      </c>
      <c r="AQ34" s="148"/>
      <c r="AR34" s="106" t="str">
        <f>IFERROR(HLOOKUP(AO$22,#REF!,SA_GRILLE_STEU!$A34+2,FALSE),"")</f>
        <v/>
      </c>
      <c r="AS34" s="108" t="str">
        <f>IFERROR(HLOOKUP(AO$22,#REF!,SA_GRILLE_STEU!$A34+2,FALSE),"")</f>
        <v/>
      </c>
      <c r="AT34" s="207">
        <v>9</v>
      </c>
      <c r="AU34" s="3" t="str">
        <f>IFERROR(HLOOKUP(AT$22,#REF!,SA_GRILLE_STEU!$A34+2,FALSE),"")</f>
        <v/>
      </c>
      <c r="AV34" s="148"/>
      <c r="AW34" s="106" t="str">
        <f>IFERROR(HLOOKUP(AT$22,#REF!,SA_GRILLE_STEU!$A34+2,FALSE),"")</f>
        <v/>
      </c>
      <c r="AX34" s="108" t="str">
        <f>IFERROR(HLOOKUP(AT$22,#REF!,SA_GRILLE_STEU!$A34+2,FALSE),"")</f>
        <v/>
      </c>
      <c r="AY34" s="207">
        <v>9</v>
      </c>
      <c r="AZ34" s="74" t="str">
        <f>IFERROR(HLOOKUP(AY$22,#REF!,SA_GRILLE_STEU!$A34+2,FALSE),"")</f>
        <v/>
      </c>
      <c r="BA34" s="148"/>
      <c r="BB34" s="106" t="str">
        <f>IFERROR(HLOOKUP(AY$22,#REF!,SA_GRILLE_STEU!$A34+2,FALSE),"")</f>
        <v/>
      </c>
      <c r="BC34" s="108" t="str">
        <f>IFERROR(HLOOKUP(AY$22,#REF!,SA_GRILLE_STEU!$A34+2,FALSE),"")</f>
        <v/>
      </c>
      <c r="BD34" s="207">
        <v>9</v>
      </c>
      <c r="BE34" s="3" t="str">
        <f>IFERROR(HLOOKUP(BD$22,#REF!,SA_GRILLE_STEU!$A34+2,FALSE),"")</f>
        <v/>
      </c>
      <c r="BF34" s="148"/>
      <c r="BG34" s="109" t="str">
        <f>IFERROR(HLOOKUP(BD$22,#REF!,SA_GRILLE_STEU!$A34+2,FALSE),"")</f>
        <v/>
      </c>
      <c r="BH34" s="108" t="str">
        <f>IFERROR(HLOOKUP(BD$22,#REF!,SA_GRILLE_STEU!$A34+2,FALSE),"")</f>
        <v/>
      </c>
    </row>
    <row r="35" spans="1:60" s="134" customFormat="1" ht="16.5" customHeight="1" x14ac:dyDescent="0.4">
      <c r="A35" s="208"/>
      <c r="B35" s="15"/>
      <c r="C35" s="148"/>
      <c r="D35" s="136"/>
      <c r="E35" s="108"/>
      <c r="F35" s="208"/>
      <c r="G35" s="15"/>
      <c r="H35" s="148"/>
      <c r="I35" s="136"/>
      <c r="J35" s="108"/>
      <c r="K35" s="137"/>
      <c r="L35" s="15"/>
      <c r="M35" s="149"/>
      <c r="N35" s="136"/>
      <c r="O35" s="108"/>
      <c r="P35" s="137"/>
      <c r="Q35" s="15"/>
      <c r="R35" s="149"/>
      <c r="S35" s="136"/>
      <c r="T35" s="108"/>
      <c r="U35" s="138"/>
      <c r="V35" s="15"/>
      <c r="W35" s="149"/>
      <c r="X35" s="136"/>
      <c r="Y35" s="108"/>
      <c r="Z35" s="209"/>
      <c r="AA35" s="15"/>
      <c r="AB35" s="149"/>
      <c r="AC35" s="136"/>
      <c r="AD35" s="108"/>
      <c r="AE35" s="209"/>
      <c r="AF35" s="15"/>
      <c r="AG35" s="149"/>
      <c r="AH35" s="136"/>
      <c r="AI35" s="108"/>
      <c r="AJ35" s="209"/>
      <c r="AK35" s="75"/>
      <c r="AL35" s="160"/>
      <c r="AM35" s="136"/>
      <c r="AN35" s="108"/>
      <c r="AO35" s="209"/>
      <c r="AP35" s="15"/>
      <c r="AQ35" s="149"/>
      <c r="AR35" s="136"/>
      <c r="AS35" s="108"/>
      <c r="AT35" s="209"/>
      <c r="AU35" s="15"/>
      <c r="AV35" s="149"/>
      <c r="AW35" s="136"/>
      <c r="AX35" s="108"/>
      <c r="AY35" s="209"/>
      <c r="AZ35" s="75"/>
      <c r="BA35" s="149"/>
      <c r="BB35" s="136"/>
      <c r="BC35" s="108"/>
      <c r="BD35" s="209"/>
      <c r="BE35" s="15"/>
      <c r="BF35" s="149"/>
      <c r="BG35" s="139"/>
      <c r="BH35" s="108"/>
    </row>
    <row r="36" spans="1:60" ht="35.25" customHeight="1" x14ac:dyDescent="0.4">
      <c r="A36" s="352" t="s">
        <v>49</v>
      </c>
      <c r="B36" s="353"/>
      <c r="C36" s="125" t="s">
        <v>50</v>
      </c>
      <c r="D36" s="126" t="s">
        <v>51</v>
      </c>
      <c r="E36" s="140"/>
      <c r="F36" s="352" t="s">
        <v>49</v>
      </c>
      <c r="G36" s="353"/>
      <c r="H36" s="125" t="s">
        <v>50</v>
      </c>
      <c r="I36" s="126" t="s">
        <v>51</v>
      </c>
      <c r="J36" s="140"/>
      <c r="K36" s="352" t="s">
        <v>49</v>
      </c>
      <c r="L36" s="353"/>
      <c r="M36" s="125" t="s">
        <v>50</v>
      </c>
      <c r="N36" s="126" t="s">
        <v>51</v>
      </c>
      <c r="O36" s="140"/>
      <c r="P36" s="352" t="s">
        <v>49</v>
      </c>
      <c r="Q36" s="353"/>
      <c r="R36" s="125" t="s">
        <v>50</v>
      </c>
      <c r="S36" s="126" t="s">
        <v>51</v>
      </c>
      <c r="T36" s="105"/>
      <c r="U36" s="352" t="s">
        <v>49</v>
      </c>
      <c r="V36" s="353"/>
      <c r="W36" s="125" t="s">
        <v>50</v>
      </c>
      <c r="X36" s="126" t="s">
        <v>51</v>
      </c>
      <c r="Y36" s="105"/>
      <c r="Z36" s="352" t="s">
        <v>49</v>
      </c>
      <c r="AA36" s="353"/>
      <c r="AB36" s="125" t="s">
        <v>50</v>
      </c>
      <c r="AC36" s="126" t="s">
        <v>51</v>
      </c>
      <c r="AD36" s="105"/>
      <c r="AE36" s="352" t="s">
        <v>49</v>
      </c>
      <c r="AF36" s="353"/>
      <c r="AG36" s="125" t="s">
        <v>50</v>
      </c>
      <c r="AH36" s="126" t="s">
        <v>51</v>
      </c>
      <c r="AI36" s="105"/>
      <c r="AJ36" s="352" t="s">
        <v>49</v>
      </c>
      <c r="AK36" s="353"/>
      <c r="AL36" s="125" t="s">
        <v>50</v>
      </c>
      <c r="AM36" s="126" t="s">
        <v>51</v>
      </c>
      <c r="AN36" s="105"/>
      <c r="AO36" s="352" t="s">
        <v>49</v>
      </c>
      <c r="AP36" s="353"/>
      <c r="AQ36" s="125" t="s">
        <v>50</v>
      </c>
      <c r="AR36" s="126" t="s">
        <v>51</v>
      </c>
      <c r="AS36" s="105"/>
      <c r="AT36" s="352" t="s">
        <v>49</v>
      </c>
      <c r="AU36" s="353"/>
      <c r="AV36" s="125" t="s">
        <v>50</v>
      </c>
      <c r="AW36" s="126" t="s">
        <v>51</v>
      </c>
      <c r="AX36" s="105"/>
      <c r="AY36" s="352" t="s">
        <v>49</v>
      </c>
      <c r="AZ36" s="353"/>
      <c r="BA36" s="125" t="s">
        <v>50</v>
      </c>
      <c r="BB36" s="126" t="s">
        <v>51</v>
      </c>
      <c r="BC36" s="105"/>
      <c r="BD36" s="352" t="s">
        <v>49</v>
      </c>
      <c r="BE36" s="353"/>
      <c r="BF36" s="125" t="s">
        <v>50</v>
      </c>
      <c r="BG36" s="126" t="s">
        <v>51</v>
      </c>
      <c r="BH36" s="108"/>
    </row>
    <row r="37" spans="1:60" s="115" customFormat="1" ht="60" customHeight="1" x14ac:dyDescent="0.4">
      <c r="A37" s="203"/>
      <c r="B37" s="162"/>
      <c r="C37" s="151"/>
      <c r="D37" s="113">
        <f>IF(A22="","",IF(A22="Préleveur A3",#REF!,IF((SUMIF(C26:C34,"Validé",D26:D34)+SUMIF(C26:C34,"Validé avec réserve",D26:D34))&gt;100,100,SUMIF(C26:C34,"Validé",D26:D34)+SUMIF(C26:C34,"Validé avec réserve",D26:D34))))</f>
        <v>0</v>
      </c>
      <c r="E37" s="141"/>
      <c r="F37" s="203"/>
      <c r="G37" s="154"/>
      <c r="H37" s="151"/>
      <c r="I37" s="113" t="str">
        <f>IF(F22="","",IF(F22="Préleveur A3",#REF!,IF((SUMIF(H26:H34,"Validé",I26:I34)+SUMIF(H26:H34,"Validé avec réserve",I26:I34))&gt;100,100,SUMIF(H26:H34,"Validé",I26:I34)+SUMIF(H26:H34,"Validé avec réserve",I26:I34))))</f>
        <v/>
      </c>
      <c r="J37" s="141"/>
      <c r="K37" s="203"/>
      <c r="L37" s="154"/>
      <c r="M37" s="151"/>
      <c r="N37" s="113" t="str">
        <f>IF(K22="","",IF(K22="Préleveur A3",#REF!,IF((SUMIF(M26:M34,"Validé",N26:N34)+SUMIF(M26:M34,"Validé avec réserve",N26:N34))&gt;100,100,SUMIF(M26:M34,"Validé",N26:N34)+SUMIF(M26:M34,"Validé avec réserve",N26:N34))))</f>
        <v/>
      </c>
      <c r="O37" s="141"/>
      <c r="P37" s="142"/>
      <c r="Q37" s="154"/>
      <c r="R37" s="151"/>
      <c r="S37" s="113" t="str">
        <f>IF(P22="","",IF(P22="Préleveur A3",#REF!,IF((SUMIF(R26:R34,"Validé",S26:S34)+SUMIF(R26:R34,"Validé avec réserve",S26:S34))&gt;100,100,SUMIF(R26:R34,"Validé",S26:S34)+SUMIF(R26:R34,"Validé avec réserve",S26:S34))))</f>
        <v/>
      </c>
      <c r="T37" s="141"/>
      <c r="U37" s="143"/>
      <c r="V37" s="154"/>
      <c r="W37" s="151"/>
      <c r="X37" s="113" t="str">
        <f>IF(U22="","",IF(U22="Préleveur A3",#REF!,IF((SUMIF(W26:W34,"Validé",X26:X34)+SUMIF(W26:W34,"Validé avec réserve",X26:X34))&gt;100,100,SUMIF(W26:W34,"Validé",X26:X34)+SUMIF(W26:W34,"Validé avec réserve",X26:X34))))</f>
        <v/>
      </c>
      <c r="Y37" s="141"/>
      <c r="Z37" s="205"/>
      <c r="AA37" s="154"/>
      <c r="AB37" s="151"/>
      <c r="AC37" s="113" t="str">
        <f>IF(Z22="","",IF(Z22="Préleveur A3",#REF!,IF((SUMIF(AB26:AB34,"Validé",AC26:AC34)+SUMIF(AB26:AB34,"Validé avec réserve",AC26:AC34))&gt;100,100,SUMIF(AB26:AB34,"Validé",AC26:AC34)+SUMIF(AB26:AB34,"Validé avec réserve",AC26:AC34))))</f>
        <v/>
      </c>
      <c r="AD37" s="141"/>
      <c r="AE37" s="205"/>
      <c r="AF37" s="154"/>
      <c r="AG37" s="151"/>
      <c r="AH37" s="113" t="str">
        <f>IF(AE22="","",IF(AE22="Préleveur A3",#REF!,IF((SUMIF(AG26:AG34,"Validé",AH26:AH34)+SUMIF(AG26:AG34,"Validé avec réserve",AH26:AH34))&gt;100,100,SUMIF(AG26:AG34,"Validé",AH26:AH34)+SUMIF(AG26:AG34,"Validé avec réserve",AH26:AH34))))</f>
        <v/>
      </c>
      <c r="AI37" s="141"/>
      <c r="AJ37" s="205"/>
      <c r="AK37" s="154"/>
      <c r="AL37" s="151"/>
      <c r="AM37" s="113" t="str">
        <f>IF(AJ22="","",IF(AJ22="Préleveur A3",#REF!,IF((SUMIF(AL26:AL34,"Validé",AM26:AM34)+SUMIF(AL26:AL34,"Validé avec réserve",AM26:AM34))&gt;100,100,SUMIF(AL26:AL34,"Validé",AM26:AM34)+SUMIF(AL26:AL34,"Validé avec réserve",AM26:AM34))))</f>
        <v/>
      </c>
      <c r="AN37" s="141"/>
      <c r="AO37" s="205"/>
      <c r="AP37" s="154"/>
      <c r="AQ37" s="151"/>
      <c r="AR37" s="113" t="str">
        <f>IF(AO22="","",IF(AO22="Préleveur A3",#REF!,IF((SUMIF(AQ26:AQ34,"Validé",AR26:AR34)+SUMIF(AQ26:AQ34,"Validé avec réserve",AR26:AR34))&gt;100,100,SUMIF(AQ26:AQ34,"Validé",AR26:AR34)+SUMIF(AQ26:AQ34,"Validé avec réserve",AR26:AR34))))</f>
        <v/>
      </c>
      <c r="AS37" s="141"/>
      <c r="AT37" s="205"/>
      <c r="AU37" s="154"/>
      <c r="AV37" s="151"/>
      <c r="AW37" s="113" t="str">
        <f>IF(AT22="","",IF(AT22="Préleveur A3",#REF!,IF((SUMIF(AV26:AV34,"Validé",AW26:AW34)+SUMIF(AV26:AV34,"Validé avec réserve",AW26:AW34))&gt;100,100,SUMIF(AV26:AV34,"Validé",AW26:AW34)+SUMIF(AV26:AV34,"Validé avec réserve",AW26:AW34))))</f>
        <v/>
      </c>
      <c r="AX37" s="141"/>
      <c r="AY37" s="205"/>
      <c r="AZ37" s="154"/>
      <c r="BA37" s="151"/>
      <c r="BB37" s="113" t="str">
        <f>IF(AY22="","",IF(AY22="Préleveur A3",#REF!,IF((SUMIF(BA26:BA34,"Validé",BB26:BB34)+SUMIF(BA26:BA34,"Validé avec réserve",BB26:BB34))&gt;100,100,SUMIF(BA26:BA34,"Validé",BB26:BB34)+SUMIF(BA26:BA34,"Validé avec réserve",BB26:BB34))))</f>
        <v/>
      </c>
      <c r="BC37" s="141"/>
      <c r="BD37" s="205"/>
      <c r="BE37" s="150"/>
      <c r="BF37" s="151"/>
      <c r="BG37" s="113" t="str">
        <f>IF(BD22="","",IF(BD22="Préleveur A3",#REF!,IF((SUMIF(BF26:BF34,"Validé",BG26:BG34)+SUMIF(BF26:BF34,"Validé avec réserve",BG26:BG34))&gt;100,100,SUMIF(BF26:BF34,"Validé",BG26:BG34)+SUMIF(BF26:BF34,"Validé avec réserve",BG26:BG34))))</f>
        <v/>
      </c>
      <c r="BH37" s="144"/>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34" priority="113" operator="containsText" text="Non contrôlé">
      <formula>NOT(ISERROR(SEARCH("Non contrôlé",C9)))</formula>
    </cfRule>
    <cfRule type="containsText" dxfId="433" priority="114" operator="containsText" text="Non validé">
      <formula>NOT(ISERROR(SEARCH("Non validé",C9)))</formula>
    </cfRule>
    <cfRule type="containsText" dxfId="432" priority="115" operator="containsText" text="réserve">
      <formula>NOT(ISERROR(SEARCH("réserve",C9)))</formula>
    </cfRule>
    <cfRule type="endsWith" dxfId="431" priority="116" operator="endsWith" text="Validé">
      <formula>RIGHT(C9,LEN("Validé"))="Validé"</formula>
    </cfRule>
  </conditionalFormatting>
  <conditionalFormatting sqref="C19:C20">
    <cfRule type="containsText" dxfId="430" priority="109" operator="containsText" text="Non contrôlé">
      <formula>NOT(ISERROR(SEARCH("Non contrôlé",C19)))</formula>
    </cfRule>
    <cfRule type="containsText" dxfId="429" priority="110" operator="containsText" text="Non validé">
      <formula>NOT(ISERROR(SEARCH("Non validé",C19)))</formula>
    </cfRule>
    <cfRule type="containsText" dxfId="428" priority="111" operator="containsText" text="réserve">
      <formula>NOT(ISERROR(SEARCH("réserve",C19)))</formula>
    </cfRule>
    <cfRule type="endsWith" dxfId="427" priority="112" operator="endsWith" text="Validé">
      <formula>RIGHT(C19,LEN("Validé"))="Validé"</formula>
    </cfRule>
  </conditionalFormatting>
  <conditionalFormatting sqref="C26:C35">
    <cfRule type="containsText" dxfId="426" priority="129" operator="containsText" text="Non contrôlé">
      <formula>NOT(ISERROR(SEARCH("Non contrôlé",C26)))</formula>
    </cfRule>
    <cfRule type="containsText" dxfId="425" priority="130" operator="containsText" text="Non validé">
      <formula>NOT(ISERROR(SEARCH("Non validé",C26)))</formula>
    </cfRule>
    <cfRule type="containsText" dxfId="424" priority="131" operator="containsText" text="réserve">
      <formula>NOT(ISERROR(SEARCH("réserve",C26)))</formula>
    </cfRule>
    <cfRule type="endsWith" dxfId="423" priority="132" operator="endsWith" text="Validé">
      <formula>RIGHT(C26,LEN("Validé"))="Validé"</formula>
    </cfRule>
  </conditionalFormatting>
  <conditionalFormatting sqref="C37">
    <cfRule type="containsText" dxfId="422" priority="125" operator="containsText" text="Non contrôlé">
      <formula>NOT(ISERROR(SEARCH("Non contrôlé",C37)))</formula>
    </cfRule>
    <cfRule type="containsText" dxfId="421" priority="126" operator="containsText" text="Non validé">
      <formula>NOT(ISERROR(SEARCH("Non validé",C37)))</formula>
    </cfRule>
    <cfRule type="containsText" dxfId="420" priority="127" operator="containsText" text="réserve">
      <formula>NOT(ISERROR(SEARCH("réserve",C37)))</formula>
    </cfRule>
    <cfRule type="endsWith" dxfId="419" priority="128" operator="endsWith" text="Validé">
      <formula>RIGHT(C37,LEN("Validé"))="Validé"</formula>
    </cfRule>
  </conditionalFormatting>
  <conditionalFormatting sqref="D19">
    <cfRule type="cellIs" dxfId="418" priority="70" operator="greaterThanOrEqual">
      <formula>80</formula>
    </cfRule>
    <cfRule type="cellIs" dxfId="417" priority="71" operator="between">
      <formula>70</formula>
      <formula>79</formula>
    </cfRule>
    <cfRule type="cellIs" dxfId="416" priority="72" operator="lessThan">
      <formula>69</formula>
    </cfRule>
  </conditionalFormatting>
  <conditionalFormatting sqref="D37">
    <cfRule type="cellIs" dxfId="415" priority="55" operator="greaterThanOrEqual">
      <formula>80</formula>
    </cfRule>
    <cfRule type="cellIs" dxfId="414" priority="56" operator="between">
      <formula>70</formula>
      <formula>79</formula>
    </cfRule>
    <cfRule type="cellIs" dxfId="413" priority="57" operator="lessThan">
      <formula>69</formula>
    </cfRule>
  </conditionalFormatting>
  <conditionalFormatting sqref="H9:H17">
    <cfRule type="containsText" dxfId="412" priority="77" operator="containsText" text="Non contrôlé">
      <formula>NOT(ISERROR(SEARCH("Non contrôlé",H9)))</formula>
    </cfRule>
    <cfRule type="containsText" dxfId="411" priority="78" operator="containsText" text="Non validé">
      <formula>NOT(ISERROR(SEARCH("Non validé",H9)))</formula>
    </cfRule>
    <cfRule type="containsText" dxfId="410" priority="79" operator="containsText" text="réserve">
      <formula>NOT(ISERROR(SEARCH("réserve",H9)))</formula>
    </cfRule>
    <cfRule type="endsWith" dxfId="409" priority="80" operator="endsWith" text="Validé">
      <formula>RIGHT(H9,LEN("Validé"))="Validé"</formula>
    </cfRule>
  </conditionalFormatting>
  <conditionalFormatting sqref="H19:H20">
    <cfRule type="containsText" dxfId="408" priority="233" operator="containsText" text="Non contrôlé">
      <formula>NOT(ISERROR(SEARCH("Non contrôlé",H19)))</formula>
    </cfRule>
    <cfRule type="containsText" dxfId="407" priority="234" operator="containsText" text="Non validé">
      <formula>NOT(ISERROR(SEARCH("Non validé",H19)))</formula>
    </cfRule>
    <cfRule type="containsText" dxfId="406" priority="235" operator="containsText" text="réserve">
      <formula>NOT(ISERROR(SEARCH("réserve",H19)))</formula>
    </cfRule>
    <cfRule type="endsWith" dxfId="405" priority="236" operator="endsWith" text="Validé">
      <formula>RIGHT(H19,LEN("Validé"))="Validé"</formula>
    </cfRule>
  </conditionalFormatting>
  <conditionalFormatting sqref="H26:H35">
    <cfRule type="containsText" dxfId="404" priority="105" operator="containsText" text="Non contrôlé">
      <formula>NOT(ISERROR(SEARCH("Non contrôlé",H26)))</formula>
    </cfRule>
    <cfRule type="containsText" dxfId="403" priority="106" operator="containsText" text="Non validé">
      <formula>NOT(ISERROR(SEARCH("Non validé",H26)))</formula>
    </cfRule>
    <cfRule type="containsText" dxfId="402" priority="107" operator="containsText" text="réserve">
      <formula>NOT(ISERROR(SEARCH("réserve",H26)))</formula>
    </cfRule>
    <cfRule type="endsWith" dxfId="401" priority="108" operator="endsWith" text="Validé">
      <formula>RIGHT(H26,LEN("Validé"))="Validé"</formula>
    </cfRule>
  </conditionalFormatting>
  <conditionalFormatting sqref="H37">
    <cfRule type="containsText" dxfId="400" priority="133" operator="containsText" text="Non contrôlé">
      <formula>NOT(ISERROR(SEARCH("Non contrôlé",H37)))</formula>
    </cfRule>
    <cfRule type="containsText" dxfId="399" priority="134" operator="containsText" text="Non validé">
      <formula>NOT(ISERROR(SEARCH("Non validé",H37)))</formula>
    </cfRule>
    <cfRule type="containsText" dxfId="398" priority="135" operator="containsText" text="réserve">
      <formula>NOT(ISERROR(SEARCH("réserve",H37)))</formula>
    </cfRule>
    <cfRule type="endsWith" dxfId="397" priority="136" operator="endsWith" text="Validé">
      <formula>RIGHT(H37,LEN("Validé"))="Validé"</formula>
    </cfRule>
  </conditionalFormatting>
  <conditionalFormatting sqref="I19">
    <cfRule type="cellIs" dxfId="396" priority="67" operator="greaterThanOrEqual">
      <formula>80</formula>
    </cfRule>
    <cfRule type="cellIs" dxfId="395" priority="68" operator="between">
      <formula>70</formula>
      <formula>79</formula>
    </cfRule>
    <cfRule type="cellIs" dxfId="394" priority="69" operator="lessThan">
      <formula>69</formula>
    </cfRule>
  </conditionalFormatting>
  <conditionalFormatting sqref="I37">
    <cfRule type="cellIs" dxfId="393" priority="52" operator="greaterThanOrEqual">
      <formula>80</formula>
    </cfRule>
    <cfRule type="cellIs" dxfId="392" priority="53" operator="between">
      <formula>70</formula>
      <formula>79</formula>
    </cfRule>
    <cfRule type="cellIs" dxfId="391" priority="54" operator="lessThan">
      <formula>69</formula>
    </cfRule>
  </conditionalFormatting>
  <conditionalFormatting sqref="M9:M17">
    <cfRule type="containsText" dxfId="390" priority="245" operator="containsText" text="Non contrôlé">
      <formula>NOT(ISERROR(SEARCH("Non contrôlé",M9)))</formula>
    </cfRule>
    <cfRule type="containsText" dxfId="389" priority="246" operator="containsText" text="Non validé">
      <formula>NOT(ISERROR(SEARCH("Non validé",M9)))</formula>
    </cfRule>
    <cfRule type="containsText" dxfId="388" priority="247" operator="containsText" text="réserve">
      <formula>NOT(ISERROR(SEARCH("réserve",M9)))</formula>
    </cfRule>
    <cfRule type="endsWith" dxfId="387" priority="248" operator="endsWith" text="Validé">
      <formula>RIGHT(M9,LEN("Validé"))="Validé"</formula>
    </cfRule>
  </conditionalFormatting>
  <conditionalFormatting sqref="M19:M20">
    <cfRule type="containsText" dxfId="386" priority="241" operator="containsText" text="Non contrôlé">
      <formula>NOT(ISERROR(SEARCH("Non contrôlé",M19)))</formula>
    </cfRule>
    <cfRule type="containsText" dxfId="385" priority="242" operator="containsText" text="Non validé">
      <formula>NOT(ISERROR(SEARCH("Non validé",M19)))</formula>
    </cfRule>
    <cfRule type="containsText" dxfId="384" priority="243" operator="containsText" text="réserve">
      <formula>NOT(ISERROR(SEARCH("réserve",M19)))</formula>
    </cfRule>
    <cfRule type="endsWith" dxfId="383" priority="244" operator="endsWith" text="Validé">
      <formula>RIGHT(M19,LEN("Validé"))="Validé"</formula>
    </cfRule>
  </conditionalFormatting>
  <conditionalFormatting sqref="M26:M34">
    <cfRule type="containsText" dxfId="382" priority="141" operator="containsText" text="Non contrôlé">
      <formula>NOT(ISERROR(SEARCH("Non contrôlé",M26)))</formula>
    </cfRule>
    <cfRule type="containsText" dxfId="381" priority="142" operator="containsText" text="Non validé">
      <formula>NOT(ISERROR(SEARCH("Non validé",M26)))</formula>
    </cfRule>
    <cfRule type="containsText" dxfId="380" priority="143" operator="containsText" text="réserve">
      <formula>NOT(ISERROR(SEARCH("réserve",M26)))</formula>
    </cfRule>
    <cfRule type="endsWith" dxfId="379" priority="144" operator="endsWith" text="Validé">
      <formula>RIGHT(M26,LEN("Validé"))="Validé"</formula>
    </cfRule>
  </conditionalFormatting>
  <conditionalFormatting sqref="M35">
    <cfRule type="containsText" dxfId="378" priority="145" operator="containsText" text="Non contrôlé">
      <formula>NOT(ISERROR(SEARCH("Non contrôlé",M35)))</formula>
    </cfRule>
    <cfRule type="containsText" dxfId="377" priority="146" operator="containsText" text="Non validé">
      <formula>NOT(ISERROR(SEARCH("Non validé",M35)))</formula>
    </cfRule>
    <cfRule type="containsText" dxfId="376" priority="147" operator="containsText" text="réserve">
      <formula>NOT(ISERROR(SEARCH("réserve",M35)))</formula>
    </cfRule>
    <cfRule type="endsWith" dxfId="375" priority="148" operator="endsWith" text="Validé">
      <formula>RIGHT(M35,LEN("Validé"))="Validé"</formula>
    </cfRule>
  </conditionalFormatting>
  <conditionalFormatting sqref="M37">
    <cfRule type="containsText" dxfId="374" priority="137" operator="containsText" text="Non contrôlé">
      <formula>NOT(ISERROR(SEARCH("Non contrôlé",M37)))</formula>
    </cfRule>
    <cfRule type="containsText" dxfId="373" priority="138" operator="containsText" text="Non validé">
      <formula>NOT(ISERROR(SEARCH("Non validé",M37)))</formula>
    </cfRule>
    <cfRule type="containsText" dxfId="372" priority="139" operator="containsText" text="réserve">
      <formula>NOT(ISERROR(SEARCH("réserve",M37)))</formula>
    </cfRule>
    <cfRule type="endsWith" dxfId="371" priority="140" operator="endsWith" text="Validé">
      <formula>RIGHT(M37,LEN("Validé"))="Validé"</formula>
    </cfRule>
  </conditionalFormatting>
  <conditionalFormatting sqref="N19">
    <cfRule type="cellIs" dxfId="370" priority="64" operator="greaterThanOrEqual">
      <formula>80</formula>
    </cfRule>
    <cfRule type="cellIs" dxfId="369" priority="65" operator="between">
      <formula>70</formula>
      <formula>79</formula>
    </cfRule>
    <cfRule type="cellIs" dxfId="368" priority="66" operator="lessThan">
      <formula>69</formula>
    </cfRule>
  </conditionalFormatting>
  <conditionalFormatting sqref="N37">
    <cfRule type="cellIs" dxfId="367" priority="49" operator="greaterThanOrEqual">
      <formula>80</formula>
    </cfRule>
    <cfRule type="cellIs" dxfId="366" priority="50" operator="between">
      <formula>70</formula>
      <formula>79</formula>
    </cfRule>
    <cfRule type="cellIs" dxfId="365" priority="51" operator="lessThan">
      <formula>69</formula>
    </cfRule>
  </conditionalFormatting>
  <conditionalFormatting sqref="R9:R17">
    <cfRule type="containsText" dxfId="364" priority="253" operator="containsText" text="Non contrôlé">
      <formula>NOT(ISERROR(SEARCH("Non contrôlé",R9)))</formula>
    </cfRule>
    <cfRule type="containsText" dxfId="363" priority="254" operator="containsText" text="Non validé">
      <formula>NOT(ISERROR(SEARCH("Non validé",R9)))</formula>
    </cfRule>
    <cfRule type="containsText" dxfId="362" priority="255" operator="containsText" text="réserve">
      <formula>NOT(ISERROR(SEARCH("réserve",R9)))</formula>
    </cfRule>
    <cfRule type="endsWith" dxfId="361" priority="256" operator="endsWith" text="Validé">
      <formula>RIGHT(R9,LEN("Validé"))="Validé"</formula>
    </cfRule>
  </conditionalFormatting>
  <conditionalFormatting sqref="R19">
    <cfRule type="containsText" dxfId="360" priority="249" operator="containsText" text="Non contrôlé">
      <formula>NOT(ISERROR(SEARCH("Non contrôlé",R19)))</formula>
    </cfRule>
    <cfRule type="containsText" dxfId="359" priority="250" operator="containsText" text="Non validé">
      <formula>NOT(ISERROR(SEARCH("Non validé",R19)))</formula>
    </cfRule>
    <cfRule type="containsText" dxfId="358" priority="251" operator="containsText" text="réserve">
      <formula>NOT(ISERROR(SEARCH("réserve",R19)))</formula>
    </cfRule>
    <cfRule type="endsWith" dxfId="357" priority="252" operator="endsWith" text="Validé">
      <formula>RIGHT(R19,LEN("Validé"))="Validé"</formula>
    </cfRule>
  </conditionalFormatting>
  <conditionalFormatting sqref="R26:R34">
    <cfRule type="containsText" dxfId="356" priority="153" operator="containsText" text="Non contrôlé">
      <formula>NOT(ISERROR(SEARCH("Non contrôlé",R26)))</formula>
    </cfRule>
    <cfRule type="containsText" dxfId="355" priority="154" operator="containsText" text="Non validé">
      <formula>NOT(ISERROR(SEARCH("Non validé",R26)))</formula>
    </cfRule>
    <cfRule type="containsText" dxfId="354" priority="155" operator="containsText" text="réserve">
      <formula>NOT(ISERROR(SEARCH("réserve",R26)))</formula>
    </cfRule>
    <cfRule type="endsWith" dxfId="353" priority="156" operator="endsWith" text="Validé">
      <formula>RIGHT(R26,LEN("Validé"))="Validé"</formula>
    </cfRule>
  </conditionalFormatting>
  <conditionalFormatting sqref="R35">
    <cfRule type="containsText" dxfId="352" priority="157" operator="containsText" text="Non contrôlé">
      <formula>NOT(ISERROR(SEARCH("Non contrôlé",R35)))</formula>
    </cfRule>
    <cfRule type="containsText" dxfId="351" priority="158" operator="containsText" text="Non validé">
      <formula>NOT(ISERROR(SEARCH("Non validé",R35)))</formula>
    </cfRule>
    <cfRule type="containsText" dxfId="350" priority="159" operator="containsText" text="réserve">
      <formula>NOT(ISERROR(SEARCH("réserve",R35)))</formula>
    </cfRule>
    <cfRule type="endsWith" dxfId="349" priority="160" operator="endsWith" text="Validé">
      <formula>RIGHT(R35,LEN("Validé"))="Validé"</formula>
    </cfRule>
  </conditionalFormatting>
  <conditionalFormatting sqref="R37">
    <cfRule type="containsText" dxfId="348" priority="149" operator="containsText" text="Non contrôlé">
      <formula>NOT(ISERROR(SEARCH("Non contrôlé",R37)))</formula>
    </cfRule>
    <cfRule type="containsText" dxfId="347" priority="150" operator="containsText" text="Non validé">
      <formula>NOT(ISERROR(SEARCH("Non validé",R37)))</formula>
    </cfRule>
    <cfRule type="containsText" dxfId="346" priority="151" operator="containsText" text="réserve">
      <formula>NOT(ISERROR(SEARCH("réserve",R37)))</formula>
    </cfRule>
    <cfRule type="endsWith" dxfId="345" priority="152" operator="endsWith" text="Validé">
      <formula>RIGHT(R37,LEN("Validé"))="Validé"</formula>
    </cfRule>
  </conditionalFormatting>
  <conditionalFormatting sqref="S19">
    <cfRule type="cellIs" dxfId="344" priority="61" operator="greaterThanOrEqual">
      <formula>80</formula>
    </cfRule>
    <cfRule type="cellIs" dxfId="343" priority="62" operator="between">
      <formula>70</formula>
      <formula>79</formula>
    </cfRule>
    <cfRule type="cellIs" dxfId="342" priority="63" operator="lessThan">
      <formula>69</formula>
    </cfRule>
  </conditionalFormatting>
  <conditionalFormatting sqref="S37">
    <cfRule type="cellIs" dxfId="341" priority="46" operator="greaterThanOrEqual">
      <formula>80</formula>
    </cfRule>
    <cfRule type="cellIs" dxfId="340" priority="47" operator="between">
      <formula>70</formula>
      <formula>79</formula>
    </cfRule>
    <cfRule type="cellIs" dxfId="339" priority="48" operator="lessThan">
      <formula>69</formula>
    </cfRule>
  </conditionalFormatting>
  <conditionalFormatting sqref="W9:W17">
    <cfRule type="containsText" dxfId="338" priority="117" operator="containsText" text="Non contrôlé">
      <formula>NOT(ISERROR(SEARCH("Non contrôlé",W9)))</formula>
    </cfRule>
    <cfRule type="containsText" dxfId="337" priority="118" operator="containsText" text="Non validé">
      <formula>NOT(ISERROR(SEARCH("Non validé",W9)))</formula>
    </cfRule>
    <cfRule type="containsText" dxfId="336" priority="119" operator="containsText" text="réserve">
      <formula>NOT(ISERROR(SEARCH("réserve",W9)))</formula>
    </cfRule>
    <cfRule type="endsWith" dxfId="335" priority="120" operator="endsWith" text="Validé">
      <formula>RIGHT(W9,LEN("Validé"))="Validé"</formula>
    </cfRule>
  </conditionalFormatting>
  <conditionalFormatting sqref="W19">
    <cfRule type="containsText" dxfId="334" priority="257" operator="containsText" text="Non contrôlé">
      <formula>NOT(ISERROR(SEARCH("Non contrôlé",W19)))</formula>
    </cfRule>
    <cfRule type="containsText" dxfId="333" priority="258" operator="containsText" text="Non validé">
      <formula>NOT(ISERROR(SEARCH("Non validé",W19)))</formula>
    </cfRule>
    <cfRule type="containsText" dxfId="332" priority="259" operator="containsText" text="réserve">
      <formula>NOT(ISERROR(SEARCH("réserve",W19)))</formula>
    </cfRule>
    <cfRule type="endsWith" dxfId="331" priority="260" operator="endsWith" text="Validé">
      <formula>RIGHT(W19,LEN("Validé"))="Validé"</formula>
    </cfRule>
  </conditionalFormatting>
  <conditionalFormatting sqref="W26:W34">
    <cfRule type="containsText" dxfId="330" priority="165" operator="containsText" text="Non contrôlé">
      <formula>NOT(ISERROR(SEARCH("Non contrôlé",W26)))</formula>
    </cfRule>
    <cfRule type="containsText" dxfId="329" priority="166" operator="containsText" text="Non validé">
      <formula>NOT(ISERROR(SEARCH("Non validé",W26)))</formula>
    </cfRule>
    <cfRule type="containsText" dxfId="328" priority="167" operator="containsText" text="réserve">
      <formula>NOT(ISERROR(SEARCH("réserve",W26)))</formula>
    </cfRule>
    <cfRule type="endsWith" dxfId="327" priority="168" operator="endsWith" text="Validé">
      <formula>RIGHT(W26,LEN("Validé"))="Validé"</formula>
    </cfRule>
  </conditionalFormatting>
  <conditionalFormatting sqref="W35">
    <cfRule type="containsText" dxfId="326" priority="169" operator="containsText" text="Non contrôlé">
      <formula>NOT(ISERROR(SEARCH("Non contrôlé",W35)))</formula>
    </cfRule>
    <cfRule type="containsText" dxfId="325" priority="170" operator="containsText" text="Non validé">
      <formula>NOT(ISERROR(SEARCH("Non validé",W35)))</formula>
    </cfRule>
    <cfRule type="containsText" dxfId="324" priority="171" operator="containsText" text="réserve">
      <formula>NOT(ISERROR(SEARCH("réserve",W35)))</formula>
    </cfRule>
    <cfRule type="endsWith" dxfId="323" priority="172" operator="endsWith" text="Validé">
      <formula>RIGHT(W35,LEN("Validé"))="Validé"</formula>
    </cfRule>
  </conditionalFormatting>
  <conditionalFormatting sqref="W37">
    <cfRule type="containsText" dxfId="322" priority="161" operator="containsText" text="Non contrôlé">
      <formula>NOT(ISERROR(SEARCH("Non contrôlé",W37)))</formula>
    </cfRule>
    <cfRule type="containsText" dxfId="321" priority="162" operator="containsText" text="Non validé">
      <formula>NOT(ISERROR(SEARCH("Non validé",W37)))</formula>
    </cfRule>
    <cfRule type="containsText" dxfId="320" priority="163" operator="containsText" text="réserve">
      <formula>NOT(ISERROR(SEARCH("réserve",W37)))</formula>
    </cfRule>
    <cfRule type="endsWith" dxfId="319" priority="164" operator="endsWith" text="Validé">
      <formula>RIGHT(W37,LEN("Validé"))="Validé"</formula>
    </cfRule>
  </conditionalFormatting>
  <conditionalFormatting sqref="X19">
    <cfRule type="cellIs" dxfId="318" priority="58" operator="greaterThanOrEqual">
      <formula>80</formula>
    </cfRule>
    <cfRule type="cellIs" dxfId="317" priority="59" operator="between">
      <formula>70</formula>
      <formula>79</formula>
    </cfRule>
    <cfRule type="cellIs" dxfId="316" priority="60" operator="lessThan">
      <formula>69</formula>
    </cfRule>
  </conditionalFormatting>
  <conditionalFormatting sqref="X37">
    <cfRule type="cellIs" dxfId="315" priority="43" operator="greaterThanOrEqual">
      <formula>80</formula>
    </cfRule>
    <cfRule type="cellIs" dxfId="314" priority="44" operator="between">
      <formula>70</formula>
      <formula>79</formula>
    </cfRule>
    <cfRule type="cellIs" dxfId="313" priority="45" operator="lessThan">
      <formula>69</formula>
    </cfRule>
  </conditionalFormatting>
  <conditionalFormatting sqref="AB9:AB17">
    <cfRule type="containsText" dxfId="312" priority="269" operator="containsText" text="Non contrôlé">
      <formula>NOT(ISERROR(SEARCH("Non contrôlé",AB9)))</formula>
    </cfRule>
    <cfRule type="containsText" dxfId="311" priority="270" operator="containsText" text="Non validé">
      <formula>NOT(ISERROR(SEARCH("Non validé",AB9)))</formula>
    </cfRule>
    <cfRule type="containsText" dxfId="310" priority="271" operator="containsText" text="réserve">
      <formula>NOT(ISERROR(SEARCH("réserve",AB9)))</formula>
    </cfRule>
    <cfRule type="endsWith" dxfId="309" priority="272" operator="endsWith" text="Validé">
      <formula>RIGHT(AB9,LEN("Validé"))="Validé"</formula>
    </cfRule>
  </conditionalFormatting>
  <conditionalFormatting sqref="AB19">
    <cfRule type="containsText" dxfId="308" priority="265" operator="containsText" text="Non contrôlé">
      <formula>NOT(ISERROR(SEARCH("Non contrôlé",AB19)))</formula>
    </cfRule>
    <cfRule type="containsText" dxfId="307" priority="266" operator="containsText" text="Non validé">
      <formula>NOT(ISERROR(SEARCH("Non validé",AB19)))</formula>
    </cfRule>
    <cfRule type="containsText" dxfId="306" priority="267" operator="containsText" text="réserve">
      <formula>NOT(ISERROR(SEARCH("réserve",AB19)))</formula>
    </cfRule>
    <cfRule type="endsWith" dxfId="305" priority="268" operator="endsWith" text="Validé">
      <formula>RIGHT(AB19,LEN("Validé"))="Validé"</formula>
    </cfRule>
  </conditionalFormatting>
  <conditionalFormatting sqref="AB26:AB34">
    <cfRule type="containsText" dxfId="304" priority="177" operator="containsText" text="Non contrôlé">
      <formula>NOT(ISERROR(SEARCH("Non contrôlé",AB26)))</formula>
    </cfRule>
    <cfRule type="containsText" dxfId="303" priority="178" operator="containsText" text="Non validé">
      <formula>NOT(ISERROR(SEARCH("Non validé",AB26)))</formula>
    </cfRule>
    <cfRule type="containsText" dxfId="302" priority="179" operator="containsText" text="réserve">
      <formula>NOT(ISERROR(SEARCH("réserve",AB26)))</formula>
    </cfRule>
    <cfRule type="endsWith" dxfId="301" priority="180" operator="endsWith" text="Validé">
      <formula>RIGHT(AB26,LEN("Validé"))="Validé"</formula>
    </cfRule>
  </conditionalFormatting>
  <conditionalFormatting sqref="AB35">
    <cfRule type="containsText" dxfId="300" priority="181" operator="containsText" text="Non contrôlé">
      <formula>NOT(ISERROR(SEARCH("Non contrôlé",AB35)))</formula>
    </cfRule>
    <cfRule type="containsText" dxfId="299" priority="182" operator="containsText" text="Non validé">
      <formula>NOT(ISERROR(SEARCH("Non validé",AB35)))</formula>
    </cfRule>
    <cfRule type="containsText" dxfId="298" priority="183" operator="containsText" text="réserve">
      <formula>NOT(ISERROR(SEARCH("réserve",AB35)))</formula>
    </cfRule>
    <cfRule type="endsWith" dxfId="297" priority="184" operator="endsWith" text="Validé">
      <formula>RIGHT(AB35,LEN("Validé"))="Validé"</formula>
    </cfRule>
  </conditionalFormatting>
  <conditionalFormatting sqref="AB37">
    <cfRule type="containsText" dxfId="296" priority="173" operator="containsText" text="Non contrôlé">
      <formula>NOT(ISERROR(SEARCH("Non contrôlé",AB37)))</formula>
    </cfRule>
    <cfRule type="containsText" dxfId="295" priority="174" operator="containsText" text="Non validé">
      <formula>NOT(ISERROR(SEARCH("Non validé",AB37)))</formula>
    </cfRule>
    <cfRule type="containsText" dxfId="294" priority="175" operator="containsText" text="réserve">
      <formula>NOT(ISERROR(SEARCH("réserve",AB37)))</formula>
    </cfRule>
    <cfRule type="endsWith" dxfId="293" priority="176" operator="endsWith" text="Validé">
      <formula>RIGHT(AB37,LEN("Validé"))="Validé"</formula>
    </cfRule>
  </conditionalFormatting>
  <conditionalFormatting sqref="AC19">
    <cfRule type="cellIs" dxfId="292" priority="40" operator="greaterThanOrEqual">
      <formula>80</formula>
    </cfRule>
    <cfRule type="cellIs" dxfId="291" priority="41" operator="between">
      <formula>70</formula>
      <formula>79</formula>
    </cfRule>
    <cfRule type="cellIs" dxfId="290" priority="42" operator="lessThan">
      <formula>69</formula>
    </cfRule>
  </conditionalFormatting>
  <conditionalFormatting sqref="AC37">
    <cfRule type="cellIs" dxfId="289" priority="31" operator="greaterThanOrEqual">
      <formula>80</formula>
    </cfRule>
    <cfRule type="cellIs" dxfId="288" priority="32" operator="between">
      <formula>70</formula>
      <formula>79</formula>
    </cfRule>
    <cfRule type="cellIs" dxfId="287" priority="33" operator="lessThan">
      <formula>69</formula>
    </cfRule>
  </conditionalFormatting>
  <conditionalFormatting sqref="AG9:AG17">
    <cfRule type="containsText" dxfId="286" priority="277" operator="containsText" text="Non contrôlé">
      <formula>NOT(ISERROR(SEARCH("Non contrôlé",AG9)))</formula>
    </cfRule>
    <cfRule type="containsText" dxfId="285" priority="278" operator="containsText" text="Non validé">
      <formula>NOT(ISERROR(SEARCH("Non validé",AG9)))</formula>
    </cfRule>
    <cfRule type="containsText" dxfId="284" priority="279" operator="containsText" text="réserve">
      <formula>NOT(ISERROR(SEARCH("réserve",AG9)))</formula>
    </cfRule>
    <cfRule type="endsWith" dxfId="283" priority="280" operator="endsWith" text="Validé">
      <formula>RIGHT(AG9,LEN("Validé"))="Validé"</formula>
    </cfRule>
  </conditionalFormatting>
  <conditionalFormatting sqref="AG19">
    <cfRule type="containsText" dxfId="282" priority="273" operator="containsText" text="Non contrôlé">
      <formula>NOT(ISERROR(SEARCH("Non contrôlé",AG19)))</formula>
    </cfRule>
    <cfRule type="containsText" dxfId="281" priority="274" operator="containsText" text="Non validé">
      <formula>NOT(ISERROR(SEARCH("Non validé",AG19)))</formula>
    </cfRule>
    <cfRule type="containsText" dxfId="280" priority="275" operator="containsText" text="réserve">
      <formula>NOT(ISERROR(SEARCH("réserve",AG19)))</formula>
    </cfRule>
    <cfRule type="endsWith" dxfId="279" priority="276" operator="endsWith" text="Validé">
      <formula>RIGHT(AG19,LEN("Validé"))="Validé"</formula>
    </cfRule>
  </conditionalFormatting>
  <conditionalFormatting sqref="AG26:AG34">
    <cfRule type="containsText" dxfId="278" priority="189" operator="containsText" text="Non contrôlé">
      <formula>NOT(ISERROR(SEARCH("Non contrôlé",AG26)))</formula>
    </cfRule>
    <cfRule type="containsText" dxfId="277" priority="190" operator="containsText" text="Non validé">
      <formula>NOT(ISERROR(SEARCH("Non validé",AG26)))</formula>
    </cfRule>
    <cfRule type="containsText" dxfId="276" priority="191" operator="containsText" text="réserve">
      <formula>NOT(ISERROR(SEARCH("réserve",AG26)))</formula>
    </cfRule>
    <cfRule type="endsWith" dxfId="275" priority="192" operator="endsWith" text="Validé">
      <formula>RIGHT(AG26,LEN("Validé"))="Validé"</formula>
    </cfRule>
  </conditionalFormatting>
  <conditionalFormatting sqref="AG35">
    <cfRule type="containsText" dxfId="274" priority="193" operator="containsText" text="Non contrôlé">
      <formula>NOT(ISERROR(SEARCH("Non contrôlé",AG35)))</formula>
    </cfRule>
    <cfRule type="containsText" dxfId="273" priority="194" operator="containsText" text="Non validé">
      <formula>NOT(ISERROR(SEARCH("Non validé",AG35)))</formula>
    </cfRule>
    <cfRule type="containsText" dxfId="272" priority="195" operator="containsText" text="réserve">
      <formula>NOT(ISERROR(SEARCH("réserve",AG35)))</formula>
    </cfRule>
    <cfRule type="endsWith" dxfId="271" priority="196" operator="endsWith" text="Validé">
      <formula>RIGHT(AG35,LEN("Validé"))="Validé"</formula>
    </cfRule>
  </conditionalFormatting>
  <conditionalFormatting sqref="AG37">
    <cfRule type="containsText" dxfId="270" priority="185" operator="containsText" text="Non contrôlé">
      <formula>NOT(ISERROR(SEARCH("Non contrôlé",AG37)))</formula>
    </cfRule>
    <cfRule type="containsText" dxfId="269" priority="186" operator="containsText" text="Non validé">
      <formula>NOT(ISERROR(SEARCH("Non validé",AG37)))</formula>
    </cfRule>
    <cfRule type="containsText" dxfId="268" priority="187" operator="containsText" text="réserve">
      <formula>NOT(ISERROR(SEARCH("réserve",AG37)))</formula>
    </cfRule>
    <cfRule type="endsWith" dxfId="267" priority="188" operator="endsWith" text="Validé">
      <formula>RIGHT(AG37,LEN("Validé"))="Validé"</formula>
    </cfRule>
  </conditionalFormatting>
  <conditionalFormatting sqref="AH19">
    <cfRule type="cellIs" dxfId="266" priority="37" operator="greaterThanOrEqual">
      <formula>80</formula>
    </cfRule>
    <cfRule type="cellIs" dxfId="265" priority="38" operator="between">
      <formula>70</formula>
      <formula>79</formula>
    </cfRule>
    <cfRule type="cellIs" dxfId="264" priority="39" operator="lessThan">
      <formula>69</formula>
    </cfRule>
  </conditionalFormatting>
  <conditionalFormatting sqref="AH37">
    <cfRule type="cellIs" dxfId="263" priority="28" operator="greaterThanOrEqual">
      <formula>80</formula>
    </cfRule>
    <cfRule type="cellIs" dxfId="262" priority="29" operator="between">
      <formula>70</formula>
      <formula>79</formula>
    </cfRule>
    <cfRule type="cellIs" dxfId="261" priority="30" operator="lessThan">
      <formula>69</formula>
    </cfRule>
  </conditionalFormatting>
  <conditionalFormatting sqref="AL9:AL17">
    <cfRule type="containsText" dxfId="260" priority="285" operator="containsText" text="Non contrôlé">
      <formula>NOT(ISERROR(SEARCH("Non contrôlé",AL9)))</formula>
    </cfRule>
    <cfRule type="containsText" dxfId="259" priority="286" operator="containsText" text="Non validé">
      <formula>NOT(ISERROR(SEARCH("Non validé",AL9)))</formula>
    </cfRule>
    <cfRule type="containsText" dxfId="258" priority="287" operator="containsText" text="réserve">
      <formula>NOT(ISERROR(SEARCH("réserve",AL9)))</formula>
    </cfRule>
    <cfRule type="endsWith" dxfId="257" priority="288" operator="endsWith" text="Validé">
      <formula>RIGHT(AL9,LEN("Validé"))="Validé"</formula>
    </cfRule>
  </conditionalFormatting>
  <conditionalFormatting sqref="AL19">
    <cfRule type="containsText" dxfId="256" priority="281" operator="containsText" text="Non contrôlé">
      <formula>NOT(ISERROR(SEARCH("Non contrôlé",AL19)))</formula>
    </cfRule>
    <cfRule type="containsText" dxfId="255" priority="282" operator="containsText" text="Non validé">
      <formula>NOT(ISERROR(SEARCH("Non validé",AL19)))</formula>
    </cfRule>
    <cfRule type="containsText" dxfId="254" priority="283" operator="containsText" text="réserve">
      <formula>NOT(ISERROR(SEARCH("réserve",AL19)))</formula>
    </cfRule>
    <cfRule type="endsWith" dxfId="253" priority="284" operator="endsWith" text="Validé">
      <formula>RIGHT(AL19,LEN("Validé"))="Validé"</formula>
    </cfRule>
  </conditionalFormatting>
  <conditionalFormatting sqref="AL26:AL34">
    <cfRule type="containsText" dxfId="252" priority="201" operator="containsText" text="Non contrôlé">
      <formula>NOT(ISERROR(SEARCH("Non contrôlé",AL26)))</formula>
    </cfRule>
    <cfRule type="containsText" dxfId="251" priority="202" operator="containsText" text="Non validé">
      <formula>NOT(ISERROR(SEARCH("Non validé",AL26)))</formula>
    </cfRule>
    <cfRule type="containsText" dxfId="250" priority="203" operator="containsText" text="réserve">
      <formula>NOT(ISERROR(SEARCH("réserve",AL26)))</formula>
    </cfRule>
    <cfRule type="endsWith" dxfId="249" priority="204" operator="endsWith" text="Validé">
      <formula>RIGHT(AL26,LEN("Validé"))="Validé"</formula>
    </cfRule>
  </conditionalFormatting>
  <conditionalFormatting sqref="AL35">
    <cfRule type="containsText" dxfId="248" priority="205" operator="containsText" text="Non contrôlé">
      <formula>NOT(ISERROR(SEARCH("Non contrôlé",AL35)))</formula>
    </cfRule>
    <cfRule type="containsText" dxfId="247" priority="206" operator="containsText" text="Non validé">
      <formula>NOT(ISERROR(SEARCH("Non validé",AL35)))</formula>
    </cfRule>
    <cfRule type="containsText" dxfId="246" priority="207" operator="containsText" text="réserve">
      <formula>NOT(ISERROR(SEARCH("réserve",AL35)))</formula>
    </cfRule>
    <cfRule type="endsWith" dxfId="245" priority="208" operator="endsWith" text="Validé">
      <formula>RIGHT(AL35,LEN("Validé"))="Validé"</formula>
    </cfRule>
  </conditionalFormatting>
  <conditionalFormatting sqref="AL37">
    <cfRule type="containsText" dxfId="244" priority="197" operator="containsText" text="Non contrôlé">
      <formula>NOT(ISERROR(SEARCH("Non contrôlé",AL37)))</formula>
    </cfRule>
    <cfRule type="containsText" dxfId="243" priority="198" operator="containsText" text="Non validé">
      <formula>NOT(ISERROR(SEARCH("Non validé",AL37)))</formula>
    </cfRule>
    <cfRule type="containsText" dxfId="242" priority="199" operator="containsText" text="réserve">
      <formula>NOT(ISERROR(SEARCH("réserve",AL37)))</formula>
    </cfRule>
    <cfRule type="endsWith" dxfId="241" priority="200" operator="endsWith" text="Validé">
      <formula>RIGHT(AL37,LEN("Validé"))="Validé"</formula>
    </cfRule>
  </conditionalFormatting>
  <conditionalFormatting sqref="AM19">
    <cfRule type="cellIs" dxfId="240" priority="34" operator="greaterThanOrEqual">
      <formula>80</formula>
    </cfRule>
    <cfRule type="cellIs" dxfId="239" priority="35" operator="between">
      <formula>70</formula>
      <formula>79</formula>
    </cfRule>
    <cfRule type="cellIs" dxfId="238" priority="36" operator="lessThan">
      <formula>69</formula>
    </cfRule>
  </conditionalFormatting>
  <conditionalFormatting sqref="AM37">
    <cfRule type="cellIs" dxfId="237" priority="25" operator="greaterThanOrEqual">
      <formula>80</formula>
    </cfRule>
    <cfRule type="cellIs" dxfId="236" priority="26" operator="between">
      <formula>70</formula>
      <formula>79</formula>
    </cfRule>
    <cfRule type="cellIs" dxfId="235" priority="27" operator="lessThan">
      <formula>69</formula>
    </cfRule>
  </conditionalFormatting>
  <conditionalFormatting sqref="AQ9:AQ17">
    <cfRule type="containsText" dxfId="234" priority="293" operator="containsText" text="Non contrôlé">
      <formula>NOT(ISERROR(SEARCH("Non contrôlé",AQ9)))</formula>
    </cfRule>
    <cfRule type="containsText" dxfId="233" priority="294" operator="containsText" text="Non validé">
      <formula>NOT(ISERROR(SEARCH("Non validé",AQ9)))</formula>
    </cfRule>
    <cfRule type="containsText" dxfId="232" priority="295" operator="containsText" text="réserve">
      <formula>NOT(ISERROR(SEARCH("réserve",AQ9)))</formula>
    </cfRule>
    <cfRule type="endsWith" dxfId="231" priority="296" operator="endsWith" text="Validé">
      <formula>RIGHT(AQ9,LEN("Validé"))="Validé"</formula>
    </cfRule>
  </conditionalFormatting>
  <conditionalFormatting sqref="AQ19">
    <cfRule type="containsText" dxfId="230" priority="289" operator="containsText" text="Non contrôlé">
      <formula>NOT(ISERROR(SEARCH("Non contrôlé",AQ19)))</formula>
    </cfRule>
    <cfRule type="containsText" dxfId="229" priority="290" operator="containsText" text="Non validé">
      <formula>NOT(ISERROR(SEARCH("Non validé",AQ19)))</formula>
    </cfRule>
    <cfRule type="containsText" dxfId="228" priority="291" operator="containsText" text="réserve">
      <formula>NOT(ISERROR(SEARCH("réserve",AQ19)))</formula>
    </cfRule>
    <cfRule type="endsWith" dxfId="227" priority="292" operator="endsWith" text="Validé">
      <formula>RIGHT(AQ19,LEN("Validé"))="Validé"</formula>
    </cfRule>
  </conditionalFormatting>
  <conditionalFormatting sqref="AQ26:AQ34">
    <cfRule type="containsText" dxfId="226" priority="213" operator="containsText" text="Non contrôlé">
      <formula>NOT(ISERROR(SEARCH("Non contrôlé",AQ26)))</formula>
    </cfRule>
    <cfRule type="containsText" dxfId="225" priority="214" operator="containsText" text="Non validé">
      <formula>NOT(ISERROR(SEARCH("Non validé",AQ26)))</formula>
    </cfRule>
    <cfRule type="containsText" dxfId="224" priority="215" operator="containsText" text="réserve">
      <formula>NOT(ISERROR(SEARCH("réserve",AQ26)))</formula>
    </cfRule>
    <cfRule type="endsWith" dxfId="223" priority="216" operator="endsWith" text="Validé">
      <formula>RIGHT(AQ26,LEN("Validé"))="Validé"</formula>
    </cfRule>
  </conditionalFormatting>
  <conditionalFormatting sqref="AQ35">
    <cfRule type="containsText" dxfId="222" priority="217" operator="containsText" text="Non contrôlé">
      <formula>NOT(ISERROR(SEARCH("Non contrôlé",AQ35)))</formula>
    </cfRule>
    <cfRule type="containsText" dxfId="221" priority="218" operator="containsText" text="Non validé">
      <formula>NOT(ISERROR(SEARCH("Non validé",AQ35)))</formula>
    </cfRule>
    <cfRule type="containsText" dxfId="220" priority="219" operator="containsText" text="réserve">
      <formula>NOT(ISERROR(SEARCH("réserve",AQ35)))</formula>
    </cfRule>
    <cfRule type="endsWith" dxfId="219" priority="220" operator="endsWith" text="Validé">
      <formula>RIGHT(AQ35,LEN("Validé"))="Validé"</formula>
    </cfRule>
  </conditionalFormatting>
  <conditionalFormatting sqref="AQ37">
    <cfRule type="containsText" dxfId="218" priority="209" operator="containsText" text="Non contrôlé">
      <formula>NOT(ISERROR(SEARCH("Non contrôlé",AQ37)))</formula>
    </cfRule>
    <cfRule type="containsText" dxfId="217" priority="210" operator="containsText" text="Non validé">
      <formula>NOT(ISERROR(SEARCH("Non validé",AQ37)))</formula>
    </cfRule>
    <cfRule type="containsText" dxfId="216" priority="211" operator="containsText" text="réserve">
      <formula>NOT(ISERROR(SEARCH("réserve",AQ37)))</formula>
    </cfRule>
    <cfRule type="endsWith" dxfId="215" priority="212" operator="endsWith" text="Validé">
      <formula>RIGHT(AQ37,LEN("Validé"))="Validé"</formula>
    </cfRule>
  </conditionalFormatting>
  <conditionalFormatting sqref="AR19">
    <cfRule type="cellIs" dxfId="214" priority="19" operator="greaterThanOrEqual">
      <formula>80</formula>
    </cfRule>
    <cfRule type="cellIs" dxfId="213" priority="20" operator="between">
      <formula>70</formula>
      <formula>79</formula>
    </cfRule>
    <cfRule type="cellIs" dxfId="212" priority="21" operator="lessThan">
      <formula>69</formula>
    </cfRule>
  </conditionalFormatting>
  <conditionalFormatting sqref="AR37">
    <cfRule type="cellIs" dxfId="211" priority="22" operator="greaterThanOrEqual">
      <formula>80</formula>
    </cfRule>
    <cfRule type="cellIs" dxfId="210" priority="23" operator="between">
      <formula>70</formula>
      <formula>79</formula>
    </cfRule>
    <cfRule type="cellIs" dxfId="209" priority="24" operator="lessThan">
      <formula>69</formula>
    </cfRule>
  </conditionalFormatting>
  <conditionalFormatting sqref="AV9:AV17">
    <cfRule type="containsText" dxfId="208" priority="301" operator="containsText" text="Non contrôlé">
      <formula>NOT(ISERROR(SEARCH("Non contrôlé",AV9)))</formula>
    </cfRule>
    <cfRule type="containsText" dxfId="207" priority="302" operator="containsText" text="Non validé">
      <formula>NOT(ISERROR(SEARCH("Non validé",AV9)))</formula>
    </cfRule>
    <cfRule type="containsText" dxfId="206" priority="303" operator="containsText" text="réserve">
      <formula>NOT(ISERROR(SEARCH("réserve",AV9)))</formula>
    </cfRule>
    <cfRule type="endsWith" dxfId="205" priority="304" operator="endsWith" text="Validé">
      <formula>RIGHT(AV9,LEN("Validé"))="Validé"</formula>
    </cfRule>
  </conditionalFormatting>
  <conditionalFormatting sqref="AV19">
    <cfRule type="containsText" dxfId="204" priority="297" operator="containsText" text="Non contrôlé">
      <formula>NOT(ISERROR(SEARCH("Non contrôlé",AV19)))</formula>
    </cfRule>
    <cfRule type="containsText" dxfId="203" priority="298" operator="containsText" text="Non validé">
      <formula>NOT(ISERROR(SEARCH("Non validé",AV19)))</formula>
    </cfRule>
    <cfRule type="containsText" dxfId="202" priority="299" operator="containsText" text="réserve">
      <formula>NOT(ISERROR(SEARCH("réserve",AV19)))</formula>
    </cfRule>
    <cfRule type="endsWith" dxfId="201" priority="300" operator="endsWith" text="Validé">
      <formula>RIGHT(AV19,LEN("Validé"))="Validé"</formula>
    </cfRule>
  </conditionalFormatting>
  <conditionalFormatting sqref="AV26:AV34">
    <cfRule type="containsText" dxfId="200" priority="85" operator="containsText" text="Non contrôlé">
      <formula>NOT(ISERROR(SEARCH("Non contrôlé",AV26)))</formula>
    </cfRule>
    <cfRule type="containsText" dxfId="199" priority="86" operator="containsText" text="Non validé">
      <formula>NOT(ISERROR(SEARCH("Non validé",AV26)))</formula>
    </cfRule>
    <cfRule type="containsText" dxfId="198" priority="87" operator="containsText" text="réserve">
      <formula>NOT(ISERROR(SEARCH("réserve",AV26)))</formula>
    </cfRule>
    <cfRule type="endsWith" dxfId="197" priority="88" operator="endsWith" text="Validé">
      <formula>RIGHT(AV26,LEN("Validé"))="Validé"</formula>
    </cfRule>
  </conditionalFormatting>
  <conditionalFormatting sqref="AV35">
    <cfRule type="containsText" dxfId="196" priority="89" operator="containsText" text="Non contrôlé">
      <formula>NOT(ISERROR(SEARCH("Non contrôlé",AV35)))</formula>
    </cfRule>
    <cfRule type="containsText" dxfId="195" priority="90" operator="containsText" text="Non validé">
      <formula>NOT(ISERROR(SEARCH("Non validé",AV35)))</formula>
    </cfRule>
    <cfRule type="containsText" dxfId="194" priority="91" operator="containsText" text="réserve">
      <formula>NOT(ISERROR(SEARCH("réserve",AV35)))</formula>
    </cfRule>
    <cfRule type="endsWith" dxfId="193" priority="92" operator="endsWith" text="Validé">
      <formula>RIGHT(AV35,LEN("Validé"))="Validé"</formula>
    </cfRule>
  </conditionalFormatting>
  <conditionalFormatting sqref="AV37">
    <cfRule type="containsText" dxfId="192" priority="221" operator="containsText" text="Non contrôlé">
      <formula>NOT(ISERROR(SEARCH("Non contrôlé",AV37)))</formula>
    </cfRule>
    <cfRule type="containsText" dxfId="191" priority="222" operator="containsText" text="Non validé">
      <formula>NOT(ISERROR(SEARCH("Non validé",AV37)))</formula>
    </cfRule>
    <cfRule type="containsText" dxfId="190" priority="223" operator="containsText" text="réserve">
      <formula>NOT(ISERROR(SEARCH("réserve",AV37)))</formula>
    </cfRule>
    <cfRule type="endsWith" dxfId="189" priority="224" operator="endsWith" text="Validé">
      <formula>RIGHT(AV37,LEN("Validé"))="Validé"</formula>
    </cfRule>
  </conditionalFormatting>
  <conditionalFormatting sqref="AW19">
    <cfRule type="cellIs" dxfId="188" priority="16" operator="greaterThanOrEqual">
      <formula>80</formula>
    </cfRule>
    <cfRule type="cellIs" dxfId="187" priority="17" operator="between">
      <formula>70</formula>
      <formula>79</formula>
    </cfRule>
    <cfRule type="cellIs" dxfId="186" priority="18" operator="lessThan">
      <formula>69</formula>
    </cfRule>
  </conditionalFormatting>
  <conditionalFormatting sqref="AW37">
    <cfRule type="cellIs" dxfId="185" priority="1" operator="greaterThanOrEqual">
      <formula>80</formula>
    </cfRule>
    <cfRule type="cellIs" dxfId="184" priority="2" operator="between">
      <formula>70</formula>
      <formula>79</formula>
    </cfRule>
    <cfRule type="cellIs" dxfId="183" priority="3" operator="lessThan">
      <formula>69</formula>
    </cfRule>
  </conditionalFormatting>
  <conditionalFormatting sqref="BA9:BA17">
    <cfRule type="containsText" dxfId="182" priority="73" operator="containsText" text="Non contrôlé">
      <formula>NOT(ISERROR(SEARCH("Non contrôlé",BA9)))</formula>
    </cfRule>
    <cfRule type="containsText" dxfId="181" priority="74" operator="containsText" text="Non validé">
      <formula>NOT(ISERROR(SEARCH("Non validé",BA9)))</formula>
    </cfRule>
    <cfRule type="containsText" dxfId="180" priority="75" operator="containsText" text="réserve">
      <formula>NOT(ISERROR(SEARCH("réserve",BA9)))</formula>
    </cfRule>
    <cfRule type="endsWith" dxfId="179" priority="76" operator="endsWith" text="Validé">
      <formula>RIGHT(BA9,LEN("Validé"))="Validé"</formula>
    </cfRule>
  </conditionalFormatting>
  <conditionalFormatting sqref="BA19">
    <cfRule type="containsText" dxfId="178" priority="305" operator="containsText" text="Non contrôlé">
      <formula>NOT(ISERROR(SEARCH("Non contrôlé",BA19)))</formula>
    </cfRule>
    <cfRule type="containsText" dxfId="177" priority="306" operator="containsText" text="Non validé">
      <formula>NOT(ISERROR(SEARCH("Non validé",BA19)))</formula>
    </cfRule>
    <cfRule type="containsText" dxfId="176" priority="307" operator="containsText" text="réserve">
      <formula>NOT(ISERROR(SEARCH("réserve",BA19)))</formula>
    </cfRule>
    <cfRule type="endsWith" dxfId="175" priority="308" operator="endsWith" text="Validé">
      <formula>RIGHT(BA19,LEN("Validé"))="Validé"</formula>
    </cfRule>
  </conditionalFormatting>
  <conditionalFormatting sqref="BA26:BA34">
    <cfRule type="containsText" dxfId="174" priority="93" operator="containsText" text="Non contrôlé">
      <formula>NOT(ISERROR(SEARCH("Non contrôlé",BA26)))</formula>
    </cfRule>
    <cfRule type="containsText" dxfId="173" priority="94" operator="containsText" text="Non validé">
      <formula>NOT(ISERROR(SEARCH("Non validé",BA26)))</formula>
    </cfRule>
    <cfRule type="containsText" dxfId="172" priority="95" operator="containsText" text="réserve">
      <formula>NOT(ISERROR(SEARCH("réserve",BA26)))</formula>
    </cfRule>
    <cfRule type="endsWith" dxfId="171" priority="96" operator="endsWith" text="Validé">
      <formula>RIGHT(BA26,LEN("Validé"))="Validé"</formula>
    </cfRule>
  </conditionalFormatting>
  <conditionalFormatting sqref="BA35">
    <cfRule type="containsText" dxfId="170" priority="97" operator="containsText" text="Non contrôlé">
      <formula>NOT(ISERROR(SEARCH("Non contrôlé",BA35)))</formula>
    </cfRule>
    <cfRule type="containsText" dxfId="169" priority="98" operator="containsText" text="Non validé">
      <formula>NOT(ISERROR(SEARCH("Non validé",BA35)))</formula>
    </cfRule>
    <cfRule type="containsText" dxfId="168" priority="99" operator="containsText" text="réserve">
      <formula>NOT(ISERROR(SEARCH("réserve",BA35)))</formula>
    </cfRule>
    <cfRule type="endsWith" dxfId="167" priority="100" operator="endsWith" text="Validé">
      <formula>RIGHT(BA35,LEN("Validé"))="Validé"</formula>
    </cfRule>
  </conditionalFormatting>
  <conditionalFormatting sqref="BA37">
    <cfRule type="containsText" dxfId="166" priority="225" operator="containsText" text="Non contrôlé">
      <formula>NOT(ISERROR(SEARCH("Non contrôlé",BA37)))</formula>
    </cfRule>
    <cfRule type="containsText" dxfId="165" priority="226" operator="containsText" text="Non validé">
      <formula>NOT(ISERROR(SEARCH("Non validé",BA37)))</formula>
    </cfRule>
    <cfRule type="containsText" dxfId="164" priority="227" operator="containsText" text="réserve">
      <formula>NOT(ISERROR(SEARCH("réserve",BA37)))</formula>
    </cfRule>
    <cfRule type="endsWith" dxfId="163" priority="228" operator="endsWith" text="Validé">
      <formula>RIGHT(BA37,LEN("Validé"))="Validé"</formula>
    </cfRule>
  </conditionalFormatting>
  <conditionalFormatting sqref="BB19">
    <cfRule type="cellIs" dxfId="162" priority="13" operator="greaterThanOrEqual">
      <formula>80</formula>
    </cfRule>
    <cfRule type="cellIs" dxfId="161" priority="14" operator="between">
      <formula>70</formula>
      <formula>79</formula>
    </cfRule>
    <cfRule type="cellIs" dxfId="160" priority="15" operator="lessThan">
      <formula>69</formula>
    </cfRule>
  </conditionalFormatting>
  <conditionalFormatting sqref="BB37">
    <cfRule type="cellIs" dxfId="159" priority="4" operator="greaterThanOrEqual">
      <formula>80</formula>
    </cfRule>
    <cfRule type="cellIs" dxfId="158" priority="5" operator="between">
      <formula>70</formula>
      <formula>79</formula>
    </cfRule>
    <cfRule type="cellIs" dxfId="157" priority="6" operator="lessThan">
      <formula>69</formula>
    </cfRule>
  </conditionalFormatting>
  <conditionalFormatting sqref="BF9:BF17">
    <cfRule type="containsText" dxfId="156" priority="317" operator="containsText" text="Non contrôlé">
      <formula>NOT(ISERROR(SEARCH("Non contrôlé",BF9)))</formula>
    </cfRule>
    <cfRule type="containsText" dxfId="155" priority="318" operator="containsText" text="Non validé">
      <formula>NOT(ISERROR(SEARCH("Non validé",BF9)))</formula>
    </cfRule>
    <cfRule type="containsText" dxfId="154" priority="319" operator="containsText" text="réserve">
      <formula>NOT(ISERROR(SEARCH("réserve",BF9)))</formula>
    </cfRule>
    <cfRule type="endsWith" dxfId="153" priority="320" operator="endsWith" text="Validé">
      <formula>RIGHT(BF9,LEN("Validé"))="Validé"</formula>
    </cfRule>
  </conditionalFormatting>
  <conditionalFormatting sqref="BF19">
    <cfRule type="containsText" dxfId="152" priority="313" operator="containsText" text="Non contrôlé">
      <formula>NOT(ISERROR(SEARCH("Non contrôlé",BF19)))</formula>
    </cfRule>
    <cfRule type="containsText" dxfId="151" priority="314" operator="containsText" text="Non validé">
      <formula>NOT(ISERROR(SEARCH("Non validé",BF19)))</formula>
    </cfRule>
    <cfRule type="containsText" dxfId="150" priority="315" operator="containsText" text="réserve">
      <formula>NOT(ISERROR(SEARCH("réserve",BF19)))</formula>
    </cfRule>
    <cfRule type="endsWith" dxfId="149" priority="316" operator="endsWith" text="Validé">
      <formula>RIGHT(BF19,LEN("Validé"))="Validé"</formula>
    </cfRule>
  </conditionalFormatting>
  <conditionalFormatting sqref="BF26:BF34">
    <cfRule type="containsText" dxfId="148" priority="81" operator="containsText" text="Non contrôlé">
      <formula>NOT(ISERROR(SEARCH("Non contrôlé",BF26)))</formula>
    </cfRule>
    <cfRule type="containsText" dxfId="147" priority="82" operator="containsText" text="Non validé">
      <formula>NOT(ISERROR(SEARCH("Non validé",BF26)))</formula>
    </cfRule>
    <cfRule type="containsText" dxfId="146" priority="83" operator="containsText" text="réserve">
      <formula>NOT(ISERROR(SEARCH("réserve",BF26)))</formula>
    </cfRule>
    <cfRule type="endsWith" dxfId="145" priority="84" operator="endsWith" text="Validé">
      <formula>RIGHT(BF26,LEN("Validé"))="Validé"</formula>
    </cfRule>
  </conditionalFormatting>
  <conditionalFormatting sqref="BF35">
    <cfRule type="containsText" dxfId="144" priority="321" operator="containsText" text="Non contrôlé">
      <formula>NOT(ISERROR(SEARCH("Non contrôlé",BF35)))</formula>
    </cfRule>
    <cfRule type="containsText" dxfId="143" priority="322" operator="containsText" text="Non validé">
      <formula>NOT(ISERROR(SEARCH("Non validé",BF35)))</formula>
    </cfRule>
    <cfRule type="containsText" dxfId="142" priority="323" operator="containsText" text="réserve">
      <formula>NOT(ISERROR(SEARCH("réserve",BF35)))</formula>
    </cfRule>
    <cfRule type="endsWith" dxfId="141" priority="324" operator="endsWith" text="Validé">
      <formula>RIGHT(BF35,LEN("Validé"))="Validé"</formula>
    </cfRule>
  </conditionalFormatting>
  <conditionalFormatting sqref="BF37">
    <cfRule type="containsText" dxfId="140" priority="309" operator="containsText" text="Non contrôlé">
      <formula>NOT(ISERROR(SEARCH("Non contrôlé",BF37)))</formula>
    </cfRule>
    <cfRule type="containsText" dxfId="139" priority="310" operator="containsText" text="Non validé">
      <formula>NOT(ISERROR(SEARCH("Non validé",BF37)))</formula>
    </cfRule>
    <cfRule type="containsText" dxfId="138" priority="311" operator="containsText" text="réserve">
      <formula>NOT(ISERROR(SEARCH("réserve",BF37)))</formula>
    </cfRule>
    <cfRule type="endsWith" dxfId="137" priority="312" operator="endsWith" text="Validé">
      <formula>RIGHT(BF37,LEN("Validé"))="Validé"</formula>
    </cfRule>
  </conditionalFormatting>
  <conditionalFormatting sqref="BG19">
    <cfRule type="cellIs" dxfId="136" priority="10" operator="greaterThanOrEqual">
      <formula>80</formula>
    </cfRule>
    <cfRule type="cellIs" dxfId="135" priority="11" operator="between">
      <formula>70</formula>
      <formula>79</formula>
    </cfRule>
    <cfRule type="cellIs" dxfId="134" priority="12" operator="lessThan">
      <formula>69</formula>
    </cfRule>
  </conditionalFormatting>
  <conditionalFormatting sqref="BG37">
    <cfRule type="cellIs" dxfId="133" priority="7" operator="greaterThanOrEqual">
      <formula>80</formula>
    </cfRule>
    <cfRule type="cellIs" dxfId="132" priority="8" operator="between">
      <formula>70</formula>
      <formula>79</formula>
    </cfRule>
    <cfRule type="cellIs" dxfId="131" priority="9" operator="lessThan">
      <formula>69</formula>
    </cfRule>
  </conditionalFormatting>
  <dataValidations count="3">
    <dataValidation type="list" allowBlank="1" showInputMessage="1" showErrorMessage="1" sqref="H20 M20 C20" xr:uid="{00000000-0002-0000-04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400-000001000000}">
      <formula1>INDIRECT(E8)</formula1>
    </dataValidation>
    <dataValidation type="list" allowBlank="1" showInputMessage="1" showErrorMessage="1" sqref="BD6 AY6 AT6 AO6 AJ6 AE6 Z6 U6 P6 K6 A6:C6 F6 A5:U5 Y5:Z5 AD5:BG5 BF37 H19 M19 R19 W19 AB19 AG19 AL19 AQ19 AV19 BA19 BF19 C37 H37 M37 R37 W37 AB37 AG37 AL37 AQ37 AV37 BA37 C19 C3:D3 H3:I3 M3:N3 R3:S3 W3:X3 AB3:AC3 AG3:AH3 BF3:BG3 BA3:BB3 AV3:AW3 AQ3:AR3 AL3:AM3 K23:M23 A23:C23 F23:H23 P23:R23 Z23:AC23 AE23:AH23 AJ23:AM23 AO23:AR23 AT23:AW23 AY23:BB23 BD23:BG23 U23:W23 A22:BG22" xr:uid="{00000000-0002-0000-0400-000002000000}">
      <formula1>#REF!</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5" customWidth="1"/>
    <col min="2" max="2" width="13.87890625" style="70" customWidth="1"/>
    <col min="3" max="3" width="8.29296875" style="70" customWidth="1"/>
    <col min="4" max="4" width="14.29296875" style="70" customWidth="1"/>
    <col min="5" max="5" width="3.87890625" style="70" customWidth="1"/>
    <col min="6" max="6" width="14.29296875" style="70" customWidth="1"/>
    <col min="7" max="7" width="3.87890625" style="70" customWidth="1"/>
    <col min="8" max="8" width="9.5859375" style="70" customWidth="1"/>
    <col min="9" max="9" width="9.29296875" style="70" customWidth="1"/>
    <col min="10" max="10" width="16" style="70" customWidth="1"/>
    <col min="11" max="11" width="3.87890625" style="70" customWidth="1"/>
    <col min="12" max="12" width="14.29296875" style="70" customWidth="1"/>
    <col min="13" max="13" width="3.87890625" style="70" customWidth="1"/>
    <col min="14" max="14" width="7.1171875" style="70" customWidth="1"/>
    <col min="15" max="15" width="8.41015625" style="70" customWidth="1"/>
    <col min="16" max="16" width="17.41015625" style="70" customWidth="1"/>
    <col min="17" max="17" width="3.87890625" style="70" customWidth="1"/>
    <col min="18" max="18" width="14.29296875" style="70" customWidth="1"/>
    <col min="19" max="19" width="3.87890625" style="70" customWidth="1"/>
    <col min="20" max="20" width="6.703125" style="70" customWidth="1"/>
    <col min="21" max="21" width="8.41015625" style="70" customWidth="1"/>
    <col min="22" max="22" width="2.703125" style="5" customWidth="1"/>
    <col min="23" max="23" width="11.41015625" style="5" hidden="1" customWidth="1"/>
    <col min="24" max="16384" width="11.41015625" style="5" hidden="1"/>
  </cols>
  <sheetData>
    <row r="1" spans="1:22" ht="9.9499999999999993" customHeight="1" thickBot="1" x14ac:dyDescent="0.45">
      <c r="A1" s="232"/>
      <c r="B1" s="232"/>
      <c r="C1" s="232"/>
      <c r="D1" s="232"/>
      <c r="E1" s="232"/>
      <c r="F1" s="232"/>
      <c r="G1" s="232"/>
      <c r="H1" s="232"/>
      <c r="I1" s="232"/>
      <c r="J1" s="232"/>
      <c r="K1" s="232"/>
      <c r="L1" s="232"/>
      <c r="M1" s="232"/>
      <c r="N1" s="232"/>
      <c r="O1" s="232"/>
      <c r="P1" s="232"/>
      <c r="Q1" s="232"/>
      <c r="R1" s="232"/>
      <c r="S1" s="232"/>
      <c r="T1" s="232"/>
      <c r="U1" s="232"/>
      <c r="V1" s="232"/>
    </row>
    <row r="2" spans="1:22" ht="15.7" thickBot="1" x14ac:dyDescent="0.45">
      <c r="A2" s="232"/>
      <c r="B2" s="589" t="s">
        <v>53</v>
      </c>
      <c r="C2" s="590"/>
      <c r="D2" s="590"/>
      <c r="E2" s="590"/>
      <c r="F2" s="590"/>
      <c r="G2" s="590"/>
      <c r="H2" s="590"/>
      <c r="I2" s="590"/>
      <c r="J2" s="590"/>
      <c r="K2" s="590"/>
      <c r="L2" s="590"/>
      <c r="M2" s="590"/>
      <c r="N2" s="590"/>
      <c r="O2" s="590"/>
      <c r="P2" s="590"/>
      <c r="Q2" s="590"/>
      <c r="R2" s="590"/>
      <c r="S2" s="590"/>
      <c r="T2" s="590"/>
      <c r="U2" s="591"/>
      <c r="V2" s="232"/>
    </row>
    <row r="3" spans="1:22" ht="16.5" customHeight="1" x14ac:dyDescent="0.4">
      <c r="A3" s="232"/>
      <c r="B3" s="592" t="s">
        <v>54</v>
      </c>
      <c r="C3" s="593"/>
      <c r="D3" s="593"/>
      <c r="E3" s="593"/>
      <c r="F3" s="593"/>
      <c r="G3" s="593"/>
      <c r="H3" s="593"/>
      <c r="I3" s="593"/>
      <c r="J3" s="541"/>
      <c r="K3" s="541"/>
      <c r="L3" s="541"/>
      <c r="M3" s="541"/>
      <c r="N3" s="541"/>
      <c r="O3" s="541"/>
      <c r="P3" s="541"/>
      <c r="Q3" s="541"/>
      <c r="R3" s="541"/>
      <c r="S3" s="541"/>
      <c r="T3" s="541"/>
      <c r="U3" s="542"/>
      <c r="V3" s="232"/>
    </row>
    <row r="4" spans="1:22" ht="16.5" customHeight="1" thickBot="1" x14ac:dyDescent="0.45">
      <c r="A4" s="232"/>
      <c r="B4" s="594" t="s">
        <v>55</v>
      </c>
      <c r="C4" s="595"/>
      <c r="D4" s="595"/>
      <c r="E4" s="595"/>
      <c r="F4" s="595"/>
      <c r="G4" s="595"/>
      <c r="H4" s="595"/>
      <c r="I4" s="595"/>
      <c r="J4" s="545"/>
      <c r="K4" s="545"/>
      <c r="L4" s="545"/>
      <c r="M4" s="545"/>
      <c r="N4" s="545"/>
      <c r="O4" s="545"/>
      <c r="P4" s="545"/>
      <c r="Q4" s="545"/>
      <c r="R4" s="545"/>
      <c r="S4" s="545"/>
      <c r="T4" s="545"/>
      <c r="U4" s="546"/>
      <c r="V4" s="232"/>
    </row>
    <row r="5" spans="1:22" ht="9.9499999999999993" customHeight="1" x14ac:dyDescent="0.4">
      <c r="A5" s="232"/>
      <c r="B5" s="233"/>
      <c r="C5" s="233"/>
      <c r="D5" s="233"/>
      <c r="E5" s="233"/>
      <c r="F5" s="233"/>
      <c r="G5" s="233"/>
      <c r="H5" s="233"/>
      <c r="I5" s="233"/>
      <c r="J5" s="234"/>
      <c r="K5" s="234"/>
      <c r="L5" s="234"/>
      <c r="M5" s="234"/>
      <c r="N5" s="234"/>
      <c r="O5" s="234"/>
      <c r="P5" s="234"/>
      <c r="Q5" s="234"/>
      <c r="R5" s="234"/>
      <c r="S5" s="234"/>
      <c r="T5" s="234"/>
      <c r="U5" s="234"/>
      <c r="V5" s="232"/>
    </row>
    <row r="6" spans="1:22" ht="13.7" hidden="1" x14ac:dyDescent="0.4">
      <c r="A6" s="232"/>
      <c r="B6" s="235" t="s">
        <v>63</v>
      </c>
      <c r="C6" s="236"/>
      <c r="D6" s="232"/>
      <c r="E6" s="232"/>
      <c r="F6" s="232"/>
      <c r="G6" s="232"/>
      <c r="H6" s="232"/>
      <c r="I6" s="232"/>
      <c r="J6" s="232"/>
      <c r="K6" s="232"/>
      <c r="L6" s="232"/>
      <c r="M6" s="232"/>
      <c r="N6" s="237"/>
      <c r="O6" s="232"/>
      <c r="P6" s="238"/>
      <c r="Q6" s="239"/>
      <c r="R6" s="240"/>
      <c r="S6" s="240"/>
      <c r="T6" s="241"/>
      <c r="U6" s="232"/>
      <c r="V6" s="232"/>
    </row>
    <row r="7" spans="1:22" ht="15" customHeight="1" x14ac:dyDescent="0.4">
      <c r="A7" s="232"/>
      <c r="B7" s="574" t="s">
        <v>64</v>
      </c>
      <c r="C7" s="574"/>
      <c r="D7" s="574"/>
      <c r="E7" s="574"/>
      <c r="F7" s="574"/>
      <c r="G7" s="574"/>
      <c r="H7" s="574"/>
      <c r="I7" s="574"/>
      <c r="J7" s="574"/>
      <c r="K7" s="574"/>
      <c r="L7" s="574"/>
      <c r="M7" s="574"/>
      <c r="N7" s="574"/>
      <c r="O7" s="574"/>
      <c r="P7" s="574"/>
      <c r="Q7" s="242"/>
      <c r="R7" s="572"/>
      <c r="S7" s="572"/>
      <c r="T7" s="232"/>
      <c r="U7" s="232"/>
      <c r="V7" s="232"/>
    </row>
    <row r="8" spans="1:22" ht="15" customHeight="1" x14ac:dyDescent="0.4">
      <c r="A8" s="232"/>
      <c r="B8" s="243"/>
      <c r="C8" s="243"/>
      <c r="D8" s="232"/>
      <c r="E8" s="232"/>
      <c r="F8" s="232"/>
      <c r="G8" s="232"/>
      <c r="H8" s="244"/>
      <c r="I8" s="244"/>
      <c r="J8" s="232"/>
      <c r="K8" s="232"/>
      <c r="L8" s="232"/>
      <c r="M8" s="232"/>
      <c r="N8" s="232"/>
      <c r="O8" s="232"/>
      <c r="P8" s="245"/>
      <c r="Q8" s="245"/>
      <c r="R8" s="245"/>
      <c r="S8" s="232"/>
      <c r="T8" s="232"/>
      <c r="U8" s="232"/>
      <c r="V8" s="232"/>
    </row>
    <row r="9" spans="1:22" ht="15" customHeight="1" x14ac:dyDescent="0.4">
      <c r="A9" s="232"/>
      <c r="B9" s="584" t="s">
        <v>65</v>
      </c>
      <c r="C9" s="584"/>
      <c r="D9" s="587" t="s">
        <v>66</v>
      </c>
      <c r="E9" s="232"/>
      <c r="F9" s="586" t="s">
        <v>67</v>
      </c>
      <c r="G9" s="232"/>
      <c r="H9" s="244"/>
      <c r="I9" s="244"/>
      <c r="J9" s="578" t="s">
        <v>65</v>
      </c>
      <c r="K9" s="596"/>
      <c r="L9" s="579"/>
      <c r="M9" s="578" t="s">
        <v>66</v>
      </c>
      <c r="N9" s="579"/>
      <c r="O9" s="232"/>
      <c r="P9" s="586" t="s">
        <v>67</v>
      </c>
      <c r="Q9" s="245"/>
      <c r="R9" s="232"/>
      <c r="S9" s="232"/>
      <c r="T9" s="232"/>
      <c r="U9" s="232"/>
      <c r="V9" s="232"/>
    </row>
    <row r="10" spans="1:22" ht="15" customHeight="1" x14ac:dyDescent="0.4">
      <c r="A10" s="232"/>
      <c r="B10" s="585"/>
      <c r="C10" s="585"/>
      <c r="D10" s="588"/>
      <c r="E10" s="232"/>
      <c r="F10" s="586"/>
      <c r="G10" s="232"/>
      <c r="H10" s="244"/>
      <c r="I10" s="244"/>
      <c r="J10" s="580"/>
      <c r="K10" s="597"/>
      <c r="L10" s="581"/>
      <c r="M10" s="580"/>
      <c r="N10" s="581"/>
      <c r="O10" s="232"/>
      <c r="P10" s="586"/>
      <c r="Q10" s="245"/>
      <c r="R10" s="232"/>
      <c r="S10" s="232"/>
      <c r="T10" s="232"/>
      <c r="U10" s="232"/>
      <c r="V10" s="232"/>
    </row>
    <row r="11" spans="1:22" ht="17.25" customHeight="1" x14ac:dyDescent="0.4">
      <c r="A11" s="232"/>
      <c r="B11" s="246" t="s">
        <v>23</v>
      </c>
      <c r="C11" s="48"/>
      <c r="D11" s="247" t="e">
        <f>IF(C11="Oui",10,IF(#REF!=0,"",ROUND(#REF!/#REF!*10,1)))</f>
        <v>#REF!</v>
      </c>
      <c r="E11" s="248" t="s">
        <v>68</v>
      </c>
      <c r="F11" s="249" t="str">
        <f>IFERROR(IF(#REF!&gt;=0,D11*(1-SUM(#REF!))*10,100),"")</f>
        <v/>
      </c>
      <c r="G11" s="232"/>
      <c r="H11" s="244"/>
      <c r="I11" s="244"/>
      <c r="J11" s="576" t="s">
        <v>36</v>
      </c>
      <c r="K11" s="577"/>
      <c r="L11" s="14"/>
      <c r="M11" s="511" t="e">
        <f>IF(L11="Oui",10,IF(#REF!=0,"",ROUND(#REF!/#REF!*10,1)))</f>
        <v>#REF!</v>
      </c>
      <c r="N11" s="511"/>
      <c r="O11" s="248" t="s">
        <v>68</v>
      </c>
      <c r="P11" s="249" t="str">
        <f>IFERROR(IF(#REF!&gt;=0,M11*(1-SUM(#REF!))*10,100),"")</f>
        <v/>
      </c>
      <c r="Q11" s="245"/>
      <c r="R11" s="232"/>
      <c r="S11" s="232"/>
      <c r="T11" s="232"/>
      <c r="U11" s="232"/>
      <c r="V11" s="232"/>
    </row>
    <row r="12" spans="1:22" ht="14.25" customHeight="1" x14ac:dyDescent="0.4">
      <c r="A12" s="232"/>
      <c r="B12" s="251" t="s">
        <v>24</v>
      </c>
      <c r="C12" s="14"/>
      <c r="D12" s="250" t="e">
        <f>IF(C12="Oui",10,IF(#REF!=0,"",ROUND(#REF!/#REF!*10,1)))</f>
        <v>#REF!</v>
      </c>
      <c r="E12" s="248" t="s">
        <v>68</v>
      </c>
      <c r="F12" s="249" t="str">
        <f>IFERROR(IF(#REF!&gt;=0,D12*(1-SUM(#REF!))*10,100),"")</f>
        <v/>
      </c>
      <c r="G12" s="232"/>
      <c r="H12" s="244"/>
      <c r="I12" s="244"/>
      <c r="J12" s="564" t="s">
        <v>37</v>
      </c>
      <c r="K12" s="565"/>
      <c r="L12" s="14"/>
      <c r="M12" s="511" t="e">
        <f>IF(L12="Oui",10,IF(#REF!=0,"",ROUND(#REF!/#REF!*10,1)))</f>
        <v>#REF!</v>
      </c>
      <c r="N12" s="511"/>
      <c r="O12" s="248" t="s">
        <v>68</v>
      </c>
      <c r="P12" s="249" t="str">
        <f>IFERROR(IF(#REF!&gt;=0,M12*(1-SUM(#REF!))*10,100),"")</f>
        <v/>
      </c>
      <c r="Q12" s="245"/>
      <c r="R12" s="232"/>
      <c r="S12" s="232"/>
      <c r="T12" s="232"/>
      <c r="U12" s="232"/>
      <c r="V12" s="232"/>
    </row>
    <row r="13" spans="1:22" s="70" customFormat="1" ht="15" customHeight="1" x14ac:dyDescent="0.4">
      <c r="A13" s="232"/>
      <c r="B13" s="251" t="s">
        <v>25</v>
      </c>
      <c r="C13" s="14"/>
      <c r="D13" s="250" t="e">
        <f>IF(C13="Oui",10,IF(#REF!=0,"",ROUND(#REF!/#REF!*10,1)))</f>
        <v>#REF!</v>
      </c>
      <c r="E13" s="248" t="s">
        <v>68</v>
      </c>
      <c r="F13" s="249" t="str">
        <f>IFERROR(IF(#REF!&gt;=0,D13*(1-SUM(#REF!))*10,100),"")</f>
        <v/>
      </c>
      <c r="G13" s="232"/>
      <c r="H13" s="244"/>
      <c r="I13" s="244"/>
      <c r="J13" s="564" t="s">
        <v>38</v>
      </c>
      <c r="K13" s="565"/>
      <c r="L13" s="14"/>
      <c r="M13" s="511" t="e">
        <f>IF(L13="Oui",10,IF(#REF!=0,"",ROUND(#REF!/#REF!*10,1)))</f>
        <v>#REF!</v>
      </c>
      <c r="N13" s="511"/>
      <c r="O13" s="248" t="s">
        <v>68</v>
      </c>
      <c r="P13" s="249" t="str">
        <f>IFERROR(IF(#REF!&gt;=0,M13*(1-SUM(#REF!))*10,100),"")</f>
        <v/>
      </c>
      <c r="Q13" s="245"/>
      <c r="R13" s="232"/>
      <c r="S13" s="232"/>
      <c r="T13" s="232"/>
      <c r="U13" s="232"/>
      <c r="V13" s="232"/>
    </row>
    <row r="14" spans="1:22" s="70" customFormat="1" ht="15" customHeight="1" x14ac:dyDescent="0.4">
      <c r="A14" s="232"/>
      <c r="B14" s="251" t="s">
        <v>33</v>
      </c>
      <c r="C14" s="14"/>
      <c r="D14" s="250" t="e">
        <f>IF(C14="Oui",10,IF(#REF!=0,"",ROUND(#REF!/#REF!*10,1)))</f>
        <v>#REF!</v>
      </c>
      <c r="E14" s="248" t="s">
        <v>68</v>
      </c>
      <c r="F14" s="249" t="str">
        <f>IFERROR(IF(#REF!&gt;=0,D14*(1-SUM(#REF!))*10,100),"")</f>
        <v/>
      </c>
      <c r="G14" s="232"/>
      <c r="H14" s="244"/>
      <c r="I14" s="244"/>
      <c r="J14" s="564" t="s">
        <v>39</v>
      </c>
      <c r="K14" s="565"/>
      <c r="L14" s="14"/>
      <c r="M14" s="511" t="e">
        <f>IF(L14="Oui",10,IF(#REF!=0,"",ROUND(#REF!/#REF!*10,1)))</f>
        <v>#REF!</v>
      </c>
      <c r="N14" s="511"/>
      <c r="O14" s="248" t="s">
        <v>68</v>
      </c>
      <c r="P14" s="249" t="str">
        <f>IFERROR(IF(#REF!&gt;=0,M14*(1-SUM(#REF!))*10,100),"")</f>
        <v/>
      </c>
      <c r="Q14" s="245"/>
      <c r="R14" s="232"/>
      <c r="S14" s="232"/>
      <c r="T14" s="232"/>
      <c r="U14" s="232"/>
      <c r="V14" s="232"/>
    </row>
    <row r="15" spans="1:22" s="70" customFormat="1" ht="15" customHeight="1" x14ac:dyDescent="0.4">
      <c r="A15" s="232"/>
      <c r="B15" s="251" t="s">
        <v>34</v>
      </c>
      <c r="C15" s="14"/>
      <c r="D15" s="250" t="e">
        <f>IF(C15="Oui",10,IF(#REF!=0,"",ROUND(#REF!/#REF!*10,1)))</f>
        <v>#REF!</v>
      </c>
      <c r="E15" s="248" t="s">
        <v>68</v>
      </c>
      <c r="F15" s="249" t="str">
        <f>IFERROR(IF(#REF!&gt;=0,D15*(1-SUM(#REF!))*10,100),"")</f>
        <v/>
      </c>
      <c r="G15" s="232"/>
      <c r="H15" s="244"/>
      <c r="I15" s="244"/>
      <c r="J15" s="564" t="s">
        <v>40</v>
      </c>
      <c r="K15" s="565"/>
      <c r="L15" s="14"/>
      <c r="M15" s="511" t="e">
        <f>IF(L15="Oui",10,IF(#REF!=0,"",ROUND(#REF!/#REF!*10,1)))</f>
        <v>#REF!</v>
      </c>
      <c r="N15" s="511"/>
      <c r="O15" s="248" t="s">
        <v>68</v>
      </c>
      <c r="P15" s="249" t="str">
        <f>IFERROR(IF(#REF!&gt;=0,M15*(1-SUM(#REF!))*10,100),"")</f>
        <v/>
      </c>
      <c r="Q15" s="245"/>
      <c r="R15" s="232"/>
      <c r="S15" s="232"/>
      <c r="T15" s="232"/>
      <c r="U15" s="232"/>
      <c r="V15" s="232"/>
    </row>
    <row r="16" spans="1:22" s="70" customFormat="1" ht="15" customHeight="1" x14ac:dyDescent="0.4">
      <c r="A16" s="232"/>
      <c r="B16" s="251" t="s">
        <v>35</v>
      </c>
      <c r="C16" s="14"/>
      <c r="D16" s="250" t="e">
        <f>IF(C16="Oui",10,IF(#REF!=0,"",ROUND(#REF!/#REF!*10,1)))</f>
        <v>#REF!</v>
      </c>
      <c r="E16" s="248" t="s">
        <v>68</v>
      </c>
      <c r="F16" s="249" t="str">
        <f>IFERROR(IF(#REF!&gt;=0,D16*(1-SUM(#REF!))*10,100),"")</f>
        <v/>
      </c>
      <c r="G16" s="232"/>
      <c r="H16" s="232"/>
      <c r="I16" s="232"/>
      <c r="J16" s="564" t="s">
        <v>41</v>
      </c>
      <c r="K16" s="565"/>
      <c r="L16" s="14"/>
      <c r="M16" s="582" t="e">
        <f>IF(L16="Oui",10,IF(#REF!=0,"",ROUND(#REF!/#REF!*10,1)))</f>
        <v>#REF!</v>
      </c>
      <c r="N16" s="583"/>
      <c r="O16" s="248" t="s">
        <v>68</v>
      </c>
      <c r="P16" s="249" t="str">
        <f>IFERROR(IF(#REF!&gt;=0,M16*(1-SUM(#REF!))*10,100),"")</f>
        <v/>
      </c>
      <c r="Q16" s="245"/>
      <c r="R16" s="232"/>
      <c r="S16" s="232"/>
      <c r="T16" s="232"/>
      <c r="U16" s="232"/>
      <c r="V16" s="232"/>
    </row>
    <row r="17" spans="1:22" s="70" customFormat="1" ht="15" customHeight="1" x14ac:dyDescent="0.4">
      <c r="A17" s="232"/>
      <c r="B17" s="232"/>
      <c r="C17" s="232"/>
      <c r="D17" s="232"/>
      <c r="E17" s="232"/>
      <c r="F17" s="232"/>
      <c r="G17" s="232"/>
      <c r="H17" s="232"/>
      <c r="I17" s="232"/>
      <c r="J17" s="232"/>
      <c r="K17" s="232"/>
      <c r="L17" s="232"/>
      <c r="M17" s="232"/>
      <c r="N17" s="232"/>
      <c r="O17" s="232"/>
      <c r="P17" s="232"/>
      <c r="Q17" s="232"/>
      <c r="R17" s="232"/>
      <c r="S17" s="232"/>
      <c r="T17" s="232"/>
      <c r="U17" s="232"/>
      <c r="V17" s="232"/>
    </row>
    <row r="18" spans="1:22" ht="15" customHeight="1" x14ac:dyDescent="0.4">
      <c r="A18" s="232"/>
      <c r="B18" s="252" t="s">
        <v>69</v>
      </c>
      <c r="C18" s="232"/>
      <c r="D18" s="232"/>
      <c r="E18" s="232"/>
      <c r="F18" s="232"/>
      <c r="G18" s="232"/>
      <c r="H18" s="232"/>
      <c r="I18" s="232"/>
      <c r="J18" s="232"/>
      <c r="K18" s="232"/>
      <c r="L18" s="232"/>
      <c r="M18" s="232"/>
      <c r="N18" s="232"/>
      <c r="O18" s="232"/>
      <c r="P18" s="232"/>
      <c r="Q18" s="232"/>
      <c r="R18" s="232"/>
      <c r="S18" s="232"/>
      <c r="T18" s="253"/>
      <c r="U18" s="232"/>
      <c r="V18" s="232"/>
    </row>
    <row r="19" spans="1:22" ht="15" customHeight="1" x14ac:dyDescent="0.4">
      <c r="A19" s="232"/>
      <c r="B19" s="252" t="s">
        <v>70</v>
      </c>
      <c r="C19" s="232"/>
      <c r="D19" s="232"/>
      <c r="E19" s="232"/>
      <c r="F19" s="232"/>
      <c r="G19" s="232"/>
      <c r="H19" s="232"/>
      <c r="I19" s="232"/>
      <c r="J19" s="232"/>
      <c r="K19" s="232"/>
      <c r="L19" s="232"/>
      <c r="M19" s="232"/>
      <c r="N19" s="232"/>
      <c r="O19" s="232"/>
      <c r="P19" s="232"/>
      <c r="Q19" s="232"/>
      <c r="R19" s="232"/>
      <c r="S19" s="232"/>
      <c r="T19" s="253"/>
      <c r="U19" s="232"/>
      <c r="V19" s="232"/>
    </row>
    <row r="20" spans="1:22" ht="15.75" customHeight="1" x14ac:dyDescent="0.4">
      <c r="A20" s="232"/>
      <c r="B20" s="575" t="s">
        <v>71</v>
      </c>
      <c r="C20" s="575"/>
      <c r="D20" s="575"/>
      <c r="E20" s="575"/>
      <c r="F20" s="575"/>
      <c r="G20" s="575"/>
      <c r="H20" s="575"/>
      <c r="I20" s="575"/>
      <c r="J20" s="575"/>
      <c r="K20" s="575"/>
      <c r="L20" s="575"/>
      <c r="M20" s="575"/>
      <c r="N20" s="575"/>
      <c r="O20" s="575"/>
      <c r="P20" s="575"/>
      <c r="Q20" s="575"/>
      <c r="R20" s="575"/>
      <c r="S20" s="575"/>
      <c r="T20" s="232"/>
      <c r="U20" s="232"/>
      <c r="V20" s="232"/>
    </row>
    <row r="21" spans="1:22" s="71" customFormat="1" ht="15.75" customHeight="1" x14ac:dyDescent="0.4">
      <c r="A21" s="232"/>
      <c r="B21" s="232"/>
      <c r="C21" s="232"/>
      <c r="D21" s="573" t="s">
        <v>72</v>
      </c>
      <c r="E21" s="573"/>
      <c r="F21" s="573"/>
      <c r="G21" s="573"/>
      <c r="H21" s="573"/>
      <c r="I21" s="573"/>
      <c r="J21" s="573"/>
      <c r="K21" s="573"/>
      <c r="L21" s="573"/>
      <c r="M21" s="573"/>
      <c r="N21" s="573"/>
      <c r="O21" s="254"/>
      <c r="P21" s="16"/>
      <c r="Q21" s="239"/>
      <c r="R21" s="550" t="str">
        <f>IF(P21="","",IF(P21="Non validé",0.1,0))</f>
        <v/>
      </c>
      <c r="S21" s="550"/>
      <c r="T21" s="232"/>
      <c r="U21" s="232"/>
      <c r="V21" s="232"/>
    </row>
    <row r="22" spans="1:22" s="71" customFormat="1" ht="15" customHeight="1" x14ac:dyDescent="0.4">
      <c r="A22" s="232"/>
      <c r="B22" s="232"/>
      <c r="C22" s="232"/>
      <c r="D22" s="232"/>
      <c r="E22" s="232"/>
      <c r="F22" s="232"/>
      <c r="G22" s="232"/>
      <c r="H22" s="232"/>
      <c r="I22" s="232"/>
      <c r="J22" s="232"/>
      <c r="K22" s="232"/>
      <c r="L22" s="232"/>
      <c r="M22" s="255"/>
      <c r="N22" s="240"/>
      <c r="O22" s="232"/>
      <c r="P22" s="256"/>
      <c r="Q22" s="239"/>
      <c r="R22" s="257"/>
      <c r="S22" s="257"/>
      <c r="T22" s="232"/>
      <c r="U22" s="232"/>
      <c r="V22" s="232"/>
    </row>
    <row r="23" spans="1:22" s="71" customFormat="1" ht="11.25" customHeight="1" x14ac:dyDescent="0.4">
      <c r="A23" s="232"/>
      <c r="B23" s="232"/>
      <c r="C23" s="566" t="s">
        <v>194</v>
      </c>
      <c r="D23" s="567"/>
      <c r="E23" s="567"/>
      <c r="F23" s="567"/>
      <c r="G23" s="568"/>
      <c r="H23" s="14"/>
      <c r="I23" s="250" t="e">
        <f>IF(H23="Oui",10,IF(#REF!=0,"",ROUND(#REF!/#REF!*10,1)))</f>
        <v>#REF!</v>
      </c>
      <c r="J23" s="251" t="s">
        <v>23</v>
      </c>
      <c r="K23" s="248" t="s">
        <v>68</v>
      </c>
      <c r="L23" s="249" t="str">
        <f>IFERROR(IF(#REF!&gt;=0,I23*(1-SUM(R21))*10,100),"")</f>
        <v/>
      </c>
      <c r="M23" s="255"/>
      <c r="N23" s="240"/>
      <c r="O23" s="232"/>
      <c r="P23" s="256"/>
      <c r="Q23" s="239"/>
      <c r="R23" s="257"/>
      <c r="S23" s="232"/>
      <c r="T23" s="232"/>
      <c r="U23" s="232"/>
      <c r="V23" s="232"/>
    </row>
    <row r="24" spans="1:22" s="71" customFormat="1" ht="13.5" customHeight="1" x14ac:dyDescent="0.4">
      <c r="A24" s="232"/>
      <c r="B24" s="232"/>
      <c r="C24" s="569" t="s">
        <v>73</v>
      </c>
      <c r="D24" s="570"/>
      <c r="E24" s="570"/>
      <c r="F24" s="570"/>
      <c r="G24" s="571"/>
      <c r="H24" s="14"/>
      <c r="I24" s="250" t="e">
        <f>IF(H24="Oui",10,IF(#REF!=0,"",ROUND(#REF!/#REF!*10,1)))</f>
        <v>#REF!</v>
      </c>
      <c r="J24" s="251" t="s">
        <v>24</v>
      </c>
      <c r="K24" s="248" t="s">
        <v>68</v>
      </c>
      <c r="L24" s="249" t="str">
        <f>IFERROR(IF(#REF!&gt;=0,I24*(1-SUM(R21))*10,100),"")</f>
        <v/>
      </c>
      <c r="M24" s="255"/>
      <c r="N24" s="240"/>
      <c r="O24" s="232"/>
      <c r="P24" s="256"/>
      <c r="Q24" s="239"/>
      <c r="R24" s="257"/>
      <c r="S24" s="232"/>
      <c r="T24" s="232"/>
      <c r="U24" s="232"/>
      <c r="V24" s="232"/>
    </row>
    <row r="25" spans="1:22" s="70" customFormat="1" ht="13.5" customHeight="1" x14ac:dyDescent="0.4">
      <c r="A25" s="232"/>
      <c r="B25" s="232"/>
      <c r="C25" s="569" t="s">
        <v>73</v>
      </c>
      <c r="D25" s="570"/>
      <c r="E25" s="570"/>
      <c r="F25" s="570"/>
      <c r="G25" s="571"/>
      <c r="H25" s="14"/>
      <c r="I25" s="250" t="e">
        <f>IF(H25="Oui",10,IF(#REF!=0,"",ROUND(#REF!/#REF!*10,1)))</f>
        <v>#REF!</v>
      </c>
      <c r="J25" s="251" t="s">
        <v>25</v>
      </c>
      <c r="K25" s="248" t="s">
        <v>68</v>
      </c>
      <c r="L25" s="249" t="str">
        <f>IFERROR(IF(#REF!&gt;=0,I25*(1-SUM(R21))*10,100),"")</f>
        <v/>
      </c>
      <c r="M25" s="240"/>
      <c r="N25" s="240"/>
      <c r="O25" s="240"/>
      <c r="P25" s="256"/>
      <c r="Q25" s="239"/>
      <c r="R25" s="257"/>
      <c r="S25" s="240"/>
      <c r="T25" s="232"/>
      <c r="U25" s="232"/>
      <c r="V25" s="232"/>
    </row>
    <row r="26" spans="1:22" s="70" customFormat="1" ht="13.5" customHeight="1" x14ac:dyDescent="0.4">
      <c r="A26" s="232"/>
      <c r="B26" s="232"/>
      <c r="C26" s="232"/>
      <c r="D26" s="258"/>
      <c r="E26" s="258"/>
      <c r="F26" s="258"/>
      <c r="G26" s="258"/>
      <c r="H26" s="258"/>
      <c r="I26" s="258"/>
      <c r="J26" s="258"/>
      <c r="K26" s="258"/>
      <c r="L26" s="258"/>
      <c r="M26" s="258"/>
      <c r="N26" s="258"/>
      <c r="O26" s="258"/>
      <c r="P26" s="240"/>
      <c r="Q26" s="240"/>
      <c r="R26" s="240"/>
      <c r="S26" s="240"/>
      <c r="T26" s="232"/>
      <c r="U26" s="232"/>
      <c r="V26" s="232"/>
    </row>
    <row r="27" spans="1:22" s="70" customFormat="1" ht="13.5" customHeight="1" x14ac:dyDescent="0.4">
      <c r="A27" s="5"/>
      <c r="B27" s="232"/>
      <c r="C27" s="232"/>
      <c r="D27" s="232"/>
      <c r="E27" s="232"/>
      <c r="F27" s="232"/>
      <c r="G27" s="232"/>
      <c r="H27" s="232"/>
      <c r="I27" s="232"/>
      <c r="J27" s="232"/>
      <c r="K27" s="232"/>
      <c r="L27" s="232"/>
      <c r="M27" s="232"/>
      <c r="N27" s="232"/>
      <c r="O27" s="232"/>
      <c r="P27" s="232"/>
      <c r="Q27" s="232"/>
      <c r="R27" s="232"/>
      <c r="S27" s="232"/>
      <c r="T27" s="232"/>
      <c r="U27" s="232"/>
      <c r="V27" s="232"/>
    </row>
    <row r="28" spans="1:22" ht="13.5" customHeight="1" x14ac:dyDescent="0.4">
      <c r="B28" s="232"/>
      <c r="C28" s="232"/>
      <c r="D28" s="232"/>
      <c r="E28" s="232"/>
      <c r="F28" s="232"/>
      <c r="G28" s="232"/>
      <c r="H28" s="232"/>
      <c r="I28" s="232"/>
      <c r="J28" s="232"/>
      <c r="K28" s="232"/>
      <c r="L28" s="232"/>
      <c r="M28" s="232"/>
      <c r="N28" s="232"/>
      <c r="O28" s="232"/>
      <c r="P28" s="232"/>
      <c r="Q28" s="232"/>
      <c r="R28" s="232"/>
      <c r="S28" s="232"/>
      <c r="T28" s="232"/>
      <c r="U28" s="232"/>
      <c r="V28" s="232"/>
    </row>
    <row r="29" spans="1:22" s="70" customFormat="1" ht="13.5" customHeight="1" x14ac:dyDescent="0.4">
      <c r="A29" s="5"/>
      <c r="B29" s="232"/>
      <c r="C29" s="232"/>
      <c r="D29" s="232"/>
      <c r="E29" s="232"/>
      <c r="F29" s="232"/>
      <c r="G29" s="232"/>
      <c r="H29" s="232"/>
      <c r="I29" s="232"/>
      <c r="J29" s="232"/>
      <c r="K29" s="232"/>
      <c r="L29" s="232"/>
      <c r="M29" s="232"/>
      <c r="N29" s="232"/>
      <c r="O29" s="232"/>
      <c r="P29" s="232"/>
      <c r="Q29" s="232"/>
      <c r="R29" s="232"/>
      <c r="S29" s="232"/>
      <c r="T29" s="232"/>
      <c r="U29" s="232"/>
      <c r="V29" s="232"/>
    </row>
    <row r="30" spans="1:22" x14ac:dyDescent="0.4">
      <c r="B30" s="232"/>
      <c r="C30" s="232"/>
      <c r="D30" s="232"/>
      <c r="E30" s="232"/>
      <c r="F30" s="232"/>
      <c r="G30" s="232"/>
      <c r="H30" s="232"/>
      <c r="I30" s="232"/>
      <c r="J30" s="232"/>
      <c r="K30" s="232"/>
      <c r="L30" s="232"/>
      <c r="M30" s="232"/>
      <c r="N30" s="232"/>
      <c r="O30" s="232"/>
      <c r="P30" s="232"/>
      <c r="Q30" s="232"/>
      <c r="R30" s="232"/>
      <c r="S30" s="232"/>
      <c r="T30" s="232"/>
      <c r="U30" s="232"/>
    </row>
    <row r="31" spans="1:22" x14ac:dyDescent="0.4">
      <c r="B31" s="232"/>
      <c r="C31" s="232"/>
      <c r="D31" s="232"/>
      <c r="E31" s="232"/>
      <c r="F31" s="232"/>
      <c r="G31" s="232"/>
      <c r="H31" s="232"/>
      <c r="I31" s="232"/>
      <c r="J31" s="232"/>
      <c r="K31" s="232"/>
      <c r="L31" s="232"/>
      <c r="M31" s="232"/>
      <c r="N31" s="232"/>
      <c r="O31" s="232"/>
      <c r="P31" s="232"/>
      <c r="Q31" s="232"/>
      <c r="R31" s="232"/>
      <c r="S31" s="232"/>
      <c r="T31" s="232"/>
      <c r="U31" s="232"/>
    </row>
    <row r="32" spans="1:22" x14ac:dyDescent="0.4">
      <c r="B32" s="232"/>
      <c r="C32" s="232"/>
      <c r="D32" s="232"/>
      <c r="E32" s="232"/>
      <c r="F32" s="232"/>
      <c r="G32" s="232"/>
      <c r="H32" s="232"/>
      <c r="I32" s="232"/>
      <c r="J32" s="232"/>
      <c r="K32" s="232"/>
      <c r="L32" s="232"/>
      <c r="M32" s="232"/>
      <c r="N32" s="232"/>
      <c r="O32" s="232"/>
      <c r="P32" s="232"/>
      <c r="Q32" s="232"/>
      <c r="R32" s="232"/>
      <c r="S32" s="232"/>
      <c r="T32" s="232"/>
      <c r="U32" s="232"/>
    </row>
    <row r="33" spans="2:21" x14ac:dyDescent="0.4">
      <c r="B33" s="232"/>
      <c r="C33" s="232"/>
      <c r="D33" s="232"/>
      <c r="E33" s="232"/>
      <c r="F33" s="232"/>
      <c r="G33" s="232"/>
      <c r="H33" s="232"/>
      <c r="I33" s="232"/>
      <c r="J33" s="232"/>
      <c r="K33" s="232"/>
      <c r="L33" s="232"/>
      <c r="M33" s="232"/>
      <c r="N33" s="232"/>
      <c r="O33" s="232"/>
      <c r="P33" s="232"/>
      <c r="Q33" s="232"/>
      <c r="R33" s="232"/>
      <c r="S33" s="232"/>
      <c r="T33" s="232"/>
      <c r="U33" s="232"/>
    </row>
    <row r="34" spans="2:21" x14ac:dyDescent="0.4">
      <c r="B34" s="232"/>
      <c r="C34" s="232"/>
      <c r="D34" s="232"/>
      <c r="E34" s="232"/>
      <c r="F34" s="232"/>
      <c r="G34" s="232"/>
      <c r="H34" s="232"/>
      <c r="I34" s="232"/>
      <c r="J34" s="232"/>
      <c r="K34" s="232"/>
      <c r="L34" s="232"/>
      <c r="M34" s="232"/>
      <c r="N34" s="232"/>
      <c r="O34" s="232"/>
      <c r="P34" s="232"/>
      <c r="Q34" s="232"/>
      <c r="R34" s="232"/>
      <c r="S34" s="232"/>
      <c r="T34" s="232"/>
      <c r="U34" s="232"/>
    </row>
    <row r="35" spans="2:21" x14ac:dyDescent="0.4">
      <c r="B35" s="232"/>
      <c r="C35" s="232"/>
      <c r="D35" s="232"/>
      <c r="E35" s="232"/>
      <c r="F35" s="232"/>
      <c r="G35" s="232"/>
      <c r="H35" s="232"/>
      <c r="I35" s="232"/>
      <c r="J35" s="232"/>
      <c r="K35" s="232"/>
      <c r="L35" s="232"/>
      <c r="M35" s="232"/>
      <c r="N35" s="232"/>
      <c r="O35" s="232"/>
      <c r="P35" s="232"/>
      <c r="Q35" s="232"/>
      <c r="R35" s="232"/>
      <c r="S35" s="232"/>
      <c r="T35" s="232"/>
      <c r="U35" s="232"/>
    </row>
    <row r="36" spans="2:21" x14ac:dyDescent="0.4">
      <c r="B36" s="232"/>
      <c r="C36" s="232"/>
      <c r="D36" s="232"/>
      <c r="E36" s="232"/>
      <c r="F36" s="232"/>
      <c r="G36" s="232"/>
      <c r="H36" s="232"/>
      <c r="I36" s="232"/>
      <c r="J36" s="232"/>
      <c r="K36" s="232"/>
      <c r="L36" s="232"/>
      <c r="M36" s="232"/>
      <c r="N36" s="232"/>
      <c r="O36" s="232"/>
      <c r="P36" s="232"/>
      <c r="Q36" s="232"/>
      <c r="R36" s="232"/>
      <c r="S36" s="232"/>
      <c r="T36" s="232"/>
      <c r="U36" s="232"/>
    </row>
    <row r="37" spans="2:21" x14ac:dyDescent="0.4">
      <c r="B37" s="232"/>
      <c r="C37" s="232"/>
      <c r="D37" s="232"/>
      <c r="E37" s="232"/>
      <c r="F37" s="232"/>
      <c r="G37" s="232"/>
      <c r="H37" s="232"/>
      <c r="I37" s="232"/>
      <c r="J37" s="232"/>
      <c r="K37" s="232"/>
      <c r="L37" s="232"/>
      <c r="M37" s="232"/>
      <c r="N37" s="232"/>
      <c r="O37" s="232"/>
      <c r="P37" s="232"/>
      <c r="Q37" s="232"/>
      <c r="R37" s="232"/>
      <c r="S37" s="232"/>
      <c r="T37" s="232"/>
      <c r="U37" s="232"/>
    </row>
    <row r="38" spans="2:21" x14ac:dyDescent="0.4">
      <c r="B38" s="232"/>
      <c r="C38" s="232"/>
      <c r="D38" s="232"/>
      <c r="E38" s="232"/>
      <c r="F38" s="232"/>
      <c r="G38" s="232"/>
      <c r="H38" s="232"/>
      <c r="I38" s="232"/>
      <c r="J38" s="232"/>
      <c r="K38" s="232"/>
      <c r="L38" s="232"/>
      <c r="M38" s="232"/>
      <c r="N38" s="232"/>
      <c r="O38" s="232"/>
      <c r="P38" s="232"/>
      <c r="Q38" s="232"/>
      <c r="R38" s="232"/>
      <c r="S38" s="232"/>
      <c r="T38" s="232"/>
      <c r="U38" s="232"/>
    </row>
    <row r="39" spans="2:21" x14ac:dyDescent="0.4">
      <c r="B39" s="232"/>
      <c r="C39" s="232"/>
      <c r="D39" s="232"/>
      <c r="E39" s="232"/>
      <c r="F39" s="232"/>
      <c r="G39" s="232"/>
      <c r="H39" s="232"/>
      <c r="I39" s="232"/>
      <c r="J39" s="232"/>
      <c r="K39" s="232"/>
      <c r="L39" s="232"/>
      <c r="M39" s="232"/>
      <c r="N39" s="232"/>
      <c r="O39" s="232"/>
      <c r="P39" s="232"/>
      <c r="Q39" s="232"/>
      <c r="R39" s="232"/>
      <c r="S39" s="232"/>
      <c r="T39" s="232"/>
      <c r="U39" s="232"/>
    </row>
    <row r="40" spans="2:21" x14ac:dyDescent="0.4">
      <c r="B40" s="232"/>
      <c r="C40" s="232"/>
      <c r="D40" s="232"/>
      <c r="E40" s="232"/>
      <c r="F40" s="232"/>
      <c r="G40" s="232"/>
      <c r="H40" s="232"/>
      <c r="I40" s="232"/>
      <c r="J40" s="232"/>
      <c r="K40" s="232"/>
      <c r="L40" s="232"/>
      <c r="M40" s="232"/>
      <c r="N40" s="232"/>
      <c r="O40" s="232"/>
      <c r="P40" s="232"/>
      <c r="Q40" s="232"/>
      <c r="R40" s="232"/>
      <c r="S40" s="232"/>
      <c r="T40" s="232"/>
      <c r="U40" s="232"/>
    </row>
    <row r="41" spans="2:21" x14ac:dyDescent="0.4">
      <c r="B41" s="232"/>
      <c r="C41" s="232"/>
      <c r="D41" s="232"/>
      <c r="E41" s="232"/>
      <c r="F41" s="232"/>
      <c r="G41" s="232"/>
      <c r="H41" s="232"/>
      <c r="I41" s="232"/>
      <c r="J41" s="232"/>
      <c r="K41" s="232"/>
      <c r="L41" s="232"/>
      <c r="M41" s="232"/>
      <c r="N41" s="232"/>
      <c r="O41" s="232"/>
      <c r="P41" s="232"/>
      <c r="Q41" s="232"/>
      <c r="R41" s="232"/>
      <c r="S41" s="232"/>
      <c r="T41" s="232"/>
      <c r="U41" s="232"/>
    </row>
    <row r="42" spans="2:21" x14ac:dyDescent="0.4">
      <c r="B42" s="232"/>
      <c r="C42" s="232"/>
      <c r="D42" s="232"/>
      <c r="E42" s="232"/>
      <c r="F42" s="232"/>
      <c r="G42" s="232"/>
      <c r="H42" s="232"/>
      <c r="I42" s="232"/>
      <c r="J42" s="232"/>
      <c r="K42" s="232"/>
      <c r="L42" s="232"/>
      <c r="M42" s="232"/>
      <c r="N42" s="232"/>
      <c r="O42" s="232"/>
      <c r="P42" s="232"/>
      <c r="Q42" s="232"/>
      <c r="R42" s="232"/>
      <c r="S42" s="232"/>
      <c r="T42" s="232"/>
      <c r="U42" s="232"/>
    </row>
    <row r="43" spans="2:21" x14ac:dyDescent="0.4">
      <c r="B43" s="232"/>
      <c r="C43" s="232"/>
      <c r="D43" s="232"/>
      <c r="E43" s="232"/>
      <c r="F43" s="232"/>
      <c r="G43" s="232"/>
      <c r="H43" s="232"/>
      <c r="I43" s="232"/>
      <c r="J43" s="232"/>
      <c r="K43" s="232"/>
      <c r="L43" s="232"/>
      <c r="M43" s="232"/>
      <c r="N43" s="232"/>
      <c r="O43" s="232"/>
      <c r="P43" s="232"/>
      <c r="Q43" s="232"/>
      <c r="R43" s="232"/>
      <c r="S43" s="232"/>
      <c r="T43" s="232"/>
      <c r="U43" s="232"/>
    </row>
    <row r="44" spans="2:21" x14ac:dyDescent="0.4">
      <c r="B44" s="232"/>
      <c r="C44" s="232"/>
      <c r="D44" s="232"/>
      <c r="E44" s="232"/>
      <c r="F44" s="232"/>
      <c r="G44" s="232"/>
      <c r="H44" s="232"/>
      <c r="I44" s="232"/>
      <c r="J44" s="232"/>
      <c r="K44" s="232"/>
      <c r="L44" s="232"/>
      <c r="M44" s="232"/>
      <c r="N44" s="232"/>
      <c r="O44" s="232"/>
      <c r="P44" s="232"/>
      <c r="Q44" s="232"/>
      <c r="R44" s="232"/>
      <c r="S44" s="232"/>
      <c r="T44" s="232"/>
      <c r="U44" s="232"/>
    </row>
    <row r="45" spans="2:21" x14ac:dyDescent="0.4">
      <c r="B45" s="232"/>
      <c r="C45" s="232"/>
      <c r="D45" s="232"/>
      <c r="E45" s="232"/>
      <c r="F45" s="232"/>
      <c r="G45" s="232"/>
      <c r="H45" s="232"/>
      <c r="I45" s="232"/>
      <c r="J45" s="232"/>
      <c r="K45" s="232"/>
      <c r="L45" s="232"/>
      <c r="M45" s="232"/>
      <c r="N45" s="232"/>
      <c r="O45" s="232"/>
      <c r="P45" s="232"/>
      <c r="Q45" s="232"/>
      <c r="R45" s="232"/>
      <c r="S45" s="232"/>
      <c r="T45" s="232"/>
      <c r="U45" s="232"/>
    </row>
    <row r="46" spans="2:21" x14ac:dyDescent="0.4">
      <c r="B46" s="232"/>
      <c r="C46" s="232"/>
      <c r="D46" s="232"/>
      <c r="E46" s="232"/>
      <c r="F46" s="232"/>
      <c r="G46" s="232"/>
      <c r="H46" s="232"/>
      <c r="I46" s="232"/>
      <c r="J46" s="232"/>
      <c r="K46" s="232"/>
      <c r="L46" s="232"/>
      <c r="M46" s="232"/>
      <c r="N46" s="232"/>
      <c r="O46" s="232"/>
      <c r="P46" s="232"/>
      <c r="Q46" s="232"/>
      <c r="R46" s="232"/>
      <c r="S46" s="232"/>
      <c r="T46" s="232"/>
      <c r="U46" s="232"/>
    </row>
    <row r="47" spans="2:21" x14ac:dyDescent="0.4">
      <c r="B47" s="232"/>
      <c r="C47" s="232"/>
      <c r="D47" s="232"/>
      <c r="E47" s="232"/>
      <c r="F47" s="232"/>
      <c r="G47" s="232"/>
      <c r="H47" s="232"/>
      <c r="I47" s="232"/>
      <c r="J47" s="232"/>
      <c r="K47" s="232"/>
      <c r="L47" s="232"/>
      <c r="M47" s="232"/>
      <c r="N47" s="232"/>
      <c r="O47" s="232"/>
      <c r="P47" s="232"/>
      <c r="Q47" s="232"/>
      <c r="R47" s="232"/>
      <c r="S47" s="232"/>
      <c r="T47" s="232"/>
      <c r="U47" s="232"/>
    </row>
    <row r="48" spans="2:21" x14ac:dyDescent="0.4">
      <c r="B48" s="232"/>
      <c r="C48" s="232"/>
      <c r="D48" s="232"/>
      <c r="E48" s="232"/>
      <c r="F48" s="232"/>
      <c r="G48" s="232"/>
      <c r="H48" s="232"/>
      <c r="I48" s="232"/>
      <c r="J48" s="232"/>
      <c r="K48" s="232"/>
      <c r="L48" s="232"/>
      <c r="M48" s="232"/>
      <c r="N48" s="232"/>
      <c r="O48" s="232"/>
      <c r="P48" s="232"/>
      <c r="Q48" s="232"/>
      <c r="R48" s="232"/>
      <c r="S48" s="232"/>
      <c r="T48" s="232"/>
      <c r="U48" s="232"/>
    </row>
    <row r="49" spans="2:21" x14ac:dyDescent="0.4">
      <c r="B49" s="232"/>
      <c r="C49" s="232"/>
      <c r="D49" s="232"/>
      <c r="E49" s="232"/>
      <c r="F49" s="232"/>
      <c r="G49" s="232"/>
      <c r="H49" s="232"/>
      <c r="I49" s="232"/>
      <c r="J49" s="232"/>
      <c r="K49" s="232"/>
      <c r="L49" s="232"/>
      <c r="M49" s="232"/>
      <c r="N49" s="232"/>
      <c r="O49" s="232"/>
      <c r="P49" s="232"/>
      <c r="Q49" s="232"/>
      <c r="R49" s="232"/>
      <c r="S49" s="232"/>
      <c r="T49" s="232"/>
      <c r="U49" s="232"/>
    </row>
    <row r="50" spans="2:21" x14ac:dyDescent="0.4">
      <c r="B50" s="232"/>
      <c r="C50" s="232"/>
      <c r="D50" s="232"/>
      <c r="E50" s="232"/>
      <c r="F50" s="232"/>
      <c r="G50" s="232"/>
      <c r="H50" s="232"/>
      <c r="I50" s="232"/>
      <c r="J50" s="232"/>
      <c r="K50" s="232"/>
      <c r="L50" s="232"/>
      <c r="M50" s="232"/>
      <c r="N50" s="232"/>
      <c r="O50" s="232"/>
      <c r="P50" s="232"/>
      <c r="Q50" s="232"/>
      <c r="R50" s="232"/>
      <c r="S50" s="232"/>
      <c r="T50" s="232"/>
      <c r="U50" s="232"/>
    </row>
    <row r="51" spans="2:21" x14ac:dyDescent="0.4">
      <c r="B51" s="232"/>
      <c r="C51" s="232"/>
      <c r="D51" s="232"/>
      <c r="E51" s="232"/>
      <c r="F51" s="232"/>
      <c r="G51" s="232"/>
      <c r="H51" s="232"/>
      <c r="I51" s="232"/>
      <c r="J51" s="232"/>
      <c r="K51" s="232"/>
      <c r="L51" s="232"/>
      <c r="M51" s="232"/>
      <c r="N51" s="232"/>
      <c r="O51" s="232"/>
      <c r="P51" s="232"/>
      <c r="Q51" s="232"/>
      <c r="R51" s="232"/>
      <c r="S51" s="232"/>
      <c r="T51" s="232"/>
      <c r="U51" s="232"/>
    </row>
    <row r="52" spans="2:21" x14ac:dyDescent="0.4">
      <c r="B52" s="232"/>
      <c r="C52" s="232"/>
      <c r="D52" s="232"/>
      <c r="E52" s="232"/>
      <c r="F52" s="232"/>
      <c r="G52" s="232"/>
      <c r="H52" s="232"/>
      <c r="I52" s="232"/>
      <c r="J52" s="232"/>
      <c r="K52" s="232"/>
      <c r="L52" s="232"/>
      <c r="M52" s="232"/>
      <c r="N52" s="232"/>
      <c r="O52" s="232"/>
      <c r="P52" s="232"/>
      <c r="Q52" s="232"/>
      <c r="R52" s="232"/>
      <c r="S52" s="232"/>
      <c r="T52" s="232"/>
      <c r="U52" s="232"/>
    </row>
    <row r="53" spans="2:21" x14ac:dyDescent="0.4">
      <c r="B53" s="232"/>
      <c r="C53" s="232"/>
      <c r="D53" s="232"/>
      <c r="E53" s="232"/>
      <c r="F53" s="232"/>
      <c r="G53" s="232"/>
      <c r="H53" s="232"/>
      <c r="I53" s="232"/>
      <c r="J53" s="232"/>
      <c r="K53" s="232"/>
      <c r="L53" s="232"/>
      <c r="M53" s="232"/>
      <c r="N53" s="232"/>
      <c r="O53" s="232"/>
      <c r="P53" s="232"/>
      <c r="Q53" s="232"/>
      <c r="R53" s="232"/>
      <c r="S53" s="232"/>
      <c r="T53" s="232"/>
      <c r="U53" s="232"/>
    </row>
    <row r="54" spans="2:21" x14ac:dyDescent="0.4">
      <c r="B54" s="232"/>
      <c r="C54" s="232"/>
      <c r="D54" s="232"/>
      <c r="E54" s="232"/>
      <c r="F54" s="232"/>
      <c r="G54" s="232"/>
      <c r="H54" s="232"/>
      <c r="I54" s="232"/>
      <c r="J54" s="232"/>
      <c r="K54" s="232"/>
      <c r="L54" s="232"/>
      <c r="M54" s="232"/>
      <c r="N54" s="232"/>
      <c r="O54" s="232"/>
      <c r="P54" s="232"/>
      <c r="Q54" s="232"/>
      <c r="R54" s="232"/>
      <c r="S54" s="232"/>
      <c r="T54" s="232"/>
      <c r="U54" s="232"/>
    </row>
    <row r="55" spans="2:21" x14ac:dyDescent="0.4">
      <c r="B55" s="232"/>
      <c r="C55" s="232"/>
      <c r="D55" s="232"/>
      <c r="E55" s="232"/>
      <c r="F55" s="232"/>
      <c r="G55" s="232"/>
      <c r="H55" s="232"/>
      <c r="I55" s="232"/>
      <c r="J55" s="232"/>
      <c r="K55" s="232"/>
      <c r="L55" s="232"/>
      <c r="M55" s="232"/>
      <c r="N55" s="232"/>
      <c r="O55" s="232"/>
      <c r="P55" s="232"/>
      <c r="Q55" s="232"/>
      <c r="R55" s="232"/>
      <c r="S55" s="232"/>
      <c r="T55" s="232"/>
      <c r="U55" s="232"/>
    </row>
    <row r="56" spans="2:21" x14ac:dyDescent="0.4">
      <c r="B56" s="232"/>
      <c r="C56" s="232"/>
      <c r="D56" s="232"/>
      <c r="E56" s="232"/>
      <c r="F56" s="232"/>
      <c r="G56" s="232"/>
      <c r="H56" s="232"/>
      <c r="I56" s="232"/>
      <c r="J56" s="232"/>
      <c r="K56" s="232"/>
      <c r="L56" s="232"/>
      <c r="M56" s="232"/>
      <c r="N56" s="232"/>
      <c r="O56" s="232"/>
      <c r="P56" s="232"/>
      <c r="Q56" s="232"/>
      <c r="R56" s="232"/>
      <c r="S56" s="232"/>
      <c r="T56" s="232"/>
      <c r="U56" s="232"/>
    </row>
    <row r="57" spans="2:21" x14ac:dyDescent="0.4">
      <c r="B57" s="232"/>
      <c r="C57" s="232"/>
      <c r="D57" s="232"/>
      <c r="E57" s="232"/>
      <c r="F57" s="232"/>
      <c r="G57" s="232"/>
      <c r="H57" s="232"/>
      <c r="I57" s="232"/>
      <c r="J57" s="232"/>
      <c r="K57" s="232"/>
      <c r="L57" s="232"/>
      <c r="M57" s="232"/>
      <c r="N57" s="232"/>
      <c r="O57" s="232"/>
      <c r="P57" s="232"/>
      <c r="Q57" s="232"/>
      <c r="R57" s="232"/>
      <c r="S57" s="232"/>
      <c r="T57" s="232"/>
      <c r="U57" s="232"/>
    </row>
    <row r="58" spans="2:21" x14ac:dyDescent="0.4">
      <c r="B58" s="232"/>
      <c r="C58" s="232"/>
      <c r="D58" s="232"/>
      <c r="E58" s="232"/>
      <c r="F58" s="232"/>
      <c r="G58" s="232"/>
      <c r="H58" s="232"/>
      <c r="I58" s="232"/>
      <c r="J58" s="232"/>
      <c r="K58" s="232"/>
      <c r="L58" s="232"/>
      <c r="M58" s="232"/>
      <c r="N58" s="232"/>
      <c r="O58" s="232"/>
      <c r="P58" s="232"/>
      <c r="Q58" s="232"/>
      <c r="R58" s="232"/>
      <c r="S58" s="232"/>
      <c r="T58" s="232"/>
      <c r="U58" s="232"/>
    </row>
    <row r="59" spans="2:21" x14ac:dyDescent="0.4">
      <c r="B59" s="232"/>
      <c r="C59" s="232"/>
      <c r="D59" s="232"/>
      <c r="E59" s="232"/>
      <c r="F59" s="232"/>
      <c r="G59" s="232"/>
      <c r="H59" s="232"/>
      <c r="I59" s="232"/>
      <c r="J59" s="232"/>
      <c r="K59" s="232"/>
      <c r="L59" s="232"/>
      <c r="M59" s="232"/>
      <c r="N59" s="232"/>
      <c r="O59" s="232"/>
      <c r="P59" s="232"/>
      <c r="Q59" s="232"/>
      <c r="R59" s="232"/>
      <c r="S59" s="232"/>
      <c r="T59" s="232"/>
      <c r="U59" s="232"/>
    </row>
    <row r="60" spans="2:21" x14ac:dyDescent="0.4">
      <c r="B60" s="232"/>
      <c r="C60" s="232"/>
      <c r="D60" s="232"/>
      <c r="E60" s="232"/>
      <c r="F60" s="232"/>
      <c r="G60" s="232"/>
      <c r="H60" s="232"/>
      <c r="I60" s="232"/>
      <c r="J60" s="232"/>
      <c r="K60" s="232"/>
      <c r="L60" s="232"/>
      <c r="M60" s="232"/>
      <c r="N60" s="232"/>
      <c r="O60" s="232"/>
      <c r="P60" s="232"/>
      <c r="Q60" s="232"/>
      <c r="R60" s="232"/>
      <c r="S60" s="232"/>
      <c r="T60" s="232"/>
      <c r="U60" s="232"/>
    </row>
    <row r="61" spans="2:21" x14ac:dyDescent="0.4">
      <c r="B61" s="232"/>
      <c r="C61" s="232"/>
      <c r="D61" s="232"/>
      <c r="E61" s="232"/>
      <c r="F61" s="232"/>
      <c r="G61" s="232"/>
      <c r="H61" s="232"/>
      <c r="I61" s="232"/>
      <c r="J61" s="232"/>
      <c r="K61" s="232"/>
      <c r="L61" s="232"/>
      <c r="M61" s="232"/>
      <c r="N61" s="232"/>
      <c r="O61" s="232"/>
      <c r="P61" s="232"/>
      <c r="Q61" s="232"/>
      <c r="R61" s="232"/>
      <c r="S61" s="232"/>
      <c r="T61" s="232"/>
      <c r="U61" s="232"/>
    </row>
    <row r="62" spans="2:21" x14ac:dyDescent="0.4">
      <c r="B62" s="232"/>
      <c r="C62" s="232"/>
      <c r="D62" s="232"/>
      <c r="E62" s="232"/>
      <c r="F62" s="232"/>
      <c r="G62" s="232"/>
      <c r="H62" s="232"/>
      <c r="I62" s="232"/>
      <c r="J62" s="232"/>
      <c r="K62" s="232"/>
      <c r="L62" s="232"/>
      <c r="M62" s="232"/>
      <c r="N62" s="232"/>
      <c r="O62" s="232"/>
      <c r="P62" s="232"/>
      <c r="Q62" s="232"/>
      <c r="R62" s="232"/>
      <c r="S62" s="232"/>
      <c r="T62" s="232"/>
      <c r="U62" s="232"/>
    </row>
    <row r="63" spans="2:21" x14ac:dyDescent="0.4">
      <c r="B63" s="232"/>
      <c r="C63" s="232"/>
      <c r="D63" s="232"/>
      <c r="E63" s="232"/>
      <c r="F63" s="232"/>
      <c r="G63" s="232"/>
      <c r="H63" s="232"/>
      <c r="I63" s="232"/>
      <c r="J63" s="232"/>
      <c r="K63" s="232"/>
      <c r="L63" s="232"/>
      <c r="M63" s="232"/>
      <c r="N63" s="232"/>
      <c r="O63" s="232"/>
      <c r="P63" s="232"/>
      <c r="Q63" s="232"/>
      <c r="R63" s="232"/>
      <c r="S63" s="232"/>
      <c r="T63" s="232"/>
      <c r="U63" s="232"/>
    </row>
    <row r="64" spans="2:21" x14ac:dyDescent="0.4">
      <c r="B64" s="232"/>
      <c r="C64" s="232"/>
      <c r="D64" s="232"/>
      <c r="E64" s="232"/>
      <c r="F64" s="232"/>
      <c r="G64" s="232"/>
      <c r="H64" s="232"/>
      <c r="I64" s="232"/>
      <c r="J64" s="232"/>
      <c r="K64" s="232"/>
      <c r="L64" s="232"/>
      <c r="M64" s="232"/>
      <c r="N64" s="232"/>
      <c r="O64" s="232"/>
      <c r="P64" s="232"/>
      <c r="Q64" s="232"/>
      <c r="R64" s="232"/>
      <c r="S64" s="232"/>
      <c r="T64" s="232"/>
      <c r="U64" s="232"/>
    </row>
    <row r="65" spans="2:21" x14ac:dyDescent="0.4">
      <c r="B65" s="232"/>
      <c r="C65" s="232"/>
      <c r="D65" s="232"/>
      <c r="E65" s="232"/>
      <c r="F65" s="232"/>
      <c r="G65" s="232"/>
      <c r="H65" s="232"/>
      <c r="I65" s="232"/>
      <c r="J65" s="232"/>
      <c r="K65" s="232"/>
      <c r="L65" s="232"/>
      <c r="M65" s="232"/>
      <c r="N65" s="232"/>
      <c r="O65" s="232"/>
      <c r="P65" s="232"/>
      <c r="Q65" s="232"/>
      <c r="R65" s="232"/>
      <c r="S65" s="232"/>
      <c r="T65" s="232"/>
      <c r="U65" s="232"/>
    </row>
    <row r="66" spans="2:21" x14ac:dyDescent="0.4">
      <c r="B66" s="232"/>
      <c r="C66" s="232"/>
      <c r="D66" s="232"/>
      <c r="E66" s="232"/>
      <c r="F66" s="232"/>
      <c r="G66" s="232"/>
      <c r="H66" s="232"/>
      <c r="I66" s="232"/>
      <c r="J66" s="232"/>
      <c r="K66" s="232"/>
      <c r="L66" s="232"/>
      <c r="M66" s="232"/>
      <c r="N66" s="232"/>
      <c r="O66" s="232"/>
      <c r="P66" s="232"/>
      <c r="Q66" s="232"/>
      <c r="R66" s="232"/>
      <c r="S66" s="232"/>
      <c r="T66" s="232"/>
      <c r="U66" s="232"/>
    </row>
    <row r="67" spans="2:21" x14ac:dyDescent="0.4">
      <c r="B67" s="232"/>
      <c r="C67" s="232"/>
      <c r="D67" s="232"/>
      <c r="E67" s="232"/>
      <c r="F67" s="232"/>
      <c r="G67" s="232"/>
      <c r="H67" s="232"/>
      <c r="I67" s="232"/>
      <c r="J67" s="232"/>
      <c r="K67" s="232"/>
      <c r="L67" s="232"/>
      <c r="M67" s="232"/>
      <c r="N67" s="232"/>
      <c r="O67" s="232"/>
      <c r="P67" s="232"/>
      <c r="Q67" s="232"/>
      <c r="R67" s="232"/>
      <c r="S67" s="232"/>
      <c r="T67" s="232"/>
      <c r="U67" s="232"/>
    </row>
    <row r="68" spans="2:21" x14ac:dyDescent="0.4">
      <c r="B68" s="232"/>
      <c r="C68" s="232"/>
      <c r="D68" s="232"/>
      <c r="E68" s="232"/>
      <c r="F68" s="232"/>
      <c r="G68" s="232"/>
      <c r="H68" s="232"/>
      <c r="I68" s="232"/>
      <c r="J68" s="232"/>
      <c r="K68" s="232"/>
      <c r="L68" s="232"/>
      <c r="M68" s="232"/>
      <c r="N68" s="232"/>
      <c r="O68" s="232"/>
      <c r="P68" s="232"/>
      <c r="Q68" s="232"/>
      <c r="R68" s="232"/>
      <c r="S68" s="232"/>
      <c r="T68" s="232"/>
      <c r="U68" s="232"/>
    </row>
    <row r="69" spans="2:21" x14ac:dyDescent="0.4">
      <c r="B69" s="232"/>
      <c r="C69" s="232"/>
      <c r="D69" s="232"/>
      <c r="E69" s="232"/>
      <c r="F69" s="232"/>
      <c r="G69" s="232"/>
      <c r="H69" s="232"/>
      <c r="I69" s="232"/>
      <c r="J69" s="232"/>
      <c r="K69" s="232"/>
      <c r="L69" s="232"/>
      <c r="M69" s="232"/>
      <c r="N69" s="232"/>
      <c r="O69" s="232"/>
      <c r="P69" s="232"/>
      <c r="Q69" s="232"/>
      <c r="R69" s="232"/>
      <c r="S69" s="232"/>
      <c r="T69" s="232"/>
      <c r="U69" s="232"/>
    </row>
    <row r="70" spans="2:21" x14ac:dyDescent="0.4">
      <c r="B70" s="232"/>
      <c r="C70" s="232"/>
      <c r="D70" s="232"/>
      <c r="E70" s="232"/>
      <c r="F70" s="232"/>
      <c r="G70" s="232"/>
      <c r="H70" s="232"/>
      <c r="I70" s="232"/>
      <c r="J70" s="232"/>
      <c r="K70" s="232"/>
      <c r="L70" s="232"/>
      <c r="M70" s="232"/>
      <c r="N70" s="232"/>
      <c r="O70" s="232"/>
      <c r="P70" s="232"/>
      <c r="Q70" s="232"/>
      <c r="R70" s="232"/>
      <c r="S70" s="232"/>
      <c r="T70" s="232"/>
      <c r="U70" s="232"/>
    </row>
    <row r="71" spans="2:21" x14ac:dyDescent="0.4">
      <c r="B71" s="232"/>
      <c r="C71" s="232"/>
      <c r="D71" s="232"/>
      <c r="E71" s="232"/>
      <c r="F71" s="232"/>
      <c r="G71" s="232"/>
      <c r="H71" s="232"/>
      <c r="I71" s="232"/>
      <c r="J71" s="232"/>
      <c r="K71" s="232"/>
      <c r="L71" s="232"/>
      <c r="M71" s="232"/>
      <c r="N71" s="232"/>
      <c r="O71" s="232"/>
      <c r="P71" s="232"/>
      <c r="Q71" s="232"/>
      <c r="R71" s="232"/>
      <c r="S71" s="232"/>
      <c r="T71" s="232"/>
      <c r="U71" s="232"/>
    </row>
    <row r="72" spans="2:21" x14ac:dyDescent="0.4">
      <c r="B72" s="232"/>
      <c r="C72" s="232"/>
      <c r="D72" s="232"/>
      <c r="E72" s="232"/>
      <c r="F72" s="232"/>
      <c r="G72" s="232"/>
      <c r="H72" s="232"/>
      <c r="I72" s="232"/>
      <c r="J72" s="232"/>
      <c r="K72" s="232"/>
      <c r="L72" s="232"/>
      <c r="M72" s="232"/>
      <c r="N72" s="232"/>
      <c r="O72" s="232"/>
      <c r="P72" s="232"/>
      <c r="Q72" s="232"/>
      <c r="R72" s="232"/>
      <c r="S72" s="232"/>
      <c r="T72" s="232"/>
      <c r="U72" s="232"/>
    </row>
    <row r="73" spans="2:21" x14ac:dyDescent="0.4">
      <c r="B73" s="232"/>
      <c r="C73" s="232"/>
      <c r="D73" s="232"/>
      <c r="E73" s="232"/>
      <c r="F73" s="232"/>
      <c r="G73" s="232"/>
      <c r="H73" s="232"/>
      <c r="I73" s="232"/>
      <c r="J73" s="232"/>
      <c r="K73" s="232"/>
      <c r="L73" s="232"/>
      <c r="M73" s="232"/>
      <c r="N73" s="232"/>
      <c r="O73" s="232"/>
      <c r="P73" s="232"/>
      <c r="Q73" s="232"/>
      <c r="R73" s="232"/>
      <c r="S73" s="232"/>
      <c r="T73" s="232"/>
      <c r="U73" s="232"/>
    </row>
    <row r="74" spans="2:21" x14ac:dyDescent="0.4">
      <c r="B74" s="232"/>
      <c r="C74" s="232"/>
      <c r="D74" s="232"/>
      <c r="E74" s="232"/>
      <c r="F74" s="232"/>
      <c r="G74" s="232"/>
      <c r="H74" s="232"/>
      <c r="I74" s="232"/>
      <c r="J74" s="232"/>
      <c r="K74" s="232"/>
      <c r="L74" s="232"/>
      <c r="M74" s="232"/>
      <c r="N74" s="232"/>
      <c r="O74" s="232"/>
      <c r="P74" s="232"/>
      <c r="Q74" s="232"/>
      <c r="R74" s="232"/>
      <c r="S74" s="232"/>
      <c r="T74" s="232"/>
      <c r="U74" s="232"/>
    </row>
    <row r="75" spans="2:21" x14ac:dyDescent="0.4">
      <c r="B75" s="232"/>
      <c r="C75" s="232"/>
      <c r="D75" s="232"/>
      <c r="E75" s="232"/>
      <c r="F75" s="232"/>
      <c r="G75" s="232"/>
      <c r="H75" s="232"/>
      <c r="I75" s="232"/>
      <c r="J75" s="232"/>
      <c r="K75" s="232"/>
      <c r="L75" s="232"/>
      <c r="M75" s="232"/>
      <c r="N75" s="232"/>
      <c r="O75" s="232"/>
      <c r="P75" s="232"/>
      <c r="Q75" s="232"/>
      <c r="R75" s="232"/>
      <c r="S75" s="232"/>
      <c r="T75" s="232"/>
      <c r="U75" s="232"/>
    </row>
    <row r="76" spans="2:21" x14ac:dyDescent="0.4">
      <c r="B76" s="232"/>
      <c r="C76" s="232"/>
      <c r="D76" s="232"/>
      <c r="E76" s="232"/>
      <c r="F76" s="232"/>
      <c r="G76" s="232"/>
      <c r="H76" s="232"/>
      <c r="I76" s="232"/>
      <c r="J76" s="232"/>
      <c r="K76" s="232"/>
      <c r="L76" s="232"/>
      <c r="M76" s="232"/>
      <c r="N76" s="232"/>
      <c r="O76" s="232"/>
      <c r="P76" s="232"/>
      <c r="Q76" s="232"/>
      <c r="R76" s="232"/>
      <c r="S76" s="232"/>
      <c r="T76" s="232"/>
      <c r="U76" s="232"/>
    </row>
    <row r="77" spans="2:21" x14ac:dyDescent="0.4">
      <c r="B77" s="232"/>
      <c r="C77" s="232"/>
      <c r="D77" s="232"/>
      <c r="E77" s="232"/>
      <c r="F77" s="232"/>
      <c r="G77" s="232"/>
      <c r="H77" s="232"/>
      <c r="I77" s="232"/>
      <c r="J77" s="232"/>
      <c r="K77" s="232"/>
      <c r="L77" s="232"/>
      <c r="M77" s="232"/>
      <c r="N77" s="232"/>
      <c r="O77" s="232"/>
      <c r="P77" s="232"/>
      <c r="Q77" s="232"/>
      <c r="R77" s="232"/>
      <c r="S77" s="232"/>
      <c r="T77" s="232"/>
      <c r="U77" s="232"/>
    </row>
    <row r="78" spans="2:21" x14ac:dyDescent="0.4">
      <c r="B78" s="232"/>
      <c r="C78" s="232"/>
      <c r="D78" s="232"/>
      <c r="E78" s="232"/>
      <c r="F78" s="232"/>
      <c r="G78" s="232"/>
      <c r="H78" s="232"/>
      <c r="I78" s="232"/>
      <c r="J78" s="232"/>
      <c r="K78" s="232"/>
      <c r="L78" s="232"/>
      <c r="M78" s="232"/>
      <c r="N78" s="232"/>
      <c r="O78" s="232"/>
      <c r="P78" s="232"/>
      <c r="Q78" s="232"/>
      <c r="R78" s="232"/>
      <c r="S78" s="232"/>
      <c r="T78" s="232"/>
      <c r="U78" s="232"/>
    </row>
    <row r="79" spans="2:21" x14ac:dyDescent="0.4">
      <c r="B79" s="232"/>
      <c r="C79" s="232"/>
      <c r="D79" s="232"/>
      <c r="E79" s="232"/>
      <c r="F79" s="232"/>
      <c r="G79" s="232"/>
      <c r="H79" s="232"/>
      <c r="I79" s="232"/>
      <c r="J79" s="232"/>
      <c r="K79" s="232"/>
      <c r="L79" s="232"/>
      <c r="M79" s="232"/>
      <c r="N79" s="232"/>
      <c r="O79" s="232"/>
      <c r="P79" s="232"/>
      <c r="Q79" s="232"/>
      <c r="R79" s="232"/>
      <c r="S79" s="232"/>
      <c r="T79" s="232"/>
      <c r="U79" s="232"/>
    </row>
    <row r="80" spans="2:21" x14ac:dyDescent="0.4">
      <c r="B80" s="232"/>
      <c r="C80" s="232"/>
      <c r="D80" s="232"/>
      <c r="E80" s="232"/>
      <c r="F80" s="232"/>
      <c r="G80" s="232"/>
      <c r="H80" s="232"/>
      <c r="I80" s="232"/>
      <c r="J80" s="232"/>
      <c r="K80" s="232"/>
      <c r="L80" s="232"/>
      <c r="M80" s="232"/>
      <c r="N80" s="232"/>
      <c r="O80" s="232"/>
      <c r="P80" s="232"/>
      <c r="Q80" s="232"/>
      <c r="R80" s="232"/>
      <c r="S80" s="232"/>
      <c r="T80" s="232"/>
      <c r="U80" s="232"/>
    </row>
    <row r="81" spans="2:21" x14ac:dyDescent="0.4">
      <c r="B81" s="232"/>
      <c r="C81" s="232"/>
      <c r="D81" s="232"/>
      <c r="E81" s="232"/>
      <c r="F81" s="232"/>
      <c r="G81" s="232"/>
      <c r="H81" s="232"/>
      <c r="I81" s="232"/>
      <c r="J81" s="232"/>
      <c r="K81" s="232"/>
      <c r="L81" s="232"/>
      <c r="M81" s="232"/>
      <c r="N81" s="232"/>
      <c r="O81" s="232"/>
      <c r="P81" s="232"/>
      <c r="Q81" s="232"/>
      <c r="R81" s="232"/>
      <c r="S81" s="232"/>
      <c r="T81" s="232"/>
      <c r="U81" s="232"/>
    </row>
    <row r="82" spans="2:21" x14ac:dyDescent="0.4">
      <c r="B82" s="232"/>
      <c r="C82" s="232"/>
      <c r="D82" s="232"/>
      <c r="E82" s="232"/>
      <c r="F82" s="232"/>
      <c r="G82" s="232"/>
      <c r="H82" s="232"/>
      <c r="I82" s="232"/>
      <c r="J82" s="232"/>
      <c r="K82" s="232"/>
      <c r="L82" s="232"/>
      <c r="M82" s="232"/>
      <c r="N82" s="232"/>
      <c r="O82" s="232"/>
      <c r="P82" s="232"/>
      <c r="Q82" s="232"/>
      <c r="R82" s="232"/>
      <c r="S82" s="232"/>
      <c r="T82" s="232"/>
      <c r="U82" s="232"/>
    </row>
    <row r="83" spans="2:21" x14ac:dyDescent="0.4">
      <c r="B83" s="232"/>
      <c r="C83" s="232"/>
      <c r="D83" s="232"/>
      <c r="E83" s="232"/>
      <c r="F83" s="232"/>
      <c r="G83" s="232"/>
      <c r="H83" s="232"/>
      <c r="I83" s="232"/>
      <c r="J83" s="232"/>
      <c r="K83" s="232"/>
      <c r="L83" s="232"/>
      <c r="M83" s="232"/>
      <c r="N83" s="232"/>
      <c r="O83" s="232"/>
      <c r="P83" s="232"/>
      <c r="Q83" s="232"/>
      <c r="R83" s="232"/>
      <c r="S83" s="232"/>
      <c r="T83" s="232"/>
      <c r="U83" s="232"/>
    </row>
    <row r="84" spans="2:21" x14ac:dyDescent="0.4">
      <c r="B84" s="232"/>
      <c r="C84" s="232"/>
      <c r="D84" s="232"/>
      <c r="E84" s="232"/>
      <c r="F84" s="232"/>
      <c r="G84" s="232"/>
      <c r="H84" s="232"/>
      <c r="I84" s="232"/>
      <c r="J84" s="232"/>
      <c r="K84" s="232"/>
      <c r="L84" s="232"/>
      <c r="M84" s="232"/>
      <c r="N84" s="232"/>
      <c r="O84" s="232"/>
      <c r="P84" s="232"/>
      <c r="Q84" s="232"/>
      <c r="R84" s="232"/>
      <c r="S84" s="232"/>
      <c r="T84" s="232"/>
      <c r="U84" s="232"/>
    </row>
    <row r="85" spans="2:21" x14ac:dyDescent="0.4">
      <c r="B85" s="232"/>
      <c r="C85" s="232"/>
      <c r="D85" s="232"/>
      <c r="E85" s="232"/>
      <c r="F85" s="232"/>
      <c r="G85" s="232"/>
      <c r="H85" s="232"/>
      <c r="I85" s="232"/>
      <c r="J85" s="232"/>
      <c r="K85" s="232"/>
      <c r="L85" s="232"/>
      <c r="M85" s="232"/>
      <c r="N85" s="232"/>
      <c r="O85" s="232"/>
      <c r="P85" s="232"/>
      <c r="Q85" s="232"/>
      <c r="R85" s="232"/>
      <c r="S85" s="232"/>
      <c r="T85" s="232"/>
      <c r="U85" s="232"/>
    </row>
    <row r="86" spans="2:21" x14ac:dyDescent="0.4">
      <c r="B86" s="232"/>
      <c r="C86" s="232"/>
      <c r="D86" s="232"/>
      <c r="E86" s="232"/>
      <c r="F86" s="232"/>
      <c r="G86" s="232"/>
      <c r="H86" s="232"/>
      <c r="I86" s="232"/>
      <c r="J86" s="232"/>
      <c r="K86" s="232"/>
      <c r="L86" s="232"/>
      <c r="M86" s="232"/>
      <c r="N86" s="232"/>
      <c r="O86" s="232"/>
      <c r="P86" s="232"/>
      <c r="Q86" s="232"/>
      <c r="R86" s="232"/>
      <c r="S86" s="232"/>
      <c r="T86" s="232"/>
      <c r="U86" s="232"/>
    </row>
    <row r="87" spans="2:21" x14ac:dyDescent="0.4">
      <c r="B87" s="232"/>
      <c r="C87" s="232"/>
      <c r="D87" s="232"/>
      <c r="E87" s="232"/>
      <c r="F87" s="232"/>
      <c r="G87" s="232"/>
      <c r="H87" s="232"/>
      <c r="I87" s="232"/>
      <c r="J87" s="232"/>
      <c r="K87" s="232"/>
      <c r="L87" s="232"/>
      <c r="M87" s="232"/>
      <c r="N87" s="232"/>
      <c r="O87" s="232"/>
      <c r="P87" s="232"/>
      <c r="Q87" s="232"/>
      <c r="R87" s="232"/>
      <c r="S87" s="232"/>
      <c r="T87" s="232"/>
      <c r="U87" s="232"/>
    </row>
    <row r="88" spans="2:21" x14ac:dyDescent="0.4">
      <c r="B88" s="232"/>
      <c r="C88" s="232"/>
      <c r="D88" s="232"/>
      <c r="E88" s="232"/>
      <c r="F88" s="232"/>
      <c r="G88" s="232"/>
      <c r="H88" s="232"/>
      <c r="I88" s="232"/>
      <c r="J88" s="232"/>
      <c r="K88" s="232"/>
      <c r="L88" s="232"/>
      <c r="M88" s="232"/>
      <c r="N88" s="232"/>
      <c r="O88" s="232"/>
      <c r="P88" s="232"/>
      <c r="Q88" s="232"/>
      <c r="R88" s="232"/>
      <c r="S88" s="232"/>
      <c r="T88" s="232"/>
      <c r="U88" s="232"/>
    </row>
    <row r="89" spans="2:21" x14ac:dyDescent="0.4">
      <c r="B89" s="232"/>
      <c r="C89" s="232"/>
      <c r="D89" s="232"/>
      <c r="E89" s="232"/>
      <c r="F89" s="232"/>
      <c r="G89" s="232"/>
      <c r="H89" s="232"/>
      <c r="I89" s="232"/>
      <c r="J89" s="232"/>
      <c r="K89" s="232"/>
      <c r="L89" s="232"/>
      <c r="M89" s="232"/>
      <c r="N89" s="232"/>
      <c r="O89" s="232"/>
      <c r="P89" s="232"/>
      <c r="Q89" s="232"/>
      <c r="R89" s="232"/>
      <c r="S89" s="232"/>
      <c r="T89" s="232"/>
      <c r="U89" s="232"/>
    </row>
    <row r="90" spans="2:21" x14ac:dyDescent="0.4">
      <c r="B90" s="232"/>
      <c r="C90" s="232"/>
      <c r="D90" s="232"/>
      <c r="E90" s="232"/>
      <c r="F90" s="232"/>
      <c r="G90" s="232"/>
      <c r="H90" s="232"/>
      <c r="I90" s="232"/>
      <c r="J90" s="232"/>
      <c r="K90" s="232"/>
      <c r="L90" s="232"/>
      <c r="M90" s="232"/>
      <c r="N90" s="232"/>
      <c r="O90" s="232"/>
      <c r="P90" s="232"/>
      <c r="Q90" s="232"/>
      <c r="R90" s="232"/>
      <c r="S90" s="232"/>
      <c r="T90" s="232"/>
      <c r="U90" s="232"/>
    </row>
    <row r="91" spans="2:21" x14ac:dyDescent="0.4">
      <c r="B91" s="232"/>
      <c r="C91" s="232"/>
      <c r="D91" s="232"/>
      <c r="E91" s="232"/>
      <c r="F91" s="232"/>
      <c r="G91" s="232"/>
      <c r="H91" s="232"/>
      <c r="I91" s="232"/>
      <c r="J91" s="232"/>
      <c r="K91" s="232"/>
      <c r="L91" s="232"/>
      <c r="M91" s="232"/>
      <c r="N91" s="232"/>
      <c r="O91" s="232"/>
      <c r="P91" s="232"/>
      <c r="Q91" s="232"/>
      <c r="R91" s="232"/>
      <c r="S91" s="232"/>
      <c r="T91" s="232"/>
      <c r="U91" s="232"/>
    </row>
    <row r="92" spans="2:21" x14ac:dyDescent="0.4">
      <c r="B92" s="232"/>
      <c r="C92" s="232"/>
      <c r="D92" s="232"/>
      <c r="E92" s="232"/>
      <c r="F92" s="232"/>
      <c r="G92" s="232"/>
      <c r="H92" s="232"/>
      <c r="I92" s="232"/>
      <c r="J92" s="232"/>
      <c r="K92" s="232"/>
      <c r="L92" s="232"/>
      <c r="M92" s="232"/>
      <c r="N92" s="232"/>
      <c r="O92" s="232"/>
      <c r="P92" s="232"/>
      <c r="Q92" s="232"/>
      <c r="R92" s="232"/>
      <c r="S92" s="232"/>
      <c r="T92" s="232"/>
      <c r="U92" s="232"/>
    </row>
    <row r="93" spans="2:21" x14ac:dyDescent="0.4">
      <c r="B93" s="232"/>
      <c r="C93" s="232"/>
      <c r="D93" s="232"/>
      <c r="E93" s="232"/>
      <c r="F93" s="232"/>
      <c r="G93" s="232"/>
      <c r="H93" s="232"/>
      <c r="I93" s="232"/>
      <c r="J93" s="232"/>
      <c r="K93" s="232"/>
      <c r="L93" s="232"/>
      <c r="M93" s="232"/>
      <c r="N93" s="232"/>
      <c r="O93" s="232"/>
      <c r="P93" s="232"/>
      <c r="Q93" s="232"/>
      <c r="R93" s="232"/>
      <c r="S93" s="232"/>
      <c r="T93" s="232"/>
      <c r="U93" s="232"/>
    </row>
    <row r="94" spans="2:21" x14ac:dyDescent="0.4">
      <c r="B94" s="232"/>
      <c r="C94" s="232"/>
      <c r="D94" s="232"/>
      <c r="E94" s="232"/>
      <c r="F94" s="232"/>
      <c r="G94" s="232"/>
      <c r="H94" s="232"/>
      <c r="I94" s="232"/>
      <c r="J94" s="232"/>
      <c r="K94" s="232"/>
      <c r="L94" s="232"/>
      <c r="M94" s="232"/>
      <c r="N94" s="232"/>
      <c r="O94" s="232"/>
      <c r="P94" s="232"/>
      <c r="Q94" s="232"/>
      <c r="R94" s="232"/>
      <c r="S94" s="232"/>
      <c r="T94" s="232"/>
      <c r="U94" s="232"/>
    </row>
    <row r="95" spans="2:21" x14ac:dyDescent="0.4">
      <c r="B95" s="232"/>
      <c r="C95" s="232"/>
      <c r="D95" s="232"/>
      <c r="E95" s="232"/>
      <c r="F95" s="232"/>
      <c r="G95" s="232"/>
      <c r="H95" s="232"/>
      <c r="I95" s="232"/>
      <c r="J95" s="232"/>
      <c r="K95" s="232"/>
      <c r="L95" s="232"/>
      <c r="M95" s="232"/>
      <c r="N95" s="232"/>
      <c r="O95" s="232"/>
      <c r="P95" s="232"/>
      <c r="Q95" s="232"/>
      <c r="R95" s="232"/>
      <c r="S95" s="232"/>
      <c r="T95" s="232"/>
      <c r="U95" s="232"/>
    </row>
    <row r="96" spans="2:21" x14ac:dyDescent="0.4">
      <c r="B96" s="232"/>
      <c r="C96" s="232"/>
      <c r="D96" s="232"/>
      <c r="E96" s="232"/>
      <c r="F96" s="232"/>
      <c r="G96" s="232"/>
      <c r="H96" s="232"/>
      <c r="I96" s="232"/>
      <c r="J96" s="232"/>
      <c r="K96" s="232"/>
      <c r="L96" s="232"/>
      <c r="M96" s="232"/>
      <c r="N96" s="232"/>
      <c r="O96" s="232"/>
      <c r="P96" s="232"/>
      <c r="Q96" s="232"/>
      <c r="R96" s="232"/>
      <c r="S96" s="232"/>
      <c r="T96" s="232"/>
      <c r="U96" s="232"/>
    </row>
    <row r="97" spans="2:21" x14ac:dyDescent="0.4">
      <c r="B97" s="232"/>
      <c r="C97" s="232"/>
      <c r="D97" s="232"/>
      <c r="E97" s="232"/>
      <c r="F97" s="232"/>
      <c r="G97" s="232"/>
      <c r="H97" s="232"/>
      <c r="I97" s="232"/>
      <c r="J97" s="232"/>
      <c r="K97" s="232"/>
      <c r="L97" s="232"/>
      <c r="M97" s="232"/>
      <c r="N97" s="232"/>
      <c r="O97" s="232"/>
      <c r="P97" s="232"/>
      <c r="Q97" s="232"/>
      <c r="R97" s="232"/>
      <c r="S97" s="232"/>
      <c r="T97" s="232"/>
      <c r="U97" s="232"/>
    </row>
    <row r="98" spans="2:21" x14ac:dyDescent="0.4">
      <c r="B98" s="232"/>
      <c r="C98" s="232"/>
      <c r="D98" s="232"/>
      <c r="E98" s="232"/>
      <c r="F98" s="232"/>
      <c r="G98" s="232"/>
      <c r="H98" s="232"/>
      <c r="I98" s="232"/>
      <c r="J98" s="232"/>
      <c r="K98" s="232"/>
      <c r="L98" s="232"/>
      <c r="M98" s="232"/>
      <c r="N98" s="232"/>
      <c r="O98" s="232"/>
      <c r="P98" s="232"/>
      <c r="Q98" s="232"/>
      <c r="R98" s="232"/>
      <c r="S98" s="232"/>
      <c r="T98" s="232"/>
      <c r="U98" s="232"/>
    </row>
    <row r="99" spans="2:21" x14ac:dyDescent="0.4">
      <c r="B99" s="232"/>
      <c r="C99" s="232"/>
      <c r="D99" s="232"/>
      <c r="E99" s="232"/>
      <c r="F99" s="232"/>
      <c r="G99" s="232"/>
      <c r="H99" s="232"/>
      <c r="I99" s="232"/>
      <c r="J99" s="232"/>
      <c r="K99" s="232"/>
      <c r="L99" s="232"/>
      <c r="M99" s="232"/>
      <c r="N99" s="232"/>
      <c r="O99" s="232"/>
      <c r="P99" s="232"/>
      <c r="Q99" s="232"/>
      <c r="R99" s="232"/>
      <c r="S99" s="232"/>
      <c r="T99" s="232"/>
      <c r="U99" s="232"/>
    </row>
    <row r="100" spans="2:21" x14ac:dyDescent="0.4">
      <c r="B100" s="232"/>
      <c r="C100" s="232"/>
      <c r="D100" s="232"/>
      <c r="E100" s="232"/>
      <c r="F100" s="232"/>
      <c r="G100" s="232"/>
      <c r="H100" s="232"/>
      <c r="I100" s="232"/>
      <c r="J100" s="232"/>
      <c r="K100" s="232"/>
      <c r="L100" s="232"/>
      <c r="M100" s="232"/>
      <c r="N100" s="232"/>
      <c r="O100" s="232"/>
      <c r="P100" s="232"/>
      <c r="Q100" s="232"/>
      <c r="R100" s="232"/>
      <c r="S100" s="232"/>
      <c r="T100" s="232"/>
      <c r="U100" s="232"/>
    </row>
    <row r="101" spans="2:21" x14ac:dyDescent="0.4">
      <c r="B101" s="232"/>
      <c r="C101" s="232"/>
      <c r="D101" s="232"/>
      <c r="E101" s="232"/>
      <c r="F101" s="232"/>
      <c r="G101" s="232"/>
      <c r="H101" s="232"/>
      <c r="I101" s="232"/>
      <c r="J101" s="232"/>
      <c r="K101" s="232"/>
      <c r="L101" s="232"/>
      <c r="M101" s="232"/>
      <c r="N101" s="232"/>
      <c r="O101" s="232"/>
      <c r="P101" s="232"/>
      <c r="Q101" s="232"/>
      <c r="R101" s="232"/>
      <c r="S101" s="232"/>
      <c r="T101" s="232"/>
      <c r="U101" s="232"/>
    </row>
    <row r="102" spans="2:21" x14ac:dyDescent="0.4">
      <c r="B102" s="232"/>
      <c r="C102" s="232"/>
      <c r="D102" s="232"/>
      <c r="E102" s="232"/>
      <c r="F102" s="232"/>
      <c r="G102" s="232"/>
      <c r="H102" s="232"/>
      <c r="I102" s="232"/>
      <c r="J102" s="232"/>
      <c r="K102" s="232"/>
      <c r="L102" s="232"/>
      <c r="M102" s="232"/>
      <c r="N102" s="232"/>
      <c r="O102" s="232"/>
      <c r="P102" s="232"/>
      <c r="Q102" s="232"/>
      <c r="R102" s="232"/>
      <c r="S102" s="232"/>
      <c r="T102" s="232"/>
      <c r="U102" s="232"/>
    </row>
    <row r="103" spans="2:21" x14ac:dyDescent="0.4">
      <c r="B103" s="232"/>
      <c r="C103" s="232"/>
      <c r="D103" s="232"/>
      <c r="E103" s="232"/>
      <c r="F103" s="232"/>
      <c r="G103" s="232"/>
      <c r="H103" s="232"/>
      <c r="I103" s="232"/>
      <c r="J103" s="232"/>
      <c r="K103" s="232"/>
      <c r="L103" s="232"/>
      <c r="M103" s="232"/>
      <c r="N103" s="232"/>
      <c r="O103" s="232"/>
      <c r="P103" s="232"/>
      <c r="Q103" s="232"/>
      <c r="R103" s="232"/>
      <c r="S103" s="232"/>
      <c r="T103" s="232"/>
      <c r="U103" s="232"/>
    </row>
    <row r="104" spans="2:21" x14ac:dyDescent="0.4">
      <c r="B104" s="232"/>
      <c r="C104" s="232"/>
      <c r="D104" s="232"/>
      <c r="E104" s="232"/>
      <c r="F104" s="232"/>
      <c r="G104" s="232"/>
      <c r="H104" s="232"/>
      <c r="I104" s="232"/>
      <c r="J104" s="232"/>
      <c r="K104" s="232"/>
      <c r="L104" s="232"/>
      <c r="M104" s="232"/>
      <c r="N104" s="232"/>
      <c r="O104" s="232"/>
      <c r="P104" s="232"/>
      <c r="Q104" s="232"/>
      <c r="R104" s="232"/>
      <c r="S104" s="232"/>
      <c r="T104" s="232"/>
      <c r="U104" s="232"/>
    </row>
    <row r="105" spans="2:21" x14ac:dyDescent="0.4">
      <c r="B105" s="232"/>
      <c r="C105" s="232"/>
      <c r="D105" s="232"/>
      <c r="E105" s="232"/>
      <c r="F105" s="232"/>
      <c r="G105" s="232"/>
      <c r="H105" s="232"/>
      <c r="I105" s="232"/>
      <c r="J105" s="232"/>
      <c r="K105" s="232"/>
      <c r="L105" s="232"/>
      <c r="M105" s="232"/>
      <c r="N105" s="232"/>
      <c r="O105" s="232"/>
      <c r="P105" s="232"/>
      <c r="Q105" s="232"/>
      <c r="R105" s="232"/>
      <c r="S105" s="232"/>
      <c r="T105" s="232"/>
      <c r="U105" s="232"/>
    </row>
    <row r="106" spans="2:21" x14ac:dyDescent="0.4">
      <c r="B106" s="232"/>
      <c r="C106" s="232"/>
      <c r="D106" s="232"/>
      <c r="E106" s="232"/>
      <c r="F106" s="232"/>
      <c r="G106" s="232"/>
      <c r="H106" s="232"/>
      <c r="I106" s="232"/>
      <c r="J106" s="232"/>
      <c r="K106" s="232"/>
      <c r="L106" s="232"/>
      <c r="M106" s="232"/>
      <c r="N106" s="232"/>
      <c r="O106" s="232"/>
      <c r="P106" s="232"/>
      <c r="Q106" s="232"/>
      <c r="R106" s="232"/>
      <c r="S106" s="232"/>
      <c r="T106" s="232"/>
      <c r="U106" s="232"/>
    </row>
    <row r="107" spans="2:21" x14ac:dyDescent="0.4">
      <c r="B107" s="232"/>
      <c r="C107" s="232"/>
      <c r="D107" s="232"/>
      <c r="E107" s="232"/>
      <c r="F107" s="232"/>
      <c r="G107" s="232"/>
      <c r="H107" s="232"/>
      <c r="I107" s="232"/>
      <c r="J107" s="232"/>
      <c r="K107" s="232"/>
      <c r="L107" s="232"/>
      <c r="M107" s="232"/>
      <c r="N107" s="232"/>
      <c r="O107" s="232"/>
      <c r="P107" s="232"/>
      <c r="Q107" s="232"/>
      <c r="R107" s="232"/>
      <c r="S107" s="232"/>
      <c r="T107" s="232"/>
      <c r="U107" s="232"/>
    </row>
    <row r="108" spans="2:21" x14ac:dyDescent="0.4">
      <c r="B108" s="232"/>
      <c r="C108" s="232"/>
      <c r="D108" s="232"/>
      <c r="E108" s="232"/>
      <c r="F108" s="232"/>
      <c r="G108" s="232"/>
      <c r="H108" s="232"/>
      <c r="I108" s="232"/>
      <c r="J108" s="232"/>
      <c r="K108" s="232"/>
      <c r="L108" s="232"/>
      <c r="M108" s="232"/>
      <c r="N108" s="232"/>
      <c r="O108" s="232"/>
      <c r="P108" s="232"/>
      <c r="Q108" s="232"/>
      <c r="R108" s="232"/>
      <c r="S108" s="232"/>
      <c r="T108" s="232"/>
      <c r="U108" s="232"/>
    </row>
    <row r="109" spans="2:21" x14ac:dyDescent="0.4">
      <c r="B109" s="232"/>
      <c r="C109" s="232"/>
      <c r="D109" s="232"/>
      <c r="E109" s="232"/>
      <c r="F109" s="232"/>
      <c r="G109" s="232"/>
      <c r="H109" s="232"/>
      <c r="I109" s="232"/>
      <c r="J109" s="232"/>
      <c r="K109" s="232"/>
      <c r="L109" s="232"/>
      <c r="M109" s="232"/>
      <c r="N109" s="232"/>
      <c r="O109" s="232"/>
      <c r="P109" s="232"/>
      <c r="Q109" s="232"/>
      <c r="R109" s="232"/>
      <c r="S109" s="232"/>
      <c r="T109" s="232"/>
      <c r="U109" s="232"/>
    </row>
    <row r="110" spans="2:21" x14ac:dyDescent="0.4">
      <c r="B110" s="232"/>
      <c r="C110" s="232"/>
      <c r="D110" s="232"/>
      <c r="E110" s="232"/>
      <c r="F110" s="232"/>
      <c r="G110" s="232"/>
      <c r="H110" s="232"/>
      <c r="I110" s="232"/>
      <c r="J110" s="232"/>
      <c r="K110" s="232"/>
      <c r="L110" s="232"/>
      <c r="M110" s="232"/>
      <c r="N110" s="232"/>
      <c r="O110" s="232"/>
      <c r="P110" s="232"/>
      <c r="Q110" s="232"/>
      <c r="R110" s="232"/>
      <c r="S110" s="232"/>
      <c r="T110" s="232"/>
      <c r="U110" s="232"/>
    </row>
    <row r="111" spans="2:21" x14ac:dyDescent="0.4">
      <c r="B111" s="232"/>
      <c r="C111" s="232"/>
      <c r="D111" s="232"/>
      <c r="E111" s="232"/>
      <c r="F111" s="232"/>
      <c r="G111" s="232"/>
      <c r="H111" s="232"/>
      <c r="I111" s="232"/>
      <c r="J111" s="232"/>
      <c r="K111" s="232"/>
      <c r="L111" s="232"/>
      <c r="M111" s="232"/>
      <c r="N111" s="232"/>
      <c r="O111" s="232"/>
      <c r="P111" s="232"/>
      <c r="Q111" s="232"/>
      <c r="R111" s="232"/>
      <c r="S111" s="232"/>
      <c r="T111" s="232"/>
      <c r="U111" s="232"/>
    </row>
    <row r="112" spans="2:21" x14ac:dyDescent="0.4">
      <c r="B112" s="232"/>
      <c r="C112" s="232"/>
      <c r="D112" s="232"/>
      <c r="E112" s="232"/>
      <c r="F112" s="232"/>
      <c r="G112" s="232"/>
      <c r="H112" s="232"/>
      <c r="I112" s="232"/>
      <c r="J112" s="232"/>
      <c r="K112" s="232"/>
      <c r="L112" s="232"/>
      <c r="M112" s="232"/>
      <c r="N112" s="232"/>
      <c r="O112" s="232"/>
      <c r="P112" s="232"/>
      <c r="Q112" s="232"/>
      <c r="R112" s="232"/>
      <c r="S112" s="232"/>
      <c r="T112" s="232"/>
      <c r="U112" s="232"/>
    </row>
    <row r="113" spans="2:21" x14ac:dyDescent="0.4">
      <c r="B113" s="232"/>
      <c r="C113" s="232"/>
      <c r="D113" s="232"/>
      <c r="E113" s="232"/>
      <c r="F113" s="232"/>
      <c r="G113" s="232"/>
      <c r="H113" s="232"/>
      <c r="I113" s="232"/>
      <c r="J113" s="232"/>
      <c r="K113" s="232"/>
      <c r="L113" s="232"/>
      <c r="M113" s="232"/>
      <c r="N113" s="232"/>
      <c r="O113" s="232"/>
      <c r="P113" s="232"/>
      <c r="Q113" s="232"/>
      <c r="R113" s="232"/>
      <c r="S113" s="232"/>
      <c r="T113" s="232"/>
      <c r="U113" s="232"/>
    </row>
    <row r="114" spans="2:21" x14ac:dyDescent="0.4">
      <c r="B114" s="232"/>
      <c r="C114" s="232"/>
      <c r="D114" s="232"/>
      <c r="E114" s="232"/>
      <c r="F114" s="232"/>
      <c r="G114" s="232"/>
      <c r="H114" s="232"/>
      <c r="I114" s="232"/>
      <c r="J114" s="232"/>
      <c r="K114" s="232"/>
      <c r="L114" s="232"/>
      <c r="M114" s="232"/>
      <c r="N114" s="232"/>
      <c r="O114" s="232"/>
      <c r="P114" s="232"/>
      <c r="Q114" s="232"/>
      <c r="R114" s="232"/>
      <c r="S114" s="232"/>
      <c r="T114" s="232"/>
      <c r="U114" s="232"/>
    </row>
    <row r="115" spans="2:21" x14ac:dyDescent="0.4">
      <c r="B115" s="232"/>
      <c r="C115" s="232"/>
      <c r="D115" s="232"/>
      <c r="E115" s="232"/>
      <c r="F115" s="232"/>
      <c r="G115" s="232"/>
      <c r="H115" s="232"/>
      <c r="I115" s="232"/>
      <c r="J115" s="232"/>
      <c r="K115" s="232"/>
      <c r="L115" s="232"/>
      <c r="M115" s="232"/>
      <c r="N115" s="232"/>
      <c r="O115" s="232"/>
      <c r="P115" s="232"/>
      <c r="Q115" s="232"/>
      <c r="R115" s="232"/>
      <c r="S115" s="232"/>
      <c r="T115" s="232"/>
      <c r="U115" s="232"/>
    </row>
    <row r="116" spans="2:21" x14ac:dyDescent="0.4">
      <c r="B116" s="232"/>
      <c r="C116" s="232"/>
      <c r="D116" s="232"/>
      <c r="E116" s="232"/>
      <c r="F116" s="232"/>
      <c r="G116" s="232"/>
      <c r="H116" s="232"/>
      <c r="I116" s="232"/>
      <c r="J116" s="232"/>
      <c r="K116" s="232"/>
      <c r="L116" s="232"/>
      <c r="M116" s="232"/>
      <c r="N116" s="232"/>
      <c r="O116" s="232"/>
      <c r="P116" s="232"/>
      <c r="Q116" s="232"/>
      <c r="R116" s="232"/>
      <c r="S116" s="232"/>
      <c r="T116" s="232"/>
      <c r="U116" s="232"/>
    </row>
    <row r="117" spans="2:21" x14ac:dyDescent="0.4">
      <c r="B117" s="232"/>
      <c r="C117" s="232"/>
      <c r="D117" s="232"/>
      <c r="E117" s="232"/>
      <c r="F117" s="232"/>
      <c r="G117" s="232"/>
      <c r="H117" s="232"/>
      <c r="I117" s="232"/>
      <c r="J117" s="232"/>
      <c r="K117" s="232"/>
      <c r="L117" s="232"/>
      <c r="M117" s="232"/>
      <c r="N117" s="232"/>
      <c r="O117" s="232"/>
      <c r="P117" s="232"/>
      <c r="Q117" s="232"/>
      <c r="R117" s="232"/>
      <c r="S117" s="232"/>
      <c r="T117" s="232"/>
      <c r="U117" s="232"/>
    </row>
    <row r="118" spans="2:21" x14ac:dyDescent="0.4">
      <c r="B118" s="232"/>
      <c r="C118" s="232"/>
      <c r="D118" s="232"/>
      <c r="E118" s="232"/>
      <c r="F118" s="232"/>
      <c r="G118" s="232"/>
      <c r="H118" s="232"/>
      <c r="I118" s="232"/>
      <c r="J118" s="232"/>
      <c r="K118" s="232"/>
      <c r="L118" s="232"/>
      <c r="M118" s="232"/>
      <c r="N118" s="232"/>
      <c r="O118" s="232"/>
      <c r="P118" s="232"/>
      <c r="Q118" s="232"/>
      <c r="R118" s="232"/>
      <c r="S118" s="232"/>
      <c r="T118" s="232"/>
      <c r="U118" s="232"/>
    </row>
    <row r="119" spans="2:21" x14ac:dyDescent="0.4">
      <c r="B119" s="232"/>
      <c r="C119" s="232"/>
      <c r="D119" s="232"/>
      <c r="E119" s="232"/>
      <c r="F119" s="232"/>
      <c r="G119" s="232"/>
      <c r="H119" s="232"/>
      <c r="I119" s="232"/>
      <c r="J119" s="232"/>
      <c r="K119" s="232"/>
      <c r="L119" s="232"/>
      <c r="M119" s="232"/>
      <c r="N119" s="232"/>
      <c r="O119" s="232"/>
      <c r="P119" s="232"/>
      <c r="Q119" s="232"/>
      <c r="R119" s="232"/>
      <c r="S119" s="232"/>
      <c r="T119" s="232"/>
      <c r="U119" s="232"/>
    </row>
    <row r="120" spans="2:21" x14ac:dyDescent="0.4">
      <c r="B120" s="232"/>
      <c r="C120" s="232"/>
      <c r="D120" s="232"/>
      <c r="E120" s="232"/>
      <c r="F120" s="232"/>
      <c r="G120" s="232"/>
      <c r="H120" s="232"/>
      <c r="I120" s="232"/>
      <c r="J120" s="232"/>
      <c r="K120" s="232"/>
      <c r="L120" s="232"/>
      <c r="M120" s="232"/>
      <c r="N120" s="232"/>
      <c r="O120" s="232"/>
      <c r="P120" s="232"/>
      <c r="Q120" s="232"/>
      <c r="R120" s="232"/>
      <c r="S120" s="232"/>
      <c r="T120" s="232"/>
      <c r="U120" s="232"/>
    </row>
    <row r="121" spans="2:21" x14ac:dyDescent="0.4">
      <c r="B121" s="232"/>
      <c r="C121" s="232"/>
      <c r="D121" s="232"/>
      <c r="E121" s="232"/>
      <c r="F121" s="232"/>
      <c r="G121" s="232"/>
      <c r="H121" s="232"/>
      <c r="I121" s="232"/>
      <c r="J121" s="232"/>
      <c r="K121" s="232"/>
      <c r="L121" s="232"/>
      <c r="M121" s="232"/>
      <c r="N121" s="232"/>
      <c r="O121" s="232"/>
      <c r="P121" s="232"/>
      <c r="Q121" s="232"/>
      <c r="R121" s="232"/>
      <c r="S121" s="232"/>
      <c r="T121" s="232"/>
      <c r="U121" s="232"/>
    </row>
    <row r="122" spans="2:21" x14ac:dyDescent="0.4">
      <c r="B122" s="232"/>
      <c r="C122" s="232"/>
      <c r="D122" s="232"/>
      <c r="E122" s="232"/>
      <c r="F122" s="232"/>
      <c r="G122" s="232"/>
      <c r="H122" s="232"/>
      <c r="I122" s="232"/>
      <c r="J122" s="232"/>
      <c r="K122" s="232"/>
      <c r="L122" s="232"/>
      <c r="M122" s="232"/>
      <c r="N122" s="232"/>
      <c r="O122" s="232"/>
      <c r="P122" s="232"/>
      <c r="Q122" s="232"/>
      <c r="R122" s="232"/>
      <c r="S122" s="232"/>
      <c r="T122" s="232"/>
      <c r="U122" s="232"/>
    </row>
    <row r="123" spans="2:21" x14ac:dyDescent="0.4">
      <c r="B123" s="232"/>
      <c r="C123" s="232"/>
      <c r="D123" s="232"/>
      <c r="E123" s="232"/>
      <c r="F123" s="232"/>
      <c r="G123" s="232"/>
      <c r="H123" s="232"/>
      <c r="I123" s="232"/>
      <c r="J123" s="232"/>
      <c r="K123" s="232"/>
      <c r="L123" s="232"/>
      <c r="M123" s="232"/>
      <c r="N123" s="232"/>
      <c r="O123" s="232"/>
      <c r="P123" s="232"/>
      <c r="Q123" s="232"/>
      <c r="R123" s="232"/>
      <c r="S123" s="232"/>
      <c r="T123" s="232"/>
      <c r="U123" s="232"/>
    </row>
    <row r="124" spans="2:21" x14ac:dyDescent="0.4">
      <c r="B124" s="232"/>
      <c r="C124" s="232"/>
      <c r="D124" s="232"/>
      <c r="E124" s="232"/>
      <c r="F124" s="232"/>
      <c r="G124" s="232"/>
      <c r="H124" s="232"/>
      <c r="I124" s="232"/>
      <c r="J124" s="232"/>
      <c r="K124" s="232"/>
      <c r="L124" s="232"/>
      <c r="M124" s="232"/>
      <c r="N124" s="232"/>
      <c r="O124" s="232"/>
      <c r="P124" s="232"/>
      <c r="Q124" s="232"/>
      <c r="R124" s="232"/>
      <c r="S124" s="232"/>
      <c r="T124" s="232"/>
      <c r="U124" s="232"/>
    </row>
    <row r="125" spans="2:21" x14ac:dyDescent="0.4">
      <c r="B125" s="232"/>
      <c r="C125" s="232"/>
      <c r="D125" s="232"/>
      <c r="E125" s="232"/>
      <c r="F125" s="232"/>
      <c r="G125" s="232"/>
      <c r="H125" s="232"/>
      <c r="I125" s="232"/>
      <c r="J125" s="232"/>
      <c r="K125" s="232"/>
      <c r="L125" s="232"/>
      <c r="M125" s="232"/>
      <c r="N125" s="232"/>
      <c r="O125" s="232"/>
      <c r="P125" s="232"/>
      <c r="Q125" s="232"/>
      <c r="R125" s="232"/>
      <c r="S125" s="232"/>
      <c r="T125" s="232"/>
      <c r="U125" s="232"/>
    </row>
    <row r="126" spans="2:21" x14ac:dyDescent="0.4">
      <c r="B126" s="232"/>
      <c r="C126" s="232"/>
      <c r="D126" s="232"/>
      <c r="E126" s="232"/>
      <c r="F126" s="232"/>
      <c r="G126" s="232"/>
      <c r="H126" s="232"/>
      <c r="I126" s="232"/>
      <c r="J126" s="232"/>
      <c r="K126" s="232"/>
      <c r="L126" s="232"/>
      <c r="M126" s="232"/>
      <c r="N126" s="232"/>
      <c r="O126" s="232"/>
      <c r="P126" s="232"/>
      <c r="Q126" s="232"/>
      <c r="R126" s="232"/>
      <c r="S126" s="232"/>
      <c r="T126" s="232"/>
      <c r="U126" s="232"/>
    </row>
    <row r="127" spans="2:21" x14ac:dyDescent="0.4">
      <c r="B127" s="232"/>
      <c r="C127" s="232"/>
      <c r="D127" s="232"/>
      <c r="E127" s="232"/>
      <c r="F127" s="232"/>
      <c r="G127" s="232"/>
      <c r="H127" s="232"/>
      <c r="I127" s="232"/>
      <c r="J127" s="232"/>
      <c r="K127" s="232"/>
      <c r="L127" s="232"/>
      <c r="M127" s="232"/>
      <c r="N127" s="232"/>
      <c r="O127" s="232"/>
      <c r="P127" s="232"/>
      <c r="Q127" s="232"/>
      <c r="R127" s="232"/>
      <c r="S127" s="232"/>
      <c r="T127" s="232"/>
      <c r="U127" s="232"/>
    </row>
    <row r="128" spans="2:21" x14ac:dyDescent="0.4">
      <c r="B128" s="232"/>
      <c r="C128" s="232"/>
      <c r="D128" s="232"/>
      <c r="E128" s="232"/>
      <c r="F128" s="232"/>
      <c r="G128" s="232"/>
      <c r="H128" s="232"/>
      <c r="I128" s="232"/>
      <c r="J128" s="232"/>
      <c r="K128" s="232"/>
      <c r="L128" s="232"/>
      <c r="M128" s="232"/>
      <c r="N128" s="232"/>
      <c r="O128" s="232"/>
      <c r="P128" s="232"/>
      <c r="Q128" s="232"/>
      <c r="R128" s="232"/>
      <c r="S128" s="232"/>
      <c r="T128" s="232"/>
      <c r="U128" s="232"/>
    </row>
    <row r="129" spans="2:21" x14ac:dyDescent="0.4">
      <c r="B129" s="232"/>
      <c r="C129" s="232"/>
      <c r="D129" s="232"/>
      <c r="E129" s="232"/>
      <c r="F129" s="232"/>
      <c r="G129" s="232"/>
      <c r="H129" s="232"/>
      <c r="I129" s="232"/>
      <c r="J129" s="232"/>
      <c r="K129" s="232"/>
      <c r="L129" s="232"/>
      <c r="M129" s="232"/>
      <c r="N129" s="232"/>
      <c r="O129" s="232"/>
      <c r="P129" s="232"/>
      <c r="Q129" s="232"/>
      <c r="R129" s="232"/>
      <c r="S129" s="232"/>
      <c r="T129" s="232"/>
      <c r="U129" s="232"/>
    </row>
    <row r="130" spans="2:21" x14ac:dyDescent="0.4">
      <c r="B130" s="232"/>
      <c r="C130" s="232"/>
      <c r="D130" s="232"/>
      <c r="E130" s="232"/>
      <c r="F130" s="232"/>
      <c r="G130" s="232"/>
      <c r="H130" s="232"/>
      <c r="I130" s="232"/>
      <c r="J130" s="232"/>
      <c r="K130" s="232"/>
      <c r="L130" s="232"/>
      <c r="M130" s="232"/>
      <c r="N130" s="232"/>
      <c r="O130" s="232"/>
      <c r="P130" s="232"/>
      <c r="Q130" s="232"/>
      <c r="R130" s="232"/>
      <c r="S130" s="232"/>
      <c r="T130" s="232"/>
      <c r="U130" s="232"/>
    </row>
    <row r="131" spans="2:21" x14ac:dyDescent="0.4">
      <c r="B131" s="232"/>
      <c r="C131" s="232"/>
      <c r="D131" s="232"/>
      <c r="E131" s="232"/>
      <c r="F131" s="232"/>
      <c r="G131" s="232"/>
      <c r="H131" s="232"/>
      <c r="I131" s="232"/>
      <c r="J131" s="232"/>
      <c r="K131" s="232"/>
      <c r="L131" s="232"/>
      <c r="M131" s="232"/>
      <c r="N131" s="232"/>
      <c r="O131" s="232"/>
      <c r="P131" s="232"/>
      <c r="Q131" s="232"/>
      <c r="R131" s="232"/>
      <c r="S131" s="232"/>
      <c r="T131" s="232"/>
      <c r="U131" s="232"/>
    </row>
    <row r="132" spans="2:21" x14ac:dyDescent="0.4">
      <c r="B132" s="232"/>
      <c r="C132" s="232"/>
      <c r="D132" s="232"/>
      <c r="E132" s="232"/>
      <c r="F132" s="232"/>
      <c r="G132" s="232"/>
      <c r="H132" s="232"/>
      <c r="I132" s="232"/>
      <c r="J132" s="232"/>
      <c r="K132" s="232"/>
      <c r="L132" s="232"/>
      <c r="M132" s="232"/>
      <c r="N132" s="232"/>
      <c r="O132" s="232"/>
      <c r="P132" s="232"/>
      <c r="Q132" s="232"/>
      <c r="R132" s="232"/>
      <c r="S132" s="232"/>
      <c r="T132" s="232"/>
      <c r="U132" s="232"/>
    </row>
    <row r="133" spans="2:21" x14ac:dyDescent="0.4">
      <c r="B133" s="232"/>
      <c r="C133" s="232"/>
      <c r="D133" s="232"/>
      <c r="E133" s="232"/>
      <c r="F133" s="232"/>
      <c r="G133" s="232"/>
      <c r="H133" s="232"/>
      <c r="I133" s="232"/>
      <c r="J133" s="232"/>
      <c r="K133" s="232"/>
      <c r="L133" s="232"/>
      <c r="M133" s="232"/>
      <c r="N133" s="232"/>
      <c r="O133" s="232"/>
      <c r="P133" s="232"/>
      <c r="Q133" s="232"/>
      <c r="R133" s="232"/>
      <c r="S133" s="232"/>
      <c r="T133" s="232"/>
      <c r="U133" s="232"/>
    </row>
    <row r="134" spans="2:21" x14ac:dyDescent="0.4">
      <c r="B134" s="232"/>
      <c r="C134" s="232"/>
      <c r="D134" s="232"/>
      <c r="E134" s="232"/>
      <c r="F134" s="232"/>
      <c r="G134" s="232"/>
      <c r="H134" s="232"/>
      <c r="I134" s="232"/>
      <c r="J134" s="232"/>
      <c r="K134" s="232"/>
      <c r="L134" s="232"/>
      <c r="M134" s="232"/>
      <c r="N134" s="232"/>
      <c r="O134" s="232"/>
      <c r="P134" s="232"/>
      <c r="Q134" s="232"/>
      <c r="R134" s="232"/>
      <c r="S134" s="232"/>
      <c r="T134" s="232"/>
      <c r="U134" s="232"/>
    </row>
    <row r="135" spans="2:21" x14ac:dyDescent="0.4">
      <c r="B135" s="232"/>
      <c r="C135" s="232"/>
      <c r="D135" s="232"/>
      <c r="E135" s="232"/>
      <c r="F135" s="232"/>
      <c r="G135" s="232"/>
      <c r="H135" s="232"/>
      <c r="I135" s="232"/>
      <c r="J135" s="232"/>
      <c r="K135" s="232"/>
      <c r="L135" s="232"/>
      <c r="M135" s="232"/>
      <c r="N135" s="232"/>
      <c r="O135" s="232"/>
      <c r="P135" s="232"/>
      <c r="Q135" s="232"/>
      <c r="R135" s="232"/>
      <c r="S135" s="232"/>
      <c r="T135" s="232"/>
      <c r="U135" s="232"/>
    </row>
    <row r="136" spans="2:21" x14ac:dyDescent="0.4">
      <c r="B136" s="232"/>
      <c r="C136" s="232"/>
      <c r="D136" s="232"/>
      <c r="E136" s="232"/>
      <c r="F136" s="232"/>
      <c r="G136" s="232"/>
      <c r="H136" s="232"/>
      <c r="I136" s="232"/>
      <c r="J136" s="232"/>
      <c r="K136" s="232"/>
      <c r="L136" s="232"/>
      <c r="M136" s="232"/>
      <c r="N136" s="232"/>
      <c r="O136" s="232"/>
      <c r="P136" s="232"/>
      <c r="Q136" s="232"/>
      <c r="R136" s="232"/>
      <c r="S136" s="232"/>
      <c r="T136" s="232"/>
      <c r="U136" s="232"/>
    </row>
    <row r="137" spans="2:21" x14ac:dyDescent="0.4">
      <c r="B137" s="232"/>
      <c r="C137" s="232"/>
      <c r="D137" s="232"/>
      <c r="E137" s="232"/>
      <c r="F137" s="232"/>
      <c r="G137" s="232"/>
      <c r="H137" s="232"/>
      <c r="I137" s="232"/>
      <c r="J137" s="232"/>
      <c r="K137" s="232"/>
      <c r="L137" s="232"/>
      <c r="M137" s="232"/>
      <c r="N137" s="232"/>
      <c r="O137" s="232"/>
      <c r="P137" s="232"/>
      <c r="Q137" s="232"/>
      <c r="R137" s="232"/>
      <c r="S137" s="232"/>
      <c r="T137" s="232"/>
      <c r="U137" s="232"/>
    </row>
    <row r="138" spans="2:21" x14ac:dyDescent="0.4">
      <c r="B138" s="232"/>
      <c r="C138" s="232"/>
      <c r="D138" s="232"/>
      <c r="E138" s="232"/>
      <c r="F138" s="232"/>
      <c r="G138" s="232"/>
      <c r="H138" s="232"/>
      <c r="I138" s="232"/>
      <c r="J138" s="232"/>
      <c r="K138" s="232"/>
      <c r="L138" s="232"/>
      <c r="M138" s="232"/>
      <c r="N138" s="232"/>
      <c r="O138" s="232"/>
      <c r="P138" s="232"/>
      <c r="Q138" s="232"/>
      <c r="R138" s="232"/>
      <c r="S138" s="232"/>
      <c r="T138" s="232"/>
      <c r="U138" s="232"/>
    </row>
    <row r="139" spans="2:21" x14ac:dyDescent="0.4">
      <c r="B139" s="232"/>
      <c r="C139" s="232"/>
      <c r="D139" s="232"/>
      <c r="E139" s="232"/>
      <c r="F139" s="232"/>
      <c r="G139" s="232"/>
      <c r="H139" s="232"/>
      <c r="I139" s="232"/>
      <c r="J139" s="232"/>
      <c r="K139" s="232"/>
      <c r="L139" s="232"/>
      <c r="M139" s="232"/>
      <c r="N139" s="232"/>
      <c r="O139" s="232"/>
      <c r="P139" s="232"/>
      <c r="Q139" s="232"/>
      <c r="R139" s="232"/>
      <c r="S139" s="232"/>
      <c r="T139" s="232"/>
      <c r="U139" s="232"/>
    </row>
    <row r="140" spans="2:21" x14ac:dyDescent="0.4">
      <c r="B140" s="232"/>
      <c r="C140" s="232"/>
      <c r="D140" s="232"/>
      <c r="E140" s="232"/>
      <c r="F140" s="232"/>
      <c r="G140" s="232"/>
      <c r="H140" s="232"/>
      <c r="I140" s="232"/>
      <c r="J140" s="232"/>
      <c r="K140" s="232"/>
      <c r="L140" s="232"/>
      <c r="M140" s="232"/>
      <c r="N140" s="232"/>
      <c r="O140" s="232"/>
      <c r="P140" s="232"/>
      <c r="Q140" s="232"/>
      <c r="R140" s="232"/>
      <c r="S140" s="232"/>
      <c r="T140" s="232"/>
      <c r="U140" s="232"/>
    </row>
    <row r="141" spans="2:21" x14ac:dyDescent="0.4">
      <c r="B141" s="232"/>
      <c r="C141" s="232"/>
      <c r="D141" s="232"/>
      <c r="E141" s="232"/>
      <c r="F141" s="232"/>
      <c r="G141" s="232"/>
      <c r="H141" s="232"/>
      <c r="I141" s="232"/>
      <c r="J141" s="232"/>
      <c r="K141" s="232"/>
      <c r="L141" s="232"/>
      <c r="M141" s="232"/>
      <c r="N141" s="232"/>
      <c r="O141" s="232"/>
      <c r="P141" s="232"/>
      <c r="Q141" s="232"/>
      <c r="R141" s="232"/>
      <c r="S141" s="232"/>
      <c r="T141" s="232"/>
      <c r="U141" s="232"/>
    </row>
    <row r="142" spans="2:21" x14ac:dyDescent="0.4">
      <c r="B142" s="232"/>
      <c r="C142" s="232"/>
      <c r="D142" s="232"/>
      <c r="E142" s="232"/>
      <c r="F142" s="232"/>
      <c r="G142" s="232"/>
      <c r="H142" s="232"/>
      <c r="I142" s="232"/>
      <c r="J142" s="232"/>
      <c r="K142" s="232"/>
      <c r="L142" s="232"/>
      <c r="M142" s="232"/>
      <c r="N142" s="232"/>
      <c r="O142" s="232"/>
      <c r="P142" s="232"/>
      <c r="Q142" s="232"/>
      <c r="R142" s="232"/>
      <c r="S142" s="232"/>
      <c r="T142" s="232"/>
      <c r="U142" s="232"/>
    </row>
    <row r="143" spans="2:21" x14ac:dyDescent="0.4">
      <c r="B143" s="232"/>
      <c r="C143" s="232"/>
      <c r="D143" s="232"/>
      <c r="E143" s="232"/>
      <c r="F143" s="232"/>
      <c r="G143" s="232"/>
      <c r="H143" s="232"/>
      <c r="I143" s="232"/>
      <c r="J143" s="232"/>
      <c r="K143" s="232"/>
      <c r="L143" s="232"/>
      <c r="M143" s="232"/>
      <c r="N143" s="232"/>
      <c r="O143" s="232"/>
      <c r="P143" s="232"/>
      <c r="Q143" s="232"/>
      <c r="R143" s="232"/>
      <c r="S143" s="232"/>
      <c r="T143" s="232"/>
      <c r="U143" s="232"/>
    </row>
    <row r="144" spans="2:21" x14ac:dyDescent="0.4">
      <c r="B144" s="232"/>
      <c r="C144" s="232"/>
      <c r="D144" s="232"/>
      <c r="E144" s="232"/>
      <c r="F144" s="232"/>
      <c r="G144" s="232"/>
      <c r="H144" s="232"/>
      <c r="I144" s="232"/>
      <c r="J144" s="232"/>
      <c r="K144" s="232"/>
      <c r="L144" s="232"/>
      <c r="M144" s="232"/>
      <c r="N144" s="232"/>
      <c r="O144" s="232"/>
      <c r="P144" s="232"/>
      <c r="Q144" s="232"/>
      <c r="R144" s="232"/>
      <c r="S144" s="232"/>
      <c r="T144" s="232"/>
      <c r="U144" s="232"/>
    </row>
    <row r="145" spans="2:21" x14ac:dyDescent="0.4">
      <c r="B145" s="232"/>
      <c r="C145" s="232"/>
      <c r="D145" s="232"/>
      <c r="E145" s="232"/>
      <c r="F145" s="232"/>
      <c r="G145" s="232"/>
      <c r="H145" s="232"/>
      <c r="I145" s="232"/>
      <c r="J145" s="232"/>
      <c r="K145" s="232"/>
      <c r="L145" s="232"/>
      <c r="M145" s="232"/>
      <c r="N145" s="232"/>
      <c r="O145" s="232"/>
      <c r="P145" s="232"/>
      <c r="Q145" s="232"/>
      <c r="R145" s="232"/>
      <c r="S145" s="232"/>
      <c r="T145" s="232"/>
      <c r="U145" s="232"/>
    </row>
    <row r="146" spans="2:21" x14ac:dyDescent="0.4">
      <c r="B146" s="232"/>
      <c r="C146" s="232"/>
      <c r="D146" s="232"/>
      <c r="E146" s="232"/>
      <c r="F146" s="232"/>
      <c r="G146" s="232"/>
      <c r="H146" s="232"/>
      <c r="I146" s="232"/>
      <c r="J146" s="232"/>
      <c r="K146" s="232"/>
      <c r="L146" s="232"/>
      <c r="M146" s="232"/>
      <c r="N146" s="232"/>
      <c r="O146" s="232"/>
      <c r="P146" s="232"/>
      <c r="Q146" s="232"/>
      <c r="R146" s="232"/>
      <c r="S146" s="232"/>
      <c r="T146" s="232"/>
      <c r="U146" s="232"/>
    </row>
    <row r="147" spans="2:21" x14ac:dyDescent="0.4">
      <c r="B147" s="232"/>
      <c r="C147" s="232"/>
      <c r="D147" s="232"/>
      <c r="E147" s="232"/>
      <c r="F147" s="232"/>
      <c r="G147" s="232"/>
      <c r="H147" s="232"/>
      <c r="I147" s="232"/>
      <c r="J147" s="232"/>
      <c r="K147" s="232"/>
      <c r="L147" s="232"/>
      <c r="M147" s="232"/>
      <c r="N147" s="232"/>
      <c r="O147" s="232"/>
      <c r="P147" s="232"/>
      <c r="Q147" s="232"/>
      <c r="R147" s="232"/>
      <c r="S147" s="232"/>
      <c r="T147" s="232"/>
      <c r="U147" s="232"/>
    </row>
    <row r="148" spans="2:21" x14ac:dyDescent="0.4">
      <c r="B148" s="232"/>
      <c r="C148" s="232"/>
      <c r="D148" s="232"/>
      <c r="E148" s="232"/>
      <c r="F148" s="232"/>
      <c r="G148" s="232"/>
      <c r="H148" s="232"/>
      <c r="I148" s="232"/>
      <c r="J148" s="232"/>
      <c r="K148" s="232"/>
      <c r="L148" s="232"/>
      <c r="M148" s="232"/>
      <c r="N148" s="232"/>
      <c r="O148" s="232"/>
      <c r="P148" s="232"/>
      <c r="Q148" s="232"/>
      <c r="R148" s="232"/>
      <c r="S148" s="232"/>
      <c r="T148" s="232"/>
      <c r="U148" s="232"/>
    </row>
    <row r="149" spans="2:21" x14ac:dyDescent="0.4">
      <c r="B149" s="232"/>
      <c r="C149" s="232"/>
      <c r="D149" s="232"/>
      <c r="E149" s="232"/>
      <c r="F149" s="232"/>
      <c r="G149" s="232"/>
      <c r="H149" s="232"/>
      <c r="I149" s="232"/>
      <c r="J149" s="232"/>
      <c r="K149" s="232"/>
      <c r="L149" s="232"/>
      <c r="M149" s="232"/>
      <c r="N149" s="232"/>
      <c r="O149" s="232"/>
      <c r="P149" s="232"/>
      <c r="Q149" s="232"/>
      <c r="R149" s="232"/>
      <c r="S149" s="232"/>
      <c r="T149" s="232"/>
      <c r="U149" s="232"/>
    </row>
    <row r="150" spans="2:21" x14ac:dyDescent="0.4">
      <c r="B150" s="232"/>
      <c r="C150" s="232"/>
      <c r="D150" s="232"/>
      <c r="E150" s="232"/>
      <c r="F150" s="232"/>
      <c r="G150" s="232"/>
      <c r="H150" s="232"/>
      <c r="I150" s="232"/>
      <c r="J150" s="232"/>
      <c r="K150" s="232"/>
      <c r="L150" s="232"/>
      <c r="M150" s="232"/>
      <c r="N150" s="232"/>
      <c r="O150" s="232"/>
      <c r="P150" s="232"/>
      <c r="Q150" s="232"/>
      <c r="R150" s="232"/>
      <c r="S150" s="232"/>
      <c r="T150" s="232"/>
      <c r="U150" s="232"/>
    </row>
    <row r="151" spans="2:21" x14ac:dyDescent="0.4">
      <c r="B151" s="232"/>
      <c r="C151" s="232"/>
      <c r="D151" s="232"/>
      <c r="E151" s="232"/>
      <c r="F151" s="232"/>
      <c r="G151" s="232"/>
      <c r="H151" s="232"/>
      <c r="I151" s="232"/>
      <c r="J151" s="232"/>
      <c r="K151" s="232"/>
      <c r="L151" s="232"/>
      <c r="M151" s="232"/>
      <c r="N151" s="232"/>
      <c r="O151" s="232"/>
      <c r="P151" s="232"/>
      <c r="Q151" s="232"/>
      <c r="R151" s="232"/>
      <c r="S151" s="232"/>
      <c r="T151" s="232"/>
      <c r="U151" s="232"/>
    </row>
    <row r="152" spans="2:21" x14ac:dyDescent="0.4">
      <c r="B152" s="232"/>
      <c r="C152" s="232"/>
      <c r="D152" s="232"/>
      <c r="E152" s="232"/>
      <c r="F152" s="232"/>
      <c r="G152" s="232"/>
      <c r="H152" s="232"/>
      <c r="I152" s="232"/>
      <c r="J152" s="232"/>
      <c r="K152" s="232"/>
      <c r="L152" s="232"/>
      <c r="M152" s="232"/>
      <c r="N152" s="232"/>
      <c r="O152" s="232"/>
      <c r="P152" s="232"/>
      <c r="Q152" s="232"/>
      <c r="R152" s="232"/>
      <c r="S152" s="232"/>
      <c r="T152" s="232"/>
      <c r="U152" s="232"/>
    </row>
    <row r="153" spans="2:21" x14ac:dyDescent="0.4">
      <c r="B153" s="232"/>
      <c r="C153" s="232"/>
      <c r="D153" s="232"/>
      <c r="E153" s="232"/>
      <c r="F153" s="232"/>
      <c r="G153" s="232"/>
      <c r="H153" s="232"/>
      <c r="I153" s="232"/>
      <c r="J153" s="232"/>
      <c r="K153" s="232"/>
      <c r="L153" s="232"/>
      <c r="M153" s="232"/>
      <c r="N153" s="232"/>
      <c r="O153" s="232"/>
      <c r="P153" s="232"/>
      <c r="Q153" s="232"/>
      <c r="R153" s="232"/>
      <c r="S153" s="232"/>
      <c r="T153" s="232"/>
      <c r="U153" s="232"/>
    </row>
    <row r="154" spans="2:21" x14ac:dyDescent="0.4">
      <c r="B154" s="232"/>
      <c r="C154" s="232"/>
      <c r="D154" s="232"/>
      <c r="E154" s="232"/>
      <c r="F154" s="232"/>
      <c r="G154" s="232"/>
      <c r="H154" s="232"/>
      <c r="I154" s="232"/>
      <c r="J154" s="232"/>
      <c r="K154" s="232"/>
      <c r="L154" s="232"/>
      <c r="M154" s="232"/>
      <c r="N154" s="232"/>
      <c r="O154" s="232"/>
      <c r="P154" s="232"/>
      <c r="Q154" s="232"/>
      <c r="R154" s="232"/>
      <c r="S154" s="232"/>
      <c r="T154" s="232"/>
      <c r="U154" s="232"/>
    </row>
    <row r="155" spans="2:21" x14ac:dyDescent="0.4">
      <c r="B155" s="232"/>
      <c r="C155" s="232"/>
      <c r="D155" s="232"/>
      <c r="E155" s="232"/>
      <c r="F155" s="232"/>
      <c r="G155" s="232"/>
      <c r="H155" s="232"/>
      <c r="I155" s="232"/>
      <c r="J155" s="232"/>
      <c r="K155" s="232"/>
      <c r="L155" s="232"/>
      <c r="M155" s="232"/>
      <c r="N155" s="232"/>
      <c r="O155" s="232"/>
      <c r="P155" s="232"/>
      <c r="Q155" s="232"/>
      <c r="R155" s="232"/>
      <c r="S155" s="232"/>
      <c r="T155" s="232"/>
      <c r="U155" s="232"/>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12" type="noConversion"/>
  <conditionalFormatting sqref="P21">
    <cfRule type="containsText" dxfId="130" priority="14" operator="containsText" text="Non validé">
      <formula>NOT(ISERROR(SEARCH("Non validé",P21)))</formula>
    </cfRule>
    <cfRule type="containsText" dxfId="129" priority="15" operator="containsText" text="réserve">
      <formula>NOT(ISERROR(SEARCH("réserve",P21)))</formula>
    </cfRule>
    <cfRule type="containsText" dxfId="12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24" t="s">
        <v>112</v>
      </c>
      <c r="C3" s="224" t="s">
        <v>23</v>
      </c>
      <c r="D3" s="63" t="s">
        <v>113</v>
      </c>
      <c r="H3" s="224" t="s">
        <v>24</v>
      </c>
      <c r="I3" s="63"/>
      <c r="N3" s="224" t="s">
        <v>25</v>
      </c>
      <c r="O3" s="63"/>
    </row>
    <row r="4" spans="2:15" ht="20.25" customHeight="1" x14ac:dyDescent="0.4">
      <c r="B4" s="225" t="s">
        <v>114</v>
      </c>
      <c r="C4" s="600"/>
      <c r="D4" s="601"/>
      <c r="G4" s="225" t="s">
        <v>114</v>
      </c>
      <c r="H4" s="600"/>
      <c r="I4" s="601"/>
      <c r="M4" s="225" t="s">
        <v>114</v>
      </c>
      <c r="N4" s="600"/>
      <c r="O4" s="601"/>
    </row>
    <row r="5" spans="2:15" ht="21" thickBot="1" x14ac:dyDescent="0.45">
      <c r="B5" s="18"/>
      <c r="C5" s="18"/>
      <c r="D5" s="18"/>
      <c r="G5" s="18"/>
      <c r="H5" s="18"/>
      <c r="I5" s="18"/>
      <c r="M5" s="18"/>
      <c r="N5" s="18"/>
      <c r="O5" s="18"/>
    </row>
    <row r="6" spans="2:15" ht="24" customHeight="1" x14ac:dyDescent="0.4">
      <c r="B6" s="614" t="s">
        <v>115</v>
      </c>
      <c r="C6" s="618" t="s">
        <v>116</v>
      </c>
      <c r="D6" s="619"/>
      <c r="G6" s="614" t="s">
        <v>115</v>
      </c>
      <c r="H6" s="618" t="s">
        <v>116</v>
      </c>
      <c r="I6" s="619"/>
      <c r="M6" s="614" t="s">
        <v>115</v>
      </c>
      <c r="N6" s="618" t="s">
        <v>116</v>
      </c>
      <c r="O6" s="619"/>
    </row>
    <row r="7" spans="2:15" ht="18.75" customHeight="1" x14ac:dyDescent="0.4">
      <c r="B7" s="615"/>
      <c r="C7" s="612" t="s">
        <v>117</v>
      </c>
      <c r="D7" s="226" t="s">
        <v>118</v>
      </c>
      <c r="G7" s="615"/>
      <c r="H7" s="612" t="s">
        <v>117</v>
      </c>
      <c r="I7" s="226" t="s">
        <v>118</v>
      </c>
      <c r="M7" s="615"/>
      <c r="N7" s="612" t="s">
        <v>117</v>
      </c>
      <c r="O7" s="226" t="s">
        <v>118</v>
      </c>
    </row>
    <row r="8" spans="2:15" ht="21.75" customHeight="1" x14ac:dyDescent="0.4">
      <c r="B8" s="610"/>
      <c r="C8" s="613"/>
      <c r="D8" s="616"/>
      <c r="G8" s="610"/>
      <c r="H8" s="622"/>
      <c r="I8" s="616"/>
      <c r="M8" s="610"/>
      <c r="N8" s="622"/>
      <c r="O8" s="616"/>
    </row>
    <row r="9" spans="2:15" ht="21.95" customHeight="1" thickBot="1" x14ac:dyDescent="0.45">
      <c r="B9" s="611"/>
      <c r="C9" s="59"/>
      <c r="D9" s="617"/>
      <c r="G9" s="629"/>
      <c r="H9" s="66"/>
      <c r="I9" s="630"/>
      <c r="M9" s="611"/>
      <c r="N9" s="53"/>
      <c r="O9" s="617"/>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608" t="s">
        <v>119</v>
      </c>
      <c r="C12" s="606" t="s">
        <v>120</v>
      </c>
      <c r="D12" s="604" t="s">
        <v>121</v>
      </c>
      <c r="G12" s="608" t="s">
        <v>119</v>
      </c>
      <c r="H12" s="606" t="s">
        <v>120</v>
      </c>
      <c r="I12" s="604" t="s">
        <v>121</v>
      </c>
      <c r="M12" s="608" t="s">
        <v>119</v>
      </c>
      <c r="N12" s="606" t="s">
        <v>120</v>
      </c>
      <c r="O12" s="604" t="s">
        <v>121</v>
      </c>
    </row>
    <row r="13" spans="2:15" ht="15.75" customHeight="1" x14ac:dyDescent="0.4">
      <c r="B13" s="609"/>
      <c r="C13" s="607"/>
      <c r="D13" s="605"/>
      <c r="G13" s="609"/>
      <c r="H13" s="607"/>
      <c r="I13" s="605"/>
      <c r="M13" s="609"/>
      <c r="N13" s="607"/>
      <c r="O13" s="605"/>
    </row>
    <row r="14" spans="2:15" ht="31.35" customHeight="1" x14ac:dyDescent="0.4">
      <c r="B14" s="47" t="s">
        <v>122</v>
      </c>
      <c r="C14" s="64"/>
      <c r="D14" s="54"/>
      <c r="G14" s="47" t="s">
        <v>122</v>
      </c>
      <c r="H14" s="64"/>
      <c r="I14" s="54"/>
      <c r="M14" s="47" t="s">
        <v>122</v>
      </c>
      <c r="N14" s="64" t="s">
        <v>123</v>
      </c>
      <c r="O14" s="54"/>
    </row>
    <row r="15" spans="2:15" ht="31.35" customHeight="1" thickBot="1" x14ac:dyDescent="0.45">
      <c r="B15" s="46" t="s">
        <v>124</v>
      </c>
      <c r="C15" s="64"/>
      <c r="D15" s="54"/>
      <c r="G15" s="46" t="s">
        <v>124</v>
      </c>
      <c r="H15" s="64"/>
      <c r="I15" s="54"/>
      <c r="M15" s="46" t="s">
        <v>124</v>
      </c>
      <c r="N15" s="64"/>
      <c r="O15" s="54"/>
    </row>
    <row r="16" spans="2:15" ht="15.75" customHeight="1" x14ac:dyDescent="0.4">
      <c r="B16" s="608" t="s">
        <v>125</v>
      </c>
      <c r="C16" s="606" t="s">
        <v>120</v>
      </c>
      <c r="D16" s="604" t="s">
        <v>121</v>
      </c>
      <c r="G16" s="608" t="s">
        <v>125</v>
      </c>
      <c r="H16" s="606" t="s">
        <v>120</v>
      </c>
      <c r="I16" s="604" t="s">
        <v>121</v>
      </c>
      <c r="M16" s="608" t="s">
        <v>125</v>
      </c>
      <c r="N16" s="606" t="s">
        <v>120</v>
      </c>
      <c r="O16" s="604" t="s">
        <v>121</v>
      </c>
    </row>
    <row r="17" spans="1:15" ht="15.75" customHeight="1" x14ac:dyDescent="0.4">
      <c r="B17" s="609"/>
      <c r="C17" s="607"/>
      <c r="D17" s="605"/>
      <c r="G17" s="609"/>
      <c r="H17" s="607"/>
      <c r="I17" s="605"/>
      <c r="M17" s="609"/>
      <c r="N17" s="607"/>
      <c r="O17" s="605"/>
    </row>
    <row r="18" spans="1:15" ht="31.35" customHeight="1" thickBot="1" x14ac:dyDescent="0.45">
      <c r="B18" s="46" t="s">
        <v>126</v>
      </c>
      <c r="C18" s="64"/>
      <c r="D18" s="55"/>
      <c r="G18" s="46" t="s">
        <v>126</v>
      </c>
      <c r="H18" s="64"/>
      <c r="I18" s="55"/>
      <c r="M18" s="46" t="s">
        <v>126</v>
      </c>
      <c r="N18" s="64"/>
      <c r="O18" s="55"/>
    </row>
    <row r="19" spans="1:15" ht="15.75" customHeight="1" x14ac:dyDescent="0.4">
      <c r="B19" s="608" t="s">
        <v>127</v>
      </c>
      <c r="C19" s="606" t="s">
        <v>120</v>
      </c>
      <c r="D19" s="604" t="s">
        <v>121</v>
      </c>
      <c r="G19" s="608" t="s">
        <v>127</v>
      </c>
      <c r="H19" s="606" t="s">
        <v>120</v>
      </c>
      <c r="I19" s="604" t="s">
        <v>121</v>
      </c>
      <c r="M19" s="608" t="s">
        <v>127</v>
      </c>
      <c r="N19" s="606" t="s">
        <v>120</v>
      </c>
      <c r="O19" s="604" t="s">
        <v>121</v>
      </c>
    </row>
    <row r="20" spans="1:15" ht="15.75" customHeight="1" x14ac:dyDescent="0.4">
      <c r="B20" s="609"/>
      <c r="C20" s="607"/>
      <c r="D20" s="605"/>
      <c r="G20" s="609"/>
      <c r="H20" s="607"/>
      <c r="I20" s="605"/>
      <c r="M20" s="609"/>
      <c r="N20" s="607"/>
      <c r="O20" s="605"/>
    </row>
    <row r="21" spans="1:15" ht="31.35" customHeight="1" x14ac:dyDescent="0.4">
      <c r="B21" s="182" t="s">
        <v>128</v>
      </c>
      <c r="C21" s="64"/>
      <c r="D21" s="55"/>
      <c r="G21" s="182" t="s">
        <v>128</v>
      </c>
      <c r="H21" s="64"/>
      <c r="I21" s="55"/>
      <c r="M21" s="182" t="s">
        <v>128</v>
      </c>
      <c r="N21" s="64"/>
      <c r="O21" s="55"/>
    </row>
    <row r="22" spans="1:15" ht="31.35" customHeight="1" thickBot="1" x14ac:dyDescent="0.45">
      <c r="B22" s="45" t="s">
        <v>129</v>
      </c>
      <c r="C22" s="64"/>
      <c r="D22" s="56"/>
      <c r="G22" s="45" t="s">
        <v>129</v>
      </c>
      <c r="H22" s="64"/>
      <c r="I22" s="56"/>
      <c r="M22" s="45" t="s">
        <v>129</v>
      </c>
      <c r="N22" s="64"/>
      <c r="O22" s="56"/>
    </row>
    <row r="23" spans="1:15" ht="15.75" customHeight="1" x14ac:dyDescent="0.4">
      <c r="B23" s="608" t="s">
        <v>130</v>
      </c>
      <c r="C23" s="606" t="s">
        <v>120</v>
      </c>
      <c r="D23" s="627" t="s">
        <v>121</v>
      </c>
      <c r="G23" s="608" t="s">
        <v>130</v>
      </c>
      <c r="H23" s="606" t="s">
        <v>120</v>
      </c>
      <c r="I23" s="625" t="s">
        <v>121</v>
      </c>
      <c r="M23" s="608" t="s">
        <v>130</v>
      </c>
      <c r="N23" s="606" t="s">
        <v>120</v>
      </c>
      <c r="O23" s="625" t="s">
        <v>121</v>
      </c>
    </row>
    <row r="24" spans="1:15" ht="15.75" customHeight="1" x14ac:dyDescent="0.4">
      <c r="B24" s="609"/>
      <c r="C24" s="607"/>
      <c r="D24" s="628"/>
      <c r="G24" s="609"/>
      <c r="H24" s="607"/>
      <c r="I24" s="626"/>
      <c r="M24" s="609"/>
      <c r="N24" s="607"/>
      <c r="O24" s="626"/>
    </row>
    <row r="25" spans="1:15" ht="31.35" customHeight="1" thickBot="1" x14ac:dyDescent="0.45">
      <c r="B25" s="45" t="s">
        <v>131</v>
      </c>
      <c r="C25" s="64"/>
      <c r="D25" s="60"/>
      <c r="G25" s="45" t="s">
        <v>131</v>
      </c>
      <c r="H25" s="64" t="s">
        <v>132</v>
      </c>
      <c r="I25" s="57"/>
      <c r="M25" s="45" t="s">
        <v>131</v>
      </c>
      <c r="N25" s="64"/>
      <c r="O25" s="57"/>
    </row>
    <row r="26" spans="1:15" ht="31.35" customHeight="1" x14ac:dyDescent="0.4">
      <c r="B26" s="602" t="s">
        <v>133</v>
      </c>
      <c r="C26" s="603"/>
      <c r="D26" s="228" t="s">
        <v>62</v>
      </c>
      <c r="G26" s="602" t="s">
        <v>133</v>
      </c>
      <c r="H26" s="603"/>
      <c r="I26" s="228" t="s">
        <v>62</v>
      </c>
      <c r="M26" s="602" t="s">
        <v>133</v>
      </c>
      <c r="N26" s="603"/>
      <c r="O26" s="228" t="s">
        <v>62</v>
      </c>
    </row>
    <row r="27" spans="1:15" ht="46.5" customHeight="1" thickBot="1" x14ac:dyDescent="0.45">
      <c r="B27" s="229"/>
      <c r="C27" s="65"/>
      <c r="D27" s="58"/>
      <c r="G27" s="229"/>
      <c r="H27" s="65"/>
      <c r="I27" s="58"/>
      <c r="M27" s="229"/>
      <c r="N27" s="65"/>
      <c r="O27" s="58"/>
    </row>
    <row r="29" spans="1:15" ht="15.75" customHeight="1" x14ac:dyDescent="0.75">
      <c r="A29" s="32"/>
    </row>
    <row r="30" spans="1:15" ht="15.75" customHeight="1" x14ac:dyDescent="0.75">
      <c r="A30" s="33" t="s">
        <v>134</v>
      </c>
    </row>
    <row r="32" spans="1:15" ht="25.7" x14ac:dyDescent="0.4">
      <c r="B32" s="43" t="s">
        <v>135</v>
      </c>
      <c r="C32" s="43" t="s">
        <v>23</v>
      </c>
      <c r="D32" s="63"/>
      <c r="E32" s="23"/>
      <c r="H32" s="43" t="s">
        <v>24</v>
      </c>
      <c r="I32" s="63"/>
      <c r="N32" s="43" t="s">
        <v>25</v>
      </c>
      <c r="O32" s="63"/>
    </row>
    <row r="33" spans="2:15" ht="20.7" x14ac:dyDescent="0.4">
      <c r="B33" s="225" t="s">
        <v>114</v>
      </c>
      <c r="C33" s="600"/>
      <c r="D33" s="601"/>
      <c r="E33" s="18"/>
      <c r="G33" s="225" t="s">
        <v>114</v>
      </c>
      <c r="H33" s="600"/>
      <c r="I33" s="601"/>
      <c r="M33" s="225" t="s">
        <v>114</v>
      </c>
      <c r="N33" s="600"/>
      <c r="O33" s="601"/>
    </row>
    <row r="34" spans="2:15" ht="21" thickBot="1" x14ac:dyDescent="0.45">
      <c r="B34" s="24"/>
      <c r="C34" s="24"/>
      <c r="D34" s="24"/>
      <c r="E34" s="18"/>
      <c r="G34" s="24"/>
      <c r="H34" s="24"/>
      <c r="I34" s="24"/>
      <c r="M34" s="24"/>
      <c r="N34" s="24"/>
      <c r="O34" s="24"/>
    </row>
    <row r="35" spans="2:15" ht="21" customHeight="1" x14ac:dyDescent="0.4">
      <c r="B35" s="623" t="s">
        <v>136</v>
      </c>
      <c r="C35" s="230" t="s">
        <v>137</v>
      </c>
      <c r="D35" s="227" t="s">
        <v>121</v>
      </c>
      <c r="E35" s="18"/>
      <c r="G35" s="620" t="s">
        <v>136</v>
      </c>
      <c r="H35" s="231" t="s">
        <v>137</v>
      </c>
      <c r="I35" s="227" t="s">
        <v>121</v>
      </c>
      <c r="M35" s="620" t="s">
        <v>136</v>
      </c>
      <c r="N35" s="231" t="s">
        <v>137</v>
      </c>
      <c r="O35" s="227" t="s">
        <v>121</v>
      </c>
    </row>
    <row r="36" spans="2:15" ht="41.25" customHeight="1" thickBot="1" x14ac:dyDescent="0.45">
      <c r="B36" s="624"/>
      <c r="C36" s="69"/>
      <c r="D36" s="61"/>
      <c r="E36" s="18"/>
      <c r="G36" s="621"/>
      <c r="H36" s="68"/>
      <c r="I36" s="61"/>
      <c r="M36" s="621"/>
      <c r="N36" s="67"/>
      <c r="O36" s="61"/>
    </row>
    <row r="37" spans="2:15" ht="21" thickBot="1" x14ac:dyDescent="0.45">
      <c r="B37" s="18"/>
      <c r="C37" s="18"/>
      <c r="D37" s="18"/>
      <c r="E37" s="18"/>
      <c r="G37" s="18"/>
      <c r="H37" s="18"/>
      <c r="I37" s="18"/>
      <c r="M37" s="18"/>
      <c r="N37" s="18"/>
      <c r="O37" s="18"/>
    </row>
    <row r="38" spans="2:15" ht="18" x14ac:dyDescent="0.4">
      <c r="B38" s="614" t="s">
        <v>115</v>
      </c>
      <c r="C38" s="618" t="s">
        <v>116</v>
      </c>
      <c r="D38" s="619"/>
      <c r="G38" s="614" t="s">
        <v>115</v>
      </c>
      <c r="H38" s="618" t="s">
        <v>116</v>
      </c>
      <c r="I38" s="619"/>
      <c r="M38" s="614" t="s">
        <v>115</v>
      </c>
      <c r="N38" s="618" t="s">
        <v>116</v>
      </c>
      <c r="O38" s="619"/>
    </row>
    <row r="39" spans="2:15" ht="18.75" customHeight="1" x14ac:dyDescent="0.4">
      <c r="B39" s="615"/>
      <c r="C39" s="612" t="s">
        <v>117</v>
      </c>
      <c r="D39" s="226" t="s">
        <v>118</v>
      </c>
      <c r="G39" s="615"/>
      <c r="H39" s="612" t="s">
        <v>117</v>
      </c>
      <c r="I39" s="226" t="s">
        <v>118</v>
      </c>
      <c r="M39" s="615"/>
      <c r="N39" s="612" t="s">
        <v>117</v>
      </c>
      <c r="O39" s="226" t="s">
        <v>118</v>
      </c>
    </row>
    <row r="40" spans="2:15" ht="12.75" customHeight="1" x14ac:dyDescent="0.4">
      <c r="B40" s="610"/>
      <c r="C40" s="613"/>
      <c r="D40" s="616"/>
      <c r="G40" s="610"/>
      <c r="H40" s="622"/>
      <c r="I40" s="616"/>
      <c r="M40" s="610"/>
      <c r="N40" s="622"/>
      <c r="O40" s="616"/>
    </row>
    <row r="41" spans="2:15" ht="21.95" customHeight="1" thickBot="1" x14ac:dyDescent="0.45">
      <c r="B41" s="611"/>
      <c r="C41" s="59"/>
      <c r="D41" s="617"/>
      <c r="G41" s="611"/>
      <c r="H41" s="53"/>
      <c r="I41" s="617"/>
      <c r="M41" s="611"/>
      <c r="N41" s="53"/>
      <c r="O41" s="617"/>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608" t="s">
        <v>119</v>
      </c>
      <c r="C44" s="606" t="s">
        <v>120</v>
      </c>
      <c r="D44" s="604" t="s">
        <v>121</v>
      </c>
      <c r="G44" s="608" t="s">
        <v>119</v>
      </c>
      <c r="H44" s="606" t="s">
        <v>120</v>
      </c>
      <c r="I44" s="604" t="s">
        <v>121</v>
      </c>
      <c r="M44" s="608" t="s">
        <v>119</v>
      </c>
      <c r="N44" s="606" t="s">
        <v>120</v>
      </c>
      <c r="O44" s="604" t="s">
        <v>121</v>
      </c>
    </row>
    <row r="45" spans="2:15" ht="15.75" customHeight="1" x14ac:dyDescent="0.4">
      <c r="B45" s="609"/>
      <c r="C45" s="607"/>
      <c r="D45" s="605"/>
      <c r="G45" s="609"/>
      <c r="H45" s="607"/>
      <c r="I45" s="605"/>
      <c r="M45" s="609"/>
      <c r="N45" s="607"/>
      <c r="O45" s="605"/>
    </row>
    <row r="46" spans="2:15" ht="31.5" customHeight="1" x14ac:dyDescent="0.4">
      <c r="B46" s="31" t="s">
        <v>122</v>
      </c>
      <c r="C46" s="64"/>
      <c r="D46" s="54"/>
      <c r="G46" s="31" t="s">
        <v>122</v>
      </c>
      <c r="H46" s="64"/>
      <c r="I46" s="54"/>
      <c r="M46" s="31" t="s">
        <v>122</v>
      </c>
      <c r="N46" s="64"/>
      <c r="O46" s="49"/>
    </row>
    <row r="47" spans="2:15" ht="35.1" customHeight="1" x14ac:dyDescent="0.4">
      <c r="B47" s="31" t="s">
        <v>138</v>
      </c>
      <c r="C47" s="64"/>
      <c r="D47" s="54"/>
      <c r="G47" s="31" t="s">
        <v>138</v>
      </c>
      <c r="H47" s="64"/>
      <c r="I47" s="54"/>
      <c r="M47" s="31" t="s">
        <v>138</v>
      </c>
      <c r="N47" s="64"/>
      <c r="O47" s="49"/>
    </row>
    <row r="48" spans="2:15" ht="35.1" customHeight="1" thickBot="1" x14ac:dyDescent="0.45">
      <c r="B48" s="30" t="s">
        <v>139</v>
      </c>
      <c r="C48" s="64"/>
      <c r="D48" s="54"/>
      <c r="G48" s="30" t="s">
        <v>139</v>
      </c>
      <c r="H48" s="64"/>
      <c r="I48" s="54"/>
      <c r="M48" s="30" t="s">
        <v>139</v>
      </c>
      <c r="N48" s="64"/>
      <c r="O48" s="49"/>
    </row>
    <row r="49" spans="2:15" ht="15.75" customHeight="1" x14ac:dyDescent="0.4">
      <c r="B49" s="608" t="s">
        <v>125</v>
      </c>
      <c r="C49" s="606" t="s">
        <v>120</v>
      </c>
      <c r="D49" s="604" t="s">
        <v>121</v>
      </c>
      <c r="G49" s="608" t="s">
        <v>125</v>
      </c>
      <c r="H49" s="606" t="s">
        <v>120</v>
      </c>
      <c r="I49" s="604" t="s">
        <v>121</v>
      </c>
      <c r="M49" s="608" t="s">
        <v>125</v>
      </c>
      <c r="N49" s="606" t="s">
        <v>120</v>
      </c>
      <c r="O49" s="604" t="s">
        <v>121</v>
      </c>
    </row>
    <row r="50" spans="2:15" ht="15.75" customHeight="1" x14ac:dyDescent="0.4">
      <c r="B50" s="609"/>
      <c r="C50" s="607"/>
      <c r="D50" s="605"/>
      <c r="G50" s="609"/>
      <c r="H50" s="607"/>
      <c r="I50" s="605"/>
      <c r="M50" s="609"/>
      <c r="N50" s="607"/>
      <c r="O50" s="605"/>
    </row>
    <row r="51" spans="2:15" ht="35.1" customHeight="1" x14ac:dyDescent="0.4">
      <c r="B51" s="30" t="s">
        <v>140</v>
      </c>
      <c r="C51" s="64"/>
      <c r="D51" s="55"/>
      <c r="G51" s="30" t="s">
        <v>140</v>
      </c>
      <c r="H51" s="64"/>
      <c r="I51" s="55"/>
      <c r="M51" s="30" t="s">
        <v>140</v>
      </c>
      <c r="N51" s="64"/>
      <c r="O51" s="50"/>
    </row>
    <row r="52" spans="2:15" ht="35.1" customHeight="1" thickBot="1" x14ac:dyDescent="0.45">
      <c r="B52" s="30" t="s">
        <v>141</v>
      </c>
      <c r="C52" s="64"/>
      <c r="D52" s="55"/>
      <c r="G52" s="30" t="s">
        <v>141</v>
      </c>
      <c r="H52" s="64"/>
      <c r="I52" s="55"/>
      <c r="M52" s="30" t="s">
        <v>141</v>
      </c>
      <c r="N52" s="64"/>
      <c r="O52" s="50"/>
    </row>
    <row r="53" spans="2:15" ht="15.75" customHeight="1" x14ac:dyDescent="0.4">
      <c r="B53" s="608" t="s">
        <v>127</v>
      </c>
      <c r="C53" s="606" t="s">
        <v>120</v>
      </c>
      <c r="D53" s="604" t="s">
        <v>121</v>
      </c>
      <c r="G53" s="608" t="s">
        <v>127</v>
      </c>
      <c r="H53" s="606" t="s">
        <v>120</v>
      </c>
      <c r="I53" s="604" t="s">
        <v>121</v>
      </c>
      <c r="M53" s="608" t="s">
        <v>127</v>
      </c>
      <c r="N53" s="606" t="s">
        <v>120</v>
      </c>
      <c r="O53" s="604" t="s">
        <v>121</v>
      </c>
    </row>
    <row r="54" spans="2:15" ht="15.75" customHeight="1" x14ac:dyDescent="0.4">
      <c r="B54" s="609"/>
      <c r="C54" s="607"/>
      <c r="D54" s="605"/>
      <c r="G54" s="609"/>
      <c r="H54" s="607"/>
      <c r="I54" s="605"/>
      <c r="M54" s="609"/>
      <c r="N54" s="607"/>
      <c r="O54" s="605"/>
    </row>
    <row r="55" spans="2:15" ht="35.1" customHeight="1" x14ac:dyDescent="0.4">
      <c r="B55" s="28" t="s">
        <v>142</v>
      </c>
      <c r="C55" s="64"/>
      <c r="D55" s="55"/>
      <c r="G55" s="28" t="s">
        <v>142</v>
      </c>
      <c r="H55" s="64"/>
      <c r="I55" s="55"/>
      <c r="M55" s="28" t="s">
        <v>142</v>
      </c>
      <c r="N55" s="64"/>
      <c r="O55" s="50"/>
    </row>
    <row r="56" spans="2:15" ht="35.1" customHeight="1" thickBot="1" x14ac:dyDescent="0.45">
      <c r="B56" s="29" t="s">
        <v>129</v>
      </c>
      <c r="C56" s="64"/>
      <c r="D56" s="62"/>
      <c r="G56" s="29" t="s">
        <v>129</v>
      </c>
      <c r="H56" s="64"/>
      <c r="I56" s="62"/>
      <c r="M56" s="29" t="s">
        <v>129</v>
      </c>
      <c r="N56" s="64"/>
      <c r="O56" s="52"/>
    </row>
    <row r="57" spans="2:15" ht="15.75" customHeight="1" x14ac:dyDescent="0.4">
      <c r="B57" s="608" t="s">
        <v>130</v>
      </c>
      <c r="C57" s="606" t="s">
        <v>120</v>
      </c>
      <c r="D57" s="627" t="s">
        <v>121</v>
      </c>
      <c r="G57" s="608" t="s">
        <v>130</v>
      </c>
      <c r="H57" s="606" t="s">
        <v>120</v>
      </c>
      <c r="I57" s="625" t="s">
        <v>121</v>
      </c>
      <c r="M57" s="608" t="s">
        <v>130</v>
      </c>
      <c r="N57" s="606" t="s">
        <v>120</v>
      </c>
      <c r="O57" s="625" t="s">
        <v>121</v>
      </c>
    </row>
    <row r="58" spans="2:15" ht="15.75" customHeight="1" x14ac:dyDescent="0.4">
      <c r="B58" s="609"/>
      <c r="C58" s="607"/>
      <c r="D58" s="628"/>
      <c r="G58" s="609"/>
      <c r="H58" s="607"/>
      <c r="I58" s="626"/>
      <c r="M58" s="609"/>
      <c r="N58" s="607"/>
      <c r="O58" s="626"/>
    </row>
    <row r="59" spans="2:15" ht="35.1" customHeight="1" thickBot="1" x14ac:dyDescent="0.45">
      <c r="B59" s="183" t="s">
        <v>143</v>
      </c>
      <c r="C59" s="64"/>
      <c r="D59" s="56"/>
      <c r="G59" s="183" t="s">
        <v>143</v>
      </c>
      <c r="H59" s="64"/>
      <c r="I59" s="56"/>
      <c r="M59" s="183" t="s">
        <v>143</v>
      </c>
      <c r="N59" s="64"/>
      <c r="O59" s="51"/>
    </row>
    <row r="60" spans="2:15" ht="31.35" customHeight="1" x14ac:dyDescent="0.4">
      <c r="B60" s="598" t="s">
        <v>133</v>
      </c>
      <c r="C60" s="599"/>
      <c r="D60" s="44" t="s">
        <v>62</v>
      </c>
      <c r="G60" s="598" t="s">
        <v>133</v>
      </c>
      <c r="H60" s="599"/>
      <c r="I60" s="44" t="s">
        <v>62</v>
      </c>
      <c r="M60" s="598" t="s">
        <v>133</v>
      </c>
      <c r="N60" s="599"/>
      <c r="O60" s="44" t="s">
        <v>62</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containsText" dxfId="127" priority="77" operator="containsText" text="Non contrôlé">
      <formula>NOT(ISERROR(SEARCH("Non contrôlé",C14)))</formula>
    </cfRule>
    <cfRule type="containsText" dxfId="126" priority="78" operator="containsText" text="Non validé">
      <formula>NOT(ISERROR(SEARCH("Non validé",C14)))</formula>
    </cfRule>
    <cfRule type="containsText" dxfId="125" priority="79" operator="containsText" text="réserve">
      <formula>NOT(ISERROR(SEARCH("réserve",C14)))</formula>
    </cfRule>
    <cfRule type="endsWith" dxfId="124" priority="80" operator="endsWith" text="Validé">
      <formula>RIGHT(C14,LEN("Validé"))="Validé"</formula>
    </cfRule>
  </conditionalFormatting>
  <conditionalFormatting sqref="C18">
    <cfRule type="containsText" dxfId="123" priority="73" operator="containsText" text="Non contrôlé">
      <formula>NOT(ISERROR(SEARCH("Non contrôlé",C18)))</formula>
    </cfRule>
    <cfRule type="containsText" dxfId="122" priority="74" operator="containsText" text="Non validé">
      <formula>NOT(ISERROR(SEARCH("Non validé",C18)))</formula>
    </cfRule>
    <cfRule type="containsText" dxfId="121" priority="75" operator="containsText" text="réserve">
      <formula>NOT(ISERROR(SEARCH("réserve",C18)))</formula>
    </cfRule>
    <cfRule type="endsWith" dxfId="120" priority="76" operator="endsWith" text="Validé">
      <formula>RIGHT(C18,LEN("Validé"))="Validé"</formula>
    </cfRule>
  </conditionalFormatting>
  <conditionalFormatting sqref="C21:C22">
    <cfRule type="containsText" dxfId="119" priority="69" operator="containsText" text="Non contrôlé">
      <formula>NOT(ISERROR(SEARCH("Non contrôlé",C21)))</formula>
    </cfRule>
    <cfRule type="containsText" dxfId="118" priority="70" operator="containsText" text="Non validé">
      <formula>NOT(ISERROR(SEARCH("Non validé",C21)))</formula>
    </cfRule>
    <cfRule type="containsText" dxfId="117" priority="71" operator="containsText" text="réserve">
      <formula>NOT(ISERROR(SEARCH("réserve",C21)))</formula>
    </cfRule>
    <cfRule type="endsWith" dxfId="116" priority="72" operator="endsWith" text="Validé">
      <formula>RIGHT(C21,LEN("Validé"))="Validé"</formula>
    </cfRule>
  </conditionalFormatting>
  <conditionalFormatting sqref="C25">
    <cfRule type="containsText" dxfId="115" priority="65" operator="containsText" text="Non contrôlé">
      <formula>NOT(ISERROR(SEARCH("Non contrôlé",C25)))</formula>
    </cfRule>
    <cfRule type="containsText" dxfId="114" priority="66" operator="containsText" text="Non validé">
      <formula>NOT(ISERROR(SEARCH("Non validé",C25)))</formula>
    </cfRule>
    <cfRule type="containsText" dxfId="113" priority="67" operator="containsText" text="réserve">
      <formula>NOT(ISERROR(SEARCH("réserve",C25)))</formula>
    </cfRule>
    <cfRule type="endsWith" dxfId="112" priority="68" operator="endsWith" text="Validé">
      <formula>RIGHT(C25,LEN("Validé"))="Validé"</formula>
    </cfRule>
  </conditionalFormatting>
  <conditionalFormatting sqref="C27">
    <cfRule type="containsText" dxfId="111" priority="61" operator="containsText" text="Non contrôlé">
      <formula>NOT(ISERROR(SEARCH("Non contrôlé",C27)))</formula>
    </cfRule>
    <cfRule type="containsText" dxfId="110" priority="62" operator="containsText" text="Non validé">
      <formula>NOT(ISERROR(SEARCH("Non validé",C27)))</formula>
    </cfRule>
    <cfRule type="containsText" dxfId="109" priority="63" operator="containsText" text="réserve">
      <formula>NOT(ISERROR(SEARCH("réserve",C27)))</formula>
    </cfRule>
    <cfRule type="endsWith" dxfId="108" priority="64" operator="endsWith" text="Validé">
      <formula>RIGHT(C27,LEN("Validé"))="Validé"</formula>
    </cfRule>
  </conditionalFormatting>
  <conditionalFormatting sqref="C46:C48">
    <cfRule type="containsText" dxfId="107" priority="57" operator="containsText" text="Non contrôlé">
      <formula>NOT(ISERROR(SEARCH("Non contrôlé",C46)))</formula>
    </cfRule>
    <cfRule type="containsText" dxfId="106" priority="58" operator="containsText" text="Non validé">
      <formula>NOT(ISERROR(SEARCH("Non validé",C46)))</formula>
    </cfRule>
    <cfRule type="containsText" dxfId="105" priority="59" operator="containsText" text="réserve">
      <formula>NOT(ISERROR(SEARCH("réserve",C46)))</formula>
    </cfRule>
    <cfRule type="endsWith" dxfId="104" priority="60" operator="endsWith" text="Validé">
      <formula>RIGHT(C46,LEN("Validé"))="Validé"</formula>
    </cfRule>
  </conditionalFormatting>
  <conditionalFormatting sqref="C51:C52">
    <cfRule type="containsText" dxfId="103" priority="53" operator="containsText" text="Non contrôlé">
      <formula>NOT(ISERROR(SEARCH("Non contrôlé",C51)))</formula>
    </cfRule>
    <cfRule type="containsText" dxfId="102" priority="54" operator="containsText" text="Non validé">
      <formula>NOT(ISERROR(SEARCH("Non validé",C51)))</formula>
    </cfRule>
    <cfRule type="containsText" dxfId="101" priority="55" operator="containsText" text="réserve">
      <formula>NOT(ISERROR(SEARCH("réserve",C51)))</formula>
    </cfRule>
    <cfRule type="endsWith" dxfId="100" priority="56" operator="endsWith" text="Validé">
      <formula>RIGHT(C51,LEN("Validé"))="Validé"</formula>
    </cfRule>
  </conditionalFormatting>
  <conditionalFormatting sqref="C55:C56">
    <cfRule type="containsText" dxfId="99" priority="49" operator="containsText" text="Non contrôlé">
      <formula>NOT(ISERROR(SEARCH("Non contrôlé",C55)))</formula>
    </cfRule>
    <cfRule type="containsText" dxfId="98" priority="50" operator="containsText" text="Non validé">
      <formula>NOT(ISERROR(SEARCH("Non validé",C55)))</formula>
    </cfRule>
    <cfRule type="containsText" dxfId="97" priority="51" operator="containsText" text="réserve">
      <formula>NOT(ISERROR(SEARCH("réserve",C55)))</formula>
    </cfRule>
    <cfRule type="endsWith" dxfId="96" priority="52" operator="endsWith" text="Validé">
      <formula>RIGHT(C55,LEN("Validé"))="Validé"</formula>
    </cfRule>
  </conditionalFormatting>
  <conditionalFormatting sqref="C59">
    <cfRule type="containsText" dxfId="95" priority="45" operator="containsText" text="Non contrôlé">
      <formula>NOT(ISERROR(SEARCH("Non contrôlé",C59)))</formula>
    </cfRule>
    <cfRule type="containsText" dxfId="94" priority="46" operator="containsText" text="Non validé">
      <formula>NOT(ISERROR(SEARCH("Non validé",C59)))</formula>
    </cfRule>
    <cfRule type="containsText" dxfId="93" priority="47" operator="containsText" text="réserve">
      <formula>NOT(ISERROR(SEARCH("réserve",C59)))</formula>
    </cfRule>
    <cfRule type="endsWith" dxfId="92" priority="48" operator="endsWith" text="Validé">
      <formula>RIGHT(C59,LEN("Validé"))="Validé"</formula>
    </cfRule>
  </conditionalFormatting>
  <conditionalFormatting sqref="C61">
    <cfRule type="containsText" dxfId="91" priority="41" operator="containsText" text="Non contrôlé">
      <formula>NOT(ISERROR(SEARCH("Non contrôlé",C61)))</formula>
    </cfRule>
    <cfRule type="containsText" dxfId="90" priority="42" operator="containsText" text="Non validé">
      <formula>NOT(ISERROR(SEARCH("Non validé",C61)))</formula>
    </cfRule>
    <cfRule type="containsText" dxfId="89" priority="43" operator="containsText" text="réserve">
      <formula>NOT(ISERROR(SEARCH("réserve",C61)))</formula>
    </cfRule>
    <cfRule type="endsWith" dxfId="88" priority="44" operator="endsWith" text="Validé">
      <formula>RIGHT(C61,LEN("Validé"))="Validé"</formula>
    </cfRule>
  </conditionalFormatting>
  <conditionalFormatting sqref="H9">
    <cfRule type="containsText" dxfId="87" priority="141" operator="containsText" text="Non contrôlé">
      <formula>NOT(ISERROR(SEARCH("Non contrôlé",H9)))</formula>
    </cfRule>
    <cfRule type="containsText" dxfId="86" priority="142" operator="containsText" text="Non validé">
      <formula>NOT(ISERROR(SEARCH("Non validé",H9)))</formula>
    </cfRule>
    <cfRule type="containsText" dxfId="85" priority="143" operator="containsText" text="réserve">
      <formula>NOT(ISERROR(SEARCH("réserve",H9)))</formula>
    </cfRule>
    <cfRule type="endsWith" dxfId="84" priority="144" operator="endsWith" text="Validé">
      <formula>RIGHT(H9,LEN("Validé"))="Validé"</formula>
    </cfRule>
  </conditionalFormatting>
  <conditionalFormatting sqref="H14:H15">
    <cfRule type="containsText" dxfId="83" priority="137" operator="containsText" text="Non contrôlé">
      <formula>NOT(ISERROR(SEARCH("Non contrôlé",H14)))</formula>
    </cfRule>
    <cfRule type="containsText" dxfId="82" priority="138" operator="containsText" text="Non validé">
      <formula>NOT(ISERROR(SEARCH("Non validé",H14)))</formula>
    </cfRule>
    <cfRule type="containsText" dxfId="81" priority="139" operator="containsText" text="réserve">
      <formula>NOT(ISERROR(SEARCH("réserve",H14)))</formula>
    </cfRule>
    <cfRule type="endsWith" dxfId="80" priority="140" operator="endsWith" text="Validé">
      <formula>RIGHT(H14,LEN("Validé"))="Validé"</formula>
    </cfRule>
  </conditionalFormatting>
  <conditionalFormatting sqref="H18">
    <cfRule type="containsText" dxfId="79" priority="113" operator="containsText" text="Non contrôlé">
      <formula>NOT(ISERROR(SEARCH("Non contrôlé",H18)))</formula>
    </cfRule>
    <cfRule type="containsText" dxfId="78" priority="114" operator="containsText" text="Non validé">
      <formula>NOT(ISERROR(SEARCH("Non validé",H18)))</formula>
    </cfRule>
    <cfRule type="containsText" dxfId="77" priority="115" operator="containsText" text="réserve">
      <formula>NOT(ISERROR(SEARCH("réserve",H18)))</formula>
    </cfRule>
    <cfRule type="endsWith" dxfId="76" priority="116" operator="endsWith" text="Validé">
      <formula>RIGHT(H18,LEN("Validé"))="Validé"</formula>
    </cfRule>
  </conditionalFormatting>
  <conditionalFormatting sqref="H21:H22">
    <cfRule type="containsText" dxfId="75" priority="109" operator="containsText" text="Non contrôlé">
      <formula>NOT(ISERROR(SEARCH("Non contrôlé",H21)))</formula>
    </cfRule>
    <cfRule type="containsText" dxfId="74" priority="110" operator="containsText" text="Non validé">
      <formula>NOT(ISERROR(SEARCH("Non validé",H21)))</formula>
    </cfRule>
    <cfRule type="containsText" dxfId="73" priority="111" operator="containsText" text="réserve">
      <formula>NOT(ISERROR(SEARCH("réserve",H21)))</formula>
    </cfRule>
    <cfRule type="endsWith" dxfId="72" priority="112" operator="endsWith" text="Validé">
      <formula>RIGHT(H21,LEN("Validé"))="Validé"</formula>
    </cfRule>
  </conditionalFormatting>
  <conditionalFormatting sqref="H25">
    <cfRule type="containsText" dxfId="71" priority="105" operator="containsText" text="Non contrôlé">
      <formula>NOT(ISERROR(SEARCH("Non contrôlé",H25)))</formula>
    </cfRule>
    <cfRule type="containsText" dxfId="70" priority="106" operator="containsText" text="Non validé">
      <formula>NOT(ISERROR(SEARCH("Non validé",H25)))</formula>
    </cfRule>
    <cfRule type="containsText" dxfId="69" priority="107" operator="containsText" text="réserve">
      <formula>NOT(ISERROR(SEARCH("réserve",H25)))</formula>
    </cfRule>
    <cfRule type="endsWith" dxfId="68" priority="108" operator="endsWith" text="Validé">
      <formula>RIGHT(H25,LEN("Validé"))="Validé"</formula>
    </cfRule>
  </conditionalFormatting>
  <conditionalFormatting sqref="H27">
    <cfRule type="containsText" dxfId="67" priority="101" operator="containsText" text="Non contrôlé">
      <formula>NOT(ISERROR(SEARCH("Non contrôlé",H27)))</formula>
    </cfRule>
    <cfRule type="containsText" dxfId="66" priority="102" operator="containsText" text="Non validé">
      <formula>NOT(ISERROR(SEARCH("Non validé",H27)))</formula>
    </cfRule>
    <cfRule type="containsText" dxfId="65" priority="103" operator="containsText" text="réserve">
      <formula>NOT(ISERROR(SEARCH("réserve",H27)))</formula>
    </cfRule>
    <cfRule type="endsWith" dxfId="64" priority="104" operator="endsWith" text="Validé">
      <formula>RIGHT(H27,LEN("Validé"))="Validé"</formula>
    </cfRule>
  </conditionalFormatting>
  <conditionalFormatting sqref="H46:H48">
    <cfRule type="containsText" dxfId="63" priority="37" operator="containsText" text="Non contrôlé">
      <formula>NOT(ISERROR(SEARCH("Non contrôlé",H46)))</formula>
    </cfRule>
    <cfRule type="containsText" dxfId="62" priority="38" operator="containsText" text="Non validé">
      <formula>NOT(ISERROR(SEARCH("Non validé",H46)))</formula>
    </cfRule>
    <cfRule type="containsText" dxfId="61" priority="39" operator="containsText" text="réserve">
      <formula>NOT(ISERROR(SEARCH("réserve",H46)))</formula>
    </cfRule>
    <cfRule type="endsWith" dxfId="60" priority="40" operator="endsWith" text="Validé">
      <formula>RIGHT(H46,LEN("Validé"))="Validé"</formula>
    </cfRule>
  </conditionalFormatting>
  <conditionalFormatting sqref="H51:H52">
    <cfRule type="containsText" dxfId="59" priority="33" operator="containsText" text="Non contrôlé">
      <formula>NOT(ISERROR(SEARCH("Non contrôlé",H51)))</formula>
    </cfRule>
    <cfRule type="containsText" dxfId="58" priority="34" operator="containsText" text="Non validé">
      <formula>NOT(ISERROR(SEARCH("Non validé",H51)))</formula>
    </cfRule>
    <cfRule type="containsText" dxfId="57" priority="35" operator="containsText" text="réserve">
      <formula>NOT(ISERROR(SEARCH("réserve",H51)))</formula>
    </cfRule>
    <cfRule type="endsWith" dxfId="56" priority="36" operator="endsWith" text="Validé">
      <formula>RIGHT(H51,LEN("Validé"))="Validé"</formula>
    </cfRule>
  </conditionalFormatting>
  <conditionalFormatting sqref="H55:H56">
    <cfRule type="containsText" dxfId="55" priority="29" operator="containsText" text="Non contrôlé">
      <formula>NOT(ISERROR(SEARCH("Non contrôlé",H55)))</formula>
    </cfRule>
    <cfRule type="containsText" dxfId="54" priority="30" operator="containsText" text="Non validé">
      <formula>NOT(ISERROR(SEARCH("Non validé",H55)))</formula>
    </cfRule>
    <cfRule type="containsText" dxfId="53" priority="31" operator="containsText" text="réserve">
      <formula>NOT(ISERROR(SEARCH("réserve",H55)))</formula>
    </cfRule>
    <cfRule type="endsWith" dxfId="52" priority="32" operator="endsWith" text="Validé">
      <formula>RIGHT(H55,LEN("Validé"))="Validé"</formula>
    </cfRule>
  </conditionalFormatting>
  <conditionalFormatting sqref="H59">
    <cfRule type="containsText" dxfId="51" priority="25" operator="containsText" text="Non contrôlé">
      <formula>NOT(ISERROR(SEARCH("Non contrôlé",H59)))</formula>
    </cfRule>
    <cfRule type="containsText" dxfId="50" priority="26" operator="containsText" text="Non validé">
      <formula>NOT(ISERROR(SEARCH("Non validé",H59)))</formula>
    </cfRule>
    <cfRule type="containsText" dxfId="49" priority="27" operator="containsText" text="réserve">
      <formula>NOT(ISERROR(SEARCH("réserve",H59)))</formula>
    </cfRule>
    <cfRule type="endsWith" dxfId="48" priority="28" operator="endsWith" text="Validé">
      <formula>RIGHT(H59,LEN("Validé"))="Validé"</formula>
    </cfRule>
  </conditionalFormatting>
  <conditionalFormatting sqref="H61">
    <cfRule type="containsText" dxfId="47" priority="21" operator="containsText" text="Non contrôlé">
      <formula>NOT(ISERROR(SEARCH("Non contrôlé",H61)))</formula>
    </cfRule>
    <cfRule type="containsText" dxfId="46" priority="22" operator="containsText" text="Non validé">
      <formula>NOT(ISERROR(SEARCH("Non validé",H61)))</formula>
    </cfRule>
    <cfRule type="containsText" dxfId="45" priority="23" operator="containsText" text="réserve">
      <formula>NOT(ISERROR(SEARCH("réserve",H61)))</formula>
    </cfRule>
    <cfRule type="endsWith" dxfId="44" priority="24" operator="endsWith" text="Validé">
      <formula>RIGHT(H61,LEN("Validé"))="Validé"</formula>
    </cfRule>
  </conditionalFormatting>
  <conditionalFormatting sqref="N14:N15">
    <cfRule type="containsText" dxfId="43" priority="97" operator="containsText" text="Non contrôlé">
      <formula>NOT(ISERROR(SEARCH("Non contrôlé",N14)))</formula>
    </cfRule>
    <cfRule type="containsText" dxfId="42" priority="98" operator="containsText" text="Non validé">
      <formula>NOT(ISERROR(SEARCH("Non validé",N14)))</formula>
    </cfRule>
    <cfRule type="containsText" dxfId="41" priority="99" operator="containsText" text="réserve">
      <formula>NOT(ISERROR(SEARCH("réserve",N14)))</formula>
    </cfRule>
    <cfRule type="endsWith" dxfId="40" priority="100" operator="endsWith" text="Validé">
      <formula>RIGHT(N14,LEN("Validé"))="Validé"</formula>
    </cfRule>
  </conditionalFormatting>
  <conditionalFormatting sqref="N18">
    <cfRule type="containsText" dxfId="39" priority="93" operator="containsText" text="Non contrôlé">
      <formula>NOT(ISERROR(SEARCH("Non contrôlé",N18)))</formula>
    </cfRule>
    <cfRule type="containsText" dxfId="38" priority="94" operator="containsText" text="Non validé">
      <formula>NOT(ISERROR(SEARCH("Non validé",N18)))</formula>
    </cfRule>
    <cfRule type="containsText" dxfId="37" priority="95" operator="containsText" text="réserve">
      <formula>NOT(ISERROR(SEARCH("réserve",N18)))</formula>
    </cfRule>
    <cfRule type="endsWith" dxfId="36" priority="96" operator="endsWith" text="Validé">
      <formula>RIGHT(N18,LEN("Validé"))="Validé"</formula>
    </cfRule>
  </conditionalFormatting>
  <conditionalFormatting sqref="N21:N22">
    <cfRule type="containsText" dxfId="35" priority="89" operator="containsText" text="Non contrôlé">
      <formula>NOT(ISERROR(SEARCH("Non contrôlé",N21)))</formula>
    </cfRule>
    <cfRule type="containsText" dxfId="34" priority="90" operator="containsText" text="Non validé">
      <formula>NOT(ISERROR(SEARCH("Non validé",N21)))</formula>
    </cfRule>
    <cfRule type="containsText" dxfId="33" priority="91" operator="containsText" text="réserve">
      <formula>NOT(ISERROR(SEARCH("réserve",N21)))</formula>
    </cfRule>
    <cfRule type="endsWith" dxfId="32" priority="92" operator="endsWith" text="Validé">
      <formula>RIGHT(N21,LEN("Validé"))="Validé"</formula>
    </cfRule>
  </conditionalFormatting>
  <conditionalFormatting sqref="N25">
    <cfRule type="containsText" dxfId="31" priority="85" operator="containsText" text="Non contrôlé">
      <formula>NOT(ISERROR(SEARCH("Non contrôlé",N25)))</formula>
    </cfRule>
    <cfRule type="containsText" dxfId="30" priority="86" operator="containsText" text="Non validé">
      <formula>NOT(ISERROR(SEARCH("Non validé",N25)))</formula>
    </cfRule>
    <cfRule type="containsText" dxfId="29" priority="87" operator="containsText" text="réserve">
      <formula>NOT(ISERROR(SEARCH("réserve",N25)))</formula>
    </cfRule>
    <cfRule type="endsWith" dxfId="28" priority="88" operator="endsWith" text="Validé">
      <formula>RIGHT(N25,LEN("Validé"))="Validé"</formula>
    </cfRule>
  </conditionalFormatting>
  <conditionalFormatting sqref="N27">
    <cfRule type="containsText" dxfId="27" priority="81" operator="containsText" text="Non contrôlé">
      <formula>NOT(ISERROR(SEARCH("Non contrôlé",N27)))</formula>
    </cfRule>
    <cfRule type="containsText" dxfId="26" priority="82" operator="containsText" text="Non validé">
      <formula>NOT(ISERROR(SEARCH("Non validé",N27)))</formula>
    </cfRule>
    <cfRule type="containsText" dxfId="25" priority="83" operator="containsText" text="réserve">
      <formula>NOT(ISERROR(SEARCH("réserve",N27)))</formula>
    </cfRule>
    <cfRule type="endsWith" dxfId="24" priority="84" operator="endsWith" text="Validé">
      <formula>RIGHT(N27,LEN("Validé"))="Validé"</formula>
    </cfRule>
  </conditionalFormatting>
  <conditionalFormatting sqref="N46:N48">
    <cfRule type="containsText" dxfId="23" priority="17" operator="containsText" text="Non contrôlé">
      <formula>NOT(ISERROR(SEARCH("Non contrôlé",N46)))</formula>
    </cfRule>
    <cfRule type="containsText" dxfId="22" priority="18" operator="containsText" text="Non validé">
      <formula>NOT(ISERROR(SEARCH("Non validé",N46)))</formula>
    </cfRule>
    <cfRule type="containsText" dxfId="21" priority="19" operator="containsText" text="réserve">
      <formula>NOT(ISERROR(SEARCH("réserve",N46)))</formula>
    </cfRule>
    <cfRule type="endsWith" dxfId="20" priority="20" operator="endsWith" text="Validé">
      <formula>RIGHT(N46,LEN("Validé"))="Validé"</formula>
    </cfRule>
  </conditionalFormatting>
  <conditionalFormatting sqref="N51:N52">
    <cfRule type="containsText" dxfId="19" priority="13" operator="containsText" text="Non contrôlé">
      <formula>NOT(ISERROR(SEARCH("Non contrôlé",N51)))</formula>
    </cfRule>
    <cfRule type="containsText" dxfId="18" priority="14" operator="containsText" text="Non validé">
      <formula>NOT(ISERROR(SEARCH("Non validé",N51)))</formula>
    </cfRule>
    <cfRule type="containsText" dxfId="17" priority="15" operator="containsText" text="réserve">
      <formula>NOT(ISERROR(SEARCH("réserve",N51)))</formula>
    </cfRule>
    <cfRule type="endsWith" dxfId="16" priority="16" operator="endsWith" text="Validé">
      <formula>RIGHT(N51,LEN("Validé"))="Validé"</formula>
    </cfRule>
  </conditionalFormatting>
  <conditionalFormatting sqref="N55:N56">
    <cfRule type="containsText" dxfId="15" priority="9" operator="containsText" text="Non contrôlé">
      <formula>NOT(ISERROR(SEARCH("Non contrôlé",N55)))</formula>
    </cfRule>
    <cfRule type="containsText" dxfId="14" priority="10" operator="containsText" text="Non validé">
      <formula>NOT(ISERROR(SEARCH("Non validé",N55)))</formula>
    </cfRule>
    <cfRule type="containsText" dxfId="13" priority="11" operator="containsText" text="réserve">
      <formula>NOT(ISERROR(SEARCH("réserve",N55)))</formula>
    </cfRule>
    <cfRule type="endsWith" dxfId="12" priority="12" operator="endsWith" text="Validé">
      <formula>RIGHT(N55,LEN("Validé"))="Validé"</formula>
    </cfRule>
  </conditionalFormatting>
  <conditionalFormatting sqref="N59">
    <cfRule type="containsText" dxfId="11" priority="5" operator="containsText" text="Non contrôlé">
      <formula>NOT(ISERROR(SEARCH("Non contrôlé",N59)))</formula>
    </cfRule>
    <cfRule type="containsText" dxfId="10" priority="6" operator="containsText" text="Non validé">
      <formula>NOT(ISERROR(SEARCH("Non validé",N59)))</formula>
    </cfRule>
    <cfRule type="containsText" dxfId="9" priority="7" operator="containsText" text="réserve">
      <formula>NOT(ISERROR(SEARCH("réserve",N59)))</formula>
    </cfRule>
    <cfRule type="endsWith" dxfId="8" priority="8" operator="endsWith" text="Validé">
      <formula>RIGHT(N59,LEN("Validé"))="Validé"</formula>
    </cfRule>
  </conditionalFormatting>
  <conditionalFormatting sqref="N61">
    <cfRule type="containsText" dxfId="7" priority="1" operator="containsText" text="Non contrôlé">
      <formula>NOT(ISERROR(SEARCH("Non contrôlé",N61)))</formula>
    </cfRule>
    <cfRule type="containsText" dxfId="6" priority="2" operator="containsText" text="Non validé">
      <formula>NOT(ISERROR(SEARCH("Non validé",N61)))</formula>
    </cfRule>
    <cfRule type="containsText" dxfId="5" priority="3" operator="containsText" text="réserve">
      <formula>NOT(ISERROR(SEARCH("réserve",N61)))</formula>
    </cfRule>
    <cfRule type="endsWith" dxfId="4" priority="4" operator="endsWith" text="Validé">
      <formula>RIGHT(N61,LEN("Validé"))="Validé"</formula>
    </cfRule>
  </conditionalFormatting>
  <dataValidations count="3">
    <dataValidation type="list" allowBlank="1" showInputMessage="1" showErrorMessage="1" sqref="C14:C15 C18 C21:C22 N51:N52 H14:H15 H18 H21:H22 C25 N14:N15 N18 N21:N22 H25 C46:C48 H59 C51:C52 H46:H48 N59 H51:H52 N46:N48 N25 H56 C56 C59 C55 H55 N55 N56" xr:uid="{00000000-0002-0000-0600-000000000000}">
      <formula1>LISTE_3</formula1>
    </dataValidation>
    <dataValidation type="list" allowBlank="1" showInputMessage="1" showErrorMessage="1" sqref="C9 H9 N9 C41 C36 H41 H36 N41 N36" xr:uid="{00000000-0002-0000-0600-000001000000}">
      <formula1>LISTE_1</formula1>
    </dataValidation>
    <dataValidation type="list" allowBlank="1" showInputMessage="1" showErrorMessage="1" sqref="D3 I3 O3 O32 I32 D32 C27 H27 N27 N61 H61 C61" xr:uid="{00000000-0002-0000-0600-000002000000}">
      <formula1>#REF!</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ED775-84A5-4DBA-AC81-69F58B98E90C}">
  <sheetPr codeName="Feuil27">
    <tabColor theme="3" tint="0.39997558519241921"/>
  </sheetPr>
  <dimension ref="A1:V37"/>
  <sheetViews>
    <sheetView tabSelected="1" workbookViewId="0">
      <selection activeCell="D13" sqref="D13:E13"/>
    </sheetView>
  </sheetViews>
  <sheetFormatPr baseColWidth="10" defaultColWidth="10.703125" defaultRowHeight="13" outlineLevelRow="1" x14ac:dyDescent="0.4"/>
  <cols>
    <col min="1" max="15" width="10.703125" style="333"/>
    <col min="16" max="16" width="2.703125" style="333" customWidth="1"/>
    <col min="17" max="17" width="2.703125" style="334" customWidth="1"/>
    <col min="18" max="19" width="10.703125" style="332" customWidth="1"/>
    <col min="20" max="22" width="10.703125" style="334"/>
    <col min="23" max="16384" width="10.703125" style="333"/>
  </cols>
  <sheetData>
    <row r="1" spans="1:19" ht="20.100000000000001" customHeight="1" outlineLevel="1" x14ac:dyDescent="0.4">
      <c r="A1" s="642" t="s">
        <v>200</v>
      </c>
      <c r="B1" s="643"/>
      <c r="C1" s="643"/>
      <c r="D1" s="643"/>
      <c r="E1" s="643"/>
      <c r="F1" s="643"/>
      <c r="G1" s="643"/>
      <c r="H1" s="643"/>
      <c r="I1" s="643"/>
      <c r="J1" s="643"/>
      <c r="K1" s="643"/>
      <c r="L1" s="643"/>
      <c r="M1" s="643"/>
      <c r="N1" s="644"/>
      <c r="O1" s="337"/>
      <c r="P1" s="338"/>
    </row>
    <row r="2" spans="1:19" ht="20.100000000000001" customHeight="1" outlineLevel="1" x14ac:dyDescent="0.4">
      <c r="A2" s="645" t="s">
        <v>201</v>
      </c>
      <c r="B2" s="646"/>
      <c r="C2" s="646"/>
      <c r="D2" s="647"/>
      <c r="E2" s="647"/>
      <c r="F2" s="647"/>
      <c r="G2" s="648"/>
      <c r="H2" s="645" t="s">
        <v>202</v>
      </c>
      <c r="I2" s="646"/>
      <c r="J2" s="646"/>
      <c r="K2" s="647"/>
      <c r="L2" s="647"/>
      <c r="M2" s="647"/>
      <c r="N2" s="648"/>
      <c r="O2" s="337"/>
      <c r="P2" s="338"/>
    </row>
    <row r="3" spans="1:19" ht="20.100000000000001" customHeight="1" outlineLevel="1" x14ac:dyDescent="0.4">
      <c r="A3" s="631" t="s">
        <v>209</v>
      </c>
      <c r="B3" s="632"/>
      <c r="C3" s="632"/>
      <c r="D3" s="635"/>
      <c r="E3" s="635"/>
      <c r="F3" s="635"/>
      <c r="G3" s="636"/>
      <c r="H3" s="639" t="s">
        <v>203</v>
      </c>
      <c r="I3" s="640"/>
      <c r="J3" s="640"/>
      <c r="K3" s="641"/>
      <c r="L3" s="641"/>
      <c r="M3" s="641"/>
      <c r="N3" s="641"/>
      <c r="O3" s="337"/>
      <c r="P3" s="338"/>
    </row>
    <row r="4" spans="1:19" ht="20.100000000000001" customHeight="1" outlineLevel="1" x14ac:dyDescent="0.4">
      <c r="A4" s="633"/>
      <c r="B4" s="634"/>
      <c r="C4" s="634"/>
      <c r="D4" s="637"/>
      <c r="E4" s="637"/>
      <c r="F4" s="637"/>
      <c r="G4" s="638"/>
      <c r="H4" s="639" t="s">
        <v>204</v>
      </c>
      <c r="I4" s="640"/>
      <c r="J4" s="640"/>
      <c r="K4" s="641"/>
      <c r="L4" s="641"/>
      <c r="M4" s="641"/>
      <c r="N4" s="641"/>
      <c r="O4" s="337"/>
      <c r="P4" s="338"/>
    </row>
    <row r="5" spans="1:19" ht="20.100000000000001" customHeight="1" outlineLevel="1" x14ac:dyDescent="0.4">
      <c r="A5" s="27"/>
      <c r="B5" s="27"/>
      <c r="C5" s="27"/>
      <c r="D5" s="27"/>
      <c r="E5" s="27"/>
      <c r="F5" s="27"/>
      <c r="G5" s="27"/>
      <c r="H5" s="27"/>
      <c r="I5" s="27"/>
      <c r="J5" s="27"/>
      <c r="K5" s="27"/>
      <c r="L5" s="27"/>
      <c r="M5" s="27"/>
      <c r="N5" s="27"/>
      <c r="O5" s="337"/>
      <c r="P5" s="338"/>
    </row>
    <row r="6" spans="1:19" ht="20.100000000000001" customHeight="1" outlineLevel="1" x14ac:dyDescent="0.4">
      <c r="A6" s="642" t="s">
        <v>205</v>
      </c>
      <c r="B6" s="643"/>
      <c r="C6" s="643"/>
      <c r="D6" s="643"/>
      <c r="E6" s="643"/>
      <c r="F6" s="643"/>
      <c r="G6" s="643"/>
      <c r="H6" s="643"/>
      <c r="I6" s="643"/>
      <c r="J6" s="643"/>
      <c r="K6" s="643"/>
      <c r="L6" s="643"/>
      <c r="M6" s="643"/>
      <c r="N6" s="345"/>
      <c r="O6" s="337"/>
      <c r="P6" s="338"/>
    </row>
    <row r="7" spans="1:19" ht="20.100000000000001" customHeight="1" outlineLevel="1" x14ac:dyDescent="0.4">
      <c r="A7" s="654" t="s">
        <v>74</v>
      </c>
      <c r="B7" s="654"/>
      <c r="C7" s="655" t="s">
        <v>76</v>
      </c>
      <c r="D7" s="655" t="s">
        <v>206</v>
      </c>
      <c r="E7" s="655"/>
      <c r="F7" s="654" t="s">
        <v>77</v>
      </c>
      <c r="G7" s="655" t="s">
        <v>207</v>
      </c>
      <c r="H7" s="655"/>
      <c r="I7" s="654" t="s">
        <v>77</v>
      </c>
      <c r="J7" s="650" t="s">
        <v>208</v>
      </c>
      <c r="K7" s="650"/>
      <c r="L7" s="650" t="s">
        <v>75</v>
      </c>
      <c r="M7" s="650"/>
      <c r="N7" s="26"/>
      <c r="O7" s="337"/>
      <c r="P7" s="338"/>
    </row>
    <row r="8" spans="1:19" ht="20.100000000000001" customHeight="1" outlineLevel="1" x14ac:dyDescent="0.4">
      <c r="A8" s="654"/>
      <c r="B8" s="654"/>
      <c r="C8" s="655"/>
      <c r="D8" s="655"/>
      <c r="E8" s="655"/>
      <c r="F8" s="654"/>
      <c r="G8" s="655"/>
      <c r="H8" s="655"/>
      <c r="I8" s="654"/>
      <c r="J8" s="649">
        <f>COUNT(J10:K30)</f>
        <v>0</v>
      </c>
      <c r="K8" s="649"/>
      <c r="L8" s="649">
        <f>COUNTIF(L10:M30,"=oui")</f>
        <v>0</v>
      </c>
      <c r="M8" s="649"/>
      <c r="N8" s="27"/>
      <c r="O8" s="337"/>
      <c r="P8" s="338"/>
      <c r="R8" s="332">
        <f>J8</f>
        <v>0</v>
      </c>
      <c r="S8" s="332">
        <f>L8</f>
        <v>0</v>
      </c>
    </row>
    <row r="9" spans="1:19" ht="20.100000000000001" customHeight="1" outlineLevel="1" x14ac:dyDescent="0.4">
      <c r="A9" s="654"/>
      <c r="B9" s="654"/>
      <c r="C9" s="655"/>
      <c r="D9" s="655"/>
      <c r="E9" s="655"/>
      <c r="F9" s="654"/>
      <c r="G9" s="655"/>
      <c r="H9" s="655"/>
      <c r="I9" s="654"/>
      <c r="J9" s="650" t="s">
        <v>78</v>
      </c>
      <c r="K9" s="650"/>
      <c r="L9" s="650" t="s">
        <v>79</v>
      </c>
      <c r="M9" s="650"/>
      <c r="N9" s="27"/>
      <c r="O9" s="337"/>
      <c r="P9" s="338"/>
    </row>
    <row r="10" spans="1:19" ht="20.100000000000001" customHeight="1" outlineLevel="1" x14ac:dyDescent="0.4">
      <c r="A10" s="651" t="s">
        <v>80</v>
      </c>
      <c r="B10" s="651"/>
      <c r="C10" s="342">
        <f>VLOOKUP(A10, 'SeuilsComparaison-EMT'!$C$5:$E$28, 3, FALSE)</f>
        <v>3</v>
      </c>
      <c r="D10" s="652"/>
      <c r="E10" s="652"/>
      <c r="F10" s="341"/>
      <c r="G10" s="652"/>
      <c r="H10" s="652"/>
      <c r="I10" s="341"/>
      <c r="J10" s="653" t="str">
        <f>IF(OR(G10="",D10=""),"",IF(ISERROR(VLOOKUP(A10,'SeuilsComparaison-EMT'!$C$5:$J$25,4,FALSE)),"-",IF(OR(IF(ISTEXT(G10)=TRUE,SUBSTITUTE(G10,"&lt;","",1)*1,G10)&gt;VLOOKUP(A10,'SeuilsComparaison-EMT'!$C$5:$J$25,4,FALSE),IF(ISTEXT(D10)=TRUE,SUBSTITUTE(D10,"&lt;","",1)*1,D10)&gt;VLOOKUP(A10,'SeuilsComparaison-EMT'!$C$5:$J$25,4,FALSE)=TRUE),(IF(ISTEXT(D10)=TRUE,SUBSTITUTE(D10,"&lt;","",1)*1,D10)-((IF(ISTEXT(D10)=TRUE,SUBSTITUTE(D10,"&lt;","",1)*1,D10)+IF(ISTEXT(G10)=TRUE,SUBSTITUTE(G10,"&lt;","",1)*1,G10))/2))/((IF(ISTEXT(D10)=TRUE,SUBSTITUTE(D10,"&lt;","",1)*1,D10)+IF(ISTEXT(G10)=TRUE,SUBSTITUTE(G10,"&lt;","",1),G10))/2),"-")))</f>
        <v/>
      </c>
      <c r="K10" s="653"/>
      <c r="L10" s="652"/>
      <c r="M10" s="652"/>
      <c r="N10" s="27"/>
      <c r="O10" s="337"/>
      <c r="P10" s="338"/>
    </row>
    <row r="11" spans="1:19" ht="20.100000000000001" customHeight="1" outlineLevel="1" x14ac:dyDescent="0.4">
      <c r="A11" s="656" t="s">
        <v>81</v>
      </c>
      <c r="B11" s="656"/>
      <c r="C11" s="342">
        <f>VLOOKUP(A11, 'SeuilsComparaison-EMT'!$C$5:$E$28, 3, FALSE)</f>
        <v>30</v>
      </c>
      <c r="D11" s="657"/>
      <c r="E11" s="657"/>
      <c r="F11" s="343"/>
      <c r="G11" s="657"/>
      <c r="H11" s="657"/>
      <c r="I11" s="343"/>
      <c r="J11" s="658" t="str">
        <f>IF(OR(G11="",D11=""),"",IF(ISERROR(VLOOKUP(A11,'SeuilsComparaison-EMT'!$C$5:$J$25,4,FALSE)),"-",IF(OR(IF(ISTEXT(G11)=TRUE,SUBSTITUTE(G11,"&lt;","",1)*1,G11)&gt;VLOOKUP(A11,'SeuilsComparaison-EMT'!$C$5:$J$25,4,FALSE),IF(ISTEXT(D11)=TRUE,SUBSTITUTE(D11,"&lt;","",1)*1,D11)&gt;VLOOKUP(A11,'SeuilsComparaison-EMT'!$C$5:$J$25,4,FALSE)=TRUE),(IF(ISTEXT(D11)=TRUE,SUBSTITUTE(D11,"&lt;","",1)*1,D11)-((IF(ISTEXT(D11)=TRUE,SUBSTITUTE(D11,"&lt;","",1)*1,D11)+IF(ISTEXT(G11)=TRUE,SUBSTITUTE(G11,"&lt;","",1)*1,G11))/2))/((IF(ISTEXT(D11)=TRUE,SUBSTITUTE(D11,"&lt;","",1)*1,D11)+IF(ISTEXT(G11)=TRUE,SUBSTITUTE(G11,"&lt;","",1),G11))/2),"-")))</f>
        <v/>
      </c>
      <c r="K11" s="659"/>
      <c r="L11" s="657"/>
      <c r="M11" s="657"/>
      <c r="N11" s="27"/>
      <c r="O11" s="337"/>
      <c r="P11" s="338"/>
    </row>
    <row r="12" spans="1:19" ht="20.100000000000001" customHeight="1" outlineLevel="1" x14ac:dyDescent="0.4">
      <c r="A12" s="656" t="s">
        <v>82</v>
      </c>
      <c r="B12" s="656"/>
      <c r="C12" s="342">
        <f>VLOOKUP(A12, 'SeuilsComparaison-EMT'!$C$5:$E$28, 3, FALSE)</f>
        <v>10</v>
      </c>
      <c r="D12" s="657"/>
      <c r="E12" s="657"/>
      <c r="F12" s="343"/>
      <c r="G12" s="657"/>
      <c r="H12" s="657"/>
      <c r="I12" s="343"/>
      <c r="J12" s="658" t="str">
        <f>IF(OR(G12="",D12=""),"",IF(ISERROR(VLOOKUP(A12,'SeuilsComparaison-EMT'!$C$5:$J$25,4,FALSE)),"-",IF(OR(IF(ISTEXT(G12)=TRUE,SUBSTITUTE(G12,"&lt;","",1)*1,G12)&gt;VLOOKUP(A12,'SeuilsComparaison-EMT'!$C$5:$J$25,4,FALSE),IF(ISTEXT(D12)=TRUE,SUBSTITUTE(D12,"&lt;","",1)*1,D12)&gt;VLOOKUP(A12,'SeuilsComparaison-EMT'!$C$5:$J$25,4,FALSE)=TRUE),(IF(ISTEXT(D12)=TRUE,SUBSTITUTE(D12,"&lt;","",1)*1,D12)-((IF(ISTEXT(D12)=TRUE,SUBSTITUTE(D12,"&lt;","",1)*1,D12)+IF(ISTEXT(G12)=TRUE,SUBSTITUTE(G12,"&lt;","",1)*1,G12))/2))/((IF(ISTEXT(D12)=TRUE,SUBSTITUTE(D12,"&lt;","",1)*1,D12)+IF(ISTEXT(G12)=TRUE,SUBSTITUTE(G12,"&lt;","",1),G12))/2),"-")))</f>
        <v/>
      </c>
      <c r="K12" s="659"/>
      <c r="L12" s="657"/>
      <c r="M12" s="657"/>
      <c r="N12" s="27"/>
      <c r="O12" s="337"/>
      <c r="P12" s="338"/>
    </row>
    <row r="13" spans="1:19" ht="20.100000000000001" customHeight="1" outlineLevel="1" x14ac:dyDescent="0.4">
      <c r="A13" s="656" t="s">
        <v>84</v>
      </c>
      <c r="B13" s="656"/>
      <c r="C13" s="342">
        <f>VLOOKUP(A13, 'SeuilsComparaison-EMT'!$C$5:$E$28, 3, FALSE)</f>
        <v>2</v>
      </c>
      <c r="D13" s="657"/>
      <c r="E13" s="657"/>
      <c r="F13" s="343"/>
      <c r="G13" s="657"/>
      <c r="H13" s="657"/>
      <c r="I13" s="343"/>
      <c r="J13" s="658" t="str">
        <f>IF(OR(G13="",D13=""),"",IF(ISERROR(VLOOKUP(A13,'SeuilsComparaison-EMT'!$C$5:$J$25,4,FALSE)),"-",IF(OR(IF(ISTEXT(G13)=TRUE,SUBSTITUTE(G13,"&lt;","",1)*1,G13)&gt;VLOOKUP(A13,'SeuilsComparaison-EMT'!$C$5:$J$25,4,FALSE),IF(ISTEXT(D13)=TRUE,SUBSTITUTE(D13,"&lt;","",1)*1,D13)&gt;VLOOKUP(A13,'SeuilsComparaison-EMT'!$C$5:$J$25,4,FALSE)=TRUE),(IF(ISTEXT(D13)=TRUE,SUBSTITUTE(D13,"&lt;","",1)*1,D13)-((IF(ISTEXT(D13)=TRUE,SUBSTITUTE(D13,"&lt;","",1)*1,D13)+IF(ISTEXT(G13)=TRUE,SUBSTITUTE(G13,"&lt;","",1)*1,G13))/2))/((IF(ISTEXT(D13)=TRUE,SUBSTITUTE(D13,"&lt;","",1)*1,D13)+IF(ISTEXT(G13)=TRUE,SUBSTITUTE(G13,"&lt;","",1),G13))/2),"-")))</f>
        <v/>
      </c>
      <c r="K13" s="659"/>
      <c r="L13" s="657"/>
      <c r="M13" s="657"/>
      <c r="N13" s="27"/>
      <c r="O13" s="337"/>
      <c r="P13" s="338"/>
    </row>
    <row r="14" spans="1:19" ht="20.100000000000001" customHeight="1" outlineLevel="1" x14ac:dyDescent="0.4">
      <c r="A14" s="656" t="s">
        <v>85</v>
      </c>
      <c r="B14" s="656"/>
      <c r="C14" s="342">
        <f>VLOOKUP(A14, 'SeuilsComparaison-EMT'!$C$5:$E$28, 3, FALSE)</f>
        <v>0.5</v>
      </c>
      <c r="D14" s="657"/>
      <c r="E14" s="657"/>
      <c r="F14" s="343"/>
      <c r="G14" s="657"/>
      <c r="H14" s="657"/>
      <c r="I14" s="343"/>
      <c r="J14" s="658" t="str">
        <f>IF(OR(G14="",D14=""),"",IF(ISERROR(VLOOKUP(A14,'SeuilsComparaison-EMT'!$C$5:$J$25,4,FALSE)),"-",IF(OR(IF(ISTEXT(G14)=TRUE,SUBSTITUTE(G14,"&lt;","",1)*1,G14)&gt;VLOOKUP(A14,'SeuilsComparaison-EMT'!$C$5:$J$25,4,FALSE),IF(ISTEXT(D14)=TRUE,SUBSTITUTE(D14,"&lt;","",1)*1,D14)&gt;VLOOKUP(A14,'SeuilsComparaison-EMT'!$C$5:$J$25,4,FALSE)=TRUE),(IF(ISTEXT(D14)=TRUE,SUBSTITUTE(D14,"&lt;","",1)*1,D14)-((IF(ISTEXT(D14)=TRUE,SUBSTITUTE(D14,"&lt;","",1)*1,D14)+IF(ISTEXT(G14)=TRUE,SUBSTITUTE(G14,"&lt;","",1)*1,G14))/2))/((IF(ISTEXT(D14)=TRUE,SUBSTITUTE(D14,"&lt;","",1)*1,D14)+IF(ISTEXT(G14)=TRUE,SUBSTITUTE(G14,"&lt;","",1),G14))/2),"-")))</f>
        <v/>
      </c>
      <c r="K14" s="659"/>
      <c r="L14" s="657"/>
      <c r="M14" s="657"/>
      <c r="N14" s="27"/>
      <c r="O14" s="337"/>
      <c r="P14" s="338"/>
    </row>
    <row r="15" spans="1:19" ht="20.100000000000001" customHeight="1" outlineLevel="1" x14ac:dyDescent="0.4">
      <c r="A15" s="656" t="s">
        <v>86</v>
      </c>
      <c r="B15" s="656"/>
      <c r="C15" s="342">
        <f>VLOOKUP(A15, 'SeuilsComparaison-EMT'!$C$5:$E$28, 3, FALSE)</f>
        <v>0.5</v>
      </c>
      <c r="D15" s="657"/>
      <c r="E15" s="657"/>
      <c r="F15" s="343"/>
      <c r="G15" s="657"/>
      <c r="H15" s="657"/>
      <c r="I15" s="343"/>
      <c r="J15" s="658" t="str">
        <f>IF(OR(G15="",D15=""),"",IF(ISERROR(VLOOKUP(A15,'SeuilsComparaison-EMT'!$C$5:$J$25,4,FALSE)),"-",IF(OR(IF(ISTEXT(G15)=TRUE,SUBSTITUTE(G15,"&lt;","",1)*1,G15)&gt;VLOOKUP(A15,'SeuilsComparaison-EMT'!$C$5:$J$25,4,FALSE),IF(ISTEXT(D15)=TRUE,SUBSTITUTE(D15,"&lt;","",1)*1,D15)&gt;VLOOKUP(A15,'SeuilsComparaison-EMT'!$C$5:$J$25,4,FALSE)=TRUE),(IF(ISTEXT(D15)=TRUE,SUBSTITUTE(D15,"&lt;","",1)*1,D15)-((IF(ISTEXT(D15)=TRUE,SUBSTITUTE(D15,"&lt;","",1)*1,D15)+IF(ISTEXT(G15)=TRUE,SUBSTITUTE(G15,"&lt;","",1)*1,G15))/2))/((IF(ISTEXT(D15)=TRUE,SUBSTITUTE(D15,"&lt;","",1)*1,D15)+IF(ISTEXT(G15)=TRUE,SUBSTITUTE(G15,"&lt;","",1),G15))/2),"-")))</f>
        <v/>
      </c>
      <c r="K15" s="659"/>
      <c r="L15" s="657"/>
      <c r="M15" s="657"/>
      <c r="N15" s="27"/>
      <c r="O15" s="337"/>
      <c r="P15" s="338"/>
    </row>
    <row r="16" spans="1:19" ht="20.100000000000001" customHeight="1" outlineLevel="1" x14ac:dyDescent="0.4">
      <c r="A16" s="656" t="s">
        <v>87</v>
      </c>
      <c r="B16" s="656"/>
      <c r="C16" s="342">
        <f>VLOOKUP(A16, 'SeuilsComparaison-EMT'!$C$5:$E$28, 3, FALSE)</f>
        <v>0.05</v>
      </c>
      <c r="D16" s="657"/>
      <c r="E16" s="657"/>
      <c r="F16" s="343"/>
      <c r="G16" s="657"/>
      <c r="H16" s="657"/>
      <c r="I16" s="343"/>
      <c r="J16" s="658" t="str">
        <f>IF(OR(G16="",D16=""),"",IF(ISERROR(VLOOKUP(A16,'SeuilsComparaison-EMT'!$C$5:$J$25,4,FALSE)),"-",IF(OR(IF(ISTEXT(G16)=TRUE,SUBSTITUTE(G16,"&lt;","",1)*1,G16)&gt;VLOOKUP(A16,'SeuilsComparaison-EMT'!$C$5:$J$25,4,FALSE),IF(ISTEXT(D16)=TRUE,SUBSTITUTE(D16,"&lt;","",1)*1,D16)&gt;VLOOKUP(A16,'SeuilsComparaison-EMT'!$C$5:$J$25,4,FALSE)=TRUE),(IF(ISTEXT(D16)=TRUE,SUBSTITUTE(D16,"&lt;","",1)*1,D16)-((IF(ISTEXT(D16)=TRUE,SUBSTITUTE(D16,"&lt;","",1)*1,D16)+IF(ISTEXT(G16)=TRUE,SUBSTITUTE(G16,"&lt;","",1)*1,G16))/2))/((IF(ISTEXT(D16)=TRUE,SUBSTITUTE(D16,"&lt;","",1)*1,D16)+IF(ISTEXT(G16)=TRUE,SUBSTITUTE(G16,"&lt;","",1),G16))/2),"-")))</f>
        <v/>
      </c>
      <c r="K16" s="659"/>
      <c r="L16" s="657"/>
      <c r="M16" s="657"/>
      <c r="N16" s="27"/>
      <c r="O16" s="337"/>
      <c r="P16" s="338"/>
    </row>
    <row r="17" spans="1:16" ht="20.100000000000001" customHeight="1" outlineLevel="1" x14ac:dyDescent="0.4">
      <c r="A17" s="656" t="s">
        <v>88</v>
      </c>
      <c r="B17" s="656"/>
      <c r="C17" s="342">
        <f>VLOOKUP(A17, 'SeuilsComparaison-EMT'!$C$5:$E$28, 3, FALSE)</f>
        <v>1</v>
      </c>
      <c r="D17" s="657"/>
      <c r="E17" s="657"/>
      <c r="F17" s="343"/>
      <c r="G17" s="657"/>
      <c r="H17" s="657"/>
      <c r="I17" s="343"/>
      <c r="J17" s="658" t="str">
        <f>IF(OR(G17="",D17=""),"",IF(ISERROR(VLOOKUP(A17,'SeuilsComparaison-EMT'!$C$5:$J$25,4,FALSE)),"-",IF(OR(IF(ISTEXT(G17)=TRUE,SUBSTITUTE(G17,"&lt;","",1)*1,G17)&gt;VLOOKUP(A17,'SeuilsComparaison-EMT'!$C$5:$J$25,4,FALSE),IF(ISTEXT(D17)=TRUE,SUBSTITUTE(D17,"&lt;","",1)*1,D17)&gt;VLOOKUP(A17,'SeuilsComparaison-EMT'!$C$5:$J$25,4,FALSE)=TRUE),(IF(ISTEXT(D17)=TRUE,SUBSTITUTE(D17,"&lt;","",1)*1,D17)-((IF(ISTEXT(D17)=TRUE,SUBSTITUTE(D17,"&lt;","",1)*1,D17)+IF(ISTEXT(G17)=TRUE,SUBSTITUTE(G17,"&lt;","",1)*1,G17))/2))/((IF(ISTEXT(D17)=TRUE,SUBSTITUTE(D17,"&lt;","",1)*1,D17)+IF(ISTEXT(G17)=TRUE,SUBSTITUTE(G17,"&lt;","",1),G17))/2),"-")))</f>
        <v/>
      </c>
      <c r="K17" s="659"/>
      <c r="L17" s="657"/>
      <c r="M17" s="657"/>
      <c r="N17" s="27"/>
      <c r="O17" s="337"/>
      <c r="P17" s="338"/>
    </row>
    <row r="18" spans="1:16" ht="20.100000000000001" customHeight="1" outlineLevel="1" x14ac:dyDescent="0.4">
      <c r="A18" s="656" t="s">
        <v>90</v>
      </c>
      <c r="B18" s="656"/>
      <c r="C18" s="342">
        <f>VLOOKUP(A18, 'SeuilsComparaison-EMT'!$C$5:$E$28, 3, FALSE)</f>
        <v>0.05</v>
      </c>
      <c r="D18" s="657"/>
      <c r="E18" s="657"/>
      <c r="F18" s="343"/>
      <c r="G18" s="657"/>
      <c r="H18" s="657"/>
      <c r="I18" s="343"/>
      <c r="J18" s="658" t="str">
        <f>IF(OR(G18="",D18=""),"",IF(ISERROR(VLOOKUP(A18,'SeuilsComparaison-EMT'!$C$5:$J$25,4,FALSE)),"-",IF(OR(IF(ISTEXT(G18)=TRUE,SUBSTITUTE(G18,"&lt;","",1)*1,G18)&gt;VLOOKUP(A18,'SeuilsComparaison-EMT'!$C$5:$J$25,4,FALSE),IF(ISTEXT(D18)=TRUE,SUBSTITUTE(D18,"&lt;","",1)*1,D18)&gt;VLOOKUP(A18,'SeuilsComparaison-EMT'!$C$5:$J$25,4,FALSE)=TRUE),(IF(ISTEXT(D18)=TRUE,SUBSTITUTE(D18,"&lt;","",1)*1,D18)-((IF(ISTEXT(D18)=TRUE,SUBSTITUTE(D18,"&lt;","",1)*1,D18)+IF(ISTEXT(G18)=TRUE,SUBSTITUTE(G18,"&lt;","",1)*1,G18))/2))/((IF(ISTEXT(D18)=TRUE,SUBSTITUTE(D18,"&lt;","",1)*1,D18)+IF(ISTEXT(G18)=TRUE,SUBSTITUTE(G18,"&lt;","",1),G18))/2),"-")))</f>
        <v/>
      </c>
      <c r="K18" s="659"/>
      <c r="L18" s="657"/>
      <c r="M18" s="657"/>
      <c r="N18" s="27"/>
      <c r="O18" s="337"/>
      <c r="P18" s="338"/>
    </row>
    <row r="19" spans="1:16" ht="20.100000000000001" customHeight="1" outlineLevel="1" x14ac:dyDescent="0.4">
      <c r="A19" s="656" t="s">
        <v>92</v>
      </c>
      <c r="B19" s="656"/>
      <c r="C19" s="342">
        <f>VLOOKUP(A19, 'SeuilsComparaison-EMT'!$C$5:$E$28, 3, FALSE)</f>
        <v>5.0000000000000001E-3</v>
      </c>
      <c r="D19" s="657"/>
      <c r="E19" s="657"/>
      <c r="F19" s="343"/>
      <c r="G19" s="657"/>
      <c r="H19" s="657"/>
      <c r="I19" s="343"/>
      <c r="J19" s="658" t="str">
        <f>IF(OR(G19="",D19=""),"",IF(ISERROR(VLOOKUP(A19,'SeuilsComparaison-EMT'!$C$5:$J$25,4,FALSE)),"-",IF(OR(IF(ISTEXT(G19)=TRUE,SUBSTITUTE(G19,"&lt;","",1)*1,G19)&gt;VLOOKUP(A19,'SeuilsComparaison-EMT'!$C$5:$J$25,4,FALSE),IF(ISTEXT(D19)=TRUE,SUBSTITUTE(D19,"&lt;","",1)*1,D19)&gt;VLOOKUP(A19,'SeuilsComparaison-EMT'!$C$5:$J$25,4,FALSE)=TRUE),(IF(ISTEXT(D19)=TRUE,SUBSTITUTE(D19,"&lt;","",1)*1,D19)-((IF(ISTEXT(D19)=TRUE,SUBSTITUTE(D19,"&lt;","",1)*1,D19)+IF(ISTEXT(G19)=TRUE,SUBSTITUTE(G19,"&lt;","",1)*1,G19))/2))/((IF(ISTEXT(D19)=TRUE,SUBSTITUTE(D19,"&lt;","",1)*1,D19)+IF(ISTEXT(G19)=TRUE,SUBSTITUTE(G19,"&lt;","",1),G19))/2),"-")))</f>
        <v/>
      </c>
      <c r="K19" s="659"/>
      <c r="L19" s="657"/>
      <c r="M19" s="657"/>
      <c r="N19" s="27"/>
      <c r="O19" s="337"/>
      <c r="P19" s="338"/>
    </row>
    <row r="20" spans="1:16" ht="20.100000000000001" customHeight="1" outlineLevel="1" x14ac:dyDescent="0.4">
      <c r="A20" s="656" t="s">
        <v>93</v>
      </c>
      <c r="B20" s="656"/>
      <c r="C20" s="342">
        <f>VLOOKUP(A20, 'SeuilsComparaison-EMT'!$C$5:$E$28, 3, FALSE)</f>
        <v>1E-3</v>
      </c>
      <c r="D20" s="657"/>
      <c r="E20" s="657"/>
      <c r="F20" s="343"/>
      <c r="G20" s="657"/>
      <c r="H20" s="657"/>
      <c r="I20" s="343"/>
      <c r="J20" s="658" t="str">
        <f>IF(OR(G20="",D20=""),"",IF(ISERROR(VLOOKUP(A20,'SeuilsComparaison-EMT'!$C$5:$J$25,4,FALSE)),"-",IF(OR(IF(ISTEXT(G20)=TRUE,SUBSTITUTE(G20,"&lt;","",1)*1,G20)&gt;VLOOKUP(A20,'SeuilsComparaison-EMT'!$C$5:$J$25,4,FALSE),IF(ISTEXT(D20)=TRUE,SUBSTITUTE(D20,"&lt;","",1)*1,D20)&gt;VLOOKUP(A20,'SeuilsComparaison-EMT'!$C$5:$J$25,4,FALSE)=TRUE),(IF(ISTEXT(D20)=TRUE,SUBSTITUTE(D20,"&lt;","",1)*1,D20)-((IF(ISTEXT(D20)=TRUE,SUBSTITUTE(D20,"&lt;","",1)*1,D20)+IF(ISTEXT(G20)=TRUE,SUBSTITUTE(G20,"&lt;","",1)*1,G20))/2))/((IF(ISTEXT(D20)=TRUE,SUBSTITUTE(D20,"&lt;","",1)*1,D20)+IF(ISTEXT(G20)=TRUE,SUBSTITUTE(G20,"&lt;","",1),G20))/2),"-")))</f>
        <v/>
      </c>
      <c r="K20" s="659"/>
      <c r="L20" s="657"/>
      <c r="M20" s="657"/>
      <c r="N20" s="27"/>
      <c r="O20" s="337"/>
      <c r="P20" s="338"/>
    </row>
    <row r="21" spans="1:16" ht="20.100000000000001" customHeight="1" outlineLevel="1" x14ac:dyDescent="0.4">
      <c r="A21" s="656" t="s">
        <v>94</v>
      </c>
      <c r="B21" s="656"/>
      <c r="C21" s="342">
        <f>VLOOKUP(A21, 'SeuilsComparaison-EMT'!$C$5:$E$28, 3, FALSE)</f>
        <v>5.0000000000000001E-3</v>
      </c>
      <c r="D21" s="657"/>
      <c r="E21" s="657"/>
      <c r="F21" s="343"/>
      <c r="G21" s="657"/>
      <c r="H21" s="657"/>
      <c r="I21" s="343"/>
      <c r="J21" s="658" t="str">
        <f>IF(OR(G21="",D21=""),"",IF(ISERROR(VLOOKUP(A21,'SeuilsComparaison-EMT'!$C$5:$J$25,4,FALSE)),"-",IF(OR(IF(ISTEXT(G21)=TRUE,SUBSTITUTE(G21,"&lt;","",1)*1,G21)&gt;VLOOKUP(A21,'SeuilsComparaison-EMT'!$C$5:$J$25,4,FALSE),IF(ISTEXT(D21)=TRUE,SUBSTITUTE(D21,"&lt;","",1)*1,D21)&gt;VLOOKUP(A21,'SeuilsComparaison-EMT'!$C$5:$J$25,4,FALSE)=TRUE),(IF(ISTEXT(D21)=TRUE,SUBSTITUTE(D21,"&lt;","",1)*1,D21)-((IF(ISTEXT(D21)=TRUE,SUBSTITUTE(D21,"&lt;","",1)*1,D21)+IF(ISTEXT(G21)=TRUE,SUBSTITUTE(G21,"&lt;","",1)*1,G21))/2))/((IF(ISTEXT(D21)=TRUE,SUBSTITUTE(D21,"&lt;","",1)*1,D21)+IF(ISTEXT(G21)=TRUE,SUBSTITUTE(G21,"&lt;","",1),G21))/2),"-")))</f>
        <v/>
      </c>
      <c r="K21" s="659"/>
      <c r="L21" s="657"/>
      <c r="M21" s="657"/>
      <c r="N21" s="27"/>
      <c r="O21" s="337"/>
      <c r="P21" s="338"/>
    </row>
    <row r="22" spans="1:16" ht="20.100000000000001" customHeight="1" outlineLevel="1" x14ac:dyDescent="0.4">
      <c r="A22" s="656" t="s">
        <v>95</v>
      </c>
      <c r="B22" s="656"/>
      <c r="C22" s="342">
        <f>VLOOKUP(A22, 'SeuilsComparaison-EMT'!$C$5:$E$28, 3, FALSE)</f>
        <v>5.0000000000000001E-3</v>
      </c>
      <c r="D22" s="657"/>
      <c r="E22" s="657"/>
      <c r="F22" s="343"/>
      <c r="G22" s="657"/>
      <c r="H22" s="657"/>
      <c r="I22" s="343"/>
      <c r="J22" s="658" t="str">
        <f>IF(OR(G22="",D22=""),"",IF(ISERROR(VLOOKUP(A22,'SeuilsComparaison-EMT'!$C$5:$J$25,4,FALSE)),"-",IF(OR(IF(ISTEXT(G22)=TRUE,SUBSTITUTE(G22,"&lt;","",1)*1,G22)&gt;VLOOKUP(A22,'SeuilsComparaison-EMT'!$C$5:$J$25,4,FALSE),IF(ISTEXT(D22)=TRUE,SUBSTITUTE(D22,"&lt;","",1)*1,D22)&gt;VLOOKUP(A22,'SeuilsComparaison-EMT'!$C$5:$J$25,4,FALSE)=TRUE),(IF(ISTEXT(D22)=TRUE,SUBSTITUTE(D22,"&lt;","",1)*1,D22)-((IF(ISTEXT(D22)=TRUE,SUBSTITUTE(D22,"&lt;","",1)*1,D22)+IF(ISTEXT(G22)=TRUE,SUBSTITUTE(G22,"&lt;","",1)*1,G22))/2))/((IF(ISTEXT(D22)=TRUE,SUBSTITUTE(D22,"&lt;","",1)*1,D22)+IF(ISTEXT(G22)=TRUE,SUBSTITUTE(G22,"&lt;","",1),G22))/2),"-")))</f>
        <v/>
      </c>
      <c r="K22" s="659"/>
      <c r="L22" s="657"/>
      <c r="M22" s="657"/>
      <c r="N22" s="27"/>
      <c r="O22" s="337"/>
      <c r="P22" s="338"/>
    </row>
    <row r="23" spans="1:16" ht="20.100000000000001" customHeight="1" outlineLevel="1" x14ac:dyDescent="0.4">
      <c r="A23" s="656" t="s">
        <v>96</v>
      </c>
      <c r="B23" s="656"/>
      <c r="C23" s="342">
        <f>VLOOKUP(A23, 'SeuilsComparaison-EMT'!$C$5:$E$28, 3, FALSE)</f>
        <v>2.0000000000000001E-4</v>
      </c>
      <c r="D23" s="657"/>
      <c r="E23" s="657"/>
      <c r="F23" s="343"/>
      <c r="G23" s="657"/>
      <c r="H23" s="657"/>
      <c r="I23" s="343"/>
      <c r="J23" s="658" t="str">
        <f>IF(OR(G23="",D23=""),"",IF(ISERROR(VLOOKUP(A23,'SeuilsComparaison-EMT'!$C$5:$J$25,4,FALSE)),"-",IF(OR(IF(ISTEXT(G23)=TRUE,SUBSTITUTE(G23,"&lt;","",1)*1,G23)&gt;VLOOKUP(A23,'SeuilsComparaison-EMT'!$C$5:$J$25,4,FALSE),IF(ISTEXT(D23)=TRUE,SUBSTITUTE(D23,"&lt;","",1)*1,D23)&gt;VLOOKUP(A23,'SeuilsComparaison-EMT'!$C$5:$J$25,4,FALSE)=TRUE),(IF(ISTEXT(D23)=TRUE,SUBSTITUTE(D23,"&lt;","",1)*1,D23)-((IF(ISTEXT(D23)=TRUE,SUBSTITUTE(D23,"&lt;","",1)*1,D23)+IF(ISTEXT(G23)=TRUE,SUBSTITUTE(G23,"&lt;","",1)*1,G23))/2))/((IF(ISTEXT(D23)=TRUE,SUBSTITUTE(D23,"&lt;","",1)*1,D23)+IF(ISTEXT(G23)=TRUE,SUBSTITUTE(G23,"&lt;","",1),G23))/2),"-")))</f>
        <v/>
      </c>
      <c r="K23" s="659"/>
      <c r="L23" s="657"/>
      <c r="M23" s="657"/>
      <c r="N23" s="27"/>
      <c r="O23" s="337"/>
      <c r="P23" s="338"/>
    </row>
    <row r="24" spans="1:16" ht="20.100000000000001" customHeight="1" outlineLevel="1" x14ac:dyDescent="0.4">
      <c r="A24" s="656" t="s">
        <v>97</v>
      </c>
      <c r="B24" s="656"/>
      <c r="C24" s="342">
        <f>VLOOKUP(A24, 'SeuilsComparaison-EMT'!$C$5:$E$28, 3, FALSE)</f>
        <v>5.0000000000000001E-3</v>
      </c>
      <c r="D24" s="657"/>
      <c r="E24" s="657"/>
      <c r="F24" s="343"/>
      <c r="G24" s="657"/>
      <c r="H24" s="657"/>
      <c r="I24" s="343"/>
      <c r="J24" s="658" t="str">
        <f>IF(OR(G24="",D24=""),"",IF(ISERROR(VLOOKUP(A24,'SeuilsComparaison-EMT'!$C$5:$J$25,4,FALSE)),"-",IF(OR(IF(ISTEXT(G24)=TRUE,SUBSTITUTE(G24,"&lt;","",1)*1,G24)&gt;VLOOKUP(A24,'SeuilsComparaison-EMT'!$C$5:$J$25,4,FALSE),IF(ISTEXT(D24)=TRUE,SUBSTITUTE(D24,"&lt;","",1)*1,D24)&gt;VLOOKUP(A24,'SeuilsComparaison-EMT'!$C$5:$J$25,4,FALSE)=TRUE),(IF(ISTEXT(D24)=TRUE,SUBSTITUTE(D24,"&lt;","",1)*1,D24)-((IF(ISTEXT(D24)=TRUE,SUBSTITUTE(D24,"&lt;","",1)*1,D24)+IF(ISTEXT(G24)=TRUE,SUBSTITUTE(G24,"&lt;","",1)*1,G24))/2))/((IF(ISTEXT(D24)=TRUE,SUBSTITUTE(D24,"&lt;","",1)*1,D24)+IF(ISTEXT(G24)=TRUE,SUBSTITUTE(G24,"&lt;","",1),G24))/2),"-")))</f>
        <v/>
      </c>
      <c r="K24" s="659"/>
      <c r="L24" s="657"/>
      <c r="M24" s="657"/>
      <c r="N24" s="27"/>
      <c r="O24" s="337"/>
      <c r="P24" s="338"/>
    </row>
    <row r="25" spans="1:16" ht="20.100000000000001" customHeight="1" outlineLevel="1" x14ac:dyDescent="0.4">
      <c r="A25" s="656" t="s">
        <v>98</v>
      </c>
      <c r="B25" s="656"/>
      <c r="C25" s="342">
        <f>VLOOKUP(A25, 'SeuilsComparaison-EMT'!$C$5:$E$28, 3, FALSE)</f>
        <v>2E-3</v>
      </c>
      <c r="D25" s="657"/>
      <c r="E25" s="657"/>
      <c r="F25" s="343"/>
      <c r="G25" s="657"/>
      <c r="H25" s="657"/>
      <c r="I25" s="343"/>
      <c r="J25" s="658" t="str">
        <f>IF(OR(G25="",D25=""),"",IF(ISERROR(VLOOKUP(A25,'SeuilsComparaison-EMT'!$C$5:$J$25,4,FALSE)),"-",IF(OR(IF(ISTEXT(G25)=TRUE,SUBSTITUTE(G25,"&lt;","",1)*1,G25)&gt;VLOOKUP(A25,'SeuilsComparaison-EMT'!$C$5:$J$25,4,FALSE),IF(ISTEXT(D25)=TRUE,SUBSTITUTE(D25,"&lt;","",1)*1,D25)&gt;VLOOKUP(A25,'SeuilsComparaison-EMT'!$C$5:$J$25,4,FALSE)=TRUE),(IF(ISTEXT(D25)=TRUE,SUBSTITUTE(D25,"&lt;","",1)*1,D25)-((IF(ISTEXT(D25)=TRUE,SUBSTITUTE(D25,"&lt;","",1)*1,D25)+IF(ISTEXT(G25)=TRUE,SUBSTITUTE(G25,"&lt;","",1)*1,G25))/2))/((IF(ISTEXT(D25)=TRUE,SUBSTITUTE(D25,"&lt;","",1)*1,D25)+IF(ISTEXT(G25)=TRUE,SUBSTITUTE(G25,"&lt;","",1),G25))/2),"-")))</f>
        <v/>
      </c>
      <c r="K25" s="659"/>
      <c r="L25" s="657"/>
      <c r="M25" s="657"/>
      <c r="N25" s="27"/>
      <c r="O25" s="337"/>
      <c r="P25" s="338"/>
    </row>
    <row r="26" spans="1:16" ht="20.100000000000001" customHeight="1" outlineLevel="1" x14ac:dyDescent="0.4">
      <c r="A26" s="656" t="s">
        <v>99</v>
      </c>
      <c r="B26" s="656"/>
      <c r="C26" s="342">
        <f>VLOOKUP(A26, 'SeuilsComparaison-EMT'!$C$5:$E$28, 3, FALSE)</f>
        <v>5.0000000000000001E-3</v>
      </c>
      <c r="D26" s="657"/>
      <c r="E26" s="657"/>
      <c r="F26" s="343"/>
      <c r="G26" s="657"/>
      <c r="H26" s="657"/>
      <c r="I26" s="343"/>
      <c r="J26" s="658" t="str">
        <f>IF(OR(G26="",D26=""),"",IF(ISERROR(VLOOKUP(A26,'SeuilsComparaison-EMT'!$C$5:$J$25,4,FALSE)),"-",IF(OR(IF(ISTEXT(G26)=TRUE,SUBSTITUTE(G26,"&lt;","",1)*1,G26)&gt;VLOOKUP(A26,'SeuilsComparaison-EMT'!$C$5:$J$25,4,FALSE),IF(ISTEXT(D26)=TRUE,SUBSTITUTE(D26,"&lt;","",1)*1,D26)&gt;VLOOKUP(A26,'SeuilsComparaison-EMT'!$C$5:$J$25,4,FALSE)=TRUE),(IF(ISTEXT(D26)=TRUE,SUBSTITUTE(D26,"&lt;","",1)*1,D26)-((IF(ISTEXT(D26)=TRUE,SUBSTITUTE(D26,"&lt;","",1)*1,D26)+IF(ISTEXT(G26)=TRUE,SUBSTITUTE(G26,"&lt;","",1)*1,G26))/2))/((IF(ISTEXT(D26)=TRUE,SUBSTITUTE(D26,"&lt;","",1)*1,D26)+IF(ISTEXT(G26)=TRUE,SUBSTITUTE(G26,"&lt;","",1),G26))/2),"-")))</f>
        <v/>
      </c>
      <c r="K26" s="659"/>
      <c r="L26" s="657"/>
      <c r="M26" s="657"/>
      <c r="N26" s="27"/>
      <c r="O26" s="337"/>
      <c r="P26" s="338"/>
    </row>
    <row r="27" spans="1:16" ht="20.100000000000001" customHeight="1" outlineLevel="1" x14ac:dyDescent="0.4">
      <c r="A27" s="656" t="s">
        <v>91</v>
      </c>
      <c r="B27" s="656"/>
      <c r="C27" s="342">
        <f>VLOOKUP(A27, 'SeuilsComparaison-EMT'!$C$5:$E$28, 3, FALSE)</f>
        <v>0.01</v>
      </c>
      <c r="D27" s="657"/>
      <c r="E27" s="657"/>
      <c r="F27" s="343"/>
      <c r="G27" s="657"/>
      <c r="H27" s="657"/>
      <c r="I27" s="343"/>
      <c r="J27" s="658" t="str">
        <f>IF(OR(G27="",D27=""),"",IF(ISERROR(VLOOKUP(A27,'SeuilsComparaison-EMT'!$C$5:$J$25,4,FALSE)),"-",IF(OR(IF(ISTEXT(G27)=TRUE,SUBSTITUTE(G27,"&lt;","",1)*1,G27)&gt;VLOOKUP(A27,'SeuilsComparaison-EMT'!$C$5:$J$25,4,FALSE),IF(ISTEXT(D27)=TRUE,SUBSTITUTE(D27,"&lt;","",1)*1,D27)&gt;VLOOKUP(A27,'SeuilsComparaison-EMT'!$C$5:$J$25,4,FALSE)=TRUE),(IF(ISTEXT(D27)=TRUE,SUBSTITUTE(D27,"&lt;","",1)*1,D27)-((IF(ISTEXT(D27)=TRUE,SUBSTITUTE(D27,"&lt;","",1)*1,D27)+IF(ISTEXT(G27)=TRUE,SUBSTITUTE(G27,"&lt;","",1)*1,G27))/2))/((IF(ISTEXT(D27)=TRUE,SUBSTITUTE(D27,"&lt;","",1)*1,D27)+IF(ISTEXT(G27)=TRUE,SUBSTITUTE(G27,"&lt;","",1),G27))/2),"-")))</f>
        <v/>
      </c>
      <c r="K27" s="659"/>
      <c r="L27" s="657"/>
      <c r="M27" s="657"/>
      <c r="N27" s="27"/>
      <c r="O27" s="337"/>
      <c r="P27" s="338"/>
    </row>
    <row r="28" spans="1:16" ht="20.100000000000001" customHeight="1" outlineLevel="1" x14ac:dyDescent="0.4">
      <c r="A28" s="656" t="s">
        <v>83</v>
      </c>
      <c r="B28" s="656"/>
      <c r="C28" s="342">
        <f>VLOOKUP(A28, 'SeuilsComparaison-EMT'!$C$5:$E$28, 3, FALSE)</f>
        <v>0.3</v>
      </c>
      <c r="D28" s="657"/>
      <c r="E28" s="657"/>
      <c r="F28" s="343"/>
      <c r="G28" s="657"/>
      <c r="H28" s="657"/>
      <c r="I28" s="343"/>
      <c r="J28" s="658" t="str">
        <f>IF(OR(G28="",D28=""),"",IF(ISERROR(VLOOKUP(A28,'SeuilsComparaison-EMT'!$C$5:$J$25,4,FALSE)),"-",IF(OR(IF(ISTEXT(G28)=TRUE,SUBSTITUTE(G28,"&lt;","",1)*1,G28)&gt;VLOOKUP(A28,'SeuilsComparaison-EMT'!$C$5:$J$25,4,FALSE),IF(ISTEXT(D28)=TRUE,SUBSTITUTE(D28,"&lt;","",1)*1,D28)&gt;VLOOKUP(A28,'SeuilsComparaison-EMT'!$C$5:$J$25,4,FALSE)=TRUE),(IF(ISTEXT(D28)=TRUE,SUBSTITUTE(D28,"&lt;","",1)*1,D28)-((IF(ISTEXT(D28)=TRUE,SUBSTITUTE(D28,"&lt;","",1)*1,D28)+IF(ISTEXT(G28)=TRUE,SUBSTITUTE(G28,"&lt;","",1)*1,G28))/2))/((IF(ISTEXT(D28)=TRUE,SUBSTITUTE(D28,"&lt;","",1)*1,D28)+IF(ISTEXT(G28)=TRUE,SUBSTITUTE(G28,"&lt;","",1),G28))/2),"-")))</f>
        <v/>
      </c>
      <c r="K28" s="659"/>
      <c r="L28" s="657"/>
      <c r="M28" s="657"/>
      <c r="N28" s="27"/>
      <c r="O28" s="337"/>
      <c r="P28" s="338"/>
    </row>
    <row r="29" spans="1:16" ht="20.100000000000001" customHeight="1" outlineLevel="1" x14ac:dyDescent="0.4">
      <c r="A29" s="656" t="s">
        <v>195</v>
      </c>
      <c r="B29" s="656"/>
      <c r="C29" s="342">
        <f>VLOOKUP(A29, 'SeuilsComparaison-EMT'!$C$5:$E$28, 3, FALSE)</f>
        <v>0</v>
      </c>
      <c r="D29" s="657"/>
      <c r="E29" s="657"/>
      <c r="F29" s="343"/>
      <c r="G29" s="657"/>
      <c r="H29" s="657"/>
      <c r="I29" s="343"/>
      <c r="J29" s="658" t="str">
        <f>IF(OR(G29="",D29=""),"",IF(ISERROR(VLOOKUP(A29,'SeuilsComparaison-EMT'!$C$5:$J$25,4,FALSE)),"-",IF(OR(IF(ISTEXT(G29)=TRUE,SUBSTITUTE(G29,"&lt;","",1)*1,G29)&gt;VLOOKUP(A29,'SeuilsComparaison-EMT'!$C$5:$J$25,4,FALSE),IF(ISTEXT(D29)=TRUE,SUBSTITUTE(D29,"&lt;","",1)*1,D29)&gt;VLOOKUP(A29,'SeuilsComparaison-EMT'!$C$5:$J$25,4,FALSE)=TRUE),(IF(ISTEXT(D29)=TRUE,SUBSTITUTE(D29,"&lt;","",1)*1,D29)-((IF(ISTEXT(D29)=TRUE,SUBSTITUTE(D29,"&lt;","",1)*1,D29)+IF(ISTEXT(G29)=TRUE,SUBSTITUTE(G29,"&lt;","",1)*1,G29))/2))/((IF(ISTEXT(D29)=TRUE,SUBSTITUTE(D29,"&lt;","",1)*1,D29)+IF(ISTEXT(G29)=TRUE,SUBSTITUTE(G29,"&lt;","",1),G29))/2),"-")))</f>
        <v/>
      </c>
      <c r="K29" s="659"/>
      <c r="L29" s="657"/>
      <c r="M29" s="657"/>
      <c r="N29" s="27"/>
      <c r="O29" s="337"/>
      <c r="P29" s="338"/>
    </row>
    <row r="30" spans="1:16" ht="20.100000000000001" customHeight="1" outlineLevel="1" x14ac:dyDescent="0.4">
      <c r="A30" s="673" t="s">
        <v>196</v>
      </c>
      <c r="B30" s="673"/>
      <c r="C30" s="336">
        <f>VLOOKUP(A30, 'SeuilsComparaison-EMT'!$C$5:$E$28, 3, FALSE)</f>
        <v>5</v>
      </c>
      <c r="D30" s="674"/>
      <c r="E30" s="674"/>
      <c r="F30" s="335"/>
      <c r="G30" s="674"/>
      <c r="H30" s="674"/>
      <c r="I30" s="335"/>
      <c r="J30" s="675" t="str">
        <f>IF(OR(G30="",D30=""),"",IF(ISERROR(VLOOKUP(A30,'SeuilsComparaison-EMT'!$C$5:$J$25,4,FALSE)),"-",IF(OR(IF(ISTEXT(G30)=TRUE,SUBSTITUTE(G30,"&lt;","",1)*1,G30)&gt;VLOOKUP(A30,'SeuilsComparaison-EMT'!$C$5:$J$25,4,FALSE),IF(ISTEXT(D30)=TRUE,SUBSTITUTE(D30,"&lt;","",1)*1,D30)&gt;VLOOKUP(A30,'SeuilsComparaison-EMT'!$C$5:$J$25,4,FALSE)=TRUE),(IF(ISTEXT(D30)=TRUE,SUBSTITUTE(D30,"&lt;","",1)*1,D30)-((IF(ISTEXT(D30)=TRUE,SUBSTITUTE(D30,"&lt;","",1)*1,D30)+IF(ISTEXT(G30)=TRUE,SUBSTITUTE(G30,"&lt;","",1)*1,G30))/2))/((IF(ISTEXT(D30)=TRUE,SUBSTITUTE(D30,"&lt;","",1)*1,D30)+IF(ISTEXT(G30)=TRUE,SUBSTITUTE(G30,"&lt;","",1),G30))/2),"-")))</f>
        <v/>
      </c>
      <c r="K30" s="676"/>
      <c r="L30" s="674"/>
      <c r="M30" s="674"/>
      <c r="N30" s="27"/>
      <c r="O30" s="337"/>
      <c r="P30" s="338"/>
    </row>
    <row r="31" spans="1:16" ht="20.100000000000001" customHeight="1" outlineLevel="1" x14ac:dyDescent="0.4">
      <c r="A31" s="649" t="s">
        <v>100</v>
      </c>
      <c r="B31" s="649"/>
      <c r="C31" s="340">
        <f>VLOOKUP(A31, 'SeuilsComparaison-EMT'!$C$5:$E$28, 3, FALSE)</f>
        <v>0</v>
      </c>
      <c r="D31" s="670"/>
      <c r="E31" s="670"/>
      <c r="F31" s="344"/>
      <c r="G31" s="670"/>
      <c r="H31" s="670"/>
      <c r="I31" s="344"/>
      <c r="J31" s="671" t="str">
        <f>IF(OR(G31="",D31=""),"",IF(ISERROR(VLOOKUP(A31,'SeuilsComparaison-EMT'!$C$5:$J$25,4,FALSE)),"-",IF(OR(IF(ISTEXT(G31)=TRUE,SUBSTITUTE(G31,"&lt;","",1)*1,G31)&gt;VLOOKUP(A31,'SeuilsComparaison-EMT'!$C$5:$J$25,4,FALSE),IF(ISTEXT(D31)=TRUE,SUBSTITUTE(D31,"&lt;","",1)*1,D31)&gt;VLOOKUP(A31,'SeuilsComparaison-EMT'!$C$5:$J$25,4,FALSE)=TRUE),(IF(ISTEXT(D31)=TRUE,SUBSTITUTE(D31,"&lt;","",1)*1,D31)-((IF(ISTEXT(D31)=TRUE,SUBSTITUTE(D31,"&lt;","",1)*1,D31)+IF(ISTEXT(G31)=TRUE,SUBSTITUTE(G31,"&lt;","",1)*1,G31))/2))/((IF(ISTEXT(D31)=TRUE,SUBSTITUTE(D31,"&lt;","",1)*1,D31)+IF(ISTEXT(G31)=TRUE,SUBSTITUTE(G31,"&lt;","",1),G31))/2),"-")))</f>
        <v/>
      </c>
      <c r="K31" s="672"/>
      <c r="L31" s="670"/>
      <c r="M31" s="670"/>
      <c r="N31" s="27"/>
      <c r="O31" s="337"/>
      <c r="P31" s="338"/>
    </row>
    <row r="32" spans="1:16" ht="20.100000000000001" customHeight="1" outlineLevel="1" x14ac:dyDescent="0.4">
      <c r="A32" s="27"/>
      <c r="B32" s="27"/>
      <c r="C32" s="27"/>
      <c r="D32" s="27"/>
      <c r="E32" s="27"/>
      <c r="F32" s="27"/>
      <c r="G32" s="27"/>
      <c r="H32" s="27"/>
      <c r="I32" s="27"/>
      <c r="J32" s="27"/>
      <c r="K32" s="27"/>
      <c r="L32" s="27"/>
      <c r="M32" s="27"/>
      <c r="N32" s="27"/>
      <c r="O32" s="337"/>
      <c r="P32" s="338"/>
    </row>
    <row r="33" spans="1:16" ht="20.100000000000001" customHeight="1" outlineLevel="1" x14ac:dyDescent="0.4">
      <c r="A33" s="660" t="s">
        <v>199</v>
      </c>
      <c r="B33" s="660"/>
      <c r="C33" s="660"/>
      <c r="D33" s="660"/>
      <c r="E33" s="660"/>
      <c r="F33" s="660"/>
      <c r="G33" s="660"/>
      <c r="H33" s="660"/>
      <c r="I33" s="660"/>
      <c r="J33" s="660"/>
      <c r="K33" s="660"/>
      <c r="L33" s="660"/>
      <c r="M33" s="660"/>
      <c r="N33" s="27"/>
      <c r="O33" s="337"/>
      <c r="P33" s="338"/>
    </row>
    <row r="34" spans="1:16" ht="20.100000000000001" customHeight="1" outlineLevel="1" x14ac:dyDescent="0.4">
      <c r="A34" s="661"/>
      <c r="B34" s="662"/>
      <c r="C34" s="662"/>
      <c r="D34" s="662"/>
      <c r="E34" s="662"/>
      <c r="F34" s="662"/>
      <c r="G34" s="662"/>
      <c r="H34" s="662"/>
      <c r="I34" s="662"/>
      <c r="J34" s="662"/>
      <c r="K34" s="662"/>
      <c r="L34" s="662"/>
      <c r="M34" s="662"/>
      <c r="N34" s="663"/>
      <c r="O34" s="337"/>
      <c r="P34" s="338"/>
    </row>
    <row r="35" spans="1:16" ht="20.100000000000001" customHeight="1" outlineLevel="1" x14ac:dyDescent="0.4">
      <c r="A35" s="664"/>
      <c r="B35" s="665"/>
      <c r="C35" s="665"/>
      <c r="D35" s="665"/>
      <c r="E35" s="665"/>
      <c r="F35" s="665"/>
      <c r="G35" s="665"/>
      <c r="H35" s="665"/>
      <c r="I35" s="665"/>
      <c r="J35" s="665"/>
      <c r="K35" s="665"/>
      <c r="L35" s="665"/>
      <c r="M35" s="665"/>
      <c r="N35" s="666"/>
      <c r="O35" s="337"/>
      <c r="P35" s="338"/>
    </row>
    <row r="36" spans="1:16" ht="20.100000000000001" customHeight="1" outlineLevel="1" x14ac:dyDescent="0.4">
      <c r="A36" s="667"/>
      <c r="B36" s="668"/>
      <c r="C36" s="668"/>
      <c r="D36" s="668"/>
      <c r="E36" s="668"/>
      <c r="F36" s="668"/>
      <c r="G36" s="668"/>
      <c r="H36" s="668"/>
      <c r="I36" s="668"/>
      <c r="J36" s="668"/>
      <c r="K36" s="668"/>
      <c r="L36" s="668"/>
      <c r="M36" s="668"/>
      <c r="N36" s="669"/>
      <c r="O36" s="337"/>
      <c r="P36" s="338"/>
    </row>
    <row r="37" spans="1:16" ht="20.100000000000001" customHeight="1" outlineLevel="1" x14ac:dyDescent="0.4">
      <c r="A37" s="339"/>
      <c r="B37" s="339"/>
      <c r="C37" s="339"/>
      <c r="D37" s="339"/>
      <c r="E37" s="339"/>
      <c r="F37" s="339"/>
      <c r="G37" s="339"/>
      <c r="H37" s="339"/>
      <c r="I37" s="339"/>
      <c r="J37" s="339"/>
      <c r="K37" s="339"/>
      <c r="L37" s="339"/>
      <c r="M37" s="339"/>
      <c r="N37" s="339"/>
      <c r="O37" s="337"/>
      <c r="P37" s="338"/>
    </row>
  </sheetData>
  <mergeCells count="136">
    <mergeCell ref="A33:M33"/>
    <mergeCell ref="A34:N36"/>
    <mergeCell ref="A31:B31"/>
    <mergeCell ref="D31:E31"/>
    <mergeCell ref="G31:H31"/>
    <mergeCell ref="J31:K31"/>
    <mergeCell ref="L31:M31"/>
    <mergeCell ref="A29:B29"/>
    <mergeCell ref="D29:E29"/>
    <mergeCell ref="G29:H29"/>
    <mergeCell ref="J29:K29"/>
    <mergeCell ref="L29:M29"/>
    <mergeCell ref="A30:B30"/>
    <mergeCell ref="D30:E30"/>
    <mergeCell ref="G30:H30"/>
    <mergeCell ref="J30:K30"/>
    <mergeCell ref="L30:M30"/>
    <mergeCell ref="A27:B27"/>
    <mergeCell ref="D27:E27"/>
    <mergeCell ref="G27:H27"/>
    <mergeCell ref="J27:K27"/>
    <mergeCell ref="L27:M27"/>
    <mergeCell ref="A28:B28"/>
    <mergeCell ref="D28:E28"/>
    <mergeCell ref="G28:H28"/>
    <mergeCell ref="J28:K28"/>
    <mergeCell ref="L28:M28"/>
    <mergeCell ref="A25:B25"/>
    <mergeCell ref="D25:E25"/>
    <mergeCell ref="G25:H25"/>
    <mergeCell ref="J25:K25"/>
    <mergeCell ref="L25:M25"/>
    <mergeCell ref="A26:B26"/>
    <mergeCell ref="D26:E26"/>
    <mergeCell ref="G26:H26"/>
    <mergeCell ref="J26:K26"/>
    <mergeCell ref="L26:M26"/>
    <mergeCell ref="A23:B23"/>
    <mergeCell ref="D23:E23"/>
    <mergeCell ref="G23:H23"/>
    <mergeCell ref="J23:K23"/>
    <mergeCell ref="L23:M23"/>
    <mergeCell ref="A24:B24"/>
    <mergeCell ref="D24:E24"/>
    <mergeCell ref="G24:H24"/>
    <mergeCell ref="J24:K24"/>
    <mergeCell ref="L24:M24"/>
    <mergeCell ref="A21:B21"/>
    <mergeCell ref="D21:E21"/>
    <mergeCell ref="G21:H21"/>
    <mergeCell ref="J21:K21"/>
    <mergeCell ref="L21:M21"/>
    <mergeCell ref="A22:B22"/>
    <mergeCell ref="D22:E22"/>
    <mergeCell ref="G22:H22"/>
    <mergeCell ref="J22:K22"/>
    <mergeCell ref="L22:M22"/>
    <mergeCell ref="A19:B19"/>
    <mergeCell ref="D19:E19"/>
    <mergeCell ref="G19:H19"/>
    <mergeCell ref="J19:K19"/>
    <mergeCell ref="L19:M19"/>
    <mergeCell ref="A20:B20"/>
    <mergeCell ref="D20:E20"/>
    <mergeCell ref="G20:H20"/>
    <mergeCell ref="J20:K20"/>
    <mergeCell ref="L20:M20"/>
    <mergeCell ref="A17:B17"/>
    <mergeCell ref="D17:E17"/>
    <mergeCell ref="G17:H17"/>
    <mergeCell ref="J17:K17"/>
    <mergeCell ref="L17:M17"/>
    <mergeCell ref="A18:B18"/>
    <mergeCell ref="D18:E18"/>
    <mergeCell ref="G18:H18"/>
    <mergeCell ref="J18:K18"/>
    <mergeCell ref="L18:M18"/>
    <mergeCell ref="A15:B15"/>
    <mergeCell ref="D15:E15"/>
    <mergeCell ref="G15:H15"/>
    <mergeCell ref="J15:K15"/>
    <mergeCell ref="L15:M15"/>
    <mergeCell ref="A16:B16"/>
    <mergeCell ref="D16:E16"/>
    <mergeCell ref="G16:H16"/>
    <mergeCell ref="J16:K16"/>
    <mergeCell ref="L16:M16"/>
    <mergeCell ref="A13:B13"/>
    <mergeCell ref="D13:E13"/>
    <mergeCell ref="G13:H13"/>
    <mergeCell ref="J13:K13"/>
    <mergeCell ref="L13:M13"/>
    <mergeCell ref="A14:B14"/>
    <mergeCell ref="D14:E14"/>
    <mergeCell ref="G14:H14"/>
    <mergeCell ref="J14:K14"/>
    <mergeCell ref="L14:M14"/>
    <mergeCell ref="A11:B11"/>
    <mergeCell ref="D11:E11"/>
    <mergeCell ref="G11:H11"/>
    <mergeCell ref="J11:K11"/>
    <mergeCell ref="L11:M11"/>
    <mergeCell ref="A12:B12"/>
    <mergeCell ref="D12:E12"/>
    <mergeCell ref="G12:H12"/>
    <mergeCell ref="J12:K12"/>
    <mergeCell ref="L12:M12"/>
    <mergeCell ref="L8:M8"/>
    <mergeCell ref="J9:K9"/>
    <mergeCell ref="L9:M9"/>
    <mergeCell ref="A10:B10"/>
    <mergeCell ref="D10:E10"/>
    <mergeCell ref="G10:H10"/>
    <mergeCell ref="J10:K10"/>
    <mergeCell ref="L10:M10"/>
    <mergeCell ref="A6:M6"/>
    <mergeCell ref="A7:B9"/>
    <mergeCell ref="C7:C9"/>
    <mergeCell ref="D7:E9"/>
    <mergeCell ref="F7:F9"/>
    <mergeCell ref="G7:H9"/>
    <mergeCell ref="I7:I9"/>
    <mergeCell ref="J7:K7"/>
    <mergeCell ref="L7:M7"/>
    <mergeCell ref="J8:K8"/>
    <mergeCell ref="A3:C4"/>
    <mergeCell ref="D3:G4"/>
    <mergeCell ref="H3:J3"/>
    <mergeCell ref="K3:N3"/>
    <mergeCell ref="H4:J4"/>
    <mergeCell ref="K4:N4"/>
    <mergeCell ref="A1:N1"/>
    <mergeCell ref="A2:C2"/>
    <mergeCell ref="D2:G2"/>
    <mergeCell ref="H2:J2"/>
    <mergeCell ref="K2:N2"/>
  </mergeCells>
  <conditionalFormatting sqref="H3:J3">
    <cfRule type="expression" dxfId="3" priority="4">
      <formula>$D3="Oui"</formula>
    </cfRule>
  </conditionalFormatting>
  <conditionalFormatting sqref="H4:J4">
    <cfRule type="expression" dxfId="2" priority="2">
      <formula>$D3="Oui"</formula>
    </cfRule>
  </conditionalFormatting>
  <conditionalFormatting sqref="K3:N3">
    <cfRule type="expression" dxfId="1" priority="3">
      <formula>$D3="Oui"</formula>
    </cfRule>
  </conditionalFormatting>
  <conditionalFormatting sqref="K4:N4">
    <cfRule type="expression" dxfId="0" priority="1">
      <formula>$D3="Oui"</formula>
    </cfRule>
  </conditionalFormatting>
  <dataValidations count="1">
    <dataValidation type="list" allowBlank="1" showInputMessage="1" showErrorMessage="1" sqref="I10:I31 L10:M31 F10:F31" xr:uid="{6B1CE0E0-F0EA-479B-91B1-FBE1DCD7BCA9}">
      <formula1>"Oui,Non"</formula1>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7"/>
  <dimension ref="A1:K21"/>
  <sheetViews>
    <sheetView showGridLines="0" topLeftCell="A4" zoomScaleNormal="100" zoomScaleSheetLayoutView="100" workbookViewId="0">
      <selection activeCell="C21" sqref="C21"/>
    </sheetView>
  </sheetViews>
  <sheetFormatPr baseColWidth="10" defaultColWidth="0" defaultRowHeight="12.75" customHeight="1" zeroHeight="1" x14ac:dyDescent="0.4"/>
  <cols>
    <col min="1" max="1" width="2.703125" style="7" customWidth="1"/>
    <col min="2" max="2" width="8.703125" style="7" bestFit="1" customWidth="1"/>
    <col min="3" max="3" width="26.5859375" style="7" bestFit="1" customWidth="1"/>
    <col min="4" max="4" width="19" style="7" customWidth="1"/>
    <col min="5" max="5" width="13" style="13" customWidth="1"/>
    <col min="6" max="6" width="2.703125" style="7" customWidth="1"/>
    <col min="7" max="7" width="12.1171875" style="7" hidden="1" customWidth="1"/>
    <col min="8" max="11" width="0" style="7" hidden="1" customWidth="1"/>
    <col min="12" max="16384" width="11.41015625" style="7" hidden="1"/>
  </cols>
  <sheetData>
    <row r="1" spans="1:6" ht="13" thickBot="1" x14ac:dyDescent="0.45">
      <c r="A1" s="239"/>
      <c r="B1" s="239"/>
      <c r="C1" s="239"/>
      <c r="D1" s="239"/>
      <c r="E1" s="278"/>
      <c r="F1" s="239"/>
    </row>
    <row r="2" spans="1:6" ht="15.7" thickBot="1" x14ac:dyDescent="0.45">
      <c r="A2" s="239"/>
      <c r="B2" s="589" t="s">
        <v>162</v>
      </c>
      <c r="C2" s="590"/>
      <c r="D2" s="590"/>
      <c r="E2" s="591"/>
      <c r="F2" s="279"/>
    </row>
    <row r="3" spans="1:6" ht="13" thickBot="1" x14ac:dyDescent="0.45">
      <c r="A3" s="239"/>
      <c r="B3" s="239"/>
      <c r="C3" s="239"/>
      <c r="D3" s="239"/>
      <c r="E3" s="278"/>
      <c r="F3" s="239"/>
    </row>
    <row r="4" spans="1:6" s="8" customFormat="1" ht="51" thickBot="1" x14ac:dyDescent="0.45">
      <c r="A4" s="280"/>
      <c r="B4" s="281" t="s">
        <v>43</v>
      </c>
      <c r="C4" s="282" t="s">
        <v>74</v>
      </c>
      <c r="D4" s="282" t="s">
        <v>149</v>
      </c>
      <c r="E4" s="283" t="s">
        <v>163</v>
      </c>
      <c r="F4" s="280"/>
    </row>
    <row r="5" spans="1:6" ht="20.100000000000001" customHeight="1" x14ac:dyDescent="0.4">
      <c r="A5" s="239"/>
      <c r="B5" s="284">
        <v>1458</v>
      </c>
      <c r="C5" s="285" t="s">
        <v>164</v>
      </c>
      <c r="D5" s="286" t="s">
        <v>165</v>
      </c>
      <c r="E5" s="287">
        <v>100</v>
      </c>
      <c r="F5" s="239"/>
    </row>
    <row r="6" spans="1:6" ht="20.100000000000001" customHeight="1" x14ac:dyDescent="0.4">
      <c r="A6" s="239"/>
      <c r="B6" s="288">
        <v>1114</v>
      </c>
      <c r="C6" s="289" t="s">
        <v>166</v>
      </c>
      <c r="D6" s="290" t="s">
        <v>167</v>
      </c>
      <c r="E6" s="291">
        <v>10</v>
      </c>
      <c r="F6" s="239"/>
    </row>
    <row r="7" spans="1:6" ht="20.100000000000001" customHeight="1" x14ac:dyDescent="0.4">
      <c r="A7" s="239"/>
      <c r="B7" s="288">
        <v>1115</v>
      </c>
      <c r="C7" s="289" t="s">
        <v>168</v>
      </c>
      <c r="D7" s="290" t="s">
        <v>165</v>
      </c>
      <c r="E7" s="291">
        <v>100</v>
      </c>
      <c r="F7" s="239"/>
    </row>
    <row r="8" spans="1:6" ht="20.100000000000001" customHeight="1" x14ac:dyDescent="0.4">
      <c r="A8" s="239"/>
      <c r="B8" s="288">
        <v>1116</v>
      </c>
      <c r="C8" s="289" t="s">
        <v>169</v>
      </c>
      <c r="D8" s="290" t="s">
        <v>170</v>
      </c>
      <c r="E8" s="291">
        <v>100</v>
      </c>
      <c r="F8" s="239"/>
    </row>
    <row r="9" spans="1:6" ht="20.100000000000001" customHeight="1" x14ac:dyDescent="0.4">
      <c r="A9" s="239"/>
      <c r="B9" s="288">
        <v>1117</v>
      </c>
      <c r="C9" s="289" t="s">
        <v>171</v>
      </c>
      <c r="D9" s="290" t="s">
        <v>170</v>
      </c>
      <c r="E9" s="291">
        <v>100</v>
      </c>
      <c r="F9" s="239"/>
    </row>
    <row r="10" spans="1:6" ht="20.100000000000001" customHeight="1" x14ac:dyDescent="0.4">
      <c r="A10" s="239"/>
      <c r="B10" s="288">
        <v>1118</v>
      </c>
      <c r="C10" s="289" t="s">
        <v>172</v>
      </c>
      <c r="D10" s="290" t="s">
        <v>170</v>
      </c>
      <c r="E10" s="291">
        <v>1000</v>
      </c>
      <c r="F10" s="239"/>
    </row>
    <row r="11" spans="1:6" ht="20.100000000000001" customHeight="1" x14ac:dyDescent="0.4">
      <c r="A11" s="239"/>
      <c r="B11" s="288">
        <v>6616</v>
      </c>
      <c r="C11" s="289" t="s">
        <v>173</v>
      </c>
      <c r="D11" s="290" t="s">
        <v>167</v>
      </c>
      <c r="E11" s="291">
        <v>10</v>
      </c>
      <c r="F11" s="239"/>
    </row>
    <row r="12" spans="1:6" ht="20.100000000000001" customHeight="1" x14ac:dyDescent="0.4">
      <c r="A12" s="239"/>
      <c r="B12" s="288">
        <v>1497</v>
      </c>
      <c r="C12" s="289" t="s">
        <v>174</v>
      </c>
      <c r="D12" s="290" t="s">
        <v>167</v>
      </c>
      <c r="E12" s="291">
        <v>10</v>
      </c>
      <c r="F12" s="239"/>
    </row>
    <row r="13" spans="1:6" ht="20.100000000000001" customHeight="1" x14ac:dyDescent="0.4">
      <c r="A13" s="239"/>
      <c r="B13" s="288">
        <v>1191</v>
      </c>
      <c r="C13" s="289" t="s">
        <v>175</v>
      </c>
      <c r="D13" s="290" t="s">
        <v>165</v>
      </c>
      <c r="E13" s="291">
        <v>100</v>
      </c>
      <c r="F13" s="239"/>
    </row>
    <row r="14" spans="1:6" ht="20.100000000000001" customHeight="1" x14ac:dyDescent="0.4">
      <c r="A14" s="239"/>
      <c r="B14" s="292">
        <v>1204</v>
      </c>
      <c r="C14" s="293" t="s">
        <v>176</v>
      </c>
      <c r="D14" s="290" t="s">
        <v>170</v>
      </c>
      <c r="E14" s="291">
        <v>1000</v>
      </c>
      <c r="F14" s="239"/>
    </row>
    <row r="15" spans="1:6" ht="20.100000000000001" customHeight="1" x14ac:dyDescent="0.4">
      <c r="A15" s="239"/>
      <c r="B15" s="292">
        <v>1517</v>
      </c>
      <c r="C15" s="293" t="s">
        <v>177</v>
      </c>
      <c r="D15" s="290" t="s">
        <v>178</v>
      </c>
      <c r="E15" s="291">
        <v>10</v>
      </c>
      <c r="F15" s="239"/>
    </row>
    <row r="16" spans="1:6" ht="20.100000000000001" customHeight="1" x14ac:dyDescent="0.4">
      <c r="A16" s="239"/>
      <c r="B16" s="292">
        <v>6598</v>
      </c>
      <c r="C16" s="293" t="s">
        <v>179</v>
      </c>
      <c r="D16" s="290" t="s">
        <v>180</v>
      </c>
      <c r="E16" s="291">
        <v>50</v>
      </c>
      <c r="F16" s="239"/>
    </row>
    <row r="17" spans="1:6" s="12" customFormat="1" ht="20.100000000000001" customHeight="1" x14ac:dyDescent="0.4">
      <c r="A17" s="294"/>
      <c r="B17" s="292">
        <v>6600</v>
      </c>
      <c r="C17" s="293" t="s">
        <v>181</v>
      </c>
      <c r="D17" s="290" t="s">
        <v>180</v>
      </c>
      <c r="E17" s="291">
        <v>100</v>
      </c>
      <c r="F17" s="294"/>
    </row>
    <row r="18" spans="1:6" ht="20.100000000000001" customHeight="1" x14ac:dyDescent="0.4">
      <c r="A18" s="239"/>
      <c r="B18" s="292">
        <v>1278</v>
      </c>
      <c r="C18" s="293" t="s">
        <v>182</v>
      </c>
      <c r="D18" s="290" t="s">
        <v>183</v>
      </c>
      <c r="E18" s="291">
        <v>10</v>
      </c>
      <c r="F18" s="239"/>
    </row>
    <row r="19" spans="1:6" ht="20.100000000000001" customHeight="1" x14ac:dyDescent="0.4">
      <c r="A19" s="239"/>
      <c r="B19" s="292">
        <v>2879</v>
      </c>
      <c r="C19" s="293" t="s">
        <v>184</v>
      </c>
      <c r="D19" s="290" t="s">
        <v>185</v>
      </c>
      <c r="E19" s="291">
        <v>1000</v>
      </c>
      <c r="F19" s="239"/>
    </row>
    <row r="20" spans="1:6" ht="20.100000000000001" customHeight="1" thickBot="1" x14ac:dyDescent="0.45">
      <c r="A20" s="239"/>
      <c r="B20" s="295">
        <v>1780</v>
      </c>
      <c r="C20" s="296" t="s">
        <v>186</v>
      </c>
      <c r="D20" s="297" t="s">
        <v>187</v>
      </c>
      <c r="E20" s="298">
        <v>10</v>
      </c>
      <c r="F20" s="239"/>
    </row>
    <row r="21" spans="1:6" ht="12.7" x14ac:dyDescent="0.4">
      <c r="A21" s="239"/>
      <c r="B21" s="239"/>
      <c r="C21" s="299"/>
      <c r="D21" s="300"/>
      <c r="E21" s="301"/>
      <c r="F21" s="239"/>
    </row>
  </sheetData>
  <mergeCells count="1">
    <mergeCell ref="B2:E2"/>
  </mergeCells>
  <pageMargins left="0.78740157499999996" right="0.78740157499999996" top="0.984251969" bottom="0.984251969" header="0.4921259845" footer="0.4921259845"/>
  <pageSetup paperSize="9" orientation="portrait" r:id="rId1"/>
  <headerFooter alignWithMargins="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3"/>
  <dimension ref="A1:N47"/>
  <sheetViews>
    <sheetView showGridLines="0" topLeftCell="A16" zoomScaleNormal="100" zoomScaleSheetLayoutView="100" workbookViewId="0">
      <selection activeCell="B27" sqref="B27"/>
    </sheetView>
  </sheetViews>
  <sheetFormatPr baseColWidth="10" defaultColWidth="0" defaultRowHeight="12.75" customHeight="1" zeroHeight="1" x14ac:dyDescent="0.4"/>
  <cols>
    <col min="1" max="1" width="2.703125" style="7" customWidth="1"/>
    <col min="2" max="2" width="10.1171875" style="7" bestFit="1" customWidth="1"/>
    <col min="3" max="3" width="10.5859375" style="11" bestFit="1" customWidth="1"/>
    <col min="4" max="4" width="14" style="11" bestFit="1" customWidth="1"/>
    <col min="5" max="5" width="11.87890625" style="7" bestFit="1" customWidth="1"/>
    <col min="6" max="6" width="11.5859375" style="7" bestFit="1" customWidth="1"/>
    <col min="7" max="7" width="17.87890625" style="7" customWidth="1"/>
    <col min="8" max="8" width="9.1171875" style="7" bestFit="1" customWidth="1"/>
    <col min="9" max="9" width="12.41015625" style="7" bestFit="1" customWidth="1"/>
    <col min="10" max="10" width="9.1171875" style="7" bestFit="1" customWidth="1"/>
    <col min="11" max="11" width="7.5859375" style="7" customWidth="1"/>
    <col min="12" max="14" width="0" style="7" hidden="1" customWidth="1"/>
    <col min="15" max="16384" width="11.41015625" style="7" hidden="1"/>
  </cols>
  <sheetData>
    <row r="1" spans="1:11" ht="13" thickBot="1" x14ac:dyDescent="0.45">
      <c r="A1" s="239"/>
      <c r="B1" s="239"/>
      <c r="C1" s="300"/>
      <c r="D1" s="300"/>
      <c r="E1" s="239"/>
      <c r="F1" s="239"/>
      <c r="G1" s="239"/>
      <c r="H1" s="239"/>
      <c r="I1" s="239"/>
      <c r="J1" s="239"/>
      <c r="K1" s="239"/>
    </row>
    <row r="2" spans="1:11" ht="15.7" thickBot="1" x14ac:dyDescent="0.45">
      <c r="A2" s="239"/>
      <c r="B2" s="589" t="s">
        <v>147</v>
      </c>
      <c r="C2" s="590"/>
      <c r="D2" s="590"/>
      <c r="E2" s="590"/>
      <c r="F2" s="590"/>
      <c r="G2" s="590"/>
      <c r="H2" s="590"/>
      <c r="I2" s="590"/>
      <c r="J2" s="591"/>
      <c r="K2" s="239"/>
    </row>
    <row r="3" spans="1:11" ht="13" thickBot="1" x14ac:dyDescent="0.45">
      <c r="A3" s="239"/>
      <c r="B3" s="239"/>
      <c r="C3" s="300"/>
      <c r="D3" s="300"/>
      <c r="E3" s="239"/>
      <c r="F3" s="239"/>
      <c r="G3" s="239"/>
      <c r="H3" s="239"/>
      <c r="I3" s="239"/>
      <c r="J3" s="239"/>
      <c r="K3" s="239"/>
    </row>
    <row r="4" spans="1:11" s="8" customFormat="1" ht="51" thickBot="1" x14ac:dyDescent="0.45">
      <c r="A4" s="280"/>
      <c r="B4" s="281" t="s">
        <v>43</v>
      </c>
      <c r="C4" s="281" t="s">
        <v>74</v>
      </c>
      <c r="D4" s="281" t="s">
        <v>148</v>
      </c>
      <c r="E4" s="302" t="s">
        <v>149</v>
      </c>
      <c r="F4" s="303" t="s">
        <v>150</v>
      </c>
      <c r="G4" s="304" t="s">
        <v>151</v>
      </c>
      <c r="H4" s="305" t="s">
        <v>152</v>
      </c>
      <c r="I4" s="304" t="s">
        <v>153</v>
      </c>
      <c r="J4" s="305" t="s">
        <v>152</v>
      </c>
      <c r="K4" s="306"/>
    </row>
    <row r="5" spans="1:11" ht="14.7" x14ac:dyDescent="0.4">
      <c r="A5" s="239"/>
      <c r="B5" s="307">
        <v>1313</v>
      </c>
      <c r="C5" s="307" t="s">
        <v>80</v>
      </c>
      <c r="D5" s="308" t="s">
        <v>154</v>
      </c>
      <c r="E5" s="309">
        <v>3</v>
      </c>
      <c r="F5" s="308">
        <v>15</v>
      </c>
      <c r="G5" s="310">
        <v>80</v>
      </c>
      <c r="H5" s="311">
        <v>0.3</v>
      </c>
      <c r="I5" s="312">
        <v>80</v>
      </c>
      <c r="J5" s="313">
        <v>0.2</v>
      </c>
      <c r="K5" s="239"/>
    </row>
    <row r="6" spans="1:11" ht="14.7" x14ac:dyDescent="0.4">
      <c r="A6" s="239"/>
      <c r="B6" s="314">
        <v>1314</v>
      </c>
      <c r="C6" s="314" t="s">
        <v>81</v>
      </c>
      <c r="D6" s="315" t="s">
        <v>154</v>
      </c>
      <c r="E6" s="316">
        <v>30</v>
      </c>
      <c r="F6" s="315">
        <v>80</v>
      </c>
      <c r="G6" s="317">
        <v>250</v>
      </c>
      <c r="H6" s="318">
        <v>0.2</v>
      </c>
      <c r="I6" s="317">
        <v>250</v>
      </c>
      <c r="J6" s="318">
        <v>0.1</v>
      </c>
      <c r="K6" s="239"/>
    </row>
    <row r="7" spans="1:11" ht="14.7" x14ac:dyDescent="0.4">
      <c r="A7" s="239"/>
      <c r="B7" s="314">
        <v>6396</v>
      </c>
      <c r="C7" s="314" t="s">
        <v>82</v>
      </c>
      <c r="D7" s="315" t="s">
        <v>154</v>
      </c>
      <c r="E7" s="316">
        <v>10</v>
      </c>
      <c r="F7" s="315">
        <v>20</v>
      </c>
      <c r="G7" s="317">
        <v>150</v>
      </c>
      <c r="H7" s="318">
        <v>0.2</v>
      </c>
      <c r="I7" s="317">
        <v>150</v>
      </c>
      <c r="J7" s="318">
        <v>0.1</v>
      </c>
      <c r="K7" s="239"/>
    </row>
    <row r="8" spans="1:11" ht="12.7" x14ac:dyDescent="0.4">
      <c r="A8" s="239"/>
      <c r="B8" s="314">
        <v>1305</v>
      </c>
      <c r="C8" s="314" t="s">
        <v>84</v>
      </c>
      <c r="D8" s="315" t="s">
        <v>155</v>
      </c>
      <c r="E8" s="316">
        <v>2</v>
      </c>
      <c r="F8" s="315">
        <v>15</v>
      </c>
      <c r="G8" s="317">
        <v>60</v>
      </c>
      <c r="H8" s="318">
        <v>0.3</v>
      </c>
      <c r="I8" s="317">
        <v>60</v>
      </c>
      <c r="J8" s="318">
        <v>0.2</v>
      </c>
      <c r="K8" s="239"/>
    </row>
    <row r="9" spans="1:11" ht="12.7" x14ac:dyDescent="0.4">
      <c r="A9" s="239"/>
      <c r="B9" s="319">
        <v>1319</v>
      </c>
      <c r="C9" s="319" t="s">
        <v>85</v>
      </c>
      <c r="D9" s="315" t="s">
        <v>156</v>
      </c>
      <c r="E9" s="316">
        <v>0.5</v>
      </c>
      <c r="F9" s="315">
        <v>6</v>
      </c>
      <c r="G9" s="9"/>
      <c r="H9" s="10"/>
      <c r="I9" s="317">
        <v>6</v>
      </c>
      <c r="J9" s="318">
        <v>0.1</v>
      </c>
      <c r="K9" s="239"/>
    </row>
    <row r="10" spans="1:11" ht="12.7" x14ac:dyDescent="0.4">
      <c r="A10" s="239"/>
      <c r="B10" s="314">
        <v>1551</v>
      </c>
      <c r="C10" s="314" t="s">
        <v>89</v>
      </c>
      <c r="D10" s="315" t="s">
        <v>156</v>
      </c>
      <c r="E10" s="316">
        <v>1</v>
      </c>
      <c r="F10" s="315">
        <v>6</v>
      </c>
      <c r="G10" s="9"/>
      <c r="H10" s="10"/>
      <c r="I10" s="317">
        <v>6</v>
      </c>
      <c r="J10" s="318">
        <v>0.2</v>
      </c>
      <c r="K10" s="239"/>
    </row>
    <row r="11" spans="1:11" ht="14.7" x14ac:dyDescent="0.4">
      <c r="A11" s="239"/>
      <c r="B11" s="319">
        <v>1335</v>
      </c>
      <c r="C11" s="319" t="s">
        <v>86</v>
      </c>
      <c r="D11" s="315" t="s">
        <v>157</v>
      </c>
      <c r="E11" s="316">
        <v>0.5</v>
      </c>
      <c r="F11" s="315">
        <v>6</v>
      </c>
      <c r="G11" s="9"/>
      <c r="H11" s="10"/>
      <c r="I11" s="317">
        <v>6</v>
      </c>
      <c r="J11" s="318">
        <v>0.1</v>
      </c>
      <c r="K11" s="239"/>
    </row>
    <row r="12" spans="1:11" ht="14.7" x14ac:dyDescent="0.4">
      <c r="A12" s="239"/>
      <c r="B12" s="319">
        <v>1339</v>
      </c>
      <c r="C12" s="319" t="s">
        <v>87</v>
      </c>
      <c r="D12" s="315" t="s">
        <v>158</v>
      </c>
      <c r="E12" s="316">
        <v>0.05</v>
      </c>
      <c r="F12" s="315">
        <v>1</v>
      </c>
      <c r="G12" s="9"/>
      <c r="H12" s="10"/>
      <c r="I12" s="317">
        <v>1</v>
      </c>
      <c r="J12" s="318">
        <v>0.2</v>
      </c>
      <c r="K12" s="239"/>
    </row>
    <row r="13" spans="1:11" ht="14.7" x14ac:dyDescent="0.4">
      <c r="A13" s="239"/>
      <c r="B13" s="319">
        <v>1340</v>
      </c>
      <c r="C13" s="319" t="s">
        <v>88</v>
      </c>
      <c r="D13" s="315" t="s">
        <v>159</v>
      </c>
      <c r="E13" s="316">
        <v>1</v>
      </c>
      <c r="F13" s="315">
        <v>5</v>
      </c>
      <c r="G13" s="9"/>
      <c r="H13" s="10"/>
      <c r="I13" s="317">
        <v>5</v>
      </c>
      <c r="J13" s="318">
        <v>0.2</v>
      </c>
      <c r="K13" s="239"/>
    </row>
    <row r="14" spans="1:11" ht="12.7" x14ac:dyDescent="0.4">
      <c r="A14" s="239"/>
      <c r="B14" s="314">
        <v>1350</v>
      </c>
      <c r="C14" s="314" t="s">
        <v>90</v>
      </c>
      <c r="D14" s="315" t="s">
        <v>160</v>
      </c>
      <c r="E14" s="316">
        <v>0.05</v>
      </c>
      <c r="F14" s="315">
        <v>1</v>
      </c>
      <c r="G14" s="9"/>
      <c r="H14" s="10"/>
      <c r="I14" s="317">
        <v>1</v>
      </c>
      <c r="J14" s="318">
        <v>0.2</v>
      </c>
      <c r="K14" s="239"/>
    </row>
    <row r="15" spans="1:11" ht="12.7" x14ac:dyDescent="0.4">
      <c r="A15" s="239"/>
      <c r="B15" s="314">
        <v>1369</v>
      </c>
      <c r="C15" s="314" t="s">
        <v>92</v>
      </c>
      <c r="D15" s="320" t="s">
        <v>155</v>
      </c>
      <c r="E15" s="316">
        <v>5.0000000000000001E-3</v>
      </c>
      <c r="F15" s="315">
        <v>0.5</v>
      </c>
      <c r="G15" s="317">
        <v>1</v>
      </c>
      <c r="H15" s="318">
        <v>0.6</v>
      </c>
      <c r="I15" s="317">
        <v>1</v>
      </c>
      <c r="J15" s="318">
        <v>0.3</v>
      </c>
      <c r="K15" s="239"/>
    </row>
    <row r="16" spans="1:11" ht="12.7" x14ac:dyDescent="0.4">
      <c r="A16" s="239"/>
      <c r="B16" s="314">
        <v>1388</v>
      </c>
      <c r="C16" s="314" t="s">
        <v>93</v>
      </c>
      <c r="D16" s="320" t="s">
        <v>155</v>
      </c>
      <c r="E16" s="316">
        <v>1E-3</v>
      </c>
      <c r="F16" s="315">
        <v>0.5</v>
      </c>
      <c r="G16" s="317">
        <v>1</v>
      </c>
      <c r="H16" s="318">
        <v>0.6</v>
      </c>
      <c r="I16" s="317">
        <v>1</v>
      </c>
      <c r="J16" s="318">
        <v>0.3</v>
      </c>
      <c r="K16" s="239"/>
    </row>
    <row r="17" spans="1:11" ht="12.7" x14ac:dyDescent="0.4">
      <c r="A17" s="239"/>
      <c r="B17" s="314">
        <v>1389</v>
      </c>
      <c r="C17" s="314" t="s">
        <v>94</v>
      </c>
      <c r="D17" s="320" t="s">
        <v>155</v>
      </c>
      <c r="E17" s="316">
        <v>5.0000000000000001E-3</v>
      </c>
      <c r="F17" s="315">
        <v>0.5</v>
      </c>
      <c r="G17" s="317">
        <v>1</v>
      </c>
      <c r="H17" s="318">
        <v>0.6</v>
      </c>
      <c r="I17" s="317">
        <v>1</v>
      </c>
      <c r="J17" s="318">
        <v>0.3</v>
      </c>
      <c r="K17" s="239"/>
    </row>
    <row r="18" spans="1:11" ht="12.7" x14ac:dyDescent="0.4">
      <c r="A18" s="239"/>
      <c r="B18" s="314">
        <v>1392</v>
      </c>
      <c r="C18" s="314" t="s">
        <v>95</v>
      </c>
      <c r="D18" s="320" t="s">
        <v>155</v>
      </c>
      <c r="E18" s="316">
        <v>5.0000000000000001E-3</v>
      </c>
      <c r="F18" s="315">
        <v>0.5</v>
      </c>
      <c r="G18" s="317">
        <v>1</v>
      </c>
      <c r="H18" s="318">
        <v>0.6</v>
      </c>
      <c r="I18" s="317">
        <v>1</v>
      </c>
      <c r="J18" s="318">
        <v>0.3</v>
      </c>
      <c r="K18" s="239"/>
    </row>
    <row r="19" spans="1:11" ht="12.7" x14ac:dyDescent="0.4">
      <c r="A19" s="239"/>
      <c r="B19" s="314">
        <v>1387</v>
      </c>
      <c r="C19" s="314" t="s">
        <v>96</v>
      </c>
      <c r="D19" s="320" t="s">
        <v>155</v>
      </c>
      <c r="E19" s="316">
        <v>2.0000000000000001E-4</v>
      </c>
      <c r="F19" s="315">
        <v>5.0000000000000001E-3</v>
      </c>
      <c r="G19" s="317">
        <v>0.01</v>
      </c>
      <c r="H19" s="318">
        <v>0.6</v>
      </c>
      <c r="I19" s="317">
        <v>0.01</v>
      </c>
      <c r="J19" s="318">
        <v>0.3</v>
      </c>
      <c r="K19" s="239"/>
    </row>
    <row r="20" spans="1:11" ht="12.7" x14ac:dyDescent="0.4">
      <c r="A20" s="239"/>
      <c r="B20" s="314">
        <v>1386</v>
      </c>
      <c r="C20" s="314" t="s">
        <v>97</v>
      </c>
      <c r="D20" s="320" t="s">
        <v>155</v>
      </c>
      <c r="E20" s="316">
        <v>5.0000000000000001E-3</v>
      </c>
      <c r="F20" s="315">
        <v>0.5</v>
      </c>
      <c r="G20" s="317">
        <v>1</v>
      </c>
      <c r="H20" s="318">
        <v>0.6</v>
      </c>
      <c r="I20" s="317">
        <v>1</v>
      </c>
      <c r="J20" s="318">
        <v>0.3</v>
      </c>
      <c r="K20" s="239"/>
    </row>
    <row r="21" spans="1:11" ht="12.7" x14ac:dyDescent="0.4">
      <c r="A21" s="239"/>
      <c r="B21" s="314">
        <v>1382</v>
      </c>
      <c r="C21" s="314" t="s">
        <v>98</v>
      </c>
      <c r="D21" s="320" t="s">
        <v>155</v>
      </c>
      <c r="E21" s="316">
        <v>2E-3</v>
      </c>
      <c r="F21" s="315">
        <v>0.5</v>
      </c>
      <c r="G21" s="317">
        <v>1</v>
      </c>
      <c r="H21" s="318">
        <v>0.6</v>
      </c>
      <c r="I21" s="317">
        <v>1</v>
      </c>
      <c r="J21" s="318">
        <v>0.3</v>
      </c>
      <c r="K21" s="239"/>
    </row>
    <row r="22" spans="1:11" ht="12.7" x14ac:dyDescent="0.4">
      <c r="A22" s="239"/>
      <c r="B22" s="314">
        <v>1383</v>
      </c>
      <c r="C22" s="314" t="s">
        <v>99</v>
      </c>
      <c r="D22" s="320" t="s">
        <v>155</v>
      </c>
      <c r="E22" s="316">
        <v>5.0000000000000001E-3</v>
      </c>
      <c r="F22" s="315">
        <v>0.5</v>
      </c>
      <c r="G22" s="317">
        <v>1</v>
      </c>
      <c r="H22" s="318">
        <v>0.6</v>
      </c>
      <c r="I22" s="317">
        <v>1</v>
      </c>
      <c r="J22" s="318">
        <v>0.3</v>
      </c>
      <c r="K22" s="239"/>
    </row>
    <row r="23" spans="1:11" ht="12.7" x14ac:dyDescent="0.4">
      <c r="A23" s="239"/>
      <c r="B23" s="314">
        <v>1106</v>
      </c>
      <c r="C23" s="314" t="s">
        <v>91</v>
      </c>
      <c r="D23" s="320" t="s">
        <v>155</v>
      </c>
      <c r="E23" s="316">
        <v>0.01</v>
      </c>
      <c r="F23" s="315">
        <v>0.05</v>
      </c>
      <c r="G23" s="317">
        <v>0.5</v>
      </c>
      <c r="H23" s="318">
        <v>0.6</v>
      </c>
      <c r="I23" s="317">
        <v>0.5</v>
      </c>
      <c r="J23" s="318">
        <v>0.3</v>
      </c>
      <c r="K23" s="239"/>
    </row>
    <row r="24" spans="1:11" ht="12.7" x14ac:dyDescent="0.4">
      <c r="A24" s="239"/>
      <c r="B24" s="314">
        <v>1841</v>
      </c>
      <c r="C24" s="314" t="s">
        <v>83</v>
      </c>
      <c r="D24" s="320" t="s">
        <v>155</v>
      </c>
      <c r="E24" s="316">
        <v>0.3</v>
      </c>
      <c r="F24" s="315">
        <v>5</v>
      </c>
      <c r="G24" s="317">
        <v>15</v>
      </c>
      <c r="H24" s="318">
        <v>0.3</v>
      </c>
      <c r="I24" s="317">
        <v>15</v>
      </c>
      <c r="J24" s="318">
        <v>0.1</v>
      </c>
      <c r="K24" s="239"/>
    </row>
    <row r="25" spans="1:11" ht="12.7" x14ac:dyDescent="0.4">
      <c r="A25" s="239"/>
      <c r="B25" s="314">
        <v>1798</v>
      </c>
      <c r="C25" s="314" t="s">
        <v>195</v>
      </c>
      <c r="D25" s="320"/>
      <c r="E25" s="316"/>
      <c r="F25" s="315"/>
      <c r="G25" s="317"/>
      <c r="H25" s="318"/>
      <c r="I25" s="317"/>
      <c r="J25" s="318"/>
      <c r="K25" s="239"/>
    </row>
    <row r="26" spans="1:11" ht="13" thickBot="1" x14ac:dyDescent="0.45">
      <c r="A26" s="239"/>
      <c r="B26" s="321">
        <v>1337</v>
      </c>
      <c r="C26" s="321" t="s">
        <v>196</v>
      </c>
      <c r="D26" s="322" t="s">
        <v>155</v>
      </c>
      <c r="E26" s="323">
        <v>5</v>
      </c>
      <c r="F26" s="324"/>
      <c r="G26" s="325"/>
      <c r="H26" s="326"/>
      <c r="I26" s="325"/>
      <c r="J26" s="326"/>
      <c r="K26" s="239"/>
    </row>
    <row r="27" spans="1:11" ht="13" thickBot="1" x14ac:dyDescent="0.45">
      <c r="A27" s="239"/>
      <c r="B27" s="327">
        <v>1799</v>
      </c>
      <c r="C27" s="327" t="s">
        <v>100</v>
      </c>
      <c r="D27" s="328" t="s">
        <v>197</v>
      </c>
      <c r="E27" s="327"/>
      <c r="F27" s="329"/>
      <c r="G27" s="330"/>
      <c r="H27" s="331">
        <v>0.2</v>
      </c>
      <c r="I27" s="330"/>
      <c r="J27" s="331">
        <v>0.05</v>
      </c>
      <c r="K27" s="265" t="s">
        <v>198</v>
      </c>
    </row>
    <row r="28" spans="1:11" ht="12.75" customHeight="1" x14ac:dyDescent="0.4">
      <c r="A28" s="239"/>
      <c r="B28" s="677" t="s">
        <v>161</v>
      </c>
      <c r="C28" s="677"/>
      <c r="D28" s="677"/>
      <c r="E28" s="677"/>
      <c r="F28" s="677"/>
      <c r="G28" s="677"/>
      <c r="H28" s="677"/>
      <c r="I28" s="677"/>
      <c r="J28" s="677"/>
      <c r="K28" s="239"/>
    </row>
    <row r="29" spans="1:11" ht="14.45" customHeight="1" x14ac:dyDescent="0.4">
      <c r="A29" s="239"/>
      <c r="B29" s="677"/>
      <c r="C29" s="677"/>
      <c r="D29" s="677"/>
      <c r="E29" s="677"/>
      <c r="F29" s="677"/>
      <c r="G29" s="677"/>
      <c r="H29" s="677"/>
      <c r="I29" s="677"/>
      <c r="J29" s="677"/>
      <c r="K29" s="239"/>
    </row>
    <row r="33" spans="4:9" ht="2.1" customHeight="1" x14ac:dyDescent="0.4"/>
    <row r="34" spans="4:9" ht="66.75" hidden="1" customHeight="1" x14ac:dyDescent="0.4"/>
    <row r="37" spans="4:9" ht="12.7" hidden="1" x14ac:dyDescent="0.4">
      <c r="D37" s="678"/>
      <c r="E37" s="679"/>
      <c r="F37" s="679"/>
      <c r="G37" s="679"/>
      <c r="H37" s="679"/>
      <c r="I37" s="679"/>
    </row>
    <row r="38" spans="4:9" ht="12.7" hidden="1" x14ac:dyDescent="0.4">
      <c r="D38" s="679"/>
      <c r="E38" s="679"/>
      <c r="F38" s="679"/>
      <c r="G38" s="679"/>
      <c r="H38" s="679"/>
      <c r="I38" s="679"/>
    </row>
    <row r="39" spans="4:9" ht="12.7" hidden="1" x14ac:dyDescent="0.4">
      <c r="D39" s="679"/>
      <c r="E39" s="679"/>
      <c r="F39" s="679"/>
      <c r="G39" s="679"/>
      <c r="H39" s="679"/>
      <c r="I39" s="679"/>
    </row>
    <row r="40" spans="4:9" ht="12.7" hidden="1" x14ac:dyDescent="0.4">
      <c r="D40" s="679"/>
      <c r="E40" s="679"/>
      <c r="F40" s="679"/>
      <c r="G40" s="679"/>
      <c r="H40" s="679"/>
      <c r="I40" s="679"/>
    </row>
    <row r="41" spans="4:9" ht="12.7" hidden="1" x14ac:dyDescent="0.4">
      <c r="D41" s="679"/>
      <c r="E41" s="679"/>
      <c r="F41" s="679"/>
      <c r="G41" s="679"/>
      <c r="H41" s="679"/>
      <c r="I41" s="679"/>
    </row>
    <row r="42" spans="4:9" ht="12.7" hidden="1" x14ac:dyDescent="0.4">
      <c r="D42" s="679"/>
      <c r="E42" s="679"/>
      <c r="F42" s="679"/>
      <c r="G42" s="679"/>
      <c r="H42" s="679"/>
      <c r="I42" s="679"/>
    </row>
    <row r="43" spans="4:9" ht="12.7" hidden="1" x14ac:dyDescent="0.4">
      <c r="D43" s="679"/>
      <c r="E43" s="679"/>
      <c r="F43" s="679"/>
      <c r="G43" s="679"/>
      <c r="H43" s="679"/>
      <c r="I43" s="679"/>
    </row>
    <row r="44" spans="4:9" ht="12.7" hidden="1" x14ac:dyDescent="0.4">
      <c r="D44" s="679"/>
      <c r="E44" s="679"/>
      <c r="F44" s="679"/>
      <c r="G44" s="679"/>
      <c r="H44" s="679"/>
      <c r="I44" s="679"/>
    </row>
    <row r="45" spans="4:9" ht="12.7" hidden="1" x14ac:dyDescent="0.4">
      <c r="D45" s="679"/>
      <c r="E45" s="679"/>
      <c r="F45" s="679"/>
      <c r="G45" s="679"/>
      <c r="H45" s="679"/>
      <c r="I45" s="679"/>
    </row>
    <row r="46" spans="4:9" ht="12.7" hidden="1" x14ac:dyDescent="0.4">
      <c r="D46" s="679"/>
      <c r="E46" s="679"/>
      <c r="F46" s="679"/>
      <c r="G46" s="679"/>
      <c r="H46" s="679"/>
      <c r="I46" s="679"/>
    </row>
    <row r="47" spans="4:9" ht="12.7" hidden="1" x14ac:dyDescent="0.4">
      <c r="D47" s="679"/>
      <c r="E47" s="679"/>
      <c r="F47" s="679"/>
      <c r="G47" s="679"/>
      <c r="H47" s="679"/>
      <c r="I47" s="679"/>
    </row>
  </sheetData>
  <mergeCells count="3">
    <mergeCell ref="B2:J2"/>
    <mergeCell ref="B28:J29"/>
    <mergeCell ref="D37:I47"/>
  </mergeCells>
  <pageMargins left="0.78740157499999996" right="0.78740157499999996" top="0.984251969" bottom="0.984251969" header="0.4921259845" footer="0.4921259845"/>
  <pageSetup paperSize="9" scale="73" orientation="portrait" r:id="rId1"/>
  <headerFooter alignWithMargins="0"/>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52DDF1-DB9E-4C0C-9E16-F265EDFF44E6}">
  <ds:schemaRefs>
    <ds:schemaRef ds:uri="http://purl.org/dc/elements/1.1/"/>
    <ds:schemaRef ds:uri="http://www.w3.org/XML/1998/namespace"/>
    <ds:schemaRef ds:uri="http://schemas.microsoft.com/office/2006/metadata/properties"/>
    <ds:schemaRef ds:uri="http://schemas.microsoft.com/office/2006/documentManagement/types"/>
    <ds:schemaRef ds:uri="81251141-7599-4081-9962-8622873f55aa"/>
    <ds:schemaRef ds:uri="http://schemas.openxmlformats.org/package/2006/metadata/core-properties"/>
    <ds:schemaRef ds:uri="http://purl.org/dc/terms/"/>
    <ds:schemaRef ds:uri="http://schemas.microsoft.com/office/infopath/2007/PartnerControls"/>
    <ds:schemaRef ds:uri="afd5fb63-b61f-423b-93e7-958e038eacd2"/>
    <ds:schemaRef ds:uri="http://purl.org/dc/dcmitype/"/>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vt:i4>
      </vt:variant>
    </vt:vector>
  </HeadingPairs>
  <TitlesOfParts>
    <vt:vector size="12" baseType="lpstr">
      <vt:lpstr>REX controleurs</vt:lpstr>
      <vt:lpstr>SA_GRILLE_STEU</vt:lpstr>
      <vt:lpstr>SYNTHESE_SCL</vt:lpstr>
      <vt:lpstr>AnalysesComparatives_SCL</vt:lpstr>
      <vt:lpstr>SA_GRILLE_SCL</vt:lpstr>
      <vt:lpstr>AnalysesComparatives</vt:lpstr>
      <vt:lpstr>Controle_Pluvio_Thermo</vt:lpstr>
      <vt:lpstr>Comparatif</vt:lpstr>
      <vt:lpstr>LimitequantificationSDE</vt:lpstr>
      <vt:lpstr>SeuilsComparaison-EMT</vt:lpstr>
      <vt:lpstr>AnalysesComparatives!Print_Area</vt:lpstr>
      <vt:lpstr>AnalysesComparatives_SCL!Print_Area</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Dhuygelaere</dc:creator>
  <cp:keywords/>
  <dc:description/>
  <cp:lastModifiedBy>Nicolas Dhuygelaere</cp:lastModifiedBy>
  <cp:revision/>
  <dcterms:created xsi:type="dcterms:W3CDTF">2022-12-06T13:32:43Z</dcterms:created>
  <dcterms:modified xsi:type="dcterms:W3CDTF">2025-10-09T14:44:28Z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