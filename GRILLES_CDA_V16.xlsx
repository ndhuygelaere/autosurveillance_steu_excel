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95ABFFFF-50DB-4403-883B-CACDB8408791}" xr6:coauthVersionLast="47" xr6:coauthVersionMax="47" xr10:uidLastSave="{00000000-0000-0000-0000-000000000000}"/>
  <bookViews>
    <workbookView xWindow="-8205" yWindow="-16320" windowWidth="29040" windowHeight="15720" tabRatio="887" activeTab="1" xr2:uid="{00000000-000D-0000-FFFF-FFFF00000000}"/>
  </bookViews>
  <sheets>
    <sheet name="Descriptif" sheetId="30" r:id="rId1"/>
    <sheet name="SYNTHESE_SCL" sheetId="145" r:id="rId2"/>
    <sheet name="SYNTHESE_STEU" sheetId="138" r:id="rId3"/>
    <sheet name="Qualité" sheetId="51" r:id="rId4"/>
    <sheet name="Analytique" sheetId="137" r:id="rId5"/>
    <sheet name="PARAM" sheetId="5" state="hidden" r:id="rId6"/>
    <sheet name="SeuilsComparaison-EMT" sheetId="8" r:id="rId7"/>
    <sheet name="Equipements_STEU" sheetId="98" state="hidden" r:id="rId8"/>
    <sheet name="Equipements_SCL" sheetId="144" state="hidden" r:id="rId9"/>
    <sheet name="Recap_equipements" sheetId="97" state="hidden" r:id="rId10"/>
    <sheet name="Recap_reseau" sheetId="146" state="hidden" r:id="rId11"/>
    <sheet name="LimitequantificationSDE" sheetId="9" state="hidden" r:id="rId12"/>
    <sheet name="Critères" sheetId="47" state="hidden" r:id="rId13"/>
  </sheets>
  <definedNames>
    <definedName name="_xlnm._FilterDatabase" localSheetId="0" hidden="1">Descriptif!$E$33:$Q$33</definedName>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PARAM!$B$44:$B$48</definedName>
    <definedName name="Eq_h_controle">PARAM!$C$30:$C$32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LISTE_7">PARAM!$H$21:$H$23</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PARAM!$A$55:$A$57</definedName>
    <definedName name="Montage_sonde">PARAM!$G$44:$G$47</definedName>
    <definedName name="PLUVIO_SCL">Descriptif!$E$24:$E$24</definedName>
    <definedName name="Print_Area" localSheetId="11">LimitequantificationSDE!$A$1:$F$21</definedName>
    <definedName name="Print_Area" localSheetId="6">'SeuilsComparaison-EMT'!$A$1:$K$29</definedName>
    <definedName name="Q_en_charge">PARAM!$A$30:$A$33</definedName>
    <definedName name="Q_en_charge_boues">PARAM!$E$30</definedName>
    <definedName name="Q_Gravitaire">PARAM!$B$30:$B$39</definedName>
    <definedName name="Satisfaction">PARAM!$D$44:$D$46</definedName>
    <definedName name="Type_capteur">PARAM!$C$44:$C$48</definedName>
    <definedName name="Type_equipement">PARAM!$C$4:$C$7</definedName>
    <definedName name="Type_reseau">PARAM!$D$30:$D$32</definedName>
    <definedName name="TypeDeMesure">PARAM!$B$55:$B$56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6" i="137" l="1"/>
  <c r="AD17" i="137"/>
  <c r="AD18" i="137"/>
  <c r="AI15" i="30"/>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I14" i="30"/>
  <c r="AG14" i="30"/>
  <c r="AE14" i="30"/>
  <c r="AC14" i="30"/>
  <c r="AJ24" i="30" a="1"/>
  <c r="AJ15" i="30" a="1"/>
  <c r="AJ30" i="30" a="1"/>
  <c r="AH29" i="30" a="1"/>
  <c r="AF18" i="30" a="1"/>
  <c r="AD26" i="30" a="1"/>
  <c r="AD19" i="30" a="1"/>
  <c r="AJ31" i="30" a="1"/>
  <c r="AH19" i="30" a="1"/>
  <c r="AF40" i="30" a="1"/>
  <c r="AD37" i="30" a="1"/>
  <c r="AD30" i="30" a="1"/>
  <c r="AJ42" i="30" a="1"/>
  <c r="AH20" i="30" a="1"/>
  <c r="AF41" i="30" a="1"/>
  <c r="AJ26" i="30" a="1"/>
  <c r="AJ37" i="30" a="1"/>
  <c r="AJ29" i="30" a="1"/>
  <c r="AJ32" i="30" a="1"/>
  <c r="AH21" i="30" a="1"/>
  <c r="AF20" i="30" a="1"/>
  <c r="AD29" i="30" a="1"/>
  <c r="AD21" i="30" a="1"/>
  <c r="AJ43" i="30" a="1"/>
  <c r="AF35" i="30" a="1"/>
  <c r="AH34" i="30" a="1"/>
  <c r="AD38" i="30" a="1"/>
  <c r="AJ38" i="30" a="1"/>
  <c r="AF17" i="30" a="1"/>
  <c r="AH41" i="30" a="1"/>
  <c r="AD28" i="30" a="1"/>
  <c r="AH43" i="30" a="1"/>
  <c r="AJ36" i="30" a="1"/>
  <c r="AF30" i="30" a="1"/>
  <c r="AH27" i="30" a="1"/>
  <c r="AJ35" i="30" a="1"/>
  <c r="AF23" i="30" a="1"/>
  <c r="AH30" i="30" a="1"/>
  <c r="AD39" i="30" a="1"/>
  <c r="AF37" i="30" a="1"/>
  <c r="AH33" i="30" a="1"/>
  <c r="AD36" i="30" a="1"/>
  <c r="AF29" i="30" a="1"/>
  <c r="AH16" i="30" a="1"/>
  <c r="AD18" i="30" a="1"/>
  <c r="AF16" i="30" a="1"/>
  <c r="AH28" i="30" a="1"/>
  <c r="AD27" i="30" a="1"/>
  <c r="AJ27" i="30" a="1"/>
  <c r="AJ33" i="30" a="1"/>
  <c r="AH23" i="30" a="1"/>
  <c r="AF43" i="30" a="1"/>
  <c r="AD43" i="30" a="1"/>
  <c r="AD22" i="30" a="1"/>
  <c r="AJ25" i="30" a="1"/>
  <c r="AJ34" i="30" a="1"/>
  <c r="AF36" i="30" a="1"/>
  <c r="AF31" i="30" a="1"/>
  <c r="AH37" i="30" a="1"/>
  <c r="AJ39" i="30" a="1"/>
  <c r="AF28" i="30" a="1"/>
  <c r="AH42" i="30" a="1"/>
  <c r="AD40" i="30" a="1"/>
  <c r="AH24" i="30" a="1"/>
  <c r="AJ17" i="30" a="1"/>
  <c r="AF42" i="30" a="1"/>
  <c r="AH39" i="30" a="1"/>
  <c r="AD17" i="30" a="1"/>
  <c r="AF26" i="30" a="1"/>
  <c r="AJ19" i="30" a="1"/>
  <c r="AD31" i="30" a="1"/>
  <c r="AF27" i="30" a="1"/>
  <c r="AJ20" i="30" a="1"/>
  <c r="AD33" i="30" a="1"/>
  <c r="AF32" i="30" a="1"/>
  <c r="AJ22" i="30" a="1"/>
  <c r="AD23" i="30" a="1"/>
  <c r="AD15" i="30" a="1"/>
  <c r="AD20" i="30" a="1"/>
  <c r="AJ28" i="30" a="1"/>
  <c r="AJ23" i="30" a="1"/>
  <c r="AH25" i="30" a="1"/>
  <c r="AF22" i="30" a="1"/>
  <c r="AD25" i="30" a="1"/>
  <c r="AD24" i="30" a="1"/>
  <c r="AH18" i="30" a="1"/>
  <c r="AD16" i="30" a="1"/>
  <c r="AH15" i="30" a="1"/>
  <c r="AH17" i="30" a="1"/>
  <c r="AD42" i="30" a="1"/>
  <c r="AH32" i="30" a="1"/>
  <c r="AD34" i="30" a="1"/>
  <c r="AH40" i="30" a="1"/>
  <c r="AJ40" i="30" a="1"/>
  <c r="AF39" i="30" a="1"/>
  <c r="AH35" i="30" a="1"/>
  <c r="AD32" i="30" a="1"/>
  <c r="AH22" i="30" a="1"/>
  <c r="AD35" i="30" a="1"/>
  <c r="AF15" i="30" a="1"/>
  <c r="AJ18" i="30" a="1"/>
  <c r="AF34" i="30" a="1"/>
  <c r="AF19" i="30" a="1"/>
  <c r="AJ41" i="30" a="1"/>
  <c r="AF21" i="30" a="1"/>
  <c r="AH36" i="30" a="1"/>
  <c r="AJ21" i="30" a="1"/>
  <c r="AF24" i="30" a="1"/>
  <c r="AF25" i="30" a="1"/>
  <c r="AF38" i="30" a="1"/>
  <c r="AD41" i="30" a="1"/>
  <c r="AJ16" i="30" a="1"/>
  <c r="AH26" i="30" a="1"/>
  <c r="AH31" i="30" a="1"/>
  <c r="AF33" i="30" a="1"/>
  <c r="AH38" i="30" a="1"/>
  <c r="AJ25" i="30" l="1"/>
  <c r="AJ23" i="30"/>
  <c r="AJ33" i="30"/>
  <c r="AJ32" i="30"/>
  <c r="AJ42" i="30"/>
  <c r="AJ31" i="30"/>
  <c r="AJ30" i="30"/>
  <c r="AJ24" i="30"/>
  <c r="AJ22" i="30"/>
  <c r="AJ21" i="30"/>
  <c r="AJ20" i="30"/>
  <c r="AJ41" i="30"/>
  <c r="AJ19" i="30"/>
  <c r="AJ18" i="30"/>
  <c r="AJ35" i="30"/>
  <c r="AJ17" i="30"/>
  <c r="AJ36" i="30"/>
  <c r="AJ40" i="30"/>
  <c r="AJ39" i="30"/>
  <c r="AJ38" i="30"/>
  <c r="AJ16" i="30"/>
  <c r="AJ34" i="30"/>
  <c r="AJ43" i="30"/>
  <c r="AJ28" i="30"/>
  <c r="AJ27" i="30"/>
  <c r="AJ29" i="30"/>
  <c r="AJ37" i="30"/>
  <c r="AJ26" i="30"/>
  <c r="AJ15" i="30"/>
  <c r="AH22" i="30"/>
  <c r="AH24" i="30"/>
  <c r="AH43" i="30"/>
  <c r="AH40" i="30"/>
  <c r="AH32" i="30"/>
  <c r="AH17" i="30"/>
  <c r="AH34" i="30"/>
  <c r="AH18" i="30"/>
  <c r="AH25" i="30"/>
  <c r="AH23" i="30"/>
  <c r="AH21" i="30"/>
  <c r="AH20" i="30"/>
  <c r="AH19" i="30"/>
  <c r="AH29" i="30"/>
  <c r="AH28" i="30"/>
  <c r="AH38" i="30"/>
  <c r="AH16" i="30"/>
  <c r="AH36" i="30"/>
  <c r="AH33" i="30"/>
  <c r="AH31" i="30"/>
  <c r="AH30" i="30"/>
  <c r="AH39" i="30"/>
  <c r="AH27" i="30"/>
  <c r="AH35" i="30"/>
  <c r="AH42" i="30"/>
  <c r="AH41" i="30"/>
  <c r="AH37" i="30"/>
  <c r="AH26" i="30"/>
  <c r="AH15" i="30"/>
  <c r="AF25" i="30"/>
  <c r="AF24" i="30"/>
  <c r="AF33" i="30"/>
  <c r="AF21" i="30"/>
  <c r="AF19" i="30"/>
  <c r="AF34" i="30"/>
  <c r="AF23" i="30"/>
  <c r="AF42" i="30"/>
  <c r="AF30" i="30"/>
  <c r="AF39" i="30"/>
  <c r="AF28" i="30"/>
  <c r="AF17" i="30"/>
  <c r="AF31" i="30"/>
  <c r="AF36" i="30"/>
  <c r="AF35" i="30"/>
  <c r="AF22" i="30"/>
  <c r="AF43" i="30"/>
  <c r="AF20" i="30"/>
  <c r="AF41" i="30"/>
  <c r="AF40" i="30"/>
  <c r="AF18" i="30"/>
  <c r="AF38" i="30"/>
  <c r="AF16" i="30"/>
  <c r="AF32" i="30"/>
  <c r="AF29" i="30"/>
  <c r="AF27" i="30"/>
  <c r="AF37" i="30"/>
  <c r="AF26" i="30"/>
  <c r="AF15" i="30"/>
  <c r="AD24" i="30"/>
  <c r="AD22" i="30"/>
  <c r="AD21" i="30"/>
  <c r="AD20" i="30"/>
  <c r="AD30" i="30"/>
  <c r="AD19" i="30"/>
  <c r="AD41" i="30"/>
  <c r="AD23" i="30"/>
  <c r="AD18" i="30"/>
  <c r="AD33" i="30"/>
  <c r="AD36" i="30"/>
  <c r="AD31" i="30"/>
  <c r="AD39" i="30"/>
  <c r="AD17" i="30"/>
  <c r="AD35" i="30"/>
  <c r="AD32" i="30"/>
  <c r="AD40" i="30"/>
  <c r="AD28" i="30"/>
  <c r="AD34" i="30"/>
  <c r="AD42" i="30"/>
  <c r="AD38" i="30"/>
  <c r="AD16" i="30"/>
  <c r="AD25" i="30"/>
  <c r="AD43" i="30"/>
  <c r="AD29" i="30"/>
  <c r="AD27" i="30"/>
  <c r="AD37" i="30"/>
  <c r="AD26" i="30"/>
  <c r="AD15" i="30"/>
  <c r="M35" i="137"/>
  <c r="AE16" i="137" l="1"/>
  <c r="AE17" i="137"/>
  <c r="AE18" i="137"/>
  <c r="Z16" i="137"/>
  <c r="Z17" i="137"/>
  <c r="Z18" i="137"/>
  <c r="D10" i="146" l="1"/>
  <c r="D9" i="146"/>
  <c r="D8" i="146"/>
  <c r="D7" i="146"/>
  <c r="B5" i="146"/>
  <c r="D18" i="146" l="1"/>
  <c r="D27" i="146"/>
  <c r="D38" i="146"/>
  <c r="D39" i="146"/>
  <c r="D19" i="146"/>
  <c r="D28" i="146"/>
  <c r="D22" i="146"/>
  <c r="D32" i="146"/>
  <c r="D43" i="146"/>
  <c r="D41" i="146"/>
  <c r="D20" i="146"/>
  <c r="D30" i="146"/>
  <c r="B5" i="97" l="1"/>
  <c r="D10" i="97"/>
  <c r="D9" i="97"/>
  <c r="D8" i="97"/>
  <c r="D7" i="97"/>
  <c r="N13" i="145"/>
  <c r="Y6" i="145"/>
  <c r="S6" i="145"/>
  <c r="M6" i="145"/>
  <c r="G6" i="145"/>
  <c r="Y5" i="145"/>
  <c r="S5" i="145"/>
  <c r="M5" i="145"/>
  <c r="G5" i="145"/>
  <c r="Y4" i="145"/>
  <c r="S4" i="145"/>
  <c r="M4" i="145"/>
  <c r="G4" i="145"/>
  <c r="Y3" i="145"/>
  <c r="S3" i="145"/>
  <c r="M3" i="145"/>
  <c r="G3" i="145"/>
  <c r="A9" i="144"/>
  <c r="A8" i="144"/>
  <c r="A7" i="144"/>
  <c r="A6" i="144"/>
  <c r="L29" i="51" l="1"/>
  <c r="M25" i="138" s="1"/>
  <c r="D53" i="97" l="1"/>
  <c r="D78" i="97"/>
  <c r="D147" i="97"/>
  <c r="D152" i="97"/>
  <c r="D26" i="97" l="1"/>
  <c r="D25" i="97"/>
  <c r="D30" i="97"/>
  <c r="D31" i="97"/>
  <c r="D34" i="97"/>
  <c r="D36" i="97"/>
  <c r="D40" i="97"/>
  <c r="D44" i="97"/>
  <c r="D46" i="97"/>
  <c r="D90" i="97"/>
  <c r="D21" i="97"/>
  <c r="D100" i="97"/>
  <c r="D50" i="97"/>
  <c r="D88" i="97"/>
  <c r="D108" i="97"/>
  <c r="D117" i="97"/>
  <c r="D129" i="97"/>
  <c r="D135" i="97"/>
  <c r="D141" i="97"/>
  <c r="D153" i="97"/>
  <c r="D159" i="97"/>
  <c r="D84" i="97"/>
  <c r="D86" i="97"/>
  <c r="D104" i="97"/>
  <c r="D133" i="97"/>
  <c r="D58" i="97"/>
  <c r="D155" i="97"/>
  <c r="D43" i="97"/>
  <c r="D70" i="97"/>
  <c r="D157" i="97"/>
  <c r="D139" i="97"/>
  <c r="D74" i="97"/>
  <c r="D23" i="97"/>
  <c r="D145" i="97"/>
  <c r="D151" i="97"/>
  <c r="D76" i="97"/>
  <c r="D161" i="97"/>
  <c r="D98" i="97"/>
  <c r="D28" i="97"/>
  <c r="D33" i="97"/>
  <c r="D163" i="97"/>
  <c r="D122" i="97"/>
  <c r="D134" i="97"/>
  <c r="D49" i="97"/>
  <c r="D158" i="97"/>
  <c r="D140" i="97"/>
  <c r="D75" i="97"/>
  <c r="D87" i="97"/>
  <c r="D116" i="97"/>
  <c r="D146" i="97"/>
  <c r="D128" i="97"/>
  <c r="D93" i="97"/>
  <c r="D105" i="97"/>
  <c r="D39" i="97"/>
  <c r="D24" i="97"/>
  <c r="D81" i="97"/>
  <c r="D29" i="97"/>
  <c r="D63" i="97"/>
  <c r="D99" i="97"/>
  <c r="D19" i="97"/>
  <c r="D54" i="97"/>
  <c r="D69" i="97"/>
  <c r="D137" i="97"/>
  <c r="D72" i="97"/>
  <c r="D143" i="97"/>
  <c r="D102" i="97"/>
  <c r="D56" i="97"/>
  <c r="D131" i="97"/>
  <c r="D125" i="97"/>
  <c r="D119" i="97"/>
  <c r="D51" i="97"/>
  <c r="D41" i="97"/>
  <c r="D66" i="97"/>
  <c r="D94" i="97"/>
  <c r="D123" i="97"/>
  <c r="D110" i="97"/>
  <c r="D121" i="97"/>
  <c r="D68" i="97"/>
  <c r="D80" i="97"/>
  <c r="D92" i="97"/>
  <c r="D48" i="97"/>
  <c r="D20" i="97"/>
  <c r="D55" i="97"/>
  <c r="D96" i="97"/>
  <c r="D38" i="97"/>
  <c r="D127" i="97"/>
  <c r="D106" i="97"/>
  <c r="D64" i="97"/>
  <c r="D45" i="97"/>
  <c r="D35" i="97"/>
  <c r="D82" i="97"/>
  <c r="D149" i="97"/>
  <c r="M39" i="137" l="1"/>
  <c r="M40" i="137"/>
  <c r="M41" i="137"/>
  <c r="M42" i="137"/>
  <c r="M43" i="137"/>
  <c r="M44" i="137"/>
  <c r="M45" i="137"/>
  <c r="M46" i="137"/>
  <c r="M47" i="137"/>
  <c r="M48" i="137"/>
  <c r="Y18" i="137" l="1"/>
  <c r="Y17" i="137"/>
  <c r="Y16" i="137"/>
  <c r="L24" i="138" l="1"/>
  <c r="L25" i="138"/>
  <c r="Q38" i="137" l="1"/>
  <c r="Q39" i="137"/>
  <c r="Q40" i="137"/>
  <c r="Q41" i="137"/>
  <c r="Q42" i="137"/>
  <c r="Q43" i="137"/>
  <c r="Q44" i="137"/>
  <c r="Q45" i="137"/>
  <c r="Q46" i="137"/>
  <c r="Q47" i="137"/>
  <c r="Q48" i="137"/>
  <c r="Q49" i="137"/>
  <c r="Q37" i="137"/>
  <c r="O39" i="137"/>
  <c r="O40" i="137"/>
  <c r="O41" i="137"/>
  <c r="O42" i="137"/>
  <c r="O43" i="137"/>
  <c r="O44" i="137"/>
  <c r="O45" i="137"/>
  <c r="O47" i="137" l="1"/>
  <c r="O48" i="137"/>
  <c r="P6" i="51" l="1"/>
  <c r="P5" i="51"/>
  <c r="P4" i="51"/>
  <c r="P3" i="51"/>
  <c r="P6" i="137"/>
  <c r="P5" i="137"/>
  <c r="P4" i="137"/>
  <c r="P3" i="137"/>
  <c r="J6" i="51"/>
  <c r="E6" i="51"/>
  <c r="J5" i="51"/>
  <c r="E5" i="51"/>
  <c r="J4" i="51"/>
  <c r="E4" i="51"/>
  <c r="J3" i="51"/>
  <c r="E3" i="51"/>
  <c r="N24" i="137" l="1"/>
  <c r="J5" i="137" l="1"/>
  <c r="J6" i="137"/>
  <c r="J4" i="137"/>
  <c r="J3" i="137"/>
  <c r="E6" i="137" l="1"/>
  <c r="E5" i="137"/>
  <c r="E4" i="137"/>
  <c r="E3" i="137"/>
  <c r="M49" i="137" l="1"/>
  <c r="O49" i="137" s="1"/>
  <c r="F49" i="137"/>
  <c r="F48" i="137"/>
  <c r="F47" i="137"/>
  <c r="O46" i="137"/>
  <c r="F46" i="137"/>
  <c r="F45" i="137"/>
  <c r="F44" i="137"/>
  <c r="F43" i="137"/>
  <c r="F42" i="137"/>
  <c r="F41" i="137"/>
  <c r="F40" i="137"/>
  <c r="F39" i="137"/>
  <c r="M38" i="137"/>
  <c r="O38" i="137" s="1"/>
  <c r="F38" i="137"/>
  <c r="M37" i="137"/>
  <c r="O37" i="137" s="1"/>
  <c r="O35" i="137" s="1"/>
  <c r="F37" i="137"/>
  <c r="T35" i="137"/>
  <c r="AA15" i="137" l="1" a="1"/>
  <c r="AA15" i="137" s="1"/>
  <c r="AC9" i="137" a="1"/>
  <c r="AC9" i="137" s="1"/>
  <c r="AA4" i="137" a="1"/>
  <c r="AA4" i="137" s="1"/>
  <c r="X15" i="137" a="1"/>
  <c r="X15" i="137" s="1"/>
  <c r="AB9" i="137" a="1"/>
  <c r="AB9" i="137" s="1"/>
  <c r="X4" i="137" a="1"/>
  <c r="X4" i="137" s="1"/>
  <c r="AD4" i="137" s="1"/>
  <c r="AA9" i="137" a="1"/>
  <c r="AA9" i="137" s="1"/>
  <c r="AB14" i="137" a="1"/>
  <c r="AB14" i="137" s="1"/>
  <c r="AB8" i="137" a="1"/>
  <c r="AB8" i="137" s="1"/>
  <c r="AC13" i="137" a="1"/>
  <c r="AC13" i="137" s="1"/>
  <c r="AB13" i="137" a="1"/>
  <c r="AB13" i="137" s="1"/>
  <c r="X19" i="137" a="1"/>
  <c r="X19" i="137" s="1"/>
  <c r="AA6" i="137" a="1"/>
  <c r="AA6" i="137" s="1"/>
  <c r="AA20" i="137" a="1"/>
  <c r="AA20" i="137" s="1"/>
  <c r="AA13" i="137" a="1"/>
  <c r="AA13" i="137" s="1"/>
  <c r="AC7" i="137" a="1"/>
  <c r="AC7" i="137" s="1"/>
  <c r="X20" i="137" a="1"/>
  <c r="X20" i="137" s="1"/>
  <c r="AD20" i="137" s="1"/>
  <c r="X13" i="137" a="1"/>
  <c r="X13" i="137" s="1"/>
  <c r="AD13" i="137" s="1"/>
  <c r="AB7" i="137" a="1"/>
  <c r="AB7" i="137" s="1"/>
  <c r="AC19" i="137" a="1"/>
  <c r="AC19" i="137" s="1"/>
  <c r="AC12" i="137" a="1"/>
  <c r="AC12" i="137" s="1"/>
  <c r="AA7" i="137" a="1"/>
  <c r="AA7" i="137" s="1"/>
  <c r="AB19" i="137" a="1"/>
  <c r="AB19" i="137" s="1"/>
  <c r="AB12" i="137" a="1"/>
  <c r="AB12" i="137" s="1"/>
  <c r="X7" i="137" a="1"/>
  <c r="X7" i="137" s="1"/>
  <c r="AA19" i="137" a="1"/>
  <c r="AA19" i="137" s="1"/>
  <c r="AC6" i="137" a="1"/>
  <c r="AC6" i="137" s="1"/>
  <c r="AC11" i="137" a="1"/>
  <c r="AC11" i="137" s="1"/>
  <c r="AA11" i="137" a="1"/>
  <c r="AA11" i="137" s="1"/>
  <c r="AC5" i="137" a="1"/>
  <c r="AC5" i="137" s="1"/>
  <c r="AA5" i="137" a="1"/>
  <c r="AA5" i="137" s="1"/>
  <c r="X5" i="137" a="1"/>
  <c r="X5" i="137" s="1"/>
  <c r="AD5" i="137" s="1"/>
  <c r="AA10" i="137" a="1"/>
  <c r="AA10" i="137" s="1"/>
  <c r="AB15" i="137" a="1"/>
  <c r="AB15" i="137" s="1"/>
  <c r="AB4" i="137" a="1"/>
  <c r="AB4" i="137" s="1"/>
  <c r="X9" i="137" a="1"/>
  <c r="X9" i="137" s="1"/>
  <c r="AD9" i="137" s="1"/>
  <c r="AA14" i="137" a="1"/>
  <c r="AA14" i="137" s="1"/>
  <c r="X3" i="137" a="1"/>
  <c r="X3" i="137" s="1"/>
  <c r="AA8" i="137" a="1"/>
  <c r="AA8" i="137" s="1"/>
  <c r="X8" i="137" a="1"/>
  <c r="X8" i="137" s="1"/>
  <c r="AD8" i="137" s="1"/>
  <c r="X12" i="137" a="1"/>
  <c r="X12" i="137" s="1"/>
  <c r="AB11" i="137" a="1"/>
  <c r="AB11" i="137" s="1"/>
  <c r="X11" i="137" a="1"/>
  <c r="X11" i="137" s="1"/>
  <c r="AD11" i="137" s="1"/>
  <c r="AB5" i="137" a="1"/>
  <c r="AB5" i="137" s="1"/>
  <c r="AC10" i="137" a="1"/>
  <c r="AC10" i="137" s="1"/>
  <c r="AB10" i="137" a="1"/>
  <c r="AB10" i="137" s="1"/>
  <c r="AC15" i="137" a="1"/>
  <c r="AC15" i="137" s="1"/>
  <c r="AC4" i="137" a="1"/>
  <c r="AC4" i="137" s="1"/>
  <c r="X10" i="137" a="1"/>
  <c r="X10" i="137" s="1"/>
  <c r="AC14" i="137" a="1"/>
  <c r="AC14" i="137" s="1"/>
  <c r="AC8" i="137" a="1"/>
  <c r="AC8" i="137" s="1"/>
  <c r="X14" i="137" a="1"/>
  <c r="X14" i="137" s="1"/>
  <c r="AC20" i="137" a="1"/>
  <c r="AC20" i="137" s="1"/>
  <c r="AB20" i="137" a="1"/>
  <c r="AB20" i="137" s="1"/>
  <c r="AA12" i="137" a="1"/>
  <c r="AA12" i="137" s="1"/>
  <c r="AB6" i="137" a="1"/>
  <c r="AB6" i="137" s="1"/>
  <c r="X6" i="137" a="1"/>
  <c r="X6" i="137" s="1"/>
  <c r="AD6" i="137" s="1"/>
  <c r="U35" i="137"/>
  <c r="AA3" i="137" s="1" a="1"/>
  <c r="AA3" i="137" s="1"/>
  <c r="AD19" i="137" l="1"/>
  <c r="AD14" i="137"/>
  <c r="AD12" i="137"/>
  <c r="AD10" i="137"/>
  <c r="AD15" i="137"/>
  <c r="AD7" i="137"/>
  <c r="Z3" i="137"/>
  <c r="Z4" i="137"/>
  <c r="Z20" i="137"/>
  <c r="AE20" i="137"/>
  <c r="Z5" i="137"/>
  <c r="AE5" i="137"/>
  <c r="Z13" i="137"/>
  <c r="AE13" i="137"/>
  <c r="Z6" i="137"/>
  <c r="AE6" i="137"/>
  <c r="Z19" i="137"/>
  <c r="AE19" i="137"/>
  <c r="Z12" i="137"/>
  <c r="AE12" i="137"/>
  <c r="Z9" i="137"/>
  <c r="AE9" i="137"/>
  <c r="Z8" i="137"/>
  <c r="AE8" i="137"/>
  <c r="Z14" i="137"/>
  <c r="AE14" i="137"/>
  <c r="Z11" i="137"/>
  <c r="AE11" i="137"/>
  <c r="Z15" i="137"/>
  <c r="AE15" i="137"/>
  <c r="Z7" i="137"/>
  <c r="AE7" i="137"/>
  <c r="Z10" i="137"/>
  <c r="AE10" i="137"/>
  <c r="Y14" i="137"/>
  <c r="Y10" i="137"/>
  <c r="Y12" i="137"/>
  <c r="Y7" i="137"/>
  <c r="Y13" i="137"/>
  <c r="Y11" i="137"/>
  <c r="Y8" i="137"/>
  <c r="Y9" i="137"/>
  <c r="Y5" i="137"/>
  <c r="Y20" i="137"/>
  <c r="Y4" i="137"/>
  <c r="Y15" i="137"/>
  <c r="Y6" i="137"/>
  <c r="Y3" i="137"/>
  <c r="Y19" i="137"/>
  <c r="W35" i="137"/>
  <c r="AC3" i="137" s="1" a="1"/>
  <c r="AC3" i="137" s="1"/>
  <c r="AD3" i="137" s="1"/>
  <c r="V35" i="137"/>
  <c r="AB3" i="137" s="1" a="1"/>
  <c r="AB3" i="137" s="1"/>
  <c r="Y3" i="138"/>
  <c r="N30" i="138" l="1"/>
  <c r="N12" i="137"/>
  <c r="K14" i="145" s="1"/>
  <c r="N13" i="137"/>
  <c r="K15" i="145" s="1"/>
  <c r="N14" i="137"/>
  <c r="K16" i="145" s="1"/>
  <c r="N11" i="137"/>
  <c r="K13" i="145" s="1"/>
  <c r="N24" i="138"/>
  <c r="N25" i="138"/>
  <c r="Y6" i="138" l="1"/>
  <c r="Y5" i="138"/>
  <c r="S5" i="138"/>
  <c r="S6" i="138"/>
  <c r="AI44" i="30" l="1"/>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I92" i="30" l="1"/>
  <c r="AC44" i="30"/>
  <c r="AE44" i="30"/>
  <c r="AG44" i="30"/>
  <c r="AC45" i="30"/>
  <c r="AE45" i="30"/>
  <c r="AG45" i="30"/>
  <c r="AC46" i="30"/>
  <c r="AE46" i="30"/>
  <c r="AG46" i="30"/>
  <c r="AC47" i="30"/>
  <c r="AE47" i="30"/>
  <c r="AG47" i="30"/>
  <c r="AC48" i="30"/>
  <c r="AE48" i="30"/>
  <c r="AG48" i="30"/>
  <c r="AC49" i="30"/>
  <c r="AE49" i="30"/>
  <c r="AG49" i="30"/>
  <c r="AC50" i="30"/>
  <c r="AE50" i="30"/>
  <c r="AG50" i="30"/>
  <c r="AC51" i="30"/>
  <c r="AE51" i="30"/>
  <c r="AG51" i="30"/>
  <c r="AC52" i="30"/>
  <c r="AE52" i="30"/>
  <c r="AG52" i="30"/>
  <c r="AC53" i="30"/>
  <c r="AE53" i="30"/>
  <c r="AG53" i="30"/>
  <c r="AC54" i="30"/>
  <c r="AE54" i="30"/>
  <c r="AG54" i="30"/>
  <c r="AC55" i="30"/>
  <c r="AE55" i="30"/>
  <c r="AG55" i="30"/>
  <c r="AC56" i="30"/>
  <c r="AE56" i="30"/>
  <c r="AG56" i="30"/>
  <c r="AC57" i="30"/>
  <c r="AE57" i="30"/>
  <c r="AG57" i="30"/>
  <c r="AC58" i="30"/>
  <c r="AE58" i="30"/>
  <c r="AG58" i="30"/>
  <c r="AC59" i="30"/>
  <c r="AE59" i="30"/>
  <c r="AG59" i="30"/>
  <c r="AC60" i="30"/>
  <c r="AE60" i="30"/>
  <c r="AG60" i="30"/>
  <c r="AC61" i="30"/>
  <c r="AE61" i="30"/>
  <c r="AG61" i="30"/>
  <c r="AC62" i="30"/>
  <c r="AE62" i="30"/>
  <c r="AG62" i="30"/>
  <c r="AC63" i="30"/>
  <c r="AE63" i="30"/>
  <c r="AG63" i="30"/>
  <c r="AC64" i="30"/>
  <c r="AE64" i="30"/>
  <c r="AG64" i="30"/>
  <c r="AC65" i="30"/>
  <c r="AE65" i="30"/>
  <c r="AG65" i="30"/>
  <c r="AC66" i="30"/>
  <c r="AE66" i="30"/>
  <c r="AG66" i="30"/>
  <c r="AC67" i="30"/>
  <c r="AE67" i="30"/>
  <c r="AG67" i="30"/>
  <c r="AC68" i="30"/>
  <c r="AE68" i="30"/>
  <c r="AG68" i="30"/>
  <c r="AC69" i="30"/>
  <c r="AE69" i="30"/>
  <c r="AG69" i="30"/>
  <c r="AC70" i="30"/>
  <c r="AE70" i="30"/>
  <c r="AG70" i="30"/>
  <c r="AC71" i="30"/>
  <c r="AE71" i="30"/>
  <c r="AG71" i="30"/>
  <c r="AC72" i="30"/>
  <c r="AE72" i="30"/>
  <c r="AG72" i="30"/>
  <c r="AC73" i="30"/>
  <c r="AE73" i="30"/>
  <c r="AG73" i="30"/>
  <c r="AC74" i="30"/>
  <c r="AE74" i="30"/>
  <c r="AG74" i="30"/>
  <c r="AC75" i="30"/>
  <c r="AE75" i="30"/>
  <c r="AG75" i="30"/>
  <c r="AC76" i="30"/>
  <c r="AE76" i="30"/>
  <c r="AG76" i="30"/>
  <c r="AC77" i="30"/>
  <c r="AE77" i="30"/>
  <c r="AG77" i="30"/>
  <c r="AC78" i="30"/>
  <c r="AE78" i="30"/>
  <c r="AG78" i="30"/>
  <c r="AC79" i="30"/>
  <c r="AE79" i="30"/>
  <c r="AG79" i="30"/>
  <c r="AC80" i="30"/>
  <c r="AE80" i="30"/>
  <c r="AG80" i="30"/>
  <c r="AC81" i="30"/>
  <c r="AE81" i="30"/>
  <c r="AG81" i="30"/>
  <c r="AC82" i="30"/>
  <c r="AE82" i="30"/>
  <c r="AG82" i="30"/>
  <c r="AC83" i="30"/>
  <c r="AE83" i="30"/>
  <c r="AG83" i="30"/>
  <c r="AC84" i="30"/>
  <c r="AE84" i="30"/>
  <c r="AG84" i="30"/>
  <c r="AC85" i="30"/>
  <c r="AE85" i="30"/>
  <c r="AG85" i="30"/>
  <c r="AC86" i="30"/>
  <c r="AE86" i="30"/>
  <c r="AG86" i="30"/>
  <c r="AC87" i="30"/>
  <c r="AE87" i="30"/>
  <c r="AG87" i="30"/>
  <c r="AC88" i="30"/>
  <c r="AE88" i="30"/>
  <c r="AG88" i="30"/>
  <c r="AC89" i="30"/>
  <c r="AE89" i="30"/>
  <c r="AG89" i="30"/>
  <c r="AC90" i="30"/>
  <c r="AE90" i="30"/>
  <c r="AG90" i="30"/>
  <c r="AC91" i="30"/>
  <c r="AE91" i="30"/>
  <c r="AG91" i="30"/>
  <c r="AJ92" i="30" a="1"/>
  <c r="AJ92" i="30" l="1"/>
  <c r="Y4" i="138" l="1"/>
  <c r="S4" i="138"/>
  <c r="S3" i="138"/>
  <c r="M4" i="138"/>
  <c r="M5" i="138"/>
  <c r="M6" i="138"/>
  <c r="M3" i="138"/>
  <c r="G6" i="138"/>
  <c r="G5" i="138"/>
  <c r="G4" i="138"/>
  <c r="G3" i="138"/>
  <c r="AI2" i="30" l="1"/>
  <c r="C2" i="144" s="1"/>
  <c r="AI3" i="30"/>
  <c r="C2" i="98" s="1"/>
  <c r="AH3" i="30"/>
  <c r="B2" i="98" s="1"/>
  <c r="AH2" i="30"/>
  <c r="B12" i="98" l="1"/>
  <c r="B2" i="144"/>
  <c r="B12" i="144" s="1"/>
  <c r="K33" i="138"/>
  <c r="K32" i="138"/>
  <c r="K31" i="138"/>
  <c r="K30" i="138"/>
  <c r="N15" i="137" l="1"/>
  <c r="AE4" i="137" l="1"/>
  <c r="Q35" i="137"/>
  <c r="AE3" i="137"/>
  <c r="A7" i="98"/>
  <c r="A8" i="98"/>
  <c r="A9" i="98"/>
  <c r="A6" i="98"/>
  <c r="AF3" i="30" l="1"/>
  <c r="C1" i="98" s="1"/>
  <c r="AF2" i="30"/>
  <c r="C1" i="144" s="1"/>
  <c r="AD2" i="30"/>
  <c r="AB14" i="30" l="1"/>
  <c r="E13" i="146"/>
  <c r="B1" i="144"/>
  <c r="E14" i="97"/>
  <c r="AB89" i="30"/>
  <c r="AB91" i="30"/>
  <c r="AB87" i="30"/>
  <c r="AB88" i="30"/>
  <c r="AB90" i="30"/>
  <c r="AB50" i="30"/>
  <c r="AB72" i="30"/>
  <c r="AB51" i="30"/>
  <c r="AB73" i="30"/>
  <c r="AB52" i="30"/>
  <c r="AB74" i="30"/>
  <c r="AB53" i="30"/>
  <c r="AB75" i="30"/>
  <c r="AB44" i="30"/>
  <c r="AB56" i="30"/>
  <c r="AB81" i="30"/>
  <c r="AB67" i="30"/>
  <c r="AB54" i="30"/>
  <c r="AB76" i="30"/>
  <c r="AB78" i="30"/>
  <c r="AB59" i="30"/>
  <c r="AB69" i="30"/>
  <c r="AB55" i="30"/>
  <c r="AB77" i="30"/>
  <c r="AB58" i="30"/>
  <c r="AB80" i="30"/>
  <c r="AB47" i="30"/>
  <c r="AB45" i="30"/>
  <c r="AB57" i="30"/>
  <c r="AB79" i="30"/>
  <c r="AB46" i="30"/>
  <c r="AB60" i="30"/>
  <c r="AB82" i="30"/>
  <c r="AB61" i="30"/>
  <c r="AB83" i="30"/>
  <c r="AB62" i="30"/>
  <c r="AB84" i="30"/>
  <c r="AB63" i="30"/>
  <c r="AB85" i="30"/>
  <c r="AB64" i="30"/>
  <c r="AB86" i="30"/>
  <c r="AB65" i="30"/>
  <c r="AB66" i="30"/>
  <c r="AB68" i="30"/>
  <c r="AB48" i="30"/>
  <c r="AB70" i="30"/>
  <c r="AB49" i="30"/>
  <c r="AB71" i="30"/>
  <c r="AD3" i="30"/>
  <c r="AH57" i="30" a="1"/>
  <c r="AJ75" i="30" a="1"/>
  <c r="AH44" i="30" a="1"/>
  <c r="AH45" i="30" a="1"/>
  <c r="AJ59" i="30" a="1"/>
  <c r="AD62" i="30" a="1"/>
  <c r="AH65" i="30" a="1"/>
  <c r="AD46" i="30" a="1"/>
  <c r="AJ84" i="30" a="1"/>
  <c r="AH91" i="30" a="1"/>
  <c r="AH60" i="30" a="1"/>
  <c r="AJ62" i="30" a="1"/>
  <c r="AD58" i="30" a="1"/>
  <c r="AH56" i="30" a="1"/>
  <c r="AH46" i="30" a="1"/>
  <c r="AF85" i="30" a="1"/>
  <c r="AH50" i="30" a="1"/>
  <c r="AJ66" i="30" a="1"/>
  <c r="AJ49" i="30" a="1"/>
  <c r="AF14" i="30" a="1"/>
  <c r="AF63" i="30" a="1"/>
  <c r="AH47" i="30" a="1"/>
  <c r="AF80" i="30" a="1"/>
  <c r="AD44" i="30" a="1"/>
  <c r="AD82" i="30" a="1"/>
  <c r="AF46" i="30" a="1"/>
  <c r="AD48" i="30" a="1"/>
  <c r="AF82" i="30" a="1"/>
  <c r="AF86" i="30" a="1"/>
  <c r="AD78" i="30" a="1"/>
  <c r="AF65" i="30" a="1"/>
  <c r="AD77" i="30" a="1"/>
  <c r="AD68" i="30" a="1"/>
  <c r="AF69" i="30" a="1"/>
  <c r="AF47" i="30" a="1"/>
  <c r="AJ55" i="30" a="1"/>
  <c r="AD80" i="30" a="1"/>
  <c r="AJ87" i="30" a="1"/>
  <c r="AD57" i="30" a="1"/>
  <c r="AF50" i="30" a="1"/>
  <c r="AD47" i="30" a="1"/>
  <c r="AF55" i="30" a="1"/>
  <c r="AF76" i="30" a="1"/>
  <c r="AD65" i="30" a="1"/>
  <c r="AF66" i="30" a="1"/>
  <c r="AD70" i="30" a="1"/>
  <c r="AF81" i="30" a="1"/>
  <c r="AJ44" i="30" a="1"/>
  <c r="AH67" i="30" a="1"/>
  <c r="AJ79" i="30" a="1"/>
  <c r="AD67" i="30" a="1"/>
  <c r="AJ90" i="30" a="1"/>
  <c r="AH75" i="30" a="1"/>
  <c r="AJ69" i="30" a="1"/>
  <c r="AD83" i="30" a="1"/>
  <c r="AJ71" i="30" a="1"/>
  <c r="AJ63" i="30" a="1"/>
  <c r="AD89" i="30" a="1"/>
  <c r="AF51" i="30" a="1"/>
  <c r="AH59" i="30" a="1"/>
  <c r="AD63" i="30" a="1"/>
  <c r="AD61" i="30" a="1"/>
  <c r="AH70" i="30" a="1"/>
  <c r="AH84" i="30" a="1"/>
  <c r="AF44" i="30" a="1"/>
  <c r="AH52" i="30" a="1"/>
  <c r="AF87" i="30" a="1"/>
  <c r="AF72" i="30" a="1"/>
  <c r="AJ68" i="30" a="1"/>
  <c r="AH81" i="30" a="1"/>
  <c r="AJ78" i="30" a="1"/>
  <c r="AH77" i="30" a="1"/>
  <c r="AJ76" i="30" a="1"/>
  <c r="AD59" i="30" a="1"/>
  <c r="AJ81" i="30" a="1"/>
  <c r="AF77" i="30" a="1"/>
  <c r="F51" i="97"/>
  <c r="AH69" i="30" a="1"/>
  <c r="AF91" i="30" a="1"/>
  <c r="AD86" i="30" a="1"/>
  <c r="AJ65" i="30" a="1"/>
  <c r="AF57" i="30" a="1"/>
  <c r="AD75" i="30" a="1"/>
  <c r="AD72" i="30" a="1"/>
  <c r="AJ73" i="30" a="1"/>
  <c r="AJ48" i="30" a="1"/>
  <c r="AH54" i="30" a="1"/>
  <c r="AH62" i="30" a="1"/>
  <c r="AJ50" i="30" a="1"/>
  <c r="AH85" i="30" a="1"/>
  <c r="AJ86" i="30" a="1"/>
  <c r="AJ53" i="30" a="1"/>
  <c r="AF88" i="30" a="1"/>
  <c r="AD87" i="30" a="1"/>
  <c r="AD79" i="30" a="1"/>
  <c r="AF62" i="30" a="1"/>
  <c r="AD90" i="30" a="1"/>
  <c r="AJ83" i="30" a="1"/>
  <c r="AF89" i="30" a="1"/>
  <c r="AJ54" i="30" a="1"/>
  <c r="AJ47" i="30" a="1"/>
  <c r="AJ89" i="30" a="1"/>
  <c r="AJ82" i="30" a="1"/>
  <c r="AH58" i="30" a="1"/>
  <c r="AJ64" i="30" a="1"/>
  <c r="AH48" i="30" a="1"/>
  <c r="AF67" i="30" a="1"/>
  <c r="AH74" i="30" a="1"/>
  <c r="AJ60" i="30" a="1"/>
  <c r="AJ70" i="30" a="1"/>
  <c r="AF71" i="30" a="1"/>
  <c r="AH49" i="30" a="1"/>
  <c r="AD64" i="30" a="1"/>
  <c r="AF70" i="30" a="1"/>
  <c r="AJ72" i="30" a="1"/>
  <c r="AH53" i="30" a="1"/>
  <c r="AH72" i="30" a="1"/>
  <c r="AD84" i="30" a="1"/>
  <c r="AD14" i="30" a="1"/>
  <c r="AD81" i="30" a="1"/>
  <c r="AD88" i="30" a="1"/>
  <c r="AH61" i="30" a="1"/>
  <c r="AJ52" i="30" a="1"/>
  <c r="AJ74" i="30" a="1"/>
  <c r="AH71" i="30" a="1"/>
  <c r="AH76" i="30" a="1"/>
  <c r="AF52" i="30" a="1"/>
  <c r="AJ77" i="30" a="1"/>
  <c r="AJ67" i="30" a="1"/>
  <c r="AF83" i="30" a="1"/>
  <c r="AF53" i="30" a="1"/>
  <c r="AD91" i="30" a="1"/>
  <c r="AD60" i="30" a="1"/>
  <c r="AH64" i="30" a="1"/>
  <c r="AD56" i="30" a="1"/>
  <c r="AF75" i="30" a="1"/>
  <c r="AJ56" i="30" a="1"/>
  <c r="AD51" i="30" a="1"/>
  <c r="AD50" i="30" a="1"/>
  <c r="AH51" i="30" a="1"/>
  <c r="AH55" i="30" a="1"/>
  <c r="AF45" i="30" a="1"/>
  <c r="AJ51" i="30" a="1"/>
  <c r="AF68" i="30" a="1"/>
  <c r="AF79" i="30" a="1"/>
  <c r="AJ61" i="30" a="1"/>
  <c r="AD85" i="30" a="1"/>
  <c r="AH88" i="30" a="1"/>
  <c r="AD69" i="30" a="1"/>
  <c r="AF73" i="30" a="1"/>
  <c r="AF74" i="30" a="1"/>
  <c r="AJ88" i="30" a="1"/>
  <c r="AH63" i="30" a="1"/>
  <c r="AF58" i="30" a="1"/>
  <c r="AF90" i="30" a="1"/>
  <c r="AH78" i="30" a="1"/>
  <c r="AH73" i="30" a="1"/>
  <c r="AH86" i="30" a="1"/>
  <c r="AJ46" i="30" a="1"/>
  <c r="AD49" i="30" a="1"/>
  <c r="AF84" i="30" a="1"/>
  <c r="AH90" i="30" a="1"/>
  <c r="AH66" i="30" a="1"/>
  <c r="AD73" i="30" a="1"/>
  <c r="AJ91" i="30" a="1"/>
  <c r="AF54" i="30" a="1"/>
  <c r="AH80" i="30" a="1"/>
  <c r="AH14" i="30" a="1"/>
  <c r="AJ80" i="30" a="1"/>
  <c r="AJ14" i="30" a="1"/>
  <c r="AD53" i="30" a="1"/>
  <c r="AH79" i="30" a="1"/>
  <c r="AD66" i="30" a="1"/>
  <c r="AF64" i="30" a="1"/>
  <c r="AJ85" i="30" a="1"/>
  <c r="AH89" i="30" a="1"/>
  <c r="AH83" i="30" a="1"/>
  <c r="AF61" i="30" a="1"/>
  <c r="AD45" i="30" a="1"/>
  <c r="AJ58" i="30" a="1"/>
  <c r="F53" i="97"/>
  <c r="AD52" i="30" a="1"/>
  <c r="AH82" i="30" a="1"/>
  <c r="AD54" i="30" a="1"/>
  <c r="AD74" i="30" a="1"/>
  <c r="AJ45" i="30" a="1"/>
  <c r="AF78" i="30" a="1"/>
  <c r="AF48" i="30" a="1"/>
  <c r="AD76" i="30" a="1"/>
  <c r="AF59" i="30" a="1"/>
  <c r="F50" i="97"/>
  <c r="AJ57" i="30" a="1"/>
  <c r="F49" i="97"/>
  <c r="AH87" i="30" a="1"/>
  <c r="AF60" i="30" a="1"/>
  <c r="AD71" i="30" a="1"/>
  <c r="AH68" i="30" a="1"/>
  <c r="AF49" i="30" a="1"/>
  <c r="AD55" i="30" a="1"/>
  <c r="AF56" i="30" a="1"/>
  <c r="AJ14" i="30" l="1"/>
  <c r="AH14" i="30"/>
  <c r="AF14" i="30"/>
  <c r="AD14" i="30"/>
  <c r="G157" i="97"/>
  <c r="G104" i="97"/>
  <c r="F52" i="97"/>
  <c r="B1" i="98"/>
  <c r="E13" i="97"/>
  <c r="B24" i="144"/>
  <c r="B46" i="144"/>
  <c r="B68" i="144"/>
  <c r="B25" i="144"/>
  <c r="B47" i="144"/>
  <c r="B69" i="144"/>
  <c r="B26" i="144"/>
  <c r="B48" i="144"/>
  <c r="B70" i="144"/>
  <c r="B27" i="144"/>
  <c r="B49" i="144"/>
  <c r="B71" i="144"/>
  <c r="B28" i="144"/>
  <c r="B50" i="144"/>
  <c r="B72" i="144"/>
  <c r="B29" i="144"/>
  <c r="B51" i="144"/>
  <c r="B16" i="144"/>
  <c r="B30" i="144"/>
  <c r="B52" i="144"/>
  <c r="B31" i="144"/>
  <c r="B53" i="144"/>
  <c r="B32" i="144"/>
  <c r="B54" i="144"/>
  <c r="B33" i="144"/>
  <c r="B55" i="144"/>
  <c r="B34" i="144"/>
  <c r="B56" i="144"/>
  <c r="B35" i="144"/>
  <c r="B57" i="144"/>
  <c r="B36" i="144"/>
  <c r="B58" i="144"/>
  <c r="B41" i="144"/>
  <c r="B59" i="144"/>
  <c r="B63" i="144"/>
  <c r="B20" i="144"/>
  <c r="B42" i="144"/>
  <c r="B43" i="144"/>
  <c r="B44" i="144"/>
  <c r="B45" i="144"/>
  <c r="B60" i="144"/>
  <c r="B61" i="144"/>
  <c r="B62" i="144"/>
  <c r="B64" i="144"/>
  <c r="B17" i="144"/>
  <c r="B65" i="144"/>
  <c r="B18" i="144"/>
  <c r="B66" i="144"/>
  <c r="B19" i="144"/>
  <c r="B67" i="144"/>
  <c r="B21" i="144"/>
  <c r="B22" i="144"/>
  <c r="B23" i="144"/>
  <c r="B37" i="144"/>
  <c r="B38" i="144"/>
  <c r="B39" i="144"/>
  <c r="B40" i="144"/>
  <c r="F14" i="97"/>
  <c r="F13" i="146"/>
  <c r="AD52" i="30"/>
  <c r="AD73" i="30"/>
  <c r="AD79" i="30"/>
  <c r="AD51" i="30"/>
  <c r="AD47" i="30"/>
  <c r="AD88" i="30"/>
  <c r="AD58" i="30"/>
  <c r="AD68" i="30"/>
  <c r="AD65" i="30"/>
  <c r="AD76" i="30"/>
  <c r="AD64" i="30"/>
  <c r="AD63" i="30"/>
  <c r="AD62" i="30"/>
  <c r="AD50" i="30"/>
  <c r="AD87" i="30"/>
  <c r="AD77" i="30"/>
  <c r="AD89" i="30"/>
  <c r="AD86" i="30"/>
  <c r="AD85" i="30"/>
  <c r="AD81" i="30"/>
  <c r="AD84" i="30"/>
  <c r="AD56" i="30"/>
  <c r="AD44" i="30"/>
  <c r="AD83" i="30"/>
  <c r="AD75" i="30"/>
  <c r="AD60" i="30"/>
  <c r="AD46" i="30"/>
  <c r="AD72" i="30"/>
  <c r="AD45" i="30"/>
  <c r="AD90" i="30"/>
  <c r="AD80" i="30"/>
  <c r="AD49" i="30"/>
  <c r="AD70" i="30"/>
  <c r="AD48" i="30"/>
  <c r="AD69" i="30"/>
  <c r="AD66" i="30"/>
  <c r="AD54" i="30"/>
  <c r="AD67" i="30"/>
  <c r="AD61" i="30"/>
  <c r="AD53" i="30"/>
  <c r="AD57" i="30"/>
  <c r="AD71" i="30"/>
  <c r="AD55" i="30"/>
  <c r="AD59" i="30"/>
  <c r="AD78" i="30"/>
  <c r="AD82" i="30"/>
  <c r="AD74" i="30"/>
  <c r="AJ63" i="30"/>
  <c r="AF63" i="30"/>
  <c r="AH63" i="30"/>
  <c r="AJ59" i="30"/>
  <c r="AH59" i="30"/>
  <c r="AF59" i="30"/>
  <c r="AJ87" i="30"/>
  <c r="AH87" i="30"/>
  <c r="AF87" i="30"/>
  <c r="AJ78" i="30"/>
  <c r="AH78" i="30"/>
  <c r="AF78" i="30"/>
  <c r="AJ61" i="30"/>
  <c r="AF61" i="30"/>
  <c r="AH61" i="30"/>
  <c r="AJ71" i="30"/>
  <c r="AH71" i="30"/>
  <c r="AF71" i="30"/>
  <c r="AJ82" i="30"/>
  <c r="AH82" i="30"/>
  <c r="AF82" i="30"/>
  <c r="AJ70" i="30"/>
  <c r="AH70" i="30"/>
  <c r="AF70" i="30"/>
  <c r="AJ69" i="30"/>
  <c r="AF69" i="30"/>
  <c r="AH69" i="30"/>
  <c r="AJ85" i="30"/>
  <c r="AF85" i="30"/>
  <c r="AH85" i="30"/>
  <c r="AJ88" i="30"/>
  <c r="AF88" i="30"/>
  <c r="AH88" i="30"/>
  <c r="AJ89" i="30"/>
  <c r="AF89" i="30"/>
  <c r="AH89" i="30"/>
  <c r="AJ54" i="30"/>
  <c r="AF54" i="30"/>
  <c r="AH54" i="30"/>
  <c r="AJ49" i="30"/>
  <c r="AH49" i="30"/>
  <c r="AF49" i="30"/>
  <c r="AJ56" i="30"/>
  <c r="AF56" i="30"/>
  <c r="AH56" i="30"/>
  <c r="AJ48" i="30"/>
  <c r="AH48" i="30"/>
  <c r="AF48" i="30"/>
  <c r="AJ44" i="30"/>
  <c r="AH44" i="30"/>
  <c r="AF44" i="30"/>
  <c r="AJ68" i="30"/>
  <c r="AF68" i="30"/>
  <c r="AH68" i="30"/>
  <c r="AJ75" i="30"/>
  <c r="AF75" i="30"/>
  <c r="AH75" i="30"/>
  <c r="AJ53" i="30"/>
  <c r="AF53" i="30"/>
  <c r="AH53" i="30"/>
  <c r="AJ66" i="30"/>
  <c r="AF66" i="30"/>
  <c r="AH66" i="30"/>
  <c r="AJ74" i="30"/>
  <c r="AH74" i="30"/>
  <c r="AF74" i="30"/>
  <c r="AJ47" i="30"/>
  <c r="AF47" i="30"/>
  <c r="AH47" i="30"/>
  <c r="AJ80" i="30"/>
  <c r="AF80" i="30"/>
  <c r="AH80" i="30"/>
  <c r="AJ77" i="30"/>
  <c r="AF77" i="30"/>
  <c r="AH77" i="30"/>
  <c r="AJ90" i="30"/>
  <c r="AH90" i="30"/>
  <c r="AF90" i="30"/>
  <c r="AJ84" i="30"/>
  <c r="AH84" i="30"/>
  <c r="AF84" i="30"/>
  <c r="AJ62" i="30"/>
  <c r="AF62" i="30"/>
  <c r="AH62" i="30"/>
  <c r="AJ91" i="30"/>
  <c r="AF91" i="30"/>
  <c r="AH91" i="30"/>
  <c r="AD91" i="30"/>
  <c r="AJ76" i="30"/>
  <c r="AF76" i="30"/>
  <c r="AH76" i="30"/>
  <c r="AJ83" i="30"/>
  <c r="AF83" i="30"/>
  <c r="AH83" i="30"/>
  <c r="AJ67" i="30"/>
  <c r="AH67" i="30"/>
  <c r="AF67" i="30"/>
  <c r="AJ81" i="30"/>
  <c r="AH81" i="30"/>
  <c r="AF81" i="30"/>
  <c r="AJ60" i="30"/>
  <c r="AH60" i="30"/>
  <c r="AF60" i="30"/>
  <c r="AJ46" i="30"/>
  <c r="AF46" i="30"/>
  <c r="AH46" i="30"/>
  <c r="AJ79" i="30"/>
  <c r="AH79" i="30"/>
  <c r="AF79" i="30"/>
  <c r="AJ57" i="30"/>
  <c r="AF57" i="30"/>
  <c r="AH57" i="30"/>
  <c r="AJ45" i="30"/>
  <c r="AH45" i="30"/>
  <c r="AF45" i="30"/>
  <c r="AJ52" i="30"/>
  <c r="AF52" i="30"/>
  <c r="AH52" i="30"/>
  <c r="AJ65" i="30"/>
  <c r="AF65" i="30"/>
  <c r="AH65" i="30"/>
  <c r="AJ73" i="30"/>
  <c r="AF73" i="30"/>
  <c r="AH73" i="30"/>
  <c r="AJ51" i="30"/>
  <c r="AF51" i="30"/>
  <c r="AH51" i="30"/>
  <c r="AJ86" i="30"/>
  <c r="AF86" i="30"/>
  <c r="AH86" i="30"/>
  <c r="AJ58" i="30"/>
  <c r="AF58" i="30"/>
  <c r="AH58" i="30"/>
  <c r="AJ64" i="30"/>
  <c r="AF64" i="30"/>
  <c r="AH64" i="30"/>
  <c r="AJ72" i="30"/>
  <c r="AF72" i="30"/>
  <c r="AH72" i="30"/>
  <c r="AJ55" i="30"/>
  <c r="AF55" i="30"/>
  <c r="AH55" i="30"/>
  <c r="AJ50" i="30"/>
  <c r="AF50" i="30"/>
  <c r="AH50" i="30"/>
  <c r="G99" i="97"/>
  <c r="G152" i="97"/>
  <c r="G102" i="97"/>
  <c r="G155" i="97"/>
  <c r="F13" i="97" l="1"/>
  <c r="B33" i="98"/>
  <c r="B34" i="98"/>
  <c r="B56" i="98"/>
  <c r="B35" i="98"/>
  <c r="B57" i="98"/>
  <c r="B36" i="98"/>
  <c r="B58" i="98"/>
  <c r="B37" i="98"/>
  <c r="B59" i="98"/>
  <c r="B38" i="98"/>
  <c r="B60" i="98"/>
  <c r="B17" i="98"/>
  <c r="B39" i="98"/>
  <c r="B61" i="98"/>
  <c r="B18" i="98"/>
  <c r="B40" i="98"/>
  <c r="B62" i="98"/>
  <c r="B19" i="98"/>
  <c r="B41" i="98"/>
  <c r="B63" i="98"/>
  <c r="B20" i="98"/>
  <c r="B42" i="98"/>
  <c r="B64" i="98"/>
  <c r="B21" i="98"/>
  <c r="B43" i="98"/>
  <c r="B65" i="98"/>
  <c r="B22" i="98"/>
  <c r="B44" i="98"/>
  <c r="B66" i="98"/>
  <c r="B31" i="98"/>
  <c r="B46" i="98"/>
  <c r="B51" i="98"/>
  <c r="B52" i="98"/>
  <c r="B67" i="98"/>
  <c r="B70" i="98"/>
  <c r="B26" i="98"/>
  <c r="B72" i="98"/>
  <c r="B28" i="98"/>
  <c r="B29" i="98"/>
  <c r="B30" i="98"/>
  <c r="B32" i="98"/>
  <c r="B45" i="98"/>
  <c r="B47" i="98"/>
  <c r="B48" i="98"/>
  <c r="B49" i="98"/>
  <c r="B50" i="98"/>
  <c r="B53" i="98"/>
  <c r="B54" i="98"/>
  <c r="B55" i="98"/>
  <c r="B23" i="98"/>
  <c r="B68" i="98"/>
  <c r="B24" i="98"/>
  <c r="B69" i="98"/>
  <c r="B25" i="98"/>
  <c r="B71" i="98"/>
  <c r="B27" i="98"/>
  <c r="B16" i="98"/>
  <c r="G156" i="97"/>
  <c r="G103" i="97"/>
  <c r="G13" i="146"/>
  <c r="G14" i="97"/>
  <c r="G100" i="97"/>
  <c r="G153" i="97"/>
  <c r="G22" i="144"/>
  <c r="F17" i="144"/>
  <c r="C18" i="144"/>
  <c r="F67" i="144"/>
  <c r="C54" i="144"/>
  <c r="D43" i="144"/>
  <c r="G51" i="97"/>
  <c r="C42" i="144"/>
  <c r="F47" i="144"/>
  <c r="C23" i="144"/>
  <c r="E27" i="144"/>
  <c r="F25" i="144"/>
  <c r="G36" i="144"/>
  <c r="D61" i="144"/>
  <c r="C57" i="144"/>
  <c r="G38" i="98"/>
  <c r="D21" i="98"/>
  <c r="D53" i="98"/>
  <c r="D24" i="98"/>
  <c r="F53" i="98"/>
  <c r="F18" i="98"/>
  <c r="E45" i="98"/>
  <c r="G29" i="98"/>
  <c r="G28" i="98"/>
  <c r="F58" i="98"/>
  <c r="E50" i="98"/>
  <c r="C16" i="98"/>
  <c r="F62" i="98"/>
  <c r="G20" i="97"/>
  <c r="E53" i="144"/>
  <c r="G25" i="98"/>
  <c r="F39" i="144"/>
  <c r="D57" i="98"/>
  <c r="F23" i="97"/>
  <c r="C19" i="98"/>
  <c r="D34" i="98"/>
  <c r="F54" i="97"/>
  <c r="F22" i="144"/>
  <c r="G26" i="144"/>
  <c r="E52" i="144"/>
  <c r="C38" i="144"/>
  <c r="E68" i="144"/>
  <c r="C70" i="144"/>
  <c r="F34" i="144"/>
  <c r="G72" i="144"/>
  <c r="C71" i="144"/>
  <c r="E41" i="144"/>
  <c r="C60" i="144"/>
  <c r="C69" i="144"/>
  <c r="F16" i="144"/>
  <c r="F21" i="144"/>
  <c r="D66" i="144"/>
  <c r="F29" i="144"/>
  <c r="C51" i="98"/>
  <c r="G71" i="98"/>
  <c r="C57" i="98"/>
  <c r="C39" i="98"/>
  <c r="F30" i="98"/>
  <c r="G30" i="97"/>
  <c r="G29" i="97"/>
  <c r="C53" i="98"/>
  <c r="F66" i="98"/>
  <c r="D54" i="98"/>
  <c r="G49" i="98"/>
  <c r="D59" i="98"/>
  <c r="D55" i="98"/>
  <c r="G35" i="97"/>
  <c r="E54" i="144"/>
  <c r="E32" i="98"/>
  <c r="G31" i="98"/>
  <c r="E33" i="98"/>
  <c r="F47" i="98"/>
  <c r="D69" i="98"/>
  <c r="F23" i="98"/>
  <c r="F64" i="98"/>
  <c r="F28" i="98"/>
  <c r="G67" i="98"/>
  <c r="D38" i="98"/>
  <c r="G56" i="97"/>
  <c r="G61" i="98"/>
  <c r="G20" i="98"/>
  <c r="G31" i="97"/>
  <c r="G41" i="97"/>
  <c r="C55" i="144"/>
  <c r="F29" i="97"/>
  <c r="E22" i="144"/>
  <c r="G43" i="144"/>
  <c r="C56" i="144"/>
  <c r="G46" i="98"/>
  <c r="G35" i="98"/>
  <c r="G51" i="98"/>
  <c r="F60" i="98"/>
  <c r="E70" i="98"/>
  <c r="G19" i="97"/>
  <c r="C60" i="98"/>
  <c r="F53" i="144"/>
  <c r="C58" i="144"/>
  <c r="F21" i="97"/>
  <c r="F64" i="144"/>
  <c r="C59" i="144"/>
  <c r="E70" i="144"/>
  <c r="C53" i="144"/>
  <c r="C63" i="144"/>
  <c r="F45" i="97"/>
  <c r="F43" i="144"/>
  <c r="G29" i="144"/>
  <c r="D28" i="144"/>
  <c r="D22" i="144"/>
  <c r="F55" i="97"/>
  <c r="F30" i="97"/>
  <c r="E63" i="144"/>
  <c r="E46" i="144"/>
  <c r="F48" i="144"/>
  <c r="F54" i="144"/>
  <c r="G42" i="98"/>
  <c r="D26" i="98"/>
  <c r="G48" i="97"/>
  <c r="C43" i="98"/>
  <c r="G65" i="98"/>
  <c r="F17" i="98"/>
  <c r="E60" i="98"/>
  <c r="F65" i="98"/>
  <c r="F40" i="98"/>
  <c r="E37" i="98"/>
  <c r="E16" i="98"/>
  <c r="D28" i="98"/>
  <c r="F71" i="98"/>
  <c r="F22" i="98"/>
  <c r="D39" i="144"/>
  <c r="G50" i="144"/>
  <c r="G44" i="98"/>
  <c r="G58" i="97"/>
  <c r="F46" i="98"/>
  <c r="G46" i="97"/>
  <c r="G24" i="98"/>
  <c r="E51" i="98"/>
  <c r="E62" i="98"/>
  <c r="C65" i="98"/>
  <c r="C56" i="98"/>
  <c r="D66" i="98"/>
  <c r="E55" i="98"/>
  <c r="C69" i="98"/>
  <c r="G57" i="98"/>
  <c r="G36" i="97"/>
  <c r="C52" i="98"/>
  <c r="C46" i="98"/>
  <c r="E30" i="98"/>
  <c r="E32" i="144"/>
  <c r="F59" i="144"/>
  <c r="D50" i="144"/>
  <c r="C61" i="144"/>
  <c r="E65" i="144"/>
  <c r="E26" i="144"/>
  <c r="D18" i="98"/>
  <c r="C26" i="98"/>
  <c r="F44" i="98"/>
  <c r="D65" i="98"/>
  <c r="G46" i="144"/>
  <c r="C62" i="144"/>
  <c r="E67" i="144"/>
  <c r="G25" i="144"/>
  <c r="E58" i="144"/>
  <c r="C28" i="144"/>
  <c r="F26" i="97"/>
  <c r="C24" i="98"/>
  <c r="E61" i="144"/>
  <c r="F61" i="144"/>
  <c r="C66" i="144"/>
  <c r="G52" i="144"/>
  <c r="D20" i="144"/>
  <c r="F40" i="97"/>
  <c r="G49" i="144"/>
  <c r="G23" i="144"/>
  <c r="E44" i="144"/>
  <c r="F44" i="97"/>
  <c r="E56" i="144"/>
  <c r="G56" i="144"/>
  <c r="D72" i="98"/>
  <c r="D47" i="98"/>
  <c r="D54" i="144"/>
  <c r="D18" i="144"/>
  <c r="F68" i="98"/>
  <c r="F25" i="98"/>
  <c r="D69" i="144"/>
  <c r="C31" i="144"/>
  <c r="E54" i="98"/>
  <c r="G41" i="98"/>
  <c r="E17" i="144"/>
  <c r="E35" i="144"/>
  <c r="E65" i="98"/>
  <c r="G58" i="98"/>
  <c r="H53" i="97"/>
  <c r="G50" i="97"/>
  <c r="E18" i="144"/>
  <c r="C62" i="98"/>
  <c r="F41" i="98"/>
  <c r="C54" i="98"/>
  <c r="G54" i="98"/>
  <c r="G49" i="97"/>
  <c r="F38" i="98"/>
  <c r="D27" i="98"/>
  <c r="F35" i="98"/>
  <c r="C49" i="98"/>
  <c r="D60" i="98"/>
  <c r="D58" i="98"/>
  <c r="F36" i="98"/>
  <c r="G45" i="97"/>
  <c r="D19" i="144"/>
  <c r="E34" i="144"/>
  <c r="D16" i="144"/>
  <c r="F67" i="98"/>
  <c r="E27" i="98"/>
  <c r="E48" i="98"/>
  <c r="C20" i="98"/>
  <c r="C39" i="144"/>
  <c r="G18" i="98"/>
  <c r="F69" i="98"/>
  <c r="E43" i="144"/>
  <c r="C72" i="144"/>
  <c r="F38" i="144"/>
  <c r="G28" i="144"/>
  <c r="F56" i="97"/>
  <c r="C30" i="98"/>
  <c r="C66" i="98"/>
  <c r="C44" i="144"/>
  <c r="D56" i="144"/>
  <c r="D49" i="98"/>
  <c r="G59" i="144"/>
  <c r="D67" i="144"/>
  <c r="F49" i="98"/>
  <c r="E56" i="98"/>
  <c r="F48" i="98"/>
  <c r="F37" i="98"/>
  <c r="G43" i="98"/>
  <c r="F51" i="144"/>
  <c r="G23" i="97"/>
  <c r="C71" i="98"/>
  <c r="D17" i="144"/>
  <c r="G71" i="144"/>
  <c r="F26" i="98"/>
  <c r="H50" i="97"/>
  <c r="G56" i="98"/>
  <c r="D46" i="144"/>
  <c r="G58" i="144"/>
  <c r="E38" i="144"/>
  <c r="G55" i="144"/>
  <c r="F19" i="98"/>
  <c r="D30" i="98"/>
  <c r="C70" i="98"/>
  <c r="D55" i="144"/>
  <c r="D59" i="144"/>
  <c r="G57" i="144"/>
  <c r="F28" i="97"/>
  <c r="G39" i="144"/>
  <c r="D23" i="144"/>
  <c r="D38" i="144"/>
  <c r="F20" i="144"/>
  <c r="C34" i="144"/>
  <c r="F41" i="144"/>
  <c r="D36" i="144"/>
  <c r="G53" i="144"/>
  <c r="E64" i="144"/>
  <c r="D64" i="144"/>
  <c r="G47" i="144"/>
  <c r="F55" i="98"/>
  <c r="E39" i="98"/>
  <c r="G63" i="98"/>
  <c r="E57" i="98"/>
  <c r="F34" i="98"/>
  <c r="G60" i="98"/>
  <c r="G38" i="97"/>
  <c r="C33" i="98"/>
  <c r="D29" i="144"/>
  <c r="C24" i="144"/>
  <c r="C21" i="144"/>
  <c r="C45" i="144"/>
  <c r="D64" i="98"/>
  <c r="E42" i="98"/>
  <c r="C31" i="98"/>
  <c r="F70" i="98"/>
  <c r="E49" i="144"/>
  <c r="F18" i="144"/>
  <c r="E46" i="98"/>
  <c r="D68" i="98"/>
  <c r="C64" i="98"/>
  <c r="D33" i="144"/>
  <c r="C36" i="144"/>
  <c r="F28" i="144"/>
  <c r="D34" i="144"/>
  <c r="G63" i="144"/>
  <c r="G53" i="98"/>
  <c r="E25" i="98"/>
  <c r="E58" i="98"/>
  <c r="G39" i="97"/>
  <c r="G68" i="98"/>
  <c r="G66" i="98"/>
  <c r="H49" i="97"/>
  <c r="D37" i="144"/>
  <c r="G40" i="97"/>
  <c r="E35" i="98"/>
  <c r="G62" i="98"/>
  <c r="D22" i="98"/>
  <c r="C37" i="98"/>
  <c r="G17" i="144"/>
  <c r="D62" i="98"/>
  <c r="G32" i="98"/>
  <c r="G69" i="98"/>
  <c r="D35" i="144"/>
  <c r="E45" i="144"/>
  <c r="G17" i="98"/>
  <c r="C38" i="98"/>
  <c r="C35" i="98"/>
  <c r="G43" i="97"/>
  <c r="E17" i="98"/>
  <c r="F58" i="144"/>
  <c r="G19" i="144"/>
  <c r="C41" i="144"/>
  <c r="D16" i="98"/>
  <c r="F51" i="98"/>
  <c r="F52" i="98"/>
  <c r="G25" i="97"/>
  <c r="E28" i="144"/>
  <c r="C30" i="144"/>
  <c r="E31" i="144"/>
  <c r="F58" i="97"/>
  <c r="E69" i="98"/>
  <c r="E29" i="98"/>
  <c r="G40" i="144"/>
  <c r="G47" i="98"/>
  <c r="G16" i="144"/>
  <c r="D25" i="144"/>
  <c r="F19" i="97"/>
  <c r="F63" i="98"/>
  <c r="G35" i="144"/>
  <c r="D51" i="144"/>
  <c r="G67" i="144"/>
  <c r="D49" i="144"/>
  <c r="E21" i="144"/>
  <c r="G61" i="144"/>
  <c r="E44" i="98"/>
  <c r="D48" i="98"/>
  <c r="F56" i="98"/>
  <c r="G36" i="98"/>
  <c r="C34" i="98"/>
  <c r="F19" i="144"/>
  <c r="G45" i="98"/>
  <c r="G72" i="98"/>
  <c r="F44" i="144"/>
  <c r="E30" i="144"/>
  <c r="G27" i="144"/>
  <c r="C32" i="144"/>
  <c r="G33" i="144"/>
  <c r="F24" i="144"/>
  <c r="G70" i="144"/>
  <c r="C17" i="144"/>
  <c r="F41" i="97"/>
  <c r="G20" i="144"/>
  <c r="F69" i="144"/>
  <c r="C22" i="144"/>
  <c r="G38" i="144"/>
  <c r="D21" i="144"/>
  <c r="E60" i="144"/>
  <c r="D20" i="98"/>
  <c r="C58" i="98"/>
  <c r="C42" i="98"/>
  <c r="G34" i="97"/>
  <c r="E31" i="98"/>
  <c r="F33" i="98"/>
  <c r="F56" i="144"/>
  <c r="C25" i="98"/>
  <c r="F32" i="144"/>
  <c r="F43" i="98"/>
  <c r="C40" i="98"/>
  <c r="C50" i="98"/>
  <c r="F27" i="98"/>
  <c r="F62" i="144"/>
  <c r="E49" i="98"/>
  <c r="G39" i="98"/>
  <c r="D68" i="144"/>
  <c r="D40" i="98"/>
  <c r="D46" i="98"/>
  <c r="G41" i="144"/>
  <c r="F49" i="144"/>
  <c r="F25" i="97"/>
  <c r="D52" i="98"/>
  <c r="D42" i="98"/>
  <c r="G21" i="98"/>
  <c r="G52" i="98"/>
  <c r="F33" i="144"/>
  <c r="G44" i="97"/>
  <c r="F72" i="98"/>
  <c r="F20" i="98"/>
  <c r="G34" i="98"/>
  <c r="G23" i="98"/>
  <c r="G64" i="98"/>
  <c r="E20" i="98"/>
  <c r="D52" i="144"/>
  <c r="C23" i="98"/>
  <c r="E40" i="98"/>
  <c r="D50" i="98"/>
  <c r="F29" i="98"/>
  <c r="G19" i="98"/>
  <c r="G68" i="144"/>
  <c r="F45" i="144"/>
  <c r="C36" i="98"/>
  <c r="C28" i="98"/>
  <c r="E51" i="144"/>
  <c r="C52" i="144"/>
  <c r="G45" i="144"/>
  <c r="G31" i="144"/>
  <c r="F68" i="144"/>
  <c r="G55" i="98"/>
  <c r="C67" i="98"/>
  <c r="D48" i="144"/>
  <c r="G48" i="144"/>
  <c r="D63" i="144"/>
  <c r="F30" i="144"/>
  <c r="D60" i="144"/>
  <c r="F26" i="144"/>
  <c r="F21" i="98"/>
  <c r="E38" i="98"/>
  <c r="G16" i="98"/>
  <c r="D41" i="98"/>
  <c r="D61" i="98"/>
  <c r="C67" i="144"/>
  <c r="E26" i="98"/>
  <c r="E57" i="144"/>
  <c r="E19" i="98"/>
  <c r="E67" i="98"/>
  <c r="D43" i="98"/>
  <c r="C64" i="144"/>
  <c r="G54" i="144"/>
  <c r="E34" i="98"/>
  <c r="G26" i="98"/>
  <c r="F39" i="97"/>
  <c r="C50" i="144"/>
  <c r="E72" i="144"/>
  <c r="E64" i="98"/>
  <c r="E19" i="144"/>
  <c r="F31" i="97"/>
  <c r="E55" i="144"/>
  <c r="D51" i="98"/>
  <c r="C21" i="98"/>
  <c r="F54" i="98"/>
  <c r="C27" i="144"/>
  <c r="C26" i="144"/>
  <c r="D65" i="144"/>
  <c r="F24" i="98"/>
  <c r="D56" i="98"/>
  <c r="D67" i="98"/>
  <c r="C25" i="144"/>
  <c r="C68" i="98"/>
  <c r="G48" i="98"/>
  <c r="C33" i="144"/>
  <c r="D25" i="98"/>
  <c r="D71" i="98"/>
  <c r="E16" i="144"/>
  <c r="F35" i="97"/>
  <c r="G62" i="144"/>
  <c r="D47" i="144"/>
  <c r="G60" i="144"/>
  <c r="D45" i="144"/>
  <c r="G42" i="144"/>
  <c r="F36" i="97"/>
  <c r="G21" i="144"/>
  <c r="E42" i="144"/>
  <c r="F57" i="144"/>
  <c r="E62" i="144"/>
  <c r="E41" i="98"/>
  <c r="C47" i="98"/>
  <c r="G55" i="97"/>
  <c r="F61" i="98"/>
  <c r="G33" i="98"/>
  <c r="C63" i="98"/>
  <c r="C43" i="144"/>
  <c r="G53" i="97"/>
  <c r="F36" i="144"/>
  <c r="E52" i="98"/>
  <c r="F50" i="144"/>
  <c r="E25" i="144"/>
  <c r="G32" i="144"/>
  <c r="E40" i="144"/>
  <c r="D23" i="98"/>
  <c r="D31" i="98"/>
  <c r="E63" i="98"/>
  <c r="D70" i="98"/>
  <c r="C59" i="98"/>
  <c r="F23" i="144"/>
  <c r="E69" i="144"/>
  <c r="F32" i="98"/>
  <c r="G54" i="97"/>
  <c r="D17" i="98"/>
  <c r="E50" i="144"/>
  <c r="E72" i="98"/>
  <c r="D39" i="98"/>
  <c r="G50" i="98"/>
  <c r="G26" i="97"/>
  <c r="C48" i="144"/>
  <c r="C47" i="144"/>
  <c r="F20" i="97"/>
  <c r="E53" i="98"/>
  <c r="C22" i="98"/>
  <c r="D57" i="144"/>
  <c r="E20" i="144"/>
  <c r="F31" i="98"/>
  <c r="C48" i="98"/>
  <c r="G21" i="97"/>
  <c r="E21" i="98"/>
  <c r="F27" i="144"/>
  <c r="G30" i="144"/>
  <c r="F35" i="144"/>
  <c r="E36" i="98"/>
  <c r="F46" i="144"/>
  <c r="D32" i="144"/>
  <c r="E61" i="98"/>
  <c r="E71" i="98"/>
  <c r="G69" i="144"/>
  <c r="D71" i="144"/>
  <c r="D70" i="144"/>
  <c r="D30" i="144"/>
  <c r="C37" i="144"/>
  <c r="C19" i="144"/>
  <c r="C46" i="144"/>
  <c r="D24" i="144"/>
  <c r="C65" i="144"/>
  <c r="E29" i="144"/>
  <c r="F38" i="97"/>
  <c r="F48" i="97"/>
  <c r="D27" i="144"/>
  <c r="F72" i="144"/>
  <c r="F16" i="98"/>
  <c r="D63" i="98"/>
  <c r="D33" i="98"/>
  <c r="F59" i="98"/>
  <c r="D32" i="98"/>
  <c r="E43" i="98"/>
  <c r="E66" i="98"/>
  <c r="E28" i="98"/>
  <c r="G28" i="97"/>
  <c r="E47" i="98"/>
  <c r="C45" i="98"/>
  <c r="G33" i="97"/>
  <c r="F45" i="98"/>
  <c r="C32" i="98"/>
  <c r="D45" i="98"/>
  <c r="C16" i="144"/>
  <c r="E22" i="98"/>
  <c r="E71" i="144"/>
  <c r="C35" i="144"/>
  <c r="G37" i="144"/>
  <c r="F55" i="144"/>
  <c r="D37" i="98"/>
  <c r="E48" i="144"/>
  <c r="F40" i="144"/>
  <c r="C17" i="98"/>
  <c r="F57" i="98"/>
  <c r="E66" i="144"/>
  <c r="E59" i="144"/>
  <c r="G30" i="98"/>
  <c r="D29" i="98"/>
  <c r="G51" i="144"/>
  <c r="G18" i="144"/>
  <c r="F24" i="97"/>
  <c r="D42" i="144"/>
  <c r="G24" i="97"/>
  <c r="F42" i="144"/>
  <c r="C49" i="144"/>
  <c r="C51" i="144"/>
  <c r="G24" i="144"/>
  <c r="F39" i="98"/>
  <c r="D72" i="144"/>
  <c r="D35" i="98"/>
  <c r="F42" i="98"/>
  <c r="F60" i="144"/>
  <c r="D53" i="144"/>
  <c r="F71" i="144"/>
  <c r="D31" i="144"/>
  <c r="E23" i="144"/>
  <c r="C29" i="98"/>
  <c r="F50" i="98"/>
  <c r="E39" i="144"/>
  <c r="F31" i="144"/>
  <c r="F63" i="144"/>
  <c r="E36" i="144"/>
  <c r="D41" i="144"/>
  <c r="C68" i="144"/>
  <c r="G66" i="144"/>
  <c r="F66" i="144"/>
  <c r="D44" i="144"/>
  <c r="F34" i="97"/>
  <c r="F65" i="144"/>
  <c r="D58" i="144"/>
  <c r="C40" i="144"/>
  <c r="E33" i="144"/>
  <c r="D19" i="98"/>
  <c r="C18" i="98"/>
  <c r="E24" i="98"/>
  <c r="D44" i="98"/>
  <c r="D62" i="144"/>
  <c r="F52" i="144"/>
  <c r="E47" i="144"/>
  <c r="F70" i="144"/>
  <c r="F33" i="97"/>
  <c r="D36" i="98"/>
  <c r="E37" i="144"/>
  <c r="G70" i="98"/>
  <c r="D40" i="144"/>
  <c r="C41" i="98"/>
  <c r="C27" i="98"/>
  <c r="D26" i="144"/>
  <c r="E23" i="98"/>
  <c r="C44" i="98"/>
  <c r="C20" i="144"/>
  <c r="F43" i="97"/>
  <c r="C55" i="98"/>
  <c r="C61" i="98"/>
  <c r="E24" i="144"/>
  <c r="F37" i="144"/>
  <c r="G44" i="144"/>
  <c r="C29" i="144"/>
  <c r="E68" i="98"/>
  <c r="E59" i="98"/>
  <c r="H51" i="97"/>
  <c r="C72" i="98"/>
  <c r="F46" i="97"/>
  <c r="G65" i="144"/>
  <c r="G22" i="98"/>
  <c r="G34" i="144"/>
  <c r="G64" i="144"/>
  <c r="G59" i="98"/>
  <c r="E18" i="98"/>
  <c r="G37" i="98"/>
  <c r="G40" i="98"/>
  <c r="G27" i="98"/>
  <c r="G80" i="97" l="1"/>
  <c r="G133" i="97"/>
  <c r="G123" i="97"/>
  <c r="G70" i="97"/>
  <c r="G163" i="97"/>
  <c r="G110" i="97"/>
  <c r="F57" i="97"/>
  <c r="G162" i="97" s="1"/>
  <c r="G108" i="97"/>
  <c r="G161" i="97"/>
  <c r="G98" i="97"/>
  <c r="G151" i="97"/>
  <c r="K41" i="144" a="1"/>
  <c r="K41" i="144" s="1"/>
  <c r="J97" i="145" s="1"/>
  <c r="K71" i="144" a="1"/>
  <c r="K71" i="144" s="1"/>
  <c r="K62" i="144" a="1"/>
  <c r="K62" i="144" s="1"/>
  <c r="J118" i="145" s="1"/>
  <c r="K19" i="144" a="1"/>
  <c r="K19" i="144" s="1"/>
  <c r="J75" i="145" s="1"/>
  <c r="K45" i="144" a="1"/>
  <c r="K45" i="144" s="1"/>
  <c r="J101" i="145" s="1"/>
  <c r="K65" i="144" a="1"/>
  <c r="K65" i="144" s="1"/>
  <c r="J121" i="145" s="1"/>
  <c r="K22" i="144" a="1"/>
  <c r="K22" i="144" s="1"/>
  <c r="J78" i="145" s="1"/>
  <c r="K55" i="144" a="1"/>
  <c r="K55" i="144" s="1"/>
  <c r="J111" i="145" s="1"/>
  <c r="K63" i="144" a="1"/>
  <c r="K63" i="144" s="1"/>
  <c r="J119" i="145" s="1"/>
  <c r="K29" i="144" a="1"/>
  <c r="K29" i="144" s="1"/>
  <c r="J85" i="145" s="1"/>
  <c r="K59" i="144" a="1"/>
  <c r="K59" i="144" s="1"/>
  <c r="J115" i="145" s="1"/>
  <c r="K18" i="144" a="1"/>
  <c r="K18" i="144" s="1"/>
  <c r="J74" i="145" s="1"/>
  <c r="K54" i="144" a="1"/>
  <c r="K54" i="144" s="1"/>
  <c r="J110" i="145" s="1"/>
  <c r="K21" i="144" a="1"/>
  <c r="K21" i="144" s="1"/>
  <c r="J77" i="145" s="1"/>
  <c r="K30" i="144" a="1"/>
  <c r="K30" i="144" s="1"/>
  <c r="J86" i="145" s="1"/>
  <c r="K27" i="144" a="1"/>
  <c r="K27" i="144" s="1"/>
  <c r="J83" i="145" s="1"/>
  <c r="K64" i="144" a="1"/>
  <c r="K64" i="144" s="1"/>
  <c r="J120" i="145" s="1"/>
  <c r="K58" i="144" a="1"/>
  <c r="K58" i="144" s="1"/>
  <c r="J114" i="145" s="1"/>
  <c r="K16" i="144" a="1"/>
  <c r="K16" i="144" s="1"/>
  <c r="J72" i="145" s="1"/>
  <c r="K70" i="144" a="1"/>
  <c r="K70" i="144" s="1"/>
  <c r="K36" i="144" a="1"/>
  <c r="K36" i="144" s="1"/>
  <c r="J92" i="145" s="1"/>
  <c r="K66" i="144" a="1"/>
  <c r="K66" i="144" s="1"/>
  <c r="K39" i="144" a="1"/>
  <c r="K39" i="144" s="1"/>
  <c r="J95" i="145" s="1"/>
  <c r="K34" i="144" a="1"/>
  <c r="K34" i="144" s="1"/>
  <c r="J90" i="145" s="1"/>
  <c r="K48" i="144" a="1"/>
  <c r="K48" i="144" s="1"/>
  <c r="J104" i="145" s="1"/>
  <c r="K26" i="144" a="1"/>
  <c r="K26" i="144" s="1"/>
  <c r="J82" i="145" s="1"/>
  <c r="K32" i="144" a="1"/>
  <c r="K32" i="144" s="1"/>
  <c r="J88" i="145" s="1"/>
  <c r="K51" i="144" a="1"/>
  <c r="K51" i="144" s="1"/>
  <c r="J107" i="145" s="1"/>
  <c r="K57" i="144" a="1"/>
  <c r="K57" i="144" s="1"/>
  <c r="J113" i="145" s="1"/>
  <c r="K35" i="144" a="1"/>
  <c r="K35" i="144" s="1"/>
  <c r="J91" i="145" s="1"/>
  <c r="K52" i="144" a="1"/>
  <c r="K52" i="144" s="1"/>
  <c r="J108" i="145" s="1"/>
  <c r="K25" i="144" a="1"/>
  <c r="K25" i="144" s="1"/>
  <c r="J81" i="145" s="1"/>
  <c r="K53" i="144" a="1"/>
  <c r="K53" i="144" s="1"/>
  <c r="J109" i="145" s="1"/>
  <c r="K28" i="144" a="1"/>
  <c r="K28" i="144" s="1"/>
  <c r="J84" i="145" s="1"/>
  <c r="K56" i="144" a="1"/>
  <c r="K56" i="144" s="1"/>
  <c r="J112" i="145" s="1"/>
  <c r="K37" i="144" a="1"/>
  <c r="K37" i="144" s="1"/>
  <c r="J93" i="145" s="1"/>
  <c r="K23" i="144" a="1"/>
  <c r="K23" i="144" s="1"/>
  <c r="J79" i="145" s="1"/>
  <c r="K38" i="144" a="1"/>
  <c r="K38" i="144" s="1"/>
  <c r="J94" i="145" s="1"/>
  <c r="K68" i="144" a="1"/>
  <c r="K68" i="144" s="1"/>
  <c r="K61" i="144" a="1"/>
  <c r="K61" i="144" s="1"/>
  <c r="J117" i="145" s="1"/>
  <c r="K49" i="144" a="1"/>
  <c r="K49" i="144" s="1"/>
  <c r="J105" i="145" s="1"/>
  <c r="K44" i="144" a="1"/>
  <c r="K44" i="144" s="1"/>
  <c r="J100" i="145" s="1"/>
  <c r="K46" i="144" a="1"/>
  <c r="K46" i="144" s="1"/>
  <c r="J102" i="145" s="1"/>
  <c r="K20" i="144" a="1"/>
  <c r="K20" i="144" s="1"/>
  <c r="J76" i="145" s="1"/>
  <c r="K40" i="144" a="1"/>
  <c r="K40" i="144" s="1"/>
  <c r="J96" i="145" s="1"/>
  <c r="K50" i="144" a="1"/>
  <c r="K50" i="144" s="1"/>
  <c r="J106" i="145" s="1"/>
  <c r="K31" i="144" a="1"/>
  <c r="K31" i="144" s="1"/>
  <c r="J87" i="145" s="1"/>
  <c r="K43" i="144" a="1"/>
  <c r="K43" i="144" s="1"/>
  <c r="J99" i="145" s="1"/>
  <c r="K47" i="144" a="1"/>
  <c r="K47" i="144" s="1"/>
  <c r="J103" i="145" s="1"/>
  <c r="K69" i="144" a="1"/>
  <c r="K69" i="144" s="1"/>
  <c r="K24" i="144" a="1"/>
  <c r="K24" i="144" s="1"/>
  <c r="J80" i="145" s="1"/>
  <c r="K60" i="144" a="1"/>
  <c r="K60" i="144" s="1"/>
  <c r="J116" i="145" s="1"/>
  <c r="K42" i="144" a="1"/>
  <c r="K42" i="144" s="1"/>
  <c r="J98" i="145" s="1"/>
  <c r="K17" i="144" a="1"/>
  <c r="K17" i="144" s="1"/>
  <c r="J73" i="145" s="1"/>
  <c r="K67" i="144" a="1"/>
  <c r="K67" i="144" s="1"/>
  <c r="K33" i="144" a="1"/>
  <c r="K33" i="144" s="1"/>
  <c r="J89" i="145" s="1"/>
  <c r="K72" i="144" a="1"/>
  <c r="K72" i="144" s="1"/>
  <c r="G64" i="97"/>
  <c r="H109" i="97" s="1"/>
  <c r="G117" i="97"/>
  <c r="G86" i="97"/>
  <c r="G139" i="97"/>
  <c r="F27" i="97"/>
  <c r="G129" i="97"/>
  <c r="G76" i="97"/>
  <c r="I38" i="144" a="1"/>
  <c r="I38" i="144" s="1"/>
  <c r="F94" i="145" s="1"/>
  <c r="I41" i="144" a="1"/>
  <c r="I41" i="144" s="1"/>
  <c r="F97" i="145" s="1"/>
  <c r="I52" i="144" a="1"/>
  <c r="I52" i="144" s="1"/>
  <c r="F108" i="145" s="1"/>
  <c r="I17" i="144" a="1"/>
  <c r="I17" i="144" s="1"/>
  <c r="F73" i="145" s="1"/>
  <c r="I71" i="144" a="1"/>
  <c r="I71" i="144" s="1"/>
  <c r="I53" i="144" a="1"/>
  <c r="I53" i="144" s="1"/>
  <c r="F109" i="145" s="1"/>
  <c r="I58" i="144" a="1"/>
  <c r="I58" i="144" s="1"/>
  <c r="F114" i="145" s="1"/>
  <c r="I33" i="144" a="1"/>
  <c r="I33" i="144" s="1"/>
  <c r="F89" i="145" s="1"/>
  <c r="I44" i="144" a="1"/>
  <c r="I44" i="144" s="1"/>
  <c r="F100" i="145" s="1"/>
  <c r="I66" i="144" a="1"/>
  <c r="I66" i="144" s="1"/>
  <c r="I54" i="144" a="1"/>
  <c r="I54" i="144" s="1"/>
  <c r="F110" i="145" s="1"/>
  <c r="I34" i="144" a="1"/>
  <c r="I34" i="144" s="1"/>
  <c r="F90" i="145" s="1"/>
  <c r="I19" i="144" a="1"/>
  <c r="I19" i="144" s="1"/>
  <c r="F75" i="145" s="1"/>
  <c r="I28" i="144" a="1"/>
  <c r="I28" i="144" s="1"/>
  <c r="F84" i="145" s="1"/>
  <c r="I47" i="144" a="1"/>
  <c r="I47" i="144" s="1"/>
  <c r="F103" i="145" s="1"/>
  <c r="I40" i="144" a="1"/>
  <c r="I40" i="144" s="1"/>
  <c r="F96" i="145" s="1"/>
  <c r="I69" i="144" a="1"/>
  <c r="I69" i="144" s="1"/>
  <c r="I51" i="144" a="1"/>
  <c r="I51" i="144" s="1"/>
  <c r="F107" i="145" s="1"/>
  <c r="I24" i="144" a="1"/>
  <c r="I24" i="144" s="1"/>
  <c r="F80" i="145" s="1"/>
  <c r="I23" i="144" a="1"/>
  <c r="I23" i="144" s="1"/>
  <c r="F79" i="145" s="1"/>
  <c r="I57" i="144" a="1"/>
  <c r="I57" i="144" s="1"/>
  <c r="F113" i="145" s="1"/>
  <c r="I62" i="144" a="1"/>
  <c r="I62" i="144" s="1"/>
  <c r="F118" i="145" s="1"/>
  <c r="I42" i="144" a="1"/>
  <c r="I42" i="144" s="1"/>
  <c r="F98" i="145" s="1"/>
  <c r="I26" i="144" a="1"/>
  <c r="I26" i="144" s="1"/>
  <c r="F82" i="145" s="1"/>
  <c r="I27" i="144" a="1"/>
  <c r="I27" i="144" s="1"/>
  <c r="F83" i="145" s="1"/>
  <c r="I65" i="144" a="1"/>
  <c r="I65" i="144" s="1"/>
  <c r="F121" i="145" s="1"/>
  <c r="I55" i="144" a="1"/>
  <c r="I55" i="144" s="1"/>
  <c r="F111" i="145" s="1"/>
  <c r="I48" i="144" a="1"/>
  <c r="I48" i="144" s="1"/>
  <c r="F104" i="145" s="1"/>
  <c r="I56" i="144" a="1"/>
  <c r="I56" i="144" s="1"/>
  <c r="F112" i="145" s="1"/>
  <c r="I46" i="144" a="1"/>
  <c r="I46" i="144" s="1"/>
  <c r="F102" i="145" s="1"/>
  <c r="I49" i="144" a="1"/>
  <c r="I49" i="144" s="1"/>
  <c r="F105" i="145" s="1"/>
  <c r="I50" i="144" a="1"/>
  <c r="I50" i="144" s="1"/>
  <c r="F106" i="145" s="1"/>
  <c r="I59" i="144" a="1"/>
  <c r="I59" i="144" s="1"/>
  <c r="F115" i="145" s="1"/>
  <c r="I30" i="144" a="1"/>
  <c r="I30" i="144" s="1"/>
  <c r="F86" i="145" s="1"/>
  <c r="I16" i="144" a="1"/>
  <c r="I16" i="144" s="1"/>
  <c r="F72" i="145" s="1"/>
  <c r="I20" i="144" a="1"/>
  <c r="I20" i="144" s="1"/>
  <c r="F76" i="145" s="1"/>
  <c r="I22" i="144" a="1"/>
  <c r="I22" i="144" s="1"/>
  <c r="F78" i="145" s="1"/>
  <c r="I63" i="144" a="1"/>
  <c r="I63" i="144" s="1"/>
  <c r="F119" i="145" s="1"/>
  <c r="I21" i="144" a="1"/>
  <c r="I21" i="144" s="1"/>
  <c r="F77" i="145" s="1"/>
  <c r="I67" i="144" a="1"/>
  <c r="I67" i="144" s="1"/>
  <c r="I32" i="144" a="1"/>
  <c r="I32" i="144" s="1"/>
  <c r="F88" i="145" s="1"/>
  <c r="I61" i="144" a="1"/>
  <c r="I61" i="144" s="1"/>
  <c r="F117" i="145" s="1"/>
  <c r="I68" i="144" a="1"/>
  <c r="I68" i="144" s="1"/>
  <c r="I37" i="144" a="1"/>
  <c r="I37" i="144" s="1"/>
  <c r="F93" i="145" s="1"/>
  <c r="I43" i="144" a="1"/>
  <c r="I43" i="144" s="1"/>
  <c r="F99" i="145" s="1"/>
  <c r="I70" i="144" a="1"/>
  <c r="I70" i="144" s="1"/>
  <c r="I18" i="144" a="1"/>
  <c r="I18" i="144" s="1"/>
  <c r="F74" i="145" s="1"/>
  <c r="I35" i="144" a="1"/>
  <c r="I35" i="144" s="1"/>
  <c r="F91" i="145" s="1"/>
  <c r="I31" i="144" a="1"/>
  <c r="I31" i="144" s="1"/>
  <c r="F87" i="145" s="1"/>
  <c r="I36" i="144" a="1"/>
  <c r="I36" i="144" s="1"/>
  <c r="F92" i="145" s="1"/>
  <c r="I64" i="144" a="1"/>
  <c r="I64" i="144" s="1"/>
  <c r="F120" i="145" s="1"/>
  <c r="I39" i="144" a="1"/>
  <c r="I39" i="144" s="1"/>
  <c r="F95" i="145" s="1"/>
  <c r="I72" i="144" a="1"/>
  <c r="I72" i="144" s="1"/>
  <c r="I45" i="144" a="1"/>
  <c r="I45" i="144" s="1"/>
  <c r="F101" i="145" s="1"/>
  <c r="I25" i="144" a="1"/>
  <c r="I25" i="144" s="1"/>
  <c r="F81" i="145" s="1"/>
  <c r="I29" i="144" a="1"/>
  <c r="I29" i="144" s="1"/>
  <c r="F85" i="145" s="1"/>
  <c r="I60" i="144" a="1"/>
  <c r="I60" i="144" s="1"/>
  <c r="F116" i="145" s="1"/>
  <c r="G81" i="97"/>
  <c r="G134" i="97"/>
  <c r="G146" i="97"/>
  <c r="G93" i="97"/>
  <c r="G159" i="97"/>
  <c r="G106" i="97"/>
  <c r="G92" i="97"/>
  <c r="G145" i="97"/>
  <c r="F42" i="97"/>
  <c r="G91" i="97" s="1"/>
  <c r="G90" i="97"/>
  <c r="G143" i="97"/>
  <c r="F32" i="97"/>
  <c r="G78" i="97"/>
  <c r="G131" i="97"/>
  <c r="H45" i="144" a="1"/>
  <c r="H45" i="144" s="1"/>
  <c r="H43" i="144" a="1"/>
  <c r="H43" i="144" s="1"/>
  <c r="H22" i="144" a="1"/>
  <c r="H22" i="144" s="1"/>
  <c r="AB22" i="144" s="1"/>
  <c r="R78" i="145" s="1"/>
  <c r="H64" i="144" a="1"/>
  <c r="H64" i="144" s="1"/>
  <c r="Y64" i="144" s="1"/>
  <c r="O120" i="145" s="1"/>
  <c r="H70" i="144" a="1"/>
  <c r="H70" i="144" s="1"/>
  <c r="Z70" i="144" s="1"/>
  <c r="H62" i="144" a="1"/>
  <c r="H62" i="144" s="1"/>
  <c r="AA62" i="144" s="1"/>
  <c r="Q118" i="145" s="1"/>
  <c r="H35" i="144" a="1"/>
  <c r="H35" i="144" s="1"/>
  <c r="Y35" i="144" s="1"/>
  <c r="O91" i="145" s="1"/>
  <c r="H33" i="144" a="1"/>
  <c r="H33" i="144" s="1"/>
  <c r="D89" i="145" s="1"/>
  <c r="H69" i="144" a="1"/>
  <c r="H69" i="144" s="1"/>
  <c r="AM69" i="144" s="1"/>
  <c r="H55" i="144" a="1"/>
  <c r="H55" i="144" s="1"/>
  <c r="AA55" i="144" s="1"/>
  <c r="Q111" i="145" s="1"/>
  <c r="H39" i="144" a="1"/>
  <c r="H39" i="144" s="1"/>
  <c r="AM39" i="144" s="1"/>
  <c r="H68" i="144" a="1"/>
  <c r="H68" i="144" s="1"/>
  <c r="AN68" i="144" s="1"/>
  <c r="H23" i="144" a="1"/>
  <c r="H23" i="144" s="1"/>
  <c r="H48" i="144" a="1"/>
  <c r="H48" i="144" s="1"/>
  <c r="AM48" i="144" s="1"/>
  <c r="H71" i="144" a="1"/>
  <c r="H71" i="144" s="1"/>
  <c r="AB71" i="144" s="1"/>
  <c r="H44" i="144" a="1"/>
  <c r="H44" i="144" s="1"/>
  <c r="AN44" i="144" s="1"/>
  <c r="H72" i="144" a="1"/>
  <c r="H72" i="144" s="1"/>
  <c r="H16" i="144" a="1"/>
  <c r="H16" i="144" s="1"/>
  <c r="D72" i="145" s="1"/>
  <c r="H58" i="144" a="1"/>
  <c r="H58" i="144" s="1"/>
  <c r="H67" i="144" a="1"/>
  <c r="H67" i="144" s="1"/>
  <c r="H31" i="144" a="1"/>
  <c r="H31" i="144" s="1"/>
  <c r="H32" i="144" a="1"/>
  <c r="H32" i="144" s="1"/>
  <c r="H52" i="144" a="1"/>
  <c r="H52" i="144" s="1"/>
  <c r="H18" i="144" a="1"/>
  <c r="H18" i="144" s="1"/>
  <c r="H40" i="144" a="1"/>
  <c r="H40" i="144" s="1"/>
  <c r="Y40" i="144" s="1"/>
  <c r="O96" i="145" s="1"/>
  <c r="H17" i="144" a="1"/>
  <c r="H17" i="144" s="1"/>
  <c r="D73" i="145" s="1"/>
  <c r="H42" i="144" a="1"/>
  <c r="H42" i="144" s="1"/>
  <c r="Y42" i="144" s="1"/>
  <c r="O98" i="145" s="1"/>
  <c r="H19" i="144" a="1"/>
  <c r="H19" i="144" s="1"/>
  <c r="L19" i="144" s="1"/>
  <c r="H66" i="144" a="1"/>
  <c r="H66" i="144" s="1"/>
  <c r="L66" i="144" s="1"/>
  <c r="H34" i="144" a="1"/>
  <c r="H34" i="144" s="1"/>
  <c r="AK34" i="144" s="1"/>
  <c r="H50" i="144" a="1"/>
  <c r="H50" i="144" s="1"/>
  <c r="AN50" i="144" s="1"/>
  <c r="H54" i="144" a="1"/>
  <c r="H54" i="144" s="1"/>
  <c r="AK54" i="144" s="1"/>
  <c r="H65" i="144" a="1"/>
  <c r="H65" i="144" s="1"/>
  <c r="AK65" i="144" s="1"/>
  <c r="H24" i="144" a="1"/>
  <c r="H24" i="144" s="1"/>
  <c r="H47" i="144" a="1"/>
  <c r="H47" i="144" s="1"/>
  <c r="AB47" i="144" s="1"/>
  <c r="R103" i="145" s="1"/>
  <c r="H49" i="144" a="1"/>
  <c r="H49" i="144" s="1"/>
  <c r="D105" i="145" s="1"/>
  <c r="H29" i="144" a="1"/>
  <c r="H29" i="144" s="1"/>
  <c r="AA29" i="144" s="1"/>
  <c r="Q85" i="145" s="1"/>
  <c r="H53" i="144" a="1"/>
  <c r="H53" i="144" s="1"/>
  <c r="D109" i="145" s="1"/>
  <c r="H51" i="144" a="1"/>
  <c r="H51" i="144" s="1"/>
  <c r="H41" i="144" a="1"/>
  <c r="H41" i="144" s="1"/>
  <c r="H26" i="144" a="1"/>
  <c r="H26" i="144" s="1"/>
  <c r="AN26" i="144" s="1"/>
  <c r="H36" i="144" a="1"/>
  <c r="H36" i="144" s="1"/>
  <c r="H37" i="144" a="1"/>
  <c r="H37" i="144" s="1"/>
  <c r="H20" i="144" a="1"/>
  <c r="H20" i="144" s="1"/>
  <c r="H46" i="144" a="1"/>
  <c r="H46" i="144" s="1"/>
  <c r="H60" i="144" a="1"/>
  <c r="H60" i="144" s="1"/>
  <c r="Z60" i="144" s="1"/>
  <c r="P116" i="145" s="1"/>
  <c r="H56" i="144" a="1"/>
  <c r="H56" i="144" s="1"/>
  <c r="AA56" i="144" s="1"/>
  <c r="Q112" i="145" s="1"/>
  <c r="H21" i="144" a="1"/>
  <c r="H21" i="144" s="1"/>
  <c r="AM21" i="144" s="1"/>
  <c r="H57" i="144" a="1"/>
  <c r="H57" i="144" s="1"/>
  <c r="L57" i="144" s="1"/>
  <c r="H25" i="144" a="1"/>
  <c r="H25" i="144" s="1"/>
  <c r="Y25" i="144" s="1"/>
  <c r="O81" i="145" s="1"/>
  <c r="H38" i="144" a="1"/>
  <c r="H38" i="144" s="1"/>
  <c r="D94" i="145" s="1"/>
  <c r="H28" i="144" a="1"/>
  <c r="H28" i="144" s="1"/>
  <c r="D84" i="145" s="1"/>
  <c r="H30" i="144" a="1"/>
  <c r="H30" i="144" s="1"/>
  <c r="AM30" i="144" s="1"/>
  <c r="H63" i="144" a="1"/>
  <c r="H63" i="144" s="1"/>
  <c r="AB63" i="144" s="1"/>
  <c r="R119" i="145" s="1"/>
  <c r="H27" i="144" a="1"/>
  <c r="H27" i="144" s="1"/>
  <c r="AA27" i="144" s="1"/>
  <c r="Q83" i="145" s="1"/>
  <c r="H61" i="144" a="1"/>
  <c r="H61" i="144" s="1"/>
  <c r="L61" i="144" s="1"/>
  <c r="H59" i="144" a="1"/>
  <c r="H59" i="144" s="1"/>
  <c r="AL59" i="144" s="1"/>
  <c r="G122" i="97"/>
  <c r="G69" i="97"/>
  <c r="F37" i="97"/>
  <c r="G84" i="97"/>
  <c r="G137" i="97"/>
  <c r="F22" i="97"/>
  <c r="G128" i="97"/>
  <c r="G75" i="97"/>
  <c r="G52" i="97"/>
  <c r="H103" i="97" s="1"/>
  <c r="G154" i="97"/>
  <c r="H157" i="97"/>
  <c r="H104" i="97"/>
  <c r="G141" i="97"/>
  <c r="G88" i="97"/>
  <c r="G147" i="97"/>
  <c r="G94" i="97"/>
  <c r="G127" i="97"/>
  <c r="G74" i="97"/>
  <c r="M24" i="144" a="1"/>
  <c r="M24" i="144" s="1"/>
  <c r="G80" i="145" s="1"/>
  <c r="M44" i="144" a="1"/>
  <c r="M44" i="144" s="1"/>
  <c r="G100" i="145" s="1"/>
  <c r="M41" i="144" a="1"/>
  <c r="M41" i="144" s="1"/>
  <c r="G97" i="145" s="1"/>
  <c r="M47" i="144" a="1"/>
  <c r="M47" i="144" s="1"/>
  <c r="G103" i="145" s="1"/>
  <c r="M23" i="144" a="1"/>
  <c r="M23" i="144" s="1"/>
  <c r="G79" i="145" s="1"/>
  <c r="M63" i="144" a="1"/>
  <c r="M63" i="144" s="1"/>
  <c r="G119" i="145" s="1"/>
  <c r="M66" i="144" a="1"/>
  <c r="M66" i="144" s="1"/>
  <c r="M34" i="144" a="1"/>
  <c r="M34" i="144" s="1"/>
  <c r="G90" i="145" s="1"/>
  <c r="M28" i="144" a="1"/>
  <c r="M28" i="144" s="1"/>
  <c r="G84" i="145" s="1"/>
  <c r="M46" i="144" a="1"/>
  <c r="M46" i="144" s="1"/>
  <c r="G102" i="145" s="1"/>
  <c r="M45" i="144" a="1"/>
  <c r="M45" i="144" s="1"/>
  <c r="G101" i="145" s="1"/>
  <c r="M70" i="144" a="1"/>
  <c r="M70" i="144" s="1"/>
  <c r="M39" i="144" a="1"/>
  <c r="M39" i="144" s="1"/>
  <c r="G95" i="145" s="1"/>
  <c r="M64" i="144" a="1"/>
  <c r="M64" i="144" s="1"/>
  <c r="G120" i="145" s="1"/>
  <c r="M33" i="144" a="1"/>
  <c r="M33" i="144" s="1"/>
  <c r="G89" i="145" s="1"/>
  <c r="M25" i="144" a="1"/>
  <c r="M25" i="144" s="1"/>
  <c r="G81" i="145" s="1"/>
  <c r="M38" i="144" a="1"/>
  <c r="M38" i="144" s="1"/>
  <c r="G94" i="145" s="1"/>
  <c r="M57" i="144" a="1"/>
  <c r="M57" i="144" s="1"/>
  <c r="G113" i="145" s="1"/>
  <c r="M26" i="144" a="1"/>
  <c r="M26" i="144" s="1"/>
  <c r="G82" i="145" s="1"/>
  <c r="M37" i="144" a="1"/>
  <c r="M37" i="144" s="1"/>
  <c r="G93" i="145" s="1"/>
  <c r="M36" i="144" a="1"/>
  <c r="M36" i="144" s="1"/>
  <c r="G92" i="145" s="1"/>
  <c r="M69" i="144" a="1"/>
  <c r="M69" i="144" s="1"/>
  <c r="M61" i="144" a="1"/>
  <c r="M61" i="144" s="1"/>
  <c r="G117" i="145" s="1"/>
  <c r="M19" i="144" a="1"/>
  <c r="M19" i="144" s="1"/>
  <c r="G75" i="145" s="1"/>
  <c r="M62" i="144" a="1"/>
  <c r="M62" i="144" s="1"/>
  <c r="G118" i="145" s="1"/>
  <c r="M53" i="144" a="1"/>
  <c r="M53" i="144" s="1"/>
  <c r="G109" i="145" s="1"/>
  <c r="M16" i="144" a="1"/>
  <c r="M16" i="144" s="1"/>
  <c r="M31" i="144" a="1"/>
  <c r="M31" i="144" s="1"/>
  <c r="G87" i="145" s="1"/>
  <c r="M18" i="144" a="1"/>
  <c r="M18" i="144" s="1"/>
  <c r="G74" i="145" s="1"/>
  <c r="M50" i="144" a="1"/>
  <c r="M50" i="144" s="1"/>
  <c r="G106" i="145" s="1"/>
  <c r="M22" i="144" a="1"/>
  <c r="M22" i="144" s="1"/>
  <c r="G78" i="145" s="1"/>
  <c r="M68" i="144" a="1"/>
  <c r="M68" i="144" s="1"/>
  <c r="M17" i="144" a="1"/>
  <c r="M17" i="144" s="1"/>
  <c r="G73" i="145" s="1"/>
  <c r="M54" i="144" a="1"/>
  <c r="M54" i="144" s="1"/>
  <c r="G110" i="145" s="1"/>
  <c r="M42" i="144" a="1"/>
  <c r="M42" i="144" s="1"/>
  <c r="G98" i="145" s="1"/>
  <c r="M52" i="144" a="1"/>
  <c r="M52" i="144" s="1"/>
  <c r="G108" i="145" s="1"/>
  <c r="M48" i="144" a="1"/>
  <c r="M48" i="144" s="1"/>
  <c r="G104" i="145" s="1"/>
  <c r="M30" i="144" a="1"/>
  <c r="M30" i="144" s="1"/>
  <c r="G86" i="145" s="1"/>
  <c r="M20" i="144" a="1"/>
  <c r="M20" i="144" s="1"/>
  <c r="G76" i="145" s="1"/>
  <c r="M71" i="144" a="1"/>
  <c r="M71" i="144" s="1"/>
  <c r="M55" i="144" a="1"/>
  <c r="M55" i="144" s="1"/>
  <c r="G111" i="145" s="1"/>
  <c r="M56" i="144" a="1"/>
  <c r="M56" i="144" s="1"/>
  <c r="G112" i="145" s="1"/>
  <c r="M72" i="144" a="1"/>
  <c r="M72" i="144" s="1"/>
  <c r="M58" i="144" a="1"/>
  <c r="M58" i="144" s="1"/>
  <c r="G114" i="145" s="1"/>
  <c r="M43" i="144" a="1"/>
  <c r="M43" i="144" s="1"/>
  <c r="G99" i="145" s="1"/>
  <c r="M60" i="144" a="1"/>
  <c r="M60" i="144" s="1"/>
  <c r="G116" i="145" s="1"/>
  <c r="M35" i="144" a="1"/>
  <c r="M35" i="144" s="1"/>
  <c r="G91" i="145" s="1"/>
  <c r="M59" i="144" a="1"/>
  <c r="M59" i="144" s="1"/>
  <c r="G115" i="145" s="1"/>
  <c r="M49" i="144" a="1"/>
  <c r="M49" i="144" s="1"/>
  <c r="G105" i="145" s="1"/>
  <c r="M51" i="144" a="1"/>
  <c r="M51" i="144" s="1"/>
  <c r="G107" i="145" s="1"/>
  <c r="M67" i="144" a="1"/>
  <c r="M67" i="144" s="1"/>
  <c r="M27" i="144" a="1"/>
  <c r="M27" i="144" s="1"/>
  <c r="G83" i="145" s="1"/>
  <c r="M65" i="144" a="1"/>
  <c r="M65" i="144" s="1"/>
  <c r="G121" i="145" s="1"/>
  <c r="M29" i="144" a="1"/>
  <c r="M29" i="144" s="1"/>
  <c r="G85" i="145" s="1"/>
  <c r="M32" i="144" a="1"/>
  <c r="M32" i="144" s="1"/>
  <c r="G88" i="145" s="1"/>
  <c r="M21" i="144" a="1"/>
  <c r="M21" i="144" s="1"/>
  <c r="G77" i="145" s="1"/>
  <c r="M40" i="144" a="1"/>
  <c r="M40" i="144" s="1"/>
  <c r="G96" i="145" s="1"/>
  <c r="G140" i="97"/>
  <c r="G87" i="97"/>
  <c r="G158" i="97"/>
  <c r="G105" i="97"/>
  <c r="G68" i="97"/>
  <c r="G121" i="97"/>
  <c r="G82" i="97"/>
  <c r="G135" i="97"/>
  <c r="H100" i="97"/>
  <c r="H153" i="97"/>
  <c r="G101" i="97"/>
  <c r="J34" i="144" a="1"/>
  <c r="J34" i="144" s="1"/>
  <c r="P34" i="144" s="1"/>
  <c r="N90" i="145" s="1"/>
  <c r="J18" i="144" a="1"/>
  <c r="J18" i="144" s="1"/>
  <c r="O18" i="144" s="1"/>
  <c r="AI18" i="144" s="1"/>
  <c r="J72" i="144" a="1"/>
  <c r="J72" i="144" s="1"/>
  <c r="J67" i="144" a="1"/>
  <c r="J67" i="144" s="1"/>
  <c r="S67" i="144" s="1"/>
  <c r="J30" i="144" a="1"/>
  <c r="J30" i="144" s="1"/>
  <c r="J16" i="144" a="1"/>
  <c r="J16" i="144" s="1"/>
  <c r="H72" i="145" s="1"/>
  <c r="J62" i="144" a="1"/>
  <c r="J62" i="144" s="1"/>
  <c r="N62" i="144" s="1"/>
  <c r="J49" i="144" a="1"/>
  <c r="J49" i="144" s="1"/>
  <c r="J68" i="144" a="1"/>
  <c r="J68" i="144" s="1"/>
  <c r="J32" i="144" a="1"/>
  <c r="J32" i="144" s="1"/>
  <c r="V32" i="144" s="1"/>
  <c r="J26" i="144" a="1"/>
  <c r="J26" i="144" s="1"/>
  <c r="J51" i="144" a="1"/>
  <c r="J51" i="144" s="1"/>
  <c r="J22" i="144" a="1"/>
  <c r="J22" i="144" s="1"/>
  <c r="J38" i="144" a="1"/>
  <c r="J38" i="144" s="1"/>
  <c r="N38" i="144" s="1"/>
  <c r="J63" i="144" a="1"/>
  <c r="J63" i="144" s="1"/>
  <c r="R63" i="144" s="1"/>
  <c r="J69" i="144" a="1"/>
  <c r="J69" i="144" s="1"/>
  <c r="V69" i="144" s="1"/>
  <c r="J60" i="144" a="1"/>
  <c r="J60" i="144" s="1"/>
  <c r="V60" i="144" s="1"/>
  <c r="J43" i="144" a="1"/>
  <c r="J43" i="144" s="1"/>
  <c r="N43" i="144" s="1"/>
  <c r="J40" i="144" a="1"/>
  <c r="J40" i="144" s="1"/>
  <c r="P40" i="144" s="1"/>
  <c r="N96" i="145" s="1"/>
  <c r="J20" i="144" a="1"/>
  <c r="J20" i="144" s="1"/>
  <c r="S20" i="144" s="1"/>
  <c r="J41" i="144" a="1"/>
  <c r="J41" i="144" s="1"/>
  <c r="R41" i="144" s="1"/>
  <c r="J44" i="144" a="1"/>
  <c r="J44" i="144" s="1"/>
  <c r="U44" i="144" s="1"/>
  <c r="J31" i="144" a="1"/>
  <c r="J31" i="144" s="1"/>
  <c r="Q31" i="144" s="1"/>
  <c r="W31" i="144" s="1"/>
  <c r="J33" i="144" a="1"/>
  <c r="J33" i="144" s="1"/>
  <c r="U33" i="144" s="1"/>
  <c r="J25" i="144" a="1"/>
  <c r="J25" i="144" s="1"/>
  <c r="T25" i="144" s="1"/>
  <c r="J39" i="144" a="1"/>
  <c r="J39" i="144" s="1"/>
  <c r="J65" i="144" a="1"/>
  <c r="J65" i="144" s="1"/>
  <c r="J66" i="144" a="1"/>
  <c r="J66" i="144" s="1"/>
  <c r="J42" i="144" a="1"/>
  <c r="J42" i="144" s="1"/>
  <c r="H98" i="145" s="1"/>
  <c r="J37" i="144" a="1"/>
  <c r="J37" i="144" s="1"/>
  <c r="J29" i="144" a="1"/>
  <c r="J29" i="144" s="1"/>
  <c r="Q29" i="144" s="1"/>
  <c r="W29" i="144" s="1"/>
  <c r="J28" i="144" a="1"/>
  <c r="J28" i="144" s="1"/>
  <c r="J53" i="144" a="1"/>
  <c r="J53" i="144" s="1"/>
  <c r="J61" i="144" a="1"/>
  <c r="J61" i="144" s="1"/>
  <c r="J54" i="144" a="1"/>
  <c r="J54" i="144" s="1"/>
  <c r="J59" i="144" a="1"/>
  <c r="J59" i="144" s="1"/>
  <c r="U59" i="144" s="1"/>
  <c r="J17" i="144" a="1"/>
  <c r="J17" i="144" s="1"/>
  <c r="N17" i="144" s="1"/>
  <c r="J36" i="144" a="1"/>
  <c r="J36" i="144" s="1"/>
  <c r="P36" i="144" s="1"/>
  <c r="N92" i="145" s="1"/>
  <c r="J24" i="144" a="1"/>
  <c r="J24" i="144" s="1"/>
  <c r="Q24" i="144" s="1"/>
  <c r="W24" i="144" s="1"/>
  <c r="J50" i="144" a="1"/>
  <c r="J50" i="144" s="1"/>
  <c r="J64" i="144" a="1"/>
  <c r="J64" i="144" s="1"/>
  <c r="O64" i="144" s="1"/>
  <c r="AI64" i="144" s="1"/>
  <c r="J52" i="144" a="1"/>
  <c r="J52" i="144" s="1"/>
  <c r="T52" i="144" s="1"/>
  <c r="J55" i="144" a="1"/>
  <c r="J55" i="144" s="1"/>
  <c r="J70" i="144" a="1"/>
  <c r="J70" i="144" s="1"/>
  <c r="J47" i="144" a="1"/>
  <c r="J47" i="144" s="1"/>
  <c r="J21" i="144" a="1"/>
  <c r="J21" i="144" s="1"/>
  <c r="J57" i="144" a="1"/>
  <c r="J57" i="144" s="1"/>
  <c r="J58" i="144" a="1"/>
  <c r="J58" i="144" s="1"/>
  <c r="U58" i="144" s="1"/>
  <c r="J46" i="144" a="1"/>
  <c r="J46" i="144" s="1"/>
  <c r="J56" i="144" a="1"/>
  <c r="J56" i="144" s="1"/>
  <c r="J48" i="144" a="1"/>
  <c r="J48" i="144" s="1"/>
  <c r="J71" i="144" a="1"/>
  <c r="J71" i="144" s="1"/>
  <c r="J35" i="144" a="1"/>
  <c r="J35" i="144" s="1"/>
  <c r="P35" i="144" s="1"/>
  <c r="N91" i="145" s="1"/>
  <c r="J45" i="144" a="1"/>
  <c r="J45" i="144" s="1"/>
  <c r="T45" i="144" s="1"/>
  <c r="J27" i="144" a="1"/>
  <c r="J27" i="144" s="1"/>
  <c r="J19" i="144" a="1"/>
  <c r="J19" i="144" s="1"/>
  <c r="J23" i="144" a="1"/>
  <c r="J23" i="144" s="1"/>
  <c r="F47" i="97"/>
  <c r="G149" i="97"/>
  <c r="G96" i="97"/>
  <c r="H86" i="97"/>
  <c r="H139" i="97"/>
  <c r="H159" i="97"/>
  <c r="H106" i="97"/>
  <c r="H158" i="97"/>
  <c r="H105" i="97"/>
  <c r="H84" i="97"/>
  <c r="H137" i="97"/>
  <c r="G37" i="97"/>
  <c r="H68" i="97"/>
  <c r="H121" i="97"/>
  <c r="H145" i="97"/>
  <c r="H92" i="97"/>
  <c r="H123" i="97"/>
  <c r="H70" i="97"/>
  <c r="H122" i="97"/>
  <c r="H69" i="97"/>
  <c r="H94" i="97"/>
  <c r="H147" i="97"/>
  <c r="H141" i="97"/>
  <c r="H88" i="97"/>
  <c r="G27" i="97"/>
  <c r="H134" i="97"/>
  <c r="H81" i="97"/>
  <c r="H76" i="97"/>
  <c r="H129" i="97"/>
  <c r="H75" i="97"/>
  <c r="H128" i="97"/>
  <c r="H127" i="97"/>
  <c r="H74" i="97"/>
  <c r="H140" i="97"/>
  <c r="H87" i="97"/>
  <c r="G47" i="97"/>
  <c r="H149" i="97"/>
  <c r="H96" i="97"/>
  <c r="H93" i="97"/>
  <c r="H146" i="97"/>
  <c r="H78" i="97"/>
  <c r="G32" i="97"/>
  <c r="H131" i="97"/>
  <c r="H135" i="97"/>
  <c r="H82" i="97"/>
  <c r="G57" i="97"/>
  <c r="H162" i="97" s="1"/>
  <c r="H161" i="97"/>
  <c r="H108" i="97"/>
  <c r="H66" i="97"/>
  <c r="H119" i="97"/>
  <c r="G22" i="97"/>
  <c r="H98" i="97"/>
  <c r="H151" i="97"/>
  <c r="G42" i="97"/>
  <c r="H90" i="97"/>
  <c r="H143" i="97"/>
  <c r="H110" i="97"/>
  <c r="H163" i="97"/>
  <c r="H133" i="97"/>
  <c r="H80" i="97"/>
  <c r="H117" i="97"/>
  <c r="H64" i="97"/>
  <c r="I109" i="97" s="1"/>
  <c r="H52" i="97"/>
  <c r="I153" i="97"/>
  <c r="I100" i="97"/>
  <c r="I157" i="97"/>
  <c r="I104" i="97"/>
  <c r="M48" i="98" a="1"/>
  <c r="M48" i="98" s="1"/>
  <c r="G90" i="138" s="1"/>
  <c r="M58" i="98" a="1"/>
  <c r="M58" i="98" s="1"/>
  <c r="G100" i="138" s="1"/>
  <c r="M64" i="98" a="1"/>
  <c r="M64" i="98" s="1"/>
  <c r="G106" i="138" s="1"/>
  <c r="M62" i="98" a="1"/>
  <c r="M62" i="98" s="1"/>
  <c r="G104" i="138" s="1"/>
  <c r="M36" i="98" a="1"/>
  <c r="M36" i="98" s="1"/>
  <c r="G78" i="138" s="1"/>
  <c r="M47" i="98" a="1"/>
  <c r="M47" i="98" s="1"/>
  <c r="G89" i="138" s="1"/>
  <c r="M29" i="98" a="1"/>
  <c r="M29" i="98" s="1"/>
  <c r="G71" i="138" s="1"/>
  <c r="M39" i="98" a="1"/>
  <c r="M39" i="98" s="1"/>
  <c r="G81" i="138" s="1"/>
  <c r="M30" i="98" a="1"/>
  <c r="M30" i="98" s="1"/>
  <c r="G72" i="138" s="1"/>
  <c r="M27" i="98" a="1"/>
  <c r="M27" i="98" s="1"/>
  <c r="G69" i="138" s="1"/>
  <c r="M67" i="98" a="1"/>
  <c r="M67" i="98" s="1"/>
  <c r="M38" i="98" a="1"/>
  <c r="M38" i="98" s="1"/>
  <c r="G80" i="138" s="1"/>
  <c r="M46" i="98" a="1"/>
  <c r="M46" i="98" s="1"/>
  <c r="G88" i="138" s="1"/>
  <c r="M23" i="98" a="1"/>
  <c r="M23" i="98" s="1"/>
  <c r="G65" i="138" s="1"/>
  <c r="M42" i="98" a="1"/>
  <c r="M42" i="98" s="1"/>
  <c r="G84" i="138" s="1"/>
  <c r="M50" i="98" a="1"/>
  <c r="M50" i="98" s="1"/>
  <c r="G92" i="138" s="1"/>
  <c r="M65" i="98" a="1"/>
  <c r="M65" i="98" s="1"/>
  <c r="G107" i="138" s="1"/>
  <c r="M52" i="98" a="1"/>
  <c r="M52" i="98" s="1"/>
  <c r="G94" i="138" s="1"/>
  <c r="M24" i="98" a="1"/>
  <c r="M24" i="98" s="1"/>
  <c r="G66" i="138" s="1"/>
  <c r="M26" i="98" a="1"/>
  <c r="M26" i="98" s="1"/>
  <c r="G68" i="138" s="1"/>
  <c r="M72" i="98" a="1"/>
  <c r="M72" i="98" s="1"/>
  <c r="M40" i="98" a="1"/>
  <c r="M40" i="98" s="1"/>
  <c r="G82" i="138" s="1"/>
  <c r="M34" i="98" a="1"/>
  <c r="M34" i="98" s="1"/>
  <c r="G76" i="138" s="1"/>
  <c r="M60" i="98" a="1"/>
  <c r="M60" i="98" s="1"/>
  <c r="G102" i="138" s="1"/>
  <c r="M41" i="98" a="1"/>
  <c r="M41" i="98" s="1"/>
  <c r="G83" i="138" s="1"/>
  <c r="M20" i="98" a="1"/>
  <c r="M20" i="98" s="1"/>
  <c r="G62" i="138" s="1"/>
  <c r="M57" i="98" a="1"/>
  <c r="M57" i="98" s="1"/>
  <c r="G99" i="138" s="1"/>
  <c r="M45" i="98" a="1"/>
  <c r="M45" i="98" s="1"/>
  <c r="G87" i="138" s="1"/>
  <c r="M17" i="98" a="1"/>
  <c r="M17" i="98" s="1"/>
  <c r="G59" i="138" s="1"/>
  <c r="M61" i="98" a="1"/>
  <c r="M61" i="98" s="1"/>
  <c r="G103" i="138" s="1"/>
  <c r="M31" i="98" a="1"/>
  <c r="M31" i="98" s="1"/>
  <c r="G73" i="138" s="1"/>
  <c r="M25" i="98" a="1"/>
  <c r="M25" i="98" s="1"/>
  <c r="G67" i="138" s="1"/>
  <c r="M51" i="98" a="1"/>
  <c r="M51" i="98" s="1"/>
  <c r="G93" i="138" s="1"/>
  <c r="M16" i="98" a="1"/>
  <c r="M16" i="98" s="1"/>
  <c r="G58" i="138" s="1"/>
  <c r="M21" i="98" a="1"/>
  <c r="M21" i="98" s="1"/>
  <c r="G63" i="138" s="1"/>
  <c r="M18" i="98" a="1"/>
  <c r="M18" i="98" s="1"/>
  <c r="G60" i="138" s="1"/>
  <c r="M28" i="98" a="1"/>
  <c r="M28" i="98" s="1"/>
  <c r="G70" i="138" s="1"/>
  <c r="M59" i="98" a="1"/>
  <c r="M59" i="98" s="1"/>
  <c r="G101" i="138" s="1"/>
  <c r="M19" i="98" a="1"/>
  <c r="M19" i="98" s="1"/>
  <c r="G61" i="138" s="1"/>
  <c r="M54" i="98" a="1"/>
  <c r="M54" i="98" s="1"/>
  <c r="G96" i="138" s="1"/>
  <c r="M56" i="98" a="1"/>
  <c r="M56" i="98" s="1"/>
  <c r="G98" i="138" s="1"/>
  <c r="M37" i="98" a="1"/>
  <c r="M37" i="98" s="1"/>
  <c r="G79" i="138" s="1"/>
  <c r="M35" i="98" a="1"/>
  <c r="M35" i="98" s="1"/>
  <c r="G77" i="138" s="1"/>
  <c r="M55" i="98" a="1"/>
  <c r="M55" i="98" s="1"/>
  <c r="G97" i="138" s="1"/>
  <c r="M66" i="98" a="1"/>
  <c r="M66" i="98" s="1"/>
  <c r="M69" i="98" a="1"/>
  <c r="M69" i="98" s="1"/>
  <c r="M68" i="98" a="1"/>
  <c r="M68" i="98" s="1"/>
  <c r="M71" i="98" a="1"/>
  <c r="M71" i="98" s="1"/>
  <c r="M32" i="98" a="1"/>
  <c r="M32" i="98" s="1"/>
  <c r="G74" i="138" s="1"/>
  <c r="M22" i="98" a="1"/>
  <c r="M22" i="98" s="1"/>
  <c r="G64" i="138" s="1"/>
  <c r="M43" i="98" a="1"/>
  <c r="M43" i="98" s="1"/>
  <c r="G85" i="138" s="1"/>
  <c r="M70" i="98" a="1"/>
  <c r="M70" i="98" s="1"/>
  <c r="M49" i="98" a="1"/>
  <c r="M49" i="98" s="1"/>
  <c r="G91" i="138" s="1"/>
  <c r="M53" i="98" a="1"/>
  <c r="M53" i="98" s="1"/>
  <c r="G95" i="138" s="1"/>
  <c r="M44" i="98" a="1"/>
  <c r="M44" i="98" s="1"/>
  <c r="G86" i="138" s="1"/>
  <c r="M33" i="98" a="1"/>
  <c r="M33" i="98" s="1"/>
  <c r="G75" i="138" s="1"/>
  <c r="M63" i="98" a="1"/>
  <c r="M63" i="98" s="1"/>
  <c r="G105" i="138" s="1"/>
  <c r="K57" i="98" a="1"/>
  <c r="K57" i="98" s="1"/>
  <c r="J99" i="138" s="1"/>
  <c r="K54" i="98" a="1"/>
  <c r="K54" i="98" s="1"/>
  <c r="J96" i="138" s="1"/>
  <c r="K53" i="98" a="1"/>
  <c r="K53" i="98" s="1"/>
  <c r="J95" i="138" s="1"/>
  <c r="K62" i="98" a="1"/>
  <c r="K62" i="98" s="1"/>
  <c r="J104" i="138" s="1"/>
  <c r="K59" i="98" a="1"/>
  <c r="K59" i="98" s="1"/>
  <c r="J101" i="138" s="1"/>
  <c r="K48" i="98" a="1"/>
  <c r="K48" i="98" s="1"/>
  <c r="J90" i="138" s="1"/>
  <c r="K68" i="98" a="1"/>
  <c r="K68" i="98" s="1"/>
  <c r="K67" i="98" a="1"/>
  <c r="K67" i="98" s="1"/>
  <c r="K52" i="98" a="1"/>
  <c r="K52" i="98" s="1"/>
  <c r="J94" i="138" s="1"/>
  <c r="K72" i="98" a="1"/>
  <c r="K72" i="98" s="1"/>
  <c r="K71" i="98" a="1"/>
  <c r="K71" i="98" s="1"/>
  <c r="K50" i="98" a="1"/>
  <c r="K50" i="98" s="1"/>
  <c r="J92" i="138" s="1"/>
  <c r="K60" i="98" a="1"/>
  <c r="K60" i="98" s="1"/>
  <c r="J102" i="138" s="1"/>
  <c r="K70" i="98" a="1"/>
  <c r="K70" i="98" s="1"/>
  <c r="K66" i="98" a="1"/>
  <c r="K66" i="98" s="1"/>
  <c r="K47" i="98" a="1"/>
  <c r="K47" i="98" s="1"/>
  <c r="J89" i="138" s="1"/>
  <c r="K51" i="98" a="1"/>
  <c r="K51" i="98" s="1"/>
  <c r="J93" i="138" s="1"/>
  <c r="K63" i="98" a="1"/>
  <c r="K63" i="98" s="1"/>
  <c r="J105" i="138" s="1"/>
  <c r="K69" i="98" a="1"/>
  <c r="K69" i="98" s="1"/>
  <c r="K58" i="98" a="1"/>
  <c r="K58" i="98" s="1"/>
  <c r="J100" i="138" s="1"/>
  <c r="K61" i="98" a="1"/>
  <c r="K61" i="98" s="1"/>
  <c r="J103" i="138" s="1"/>
  <c r="K64" i="98" a="1"/>
  <c r="K64" i="98" s="1"/>
  <c r="J106" i="138" s="1"/>
  <c r="K49" i="98" a="1"/>
  <c r="K49" i="98" s="1"/>
  <c r="J91" i="138" s="1"/>
  <c r="K56" i="98" a="1"/>
  <c r="K56" i="98" s="1"/>
  <c r="J98" i="138" s="1"/>
  <c r="K65" i="98" a="1"/>
  <c r="K65" i="98" s="1"/>
  <c r="J107" i="138" s="1"/>
  <c r="K55" i="98" a="1"/>
  <c r="K55" i="98" s="1"/>
  <c r="J97" i="138" s="1"/>
  <c r="I55" i="98" a="1"/>
  <c r="I55" i="98" s="1"/>
  <c r="F97" i="138" s="1"/>
  <c r="I60" i="98" a="1"/>
  <c r="I60" i="98" s="1"/>
  <c r="F102" i="138" s="1"/>
  <c r="I50" i="98" a="1"/>
  <c r="I50" i="98" s="1"/>
  <c r="F92" i="138" s="1"/>
  <c r="I52" i="98" a="1"/>
  <c r="I52" i="98" s="1"/>
  <c r="F94" i="138" s="1"/>
  <c r="I51" i="98" a="1"/>
  <c r="I51" i="98" s="1"/>
  <c r="F93" i="138" s="1"/>
  <c r="I71" i="98" a="1"/>
  <c r="I71" i="98" s="1"/>
  <c r="I49" i="98" a="1"/>
  <c r="I49" i="98" s="1"/>
  <c r="F91" i="138" s="1"/>
  <c r="I63" i="98" a="1"/>
  <c r="I63" i="98" s="1"/>
  <c r="F105" i="138" s="1"/>
  <c r="I58" i="98" a="1"/>
  <c r="I58" i="98" s="1"/>
  <c r="F100" i="138" s="1"/>
  <c r="I67" i="98" a="1"/>
  <c r="I67" i="98" s="1"/>
  <c r="I48" i="98" a="1"/>
  <c r="I48" i="98" s="1"/>
  <c r="F90" i="138" s="1"/>
  <c r="I62" i="98" a="1"/>
  <c r="I62" i="98" s="1"/>
  <c r="F104" i="138" s="1"/>
  <c r="I47" i="98" a="1"/>
  <c r="I47" i="98" s="1"/>
  <c r="F89" i="138" s="1"/>
  <c r="I66" i="98" a="1"/>
  <c r="I66" i="98" s="1"/>
  <c r="I69" i="98" a="1"/>
  <c r="I69" i="98" s="1"/>
  <c r="I59" i="98" a="1"/>
  <c r="I59" i="98" s="1"/>
  <c r="F101" i="138" s="1"/>
  <c r="I72" i="98" a="1"/>
  <c r="I72" i="98" s="1"/>
  <c r="I57" i="98" a="1"/>
  <c r="I57" i="98" s="1"/>
  <c r="F99" i="138" s="1"/>
  <c r="I70" i="98" a="1"/>
  <c r="I70" i="98" s="1"/>
  <c r="I56" i="98" a="1"/>
  <c r="I56" i="98" s="1"/>
  <c r="F98" i="138" s="1"/>
  <c r="I65" i="98" a="1"/>
  <c r="I65" i="98" s="1"/>
  <c r="F107" i="138" s="1"/>
  <c r="I53" i="98" a="1"/>
  <c r="I53" i="98" s="1"/>
  <c r="F95" i="138" s="1"/>
  <c r="I68" i="98" a="1"/>
  <c r="I68" i="98" s="1"/>
  <c r="I54" i="98" a="1"/>
  <c r="I54" i="98" s="1"/>
  <c r="F96" i="138" s="1"/>
  <c r="I61" i="98" a="1"/>
  <c r="I61" i="98" s="1"/>
  <c r="F103" i="138" s="1"/>
  <c r="I64" i="98" a="1"/>
  <c r="I64" i="98" s="1"/>
  <c r="F106" i="138" s="1"/>
  <c r="H67" i="98" a="1"/>
  <c r="H67" i="98" s="1"/>
  <c r="AN67" i="98" s="1"/>
  <c r="H72" i="98" a="1"/>
  <c r="H72" i="98" s="1"/>
  <c r="H66" i="98" a="1"/>
  <c r="H66" i="98" s="1"/>
  <c r="AN66" i="98" s="1"/>
  <c r="H50" i="98" a="1"/>
  <c r="H50" i="98" s="1"/>
  <c r="AB50" i="98" s="1"/>
  <c r="H51" i="98" a="1"/>
  <c r="H51" i="98" s="1"/>
  <c r="H47" i="98" a="1"/>
  <c r="H47" i="98" s="1"/>
  <c r="AN47" i="98" s="1"/>
  <c r="H59" i="98" a="1"/>
  <c r="H59" i="98" s="1"/>
  <c r="D101" i="138" s="1"/>
  <c r="H49" i="98" a="1"/>
  <c r="H49" i="98" s="1"/>
  <c r="H57" i="98" a="1"/>
  <c r="H57" i="98" s="1"/>
  <c r="D99" i="138" s="1"/>
  <c r="H69" i="98" a="1"/>
  <c r="H69" i="98" s="1"/>
  <c r="H65" i="98" a="1"/>
  <c r="H65" i="98" s="1"/>
  <c r="D107" i="138" s="1"/>
  <c r="H54" i="98" a="1"/>
  <c r="H54" i="98" s="1"/>
  <c r="D96" i="138" s="1"/>
  <c r="H62" i="98" a="1"/>
  <c r="H62" i="98" s="1"/>
  <c r="AK62" i="98" s="1"/>
  <c r="H70" i="98" a="1"/>
  <c r="H70" i="98" s="1"/>
  <c r="AB70" i="98" s="1"/>
  <c r="H68" i="98" a="1"/>
  <c r="H68" i="98" s="1"/>
  <c r="AM68" i="98" s="1"/>
  <c r="H56" i="98" a="1"/>
  <c r="H56" i="98" s="1"/>
  <c r="AN56" i="98" s="1"/>
  <c r="H48" i="98" a="1"/>
  <c r="H48" i="98" s="1"/>
  <c r="AA48" i="98" s="1"/>
  <c r="H61" i="98" a="1"/>
  <c r="H61" i="98" s="1"/>
  <c r="AN61" i="98" s="1"/>
  <c r="H64" i="98" a="1"/>
  <c r="H64" i="98" s="1"/>
  <c r="AK64" i="98" s="1"/>
  <c r="H58" i="98" a="1"/>
  <c r="H58" i="98" s="1"/>
  <c r="AM58" i="98" s="1"/>
  <c r="H63" i="98" a="1"/>
  <c r="H63" i="98" s="1"/>
  <c r="AM63" i="98" s="1"/>
  <c r="H71" i="98" a="1"/>
  <c r="H71" i="98" s="1"/>
  <c r="AK71" i="98" s="1"/>
  <c r="H55" i="98" a="1"/>
  <c r="H55" i="98" s="1"/>
  <c r="AA55" i="98" s="1"/>
  <c r="H52" i="98" a="1"/>
  <c r="H52" i="98" s="1"/>
  <c r="AL52" i="98" s="1"/>
  <c r="H60" i="98" a="1"/>
  <c r="H60" i="98" s="1"/>
  <c r="AN60" i="98" s="1"/>
  <c r="H53" i="98" a="1"/>
  <c r="H53" i="98" s="1"/>
  <c r="AN53" i="98" s="1"/>
  <c r="J67" i="98" a="1"/>
  <c r="J67" i="98" s="1"/>
  <c r="J52" i="98" a="1"/>
  <c r="J52" i="98" s="1"/>
  <c r="J68" i="98" a="1"/>
  <c r="J68" i="98" s="1"/>
  <c r="J54" i="98" a="1"/>
  <c r="J54" i="98" s="1"/>
  <c r="J61" i="98" a="1"/>
  <c r="J61" i="98" s="1"/>
  <c r="T61" i="98" s="1"/>
  <c r="J62" i="98" a="1"/>
  <c r="J62" i="98" s="1"/>
  <c r="H104" i="138" s="1"/>
  <c r="J65" i="98" a="1"/>
  <c r="J65" i="98" s="1"/>
  <c r="H107" i="138" s="1"/>
  <c r="J63" i="98" a="1"/>
  <c r="J63" i="98" s="1"/>
  <c r="V63" i="98" s="1"/>
  <c r="J53" i="98" a="1"/>
  <c r="J53" i="98" s="1"/>
  <c r="V53" i="98" s="1"/>
  <c r="J56" i="98" a="1"/>
  <c r="J56" i="98" s="1"/>
  <c r="N56" i="98" s="1"/>
  <c r="X56" i="98" s="1"/>
  <c r="J49" i="98" a="1"/>
  <c r="J49" i="98" s="1"/>
  <c r="T49" i="98" s="1"/>
  <c r="J69" i="98" a="1"/>
  <c r="J69" i="98" s="1"/>
  <c r="P69" i="98" s="1"/>
  <c r="J60" i="98" a="1"/>
  <c r="J60" i="98" s="1"/>
  <c r="T60" i="98" s="1"/>
  <c r="J72" i="98" a="1"/>
  <c r="J72" i="98" s="1"/>
  <c r="T72" i="98" s="1"/>
  <c r="J47" i="98" a="1"/>
  <c r="J47" i="98" s="1"/>
  <c r="T47" i="98" s="1"/>
  <c r="J48" i="98" a="1"/>
  <c r="J48" i="98" s="1"/>
  <c r="H90" i="138" s="1"/>
  <c r="J70" i="98" a="1"/>
  <c r="J70" i="98" s="1"/>
  <c r="O70" i="98" s="1"/>
  <c r="AI70" i="98" s="1"/>
  <c r="J58" i="98" a="1"/>
  <c r="J58" i="98" s="1"/>
  <c r="J66" i="98" a="1"/>
  <c r="J66" i="98" s="1"/>
  <c r="R66" i="98" s="1"/>
  <c r="J59" i="98" a="1"/>
  <c r="J59" i="98" s="1"/>
  <c r="P59" i="98" s="1"/>
  <c r="J51" i="98" a="1"/>
  <c r="J51" i="98" s="1"/>
  <c r="O51" i="98" s="1"/>
  <c r="AI51" i="98" s="1"/>
  <c r="J64" i="98" a="1"/>
  <c r="J64" i="98" s="1"/>
  <c r="J55" i="98" a="1"/>
  <c r="J55" i="98" s="1"/>
  <c r="J50" i="98" a="1"/>
  <c r="J50" i="98" s="1"/>
  <c r="J57" i="98" a="1"/>
  <c r="J57" i="98" s="1"/>
  <c r="H99" i="138" s="1"/>
  <c r="J71" i="98" a="1"/>
  <c r="J71" i="98" s="1"/>
  <c r="G13" i="97"/>
  <c r="H14" i="97"/>
  <c r="H13" i="146"/>
  <c r="I155" i="97"/>
  <c r="I102" i="97"/>
  <c r="G116" i="97"/>
  <c r="G63" i="97"/>
  <c r="H116" i="97"/>
  <c r="H63" i="97"/>
  <c r="G125" i="97"/>
  <c r="G72" i="97"/>
  <c r="H99" i="97"/>
  <c r="H152" i="97"/>
  <c r="H155" i="97"/>
  <c r="I152" i="97"/>
  <c r="I99" i="97"/>
  <c r="H125" i="97"/>
  <c r="H72" i="97"/>
  <c r="H102" i="97"/>
  <c r="G119" i="97"/>
  <c r="G66" i="97"/>
  <c r="H41" i="97"/>
  <c r="H19" i="97"/>
  <c r="H25" i="97"/>
  <c r="H39" i="97"/>
  <c r="H21" i="97"/>
  <c r="H18" i="146"/>
  <c r="H31" i="97"/>
  <c r="H38" i="97"/>
  <c r="G22" i="146"/>
  <c r="F19" i="146"/>
  <c r="I53" i="97"/>
  <c r="H46" i="97"/>
  <c r="H20" i="97"/>
  <c r="F18" i="146"/>
  <c r="H36" i="97"/>
  <c r="H40" i="97"/>
  <c r="H44" i="97"/>
  <c r="H22" i="146"/>
  <c r="G20" i="146"/>
  <c r="H35" i="97"/>
  <c r="I22" i="146"/>
  <c r="I51" i="97"/>
  <c r="G18" i="146"/>
  <c r="I19" i="146"/>
  <c r="I20" i="146"/>
  <c r="H56" i="97"/>
  <c r="H24" i="97"/>
  <c r="H58" i="97"/>
  <c r="G19" i="146"/>
  <c r="H26" i="97"/>
  <c r="H45" i="97"/>
  <c r="H29" i="97"/>
  <c r="I18" i="146"/>
  <c r="H48" i="97"/>
  <c r="I50" i="97"/>
  <c r="I49" i="97"/>
  <c r="H20" i="146"/>
  <c r="H33" i="97"/>
  <c r="H43" i="97"/>
  <c r="H30" i="97"/>
  <c r="H55" i="97"/>
  <c r="H54" i="97"/>
  <c r="H28" i="97"/>
  <c r="F20" i="146"/>
  <c r="F22" i="146"/>
  <c r="H34" i="97"/>
  <c r="H19" i="146"/>
  <c r="H23" i="97"/>
  <c r="G34" i="145" l="1" a="1"/>
  <c r="G34" i="145" s="1"/>
  <c r="G45" i="145" a="1"/>
  <c r="G45" i="145" s="1"/>
  <c r="G56" i="145" a="1"/>
  <c r="G56" i="145" s="1"/>
  <c r="G40" i="145" a="1"/>
  <c r="G40" i="145" s="1"/>
  <c r="G54" i="145" a="1"/>
  <c r="G54" i="145" s="1"/>
  <c r="G35" i="145" a="1"/>
  <c r="G35" i="145" s="1"/>
  <c r="G47" i="145" a="1"/>
  <c r="G47" i="145" s="1"/>
  <c r="G49" i="145" a="1"/>
  <c r="G49" i="145" s="1"/>
  <c r="G50" i="145" a="1"/>
  <c r="G50" i="145" s="1"/>
  <c r="G41" i="145" a="1"/>
  <c r="G41" i="145" s="1"/>
  <c r="G42" i="145" a="1"/>
  <c r="G42" i="145" s="1"/>
  <c r="G43" i="145" a="1"/>
  <c r="G43" i="145" s="1"/>
  <c r="G55" i="145" a="1"/>
  <c r="G55" i="145" s="1"/>
  <c r="G46" i="145" a="1"/>
  <c r="G46" i="145" s="1"/>
  <c r="G57" i="145" a="1"/>
  <c r="G57" i="145" s="1"/>
  <c r="G36" i="145" a="1"/>
  <c r="G36" i="145" s="1"/>
  <c r="G37" i="145" a="1"/>
  <c r="G37" i="145" s="1"/>
  <c r="G48" i="145" a="1"/>
  <c r="G48" i="145" s="1"/>
  <c r="G38" i="145" a="1"/>
  <c r="G38" i="145" s="1"/>
  <c r="G39" i="145" a="1"/>
  <c r="G39" i="145" s="1"/>
  <c r="G51" i="145" a="1"/>
  <c r="G51" i="145" s="1"/>
  <c r="G52" i="145" a="1"/>
  <c r="G52" i="145" s="1"/>
  <c r="G53" i="145" a="1"/>
  <c r="G53" i="145" s="1"/>
  <c r="G44" i="145" a="1"/>
  <c r="G44" i="145" s="1"/>
  <c r="G33" i="145" a="1"/>
  <c r="G33" i="145" s="1"/>
  <c r="AH19" i="144"/>
  <c r="X75" i="145" s="1"/>
  <c r="H101" i="97"/>
  <c r="AF55" i="144"/>
  <c r="V111" i="145" s="1"/>
  <c r="G71" i="97"/>
  <c r="Z57" i="144"/>
  <c r="P113" i="145" s="1"/>
  <c r="H154" i="97"/>
  <c r="G77" i="97"/>
  <c r="G130" i="97"/>
  <c r="G89" i="97"/>
  <c r="AR27" i="144"/>
  <c r="AO31" i="144"/>
  <c r="AG68" i="144"/>
  <c r="U52" i="144"/>
  <c r="AL29" i="144"/>
  <c r="H100" i="145"/>
  <c r="AM29" i="144"/>
  <c r="Y57" i="144"/>
  <c r="O113" i="145" s="1"/>
  <c r="AB57" i="144"/>
  <c r="R113" i="145" s="1"/>
  <c r="AL57" i="144"/>
  <c r="AE54" i="144"/>
  <c r="U110" i="145" s="1"/>
  <c r="AE45" i="144"/>
  <c r="U101" i="145" s="1"/>
  <c r="AS65" i="144"/>
  <c r="AT22" i="144"/>
  <c r="D96" i="145"/>
  <c r="AM64" i="144"/>
  <c r="Z64" i="144"/>
  <c r="P120" i="145" s="1"/>
  <c r="AN40" i="144"/>
  <c r="G142" i="97"/>
  <c r="AL64" i="144"/>
  <c r="G118" i="97"/>
  <c r="L64" i="144"/>
  <c r="AA64" i="144"/>
  <c r="Q120" i="145" s="1"/>
  <c r="AB64" i="144"/>
  <c r="R120" i="145" s="1"/>
  <c r="AL30" i="144"/>
  <c r="AM57" i="144"/>
  <c r="AN57" i="144"/>
  <c r="AC57" i="144"/>
  <c r="S113" i="145" s="1"/>
  <c r="G124" i="97"/>
  <c r="AB70" i="144"/>
  <c r="D113" i="145"/>
  <c r="AE21" i="144"/>
  <c r="U77" i="145" s="1"/>
  <c r="AN70" i="144"/>
  <c r="L70" i="144"/>
  <c r="AH70" i="144"/>
  <c r="AM70" i="144"/>
  <c r="AA70" i="144"/>
  <c r="AM42" i="144"/>
  <c r="Z42" i="144"/>
  <c r="P98" i="145" s="1"/>
  <c r="AN42" i="144"/>
  <c r="AB42" i="144"/>
  <c r="R98" i="145" s="1"/>
  <c r="D98" i="145"/>
  <c r="O63" i="144"/>
  <c r="AI63" i="144" s="1"/>
  <c r="AN21" i="144"/>
  <c r="AL42" i="144"/>
  <c r="AN64" i="144"/>
  <c r="Y21" i="144"/>
  <c r="O77" i="145" s="1"/>
  <c r="AK42" i="144"/>
  <c r="AA42" i="144"/>
  <c r="Q98" i="145" s="1"/>
  <c r="D120" i="145"/>
  <c r="L21" i="144"/>
  <c r="AL21" i="144"/>
  <c r="D77" i="145"/>
  <c r="AK70" i="144"/>
  <c r="AL70" i="144"/>
  <c r="T63" i="144"/>
  <c r="S17" i="144"/>
  <c r="Y30" i="144"/>
  <c r="O86" i="145" s="1"/>
  <c r="AK50" i="144"/>
  <c r="Z50" i="144"/>
  <c r="P106" i="145" s="1"/>
  <c r="AN30" i="144"/>
  <c r="AN69" i="144"/>
  <c r="AK30" i="144"/>
  <c r="AB50" i="144"/>
  <c r="R106" i="145" s="1"/>
  <c r="R36" i="144"/>
  <c r="V36" i="144"/>
  <c r="AL50" i="144"/>
  <c r="AB69" i="144"/>
  <c r="AM50" i="144"/>
  <c r="D106" i="145"/>
  <c r="AK64" i="144"/>
  <c r="L17" i="144"/>
  <c r="U69" i="144"/>
  <c r="AF69" i="144"/>
  <c r="AM38" i="144"/>
  <c r="R69" i="144"/>
  <c r="AN38" i="144"/>
  <c r="P69" i="144"/>
  <c r="Q69" i="144"/>
  <c r="W69" i="144" s="1"/>
  <c r="T69" i="144"/>
  <c r="AA21" i="144"/>
  <c r="Q77" i="145" s="1"/>
  <c r="AB21" i="144"/>
  <c r="R77" i="145" s="1"/>
  <c r="AN62" i="144"/>
  <c r="Z21" i="144"/>
  <c r="P77" i="145" s="1"/>
  <c r="D118" i="145"/>
  <c r="D111" i="145"/>
  <c r="P63" i="144"/>
  <c r="N119" i="145" s="1"/>
  <c r="AB25" i="144"/>
  <c r="R81" i="145" s="1"/>
  <c r="S36" i="144"/>
  <c r="V24" i="144"/>
  <c r="Q36" i="144"/>
  <c r="W36" i="144" s="1"/>
  <c r="H80" i="145"/>
  <c r="H92" i="145"/>
  <c r="AL69" i="144"/>
  <c r="Y70" i="144"/>
  <c r="L42" i="144"/>
  <c r="AK69" i="144"/>
  <c r="AL63" i="144"/>
  <c r="AT50" i="144"/>
  <c r="L63" i="144"/>
  <c r="AF41" i="144"/>
  <c r="V97" i="145" s="1"/>
  <c r="AN25" i="144"/>
  <c r="AN35" i="144"/>
  <c r="AE55" i="144"/>
  <c r="U111" i="145" s="1"/>
  <c r="Z25" i="144"/>
  <c r="P81" i="145" s="1"/>
  <c r="R60" i="144"/>
  <c r="U20" i="144"/>
  <c r="AL25" i="144"/>
  <c r="AS20" i="144"/>
  <c r="P20" i="144"/>
  <c r="N76" i="145" s="1"/>
  <c r="H106" i="145"/>
  <c r="N20" i="144"/>
  <c r="AJ20" i="144" s="1"/>
  <c r="AP24" i="144"/>
  <c r="G95" i="97"/>
  <c r="AA25" i="144"/>
  <c r="Q81" i="145" s="1"/>
  <c r="G148" i="97"/>
  <c r="U60" i="144"/>
  <c r="P43" i="144"/>
  <c r="N99" i="145" s="1"/>
  <c r="AA66" i="144"/>
  <c r="L25" i="144"/>
  <c r="D81" i="145"/>
  <c r="O24" i="144"/>
  <c r="AI24" i="144" s="1"/>
  <c r="S52" i="144"/>
  <c r="N69" i="144"/>
  <c r="X69" i="144" s="1"/>
  <c r="AR63" i="144"/>
  <c r="V41" i="144"/>
  <c r="AQ69" i="144"/>
  <c r="H119" i="145"/>
  <c r="Q63" i="144"/>
  <c r="W63" i="144" s="1"/>
  <c r="S69" i="144"/>
  <c r="P24" i="144"/>
  <c r="N80" i="145" s="1"/>
  <c r="AB55" i="144"/>
  <c r="R111" i="145" s="1"/>
  <c r="AC55" i="144"/>
  <c r="S111" i="145" s="1"/>
  <c r="T60" i="144"/>
  <c r="AG55" i="144"/>
  <c r="W111" i="145" s="1"/>
  <c r="AH69" i="144"/>
  <c r="U24" i="144"/>
  <c r="AS70" i="144"/>
  <c r="R64" i="144"/>
  <c r="U36" i="144"/>
  <c r="S24" i="144"/>
  <c r="AK21" i="144"/>
  <c r="R24" i="144"/>
  <c r="AE38" i="144"/>
  <c r="U94" i="145" s="1"/>
  <c r="N24" i="144"/>
  <c r="AJ24" i="144" s="1"/>
  <c r="P38" i="144"/>
  <c r="N94" i="145" s="1"/>
  <c r="AK56" i="144"/>
  <c r="Q38" i="144"/>
  <c r="W38" i="144" s="1"/>
  <c r="AT38" i="144"/>
  <c r="T55" i="144"/>
  <c r="AA63" i="144"/>
  <c r="Q119" i="145" s="1"/>
  <c r="AD55" i="144"/>
  <c r="T111" i="145" s="1"/>
  <c r="P55" i="144"/>
  <c r="N111" i="145" s="1"/>
  <c r="AC63" i="144"/>
  <c r="S119" i="145" s="1"/>
  <c r="Y63" i="144"/>
  <c r="O119" i="145" s="1"/>
  <c r="AH63" i="144"/>
  <c r="X119" i="145" s="1"/>
  <c r="AK63" i="144"/>
  <c r="AA30" i="144"/>
  <c r="Q86" i="145" s="1"/>
  <c r="T50" i="144"/>
  <c r="AD63" i="144"/>
  <c r="T119" i="145" s="1"/>
  <c r="AN63" i="144"/>
  <c r="L30" i="144"/>
  <c r="R50" i="144"/>
  <c r="D119" i="145"/>
  <c r="N52" i="144"/>
  <c r="AJ52" i="144" s="1"/>
  <c r="T40" i="144"/>
  <c r="P64" i="144"/>
  <c r="N120" i="145" s="1"/>
  <c r="AT64" i="144"/>
  <c r="AR69" i="144"/>
  <c r="AQ64" i="144"/>
  <c r="D91" i="145"/>
  <c r="Q64" i="144"/>
  <c r="W64" i="144" s="1"/>
  <c r="AC69" i="144"/>
  <c r="Z63" i="144"/>
  <c r="P119" i="145" s="1"/>
  <c r="AH64" i="144"/>
  <c r="X120" i="145" s="1"/>
  <c r="H116" i="145"/>
  <c r="T36" i="144"/>
  <c r="AO69" i="144"/>
  <c r="G144" i="97"/>
  <c r="T64" i="144"/>
  <c r="N60" i="144"/>
  <c r="AJ60" i="144" s="1"/>
  <c r="N36" i="144"/>
  <c r="AJ36" i="144" s="1"/>
  <c r="O69" i="144"/>
  <c r="AI69" i="144" s="1"/>
  <c r="AM63" i="144"/>
  <c r="Y66" i="144"/>
  <c r="O36" i="144"/>
  <c r="AI36" i="144" s="1"/>
  <c r="T34" i="144"/>
  <c r="AG34" i="144"/>
  <c r="W90" i="145" s="1"/>
  <c r="U50" i="144"/>
  <c r="AE34" i="144"/>
  <c r="U90" i="145" s="1"/>
  <c r="V40" i="144"/>
  <c r="AA35" i="144"/>
  <c r="Q91" i="145" s="1"/>
  <c r="R40" i="144"/>
  <c r="AL34" i="144"/>
  <c r="S50" i="144"/>
  <c r="V52" i="144"/>
  <c r="AE41" i="144"/>
  <c r="U97" i="145" s="1"/>
  <c r="Q40" i="144"/>
  <c r="W40" i="144" s="1"/>
  <c r="AO64" i="144"/>
  <c r="AL55" i="144"/>
  <c r="N40" i="144"/>
  <c r="X40" i="144" s="1"/>
  <c r="R55" i="144"/>
  <c r="AP64" i="144"/>
  <c r="U41" i="144"/>
  <c r="AD69" i="144"/>
  <c r="AL28" i="144"/>
  <c r="AD19" i="144"/>
  <c r="T75" i="145" s="1"/>
  <c r="H96" i="145"/>
  <c r="AB34" i="144"/>
  <c r="R90" i="145" s="1"/>
  <c r="H120" i="145"/>
  <c r="AN39" i="144"/>
  <c r="L28" i="144"/>
  <c r="N50" i="144"/>
  <c r="X50" i="144" s="1"/>
  <c r="AA39" i="144"/>
  <c r="Q95" i="145" s="1"/>
  <c r="AF50" i="144"/>
  <c r="V106" i="145" s="1"/>
  <c r="AB39" i="144"/>
  <c r="R95" i="145" s="1"/>
  <c r="P70" i="144"/>
  <c r="P50" i="144"/>
  <c r="N106" i="145" s="1"/>
  <c r="S70" i="144"/>
  <c r="O60" i="144"/>
  <c r="AI60" i="144" s="1"/>
  <c r="V63" i="144"/>
  <c r="T70" i="144"/>
  <c r="AF40" i="144"/>
  <c r="V96" i="145" s="1"/>
  <c r="Z56" i="144"/>
  <c r="P112" i="145" s="1"/>
  <c r="V59" i="144"/>
  <c r="AK53" i="144"/>
  <c r="AN22" i="144"/>
  <c r="AK22" i="144"/>
  <c r="G65" i="97"/>
  <c r="AN56" i="144"/>
  <c r="L22" i="144"/>
  <c r="Z22" i="144"/>
  <c r="P78" i="145" s="1"/>
  <c r="AM40" i="144"/>
  <c r="Q59" i="144"/>
  <c r="W59" i="144" s="1"/>
  <c r="AB65" i="144"/>
  <c r="R121" i="145" s="1"/>
  <c r="AP38" i="144"/>
  <c r="AT59" i="144"/>
  <c r="D78" i="145"/>
  <c r="Z40" i="144"/>
  <c r="P96" i="145" s="1"/>
  <c r="H115" i="145"/>
  <c r="AP69" i="144"/>
  <c r="AM65" i="144"/>
  <c r="AM22" i="144"/>
  <c r="O59" i="144"/>
  <c r="AI59" i="144" s="1"/>
  <c r="AG38" i="144"/>
  <c r="W94" i="145" s="1"/>
  <c r="Y22" i="144"/>
  <c r="O78" i="145" s="1"/>
  <c r="AT40" i="144"/>
  <c r="L56" i="144"/>
  <c r="S59" i="144"/>
  <c r="AH38" i="144"/>
  <c r="X94" i="145" s="1"/>
  <c r="AL22" i="144"/>
  <c r="AE40" i="144"/>
  <c r="U96" i="145" s="1"/>
  <c r="S38" i="144"/>
  <c r="AB53" i="144"/>
  <c r="R109" i="145" s="1"/>
  <c r="AT72" i="144"/>
  <c r="G160" i="97"/>
  <c r="AA22" i="144"/>
  <c r="Q78" i="145" s="1"/>
  <c r="AH59" i="144"/>
  <c r="X115" i="145" s="1"/>
  <c r="AO40" i="144"/>
  <c r="L40" i="144"/>
  <c r="AB56" i="144"/>
  <c r="R112" i="145" s="1"/>
  <c r="AA40" i="144"/>
  <c r="Q96" i="145" s="1"/>
  <c r="AM56" i="144"/>
  <c r="P59" i="144"/>
  <c r="N115" i="145" s="1"/>
  <c r="L55" i="144"/>
  <c r="D112" i="145"/>
  <c r="AK55" i="144"/>
  <c r="Z30" i="144"/>
  <c r="P86" i="145" s="1"/>
  <c r="AT21" i="144"/>
  <c r="AB30" i="144"/>
  <c r="R86" i="145" s="1"/>
  <c r="AK40" i="144"/>
  <c r="AR33" i="144"/>
  <c r="AA69" i="144"/>
  <c r="AG69" i="144"/>
  <c r="L54" i="144"/>
  <c r="Z65" i="144"/>
  <c r="P121" i="145" s="1"/>
  <c r="AL40" i="144"/>
  <c r="Z55" i="144"/>
  <c r="P111" i="145" s="1"/>
  <c r="O43" i="144"/>
  <c r="AI43" i="144" s="1"/>
  <c r="D86" i="145"/>
  <c r="AB40" i="144"/>
  <c r="R96" i="145" s="1"/>
  <c r="N33" i="144"/>
  <c r="X33" i="144" s="1"/>
  <c r="L69" i="144"/>
  <c r="AE69" i="144"/>
  <c r="Y54" i="144"/>
  <c r="O110" i="145" s="1"/>
  <c r="D121" i="145"/>
  <c r="AT69" i="144"/>
  <c r="Y56" i="144"/>
  <c r="O112" i="145" s="1"/>
  <c r="AL56" i="144"/>
  <c r="T59" i="144"/>
  <c r="AQ38" i="144"/>
  <c r="AR50" i="144"/>
  <c r="Z69" i="144"/>
  <c r="AM55" i="144"/>
  <c r="AP50" i="144"/>
  <c r="Y55" i="144"/>
  <c r="O111" i="145" s="1"/>
  <c r="V43" i="144"/>
  <c r="AS33" i="144"/>
  <c r="Y69" i="144"/>
  <c r="AN54" i="144"/>
  <c r="AN65" i="144"/>
  <c r="AN55" i="144"/>
  <c r="D110" i="145"/>
  <c r="AQ44" i="144"/>
  <c r="P23" i="144"/>
  <c r="N79" i="145" s="1"/>
  <c r="AD23" i="144"/>
  <c r="T79" i="145" s="1"/>
  <c r="N23" i="144"/>
  <c r="AJ23" i="144" s="1"/>
  <c r="AO23" i="144"/>
  <c r="AC23" i="144"/>
  <c r="S79" i="145" s="1"/>
  <c r="AP23" i="144"/>
  <c r="H79" i="145"/>
  <c r="V23" i="144"/>
  <c r="U23" i="144"/>
  <c r="T23" i="144"/>
  <c r="S23" i="144"/>
  <c r="O51" i="144"/>
  <c r="AI51" i="144" s="1"/>
  <c r="H107" i="145"/>
  <c r="R51" i="144"/>
  <c r="N51" i="144"/>
  <c r="AJ51" i="144" s="1"/>
  <c r="N53" i="144"/>
  <c r="AJ53" i="144" s="1"/>
  <c r="AS53" i="144"/>
  <c r="R53" i="144"/>
  <c r="AH53" i="144"/>
  <c r="X109" i="145" s="1"/>
  <c r="AT53" i="144"/>
  <c r="AE53" i="144"/>
  <c r="U109" i="145" s="1"/>
  <c r="Q53" i="144"/>
  <c r="W53" i="144" s="1"/>
  <c r="U53" i="144"/>
  <c r="AD53" i="144"/>
  <c r="T109" i="145" s="1"/>
  <c r="AG53" i="144"/>
  <c r="W109" i="145" s="1"/>
  <c r="S53" i="144"/>
  <c r="V53" i="144"/>
  <c r="AF53" i="144"/>
  <c r="V109" i="145" s="1"/>
  <c r="O53" i="144"/>
  <c r="AI53" i="144" s="1"/>
  <c r="AO53" i="144"/>
  <c r="T53" i="144"/>
  <c r="AP53" i="144"/>
  <c r="U54" i="144"/>
  <c r="AS28" i="144"/>
  <c r="T28" i="144"/>
  <c r="H84" i="145"/>
  <c r="U28" i="144"/>
  <c r="S28" i="144"/>
  <c r="AT28" i="144"/>
  <c r="P28" i="144"/>
  <c r="N84" i="145" s="1"/>
  <c r="R28" i="144"/>
  <c r="N28" i="144"/>
  <c r="AJ28" i="144" s="1"/>
  <c r="V28" i="144"/>
  <c r="Q28" i="144"/>
  <c r="W28" i="144" s="1"/>
  <c r="O28" i="144"/>
  <c r="AI28" i="144" s="1"/>
  <c r="T51" i="144"/>
  <c r="R71" i="144"/>
  <c r="N71" i="144"/>
  <c r="AJ71" i="144" s="1"/>
  <c r="AO41" i="144"/>
  <c r="AT41" i="144"/>
  <c r="L41" i="144"/>
  <c r="Z41" i="144"/>
  <c r="P97" i="145" s="1"/>
  <c r="AB41" i="144"/>
  <c r="R97" i="145" s="1"/>
  <c r="AK41" i="144"/>
  <c r="AN41" i="144"/>
  <c r="Y41" i="144"/>
  <c r="O97" i="145" s="1"/>
  <c r="R27" i="144"/>
  <c r="S32" i="144"/>
  <c r="AS27" i="144"/>
  <c r="AD28" i="144"/>
  <c r="T84" i="145" s="1"/>
  <c r="H156" i="97"/>
  <c r="V54" i="144"/>
  <c r="S54" i="144"/>
  <c r="T54" i="144"/>
  <c r="Q54" i="144"/>
  <c r="W54" i="144" s="1"/>
  <c r="AD54" i="144"/>
  <c r="T110" i="145" s="1"/>
  <c r="R54" i="144"/>
  <c r="AS54" i="144"/>
  <c r="AP54" i="144"/>
  <c r="AQ54" i="144"/>
  <c r="AH54" i="144"/>
  <c r="X110" i="145" s="1"/>
  <c r="AO54" i="144"/>
  <c r="S19" i="144"/>
  <c r="AT19" i="144"/>
  <c r="AQ19" i="144"/>
  <c r="AR19" i="144"/>
  <c r="N19" i="144"/>
  <c r="X19" i="144" s="1"/>
  <c r="AG19" i="144"/>
  <c r="W75" i="145" s="1"/>
  <c r="AF19" i="144"/>
  <c r="V75" i="145" s="1"/>
  <c r="O19" i="144"/>
  <c r="AI19" i="144" s="1"/>
  <c r="H75" i="145"/>
  <c r="Q19" i="144"/>
  <c r="W19" i="144" s="1"/>
  <c r="AS19" i="144"/>
  <c r="P51" i="144"/>
  <c r="N107" i="145" s="1"/>
  <c r="N26" i="144"/>
  <c r="AJ26" i="144" s="1"/>
  <c r="H82" i="145"/>
  <c r="V26" i="144"/>
  <c r="T26" i="144"/>
  <c r="P26" i="144"/>
  <c r="N82" i="145" s="1"/>
  <c r="O26" i="144"/>
  <c r="AI26" i="144" s="1"/>
  <c r="R26" i="144"/>
  <c r="S26" i="144"/>
  <c r="U26" i="144"/>
  <c r="U51" i="144"/>
  <c r="H101" i="145"/>
  <c r="Q45" i="144"/>
  <c r="W45" i="144" s="1"/>
  <c r="P45" i="144"/>
  <c r="N101" i="145" s="1"/>
  <c r="U45" i="144"/>
  <c r="O45" i="144"/>
  <c r="AI45" i="144" s="1"/>
  <c r="V45" i="144"/>
  <c r="AS49" i="144"/>
  <c r="V49" i="144"/>
  <c r="AR49" i="144"/>
  <c r="Q51" i="144"/>
  <c r="W51" i="144" s="1"/>
  <c r="Q27" i="144"/>
  <c r="W27" i="144" s="1"/>
  <c r="AT54" i="144"/>
  <c r="O27" i="144"/>
  <c r="AI27" i="144" s="1"/>
  <c r="AP27" i="144"/>
  <c r="AC54" i="144"/>
  <c r="S110" i="145" s="1"/>
  <c r="AQ27" i="144"/>
  <c r="AG54" i="144"/>
  <c r="W110" i="145" s="1"/>
  <c r="U32" i="144"/>
  <c r="Q26" i="144"/>
  <c r="W26" i="144" s="1"/>
  <c r="N45" i="144"/>
  <c r="AJ45" i="144" s="1"/>
  <c r="AP19" i="144"/>
  <c r="R45" i="144"/>
  <c r="H109" i="145"/>
  <c r="AE19" i="144"/>
  <c r="U75" i="145" s="1"/>
  <c r="R22" i="144"/>
  <c r="Q22" i="144"/>
  <c r="W22" i="144" s="1"/>
  <c r="P22" i="144"/>
  <c r="N78" i="145" s="1"/>
  <c r="AO22" i="144"/>
  <c r="AP22" i="144"/>
  <c r="AD22" i="144"/>
  <c r="T78" i="145" s="1"/>
  <c r="AF22" i="144"/>
  <c r="V78" i="145" s="1"/>
  <c r="AS22" i="144"/>
  <c r="AE22" i="144"/>
  <c r="U78" i="145" s="1"/>
  <c r="N22" i="144"/>
  <c r="AJ22" i="144" s="1"/>
  <c r="V22" i="144"/>
  <c r="U22" i="144"/>
  <c r="AC22" i="144"/>
  <c r="S78" i="145" s="1"/>
  <c r="AG22" i="144"/>
  <c r="W78" i="145" s="1"/>
  <c r="AH22" i="144"/>
  <c r="X78" i="145" s="1"/>
  <c r="S22" i="144"/>
  <c r="T22" i="144"/>
  <c r="R61" i="144"/>
  <c r="S61" i="144"/>
  <c r="H117" i="145"/>
  <c r="V61" i="144"/>
  <c r="AO61" i="144"/>
  <c r="AC61" i="144"/>
  <c r="S117" i="145" s="1"/>
  <c r="U61" i="144"/>
  <c r="T61" i="144"/>
  <c r="P61" i="144"/>
  <c r="N117" i="145" s="1"/>
  <c r="O61" i="144"/>
  <c r="AI61" i="144" s="1"/>
  <c r="Q61" i="144"/>
  <c r="W61" i="144" s="1"/>
  <c r="AH61" i="144"/>
  <c r="X117" i="145" s="1"/>
  <c r="AD61" i="144"/>
  <c r="T117" i="145" s="1"/>
  <c r="AQ61" i="144"/>
  <c r="U27" i="144"/>
  <c r="H83" i="145"/>
  <c r="AE27" i="144"/>
  <c r="U83" i="145" s="1"/>
  <c r="S27" i="144"/>
  <c r="N27" i="144"/>
  <c r="AJ27" i="144" s="1"/>
  <c r="AD27" i="144"/>
  <c r="T83" i="145" s="1"/>
  <c r="AO27" i="144"/>
  <c r="AT27" i="144"/>
  <c r="P27" i="144"/>
  <c r="N83" i="145" s="1"/>
  <c r="T27" i="144"/>
  <c r="Q32" i="144"/>
  <c r="W32" i="144" s="1"/>
  <c r="R32" i="144"/>
  <c r="H88" i="145"/>
  <c r="T32" i="144"/>
  <c r="P32" i="144"/>
  <c r="N88" i="145" s="1"/>
  <c r="N32" i="144"/>
  <c r="X32" i="144" s="1"/>
  <c r="AR32" i="144"/>
  <c r="O32" i="144"/>
  <c r="AI32" i="144" s="1"/>
  <c r="V51" i="144"/>
  <c r="AF54" i="144"/>
  <c r="V110" i="145" s="1"/>
  <c r="AT37" i="144"/>
  <c r="S51" i="144"/>
  <c r="AR54" i="144"/>
  <c r="S45" i="144"/>
  <c r="U19" i="144"/>
  <c r="AQ56" i="144"/>
  <c r="P56" i="144"/>
  <c r="N112" i="145" s="1"/>
  <c r="H112" i="145"/>
  <c r="AF56" i="144"/>
  <c r="V112" i="145" s="1"/>
  <c r="AA53" i="144"/>
  <c r="Q109" i="145" s="1"/>
  <c r="R21" i="144"/>
  <c r="U65" i="144"/>
  <c r="AD47" i="144"/>
  <c r="T103" i="145" s="1"/>
  <c r="AG47" i="144"/>
  <c r="W103" i="145" s="1"/>
  <c r="AT24" i="144"/>
  <c r="AD24" i="144"/>
  <c r="T80" i="145" s="1"/>
  <c r="AO24" i="144"/>
  <c r="AH24" i="144"/>
  <c r="X80" i="145" s="1"/>
  <c r="Z68" i="144"/>
  <c r="P21" i="144"/>
  <c r="N77" i="145" s="1"/>
  <c r="U31" i="144"/>
  <c r="H74" i="145"/>
  <c r="T31" i="144"/>
  <c r="AG56" i="144"/>
  <c r="W112" i="145" s="1"/>
  <c r="L49" i="144"/>
  <c r="AP57" i="144"/>
  <c r="N72" i="144"/>
  <c r="AJ72" i="144" s="1"/>
  <c r="U21" i="144"/>
  <c r="Y48" i="144"/>
  <c r="O104" i="145" s="1"/>
  <c r="AK44" i="144"/>
  <c r="P47" i="144"/>
  <c r="N103" i="145" s="1"/>
  <c r="AM49" i="144"/>
  <c r="AQ57" i="144"/>
  <c r="V72" i="144"/>
  <c r="AL48" i="144"/>
  <c r="AB24" i="144"/>
  <c r="R80" i="145" s="1"/>
  <c r="L44" i="144"/>
  <c r="Q47" i="144"/>
  <c r="W47" i="144" s="1"/>
  <c r="Y49" i="144"/>
  <c r="O105" i="145" s="1"/>
  <c r="AB61" i="144"/>
  <c r="R117" i="145" s="1"/>
  <c r="AK24" i="144"/>
  <c r="Z44" i="144"/>
  <c r="P100" i="145" s="1"/>
  <c r="AQ47" i="144"/>
  <c r="Z49" i="144"/>
  <c r="P105" i="145" s="1"/>
  <c r="AL61" i="144"/>
  <c r="L24" i="144"/>
  <c r="Y44" i="144"/>
  <c r="O100" i="145" s="1"/>
  <c r="AN61" i="144"/>
  <c r="T66" i="144"/>
  <c r="O66" i="144"/>
  <c r="AI66" i="144" s="1"/>
  <c r="AC66" i="144"/>
  <c r="S66" i="144"/>
  <c r="P66" i="144"/>
  <c r="AQ51" i="144"/>
  <c r="G85" i="97"/>
  <c r="G138" i="97"/>
  <c r="AB29" i="144"/>
  <c r="R85" i="145" s="1"/>
  <c r="Z29" i="144"/>
  <c r="P85" i="145" s="1"/>
  <c r="Y29" i="144"/>
  <c r="O85" i="145" s="1"/>
  <c r="AN48" i="144"/>
  <c r="L48" i="144"/>
  <c r="D104" i="145"/>
  <c r="AA48" i="144"/>
  <c r="Q104" i="145" s="1"/>
  <c r="S65" i="144"/>
  <c r="O21" i="144"/>
  <c r="AI21" i="144" s="1"/>
  <c r="AD21" i="144"/>
  <c r="T77" i="145" s="1"/>
  <c r="AH21" i="144"/>
  <c r="X77" i="145" s="1"/>
  <c r="AO21" i="144"/>
  <c r="D115" i="145"/>
  <c r="Y59" i="144"/>
  <c r="O115" i="145" s="1"/>
  <c r="AR59" i="144"/>
  <c r="AB59" i="144"/>
  <c r="R115" i="145" s="1"/>
  <c r="AD59" i="144"/>
  <c r="T115" i="145" s="1"/>
  <c r="AL68" i="144"/>
  <c r="AK68" i="144"/>
  <c r="AB68" i="144"/>
  <c r="L68" i="144"/>
  <c r="AM68" i="144"/>
  <c r="G73" i="97"/>
  <c r="G126" i="97"/>
  <c r="AC56" i="144"/>
  <c r="S112" i="145" s="1"/>
  <c r="AB44" i="144"/>
  <c r="R100" i="145" s="1"/>
  <c r="AP47" i="144"/>
  <c r="Q21" i="144"/>
  <c r="W21" i="144" s="1"/>
  <c r="AA44" i="144"/>
  <c r="Q100" i="145" s="1"/>
  <c r="N47" i="144"/>
  <c r="AJ47" i="144" s="1"/>
  <c r="AM24" i="144"/>
  <c r="AL44" i="144"/>
  <c r="AO44" i="144"/>
  <c r="AK61" i="144"/>
  <c r="AF59" i="144"/>
  <c r="V115" i="145" s="1"/>
  <c r="Y24" i="144"/>
  <c r="O80" i="145" s="1"/>
  <c r="D100" i="145"/>
  <c r="AR44" i="144"/>
  <c r="L53" i="144"/>
  <c r="AD67" i="144"/>
  <c r="L71" i="144"/>
  <c r="AN71" i="144"/>
  <c r="AA71" i="144"/>
  <c r="AL71" i="144"/>
  <c r="AN49" i="144"/>
  <c r="AL49" i="144"/>
  <c r="AK49" i="144"/>
  <c r="AQ33" i="144"/>
  <c r="H89" i="145"/>
  <c r="AD34" i="144"/>
  <c r="T90" i="145" s="1"/>
  <c r="V34" i="144"/>
  <c r="D80" i="145"/>
  <c r="AD44" i="144"/>
  <c r="T100" i="145" s="1"/>
  <c r="AL27" i="144"/>
  <c r="Y39" i="144"/>
  <c r="O95" i="145" s="1"/>
  <c r="D95" i="145"/>
  <c r="G109" i="97"/>
  <c r="G136" i="97"/>
  <c r="Q43" i="144"/>
  <c r="W43" i="144" s="1"/>
  <c r="AS40" i="144"/>
  <c r="AN27" i="144"/>
  <c r="R20" i="144"/>
  <c r="AD50" i="144"/>
  <c r="T106" i="145" s="1"/>
  <c r="AK27" i="144"/>
  <c r="AP40" i="144"/>
  <c r="Z34" i="144"/>
  <c r="P90" i="145" s="1"/>
  <c r="AE50" i="144"/>
  <c r="U106" i="145" s="1"/>
  <c r="AR64" i="144"/>
  <c r="AB28" i="144"/>
  <c r="R84" i="145" s="1"/>
  <c r="H76" i="145"/>
  <c r="AB38" i="144"/>
  <c r="R94" i="145" s="1"/>
  <c r="U64" i="144"/>
  <c r="Z35" i="144"/>
  <c r="P91" i="145" s="1"/>
  <c r="R43" i="144"/>
  <c r="Y50" i="144"/>
  <c r="O106" i="145" s="1"/>
  <c r="AM62" i="144"/>
  <c r="Z27" i="144"/>
  <c r="P83" i="145" s="1"/>
  <c r="AM33" i="144"/>
  <c r="Z54" i="144"/>
  <c r="P110" i="145" s="1"/>
  <c r="AB35" i="144"/>
  <c r="R91" i="145" s="1"/>
  <c r="S60" i="144"/>
  <c r="U43" i="144"/>
  <c r="AD40" i="144"/>
  <c r="T96" i="145" s="1"/>
  <c r="AA50" i="144"/>
  <c r="Q106" i="145" s="1"/>
  <c r="L38" i="144"/>
  <c r="AO50" i="144"/>
  <c r="L62" i="144"/>
  <c r="AB27" i="144"/>
  <c r="R83" i="145" s="1"/>
  <c r="AE64" i="144"/>
  <c r="U120" i="145" s="1"/>
  <c r="Z33" i="144"/>
  <c r="P89" i="145" s="1"/>
  <c r="AS69" i="144"/>
  <c r="AM25" i="144"/>
  <c r="AM54" i="144"/>
  <c r="AA57" i="144"/>
  <c r="Q113" i="145" s="1"/>
  <c r="G107" i="97"/>
  <c r="AR28" i="144"/>
  <c r="Y27" i="144"/>
  <c r="O83" i="145" s="1"/>
  <c r="G83" i="97"/>
  <c r="AQ40" i="144"/>
  <c r="L50" i="144"/>
  <c r="AG50" i="144"/>
  <c r="W106" i="145" s="1"/>
  <c r="AK33" i="144"/>
  <c r="Y28" i="144"/>
  <c r="O84" i="145" s="1"/>
  <c r="AA54" i="144"/>
  <c r="Q110" i="145" s="1"/>
  <c r="P60" i="144"/>
  <c r="N116" i="145" s="1"/>
  <c r="Y38" i="144"/>
  <c r="O94" i="145" s="1"/>
  <c r="AH50" i="144"/>
  <c r="X106" i="145" s="1"/>
  <c r="AD64" i="144"/>
  <c r="T120" i="145" s="1"/>
  <c r="AM28" i="144"/>
  <c r="AK25" i="144"/>
  <c r="Q60" i="144"/>
  <c r="W60" i="144" s="1"/>
  <c r="AL38" i="144"/>
  <c r="V55" i="144"/>
  <c r="AT70" i="144"/>
  <c r="AB54" i="144"/>
  <c r="R110" i="145" s="1"/>
  <c r="AK57" i="144"/>
  <c r="AO60" i="144"/>
  <c r="AH60" i="144"/>
  <c r="X116" i="145" s="1"/>
  <c r="AM60" i="144"/>
  <c r="AL60" i="144"/>
  <c r="AC60" i="144"/>
  <c r="S116" i="145" s="1"/>
  <c r="AT60" i="144"/>
  <c r="AG60" i="144"/>
  <c r="W116" i="145" s="1"/>
  <c r="AQ60" i="144"/>
  <c r="AD60" i="144"/>
  <c r="T116" i="145" s="1"/>
  <c r="AF60" i="144"/>
  <c r="V116" i="145" s="1"/>
  <c r="AS60" i="144"/>
  <c r="AN43" i="144"/>
  <c r="AF43" i="144"/>
  <c r="V99" i="145" s="1"/>
  <c r="AD43" i="144"/>
  <c r="T99" i="145" s="1"/>
  <c r="AB43" i="144"/>
  <c r="R99" i="145" s="1"/>
  <c r="L43" i="144"/>
  <c r="AE43" i="144"/>
  <c r="U99" i="145" s="1"/>
  <c r="AS43" i="144"/>
  <c r="AR43" i="144"/>
  <c r="AQ43" i="144"/>
  <c r="D99" i="145"/>
  <c r="AA43" i="144"/>
  <c r="Q99" i="145" s="1"/>
  <c r="AE68" i="144"/>
  <c r="AR68" i="144"/>
  <c r="U68" i="144"/>
  <c r="S68" i="144"/>
  <c r="V68" i="144"/>
  <c r="AS68" i="144"/>
  <c r="R68" i="144"/>
  <c r="AD68" i="144"/>
  <c r="AO68" i="144"/>
  <c r="N68" i="144"/>
  <c r="X68" i="144" s="1"/>
  <c r="Q68" i="144"/>
  <c r="W68" i="144" s="1"/>
  <c r="P68" i="144"/>
  <c r="T68" i="144"/>
  <c r="AP68" i="144"/>
  <c r="AT68" i="144"/>
  <c r="AK52" i="144"/>
  <c r="AM52" i="144"/>
  <c r="AN52" i="144"/>
  <c r="AL52" i="144"/>
  <c r="L52" i="144"/>
  <c r="Z52" i="144"/>
  <c r="P108" i="145" s="1"/>
  <c r="AF52" i="144"/>
  <c r="V108" i="145" s="1"/>
  <c r="Y52" i="144"/>
  <c r="O108" i="145" s="1"/>
  <c r="AE52" i="144"/>
  <c r="U108" i="145" s="1"/>
  <c r="D108" i="145"/>
  <c r="AB52" i="144"/>
  <c r="R108" i="145" s="1"/>
  <c r="AH52" i="144"/>
  <c r="X108" i="145" s="1"/>
  <c r="AA52" i="144"/>
  <c r="Q108" i="145" s="1"/>
  <c r="AC52" i="144"/>
  <c r="S108" i="145" s="1"/>
  <c r="N37" i="144"/>
  <c r="X37" i="144" s="1"/>
  <c r="AQ37" i="144"/>
  <c r="S37" i="144"/>
  <c r="AS37" i="144"/>
  <c r="AC37" i="144"/>
  <c r="S93" i="145" s="1"/>
  <c r="AG37" i="144"/>
  <c r="W93" i="145" s="1"/>
  <c r="Q37" i="144"/>
  <c r="W37" i="144" s="1"/>
  <c r="AR37" i="144"/>
  <c r="U37" i="144"/>
  <c r="T37" i="144"/>
  <c r="R37" i="144"/>
  <c r="AP37" i="144"/>
  <c r="AO37" i="144"/>
  <c r="AH37" i="144"/>
  <c r="X93" i="145" s="1"/>
  <c r="O37" i="144"/>
  <c r="AI37" i="144" s="1"/>
  <c r="AG32" i="144"/>
  <c r="W88" i="145" s="1"/>
  <c r="AF32" i="144"/>
  <c r="V88" i="145" s="1"/>
  <c r="AT32" i="144"/>
  <c r="D88" i="145"/>
  <c r="Y32" i="144"/>
  <c r="O88" i="145" s="1"/>
  <c r="L32" i="144"/>
  <c r="AK32" i="144"/>
  <c r="AD32" i="144"/>
  <c r="T88" i="145" s="1"/>
  <c r="AP32" i="144"/>
  <c r="Z32" i="144"/>
  <c r="P88" i="145" s="1"/>
  <c r="AN32" i="144"/>
  <c r="AA32" i="144"/>
  <c r="Q88" i="145" s="1"/>
  <c r="AE32" i="144"/>
  <c r="U88" i="145" s="1"/>
  <c r="AC32" i="144"/>
  <c r="S88" i="145" s="1"/>
  <c r="AO32" i="144"/>
  <c r="AB32" i="144"/>
  <c r="R88" i="145" s="1"/>
  <c r="AM32" i="144"/>
  <c r="AH32" i="144"/>
  <c r="X88" i="145" s="1"/>
  <c r="AL32" i="144"/>
  <c r="AM45" i="144"/>
  <c r="AP20" i="144"/>
  <c r="AC29" i="144"/>
  <c r="S85" i="145" s="1"/>
  <c r="AD35" i="144"/>
  <c r="T91" i="145" s="1"/>
  <c r="V37" i="144"/>
  <c r="AR42" i="144"/>
  <c r="AO42" i="144"/>
  <c r="O42" i="144"/>
  <c r="AI42" i="144" s="1"/>
  <c r="AD42" i="144"/>
  <c r="T98" i="145" s="1"/>
  <c r="AG42" i="144"/>
  <c r="W98" i="145" s="1"/>
  <c r="AS42" i="144"/>
  <c r="R42" i="144"/>
  <c r="T42" i="144"/>
  <c r="V42" i="144"/>
  <c r="U42" i="144"/>
  <c r="S42" i="144"/>
  <c r="AP42" i="144"/>
  <c r="AT42" i="144"/>
  <c r="AQ42" i="144"/>
  <c r="Q42" i="144"/>
  <c r="W42" i="144" s="1"/>
  <c r="AC42" i="144"/>
  <c r="S98" i="145" s="1"/>
  <c r="P42" i="144"/>
  <c r="N98" i="145" s="1"/>
  <c r="AH42" i="144"/>
  <c r="X98" i="145" s="1"/>
  <c r="N42" i="144"/>
  <c r="X42" i="144" s="1"/>
  <c r="AF42" i="144"/>
  <c r="V98" i="145" s="1"/>
  <c r="Z37" i="144"/>
  <c r="P93" i="145" s="1"/>
  <c r="AK37" i="144"/>
  <c r="L37" i="144"/>
  <c r="AN37" i="144"/>
  <c r="D93" i="145"/>
  <c r="AM37" i="144"/>
  <c r="AL37" i="144"/>
  <c r="Y37" i="144"/>
  <c r="O93" i="145" s="1"/>
  <c r="AB37" i="144"/>
  <c r="R93" i="145" s="1"/>
  <c r="AA37" i="144"/>
  <c r="Q93" i="145" s="1"/>
  <c r="AE35" i="144"/>
  <c r="U91" i="145" s="1"/>
  <c r="AD37" i="144"/>
  <c r="T93" i="145" s="1"/>
  <c r="AQ66" i="144"/>
  <c r="AO66" i="144"/>
  <c r="AP66" i="144"/>
  <c r="AR66" i="144"/>
  <c r="AG66" i="144"/>
  <c r="AE66" i="144"/>
  <c r="AD66" i="144"/>
  <c r="Q66" i="144"/>
  <c r="W66" i="144" s="1"/>
  <c r="V66" i="144"/>
  <c r="AH66" i="144"/>
  <c r="N66" i="144"/>
  <c r="X66" i="144" s="1"/>
  <c r="AF66" i="144"/>
  <c r="U66" i="144"/>
  <c r="L67" i="144"/>
  <c r="Z67" i="144"/>
  <c r="AA67" i="144"/>
  <c r="Y67" i="144"/>
  <c r="AL67" i="144"/>
  <c r="AK67" i="144"/>
  <c r="AB67" i="144"/>
  <c r="AN67" i="144"/>
  <c r="AM67" i="144"/>
  <c r="G132" i="97"/>
  <c r="G79" i="97"/>
  <c r="AS45" i="144"/>
  <c r="AG46" i="144"/>
  <c r="W102" i="145" s="1"/>
  <c r="AD46" i="144"/>
  <c r="T102" i="145" s="1"/>
  <c r="AQ46" i="144"/>
  <c r="R46" i="144"/>
  <c r="AT46" i="144"/>
  <c r="AP46" i="144"/>
  <c r="AH46" i="144"/>
  <c r="X102" i="145" s="1"/>
  <c r="S46" i="144"/>
  <c r="O46" i="144"/>
  <c r="AI46" i="144" s="1"/>
  <c r="AF46" i="144"/>
  <c r="V102" i="145" s="1"/>
  <c r="AE46" i="144"/>
  <c r="U102" i="145" s="1"/>
  <c r="Q46" i="144"/>
  <c r="W46" i="144" s="1"/>
  <c r="AR46" i="144"/>
  <c r="AO46" i="144"/>
  <c r="V46" i="144"/>
  <c r="U46" i="144"/>
  <c r="T46" i="144"/>
  <c r="AC46" i="144"/>
  <c r="S102" i="145" s="1"/>
  <c r="V30" i="144"/>
  <c r="AG30" i="144"/>
  <c r="W86" i="145" s="1"/>
  <c r="AH30" i="144"/>
  <c r="X86" i="145" s="1"/>
  <c r="T30" i="144"/>
  <c r="R30" i="144"/>
  <c r="AQ30" i="144"/>
  <c r="AP30" i="144"/>
  <c r="AC30" i="144"/>
  <c r="S86" i="145" s="1"/>
  <c r="AE30" i="144"/>
  <c r="U86" i="145" s="1"/>
  <c r="AS30" i="144"/>
  <c r="U30" i="144"/>
  <c r="P30" i="144"/>
  <c r="N86" i="145" s="1"/>
  <c r="AF30" i="144"/>
  <c r="V86" i="145" s="1"/>
  <c r="O30" i="144"/>
  <c r="AI30" i="144" s="1"/>
  <c r="AD30" i="144"/>
  <c r="T86" i="145" s="1"/>
  <c r="AO30" i="144"/>
  <c r="S30" i="144"/>
  <c r="AT30" i="144"/>
  <c r="Q30" i="144"/>
  <c r="W30" i="144" s="1"/>
  <c r="N30" i="144"/>
  <c r="X30" i="144" s="1"/>
  <c r="AR30" i="144"/>
  <c r="D101" i="145"/>
  <c r="V39" i="144"/>
  <c r="O39" i="144"/>
  <c r="AI39" i="144" s="1"/>
  <c r="AP39" i="144"/>
  <c r="Q39" i="144"/>
  <c r="W39" i="144" s="1"/>
  <c r="AO39" i="144"/>
  <c r="P39" i="144"/>
  <c r="N95" i="145" s="1"/>
  <c r="AH39" i="144"/>
  <c r="X95" i="145" s="1"/>
  <c r="AS39" i="144"/>
  <c r="T39" i="144"/>
  <c r="AF39" i="144"/>
  <c r="V95" i="145" s="1"/>
  <c r="H95" i="145"/>
  <c r="AR39" i="144"/>
  <c r="N39" i="144"/>
  <c r="AJ39" i="144" s="1"/>
  <c r="AG25" i="144"/>
  <c r="W81" i="145" s="1"/>
  <c r="AH25" i="144"/>
  <c r="X81" i="145" s="1"/>
  <c r="Q25" i="144"/>
  <c r="W25" i="144" s="1"/>
  <c r="R25" i="144"/>
  <c r="P25" i="144"/>
  <c r="N81" i="145" s="1"/>
  <c r="O25" i="144"/>
  <c r="AI25" i="144" s="1"/>
  <c r="AS25" i="144"/>
  <c r="AP25" i="144"/>
  <c r="AO25" i="144"/>
  <c r="V25" i="144"/>
  <c r="AQ25" i="144"/>
  <c r="U25" i="144"/>
  <c r="H81" i="145"/>
  <c r="AR25" i="144"/>
  <c r="K34" i="145"/>
  <c r="G72" i="145"/>
  <c r="AM72" i="144"/>
  <c r="AL72" i="144"/>
  <c r="L72" i="144"/>
  <c r="Z72" i="144"/>
  <c r="Y72" i="144"/>
  <c r="AB72" i="144"/>
  <c r="AK43" i="144"/>
  <c r="AH29" i="144"/>
  <c r="X85" i="145" s="1"/>
  <c r="AS35" i="144"/>
  <c r="N58" i="144"/>
  <c r="AJ58" i="144" s="1"/>
  <c r="AE67" i="144"/>
  <c r="H93" i="145"/>
  <c r="AO43" i="144"/>
  <c r="AF29" i="144"/>
  <c r="V85" i="145" s="1"/>
  <c r="U67" i="144"/>
  <c r="AR60" i="144"/>
  <c r="I22" i="145" a="1"/>
  <c r="I22" i="145" s="1"/>
  <c r="AM43" i="144"/>
  <c r="AL26" i="144"/>
  <c r="AQ32" i="144"/>
  <c r="O67" i="144"/>
  <c r="AI67" i="144" s="1"/>
  <c r="AR41" i="144"/>
  <c r="AE60" i="144"/>
  <c r="U116" i="145" s="1"/>
  <c r="AH43" i="144"/>
  <c r="X99" i="145" s="1"/>
  <c r="AC39" i="144"/>
  <c r="S95" i="145" s="1"/>
  <c r="Y26" i="144"/>
  <c r="O82" i="145" s="1"/>
  <c r="AS32" i="144"/>
  <c r="AG39" i="144"/>
  <c r="W95" i="145" s="1"/>
  <c r="Z26" i="144"/>
  <c r="P82" i="145" s="1"/>
  <c r="AA72" i="144"/>
  <c r="AG52" i="144"/>
  <c r="W108" i="145" s="1"/>
  <c r="R39" i="144"/>
  <c r="AA26" i="144"/>
  <c r="Q82" i="145" s="1"/>
  <c r="H86" i="145"/>
  <c r="AK72" i="144"/>
  <c r="S39" i="144"/>
  <c r="L16" i="144"/>
  <c r="AN72" i="144"/>
  <c r="AT25" i="144"/>
  <c r="AP52" i="144"/>
  <c r="U71" i="144"/>
  <c r="T71" i="144"/>
  <c r="AE71" i="144"/>
  <c r="AC71" i="144"/>
  <c r="V71" i="144"/>
  <c r="P71" i="144"/>
  <c r="S71" i="144"/>
  <c r="Q71" i="144"/>
  <c r="W71" i="144" s="1"/>
  <c r="AS71" i="144"/>
  <c r="AR71" i="144"/>
  <c r="AP71" i="144"/>
  <c r="AO71" i="144"/>
  <c r="O71" i="144"/>
  <c r="AI71" i="144" s="1"/>
  <c r="G67" i="97"/>
  <c r="G120" i="97"/>
  <c r="S16" i="144"/>
  <c r="I21" i="145" a="1"/>
  <c r="I21" i="145" s="1"/>
  <c r="N21" i="145" a="1"/>
  <c r="N21" i="145" s="1"/>
  <c r="N28" i="145" a="1"/>
  <c r="N28" i="145" s="1"/>
  <c r="N27" i="145" a="1"/>
  <c r="N27" i="145" s="1"/>
  <c r="K28" i="145" a="1"/>
  <c r="K28" i="145" s="1"/>
  <c r="K27" i="145" a="1"/>
  <c r="K27" i="145" s="1"/>
  <c r="N22" i="145" a="1"/>
  <c r="N22" i="145" s="1"/>
  <c r="K21" i="145" a="1"/>
  <c r="K21" i="145" s="1"/>
  <c r="Q16" i="144"/>
  <c r="W16" i="144" s="1"/>
  <c r="I23" i="145" a="1"/>
  <c r="I23" i="145" s="1"/>
  <c r="K23" i="145" a="1"/>
  <c r="K23" i="145" s="1"/>
  <c r="O16" i="144"/>
  <c r="K22" i="145" a="1"/>
  <c r="K22" i="145" s="1"/>
  <c r="N16" i="144"/>
  <c r="AJ16" i="144" s="1"/>
  <c r="U16" i="144"/>
  <c r="I28" i="145" a="1"/>
  <c r="I28" i="145" s="1"/>
  <c r="I27" i="145" a="1"/>
  <c r="I27" i="145" s="1"/>
  <c r="AQ58" i="144"/>
  <c r="O58" i="144"/>
  <c r="AI58" i="144" s="1"/>
  <c r="AC58" i="144"/>
  <c r="S114" i="145" s="1"/>
  <c r="AR58" i="144"/>
  <c r="P58" i="144"/>
  <c r="N114" i="145" s="1"/>
  <c r="V58" i="144"/>
  <c r="AG58" i="144"/>
  <c r="W114" i="145" s="1"/>
  <c r="AF58" i="144"/>
  <c r="V114" i="145" s="1"/>
  <c r="R58" i="144"/>
  <c r="AS58" i="144"/>
  <c r="Q58" i="144"/>
  <c r="W58" i="144" s="1"/>
  <c r="AH58" i="144"/>
  <c r="X114" i="145" s="1"/>
  <c r="AO58" i="144"/>
  <c r="AT58" i="144"/>
  <c r="AD58" i="144"/>
  <c r="T114" i="145" s="1"/>
  <c r="AP58" i="144"/>
  <c r="T58" i="144"/>
  <c r="AE58" i="144"/>
  <c r="U114" i="145" s="1"/>
  <c r="S58" i="144"/>
  <c r="AC43" i="144"/>
  <c r="S99" i="145" s="1"/>
  <c r="AS46" i="144"/>
  <c r="AN60" i="144"/>
  <c r="AF68" i="144"/>
  <c r="AF25" i="144"/>
  <c r="V81" i="145" s="1"/>
  <c r="AF71" i="144"/>
  <c r="S35" i="144"/>
  <c r="R35" i="144"/>
  <c r="AT35" i="144"/>
  <c r="O35" i="144"/>
  <c r="AI35" i="144" s="1"/>
  <c r="Q35" i="144"/>
  <c r="W35" i="144" s="1"/>
  <c r="AO35" i="144"/>
  <c r="N35" i="144"/>
  <c r="AJ35" i="144" s="1"/>
  <c r="T35" i="144"/>
  <c r="H91" i="145"/>
  <c r="AG35" i="144"/>
  <c r="W91" i="145" s="1"/>
  <c r="V35" i="144"/>
  <c r="AH35" i="144"/>
  <c r="X91" i="145" s="1"/>
  <c r="AP35" i="144"/>
  <c r="Y46" i="144"/>
  <c r="O102" i="145" s="1"/>
  <c r="L46" i="144"/>
  <c r="AM46" i="144"/>
  <c r="AN46" i="144"/>
  <c r="AB46" i="144"/>
  <c r="R102" i="145" s="1"/>
  <c r="D102" i="145"/>
  <c r="AK46" i="144"/>
  <c r="AA46" i="144"/>
  <c r="Q102" i="145" s="1"/>
  <c r="Z46" i="144"/>
  <c r="P102" i="145" s="1"/>
  <c r="AL46" i="144"/>
  <c r="AQ35" i="144"/>
  <c r="AK26" i="144"/>
  <c r="L26" i="144"/>
  <c r="AC26" i="144"/>
  <c r="S82" i="145" s="1"/>
  <c r="AM26" i="144"/>
  <c r="AE26" i="144"/>
  <c r="U82" i="145" s="1"/>
  <c r="AB26" i="144"/>
  <c r="R82" i="145" s="1"/>
  <c r="AG26" i="144"/>
  <c r="W82" i="145" s="1"/>
  <c r="AP26" i="144"/>
  <c r="AF26" i="144"/>
  <c r="V82" i="145" s="1"/>
  <c r="D82" i="145"/>
  <c r="AO26" i="144"/>
  <c r="AD26" i="144"/>
  <c r="T82" i="145" s="1"/>
  <c r="AS57" i="144"/>
  <c r="AR57" i="144"/>
  <c r="S57" i="144"/>
  <c r="R57" i="144"/>
  <c r="P57" i="144"/>
  <c r="N113" i="145" s="1"/>
  <c r="AH57" i="144"/>
  <c r="X113" i="145" s="1"/>
  <c r="AG57" i="144"/>
  <c r="W113" i="145" s="1"/>
  <c r="H113" i="145"/>
  <c r="N57" i="144"/>
  <c r="X57" i="144" s="1"/>
  <c r="AT57" i="144"/>
  <c r="AD57" i="144"/>
  <c r="T113" i="145" s="1"/>
  <c r="Q57" i="144"/>
  <c r="W57" i="144" s="1"/>
  <c r="T57" i="144"/>
  <c r="AF57" i="144"/>
  <c r="V113" i="145" s="1"/>
  <c r="O57" i="144"/>
  <c r="AI57" i="144" s="1"/>
  <c r="AO57" i="144"/>
  <c r="AE57" i="144"/>
  <c r="U113" i="145" s="1"/>
  <c r="U57" i="144"/>
  <c r="V57" i="144"/>
  <c r="D74" i="145"/>
  <c r="L18" i="144"/>
  <c r="D116" i="145"/>
  <c r="AD29" i="144"/>
  <c r="T85" i="145" s="1"/>
  <c r="AP29" i="144"/>
  <c r="AG29" i="144"/>
  <c r="W85" i="145" s="1"/>
  <c r="S29" i="144"/>
  <c r="N29" i="144"/>
  <c r="X29" i="144" s="1"/>
  <c r="AO29" i="144"/>
  <c r="T29" i="144"/>
  <c r="AT29" i="144"/>
  <c r="H85" i="145"/>
  <c r="P29" i="144"/>
  <c r="N85" i="145" s="1"/>
  <c r="O29" i="144"/>
  <c r="AI29" i="144" s="1"/>
  <c r="AR29" i="144"/>
  <c r="R29" i="144"/>
  <c r="AD45" i="144"/>
  <c r="T101" i="145" s="1"/>
  <c r="Z45" i="144"/>
  <c r="P101" i="145" s="1"/>
  <c r="AF45" i="144"/>
  <c r="V101" i="145" s="1"/>
  <c r="AG45" i="144"/>
  <c r="W101" i="145" s="1"/>
  <c r="AA45" i="144"/>
  <c r="Q101" i="145" s="1"/>
  <c r="AL45" i="144"/>
  <c r="L45" i="144"/>
  <c r="Y45" i="144"/>
  <c r="O101" i="145" s="1"/>
  <c r="AH45" i="144"/>
  <c r="X101" i="145" s="1"/>
  <c r="AK45" i="144"/>
  <c r="AT45" i="144"/>
  <c r="AR45" i="144"/>
  <c r="AP45" i="144"/>
  <c r="AC45" i="144"/>
  <c r="S101" i="145" s="1"/>
  <c r="AQ45" i="144"/>
  <c r="AO45" i="144"/>
  <c r="U35" i="144"/>
  <c r="AD49" i="144"/>
  <c r="T105" i="145" s="1"/>
  <c r="T49" i="144"/>
  <c r="AC49" i="144"/>
  <c r="S105" i="145" s="1"/>
  <c r="AP49" i="144"/>
  <c r="P49" i="144"/>
  <c r="N105" i="145" s="1"/>
  <c r="O49" i="144"/>
  <c r="AI49" i="144" s="1"/>
  <c r="AH49" i="144"/>
  <c r="X105" i="145" s="1"/>
  <c r="S49" i="144"/>
  <c r="Q49" i="144"/>
  <c r="W49" i="144" s="1"/>
  <c r="AF49" i="144"/>
  <c r="V105" i="145" s="1"/>
  <c r="H105" i="145"/>
  <c r="AG49" i="144"/>
  <c r="W105" i="145" s="1"/>
  <c r="AE49" i="144"/>
  <c r="U105" i="145" s="1"/>
  <c r="AK20" i="144"/>
  <c r="AN20" i="144"/>
  <c r="AB20" i="144"/>
  <c r="R76" i="145" s="1"/>
  <c r="D76" i="145"/>
  <c r="AA20" i="144"/>
  <c r="Q76" i="145" s="1"/>
  <c r="Z20" i="144"/>
  <c r="P76" i="145" s="1"/>
  <c r="L20" i="144"/>
  <c r="AM20" i="144"/>
  <c r="AL20" i="144"/>
  <c r="Y20" i="144"/>
  <c r="O76" i="145" s="1"/>
  <c r="AO48" i="144"/>
  <c r="AP48" i="144"/>
  <c r="V48" i="144"/>
  <c r="H104" i="145"/>
  <c r="Q48" i="144"/>
  <c r="W48" i="144" s="1"/>
  <c r="P48" i="144"/>
  <c r="N104" i="145" s="1"/>
  <c r="O48" i="144"/>
  <c r="AI48" i="144" s="1"/>
  <c r="R48" i="144"/>
  <c r="U48" i="144"/>
  <c r="T48" i="144"/>
  <c r="S48" i="144"/>
  <c r="AF48" i="144"/>
  <c r="V104" i="145" s="1"/>
  <c r="AQ48" i="144"/>
  <c r="AS48" i="144"/>
  <c r="AD48" i="144"/>
  <c r="T104" i="145" s="1"/>
  <c r="AC48" i="144"/>
  <c r="S104" i="145" s="1"/>
  <c r="N48" i="144"/>
  <c r="X48" i="144" s="1"/>
  <c r="AH48" i="144"/>
  <c r="X104" i="145" s="1"/>
  <c r="AG48" i="144"/>
  <c r="W104" i="145" s="1"/>
  <c r="AE48" i="144"/>
  <c r="U104" i="145" s="1"/>
  <c r="AO62" i="144"/>
  <c r="AR62" i="144"/>
  <c r="P62" i="144"/>
  <c r="N118" i="145" s="1"/>
  <c r="O62" i="144"/>
  <c r="AI62" i="144" s="1"/>
  <c r="U62" i="144"/>
  <c r="AG62" i="144"/>
  <c r="W118" i="145" s="1"/>
  <c r="AD62" i="144"/>
  <c r="T118" i="145" s="1"/>
  <c r="AC62" i="144"/>
  <c r="S118" i="145" s="1"/>
  <c r="H118" i="145"/>
  <c r="AF62" i="144"/>
  <c r="V118" i="145" s="1"/>
  <c r="S62" i="144"/>
  <c r="Q62" i="144"/>
  <c r="W62" i="144" s="1"/>
  <c r="V62" i="144"/>
  <c r="AH62" i="144"/>
  <c r="X118" i="145" s="1"/>
  <c r="AT62" i="144"/>
  <c r="AE62" i="144"/>
  <c r="U118" i="145" s="1"/>
  <c r="AS62" i="144"/>
  <c r="D87" i="145"/>
  <c r="AK31" i="144"/>
  <c r="AN31" i="144"/>
  <c r="Z31" i="144"/>
  <c r="P87" i="145" s="1"/>
  <c r="AA31" i="144"/>
  <c r="Q87" i="145" s="1"/>
  <c r="AL31" i="144"/>
  <c r="Y31" i="144"/>
  <c r="O87" i="145" s="1"/>
  <c r="AM31" i="144"/>
  <c r="L31" i="144"/>
  <c r="AB31" i="144"/>
  <c r="R87" i="145" s="1"/>
  <c r="AD31" i="144"/>
  <c r="T87" i="145" s="1"/>
  <c r="AB45" i="144"/>
  <c r="R101" i="145" s="1"/>
  <c r="AO20" i="144"/>
  <c r="AE29" i="144"/>
  <c r="U85" i="145" s="1"/>
  <c r="AP56" i="144"/>
  <c r="U56" i="144"/>
  <c r="AD56" i="144"/>
  <c r="T112" i="145" s="1"/>
  <c r="AS56" i="144"/>
  <c r="AO56" i="144"/>
  <c r="AR56" i="144"/>
  <c r="AT56" i="144"/>
  <c r="O56" i="144"/>
  <c r="AI56" i="144" s="1"/>
  <c r="AH56" i="144"/>
  <c r="X112" i="145" s="1"/>
  <c r="R56" i="144"/>
  <c r="AE56" i="144"/>
  <c r="U112" i="145" s="1"/>
  <c r="V56" i="144"/>
  <c r="Q56" i="144"/>
  <c r="W56" i="144" s="1"/>
  <c r="T56" i="144"/>
  <c r="AA36" i="144"/>
  <c r="Q92" i="145" s="1"/>
  <c r="AN36" i="144"/>
  <c r="AS36" i="144"/>
  <c r="AM36" i="144"/>
  <c r="AK36" i="144"/>
  <c r="Y36" i="144"/>
  <c r="O92" i="145" s="1"/>
  <c r="AO36" i="144"/>
  <c r="AB36" i="144"/>
  <c r="R92" i="145" s="1"/>
  <c r="L36" i="144"/>
  <c r="AT36" i="144"/>
  <c r="AR36" i="144"/>
  <c r="AE36" i="144"/>
  <c r="U92" i="145" s="1"/>
  <c r="AP36" i="144"/>
  <c r="AL36" i="144"/>
  <c r="AD36" i="144"/>
  <c r="T92" i="145" s="1"/>
  <c r="AQ36" i="144"/>
  <c r="D92" i="145"/>
  <c r="Z36" i="144"/>
  <c r="P92" i="145" s="1"/>
  <c r="AC36" i="144"/>
  <c r="S92" i="145" s="1"/>
  <c r="AH36" i="144"/>
  <c r="X92" i="145" s="1"/>
  <c r="AG36" i="144"/>
  <c r="W92" i="145" s="1"/>
  <c r="AN45" i="144"/>
  <c r="AG20" i="144"/>
  <c r="W76" i="145" s="1"/>
  <c r="V29" i="144"/>
  <c r="AH67" i="144"/>
  <c r="R66" i="144"/>
  <c r="P37" i="144"/>
  <c r="N93" i="145" s="1"/>
  <c r="H121" i="145"/>
  <c r="AG65" i="144"/>
  <c r="W121" i="145" s="1"/>
  <c r="AQ65" i="144"/>
  <c r="AH65" i="144"/>
  <c r="X121" i="145" s="1"/>
  <c r="Q65" i="144"/>
  <c r="W65" i="144" s="1"/>
  <c r="AE65" i="144"/>
  <c r="U121" i="145" s="1"/>
  <c r="AD65" i="144"/>
  <c r="T121" i="145" s="1"/>
  <c r="AC65" i="144"/>
  <c r="S121" i="145" s="1"/>
  <c r="AP65" i="144"/>
  <c r="V65" i="144"/>
  <c r="T65" i="144"/>
  <c r="AR65" i="144"/>
  <c r="N65" i="144"/>
  <c r="X65" i="144" s="1"/>
  <c r="P65" i="144"/>
  <c r="N121" i="145" s="1"/>
  <c r="AO65" i="144"/>
  <c r="O65" i="144"/>
  <c r="AI65" i="144" s="1"/>
  <c r="AT65" i="144"/>
  <c r="R65" i="144"/>
  <c r="AK58" i="144"/>
  <c r="AB58" i="144"/>
  <c r="R114" i="145" s="1"/>
  <c r="AL58" i="144"/>
  <c r="AA58" i="144"/>
  <c r="Q114" i="145" s="1"/>
  <c r="AM58" i="144"/>
  <c r="Y58" i="144"/>
  <c r="O114" i="145" s="1"/>
  <c r="D114" i="145"/>
  <c r="AN58" i="144"/>
  <c r="AS29" i="144"/>
  <c r="AR35" i="144"/>
  <c r="AR48" i="144"/>
  <c r="AF65" i="144"/>
  <c r="V121" i="145" s="1"/>
  <c r="AC67" i="144"/>
  <c r="AE37" i="144"/>
  <c r="U93" i="145" s="1"/>
  <c r="T67" i="144"/>
  <c r="Q67" i="144"/>
  <c r="W67" i="144" s="1"/>
  <c r="AS67" i="144"/>
  <c r="AG67" i="144"/>
  <c r="AF67" i="144"/>
  <c r="AP67" i="144"/>
  <c r="P67" i="144"/>
  <c r="V67" i="144"/>
  <c r="N67" i="144"/>
  <c r="X67" i="144" s="1"/>
  <c r="AO67" i="144"/>
  <c r="AQ67" i="144"/>
  <c r="AT67" i="144"/>
  <c r="R67" i="144"/>
  <c r="AM41" i="144"/>
  <c r="AS41" i="144"/>
  <c r="D97" i="145"/>
  <c r="AA41" i="144"/>
  <c r="Q97" i="145" s="1"/>
  <c r="Y43" i="144"/>
  <c r="O99" i="145" s="1"/>
  <c r="AG43" i="144"/>
  <c r="W99" i="145" s="1"/>
  <c r="AT20" i="144"/>
  <c r="U29" i="144"/>
  <c r="AC35" i="144"/>
  <c r="S91" i="145" s="1"/>
  <c r="AL41" i="144"/>
  <c r="AT48" i="144"/>
  <c r="AF37" i="144"/>
  <c r="V93" i="145" s="1"/>
  <c r="T72" i="144"/>
  <c r="AS72" i="144"/>
  <c r="AP72" i="144"/>
  <c r="AG72" i="144"/>
  <c r="AR72" i="144"/>
  <c r="U72" i="144"/>
  <c r="AQ72" i="144"/>
  <c r="S72" i="144"/>
  <c r="R72" i="144"/>
  <c r="Q72" i="144"/>
  <c r="W72" i="144" s="1"/>
  <c r="AO72" i="144"/>
  <c r="AC72" i="144"/>
  <c r="P72" i="144"/>
  <c r="O72" i="144"/>
  <c r="AI72" i="144" s="1"/>
  <c r="AT51" i="144"/>
  <c r="AH51" i="144"/>
  <c r="X107" i="145" s="1"/>
  <c r="AP51" i="144"/>
  <c r="AM51" i="144"/>
  <c r="AG51" i="144"/>
  <c r="W107" i="145" s="1"/>
  <c r="AL51" i="144"/>
  <c r="AK51" i="144"/>
  <c r="AE51" i="144"/>
  <c r="U107" i="145" s="1"/>
  <c r="AA51" i="144"/>
  <c r="Q107" i="145" s="1"/>
  <c r="L51" i="144"/>
  <c r="AB51" i="144"/>
  <c r="R107" i="145" s="1"/>
  <c r="Z51" i="144"/>
  <c r="P107" i="145" s="1"/>
  <c r="AN51" i="144"/>
  <c r="AF51" i="144"/>
  <c r="V107" i="145" s="1"/>
  <c r="AD51" i="144"/>
  <c r="T107" i="145" s="1"/>
  <c r="AF20" i="144"/>
  <c r="V76" i="145" s="1"/>
  <c r="Z43" i="144"/>
  <c r="P99" i="145" s="1"/>
  <c r="AE31" i="144"/>
  <c r="U87" i="145" s="1"/>
  <c r="AR31" i="144"/>
  <c r="AL43" i="144"/>
  <c r="AE20" i="144"/>
  <c r="U76" i="145" s="1"/>
  <c r="AQ29" i="144"/>
  <c r="AF35" i="144"/>
  <c r="V91" i="145" s="1"/>
  <c r="H114" i="145"/>
  <c r="AR67" i="144"/>
  <c r="N23" i="145" a="1"/>
  <c r="N23" i="145" s="1"/>
  <c r="AO49" i="144"/>
  <c r="AA60" i="144"/>
  <c r="Q116" i="145" s="1"/>
  <c r="U39" i="144"/>
  <c r="N46" i="144"/>
  <c r="AJ46" i="144" s="1"/>
  <c r="AF36" i="144"/>
  <c r="V92" i="145" s="1"/>
  <c r="L58" i="144"/>
  <c r="Y51" i="144"/>
  <c r="O107" i="145" s="1"/>
  <c r="AC25" i="144"/>
  <c r="S81" i="145" s="1"/>
  <c r="AQ71" i="144"/>
  <c r="AT26" i="144"/>
  <c r="N49" i="144"/>
  <c r="AJ49" i="144" s="1"/>
  <c r="AB60" i="144"/>
  <c r="R116" i="145" s="1"/>
  <c r="AT39" i="144"/>
  <c r="O68" i="144"/>
  <c r="AI68" i="144" s="1"/>
  <c r="AP62" i="144"/>
  <c r="Z58" i="144"/>
  <c r="P114" i="145" s="1"/>
  <c r="D107" i="145"/>
  <c r="AD25" i="144"/>
  <c r="T81" i="145" s="1"/>
  <c r="AR52" i="144"/>
  <c r="AD71" i="144"/>
  <c r="AE72" i="144"/>
  <c r="AR26" i="144"/>
  <c r="AQ49" i="144"/>
  <c r="L60" i="144"/>
  <c r="AD39" i="144"/>
  <c r="T95" i="145" s="1"/>
  <c r="P46" i="144"/>
  <c r="N102" i="145" s="1"/>
  <c r="AQ68" i="144"/>
  <c r="AQ62" i="144"/>
  <c r="AO51" i="144"/>
  <c r="AE25" i="144"/>
  <c r="U81" i="145" s="1"/>
  <c r="AQ52" i="144"/>
  <c r="AH71" i="144"/>
  <c r="AF72" i="144"/>
  <c r="AS26" i="144"/>
  <c r="AT49" i="144"/>
  <c r="AE39" i="144"/>
  <c r="U95" i="145" s="1"/>
  <c r="H102" i="145"/>
  <c r="AH72" i="144"/>
  <c r="U49" i="144"/>
  <c r="AK60" i="144"/>
  <c r="AQ39" i="144"/>
  <c r="AC68" i="144"/>
  <c r="R62" i="144"/>
  <c r="N56" i="144"/>
  <c r="AJ56" i="144" s="1"/>
  <c r="AR51" i="144"/>
  <c r="AQ41" i="144"/>
  <c r="N25" i="144"/>
  <c r="X25" i="144" s="1"/>
  <c r="AS66" i="144"/>
  <c r="AG71" i="144"/>
  <c r="AD72" i="144"/>
  <c r="R49" i="144"/>
  <c r="Y60" i="144"/>
  <c r="O116" i="145" s="1"/>
  <c r="AE42" i="144"/>
  <c r="U98" i="145" s="1"/>
  <c r="AH68" i="144"/>
  <c r="T62" i="144"/>
  <c r="S56" i="144"/>
  <c r="AC51" i="144"/>
  <c r="S107" i="145" s="1"/>
  <c r="AD41" i="144"/>
  <c r="T97" i="145" s="1"/>
  <c r="S25" i="144"/>
  <c r="AT66" i="144"/>
  <c r="AT71" i="144"/>
  <c r="U34" i="144"/>
  <c r="AS34" i="144"/>
  <c r="S34" i="144"/>
  <c r="AC34" i="144"/>
  <c r="S90" i="145" s="1"/>
  <c r="H90" i="145"/>
  <c r="Q34" i="144"/>
  <c r="W34" i="144" s="1"/>
  <c r="AP21" i="144"/>
  <c r="AF31" i="144"/>
  <c r="V87" i="145" s="1"/>
  <c r="AQ21" i="144"/>
  <c r="Y23" i="144"/>
  <c r="O79" i="145" s="1"/>
  <c r="AA23" i="144"/>
  <c r="Q79" i="145" s="1"/>
  <c r="AN23" i="144"/>
  <c r="L23" i="144"/>
  <c r="AK23" i="144"/>
  <c r="AE23" i="144"/>
  <c r="U79" i="145" s="1"/>
  <c r="AB23" i="144"/>
  <c r="R79" i="145" s="1"/>
  <c r="AH23" i="144"/>
  <c r="X79" i="145" s="1"/>
  <c r="AR21" i="144"/>
  <c r="V31" i="144"/>
  <c r="Q52" i="144"/>
  <c r="W52" i="144" s="1"/>
  <c r="P52" i="144"/>
  <c r="N108" i="145" s="1"/>
  <c r="R52" i="144"/>
  <c r="O52" i="144"/>
  <c r="AI52" i="144" s="1"/>
  <c r="AT52" i="144"/>
  <c r="AS52" i="144"/>
  <c r="AD52" i="144"/>
  <c r="T108" i="145" s="1"/>
  <c r="AF61" i="144"/>
  <c r="V117" i="145" s="1"/>
  <c r="D117" i="145"/>
  <c r="Z61" i="144"/>
  <c r="P117" i="145" s="1"/>
  <c r="Y61" i="144"/>
  <c r="O117" i="145" s="1"/>
  <c r="AM61" i="144"/>
  <c r="AA61" i="144"/>
  <c r="Q117" i="145" s="1"/>
  <c r="AG61" i="144"/>
  <c r="W117" i="145" s="1"/>
  <c r="AE61" i="144"/>
  <c r="U117" i="145" s="1"/>
  <c r="AS61" i="144"/>
  <c r="H77" i="145"/>
  <c r="AC33" i="144"/>
  <c r="S89" i="145" s="1"/>
  <c r="N31" i="144"/>
  <c r="AJ31" i="144" s="1"/>
  <c r="AT23" i="144"/>
  <c r="AQ70" i="144"/>
  <c r="S47" i="144"/>
  <c r="AT61" i="144"/>
  <c r="Z59" i="144"/>
  <c r="P115" i="145" s="1"/>
  <c r="AO52" i="144"/>
  <c r="AT34" i="144"/>
  <c r="AM34" i="144"/>
  <c r="AT63" i="144"/>
  <c r="AO33" i="144"/>
  <c r="S31" i="144"/>
  <c r="AR23" i="144"/>
  <c r="AL23" i="144"/>
  <c r="AC70" i="144"/>
  <c r="AE47" i="144"/>
  <c r="U103" i="145" s="1"/>
  <c r="AR61" i="144"/>
  <c r="H108" i="145"/>
  <c r="AF28" i="144"/>
  <c r="V84" i="145" s="1"/>
  <c r="R34" i="144"/>
  <c r="AN66" i="144"/>
  <c r="U55" i="144"/>
  <c r="AG63" i="144"/>
  <c r="W119" i="145" s="1"/>
  <c r="AH33" i="144"/>
  <c r="X89" i="145" s="1"/>
  <c r="AH31" i="144"/>
  <c r="X87" i="145" s="1"/>
  <c r="U38" i="144"/>
  <c r="AM23" i="144"/>
  <c r="AN47" i="144"/>
  <c r="AH28" i="144"/>
  <c r="X84" i="145" s="1"/>
  <c r="AF44" i="144"/>
  <c r="V100" i="145" s="1"/>
  <c r="V21" i="144"/>
  <c r="O47" i="144"/>
  <c r="AI47" i="144" s="1"/>
  <c r="AR47" i="144"/>
  <c r="R47" i="144"/>
  <c r="AT47" i="144"/>
  <c r="AF47" i="144"/>
  <c r="V103" i="145" s="1"/>
  <c r="AC47" i="144"/>
  <c r="S103" i="145" s="1"/>
  <c r="AS47" i="144"/>
  <c r="H103" i="145"/>
  <c r="T47" i="144"/>
  <c r="AR34" i="144"/>
  <c r="AS55" i="144"/>
  <c r="AH47" i="144"/>
  <c r="X103" i="145" s="1"/>
  <c r="AN34" i="144"/>
  <c r="L34" i="144"/>
  <c r="AT55" i="144"/>
  <c r="AO59" i="144"/>
  <c r="AG59" i="144"/>
  <c r="W115" i="145" s="1"/>
  <c r="AC59" i="144"/>
  <c r="S115" i="145" s="1"/>
  <c r="AS59" i="144"/>
  <c r="N59" i="144"/>
  <c r="AJ59" i="144" s="1"/>
  <c r="AQ59" i="144"/>
  <c r="AP59" i="144"/>
  <c r="AE59" i="144"/>
  <c r="U115" i="145" s="1"/>
  <c r="Z62" i="144"/>
  <c r="P118" i="145" s="1"/>
  <c r="Y62" i="144"/>
  <c r="O118" i="145" s="1"/>
  <c r="AB62" i="144"/>
  <c r="R118" i="145" s="1"/>
  <c r="AL62" i="144"/>
  <c r="AK62" i="144"/>
  <c r="N34" i="144"/>
  <c r="X34" i="144" s="1"/>
  <c r="D90" i="145"/>
  <c r="Q55" i="144"/>
  <c r="W55" i="144" s="1"/>
  <c r="AF63" i="144"/>
  <c r="V119" i="145" s="1"/>
  <c r="AL24" i="144"/>
  <c r="AG23" i="144"/>
  <c r="W79" i="145" s="1"/>
  <c r="AD38" i="144"/>
  <c r="T94" i="145" s="1"/>
  <c r="AS24" i="144"/>
  <c r="Q44" i="144"/>
  <c r="W44" i="144" s="1"/>
  <c r="AQ23" i="144"/>
  <c r="T33" i="144"/>
  <c r="O33" i="144"/>
  <c r="AI33" i="144" s="1"/>
  <c r="S33" i="144"/>
  <c r="P33" i="144"/>
  <c r="N89" i="145" s="1"/>
  <c r="AT33" i="144"/>
  <c r="AP33" i="144"/>
  <c r="R33" i="144"/>
  <c r="Q33" i="144"/>
  <c r="W33" i="144" s="1"/>
  <c r="AP70" i="144"/>
  <c r="AF70" i="144"/>
  <c r="AE70" i="144"/>
  <c r="AG70" i="144"/>
  <c r="N70" i="144"/>
  <c r="X70" i="144" s="1"/>
  <c r="AD70" i="144"/>
  <c r="U70" i="144"/>
  <c r="O70" i="144"/>
  <c r="AI70" i="144" s="1"/>
  <c r="AR70" i="144"/>
  <c r="AO70" i="144"/>
  <c r="AF34" i="144"/>
  <c r="V90" i="145" s="1"/>
  <c r="AG31" i="144"/>
  <c r="W87" i="145" s="1"/>
  <c r="AG41" i="144"/>
  <c r="W97" i="145" s="1"/>
  <c r="S41" i="144"/>
  <c r="H97" i="145"/>
  <c r="O41" i="144"/>
  <c r="AI41" i="144" s="1"/>
  <c r="Q41" i="144"/>
  <c r="W41" i="144" s="1"/>
  <c r="AP41" i="144"/>
  <c r="AH41" i="144"/>
  <c r="X97" i="145" s="1"/>
  <c r="AC41" i="144"/>
  <c r="S97" i="145" s="1"/>
  <c r="T41" i="144"/>
  <c r="AA47" i="144"/>
  <c r="Q103" i="145" s="1"/>
  <c r="Y47" i="144"/>
  <c r="O103" i="145" s="1"/>
  <c r="AK47" i="144"/>
  <c r="AM47" i="144"/>
  <c r="AR20" i="144"/>
  <c r="AQ20" i="144"/>
  <c r="Q20" i="144"/>
  <c r="W20" i="144" s="1"/>
  <c r="O20" i="144"/>
  <c r="AI20" i="144" s="1"/>
  <c r="AD20" i="144"/>
  <c r="T76" i="145" s="1"/>
  <c r="AC20" i="144"/>
  <c r="S76" i="145" s="1"/>
  <c r="AH20" i="144"/>
  <c r="X76" i="145" s="1"/>
  <c r="Y68" i="144"/>
  <c r="AA68" i="144"/>
  <c r="AG33" i="144"/>
  <c r="W89" i="145" s="1"/>
  <c r="Z23" i="144"/>
  <c r="P79" i="145" s="1"/>
  <c r="AE44" i="144"/>
  <c r="U100" i="145" s="1"/>
  <c r="H73" i="145"/>
  <c r="O17" i="144"/>
  <c r="AI17" i="144" s="1"/>
  <c r="Q17" i="144"/>
  <c r="W17" i="144" s="1"/>
  <c r="U17" i="144"/>
  <c r="AB66" i="144"/>
  <c r="AK66" i="144"/>
  <c r="AL66" i="144"/>
  <c r="AQ34" i="144"/>
  <c r="AE63" i="144"/>
  <c r="U119" i="145" s="1"/>
  <c r="V44" i="144"/>
  <c r="V20" i="144"/>
  <c r="Z66" i="144"/>
  <c r="AE33" i="144"/>
  <c r="U89" i="145" s="1"/>
  <c r="Z24" i="144"/>
  <c r="P80" i="145" s="1"/>
  <c r="N41" i="144"/>
  <c r="X41" i="144" s="1"/>
  <c r="D103" i="145"/>
  <c r="AG21" i="144"/>
  <c r="W77" i="145" s="1"/>
  <c r="AS21" i="144"/>
  <c r="T21" i="144"/>
  <c r="AC21" i="144"/>
  <c r="S77" i="145" s="1"/>
  <c r="S21" i="144"/>
  <c r="N21" i="144"/>
  <c r="X21" i="144" s="1"/>
  <c r="S18" i="144"/>
  <c r="Q18" i="144"/>
  <c r="W18" i="144" s="1"/>
  <c r="U18" i="144"/>
  <c r="H87" i="145"/>
  <c r="R31" i="144"/>
  <c r="AP31" i="144"/>
  <c r="AQ31" i="144"/>
  <c r="O31" i="144"/>
  <c r="AI31" i="144" s="1"/>
  <c r="AT31" i="144"/>
  <c r="P31" i="144"/>
  <c r="N87" i="145" s="1"/>
  <c r="AC31" i="144"/>
  <c r="S87" i="145" s="1"/>
  <c r="U47" i="144"/>
  <c r="AT44" i="144"/>
  <c r="S44" i="144"/>
  <c r="AS44" i="144"/>
  <c r="AC44" i="144"/>
  <c r="S100" i="145" s="1"/>
  <c r="T44" i="144"/>
  <c r="R44" i="144"/>
  <c r="P44" i="144"/>
  <c r="N100" i="145" s="1"/>
  <c r="AG44" i="144"/>
  <c r="W100" i="145" s="1"/>
  <c r="N44" i="144"/>
  <c r="AJ44" i="144" s="1"/>
  <c r="AP44" i="144"/>
  <c r="V70" i="144"/>
  <c r="V47" i="144"/>
  <c r="AR55" i="144"/>
  <c r="AO55" i="144"/>
  <c r="N55" i="144"/>
  <c r="X55" i="144" s="1"/>
  <c r="H111" i="145"/>
  <c r="AH55" i="144"/>
  <c r="X111" i="145" s="1"/>
  <c r="S55" i="144"/>
  <c r="AP55" i="144"/>
  <c r="AK59" i="144"/>
  <c r="AA59" i="144"/>
  <c r="Q115" i="145" s="1"/>
  <c r="AM59" i="144"/>
  <c r="L59" i="144"/>
  <c r="AH34" i="144"/>
  <c r="X90" i="145" s="1"/>
  <c r="Q70" i="144"/>
  <c r="W70" i="144" s="1"/>
  <c r="AO47" i="144"/>
  <c r="AN59" i="144"/>
  <c r="AG24" i="144"/>
  <c r="W80" i="145" s="1"/>
  <c r="AR24" i="144"/>
  <c r="AQ24" i="144"/>
  <c r="AO34" i="144"/>
  <c r="R70" i="144"/>
  <c r="L47" i="144"/>
  <c r="AK28" i="144"/>
  <c r="AQ28" i="144"/>
  <c r="AA28" i="144"/>
  <c r="Q84" i="145" s="1"/>
  <c r="AO28" i="144"/>
  <c r="AN28" i="144"/>
  <c r="AG28" i="144"/>
  <c r="W84" i="145" s="1"/>
  <c r="Z28" i="144"/>
  <c r="P84" i="145" s="1"/>
  <c r="AC28" i="144"/>
  <c r="S84" i="145" s="1"/>
  <c r="AA33" i="144"/>
  <c r="Q89" i="145" s="1"/>
  <c r="AN33" i="144"/>
  <c r="AB33" i="144"/>
  <c r="R89" i="145" s="1"/>
  <c r="Y33" i="144"/>
  <c r="O89" i="145" s="1"/>
  <c r="L33" i="144"/>
  <c r="AL33" i="144"/>
  <c r="AP34" i="144"/>
  <c r="AA34" i="144"/>
  <c r="Q90" i="145" s="1"/>
  <c r="AD33" i="144"/>
  <c r="T89" i="145" s="1"/>
  <c r="AS31" i="144"/>
  <c r="D79" i="145"/>
  <c r="AL47" i="144"/>
  <c r="AE28" i="144"/>
  <c r="U84" i="145" s="1"/>
  <c r="AH44" i="144"/>
  <c r="X100" i="145" s="1"/>
  <c r="U63" i="144"/>
  <c r="AS63" i="144"/>
  <c r="N63" i="144"/>
  <c r="AJ63" i="144" s="1"/>
  <c r="AQ63" i="144"/>
  <c r="AP63" i="144"/>
  <c r="AO63" i="144"/>
  <c r="AK38" i="144"/>
  <c r="AA38" i="144"/>
  <c r="Q94" i="145" s="1"/>
  <c r="Z38" i="144"/>
  <c r="P94" i="145" s="1"/>
  <c r="AK35" i="144"/>
  <c r="L35" i="144"/>
  <c r="AM35" i="144"/>
  <c r="AL35" i="144"/>
  <c r="AM66" i="144"/>
  <c r="Y34" i="144"/>
  <c r="O90" i="145" s="1"/>
  <c r="O55" i="144"/>
  <c r="AI55" i="144" s="1"/>
  <c r="V33" i="144"/>
  <c r="AN24" i="144"/>
  <c r="AC24" i="144"/>
  <c r="S80" i="145" s="1"/>
  <c r="Z47" i="144"/>
  <c r="P103" i="145" s="1"/>
  <c r="AP28" i="144"/>
  <c r="G97" i="97"/>
  <c r="G150" i="97"/>
  <c r="AS38" i="144"/>
  <c r="T38" i="144"/>
  <c r="AR38" i="144"/>
  <c r="H94" i="145"/>
  <c r="V38" i="144"/>
  <c r="O38" i="144"/>
  <c r="AI38" i="144" s="1"/>
  <c r="AO38" i="144"/>
  <c r="AF38" i="144"/>
  <c r="V94" i="145" s="1"/>
  <c r="AC38" i="144"/>
  <c r="S94" i="145" s="1"/>
  <c r="O34" i="144"/>
  <c r="AI34" i="144" s="1"/>
  <c r="N18" i="144"/>
  <c r="AJ18" i="144" s="1"/>
  <c r="T20" i="144"/>
  <c r="AQ55" i="144"/>
  <c r="AF21" i="144"/>
  <c r="V77" i="145" s="1"/>
  <c r="S63" i="144"/>
  <c r="R59" i="144"/>
  <c r="AF33" i="144"/>
  <c r="V89" i="145" s="1"/>
  <c r="AA24" i="144"/>
  <c r="Q80" i="145" s="1"/>
  <c r="AS23" i="144"/>
  <c r="R38" i="144"/>
  <c r="P41" i="144"/>
  <c r="N97" i="145" s="1"/>
  <c r="AP61" i="144"/>
  <c r="D75" i="145"/>
  <c r="O44" i="144"/>
  <c r="AI44" i="144" s="1"/>
  <c r="AL53" i="144"/>
  <c r="AN53" i="144"/>
  <c r="AM53" i="144"/>
  <c r="AN29" i="144"/>
  <c r="AK29" i="144"/>
  <c r="Z71" i="144"/>
  <c r="Y71" i="144"/>
  <c r="AK71" i="144"/>
  <c r="AM71" i="144"/>
  <c r="AB49" i="144"/>
  <c r="R105" i="145" s="1"/>
  <c r="AA49" i="144"/>
  <c r="Q105" i="145" s="1"/>
  <c r="AK48" i="144"/>
  <c r="AB48" i="144"/>
  <c r="R104" i="145" s="1"/>
  <c r="L29" i="144"/>
  <c r="S64" i="144"/>
  <c r="AS64" i="144"/>
  <c r="AG64" i="144"/>
  <c r="W120" i="145" s="1"/>
  <c r="AH40" i="144"/>
  <c r="X96" i="145" s="1"/>
  <c r="AG40" i="144"/>
  <c r="W96" i="145" s="1"/>
  <c r="O40" i="144"/>
  <c r="AI40" i="144" s="1"/>
  <c r="D83" i="145"/>
  <c r="AF27" i="144"/>
  <c r="V83" i="145" s="1"/>
  <c r="L27" i="144"/>
  <c r="AM27" i="144"/>
  <c r="AH27" i="144"/>
  <c r="X83" i="145" s="1"/>
  <c r="AK39" i="144"/>
  <c r="Z39" i="144"/>
  <c r="P95" i="145" s="1"/>
  <c r="AL39" i="144"/>
  <c r="L39" i="144"/>
  <c r="U40" i="144"/>
  <c r="V64" i="144"/>
  <c r="AM44" i="144"/>
  <c r="L65" i="144"/>
  <c r="D85" i="145"/>
  <c r="AS50" i="144"/>
  <c r="AQ50" i="144"/>
  <c r="Q50" i="144"/>
  <c r="W50" i="144" s="1"/>
  <c r="AP43" i="144"/>
  <c r="S43" i="144"/>
  <c r="T43" i="144"/>
  <c r="H99" i="145"/>
  <c r="AR40" i="144"/>
  <c r="V50" i="144"/>
  <c r="N64" i="144"/>
  <c r="X64" i="144" s="1"/>
  <c r="AL65" i="144"/>
  <c r="AF24" i="144"/>
  <c r="V80" i="145" s="1"/>
  <c r="AG27" i="144"/>
  <c r="W83" i="145" s="1"/>
  <c r="AA65" i="144"/>
  <c r="Q121" i="145" s="1"/>
  <c r="Q23" i="144"/>
  <c r="W23" i="144" s="1"/>
  <c r="O23" i="144"/>
  <c r="AI23" i="144" s="1"/>
  <c r="AF23" i="144"/>
  <c r="V79" i="145" s="1"/>
  <c r="P54" i="144"/>
  <c r="N110" i="145" s="1"/>
  <c r="N54" i="144"/>
  <c r="X54" i="144" s="1"/>
  <c r="O54" i="144"/>
  <c r="AI54" i="144" s="1"/>
  <c r="H110" i="145"/>
  <c r="AQ22" i="144"/>
  <c r="O22" i="144"/>
  <c r="AI22" i="144" s="1"/>
  <c r="AR22" i="144"/>
  <c r="H78" i="145"/>
  <c r="AC40" i="144"/>
  <c r="S96" i="145" s="1"/>
  <c r="AC50" i="144"/>
  <c r="S106" i="145" s="1"/>
  <c r="AC53" i="144"/>
  <c r="S109" i="145" s="1"/>
  <c r="AF64" i="144"/>
  <c r="V120" i="145" s="1"/>
  <c r="Y65" i="144"/>
  <c r="O121" i="145" s="1"/>
  <c r="Y53" i="144"/>
  <c r="O109" i="145" s="1"/>
  <c r="AT43" i="144"/>
  <c r="S40" i="144"/>
  <c r="O50" i="144"/>
  <c r="AI50" i="144" s="1"/>
  <c r="AQ53" i="144"/>
  <c r="Z48" i="144"/>
  <c r="P104" i="145" s="1"/>
  <c r="AC64" i="144"/>
  <c r="S120" i="145" s="1"/>
  <c r="R23" i="144"/>
  <c r="AC27" i="144"/>
  <c r="S83" i="145" s="1"/>
  <c r="Z53" i="144"/>
  <c r="P109" i="145" s="1"/>
  <c r="AR53" i="144"/>
  <c r="AQ26" i="144"/>
  <c r="AH26" i="144"/>
  <c r="X82" i="145" s="1"/>
  <c r="AP60" i="144"/>
  <c r="P53" i="144"/>
  <c r="N109" i="145" s="1"/>
  <c r="AS51" i="144"/>
  <c r="N61" i="144"/>
  <c r="X61" i="144" s="1"/>
  <c r="AE24" i="144"/>
  <c r="U80" i="145" s="1"/>
  <c r="AL54" i="144"/>
  <c r="V27" i="144"/>
  <c r="T24" i="144"/>
  <c r="F21" i="146"/>
  <c r="G43" i="146"/>
  <c r="G32" i="146"/>
  <c r="G21" i="146"/>
  <c r="H32" i="146"/>
  <c r="H43" i="146"/>
  <c r="I39" i="146"/>
  <c r="I28" i="146"/>
  <c r="I43" i="146"/>
  <c r="I32" i="146"/>
  <c r="H21" i="146"/>
  <c r="I42" i="146" s="1"/>
  <c r="AP50" i="98"/>
  <c r="H130" i="97"/>
  <c r="AE72" i="98"/>
  <c r="AS58" i="98"/>
  <c r="AP68" i="98"/>
  <c r="H71" i="97"/>
  <c r="Z65" i="98"/>
  <c r="P107" i="138" s="1"/>
  <c r="Q63" i="98"/>
  <c r="W63" i="98" s="1"/>
  <c r="AB54" i="98"/>
  <c r="R96" i="138" s="1"/>
  <c r="N63" i="98"/>
  <c r="AJ63" i="98" s="1"/>
  <c r="AC54" i="98"/>
  <c r="S96" i="138" s="1"/>
  <c r="AD49" i="98"/>
  <c r="T91" i="138" s="1"/>
  <c r="Y65" i="98"/>
  <c r="O107" i="138" s="1"/>
  <c r="AM65" i="98"/>
  <c r="Y62" i="98"/>
  <c r="O104" i="138" s="1"/>
  <c r="AK65" i="98"/>
  <c r="H89" i="97"/>
  <c r="AE65" i="98"/>
  <c r="U107" i="138" s="1"/>
  <c r="AL65" i="98"/>
  <c r="AN65" i="98"/>
  <c r="P63" i="98"/>
  <c r="N105" i="138" s="1"/>
  <c r="L65" i="98"/>
  <c r="AM62" i="98"/>
  <c r="O53" i="98"/>
  <c r="AI53" i="98" s="1"/>
  <c r="AG65" i="98"/>
  <c r="W107" i="138" s="1"/>
  <c r="U65" i="98"/>
  <c r="AS65" i="98"/>
  <c r="AF65" i="98"/>
  <c r="V107" i="138" s="1"/>
  <c r="AF71" i="98"/>
  <c r="AT65" i="98"/>
  <c r="AP65" i="98"/>
  <c r="AS52" i="98"/>
  <c r="P65" i="98"/>
  <c r="N107" i="138" s="1"/>
  <c r="AP55" i="98"/>
  <c r="AG67" i="98"/>
  <c r="AT64" i="98"/>
  <c r="N65" i="98"/>
  <c r="AJ65" i="98" s="1"/>
  <c r="T65" i="98"/>
  <c r="Q65" i="98"/>
  <c r="W65" i="98" s="1"/>
  <c r="O65" i="98"/>
  <c r="AI65" i="98" s="1"/>
  <c r="R65" i="98"/>
  <c r="V65" i="98"/>
  <c r="S63" i="98"/>
  <c r="AK48" i="98"/>
  <c r="AM61" i="98"/>
  <c r="AN48" i="98"/>
  <c r="AD65" i="98"/>
  <c r="T107" i="138" s="1"/>
  <c r="H105" i="138"/>
  <c r="H95" i="138"/>
  <c r="AK54" i="98"/>
  <c r="AO65" i="98"/>
  <c r="AL54" i="98"/>
  <c r="AA54" i="98"/>
  <c r="Q96" i="138" s="1"/>
  <c r="L54" i="98"/>
  <c r="AN62" i="98"/>
  <c r="AL62" i="98"/>
  <c r="Y54" i="98"/>
  <c r="O96" i="138" s="1"/>
  <c r="S53" i="98"/>
  <c r="Q53" i="98"/>
  <c r="W53" i="98" s="1"/>
  <c r="R53" i="98"/>
  <c r="AQ65" i="98"/>
  <c r="AA65" i="98"/>
  <c r="Q107" i="138" s="1"/>
  <c r="T56" i="98"/>
  <c r="S65" i="98"/>
  <c r="U56" i="98"/>
  <c r="AR65" i="98"/>
  <c r="AB65" i="98"/>
  <c r="R107" i="138" s="1"/>
  <c r="AH65" i="98"/>
  <c r="X107" i="138" s="1"/>
  <c r="AC65" i="98"/>
  <c r="S107" i="138" s="1"/>
  <c r="AH69" i="98"/>
  <c r="D104" i="138"/>
  <c r="N53" i="98"/>
  <c r="AJ53" i="98" s="1"/>
  <c r="AN70" i="98"/>
  <c r="AN54" i="98"/>
  <c r="Q56" i="98"/>
  <c r="W56" i="98" s="1"/>
  <c r="P56" i="98"/>
  <c r="N98" i="138" s="1"/>
  <c r="Z54" i="98"/>
  <c r="P96" i="138" s="1"/>
  <c r="AE56" i="98"/>
  <c r="U98" i="138" s="1"/>
  <c r="AR56" i="98"/>
  <c r="AA68" i="98"/>
  <c r="U53" i="98"/>
  <c r="R72" i="98"/>
  <c r="N72" i="98"/>
  <c r="AJ72" i="98" s="1"/>
  <c r="AM56" i="98"/>
  <c r="AK56" i="98"/>
  <c r="AB48" i="98"/>
  <c r="R90" i="138" s="1"/>
  <c r="AB62" i="98"/>
  <c r="R104" i="138" s="1"/>
  <c r="H107" i="97"/>
  <c r="AA62" i="98"/>
  <c r="Q104" i="138" s="1"/>
  <c r="L64" i="98"/>
  <c r="O49" i="98"/>
  <c r="AI49" i="98" s="1"/>
  <c r="L62" i="98"/>
  <c r="Q58" i="98"/>
  <c r="W58" i="98" s="1"/>
  <c r="R63" i="98"/>
  <c r="AH48" i="98"/>
  <c r="X90" i="138" s="1"/>
  <c r="H77" i="97"/>
  <c r="H160" i="97"/>
  <c r="Y68" i="98"/>
  <c r="U49" i="98"/>
  <c r="AR58" i="98"/>
  <c r="D103" i="138"/>
  <c r="Z68" i="98"/>
  <c r="AL68" i="98"/>
  <c r="T53" i="98"/>
  <c r="Z62" i="98"/>
  <c r="P104" i="138" s="1"/>
  <c r="AM54" i="98"/>
  <c r="Y64" i="98"/>
  <c r="O106" i="138" s="1"/>
  <c r="P49" i="98"/>
  <c r="N91" i="138" s="1"/>
  <c r="Y58" i="98"/>
  <c r="O100" i="138" s="1"/>
  <c r="S48" i="98"/>
  <c r="R60" i="98"/>
  <c r="AD56" i="98"/>
  <c r="T98" i="138" s="1"/>
  <c r="O63" i="98"/>
  <c r="AI63" i="98" s="1"/>
  <c r="O60" i="98"/>
  <c r="AI60" i="98" s="1"/>
  <c r="U63" i="98"/>
  <c r="T63" i="98"/>
  <c r="V69" i="98"/>
  <c r="Y70" i="98"/>
  <c r="AK53" i="98"/>
  <c r="O66" i="98"/>
  <c r="AI66" i="98" s="1"/>
  <c r="Y72" i="98"/>
  <c r="P48" i="98"/>
  <c r="N90" i="138" s="1"/>
  <c r="AL61" i="98"/>
  <c r="V47" i="98"/>
  <c r="Z48" i="98"/>
  <c r="P90" i="138" s="1"/>
  <c r="P47" i="98"/>
  <c r="N89" i="138" s="1"/>
  <c r="AT56" i="98"/>
  <c r="AA56" i="98"/>
  <c r="Q98" i="138" s="1"/>
  <c r="AQ56" i="98"/>
  <c r="V56" i="98"/>
  <c r="AM48" i="98"/>
  <c r="AA59" i="98"/>
  <c r="Q101" i="138" s="1"/>
  <c r="AB72" i="98"/>
  <c r="AH56" i="98"/>
  <c r="X98" i="138" s="1"/>
  <c r="AF56" i="98"/>
  <c r="V98" i="138" s="1"/>
  <c r="R56" i="98"/>
  <c r="V58" i="98"/>
  <c r="R47" i="98"/>
  <c r="Z61" i="98"/>
  <c r="P103" i="138" s="1"/>
  <c r="AO56" i="98"/>
  <c r="R69" i="98"/>
  <c r="AB61" i="98"/>
  <c r="R103" i="138" s="1"/>
  <c r="AF70" i="98"/>
  <c r="Q69" i="98"/>
  <c r="W69" i="98" s="1"/>
  <c r="U71" i="98"/>
  <c r="V49" i="98"/>
  <c r="AB56" i="98"/>
  <c r="R98" i="138" s="1"/>
  <c r="AR48" i="98"/>
  <c r="D102" i="138"/>
  <c r="N47" i="98"/>
  <c r="X47" i="98" s="1"/>
  <c r="AC60" i="98"/>
  <c r="S102" i="138" s="1"/>
  <c r="D106" i="138"/>
  <c r="Q72" i="98"/>
  <c r="W72" i="98" s="1"/>
  <c r="AG64" i="98"/>
  <c r="W106" i="138" s="1"/>
  <c r="Q47" i="98"/>
  <c r="W47" i="98" s="1"/>
  <c r="S47" i="98"/>
  <c r="D90" i="138"/>
  <c r="AR51" i="98"/>
  <c r="AM72" i="98"/>
  <c r="AS70" i="98"/>
  <c r="Z70" i="98"/>
  <c r="AL70" i="98"/>
  <c r="N49" i="98"/>
  <c r="X49" i="98" s="1"/>
  <c r="D89" i="138"/>
  <c r="AS66" i="98"/>
  <c r="AF60" i="98"/>
  <c r="V102" i="138" s="1"/>
  <c r="AM52" i="98"/>
  <c r="V60" i="98"/>
  <c r="S49" i="98"/>
  <c r="AS67" i="98"/>
  <c r="AG72" i="98"/>
  <c r="AF47" i="98"/>
  <c r="V89" i="138" s="1"/>
  <c r="AP53" i="98"/>
  <c r="H89" i="138"/>
  <c r="AP63" i="98"/>
  <c r="AR63" i="98"/>
  <c r="P72" i="98"/>
  <c r="AL53" i="98"/>
  <c r="AS56" i="98"/>
  <c r="AA61" i="98"/>
  <c r="Q103" i="138" s="1"/>
  <c r="R59" i="98"/>
  <c r="AK52" i="98"/>
  <c r="AK67" i="98"/>
  <c r="AC66" i="98"/>
  <c r="AG57" i="98"/>
  <c r="W99" i="138" s="1"/>
  <c r="AD53" i="98"/>
  <c r="T95" i="138" s="1"/>
  <c r="AQ54" i="98"/>
  <c r="AH47" i="98"/>
  <c r="X89" i="138" s="1"/>
  <c r="AT55" i="98"/>
  <c r="AS60" i="98"/>
  <c r="Y52" i="98"/>
  <c r="O94" i="138" s="1"/>
  <c r="Z52" i="98"/>
  <c r="P94" i="138" s="1"/>
  <c r="D91" i="138"/>
  <c r="P55" i="98"/>
  <c r="N97" i="138" s="1"/>
  <c r="AA50" i="98"/>
  <c r="Q92" i="138" s="1"/>
  <c r="AS51" i="98"/>
  <c r="AB52" i="98"/>
  <c r="R94" i="138" s="1"/>
  <c r="AR64" i="98"/>
  <c r="AH55" i="98"/>
  <c r="X97" i="138" s="1"/>
  <c r="AK50" i="98"/>
  <c r="AP51" i="98"/>
  <c r="AD51" i="98"/>
  <c r="T93" i="138" s="1"/>
  <c r="AS55" i="98"/>
  <c r="AT51" i="98"/>
  <c r="Z53" i="98"/>
  <c r="P95" i="138" s="1"/>
  <c r="P50" i="98"/>
  <c r="N92" i="138" s="1"/>
  <c r="O52" i="98"/>
  <c r="AI52" i="98" s="1"/>
  <c r="AE55" i="98"/>
  <c r="U97" i="138" s="1"/>
  <c r="AH68" i="98"/>
  <c r="AB59" i="98"/>
  <c r="R101" i="138" s="1"/>
  <c r="N58" i="98"/>
  <c r="X58" i="98" s="1"/>
  <c r="Y60" i="98"/>
  <c r="O102" i="138" s="1"/>
  <c r="V55" i="98"/>
  <c r="T64" i="98"/>
  <c r="AE59" i="98"/>
  <c r="U101" i="138" s="1"/>
  <c r="AE58" i="98"/>
  <c r="U100" i="138" s="1"/>
  <c r="AB57" i="98"/>
  <c r="R99" i="138" s="1"/>
  <c r="P58" i="98"/>
  <c r="N100" i="138" s="1"/>
  <c r="T70" i="98"/>
  <c r="AD48" i="98"/>
  <c r="T90" i="138" s="1"/>
  <c r="Z57" i="98"/>
  <c r="P99" i="138" s="1"/>
  <c r="H106" i="138"/>
  <c r="AS64" i="98"/>
  <c r="AF63" i="98"/>
  <c r="V105" i="138" s="1"/>
  <c r="L60" i="98"/>
  <c r="Y67" i="98"/>
  <c r="U70" i="98"/>
  <c r="L48" i="98"/>
  <c r="AB60" i="98"/>
  <c r="R102" i="138" s="1"/>
  <c r="Z56" i="98"/>
  <c r="P98" i="138" s="1"/>
  <c r="AG70" i="98"/>
  <c r="Q60" i="98"/>
  <c r="W60" i="98" s="1"/>
  <c r="T58" i="98"/>
  <c r="AC56" i="98"/>
  <c r="S98" i="138" s="1"/>
  <c r="Y56" i="98"/>
  <c r="O98" i="138" s="1"/>
  <c r="S60" i="98"/>
  <c r="AG48" i="98"/>
  <c r="W90" i="138" s="1"/>
  <c r="AE66" i="98"/>
  <c r="R70" i="98"/>
  <c r="T67" i="98"/>
  <c r="AL56" i="98"/>
  <c r="AA70" i="98"/>
  <c r="N60" i="98"/>
  <c r="X60" i="98" s="1"/>
  <c r="O56" i="98"/>
  <c r="AI56" i="98" s="1"/>
  <c r="AP58" i="98"/>
  <c r="D98" i="138"/>
  <c r="P67" i="98"/>
  <c r="L56" i="98"/>
  <c r="L70" i="98"/>
  <c r="P60" i="98"/>
  <c r="N102" i="138" s="1"/>
  <c r="P53" i="98"/>
  <c r="N95" i="138" s="1"/>
  <c r="T69" i="98"/>
  <c r="Z64" i="98"/>
  <c r="P106" i="138" s="1"/>
  <c r="R49" i="98"/>
  <c r="AB68" i="98"/>
  <c r="AK70" i="98"/>
  <c r="Y50" i="98"/>
  <c r="O92" i="138" s="1"/>
  <c r="AQ70" i="98"/>
  <c r="AT70" i="98"/>
  <c r="H98" i="138"/>
  <c r="H91" i="138"/>
  <c r="J99" i="97"/>
  <c r="J152" i="97"/>
  <c r="J104" i="97"/>
  <c r="J157" i="97"/>
  <c r="I52" i="97"/>
  <c r="J155" i="97"/>
  <c r="J102" i="97"/>
  <c r="J153" i="97"/>
  <c r="J100" i="97"/>
  <c r="J27" i="146"/>
  <c r="J38" i="146"/>
  <c r="I21" i="146"/>
  <c r="J41" i="146"/>
  <c r="J30" i="146"/>
  <c r="J32" i="146"/>
  <c r="J43" i="146"/>
  <c r="J28" i="146"/>
  <c r="J39" i="146"/>
  <c r="H42" i="97"/>
  <c r="I90" i="97"/>
  <c r="I143" i="97"/>
  <c r="I98" i="97"/>
  <c r="I151" i="97"/>
  <c r="I163" i="97"/>
  <c r="I110" i="97"/>
  <c r="H27" i="97"/>
  <c r="I125" i="97"/>
  <c r="I72" i="97"/>
  <c r="I105" i="97"/>
  <c r="I158" i="97"/>
  <c r="I146" i="97"/>
  <c r="I93" i="97"/>
  <c r="I81" i="97"/>
  <c r="I134" i="97"/>
  <c r="I133" i="97"/>
  <c r="I80" i="97"/>
  <c r="I128" i="97"/>
  <c r="I75" i="97"/>
  <c r="I159" i="97"/>
  <c r="I106" i="97"/>
  <c r="I129" i="97"/>
  <c r="I76" i="97"/>
  <c r="I78" i="97"/>
  <c r="H32" i="97"/>
  <c r="I131" i="97"/>
  <c r="I123" i="97"/>
  <c r="I70" i="97"/>
  <c r="I127" i="97"/>
  <c r="I74" i="97"/>
  <c r="I94" i="97"/>
  <c r="I147" i="97"/>
  <c r="H37" i="97"/>
  <c r="I137" i="97"/>
  <c r="I84" i="97"/>
  <c r="I135" i="97"/>
  <c r="I82" i="97"/>
  <c r="I141" i="97"/>
  <c r="I88" i="97"/>
  <c r="I86" i="97"/>
  <c r="I139" i="97"/>
  <c r="I68" i="97"/>
  <c r="I121" i="97"/>
  <c r="I69" i="97"/>
  <c r="I122" i="97"/>
  <c r="H47" i="97"/>
  <c r="I149" i="97"/>
  <c r="I96" i="97"/>
  <c r="I145" i="97"/>
  <c r="I92" i="97"/>
  <c r="H57" i="97"/>
  <c r="I162" i="97" s="1"/>
  <c r="I108" i="97"/>
  <c r="I161" i="97"/>
  <c r="I64" i="97"/>
  <c r="J109" i="97" s="1"/>
  <c r="I117" i="97"/>
  <c r="H22" i="97"/>
  <c r="I66" i="97"/>
  <c r="I119" i="97"/>
  <c r="AS61" i="98"/>
  <c r="AQ61" i="98"/>
  <c r="AP61" i="98"/>
  <c r="S61" i="98"/>
  <c r="Q61" i="98"/>
  <c r="W61" i="98" s="1"/>
  <c r="O61" i="98"/>
  <c r="AI61" i="98" s="1"/>
  <c r="H103" i="138"/>
  <c r="V61" i="98"/>
  <c r="AQ57" i="98"/>
  <c r="R54" i="98"/>
  <c r="AH54" i="98"/>
  <c r="X96" i="138" s="1"/>
  <c r="AT54" i="98"/>
  <c r="O54" i="98"/>
  <c r="AI54" i="98" s="1"/>
  <c r="AO54" i="98"/>
  <c r="S54" i="98"/>
  <c r="AP54" i="98"/>
  <c r="AF54" i="98"/>
  <c r="V96" i="138" s="1"/>
  <c r="V54" i="98"/>
  <c r="AG49" i="98"/>
  <c r="W91" i="138" s="1"/>
  <c r="AC49" i="98"/>
  <c r="S91" i="138" s="1"/>
  <c r="AB49" i="98"/>
  <c r="R91" i="138" s="1"/>
  <c r="AF49" i="98"/>
  <c r="V91" i="138" s="1"/>
  <c r="AM49" i="98"/>
  <c r="AE49" i="98"/>
  <c r="U91" i="138" s="1"/>
  <c r="AT61" i="98"/>
  <c r="P54" i="98"/>
  <c r="N96" i="138" s="1"/>
  <c r="S57" i="98"/>
  <c r="V57" i="98"/>
  <c r="AS57" i="98"/>
  <c r="AR57" i="98"/>
  <c r="U57" i="98"/>
  <c r="AP57" i="98"/>
  <c r="AH57" i="98"/>
  <c r="X99" i="138" s="1"/>
  <c r="AC57" i="98"/>
  <c r="S99" i="138" s="1"/>
  <c r="AE57" i="98"/>
  <c r="U99" i="138" s="1"/>
  <c r="AO57" i="98"/>
  <c r="P57" i="98"/>
  <c r="N99" i="138" s="1"/>
  <c r="AF57" i="98"/>
  <c r="V99" i="138" s="1"/>
  <c r="O68" i="98"/>
  <c r="AI68" i="98" s="1"/>
  <c r="AF68" i="98"/>
  <c r="AT68" i="98"/>
  <c r="AG59" i="98"/>
  <c r="W101" i="138" s="1"/>
  <c r="AT50" i="98"/>
  <c r="AH50" i="98"/>
  <c r="X92" i="138" s="1"/>
  <c r="Q50" i="98"/>
  <c r="W50" i="98" s="1"/>
  <c r="S50" i="98"/>
  <c r="AG50" i="98"/>
  <c r="W92" i="138" s="1"/>
  <c r="AD50" i="98"/>
  <c r="T92" i="138" s="1"/>
  <c r="T50" i="98"/>
  <c r="AO50" i="98"/>
  <c r="AM47" i="98"/>
  <c r="L47" i="98"/>
  <c r="AL47" i="98"/>
  <c r="AK47" i="98"/>
  <c r="AQ49" i="98"/>
  <c r="AR69" i="98"/>
  <c r="O57" i="98"/>
  <c r="AI57" i="98" s="1"/>
  <c r="AC61" i="98"/>
  <c r="S103" i="138" s="1"/>
  <c r="Z49" i="98"/>
  <c r="P91" i="138" s="1"/>
  <c r="S55" i="98"/>
  <c r="Q55" i="98"/>
  <c r="W55" i="98" s="1"/>
  <c r="AD55" i="98"/>
  <c r="T97" i="138" s="1"/>
  <c r="AQ55" i="98"/>
  <c r="AF55" i="98"/>
  <c r="V97" i="138" s="1"/>
  <c r="AR55" i="98"/>
  <c r="D93" i="138"/>
  <c r="AK51" i="98"/>
  <c r="Y51" i="98"/>
  <c r="O93" i="138" s="1"/>
  <c r="AA51" i="98"/>
  <c r="Q93" i="138" s="1"/>
  <c r="AB51" i="98"/>
  <c r="R93" i="138" s="1"/>
  <c r="H148" i="97"/>
  <c r="AF59" i="98"/>
  <c r="V101" i="138" s="1"/>
  <c r="AN51" i="98"/>
  <c r="O55" i="98"/>
  <c r="AI55" i="98" s="1"/>
  <c r="Q57" i="98"/>
  <c r="W57" i="98" s="1"/>
  <c r="L49" i="98"/>
  <c r="AS53" i="98"/>
  <c r="AQ53" i="98"/>
  <c r="AG53" i="98"/>
  <c r="W95" i="138" s="1"/>
  <c r="Y53" i="98"/>
  <c r="O95" i="138" s="1"/>
  <c r="AE53" i="98"/>
  <c r="U95" i="138" s="1"/>
  <c r="AH53" i="98"/>
  <c r="X95" i="138" s="1"/>
  <c r="AT53" i="98"/>
  <c r="Y47" i="98"/>
  <c r="O89" i="138" s="1"/>
  <c r="AO55" i="98"/>
  <c r="Z50" i="98"/>
  <c r="P92" i="138" s="1"/>
  <c r="AE68" i="98"/>
  <c r="AS54" i="98"/>
  <c r="AC71" i="98"/>
  <c r="X43" i="144"/>
  <c r="AJ43" i="144"/>
  <c r="AO51" i="98"/>
  <c r="AQ51" i="98"/>
  <c r="AH51" i="98"/>
  <c r="X93" i="138" s="1"/>
  <c r="Z60" i="98"/>
  <c r="P102" i="138" s="1"/>
  <c r="AQ60" i="98"/>
  <c r="AL60" i="98"/>
  <c r="AS49" i="98"/>
  <c r="AG71" i="98"/>
  <c r="AC50" i="98"/>
  <c r="S92" i="138" s="1"/>
  <c r="P52" i="98"/>
  <c r="N94" i="138" s="1"/>
  <c r="AC53" i="98"/>
  <c r="S95" i="138" s="1"/>
  <c r="N50" i="98"/>
  <c r="AJ50" i="98" s="1"/>
  <c r="P71" i="98"/>
  <c r="AP60" i="98"/>
  <c r="AH49" i="98"/>
  <c r="X91" i="138" s="1"/>
  <c r="L59" i="98"/>
  <c r="AE60" i="98"/>
  <c r="U102" i="138" s="1"/>
  <c r="L53" i="98"/>
  <c r="I14" i="97"/>
  <c r="AO59" i="98"/>
  <c r="O59" i="98"/>
  <c r="AI59" i="98" s="1"/>
  <c r="T59" i="98"/>
  <c r="N59" i="98"/>
  <c r="X59" i="98" s="1"/>
  <c r="H101" i="138"/>
  <c r="AP59" i="98"/>
  <c r="AR59" i="98"/>
  <c r="AS59" i="98"/>
  <c r="AN52" i="98"/>
  <c r="D94" i="138"/>
  <c r="AA72" i="98"/>
  <c r="L72" i="98"/>
  <c r="AC72" i="98"/>
  <c r="AE61" i="98"/>
  <c r="U103" i="138" s="1"/>
  <c r="AH72" i="98"/>
  <c r="AD57" i="98"/>
  <c r="T99" i="138" s="1"/>
  <c r="AQ72" i="98"/>
  <c r="AO72" i="98"/>
  <c r="AE47" i="98"/>
  <c r="U89" i="138" s="1"/>
  <c r="R55" i="98"/>
  <c r="V71" i="98"/>
  <c r="R50" i="98"/>
  <c r="AH64" i="98"/>
  <c r="X106" i="138" s="1"/>
  <c r="AT59" i="98"/>
  <c r="AM57" i="98"/>
  <c r="U66" i="98"/>
  <c r="V66" i="98"/>
  <c r="AG66" i="98"/>
  <c r="T66" i="98"/>
  <c r="AO66" i="98"/>
  <c r="P66" i="98"/>
  <c r="AF66" i="98"/>
  <c r="AP66" i="98"/>
  <c r="AQ66" i="98"/>
  <c r="AM67" i="98"/>
  <c r="L67" i="98"/>
  <c r="AB67" i="98"/>
  <c r="AL67" i="98"/>
  <c r="AA67" i="98"/>
  <c r="Z67" i="98"/>
  <c r="Q59" i="98"/>
  <c r="W59" i="98" s="1"/>
  <c r="AQ50" i="98"/>
  <c r="AR66" i="98"/>
  <c r="AM66" i="98"/>
  <c r="AP62" i="98"/>
  <c r="AG52" i="98"/>
  <c r="W94" i="138" s="1"/>
  <c r="AM51" i="98"/>
  <c r="AK60" i="98"/>
  <c r="AH61" i="98"/>
  <c r="X103" i="138" s="1"/>
  <c r="AR61" i="98"/>
  <c r="AL59" i="98"/>
  <c r="AP49" i="98"/>
  <c r="L51" i="98"/>
  <c r="AF58" i="98"/>
  <c r="V100" i="138" s="1"/>
  <c r="AG58" i="98"/>
  <c r="W100" i="138" s="1"/>
  <c r="AQ58" i="98"/>
  <c r="O58" i="98"/>
  <c r="AI58" i="98" s="1"/>
  <c r="AC58" i="98"/>
  <c r="S100" i="138" s="1"/>
  <c r="R58" i="98"/>
  <c r="AT58" i="98"/>
  <c r="H100" i="138"/>
  <c r="AD59" i="98"/>
  <c r="T101" i="138" s="1"/>
  <c r="AF50" i="98"/>
  <c r="V92" i="138" s="1"/>
  <c r="N52" i="98"/>
  <c r="X52" i="98" s="1"/>
  <c r="AP72" i="98"/>
  <c r="AL71" i="98"/>
  <c r="AN72" i="98"/>
  <c r="AH71" i="98"/>
  <c r="P61" i="98"/>
  <c r="N103" i="138" s="1"/>
  <c r="O50" i="98"/>
  <c r="AI50" i="98" s="1"/>
  <c r="AD69" i="98"/>
  <c r="N54" i="98"/>
  <c r="X54" i="98" s="1"/>
  <c r="AB47" i="98"/>
  <c r="R89" i="138" s="1"/>
  <c r="H94" i="138"/>
  <c r="H96" i="138"/>
  <c r="AC63" i="98"/>
  <c r="S105" i="138" s="1"/>
  <c r="AK63" i="98"/>
  <c r="D105" i="138"/>
  <c r="AT63" i="98"/>
  <c r="AE63" i="98"/>
  <c r="U105" i="138" s="1"/>
  <c r="AH63" i="98"/>
  <c r="X105" i="138" s="1"/>
  <c r="H85" i="97"/>
  <c r="H138" i="97"/>
  <c r="AN49" i="98"/>
  <c r="AL63" i="98"/>
  <c r="AD71" i="98"/>
  <c r="T51" i="98"/>
  <c r="AR53" i="98"/>
  <c r="AP71" i="98"/>
  <c r="V59" i="98"/>
  <c r="AH59" i="98"/>
  <c r="X101" i="138" s="1"/>
  <c r="AB55" i="98"/>
  <c r="R97" i="138" s="1"/>
  <c r="N66" i="98"/>
  <c r="AJ66" i="98" s="1"/>
  <c r="AN58" i="98"/>
  <c r="L58" i="98"/>
  <c r="AK58" i="98"/>
  <c r="Z58" i="98"/>
  <c r="P100" i="138" s="1"/>
  <c r="AL58" i="98"/>
  <c r="N61" i="98"/>
  <c r="AJ61" i="98" s="1"/>
  <c r="N57" i="98"/>
  <c r="X57" i="98" s="1"/>
  <c r="Z66" i="98"/>
  <c r="Q62" i="98"/>
  <c r="W62" i="98" s="1"/>
  <c r="AG68" i="98"/>
  <c r="L69" i="98"/>
  <c r="H92" i="138"/>
  <c r="AJ62" i="144"/>
  <c r="X62" i="144"/>
  <c r="AT49" i="98"/>
  <c r="AL51" i="98"/>
  <c r="Z55" i="98"/>
  <c r="P97" i="138" s="1"/>
  <c r="T52" i="98"/>
  <c r="O62" i="98"/>
  <c r="AI62" i="98" s="1"/>
  <c r="AH62" i="98"/>
  <c r="X104" i="138" s="1"/>
  <c r="T54" i="98"/>
  <c r="AA52" i="98"/>
  <c r="Q94" i="138" s="1"/>
  <c r="S68" i="98"/>
  <c r="Y49" i="98"/>
  <c r="O91" i="138" s="1"/>
  <c r="AO61" i="98"/>
  <c r="AT57" i="98"/>
  <c r="AL55" i="98"/>
  <c r="AB66" i="98"/>
  <c r="R62" i="98"/>
  <c r="AA63" i="98"/>
  <c r="Q105" i="138" s="1"/>
  <c r="S51" i="98"/>
  <c r="AD68" i="98"/>
  <c r="U50" i="98"/>
  <c r="U61" i="98"/>
  <c r="N71" i="98"/>
  <c r="X71" i="98" s="1"/>
  <c r="T57" i="98"/>
  <c r="AQ59" i="98"/>
  <c r="AB63" i="98"/>
  <c r="R105" i="138" s="1"/>
  <c r="AC51" i="98"/>
  <c r="S93" i="138" s="1"/>
  <c r="AS68" i="98"/>
  <c r="P62" i="98"/>
  <c r="N104" i="138" s="1"/>
  <c r="V68" i="98"/>
  <c r="AC59" i="98"/>
  <c r="S101" i="138" s="1"/>
  <c r="AH66" i="98"/>
  <c r="D100" i="138"/>
  <c r="AM53" i="98"/>
  <c r="L63" i="98"/>
  <c r="R51" i="98"/>
  <c r="AS50" i="98"/>
  <c r="Z69" i="98"/>
  <c r="AG55" i="98"/>
  <c r="W97" i="138" s="1"/>
  <c r="AR49" i="98"/>
  <c r="S59" i="98"/>
  <c r="T55" i="98"/>
  <c r="AK72" i="98"/>
  <c r="AD63" i="98"/>
  <c r="T105" i="138" s="1"/>
  <c r="AO53" i="98"/>
  <c r="N51" i="98"/>
  <c r="X51" i="98" s="1"/>
  <c r="AA53" i="98"/>
  <c r="Q95" i="138" s="1"/>
  <c r="AD54" i="98"/>
  <c r="T96" i="138" s="1"/>
  <c r="AP52" i="98"/>
  <c r="R61" i="98"/>
  <c r="N62" i="98"/>
  <c r="X62" i="98" s="1"/>
  <c r="U54" i="98"/>
  <c r="AL69" i="98"/>
  <c r="AK59" i="98"/>
  <c r="AO49" i="98"/>
  <c r="Z72" i="98"/>
  <c r="AA47" i="98"/>
  <c r="Q89" i="138" s="1"/>
  <c r="AQ47" i="98"/>
  <c r="Z63" i="98"/>
  <c r="P105" i="138" s="1"/>
  <c r="AE51" i="98"/>
  <c r="U93" i="138" s="1"/>
  <c r="Z47" i="98"/>
  <c r="P89" i="138" s="1"/>
  <c r="AR70" i="98"/>
  <c r="N55" i="98"/>
  <c r="X55" i="98" s="1"/>
  <c r="AG61" i="98"/>
  <c r="W103" i="138" s="1"/>
  <c r="AE54" i="98"/>
  <c r="U96" i="138" s="1"/>
  <c r="N68" i="98"/>
  <c r="AJ68" i="98" s="1"/>
  <c r="S66" i="98"/>
  <c r="S58" i="98"/>
  <c r="D95" i="138"/>
  <c r="AE62" i="98"/>
  <c r="U104" i="138" s="1"/>
  <c r="T62" i="98"/>
  <c r="V62" i="98"/>
  <c r="S62" i="98"/>
  <c r="AC62" i="98"/>
  <c r="S104" i="138" s="1"/>
  <c r="AT62" i="98"/>
  <c r="AS62" i="98"/>
  <c r="AG62" i="98"/>
  <c r="W104" i="138" s="1"/>
  <c r="AR62" i="98"/>
  <c r="U62" i="98"/>
  <c r="AO62" i="98"/>
  <c r="AK57" i="98"/>
  <c r="AN57" i="98"/>
  <c r="L57" i="98"/>
  <c r="AL57" i="98"/>
  <c r="AA57" i="98"/>
  <c r="Q99" i="138" s="1"/>
  <c r="Y57" i="98"/>
  <c r="O99" i="138" s="1"/>
  <c r="AM59" i="98"/>
  <c r="I156" i="97"/>
  <c r="I103" i="97"/>
  <c r="AQ64" i="98"/>
  <c r="S64" i="98"/>
  <c r="AD64" i="98"/>
  <c r="T106" i="138" s="1"/>
  <c r="AC64" i="98"/>
  <c r="S106" i="138" s="1"/>
  <c r="U64" i="98"/>
  <c r="R64" i="98"/>
  <c r="V64" i="98"/>
  <c r="AO64" i="98"/>
  <c r="AP64" i="98"/>
  <c r="P64" i="98"/>
  <c r="N106" i="138" s="1"/>
  <c r="AE64" i="98"/>
  <c r="U106" i="138" s="1"/>
  <c r="AF64" i="98"/>
  <c r="V106" i="138" s="1"/>
  <c r="H95" i="97"/>
  <c r="T68" i="98"/>
  <c r="Y66" i="98"/>
  <c r="AA66" i="98"/>
  <c r="AK66" i="98"/>
  <c r="P68" i="98"/>
  <c r="V50" i="98"/>
  <c r="T71" i="98"/>
  <c r="L55" i="98"/>
  <c r="AN55" i="98"/>
  <c r="AK55" i="98"/>
  <c r="H97" i="97"/>
  <c r="H150" i="97"/>
  <c r="Q71" i="98"/>
  <c r="W71" i="98" s="1"/>
  <c r="AM55" i="98"/>
  <c r="AA71" i="98"/>
  <c r="AB71" i="98"/>
  <c r="Y71" i="98"/>
  <c r="Z71" i="98"/>
  <c r="AM71" i="98"/>
  <c r="L71" i="98"/>
  <c r="AQ63" i="98"/>
  <c r="AA49" i="98"/>
  <c r="Q91" i="138" s="1"/>
  <c r="Q51" i="98"/>
  <c r="W51" i="98" s="1"/>
  <c r="U58" i="98"/>
  <c r="AA69" i="98"/>
  <c r="AB69" i="98"/>
  <c r="AT69" i="98"/>
  <c r="AK69" i="98"/>
  <c r="AM69" i="98"/>
  <c r="AT71" i="98"/>
  <c r="AE71" i="98"/>
  <c r="AS71" i="98"/>
  <c r="AR71" i="98"/>
  <c r="AO71" i="98"/>
  <c r="O71" i="98"/>
  <c r="AI71" i="98" s="1"/>
  <c r="H132" i="97"/>
  <c r="H79" i="97"/>
  <c r="AN59" i="98"/>
  <c r="AR52" i="98"/>
  <c r="AO52" i="98"/>
  <c r="V52" i="98"/>
  <c r="AQ52" i="98"/>
  <c r="AT52" i="98"/>
  <c r="AD52" i="98"/>
  <c r="T94" i="138" s="1"/>
  <c r="Q52" i="98"/>
  <c r="W52" i="98" s="1"/>
  <c r="R52" i="98"/>
  <c r="AC52" i="98"/>
  <c r="S94" i="138" s="1"/>
  <c r="U52" i="98"/>
  <c r="H124" i="97"/>
  <c r="R57" i="98"/>
  <c r="Y69" i="98"/>
  <c r="V67" i="98"/>
  <c r="AD67" i="98"/>
  <c r="AP67" i="98"/>
  <c r="AH67" i="98"/>
  <c r="N67" i="98"/>
  <c r="AJ67" i="98" s="1"/>
  <c r="O67" i="98"/>
  <c r="AI67" i="98" s="1"/>
  <c r="AT67" i="98"/>
  <c r="AE67" i="98"/>
  <c r="U67" i="98"/>
  <c r="AC67" i="98"/>
  <c r="AO67" i="98"/>
  <c r="AQ67" i="98"/>
  <c r="AF67" i="98"/>
  <c r="Q67" i="98"/>
  <c r="W67" i="98" s="1"/>
  <c r="AQ68" i="98"/>
  <c r="AQ71" i="98"/>
  <c r="D92" i="138"/>
  <c r="AN50" i="98"/>
  <c r="AM50" i="98"/>
  <c r="Q70" i="98"/>
  <c r="W70" i="98" s="1"/>
  <c r="AE70" i="98"/>
  <c r="AC70" i="98"/>
  <c r="AH70" i="98"/>
  <c r="AP70" i="98"/>
  <c r="V70" i="98"/>
  <c r="H142" i="97"/>
  <c r="AS63" i="98"/>
  <c r="AQ62" i="98"/>
  <c r="AR60" i="98"/>
  <c r="AD58" i="98"/>
  <c r="T100" i="138" s="1"/>
  <c r="AT66" i="98"/>
  <c r="Q68" i="98"/>
  <c r="W68" i="98" s="1"/>
  <c r="Q48" i="98"/>
  <c r="W48" i="98" s="1"/>
  <c r="AP48" i="98"/>
  <c r="U48" i="98"/>
  <c r="AE48" i="98"/>
  <c r="U90" i="138" s="1"/>
  <c r="AC48" i="98"/>
  <c r="S90" i="138" s="1"/>
  <c r="O48" i="98"/>
  <c r="AI48" i="98" s="1"/>
  <c r="AF48" i="98"/>
  <c r="V90" i="138" s="1"/>
  <c r="AO48" i="98"/>
  <c r="R48" i="98"/>
  <c r="T48" i="98"/>
  <c r="AT48" i="98"/>
  <c r="AQ48" i="98"/>
  <c r="AH52" i="98"/>
  <c r="X94" i="138" s="1"/>
  <c r="AF52" i="98"/>
  <c r="V94" i="138" s="1"/>
  <c r="AF62" i="98"/>
  <c r="V104" i="138" s="1"/>
  <c r="V51" i="98"/>
  <c r="AD70" i="98"/>
  <c r="AR50" i="98"/>
  <c r="R71" i="98"/>
  <c r="AH58" i="98"/>
  <c r="X100" i="138" s="1"/>
  <c r="S67" i="98"/>
  <c r="AD61" i="98"/>
  <c r="T103" i="138" s="1"/>
  <c r="AA58" i="98"/>
  <c r="Q100" i="138" s="1"/>
  <c r="R68" i="98"/>
  <c r="Z59" i="98"/>
  <c r="P101" i="138" s="1"/>
  <c r="H97" i="138"/>
  <c r="AS47" i="98"/>
  <c r="AO58" i="98"/>
  <c r="AG63" i="98"/>
  <c r="W105" i="138" s="1"/>
  <c r="L66" i="98"/>
  <c r="L52" i="98"/>
  <c r="P51" i="98"/>
  <c r="N93" i="138" s="1"/>
  <c r="AR68" i="98"/>
  <c r="AL50" i="98"/>
  <c r="AR67" i="98"/>
  <c r="Q64" i="98"/>
  <c r="W64" i="98" s="1"/>
  <c r="AO68" i="98"/>
  <c r="V48" i="98"/>
  <c r="AS48" i="98"/>
  <c r="AF69" i="98"/>
  <c r="AE50" i="98"/>
  <c r="U92" i="138" s="1"/>
  <c r="Q54" i="98"/>
  <c r="W54" i="98" s="1"/>
  <c r="AN69" i="98"/>
  <c r="U68" i="98"/>
  <c r="Y59" i="98"/>
  <c r="O101" i="138" s="1"/>
  <c r="Q66" i="98"/>
  <c r="W66" i="98" s="1"/>
  <c r="AH60" i="98"/>
  <c r="X102" i="138" s="1"/>
  <c r="S70" i="98"/>
  <c r="Z51" i="98"/>
  <c r="P93" i="138" s="1"/>
  <c r="Y55" i="98"/>
  <c r="O97" i="138" s="1"/>
  <c r="O64" i="98"/>
  <c r="AI64" i="98" s="1"/>
  <c r="AD66" i="98"/>
  <c r="AL49" i="98"/>
  <c r="D97" i="138"/>
  <c r="P70" i="98"/>
  <c r="AO63" i="98"/>
  <c r="AL66" i="98"/>
  <c r="R67" i="98"/>
  <c r="AC69" i="98"/>
  <c r="AF61" i="98"/>
  <c r="V103" i="138" s="1"/>
  <c r="U59" i="98"/>
  <c r="I13" i="146"/>
  <c r="Y63" i="98"/>
  <c r="O105" i="138" s="1"/>
  <c r="N70" i="98"/>
  <c r="X70" i="98" s="1"/>
  <c r="AK49" i="98"/>
  <c r="AC68" i="98"/>
  <c r="AN63" i="98"/>
  <c r="U55" i="98"/>
  <c r="AA60" i="98"/>
  <c r="Q102" i="138" s="1"/>
  <c r="AE69" i="98"/>
  <c r="L50" i="98"/>
  <c r="AG51" i="98"/>
  <c r="W93" i="138" s="1"/>
  <c r="AG54" i="98"/>
  <c r="W96" i="138" s="1"/>
  <c r="AF51" i="98"/>
  <c r="V93" i="138" s="1"/>
  <c r="AE52" i="98"/>
  <c r="U94" i="138" s="1"/>
  <c r="AT60" i="98"/>
  <c r="S71" i="98"/>
  <c r="N64" i="98"/>
  <c r="X64" i="98" s="1"/>
  <c r="AO70" i="98"/>
  <c r="AC55" i="98"/>
  <c r="S97" i="138" s="1"/>
  <c r="AM60" i="98"/>
  <c r="AF53" i="98"/>
  <c r="V95" i="138" s="1"/>
  <c r="AL72" i="98"/>
  <c r="U51" i="98"/>
  <c r="AB53" i="98"/>
  <c r="R95" i="138" s="1"/>
  <c r="S52" i="98"/>
  <c r="AD62" i="98"/>
  <c r="T104" i="138" s="1"/>
  <c r="AN71" i="98"/>
  <c r="AR54" i="98"/>
  <c r="AB58" i="98"/>
  <c r="R100" i="138" s="1"/>
  <c r="N48" i="98"/>
  <c r="X48" i="98" s="1"/>
  <c r="H93" i="138"/>
  <c r="AJ38" i="144"/>
  <c r="X38" i="144"/>
  <c r="AG47" i="98"/>
  <c r="W89" i="138" s="1"/>
  <c r="AT47" i="98"/>
  <c r="O72" i="98"/>
  <c r="AI72" i="98" s="1"/>
  <c r="AD47" i="98"/>
  <c r="T89" i="138" s="1"/>
  <c r="U72" i="98"/>
  <c r="AT72" i="98"/>
  <c r="AB64" i="98"/>
  <c r="R106" i="138" s="1"/>
  <c r="L61" i="98"/>
  <c r="Y48" i="98"/>
  <c r="O90" i="138" s="1"/>
  <c r="H65" i="97"/>
  <c r="U69" i="98"/>
  <c r="AQ69" i="98"/>
  <c r="V72" i="98"/>
  <c r="O47" i="98"/>
  <c r="AI47" i="98" s="1"/>
  <c r="AS72" i="98"/>
  <c r="AA64" i="98"/>
  <c r="Q106" i="138" s="1"/>
  <c r="AP69" i="98"/>
  <c r="AM64" i="98"/>
  <c r="H102" i="138"/>
  <c r="H13" i="97"/>
  <c r="AR72" i="98"/>
  <c r="AO47" i="98"/>
  <c r="AO60" i="98"/>
  <c r="H83" i="97"/>
  <c r="AD60" i="98"/>
  <c r="T102" i="138" s="1"/>
  <c r="AC47" i="98"/>
  <c r="S89" i="138" s="1"/>
  <c r="S56" i="98"/>
  <c r="AP47" i="98"/>
  <c r="AS69" i="98"/>
  <c r="AF72" i="98"/>
  <c r="U60" i="98"/>
  <c r="AK68" i="98"/>
  <c r="AG60" i="98"/>
  <c r="W102" i="138" s="1"/>
  <c r="AP56" i="98"/>
  <c r="AL48" i="98"/>
  <c r="AL64" i="98"/>
  <c r="H136" i="97"/>
  <c r="H144" i="97"/>
  <c r="H91" i="97"/>
  <c r="AR47" i="98"/>
  <c r="H120" i="97"/>
  <c r="H67" i="97"/>
  <c r="U47" i="98"/>
  <c r="I154" i="97"/>
  <c r="H126" i="97"/>
  <c r="H73" i="97"/>
  <c r="X17" i="144"/>
  <c r="AJ17" i="144"/>
  <c r="H118" i="97"/>
  <c r="S69" i="98"/>
  <c r="Y61" i="98"/>
  <c r="O103" i="138" s="1"/>
  <c r="AG56" i="98"/>
  <c r="W98" i="138" s="1"/>
  <c r="O69" i="98"/>
  <c r="AI69" i="98" s="1"/>
  <c r="AD72" i="98"/>
  <c r="AN68" i="98"/>
  <c r="AM70" i="98"/>
  <c r="AN64" i="98"/>
  <c r="AK61" i="98"/>
  <c r="Q49" i="98"/>
  <c r="W49" i="98" s="1"/>
  <c r="AG69" i="98"/>
  <c r="N69" i="98"/>
  <c r="AJ69" i="98" s="1"/>
  <c r="S72" i="98"/>
  <c r="L68" i="98"/>
  <c r="AO69" i="98"/>
  <c r="I101" i="97"/>
  <c r="Q97" i="138"/>
  <c r="R92" i="138"/>
  <c r="Q90" i="138"/>
  <c r="N101" i="138"/>
  <c r="AJ56" i="98"/>
  <c r="H28" i="146"/>
  <c r="H39" i="146"/>
  <c r="I41" i="146"/>
  <c r="I30" i="146"/>
  <c r="I87" i="97"/>
  <c r="I140" i="97"/>
  <c r="G27" i="146"/>
  <c r="G38" i="146"/>
  <c r="G41" i="146"/>
  <c r="G30" i="146"/>
  <c r="H27" i="146"/>
  <c r="H38" i="146"/>
  <c r="V19" i="144"/>
  <c r="G39" i="146"/>
  <c r="P19" i="144"/>
  <c r="T19" i="144"/>
  <c r="H41" i="146"/>
  <c r="I27" i="146"/>
  <c r="I38" i="146"/>
  <c r="T17" i="144"/>
  <c r="AK18" i="144"/>
  <c r="I116" i="97"/>
  <c r="R19" i="144"/>
  <c r="I63" i="97"/>
  <c r="H30" i="146"/>
  <c r="T16" i="144"/>
  <c r="G28" i="146"/>
  <c r="P18" i="144"/>
  <c r="V17" i="144"/>
  <c r="V16" i="144"/>
  <c r="AC17" i="144"/>
  <c r="P16" i="144"/>
  <c r="T18" i="144"/>
  <c r="AK17" i="144"/>
  <c r="V18" i="144"/>
  <c r="I21" i="97"/>
  <c r="J53" i="97"/>
  <c r="J49" i="97"/>
  <c r="J18" i="146"/>
  <c r="I48" i="97"/>
  <c r="I33" i="97"/>
  <c r="I58" i="97"/>
  <c r="I39" i="97"/>
  <c r="I31" i="97"/>
  <c r="J51" i="97"/>
  <c r="I44" i="97"/>
  <c r="I34" i="97"/>
  <c r="I24" i="97"/>
  <c r="I54" i="97"/>
  <c r="I25" i="97"/>
  <c r="I41" i="97"/>
  <c r="I56" i="97"/>
  <c r="J22" i="146"/>
  <c r="I55" i="97"/>
  <c r="I45" i="97"/>
  <c r="I40" i="97"/>
  <c r="I29" i="97"/>
  <c r="I20" i="97"/>
  <c r="I19" i="97"/>
  <c r="I36" i="97"/>
  <c r="J50" i="97"/>
  <c r="I28" i="97"/>
  <c r="J20" i="146"/>
  <c r="I23" i="97"/>
  <c r="I30" i="97"/>
  <c r="I43" i="97"/>
  <c r="I38" i="97"/>
  <c r="I46" i="97"/>
  <c r="I35" i="97"/>
  <c r="I26" i="97"/>
  <c r="J19" i="146"/>
  <c r="J51" i="145" l="1"/>
  <c r="K51" i="145"/>
  <c r="L51" i="145"/>
  <c r="M51" i="145"/>
  <c r="J37" i="145"/>
  <c r="K37" i="145"/>
  <c r="M37" i="145"/>
  <c r="L37" i="145"/>
  <c r="L49" i="145"/>
  <c r="M49" i="145"/>
  <c r="J49" i="145"/>
  <c r="I49" i="145" s="1"/>
  <c r="K49" i="145"/>
  <c r="J54" i="145"/>
  <c r="K54" i="145"/>
  <c r="L54" i="145"/>
  <c r="M54" i="145"/>
  <c r="L40" i="145"/>
  <c r="J40" i="145"/>
  <c r="I40" i="145" s="1"/>
  <c r="H40" i="145" s="1"/>
  <c r="M40" i="145"/>
  <c r="K40" i="145"/>
  <c r="J52" i="145"/>
  <c r="L52" i="145"/>
  <c r="M52" i="145"/>
  <c r="K52" i="145"/>
  <c r="I52" i="145" s="1"/>
  <c r="H52" i="145" s="1"/>
  <c r="J38" i="145"/>
  <c r="K38" i="145"/>
  <c r="M38" i="145"/>
  <c r="L38" i="145"/>
  <c r="M48" i="145"/>
  <c r="L48" i="145"/>
  <c r="J48" i="145"/>
  <c r="K48" i="145"/>
  <c r="J36" i="145"/>
  <c r="K36" i="145"/>
  <c r="M36" i="145"/>
  <c r="L36" i="145"/>
  <c r="K55" i="145"/>
  <c r="L55" i="145"/>
  <c r="M55" i="145"/>
  <c r="J55" i="145"/>
  <c r="I55" i="145" s="1"/>
  <c r="H55" i="145"/>
  <c r="M41" i="145"/>
  <c r="J41" i="145"/>
  <c r="K41" i="145"/>
  <c r="L41" i="145"/>
  <c r="I41" i="145"/>
  <c r="H41" i="145" s="1"/>
  <c r="M47" i="145"/>
  <c r="L47" i="145"/>
  <c r="J47" i="145"/>
  <c r="K47" i="145"/>
  <c r="M44" i="145"/>
  <c r="L44" i="145"/>
  <c r="J44" i="145"/>
  <c r="K44" i="145"/>
  <c r="I44" i="145"/>
  <c r="H44" i="145" s="1"/>
  <c r="M45" i="145"/>
  <c r="L45" i="145"/>
  <c r="J45" i="145"/>
  <c r="I45" i="145" s="1"/>
  <c r="H45" i="145" s="1"/>
  <c r="K45" i="145"/>
  <c r="J39" i="145"/>
  <c r="I39" i="145" s="1"/>
  <c r="H39" i="145" s="1"/>
  <c r="K39" i="145"/>
  <c r="M39" i="145"/>
  <c r="L39" i="145"/>
  <c r="L57" i="145"/>
  <c r="J57" i="145"/>
  <c r="I57" i="145" s="1"/>
  <c r="H57" i="145" s="1"/>
  <c r="K57" i="145"/>
  <c r="M57" i="145"/>
  <c r="K46" i="145"/>
  <c r="M46" i="145"/>
  <c r="L46" i="145"/>
  <c r="J46" i="145"/>
  <c r="I46" i="145"/>
  <c r="H46" i="145" s="1"/>
  <c r="M43" i="145"/>
  <c r="L43" i="145"/>
  <c r="J43" i="145"/>
  <c r="I43" i="145" s="1"/>
  <c r="H43" i="145" s="1"/>
  <c r="K43" i="145"/>
  <c r="M42" i="145"/>
  <c r="J42" i="145"/>
  <c r="L42" i="145"/>
  <c r="K42" i="145"/>
  <c r="I42" i="145"/>
  <c r="H42" i="145" s="1"/>
  <c r="J50" i="145"/>
  <c r="K50" i="145"/>
  <c r="L50" i="145"/>
  <c r="M50" i="145"/>
  <c r="J56" i="145"/>
  <c r="K56" i="145"/>
  <c r="L56" i="145"/>
  <c r="M56" i="145"/>
  <c r="J53" i="145"/>
  <c r="K53" i="145"/>
  <c r="L53" i="145"/>
  <c r="M53" i="145"/>
  <c r="I26" i="145" a="1"/>
  <c r="I26" i="145" s="1"/>
  <c r="X20" i="144"/>
  <c r="AJ69" i="144"/>
  <c r="X24" i="144"/>
  <c r="X52" i="144"/>
  <c r="X36" i="144"/>
  <c r="X60" i="144"/>
  <c r="X71" i="144"/>
  <c r="X45" i="144"/>
  <c r="X27" i="144"/>
  <c r="AJ64" i="144"/>
  <c r="AJ50" i="144"/>
  <c r="AJ33" i="144"/>
  <c r="AJ40" i="144"/>
  <c r="X46" i="144"/>
  <c r="AJ65" i="144"/>
  <c r="AJ66" i="144"/>
  <c r="X47" i="144"/>
  <c r="X56" i="144"/>
  <c r="X35" i="144"/>
  <c r="X18" i="144"/>
  <c r="X16" i="144"/>
  <c r="X59" i="144"/>
  <c r="AJ70" i="144"/>
  <c r="X23" i="144"/>
  <c r="AJ57" i="144"/>
  <c r="X28" i="144"/>
  <c r="AJ54" i="144"/>
  <c r="X49" i="144"/>
  <c r="X26" i="144"/>
  <c r="X39" i="144"/>
  <c r="AJ30" i="144"/>
  <c r="AJ37" i="144"/>
  <c r="AJ48" i="144"/>
  <c r="X72" i="144"/>
  <c r="AJ55" i="144"/>
  <c r="X51" i="144"/>
  <c r="X53" i="144"/>
  <c r="AJ34" i="144"/>
  <c r="AJ19" i="144"/>
  <c r="X22" i="144"/>
  <c r="AJ32" i="144"/>
  <c r="AJ67" i="144"/>
  <c r="M35" i="145"/>
  <c r="X58" i="144"/>
  <c r="M34" i="145"/>
  <c r="AJ41" i="144"/>
  <c r="N72" i="145"/>
  <c r="N26" i="145" a="1"/>
  <c r="N26" i="145" s="1"/>
  <c r="AI16" i="144"/>
  <c r="X31" i="144"/>
  <c r="AJ29" i="144"/>
  <c r="L35" i="145"/>
  <c r="AJ42" i="144"/>
  <c r="AJ21" i="144"/>
  <c r="M33" i="145"/>
  <c r="X44" i="144"/>
  <c r="X63" i="144"/>
  <c r="AJ25" i="144"/>
  <c r="AJ68" i="144"/>
  <c r="L34" i="145"/>
  <c r="AJ61" i="144"/>
  <c r="J35" i="145"/>
  <c r="N75" i="145"/>
  <c r="K35" i="145"/>
  <c r="G29" i="146"/>
  <c r="G40" i="146"/>
  <c r="H29" i="146"/>
  <c r="H40" i="146"/>
  <c r="J34" i="145"/>
  <c r="I34" i="145" s="1"/>
  <c r="I31" i="146"/>
  <c r="I29" i="146"/>
  <c r="I40" i="146"/>
  <c r="H31" i="146"/>
  <c r="H42" i="146"/>
  <c r="G42" i="146"/>
  <c r="G31" i="146"/>
  <c r="N74" i="145"/>
  <c r="X63" i="98"/>
  <c r="X65" i="98"/>
  <c r="X53" i="98"/>
  <c r="X72" i="98"/>
  <c r="J29" i="146"/>
  <c r="AJ47" i="98"/>
  <c r="AJ59" i="98"/>
  <c r="AJ58" i="98"/>
  <c r="AJ49" i="98"/>
  <c r="AJ57" i="98"/>
  <c r="I95" i="97"/>
  <c r="AJ48" i="98"/>
  <c r="AJ70" i="98"/>
  <c r="AJ64" i="98"/>
  <c r="X61" i="98"/>
  <c r="J40" i="146"/>
  <c r="AJ62" i="98"/>
  <c r="X68" i="98"/>
  <c r="I118" i="97"/>
  <c r="AJ60" i="98"/>
  <c r="AJ55" i="98"/>
  <c r="AJ54" i="98"/>
  <c r="X67" i="98"/>
  <c r="X66" i="98"/>
  <c r="K155" i="97"/>
  <c r="J52" i="97"/>
  <c r="K102" i="97"/>
  <c r="K153" i="97"/>
  <c r="K100" i="97"/>
  <c r="K104" i="97"/>
  <c r="K157" i="97"/>
  <c r="K152" i="97"/>
  <c r="K99" i="97"/>
  <c r="J139" i="97"/>
  <c r="J86" i="97"/>
  <c r="J128" i="97"/>
  <c r="J75" i="97"/>
  <c r="J94" i="97"/>
  <c r="J147" i="97"/>
  <c r="J90" i="97"/>
  <c r="J143" i="97"/>
  <c r="I42" i="97"/>
  <c r="J129" i="97"/>
  <c r="J76" i="97"/>
  <c r="J146" i="97"/>
  <c r="J93" i="97"/>
  <c r="I32" i="97"/>
  <c r="J78" i="97"/>
  <c r="J131" i="97"/>
  <c r="J116" i="97"/>
  <c r="J63" i="97"/>
  <c r="J66" i="97"/>
  <c r="J119" i="97"/>
  <c r="I22" i="97"/>
  <c r="J98" i="97"/>
  <c r="J151" i="97"/>
  <c r="J70" i="97"/>
  <c r="J123" i="97"/>
  <c r="J105" i="97"/>
  <c r="J158" i="97"/>
  <c r="J122" i="97"/>
  <c r="J69" i="97"/>
  <c r="J134" i="97"/>
  <c r="J81" i="97"/>
  <c r="I57" i="97"/>
  <c r="J162" i="97" s="1"/>
  <c r="J161" i="97"/>
  <c r="J108" i="97"/>
  <c r="J145" i="97"/>
  <c r="J92" i="97"/>
  <c r="I27" i="97"/>
  <c r="J72" i="97"/>
  <c r="J125" i="97"/>
  <c r="J159" i="97"/>
  <c r="J106" i="97"/>
  <c r="I37" i="97"/>
  <c r="J84" i="97"/>
  <c r="J137" i="97"/>
  <c r="J74" i="97"/>
  <c r="J127" i="97"/>
  <c r="J64" i="97"/>
  <c r="K109" i="97" s="1"/>
  <c r="J117" i="97"/>
  <c r="J163" i="97"/>
  <c r="J110" i="97"/>
  <c r="J141" i="97"/>
  <c r="J88" i="97"/>
  <c r="J68" i="97"/>
  <c r="J121" i="97"/>
  <c r="J135" i="97"/>
  <c r="J82" i="97"/>
  <c r="I47" i="97"/>
  <c r="J149" i="97"/>
  <c r="J96" i="97"/>
  <c r="J133" i="97"/>
  <c r="J80" i="97"/>
  <c r="J21" i="146"/>
  <c r="K41" i="146"/>
  <c r="K30" i="146"/>
  <c r="K38" i="146"/>
  <c r="K27" i="146"/>
  <c r="K32" i="146"/>
  <c r="K43" i="146"/>
  <c r="K39" i="146"/>
  <c r="K28" i="146"/>
  <c r="I77" i="97"/>
  <c r="AJ71" i="98"/>
  <c r="I67" i="97"/>
  <c r="I120" i="97"/>
  <c r="J42" i="146"/>
  <c r="J31" i="146"/>
  <c r="J14" i="97"/>
  <c r="I148" i="97"/>
  <c r="I160" i="97"/>
  <c r="AJ51" i="98"/>
  <c r="I79" i="97"/>
  <c r="I132" i="97"/>
  <c r="X50" i="98"/>
  <c r="I150" i="97"/>
  <c r="I97" i="97"/>
  <c r="I130" i="97"/>
  <c r="I136" i="97"/>
  <c r="I85" i="97"/>
  <c r="I138" i="97"/>
  <c r="I124" i="97"/>
  <c r="I142" i="97"/>
  <c r="J154" i="97"/>
  <c r="I91" i="97"/>
  <c r="I144" i="97"/>
  <c r="I13" i="97"/>
  <c r="I65" i="97"/>
  <c r="I83" i="97"/>
  <c r="I107" i="97"/>
  <c r="AJ52" i="98"/>
  <c r="I126" i="97"/>
  <c r="I73" i="97"/>
  <c r="J156" i="97"/>
  <c r="J103" i="97"/>
  <c r="X69" i="98"/>
  <c r="J13" i="146"/>
  <c r="I71" i="97"/>
  <c r="I89" i="97"/>
  <c r="J101" i="97"/>
  <c r="I30" i="98" a="1"/>
  <c r="I30" i="98" s="1"/>
  <c r="I44" i="98" a="1"/>
  <c r="I44" i="98" s="1"/>
  <c r="I42" i="98" a="1"/>
  <c r="I42" i="98" s="1"/>
  <c r="I21" i="98" a="1"/>
  <c r="I21" i="98" s="1"/>
  <c r="I24" i="98" a="1"/>
  <c r="I24" i="98" s="1"/>
  <c r="I41" i="98" a="1"/>
  <c r="I41" i="98" s="1"/>
  <c r="I40" i="98" a="1"/>
  <c r="I40" i="98" s="1"/>
  <c r="I26" i="98" a="1"/>
  <c r="I26" i="98" s="1"/>
  <c r="I35" i="98" a="1"/>
  <c r="I35" i="98" s="1"/>
  <c r="I17" i="98" a="1"/>
  <c r="I17" i="98" s="1"/>
  <c r="I18" i="98" a="1"/>
  <c r="I18" i="98" s="1"/>
  <c r="I46" i="98" a="1"/>
  <c r="I46" i="98" s="1"/>
  <c r="I22" i="98" a="1"/>
  <c r="I22" i="98" s="1"/>
  <c r="I28" i="98" a="1"/>
  <c r="I28" i="98" s="1"/>
  <c r="I23" i="98" a="1"/>
  <c r="I23" i="98" s="1"/>
  <c r="I43" i="98" a="1"/>
  <c r="I43" i="98" s="1"/>
  <c r="I45" i="98" a="1"/>
  <c r="I45" i="98" s="1"/>
  <c r="I29" i="98" a="1"/>
  <c r="I29" i="98" s="1"/>
  <c r="I34" i="98" a="1"/>
  <c r="I34" i="98" s="1"/>
  <c r="I37" i="98" a="1"/>
  <c r="I37" i="98" s="1"/>
  <c r="I38" i="98" a="1"/>
  <c r="I38" i="98" s="1"/>
  <c r="I20" i="98" a="1"/>
  <c r="I20" i="98" s="1"/>
  <c r="I36" i="98" a="1"/>
  <c r="I36" i="98" s="1"/>
  <c r="I19" i="98" a="1"/>
  <c r="I19" i="98" s="1"/>
  <c r="I31" i="98" a="1"/>
  <c r="I31" i="98" s="1"/>
  <c r="I25" i="98" a="1"/>
  <c r="I25" i="98" s="1"/>
  <c r="I39" i="98" a="1"/>
  <c r="I39" i="98" s="1"/>
  <c r="I33" i="98" a="1"/>
  <c r="I33" i="98" s="1"/>
  <c r="I27" i="98" a="1"/>
  <c r="I27" i="98" s="1"/>
  <c r="I32" i="98" a="1"/>
  <c r="I32" i="98" s="1"/>
  <c r="I16" i="98" a="1"/>
  <c r="I16" i="98" s="1"/>
  <c r="J18" i="98" a="1"/>
  <c r="J18" i="98" s="1"/>
  <c r="J37" i="98" a="1"/>
  <c r="J37" i="98" s="1"/>
  <c r="J30" i="98" a="1"/>
  <c r="J30" i="98" s="1"/>
  <c r="J35" i="98" a="1"/>
  <c r="J35" i="98" s="1"/>
  <c r="J29" i="98" a="1"/>
  <c r="J29" i="98" s="1"/>
  <c r="J33" i="98" a="1"/>
  <c r="J33" i="98" s="1"/>
  <c r="J23" i="98" a="1"/>
  <c r="J23" i="98" s="1"/>
  <c r="J24" i="98" a="1"/>
  <c r="J24" i="98" s="1"/>
  <c r="J31" i="98" a="1"/>
  <c r="J31" i="98" s="1"/>
  <c r="J46" i="98" a="1"/>
  <c r="J46" i="98" s="1"/>
  <c r="J16" i="98" a="1"/>
  <c r="J16" i="98" s="1"/>
  <c r="J44" i="98" a="1"/>
  <c r="J44" i="98" s="1"/>
  <c r="J26" i="98" a="1"/>
  <c r="J26" i="98" s="1"/>
  <c r="J28" i="98" a="1"/>
  <c r="J28" i="98" s="1"/>
  <c r="J20" i="98" a="1"/>
  <c r="J20" i="98" s="1"/>
  <c r="J27" i="98" a="1"/>
  <c r="J27" i="98" s="1"/>
  <c r="J38" i="98" a="1"/>
  <c r="J38" i="98" s="1"/>
  <c r="J19" i="98" a="1"/>
  <c r="J19" i="98" s="1"/>
  <c r="J36" i="98" a="1"/>
  <c r="J36" i="98" s="1"/>
  <c r="J42" i="98" a="1"/>
  <c r="J42" i="98" s="1"/>
  <c r="J21" i="98" a="1"/>
  <c r="J21" i="98" s="1"/>
  <c r="J25" i="98" a="1"/>
  <c r="J25" i="98" s="1"/>
  <c r="J39" i="98" a="1"/>
  <c r="J39" i="98" s="1"/>
  <c r="J40" i="98" a="1"/>
  <c r="J40" i="98" s="1"/>
  <c r="J41" i="98" a="1"/>
  <c r="J41" i="98" s="1"/>
  <c r="J32" i="98" a="1"/>
  <c r="J32" i="98" s="1"/>
  <c r="J22" i="98" a="1"/>
  <c r="J22" i="98" s="1"/>
  <c r="J17" i="98" a="1"/>
  <c r="J17" i="98" s="1"/>
  <c r="J45" i="98" a="1"/>
  <c r="J45" i="98" s="1"/>
  <c r="J34" i="98" a="1"/>
  <c r="J34" i="98" s="1"/>
  <c r="J43" i="98" a="1"/>
  <c r="J43" i="98" s="1"/>
  <c r="H29" i="98" a="1"/>
  <c r="H29" i="98" s="1"/>
  <c r="H37" i="98" a="1"/>
  <c r="H37" i="98" s="1"/>
  <c r="H19" i="98" a="1"/>
  <c r="H19" i="98" s="1"/>
  <c r="H28" i="98" a="1"/>
  <c r="H28" i="98" s="1"/>
  <c r="H42" i="98" a="1"/>
  <c r="H42" i="98" s="1"/>
  <c r="H41" i="98" a="1"/>
  <c r="H41" i="98" s="1"/>
  <c r="H45" i="98" a="1"/>
  <c r="H45" i="98" s="1"/>
  <c r="H39" i="98" a="1"/>
  <c r="H39" i="98" s="1"/>
  <c r="H38" i="98" a="1"/>
  <c r="H38" i="98" s="1"/>
  <c r="H46" i="98" a="1"/>
  <c r="H46" i="98" s="1"/>
  <c r="H36" i="98" a="1"/>
  <c r="H36" i="98" s="1"/>
  <c r="H23" i="98" a="1"/>
  <c r="H23" i="98" s="1"/>
  <c r="H20" i="98" a="1"/>
  <c r="H20" i="98" s="1"/>
  <c r="H26" i="98" a="1"/>
  <c r="H26" i="98" s="1"/>
  <c r="H33" i="98" a="1"/>
  <c r="H33" i="98" s="1"/>
  <c r="H31" i="98" a="1"/>
  <c r="H31" i="98" s="1"/>
  <c r="H24" i="98" a="1"/>
  <c r="H24" i="98" s="1"/>
  <c r="H18" i="98" a="1"/>
  <c r="H18" i="98" s="1"/>
  <c r="H30" i="98" a="1"/>
  <c r="H30" i="98" s="1"/>
  <c r="H34" i="98" a="1"/>
  <c r="H34" i="98" s="1"/>
  <c r="H43" i="98" a="1"/>
  <c r="H43" i="98" s="1"/>
  <c r="H44" i="98" a="1"/>
  <c r="H44" i="98" s="1"/>
  <c r="H35" i="98" a="1"/>
  <c r="H35" i="98" s="1"/>
  <c r="H25" i="98" a="1"/>
  <c r="H25" i="98" s="1"/>
  <c r="H40" i="98" a="1"/>
  <c r="H40" i="98" s="1"/>
  <c r="H32" i="98" a="1"/>
  <c r="H32" i="98" s="1"/>
  <c r="H16" i="98" a="1"/>
  <c r="H16" i="98" s="1"/>
  <c r="H21" i="98" a="1"/>
  <c r="H21" i="98" s="1"/>
  <c r="H17" i="98" a="1"/>
  <c r="H17" i="98" s="1"/>
  <c r="H22" i="98" a="1"/>
  <c r="H22" i="98" s="1"/>
  <c r="H27" i="98" a="1"/>
  <c r="H27" i="98" s="1"/>
  <c r="K27" i="98" a="1"/>
  <c r="K27" i="98" s="1"/>
  <c r="K40" i="98" a="1"/>
  <c r="K40" i="98" s="1"/>
  <c r="K18" i="98" a="1"/>
  <c r="K18" i="98" s="1"/>
  <c r="K29" i="98" a="1"/>
  <c r="K29" i="98" s="1"/>
  <c r="K44" i="98" a="1"/>
  <c r="K44" i="98" s="1"/>
  <c r="K42" i="98" a="1"/>
  <c r="K42" i="98" s="1"/>
  <c r="K36" i="98" a="1"/>
  <c r="K36" i="98" s="1"/>
  <c r="K30" i="98" a="1"/>
  <c r="K30" i="98" s="1"/>
  <c r="K33" i="98" a="1"/>
  <c r="K33" i="98" s="1"/>
  <c r="K22" i="98" a="1"/>
  <c r="K22" i="98" s="1"/>
  <c r="K37" i="98" a="1"/>
  <c r="K37" i="98" s="1"/>
  <c r="K19" i="98" a="1"/>
  <c r="K19" i="98" s="1"/>
  <c r="K16" i="98" a="1"/>
  <c r="K16" i="98" s="1"/>
  <c r="K24" i="98" a="1"/>
  <c r="K24" i="98" s="1"/>
  <c r="K45" i="98" a="1"/>
  <c r="K45" i="98" s="1"/>
  <c r="K31" i="98" a="1"/>
  <c r="K31" i="98" s="1"/>
  <c r="K35" i="98" a="1"/>
  <c r="K35" i="98" s="1"/>
  <c r="K20" i="98" a="1"/>
  <c r="K20" i="98" s="1"/>
  <c r="K26" i="98" a="1"/>
  <c r="K26" i="98" s="1"/>
  <c r="K41" i="98" a="1"/>
  <c r="K41" i="98" s="1"/>
  <c r="K21" i="98" a="1"/>
  <c r="K21" i="98" s="1"/>
  <c r="K43" i="98" a="1"/>
  <c r="K43" i="98" s="1"/>
  <c r="K38" i="98" a="1"/>
  <c r="K38" i="98" s="1"/>
  <c r="K23" i="98" a="1"/>
  <c r="K23" i="98" s="1"/>
  <c r="K34" i="98" a="1"/>
  <c r="K34" i="98" s="1"/>
  <c r="K25" i="98" a="1"/>
  <c r="K25" i="98" s="1"/>
  <c r="K32" i="98" a="1"/>
  <c r="K32" i="98" s="1"/>
  <c r="K28" i="98" a="1"/>
  <c r="K28" i="98" s="1"/>
  <c r="K46" i="98" a="1"/>
  <c r="K46" i="98" s="1"/>
  <c r="K17" i="98" a="1"/>
  <c r="K17" i="98" s="1"/>
  <c r="K39" i="98" a="1"/>
  <c r="K39" i="98" s="1"/>
  <c r="J140" i="97"/>
  <c r="J87" i="97"/>
  <c r="AC16" i="144"/>
  <c r="AK19" i="144"/>
  <c r="AN18" i="144"/>
  <c r="AF17" i="144"/>
  <c r="AP17" i="144"/>
  <c r="Z19" i="144"/>
  <c r="AT18" i="144"/>
  <c r="AN17" i="144"/>
  <c r="Y17" i="144"/>
  <c r="Y16" i="144"/>
  <c r="AQ18" i="144"/>
  <c r="AM16" i="144"/>
  <c r="AL17" i="144"/>
  <c r="AF16" i="144"/>
  <c r="AC19" i="144"/>
  <c r="AH18" i="144"/>
  <c r="AE16" i="144"/>
  <c r="R16" i="144"/>
  <c r="AB16" i="144"/>
  <c r="R17" i="144"/>
  <c r="AB18" i="144"/>
  <c r="Z17" i="144"/>
  <c r="AA18" i="144"/>
  <c r="AA17" i="144"/>
  <c r="Z16" i="144"/>
  <c r="AR16" i="144"/>
  <c r="AA16" i="144"/>
  <c r="AO18" i="144"/>
  <c r="Y18" i="144"/>
  <c r="AH16" i="144"/>
  <c r="Y19" i="144"/>
  <c r="AT16" i="144"/>
  <c r="AM17" i="144"/>
  <c r="AD16" i="144"/>
  <c r="AB19" i="144"/>
  <c r="AO16" i="144"/>
  <c r="AS16" i="144"/>
  <c r="AO17" i="144"/>
  <c r="AP18" i="144"/>
  <c r="AN16" i="144"/>
  <c r="AH17" i="144"/>
  <c r="AD18" i="144"/>
  <c r="AM19" i="144"/>
  <c r="AG16" i="144"/>
  <c r="Z18" i="144"/>
  <c r="AP16" i="144"/>
  <c r="AR18" i="144"/>
  <c r="AM18" i="144"/>
  <c r="AE18" i="144"/>
  <c r="AO19" i="144"/>
  <c r="AL16" i="144"/>
  <c r="AK16" i="144"/>
  <c r="AG18" i="144"/>
  <c r="AL18" i="144"/>
  <c r="AE17" i="144"/>
  <c r="P17" i="144"/>
  <c r="AQ16" i="144"/>
  <c r="AR17" i="144"/>
  <c r="AG17" i="144"/>
  <c r="AD17" i="144"/>
  <c r="AS17" i="144"/>
  <c r="AL19" i="144"/>
  <c r="AN19" i="144"/>
  <c r="AF18" i="144"/>
  <c r="AT17" i="144"/>
  <c r="AQ17" i="144"/>
  <c r="AB17" i="144"/>
  <c r="AS18" i="144"/>
  <c r="AA19" i="144"/>
  <c r="AC18" i="144"/>
  <c r="R18" i="144"/>
  <c r="K51" i="97"/>
  <c r="K49" i="97"/>
  <c r="J26" i="97"/>
  <c r="K19" i="146"/>
  <c r="J46" i="97"/>
  <c r="J29" i="97"/>
  <c r="J30" i="97"/>
  <c r="J41" i="97"/>
  <c r="J45" i="97"/>
  <c r="J23" i="97"/>
  <c r="K50" i="97"/>
  <c r="J39" i="97"/>
  <c r="J55" i="97"/>
  <c r="J24" i="97"/>
  <c r="J35" i="97"/>
  <c r="K18" i="146"/>
  <c r="J43" i="97"/>
  <c r="J58" i="97"/>
  <c r="J40" i="97"/>
  <c r="K53" i="97"/>
  <c r="J19" i="97"/>
  <c r="J54" i="97"/>
  <c r="K22" i="146"/>
  <c r="J56" i="97"/>
  <c r="J34" i="97"/>
  <c r="J31" i="97"/>
  <c r="J48" i="97"/>
  <c r="J25" i="97"/>
  <c r="J21" i="97"/>
  <c r="J44" i="97"/>
  <c r="J36" i="97"/>
  <c r="J20" i="97"/>
  <c r="J38" i="97"/>
  <c r="J28" i="97"/>
  <c r="J33" i="97"/>
  <c r="K20" i="146"/>
  <c r="I56" i="145" l="1"/>
  <c r="H56" i="145" s="1"/>
  <c r="H49" i="145"/>
  <c r="I53" i="145"/>
  <c r="H53" i="145" s="1"/>
  <c r="I54" i="145"/>
  <c r="H54" i="145" s="1"/>
  <c r="I38" i="145"/>
  <c r="H38" i="145" s="1"/>
  <c r="I37" i="145"/>
  <c r="H37" i="145" s="1"/>
  <c r="I36" i="145"/>
  <c r="H36" i="145" s="1"/>
  <c r="I48" i="145"/>
  <c r="H48" i="145" s="1"/>
  <c r="I47" i="145"/>
  <c r="H47" i="145" s="1"/>
  <c r="I50" i="145"/>
  <c r="H50" i="145" s="1"/>
  <c r="I51" i="145"/>
  <c r="H51" i="145" s="1"/>
  <c r="K26" i="145" a="1"/>
  <c r="K26" i="145" s="1"/>
  <c r="I35" i="145"/>
  <c r="H35" i="145" s="1"/>
  <c r="N73" i="145"/>
  <c r="L33" i="145"/>
  <c r="K33" i="145"/>
  <c r="J33" i="145"/>
  <c r="H34" i="145"/>
  <c r="P72" i="145"/>
  <c r="S72" i="145"/>
  <c r="O72" i="145"/>
  <c r="R72" i="145"/>
  <c r="Q72" i="145"/>
  <c r="U74" i="145"/>
  <c r="W74" i="145"/>
  <c r="V74" i="145"/>
  <c r="X74" i="145"/>
  <c r="T74" i="145"/>
  <c r="Q75" i="145"/>
  <c r="O75" i="145"/>
  <c r="P75" i="145"/>
  <c r="R75" i="145"/>
  <c r="S75" i="145"/>
  <c r="T73" i="145"/>
  <c r="X73" i="145"/>
  <c r="R74" i="145"/>
  <c r="O74" i="145"/>
  <c r="P74" i="145"/>
  <c r="W73" i="145"/>
  <c r="U73" i="145"/>
  <c r="Q74" i="145"/>
  <c r="S74" i="145"/>
  <c r="V73" i="145"/>
  <c r="Q73" i="145"/>
  <c r="S73" i="145"/>
  <c r="U72" i="145"/>
  <c r="W72" i="145"/>
  <c r="R73" i="145"/>
  <c r="O73" i="145"/>
  <c r="P73" i="145"/>
  <c r="V72" i="145"/>
  <c r="T72" i="145"/>
  <c r="X72" i="145"/>
  <c r="J107" i="97"/>
  <c r="J77" i="97"/>
  <c r="J130" i="97"/>
  <c r="J136" i="97"/>
  <c r="J160" i="97"/>
  <c r="L39" i="146"/>
  <c r="L28" i="146"/>
  <c r="K21" i="146"/>
  <c r="L41" i="146"/>
  <c r="L30" i="146"/>
  <c r="L27" i="146"/>
  <c r="L38" i="146"/>
  <c r="L43" i="146"/>
  <c r="L32" i="146"/>
  <c r="L152" i="97"/>
  <c r="L99" i="97"/>
  <c r="K52" i="97"/>
  <c r="L155" i="97"/>
  <c r="L102" i="97"/>
  <c r="L157" i="97"/>
  <c r="L104" i="97"/>
  <c r="L153" i="97"/>
  <c r="L100" i="97"/>
  <c r="K163" i="97"/>
  <c r="K110" i="97"/>
  <c r="K74" i="97"/>
  <c r="K127" i="97"/>
  <c r="J32" i="97"/>
  <c r="K78" i="97"/>
  <c r="K131" i="97"/>
  <c r="K128" i="97"/>
  <c r="K75" i="97"/>
  <c r="K159" i="97"/>
  <c r="K106" i="97"/>
  <c r="K86" i="97"/>
  <c r="K139" i="97"/>
  <c r="J22" i="97"/>
  <c r="K66" i="97"/>
  <c r="K119" i="97"/>
  <c r="K90" i="97"/>
  <c r="J42" i="97"/>
  <c r="K143" i="97"/>
  <c r="K98" i="97"/>
  <c r="K151" i="97"/>
  <c r="K72" i="97"/>
  <c r="K125" i="97"/>
  <c r="J27" i="97"/>
  <c r="K96" i="97"/>
  <c r="J47" i="97"/>
  <c r="K149" i="97"/>
  <c r="K69" i="97"/>
  <c r="K122" i="97"/>
  <c r="K121" i="97"/>
  <c r="K68" i="97"/>
  <c r="K94" i="97"/>
  <c r="K147" i="97"/>
  <c r="K76" i="97"/>
  <c r="K129" i="97"/>
  <c r="K135" i="97"/>
  <c r="K82" i="97"/>
  <c r="K158" i="97"/>
  <c r="K105" i="97"/>
  <c r="K92" i="97"/>
  <c r="K145" i="97"/>
  <c r="K161" i="97"/>
  <c r="J57" i="97"/>
  <c r="K162" i="97" s="1"/>
  <c r="K108" i="97"/>
  <c r="K116" i="97"/>
  <c r="K63" i="97"/>
  <c r="K133" i="97"/>
  <c r="K80" i="97"/>
  <c r="K117" i="97"/>
  <c r="K64" i="97"/>
  <c r="L109" i="97" s="1"/>
  <c r="K134" i="97"/>
  <c r="K81" i="97"/>
  <c r="K93" i="97"/>
  <c r="K146" i="97"/>
  <c r="K140" i="97"/>
  <c r="K87" i="97"/>
  <c r="K123" i="97"/>
  <c r="K70" i="97"/>
  <c r="K141" i="97"/>
  <c r="K88" i="97"/>
  <c r="J37" i="97"/>
  <c r="K137" i="97"/>
  <c r="K84" i="97"/>
  <c r="K13" i="146"/>
  <c r="J67" i="97"/>
  <c r="J120" i="97"/>
  <c r="J65" i="97"/>
  <c r="J97" i="97"/>
  <c r="J150" i="97"/>
  <c r="J126" i="97"/>
  <c r="J73" i="97"/>
  <c r="J79" i="97"/>
  <c r="J132" i="97"/>
  <c r="J124" i="97"/>
  <c r="K40" i="146"/>
  <c r="K42" i="146"/>
  <c r="K31" i="146"/>
  <c r="J138" i="97"/>
  <c r="J85" i="97"/>
  <c r="K154" i="97"/>
  <c r="J95" i="97"/>
  <c r="J148" i="97"/>
  <c r="J71" i="97"/>
  <c r="K29" i="146"/>
  <c r="K14" i="97"/>
  <c r="J118" i="97"/>
  <c r="K101" i="97"/>
  <c r="J13" i="97"/>
  <c r="J89" i="97"/>
  <c r="K156" i="97"/>
  <c r="K103" i="97"/>
  <c r="J142" i="97"/>
  <c r="J83" i="97"/>
  <c r="J144" i="97"/>
  <c r="J91" i="97"/>
  <c r="J77" i="138"/>
  <c r="H68" i="138"/>
  <c r="D82" i="138"/>
  <c r="F80" i="138"/>
  <c r="D79" i="138"/>
  <c r="J66" i="138"/>
  <c r="D71" i="138"/>
  <c r="F76" i="138"/>
  <c r="H85" i="138"/>
  <c r="J61" i="138"/>
  <c r="H66" i="138"/>
  <c r="D76" i="138"/>
  <c r="F85" i="138"/>
  <c r="J81" i="138"/>
  <c r="H64" i="138"/>
  <c r="H74" i="138"/>
  <c r="J88" i="138"/>
  <c r="H72" i="138"/>
  <c r="J70" i="138"/>
  <c r="H82" i="138"/>
  <c r="J74" i="138"/>
  <c r="H60" i="138"/>
  <c r="J71" i="138"/>
  <c r="F74" i="138"/>
  <c r="J82" i="138"/>
  <c r="H84" i="138"/>
  <c r="J80" i="138"/>
  <c r="H78" i="138"/>
  <c r="D69" i="138"/>
  <c r="F81" i="138"/>
  <c r="J63" i="138"/>
  <c r="D64" i="138"/>
  <c r="D81" i="138"/>
  <c r="H80" i="138"/>
  <c r="F67" i="138"/>
  <c r="F63" i="138"/>
  <c r="D70" i="138"/>
  <c r="J73" i="138"/>
  <c r="H86" i="138"/>
  <c r="D67" i="138"/>
  <c r="F79" i="138"/>
  <c r="D77" i="138"/>
  <c r="H88" i="138"/>
  <c r="D86" i="138"/>
  <c r="F71" i="138"/>
  <c r="H76" i="138"/>
  <c r="J79" i="138"/>
  <c r="H65" i="138"/>
  <c r="D72" i="138"/>
  <c r="F65" i="138"/>
  <c r="F70" i="138"/>
  <c r="D66" i="138"/>
  <c r="F64" i="138"/>
  <c r="D73" i="138"/>
  <c r="F88" i="138"/>
  <c r="D75" i="138"/>
  <c r="D68" i="138"/>
  <c r="D62" i="138"/>
  <c r="F77" i="138"/>
  <c r="D65" i="138"/>
  <c r="F68" i="138"/>
  <c r="D78" i="138"/>
  <c r="F82" i="138"/>
  <c r="D88" i="138"/>
  <c r="F83" i="138"/>
  <c r="D80" i="138"/>
  <c r="F66" i="138"/>
  <c r="H69" i="138"/>
  <c r="F84" i="138"/>
  <c r="D63" i="138"/>
  <c r="D83" i="138"/>
  <c r="H62" i="138"/>
  <c r="F61" i="138"/>
  <c r="F86" i="138"/>
  <c r="D74" i="138"/>
  <c r="F62" i="138"/>
  <c r="D61" i="138"/>
  <c r="J87" i="138"/>
  <c r="H73" i="138"/>
  <c r="D85" i="138"/>
  <c r="F87" i="138"/>
  <c r="H87" i="138"/>
  <c r="J64" i="138"/>
  <c r="H75" i="138"/>
  <c r="J75" i="138"/>
  <c r="H71" i="138"/>
  <c r="J72" i="138"/>
  <c r="H77" i="138"/>
  <c r="J78" i="138"/>
  <c r="H83" i="138"/>
  <c r="J84" i="138"/>
  <c r="H79" i="138"/>
  <c r="J86" i="138"/>
  <c r="H81" i="138"/>
  <c r="J67" i="138"/>
  <c r="H67" i="138"/>
  <c r="J76" i="138"/>
  <c r="H63" i="138"/>
  <c r="J65" i="138"/>
  <c r="F69" i="138"/>
  <c r="J69" i="138"/>
  <c r="F75" i="138"/>
  <c r="J85" i="138"/>
  <c r="H61" i="138"/>
  <c r="J83" i="138"/>
  <c r="D87" i="138"/>
  <c r="F73" i="138"/>
  <c r="J68" i="138"/>
  <c r="J62" i="138"/>
  <c r="D84" i="138"/>
  <c r="H70" i="138"/>
  <c r="F78" i="138"/>
  <c r="F72" i="138"/>
  <c r="D60" i="138"/>
  <c r="F60" i="138"/>
  <c r="F59" i="138"/>
  <c r="H59" i="138"/>
  <c r="N45" i="138" a="1"/>
  <c r="N45" i="138" s="1"/>
  <c r="N44" i="138" a="1"/>
  <c r="N44" i="138" s="1"/>
  <c r="N40" i="138" a="1"/>
  <c r="N40" i="138" s="1"/>
  <c r="N39" i="138" a="1"/>
  <c r="N39" i="138" s="1"/>
  <c r="H58" i="138"/>
  <c r="F58" i="138"/>
  <c r="J60" i="138"/>
  <c r="J59" i="138"/>
  <c r="J58" i="138"/>
  <c r="I45" i="138" a="1"/>
  <c r="I45" i="138" s="1"/>
  <c r="K45" i="138" a="1"/>
  <c r="K45" i="138" s="1"/>
  <c r="AS29" i="98"/>
  <c r="AT29" i="98"/>
  <c r="AQ29" i="98"/>
  <c r="AR29" i="98"/>
  <c r="AS32" i="98"/>
  <c r="AT32" i="98"/>
  <c r="AQ32" i="98"/>
  <c r="AR32" i="98"/>
  <c r="AQ35" i="98"/>
  <c r="AR35" i="98"/>
  <c r="AS35" i="98"/>
  <c r="AT35" i="98"/>
  <c r="AQ41" i="98"/>
  <c r="AR41" i="98"/>
  <c r="AS41" i="98"/>
  <c r="AT41" i="98"/>
  <c r="AQ30" i="98"/>
  <c r="AR30" i="98"/>
  <c r="AS30" i="98"/>
  <c r="AT30" i="98"/>
  <c r="AS40" i="98"/>
  <c r="AT40" i="98"/>
  <c r="AQ40" i="98"/>
  <c r="AR40" i="98"/>
  <c r="AQ37" i="98"/>
  <c r="AR37" i="98"/>
  <c r="AS37" i="98"/>
  <c r="AT37" i="98"/>
  <c r="AQ42" i="98"/>
  <c r="AS42" i="98"/>
  <c r="AR42" i="98"/>
  <c r="AT42" i="98"/>
  <c r="AT31" i="98"/>
  <c r="AQ31" i="98"/>
  <c r="AR31" i="98"/>
  <c r="AS31" i="98"/>
  <c r="AQ36" i="98"/>
  <c r="AR36" i="98"/>
  <c r="AS36" i="98"/>
  <c r="AT36" i="98"/>
  <c r="AQ34" i="98"/>
  <c r="AR34" i="98"/>
  <c r="AS34" i="98"/>
  <c r="AT34" i="98"/>
  <c r="AQ46" i="98"/>
  <c r="AR46" i="98"/>
  <c r="AS46" i="98"/>
  <c r="AT46" i="98"/>
  <c r="AQ38" i="98"/>
  <c r="AR38" i="98"/>
  <c r="AS38" i="98"/>
  <c r="AT38" i="98"/>
  <c r="AS43" i="98"/>
  <c r="AT43" i="98"/>
  <c r="AQ43" i="98"/>
  <c r="AR43" i="98"/>
  <c r="AQ39" i="98"/>
  <c r="AR39" i="98"/>
  <c r="AS39" i="98"/>
  <c r="AT39" i="98"/>
  <c r="AQ27" i="98"/>
  <c r="AR27" i="98"/>
  <c r="AS27" i="98"/>
  <c r="AT27" i="98"/>
  <c r="AQ26" i="98"/>
  <c r="AR26" i="98"/>
  <c r="AS26" i="98"/>
  <c r="AT26" i="98"/>
  <c r="AQ45" i="98"/>
  <c r="AR45" i="98"/>
  <c r="AT45" i="98"/>
  <c r="AS45" i="98"/>
  <c r="AQ44" i="98"/>
  <c r="AR44" i="98"/>
  <c r="AS44" i="98"/>
  <c r="AT44" i="98"/>
  <c r="AQ33" i="98"/>
  <c r="AR33" i="98"/>
  <c r="AS33" i="98"/>
  <c r="AT33" i="98"/>
  <c r="AQ28" i="98"/>
  <c r="AR28" i="98"/>
  <c r="AS28" i="98"/>
  <c r="AT28" i="98"/>
  <c r="AP26" i="98"/>
  <c r="AO46" i="98"/>
  <c r="AP46" i="98"/>
  <c r="AO43" i="98"/>
  <c r="AP43" i="98"/>
  <c r="AO33" i="98"/>
  <c r="AP33" i="98"/>
  <c r="AP30" i="98"/>
  <c r="AO39" i="98"/>
  <c r="AP39" i="98"/>
  <c r="AP36" i="98"/>
  <c r="AP38" i="98"/>
  <c r="AO45" i="98"/>
  <c r="AP45" i="98"/>
  <c r="AP29" i="98"/>
  <c r="AP32" i="98"/>
  <c r="AP37" i="98"/>
  <c r="AP27" i="98"/>
  <c r="AO44" i="98"/>
  <c r="AP44" i="98"/>
  <c r="AO31" i="98"/>
  <c r="AP31" i="98"/>
  <c r="AO34" i="98"/>
  <c r="AP34" i="98"/>
  <c r="AP35" i="98"/>
  <c r="AO41" i="98"/>
  <c r="AP41" i="98"/>
  <c r="AP40" i="98"/>
  <c r="AO42" i="98"/>
  <c r="AP42" i="98"/>
  <c r="AP28" i="98"/>
  <c r="AO29" i="98"/>
  <c r="AO32" i="98"/>
  <c r="AO30" i="98"/>
  <c r="AO40" i="98"/>
  <c r="AO36" i="98"/>
  <c r="AO38" i="98"/>
  <c r="AO35" i="98"/>
  <c r="AO37" i="98"/>
  <c r="AO27" i="98"/>
  <c r="AO28" i="98"/>
  <c r="AK40" i="98"/>
  <c r="AL40" i="98"/>
  <c r="AM40" i="98"/>
  <c r="AN40" i="98"/>
  <c r="AK37" i="98"/>
  <c r="AL37" i="98"/>
  <c r="AM37" i="98"/>
  <c r="AN37" i="98"/>
  <c r="AK44" i="98"/>
  <c r="AL44" i="98"/>
  <c r="AM44" i="98"/>
  <c r="AN44" i="98"/>
  <c r="AK30" i="98"/>
  <c r="AN30" i="98"/>
  <c r="AL30" i="98"/>
  <c r="AM30" i="98"/>
  <c r="AK27" i="98"/>
  <c r="AL27" i="98"/>
  <c r="AM27" i="98"/>
  <c r="AN27" i="98"/>
  <c r="AK45" i="98"/>
  <c r="AM45" i="98"/>
  <c r="AN45" i="98"/>
  <c r="AL45" i="98"/>
  <c r="AK32" i="98"/>
  <c r="AL32" i="98"/>
  <c r="AM32" i="98"/>
  <c r="AN32" i="98"/>
  <c r="AK28" i="98"/>
  <c r="AL28" i="98"/>
  <c r="AM28" i="98"/>
  <c r="AN28" i="98"/>
  <c r="AK35" i="98"/>
  <c r="AL35" i="98"/>
  <c r="AM35" i="98"/>
  <c r="AN35" i="98"/>
  <c r="AK29" i="98"/>
  <c r="AL29" i="98"/>
  <c r="AM29" i="98"/>
  <c r="AN29" i="98"/>
  <c r="AK43" i="98"/>
  <c r="AL43" i="98"/>
  <c r="AM43" i="98"/>
  <c r="AN43" i="98"/>
  <c r="AK34" i="98"/>
  <c r="AL34" i="98"/>
  <c r="AM34" i="98"/>
  <c r="AN34" i="98"/>
  <c r="AK31" i="98"/>
  <c r="AL31" i="98"/>
  <c r="AM31" i="98"/>
  <c r="AN31" i="98"/>
  <c r="AK33" i="98"/>
  <c r="AL33" i="98"/>
  <c r="AM33" i="98"/>
  <c r="AN33" i="98"/>
  <c r="AK36" i="98"/>
  <c r="AL36" i="98"/>
  <c r="AM36" i="98"/>
  <c r="AN36" i="98"/>
  <c r="AK46" i="98"/>
  <c r="AL46" i="98"/>
  <c r="AM46" i="98"/>
  <c r="AN46" i="98"/>
  <c r="AK38" i="98"/>
  <c r="AL38" i="98"/>
  <c r="AM38" i="98"/>
  <c r="AN38" i="98"/>
  <c r="AK39" i="98"/>
  <c r="AL39" i="98"/>
  <c r="AM39" i="98"/>
  <c r="AN39" i="98"/>
  <c r="AK41" i="98"/>
  <c r="AL41" i="98"/>
  <c r="AM41" i="98"/>
  <c r="AN41" i="98"/>
  <c r="AK42" i="98"/>
  <c r="AL42" i="98"/>
  <c r="AM42" i="98"/>
  <c r="AN42" i="98"/>
  <c r="AD26" i="98"/>
  <c r="AG26" i="98"/>
  <c r="AE26" i="98"/>
  <c r="AF26" i="98"/>
  <c r="AH26" i="98"/>
  <c r="AD43" i="98"/>
  <c r="AG43" i="98"/>
  <c r="AH43" i="98"/>
  <c r="AF43" i="98"/>
  <c r="AE43" i="98"/>
  <c r="AD45" i="98"/>
  <c r="AG45" i="98"/>
  <c r="AE45" i="98"/>
  <c r="AF45" i="98"/>
  <c r="AH45" i="98"/>
  <c r="AD33" i="98"/>
  <c r="AE33" i="98"/>
  <c r="AF33" i="98"/>
  <c r="AG33" i="98"/>
  <c r="AH33" i="98"/>
  <c r="AE29" i="98"/>
  <c r="AF29" i="98"/>
  <c r="AG29" i="98"/>
  <c r="AH29" i="98"/>
  <c r="AG35" i="98"/>
  <c r="AE35" i="98"/>
  <c r="AF35" i="98"/>
  <c r="AH35" i="98"/>
  <c r="AF37" i="98"/>
  <c r="AG37" i="98"/>
  <c r="AE37" i="98"/>
  <c r="AH37" i="98"/>
  <c r="AE36" i="98"/>
  <c r="AF36" i="98"/>
  <c r="AG36" i="98"/>
  <c r="AH36" i="98"/>
  <c r="AE27" i="98"/>
  <c r="AH27" i="98"/>
  <c r="AF27" i="98"/>
  <c r="AG27" i="98"/>
  <c r="AD44" i="98"/>
  <c r="AG44" i="98"/>
  <c r="AE44" i="98"/>
  <c r="AF44" i="98"/>
  <c r="AH44" i="98"/>
  <c r="AD46" i="98"/>
  <c r="AG46" i="98"/>
  <c r="AE46" i="98"/>
  <c r="AF46" i="98"/>
  <c r="AH46" i="98"/>
  <c r="AD31" i="98"/>
  <c r="AE31" i="98"/>
  <c r="AG31" i="98"/>
  <c r="AF31" i="98"/>
  <c r="AH31" i="98"/>
  <c r="AD34" i="98"/>
  <c r="AG34" i="98"/>
  <c r="AE34" i="98"/>
  <c r="AF34" i="98"/>
  <c r="AH34" i="98"/>
  <c r="AG32" i="98"/>
  <c r="AH32" i="98"/>
  <c r="AE32" i="98"/>
  <c r="AF32" i="98"/>
  <c r="AD41" i="98"/>
  <c r="AE41" i="98"/>
  <c r="AF41" i="98"/>
  <c r="AG41" i="98"/>
  <c r="AH41" i="98"/>
  <c r="AE30" i="98"/>
  <c r="AF30" i="98"/>
  <c r="AG30" i="98"/>
  <c r="AH30" i="98"/>
  <c r="AE40" i="98"/>
  <c r="AF40" i="98"/>
  <c r="AG40" i="98"/>
  <c r="AH40" i="98"/>
  <c r="AD39" i="98"/>
  <c r="AF39" i="98"/>
  <c r="AG39" i="98"/>
  <c r="AE39" i="98"/>
  <c r="AH39" i="98"/>
  <c r="AD42" i="98"/>
  <c r="AF42" i="98"/>
  <c r="AE42" i="98"/>
  <c r="AG42" i="98"/>
  <c r="AH42" i="98"/>
  <c r="AE38" i="98"/>
  <c r="AF38" i="98"/>
  <c r="AG38" i="98"/>
  <c r="AH38" i="98"/>
  <c r="AG28" i="98"/>
  <c r="AE28" i="98"/>
  <c r="AF28" i="98"/>
  <c r="AH28" i="98"/>
  <c r="AD40" i="98"/>
  <c r="AD27" i="98"/>
  <c r="AD29" i="98"/>
  <c r="AD32" i="98"/>
  <c r="AD35" i="98"/>
  <c r="AD30" i="98"/>
  <c r="AD37" i="98"/>
  <c r="AD36" i="98"/>
  <c r="AD38" i="98"/>
  <c r="AD28" i="98"/>
  <c r="AC44" i="98"/>
  <c r="AC34" i="98"/>
  <c r="AC32" i="98"/>
  <c r="AC35" i="98"/>
  <c r="AC41" i="98"/>
  <c r="AC30" i="98"/>
  <c r="AC40" i="98"/>
  <c r="AC37" i="98"/>
  <c r="AC46" i="98"/>
  <c r="AC29" i="98"/>
  <c r="AC33" i="98"/>
  <c r="AC39" i="98"/>
  <c r="AC42" i="98"/>
  <c r="AC36" i="98"/>
  <c r="AC43" i="98"/>
  <c r="AC45" i="98"/>
  <c r="AC38" i="98"/>
  <c r="AC27" i="98"/>
  <c r="AC31" i="98"/>
  <c r="AC28" i="98"/>
  <c r="P44" i="98"/>
  <c r="V35" i="98"/>
  <c r="Q30" i="98"/>
  <c r="W30" i="98" s="1"/>
  <c r="S36" i="98"/>
  <c r="T34" i="98"/>
  <c r="Q32" i="98"/>
  <c r="W32" i="98" s="1"/>
  <c r="Q38" i="98"/>
  <c r="P43" i="98"/>
  <c r="P41" i="98"/>
  <c r="S39" i="98"/>
  <c r="P31" i="98"/>
  <c r="Q19" i="98"/>
  <c r="L28" i="98"/>
  <c r="L19" i="98"/>
  <c r="L43" i="98"/>
  <c r="L18" i="98"/>
  <c r="L23" i="98"/>
  <c r="I39" i="138" s="1" a="1"/>
  <c r="I39" i="138" s="1"/>
  <c r="L22" i="98"/>
  <c r="L17" i="98"/>
  <c r="L32" i="98"/>
  <c r="L40" i="98"/>
  <c r="L25" i="98"/>
  <c r="L37" i="98"/>
  <c r="L29" i="98"/>
  <c r="L34" i="98"/>
  <c r="L30" i="98"/>
  <c r="L24" i="98"/>
  <c r="L26" i="98"/>
  <c r="L20" i="98"/>
  <c r="L21" i="98"/>
  <c r="L16" i="98"/>
  <c r="L42" i="98"/>
  <c r="K40" i="138" a="1"/>
  <c r="K40" i="138" s="1"/>
  <c r="I40" i="138" a="1"/>
  <c r="I40" i="138" s="1"/>
  <c r="R46" i="98"/>
  <c r="R45" i="98"/>
  <c r="T44" i="98"/>
  <c r="L31" i="98"/>
  <c r="Z33" i="98"/>
  <c r="L33" i="98"/>
  <c r="Y35" i="98"/>
  <c r="L35" i="98"/>
  <c r="L46" i="98"/>
  <c r="AB36" i="98"/>
  <c r="L36" i="98"/>
  <c r="L27" i="98"/>
  <c r="Z38" i="98"/>
  <c r="L38" i="98"/>
  <c r="AA39" i="98"/>
  <c r="L39" i="98"/>
  <c r="AA45" i="98"/>
  <c r="L45" i="98"/>
  <c r="AA44" i="98"/>
  <c r="L44" i="98"/>
  <c r="L41" i="98"/>
  <c r="S44" i="98"/>
  <c r="U44" i="98"/>
  <c r="V46" i="98"/>
  <c r="T46" i="98"/>
  <c r="S46" i="98"/>
  <c r="V44" i="98"/>
  <c r="U46" i="98"/>
  <c r="Y39" i="98"/>
  <c r="Z41" i="98"/>
  <c r="O44" i="98"/>
  <c r="AI44" i="98" s="1"/>
  <c r="R44" i="98"/>
  <c r="R34" i="98"/>
  <c r="P46" i="98"/>
  <c r="S34" i="98"/>
  <c r="N46" i="98"/>
  <c r="Q34" i="98"/>
  <c r="W34" i="98" s="1"/>
  <c r="AA41" i="98"/>
  <c r="N34" i="98"/>
  <c r="Y41" i="98"/>
  <c r="O34" i="98"/>
  <c r="AI34" i="98" s="1"/>
  <c r="O46" i="98"/>
  <c r="AI46" i="98" s="1"/>
  <c r="R43" i="98"/>
  <c r="Q43" i="98"/>
  <c r="W43" i="98" s="1"/>
  <c r="N43" i="98"/>
  <c r="U43" i="98"/>
  <c r="T43" i="98"/>
  <c r="O43" i="98"/>
  <c r="AI43" i="98" s="1"/>
  <c r="V43" i="98"/>
  <c r="S43" i="98"/>
  <c r="Q46" i="98"/>
  <c r="W46" i="98" s="1"/>
  <c r="P34" i="98"/>
  <c r="U34" i="98"/>
  <c r="V34" i="98"/>
  <c r="S28" i="98"/>
  <c r="N28" i="98"/>
  <c r="U26" i="98"/>
  <c r="Q26" i="98"/>
  <c r="W26" i="98" s="1"/>
  <c r="N16" i="98"/>
  <c r="X16" i="98" s="1"/>
  <c r="S16" i="98"/>
  <c r="Q16" i="98"/>
  <c r="W16" i="98" s="1"/>
  <c r="Y38" i="98"/>
  <c r="V36" i="98"/>
  <c r="O20" i="98"/>
  <c r="O26" i="98"/>
  <c r="AI26" i="98" s="1"/>
  <c r="AA38" i="98"/>
  <c r="N20" i="98"/>
  <c r="AB31" i="98"/>
  <c r="O36" i="98"/>
  <c r="AI36" i="98" s="1"/>
  <c r="AB38" i="98"/>
  <c r="S20" i="98"/>
  <c r="N26" i="98"/>
  <c r="Z46" i="98"/>
  <c r="U20" i="98"/>
  <c r="S26" i="98"/>
  <c r="Q20" i="98"/>
  <c r="W20" i="98" s="1"/>
  <c r="Z35" i="98"/>
  <c r="AB45" i="98"/>
  <c r="U28" i="98"/>
  <c r="AA35" i="98"/>
  <c r="Y44" i="98"/>
  <c r="Y36" i="98"/>
  <c r="O28" i="98"/>
  <c r="AI28" i="98" s="1"/>
  <c r="Q28" i="98"/>
  <c r="W28" i="98" s="1"/>
  <c r="AB32" i="98"/>
  <c r="Z32" i="98"/>
  <c r="AB42" i="98"/>
  <c r="Y42" i="98"/>
  <c r="Y40" i="98"/>
  <c r="AB40" i="98"/>
  <c r="O33" i="98"/>
  <c r="AI33" i="98" s="1"/>
  <c r="P33" i="98"/>
  <c r="AB35" i="98"/>
  <c r="Z37" i="98"/>
  <c r="Y37" i="98"/>
  <c r="N29" i="98"/>
  <c r="O29" i="98"/>
  <c r="AI29" i="98" s="1"/>
  <c r="V40" i="98"/>
  <c r="P40" i="98"/>
  <c r="N40" i="98"/>
  <c r="Q40" i="98"/>
  <c r="W40" i="98" s="1"/>
  <c r="R40" i="98"/>
  <c r="S40" i="98"/>
  <c r="Z43" i="98"/>
  <c r="R39" i="98"/>
  <c r="N39" i="98"/>
  <c r="AB44" i="98"/>
  <c r="Y34" i="98"/>
  <c r="AB34" i="98"/>
  <c r="T37" i="98"/>
  <c r="S37" i="98"/>
  <c r="N37" i="98"/>
  <c r="Q37" i="98"/>
  <c r="W37" i="98" s="1"/>
  <c r="U21" i="98"/>
  <c r="Q21" i="98"/>
  <c r="W21" i="98" s="1"/>
  <c r="U18" i="98"/>
  <c r="S18" i="98"/>
  <c r="V42" i="98"/>
  <c r="N42" i="98"/>
  <c r="O42" i="98"/>
  <c r="AI42" i="98" s="1"/>
  <c r="Q42" i="98"/>
  <c r="W42" i="98" s="1"/>
  <c r="R42" i="98"/>
  <c r="S42" i="98"/>
  <c r="P42" i="98"/>
  <c r="U42" i="98"/>
  <c r="T42" i="98"/>
  <c r="Z34" i="98"/>
  <c r="AA42" i="98"/>
  <c r="AA37" i="98"/>
  <c r="AB37" i="98"/>
  <c r="D58" i="138"/>
  <c r="Q33" i="98"/>
  <c r="W33" i="98" s="1"/>
  <c r="AB43" i="98"/>
  <c r="Y43" i="98"/>
  <c r="AA34" i="98"/>
  <c r="AA40" i="98"/>
  <c r="Q29" i="98"/>
  <c r="W29" i="98" s="1"/>
  <c r="Z40" i="98"/>
  <c r="AA43" i="98"/>
  <c r="Z44" i="98"/>
  <c r="Z31" i="98"/>
  <c r="P36" i="98"/>
  <c r="N27" i="98"/>
  <c r="P38" i="98"/>
  <c r="T38" i="98"/>
  <c r="S19" i="98"/>
  <c r="S38" i="98"/>
  <c r="O19" i="98"/>
  <c r="O38" i="98"/>
  <c r="AI38" i="98" s="1"/>
  <c r="O27" i="98"/>
  <c r="AI27" i="98" s="1"/>
  <c r="Y31" i="98"/>
  <c r="U38" i="98"/>
  <c r="U27" i="98"/>
  <c r="S27" i="98"/>
  <c r="N44" i="98"/>
  <c r="Q44" i="98"/>
  <c r="W44" i="98" s="1"/>
  <c r="U16" i="98"/>
  <c r="Z45" i="98"/>
  <c r="T31" i="98"/>
  <c r="O31" i="98"/>
  <c r="AI31" i="98" s="1"/>
  <c r="S31" i="98"/>
  <c r="Q23" i="98"/>
  <c r="W23" i="98" s="1"/>
  <c r="V33" i="98"/>
  <c r="S35" i="98"/>
  <c r="N24" i="98"/>
  <c r="U17" i="98"/>
  <c r="O45" i="98"/>
  <c r="AI45" i="98" s="1"/>
  <c r="Q24" i="98"/>
  <c r="W24" i="98" s="1"/>
  <c r="N41" i="98"/>
  <c r="T33" i="98"/>
  <c r="O23" i="98"/>
  <c r="AI23" i="98" s="1"/>
  <c r="N25" i="98"/>
  <c r="P32" i="98"/>
  <c r="P45" i="98"/>
  <c r="T41" i="98"/>
  <c r="T39" i="98"/>
  <c r="Y33" i="98"/>
  <c r="O21" i="98"/>
  <c r="P37" i="98"/>
  <c r="N18" i="98"/>
  <c r="S25" i="98"/>
  <c r="S45" i="98"/>
  <c r="N45" i="98"/>
  <c r="V41" i="98"/>
  <c r="AB33" i="98"/>
  <c r="O30" i="98"/>
  <c r="AI30" i="98" s="1"/>
  <c r="S33" i="98"/>
  <c r="N35" i="98"/>
  <c r="N33" i="98"/>
  <c r="U23" i="98"/>
  <c r="Q35" i="98"/>
  <c r="W35" i="98" s="1"/>
  <c r="V31" i="98"/>
  <c r="Q41" i="98"/>
  <c r="W41" i="98" s="1"/>
  <c r="U41" i="98"/>
  <c r="T32" i="98"/>
  <c r="P35" i="98"/>
  <c r="O37" i="98"/>
  <c r="AI37" i="98" s="1"/>
  <c r="N21" i="98"/>
  <c r="N32" i="98"/>
  <c r="Z39" i="98"/>
  <c r="U36" i="98"/>
  <c r="D59" i="138"/>
  <c r="N22" i="98"/>
  <c r="U29" i="98"/>
  <c r="Q25" i="98"/>
  <c r="W25" i="98" s="1"/>
  <c r="Y46" i="98"/>
  <c r="Q17" i="98"/>
  <c r="W17" i="98" s="1"/>
  <c r="N23" i="98"/>
  <c r="R32" i="98"/>
  <c r="AB39" i="98"/>
  <c r="N17" i="98"/>
  <c r="N36" i="98"/>
  <c r="V38" i="98"/>
  <c r="Z42" i="98"/>
  <c r="AA36" i="98"/>
  <c r="O24" i="98"/>
  <c r="S24" i="98"/>
  <c r="U25" i="98"/>
  <c r="O39" i="98"/>
  <c r="AI39" i="98" s="1"/>
  <c r="T40" i="98"/>
  <c r="R38" i="98"/>
  <c r="U19" i="98"/>
  <c r="O16" i="98"/>
  <c r="AI16" i="98" s="1"/>
  <c r="AA46" i="98"/>
  <c r="U45" i="98"/>
  <c r="R33" i="98"/>
  <c r="U22" i="98"/>
  <c r="V45" i="98"/>
  <c r="U30" i="98"/>
  <c r="AA31" i="98"/>
  <c r="AB41" i="98"/>
  <c r="Y45" i="98"/>
  <c r="N31" i="98"/>
  <c r="Q45" i="98"/>
  <c r="W45" i="98" s="1"/>
  <c r="U24" i="98"/>
  <c r="R35" i="98"/>
  <c r="V37" i="98"/>
  <c r="R31" i="98"/>
  <c r="T35" i="98"/>
  <c r="N30" i="98"/>
  <c r="R41" i="98"/>
  <c r="AA33" i="98"/>
  <c r="U31" i="98"/>
  <c r="U39" i="98"/>
  <c r="Z36" i="98"/>
  <c r="Q18" i="98"/>
  <c r="W18" i="98" s="1"/>
  <c r="O18" i="98"/>
  <c r="AI18" i="98" s="1"/>
  <c r="O35" i="98"/>
  <c r="AI35" i="98" s="1"/>
  <c r="S29" i="98"/>
  <c r="S21" i="98"/>
  <c r="S41" i="98"/>
  <c r="O41" i="98"/>
  <c r="AI41" i="98" s="1"/>
  <c r="S32" i="98"/>
  <c r="T45" i="98"/>
  <c r="Q31" i="98"/>
  <c r="W31" i="98" s="1"/>
  <c r="R36" i="98"/>
  <c r="P39" i="98"/>
  <c r="V32" i="98"/>
  <c r="U35" i="98"/>
  <c r="S23" i="98"/>
  <c r="U32" i="98"/>
  <c r="Q22" i="98"/>
  <c r="W22" i="98" s="1"/>
  <c r="O32" i="98"/>
  <c r="AI32" i="98" s="1"/>
  <c r="AB46" i="98"/>
  <c r="O17" i="98"/>
  <c r="S22" i="98"/>
  <c r="O25" i="98"/>
  <c r="U37" i="98"/>
  <c r="U33" i="98"/>
  <c r="Y32" i="98"/>
  <c r="Q39" i="98"/>
  <c r="W39" i="98" s="1"/>
  <c r="O40" i="98"/>
  <c r="AI40" i="98" s="1"/>
  <c r="N38" i="98"/>
  <c r="Q36" i="98"/>
  <c r="W36" i="98" s="1"/>
  <c r="N19" i="98"/>
  <c r="S17" i="98"/>
  <c r="S30" i="98"/>
  <c r="T36" i="98"/>
  <c r="V39" i="98"/>
  <c r="U40" i="98"/>
  <c r="O22" i="98"/>
  <c r="AI22" i="98" s="1"/>
  <c r="Q27" i="98"/>
  <c r="W27" i="98" s="1"/>
  <c r="AA32" i="98"/>
  <c r="R37" i="98"/>
  <c r="AB29" i="98"/>
  <c r="Z29" i="98"/>
  <c r="AA27" i="98"/>
  <c r="P28" i="98"/>
  <c r="Z27" i="98"/>
  <c r="AB28" i="98"/>
  <c r="AB27" i="98"/>
  <c r="AA29" i="98"/>
  <c r="R30" i="98"/>
  <c r="Z28" i="98"/>
  <c r="R28" i="98"/>
  <c r="T30" i="98"/>
  <c r="V29" i="98"/>
  <c r="T29" i="98"/>
  <c r="P29" i="98"/>
  <c r="T28" i="98"/>
  <c r="Z30" i="98"/>
  <c r="P30" i="98"/>
  <c r="T27" i="98"/>
  <c r="V28" i="98"/>
  <c r="P27" i="98"/>
  <c r="V30" i="98"/>
  <c r="V27" i="98"/>
  <c r="V26" i="98"/>
  <c r="T26" i="98"/>
  <c r="P26" i="98"/>
  <c r="V25" i="98"/>
  <c r="T25" i="98"/>
  <c r="T24" i="98"/>
  <c r="V24" i="98"/>
  <c r="T22" i="98"/>
  <c r="T21" i="98"/>
  <c r="T20" i="98"/>
  <c r="V20" i="98"/>
  <c r="V22" i="98"/>
  <c r="T23" i="98"/>
  <c r="V21" i="98"/>
  <c r="V23" i="98"/>
  <c r="V19" i="98"/>
  <c r="T19" i="98"/>
  <c r="R19" i="98"/>
  <c r="V17" i="98"/>
  <c r="T17" i="98"/>
  <c r="T16" i="98"/>
  <c r="V16" i="98"/>
  <c r="V18" i="98"/>
  <c r="T18" i="98"/>
  <c r="L50" i="97"/>
  <c r="K55" i="97"/>
  <c r="K19" i="97"/>
  <c r="L51" i="97"/>
  <c r="K30" i="97"/>
  <c r="K35" i="97"/>
  <c r="K54" i="97"/>
  <c r="L20" i="146"/>
  <c r="K40" i="97"/>
  <c r="L18" i="146"/>
  <c r="L22" i="146"/>
  <c r="K33" i="97"/>
  <c r="K45" i="97"/>
  <c r="K56" i="97"/>
  <c r="L49" i="97"/>
  <c r="K44" i="97"/>
  <c r="K24" i="97"/>
  <c r="K39" i="97"/>
  <c r="K46" i="97"/>
  <c r="K34" i="97"/>
  <c r="K26" i="97"/>
  <c r="K41" i="97"/>
  <c r="L53" i="97"/>
  <c r="L19" i="146"/>
  <c r="K25" i="97"/>
  <c r="K38" i="97"/>
  <c r="K31" i="97"/>
  <c r="K58" i="97"/>
  <c r="K23" i="97"/>
  <c r="K48" i="97"/>
  <c r="K21" i="97"/>
  <c r="K29" i="97"/>
  <c r="K20" i="97"/>
  <c r="K28" i="97"/>
  <c r="K43" i="97"/>
  <c r="K36" i="97"/>
  <c r="I33" i="145" l="1"/>
  <c r="H33" i="145" s="1"/>
  <c r="K107" i="97"/>
  <c r="K160" i="97"/>
  <c r="K118" i="97"/>
  <c r="K95" i="97"/>
  <c r="L29" i="146"/>
  <c r="L80" i="97"/>
  <c r="L133" i="97"/>
  <c r="L64" i="97"/>
  <c r="M109" i="97" s="1"/>
  <c r="L117" i="97"/>
  <c r="L163" i="97"/>
  <c r="L110" i="97"/>
  <c r="K37" i="97"/>
  <c r="L84" i="97"/>
  <c r="L137" i="97"/>
  <c r="K22" i="97"/>
  <c r="L119" i="97"/>
  <c r="L66" i="97"/>
  <c r="L134" i="97"/>
  <c r="L81" i="97"/>
  <c r="L82" i="97"/>
  <c r="L135" i="97"/>
  <c r="K27" i="97"/>
  <c r="L125" i="97"/>
  <c r="L72" i="97"/>
  <c r="L94" i="97"/>
  <c r="L147" i="97"/>
  <c r="K42" i="97"/>
  <c r="L90" i="97"/>
  <c r="L143" i="97"/>
  <c r="L105" i="97"/>
  <c r="L158" i="97"/>
  <c r="L98" i="97"/>
  <c r="L151" i="97"/>
  <c r="L116" i="97"/>
  <c r="L63" i="97"/>
  <c r="L145" i="97"/>
  <c r="L92" i="97"/>
  <c r="L123" i="97"/>
  <c r="L70" i="97"/>
  <c r="K57" i="97"/>
  <c r="L162" i="97" s="1"/>
  <c r="L108" i="97"/>
  <c r="L161" i="97"/>
  <c r="L140" i="97"/>
  <c r="L87" i="97"/>
  <c r="L74" i="97"/>
  <c r="L127" i="97"/>
  <c r="L129" i="97"/>
  <c r="L76" i="97"/>
  <c r="K32" i="97"/>
  <c r="L131" i="97"/>
  <c r="L78" i="97"/>
  <c r="L121" i="97"/>
  <c r="L68" i="97"/>
  <c r="L122" i="97"/>
  <c r="L69" i="97"/>
  <c r="L88" i="97"/>
  <c r="L141" i="97"/>
  <c r="K47" i="97"/>
  <c r="L149" i="97"/>
  <c r="L96" i="97"/>
  <c r="L93" i="97"/>
  <c r="L146" i="97"/>
  <c r="L75" i="97"/>
  <c r="L128" i="97"/>
  <c r="L139" i="97"/>
  <c r="L86" i="97"/>
  <c r="L106" i="97"/>
  <c r="L159" i="97"/>
  <c r="M99" i="97"/>
  <c r="M152" i="97"/>
  <c r="L52" i="97"/>
  <c r="M155" i="97"/>
  <c r="M102" i="97"/>
  <c r="M100" i="97"/>
  <c r="M153" i="97"/>
  <c r="M104" i="97"/>
  <c r="M157" i="97"/>
  <c r="M28" i="146"/>
  <c r="M39" i="146"/>
  <c r="L21" i="146"/>
  <c r="M41" i="146"/>
  <c r="M30" i="146"/>
  <c r="M43" i="146"/>
  <c r="M32" i="146"/>
  <c r="M27" i="146"/>
  <c r="M38" i="146"/>
  <c r="K65" i="97"/>
  <c r="K148" i="97"/>
  <c r="K73" i="97"/>
  <c r="K126" i="97"/>
  <c r="K144" i="97"/>
  <c r="K91" i="97"/>
  <c r="K138" i="97"/>
  <c r="K85" i="97"/>
  <c r="L103" i="97"/>
  <c r="L156" i="97"/>
  <c r="L101" i="97"/>
  <c r="L154" i="97"/>
  <c r="K13" i="97"/>
  <c r="K89" i="97"/>
  <c r="K142" i="97"/>
  <c r="K77" i="97"/>
  <c r="L14" i="97"/>
  <c r="K83" i="97"/>
  <c r="K130" i="97"/>
  <c r="K97" i="97"/>
  <c r="K150" i="97"/>
  <c r="L13" i="146"/>
  <c r="K120" i="97"/>
  <c r="K67" i="97"/>
  <c r="K136" i="97"/>
  <c r="K124" i="97"/>
  <c r="L31" i="146"/>
  <c r="L42" i="146"/>
  <c r="K71" i="97"/>
  <c r="K79" i="97"/>
  <c r="K132" i="97"/>
  <c r="L40" i="146"/>
  <c r="U74" i="138"/>
  <c r="P80" i="138"/>
  <c r="S86" i="138"/>
  <c r="V84" i="138"/>
  <c r="X74" i="138"/>
  <c r="W69" i="138"/>
  <c r="O87" i="138"/>
  <c r="R81" i="138"/>
  <c r="N80" i="138"/>
  <c r="N88" i="138"/>
  <c r="T70" i="138"/>
  <c r="T84" i="138"/>
  <c r="W74" i="138"/>
  <c r="V69" i="138"/>
  <c r="U75" i="138"/>
  <c r="R83" i="138"/>
  <c r="N82" i="138"/>
  <c r="P77" i="138"/>
  <c r="N86" i="138"/>
  <c r="T80" i="138"/>
  <c r="X81" i="138"/>
  <c r="X69" i="138"/>
  <c r="T75" i="138"/>
  <c r="T78" i="138"/>
  <c r="T79" i="138"/>
  <c r="U76" i="138"/>
  <c r="V87" i="138"/>
  <c r="O88" i="138"/>
  <c r="P86" i="138"/>
  <c r="N76" i="138"/>
  <c r="P83" i="138"/>
  <c r="S69" i="138"/>
  <c r="V81" i="138"/>
  <c r="W76" i="138"/>
  <c r="W78" i="138"/>
  <c r="U87" i="138"/>
  <c r="Q85" i="138"/>
  <c r="O79" i="138"/>
  <c r="O81" i="138"/>
  <c r="O77" i="138"/>
  <c r="S80" i="138"/>
  <c r="T77" i="138"/>
  <c r="T81" i="138"/>
  <c r="T76" i="138"/>
  <c r="W87" i="138"/>
  <c r="Q71" i="138"/>
  <c r="P82" i="138"/>
  <c r="P79" i="138"/>
  <c r="S87" i="138"/>
  <c r="T74" i="138"/>
  <c r="X82" i="138"/>
  <c r="X73" i="138"/>
  <c r="T87" i="138"/>
  <c r="S85" i="138"/>
  <c r="W82" i="138"/>
  <c r="V73" i="138"/>
  <c r="X79" i="138"/>
  <c r="U85" i="138"/>
  <c r="R70" i="138"/>
  <c r="Q88" i="138"/>
  <c r="P87" i="138"/>
  <c r="Q82" i="138"/>
  <c r="N75" i="138"/>
  <c r="R80" i="138"/>
  <c r="S78" i="138"/>
  <c r="V82" i="138"/>
  <c r="W73" i="138"/>
  <c r="U79" i="138"/>
  <c r="V85" i="138"/>
  <c r="P69" i="138"/>
  <c r="N79" i="138"/>
  <c r="Q76" i="138"/>
  <c r="T82" i="138"/>
  <c r="U73" i="138"/>
  <c r="X85" i="138"/>
  <c r="N68" i="138"/>
  <c r="P81" i="138"/>
  <c r="O85" i="138"/>
  <c r="R82" i="138"/>
  <c r="S81" i="138"/>
  <c r="X72" i="138"/>
  <c r="W85" i="138"/>
  <c r="X77" i="138"/>
  <c r="S71" i="138"/>
  <c r="V72" i="138"/>
  <c r="V77" i="138"/>
  <c r="N73" i="138"/>
  <c r="S88" i="138"/>
  <c r="W70" i="138"/>
  <c r="U88" i="138"/>
  <c r="U77" i="138"/>
  <c r="V68" i="138"/>
  <c r="N87" i="138"/>
  <c r="X80" i="138"/>
  <c r="W88" i="138"/>
  <c r="Q84" i="138"/>
  <c r="O80" i="138"/>
  <c r="O83" i="138"/>
  <c r="N85" i="138"/>
  <c r="S72" i="138"/>
  <c r="V80" i="138"/>
  <c r="V83" i="138"/>
  <c r="X86" i="138"/>
  <c r="W71" i="138"/>
  <c r="T68" i="138"/>
  <c r="R86" i="138"/>
  <c r="R74" i="138"/>
  <c r="Q86" i="138"/>
  <c r="N83" i="138"/>
  <c r="W80" i="138"/>
  <c r="T88" i="138"/>
  <c r="X71" i="138"/>
  <c r="Q78" i="138"/>
  <c r="P76" i="138"/>
  <c r="U80" i="138"/>
  <c r="U83" i="138"/>
  <c r="V86" i="138"/>
  <c r="P85" i="138"/>
  <c r="O78" i="138"/>
  <c r="Q83" i="138"/>
  <c r="S77" i="138"/>
  <c r="X84" i="138"/>
  <c r="T83" i="138"/>
  <c r="U86" i="138"/>
  <c r="U71" i="138"/>
  <c r="N84" i="138"/>
  <c r="Q77" i="138"/>
  <c r="S76" i="138"/>
  <c r="U84" i="138"/>
  <c r="T86" i="138"/>
  <c r="W75" i="138"/>
  <c r="N71" i="138"/>
  <c r="V75" i="138"/>
  <c r="R87" i="138"/>
  <c r="X76" i="138"/>
  <c r="Q73" i="138"/>
  <c r="N78" i="138"/>
  <c r="R78" i="138"/>
  <c r="S70" i="138"/>
  <c r="U81" i="138"/>
  <c r="V76" i="138"/>
  <c r="U69" i="138"/>
  <c r="X87" i="138"/>
  <c r="R75" i="138"/>
  <c r="P73" i="138"/>
  <c r="S73" i="138"/>
  <c r="W81" i="138"/>
  <c r="X78" i="138"/>
  <c r="P70" i="138"/>
  <c r="T72" i="138"/>
  <c r="P88" i="138"/>
  <c r="V78" i="138"/>
  <c r="O74" i="138"/>
  <c r="U78" i="138"/>
  <c r="R69" i="138"/>
  <c r="R77" i="138"/>
  <c r="P75" i="138"/>
  <c r="T71" i="138"/>
  <c r="T69" i="138"/>
  <c r="P78" i="138"/>
  <c r="S84" i="138"/>
  <c r="U82" i="138"/>
  <c r="W79" i="138"/>
  <c r="N70" i="138"/>
  <c r="R73" i="138"/>
  <c r="X70" i="138"/>
  <c r="T73" i="138"/>
  <c r="V79" i="138"/>
  <c r="Q69" i="138"/>
  <c r="O75" i="138"/>
  <c r="R85" i="138"/>
  <c r="O82" i="138"/>
  <c r="S75" i="138"/>
  <c r="V70" i="138"/>
  <c r="W72" i="138"/>
  <c r="X88" i="138"/>
  <c r="T85" i="138"/>
  <c r="P71" i="138"/>
  <c r="R88" i="138"/>
  <c r="Q75" i="138"/>
  <c r="O84" i="138"/>
  <c r="Q80" i="138"/>
  <c r="U70" i="138"/>
  <c r="V88" i="138"/>
  <c r="X68" i="138"/>
  <c r="R71" i="138"/>
  <c r="R76" i="138"/>
  <c r="R84" i="138"/>
  <c r="U72" i="138"/>
  <c r="N77" i="138"/>
  <c r="R79" i="138"/>
  <c r="O76" i="138"/>
  <c r="P74" i="138"/>
  <c r="S79" i="138"/>
  <c r="X83" i="138"/>
  <c r="W77" i="138"/>
  <c r="U68" i="138"/>
  <c r="N69" i="138"/>
  <c r="Q74" i="138"/>
  <c r="N74" i="138"/>
  <c r="O73" i="138"/>
  <c r="Q79" i="138"/>
  <c r="S82" i="138"/>
  <c r="W83" i="138"/>
  <c r="W68" i="138"/>
  <c r="Q87" i="138"/>
  <c r="S83" i="138"/>
  <c r="V71" i="138"/>
  <c r="N72" i="138"/>
  <c r="P84" i="138"/>
  <c r="P72" i="138"/>
  <c r="N81" i="138"/>
  <c r="O86" i="138"/>
  <c r="Q81" i="138"/>
  <c r="S74" i="138"/>
  <c r="W84" i="138"/>
  <c r="V74" i="138"/>
  <c r="W86" i="138"/>
  <c r="X75" i="138"/>
  <c r="N43" i="138" a="1"/>
  <c r="N43" i="138" s="1"/>
  <c r="N38" i="138" a="1"/>
  <c r="N38" i="138" s="1"/>
  <c r="I44" i="138" a="1"/>
  <c r="I44" i="138" s="1"/>
  <c r="AI25" i="98"/>
  <c r="I43" i="138" a="1"/>
  <c r="I43" i="138" s="1"/>
  <c r="I38" i="138" a="1"/>
  <c r="I38" i="138" s="1"/>
  <c r="AI21" i="98"/>
  <c r="AI24" i="98"/>
  <c r="AI19" i="98"/>
  <c r="AI20" i="98"/>
  <c r="AI17" i="98"/>
  <c r="W19" i="98"/>
  <c r="W38" i="98"/>
  <c r="X38" i="98"/>
  <c r="AJ38" i="98"/>
  <c r="AJ16" i="98"/>
  <c r="X37" i="98"/>
  <c r="AJ37" i="98"/>
  <c r="X29" i="98"/>
  <c r="AJ29" i="98"/>
  <c r="X31" i="98"/>
  <c r="AJ31" i="98"/>
  <c r="X35" i="98"/>
  <c r="AJ35" i="98"/>
  <c r="X25" i="98"/>
  <c r="AJ25" i="98"/>
  <c r="X20" i="98"/>
  <c r="AJ20" i="98"/>
  <c r="X42" i="98"/>
  <c r="AJ42" i="98"/>
  <c r="X36" i="98"/>
  <c r="AJ36" i="98"/>
  <c r="X27" i="98"/>
  <c r="AJ27" i="98"/>
  <c r="X30" i="98"/>
  <c r="AJ30" i="98"/>
  <c r="X17" i="98"/>
  <c r="AJ17" i="98"/>
  <c r="X40" i="98"/>
  <c r="AJ40" i="98"/>
  <c r="X23" i="98"/>
  <c r="AJ23" i="98"/>
  <c r="X44" i="98"/>
  <c r="AJ44" i="98"/>
  <c r="X34" i="98"/>
  <c r="AJ34" i="98"/>
  <c r="X33" i="98"/>
  <c r="AJ33" i="98"/>
  <c r="X26" i="98"/>
  <c r="AJ26" i="98"/>
  <c r="X28" i="98"/>
  <c r="AJ28" i="98"/>
  <c r="X22" i="98"/>
  <c r="AJ22" i="98"/>
  <c r="X46" i="98"/>
  <c r="AJ46" i="98"/>
  <c r="X41" i="98"/>
  <c r="AJ41" i="98"/>
  <c r="X32" i="98"/>
  <c r="AJ32" i="98"/>
  <c r="X39" i="98"/>
  <c r="AJ39" i="98"/>
  <c r="X45" i="98"/>
  <c r="AJ45" i="98"/>
  <c r="X24" i="98"/>
  <c r="AJ24" i="98"/>
  <c r="X21" i="98"/>
  <c r="AJ21" i="98"/>
  <c r="X43" i="98"/>
  <c r="AJ43" i="98"/>
  <c r="X19" i="98"/>
  <c r="AJ19" i="98"/>
  <c r="X18" i="98"/>
  <c r="AJ18" i="98"/>
  <c r="R29" i="98"/>
  <c r="AA30" i="98"/>
  <c r="AA28" i="98"/>
  <c r="Y28" i="98"/>
  <c r="Y27" i="98"/>
  <c r="Y29" i="98"/>
  <c r="Y30" i="98"/>
  <c r="AB30" i="98"/>
  <c r="R27" i="98"/>
  <c r="AM26" i="98"/>
  <c r="AO26" i="98"/>
  <c r="AB26" i="98"/>
  <c r="AL26" i="98"/>
  <c r="Z26" i="98"/>
  <c r="R26" i="98"/>
  <c r="Y26" i="98"/>
  <c r="AE25" i="98"/>
  <c r="AS25" i="98"/>
  <c r="AE24" i="98"/>
  <c r="R25" i="98"/>
  <c r="P25" i="98"/>
  <c r="AD23" i="98"/>
  <c r="AA25" i="98"/>
  <c r="AP23" i="98"/>
  <c r="AE22" i="98"/>
  <c r="R24" i="98"/>
  <c r="P24" i="98"/>
  <c r="AA24" i="98"/>
  <c r="AK24" i="98"/>
  <c r="AK20" i="98"/>
  <c r="R21" i="98"/>
  <c r="P21" i="98"/>
  <c r="AB20" i="98"/>
  <c r="P23" i="98"/>
  <c r="P20" i="98"/>
  <c r="AH20" i="98"/>
  <c r="Y20" i="98"/>
  <c r="AD20" i="98"/>
  <c r="AG20" i="98"/>
  <c r="R20" i="98"/>
  <c r="R23" i="98"/>
  <c r="AB23" i="98"/>
  <c r="R22" i="98"/>
  <c r="Y22" i="98"/>
  <c r="P22" i="98"/>
  <c r="AB21" i="98"/>
  <c r="AK22" i="98"/>
  <c r="AO23" i="98"/>
  <c r="AK21" i="98"/>
  <c r="P19" i="98"/>
  <c r="Z19" i="98"/>
  <c r="AO19" i="98"/>
  <c r="R18" i="98"/>
  <c r="Y16" i="98"/>
  <c r="R17" i="98"/>
  <c r="AH16" i="98"/>
  <c r="AG16" i="98"/>
  <c r="AA16" i="98"/>
  <c r="AE16" i="98"/>
  <c r="R16" i="98"/>
  <c r="P16" i="98"/>
  <c r="AD16" i="98"/>
  <c r="AB16" i="98"/>
  <c r="AC16" i="98"/>
  <c r="P18" i="98"/>
  <c r="AO16" i="98"/>
  <c r="Z16" i="98"/>
  <c r="AF16" i="98"/>
  <c r="P17" i="98"/>
  <c r="AA18" i="98"/>
  <c r="AA17" i="98"/>
  <c r="AK18" i="98"/>
  <c r="AK17" i="98"/>
  <c r="L31" i="97"/>
  <c r="L25" i="97"/>
  <c r="L39" i="97"/>
  <c r="M19" i="146"/>
  <c r="L30" i="97"/>
  <c r="L58" i="97"/>
  <c r="L34" i="97"/>
  <c r="L28" i="97"/>
  <c r="L40" i="97"/>
  <c r="L41" i="97"/>
  <c r="L20" i="97"/>
  <c r="M50" i="97"/>
  <c r="L38" i="97"/>
  <c r="M22" i="146"/>
  <c r="L24" i="97"/>
  <c r="L55" i="97"/>
  <c r="M49" i="97"/>
  <c r="L35" i="97"/>
  <c r="L45" i="97"/>
  <c r="L54" i="97"/>
  <c r="L44" i="97"/>
  <c r="L46" i="97"/>
  <c r="L23" i="97"/>
  <c r="L36" i="97"/>
  <c r="M20" i="146"/>
  <c r="L29" i="97"/>
  <c r="L48" i="97"/>
  <c r="L43" i="97"/>
  <c r="M18" i="146"/>
  <c r="L56" i="97"/>
  <c r="L26" i="97"/>
  <c r="L19" i="97"/>
  <c r="M53" i="97"/>
  <c r="L21" i="97"/>
  <c r="M51" i="97"/>
  <c r="L33" i="97"/>
  <c r="L89" i="97" l="1"/>
  <c r="L65" i="97"/>
  <c r="L118" i="97"/>
  <c r="M29" i="146"/>
  <c r="M101" i="97"/>
  <c r="M52" i="97"/>
  <c r="N155" i="97"/>
  <c r="N102" i="97"/>
  <c r="N152" i="97"/>
  <c r="N99" i="97"/>
  <c r="N157" i="97"/>
  <c r="N104" i="97"/>
  <c r="N153" i="97"/>
  <c r="N100" i="97"/>
  <c r="M139" i="97"/>
  <c r="M86" i="97"/>
  <c r="M141" i="97"/>
  <c r="M88" i="97"/>
  <c r="M135" i="97"/>
  <c r="M82" i="97"/>
  <c r="M122" i="97"/>
  <c r="M69" i="97"/>
  <c r="M74" i="97"/>
  <c r="M127" i="97"/>
  <c r="M121" i="97"/>
  <c r="M68" i="97"/>
  <c r="M93" i="97"/>
  <c r="M146" i="97"/>
  <c r="M75" i="97"/>
  <c r="M128" i="97"/>
  <c r="M80" i="97"/>
  <c r="M133" i="97"/>
  <c r="L37" i="97"/>
  <c r="M137" i="97"/>
  <c r="M84" i="97"/>
  <c r="M129" i="97"/>
  <c r="M76" i="97"/>
  <c r="M163" i="97"/>
  <c r="M110" i="97"/>
  <c r="M96" i="97"/>
  <c r="M149" i="97"/>
  <c r="L47" i="97"/>
  <c r="M106" i="97"/>
  <c r="M159" i="97"/>
  <c r="M98" i="97"/>
  <c r="M151" i="97"/>
  <c r="M81" i="97"/>
  <c r="M134" i="97"/>
  <c r="L22" i="97"/>
  <c r="M66" i="97"/>
  <c r="M119" i="97"/>
  <c r="L57" i="97"/>
  <c r="M162" i="97" s="1"/>
  <c r="M161" i="97"/>
  <c r="M108" i="97"/>
  <c r="M143" i="97"/>
  <c r="L42" i="97"/>
  <c r="M90" i="97"/>
  <c r="M78" i="97"/>
  <c r="M131" i="97"/>
  <c r="L32" i="97"/>
  <c r="M63" i="97"/>
  <c r="M116" i="97"/>
  <c r="M123" i="97"/>
  <c r="M70" i="97"/>
  <c r="M158" i="97"/>
  <c r="M105" i="97"/>
  <c r="L27" i="97"/>
  <c r="M125" i="97"/>
  <c r="M72" i="97"/>
  <c r="M140" i="97"/>
  <c r="M87" i="97"/>
  <c r="M147" i="97"/>
  <c r="M94" i="97"/>
  <c r="M117" i="97"/>
  <c r="M64" i="97"/>
  <c r="N109" i="97" s="1"/>
  <c r="M145" i="97"/>
  <c r="M92" i="97"/>
  <c r="N43" i="146"/>
  <c r="N32" i="146"/>
  <c r="N28" i="146"/>
  <c r="N39" i="146"/>
  <c r="M21" i="146"/>
  <c r="N41" i="146"/>
  <c r="N30" i="146"/>
  <c r="N38" i="146"/>
  <c r="N27" i="146"/>
  <c r="M103" i="97"/>
  <c r="M156" i="97"/>
  <c r="L142" i="97"/>
  <c r="L130" i="97"/>
  <c r="L77" i="97"/>
  <c r="L138" i="97"/>
  <c r="L85" i="97"/>
  <c r="L71" i="97"/>
  <c r="L144" i="97"/>
  <c r="L91" i="97"/>
  <c r="M14" i="97"/>
  <c r="L120" i="97"/>
  <c r="L67" i="97"/>
  <c r="M31" i="146"/>
  <c r="M42" i="146"/>
  <c r="L97" i="97"/>
  <c r="L150" i="97"/>
  <c r="L13" i="97"/>
  <c r="L107" i="97"/>
  <c r="M13" i="146"/>
  <c r="L79" i="97"/>
  <c r="L132" i="97"/>
  <c r="M154" i="97"/>
  <c r="L73" i="97"/>
  <c r="L126" i="97"/>
  <c r="M40" i="146"/>
  <c r="L83" i="97"/>
  <c r="L148" i="97"/>
  <c r="L136" i="97"/>
  <c r="L95" i="97"/>
  <c r="L124" i="97"/>
  <c r="L160" i="97"/>
  <c r="U66" i="138"/>
  <c r="O62" i="138"/>
  <c r="O68" i="138"/>
  <c r="X62" i="138"/>
  <c r="N62" i="138"/>
  <c r="P68" i="138"/>
  <c r="N61" i="138"/>
  <c r="N65" i="138"/>
  <c r="R68" i="138"/>
  <c r="R62" i="138"/>
  <c r="N63" i="138"/>
  <c r="R72" i="138"/>
  <c r="O72" i="138"/>
  <c r="Q66" i="138"/>
  <c r="O71" i="138"/>
  <c r="R63" i="138"/>
  <c r="N66" i="138"/>
  <c r="O69" i="138"/>
  <c r="N64" i="138"/>
  <c r="O70" i="138"/>
  <c r="O64" i="138"/>
  <c r="U64" i="138"/>
  <c r="Q70" i="138"/>
  <c r="Q72" i="138"/>
  <c r="R65" i="138"/>
  <c r="Q67" i="138"/>
  <c r="T65" i="138"/>
  <c r="P61" i="138"/>
  <c r="N67" i="138"/>
  <c r="W62" i="138"/>
  <c r="T62" i="138"/>
  <c r="U67" i="138"/>
  <c r="Q60" i="138"/>
  <c r="N60" i="138"/>
  <c r="K44" i="138" a="1"/>
  <c r="K44" i="138" s="1"/>
  <c r="K39" i="138" a="1"/>
  <c r="K39" i="138" s="1"/>
  <c r="N59" i="138"/>
  <c r="N58" i="138"/>
  <c r="S58" i="138"/>
  <c r="K43" i="138" a="1"/>
  <c r="K43" i="138" s="1"/>
  <c r="K38" i="138" a="1"/>
  <c r="K38" i="138" s="1"/>
  <c r="AG25" i="98"/>
  <c r="AP25" i="98"/>
  <c r="AD25" i="98"/>
  <c r="AQ25" i="98"/>
  <c r="AF25" i="98"/>
  <c r="AR25" i="98"/>
  <c r="AH25" i="98"/>
  <c r="AN26" i="98"/>
  <c r="AA26" i="98"/>
  <c r="AK26" i="98"/>
  <c r="AT25" i="98"/>
  <c r="AC26" i="98"/>
  <c r="AQ24" i="98"/>
  <c r="AP24" i="98"/>
  <c r="AS24" i="98"/>
  <c r="AD24" i="98"/>
  <c r="AG24" i="98"/>
  <c r="AR24" i="98"/>
  <c r="AH24" i="98"/>
  <c r="AT24" i="98"/>
  <c r="AF24" i="98"/>
  <c r="Y25" i="98"/>
  <c r="AM25" i="98"/>
  <c r="AR23" i="98"/>
  <c r="AG23" i="98"/>
  <c r="AH23" i="98"/>
  <c r="Z25" i="98"/>
  <c r="AS23" i="98"/>
  <c r="AF23" i="98"/>
  <c r="AE23" i="98"/>
  <c r="AC25" i="98"/>
  <c r="AN25" i="98"/>
  <c r="AB25" i="98"/>
  <c r="AK25" i="98"/>
  <c r="AO25" i="98"/>
  <c r="AL25" i="98"/>
  <c r="AQ23" i="98"/>
  <c r="AT23" i="98"/>
  <c r="AP22" i="98"/>
  <c r="AH22" i="98"/>
  <c r="AS22" i="98"/>
  <c r="AT22" i="98"/>
  <c r="AO22" i="98"/>
  <c r="AC22" i="98"/>
  <c r="AF22" i="98"/>
  <c r="AQ22" i="98"/>
  <c r="AG22" i="98"/>
  <c r="AR22" i="98"/>
  <c r="AD22" i="98"/>
  <c r="AB24" i="98"/>
  <c r="Z24" i="98"/>
  <c r="AO24" i="98"/>
  <c r="Y24" i="98"/>
  <c r="AL24" i="98"/>
  <c r="AN24" i="98"/>
  <c r="AC24" i="98"/>
  <c r="AM24" i="98"/>
  <c r="AA21" i="98"/>
  <c r="AL22" i="98"/>
  <c r="AC20" i="98"/>
  <c r="AB22" i="98"/>
  <c r="AM20" i="98"/>
  <c r="AN21" i="98"/>
  <c r="AP20" i="98"/>
  <c r="AL21" i="98"/>
  <c r="AT20" i="98"/>
  <c r="AN20" i="98"/>
  <c r="AO21" i="98"/>
  <c r="AM22" i="98"/>
  <c r="AL20" i="98"/>
  <c r="Z21" i="98"/>
  <c r="AQ20" i="98"/>
  <c r="AA20" i="98"/>
  <c r="AM21" i="98"/>
  <c r="Y21" i="98"/>
  <c r="AE20" i="98"/>
  <c r="AO20" i="98"/>
  <c r="AD21" i="98"/>
  <c r="AA23" i="98"/>
  <c r="AR20" i="98"/>
  <c r="AN22" i="98"/>
  <c r="AS21" i="98"/>
  <c r="AG21" i="98"/>
  <c r="AR21" i="98"/>
  <c r="AT21" i="98"/>
  <c r="AF21" i="98"/>
  <c r="AM23" i="98"/>
  <c r="AP21" i="98"/>
  <c r="AC21" i="98"/>
  <c r="AS20" i="98"/>
  <c r="AA22" i="98"/>
  <c r="Y23" i="98"/>
  <c r="AF20" i="98"/>
  <c r="AC23" i="98"/>
  <c r="Z20" i="98"/>
  <c r="AN23" i="98"/>
  <c r="AL23" i="98"/>
  <c r="AK23" i="98"/>
  <c r="Z23" i="98"/>
  <c r="Z22" i="98"/>
  <c r="AE21" i="98"/>
  <c r="AH21" i="98"/>
  <c r="AQ21" i="98"/>
  <c r="AK19" i="98"/>
  <c r="AB19" i="98"/>
  <c r="AQ19" i="98"/>
  <c r="AE19" i="98"/>
  <c r="AL19" i="98"/>
  <c r="AR19" i="98"/>
  <c r="AN19" i="98"/>
  <c r="Y19" i="98"/>
  <c r="AA19" i="98"/>
  <c r="AP19" i="98"/>
  <c r="AF19" i="98"/>
  <c r="AT19" i="98"/>
  <c r="AC19" i="98"/>
  <c r="AG19" i="98"/>
  <c r="AH19" i="98"/>
  <c r="AM19" i="98"/>
  <c r="AS19" i="98"/>
  <c r="AD19" i="98"/>
  <c r="AT18" i="98"/>
  <c r="AQ17" i="98"/>
  <c r="AR16" i="98"/>
  <c r="AP18" i="98"/>
  <c r="AG17" i="98"/>
  <c r="Y18" i="98"/>
  <c r="AN17" i="98"/>
  <c r="AF17" i="98"/>
  <c r="Z18" i="98"/>
  <c r="AL16" i="98"/>
  <c r="AL17" i="98"/>
  <c r="AM17" i="98"/>
  <c r="AS18" i="98"/>
  <c r="AH18" i="98"/>
  <c r="AS17" i="98"/>
  <c r="AO17" i="98"/>
  <c r="AP16" i="98"/>
  <c r="AP17" i="98"/>
  <c r="AN16" i="98"/>
  <c r="AQ18" i="98"/>
  <c r="AB18" i="98"/>
  <c r="AO18" i="98"/>
  <c r="AR18" i="98"/>
  <c r="Z17" i="98"/>
  <c r="AN18" i="98"/>
  <c r="AH17" i="98"/>
  <c r="AG18" i="98"/>
  <c r="AS16" i="98"/>
  <c r="AM18" i="98"/>
  <c r="AF18" i="98"/>
  <c r="AD17" i="98"/>
  <c r="AR17" i="98"/>
  <c r="AE18" i="98"/>
  <c r="AD18" i="98"/>
  <c r="Y17" i="98"/>
  <c r="AK16" i="98"/>
  <c r="AC17" i="98"/>
  <c r="AE17" i="98"/>
  <c r="AB17" i="98"/>
  <c r="AQ16" i="98"/>
  <c r="AT16" i="98"/>
  <c r="AT17" i="98"/>
  <c r="AL18" i="98"/>
  <c r="AC18" i="98"/>
  <c r="AM16" i="98"/>
  <c r="M35" i="97"/>
  <c r="M19" i="97"/>
  <c r="M40" i="97"/>
  <c r="M26" i="97"/>
  <c r="N50" i="97"/>
  <c r="M41" i="97"/>
  <c r="M36" i="97"/>
  <c r="M45" i="97"/>
  <c r="N53" i="97"/>
  <c r="M44" i="97"/>
  <c r="M43" i="97"/>
  <c r="M21" i="97"/>
  <c r="M31" i="97"/>
  <c r="M20" i="97"/>
  <c r="M48" i="97"/>
  <c r="M46" i="97"/>
  <c r="M39" i="97"/>
  <c r="M56" i="97"/>
  <c r="M23" i="97"/>
  <c r="N18" i="146"/>
  <c r="M25" i="97"/>
  <c r="N22" i="146"/>
  <c r="M58" i="97"/>
  <c r="M55" i="97"/>
  <c r="M24" i="97"/>
  <c r="M29" i="97"/>
  <c r="N19" i="146"/>
  <c r="N20" i="146"/>
  <c r="M34" i="97"/>
  <c r="M38" i="97"/>
  <c r="M33" i="97"/>
  <c r="M28" i="97"/>
  <c r="M30" i="97"/>
  <c r="N49" i="97"/>
  <c r="M54" i="97"/>
  <c r="N51" i="97"/>
  <c r="M124" i="97" l="1"/>
  <c r="M118" i="97"/>
  <c r="N40" i="146"/>
  <c r="M136" i="97"/>
  <c r="M71" i="97"/>
  <c r="M142" i="97"/>
  <c r="M107" i="97"/>
  <c r="N29" i="146"/>
  <c r="M89" i="97"/>
  <c r="M95" i="97"/>
  <c r="N147" i="97"/>
  <c r="N94" i="97"/>
  <c r="M22" i="97"/>
  <c r="N66" i="97"/>
  <c r="N119" i="97"/>
  <c r="N63" i="97"/>
  <c r="N116" i="97"/>
  <c r="N134" i="97"/>
  <c r="N81" i="97"/>
  <c r="N161" i="97"/>
  <c r="M57" i="97"/>
  <c r="N162" i="97" s="1"/>
  <c r="N108" i="97"/>
  <c r="N76" i="97"/>
  <c r="N129" i="97"/>
  <c r="N151" i="97"/>
  <c r="N98" i="97"/>
  <c r="N145" i="97"/>
  <c r="N92" i="97"/>
  <c r="N122" i="97"/>
  <c r="N69" i="97"/>
  <c r="N121" i="97"/>
  <c r="N68" i="97"/>
  <c r="N135" i="97"/>
  <c r="N82" i="97"/>
  <c r="M37" i="97"/>
  <c r="N84" i="97"/>
  <c r="N137" i="97"/>
  <c r="M47" i="97"/>
  <c r="N96" i="97"/>
  <c r="N149" i="97"/>
  <c r="N146" i="97"/>
  <c r="N93" i="97"/>
  <c r="N158" i="97"/>
  <c r="N105" i="97"/>
  <c r="M42" i="97"/>
  <c r="N90" i="97"/>
  <c r="N143" i="97"/>
  <c r="N70" i="97"/>
  <c r="N123" i="97"/>
  <c r="N74" i="97"/>
  <c r="N127" i="97"/>
  <c r="N159" i="97"/>
  <c r="N106" i="97"/>
  <c r="N80" i="97"/>
  <c r="N133" i="97"/>
  <c r="N125" i="97"/>
  <c r="N72" i="97"/>
  <c r="M27" i="97"/>
  <c r="N117" i="97"/>
  <c r="N64" i="97"/>
  <c r="O109" i="97" s="1"/>
  <c r="N140" i="97"/>
  <c r="N87" i="97"/>
  <c r="N128" i="97"/>
  <c r="N75" i="97"/>
  <c r="N78" i="97"/>
  <c r="N131" i="97"/>
  <c r="M32" i="97"/>
  <c r="N110" i="97"/>
  <c r="N163" i="97"/>
  <c r="N141" i="97"/>
  <c r="N88" i="97"/>
  <c r="N86" i="97"/>
  <c r="N139" i="97"/>
  <c r="N52" i="97"/>
  <c r="O102" i="97"/>
  <c r="O155" i="97"/>
  <c r="O153" i="97"/>
  <c r="O100" i="97"/>
  <c r="O99" i="97"/>
  <c r="O152" i="97"/>
  <c r="O104" i="97"/>
  <c r="O157" i="97"/>
  <c r="O32" i="146"/>
  <c r="O43" i="146"/>
  <c r="O39" i="146"/>
  <c r="O28" i="146"/>
  <c r="N21" i="146"/>
  <c r="O41" i="146"/>
  <c r="O30" i="146"/>
  <c r="O27" i="146"/>
  <c r="O38" i="146"/>
  <c r="M73" i="97"/>
  <c r="M126" i="97"/>
  <c r="M13" i="97"/>
  <c r="M160" i="97"/>
  <c r="M97" i="97"/>
  <c r="M150" i="97"/>
  <c r="M65" i="97"/>
  <c r="N42" i="146"/>
  <c r="N31" i="146"/>
  <c r="M132" i="97"/>
  <c r="M79" i="97"/>
  <c r="N14" i="97"/>
  <c r="M144" i="97"/>
  <c r="M91" i="97"/>
  <c r="M138" i="97"/>
  <c r="M85" i="97"/>
  <c r="N101" i="97"/>
  <c r="N154" i="97"/>
  <c r="M130" i="97"/>
  <c r="M77" i="97"/>
  <c r="M120" i="97"/>
  <c r="M67" i="97"/>
  <c r="M83" i="97"/>
  <c r="N13" i="146"/>
  <c r="M148" i="97"/>
  <c r="N103" i="97"/>
  <c r="N156" i="97"/>
  <c r="Q65" i="138"/>
  <c r="S64" i="138"/>
  <c r="O67" i="138"/>
  <c r="P62" i="138"/>
  <c r="S65" i="138"/>
  <c r="V62" i="138"/>
  <c r="Q64" i="138"/>
  <c r="O63" i="138"/>
  <c r="S62" i="138"/>
  <c r="T66" i="138"/>
  <c r="Q62" i="138"/>
  <c r="S66" i="138"/>
  <c r="S68" i="138"/>
  <c r="R67" i="138"/>
  <c r="U63" i="138"/>
  <c r="O66" i="138"/>
  <c r="W61" i="138"/>
  <c r="X67" i="138"/>
  <c r="S61" i="138"/>
  <c r="V61" i="138"/>
  <c r="Q61" i="138"/>
  <c r="X65" i="138"/>
  <c r="T63" i="138"/>
  <c r="R61" i="138"/>
  <c r="V66" i="138"/>
  <c r="U61" i="138"/>
  <c r="R64" i="138"/>
  <c r="X66" i="138"/>
  <c r="U62" i="138"/>
  <c r="X64" i="138"/>
  <c r="O65" i="138"/>
  <c r="T61" i="138"/>
  <c r="W66" i="138"/>
  <c r="S63" i="138"/>
  <c r="Q63" i="138"/>
  <c r="V63" i="138"/>
  <c r="X63" i="138"/>
  <c r="P63" i="138"/>
  <c r="S67" i="138"/>
  <c r="Q68" i="138"/>
  <c r="X61" i="138"/>
  <c r="W63" i="138"/>
  <c r="U65" i="138"/>
  <c r="P66" i="138"/>
  <c r="V65" i="138"/>
  <c r="R66" i="138"/>
  <c r="P64" i="138"/>
  <c r="T64" i="138"/>
  <c r="P67" i="138"/>
  <c r="V67" i="138"/>
  <c r="P65" i="138"/>
  <c r="O61" i="138"/>
  <c r="W64" i="138"/>
  <c r="W65" i="138"/>
  <c r="T67" i="138"/>
  <c r="V64" i="138"/>
  <c r="W67" i="138"/>
  <c r="P60" i="138"/>
  <c r="X60" i="138"/>
  <c r="W60" i="138"/>
  <c r="T60" i="138"/>
  <c r="R60" i="138"/>
  <c r="V60" i="138"/>
  <c r="O60" i="138"/>
  <c r="U60" i="138"/>
  <c r="S60" i="138"/>
  <c r="T58" i="138"/>
  <c r="Q59" i="138"/>
  <c r="P59" i="138"/>
  <c r="Q58" i="138"/>
  <c r="P58" i="138"/>
  <c r="O58" i="138"/>
  <c r="R59" i="138"/>
  <c r="S59" i="138"/>
  <c r="U59" i="138"/>
  <c r="W59" i="138"/>
  <c r="V59" i="138"/>
  <c r="T59" i="138"/>
  <c r="X59" i="138"/>
  <c r="O59" i="138"/>
  <c r="R58" i="138"/>
  <c r="X58" i="138"/>
  <c r="U58" i="138"/>
  <c r="W58" i="138"/>
  <c r="V58" i="138"/>
  <c r="N46" i="97"/>
  <c r="N41" i="97"/>
  <c r="N58" i="97"/>
  <c r="O51" i="97"/>
  <c r="O53" i="97"/>
  <c r="N48" i="97"/>
  <c r="O18" i="146"/>
  <c r="O22" i="146"/>
  <c r="N31" i="97"/>
  <c r="N56" i="97"/>
  <c r="N34" i="97"/>
  <c r="O49" i="97"/>
  <c r="N24" i="97"/>
  <c r="N28" i="97"/>
  <c r="O20" i="146"/>
  <c r="N35" i="97"/>
  <c r="N26" i="97"/>
  <c r="N30" i="97"/>
  <c r="O50" i="97"/>
  <c r="N33" i="97"/>
  <c r="N23" i="97"/>
  <c r="N36" i="97"/>
  <c r="N54" i="97"/>
  <c r="N38" i="97"/>
  <c r="N29" i="97"/>
  <c r="N21" i="97"/>
  <c r="N25" i="97"/>
  <c r="N40" i="97"/>
  <c r="N19" i="97"/>
  <c r="N43" i="97"/>
  <c r="N55" i="97"/>
  <c r="N39" i="97"/>
  <c r="N44" i="97"/>
  <c r="N20" i="97"/>
  <c r="O19" i="146"/>
  <c r="N45" i="97"/>
  <c r="N95" i="97" l="1"/>
  <c r="N136" i="97"/>
  <c r="N83" i="97"/>
  <c r="O29" i="146"/>
  <c r="N124" i="97"/>
  <c r="O101" i="97"/>
  <c r="N71" i="97"/>
  <c r="N118" i="97"/>
  <c r="O40" i="146"/>
  <c r="O154" i="97"/>
  <c r="P104" i="97"/>
  <c r="P157" i="97"/>
  <c r="P100" i="97"/>
  <c r="P153" i="97"/>
  <c r="P152" i="97"/>
  <c r="P99" i="97"/>
  <c r="P155" i="97"/>
  <c r="P102" i="97"/>
  <c r="O52" i="97"/>
  <c r="P32" i="146"/>
  <c r="P43" i="146"/>
  <c r="P39" i="146"/>
  <c r="P28" i="146"/>
  <c r="P27" i="146"/>
  <c r="P38" i="146"/>
  <c r="O21" i="146"/>
  <c r="P30" i="146"/>
  <c r="P41" i="146"/>
  <c r="O140" i="97"/>
  <c r="O87" i="97"/>
  <c r="O81" i="97"/>
  <c r="O134" i="97"/>
  <c r="O163" i="97"/>
  <c r="O110" i="97"/>
  <c r="O151" i="97"/>
  <c r="O98" i="97"/>
  <c r="O84" i="97"/>
  <c r="N37" i="97"/>
  <c r="O137" i="97"/>
  <c r="O145" i="97"/>
  <c r="O92" i="97"/>
  <c r="O158" i="97"/>
  <c r="O105" i="97"/>
  <c r="O82" i="97"/>
  <c r="O135" i="97"/>
  <c r="O78" i="97"/>
  <c r="O131" i="97"/>
  <c r="N32" i="97"/>
  <c r="O146" i="97"/>
  <c r="O93" i="97"/>
  <c r="O139" i="97"/>
  <c r="O86" i="97"/>
  <c r="O127" i="97"/>
  <c r="O74" i="97"/>
  <c r="O129" i="97"/>
  <c r="O76" i="97"/>
  <c r="O121" i="97"/>
  <c r="O68" i="97"/>
  <c r="O70" i="97"/>
  <c r="O123" i="97"/>
  <c r="O147" i="97"/>
  <c r="O94" i="97"/>
  <c r="N57" i="97"/>
  <c r="O162" i="97" s="1"/>
  <c r="O108" i="97"/>
  <c r="O161" i="97"/>
  <c r="O69" i="97"/>
  <c r="O122" i="97"/>
  <c r="N42" i="97"/>
  <c r="O143" i="97"/>
  <c r="O90" i="97"/>
  <c r="N22" i="97"/>
  <c r="O119" i="97"/>
  <c r="O66" i="97"/>
  <c r="O117" i="97"/>
  <c r="O64" i="97"/>
  <c r="P109" i="97" s="1"/>
  <c r="O96" i="97"/>
  <c r="O149" i="97"/>
  <c r="N47" i="97"/>
  <c r="O133" i="97"/>
  <c r="O80" i="97"/>
  <c r="O128" i="97"/>
  <c r="O75" i="97"/>
  <c r="O141" i="97"/>
  <c r="O88" i="97"/>
  <c r="O159" i="97"/>
  <c r="O106" i="97"/>
  <c r="N27" i="97"/>
  <c r="O125" i="97"/>
  <c r="O72" i="97"/>
  <c r="O63" i="97"/>
  <c r="O116" i="97"/>
  <c r="O103" i="97"/>
  <c r="O156" i="97"/>
  <c r="N91" i="97"/>
  <c r="N144" i="97"/>
  <c r="N77" i="97"/>
  <c r="N89" i="97"/>
  <c r="N85" i="97"/>
  <c r="N138" i="97"/>
  <c r="N67" i="97"/>
  <c r="N120" i="97"/>
  <c r="O42" i="146"/>
  <c r="O31" i="146"/>
  <c r="N160" i="97"/>
  <c r="O14" i="97"/>
  <c r="N148" i="97"/>
  <c r="N65" i="97"/>
  <c r="O13" i="146"/>
  <c r="N13" i="97"/>
  <c r="N132" i="97"/>
  <c r="N79" i="97"/>
  <c r="N107" i="97"/>
  <c r="N130" i="97"/>
  <c r="N142" i="97"/>
  <c r="N97" i="97"/>
  <c r="N150" i="97"/>
  <c r="N126" i="97"/>
  <c r="N73" i="97"/>
  <c r="O56" i="97"/>
  <c r="O30" i="97"/>
  <c r="O46" i="97"/>
  <c r="O58" i="97"/>
  <c r="O20" i="97"/>
  <c r="P50" i="97"/>
  <c r="O39" i="97"/>
  <c r="O33" i="97"/>
  <c r="O41" i="97"/>
  <c r="O55" i="97"/>
  <c r="O38" i="97"/>
  <c r="O19" i="97"/>
  <c r="O28" i="97"/>
  <c r="O26" i="97"/>
  <c r="P53" i="97"/>
  <c r="P19" i="146"/>
  <c r="P20" i="146"/>
  <c r="O34" i="97"/>
  <c r="O44" i="97"/>
  <c r="O48" i="97"/>
  <c r="O21" i="97"/>
  <c r="O25" i="97"/>
  <c r="P49" i="97"/>
  <c r="O43" i="97"/>
  <c r="O35" i="97"/>
  <c r="O54" i="97"/>
  <c r="O40" i="97"/>
  <c r="P18" i="146"/>
  <c r="O36" i="97"/>
  <c r="P22" i="146"/>
  <c r="O31" i="97"/>
  <c r="P51" i="97"/>
  <c r="O29" i="97"/>
  <c r="O24" i="97"/>
  <c r="O45" i="97"/>
  <c r="O23" i="97"/>
  <c r="O71" i="97" l="1"/>
  <c r="O107" i="97"/>
  <c r="P40" i="146"/>
  <c r="O148" i="97"/>
  <c r="O95" i="97"/>
  <c r="P29" i="146"/>
  <c r="O89" i="97"/>
  <c r="O160" i="97"/>
  <c r="O83" i="97"/>
  <c r="O77" i="97"/>
  <c r="P101" i="97"/>
  <c r="O136" i="97"/>
  <c r="P80" i="97"/>
  <c r="P133" i="97"/>
  <c r="P75" i="97"/>
  <c r="P128" i="97"/>
  <c r="P68" i="97"/>
  <c r="P121" i="97"/>
  <c r="O32" i="97"/>
  <c r="P78" i="97"/>
  <c r="P131" i="97"/>
  <c r="P141" i="97"/>
  <c r="P88" i="97"/>
  <c r="P64" i="97"/>
  <c r="Q109" i="97" s="1"/>
  <c r="P117" i="97"/>
  <c r="P129" i="97"/>
  <c r="P76" i="97"/>
  <c r="P122" i="97"/>
  <c r="P69" i="97"/>
  <c r="P151" i="97"/>
  <c r="P98" i="97"/>
  <c r="P87" i="97"/>
  <c r="P140" i="97"/>
  <c r="P139" i="97"/>
  <c r="P86" i="97"/>
  <c r="P127" i="97"/>
  <c r="P74" i="97"/>
  <c r="P125" i="97"/>
  <c r="O27" i="97"/>
  <c r="P72" i="97"/>
  <c r="P163" i="97"/>
  <c r="P110" i="97"/>
  <c r="P105" i="97"/>
  <c r="P158" i="97"/>
  <c r="P63" i="97"/>
  <c r="P116" i="97"/>
  <c r="P81" i="97"/>
  <c r="P134" i="97"/>
  <c r="O57" i="97"/>
  <c r="P162" i="97" s="1"/>
  <c r="P108" i="97"/>
  <c r="P161" i="97"/>
  <c r="P145" i="97"/>
  <c r="P92" i="97"/>
  <c r="P135" i="97"/>
  <c r="P82" i="97"/>
  <c r="O47" i="97"/>
  <c r="P149" i="97"/>
  <c r="P96" i="97"/>
  <c r="P94" i="97"/>
  <c r="P147" i="97"/>
  <c r="O37" i="97"/>
  <c r="P137" i="97"/>
  <c r="P84" i="97"/>
  <c r="P146" i="97"/>
  <c r="P93" i="97"/>
  <c r="O22" i="97"/>
  <c r="P119" i="97"/>
  <c r="P66" i="97"/>
  <c r="P143" i="97"/>
  <c r="P90" i="97"/>
  <c r="O42" i="97"/>
  <c r="P106" i="97"/>
  <c r="P159" i="97"/>
  <c r="P123" i="97"/>
  <c r="P70" i="97"/>
  <c r="Q100" i="97"/>
  <c r="Q153" i="97"/>
  <c r="P52" i="97"/>
  <c r="Q102" i="97"/>
  <c r="Q155" i="97"/>
  <c r="Q99" i="97"/>
  <c r="Q152" i="97"/>
  <c r="Q104" i="97"/>
  <c r="Q157" i="97"/>
  <c r="Q32" i="146"/>
  <c r="Q43" i="146"/>
  <c r="P21" i="146"/>
  <c r="Q41" i="146"/>
  <c r="Q30" i="146"/>
  <c r="Q38" i="146"/>
  <c r="Q27" i="146"/>
  <c r="Q28" i="146"/>
  <c r="Q39" i="146"/>
  <c r="O13" i="97"/>
  <c r="O142" i="97"/>
  <c r="O67" i="97"/>
  <c r="O120" i="97"/>
  <c r="P31" i="146"/>
  <c r="P42" i="146"/>
  <c r="O118" i="97"/>
  <c r="P14" i="97"/>
  <c r="O91" i="97"/>
  <c r="O144" i="97"/>
  <c r="P103" i="97"/>
  <c r="P156" i="97"/>
  <c r="O138" i="97"/>
  <c r="O85" i="97"/>
  <c r="O79" i="97"/>
  <c r="O132" i="97"/>
  <c r="O65" i="97"/>
  <c r="O124" i="97"/>
  <c r="O130" i="97"/>
  <c r="P13" i="146"/>
  <c r="O126" i="97"/>
  <c r="O73" i="97"/>
  <c r="P154" i="97"/>
  <c r="O150" i="97"/>
  <c r="O97" i="97"/>
  <c r="Q18" i="146"/>
  <c r="P36" i="97"/>
  <c r="P43" i="97"/>
  <c r="Q53" i="97"/>
  <c r="P28" i="97"/>
  <c r="P35" i="97"/>
  <c r="Q19" i="146"/>
  <c r="Q51" i="97"/>
  <c r="Q49" i="97"/>
  <c r="P48" i="97"/>
  <c r="P29" i="97"/>
  <c r="P45" i="97"/>
  <c r="P23" i="97"/>
  <c r="P25" i="97"/>
  <c r="P31" i="97"/>
  <c r="P39" i="97"/>
  <c r="P58" i="97"/>
  <c r="P20" i="97"/>
  <c r="P40" i="97"/>
  <c r="P21" i="97"/>
  <c r="P38" i="97"/>
  <c r="P46" i="97"/>
  <c r="P55" i="97"/>
  <c r="Q22" i="146"/>
  <c r="P26" i="97"/>
  <c r="P44" i="97"/>
  <c r="Q50" i="97"/>
  <c r="P24" i="97"/>
  <c r="P34" i="97"/>
  <c r="P56" i="97"/>
  <c r="P41" i="97"/>
  <c r="P30" i="97"/>
  <c r="P33" i="97"/>
  <c r="P19" i="97"/>
  <c r="P54" i="97"/>
  <c r="Q20" i="146"/>
  <c r="P95" i="97" l="1"/>
  <c r="P148" i="97"/>
  <c r="P142" i="97"/>
  <c r="P89" i="97"/>
  <c r="R152" i="97"/>
  <c r="R99" i="97"/>
  <c r="R104" i="97"/>
  <c r="R157" i="97"/>
  <c r="Q52" i="97"/>
  <c r="R102" i="97"/>
  <c r="R155" i="97"/>
  <c r="R100" i="97"/>
  <c r="R153" i="97"/>
  <c r="R28" i="146"/>
  <c r="R39" i="146"/>
  <c r="R32" i="146"/>
  <c r="R43" i="146"/>
  <c r="Q21" i="146"/>
  <c r="R41" i="146"/>
  <c r="R30" i="146"/>
  <c r="R38" i="146"/>
  <c r="R27" i="146"/>
  <c r="Q121" i="97"/>
  <c r="Q68" i="97"/>
  <c r="Q70" i="97"/>
  <c r="Q123" i="97"/>
  <c r="Q88" i="97"/>
  <c r="Q141" i="97"/>
  <c r="Q135" i="97"/>
  <c r="Q82" i="97"/>
  <c r="Q145" i="97"/>
  <c r="Q92" i="97"/>
  <c r="Q140" i="97"/>
  <c r="Q87" i="97"/>
  <c r="Q69" i="97"/>
  <c r="Q122" i="97"/>
  <c r="Q163" i="97"/>
  <c r="Q110" i="97"/>
  <c r="P47" i="97"/>
  <c r="Q96" i="97"/>
  <c r="Q149" i="97"/>
  <c r="Q98" i="97"/>
  <c r="Q151" i="97"/>
  <c r="Q64" i="97"/>
  <c r="R109" i="97" s="1"/>
  <c r="Q117" i="97"/>
  <c r="Q116" i="97"/>
  <c r="Q63" i="97"/>
  <c r="Q74" i="97"/>
  <c r="Q127" i="97"/>
  <c r="Q161" i="97"/>
  <c r="P57" i="97"/>
  <c r="Q162" i="97" s="1"/>
  <c r="Q108" i="97"/>
  <c r="P37" i="97"/>
  <c r="Q137" i="97"/>
  <c r="Q84" i="97"/>
  <c r="Q80" i="97"/>
  <c r="Q133" i="97"/>
  <c r="Q94" i="97"/>
  <c r="Q147" i="97"/>
  <c r="Q93" i="97"/>
  <c r="Q146" i="97"/>
  <c r="P42" i="97"/>
  <c r="Q90" i="97"/>
  <c r="Q143" i="97"/>
  <c r="Q158" i="97"/>
  <c r="Q105" i="97"/>
  <c r="Q159" i="97"/>
  <c r="Q106" i="97"/>
  <c r="Q76" i="97"/>
  <c r="Q129" i="97"/>
  <c r="Q66" i="97"/>
  <c r="Q119" i="97"/>
  <c r="P22" i="97"/>
  <c r="P32" i="97"/>
  <c r="Q78" i="97"/>
  <c r="Q131" i="97"/>
  <c r="Q139" i="97"/>
  <c r="Q86" i="97"/>
  <c r="Q125" i="97"/>
  <c r="Q72" i="97"/>
  <c r="P27" i="97"/>
  <c r="Q81" i="97"/>
  <c r="Q134" i="97"/>
  <c r="Q128" i="97"/>
  <c r="Q75" i="97"/>
  <c r="Q103" i="97"/>
  <c r="Q156" i="97"/>
  <c r="P97" i="97"/>
  <c r="P150" i="97"/>
  <c r="Q29" i="146"/>
  <c r="Q40" i="146"/>
  <c r="P120" i="97"/>
  <c r="P67" i="97"/>
  <c r="Q31" i="146"/>
  <c r="Q42" i="146"/>
  <c r="P107" i="97"/>
  <c r="P126" i="97"/>
  <c r="P73" i="97"/>
  <c r="Q154" i="97"/>
  <c r="Q14" i="97"/>
  <c r="P77" i="97"/>
  <c r="P124" i="97"/>
  <c r="P144" i="97"/>
  <c r="P91" i="97"/>
  <c r="P136" i="97"/>
  <c r="P83" i="97"/>
  <c r="P65" i="97"/>
  <c r="P160" i="97"/>
  <c r="P132" i="97"/>
  <c r="P79" i="97"/>
  <c r="P130" i="97"/>
  <c r="Q13" i="146"/>
  <c r="P71" i="97"/>
  <c r="P13" i="97"/>
  <c r="P118" i="97"/>
  <c r="P138" i="97"/>
  <c r="P85" i="97"/>
  <c r="Q101" i="97"/>
  <c r="Q45" i="97"/>
  <c r="Q23" i="97"/>
  <c r="Q35" i="97"/>
  <c r="R18" i="146"/>
  <c r="Q31" i="97"/>
  <c r="R19" i="146"/>
  <c r="Q33" i="97"/>
  <c r="Q19" i="97"/>
  <c r="Q39" i="97"/>
  <c r="Q44" i="97"/>
  <c r="R22" i="146"/>
  <c r="Q41" i="97"/>
  <c r="Q28" i="97"/>
  <c r="R20" i="146"/>
  <c r="Q34" i="97"/>
  <c r="Q21" i="97"/>
  <c r="Q46" i="97"/>
  <c r="Q38" i="97"/>
  <c r="Q58" i="97"/>
  <c r="Q30" i="97"/>
  <c r="Q40" i="97"/>
  <c r="R49" i="97"/>
  <c r="R50" i="97"/>
  <c r="Q36" i="97"/>
  <c r="Q54" i="97"/>
  <c r="Q20" i="97"/>
  <c r="Q48" i="97"/>
  <c r="Q26" i="97"/>
  <c r="R51" i="97"/>
  <c r="Q29" i="97"/>
  <c r="Q24" i="97"/>
  <c r="R53" i="97"/>
  <c r="Q43" i="97"/>
  <c r="Q55" i="97"/>
  <c r="Q25" i="97"/>
  <c r="Q56" i="97"/>
  <c r="Q136" i="97" l="1"/>
  <c r="R29" i="146"/>
  <c r="Q83" i="97"/>
  <c r="R40" i="146"/>
  <c r="Q95" i="97"/>
  <c r="Q118" i="97"/>
  <c r="Q89" i="97"/>
  <c r="Q142" i="97"/>
  <c r="Q65" i="97"/>
  <c r="S102" i="97"/>
  <c r="R52" i="97"/>
  <c r="S155" i="97"/>
  <c r="S104" i="97"/>
  <c r="S157" i="97"/>
  <c r="S100" i="97"/>
  <c r="S153" i="97"/>
  <c r="S152" i="97"/>
  <c r="S99" i="97"/>
  <c r="S38" i="146"/>
  <c r="S27" i="146"/>
  <c r="S28" i="146"/>
  <c r="S39" i="146"/>
  <c r="S43" i="146"/>
  <c r="S32" i="146"/>
  <c r="R21" i="146"/>
  <c r="S41" i="146"/>
  <c r="S30" i="146"/>
  <c r="R69" i="97"/>
  <c r="R122" i="97"/>
  <c r="R145" i="97"/>
  <c r="R92" i="97"/>
  <c r="R125" i="97"/>
  <c r="R72" i="97"/>
  <c r="Q27" i="97"/>
  <c r="R134" i="97"/>
  <c r="R81" i="97"/>
  <c r="R105" i="97"/>
  <c r="R158" i="97"/>
  <c r="Q42" i="97"/>
  <c r="R90" i="97"/>
  <c r="R143" i="97"/>
  <c r="R133" i="97"/>
  <c r="R80" i="97"/>
  <c r="R163" i="97"/>
  <c r="R110" i="97"/>
  <c r="R141" i="97"/>
  <c r="R88" i="97"/>
  <c r="R106" i="97"/>
  <c r="R159" i="97"/>
  <c r="R68" i="97"/>
  <c r="R121" i="97"/>
  <c r="R76" i="97"/>
  <c r="R129" i="97"/>
  <c r="R63" i="97"/>
  <c r="R116" i="97"/>
  <c r="R140" i="97"/>
  <c r="R87" i="97"/>
  <c r="Q22" i="97"/>
  <c r="R119" i="97"/>
  <c r="R66" i="97"/>
  <c r="Q32" i="97"/>
  <c r="R131" i="97"/>
  <c r="R78" i="97"/>
  <c r="R75" i="97"/>
  <c r="R128" i="97"/>
  <c r="R117" i="97"/>
  <c r="R64" i="97"/>
  <c r="S109" i="97" s="1"/>
  <c r="R135" i="97"/>
  <c r="R82" i="97"/>
  <c r="R86" i="97"/>
  <c r="R139" i="97"/>
  <c r="R146" i="97"/>
  <c r="R93" i="97"/>
  <c r="R151" i="97"/>
  <c r="R98" i="97"/>
  <c r="Q37" i="97"/>
  <c r="R137" i="97"/>
  <c r="R84" i="97"/>
  <c r="R94" i="97"/>
  <c r="R147" i="97"/>
  <c r="R127" i="97"/>
  <c r="R74" i="97"/>
  <c r="Q57" i="97"/>
  <c r="R162" i="97" s="1"/>
  <c r="R161" i="97"/>
  <c r="R108" i="97"/>
  <c r="Q47" i="97"/>
  <c r="R149" i="97"/>
  <c r="R96" i="97"/>
  <c r="R70" i="97"/>
  <c r="R123" i="97"/>
  <c r="Q107" i="97"/>
  <c r="Q160" i="97"/>
  <c r="R42" i="146"/>
  <c r="R31" i="146"/>
  <c r="R14" i="97"/>
  <c r="Q71" i="97"/>
  <c r="Q138" i="97"/>
  <c r="Q85" i="97"/>
  <c r="R13" i="146"/>
  <c r="Q67" i="97"/>
  <c r="Q120" i="97"/>
  <c r="Q130" i="97"/>
  <c r="Q144" i="97"/>
  <c r="Q91" i="97"/>
  <c r="Q97" i="97"/>
  <c r="Q150" i="97"/>
  <c r="R101" i="97"/>
  <c r="Q77" i="97"/>
  <c r="Q148" i="97"/>
  <c r="Q73" i="97"/>
  <c r="Q126" i="97"/>
  <c r="Q124" i="97"/>
  <c r="Q13" i="97"/>
  <c r="R156" i="97"/>
  <c r="R103" i="97"/>
  <c r="Q79" i="97"/>
  <c r="Q132" i="97"/>
  <c r="R154" i="97"/>
  <c r="R46" i="97"/>
  <c r="R25" i="97"/>
  <c r="S18" i="146"/>
  <c r="R21" i="97"/>
  <c r="R39" i="97"/>
  <c r="R56" i="97"/>
  <c r="R26" i="97"/>
  <c r="R28" i="97"/>
  <c r="R58" i="97"/>
  <c r="R34" i="97"/>
  <c r="R29" i="97"/>
  <c r="R23" i="97"/>
  <c r="R54" i="97"/>
  <c r="S49" i="97"/>
  <c r="R30" i="97"/>
  <c r="R41" i="97"/>
  <c r="R35" i="97"/>
  <c r="R48" i="97"/>
  <c r="S53" i="97"/>
  <c r="R19" i="97"/>
  <c r="R36" i="97"/>
  <c r="R40" i="97"/>
  <c r="R43" i="97"/>
  <c r="R38" i="97"/>
  <c r="R55" i="97"/>
  <c r="S51" i="97"/>
  <c r="R44" i="97"/>
  <c r="S22" i="146"/>
  <c r="R45" i="97"/>
  <c r="S50" i="97"/>
  <c r="R20" i="97"/>
  <c r="R24" i="97"/>
  <c r="R33" i="97"/>
  <c r="S19" i="146"/>
  <c r="R31" i="97"/>
  <c r="S20" i="146"/>
  <c r="S101" i="97" l="1"/>
  <c r="R148" i="97"/>
  <c r="R71" i="97"/>
  <c r="S154" i="97"/>
  <c r="R95" i="97"/>
  <c r="S52" i="97"/>
  <c r="T102" i="97"/>
  <c r="T155" i="97"/>
  <c r="T153" i="97"/>
  <c r="T100" i="97"/>
  <c r="T157" i="97"/>
  <c r="T104" i="97"/>
  <c r="T152" i="97"/>
  <c r="T99" i="97"/>
  <c r="S116" i="97"/>
  <c r="S63" i="97"/>
  <c r="R37" i="97"/>
  <c r="S137" i="97"/>
  <c r="S84" i="97"/>
  <c r="S88" i="97"/>
  <c r="S141" i="97"/>
  <c r="R42" i="97"/>
  <c r="S143" i="97"/>
  <c r="S90" i="97"/>
  <c r="S87" i="97"/>
  <c r="S140" i="97"/>
  <c r="S110" i="97"/>
  <c r="S163" i="97"/>
  <c r="S158" i="97"/>
  <c r="S105" i="97"/>
  <c r="S151" i="97"/>
  <c r="S98" i="97"/>
  <c r="R27" i="97"/>
  <c r="S125" i="97"/>
  <c r="S72" i="97"/>
  <c r="S121" i="97"/>
  <c r="S68" i="97"/>
  <c r="S64" i="97"/>
  <c r="T109" i="97" s="1"/>
  <c r="S117" i="97"/>
  <c r="S69" i="97"/>
  <c r="S122" i="97"/>
  <c r="S92" i="97"/>
  <c r="S145" i="97"/>
  <c r="S127" i="97"/>
  <c r="S74" i="97"/>
  <c r="S75" i="97"/>
  <c r="S128" i="97"/>
  <c r="S159" i="97"/>
  <c r="S106" i="97"/>
  <c r="S81" i="97"/>
  <c r="S134" i="97"/>
  <c r="S139" i="97"/>
  <c r="S86" i="97"/>
  <c r="S70" i="97"/>
  <c r="S123" i="97"/>
  <c r="S131" i="97"/>
  <c r="S78" i="97"/>
  <c r="R32" i="97"/>
  <c r="R22" i="97"/>
  <c r="S119" i="97"/>
  <c r="S66" i="97"/>
  <c r="S94" i="97"/>
  <c r="S147" i="97"/>
  <c r="S82" i="97"/>
  <c r="S135" i="97"/>
  <c r="S76" i="97"/>
  <c r="S129" i="97"/>
  <c r="R47" i="97"/>
  <c r="S96" i="97"/>
  <c r="S149" i="97"/>
  <c r="R57" i="97"/>
  <c r="S162" i="97" s="1"/>
  <c r="S108" i="97"/>
  <c r="S161" i="97"/>
  <c r="S146" i="97"/>
  <c r="S93" i="97"/>
  <c r="S133" i="97"/>
  <c r="S80" i="97"/>
  <c r="S21" i="146"/>
  <c r="T41" i="146"/>
  <c r="T30" i="146"/>
  <c r="T27" i="146"/>
  <c r="T38" i="146"/>
  <c r="T43" i="146"/>
  <c r="T32" i="146"/>
  <c r="T28" i="146"/>
  <c r="T39" i="146"/>
  <c r="R124" i="97"/>
  <c r="R97" i="97"/>
  <c r="R150" i="97"/>
  <c r="S29" i="146"/>
  <c r="R160" i="97"/>
  <c r="R142" i="97"/>
  <c r="S42" i="146"/>
  <c r="S31" i="146"/>
  <c r="R130" i="97"/>
  <c r="R77" i="97"/>
  <c r="S40" i="146"/>
  <c r="R132" i="97"/>
  <c r="R79" i="97"/>
  <c r="R144" i="97"/>
  <c r="R91" i="97"/>
  <c r="R107" i="97"/>
  <c r="R83" i="97"/>
  <c r="R89" i="97"/>
  <c r="R118" i="97"/>
  <c r="S103" i="97"/>
  <c r="S156" i="97"/>
  <c r="S14" i="97"/>
  <c r="R13" i="97"/>
  <c r="R67" i="97"/>
  <c r="R120" i="97"/>
  <c r="R136" i="97"/>
  <c r="S13" i="146"/>
  <c r="R73" i="97"/>
  <c r="R126" i="97"/>
  <c r="R85" i="97"/>
  <c r="R138" i="97"/>
  <c r="R65" i="97"/>
  <c r="S43" i="97"/>
  <c r="S40" i="97"/>
  <c r="S23" i="97"/>
  <c r="S29" i="97"/>
  <c r="S36" i="97"/>
  <c r="S20" i="97"/>
  <c r="S31" i="97"/>
  <c r="S46" i="97"/>
  <c r="S35" i="97"/>
  <c r="S55" i="97"/>
  <c r="S19" i="97"/>
  <c r="S56" i="97"/>
  <c r="T22" i="146"/>
  <c r="S30" i="97"/>
  <c r="T18" i="146"/>
  <c r="T50" i="97"/>
  <c r="S33" i="97"/>
  <c r="S45" i="97"/>
  <c r="T19" i="146"/>
  <c r="S34" i="97"/>
  <c r="T20" i="146"/>
  <c r="S44" i="97"/>
  <c r="S24" i="97"/>
  <c r="S39" i="97"/>
  <c r="T49" i="97"/>
  <c r="S58" i="97"/>
  <c r="S48" i="97"/>
  <c r="S41" i="97"/>
  <c r="T53" i="97"/>
  <c r="S26" i="97"/>
  <c r="S28" i="97"/>
  <c r="S54" i="97"/>
  <c r="T51" i="97"/>
  <c r="S38" i="97"/>
  <c r="S21" i="97"/>
  <c r="S25" i="97"/>
  <c r="S124" i="97" l="1"/>
  <c r="S130" i="97"/>
  <c r="S89" i="97"/>
  <c r="S77" i="97"/>
  <c r="S142" i="97"/>
  <c r="S71" i="97"/>
  <c r="T101" i="97"/>
  <c r="T154" i="97"/>
  <c r="S65" i="97"/>
  <c r="U38" i="146"/>
  <c r="F38" i="146" s="1" a="1"/>
  <c r="F38" i="146" s="1"/>
  <c r="U27" i="146"/>
  <c r="T21" i="146"/>
  <c r="U41" i="146"/>
  <c r="F41" i="146" s="1" a="1"/>
  <c r="F41" i="146" s="1"/>
  <c r="U30" i="146"/>
  <c r="F30" i="146" s="1"/>
  <c r="U43" i="146"/>
  <c r="F43" i="146" s="1" a="1"/>
  <c r="F43" i="146" s="1"/>
  <c r="U32" i="146"/>
  <c r="F32" i="146" s="1"/>
  <c r="U28" i="146"/>
  <c r="F28" i="146" s="1"/>
  <c r="U39" i="146"/>
  <c r="F39" i="146" s="1" a="1"/>
  <c r="F39" i="146" s="1"/>
  <c r="T52" i="97"/>
  <c r="U102" i="97"/>
  <c r="F102" i="97" s="1"/>
  <c r="U155" i="97"/>
  <c r="F155" i="97" s="1" a="1"/>
  <c r="F155" i="97" s="1"/>
  <c r="U104" i="97"/>
  <c r="F104" i="97" s="1"/>
  <c r="U157" i="97"/>
  <c r="F157" i="97" s="1" a="1"/>
  <c r="F157" i="97" s="1"/>
  <c r="U153" i="97"/>
  <c r="F153" i="97" s="1" a="1"/>
  <c r="F153" i="97" s="1"/>
  <c r="U100" i="97"/>
  <c r="F100" i="97" s="1"/>
  <c r="U99" i="97"/>
  <c r="U152" i="97"/>
  <c r="T106" i="97"/>
  <c r="T159" i="97"/>
  <c r="T145" i="97"/>
  <c r="T92" i="97"/>
  <c r="S57" i="97"/>
  <c r="T162" i="97" s="1"/>
  <c r="T108" i="97"/>
  <c r="T161" i="97"/>
  <c r="T139" i="97"/>
  <c r="T86" i="97"/>
  <c r="S37" i="97"/>
  <c r="T137" i="97"/>
  <c r="T84" i="97"/>
  <c r="T158" i="97"/>
  <c r="T105" i="97"/>
  <c r="T134" i="97"/>
  <c r="T81" i="97"/>
  <c r="T63" i="97"/>
  <c r="T116" i="97"/>
  <c r="T121" i="97"/>
  <c r="T68" i="97"/>
  <c r="T75" i="97"/>
  <c r="T128" i="97"/>
  <c r="T94" i="97"/>
  <c r="T147" i="97"/>
  <c r="T133" i="97"/>
  <c r="T80" i="97"/>
  <c r="S22" i="97"/>
  <c r="T119" i="97"/>
  <c r="T66" i="97"/>
  <c r="T140" i="97"/>
  <c r="T87" i="97"/>
  <c r="T82" i="97"/>
  <c r="T135" i="97"/>
  <c r="T88" i="97"/>
  <c r="T141" i="97"/>
  <c r="T163" i="97"/>
  <c r="T110" i="97"/>
  <c r="S47" i="97"/>
  <c r="T96" i="97"/>
  <c r="T149" i="97"/>
  <c r="T117" i="97"/>
  <c r="T64" i="97"/>
  <c r="U109" i="97" s="1"/>
  <c r="F109" i="97" s="1"/>
  <c r="Y15" i="138" s="1"/>
  <c r="T69" i="97"/>
  <c r="T122" i="97"/>
  <c r="T125" i="97"/>
  <c r="T72" i="97"/>
  <c r="S27" i="97"/>
  <c r="S42" i="97"/>
  <c r="T90" i="97"/>
  <c r="T143" i="97"/>
  <c r="T76" i="97"/>
  <c r="T129" i="97"/>
  <c r="T127" i="97"/>
  <c r="T74" i="97"/>
  <c r="T123" i="97"/>
  <c r="T70" i="97"/>
  <c r="T78" i="97"/>
  <c r="T131" i="97"/>
  <c r="S32" i="97"/>
  <c r="T93" i="97"/>
  <c r="T146" i="97"/>
  <c r="T151" i="97"/>
  <c r="T98" i="97"/>
  <c r="S97" i="97"/>
  <c r="S150" i="97"/>
  <c r="S138" i="97"/>
  <c r="S85" i="97"/>
  <c r="T40" i="146"/>
  <c r="T29" i="146"/>
  <c r="T42" i="146"/>
  <c r="T31" i="146"/>
  <c r="S126" i="97"/>
  <c r="S73" i="97"/>
  <c r="S107" i="97"/>
  <c r="S91" i="97"/>
  <c r="S144" i="97"/>
  <c r="S67" i="97"/>
  <c r="S120" i="97"/>
  <c r="S136" i="97"/>
  <c r="S160" i="97"/>
  <c r="S118" i="97"/>
  <c r="S132" i="97"/>
  <c r="S79" i="97"/>
  <c r="S95" i="97"/>
  <c r="S148" i="97"/>
  <c r="S13" i="97"/>
  <c r="S83" i="97"/>
  <c r="T103" i="97"/>
  <c r="T156" i="97"/>
  <c r="T44" i="97"/>
  <c r="T43" i="97"/>
  <c r="T38" i="97"/>
  <c r="T54" i="97"/>
  <c r="T29" i="97"/>
  <c r="T20" i="97"/>
  <c r="T55" i="97"/>
  <c r="T46" i="97"/>
  <c r="T48" i="97"/>
  <c r="T31" i="97"/>
  <c r="T58" i="97"/>
  <c r="T26" i="97"/>
  <c r="T34" i="97"/>
  <c r="T24" i="97"/>
  <c r="T28" i="97"/>
  <c r="T25" i="97"/>
  <c r="T36" i="97"/>
  <c r="T21" i="97"/>
  <c r="T56" i="97"/>
  <c r="T35" i="97"/>
  <c r="T19" i="97"/>
  <c r="T30" i="97"/>
  <c r="T41" i="97"/>
  <c r="T45" i="97"/>
  <c r="T23" i="97"/>
  <c r="T33" i="97"/>
  <c r="T39" i="97"/>
  <c r="T40" i="97"/>
  <c r="T83" i="97" l="1"/>
  <c r="T136" i="97"/>
  <c r="T71" i="97"/>
  <c r="T77" i="97"/>
  <c r="T130" i="97"/>
  <c r="U154" i="97"/>
  <c r="F154" i="97" s="1" a="1"/>
  <c r="F154" i="97" s="1"/>
  <c r="F152" i="97" a="1"/>
  <c r="F152" i="97" s="1"/>
  <c r="U88" i="97"/>
  <c r="F88" i="97" s="1"/>
  <c r="U141" i="97"/>
  <c r="F141" i="97" s="1" a="1"/>
  <c r="F141" i="97" s="1"/>
  <c r="T32" i="97"/>
  <c r="U78" i="97"/>
  <c r="F78" i="97" s="1"/>
  <c r="O14" i="138" s="1"/>
  <c r="U131" i="97"/>
  <c r="F131" i="97" s="1" a="1"/>
  <c r="F131" i="97" s="1"/>
  <c r="U90" i="97"/>
  <c r="F90" i="97" s="1"/>
  <c r="T14" i="138" s="1"/>
  <c r="T42" i="97"/>
  <c r="U143" i="97"/>
  <c r="F143" i="97" s="1" a="1"/>
  <c r="F143" i="97" s="1"/>
  <c r="U163" i="97"/>
  <c r="F163" i="97" s="1" a="1"/>
  <c r="F163" i="97" s="1"/>
  <c r="U110" i="97"/>
  <c r="F110" i="97" s="1"/>
  <c r="U70" i="97"/>
  <c r="F70" i="97" s="1"/>
  <c r="U123" i="97"/>
  <c r="F123" i="97" s="1" a="1"/>
  <c r="F123" i="97" s="1"/>
  <c r="U151" i="97"/>
  <c r="F151" i="97" s="1" a="1"/>
  <c r="F151" i="97" s="1"/>
  <c r="U98" i="97"/>
  <c r="F98" i="97" s="1"/>
  <c r="U87" i="97"/>
  <c r="U140" i="97"/>
  <c r="U122" i="97"/>
  <c r="U69" i="97"/>
  <c r="U158" i="97"/>
  <c r="U105" i="97"/>
  <c r="U139" i="97"/>
  <c r="F139" i="97" s="1" a="1"/>
  <c r="F139" i="97" s="1"/>
  <c r="U86" i="97"/>
  <c r="F86" i="97" s="1"/>
  <c r="U135" i="97"/>
  <c r="F135" i="97" s="1" a="1"/>
  <c r="F135" i="97" s="1"/>
  <c r="U82" i="97"/>
  <c r="F82" i="97" s="1"/>
  <c r="U81" i="97"/>
  <c r="U134" i="97"/>
  <c r="U93" i="97"/>
  <c r="U146" i="97"/>
  <c r="F146" i="97" s="1" a="1"/>
  <c r="F146" i="97" s="1"/>
  <c r="T22" i="97"/>
  <c r="U119" i="97"/>
  <c r="F119" i="97" s="1" a="1"/>
  <c r="F119" i="97" s="1"/>
  <c r="U66" i="97"/>
  <c r="F66" i="97" s="1"/>
  <c r="J14" i="138" s="1"/>
  <c r="U84" i="97"/>
  <c r="F84" i="97" s="1"/>
  <c r="O18" i="138" s="1"/>
  <c r="T37" i="97"/>
  <c r="U137" i="97"/>
  <c r="F137" i="97" s="1" a="1"/>
  <c r="F137" i="97" s="1"/>
  <c r="U64" i="97"/>
  <c r="F64" i="97" s="1"/>
  <c r="U117" i="97"/>
  <c r="F117" i="97" s="1" a="1"/>
  <c r="F117" i="97" s="1"/>
  <c r="U106" i="97"/>
  <c r="F106" i="97" s="1"/>
  <c r="U159" i="97"/>
  <c r="F159" i="97" s="1" a="1"/>
  <c r="F159" i="97" s="1"/>
  <c r="U121" i="97"/>
  <c r="F121" i="97" s="1" a="1"/>
  <c r="F121" i="97" s="1"/>
  <c r="U68" i="97"/>
  <c r="F68" i="97" s="1"/>
  <c r="U129" i="97"/>
  <c r="F129" i="97" s="1" a="1"/>
  <c r="F129" i="97" s="1"/>
  <c r="U76" i="97"/>
  <c r="F76" i="97" s="1"/>
  <c r="U92" i="97"/>
  <c r="F92" i="97" s="1"/>
  <c r="U145" i="97"/>
  <c r="F145" i="97" s="1" a="1"/>
  <c r="F145" i="97" s="1"/>
  <c r="T57" i="97"/>
  <c r="U162" i="97" s="1"/>
  <c r="F162" i="97" s="1" a="1"/>
  <c r="F162" i="97" s="1"/>
  <c r="U161" i="97"/>
  <c r="F161" i="97" s="1" a="1"/>
  <c r="F161" i="97" s="1"/>
  <c r="U108" i="97"/>
  <c r="F108" i="97" s="1"/>
  <c r="Y14" i="138" s="1"/>
  <c r="U149" i="97"/>
  <c r="F149" i="97" s="1" a="1"/>
  <c r="F149" i="97" s="1"/>
  <c r="U96" i="97"/>
  <c r="F96" i="97" s="1"/>
  <c r="T18" i="138" s="1"/>
  <c r="T47" i="97"/>
  <c r="U127" i="97"/>
  <c r="F127" i="97" s="1" a="1"/>
  <c r="F127" i="97" s="1"/>
  <c r="U74" i="97"/>
  <c r="F74" i="97" s="1"/>
  <c r="T27" i="97"/>
  <c r="U125" i="97"/>
  <c r="F125" i="97" s="1" a="1"/>
  <c r="F125" i="97" s="1"/>
  <c r="U72" i="97"/>
  <c r="F72" i="97" s="1"/>
  <c r="J18" i="138" s="1"/>
  <c r="U133" i="97"/>
  <c r="F133" i="97" s="1" a="1"/>
  <c r="F133" i="97" s="1"/>
  <c r="U80" i="97"/>
  <c r="F80" i="97" s="1"/>
  <c r="U116" i="97"/>
  <c r="U63" i="97"/>
  <c r="U128" i="97"/>
  <c r="U75" i="97"/>
  <c r="U147" i="97"/>
  <c r="F147" i="97" s="1" a="1"/>
  <c r="F147" i="97" s="1"/>
  <c r="U94" i="97"/>
  <c r="F94" i="97" s="1"/>
  <c r="T148" i="97"/>
  <c r="T65" i="97"/>
  <c r="T95" i="97"/>
  <c r="T150" i="97"/>
  <c r="T97" i="97"/>
  <c r="T107" i="97"/>
  <c r="T138" i="97"/>
  <c r="T85" i="97"/>
  <c r="U31" i="146"/>
  <c r="F31" i="146" s="1"/>
  <c r="U42" i="146"/>
  <c r="F42" i="146" s="1" a="1"/>
  <c r="F42" i="146" s="1"/>
  <c r="T124" i="97"/>
  <c r="T89" i="97"/>
  <c r="T142" i="97"/>
  <c r="F27" i="146"/>
  <c r="U29" i="146"/>
  <c r="F29" i="146" s="1"/>
  <c r="T144" i="97"/>
  <c r="T91" i="97"/>
  <c r="T126" i="97"/>
  <c r="T73" i="97"/>
  <c r="U101" i="97"/>
  <c r="F101" i="97" s="1"/>
  <c r="F99" i="97"/>
  <c r="T118" i="97"/>
  <c r="T79" i="97"/>
  <c r="T132" i="97"/>
  <c r="U103" i="97"/>
  <c r="F103" i="97" s="1"/>
  <c r="U156" i="97"/>
  <c r="F156" i="97" s="1" a="1"/>
  <c r="F156" i="97" s="1"/>
  <c r="T160" i="97"/>
  <c r="T120" i="97"/>
  <c r="T67" i="97"/>
  <c r="U40" i="146"/>
  <c r="F40" i="146" s="1" a="1"/>
  <c r="F40" i="146" s="1"/>
  <c r="E27" i="146" l="1"/>
  <c r="U124" i="97"/>
  <c r="F124" i="97" s="1" a="1"/>
  <c r="F124" i="97" s="1"/>
  <c r="U160" i="97"/>
  <c r="F160" i="97" s="1" a="1"/>
  <c r="F160" i="97" s="1"/>
  <c r="E152" i="97" a="1"/>
  <c r="E152" i="97" s="1"/>
  <c r="E99" i="97"/>
  <c r="E38" i="146" a="1"/>
  <c r="E38" i="146" s="1"/>
  <c r="U65" i="97"/>
  <c r="F65" i="97" s="1"/>
  <c r="F63" i="97"/>
  <c r="U89" i="97"/>
  <c r="F89" i="97" s="1"/>
  <c r="F87" i="97"/>
  <c r="F116" i="97" a="1"/>
  <c r="F116" i="97" s="1"/>
  <c r="U118" i="97"/>
  <c r="F118" i="97" s="1" a="1"/>
  <c r="F118" i="97" s="1"/>
  <c r="U85" i="97"/>
  <c r="F85" i="97" s="1"/>
  <c r="O19" i="138" s="1"/>
  <c r="U138" i="97"/>
  <c r="F138" i="97" s="1" a="1"/>
  <c r="F138" i="97" s="1"/>
  <c r="U148" i="97"/>
  <c r="F148" i="97" s="1" a="1"/>
  <c r="F148" i="97" s="1"/>
  <c r="F134" i="97" a="1"/>
  <c r="F134" i="97" s="1"/>
  <c r="U136" i="97"/>
  <c r="F136" i="97" s="1" a="1"/>
  <c r="F136" i="97" s="1"/>
  <c r="U83" i="97"/>
  <c r="F83" i="97" s="1"/>
  <c r="F81" i="97"/>
  <c r="U79" i="97"/>
  <c r="F79" i="97" s="1"/>
  <c r="O15" i="138" s="1"/>
  <c r="U132" i="97"/>
  <c r="F132" i="97" s="1" a="1"/>
  <c r="F132" i="97" s="1"/>
  <c r="U71" i="97"/>
  <c r="F71" i="97" s="1"/>
  <c r="F69" i="97"/>
  <c r="U77" i="97"/>
  <c r="F77" i="97" s="1"/>
  <c r="F75" i="97"/>
  <c r="F158" i="97" a="1"/>
  <c r="F158" i="97" s="1"/>
  <c r="U120" i="97"/>
  <c r="F120" i="97" s="1" a="1"/>
  <c r="F120" i="97" s="1"/>
  <c r="U67" i="97"/>
  <c r="F67" i="97" s="1"/>
  <c r="J15" i="138" s="1"/>
  <c r="U150" i="97"/>
  <c r="F150" i="97" s="1" a="1"/>
  <c r="F150" i="97" s="1"/>
  <c r="U97" i="97"/>
  <c r="F97" i="97" s="1"/>
  <c r="T19" i="138" s="1"/>
  <c r="U95" i="97"/>
  <c r="F95" i="97" s="1"/>
  <c r="F93" i="97"/>
  <c r="U107" i="97"/>
  <c r="F107" i="97" s="1"/>
  <c r="F105" i="97"/>
  <c r="U130" i="97"/>
  <c r="F130" i="97" s="1" a="1"/>
  <c r="F130" i="97" s="1"/>
  <c r="F128" i="97" a="1"/>
  <c r="F128" i="97" s="1"/>
  <c r="U142" i="97"/>
  <c r="F142" i="97" s="1" a="1"/>
  <c r="F142" i="97" s="1"/>
  <c r="F140" i="97" a="1"/>
  <c r="F140" i="97" s="1"/>
  <c r="F122" i="97" a="1"/>
  <c r="F122" i="97" s="1"/>
  <c r="U126" i="97"/>
  <c r="F126" i="97" s="1" a="1"/>
  <c r="F126" i="97" s="1"/>
  <c r="U73" i="97"/>
  <c r="F73" i="97" s="1"/>
  <c r="J19" i="138" s="1"/>
  <c r="U144" i="97"/>
  <c r="F144" i="97" s="1" a="1"/>
  <c r="F144" i="97" s="1"/>
  <c r="U91" i="97"/>
  <c r="F91" i="97" s="1"/>
  <c r="T15" i="138" s="1"/>
  <c r="E146" i="97" l="1" a="1"/>
  <c r="E146" i="97" s="1"/>
  <c r="E158" i="97" a="1"/>
  <c r="E158" i="97" s="1"/>
  <c r="E122" i="97" a="1"/>
  <c r="E122" i="97" s="1"/>
  <c r="E116" i="97" a="1"/>
  <c r="E116" i="97" s="1"/>
  <c r="J17" i="138"/>
  <c r="E69" i="97"/>
  <c r="J16" i="138" s="1"/>
  <c r="E140" i="97" a="1"/>
  <c r="E140" i="97" s="1"/>
  <c r="E134" i="97" a="1"/>
  <c r="E134" i="97" s="1"/>
  <c r="T13" i="138"/>
  <c r="E87" i="97"/>
  <c r="T12" i="138" s="1"/>
  <c r="E105" i="97"/>
  <c r="Y12" i="138" s="1"/>
  <c r="Y13" i="138"/>
  <c r="J13" i="138"/>
  <c r="E63" i="97"/>
  <c r="J12" i="138" s="1"/>
  <c r="O13" i="138"/>
  <c r="E75" i="97"/>
  <c r="O12" i="138" s="1"/>
  <c r="O17" i="138"/>
  <c r="E81" i="97"/>
  <c r="O16" i="138" s="1"/>
  <c r="E128" i="97" a="1"/>
  <c r="E128" i="97" s="1"/>
  <c r="T17" i="138"/>
  <c r="E93" i="97"/>
  <c r="T16" i="13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<sst xmlns="http://schemas.openxmlformats.org/spreadsheetml/2006/main" count="1708" uniqueCount="560">
  <si>
    <t>Point A3</t>
  </si>
  <si>
    <t>Point A4</t>
  </si>
  <si>
    <t>SDE</t>
  </si>
  <si>
    <t>Point A2</t>
  </si>
  <si>
    <t>Point A5</t>
  </si>
  <si>
    <t>Point 1</t>
  </si>
  <si>
    <t>Point 2</t>
  </si>
  <si>
    <t>Point 3</t>
  </si>
  <si>
    <t>Point A6</t>
  </si>
  <si>
    <t>Point A7</t>
  </si>
  <si>
    <t>Autres évaluations</t>
  </si>
  <si>
    <t>Sonde température</t>
  </si>
  <si>
    <t>Pluviomètre</t>
  </si>
  <si>
    <t>Commentaire général</t>
  </si>
  <si>
    <t>Détails des équipements contrôlés</t>
  </si>
  <si>
    <t>Code</t>
  </si>
  <si>
    <t>Libellé</t>
  </si>
  <si>
    <t>Point 4</t>
  </si>
  <si>
    <t>Point 5</t>
  </si>
  <si>
    <t>Point 6</t>
  </si>
  <si>
    <t>Point 7</t>
  </si>
  <si>
    <t>Point 8</t>
  </si>
  <si>
    <t>Point 9</t>
  </si>
  <si>
    <t>Point 10</t>
  </si>
  <si>
    <t>Point 11</t>
  </si>
  <si>
    <t>Point 12</t>
  </si>
  <si>
    <t>Code SANDRE</t>
  </si>
  <si>
    <t>Caisson</t>
  </si>
  <si>
    <t>Clapet</t>
  </si>
  <si>
    <t>Evaluation finale controleur</t>
  </si>
  <si>
    <t>Score</t>
  </si>
  <si>
    <t>COMPARATIF ANALYTIQUE</t>
  </si>
  <si>
    <t>Paramètres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</si>
  <si>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</si>
  <si>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</si>
  <si>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</si>
  <si>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</si>
  <si>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</si>
  <si>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</si>
  <si>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</si>
  <si>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</si>
  <si>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</si>
  <si>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</si>
  <si>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</si>
  <si>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</si>
  <si>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</si>
  <si>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</si>
  <si>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</si>
  <si>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</si>
  <si>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</si>
  <si>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</si>
  <si>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</si>
  <si>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</si>
  <si>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</si>
  <si>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</si>
  <si>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</si>
  <si>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</si>
  <si>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</si>
  <si>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t>Oui</t>
  </si>
  <si>
    <t>A4</t>
  </si>
  <si>
    <t>Non contrôlé</t>
  </si>
  <si>
    <t>Non validé</t>
  </si>
  <si>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</si>
  <si>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</si>
  <si>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</si>
  <si>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</si>
  <si>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</si>
  <si>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</si>
  <si>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</si>
  <si>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</si>
  <si>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</si>
  <si>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</si>
  <si>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</si>
  <si>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</si>
  <si>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</si>
  <si>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</si>
  <si>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</si>
  <si>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</si>
  <si>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</si>
  <si>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</si>
  <si>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</si>
  <si>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</si>
  <si>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</si>
  <si>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</si>
  <si>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</si>
  <si>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</si>
  <si>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</si>
  <si>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</si>
  <si>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</si>
  <si>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</si>
  <si>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</si>
  <si>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</si>
  <si>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</si>
  <si>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</si>
  <si>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</si>
  <si>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</si>
  <si>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</si>
  <si>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</si>
  <si>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</si>
  <si>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</si>
  <si>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</si>
  <si>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</si>
  <si>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</si>
  <si>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</si>
  <si>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</si>
  <si>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</si>
  <si>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</si>
  <si>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</si>
  <si>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</si>
  <si>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</si>
  <si>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</si>
  <si>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</si>
  <si>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</si>
  <si>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</si>
  <si>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</si>
  <si>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</si>
  <si>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</si>
  <si>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</si>
  <si>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</si>
  <si>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</si>
  <si>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</si>
  <si>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</si>
  <si>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</si>
  <si>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</si>
  <si>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</si>
  <si>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</si>
  <si>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</si>
  <si>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 xml:space="preserve"> COMPARATIF ANALYTIQUE : DEFINITION DES ECARTS MAXIMUM TOLERES (EMT)</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</si>
  <si>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</si>
  <si>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</si>
  <si>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</si>
  <si>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</si>
  <si>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</si>
  <si>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</si>
  <si>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</si>
  <si>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</si>
  <si>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</si>
  <si>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</si>
  <si>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</si>
  <si>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</si>
  <si>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</si>
  <si>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</si>
  <si>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</si>
  <si>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</si>
  <si>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</si>
  <si>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</si>
  <si>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</si>
  <si>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</si>
  <si>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</si>
  <si>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</si>
  <si>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</si>
  <si>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</si>
  <si>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</si>
  <si>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</si>
  <si>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</si>
  <si>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</si>
  <si>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</si>
  <si>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</si>
  <si>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</si>
  <si>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</si>
  <si>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</si>
  <si>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</si>
  <si>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</si>
  <si>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</si>
  <si>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</si>
  <si>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</si>
  <si>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</si>
  <si>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</si>
  <si>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Evaluation</t>
  </si>
  <si>
    <t>Au débit</t>
  </si>
  <si>
    <t>Conforme</t>
  </si>
  <si>
    <t>Type</t>
  </si>
  <si>
    <t>Annuelle</t>
  </si>
  <si>
    <t>En V</t>
  </si>
  <si>
    <t>Réglet</t>
  </si>
  <si>
    <t>Satisfaisant</t>
  </si>
  <si>
    <t>Mensuelle</t>
  </si>
  <si>
    <t>Les échantillons sont-ils constitués, conservés et mis en analyse, selon les règles de l'art en vigueur ?</t>
  </si>
  <si>
    <t>Actif</t>
  </si>
  <si>
    <t>Ajouter un équipement réseau</t>
  </si>
  <si>
    <t>Ajouter un équipement station</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</si>
  <si>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</si>
  <si>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</si>
  <si>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</si>
  <si>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</si>
  <si>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</si>
  <si>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</si>
  <si>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</si>
  <si>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</si>
  <si>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</si>
  <si>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</si>
  <si>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</si>
  <si>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</si>
  <si>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</si>
  <si>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</si>
  <si>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</si>
  <si>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</si>
  <si>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</si>
  <si>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</si>
  <si>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</si>
  <si>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</si>
  <si>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</si>
  <si>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</si>
  <si>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</si>
  <si>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</si>
  <si>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</si>
  <si>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</si>
  <si>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</si>
  <si>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</si>
  <si>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</si>
  <si>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</si>
  <si>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</si>
  <si>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</si>
  <si>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</si>
  <si>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</si>
  <si>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</si>
  <si>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</si>
  <si>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</si>
  <si>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</si>
  <si>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</si>
  <si>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</si>
  <si>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</si>
  <si>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</si>
  <si>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</si>
  <si>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</si>
  <si>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</si>
  <si>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</si>
  <si>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</si>
  <si>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</si>
  <si>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</si>
  <si>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</si>
  <si>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</si>
  <si>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</si>
  <si>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</si>
  <si>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</si>
  <si>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</si>
  <si>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</si>
  <si>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</si>
  <si>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</si>
  <si>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</si>
  <si>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</si>
  <si>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</si>
  <si>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</si>
  <si>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</si>
  <si>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</si>
  <si>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</si>
  <si>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</si>
  <si>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</si>
  <si>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</si>
  <si>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</si>
  <si>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</si>
  <si>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</si>
  <si>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</si>
  <si>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</si>
  <si>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</si>
  <si>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</si>
  <si>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</si>
  <si>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</si>
  <si>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</si>
  <si>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</si>
  <si>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</si>
  <si>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</si>
  <si>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</si>
  <si>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</si>
  <si>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</si>
  <si>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</si>
  <si>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</si>
  <si>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</si>
  <si>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</si>
  <si>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</si>
  <si>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</si>
  <si>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</si>
  <si>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</si>
  <si>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</si>
  <si>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</si>
  <si>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</si>
  <si>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</si>
  <si>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</si>
  <si>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</si>
  <si>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</si>
  <si>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</si>
  <si>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Montage sonde</t>
  </si>
  <si>
    <t>En W</t>
  </si>
  <si>
    <t>Ajouter un pluviomètre réseau</t>
  </si>
  <si>
    <t>Les analyses sont-elles correctement effectuées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</si>
  <si>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</si>
  <si>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</si>
  <si>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</si>
  <si>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</si>
  <si>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</si>
  <si>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</si>
  <si>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</si>
  <si>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</si>
  <si>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</si>
  <si>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</si>
  <si>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</si>
  <si>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Conductivité</t>
  </si>
  <si>
    <t>Cl</t>
  </si>
  <si>
    <t>Ajouter un comparatif analytique</t>
  </si>
  <si>
    <t>Ne rien mettre dans cette colonne</t>
  </si>
  <si>
    <t>Préleveur</t>
  </si>
  <si>
    <t>Equipement de contrôle H</t>
  </si>
  <si>
    <t>Sonde</t>
  </si>
  <si>
    <t>Câble</t>
  </si>
  <si>
    <t>Liste préleveurs</t>
  </si>
  <si>
    <t>Liste débimètres</t>
  </si>
  <si>
    <t>début données sys collect</t>
  </si>
  <si>
    <t>début données station</t>
  </si>
  <si>
    <t>fin données sys collect</t>
  </si>
  <si>
    <t>fin données station</t>
  </si>
  <si>
    <t>Conforme avec réserve</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</si>
  <si>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</si>
  <si>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</si>
  <si>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</si>
  <si>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</si>
  <si>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</si>
  <si>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</si>
  <si>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</si>
  <si>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</si>
  <si>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</si>
  <si>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</si>
  <si>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</si>
  <si>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</si>
  <si>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</si>
  <si>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</si>
  <si>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</si>
  <si>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</si>
  <si>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</si>
  <si>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</si>
  <si>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</si>
  <si>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</si>
  <si>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</si>
  <si>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</si>
  <si>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</si>
  <si>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</si>
  <si>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</si>
  <si>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</si>
  <si>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</si>
  <si>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</si>
  <si>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</si>
  <si>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</si>
  <si>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</si>
  <si>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</si>
  <si>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</si>
  <si>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</si>
  <si>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</si>
  <si>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</si>
  <si>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</si>
  <si>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</si>
  <si>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</si>
  <si>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</si>
  <si>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</si>
  <si>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</si>
  <si>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</si>
  <si>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</si>
  <si>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</si>
  <si>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</si>
  <si>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en g/l</t>
  </si>
  <si>
    <t>Ajouter un pluviomètre station</t>
  </si>
  <si>
    <t>Localisation 
(cf. MAS)</t>
  </si>
  <si>
    <t>Point réglementaire</t>
  </si>
  <si>
    <t>Liste pluvio</t>
  </si>
  <si>
    <t>Liste thermo</t>
  </si>
  <si>
    <t>CONTRÔLE ANNUEL DES DISPOSITIFS D'AUTOSURVEILLANCE 
DES SYSTÈMES D'ASSAINISSEMENT COLLECTIF</t>
  </si>
  <si>
    <t>SYSTÈME DE COLLECTE</t>
  </si>
  <si>
    <t>Localisation (cf. MAS)</t>
  </si>
  <si>
    <t>Lien vers l'onglet de l'équipement</t>
  </si>
  <si>
    <t>Si pas de pluviomètre, veuillez ajouter en commentaire la provenance des données :</t>
  </si>
  <si>
    <t>SYSTÈME DE TRAITEMENT</t>
  </si>
  <si>
    <t>COMMENTAIRES :</t>
  </si>
  <si>
    <t>En /</t>
  </si>
  <si>
    <t>En N</t>
  </si>
  <si>
    <t>Listes méthode contrôle</t>
  </si>
  <si>
    <t>Méthode</t>
  </si>
  <si>
    <t>Simulation d'une hauteur d'eau et mesure en parallèle</t>
  </si>
  <si>
    <t>D32</t>
  </si>
  <si>
    <t>D26</t>
  </si>
  <si>
    <t>P33</t>
  </si>
  <si>
    <t>N33</t>
  </si>
  <si>
    <t>C37</t>
  </si>
  <si>
    <t>D37</t>
  </si>
  <si>
    <t>P50</t>
  </si>
  <si>
    <t>N50</t>
  </si>
  <si>
    <t>D50</t>
  </si>
  <si>
    <t>C54</t>
  </si>
  <si>
    <t>P45</t>
  </si>
  <si>
    <t>N45</t>
  </si>
  <si>
    <t>D45</t>
  </si>
  <si>
    <t>C49</t>
  </si>
  <si>
    <t>D40</t>
  </si>
  <si>
    <t>P53</t>
  </si>
  <si>
    <t>C57</t>
  </si>
  <si>
    <t>F</t>
  </si>
  <si>
    <t>CONTRÔLE ANNUEL DES DISPOSITIFS D'AUTOSURVEILLANCE DES SYSTÈMES D'ASSAINISSEMENT COLLECTIF</t>
  </si>
  <si>
    <t>M</t>
  </si>
  <si>
    <t>O</t>
  </si>
  <si>
    <t>En cas d'accès nécessitant des équipements de protection individuels renforcés (ARI par exemple) ou d'intervenir à 2 personnes, retenir "Validé avec réserve"</t>
  </si>
  <si>
    <t>Débitmètre en charge</t>
  </si>
  <si>
    <t>Débitmètre gravitaire</t>
  </si>
  <si>
    <t>MANUEL D'AUTOSURVEILLANCE</t>
  </si>
  <si>
    <t>Total pénalité :</t>
  </si>
  <si>
    <t>PROCEDURE DE CONTROLES INTERNES DES MATERIELS D'AUTOSURVEILLANCE</t>
  </si>
  <si>
    <t>Fractionnement</t>
  </si>
  <si>
    <t>Température</t>
  </si>
  <si>
    <t>Transport</t>
  </si>
  <si>
    <t>Aquaref</t>
  </si>
  <si>
    <t>Score 
sur 100</t>
  </si>
  <si>
    <t xml:space="preserve">Localisation </t>
  </si>
  <si>
    <t>Type d'équipement</t>
  </si>
  <si>
    <t>Type de mesure</t>
  </si>
  <si>
    <t>Ponctuelle</t>
  </si>
  <si>
    <t>Type de matériel</t>
  </si>
  <si>
    <t>Analytique</t>
  </si>
  <si>
    <t>En continu</t>
  </si>
  <si>
    <t>L'écart entre d'une part la mesure de la hauteur de pluie réalisée à partir du dispositif en place et celle réalisée par l'organisme de contrôle d'autre part, est-il cohérent (EMT ± 1 unité) ?</t>
  </si>
  <si>
    <t>pluvio SCL</t>
  </si>
  <si>
    <t>pluvio STEU</t>
  </si>
  <si>
    <t>Pluvio SCL</t>
  </si>
  <si>
    <t>Puvio STEU</t>
  </si>
  <si>
    <t>code</t>
  </si>
  <si>
    <t>Débitmètre</t>
  </si>
  <si>
    <t>Code PREL</t>
  </si>
  <si>
    <t>NB ANALYSE</t>
  </si>
  <si>
    <t>NB CONFORME</t>
  </si>
  <si>
    <t>Coef</t>
  </si>
  <si>
    <t>Facteur Qualité</t>
  </si>
  <si>
    <t>Les évaluations des sondes de température ne sont pas prises en compte</t>
  </si>
  <si>
    <t>Liste des pluviomètres de référence du réseau</t>
  </si>
  <si>
    <t>Liste des pluviomètres de référence de la station</t>
  </si>
  <si>
    <t>Certaines informations d'un équipement ne sont pas modifiables. Au besoin il est préférable de supprimer et de recréer l'équipement.</t>
  </si>
  <si>
    <t>Les informations de codification sont à reprendre du MAS</t>
  </si>
  <si>
    <t>Libellé de l'équipement</t>
  </si>
  <si>
    <t>Scores critères</t>
  </si>
  <si>
    <t>Evaluations critères</t>
  </si>
  <si>
    <t>Pénalité</t>
  </si>
  <si>
    <t>Type réseau</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</si>
  <si>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</si>
  <si>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</si>
  <si>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Simulation d'une hauteur d'eau (leurre)</t>
  </si>
  <si>
    <r>
      <t xml:space="preserve">Est-ce que le contrôle des </t>
    </r>
    <r>
      <rPr>
        <b/>
        <u/>
        <sz val="12"/>
        <rFont val="Calibri"/>
        <family val="2"/>
        <scheme val="minor"/>
      </rPr>
      <t>débimètres</t>
    </r>
    <r>
      <rPr>
        <sz val="12"/>
        <color theme="4"/>
        <rFont val="Calibri"/>
        <family val="2"/>
        <scheme val="minor"/>
      </rPr>
      <t xml:space="preserve"> </t>
    </r>
    <r>
      <rPr>
        <sz val="12"/>
        <color theme="1"/>
        <rFont val="Calibri"/>
        <family val="2"/>
        <scheme val="minor"/>
      </rPr>
      <t>est réalisé selon les procédures décrites dans le manuel d'autosurveillance ?</t>
    </r>
  </si>
  <si>
    <r>
      <t xml:space="preserve">Est-ce que le contrôle des </t>
    </r>
    <r>
      <rPr>
        <b/>
        <u/>
        <sz val="12"/>
        <rFont val="Calibri"/>
        <family val="2"/>
        <scheme val="minor"/>
      </rPr>
      <t>échantillonneurs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</si>
  <si>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thermomètres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</si>
  <si>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pluviomètres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</si>
  <si>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balances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</si>
  <si>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chronomètres</t>
    </r>
    <r>
      <rPr>
        <sz val="12"/>
        <color theme="1"/>
        <rFont val="Calibri"/>
        <family val="2"/>
        <scheme val="minor"/>
      </rPr>
      <t xml:space="preserve"> est réalisé selon les procédures décrites dans le manuel d'autosurveillance ?</t>
    </r>
  </si>
  <si>
    <r>
      <t xml:space="preserve">Les </t>
    </r>
    <r>
      <rPr>
        <b/>
        <u/>
        <sz val="12"/>
        <rFont val="Calibri"/>
        <family val="2"/>
        <scheme val="minor"/>
      </rPr>
      <t>contrôles internes</t>
    </r>
    <r>
      <rPr>
        <sz val="12"/>
        <color theme="1"/>
        <rFont val="Calibri"/>
        <family val="2"/>
        <scheme val="minor"/>
      </rPr>
      <t xml:space="preserve"> sont-ils tous tracés, formalisés et suivis (fiches de vie, cartes de contrôle...) ?</t>
    </r>
  </si>
  <si>
    <r>
      <t xml:space="preserve">Des fiches de </t>
    </r>
    <r>
      <rPr>
        <b/>
        <u/>
        <sz val="12"/>
        <rFont val="Calibri"/>
        <family val="2"/>
        <scheme val="minor"/>
      </rPr>
      <t>non-conformité</t>
    </r>
    <r>
      <rPr>
        <sz val="12"/>
        <color theme="1"/>
        <rFont val="Calibri"/>
        <family val="2"/>
        <scheme val="minor"/>
      </rPr>
      <t xml:space="preserve"> et d'</t>
    </r>
    <r>
      <rPr>
        <b/>
        <u/>
        <sz val="12"/>
        <rFont val="Calibri"/>
        <family val="2"/>
        <scheme val="minor"/>
      </rPr>
      <t>action d'amélioration</t>
    </r>
    <r>
      <rPr>
        <sz val="12"/>
        <color theme="1"/>
        <rFont val="Calibri"/>
        <family val="2"/>
        <scheme val="minor"/>
      </rPr>
      <t xml:space="preserve"> ont-elles été produites ?</t>
    </r>
  </si>
  <si>
    <r>
      <t xml:space="preserve">Existe-il un </t>
    </r>
    <r>
      <rPr>
        <b/>
        <u/>
        <sz val="12"/>
        <rFont val="Calibri"/>
        <family val="2"/>
        <scheme val="minor"/>
      </rPr>
      <t>système qualité performant</t>
    </r>
    <r>
      <rPr>
        <b/>
        <sz val="12"/>
        <rFont val="Calibri"/>
        <family val="2"/>
        <scheme val="minor"/>
      </rPr>
      <t xml:space="preserve"> </t>
    </r>
    <r>
      <rPr>
        <sz val="12"/>
        <color theme="1"/>
        <rFont val="Calibri"/>
        <family val="2"/>
        <scheme val="minor"/>
      </rPr>
      <t>?</t>
    </r>
  </si>
  <si>
    <t>LISTE_6</t>
  </si>
  <si>
    <t>Mixte</t>
  </si>
  <si>
    <t>Unitaire</t>
  </si>
  <si>
    <t>Séparatif</t>
  </si>
  <si>
    <t>Liste des équipements du système de collecte pour chaque point d’autosurveillance</t>
  </si>
  <si>
    <t>Liste des équipements du système de traitement pour chaque point d’autosurveillance</t>
  </si>
  <si>
    <t>LISTE_7</t>
  </si>
  <si>
    <t>Code du point 
(cf MAS)</t>
  </si>
  <si>
    <t>J</t>
  </si>
  <si>
    <t>point</t>
  </si>
  <si>
    <t>L'implantation du capteur respecte t-elle les normes en vigueur et/ou les prescriptions du constructeur, ainsi que les prescription définies dans l'étude COACHs ?</t>
  </si>
  <si>
    <t>L'implantation du capteur respecte t-elle les normes en vigueur et/ou les prescriptions du constructeur, ainsi que les prescription définies dans l'étude de modélisation ?</t>
  </si>
  <si>
    <t>Le capteur de mesure de hauteur d'eau est-il adapté au type d'effluent et à l'environnement rencontrés (mousses, températures, déchets, etc...) et présente t-il un état de fonctionnement satisfaisant ?</t>
  </si>
  <si>
    <t xml:space="preserve">NOM DU SYSTÈME D'ASSAINISSEMENT : </t>
  </si>
  <si>
    <t xml:space="preserve">EXPLOITANT DE LA STATION : </t>
  </si>
  <si>
    <t xml:space="preserve">CODE SANDRE DE LA STATION : </t>
  </si>
  <si>
    <t xml:space="preserve">TYPE DE TRAITEMENT : </t>
  </si>
  <si>
    <t xml:space="preserve">ORGANISME DE CONTRÔLE : </t>
  </si>
  <si>
    <t xml:space="preserve">NOM(S) CONTROLEUR(S) : </t>
  </si>
  <si>
    <t xml:space="preserve">DATE(S) D'INTERVENTION : </t>
  </si>
  <si>
    <t xml:space="preserve">CONDITION(S) METEO : </t>
  </si>
  <si>
    <t xml:space="preserve">NOM DU SYSTÈME DE TRAITEMENT : </t>
  </si>
  <si>
    <t xml:space="preserve">NOM DU SYSTÈME DE COLLECTE : </t>
  </si>
  <si>
    <t xml:space="preserve">NOM(S) DU(ES) CONTROLEUR(S) : </t>
  </si>
  <si>
    <t>Pluviométre de référence</t>
  </si>
  <si>
    <r>
      <t>CODE SANDRE DE L'AGGLOM</t>
    </r>
    <r>
      <rPr>
        <b/>
        <sz val="11"/>
        <color theme="4"/>
        <rFont val="Calibri"/>
        <family val="2"/>
      </rPr>
      <t>É</t>
    </r>
    <r>
      <rPr>
        <b/>
        <sz val="11"/>
        <color theme="4"/>
        <rFont val="Calibri"/>
        <family val="2"/>
        <scheme val="minor"/>
      </rPr>
      <t xml:space="preserve">RATION : </t>
    </r>
  </si>
  <si>
    <r>
      <t>CAPACIT</t>
    </r>
    <r>
      <rPr>
        <b/>
        <sz val="11"/>
        <color theme="4"/>
        <rFont val="Calibri"/>
        <family val="2"/>
      </rPr>
      <t>É</t>
    </r>
    <r>
      <rPr>
        <b/>
        <sz val="11"/>
        <color theme="4"/>
        <rFont val="Calibri"/>
        <family val="2"/>
        <scheme val="minor"/>
      </rPr>
      <t xml:space="preserve"> DE LA STATION : </t>
    </r>
  </si>
  <si>
    <r>
      <t>TYPE DE R</t>
    </r>
    <r>
      <rPr>
        <b/>
        <sz val="11"/>
        <color theme="4"/>
        <rFont val="Calibri"/>
        <family val="2"/>
      </rPr>
      <t>É</t>
    </r>
    <r>
      <rPr>
        <b/>
        <sz val="11"/>
        <color theme="4"/>
        <rFont val="Calibri"/>
        <family val="2"/>
        <scheme val="minor"/>
      </rPr>
      <t xml:space="preserve">SEAU : </t>
    </r>
  </si>
  <si>
    <r>
      <t>EXPLOITANT DU R</t>
    </r>
    <r>
      <rPr>
        <b/>
        <sz val="11"/>
        <color theme="4"/>
        <rFont val="Calibri"/>
        <family val="2"/>
      </rPr>
      <t>É</t>
    </r>
    <r>
      <rPr>
        <b/>
        <sz val="11"/>
        <color theme="4"/>
        <rFont val="Calibri"/>
        <family val="2"/>
        <scheme val="minor"/>
      </rPr>
      <t xml:space="preserve">SEAU : </t>
    </r>
  </si>
  <si>
    <r>
      <t>CODE SANDRE DU R</t>
    </r>
    <r>
      <rPr>
        <b/>
        <sz val="11"/>
        <color theme="4"/>
        <rFont val="Calibri"/>
        <family val="2"/>
      </rPr>
      <t>É</t>
    </r>
    <r>
      <rPr>
        <b/>
        <sz val="11"/>
        <color theme="4"/>
        <rFont val="Calibri"/>
        <family val="2"/>
        <scheme val="minor"/>
      </rPr>
      <t xml:space="preserve">SEAU : </t>
    </r>
  </si>
  <si>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</si>
  <si>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t xml:space="preserve">STATION : </t>
  </si>
  <si>
    <t>Si certains points ne sont pas équipés, veuillez les indiquer en commentaire :</t>
  </si>
  <si>
    <t xml:space="preserve">CODE SANDRE : </t>
  </si>
  <si>
    <t xml:space="preserve">MAITRE D'OUVRAGE : </t>
  </si>
  <si>
    <t xml:space="preserve">EXPLOITANT : </t>
  </si>
  <si>
    <t xml:space="preserve">Le guide AQUAREF est-il respecté pour le prélèvement des échantillons SDE ? </t>
  </si>
  <si>
    <t xml:space="preserve">Les échantillons sont-ils fractionnés selon la norme FDT 90-523-2 ? </t>
  </si>
  <si>
    <t xml:space="preserve">La conservation pendant le transport des échantillons est-elle assurée à 5°C ± 3°C ? </t>
  </si>
  <si>
    <t xml:space="preserve">Les conditions de transport permettent-elles 
l'acheminement et la réception des échantillons dans les 24 h ? </t>
  </si>
  <si>
    <t xml:space="preserve">Préleveur : </t>
  </si>
  <si>
    <t xml:space="preserve">Date du comparatif : </t>
  </si>
  <si>
    <t xml:space="preserve">Nom du(des) laboratoire(s) réalisant les analyses de la matrice eau : </t>
  </si>
  <si>
    <t xml:space="preserve">Nom du(des) laboratoire(s) réalisant l'analyse de la siccité des boues et des matières séches : </t>
  </si>
  <si>
    <t xml:space="preserve">Le(s) laboratoire(s) est/sont-il(s) agréé(s) au titre du code de l’environnement pour l'ensemble des paramètres de la matrice eau résiduaire ? </t>
  </si>
  <si>
    <t xml:space="preserve">A défaut, est ce que le laboratoire réalise un exercice concluant d’intercalibration avec un laboratoire agréé ? </t>
  </si>
  <si>
    <t xml:space="preserve">NOM DE L'ORGANISME DE CONTRÔLE : </t>
  </si>
  <si>
    <t xml:space="preserve">MAITRE D'OUVRAGE DE LA STATION : </t>
  </si>
  <si>
    <t xml:space="preserve">RÉSEAU : </t>
  </si>
  <si>
    <t>Le manuel d’autosurveillance n’est pas à jour si :
     * date du MAS ≤ 2015 ;
     * changement du maitre d’ouvrage ou de l’exploitant ;
     * construction d’une nouvelle STEU ou la réhabilitation d’une STEU ;
     * modification des points du système de collecte, de la station de traitement et des points de déversement au milieu ;
     * modification du référentiel et du schéma SANDRE (ajout ou suppression d’un point d’autosurveillance ou toute autre modification impactant le calcul du rendement) ;
     * évolutions techniques ou travaux importants sur le système d'assainissement impactant les points d'autosurveillance ;
     * modifications réglementaires telles que l’adoption d’un nouvel arrêté si impact sur le référentiel, le schéma SANDRE et le matériel d’autosurveillance ;
     * modifications significatives du suivi métrologique des dispositifs d'autosurveillance ;
     *modifications significatives concernant la réalisation des analyses d'autosurveillance.</t>
  </si>
  <si>
    <r>
      <t>CONDITION(S) M</t>
    </r>
    <r>
      <rPr>
        <b/>
        <sz val="11"/>
        <color theme="4"/>
        <rFont val="Calibri"/>
        <family val="2"/>
      </rPr>
      <t>É</t>
    </r>
    <r>
      <rPr>
        <b/>
        <sz val="11"/>
        <color theme="4"/>
        <rFont val="Calibri"/>
        <family val="2"/>
        <scheme val="minor"/>
      </rPr>
      <t>TÉO :</t>
    </r>
  </si>
  <si>
    <t>EXPLOITANT DU RÉSEAU :</t>
  </si>
  <si>
    <t xml:space="preserve">TYPE DE RÉSEAU : </t>
  </si>
  <si>
    <t xml:space="preserve">CAPACITÉ DE LA STATION : </t>
  </si>
  <si>
    <r>
      <t>ENTR</t>
    </r>
    <r>
      <rPr>
        <b/>
        <sz val="12"/>
        <rFont val="Calibri"/>
        <family val="2"/>
      </rPr>
      <t>É</t>
    </r>
    <r>
      <rPr>
        <b/>
        <sz val="12"/>
        <rFont val="Calibri"/>
        <family val="2"/>
        <scheme val="minor"/>
      </rPr>
      <t>E et SORTIE</t>
    </r>
  </si>
  <si>
    <t>DTS ET BY-PASS</t>
  </si>
  <si>
    <r>
      <t>BOUES ET APPORTS EXT</t>
    </r>
    <r>
      <rPr>
        <b/>
        <sz val="12"/>
        <rFont val="Calibri"/>
        <family val="2"/>
      </rPr>
      <t>É</t>
    </r>
    <r>
      <rPr>
        <b/>
        <sz val="12"/>
        <rFont val="Calibri"/>
        <family val="2"/>
        <scheme val="minor"/>
      </rPr>
      <t>RIEURS</t>
    </r>
  </si>
  <si>
    <t>Commentaires sur l'évaluation :</t>
  </si>
  <si>
    <r>
      <rPr>
        <b/>
        <sz val="16"/>
        <color theme="0"/>
        <rFont val="Calibri"/>
        <family val="2"/>
      </rPr>
      <t>É</t>
    </r>
    <r>
      <rPr>
        <b/>
        <sz val="16"/>
        <color theme="0"/>
        <rFont val="Calibri"/>
        <family val="2"/>
        <scheme val="minor"/>
      </rPr>
      <t>valuation des points règlementaires</t>
    </r>
  </si>
  <si>
    <t>Évaluation documentaire</t>
  </si>
  <si>
    <t>Coefficient Qualité</t>
  </si>
  <si>
    <t xml:space="preserve">Existe-t-il un système Qualité performant ? </t>
  </si>
  <si>
    <t xml:space="preserve">Manuel autosurveillance à jour, validé ou en cours d'expertise ? </t>
  </si>
  <si>
    <t>Est-ce que le manuel autosurveillance est à jour, validé ou en cours d'expertise ?</t>
  </si>
  <si>
    <t xml:space="preserve">Le comparatif est-il effectué à partir des prélévements d'une autre station ? </t>
  </si>
  <si>
    <r>
      <t>SYNTH</t>
    </r>
    <r>
      <rPr>
        <b/>
        <sz val="18"/>
        <color theme="0"/>
        <rFont val="Calibri"/>
        <family val="2"/>
      </rPr>
      <t>È</t>
    </r>
    <r>
      <rPr>
        <b/>
        <sz val="18"/>
        <color theme="0"/>
        <rFont val="Calibri"/>
        <family val="2"/>
        <scheme val="minor"/>
      </rPr>
      <t xml:space="preserve">SE DES </t>
    </r>
    <r>
      <rPr>
        <b/>
        <sz val="18"/>
        <color theme="0"/>
        <rFont val="Calibri"/>
        <family val="2"/>
      </rPr>
      <t>CONTRÔLES RÉALISÉS</t>
    </r>
    <r>
      <rPr>
        <b/>
        <sz val="18"/>
        <color theme="0"/>
        <rFont val="Calibri"/>
        <family val="2"/>
        <scheme val="minor"/>
      </rPr>
      <t xml:space="preserve"> SUR LES DISPOSITIFS AUTOSURVEILLANCE</t>
    </r>
  </si>
  <si>
    <r>
      <t>D</t>
    </r>
    <r>
      <rPr>
        <b/>
        <sz val="18"/>
        <color theme="0"/>
        <rFont val="Calibri"/>
        <family val="2"/>
      </rPr>
      <t>É</t>
    </r>
    <r>
      <rPr>
        <b/>
        <sz val="18"/>
        <color theme="0"/>
        <rFont val="Calibri"/>
        <family val="2"/>
        <scheme val="minor"/>
      </rPr>
      <t xml:space="preserve">TAIL DES </t>
    </r>
    <r>
      <rPr>
        <b/>
        <sz val="18"/>
        <color theme="0"/>
        <rFont val="Calibri"/>
        <family val="2"/>
      </rPr>
      <t>CONTRÔLES RÉALISÉS PAR ÉQUIPEMENT</t>
    </r>
    <r>
      <rPr>
        <b/>
        <sz val="18"/>
        <color theme="0"/>
        <rFont val="Calibri"/>
        <family val="2"/>
        <scheme val="minor"/>
      </rPr>
      <t xml:space="preserve"> D'AUTOSURVEILLANCE</t>
    </r>
  </si>
  <si>
    <t>Code Point</t>
  </si>
  <si>
    <t>R53</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</si>
  <si>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</si>
  <si>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</si>
  <si>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</si>
  <si>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Tolérance de validation à 4 prélèvements par heure de rejet (soit 96 prélèvements/jour), sur justification d'un évènement exceptionnel.</t>
  </si>
  <si>
    <t>Exporter en Word</t>
  </si>
  <si>
    <t>Mesure comparative en parallèle</t>
  </si>
  <si>
    <t>EMT</t>
  </si>
  <si>
    <t>Évaluation des pratiques de fractionnement et de transport des échantillons</t>
  </si>
  <si>
    <t>Eaux résiduaires</t>
  </si>
  <si>
    <t>Penalité</t>
  </si>
  <si>
    <r>
      <t xml:space="preserve">FRACTIONNEMENT, TEMPÉRATURE ET DÉLAIS DE TRANSPORT DES </t>
    </r>
    <r>
      <rPr>
        <b/>
        <sz val="18"/>
        <color theme="0"/>
        <rFont val="Calibri"/>
        <family val="2"/>
      </rPr>
      <t>É</t>
    </r>
    <r>
      <rPr>
        <b/>
        <sz val="18"/>
        <color theme="0"/>
        <rFont val="Calibri"/>
        <family val="2"/>
        <scheme val="minor"/>
      </rPr>
      <t>CHANTILLONS</t>
    </r>
  </si>
  <si>
    <t>Coefficient Analytique</t>
  </si>
  <si>
    <t>Nombre d'analyses
réalisées</t>
  </si>
  <si>
    <t>Nombre d'analyses
conformes</t>
  </si>
  <si>
    <t xml:space="preserve">Dans l'affirmative, préciser la station : </t>
  </si>
  <si>
    <t>Informations sur le comparatif analytique</t>
  </si>
  <si>
    <t>Résultats du comparatif analytique</t>
  </si>
  <si>
    <t>(Dupliquer ce bloc en cas de comparatif multiple en utilisant le bouton du bas)</t>
  </si>
  <si>
    <t>Laboratoire du
Maître d'Ouvrage/exploitant</t>
  </si>
  <si>
    <t>Laboratoire de
contrôle</t>
  </si>
  <si>
    <t>Point</t>
  </si>
  <si>
    <t>nb ana</t>
  </si>
  <si>
    <t>nb conforme</t>
  </si>
  <si>
    <t>L'organe de mesure, y compris les canaux d'approche et de fuite, sont-ils installés conformément aux normes en vigueur et/ou aux prescriptions du constructeur ?
L'organe de mesure, y compris les canaux d'approche et de fuite, sont-ils exempts de déformation ? Dans la négative, est ce que la déformation a un impact significatif sur la mesure de débit ?</t>
  </si>
  <si>
    <t xml:space="preserve">Le caisson et les capteurs associés, sont-ils installés conformément aux prescriptions en vigueur ? </t>
  </si>
  <si>
    <t>L'inclinomètre est-il adapté à l'environnement rencontré et présente t-il un état de fonctionnement satisfaisant ?</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</si>
  <si>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</si>
  <si>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Organe déprimogène (pito...)</t>
  </si>
  <si>
    <t>Compteur mécanique</t>
  </si>
  <si>
    <t>Point A8</t>
  </si>
  <si>
    <t>RÉUTILISATION DES EAUX TRAITÉES</t>
  </si>
  <si>
    <t>Réserve</t>
  </si>
  <si>
    <t>D25</t>
  </si>
  <si>
    <r>
      <rPr>
        <b/>
        <sz val="16"/>
        <color theme="0"/>
        <rFont val="Calibri"/>
        <family val="2"/>
      </rPr>
      <t>É</t>
    </r>
    <r>
      <rPr>
        <b/>
        <sz val="16"/>
        <color theme="0"/>
        <rFont val="Calibri"/>
        <family val="2"/>
        <scheme val="minor"/>
      </rPr>
      <t>valuation des points règlementaires du réseau</t>
    </r>
  </si>
  <si>
    <t>TODO: aller chercher la liste des point Réseau</t>
  </si>
  <si>
    <t>Veuillez étendre le tableau si tous vos équipements réseau n'apparaissent pas</t>
  </si>
  <si>
    <t>Veuillez étendre le tableau si tous vos points réseau n'apparaissent pas</t>
  </si>
  <si>
    <t xml:space="preserve">Remarques: </t>
  </si>
  <si>
    <t>Les estimations et les apports par camion ne rentrent pas dans le CDA</t>
  </si>
  <si>
    <t>Q en charge boues</t>
  </si>
  <si>
    <t>non prise en compte</t>
  </si>
  <si>
    <t>-</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</si>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</sst>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0"/>
      <name val="Arial"/>
      <family val="2"/>
    </font>
    <font>
      <sz val="8"/>
      <name val="Arial"/>
      <family val="2"/>
    </font>
    <font>
      <b/>
      <sz val="8"/>
      <color theme="0"/>
      <name val="Arial"/>
      <family val="2"/>
    </font>
    <font>
      <sz val="9"/>
      <name val="Arial"/>
      <family val="2"/>
    </font>
    <font>
      <sz val="10"/>
      <name val="Arial"/>
      <family val="2"/>
    </font>
    <font>
      <sz val="8"/>
      <color theme="1"/>
      <name val="Arial"/>
      <family val="2"/>
    </font>
    <font>
      <b/>
      <sz val="18"/>
      <color theme="1"/>
      <name val="Arial"/>
      <family val="2"/>
    </font>
    <font>
      <sz val="10"/>
      <color theme="1"/>
      <name val="Arial"/>
      <family val="2"/>
    </font>
    <font>
      <sz val="9"/>
      <color theme="1"/>
      <name val="Arial"/>
      <family val="2"/>
    </font>
    <font>
      <b/>
      <sz val="12"/>
      <color indexed="9"/>
      <name val="Arial"/>
      <family val="2"/>
    </font>
    <font>
      <b/>
      <sz val="10"/>
      <color rgb="FFFF0000"/>
      <name val="Arial"/>
      <family val="2"/>
    </font>
    <font>
      <b/>
      <sz val="10"/>
      <color indexed="9"/>
      <name val="Arial"/>
      <family val="2"/>
    </font>
    <font>
      <b/>
      <sz val="12"/>
      <color theme="0"/>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z val="11"/>
      <name val="Calibri"/>
      <family val="2"/>
      <scheme val="minor"/>
    </font>
    <font>
      <b/>
      <sz val="12"/>
      <name val="Calibri"/>
      <family val="2"/>
      <scheme val="minor"/>
    </font>
    <font>
      <b/>
      <sz val="20"/>
      <color theme="0"/>
      <name val="Calibri"/>
      <family val="2"/>
      <scheme val="minor"/>
    </font>
    <font>
      <sz val="12"/>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Calibri"/>
      <family val="2"/>
      <scheme val="minor"/>
    </font>
    <font>
      <b/>
      <sz val="12"/>
      <color theme="1"/>
      <name val="Calibri"/>
      <family val="2"/>
      <scheme val="minor"/>
    </font>
    <font>
      <b/>
      <sz val="10"/>
      <color theme="2"/>
      <name val="Calibri"/>
      <family val="2"/>
      <scheme val="minor"/>
    </font>
    <font>
      <b/>
      <i/>
      <sz val="12"/>
      <color theme="0"/>
      <name val="Calibri"/>
      <family val="2"/>
      <scheme val="minor"/>
    </font>
    <font>
      <b/>
      <sz val="26"/>
      <color theme="1"/>
      <name val="Arial"/>
      <family val="2"/>
    </font>
    <font>
      <i/>
      <sz val="9"/>
      <color theme="1"/>
      <name val="Calibri"/>
      <family val="2"/>
      <scheme val="minor"/>
    </font>
    <font>
      <i/>
      <sz val="10"/>
      <color theme="1"/>
      <name val="Calibri"/>
      <family val="2"/>
      <scheme val="minor"/>
    </font>
    <font>
      <i/>
      <sz val="10"/>
      <color rgb="FFFF0000"/>
      <name val="Calibri"/>
      <family val="2"/>
      <scheme val="minor"/>
    </font>
    <font>
      <b/>
      <u/>
      <sz val="12"/>
      <name val="Calibri"/>
      <family val="2"/>
      <scheme val="minor"/>
    </font>
    <font>
      <i/>
      <sz val="12"/>
      <name val="Calibri"/>
      <family val="2"/>
      <scheme val="minor"/>
    </font>
    <font>
      <b/>
      <sz val="14"/>
      <name val="Calibri"/>
      <family val="2"/>
      <scheme val="minor"/>
    </font>
    <font>
      <b/>
      <sz val="10"/>
      <color theme="0"/>
      <name val="Calibri"/>
      <family val="2"/>
      <scheme val="minor"/>
    </font>
    <font>
      <i/>
      <sz val="12"/>
      <color theme="1"/>
      <name val="Calibri"/>
      <family val="2"/>
      <scheme val="minor"/>
    </font>
    <font>
      <b/>
      <sz val="16"/>
      <color theme="2"/>
      <name val="Calibri"/>
      <family val="2"/>
      <scheme val="minor"/>
    </font>
    <font>
      <b/>
      <sz val="12"/>
      <color theme="2"/>
      <name val="Calibri"/>
      <family val="2"/>
      <scheme val="minor"/>
    </font>
    <font>
      <b/>
      <sz val="18"/>
      <color theme="2"/>
      <name val="Calibri"/>
      <family val="2"/>
      <scheme val="minor"/>
    </font>
    <font>
      <sz val="12"/>
      <color theme="2"/>
      <name val="Calibri"/>
      <family val="2"/>
      <scheme val="minor"/>
    </font>
    <font>
      <b/>
      <sz val="11"/>
      <color theme="2"/>
      <name val="Calibri"/>
      <family val="2"/>
      <scheme val="minor"/>
    </font>
    <font>
      <b/>
      <sz val="11"/>
      <color theme="4"/>
      <name val="Calibri"/>
      <family val="2"/>
    </font>
    <font>
      <b/>
      <sz val="18"/>
      <color theme="0"/>
      <name val="Calibri"/>
      <family val="2"/>
    </font>
    <font>
      <b/>
      <sz val="12"/>
      <name val="Calibri"/>
      <family val="2"/>
    </font>
    <font>
      <b/>
      <sz val="16"/>
      <color theme="0"/>
      <name val="Calibri"/>
      <family val="2"/>
    </font>
    <font>
      <b/>
      <i/>
      <sz val="12"/>
      <name val="Calibri"/>
      <family val="2"/>
      <scheme val="minor"/>
    </font>
    <font>
      <sz val="20"/>
      <color theme="4"/>
      <name val="Calibri"/>
      <family val="2"/>
      <scheme val="minor"/>
    </font>
    <font>
      <b/>
      <i/>
      <sz val="12"/>
      <color theme="1"/>
      <name val="Calibri"/>
      <family val="2"/>
      <scheme val="minor"/>
    </font>
    <font>
      <b/>
      <sz val="14"/>
      <color theme="1"/>
      <name val="Calibri"/>
      <family val="2"/>
      <scheme val="minor"/>
    </font>
    <font>
      <u/>
      <sz val="10"/>
      <color theme="1"/>
      <name val="Calibri"/>
      <family val="2"/>
      <scheme val="minor"/>
    </font>
  </fonts>
  <fills count="3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indexed="55"/>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9"/>
        <bgColor indexed="64"/>
      </patternFill>
    </fill>
    <fill>
      <patternFill patternType="solid">
        <fgColor rgb="FFFFFFFF"/>
        <bgColor indexed="64"/>
      </patternFill>
    </fill>
    <fill>
      <patternFill patternType="solid">
        <fgColor indexed="65"/>
        <bgColor indexed="64"/>
      </patternFill>
    </fill>
    <fill>
      <patternFill patternType="solid">
        <fgColor rgb="FFFF9966"/>
        <bgColor indexed="64"/>
      </patternFill>
    </fill>
    <fill>
      <patternFill patternType="solid">
        <fgColor rgb="FF7AB51C"/>
        <bgColor indexed="64"/>
      </patternFill>
    </fill>
    <fill>
      <patternFill patternType="solid">
        <fgColor rgb="FFD57A44"/>
        <bgColor indexed="64"/>
      </patternFill>
    </fill>
    <fill>
      <patternFill patternType="solid">
        <fgColor rgb="FFB896EF"/>
        <bgColor indexed="64"/>
      </patternFill>
    </fill>
    <fill>
      <patternFill patternType="solid">
        <fgColor rgb="FF8FC4E6"/>
        <bgColor indexed="64"/>
      </patternFill>
    </fill>
    <fill>
      <patternFill patternType="solid">
        <fgColor rgb="FFC6EEFF"/>
        <bgColor indexed="64"/>
      </patternFill>
    </fill>
  </fills>
  <borders count="3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hair">
        <color auto="1"/>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style="medium">
        <color indexed="64"/>
      </left>
      <right/>
      <top style="hair">
        <color indexed="64"/>
      </top>
      <bottom/>
      <diagonal/>
    </border>
    <border>
      <left style="medium">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hair">
        <color indexed="64"/>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hair">
        <color indexed="64"/>
      </left>
      <right/>
      <top style="thin">
        <color indexed="64"/>
      </top>
      <bottom style="thin">
        <color indexed="64"/>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hair">
        <color indexed="64"/>
      </left>
      <right/>
      <top style="hair">
        <color indexed="64"/>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left>
      <right/>
      <top/>
      <bottom/>
      <diagonal/>
    </border>
    <border>
      <left style="thin">
        <color theme="0"/>
      </left>
      <right style="thin">
        <color theme="0"/>
      </right>
      <top style="thin">
        <color theme="0"/>
      </top>
      <bottom/>
      <diagonal/>
    </border>
    <border>
      <left/>
      <right style="thick">
        <color rgb="FF000000"/>
      </right>
      <top/>
      <bottom/>
      <diagonal/>
    </border>
    <border>
      <left style="thin">
        <color rgb="FF009DE0"/>
      </left>
      <right style="thin">
        <color rgb="FF009DE0"/>
      </right>
      <top style="thick">
        <color rgb="FF009DE0"/>
      </top>
      <bottom/>
      <diagonal/>
    </border>
    <border>
      <left style="thin">
        <color rgb="FF009DE0"/>
      </left>
      <right style="thick">
        <color rgb="FF009DE0"/>
      </right>
      <top style="thick">
        <color rgb="FF009DE0"/>
      </top>
      <bottom/>
      <diagonal/>
    </border>
    <border>
      <left style="thick">
        <color rgb="FF009DE0"/>
      </left>
      <right/>
      <top style="thick">
        <color rgb="FF009DE0"/>
      </top>
      <bottom style="thin">
        <color rgb="FF009DE0"/>
      </bottom>
      <diagonal/>
    </border>
    <border>
      <left/>
      <right/>
      <top style="thick">
        <color rgb="FF009DE0"/>
      </top>
      <bottom style="thin">
        <color rgb="FF009DE0"/>
      </bottom>
      <diagonal/>
    </border>
    <border>
      <left/>
      <right style="thin">
        <color rgb="FF009DE0"/>
      </right>
      <top style="thick">
        <color rgb="FF009DE0"/>
      </top>
      <bottom style="thin">
        <color rgb="FF009DE0"/>
      </bottom>
      <diagonal/>
    </border>
    <border>
      <left style="thin">
        <color rgb="FF009DE0"/>
      </left>
      <right/>
      <top style="thick">
        <color rgb="FF009DE0"/>
      </top>
      <bottom style="thin">
        <color rgb="FF009DE0"/>
      </bottom>
      <diagonal/>
    </border>
    <border>
      <left/>
      <right style="thick">
        <color rgb="FF009DE0"/>
      </right>
      <top style="thick">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rgb="FF009DE0"/>
      </left>
      <right style="thin">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top style="hair">
        <color indexed="64"/>
      </top>
      <bottom style="thin">
        <color indexed="64"/>
      </bottom>
      <diagonal/>
    </border>
    <border>
      <left/>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thick">
        <color rgb="FF009DE0"/>
      </left>
      <right/>
      <top style="thick">
        <color rgb="FF009DE0"/>
      </top>
      <bottom style="thick">
        <color rgb="FF009DE0"/>
      </bottom>
      <diagonal/>
    </border>
    <border>
      <left/>
      <right/>
      <top style="thick">
        <color rgb="FF009DE0"/>
      </top>
      <bottom style="thick">
        <color rgb="FF009DE0"/>
      </bottom>
      <diagonal/>
    </border>
    <border>
      <left/>
      <right style="thin">
        <color rgb="FF009DE0"/>
      </right>
      <top style="thick">
        <color rgb="FF009DE0"/>
      </top>
      <bottom style="thick">
        <color rgb="FF009DE0"/>
      </bottom>
      <diagonal/>
    </border>
    <border>
      <left style="thin">
        <color rgb="FF009DE0"/>
      </left>
      <right/>
      <top/>
      <bottom style="thin">
        <color rgb="FF009DE0"/>
      </bottom>
      <diagonal/>
    </border>
    <border>
      <left/>
      <right/>
      <top/>
      <bottom style="thin">
        <color rgb="FF009DE0"/>
      </bottom>
      <diagonal/>
    </border>
    <border>
      <left/>
      <right/>
      <top style="thin">
        <color rgb="FF009DE0"/>
      </top>
      <bottom/>
      <diagonal/>
    </border>
    <border>
      <left/>
      <right style="thin">
        <color rgb="FF009DE0"/>
      </right>
      <top style="thin">
        <color rgb="FF009DE0"/>
      </top>
      <bottom/>
      <diagonal/>
    </border>
    <border>
      <left/>
      <right style="thin">
        <color rgb="FF009DE0"/>
      </right>
      <top/>
      <bottom/>
      <diagonal/>
    </border>
    <border>
      <left style="thick">
        <color rgb="FF009DE0"/>
      </left>
      <right/>
      <top style="thin">
        <color rgb="FF009DE0"/>
      </top>
      <bottom/>
      <diagonal/>
    </border>
    <border>
      <left style="thick">
        <color rgb="FF009DE0"/>
      </left>
      <right/>
      <top/>
      <bottom/>
      <diagonal/>
    </border>
    <border>
      <left style="thick">
        <color rgb="FF009DE0"/>
      </left>
      <right/>
      <top/>
      <bottom style="thick">
        <color rgb="FF009DE0"/>
      </bottom>
      <diagonal/>
    </border>
    <border>
      <left/>
      <right/>
      <top/>
      <bottom style="thick">
        <color rgb="FF009DE0"/>
      </bottom>
      <diagonal/>
    </border>
    <border>
      <left/>
      <right style="thin">
        <color rgb="FF009DE0"/>
      </right>
      <top/>
      <bottom style="thick">
        <color rgb="FF009DE0"/>
      </bottom>
      <diagonal/>
    </border>
    <border>
      <left/>
      <right style="medium">
        <color rgb="FF1F497D"/>
      </right>
      <top style="hair">
        <color auto="1"/>
      </top>
      <bottom style="hair">
        <color auto="1"/>
      </bottom>
      <diagonal/>
    </border>
    <border>
      <left style="medium">
        <color rgb="FF1F497D"/>
      </left>
      <right/>
      <top style="hair">
        <color indexed="64"/>
      </top>
      <bottom style="hair">
        <color indexed="64"/>
      </bottom>
      <diagonal/>
    </border>
    <border>
      <left style="medium">
        <color rgb="FF1F497D"/>
      </left>
      <right/>
      <top style="hair">
        <color indexed="64"/>
      </top>
      <bottom style="medium">
        <color rgb="FF1F497D"/>
      </bottom>
      <diagonal/>
    </border>
    <border>
      <left/>
      <right style="medium">
        <color rgb="FF1F497D"/>
      </right>
      <top style="hair">
        <color indexed="64"/>
      </top>
      <bottom style="medium">
        <color rgb="FF1F497D"/>
      </bottom>
      <diagonal/>
    </border>
    <border>
      <left/>
      <right/>
      <top/>
      <bottom style="hair">
        <color indexed="64"/>
      </bottom>
      <diagonal/>
    </border>
    <border>
      <left style="medium">
        <color rgb="FF1F497D"/>
      </left>
      <right/>
      <top style="medium">
        <color rgb="FF1F497D"/>
      </top>
      <bottom/>
      <diagonal/>
    </border>
    <border>
      <left/>
      <right/>
      <top style="medium">
        <color rgb="FF1F497D"/>
      </top>
      <bottom/>
      <diagonal/>
    </border>
    <border>
      <left/>
      <right/>
      <top style="hair">
        <color indexed="64"/>
      </top>
      <bottom style="medium">
        <color rgb="FF1F497D"/>
      </bottom>
      <diagonal/>
    </border>
    <border>
      <left style="thin">
        <color rgb="FF1F497D"/>
      </left>
      <right style="thin">
        <color rgb="FF1F497D"/>
      </right>
      <top/>
      <bottom style="hair">
        <color indexed="64"/>
      </bottom>
      <diagonal/>
    </border>
    <border>
      <left style="thin">
        <color rgb="FF1F497D"/>
      </left>
      <right style="thin">
        <color rgb="FF1F497D"/>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auto="1"/>
      </right>
      <top/>
      <bottom style="hair">
        <color auto="1"/>
      </bottom>
      <diagonal/>
    </border>
    <border>
      <left/>
      <right style="medium">
        <color rgb="FF1F497D"/>
      </right>
      <top/>
      <bottom style="hair">
        <color auto="1"/>
      </bottom>
      <diagonal/>
    </border>
    <border>
      <left style="hair">
        <color indexed="64"/>
      </left>
      <right style="hair">
        <color indexed="64"/>
      </right>
      <top style="hair">
        <color indexed="64"/>
      </top>
      <bottom style="thin">
        <color rgb="FF1F497D"/>
      </bottom>
      <diagonal/>
    </border>
    <border>
      <left style="hair">
        <color indexed="64"/>
      </left>
      <right/>
      <top style="hair">
        <color indexed="64"/>
      </top>
      <bottom style="thin">
        <color rgb="FF1F497D"/>
      </bottom>
      <diagonal/>
    </border>
    <border>
      <left/>
      <right style="hair">
        <color auto="1"/>
      </right>
      <top style="hair">
        <color auto="1"/>
      </top>
      <bottom style="thin">
        <color rgb="FF1F497D"/>
      </bottom>
      <diagonal/>
    </border>
    <border>
      <left/>
      <right/>
      <top style="hair">
        <color indexed="64"/>
      </top>
      <bottom style="thin">
        <color rgb="FF1F497D"/>
      </bottom>
      <diagonal/>
    </border>
    <border>
      <left style="thin">
        <color rgb="FF1F497D"/>
      </left>
      <right style="thin">
        <color rgb="FF1F497D"/>
      </right>
      <top/>
      <bottom style="thin">
        <color rgb="FF1F497D"/>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theme="1"/>
      </left>
      <right style="thin">
        <color theme="1"/>
      </right>
      <top/>
      <bottom style="thin">
        <color indexed="64"/>
      </bottom>
      <diagonal/>
    </border>
    <border>
      <left style="thin">
        <color theme="1"/>
      </left>
      <right/>
      <top/>
      <bottom style="thin">
        <color indexed="64"/>
      </bottom>
      <diagonal/>
    </border>
    <border>
      <left/>
      <right style="hair">
        <color indexed="64"/>
      </right>
      <top/>
      <bottom style="thin">
        <color indexed="64"/>
      </bottom>
      <diagonal/>
    </border>
    <border>
      <left style="hair">
        <color indexed="64"/>
      </left>
      <right/>
      <top style="thin">
        <color indexed="64"/>
      </top>
      <bottom style="hair">
        <color indexed="64"/>
      </bottom>
      <diagonal/>
    </border>
    <border>
      <left/>
      <right style="thin">
        <color theme="1"/>
      </right>
      <top/>
      <bottom style="thin">
        <color indexed="64"/>
      </bottom>
      <diagonal/>
    </border>
    <border>
      <left style="medium">
        <color rgb="FF002060"/>
      </left>
      <right/>
      <top style="medium">
        <color rgb="FF002060"/>
      </top>
      <bottom style="thin">
        <color indexed="64"/>
      </bottom>
      <diagonal/>
    </border>
    <border>
      <left/>
      <right/>
      <top style="medium">
        <color rgb="FF002060"/>
      </top>
      <bottom style="thin">
        <color indexed="64"/>
      </bottom>
      <diagonal/>
    </border>
    <border>
      <left/>
      <right style="thin">
        <color indexed="64"/>
      </right>
      <top style="medium">
        <color rgb="FF002060"/>
      </top>
      <bottom style="thin">
        <color indexed="64"/>
      </bottom>
      <diagonal/>
    </border>
    <border>
      <left style="thin">
        <color indexed="64"/>
      </left>
      <right style="medium">
        <color rgb="FF002060"/>
      </right>
      <top style="medium">
        <color rgb="FF002060"/>
      </top>
      <bottom style="thin">
        <color indexed="64"/>
      </bottom>
      <diagonal/>
    </border>
    <border>
      <left style="medium">
        <color rgb="FF002060"/>
      </left>
      <right/>
      <top style="thin">
        <color indexed="64"/>
      </top>
      <bottom style="thin">
        <color indexed="64"/>
      </bottom>
      <diagonal/>
    </border>
    <border>
      <left style="thin">
        <color indexed="64"/>
      </left>
      <right style="medium">
        <color rgb="FF002060"/>
      </right>
      <top style="thin">
        <color indexed="64"/>
      </top>
      <bottom style="hair">
        <color indexed="64"/>
      </bottom>
      <diagonal/>
    </border>
    <border>
      <left style="thin">
        <color indexed="64"/>
      </left>
      <right style="medium">
        <color rgb="FF002060"/>
      </right>
      <top style="hair">
        <color indexed="64"/>
      </top>
      <bottom style="hair">
        <color indexed="64"/>
      </bottom>
      <diagonal/>
    </border>
    <border>
      <left style="medium">
        <color rgb="FF002060"/>
      </left>
      <right/>
      <top style="thin">
        <color indexed="64"/>
      </top>
      <bottom style="medium">
        <color rgb="FF002060"/>
      </bottom>
      <diagonal/>
    </border>
    <border>
      <left/>
      <right/>
      <top style="thin">
        <color indexed="64"/>
      </top>
      <bottom style="medium">
        <color rgb="FF002060"/>
      </bottom>
      <diagonal/>
    </border>
    <border>
      <left style="hair">
        <color indexed="64"/>
      </left>
      <right style="thin">
        <color indexed="64"/>
      </right>
      <top style="hair">
        <color indexed="64"/>
      </top>
      <bottom style="medium">
        <color rgb="FF002060"/>
      </bottom>
      <diagonal/>
    </border>
    <border>
      <left style="thin">
        <color indexed="64"/>
      </left>
      <right style="medium">
        <color rgb="FF002060"/>
      </right>
      <top style="hair">
        <color indexed="64"/>
      </top>
      <bottom style="medium">
        <color rgb="FF00206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right style="thin">
        <color indexed="64"/>
      </right>
      <top style="medium">
        <color rgb="FF1F497D"/>
      </top>
      <bottom style="thin">
        <color indexed="64"/>
      </bottom>
      <diagonal/>
    </border>
    <border>
      <left style="thin">
        <color indexed="64"/>
      </left>
      <right style="medium">
        <color rgb="FF1F497D"/>
      </right>
      <top style="medium">
        <color rgb="FF1F497D"/>
      </top>
      <bottom style="thin">
        <color indexed="64"/>
      </bottom>
      <diagonal/>
    </border>
    <border>
      <left style="thin">
        <color indexed="64"/>
      </left>
      <right style="medium">
        <color rgb="FF1F497D"/>
      </right>
      <top style="thin">
        <color indexed="64"/>
      </top>
      <bottom style="hair">
        <color indexed="64"/>
      </bottom>
      <diagonal/>
    </border>
    <border>
      <left style="thin">
        <color indexed="64"/>
      </left>
      <right style="medium">
        <color rgb="FF1F497D"/>
      </right>
      <top style="hair">
        <color indexed="64"/>
      </top>
      <bottom style="hair">
        <color indexed="64"/>
      </bottom>
      <diagonal/>
    </border>
    <border>
      <left style="thin">
        <color indexed="64"/>
      </left>
      <right style="medium">
        <color rgb="FF1F497D"/>
      </right>
      <top style="hair">
        <color indexed="64"/>
      </top>
      <bottom style="medium">
        <color rgb="FF1F497D"/>
      </bottom>
      <diagonal/>
    </border>
    <border>
      <left/>
      <right style="medium">
        <color rgb="FF1F497D"/>
      </right>
      <top style="medium">
        <color rgb="FF1F497D"/>
      </top>
      <bottom style="thin">
        <color indexed="64"/>
      </bottom>
      <diagonal/>
    </border>
    <border>
      <left style="medium">
        <color rgb="FF1F497D"/>
      </left>
      <right/>
      <top style="thin">
        <color indexed="64"/>
      </top>
      <bottom style="hair">
        <color indexed="64"/>
      </bottom>
      <diagonal/>
    </border>
    <border>
      <left/>
      <right style="medium">
        <color rgb="FF1F497D"/>
      </right>
      <top style="thin">
        <color indexed="64"/>
      </top>
      <bottom style="hair">
        <color indexed="64"/>
      </bottom>
      <diagonal/>
    </border>
    <border>
      <left style="medium">
        <color rgb="FF1F497D"/>
      </left>
      <right/>
      <top style="thin">
        <color indexed="64"/>
      </top>
      <bottom style="thin">
        <color indexed="64"/>
      </bottom>
      <diagonal/>
    </border>
    <border>
      <left/>
      <right style="medium">
        <color rgb="FF1F497D"/>
      </right>
      <top style="thin">
        <color indexed="64"/>
      </top>
      <bottom style="thin">
        <color indexed="64"/>
      </bottom>
      <diagonal/>
    </border>
    <border>
      <left style="medium">
        <color rgb="FF1F497D"/>
      </left>
      <right/>
      <top style="thin">
        <color indexed="64"/>
      </top>
      <bottom style="medium">
        <color rgb="FF1F497D"/>
      </bottom>
      <diagonal/>
    </border>
    <border>
      <left/>
      <right/>
      <top style="thin">
        <color indexed="64"/>
      </top>
      <bottom style="medium">
        <color rgb="FF1F497D"/>
      </bottom>
      <diagonal/>
    </border>
    <border>
      <left/>
      <right style="medium">
        <color rgb="FF1F497D"/>
      </right>
      <top style="thin">
        <color indexed="64"/>
      </top>
      <bottom style="medium">
        <color rgb="FF1F497D"/>
      </bottom>
      <diagonal/>
    </border>
    <border>
      <left/>
      <right style="medium">
        <color rgb="FF1F497D"/>
      </right>
      <top style="medium">
        <color rgb="FF1F497D"/>
      </top>
      <bottom/>
      <diagonal/>
    </border>
    <border>
      <left/>
      <right style="medium">
        <color rgb="FF1F497D"/>
      </right>
      <top style="hair">
        <color indexed="64"/>
      </top>
      <bottom/>
      <diagonal/>
    </border>
    <border>
      <left style="medium">
        <color rgb="FF1F497D"/>
      </left>
      <right/>
      <top/>
      <bottom style="hair">
        <color indexed="64"/>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style="medium">
        <color rgb="FF1F497D"/>
      </left>
      <right/>
      <top style="hair">
        <color indexed="64"/>
      </top>
      <bottom/>
      <diagonal/>
    </border>
    <border>
      <left/>
      <right style="thin">
        <color indexed="64"/>
      </right>
      <top style="hair">
        <color indexed="64"/>
      </top>
      <bottom style="medium">
        <color rgb="FF002060"/>
      </bottom>
      <diagonal/>
    </border>
    <border>
      <left/>
      <right style="thin">
        <color rgb="FF002060"/>
      </right>
      <top style="medium">
        <color rgb="FF002060"/>
      </top>
      <bottom style="thin">
        <color indexed="64"/>
      </bottom>
      <diagonal/>
    </border>
    <border>
      <left style="thin">
        <color indexed="64"/>
      </left>
      <right style="thin">
        <color rgb="FF002060"/>
      </right>
      <top style="thin">
        <color indexed="64"/>
      </top>
      <bottom style="hair">
        <color indexed="64"/>
      </bottom>
      <diagonal/>
    </border>
    <border>
      <left style="thin">
        <color indexed="64"/>
      </left>
      <right style="thin">
        <color rgb="FF002060"/>
      </right>
      <top style="hair">
        <color indexed="64"/>
      </top>
      <bottom style="hair">
        <color indexed="64"/>
      </bottom>
      <diagonal/>
    </border>
    <border>
      <left style="thin">
        <color indexed="64"/>
      </left>
      <right style="thin">
        <color rgb="FF002060"/>
      </right>
      <top style="hair">
        <color indexed="64"/>
      </top>
      <bottom style="medium">
        <color rgb="FF002060"/>
      </bottom>
      <diagonal/>
    </border>
    <border>
      <left/>
      <right style="thin">
        <color indexed="64"/>
      </right>
      <top style="hair">
        <color indexed="64"/>
      </top>
      <bottom style="medium">
        <color rgb="FF1F497D"/>
      </bottom>
      <diagonal/>
    </border>
    <border>
      <left style="medium">
        <color rgb="FF002060"/>
      </left>
      <right/>
      <top style="thin">
        <color indexed="64"/>
      </top>
      <bottom/>
      <diagonal/>
    </border>
    <border>
      <left/>
      <right style="thin">
        <color rgb="FF002060"/>
      </right>
      <top style="thin">
        <color indexed="64"/>
      </top>
      <bottom style="hair">
        <color indexed="64"/>
      </bottom>
      <diagonal/>
    </border>
    <border>
      <left style="medium">
        <color rgb="FF002060"/>
      </left>
      <right/>
      <top/>
      <bottom/>
      <diagonal/>
    </border>
    <border>
      <left/>
      <right style="thin">
        <color rgb="FF002060"/>
      </right>
      <top style="hair">
        <color indexed="64"/>
      </top>
      <bottom style="hair">
        <color indexed="64"/>
      </bottom>
      <diagonal/>
    </border>
    <border>
      <left style="medium">
        <color rgb="FF002060"/>
      </left>
      <right/>
      <top/>
      <bottom style="medium">
        <color rgb="FF002060"/>
      </bottom>
      <diagonal/>
    </border>
    <border>
      <left/>
      <right/>
      <top/>
      <bottom style="medium">
        <color rgb="FF002060"/>
      </bottom>
      <diagonal/>
    </border>
    <border>
      <left style="hair">
        <color indexed="64"/>
      </left>
      <right/>
      <top style="hair">
        <color indexed="64"/>
      </top>
      <bottom style="medium">
        <color rgb="FF002060"/>
      </bottom>
      <diagonal/>
    </border>
    <border>
      <left/>
      <right style="thin">
        <color rgb="FF002060"/>
      </right>
      <top style="hair">
        <color indexed="64"/>
      </top>
      <bottom style="medium">
        <color rgb="FF002060"/>
      </bottom>
      <diagonal/>
    </border>
    <border>
      <left/>
      <right style="thin">
        <color rgb="FF002060"/>
      </right>
      <top style="thin">
        <color indexed="64"/>
      </top>
      <bottom style="thin">
        <color indexed="64"/>
      </bottom>
      <diagonal/>
    </border>
    <border>
      <left style="thin">
        <color rgb="FF1F497D"/>
      </left>
      <right style="thin">
        <color rgb="FF1F497D"/>
      </right>
      <top style="medium">
        <color rgb="FF1F497D"/>
      </top>
      <bottom style="thin">
        <color indexed="64"/>
      </bottom>
      <diagonal/>
    </border>
    <border>
      <left style="thin">
        <color rgb="FF1F497D"/>
      </left>
      <right style="thin">
        <color rgb="FF1F497D"/>
      </right>
      <top style="thin">
        <color indexed="64"/>
      </top>
      <bottom style="thin">
        <color indexed="64"/>
      </bottom>
      <diagonal/>
    </border>
    <border>
      <left style="thin">
        <color rgb="FF1F497D"/>
      </left>
      <right style="thin">
        <color rgb="FF1F497D"/>
      </right>
      <top style="thin">
        <color indexed="64"/>
      </top>
      <bottom style="medium">
        <color rgb="FF1F497D"/>
      </bottom>
      <diagonal/>
    </border>
    <border>
      <left style="medium">
        <color rgb="FF002060"/>
      </left>
      <right/>
      <top/>
      <bottom style="thin">
        <color indexed="64"/>
      </bottom>
      <diagonal/>
    </border>
    <border>
      <left style="medium">
        <color rgb="FF1F497D"/>
      </left>
      <right/>
      <top style="medium">
        <color rgb="FF1F497D"/>
      </top>
      <bottom style="thin">
        <color rgb="FF1F497D"/>
      </bottom>
      <diagonal/>
    </border>
    <border>
      <left/>
      <right/>
      <top style="medium">
        <color rgb="FF1F497D"/>
      </top>
      <bottom style="thin">
        <color rgb="FF1F497D"/>
      </bottom>
      <diagonal/>
    </border>
    <border>
      <left/>
      <right style="thin">
        <color rgb="FF1F497D"/>
      </right>
      <top style="medium">
        <color rgb="FF1F497D"/>
      </top>
      <bottom style="thin">
        <color rgb="FF1F497D"/>
      </bottom>
      <diagonal/>
    </border>
    <border>
      <left style="hair">
        <color rgb="FF1F497D"/>
      </left>
      <right style="thin">
        <color rgb="FF1F497D"/>
      </right>
      <top style="thin">
        <color rgb="FF1F497D"/>
      </top>
      <bottom style="thin">
        <color indexed="64"/>
      </bottom>
      <diagonal/>
    </border>
    <border>
      <left style="hair">
        <color rgb="FF1F497D"/>
      </left>
      <right style="thin">
        <color rgb="FF1F497D"/>
      </right>
      <top style="thin">
        <color indexed="64"/>
      </top>
      <bottom style="medium">
        <color rgb="FF002060"/>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style="medium">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thin">
        <color rgb="FF000000"/>
      </left>
      <right/>
      <top style="thin">
        <color rgb="FF000000"/>
      </top>
      <bottom style="thin">
        <color rgb="FF000000"/>
      </bottom>
      <diagonal/>
    </border>
    <border>
      <left style="thin">
        <color rgb="FF1F497D"/>
      </left>
      <right style="thin">
        <color rgb="FF1F497D"/>
      </right>
      <top style="medium">
        <color indexed="64"/>
      </top>
      <bottom/>
      <diagonal/>
    </border>
    <border>
      <left style="medium">
        <color indexed="64"/>
      </left>
      <right style="hair">
        <color indexed="64"/>
      </right>
      <top style="hair">
        <color indexed="64"/>
      </top>
      <bottom style="thin">
        <color rgb="FF1F497D"/>
      </bottom>
      <diagonal/>
    </border>
    <border>
      <left style="hair">
        <color indexed="64"/>
      </left>
      <right style="medium">
        <color indexed="64"/>
      </right>
      <top style="hair">
        <color indexed="64"/>
      </top>
      <bottom style="thin">
        <color rgb="FF1F497D"/>
      </bottom>
      <diagonal/>
    </border>
    <border>
      <left/>
      <right style="medium">
        <color indexed="64"/>
      </right>
      <top/>
      <bottom style="hair">
        <color auto="1"/>
      </bottom>
      <diagonal/>
    </border>
    <border>
      <left/>
      <right style="hair">
        <color auto="1"/>
      </right>
      <top style="hair">
        <color auto="1"/>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rgb="FF1F497D"/>
      </left>
      <right style="thin">
        <color rgb="FF1F497D"/>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right style="hair">
        <color auto="1"/>
      </right>
      <top/>
      <bottom style="medium">
        <color indexed="64"/>
      </bottom>
      <diagonal/>
    </border>
    <border>
      <left/>
      <right/>
      <top/>
      <bottom style="medium">
        <color indexed="64"/>
      </bottom>
      <diagonal/>
    </border>
    <border>
      <left style="thin">
        <color rgb="FF1F497D"/>
      </left>
      <right style="thin">
        <color rgb="FF1F497D"/>
      </right>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medium">
        <color indexed="64"/>
      </right>
      <top style="medium">
        <color indexed="64"/>
      </top>
      <bottom/>
      <diagonal/>
    </border>
    <border>
      <left style="medium">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dotted">
        <color indexed="64"/>
      </right>
      <top style="thin">
        <color indexed="64"/>
      </top>
      <bottom style="medium">
        <color indexed="64"/>
      </bottom>
      <diagonal/>
    </border>
  </borders>
  <cellStyleXfs count="7">
    <xf numFmtId="0" fontId="0" fillId="0" borderId="0"/>
    <xf numFmtId="0" fontId="17" fillId="0" borderId="0"/>
    <xf numFmtId="9" fontId="17" fillId="0" borderId="0" applyFont="0" applyFill="0" applyBorder="0" applyAlignment="0" applyProtection="0"/>
    <xf numFmtId="0" fontId="9" fillId="0" borderId="0"/>
    <xf numFmtId="0" fontId="8" fillId="0" borderId="0"/>
    <xf numFmtId="0" fontId="7" fillId="0" borderId="0"/>
    <xf numFmtId="0" fontId="6" fillId="0" borderId="0"/>
  </cellStyleXfs>
  <cellXfs count="1038">
    <xf numFmtId="0" fontId="0" fillId="0" borderId="0" xfId="0"/>
    <xf numFmtId="0" fontId="0" fillId="2" borderId="0" xfId="0" applyFill="1"/>
    <xf numFmtId="0" fontId="17" fillId="0" borderId="0" xfId="0" applyFont="1" applyAlignment="1">
      <alignment horizontal="center"/>
    </xf>
    <xf numFmtId="0" fontId="17" fillId="0" borderId="0" xfId="0" applyFont="1" applyAlignment="1">
      <alignment horizontal="center" vertical="center"/>
    </xf>
    <xf numFmtId="0" fontId="17" fillId="0" borderId="0" xfId="1" applyAlignment="1" applyProtection="1">
      <alignment vertical="center"/>
      <protection hidden="1"/>
    </xf>
    <xf numFmtId="0" fontId="17" fillId="0" borderId="0" xfId="1" applyAlignment="1" applyProtection="1">
      <alignment vertical="center" wrapText="1"/>
      <protection hidden="1"/>
    </xf>
    <xf numFmtId="0" fontId="17" fillId="8" borderId="50" xfId="1" applyFill="1" applyBorder="1" applyAlignment="1" applyProtection="1">
      <alignment vertical="center"/>
      <protection hidden="1"/>
    </xf>
    <xf numFmtId="0" fontId="17" fillId="8" borderId="51" xfId="1" applyFill="1" applyBorder="1" applyAlignment="1" applyProtection="1">
      <alignment vertical="center"/>
      <protection hidden="1"/>
    </xf>
    <xf numFmtId="0" fontId="17" fillId="0" borderId="0" xfId="1" applyAlignment="1" applyProtection="1">
      <alignment horizontal="center" vertical="center"/>
      <protection hidden="1"/>
    </xf>
    <xf numFmtId="0" fontId="13" fillId="0" borderId="0" xfId="1" applyFont="1" applyAlignment="1" applyProtection="1">
      <alignment vertical="center"/>
      <protection hidden="1"/>
    </xf>
    <xf numFmtId="3" fontId="17" fillId="0" borderId="0" xfId="1" applyNumberFormat="1" applyAlignment="1" applyProtection="1">
      <alignment vertical="center"/>
      <protection hidden="1"/>
    </xf>
    <xf numFmtId="0" fontId="0" fillId="3" borderId="0" xfId="0" applyFill="1" applyAlignment="1">
      <alignment vertical="center"/>
    </xf>
    <xf numFmtId="0" fontId="0" fillId="0" borderId="0" xfId="0" applyAlignment="1">
      <alignment vertical="center"/>
    </xf>
    <xf numFmtId="0" fontId="0" fillId="3" borderId="4" xfId="0" applyFill="1" applyBorder="1" applyAlignment="1">
      <alignment horizontal="center"/>
    </xf>
    <xf numFmtId="0" fontId="11" fillId="9" borderId="70" xfId="0" applyFont="1" applyFill="1" applyBorder="1" applyAlignment="1">
      <alignment horizontal="center" vertical="center" wrapText="1"/>
    </xf>
    <xf numFmtId="0" fontId="0" fillId="9" borderId="71" xfId="0" applyFill="1" applyBorder="1" applyAlignment="1">
      <alignment vertical="top" wrapText="1"/>
    </xf>
    <xf numFmtId="0" fontId="0" fillId="9" borderId="72" xfId="0" applyFill="1" applyBorder="1" applyAlignment="1">
      <alignment vertical="top" wrapText="1"/>
    </xf>
    <xf numFmtId="0" fontId="0" fillId="9" borderId="72" xfId="0" applyFill="1" applyBorder="1" applyAlignment="1">
      <alignment horizontal="center" vertical="top" wrapText="1"/>
    </xf>
    <xf numFmtId="0" fontId="0" fillId="9" borderId="73" xfId="0" applyFill="1" applyBorder="1" applyAlignment="1">
      <alignment horizontal="center" vertical="top" wrapText="1"/>
    </xf>
    <xf numFmtId="0" fontId="0" fillId="9" borderId="74" xfId="0" applyFill="1" applyBorder="1" applyAlignment="1">
      <alignment vertical="top" wrapText="1"/>
    </xf>
    <xf numFmtId="0" fontId="11" fillId="9" borderId="75" xfId="0" applyFont="1" applyFill="1" applyBorder="1" applyAlignment="1">
      <alignment horizontal="center" vertical="center" wrapText="1"/>
    </xf>
    <xf numFmtId="0" fontId="0" fillId="9" borderId="76" xfId="0" applyFill="1" applyBorder="1" applyAlignment="1">
      <alignment vertical="top" wrapText="1"/>
    </xf>
    <xf numFmtId="0" fontId="0" fillId="9" borderId="77" xfId="0" applyFill="1" applyBorder="1" applyAlignment="1">
      <alignment vertical="top" wrapText="1"/>
    </xf>
    <xf numFmtId="0" fontId="0" fillId="9" borderId="77" xfId="0" applyFill="1" applyBorder="1" applyAlignment="1">
      <alignment horizontal="center" vertical="top" wrapText="1"/>
    </xf>
    <xf numFmtId="0" fontId="0" fillId="9" borderId="78" xfId="0" applyFill="1" applyBorder="1" applyAlignment="1">
      <alignment horizontal="center" vertical="top" wrapText="1"/>
    </xf>
    <xf numFmtId="0" fontId="0" fillId="9" borderId="79" xfId="0" applyFill="1" applyBorder="1" applyAlignment="1">
      <alignment vertical="top" wrapText="1"/>
    </xf>
    <xf numFmtId="0" fontId="35" fillId="9" borderId="77" xfId="0" applyFont="1" applyFill="1" applyBorder="1" applyAlignment="1">
      <alignment vertical="top" wrapText="1"/>
    </xf>
    <xf numFmtId="0" fontId="41" fillId="9" borderId="76" xfId="0" applyFont="1" applyFill="1" applyBorder="1" applyAlignment="1">
      <alignment vertical="top" wrapText="1"/>
    </xf>
    <xf numFmtId="0" fontId="41" fillId="9" borderId="77" xfId="0" applyFont="1" applyFill="1" applyBorder="1" applyAlignment="1">
      <alignment vertical="top" wrapText="1"/>
    </xf>
    <xf numFmtId="0" fontId="41" fillId="9" borderId="77" xfId="0" applyFont="1" applyFill="1" applyBorder="1" applyAlignment="1">
      <alignment horizontal="center" vertical="top" wrapText="1"/>
    </xf>
    <xf numFmtId="0" fontId="41" fillId="9" borderId="78" xfId="0" applyFont="1" applyFill="1" applyBorder="1" applyAlignment="1">
      <alignment horizontal="center" vertical="top" wrapText="1"/>
    </xf>
    <xf numFmtId="0" fontId="17" fillId="9" borderId="77" xfId="0" applyFont="1" applyFill="1" applyBorder="1" applyAlignment="1">
      <alignment vertical="top" wrapText="1"/>
    </xf>
    <xf numFmtId="0" fontId="0" fillId="0" borderId="79" xfId="0" applyBorder="1" applyAlignment="1">
      <alignment vertical="top" wrapText="1"/>
    </xf>
    <xf numFmtId="0" fontId="0" fillId="10" borderId="0" xfId="0" applyFill="1" applyAlignment="1">
      <alignment vertical="top" wrapText="1"/>
    </xf>
    <xf numFmtId="0" fontId="11" fillId="9" borderId="81" xfId="0" applyFont="1" applyFill="1" applyBorder="1" applyAlignment="1">
      <alignment horizontal="center" vertical="center" wrapText="1"/>
    </xf>
    <xf numFmtId="0" fontId="0" fillId="0" borderId="82" xfId="0" applyBorder="1" applyAlignment="1">
      <alignment vertical="top" wrapText="1"/>
    </xf>
    <xf numFmtId="0" fontId="0" fillId="0" borderId="83" xfId="0" applyBorder="1" applyAlignment="1">
      <alignment vertical="top" wrapText="1"/>
    </xf>
    <xf numFmtId="0" fontId="0" fillId="0" borderId="83" xfId="0" applyBorder="1" applyAlignment="1">
      <alignment horizontal="center" vertical="top" wrapText="1"/>
    </xf>
    <xf numFmtId="0" fontId="0" fillId="0" borderId="84" xfId="0" applyBorder="1" applyAlignment="1">
      <alignment horizontal="center" vertical="top" wrapText="1"/>
    </xf>
    <xf numFmtId="0" fontId="0" fillId="9" borderId="82" xfId="0" applyFill="1" applyBorder="1" applyAlignment="1">
      <alignment vertical="top" wrapText="1"/>
    </xf>
    <xf numFmtId="0" fontId="0" fillId="9" borderId="83" xfId="0" applyFill="1" applyBorder="1" applyAlignment="1">
      <alignment vertical="top" wrapText="1"/>
    </xf>
    <xf numFmtId="0" fontId="0" fillId="9" borderId="83" xfId="0" applyFill="1" applyBorder="1" applyAlignment="1">
      <alignment horizontal="center" vertical="top" wrapText="1"/>
    </xf>
    <xf numFmtId="0" fontId="0" fillId="9" borderId="84" xfId="0" applyFill="1" applyBorder="1" applyAlignment="1">
      <alignment horizontal="center" vertical="top" wrapText="1"/>
    </xf>
    <xf numFmtId="0" fontId="0" fillId="9" borderId="85" xfId="0" applyFill="1" applyBorder="1" applyAlignment="1">
      <alignment vertical="top" wrapText="1"/>
    </xf>
    <xf numFmtId="0" fontId="41" fillId="9" borderId="82" xfId="0" applyFont="1" applyFill="1" applyBorder="1" applyAlignment="1">
      <alignment vertical="top" wrapText="1"/>
    </xf>
    <xf numFmtId="0" fontId="41" fillId="9" borderId="83" xfId="0" applyFont="1" applyFill="1" applyBorder="1" applyAlignment="1">
      <alignment vertical="top" wrapText="1"/>
    </xf>
    <xf numFmtId="0" fontId="41" fillId="9" borderId="83" xfId="0" applyFont="1" applyFill="1" applyBorder="1" applyAlignment="1">
      <alignment horizontal="center" vertical="top" wrapText="1"/>
    </xf>
    <xf numFmtId="0" fontId="41" fillId="9" borderId="84" xfId="0" applyFont="1" applyFill="1" applyBorder="1" applyAlignment="1">
      <alignment horizontal="center" vertical="top" wrapText="1"/>
    </xf>
    <xf numFmtId="0" fontId="35" fillId="9" borderId="83" xfId="0" applyFont="1" applyFill="1" applyBorder="1" applyAlignment="1">
      <alignment vertical="top" wrapText="1"/>
    </xf>
    <xf numFmtId="0" fontId="0" fillId="0" borderId="0" xfId="0" applyAlignment="1">
      <alignment horizontal="center" vertical="center" wrapText="1"/>
    </xf>
    <xf numFmtId="0" fontId="19" fillId="0" borderId="0" xfId="0" applyFont="1" applyAlignment="1">
      <alignment horizontal="left" vertical="center"/>
    </xf>
    <xf numFmtId="0" fontId="19"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9"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11" fillId="5" borderId="32" xfId="0" applyFont="1" applyFill="1" applyBorder="1"/>
    <xf numFmtId="0" fontId="0" fillId="0" borderId="76" xfId="0" applyBorder="1" applyAlignment="1">
      <alignment vertical="top" wrapText="1"/>
    </xf>
    <xf numFmtId="0" fontId="0" fillId="0" borderId="77" xfId="0" applyBorder="1" applyAlignment="1">
      <alignment vertical="top" wrapText="1"/>
    </xf>
    <xf numFmtId="0" fontId="17" fillId="12" borderId="0" xfId="1" applyFill="1" applyAlignment="1" applyProtection="1">
      <alignment vertical="center"/>
      <protection hidden="1"/>
    </xf>
    <xf numFmtId="0" fontId="23" fillId="12" borderId="0" xfId="1" applyFont="1" applyFill="1" applyAlignment="1" applyProtection="1">
      <alignment vertical="center"/>
      <protection hidden="1"/>
    </xf>
    <xf numFmtId="0" fontId="36" fillId="11" borderId="20" xfId="0" applyFont="1" applyFill="1" applyBorder="1" applyAlignment="1">
      <alignment horizontal="center" vertical="center"/>
    </xf>
    <xf numFmtId="0" fontId="36" fillId="11" borderId="63" xfId="0" applyFont="1" applyFill="1" applyBorder="1" applyAlignment="1">
      <alignment vertical="center"/>
    </xf>
    <xf numFmtId="0" fontId="36" fillId="11" borderId="63" xfId="0" applyFont="1" applyFill="1" applyBorder="1" applyAlignment="1">
      <alignment horizontal="center" vertical="center"/>
    </xf>
    <xf numFmtId="0" fontId="36" fillId="11" borderId="64" xfId="0" applyFont="1" applyFill="1" applyBorder="1" applyAlignment="1">
      <alignment horizontal="center" vertical="center"/>
    </xf>
    <xf numFmtId="0" fontId="36" fillId="11" borderId="65" xfId="0" applyFont="1" applyFill="1" applyBorder="1" applyAlignment="1">
      <alignment vertical="center"/>
    </xf>
    <xf numFmtId="0" fontId="37" fillId="11" borderId="63" xfId="0" applyFont="1" applyFill="1" applyBorder="1" applyAlignment="1">
      <alignment vertical="center"/>
    </xf>
    <xf numFmtId="0" fontId="38" fillId="11" borderId="63" xfId="0" applyFont="1" applyFill="1" applyBorder="1" applyAlignment="1">
      <alignment vertical="center"/>
    </xf>
    <xf numFmtId="0" fontId="38" fillId="11" borderId="63" xfId="0" applyFont="1" applyFill="1" applyBorder="1" applyAlignment="1">
      <alignment horizontal="center" vertical="center"/>
    </xf>
    <xf numFmtId="0" fontId="38" fillId="11" borderId="64" xfId="0" applyFont="1" applyFill="1" applyBorder="1" applyAlignment="1">
      <alignment horizontal="center" vertical="center"/>
    </xf>
    <xf numFmtId="0" fontId="36" fillId="11" borderId="66" xfId="0" applyFont="1" applyFill="1" applyBorder="1" applyAlignment="1">
      <alignment horizontal="center" vertical="center" wrapText="1"/>
    </xf>
    <xf numFmtId="0" fontId="39" fillId="11" borderId="67" xfId="0" applyFont="1" applyFill="1" applyBorder="1" applyAlignment="1">
      <alignment horizontal="center" vertical="center" wrapText="1"/>
    </xf>
    <xf numFmtId="0" fontId="39" fillId="11" borderId="68" xfId="0" applyFont="1" applyFill="1" applyBorder="1" applyAlignment="1">
      <alignment horizontal="center" vertical="center" wrapText="1"/>
    </xf>
    <xf numFmtId="0" fontId="39" fillId="11" borderId="69" xfId="0" applyFont="1" applyFill="1" applyBorder="1" applyAlignment="1">
      <alignment horizontal="center" vertical="center" wrapText="1"/>
    </xf>
    <xf numFmtId="0" fontId="11" fillId="13" borderId="75" xfId="0" applyFont="1" applyFill="1" applyBorder="1" applyAlignment="1">
      <alignment horizontal="center" vertical="center" wrapText="1"/>
    </xf>
    <xf numFmtId="0" fontId="0" fillId="13" borderId="76" xfId="0" applyFill="1" applyBorder="1" applyAlignment="1">
      <alignment vertical="top" wrapText="1"/>
    </xf>
    <xf numFmtId="0" fontId="0" fillId="13" borderId="77" xfId="0" applyFill="1" applyBorder="1" applyAlignment="1">
      <alignment vertical="top" wrapText="1"/>
    </xf>
    <xf numFmtId="0" fontId="0" fillId="13" borderId="77" xfId="0" applyFill="1" applyBorder="1" applyAlignment="1">
      <alignment horizontal="center" vertical="top" wrapText="1"/>
    </xf>
    <xf numFmtId="0" fontId="0" fillId="13" borderId="78" xfId="0" applyFill="1" applyBorder="1" applyAlignment="1">
      <alignment horizontal="center" vertical="top" wrapText="1"/>
    </xf>
    <xf numFmtId="0" fontId="0" fillId="13" borderId="79" xfId="0" applyFill="1" applyBorder="1" applyAlignment="1">
      <alignment vertical="top" wrapText="1"/>
    </xf>
    <xf numFmtId="0" fontId="35" fillId="13" borderId="77" xfId="0" applyFont="1" applyFill="1" applyBorder="1" applyAlignment="1">
      <alignment vertical="top" wrapText="1"/>
    </xf>
    <xf numFmtId="0" fontId="0" fillId="13" borderId="0" xfId="0" applyFill="1" applyAlignment="1">
      <alignment vertical="top" wrapText="1"/>
    </xf>
    <xf numFmtId="0" fontId="41" fillId="13" borderId="76" xfId="0" applyFont="1" applyFill="1" applyBorder="1" applyAlignment="1">
      <alignment vertical="top" wrapText="1"/>
    </xf>
    <xf numFmtId="0" fontId="41" fillId="13" borderId="77" xfId="0" applyFont="1" applyFill="1" applyBorder="1" applyAlignment="1">
      <alignment vertical="top" wrapText="1"/>
    </xf>
    <xf numFmtId="0" fontId="41" fillId="13" borderId="77" xfId="0" applyFont="1" applyFill="1" applyBorder="1" applyAlignment="1">
      <alignment horizontal="center" vertical="top" wrapText="1"/>
    </xf>
    <xf numFmtId="0" fontId="41" fillId="13" borderId="78" xfId="0" applyFont="1" applyFill="1" applyBorder="1" applyAlignment="1">
      <alignment horizontal="center" vertical="top" wrapText="1"/>
    </xf>
    <xf numFmtId="0" fontId="0" fillId="13" borderId="80" xfId="0" applyFill="1" applyBorder="1" applyAlignment="1">
      <alignment vertical="top" wrapText="1"/>
    </xf>
    <xf numFmtId="0" fontId="11" fillId="13" borderId="57" xfId="0" applyFont="1" applyFill="1" applyBorder="1" applyAlignment="1">
      <alignment horizontal="center" vertical="center" wrapText="1"/>
    </xf>
    <xf numFmtId="0" fontId="0" fillId="13" borderId="86" xfId="0" applyFill="1" applyBorder="1" applyAlignment="1">
      <alignment vertical="top" wrapText="1"/>
    </xf>
    <xf numFmtId="0" fontId="0" fillId="13" borderId="87" xfId="0" applyFill="1" applyBorder="1" applyAlignment="1">
      <alignment vertical="top" wrapText="1"/>
    </xf>
    <xf numFmtId="0" fontId="0" fillId="13" borderId="87" xfId="0" applyFill="1" applyBorder="1" applyAlignment="1">
      <alignment horizontal="center" vertical="top" wrapText="1"/>
    </xf>
    <xf numFmtId="0" fontId="0" fillId="13" borderId="88" xfId="0" applyFill="1" applyBorder="1" applyAlignment="1">
      <alignment horizontal="center" vertical="top" wrapText="1"/>
    </xf>
    <xf numFmtId="0" fontId="0" fillId="13" borderId="89" xfId="0" applyFill="1" applyBorder="1" applyAlignment="1">
      <alignment vertical="top" wrapText="1"/>
    </xf>
    <xf numFmtId="3" fontId="17" fillId="12" borderId="0" xfId="1" applyNumberFormat="1" applyFill="1" applyAlignment="1" applyProtection="1">
      <alignment vertical="center"/>
      <protection hidden="1"/>
    </xf>
    <xf numFmtId="0" fontId="24" fillId="12" borderId="0" xfId="1" applyFont="1" applyFill="1" applyAlignment="1" applyProtection="1">
      <alignment vertical="center"/>
      <protection hidden="1"/>
    </xf>
    <xf numFmtId="0" fontId="17" fillId="12" borderId="0" xfId="1" applyFill="1" applyAlignment="1" applyProtection="1">
      <alignment vertical="center" wrapText="1"/>
      <protection hidden="1"/>
    </xf>
    <xf numFmtId="0" fontId="26" fillId="11" borderId="38" xfId="1" applyFont="1" applyFill="1" applyBorder="1" applyAlignment="1" applyProtection="1">
      <alignment horizontal="center" vertical="center" wrapText="1"/>
      <protection hidden="1"/>
    </xf>
    <xf numFmtId="0" fontId="26" fillId="11" borderId="39" xfId="1" applyFont="1" applyFill="1" applyBorder="1" applyAlignment="1" applyProtection="1">
      <alignment horizontal="center" vertical="center" wrapText="1"/>
      <protection hidden="1"/>
    </xf>
    <xf numFmtId="3" fontId="26" fillId="11" borderId="7" xfId="1" applyNumberFormat="1" applyFont="1" applyFill="1" applyBorder="1" applyAlignment="1" applyProtection="1">
      <alignment horizontal="center" vertical="center" wrapText="1"/>
      <protection hidden="1"/>
    </xf>
    <xf numFmtId="0" fontId="17" fillId="13" borderId="12" xfId="1" applyFill="1" applyBorder="1" applyAlignment="1" applyProtection="1">
      <alignment horizontal="center" vertical="center"/>
      <protection hidden="1"/>
    </xf>
    <xf numFmtId="0" fontId="17" fillId="13" borderId="13" xfId="1" applyFill="1" applyBorder="1" applyAlignment="1" applyProtection="1">
      <alignment horizontal="center" vertical="center"/>
      <protection hidden="1"/>
    </xf>
    <xf numFmtId="0" fontId="20" fillId="13" borderId="13" xfId="1" applyFont="1" applyFill="1" applyBorder="1" applyAlignment="1" applyProtection="1">
      <alignment horizontal="center" vertical="center"/>
      <protection hidden="1"/>
    </xf>
    <xf numFmtId="3" fontId="17" fillId="13" borderId="14" xfId="1" applyNumberFormat="1" applyFill="1" applyBorder="1" applyAlignment="1" applyProtection="1">
      <alignment horizontal="center" vertical="center"/>
      <protection hidden="1"/>
    </xf>
    <xf numFmtId="0" fontId="17" fillId="13" borderId="34" xfId="1" applyFill="1" applyBorder="1" applyAlignment="1" applyProtection="1">
      <alignment horizontal="center" vertical="center"/>
      <protection hidden="1"/>
    </xf>
    <xf numFmtId="0" fontId="17" fillId="13" borderId="4" xfId="1" applyFill="1" applyBorder="1" applyAlignment="1" applyProtection="1">
      <alignment horizontal="center" vertical="center"/>
      <protection hidden="1"/>
    </xf>
    <xf numFmtId="0" fontId="20" fillId="13" borderId="4" xfId="1" applyFont="1" applyFill="1" applyBorder="1" applyAlignment="1" applyProtection="1">
      <alignment horizontal="center" vertical="center"/>
      <protection hidden="1"/>
    </xf>
    <xf numFmtId="3" fontId="17" fillId="13" borderId="33" xfId="1" applyNumberFormat="1" applyFill="1" applyBorder="1" applyAlignment="1" applyProtection="1">
      <alignment horizontal="center" vertical="center"/>
      <protection hidden="1"/>
    </xf>
    <xf numFmtId="0" fontId="17" fillId="13" borderId="34" xfId="1" applyFill="1" applyBorder="1" applyAlignment="1" applyProtection="1">
      <alignment horizontal="center" vertical="center" wrapText="1"/>
      <protection hidden="1"/>
    </xf>
    <xf numFmtId="0" fontId="17" fillId="13" borderId="4" xfId="1" applyFill="1" applyBorder="1" applyAlignment="1" applyProtection="1">
      <alignment horizontal="center" vertical="center" wrapText="1"/>
      <protection hidden="1"/>
    </xf>
    <xf numFmtId="0" fontId="13" fillId="12" borderId="0" xfId="1" applyFont="1" applyFill="1" applyAlignment="1" applyProtection="1">
      <alignment vertical="center"/>
      <protection hidden="1"/>
    </xf>
    <xf numFmtId="0" fontId="17" fillId="13" borderId="35" xfId="1" applyFill="1" applyBorder="1" applyAlignment="1" applyProtection="1">
      <alignment horizontal="center" vertical="center" wrapText="1"/>
      <protection hidden="1"/>
    </xf>
    <xf numFmtId="0" fontId="17" fillId="13" borderId="16" xfId="1" applyFill="1" applyBorder="1" applyAlignment="1" applyProtection="1">
      <alignment horizontal="center" vertical="center" wrapText="1"/>
      <protection hidden="1"/>
    </xf>
    <xf numFmtId="0" fontId="17" fillId="13" borderId="16" xfId="1" applyFill="1" applyBorder="1" applyAlignment="1" applyProtection="1">
      <alignment horizontal="center" vertical="center"/>
      <protection hidden="1"/>
    </xf>
    <xf numFmtId="3" fontId="17" fillId="13" borderId="9" xfId="1" applyNumberFormat="1" applyFill="1" applyBorder="1" applyAlignment="1" applyProtection="1">
      <alignment horizontal="center" vertical="center"/>
      <protection hidden="1"/>
    </xf>
    <xf numFmtId="0" fontId="17" fillId="12" borderId="0" xfId="1" applyFill="1" applyAlignment="1" applyProtection="1">
      <alignment horizontal="left" vertical="center"/>
      <protection hidden="1"/>
    </xf>
    <xf numFmtId="0" fontId="17" fillId="12" borderId="0" xfId="1" applyFill="1" applyAlignment="1" applyProtection="1">
      <alignment horizontal="center" vertical="center"/>
      <protection hidden="1"/>
    </xf>
    <xf numFmtId="3" fontId="17" fillId="12" borderId="0" xfId="1" applyNumberFormat="1" applyFill="1" applyAlignment="1" applyProtection="1">
      <alignment horizontal="center" vertical="center"/>
      <protection hidden="1"/>
    </xf>
    <xf numFmtId="0" fontId="26" fillId="11" borderId="5" xfId="1" applyFont="1" applyFill="1" applyBorder="1" applyAlignment="1" applyProtection="1">
      <alignment horizontal="center" vertical="center" wrapText="1"/>
      <protection hidden="1"/>
    </xf>
    <xf numFmtId="0" fontId="26" fillId="11" borderId="8" xfId="1" applyFont="1" applyFill="1" applyBorder="1" applyAlignment="1" applyProtection="1">
      <alignment horizontal="center" vertical="center" wrapText="1"/>
      <protection hidden="1"/>
    </xf>
    <xf numFmtId="0" fontId="26" fillId="11" borderId="40" xfId="1" applyFont="1" applyFill="1" applyBorder="1" applyAlignment="1" applyProtection="1">
      <alignment horizontal="center" vertical="center" wrapText="1"/>
      <protection hidden="1"/>
    </xf>
    <xf numFmtId="0" fontId="12" fillId="11" borderId="41" xfId="1" applyFont="1" applyFill="1" applyBorder="1" applyAlignment="1" applyProtection="1">
      <alignment horizontal="center" vertical="center" wrapText="1"/>
      <protection hidden="1"/>
    </xf>
    <xf numFmtId="0" fontId="17" fillId="12" borderId="31" xfId="1" applyFill="1" applyBorder="1" applyAlignment="1" applyProtection="1">
      <alignment vertical="center" wrapText="1"/>
      <protection hidden="1"/>
    </xf>
    <xf numFmtId="0" fontId="17" fillId="13" borderId="42" xfId="1" applyFill="1" applyBorder="1" applyAlignment="1" applyProtection="1">
      <alignment horizontal="center" vertical="center"/>
      <protection hidden="1"/>
    </xf>
    <xf numFmtId="0" fontId="17" fillId="13" borderId="43" xfId="1" applyFill="1" applyBorder="1" applyAlignment="1" applyProtection="1">
      <alignment horizontal="center" vertical="center"/>
      <protection hidden="1"/>
    </xf>
    <xf numFmtId="0" fontId="20" fillId="13" borderId="42" xfId="1" applyFont="1" applyFill="1" applyBorder="1" applyAlignment="1" applyProtection="1">
      <alignment horizontal="center" vertical="center"/>
      <protection hidden="1"/>
    </xf>
    <xf numFmtId="0" fontId="17" fillId="13" borderId="44" xfId="1" applyFill="1" applyBorder="1" applyAlignment="1" applyProtection="1">
      <alignment horizontal="center" vertical="center"/>
      <protection hidden="1"/>
    </xf>
    <xf numFmtId="9" fontId="17" fillId="13" borderId="45" xfId="1" applyNumberFormat="1" applyFill="1" applyBorder="1" applyAlignment="1" applyProtection="1">
      <alignment horizontal="center" vertical="center"/>
      <protection hidden="1"/>
    </xf>
    <xf numFmtId="0" fontId="17" fillId="13" borderId="46" xfId="1" applyFill="1" applyBorder="1" applyAlignment="1" applyProtection="1">
      <alignment horizontal="center" vertical="center"/>
      <protection hidden="1"/>
    </xf>
    <xf numFmtId="9" fontId="17" fillId="13" borderId="47" xfId="1" applyNumberFormat="1" applyFill="1" applyBorder="1" applyAlignment="1" applyProtection="1">
      <alignment horizontal="center" vertical="center"/>
      <protection hidden="1"/>
    </xf>
    <xf numFmtId="0" fontId="17" fillId="13" borderId="48" xfId="1" applyFill="1" applyBorder="1" applyAlignment="1" applyProtection="1">
      <alignment horizontal="center" vertical="center"/>
      <protection hidden="1"/>
    </xf>
    <xf numFmtId="0" fontId="17" fillId="13" borderId="49" xfId="1" applyFill="1" applyBorder="1" applyAlignment="1" applyProtection="1">
      <alignment horizontal="center" vertical="center"/>
      <protection hidden="1"/>
    </xf>
    <xf numFmtId="0" fontId="20" fillId="13" borderId="48" xfId="1" applyFont="1" applyFill="1" applyBorder="1" applyAlignment="1" applyProtection="1">
      <alignment horizontal="center" vertical="center"/>
      <protection hidden="1"/>
    </xf>
    <xf numFmtId="0" fontId="17" fillId="13" borderId="50" xfId="1" applyFill="1" applyBorder="1" applyAlignment="1" applyProtection="1">
      <alignment horizontal="center" vertical="center"/>
      <protection hidden="1"/>
    </xf>
    <xf numFmtId="9" fontId="17" fillId="13" borderId="51" xfId="1" applyNumberFormat="1" applyFill="1" applyBorder="1" applyAlignment="1" applyProtection="1">
      <alignment horizontal="center" vertical="center"/>
      <protection hidden="1"/>
    </xf>
    <xf numFmtId="0" fontId="28" fillId="13" borderId="49" xfId="1" applyFont="1" applyFill="1" applyBorder="1" applyAlignment="1" applyProtection="1">
      <alignment horizontal="center" vertical="center"/>
      <protection hidden="1"/>
    </xf>
    <xf numFmtId="0" fontId="17" fillId="13" borderId="49" xfId="1" applyFill="1" applyBorder="1" applyAlignment="1" applyProtection="1">
      <alignment horizontal="center" vertical="center" wrapText="1"/>
      <protection hidden="1"/>
    </xf>
    <xf numFmtId="49" fontId="0" fillId="0" borderId="0" xfId="0" applyNumberFormat="1" applyAlignment="1">
      <alignment vertical="top"/>
    </xf>
    <xf numFmtId="49" fontId="0" fillId="0" borderId="0" xfId="0" applyNumberFormat="1" applyAlignment="1">
      <alignment horizontal="left" vertical="top"/>
    </xf>
    <xf numFmtId="0" fontId="17" fillId="13" borderId="90" xfId="1" applyFill="1" applyBorder="1" applyAlignment="1" applyProtection="1">
      <alignment horizontal="center" vertical="center"/>
      <protection hidden="1"/>
    </xf>
    <xf numFmtId="0" fontId="17" fillId="13" borderId="91" xfId="1" applyFill="1" applyBorder="1" applyAlignment="1" applyProtection="1">
      <alignment horizontal="center" vertical="center" wrapText="1"/>
      <protection hidden="1"/>
    </xf>
    <xf numFmtId="0" fontId="20" fillId="13" borderId="90" xfId="1" applyFont="1" applyFill="1" applyBorder="1" applyAlignment="1" applyProtection="1">
      <alignment horizontal="center" vertical="center"/>
      <protection hidden="1"/>
    </xf>
    <xf numFmtId="0" fontId="17" fillId="13" borderId="91" xfId="1" applyFill="1" applyBorder="1" applyAlignment="1" applyProtection="1">
      <alignment horizontal="center" vertical="center"/>
      <protection hidden="1"/>
    </xf>
    <xf numFmtId="0" fontId="17" fillId="13" borderId="92" xfId="1" applyFill="1" applyBorder="1" applyAlignment="1" applyProtection="1">
      <alignment horizontal="center" vertical="center"/>
      <protection hidden="1"/>
    </xf>
    <xf numFmtId="9" fontId="17" fillId="13" borderId="93" xfId="1" applyNumberFormat="1" applyFill="1" applyBorder="1" applyAlignment="1" applyProtection="1">
      <alignment horizontal="center" vertical="center"/>
      <protection hidden="1"/>
    </xf>
    <xf numFmtId="0" fontId="17" fillId="13" borderId="5" xfId="1" applyFill="1" applyBorder="1" applyAlignment="1" applyProtection="1">
      <alignment horizontal="center" vertical="center"/>
      <protection hidden="1"/>
    </xf>
    <xf numFmtId="0" fontId="17" fillId="13" borderId="8" xfId="1" applyFill="1" applyBorder="1" applyAlignment="1" applyProtection="1">
      <alignment horizontal="center" vertical="center" wrapText="1"/>
      <protection hidden="1"/>
    </xf>
    <xf numFmtId="0" fontId="17" fillId="13" borderId="8" xfId="1" applyFill="1" applyBorder="1" applyAlignment="1" applyProtection="1">
      <alignment horizontal="center" vertical="center"/>
      <protection hidden="1"/>
    </xf>
    <xf numFmtId="0" fontId="17" fillId="13" borderId="40" xfId="1" applyFill="1" applyBorder="1" applyAlignment="1" applyProtection="1">
      <alignment horizontal="center" vertical="center"/>
      <protection hidden="1"/>
    </xf>
    <xf numFmtId="9" fontId="17" fillId="13" borderId="41" xfId="1" applyNumberFormat="1" applyFill="1" applyBorder="1" applyAlignment="1" applyProtection="1">
      <alignment horizontal="center" vertical="center"/>
      <protection hidden="1"/>
    </xf>
    <xf numFmtId="0" fontId="0" fillId="2" borderId="31" xfId="0" applyFill="1" applyBorder="1"/>
    <xf numFmtId="0" fontId="0" fillId="0" borderId="4" xfId="0" applyBorder="1"/>
    <xf numFmtId="0" fontId="0" fillId="2" borderId="4" xfId="0" applyFill="1" applyBorder="1"/>
    <xf numFmtId="0" fontId="0" fillId="3" borderId="4" xfId="0" applyFill="1" applyBorder="1"/>
    <xf numFmtId="0" fontId="0" fillId="11" borderId="0" xfId="0" applyFill="1"/>
    <xf numFmtId="0" fontId="25" fillId="11" borderId="0" xfId="0" applyFont="1" applyFill="1" applyAlignment="1">
      <alignment vertical="center"/>
    </xf>
    <xf numFmtId="0" fontId="0" fillId="14" borderId="0" xfId="0" applyFill="1"/>
    <xf numFmtId="0" fontId="25" fillId="14" borderId="0" xfId="0" applyFont="1" applyFill="1" applyAlignment="1">
      <alignment vertical="center"/>
    </xf>
    <xf numFmtId="0" fontId="16" fillId="5" borderId="3" xfId="0" applyFont="1" applyFill="1" applyBorder="1" applyAlignment="1">
      <alignment horizontal="center" vertical="center"/>
    </xf>
    <xf numFmtId="0" fontId="16" fillId="5" borderId="28" xfId="0" applyFont="1" applyFill="1" applyBorder="1" applyAlignment="1">
      <alignment horizontal="center" vertic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33" xfId="0" applyFill="1" applyBorder="1" applyAlignment="1">
      <alignment horizontal="center"/>
    </xf>
    <xf numFmtId="0" fontId="16" fillId="5" borderId="15" xfId="0" applyFont="1" applyFill="1" applyBorder="1" applyAlignment="1">
      <alignment horizontal="center" vertical="center"/>
    </xf>
    <xf numFmtId="0" fontId="0" fillId="3" borderId="16" xfId="0" applyFill="1" applyBorder="1"/>
    <xf numFmtId="0" fontId="0" fillId="3" borderId="9" xfId="0" applyFill="1" applyBorder="1"/>
    <xf numFmtId="0" fontId="0" fillId="3" borderId="16" xfId="0" applyFill="1" applyBorder="1" applyAlignment="1">
      <alignment horizontal="center"/>
    </xf>
    <xf numFmtId="0" fontId="0" fillId="3" borderId="9" xfId="0" applyFill="1" applyBorder="1" applyAlignment="1">
      <alignment horizontal="center"/>
    </xf>
    <xf numFmtId="0" fontId="11" fillId="0" borderId="0" xfId="0" applyFont="1" applyAlignment="1">
      <alignment vertical="center"/>
    </xf>
    <xf numFmtId="0" fontId="11" fillId="0" borderId="4" xfId="0" applyFont="1" applyBorder="1" applyAlignment="1">
      <alignment horizontal="right" vertical="center"/>
    </xf>
    <xf numFmtId="0" fontId="18" fillId="0" borderId="4" xfId="0" applyFont="1" applyBorder="1" applyAlignment="1">
      <alignment horizontal="center" vertical="center"/>
    </xf>
    <xf numFmtId="0" fontId="10" fillId="11" borderId="4" xfId="0" applyFont="1" applyFill="1" applyBorder="1" applyAlignment="1">
      <alignment vertical="center"/>
    </xf>
    <xf numFmtId="0" fontId="10" fillId="11" borderId="1" xfId="0" applyFont="1" applyFill="1" applyBorder="1" applyAlignment="1">
      <alignment vertical="center"/>
    </xf>
    <xf numFmtId="0" fontId="10" fillId="15" borderId="5" xfId="0" applyFont="1" applyFill="1" applyBorder="1" applyAlignment="1">
      <alignment horizontal="center" vertical="center"/>
    </xf>
    <xf numFmtId="0" fontId="15" fillId="15" borderId="6" xfId="0" applyFont="1" applyFill="1" applyBorder="1" applyAlignment="1">
      <alignment horizontal="center" vertical="center"/>
    </xf>
    <xf numFmtId="0" fontId="12" fillId="15" borderId="5" xfId="0" applyFont="1" applyFill="1" applyBorder="1" applyAlignment="1">
      <alignment vertical="center"/>
    </xf>
    <xf numFmtId="0" fontId="12" fillId="15" borderId="6" xfId="0" applyFont="1" applyFill="1" applyBorder="1" applyAlignment="1">
      <alignment vertical="center"/>
    </xf>
    <xf numFmtId="0" fontId="12" fillId="15" borderId="6" xfId="0" applyFont="1" applyFill="1" applyBorder="1" applyAlignment="1">
      <alignment horizontal="center" vertical="center"/>
    </xf>
    <xf numFmtId="0" fontId="12" fillId="15" borderId="19" xfId="0" applyFont="1" applyFill="1" applyBorder="1" applyAlignment="1">
      <alignment horizontal="center" vertical="center"/>
    </xf>
    <xf numFmtId="0" fontId="10" fillId="15" borderId="10" xfId="0" applyFont="1" applyFill="1" applyBorder="1" applyAlignment="1">
      <alignment horizontal="center" vertical="center"/>
    </xf>
    <xf numFmtId="0" fontId="15" fillId="15" borderId="29" xfId="0" applyFont="1" applyFill="1" applyBorder="1" applyAlignment="1">
      <alignment horizontal="center" vertical="center"/>
    </xf>
    <xf numFmtId="0" fontId="0" fillId="16" borderId="4" xfId="0" applyFill="1" applyBorder="1" applyAlignment="1">
      <alignment horizontal="center"/>
    </xf>
    <xf numFmtId="0" fontId="0" fillId="16" borderId="33" xfId="0" applyFill="1" applyBorder="1" applyAlignment="1">
      <alignment horizontal="center"/>
    </xf>
    <xf numFmtId="0" fontId="12" fillId="15" borderId="29" xfId="0" applyFont="1" applyFill="1" applyBorder="1" applyAlignment="1">
      <alignment horizontal="center" vertical="center"/>
    </xf>
    <xf numFmtId="0" fontId="12" fillId="15" borderId="30" xfId="0" applyFont="1" applyFill="1" applyBorder="1" applyAlignment="1">
      <alignment horizontal="center" vertical="center"/>
    </xf>
    <xf numFmtId="0" fontId="12" fillId="15" borderId="10" xfId="0" applyFont="1" applyFill="1" applyBorder="1" applyAlignment="1">
      <alignment vertical="center"/>
    </xf>
    <xf numFmtId="0" fontId="10" fillId="15" borderId="29"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6" xfId="0" applyFont="1" applyFill="1" applyBorder="1" applyAlignment="1">
      <alignment horizontal="center" vertical="center"/>
    </xf>
    <xf numFmtId="0" fontId="0" fillId="3" borderId="28" xfId="0" applyFill="1" applyBorder="1" applyAlignment="1">
      <alignment horizontal="center"/>
    </xf>
    <xf numFmtId="0" fontId="0" fillId="3" borderId="3" xfId="0" applyFill="1" applyBorder="1" applyAlignment="1">
      <alignment horizontal="center"/>
    </xf>
    <xf numFmtId="0" fontId="0" fillId="16" borderId="3" xfId="0" applyFill="1" applyBorder="1" applyAlignment="1">
      <alignment horizontal="center"/>
    </xf>
    <xf numFmtId="0" fontId="0" fillId="3" borderId="15" xfId="0" applyFill="1" applyBorder="1" applyAlignment="1">
      <alignment horizontal="center"/>
    </xf>
    <xf numFmtId="0" fontId="12" fillId="15" borderId="29" xfId="0" applyFont="1" applyFill="1" applyBorder="1" applyAlignment="1">
      <alignment vertical="center"/>
    </xf>
    <xf numFmtId="0" fontId="16" fillId="5" borderId="14" xfId="0" applyFont="1" applyFill="1" applyBorder="1" applyAlignment="1">
      <alignment horizontal="center" vertical="center"/>
    </xf>
    <xf numFmtId="0" fontId="16" fillId="5" borderId="33" xfId="0" applyFont="1" applyFill="1" applyBorder="1" applyAlignment="1">
      <alignment horizontal="center" vertical="center"/>
    </xf>
    <xf numFmtId="0" fontId="16" fillId="5" borderId="9" xfId="0" applyFont="1" applyFill="1" applyBorder="1" applyAlignment="1">
      <alignment horizontal="center" vertical="center"/>
    </xf>
    <xf numFmtId="0" fontId="10" fillId="15" borderId="29" xfId="0" applyFont="1" applyFill="1" applyBorder="1" applyAlignment="1">
      <alignment vertical="center"/>
    </xf>
    <xf numFmtId="0" fontId="0" fillId="17" borderId="0" xfId="0" applyFill="1"/>
    <xf numFmtId="0" fontId="11" fillId="17" borderId="0" xfId="0" applyFont="1" applyFill="1" applyAlignment="1">
      <alignment vertical="center"/>
    </xf>
    <xf numFmtId="0" fontId="10" fillId="14" borderId="58" xfId="0" applyFont="1" applyFill="1" applyBorder="1" applyAlignment="1">
      <alignment vertical="center"/>
    </xf>
    <xf numFmtId="0" fontId="12" fillId="14" borderId="0" xfId="0" applyFont="1" applyFill="1"/>
    <xf numFmtId="0" fontId="10" fillId="14" borderId="0" xfId="0" applyFont="1" applyFill="1" applyAlignment="1">
      <alignment vertical="center"/>
    </xf>
    <xf numFmtId="0" fontId="0" fillId="2" borderId="32" xfId="0" applyFill="1" applyBorder="1"/>
    <xf numFmtId="0" fontId="10" fillId="11" borderId="10" xfId="0" applyFont="1" applyFill="1" applyBorder="1" applyAlignment="1">
      <alignment horizontal="center" vertical="center"/>
    </xf>
    <xf numFmtId="0" fontId="0" fillId="17" borderId="31" xfId="0" applyFill="1" applyBorder="1" applyAlignment="1">
      <alignment horizontal="center"/>
    </xf>
    <xf numFmtId="0" fontId="0" fillId="17" borderId="32" xfId="0" applyFill="1" applyBorder="1" applyAlignment="1">
      <alignment horizontal="center"/>
    </xf>
    <xf numFmtId="0" fontId="11" fillId="17" borderId="31" xfId="0" applyFont="1" applyFill="1" applyBorder="1" applyAlignment="1">
      <alignment vertical="center"/>
    </xf>
    <xf numFmtId="0" fontId="11" fillId="5" borderId="31" xfId="0" applyFont="1" applyFill="1" applyBorder="1"/>
    <xf numFmtId="0" fontId="0" fillId="18" borderId="0" xfId="0" applyFill="1"/>
    <xf numFmtId="0" fontId="0" fillId="18" borderId="31" xfId="0" applyFill="1" applyBorder="1"/>
    <xf numFmtId="0" fontId="11" fillId="17" borderId="0" xfId="0" applyFont="1" applyFill="1" applyAlignment="1">
      <alignment horizontal="center" vertical="center"/>
    </xf>
    <xf numFmtId="0" fontId="11" fillId="17" borderId="31" xfId="0" applyFont="1" applyFill="1" applyBorder="1" applyAlignment="1">
      <alignment horizontal="center" vertical="center"/>
    </xf>
    <xf numFmtId="0" fontId="11" fillId="17" borderId="32" xfId="0" applyFont="1" applyFill="1" applyBorder="1" applyAlignment="1">
      <alignment horizontal="center" vertical="center"/>
    </xf>
    <xf numFmtId="0" fontId="0" fillId="7" borderId="31" xfId="0" applyFill="1" applyBorder="1"/>
    <xf numFmtId="0" fontId="0" fillId="7" borderId="0" xfId="0" applyFill="1"/>
    <xf numFmtId="0" fontId="0" fillId="7" borderId="32" xfId="0" applyFill="1" applyBorder="1"/>
    <xf numFmtId="0" fontId="0" fillId="19" borderId="0" xfId="0" applyFill="1"/>
    <xf numFmtId="0" fontId="0" fillId="20" borderId="0" xfId="0" applyFill="1"/>
    <xf numFmtId="0" fontId="51" fillId="21" borderId="0" xfId="0" applyFont="1" applyFill="1" applyProtection="1">
      <protection hidden="1"/>
    </xf>
    <xf numFmtId="0" fontId="48" fillId="0" borderId="0" xfId="0" applyFont="1"/>
    <xf numFmtId="0" fontId="48" fillId="21" borderId="0" xfId="0" applyFont="1" applyFill="1"/>
    <xf numFmtId="0" fontId="48" fillId="21" borderId="0" xfId="0" applyFont="1" applyFill="1" applyProtection="1">
      <protection hidden="1"/>
    </xf>
    <xf numFmtId="0" fontId="48" fillId="21" borderId="0" xfId="0" applyFont="1" applyFill="1" applyAlignment="1" applyProtection="1">
      <alignment horizontal="center" vertical="center"/>
      <protection locked="0" hidden="1"/>
    </xf>
    <xf numFmtId="0" fontId="49" fillId="0" borderId="0" xfId="0" applyFont="1" applyAlignment="1">
      <alignment vertical="center" wrapText="1"/>
    </xf>
    <xf numFmtId="0" fontId="31" fillId="0" borderId="0" xfId="0" applyFont="1" applyAlignment="1">
      <alignment vertical="center" wrapText="1"/>
    </xf>
    <xf numFmtId="0" fontId="63" fillId="0" borderId="0" xfId="0" applyFont="1"/>
    <xf numFmtId="0" fontId="63" fillId="0" borderId="0" xfId="0" applyFont="1" applyAlignment="1">
      <alignment horizontal="center" vertical="center"/>
    </xf>
    <xf numFmtId="0" fontId="65" fillId="0" borderId="0" xfId="0" applyFont="1" applyAlignment="1">
      <alignment vertical="center"/>
    </xf>
    <xf numFmtId="0" fontId="69" fillId="0" borderId="0" xfId="0" applyFont="1"/>
    <xf numFmtId="0" fontId="69" fillId="0" borderId="0" xfId="0" applyFont="1" applyAlignment="1">
      <alignment horizontal="center" vertical="center"/>
    </xf>
    <xf numFmtId="0" fontId="70" fillId="0" borderId="0" xfId="0" applyFont="1"/>
    <xf numFmtId="0" fontId="63" fillId="0" borderId="121" xfId="0" applyFont="1" applyBorder="1"/>
    <xf numFmtId="0" fontId="63" fillId="0" borderId="122" xfId="0" applyFont="1" applyBorder="1"/>
    <xf numFmtId="0" fontId="48" fillId="0" borderId="121" xfId="0" applyFont="1" applyBorder="1"/>
    <xf numFmtId="0" fontId="69" fillId="0" borderId="122" xfId="0" applyFont="1" applyBorder="1"/>
    <xf numFmtId="0" fontId="69" fillId="0" borderId="121" xfId="0" applyFont="1" applyBorder="1"/>
    <xf numFmtId="0" fontId="69" fillId="0" borderId="123" xfId="0" applyFont="1" applyBorder="1"/>
    <xf numFmtId="0" fontId="69" fillId="0" borderId="124" xfId="0" applyFont="1" applyBorder="1" applyAlignment="1">
      <alignment horizontal="center"/>
    </xf>
    <xf numFmtId="0" fontId="70" fillId="0" borderId="124" xfId="0" applyFont="1" applyBorder="1"/>
    <xf numFmtId="0" fontId="69" fillId="0" borderId="124" xfId="0" applyFont="1" applyBorder="1"/>
    <xf numFmtId="0" fontId="70" fillId="0" borderId="124" xfId="0" applyFont="1" applyBorder="1" applyAlignment="1">
      <alignment horizontal="center" vertical="center"/>
    </xf>
    <xf numFmtId="0" fontId="69" fillId="0" borderId="125" xfId="0" applyFont="1" applyBorder="1"/>
    <xf numFmtId="0" fontId="48" fillId="0" borderId="131" xfId="0" applyFont="1" applyBorder="1"/>
    <xf numFmtId="0" fontId="48" fillId="0" borderId="132" xfId="0" applyFont="1" applyBorder="1"/>
    <xf numFmtId="0" fontId="59" fillId="0" borderId="132" xfId="0" applyFont="1" applyBorder="1" applyAlignment="1">
      <alignment vertical="center" wrapText="1"/>
    </xf>
    <xf numFmtId="0" fontId="59" fillId="0" borderId="133" xfId="0" applyFont="1" applyBorder="1" applyAlignment="1">
      <alignment vertical="center" wrapText="1"/>
    </xf>
    <xf numFmtId="0" fontId="48" fillId="0" borderId="130" xfId="0" applyFont="1" applyBorder="1"/>
    <xf numFmtId="0" fontId="60" fillId="0" borderId="129" xfId="0" applyFont="1" applyBorder="1" applyAlignment="1" applyProtection="1">
      <alignment vertical="center"/>
      <protection locked="0"/>
    </xf>
    <xf numFmtId="0" fontId="61" fillId="0" borderId="129" xfId="0" applyFont="1" applyBorder="1" applyAlignment="1" applyProtection="1">
      <alignment vertical="center"/>
      <protection locked="0"/>
    </xf>
    <xf numFmtId="0" fontId="31" fillId="0" borderId="129" xfId="0" applyFont="1" applyBorder="1" applyAlignment="1">
      <alignment vertical="center" wrapText="1"/>
    </xf>
    <xf numFmtId="0" fontId="48" fillId="0" borderId="129" xfId="0" applyFont="1" applyBorder="1"/>
    <xf numFmtId="0" fontId="66" fillId="0" borderId="129" xfId="0" applyFont="1" applyBorder="1"/>
    <xf numFmtId="0" fontId="67" fillId="0" borderId="129" xfId="0" applyFont="1" applyBorder="1"/>
    <xf numFmtId="0" fontId="48" fillId="0" borderId="134" xfId="0" applyFont="1" applyBorder="1"/>
    <xf numFmtId="0" fontId="48" fillId="0" borderId="135" xfId="0" applyFont="1" applyBorder="1"/>
    <xf numFmtId="0" fontId="50" fillId="0" borderId="135" xfId="1" applyFont="1" applyBorder="1" applyAlignment="1">
      <alignment vertical="center"/>
    </xf>
    <xf numFmtId="0" fontId="64" fillId="0" borderId="135" xfId="1" applyFont="1" applyBorder="1" applyAlignment="1">
      <alignment vertical="center"/>
    </xf>
    <xf numFmtId="9" fontId="68" fillId="0" borderId="135" xfId="2" applyFont="1" applyFill="1" applyBorder="1" applyAlignment="1" applyProtection="1">
      <alignment horizontal="center" vertical="center"/>
    </xf>
    <xf numFmtId="0" fontId="48" fillId="0" borderId="136" xfId="0" applyFont="1" applyBorder="1"/>
    <xf numFmtId="0" fontId="54" fillId="22" borderId="115" xfId="0" applyFont="1" applyFill="1" applyBorder="1" applyAlignment="1">
      <alignment horizontal="center" vertical="center" wrapText="1"/>
    </xf>
    <xf numFmtId="0" fontId="64" fillId="0" borderId="0" xfId="0" applyFont="1" applyAlignment="1">
      <alignment horizontal="center" vertical="center"/>
    </xf>
    <xf numFmtId="0" fontId="69" fillId="0" borderId="0" xfId="0" applyFont="1" applyAlignment="1">
      <alignment horizontal="center"/>
    </xf>
    <xf numFmtId="0" fontId="70" fillId="0" borderId="0" xfId="0" applyFont="1" applyAlignment="1">
      <alignment horizontal="center" vertical="center"/>
    </xf>
    <xf numFmtId="0" fontId="69" fillId="0" borderId="0" xfId="0" applyFont="1" applyAlignment="1">
      <alignment vertical="center"/>
    </xf>
    <xf numFmtId="0" fontId="53" fillId="0" borderId="0" xfId="0" applyFont="1" applyAlignment="1">
      <alignment horizontal="center" vertical="center"/>
    </xf>
    <xf numFmtId="0" fontId="48" fillId="0" borderId="0" xfId="0" applyFont="1" applyAlignment="1">
      <alignment horizontal="center" vertical="center"/>
    </xf>
    <xf numFmtId="0" fontId="53" fillId="0" borderId="115" xfId="0" applyFont="1" applyBorder="1" applyAlignment="1">
      <alignment horizontal="center" vertical="center"/>
    </xf>
    <xf numFmtId="0" fontId="53" fillId="0" borderId="121" xfId="0" applyFont="1" applyBorder="1" applyAlignment="1">
      <alignment horizontal="center" vertical="center"/>
    </xf>
    <xf numFmtId="0" fontId="53" fillId="0" borderId="122" xfId="0" applyFont="1" applyBorder="1" applyAlignment="1">
      <alignment horizontal="center" vertical="center"/>
    </xf>
    <xf numFmtId="0" fontId="69" fillId="0" borderId="122" xfId="0" applyFont="1" applyBorder="1" applyAlignment="1">
      <alignment horizontal="center" vertical="center"/>
    </xf>
    <xf numFmtId="0" fontId="71" fillId="0" borderId="121" xfId="0" applyFont="1" applyBorder="1" applyAlignment="1">
      <alignment horizontal="center" vertical="center"/>
    </xf>
    <xf numFmtId="0" fontId="69" fillId="0" borderId="121" xfId="0" applyFont="1" applyBorder="1" applyAlignment="1">
      <alignment horizontal="center" vertical="center"/>
    </xf>
    <xf numFmtId="0" fontId="69" fillId="0" borderId="123" xfId="0" applyFont="1" applyBorder="1" applyAlignment="1">
      <alignment horizontal="center" vertical="center"/>
    </xf>
    <xf numFmtId="0" fontId="69" fillId="0" borderId="124" xfId="0" applyFont="1" applyBorder="1" applyAlignment="1">
      <alignment horizontal="center" vertical="center"/>
    </xf>
    <xf numFmtId="0" fontId="69" fillId="0" borderId="124" xfId="0" applyFont="1" applyBorder="1" applyAlignment="1">
      <alignment vertical="center"/>
    </xf>
    <xf numFmtId="0" fontId="69" fillId="0" borderId="125" xfId="0" applyFont="1" applyBorder="1" applyAlignment="1">
      <alignment horizontal="center" vertical="center"/>
    </xf>
    <xf numFmtId="0" fontId="63" fillId="0" borderId="110" xfId="0" applyFont="1" applyBorder="1"/>
    <xf numFmtId="0" fontId="48" fillId="0" borderId="111" xfId="0" applyFont="1" applyBorder="1"/>
    <xf numFmtId="0" fontId="48" fillId="0" borderId="111" xfId="0" applyFont="1" applyBorder="1" applyAlignment="1">
      <alignment horizontal="center" vertical="center"/>
    </xf>
    <xf numFmtId="0" fontId="63" fillId="0" borderId="112" xfId="0" applyFont="1" applyBorder="1"/>
    <xf numFmtId="0" fontId="69" fillId="0" borderId="113" xfId="0" applyFont="1" applyBorder="1" applyAlignment="1">
      <alignment horizontal="center" vertical="center"/>
    </xf>
    <xf numFmtId="0" fontId="70" fillId="0" borderId="113" xfId="0" applyFont="1" applyBorder="1" applyAlignment="1">
      <alignment horizontal="center" vertical="center"/>
    </xf>
    <xf numFmtId="0" fontId="48" fillId="0" borderId="114" xfId="0" applyFont="1" applyBorder="1" applyAlignment="1">
      <alignment horizontal="center" vertical="center"/>
    </xf>
    <xf numFmtId="0" fontId="54" fillId="0" borderId="115" xfId="0" applyFont="1" applyBorder="1" applyAlignment="1">
      <alignment vertical="center" wrapText="1"/>
    </xf>
    <xf numFmtId="0" fontId="73" fillId="22" borderId="115" xfId="0" applyFont="1" applyFill="1" applyBorder="1" applyAlignment="1">
      <alignment horizontal="center" vertical="center" wrapText="1"/>
    </xf>
    <xf numFmtId="0" fontId="63" fillId="0" borderId="115" xfId="0" applyFont="1" applyBorder="1" applyAlignment="1">
      <alignment horizontal="center" vertical="center"/>
    </xf>
    <xf numFmtId="0" fontId="72" fillId="22" borderId="115" xfId="0" applyFont="1" applyFill="1" applyBorder="1" applyAlignment="1">
      <alignment horizontal="center" vertical="center" wrapText="1"/>
    </xf>
    <xf numFmtId="0" fontId="74" fillId="22" borderId="115" xfId="0" applyFont="1" applyFill="1" applyBorder="1" applyAlignment="1">
      <alignment horizontal="center" vertical="center" wrapText="1"/>
    </xf>
    <xf numFmtId="0" fontId="63" fillId="0" borderId="121" xfId="0" applyFont="1" applyBorder="1" applyAlignment="1">
      <alignment horizontal="center" vertical="center"/>
    </xf>
    <xf numFmtId="0" fontId="64" fillId="0" borderId="122" xfId="0" applyFont="1" applyBorder="1" applyAlignment="1">
      <alignment horizontal="center" vertical="center"/>
    </xf>
    <xf numFmtId="0" fontId="63" fillId="0" borderId="122" xfId="0" applyFont="1" applyBorder="1" applyAlignment="1">
      <alignment horizontal="center" vertical="center"/>
    </xf>
    <xf numFmtId="0" fontId="64" fillId="0" borderId="121" xfId="0" applyFont="1" applyBorder="1" applyAlignment="1">
      <alignment horizontal="center" vertical="center"/>
    </xf>
    <xf numFmtId="0" fontId="64" fillId="0" borderId="123" xfId="0" applyFont="1" applyBorder="1" applyAlignment="1">
      <alignment horizontal="center" vertical="center"/>
    </xf>
    <xf numFmtId="0" fontId="63" fillId="0" borderId="124" xfId="0" applyFont="1" applyBorder="1" applyAlignment="1">
      <alignment vertical="center"/>
    </xf>
    <xf numFmtId="0" fontId="63" fillId="0" borderId="124" xfId="0" applyFont="1" applyBorder="1" applyAlignment="1">
      <alignment horizontal="center" vertical="center"/>
    </xf>
    <xf numFmtId="0" fontId="63" fillId="0" borderId="125" xfId="0" applyFont="1" applyBorder="1" applyAlignment="1">
      <alignment horizontal="center" vertical="center"/>
    </xf>
    <xf numFmtId="0" fontId="63" fillId="0" borderId="123" xfId="0" applyFont="1" applyBorder="1" applyAlignment="1">
      <alignment horizontal="center" vertical="center"/>
    </xf>
    <xf numFmtId="0" fontId="58" fillId="0" borderId="124" xfId="0" applyFont="1" applyBorder="1" applyAlignment="1">
      <alignment horizontal="center" vertical="center"/>
    </xf>
    <xf numFmtId="0" fontId="48" fillId="0" borderId="124" xfId="0" applyFont="1" applyBorder="1"/>
    <xf numFmtId="0" fontId="66" fillId="0" borderId="111" xfId="0" applyFont="1" applyBorder="1" applyAlignment="1">
      <alignment horizontal="center" vertical="center"/>
    </xf>
    <xf numFmtId="0" fontId="67" fillId="0" borderId="111" xfId="0" applyFont="1" applyBorder="1" applyAlignment="1">
      <alignment horizontal="center" vertical="center"/>
    </xf>
    <xf numFmtId="0" fontId="63" fillId="0" borderId="113" xfId="0" applyFont="1" applyBorder="1" applyAlignment="1">
      <alignment horizontal="center" vertical="center"/>
    </xf>
    <xf numFmtId="0" fontId="63" fillId="0" borderId="113" xfId="0" applyFont="1" applyBorder="1" applyAlignment="1">
      <alignment vertical="center"/>
    </xf>
    <xf numFmtId="0" fontId="17" fillId="0" borderId="0" xfId="0" applyFont="1"/>
    <xf numFmtId="0" fontId="53" fillId="23" borderId="137" xfId="0" applyFont="1" applyFill="1" applyBorder="1" applyAlignment="1">
      <alignment vertical="center"/>
    </xf>
    <xf numFmtId="0" fontId="53" fillId="23" borderId="138" xfId="0" applyFont="1" applyFill="1" applyBorder="1" applyAlignment="1">
      <alignment vertical="center"/>
    </xf>
    <xf numFmtId="0" fontId="53" fillId="23" borderId="139" xfId="0" applyFont="1" applyFill="1" applyBorder="1" applyAlignment="1">
      <alignment vertical="center"/>
    </xf>
    <xf numFmtId="0" fontId="77" fillId="21" borderId="0" xfId="0" applyFont="1" applyFill="1" applyAlignment="1">
      <alignment vertical="center"/>
    </xf>
    <xf numFmtId="0" fontId="48" fillId="0" borderId="0" xfId="0" applyFont="1" applyAlignment="1">
      <alignment vertical="center"/>
    </xf>
    <xf numFmtId="0" fontId="48" fillId="0" borderId="143" xfId="0" applyFont="1" applyBorder="1" applyAlignment="1">
      <alignment vertical="center"/>
    </xf>
    <xf numFmtId="0" fontId="48" fillId="21" borderId="0" xfId="0" applyFont="1" applyFill="1" applyAlignment="1">
      <alignment vertical="center"/>
    </xf>
    <xf numFmtId="0" fontId="11" fillId="17" borderId="32" xfId="0" applyFont="1" applyFill="1" applyBorder="1" applyAlignment="1">
      <alignment vertical="center"/>
    </xf>
    <xf numFmtId="49" fontId="0" fillId="2" borderId="0" xfId="0" applyNumberFormat="1" applyFill="1" applyAlignment="1">
      <alignment vertical="top"/>
    </xf>
    <xf numFmtId="0" fontId="77" fillId="21" borderId="0" xfId="0" applyFont="1" applyFill="1"/>
    <xf numFmtId="0" fontId="0" fillId="21" borderId="161" xfId="0" applyFill="1" applyBorder="1" applyAlignment="1">
      <alignment horizontal="center" vertical="center"/>
    </xf>
    <xf numFmtId="0" fontId="48" fillId="0" borderId="129" xfId="0" applyFont="1" applyBorder="1" applyAlignment="1">
      <alignment vertical="center"/>
    </xf>
    <xf numFmtId="49" fontId="0" fillId="21" borderId="0" xfId="0" applyNumberFormat="1" applyFill="1" applyAlignment="1">
      <alignment vertical="top"/>
    </xf>
    <xf numFmtId="0" fontId="48" fillId="3" borderId="134" xfId="0" applyFont="1" applyFill="1" applyBorder="1" applyAlignment="1">
      <alignment vertical="center"/>
    </xf>
    <xf numFmtId="0" fontId="48" fillId="3" borderId="135" xfId="0" applyFont="1" applyFill="1" applyBorder="1" applyAlignment="1">
      <alignment vertical="center"/>
    </xf>
    <xf numFmtId="0" fontId="48" fillId="3" borderId="136" xfId="0" applyFont="1" applyFill="1" applyBorder="1" applyAlignment="1">
      <alignment vertical="center"/>
    </xf>
    <xf numFmtId="0" fontId="48" fillId="3" borderId="144" xfId="0" applyFont="1" applyFill="1" applyBorder="1" applyAlignment="1">
      <alignment vertical="center"/>
    </xf>
    <xf numFmtId="0" fontId="48" fillId="3" borderId="129" xfId="0" applyFont="1" applyFill="1" applyBorder="1" applyAlignment="1">
      <alignment vertical="center"/>
    </xf>
    <xf numFmtId="0" fontId="48" fillId="3" borderId="157" xfId="0" applyFont="1" applyFill="1" applyBorder="1" applyAlignment="1">
      <alignment vertical="center"/>
    </xf>
    <xf numFmtId="0" fontId="48" fillId="3" borderId="131" xfId="0" applyFont="1" applyFill="1" applyBorder="1" applyAlignment="1">
      <alignment vertical="center"/>
    </xf>
    <xf numFmtId="0" fontId="48" fillId="3" borderId="132" xfId="0" applyFont="1" applyFill="1" applyBorder="1" applyAlignment="1">
      <alignment vertical="center"/>
    </xf>
    <xf numFmtId="0" fontId="48" fillId="3" borderId="133" xfId="0" applyFont="1" applyFill="1" applyBorder="1" applyAlignment="1">
      <alignment vertical="center"/>
    </xf>
    <xf numFmtId="0" fontId="48" fillId="3" borderId="130" xfId="0" applyFont="1" applyFill="1" applyBorder="1" applyAlignment="1">
      <alignment vertical="center"/>
    </xf>
    <xf numFmtId="0" fontId="48" fillId="3" borderId="0" xfId="0" applyFont="1" applyFill="1" applyAlignment="1">
      <alignment vertical="center"/>
    </xf>
    <xf numFmtId="0" fontId="48" fillId="3" borderId="143" xfId="0" applyFont="1" applyFill="1" applyBorder="1" applyAlignment="1">
      <alignment vertical="center"/>
    </xf>
    <xf numFmtId="0" fontId="56" fillId="3" borderId="0" xfId="0" applyFont="1" applyFill="1" applyAlignment="1">
      <alignment vertical="center"/>
    </xf>
    <xf numFmtId="0" fontId="48" fillId="3" borderId="155" xfId="0" applyFont="1" applyFill="1" applyBorder="1" applyAlignment="1">
      <alignment vertical="center"/>
    </xf>
    <xf numFmtId="0" fontId="48" fillId="3" borderId="156" xfId="0" applyFont="1" applyFill="1" applyBorder="1" applyAlignment="1">
      <alignment vertical="center"/>
    </xf>
    <xf numFmtId="0" fontId="0" fillId="21" borderId="4" xfId="0" applyFill="1" applyBorder="1" applyAlignment="1">
      <alignment horizontal="center" vertical="center"/>
    </xf>
    <xf numFmtId="0" fontId="0" fillId="21" borderId="160" xfId="0" applyFill="1" applyBorder="1" applyAlignment="1">
      <alignment horizontal="center" vertical="center"/>
    </xf>
    <xf numFmtId="0" fontId="48" fillId="0" borderId="130" xfId="0" applyFont="1" applyBorder="1" applyAlignment="1">
      <alignment vertical="center"/>
    </xf>
    <xf numFmtId="0" fontId="48" fillId="0" borderId="110" xfId="0" applyFont="1" applyBorder="1" applyAlignment="1">
      <alignment vertical="center"/>
    </xf>
    <xf numFmtId="0" fontId="48" fillId="0" borderId="111" xfId="0" applyFont="1" applyBorder="1" applyAlignment="1">
      <alignment vertical="center"/>
    </xf>
    <xf numFmtId="0" fontId="48" fillId="0" borderId="164" xfId="0" applyFont="1" applyBorder="1" applyAlignment="1">
      <alignment vertical="center"/>
    </xf>
    <xf numFmtId="0" fontId="48" fillId="0" borderId="170" xfId="0" applyFont="1" applyBorder="1" applyAlignment="1">
      <alignment vertical="center"/>
    </xf>
    <xf numFmtId="0" fontId="48" fillId="0" borderId="151" xfId="0" applyFont="1" applyBorder="1" applyAlignment="1">
      <alignment horizontal="center" vertical="center"/>
    </xf>
    <xf numFmtId="0" fontId="48" fillId="3" borderId="112" xfId="0" applyFont="1" applyFill="1" applyBorder="1" applyAlignment="1">
      <alignment vertical="center"/>
    </xf>
    <xf numFmtId="0" fontId="48" fillId="3" borderId="113" xfId="0" applyFont="1" applyFill="1" applyBorder="1" applyAlignment="1">
      <alignment horizontal="center" vertical="center"/>
    </xf>
    <xf numFmtId="0" fontId="48" fillId="3" borderId="114" xfId="0" applyFont="1" applyFill="1" applyBorder="1" applyAlignment="1">
      <alignment vertical="center"/>
    </xf>
    <xf numFmtId="0" fontId="48" fillId="3" borderId="110" xfId="0" applyFont="1" applyFill="1" applyBorder="1" applyAlignment="1">
      <alignment vertical="center"/>
    </xf>
    <xf numFmtId="0" fontId="48" fillId="3" borderId="111" xfId="0" applyFont="1" applyFill="1" applyBorder="1" applyAlignment="1">
      <alignment vertical="center"/>
    </xf>
    <xf numFmtId="0" fontId="48" fillId="3" borderId="113" xfId="0" applyFont="1" applyFill="1" applyBorder="1" applyAlignment="1">
      <alignment vertical="center"/>
    </xf>
    <xf numFmtId="0" fontId="48" fillId="3" borderId="163" xfId="0" applyFont="1" applyFill="1" applyBorder="1" applyAlignment="1">
      <alignment vertical="center"/>
    </xf>
    <xf numFmtId="0" fontId="48" fillId="3" borderId="166" xfId="0" applyFont="1" applyFill="1" applyBorder="1" applyAlignment="1">
      <alignment vertical="center"/>
    </xf>
    <xf numFmtId="0" fontId="48" fillId="3" borderId="169" xfId="0" applyFont="1" applyFill="1" applyBorder="1" applyAlignment="1">
      <alignment vertical="center"/>
    </xf>
    <xf numFmtId="0" fontId="48" fillId="3" borderId="170" xfId="0" applyFont="1" applyFill="1" applyBorder="1" applyAlignment="1">
      <alignment vertical="center"/>
    </xf>
    <xf numFmtId="0" fontId="48" fillId="3" borderId="164" xfId="0" applyFont="1" applyFill="1" applyBorder="1" applyAlignment="1">
      <alignment vertical="center"/>
    </xf>
    <xf numFmtId="0" fontId="48" fillId="3" borderId="0" xfId="0" applyFont="1" applyFill="1" applyAlignment="1">
      <alignment horizontal="center" vertical="center"/>
    </xf>
    <xf numFmtId="0" fontId="76" fillId="3" borderId="0" xfId="0" applyFont="1" applyFill="1" applyAlignment="1">
      <alignment horizontal="center" vertical="center" wrapText="1"/>
    </xf>
    <xf numFmtId="0" fontId="51" fillId="3" borderId="0" xfId="0" applyFont="1" applyFill="1" applyAlignment="1">
      <alignment horizontal="left" vertical="center"/>
    </xf>
    <xf numFmtId="0" fontId="53" fillId="3" borderId="0" xfId="0" applyFont="1" applyFill="1" applyAlignment="1">
      <alignment horizontal="center" vertical="center" wrapText="1"/>
    </xf>
    <xf numFmtId="0" fontId="79" fillId="21" borderId="0" xfId="0" applyFont="1" applyFill="1" applyAlignment="1">
      <alignment horizontal="center" vertical="center"/>
    </xf>
    <xf numFmtId="0" fontId="10" fillId="11" borderId="29" xfId="0" applyFont="1" applyFill="1" applyBorder="1" applyAlignment="1">
      <alignment horizontal="center" vertical="center"/>
    </xf>
    <xf numFmtId="0" fontId="11" fillId="5" borderId="0" xfId="0" applyFont="1" applyFill="1"/>
    <xf numFmtId="0" fontId="0" fillId="2" borderId="1" xfId="0" applyFill="1" applyBorder="1"/>
    <xf numFmtId="0" fontId="0" fillId="18" borderId="36" xfId="0" applyFill="1" applyBorder="1"/>
    <xf numFmtId="0" fontId="0" fillId="18" borderId="2" xfId="0" applyFill="1" applyBorder="1"/>
    <xf numFmtId="0" fontId="0" fillId="7" borderId="36" xfId="0" applyFill="1" applyBorder="1"/>
    <xf numFmtId="0" fontId="0" fillId="7" borderId="2" xfId="0" applyFill="1" applyBorder="1"/>
    <xf numFmtId="0" fontId="0" fillId="7" borderId="37" xfId="0" applyFill="1" applyBorder="1"/>
    <xf numFmtId="0" fontId="0" fillId="0" borderId="2" xfId="0" applyBorder="1"/>
    <xf numFmtId="0" fontId="10" fillId="11" borderId="2" xfId="0" applyFont="1" applyFill="1" applyBorder="1" applyAlignment="1">
      <alignment vertical="center"/>
    </xf>
    <xf numFmtId="0" fontId="0" fillId="2" borderId="3" xfId="0" applyFill="1" applyBorder="1"/>
    <xf numFmtId="0" fontId="16" fillId="5" borderId="54" xfId="0" applyFont="1" applyFill="1" applyBorder="1" applyAlignment="1">
      <alignment horizontal="center" vertical="center"/>
    </xf>
    <xf numFmtId="0" fontId="0" fillId="3" borderId="11" xfId="0" applyFill="1" applyBorder="1" applyAlignment="1">
      <alignment horizontal="center"/>
    </xf>
    <xf numFmtId="0" fontId="0" fillId="3" borderId="172" xfId="0" applyFill="1" applyBorder="1" applyAlignment="1">
      <alignment horizontal="center"/>
    </xf>
    <xf numFmtId="0" fontId="16" fillId="5" borderId="11" xfId="0" applyFont="1" applyFill="1" applyBorder="1" applyAlignment="1">
      <alignment horizontal="center" vertical="center"/>
    </xf>
    <xf numFmtId="0" fontId="11" fillId="17" borderId="31" xfId="0" applyFont="1" applyFill="1" applyBorder="1" applyAlignment="1">
      <alignment horizontal="center"/>
    </xf>
    <xf numFmtId="0" fontId="11" fillId="17" borderId="0" xfId="0" applyFont="1" applyFill="1" applyAlignment="1">
      <alignment horizontal="center"/>
    </xf>
    <xf numFmtId="0" fontId="11" fillId="17" borderId="32" xfId="0" applyFont="1" applyFill="1" applyBorder="1" applyAlignment="1">
      <alignment horizontal="center"/>
    </xf>
    <xf numFmtId="0" fontId="0" fillId="19" borderId="31" xfId="0" applyFill="1" applyBorder="1" applyAlignment="1">
      <alignment horizontal="center"/>
    </xf>
    <xf numFmtId="0" fontId="0" fillId="19" borderId="0" xfId="0" applyFill="1" applyAlignment="1">
      <alignment horizontal="center"/>
    </xf>
    <xf numFmtId="0" fontId="0" fillId="20" borderId="0" xfId="0" applyFill="1" applyAlignment="1">
      <alignment horizontal="center"/>
    </xf>
    <xf numFmtId="0" fontId="0" fillId="19" borderId="2" xfId="0" applyFill="1" applyBorder="1" applyAlignment="1">
      <alignment horizontal="center"/>
    </xf>
    <xf numFmtId="0" fontId="0" fillId="20" borderId="2" xfId="0" applyFill="1" applyBorder="1" applyAlignment="1">
      <alignment horizontal="center"/>
    </xf>
    <xf numFmtId="0" fontId="63" fillId="27" borderId="0" xfId="0" applyFont="1" applyFill="1" applyAlignment="1">
      <alignment horizontal="center" vertical="center"/>
    </xf>
    <xf numFmtId="0" fontId="84" fillId="0" borderId="0" xfId="0" applyFont="1"/>
    <xf numFmtId="0" fontId="62" fillId="3" borderId="0" xfId="0" applyFont="1" applyFill="1" applyAlignment="1">
      <alignment horizontal="center" vertical="center"/>
    </xf>
    <xf numFmtId="0" fontId="51" fillId="3" borderId="0" xfId="0" applyFont="1" applyFill="1" applyAlignment="1">
      <alignment vertical="center"/>
    </xf>
    <xf numFmtId="0" fontId="13" fillId="11" borderId="0" xfId="0" applyFont="1" applyFill="1"/>
    <xf numFmtId="0" fontId="13" fillId="11" borderId="0" xfId="0" applyFont="1" applyFill="1" applyAlignment="1">
      <alignment horizontal="center"/>
    </xf>
    <xf numFmtId="0" fontId="17" fillId="13" borderId="0" xfId="0" applyFont="1" applyFill="1"/>
    <xf numFmtId="0" fontId="13" fillId="13" borderId="0" xfId="0" applyFont="1" applyFill="1"/>
    <xf numFmtId="0" fontId="13" fillId="6" borderId="0" xfId="0" applyFont="1" applyFill="1"/>
    <xf numFmtId="0" fontId="17" fillId="3" borderId="0" xfId="0" applyFont="1" applyFill="1"/>
    <xf numFmtId="0" fontId="14" fillId="3" borderId="0" xfId="0" applyFont="1" applyFill="1" applyAlignment="1">
      <alignment horizontal="center" vertical="center"/>
    </xf>
    <xf numFmtId="0" fontId="86" fillId="3" borderId="164" xfId="0" applyFont="1" applyFill="1" applyBorder="1"/>
    <xf numFmtId="0" fontId="33" fillId="3" borderId="164" xfId="0" applyFont="1" applyFill="1" applyBorder="1" applyAlignment="1">
      <alignment vertical="center"/>
    </xf>
    <xf numFmtId="1" fontId="48" fillId="21" borderId="56" xfId="0" applyNumberFormat="1" applyFont="1" applyFill="1" applyBorder="1" applyAlignment="1">
      <alignment horizontal="center" vertical="center"/>
    </xf>
    <xf numFmtId="0" fontId="10" fillId="11" borderId="10" xfId="0" applyFont="1" applyFill="1" applyBorder="1" applyAlignment="1">
      <alignment vertical="center"/>
    </xf>
    <xf numFmtId="0" fontId="10" fillId="11" borderId="29" xfId="0" applyFont="1" applyFill="1" applyBorder="1" applyAlignment="1">
      <alignment vertical="center"/>
    </xf>
    <xf numFmtId="0" fontId="10" fillId="11" borderId="30" xfId="0" applyFont="1" applyFill="1" applyBorder="1" applyAlignment="1">
      <alignment vertical="center"/>
    </xf>
    <xf numFmtId="0" fontId="10" fillId="11" borderId="0" xfId="0" applyFont="1" applyFill="1" applyAlignment="1">
      <alignment horizontal="center" vertical="center"/>
    </xf>
    <xf numFmtId="0" fontId="0" fillId="3" borderId="0" xfId="0" applyFill="1"/>
    <xf numFmtId="0" fontId="0" fillId="0" borderId="176" xfId="0" applyBorder="1" applyAlignment="1">
      <alignment wrapText="1"/>
    </xf>
    <xf numFmtId="0" fontId="50" fillId="21" borderId="0" xfId="0" applyFont="1" applyFill="1" applyAlignment="1">
      <alignment vertical="center"/>
    </xf>
    <xf numFmtId="0" fontId="64" fillId="3" borderId="164" xfId="0" applyFont="1" applyFill="1" applyBorder="1" applyAlignment="1">
      <alignment vertical="center"/>
    </xf>
    <xf numFmtId="0" fontId="62" fillId="3" borderId="0" xfId="0" applyFont="1" applyFill="1" applyAlignment="1">
      <alignment vertical="center"/>
    </xf>
    <xf numFmtId="49" fontId="17" fillId="21" borderId="0" xfId="0" applyNumberFormat="1" applyFont="1" applyFill="1" applyAlignment="1">
      <alignment vertical="top"/>
    </xf>
    <xf numFmtId="49" fontId="17" fillId="0" borderId="0" xfId="0" applyNumberFormat="1" applyFont="1" applyAlignment="1">
      <alignment vertical="top"/>
    </xf>
    <xf numFmtId="0" fontId="51" fillId="3" borderId="0" xfId="0" applyFont="1" applyFill="1" applyAlignment="1">
      <alignment horizontal="left" vertical="top" wrapText="1"/>
    </xf>
    <xf numFmtId="0" fontId="90" fillId="21" borderId="0" xfId="0" applyFont="1" applyFill="1" applyAlignment="1">
      <alignment vertical="center" wrapText="1"/>
    </xf>
    <xf numFmtId="0" fontId="91" fillId="21" borderId="0" xfId="0" applyFont="1" applyFill="1" applyAlignment="1">
      <alignment vertical="center" wrapText="1"/>
    </xf>
    <xf numFmtId="0" fontId="92" fillId="21" borderId="0" xfId="0" applyFont="1" applyFill="1" applyAlignment="1" applyProtection="1">
      <alignment vertical="center"/>
      <protection locked="0"/>
    </xf>
    <xf numFmtId="0" fontId="93" fillId="21" borderId="0" xfId="0" applyFont="1" applyFill="1" applyAlignment="1" applyProtection="1">
      <alignment vertical="center"/>
      <protection locked="0"/>
    </xf>
    <xf numFmtId="0" fontId="91" fillId="21" borderId="0" xfId="0" applyFont="1" applyFill="1" applyAlignment="1" applyProtection="1">
      <alignment vertical="center" wrapText="1"/>
      <protection locked="0"/>
    </xf>
    <xf numFmtId="0" fontId="93" fillId="21" borderId="0" xfId="0" applyFont="1" applyFill="1" applyAlignment="1" applyProtection="1">
      <alignment vertical="center" wrapText="1"/>
      <protection locked="0"/>
    </xf>
    <xf numFmtId="0" fontId="94" fillId="21" borderId="0" xfId="0" applyFont="1" applyFill="1" applyAlignment="1" applyProtection="1">
      <alignment vertical="center" wrapText="1"/>
      <protection locked="0"/>
    </xf>
    <xf numFmtId="0" fontId="79" fillId="21" borderId="0" xfId="0" applyFont="1" applyFill="1"/>
    <xf numFmtId="0" fontId="48" fillId="21" borderId="0" xfId="0" applyFont="1" applyFill="1" applyAlignment="1">
      <alignment horizontal="left" vertical="center"/>
    </xf>
    <xf numFmtId="0" fontId="48" fillId="3" borderId="130" xfId="0" applyFont="1" applyFill="1" applyBorder="1" applyAlignment="1">
      <alignment horizontal="left" vertical="center"/>
    </xf>
    <xf numFmtId="0" fontId="48" fillId="3" borderId="143" xfId="0" applyFont="1" applyFill="1" applyBorder="1" applyAlignment="1">
      <alignment horizontal="left" vertical="center"/>
    </xf>
    <xf numFmtId="0" fontId="48" fillId="3" borderId="144" xfId="0" applyFont="1" applyFill="1" applyBorder="1" applyAlignment="1">
      <alignment horizontal="left" vertical="center"/>
    </xf>
    <xf numFmtId="0" fontId="48" fillId="3" borderId="129" xfId="0" applyFont="1" applyFill="1" applyBorder="1" applyAlignment="1">
      <alignment horizontal="left" vertical="center"/>
    </xf>
    <xf numFmtId="0" fontId="50" fillId="21" borderId="0" xfId="0" applyFont="1" applyFill="1" applyAlignment="1">
      <alignment horizontal="left" vertical="center"/>
    </xf>
    <xf numFmtId="49" fontId="17" fillId="21" borderId="0" xfId="0" applyNumberFormat="1" applyFont="1" applyFill="1" applyAlignment="1">
      <alignment horizontal="left" vertical="top"/>
    </xf>
    <xf numFmtId="49" fontId="0" fillId="21" borderId="0" xfId="0" applyNumberFormat="1" applyFill="1" applyAlignment="1">
      <alignment horizontal="left" vertical="top"/>
    </xf>
    <xf numFmtId="0" fontId="48" fillId="3" borderId="151" xfId="0" applyFont="1" applyFill="1" applyBorder="1" applyAlignment="1">
      <alignment horizontal="center" vertical="center"/>
    </xf>
    <xf numFmtId="0" fontId="32" fillId="23" borderId="177" xfId="0" applyFont="1" applyFill="1" applyBorder="1" applyAlignment="1">
      <alignment vertical="center"/>
    </xf>
    <xf numFmtId="0" fontId="32" fillId="23" borderId="178" xfId="0" applyFont="1" applyFill="1" applyBorder="1" applyAlignment="1">
      <alignment vertical="center"/>
    </xf>
    <xf numFmtId="0" fontId="32" fillId="23" borderId="180" xfId="0" applyFont="1" applyFill="1" applyBorder="1" applyAlignment="1">
      <alignment vertical="center" wrapText="1"/>
    </xf>
    <xf numFmtId="0" fontId="32" fillId="23" borderId="183" xfId="0" applyFont="1" applyFill="1" applyBorder="1" applyAlignment="1">
      <alignment vertical="center" wrapText="1"/>
    </xf>
    <xf numFmtId="0" fontId="78" fillId="3" borderId="0" xfId="0" applyFont="1" applyFill="1" applyAlignment="1">
      <alignment vertical="center"/>
    </xf>
    <xf numFmtId="0" fontId="48" fillId="3" borderId="170" xfId="0" applyFont="1" applyFill="1" applyBorder="1" applyAlignment="1">
      <alignment horizontal="center" vertical="center"/>
    </xf>
    <xf numFmtId="1" fontId="48" fillId="0" borderId="218" xfId="0" applyNumberFormat="1" applyFont="1" applyBorder="1" applyAlignment="1">
      <alignment horizontal="center" vertical="center"/>
    </xf>
    <xf numFmtId="0" fontId="48" fillId="0" borderId="219" xfId="0" applyFont="1" applyBorder="1" applyAlignment="1">
      <alignment horizontal="center" vertical="center"/>
    </xf>
    <xf numFmtId="0" fontId="48" fillId="3" borderId="219" xfId="0" applyFont="1" applyFill="1" applyBorder="1" applyAlignment="1">
      <alignment horizontal="center" vertical="center"/>
    </xf>
    <xf numFmtId="1" fontId="48" fillId="0" borderId="217" xfId="0" applyNumberFormat="1" applyFont="1" applyBorder="1" applyAlignment="1">
      <alignment horizontal="center" vertical="center"/>
    </xf>
    <xf numFmtId="1" fontId="48" fillId="21" borderId="221" xfId="0" applyNumberFormat="1" applyFont="1" applyFill="1" applyBorder="1" applyAlignment="1">
      <alignment horizontal="center" vertical="center"/>
    </xf>
    <xf numFmtId="0" fontId="86" fillId="0" borderId="4" xfId="0" applyFont="1" applyBorder="1" applyAlignment="1" applyProtection="1">
      <alignment horizontal="center" vertical="center" wrapText="1"/>
      <protection locked="0"/>
    </xf>
    <xf numFmtId="0" fontId="0" fillId="0" borderId="11" xfId="0" applyBorder="1" applyAlignment="1" applyProtection="1">
      <alignment horizontal="center" vertical="center"/>
      <protection locked="0"/>
    </xf>
    <xf numFmtId="0" fontId="0" fillId="0" borderId="160" xfId="0" applyBorder="1" applyAlignment="1" applyProtection="1">
      <alignment horizontal="center" vertical="center"/>
      <protection locked="0"/>
    </xf>
    <xf numFmtId="0" fontId="50" fillId="3" borderId="132" xfId="0" applyFont="1" applyFill="1" applyBorder="1" applyAlignment="1">
      <alignment vertical="center"/>
    </xf>
    <xf numFmtId="0" fontId="50" fillId="3" borderId="0" xfId="0" applyFont="1" applyFill="1" applyAlignment="1">
      <alignment vertical="center"/>
    </xf>
    <xf numFmtId="0" fontId="50" fillId="3" borderId="144" xfId="0" applyFont="1" applyFill="1" applyBorder="1" applyAlignment="1">
      <alignment vertical="center"/>
    </xf>
    <xf numFmtId="0" fontId="33" fillId="3" borderId="0" xfId="0" applyFont="1" applyFill="1" applyAlignment="1">
      <alignment vertical="center"/>
    </xf>
    <xf numFmtId="0" fontId="50" fillId="3" borderId="156" xfId="0" applyFont="1" applyFill="1" applyBorder="1" applyAlignment="1">
      <alignment vertical="center"/>
    </xf>
    <xf numFmtId="0" fontId="50" fillId="3" borderId="157" xfId="0" applyFont="1" applyFill="1" applyBorder="1" applyAlignment="1">
      <alignment vertical="center"/>
    </xf>
    <xf numFmtId="0" fontId="50" fillId="0" borderId="0" xfId="0" applyFont="1" applyAlignment="1">
      <alignment vertical="center"/>
    </xf>
    <xf numFmtId="0" fontId="17" fillId="3" borderId="0" xfId="0" applyFont="1" applyFill="1" applyAlignment="1">
      <alignment vertical="center"/>
    </xf>
    <xf numFmtId="0" fontId="50" fillId="3" borderId="135" xfId="0" applyFont="1" applyFill="1" applyBorder="1" applyAlignment="1">
      <alignment vertical="center"/>
    </xf>
    <xf numFmtId="0" fontId="86" fillId="28" borderId="4" xfId="0" applyFont="1" applyFill="1" applyBorder="1" applyAlignment="1" applyProtection="1">
      <alignment horizontal="center" vertical="center" wrapText="1"/>
      <protection locked="0"/>
    </xf>
    <xf numFmtId="0" fontId="48" fillId="22" borderId="225" xfId="0" applyFont="1" applyFill="1" applyBorder="1" applyAlignment="1">
      <alignment horizontal="center" vertical="center"/>
    </xf>
    <xf numFmtId="0" fontId="48" fillId="22" borderId="223" xfId="0" applyFont="1" applyFill="1" applyBorder="1" applyAlignment="1">
      <alignment horizontal="center" vertical="center"/>
    </xf>
    <xf numFmtId="0" fontId="86" fillId="0" borderId="232" xfId="0" applyFont="1" applyBorder="1" applyAlignment="1" applyProtection="1">
      <alignment horizontal="center" vertical="center" wrapText="1"/>
      <protection locked="0"/>
    </xf>
    <xf numFmtId="0" fontId="86" fillId="0" borderId="230" xfId="0" applyFont="1" applyBorder="1" applyAlignment="1" applyProtection="1">
      <alignment horizontal="center" vertical="center" wrapText="1"/>
      <protection locked="0"/>
    </xf>
    <xf numFmtId="0" fontId="86" fillId="0" borderId="160" xfId="0" applyFont="1" applyBorder="1" applyAlignment="1" applyProtection="1">
      <alignment horizontal="center" vertical="center" wrapText="1"/>
      <protection locked="0"/>
    </xf>
    <xf numFmtId="0" fontId="86" fillId="0" borderId="231" xfId="0" applyFont="1" applyBorder="1" applyAlignment="1" applyProtection="1">
      <alignment horizontal="center" vertical="center" wrapText="1"/>
      <protection locked="0"/>
    </xf>
    <xf numFmtId="0" fontId="31" fillId="32" borderId="263" xfId="0" applyFont="1" applyFill="1" applyBorder="1" applyAlignment="1">
      <alignment horizontal="center" vertical="center" wrapText="1"/>
    </xf>
    <xf numFmtId="0" fontId="5" fillId="0" borderId="209" xfId="0" applyFont="1" applyBorder="1" applyAlignment="1">
      <alignment horizontal="center" vertical="center"/>
    </xf>
    <xf numFmtId="0" fontId="5" fillId="0" borderId="264" xfId="0" applyFont="1" applyBorder="1" applyAlignment="1">
      <alignment horizontal="center" vertical="center"/>
    </xf>
    <xf numFmtId="164" fontId="78" fillId="0" borderId="268" xfId="0" applyNumberFormat="1" applyFont="1" applyBorder="1" applyAlignment="1">
      <alignment horizontal="center" vertical="center"/>
    </xf>
    <xf numFmtId="0" fontId="5" fillId="0" borderId="222" xfId="0" applyFont="1" applyBorder="1" applyAlignment="1">
      <alignment horizontal="center" vertical="center"/>
    </xf>
    <xf numFmtId="0" fontId="75" fillId="0" borderId="268" xfId="0" applyFont="1" applyBorder="1" applyAlignment="1">
      <alignment horizontal="center" vertical="center"/>
    </xf>
    <xf numFmtId="0" fontId="78" fillId="0" borderId="268" xfId="0" applyFont="1" applyBorder="1" applyAlignment="1">
      <alignment horizontal="center" vertical="center"/>
    </xf>
    <xf numFmtId="0" fontId="55" fillId="33" borderId="17" xfId="0" applyFont="1" applyFill="1" applyBorder="1" applyAlignment="1">
      <alignment horizontal="center" vertical="center"/>
    </xf>
    <xf numFmtId="0" fontId="51" fillId="33" borderId="1" xfId="0" applyFont="1" applyFill="1" applyBorder="1" applyAlignment="1">
      <alignment horizontal="center" vertical="center"/>
    </xf>
    <xf numFmtId="0" fontId="51" fillId="33" borderId="145" xfId="0" applyFont="1" applyFill="1" applyBorder="1" applyAlignment="1">
      <alignment horizontal="center" vertical="center"/>
    </xf>
    <xf numFmtId="0" fontId="51" fillId="33" borderId="148" xfId="0" applyFont="1" applyFill="1" applyBorder="1" applyAlignment="1">
      <alignment horizontal="center" vertical="center"/>
    </xf>
    <xf numFmtId="0" fontId="51" fillId="33" borderId="152" xfId="0" applyFont="1" applyFill="1" applyBorder="1" applyAlignment="1">
      <alignment horizontal="center" vertical="center"/>
    </xf>
    <xf numFmtId="0" fontId="86" fillId="0" borderId="292" xfId="0" applyFont="1" applyBorder="1" applyAlignment="1">
      <alignment horizontal="center" vertical="center" wrapText="1"/>
    </xf>
    <xf numFmtId="0" fontId="86" fillId="0" borderId="293" xfId="0" applyFont="1" applyBorder="1" applyAlignment="1">
      <alignment horizontal="center" vertical="center" wrapText="1"/>
    </xf>
    <xf numFmtId="0" fontId="17" fillId="32" borderId="11" xfId="0" applyFont="1" applyFill="1" applyBorder="1" applyAlignment="1">
      <alignment horizontal="center" vertical="center"/>
    </xf>
    <xf numFmtId="0" fontId="0" fillId="32" borderId="4" xfId="0" applyFill="1" applyBorder="1" applyAlignment="1">
      <alignment horizontal="center" vertical="center" wrapText="1"/>
    </xf>
    <xf numFmtId="0" fontId="80" fillId="26" borderId="142" xfId="0" applyFont="1" applyFill="1" applyBorder="1" applyAlignment="1">
      <alignment vertical="center"/>
    </xf>
    <xf numFmtId="9" fontId="17" fillId="21" borderId="230" xfId="0" applyNumberFormat="1" applyFont="1" applyFill="1" applyBorder="1" applyAlignment="1">
      <alignment horizontal="center" vertical="center"/>
    </xf>
    <xf numFmtId="9" fontId="17" fillId="21" borderId="160" xfId="0" applyNumberFormat="1" applyFont="1" applyFill="1" applyBorder="1" applyAlignment="1">
      <alignment horizontal="center" vertical="center"/>
    </xf>
    <xf numFmtId="9" fontId="17" fillId="21" borderId="231" xfId="0" applyNumberFormat="1" applyFont="1" applyFill="1" applyBorder="1" applyAlignment="1">
      <alignment horizontal="center" vertical="center"/>
    </xf>
    <xf numFmtId="9" fontId="17" fillId="21" borderId="228" xfId="0" applyNumberFormat="1" applyFont="1" applyFill="1" applyBorder="1" applyAlignment="1">
      <alignment horizontal="center" vertical="center"/>
    </xf>
    <xf numFmtId="164" fontId="17" fillId="21" borderId="4" xfId="0" applyNumberFormat="1" applyFont="1" applyFill="1" applyBorder="1" applyAlignment="1">
      <alignment horizontal="center" vertical="center"/>
    </xf>
    <xf numFmtId="164" fontId="78" fillId="0" borderId="263" xfId="0" applyNumberFormat="1" applyFont="1" applyBorder="1" applyAlignment="1">
      <alignment horizontal="center" vertical="center"/>
    </xf>
    <xf numFmtId="0" fontId="5" fillId="0" borderId="299" xfId="0" applyFont="1" applyBorder="1" applyAlignment="1">
      <alignment horizontal="center" vertical="center"/>
    </xf>
    <xf numFmtId="0" fontId="5" fillId="0" borderId="300" xfId="0" applyFont="1" applyBorder="1" applyAlignment="1">
      <alignment horizontal="center" vertical="center"/>
    </xf>
    <xf numFmtId="0" fontId="5" fillId="0" borderId="301" xfId="0" applyFont="1" applyBorder="1" applyAlignment="1">
      <alignment horizontal="center" vertical="center"/>
    </xf>
    <xf numFmtId="0" fontId="62" fillId="0" borderId="263" xfId="0" applyFont="1" applyBorder="1" applyAlignment="1">
      <alignment horizontal="center" vertical="center"/>
    </xf>
    <xf numFmtId="0" fontId="78" fillId="0" borderId="263" xfId="0" applyFont="1" applyBorder="1" applyAlignment="1">
      <alignment horizontal="center" vertical="center"/>
    </xf>
    <xf numFmtId="164" fontId="62" fillId="30" borderId="287" xfId="0" applyNumberFormat="1" applyFont="1" applyFill="1" applyBorder="1" applyAlignment="1">
      <alignment horizontal="center" vertical="center"/>
    </xf>
    <xf numFmtId="0" fontId="48" fillId="0" borderId="0" xfId="0" applyFont="1" applyAlignment="1">
      <alignment horizontal="left" vertical="center"/>
    </xf>
    <xf numFmtId="0" fontId="48" fillId="22" borderId="305" xfId="0" applyFont="1" applyFill="1" applyBorder="1" applyAlignment="1">
      <alignment horizontal="center" vertical="center"/>
    </xf>
    <xf numFmtId="1" fontId="48" fillId="21" borderId="306" xfId="0" applyNumberFormat="1" applyFont="1" applyFill="1" applyBorder="1" applyAlignment="1">
      <alignment horizontal="center" vertical="center"/>
    </xf>
    <xf numFmtId="1" fontId="48" fillId="21" borderId="300" xfId="0" applyNumberFormat="1" applyFont="1" applyFill="1" applyBorder="1" applyAlignment="1">
      <alignment horizontal="center" vertical="center"/>
    </xf>
    <xf numFmtId="0" fontId="48" fillId="0" borderId="308" xfId="0" applyFont="1" applyBorder="1" applyAlignment="1">
      <alignment horizontal="center" vertical="center"/>
    </xf>
    <xf numFmtId="0" fontId="48" fillId="3" borderId="308" xfId="0" applyFont="1" applyFill="1" applyBorder="1" applyAlignment="1">
      <alignment horizontal="center" vertical="center"/>
    </xf>
    <xf numFmtId="1" fontId="48" fillId="0" borderId="310" xfId="0" applyNumberFormat="1" applyFont="1" applyBorder="1" applyAlignment="1">
      <alignment horizontal="center" vertical="center"/>
    </xf>
    <xf numFmtId="1" fontId="48" fillId="21" borderId="307" xfId="0" applyNumberFormat="1" applyFont="1" applyFill="1" applyBorder="1" applyAlignment="1">
      <alignment horizontal="center" vertical="center"/>
    </xf>
    <xf numFmtId="1" fontId="48" fillId="21" borderId="301" xfId="0" applyNumberFormat="1" applyFont="1" applyFill="1" applyBorder="1" applyAlignment="1">
      <alignment horizontal="center" vertical="center"/>
    </xf>
    <xf numFmtId="0" fontId="48" fillId="0" borderId="312" xfId="0" applyFont="1" applyBorder="1" applyAlignment="1">
      <alignment horizontal="center" vertical="center"/>
    </xf>
    <xf numFmtId="0" fontId="48" fillId="3" borderId="312" xfId="0" applyFont="1" applyFill="1" applyBorder="1" applyAlignment="1">
      <alignment horizontal="center" vertical="center"/>
    </xf>
    <xf numFmtId="1" fontId="48" fillId="0" borderId="316" xfId="0" applyNumberFormat="1" applyFont="1" applyBorder="1" applyAlignment="1">
      <alignment horizontal="center" vertical="center"/>
    </xf>
    <xf numFmtId="1" fontId="48" fillId="21" borderId="314" xfId="0" applyNumberFormat="1" applyFont="1" applyFill="1" applyBorder="1" applyAlignment="1">
      <alignment horizontal="center" vertical="center"/>
    </xf>
    <xf numFmtId="1" fontId="48" fillId="21" borderId="22" xfId="0" applyNumberFormat="1" applyFont="1" applyFill="1" applyBorder="1" applyAlignment="1">
      <alignment horizontal="center" vertical="center"/>
    </xf>
    <xf numFmtId="0" fontId="48" fillId="3" borderId="10" xfId="0" applyFont="1" applyFill="1" applyBorder="1" applyAlignment="1">
      <alignment vertical="center"/>
    </xf>
    <xf numFmtId="0" fontId="48" fillId="3" borderId="29" xfId="0" applyFont="1" applyFill="1" applyBorder="1" applyAlignment="1">
      <alignment vertical="center"/>
    </xf>
    <xf numFmtId="0" fontId="48" fillId="3" borderId="30" xfId="0" applyFont="1" applyFill="1" applyBorder="1" applyAlignment="1">
      <alignment vertical="center"/>
    </xf>
    <xf numFmtId="0" fontId="48" fillId="3" borderId="31" xfId="0" applyFont="1" applyFill="1" applyBorder="1" applyAlignment="1">
      <alignment vertical="center"/>
    </xf>
    <xf numFmtId="0" fontId="48" fillId="3" borderId="32" xfId="0" applyFont="1" applyFill="1" applyBorder="1" applyAlignment="1">
      <alignment vertical="center"/>
    </xf>
    <xf numFmtId="0" fontId="48" fillId="3" borderId="21" xfId="0" applyFont="1" applyFill="1" applyBorder="1" applyAlignment="1">
      <alignment vertical="center"/>
    </xf>
    <xf numFmtId="0" fontId="48" fillId="3" borderId="315" xfId="0" applyFont="1" applyFill="1" applyBorder="1" applyAlignment="1">
      <alignment vertical="center"/>
    </xf>
    <xf numFmtId="0" fontId="48" fillId="3" borderId="22" xfId="0" applyFont="1" applyFill="1" applyBorder="1" applyAlignment="1">
      <alignment vertical="center"/>
    </xf>
    <xf numFmtId="0" fontId="11" fillId="5" borderId="24" xfId="0" applyFont="1" applyFill="1" applyBorder="1" applyAlignment="1">
      <alignment vertical="center"/>
    </xf>
    <xf numFmtId="0" fontId="11" fillId="5" borderId="61" xfId="0" applyFont="1" applyFill="1" applyBorder="1" applyAlignment="1">
      <alignment vertical="center"/>
    </xf>
    <xf numFmtId="0" fontId="11" fillId="5" borderId="26" xfId="0" applyFont="1" applyFill="1" applyBorder="1" applyAlignment="1">
      <alignment vertical="center"/>
    </xf>
    <xf numFmtId="0" fontId="49" fillId="22" borderId="23" xfId="0" applyFont="1" applyFill="1" applyBorder="1" applyAlignment="1">
      <alignment horizontal="center" vertical="center" wrapText="1"/>
    </xf>
    <xf numFmtId="0" fontId="49" fillId="22" borderId="24" xfId="0" applyFont="1" applyFill="1" applyBorder="1" applyAlignment="1">
      <alignment horizontal="center" vertical="center" wrapText="1"/>
    </xf>
    <xf numFmtId="0" fontId="49" fillId="22" borderId="319" xfId="0" applyFont="1" applyFill="1" applyBorder="1" applyAlignment="1">
      <alignment horizontal="center" vertical="center" wrapText="1"/>
    </xf>
    <xf numFmtId="0" fontId="50" fillId="7" borderId="320" xfId="0" applyFont="1" applyFill="1" applyBorder="1" applyAlignment="1">
      <alignment horizontal="center" vertical="center"/>
    </xf>
    <xf numFmtId="164" fontId="78" fillId="0" borderId="318" xfId="0" applyNumberFormat="1" applyFont="1" applyBorder="1" applyAlignment="1">
      <alignment horizontal="center" vertical="center"/>
    </xf>
    <xf numFmtId="164" fontId="78" fillId="0" borderId="321" xfId="0" applyNumberFormat="1" applyFont="1" applyBorder="1" applyAlignment="1">
      <alignment horizontal="center" vertical="center"/>
    </xf>
    <xf numFmtId="164" fontId="78" fillId="0" borderId="317" xfId="0" applyNumberFormat="1" applyFont="1" applyBorder="1" applyAlignment="1">
      <alignment horizontal="center" vertical="center"/>
    </xf>
    <xf numFmtId="164" fontId="78" fillId="0" borderId="322" xfId="0" applyNumberFormat="1" applyFont="1" applyBorder="1" applyAlignment="1">
      <alignment horizontal="center" vertical="center"/>
    </xf>
    <xf numFmtId="164" fontId="78" fillId="0" borderId="323" xfId="0" applyNumberFormat="1" applyFont="1" applyBorder="1" applyAlignment="1">
      <alignment horizontal="center" vertical="center"/>
    </xf>
    <xf numFmtId="164" fontId="78" fillId="0" borderId="324" xfId="0" applyNumberFormat="1" applyFont="1" applyBorder="1" applyAlignment="1">
      <alignment horizontal="center" vertical="center"/>
    </xf>
    <xf numFmtId="0" fontId="103" fillId="0" borderId="0" xfId="0" applyFont="1"/>
    <xf numFmtId="0" fontId="103" fillId="0" borderId="0" xfId="0" applyFont="1" applyAlignment="1">
      <alignment horizontal="center" vertical="center"/>
    </xf>
    <xf numFmtId="0" fontId="0" fillId="5" borderId="0" xfId="0" applyFill="1"/>
    <xf numFmtId="0" fontId="0" fillId="13" borderId="0" xfId="0" applyFill="1"/>
    <xf numFmtId="0" fontId="0" fillId="5" borderId="160" xfId="0" applyFill="1" applyBorder="1" applyAlignment="1" applyProtection="1">
      <alignment horizontal="center" vertical="center"/>
      <protection locked="0"/>
    </xf>
    <xf numFmtId="0" fontId="0" fillId="5" borderId="161" xfId="0" applyFill="1" applyBorder="1" applyAlignment="1" applyProtection="1">
      <alignment horizontal="center" vertical="center"/>
      <protection locked="0"/>
    </xf>
    <xf numFmtId="0" fontId="0" fillId="5" borderId="4" xfId="0" applyFill="1" applyBorder="1" applyAlignment="1" applyProtection="1">
      <alignment horizontal="center" vertical="center"/>
      <protection locked="0"/>
    </xf>
    <xf numFmtId="0" fontId="37" fillId="11" borderId="10" xfId="0" applyFont="1" applyFill="1" applyBorder="1" applyAlignment="1">
      <alignment vertical="center"/>
    </xf>
    <xf numFmtId="0" fontId="38" fillId="11" borderId="29" xfId="0" applyFont="1" applyFill="1" applyBorder="1" applyAlignment="1">
      <alignment vertical="center"/>
    </xf>
    <xf numFmtId="0" fontId="38" fillId="11" borderId="29" xfId="0" applyFont="1" applyFill="1" applyBorder="1" applyAlignment="1">
      <alignment horizontal="center" vertical="center"/>
    </xf>
    <xf numFmtId="0" fontId="38" fillId="11" borderId="30" xfId="0" applyFont="1" applyFill="1" applyBorder="1" applyAlignment="1">
      <alignment horizontal="center" vertical="center"/>
    </xf>
    <xf numFmtId="0" fontId="39" fillId="11" borderId="325" xfId="0" applyFont="1" applyFill="1" applyBorder="1" applyAlignment="1">
      <alignment horizontal="center" vertical="center" wrapText="1"/>
    </xf>
    <xf numFmtId="0" fontId="39" fillId="11" borderId="326" xfId="0" applyFont="1" applyFill="1" applyBorder="1" applyAlignment="1">
      <alignment horizontal="center" vertical="center" wrapText="1"/>
    </xf>
    <xf numFmtId="0" fontId="0" fillId="9" borderId="327" xfId="0" applyFill="1" applyBorder="1" applyAlignment="1">
      <alignment horizontal="center" vertical="top" wrapText="1"/>
    </xf>
    <xf numFmtId="0" fontId="0" fillId="9" borderId="328" xfId="0" applyFill="1" applyBorder="1" applyAlignment="1">
      <alignment vertical="top" wrapText="1"/>
    </xf>
    <xf numFmtId="0" fontId="0" fillId="9" borderId="329" xfId="0" applyFill="1" applyBorder="1" applyAlignment="1">
      <alignment horizontal="center" vertical="top" wrapText="1"/>
    </xf>
    <xf numFmtId="0" fontId="0" fillId="13" borderId="302" xfId="0" applyFill="1" applyBorder="1" applyAlignment="1">
      <alignment horizontal="center" vertical="top" wrapText="1"/>
    </xf>
    <xf numFmtId="0" fontId="0" fillId="13" borderId="330" xfId="0" applyFill="1" applyBorder="1" applyAlignment="1">
      <alignment vertical="top" wrapText="1"/>
    </xf>
    <xf numFmtId="0" fontId="0" fillId="13" borderId="331" xfId="0" applyFill="1" applyBorder="1" applyAlignment="1">
      <alignment horizontal="center" vertical="top" wrapText="1"/>
    </xf>
    <xf numFmtId="0" fontId="0" fillId="9" borderId="302" xfId="0" applyFill="1" applyBorder="1" applyAlignment="1">
      <alignment horizontal="center" vertical="top" wrapText="1"/>
    </xf>
    <xf numFmtId="0" fontId="0" fillId="9" borderId="330" xfId="0" applyFill="1" applyBorder="1" applyAlignment="1">
      <alignment vertical="top" wrapText="1"/>
    </xf>
    <xf numFmtId="0" fontId="0" fillId="9" borderId="331" xfId="0" applyFill="1" applyBorder="1" applyAlignment="1">
      <alignment horizontal="center" vertical="top" wrapText="1"/>
    </xf>
    <xf numFmtId="0" fontId="0" fillId="9" borderId="331" xfId="0" applyFill="1" applyBorder="1" applyAlignment="1">
      <alignment vertical="top" wrapText="1"/>
    </xf>
    <xf numFmtId="0" fontId="0" fillId="9" borderId="332" xfId="0" applyFill="1" applyBorder="1" applyAlignment="1">
      <alignment horizontal="center" vertical="top" wrapText="1"/>
    </xf>
    <xf numFmtId="0" fontId="0" fillId="13" borderId="333" xfId="0" applyFill="1" applyBorder="1" applyAlignment="1">
      <alignment horizontal="center" vertical="top" wrapText="1"/>
    </xf>
    <xf numFmtId="0" fontId="0" fillId="9" borderId="334" xfId="0" applyFill="1" applyBorder="1" applyAlignment="1">
      <alignment vertical="top" wrapText="1"/>
    </xf>
    <xf numFmtId="0" fontId="0" fillId="9" borderId="335" xfId="0" applyFill="1" applyBorder="1" applyAlignment="1">
      <alignment vertical="top" wrapText="1"/>
    </xf>
    <xf numFmtId="0" fontId="0" fillId="9" borderId="335" xfId="0" applyFill="1" applyBorder="1" applyAlignment="1">
      <alignment horizontal="center" vertical="top" wrapText="1"/>
    </xf>
    <xf numFmtId="0" fontId="0" fillId="9" borderId="336" xfId="0" applyFill="1" applyBorder="1" applyAlignment="1">
      <alignment horizontal="center" vertical="top" wrapText="1"/>
    </xf>
    <xf numFmtId="0" fontId="48" fillId="21" borderId="52" xfId="0" applyFont="1" applyFill="1" applyBorder="1" applyAlignment="1" applyProtection="1">
      <alignment horizontal="center" vertical="center" wrapText="1"/>
      <protection locked="0"/>
    </xf>
    <xf numFmtId="0" fontId="48" fillId="21" borderId="53" xfId="0" applyFont="1" applyFill="1" applyBorder="1" applyAlignment="1" applyProtection="1">
      <alignment horizontal="center" vertical="center" wrapText="1"/>
      <protection locked="0"/>
    </xf>
    <xf numFmtId="0" fontId="48" fillId="21" borderId="54" xfId="0" applyFont="1" applyFill="1" applyBorder="1" applyAlignment="1" applyProtection="1">
      <alignment horizontal="center" vertical="center" wrapText="1"/>
      <protection locked="0"/>
    </xf>
    <xf numFmtId="0" fontId="48" fillId="21" borderId="17" xfId="0" applyFont="1" applyFill="1" applyBorder="1" applyAlignment="1" applyProtection="1">
      <alignment horizontal="center" vertical="center" wrapText="1"/>
      <protection locked="0"/>
    </xf>
    <xf numFmtId="0" fontId="48" fillId="21" borderId="18" xfId="0" applyFont="1" applyFill="1" applyBorder="1" applyAlignment="1" applyProtection="1">
      <alignment horizontal="center" vertical="center" wrapText="1"/>
      <protection locked="0"/>
    </xf>
    <xf numFmtId="0" fontId="48" fillId="21" borderId="55" xfId="0" applyFont="1" applyFill="1" applyBorder="1" applyAlignment="1" applyProtection="1">
      <alignment horizontal="center" vertical="center" wrapText="1"/>
      <protection locked="0"/>
    </xf>
    <xf numFmtId="0" fontId="52" fillId="0" borderId="186" xfId="0" applyFont="1" applyBorder="1" applyAlignment="1">
      <alignment horizontal="right" vertical="center"/>
    </xf>
    <xf numFmtId="0" fontId="30" fillId="0" borderId="186" xfId="0" applyFont="1" applyBorder="1" applyAlignment="1">
      <alignment horizontal="left" vertical="center" wrapText="1"/>
    </xf>
    <xf numFmtId="0" fontId="0" fillId="0" borderId="160" xfId="0" applyBorder="1" applyAlignment="1" applyProtection="1">
      <alignment horizontal="center" vertical="center"/>
      <protection locked="0"/>
    </xf>
    <xf numFmtId="10" fontId="0" fillId="0" borderId="148" xfId="0" applyNumberFormat="1" applyBorder="1" applyAlignment="1">
      <alignment horizontal="center" vertical="center"/>
    </xf>
    <xf numFmtId="10" fontId="0" fillId="0" borderId="60" xfId="0" applyNumberFormat="1" applyBorder="1" applyAlignment="1">
      <alignment horizontal="center" vertical="center"/>
    </xf>
    <xf numFmtId="0" fontId="86" fillId="0" borderId="194" xfId="0" applyFont="1" applyBorder="1" applyAlignment="1">
      <alignment horizontal="center" vertical="center" wrapText="1"/>
    </xf>
    <xf numFmtId="0" fontId="86" fillId="0" borderId="220" xfId="0" applyFont="1" applyBorder="1" applyAlignment="1">
      <alignment horizontal="center" vertical="center" wrapText="1"/>
    </xf>
    <xf numFmtId="0" fontId="0" fillId="21" borderId="160" xfId="0" applyFill="1" applyBorder="1" applyAlignment="1">
      <alignment horizontal="center" vertical="center"/>
    </xf>
    <xf numFmtId="0" fontId="0" fillId="21" borderId="11" xfId="0" applyFill="1" applyBorder="1" applyAlignment="1">
      <alignment horizontal="center" vertical="center"/>
    </xf>
    <xf numFmtId="0" fontId="102" fillId="22" borderId="1" xfId="0" applyFont="1" applyFill="1" applyBorder="1" applyAlignment="1">
      <alignment horizontal="center" vertical="center"/>
    </xf>
    <xf numFmtId="0" fontId="102" fillId="22" borderId="2" xfId="0" applyFont="1" applyFill="1" applyBorder="1" applyAlignment="1">
      <alignment horizontal="center" vertical="center"/>
    </xf>
    <xf numFmtId="0" fontId="102" fillId="22" borderId="3" xfId="0" applyFont="1" applyFill="1" applyBorder="1" applyAlignment="1">
      <alignment horizontal="center" vertical="center"/>
    </xf>
    <xf numFmtId="14" fontId="50" fillId="0" borderId="4" xfId="0" applyNumberFormat="1" applyFont="1" applyBorder="1" applyAlignment="1" applyProtection="1">
      <alignment horizontal="center" vertical="center"/>
      <protection locked="0"/>
    </xf>
    <xf numFmtId="0" fontId="50" fillId="3" borderId="4" xfId="0" applyFont="1" applyFill="1" applyBorder="1" applyAlignment="1" applyProtection="1">
      <alignment horizontal="center" vertical="center"/>
      <protection locked="0"/>
    </xf>
    <xf numFmtId="14" fontId="30" fillId="0" borderId="186" xfId="0" applyNumberFormat="1" applyFont="1" applyBorder="1" applyAlignment="1">
      <alignment horizontal="left" vertical="center" wrapText="1"/>
    </xf>
    <xf numFmtId="14" fontId="30" fillId="0" borderId="187" xfId="0" applyNumberFormat="1" applyFont="1" applyBorder="1" applyAlignment="1">
      <alignment horizontal="left" vertical="center" wrapText="1"/>
    </xf>
    <xf numFmtId="0" fontId="55" fillId="25" borderId="1" xfId="0" applyFont="1" applyFill="1" applyBorder="1" applyAlignment="1">
      <alignment horizontal="center" vertical="center"/>
    </xf>
    <xf numFmtId="0" fontId="55" fillId="25" borderId="2" xfId="0" applyFont="1" applyFill="1" applyBorder="1" applyAlignment="1">
      <alignment horizontal="center" vertical="center"/>
    </xf>
    <xf numFmtId="0" fontId="55" fillId="25" borderId="3" xfId="0" applyFont="1" applyFill="1" applyBorder="1" applyAlignment="1">
      <alignment horizontal="center" vertical="center"/>
    </xf>
    <xf numFmtId="0" fontId="56" fillId="3" borderId="0" xfId="0" applyFont="1" applyFill="1" applyAlignment="1">
      <alignment horizontal="left" vertical="center"/>
    </xf>
    <xf numFmtId="0" fontId="30" fillId="3" borderId="2" xfId="0" applyFont="1" applyFill="1" applyBorder="1" applyAlignment="1" applyProtection="1">
      <alignment horizontal="center" vertical="center"/>
      <protection locked="0"/>
    </xf>
    <xf numFmtId="0" fontId="30" fillId="3" borderId="3" xfId="0" applyFont="1" applyFill="1" applyBorder="1" applyAlignment="1" applyProtection="1">
      <alignment horizontal="center" vertical="center"/>
      <protection locked="0"/>
    </xf>
    <xf numFmtId="0" fontId="2" fillId="34" borderId="1" xfId="0" applyFont="1" applyFill="1" applyBorder="1" applyAlignment="1">
      <alignment horizontal="right" vertical="center" wrapText="1"/>
    </xf>
    <xf numFmtId="0" fontId="3" fillId="34" borderId="2" xfId="0" applyFont="1" applyFill="1" applyBorder="1" applyAlignment="1">
      <alignment horizontal="right" vertical="center" wrapText="1"/>
    </xf>
    <xf numFmtId="0" fontId="75" fillId="28" borderId="2" xfId="0" applyFont="1" applyFill="1" applyBorder="1" applyAlignment="1" applyProtection="1">
      <alignment horizontal="center" vertical="center"/>
      <protection locked="0"/>
    </xf>
    <xf numFmtId="0" fontId="75" fillId="28" borderId="3" xfId="0" applyFont="1" applyFill="1" applyBorder="1" applyAlignment="1" applyProtection="1">
      <alignment horizontal="center" vertical="center"/>
      <protection locked="0"/>
    </xf>
    <xf numFmtId="0" fontId="0" fillId="21" borderId="4" xfId="0" applyFill="1" applyBorder="1" applyAlignment="1">
      <alignment horizontal="center" vertical="center"/>
    </xf>
    <xf numFmtId="0" fontId="0" fillId="5" borderId="4" xfId="0" applyFill="1" applyBorder="1" applyAlignment="1" applyProtection="1">
      <alignment horizontal="center" vertical="center"/>
      <protection locked="0"/>
    </xf>
    <xf numFmtId="10" fontId="0" fillId="5" borderId="1" xfId="0" applyNumberFormat="1" applyFill="1" applyBorder="1" applyAlignment="1">
      <alignment horizontal="center" vertical="center"/>
    </xf>
    <xf numFmtId="10" fontId="0" fillId="5" borderId="3" xfId="0" applyNumberFormat="1" applyFill="1" applyBorder="1" applyAlignment="1">
      <alignment horizontal="center" vertical="center"/>
    </xf>
    <xf numFmtId="0" fontId="86" fillId="5" borderId="17" xfId="0" applyFont="1" applyFill="1" applyBorder="1" applyAlignment="1">
      <alignment horizontal="center" vertical="center" wrapText="1"/>
    </xf>
    <xf numFmtId="0" fontId="86" fillId="5" borderId="55" xfId="0" applyFont="1" applyFill="1" applyBorder="1" applyAlignment="1">
      <alignment horizontal="center" vertical="center" wrapText="1"/>
    </xf>
    <xf numFmtId="0" fontId="0" fillId="5" borderId="160" xfId="0" applyFill="1" applyBorder="1" applyAlignment="1" applyProtection="1">
      <alignment horizontal="center" vertical="center"/>
      <protection locked="0"/>
    </xf>
    <xf numFmtId="10" fontId="0" fillId="5" borderId="148" xfId="0" applyNumberFormat="1" applyFill="1" applyBorder="1" applyAlignment="1">
      <alignment horizontal="center" vertical="center"/>
    </xf>
    <xf numFmtId="10" fontId="0" fillId="5" borderId="60" xfId="0" applyNumberFormat="1" applyFill="1" applyBorder="1" applyAlignment="1">
      <alignment horizontal="center" vertical="center"/>
    </xf>
    <xf numFmtId="0" fontId="86" fillId="5" borderId="194" xfId="0" applyFont="1" applyFill="1" applyBorder="1" applyAlignment="1">
      <alignment horizontal="center" vertical="center" wrapText="1"/>
    </xf>
    <xf numFmtId="0" fontId="86" fillId="5" borderId="220" xfId="0" applyFont="1" applyFill="1" applyBorder="1" applyAlignment="1">
      <alignment horizontal="center" vertical="center" wrapText="1"/>
    </xf>
    <xf numFmtId="0" fontId="0" fillId="21" borderId="161" xfId="0" applyFill="1" applyBorder="1" applyAlignment="1">
      <alignment horizontal="center" vertical="center"/>
    </xf>
    <xf numFmtId="0" fontId="0" fillId="5" borderId="161" xfId="0" applyFill="1" applyBorder="1" applyAlignment="1" applyProtection="1">
      <alignment horizontal="center" vertical="center"/>
      <protection locked="0"/>
    </xf>
    <xf numFmtId="0" fontId="86" fillId="5" borderId="195" xfId="0" applyFont="1" applyFill="1" applyBorder="1" applyAlignment="1">
      <alignment horizontal="center" vertical="center" wrapText="1"/>
    </xf>
    <xf numFmtId="0" fontId="86" fillId="5" borderId="229" xfId="0" applyFont="1" applyFill="1" applyBorder="1" applyAlignment="1">
      <alignment horizontal="center" vertical="center" wrapText="1"/>
    </xf>
    <xf numFmtId="0" fontId="32" fillId="23" borderId="94" xfId="0" applyFont="1" applyFill="1" applyBorder="1" applyAlignment="1">
      <alignment horizontal="center" vertical="center"/>
    </xf>
    <xf numFmtId="0" fontId="32" fillId="23" borderId="95" xfId="0" applyFont="1" applyFill="1" applyBorder="1" applyAlignment="1">
      <alignment horizontal="center" vertical="center"/>
    </xf>
    <xf numFmtId="0" fontId="32" fillId="23" borderId="96" xfId="0" applyFont="1" applyFill="1" applyBorder="1" applyAlignment="1">
      <alignment horizontal="center" vertical="center"/>
    </xf>
    <xf numFmtId="0" fontId="52" fillId="0" borderId="188" xfId="0" applyFont="1" applyBorder="1" applyAlignment="1">
      <alignment horizontal="right" vertical="center"/>
    </xf>
    <xf numFmtId="0" fontId="52" fillId="0" borderId="184" xfId="0" applyFont="1" applyBorder="1" applyAlignment="1">
      <alignment horizontal="right" vertical="center"/>
    </xf>
    <xf numFmtId="0" fontId="30" fillId="0" borderId="184" xfId="0" applyFont="1" applyBorder="1" applyAlignment="1">
      <alignment horizontal="left" vertical="center" wrapText="1"/>
    </xf>
    <xf numFmtId="0" fontId="30" fillId="0" borderId="185" xfId="0" applyFont="1" applyBorder="1" applyAlignment="1">
      <alignment horizontal="left" vertical="center" wrapText="1"/>
    </xf>
    <xf numFmtId="0" fontId="52" fillId="0" borderId="189" xfId="0" applyFont="1" applyBorder="1" applyAlignment="1">
      <alignment horizontal="right" vertical="center"/>
    </xf>
    <xf numFmtId="0" fontId="50" fillId="0" borderId="2" xfId="0" applyFont="1" applyBorder="1" applyAlignment="1" applyProtection="1">
      <alignment horizontal="center" vertical="center"/>
      <protection locked="0"/>
    </xf>
    <xf numFmtId="0" fontId="50" fillId="0" borderId="3" xfId="0" applyFont="1" applyBorder="1" applyAlignment="1" applyProtection="1">
      <alignment horizontal="center" vertical="center"/>
      <protection locked="0"/>
    </xf>
    <xf numFmtId="0" fontId="0" fillId="7" borderId="4" xfId="0" applyFill="1" applyBorder="1" applyAlignment="1">
      <alignment horizontal="center" vertical="center"/>
    </xf>
    <xf numFmtId="0" fontId="0" fillId="7" borderId="4" xfId="0" applyFill="1" applyBorder="1" applyAlignment="1">
      <alignment horizontal="center" vertical="center" wrapText="1"/>
    </xf>
    <xf numFmtId="0" fontId="30" fillId="34" borderId="190" xfId="0" applyFont="1" applyFill="1" applyBorder="1" applyAlignment="1">
      <alignment horizontal="right" vertical="center"/>
    </xf>
    <xf numFmtId="0" fontId="30" fillId="34" borderId="191" xfId="0" applyFont="1" applyFill="1" applyBorder="1" applyAlignment="1">
      <alignment horizontal="right" vertical="center"/>
    </xf>
    <xf numFmtId="0" fontId="86" fillId="0" borderId="145" xfId="0" applyFont="1" applyBorder="1" applyAlignment="1" applyProtection="1">
      <alignment horizontal="center" vertical="center" wrapText="1"/>
      <protection locked="0"/>
    </xf>
    <xf numFmtId="0" fontId="86" fillId="0" borderId="147" xfId="0" applyFont="1" applyBorder="1" applyAlignment="1" applyProtection="1">
      <alignment horizontal="center" vertical="center" wrapText="1"/>
      <protection locked="0"/>
    </xf>
    <xf numFmtId="0" fontId="31" fillId="32" borderId="1" xfId="0" applyFont="1" applyFill="1" applyBorder="1" applyAlignment="1">
      <alignment horizontal="center" vertical="center"/>
    </xf>
    <xf numFmtId="0" fontId="31" fillId="32" borderId="2" xfId="0" applyFont="1" applyFill="1" applyBorder="1" applyAlignment="1">
      <alignment horizontal="center" vertical="center"/>
    </xf>
    <xf numFmtId="0" fontId="31" fillId="32" borderId="3" xfId="0" applyFont="1" applyFill="1" applyBorder="1" applyAlignment="1">
      <alignment horizontal="center" vertical="center"/>
    </xf>
    <xf numFmtId="9" fontId="51" fillId="21" borderId="145" xfId="0" applyNumberFormat="1" applyFont="1" applyFill="1" applyBorder="1" applyAlignment="1">
      <alignment horizontal="center" vertical="center"/>
    </xf>
    <xf numFmtId="9" fontId="51" fillId="21" borderId="146" xfId="0" applyNumberFormat="1" applyFont="1" applyFill="1" applyBorder="1" applyAlignment="1">
      <alignment horizontal="center" vertical="center"/>
    </xf>
    <xf numFmtId="9" fontId="51" fillId="21" borderId="147" xfId="0" applyNumberFormat="1" applyFont="1" applyFill="1" applyBorder="1" applyAlignment="1">
      <alignment horizontal="center" vertical="center"/>
    </xf>
    <xf numFmtId="9" fontId="51" fillId="21" borderId="148" xfId="0" applyNumberFormat="1" applyFont="1" applyFill="1" applyBorder="1" applyAlignment="1">
      <alignment horizontal="center" vertical="center"/>
    </xf>
    <xf numFmtId="9" fontId="51" fillId="21" borderId="60" xfId="0" applyNumberFormat="1" applyFont="1" applyFill="1" applyBorder="1" applyAlignment="1">
      <alignment horizontal="center" vertical="center"/>
    </xf>
    <xf numFmtId="9" fontId="51" fillId="21" borderId="62" xfId="0" applyNumberFormat="1" applyFont="1" applyFill="1" applyBorder="1" applyAlignment="1">
      <alignment horizontal="center" vertical="center"/>
    </xf>
    <xf numFmtId="0" fontId="0" fillId="0" borderId="11" xfId="0" applyBorder="1" applyAlignment="1" applyProtection="1">
      <alignment horizontal="center" vertical="center"/>
      <protection locked="0"/>
    </xf>
    <xf numFmtId="165" fontId="0" fillId="0" borderId="11" xfId="0" applyNumberFormat="1" applyBorder="1" applyAlignment="1">
      <alignment horizontal="center" vertical="center"/>
    </xf>
    <xf numFmtId="165" fontId="0" fillId="0" borderId="52" xfId="0" applyNumberFormat="1" applyBorder="1" applyAlignment="1">
      <alignment horizontal="center" vertical="center"/>
    </xf>
    <xf numFmtId="0" fontId="0" fillId="32" borderId="4" xfId="0" applyFill="1" applyBorder="1" applyAlignment="1">
      <alignment horizontal="center" vertical="center" wrapText="1"/>
    </xf>
    <xf numFmtId="0" fontId="0" fillId="32" borderId="4" xfId="0" applyFill="1" applyBorder="1" applyAlignment="1">
      <alignment horizontal="center" vertical="center"/>
    </xf>
    <xf numFmtId="0" fontId="30" fillId="7" borderId="1" xfId="0" applyFont="1" applyFill="1" applyBorder="1" applyAlignment="1">
      <alignment horizontal="right" vertical="center" wrapText="1"/>
    </xf>
    <xf numFmtId="0" fontId="30" fillId="7" borderId="2" xfId="0" applyFont="1" applyFill="1" applyBorder="1" applyAlignment="1">
      <alignment horizontal="right" vertical="center" wrapText="1"/>
    </xf>
    <xf numFmtId="0" fontId="30" fillId="7" borderId="3" xfId="0" applyFont="1" applyFill="1" applyBorder="1" applyAlignment="1">
      <alignment horizontal="right" vertical="center" wrapText="1"/>
    </xf>
    <xf numFmtId="0" fontId="102" fillId="22" borderId="52" xfId="0" applyFont="1" applyFill="1" applyBorder="1" applyAlignment="1">
      <alignment horizontal="center" vertical="center"/>
    </xf>
    <xf numFmtId="0" fontId="102" fillId="22" borderId="53" xfId="0" applyFont="1" applyFill="1" applyBorder="1" applyAlignment="1">
      <alignment horizontal="center" vertical="center"/>
    </xf>
    <xf numFmtId="0" fontId="102" fillId="22" borderId="54" xfId="0" applyFont="1" applyFill="1" applyBorder="1" applyAlignment="1">
      <alignment horizontal="center" vertical="center"/>
    </xf>
    <xf numFmtId="0" fontId="1" fillId="7" borderId="1" xfId="0" applyFont="1" applyFill="1" applyBorder="1" applyAlignment="1">
      <alignment horizontal="right" vertical="center"/>
    </xf>
    <xf numFmtId="0" fontId="1" fillId="7" borderId="2" xfId="0" applyFont="1" applyFill="1" applyBorder="1" applyAlignment="1">
      <alignment horizontal="right" vertical="center"/>
    </xf>
    <xf numFmtId="0" fontId="1" fillId="7" borderId="3" xfId="0" applyFont="1" applyFill="1" applyBorder="1" applyAlignment="1">
      <alignment horizontal="right" vertical="center"/>
    </xf>
    <xf numFmtId="0" fontId="102" fillId="22" borderId="4" xfId="0" applyFont="1" applyFill="1" applyBorder="1" applyAlignment="1">
      <alignment horizontal="center" vertical="center"/>
    </xf>
    <xf numFmtId="0" fontId="2" fillId="34" borderId="1" xfId="0" applyFont="1" applyFill="1" applyBorder="1" applyAlignment="1">
      <alignment horizontal="right" vertical="center"/>
    </xf>
    <xf numFmtId="0" fontId="4" fillId="34" borderId="2" xfId="0" applyFont="1" applyFill="1" applyBorder="1" applyAlignment="1">
      <alignment horizontal="right" vertical="center"/>
    </xf>
    <xf numFmtId="0" fontId="4" fillId="34" borderId="3" xfId="0" applyFont="1" applyFill="1" applyBorder="1" applyAlignment="1">
      <alignment horizontal="right" vertical="center"/>
    </xf>
    <xf numFmtId="0" fontId="30" fillId="3" borderId="1" xfId="0" applyFont="1" applyFill="1" applyBorder="1" applyAlignment="1" applyProtection="1">
      <alignment horizontal="center" vertical="center"/>
      <protection locked="0"/>
    </xf>
    <xf numFmtId="0" fontId="4" fillId="34" borderId="54" xfId="0" applyFont="1" applyFill="1" applyBorder="1" applyAlignment="1">
      <alignment horizontal="right" vertical="center"/>
    </xf>
    <xf numFmtId="49" fontId="2" fillId="34" borderId="1" xfId="0" applyNumberFormat="1" applyFont="1" applyFill="1" applyBorder="1" applyAlignment="1">
      <alignment horizontal="right" vertical="center" wrapText="1"/>
    </xf>
    <xf numFmtId="49" fontId="4" fillId="34" borderId="2" xfId="0" applyNumberFormat="1" applyFont="1" applyFill="1" applyBorder="1" applyAlignment="1">
      <alignment horizontal="right" vertical="center" wrapText="1"/>
    </xf>
    <xf numFmtId="0" fontId="34" fillId="26" borderId="140" xfId="0" applyFont="1" applyFill="1" applyBorder="1" applyAlignment="1">
      <alignment horizontal="left" vertical="center"/>
    </xf>
    <xf numFmtId="0" fontId="34" fillId="26" borderId="141" xfId="0" applyFont="1" applyFill="1" applyBorder="1" applyAlignment="1">
      <alignment horizontal="left" vertical="center"/>
    </xf>
    <xf numFmtId="0" fontId="80" fillId="26" borderId="141" xfId="0" applyFont="1" applyFill="1" applyBorder="1" applyAlignment="1">
      <alignment horizontal="center" vertical="center"/>
    </xf>
    <xf numFmtId="14" fontId="30" fillId="0" borderId="184" xfId="0" applyNumberFormat="1" applyFont="1" applyBorder="1" applyAlignment="1">
      <alignment horizontal="left" vertical="center" wrapText="1"/>
    </xf>
    <xf numFmtId="14" fontId="30" fillId="0" borderId="185" xfId="0" applyNumberFormat="1" applyFont="1" applyBorder="1" applyAlignment="1">
      <alignment horizontal="left" vertical="center" wrapText="1"/>
    </xf>
    <xf numFmtId="0" fontId="56" fillId="21" borderId="52" xfId="0" applyFont="1" applyFill="1" applyBorder="1" applyAlignment="1" applyProtection="1">
      <alignment horizontal="center" vertical="center" wrapText="1"/>
      <protection locked="0"/>
    </xf>
    <xf numFmtId="0" fontId="56" fillId="21" borderId="53" xfId="0" applyFont="1" applyFill="1" applyBorder="1" applyAlignment="1" applyProtection="1">
      <alignment horizontal="center" vertical="center" wrapText="1"/>
      <protection locked="0"/>
    </xf>
    <xf numFmtId="0" fontId="56" fillId="21" borderId="54" xfId="0" applyFont="1" applyFill="1" applyBorder="1" applyAlignment="1" applyProtection="1">
      <alignment horizontal="center" vertical="center" wrapText="1"/>
      <protection locked="0"/>
    </xf>
    <xf numFmtId="0" fontId="56" fillId="21" borderId="58" xfId="0" applyFont="1" applyFill="1" applyBorder="1" applyAlignment="1" applyProtection="1">
      <alignment horizontal="center" vertical="center" wrapText="1"/>
      <protection locked="0"/>
    </xf>
    <xf numFmtId="0" fontId="56" fillId="21" borderId="0" xfId="0" applyFont="1" applyFill="1" applyAlignment="1" applyProtection="1">
      <alignment horizontal="center" vertical="center" wrapText="1"/>
      <protection locked="0"/>
    </xf>
    <xf numFmtId="0" fontId="56" fillId="21" borderId="59" xfId="0" applyFont="1" applyFill="1" applyBorder="1" applyAlignment="1" applyProtection="1">
      <alignment horizontal="center" vertical="center" wrapText="1"/>
      <protection locked="0"/>
    </xf>
    <xf numFmtId="0" fontId="56" fillId="21" borderId="17" xfId="0" applyFont="1" applyFill="1" applyBorder="1" applyAlignment="1" applyProtection="1">
      <alignment horizontal="center" vertical="center" wrapText="1"/>
      <protection locked="0"/>
    </xf>
    <xf numFmtId="0" fontId="56" fillId="21" borderId="18" xfId="0" applyFont="1" applyFill="1" applyBorder="1" applyAlignment="1" applyProtection="1">
      <alignment horizontal="center" vertical="center" wrapText="1"/>
      <protection locked="0"/>
    </xf>
    <xf numFmtId="0" fontId="56" fillId="21" borderId="55" xfId="0" applyFont="1" applyFill="1" applyBorder="1" applyAlignment="1" applyProtection="1">
      <alignment horizontal="center" vertical="center" wrapText="1"/>
      <protection locked="0"/>
    </xf>
    <xf numFmtId="0" fontId="30" fillId="34" borderId="153" xfId="0" applyFont="1" applyFill="1" applyBorder="1" applyAlignment="1">
      <alignment horizontal="right" vertical="center" wrapText="1"/>
    </xf>
    <xf numFmtId="0" fontId="30" fillId="34" borderId="154" xfId="0" applyFont="1" applyFill="1" applyBorder="1" applyAlignment="1">
      <alignment horizontal="right" vertical="center" wrapText="1"/>
    </xf>
    <xf numFmtId="0" fontId="86" fillId="0" borderId="152" xfId="0" applyFont="1" applyBorder="1" applyAlignment="1" applyProtection="1">
      <alignment horizontal="center" vertical="center" wrapText="1"/>
      <protection locked="0"/>
    </xf>
    <xf numFmtId="0" fontId="86" fillId="0" borderId="159" xfId="0" applyFont="1" applyBorder="1" applyAlignment="1" applyProtection="1">
      <alignment horizontal="center" vertical="center" wrapText="1"/>
      <protection locked="0"/>
    </xf>
    <xf numFmtId="0" fontId="30" fillId="7" borderId="195" xfId="0" applyFont="1" applyFill="1" applyBorder="1" applyAlignment="1">
      <alignment horizontal="right" vertical="center"/>
    </xf>
    <xf numFmtId="0" fontId="30" fillId="7" borderId="294" xfId="0" applyFont="1" applyFill="1" applyBorder="1" applyAlignment="1">
      <alignment horizontal="right" vertical="center"/>
    </xf>
    <xf numFmtId="0" fontId="30" fillId="7" borderId="295" xfId="0" applyFont="1" applyFill="1" applyBorder="1" applyAlignment="1">
      <alignment horizontal="right" vertical="center"/>
    </xf>
    <xf numFmtId="0" fontId="50" fillId="0" borderId="234" xfId="0" applyFont="1" applyBorder="1" applyAlignment="1" applyProtection="1">
      <alignment horizontal="center" vertical="center"/>
      <protection locked="0"/>
    </xf>
    <xf numFmtId="0" fontId="50" fillId="0" borderId="294" xfId="0" applyFont="1" applyBorder="1" applyAlignment="1" applyProtection="1">
      <alignment horizontal="center" vertical="center"/>
      <protection locked="0"/>
    </xf>
    <xf numFmtId="0" fontId="50" fillId="0" borderId="295" xfId="0" applyFont="1" applyBorder="1" applyAlignment="1" applyProtection="1">
      <alignment horizontal="center" vertical="center"/>
      <protection locked="0"/>
    </xf>
    <xf numFmtId="0" fontId="30" fillId="7" borderId="229" xfId="0" applyFont="1" applyFill="1" applyBorder="1" applyAlignment="1">
      <alignment horizontal="right" vertical="center"/>
    </xf>
    <xf numFmtId="9" fontId="78" fillId="21" borderId="1" xfId="0" applyNumberFormat="1" applyFont="1" applyFill="1" applyBorder="1" applyAlignment="1">
      <alignment horizontal="center" vertical="center"/>
    </xf>
    <xf numFmtId="9" fontId="78" fillId="21" borderId="2" xfId="0" applyNumberFormat="1" applyFont="1" applyFill="1" applyBorder="1" applyAlignment="1">
      <alignment horizontal="center" vertical="center"/>
    </xf>
    <xf numFmtId="9" fontId="78" fillId="21" borderId="3" xfId="0" applyNumberFormat="1" applyFont="1" applyFill="1" applyBorder="1" applyAlignment="1">
      <alignment horizontal="center" vertical="center"/>
    </xf>
    <xf numFmtId="9" fontId="51" fillId="21" borderId="152" xfId="0" applyNumberFormat="1" applyFont="1" applyFill="1" applyBorder="1" applyAlignment="1">
      <alignment horizontal="center" vertical="center"/>
    </xf>
    <xf numFmtId="9" fontId="51" fillId="21" borderId="192" xfId="0" applyNumberFormat="1" applyFont="1" applyFill="1" applyBorder="1" applyAlignment="1">
      <alignment horizontal="center" vertical="center"/>
    </xf>
    <xf numFmtId="9" fontId="51" fillId="21" borderId="159" xfId="0" applyNumberFormat="1" applyFont="1" applyFill="1" applyBorder="1" applyAlignment="1">
      <alignment horizontal="center" vertical="center"/>
    </xf>
    <xf numFmtId="0" fontId="78" fillId="32" borderId="1" xfId="0" applyFont="1" applyFill="1" applyBorder="1" applyAlignment="1">
      <alignment horizontal="center" vertical="center"/>
    </xf>
    <xf numFmtId="0" fontId="78" fillId="32" borderId="2" xfId="0" applyFont="1" applyFill="1" applyBorder="1" applyAlignment="1">
      <alignment horizontal="center" vertical="center"/>
    </xf>
    <xf numFmtId="0" fontId="30" fillId="34" borderId="150" xfId="0" applyFont="1" applyFill="1" applyBorder="1" applyAlignment="1">
      <alignment horizontal="right" vertical="center"/>
    </xf>
    <xf numFmtId="0" fontId="30" fillId="34" borderId="151" xfId="0" applyFont="1" applyFill="1" applyBorder="1" applyAlignment="1">
      <alignment horizontal="right" vertical="center"/>
    </xf>
    <xf numFmtId="0" fontId="86" fillId="0" borderId="148" xfId="0" applyFont="1" applyBorder="1" applyAlignment="1" applyProtection="1">
      <alignment horizontal="center" vertical="center" wrapText="1"/>
      <protection locked="0"/>
    </xf>
    <xf numFmtId="0" fontId="86" fillId="0" borderId="62" xfId="0" applyFont="1" applyBorder="1" applyAlignment="1" applyProtection="1">
      <alignment horizontal="center" vertical="center" wrapText="1"/>
      <protection locked="0"/>
    </xf>
    <xf numFmtId="0" fontId="34" fillId="26" borderId="142" xfId="0" applyFont="1" applyFill="1" applyBorder="1" applyAlignment="1">
      <alignment horizontal="left" vertical="center"/>
    </xf>
    <xf numFmtId="0" fontId="31" fillId="33" borderId="1" xfId="0" applyFont="1" applyFill="1" applyBorder="1" applyAlignment="1">
      <alignment horizontal="left" vertical="center"/>
    </xf>
    <xf numFmtId="0" fontId="31" fillId="33" borderId="2" xfId="0" applyFont="1" applyFill="1" applyBorder="1" applyAlignment="1">
      <alignment horizontal="left" vertical="center"/>
    </xf>
    <xf numFmtId="0" fontId="31" fillId="33" borderId="3" xfId="0" applyFont="1" applyFill="1" applyBorder="1" applyAlignment="1">
      <alignment horizontal="left" vertical="center"/>
    </xf>
    <xf numFmtId="0" fontId="52" fillId="0" borderId="179" xfId="0" applyFont="1" applyBorder="1" applyAlignment="1">
      <alignment horizontal="right" vertical="center"/>
    </xf>
    <xf numFmtId="0" fontId="52" fillId="0" borderId="180" xfId="0" applyFont="1" applyBorder="1" applyAlignment="1">
      <alignment horizontal="right" vertical="center"/>
    </xf>
    <xf numFmtId="0" fontId="52" fillId="0" borderId="181" xfId="0" applyFont="1" applyBorder="1" applyAlignment="1">
      <alignment horizontal="right" vertical="center"/>
    </xf>
    <xf numFmtId="0" fontId="52" fillId="0" borderId="97" xfId="0" applyFont="1" applyBorder="1" applyAlignment="1">
      <alignment horizontal="right" vertical="center"/>
    </xf>
    <xf numFmtId="0" fontId="52" fillId="0" borderId="98" xfId="0" applyFont="1" applyBorder="1" applyAlignment="1">
      <alignment horizontal="right" vertical="center"/>
    </xf>
    <xf numFmtId="0" fontId="52" fillId="0" borderId="99" xfId="0" applyFont="1" applyBorder="1" applyAlignment="1">
      <alignment horizontal="right" vertical="center"/>
    </xf>
    <xf numFmtId="0" fontId="30" fillId="0" borderId="182" xfId="0" applyFont="1" applyBorder="1" applyAlignment="1" applyProtection="1">
      <alignment horizontal="left" vertical="center" wrapText="1"/>
      <protection locked="0"/>
    </xf>
    <xf numFmtId="0" fontId="30" fillId="0" borderId="180" xfId="0" applyFont="1" applyBorder="1" applyAlignment="1" applyProtection="1">
      <alignment horizontal="left" vertical="center" wrapText="1"/>
      <protection locked="0"/>
    </xf>
    <xf numFmtId="0" fontId="30" fillId="0" borderId="103" xfId="0" quotePrefix="1" applyFont="1" applyBorder="1" applyAlignment="1" applyProtection="1">
      <alignment horizontal="left" vertical="center" wrapText="1"/>
      <protection locked="0"/>
    </xf>
    <xf numFmtId="0" fontId="30" fillId="0" borderId="98" xfId="0" applyFont="1" applyBorder="1" applyAlignment="1" applyProtection="1">
      <alignment horizontal="left" vertical="center" wrapText="1"/>
      <protection locked="0"/>
    </xf>
    <xf numFmtId="0" fontId="52" fillId="0" borderId="182" xfId="0" applyFont="1" applyBorder="1" applyAlignment="1">
      <alignment horizontal="right" vertical="center"/>
    </xf>
    <xf numFmtId="0" fontId="52" fillId="0" borderId="103" xfId="0" applyFont="1" applyBorder="1" applyAlignment="1">
      <alignment horizontal="right" vertical="center"/>
    </xf>
    <xf numFmtId="0" fontId="32" fillId="23" borderId="196" xfId="0" applyFont="1" applyFill="1" applyBorder="1" applyAlignment="1">
      <alignment horizontal="center" vertical="center" wrapText="1"/>
    </xf>
    <xf numFmtId="0" fontId="32" fillId="23" borderId="197" xfId="0" applyFont="1" applyFill="1" applyBorder="1" applyAlignment="1">
      <alignment horizontal="center" vertical="center" wrapText="1"/>
    </xf>
    <xf numFmtId="0" fontId="32" fillId="23" borderId="198" xfId="0" applyFont="1" applyFill="1" applyBorder="1" applyAlignment="1">
      <alignment horizontal="center" vertical="center" wrapText="1"/>
    </xf>
    <xf numFmtId="0" fontId="52" fillId="0" borderId="104" xfId="0" applyFont="1" applyBorder="1" applyAlignment="1">
      <alignment horizontal="right" vertical="center"/>
    </xf>
    <xf numFmtId="0" fontId="52" fillId="0" borderId="101" xfId="0" applyFont="1" applyBorder="1" applyAlignment="1">
      <alignment horizontal="right" vertical="center"/>
    </xf>
    <xf numFmtId="0" fontId="52" fillId="0" borderId="102" xfId="0" applyFont="1" applyBorder="1" applyAlignment="1">
      <alignment horizontal="right" vertical="center"/>
    </xf>
    <xf numFmtId="0" fontId="30" fillId="0" borderId="104" xfId="0" applyFont="1" applyBorder="1" applyAlignment="1" applyProtection="1">
      <alignment horizontal="left" vertical="center" wrapText="1"/>
      <protection locked="0"/>
    </xf>
    <xf numFmtId="0" fontId="30" fillId="0" borderId="101" xfId="0" applyFont="1" applyBorder="1" applyAlignment="1" applyProtection="1">
      <alignment horizontal="left" vertical="center" wrapText="1"/>
      <protection locked="0"/>
    </xf>
    <xf numFmtId="0" fontId="30" fillId="0" borderId="104" xfId="0" applyFont="1" applyBorder="1" applyAlignment="1" applyProtection="1">
      <alignment horizontal="left" vertical="center"/>
      <protection locked="0"/>
    </xf>
    <xf numFmtId="0" fontId="30" fillId="0" borderId="101" xfId="0" applyFont="1" applyBorder="1" applyAlignment="1" applyProtection="1">
      <alignment horizontal="left" vertical="center"/>
      <protection locked="0"/>
    </xf>
    <xf numFmtId="0" fontId="52" fillId="0" borderId="100" xfId="0" applyFont="1" applyBorder="1" applyAlignment="1">
      <alignment horizontal="right" vertical="center"/>
    </xf>
    <xf numFmtId="0" fontId="30" fillId="0" borderId="103" xfId="0" applyFont="1" applyBorder="1" applyAlignment="1" applyProtection="1">
      <alignment horizontal="left" vertical="center" wrapText="1"/>
      <protection locked="0"/>
    </xf>
    <xf numFmtId="0" fontId="30" fillId="0" borderId="182" xfId="0" applyFont="1" applyBorder="1" applyAlignment="1" applyProtection="1">
      <alignment horizontal="left" vertical="center"/>
      <protection locked="0"/>
    </xf>
    <xf numFmtId="0" fontId="30" fillId="0" borderId="180" xfId="0" applyFont="1" applyBorder="1" applyAlignment="1" applyProtection="1">
      <alignment horizontal="left" vertical="center"/>
      <protection locked="0"/>
    </xf>
    <xf numFmtId="0" fontId="30" fillId="0" borderId="103" xfId="0" quotePrefix="1" applyFont="1" applyBorder="1" applyAlignment="1" applyProtection="1">
      <alignment horizontal="left" vertical="center"/>
      <protection locked="0"/>
    </xf>
    <xf numFmtId="0" fontId="30" fillId="0" borderId="98" xfId="0" applyFont="1" applyBorder="1" applyAlignment="1" applyProtection="1">
      <alignment horizontal="left" vertical="center"/>
      <protection locked="0"/>
    </xf>
    <xf numFmtId="0" fontId="52" fillId="3" borderId="104" xfId="0" applyFont="1" applyFill="1" applyBorder="1" applyAlignment="1">
      <alignment horizontal="right" vertical="center"/>
    </xf>
    <xf numFmtId="0" fontId="52" fillId="3" borderId="101" xfId="0" applyFont="1" applyFill="1" applyBorder="1" applyAlignment="1">
      <alignment horizontal="right" vertical="center"/>
    </xf>
    <xf numFmtId="0" fontId="79" fillId="21" borderId="0" xfId="0" applyFont="1" applyFill="1" applyAlignment="1">
      <alignment horizontal="center" vertical="center"/>
    </xf>
    <xf numFmtId="0" fontId="54" fillId="22" borderId="175" xfId="0" applyFont="1" applyFill="1" applyBorder="1" applyAlignment="1">
      <alignment horizontal="center" vertical="center" wrapText="1"/>
    </xf>
    <xf numFmtId="0" fontId="30" fillId="3" borderId="103" xfId="0" applyFont="1" applyFill="1" applyBorder="1" applyAlignment="1" applyProtection="1">
      <alignment horizontal="left" vertical="center"/>
      <protection locked="0"/>
    </xf>
    <xf numFmtId="0" fontId="30" fillId="3" borderId="98" xfId="0" applyFont="1" applyFill="1" applyBorder="1" applyAlignment="1" applyProtection="1">
      <alignment horizontal="left" vertical="center"/>
      <protection locked="0"/>
    </xf>
    <xf numFmtId="0" fontId="34" fillId="24" borderId="107" xfId="0" applyFont="1" applyFill="1" applyBorder="1" applyAlignment="1">
      <alignment horizontal="left" vertical="center"/>
    </xf>
    <xf numFmtId="0" fontId="34" fillId="24" borderId="108" xfId="0" applyFont="1" applyFill="1" applyBorder="1" applyAlignment="1">
      <alignment horizontal="left" vertical="center"/>
    </xf>
    <xf numFmtId="0" fontId="34" fillId="24" borderId="109" xfId="0" applyFont="1" applyFill="1" applyBorder="1" applyAlignment="1">
      <alignment horizontal="left" vertical="center"/>
    </xf>
    <xf numFmtId="0" fontId="49" fillId="0" borderId="0" xfId="0" applyFont="1" applyAlignment="1">
      <alignment horizontal="center" vertical="center" wrapText="1"/>
    </xf>
    <xf numFmtId="14" fontId="49" fillId="0" borderId="0" xfId="0" applyNumberFormat="1" applyFont="1" applyAlignment="1" applyProtection="1">
      <alignment horizontal="center" vertical="center"/>
      <protection locked="0"/>
    </xf>
    <xf numFmtId="0" fontId="49" fillId="0" borderId="0" xfId="0" applyFont="1" applyAlignment="1" applyProtection="1">
      <alignment horizontal="center" vertical="center" wrapText="1"/>
      <protection locked="0"/>
    </xf>
    <xf numFmtId="0" fontId="54" fillId="22" borderId="115" xfId="0" applyFont="1" applyFill="1" applyBorder="1" applyAlignment="1">
      <alignment horizontal="center" vertical="center" wrapText="1"/>
    </xf>
    <xf numFmtId="0" fontId="82" fillId="0" borderId="116" xfId="0" applyFont="1" applyBorder="1" applyAlignment="1">
      <alignment horizontal="left" vertical="center" wrapText="1"/>
    </xf>
    <xf numFmtId="0" fontId="82" fillId="0" borderId="117" xfId="0" applyFont="1" applyBorder="1" applyAlignment="1">
      <alignment horizontal="left" vertical="center" wrapText="1"/>
    </xf>
    <xf numFmtId="0" fontId="83" fillId="0" borderId="174" xfId="0" applyFont="1" applyBorder="1" applyAlignment="1">
      <alignment horizontal="left" wrapText="1"/>
    </xf>
    <xf numFmtId="0" fontId="83" fillId="0" borderId="0" xfId="0" applyFont="1" applyAlignment="1">
      <alignment horizontal="left" wrapText="1"/>
    </xf>
    <xf numFmtId="0" fontId="55" fillId="25" borderId="118" xfId="0" applyFont="1" applyFill="1" applyBorder="1" applyAlignment="1">
      <alignment horizontal="center" vertical="center"/>
    </xf>
    <xf numFmtId="0" fontId="55" fillId="25" borderId="119" xfId="0" applyFont="1" applyFill="1" applyBorder="1" applyAlignment="1">
      <alignment horizontal="center" vertical="center"/>
    </xf>
    <xf numFmtId="0" fontId="55" fillId="25" borderId="120" xfId="0" applyFont="1" applyFill="1" applyBorder="1" applyAlignment="1">
      <alignment horizontal="center" vertical="center"/>
    </xf>
    <xf numFmtId="0" fontId="57" fillId="0" borderId="0" xfId="0" applyFont="1" applyAlignment="1">
      <alignment horizontal="left"/>
    </xf>
    <xf numFmtId="0" fontId="72" fillId="22" borderId="115" xfId="0" applyFont="1" applyFill="1" applyBorder="1" applyAlignment="1">
      <alignment horizontal="center" vertical="center" wrapText="1"/>
    </xf>
    <xf numFmtId="0" fontId="54" fillId="22" borderId="116" xfId="0" applyFont="1" applyFill="1" applyBorder="1" applyAlignment="1">
      <alignment horizontal="center" vertical="center" wrapText="1"/>
    </xf>
    <xf numFmtId="0" fontId="54" fillId="22" borderId="117" xfId="0" applyFont="1" applyFill="1" applyBorder="1" applyAlignment="1">
      <alignment horizontal="center" vertical="center" wrapText="1"/>
    </xf>
    <xf numFmtId="0" fontId="51" fillId="21" borderId="126" xfId="0" applyFont="1" applyFill="1" applyBorder="1" applyAlignment="1" applyProtection="1">
      <alignment horizontal="justify" vertical="center" wrapText="1"/>
      <protection locked="0"/>
    </xf>
    <xf numFmtId="0" fontId="51" fillId="21" borderId="127" xfId="0" applyFont="1" applyFill="1" applyBorder="1" applyAlignment="1" applyProtection="1">
      <alignment horizontal="justify" vertical="center" wrapText="1"/>
      <protection locked="0"/>
    </xf>
    <xf numFmtId="0" fontId="51" fillId="21" borderId="128" xfId="0" applyFont="1" applyFill="1" applyBorder="1" applyAlignment="1" applyProtection="1">
      <alignment horizontal="justify" vertical="center" wrapText="1"/>
      <protection locked="0"/>
    </xf>
    <xf numFmtId="0" fontId="55" fillId="25" borderId="118" xfId="0" quotePrefix="1" applyFont="1" applyFill="1" applyBorder="1" applyAlignment="1">
      <alignment horizontal="center" vertical="center"/>
    </xf>
    <xf numFmtId="0" fontId="55" fillId="25" borderId="119" xfId="0" quotePrefix="1" applyFont="1" applyFill="1" applyBorder="1" applyAlignment="1">
      <alignment horizontal="center" vertical="center"/>
    </xf>
    <xf numFmtId="0" fontId="55" fillId="25" borderId="120" xfId="0" quotePrefix="1" applyFont="1" applyFill="1" applyBorder="1" applyAlignment="1">
      <alignment horizontal="center" vertical="center"/>
    </xf>
    <xf numFmtId="0" fontId="51" fillId="21" borderId="52" xfId="0" applyFont="1" applyFill="1" applyBorder="1" applyAlignment="1" applyProtection="1">
      <alignment horizontal="justify" vertical="center" wrapText="1"/>
      <protection locked="0"/>
    </xf>
    <xf numFmtId="0" fontId="51" fillId="21" borderId="53" xfId="0" applyFont="1" applyFill="1" applyBorder="1" applyAlignment="1" applyProtection="1">
      <alignment horizontal="justify" vertical="center" wrapText="1"/>
      <protection locked="0"/>
    </xf>
    <xf numFmtId="0" fontId="51" fillId="21" borderId="54" xfId="0" applyFont="1" applyFill="1" applyBorder="1" applyAlignment="1" applyProtection="1">
      <alignment horizontal="justify" vertical="center" wrapText="1"/>
      <protection locked="0"/>
    </xf>
    <xf numFmtId="0" fontId="51" fillId="21" borderId="17" xfId="0" applyFont="1" applyFill="1" applyBorder="1" applyAlignment="1" applyProtection="1">
      <alignment horizontal="justify" vertical="center" wrapText="1"/>
      <protection locked="0"/>
    </xf>
    <xf numFmtId="0" fontId="51" fillId="21" borderId="18" xfId="0" applyFont="1" applyFill="1" applyBorder="1" applyAlignment="1" applyProtection="1">
      <alignment horizontal="justify" vertical="center" wrapText="1"/>
      <protection locked="0"/>
    </xf>
    <xf numFmtId="0" fontId="51" fillId="21" borderId="55" xfId="0" applyFont="1" applyFill="1" applyBorder="1" applyAlignment="1" applyProtection="1">
      <alignment horizontal="justify" vertical="center" wrapText="1"/>
      <protection locked="0"/>
    </xf>
    <xf numFmtId="0" fontId="54" fillId="21" borderId="52" xfId="0" applyFont="1" applyFill="1" applyBorder="1" applyAlignment="1" applyProtection="1">
      <alignment horizontal="justify" vertical="center"/>
      <protection locked="0"/>
    </xf>
    <xf numFmtId="0" fontId="54" fillId="21" borderId="53" xfId="0" applyFont="1" applyFill="1" applyBorder="1" applyAlignment="1" applyProtection="1">
      <alignment horizontal="justify" vertical="center"/>
      <protection locked="0"/>
    </xf>
    <xf numFmtId="0" fontId="54" fillId="21" borderId="54" xfId="0" applyFont="1" applyFill="1" applyBorder="1" applyAlignment="1" applyProtection="1">
      <alignment horizontal="justify" vertical="center"/>
      <protection locked="0"/>
    </xf>
    <xf numFmtId="0" fontId="54" fillId="21" borderId="17" xfId="0" applyFont="1" applyFill="1" applyBorder="1" applyAlignment="1" applyProtection="1">
      <alignment horizontal="justify" vertical="center"/>
      <protection locked="0"/>
    </xf>
    <xf numFmtId="0" fontId="54" fillId="21" borderId="18" xfId="0" applyFont="1" applyFill="1" applyBorder="1" applyAlignment="1" applyProtection="1">
      <alignment horizontal="justify" vertical="center"/>
      <protection locked="0"/>
    </xf>
    <xf numFmtId="0" fontId="54" fillId="21" borderId="55" xfId="0" applyFont="1" applyFill="1" applyBorder="1" applyAlignment="1" applyProtection="1">
      <alignment horizontal="justify" vertical="center"/>
      <protection locked="0"/>
    </xf>
    <xf numFmtId="0" fontId="30" fillId="0" borderId="98" xfId="0" quotePrefix="1" applyFont="1" applyBorder="1" applyAlignment="1" applyProtection="1">
      <alignment horizontal="left" vertical="center" wrapText="1"/>
      <protection locked="0"/>
    </xf>
    <xf numFmtId="14" fontId="30" fillId="0" borderId="104" xfId="0" applyNumberFormat="1" applyFont="1" applyBorder="1" applyAlignment="1" applyProtection="1">
      <alignment horizontal="left" vertical="center" wrapText="1"/>
      <protection locked="0"/>
    </xf>
    <xf numFmtId="0" fontId="30" fillId="0" borderId="106" xfId="0" applyFont="1" applyBorder="1" applyAlignment="1" applyProtection="1">
      <alignment horizontal="left" vertical="center" wrapText="1"/>
      <protection locked="0"/>
    </xf>
    <xf numFmtId="0" fontId="30" fillId="0" borderId="183" xfId="0" applyFont="1" applyBorder="1" applyAlignment="1" applyProtection="1">
      <alignment horizontal="left" vertical="center" wrapText="1"/>
      <protection locked="0"/>
    </xf>
    <xf numFmtId="0" fontId="30" fillId="0" borderId="105" xfId="0" quotePrefix="1" applyFont="1" applyBorder="1" applyAlignment="1" applyProtection="1">
      <alignment horizontal="left" vertical="center" wrapText="1"/>
      <protection locked="0"/>
    </xf>
    <xf numFmtId="14" fontId="30" fillId="0" borderId="103" xfId="0" applyNumberFormat="1" applyFont="1" applyBorder="1" applyAlignment="1" applyProtection="1">
      <alignment horizontal="left" vertical="center" wrapText="1"/>
      <protection locked="0"/>
    </xf>
    <xf numFmtId="0" fontId="30" fillId="0" borderId="105" xfId="0" applyFont="1" applyBorder="1" applyAlignment="1" applyProtection="1">
      <alignment horizontal="left" vertical="center" wrapText="1"/>
      <protection locked="0"/>
    </xf>
    <xf numFmtId="0" fontId="48" fillId="3" borderId="113" xfId="0" applyFont="1" applyFill="1" applyBorder="1" applyAlignment="1">
      <alignment horizontal="left" vertical="center"/>
    </xf>
    <xf numFmtId="0" fontId="53" fillId="14" borderId="162" xfId="0" applyFont="1" applyFill="1" applyBorder="1" applyAlignment="1">
      <alignment horizontal="center" vertical="center" wrapText="1"/>
    </xf>
    <xf numFmtId="0" fontId="53" fillId="14" borderId="164" xfId="0" applyFont="1" applyFill="1" applyBorder="1" applyAlignment="1">
      <alignment horizontal="center" vertical="center" wrapText="1"/>
    </xf>
    <xf numFmtId="0" fontId="53" fillId="14" borderId="165" xfId="0" applyFont="1" applyFill="1" applyBorder="1" applyAlignment="1">
      <alignment horizontal="center" vertical="center" wrapText="1"/>
    </xf>
    <xf numFmtId="0" fontId="53" fillId="14" borderId="0" xfId="0" applyFont="1" applyFill="1" applyAlignment="1">
      <alignment horizontal="center" vertical="center" wrapText="1"/>
    </xf>
    <xf numFmtId="0" fontId="53" fillId="14" borderId="168" xfId="0" applyFont="1" applyFill="1" applyBorder="1" applyAlignment="1">
      <alignment horizontal="center" vertical="center" wrapText="1"/>
    </xf>
    <xf numFmtId="0" fontId="53" fillId="14" borderId="170" xfId="0" applyFont="1" applyFill="1" applyBorder="1" applyAlignment="1">
      <alignment horizontal="center" vertical="center" wrapText="1"/>
    </xf>
    <xf numFmtId="0" fontId="48" fillId="7" borderId="46" xfId="0" applyFont="1" applyFill="1" applyBorder="1" applyAlignment="1">
      <alignment horizontal="center" vertical="center"/>
    </xf>
    <xf numFmtId="0" fontId="48" fillId="7" borderId="219" xfId="0" applyFont="1" applyFill="1" applyBorder="1" applyAlignment="1">
      <alignment horizontal="center" vertical="center"/>
    </xf>
    <xf numFmtId="0" fontId="48" fillId="0" borderId="220" xfId="0" applyFont="1" applyBorder="1" applyAlignment="1">
      <alignment horizontal="center" vertical="center"/>
    </xf>
    <xf numFmtId="0" fontId="48" fillId="0" borderId="221" xfId="0" applyFont="1" applyBorder="1" applyAlignment="1">
      <alignment horizontal="center" vertical="center"/>
    </xf>
    <xf numFmtId="0" fontId="48" fillId="0" borderId="213" xfId="0" applyFont="1" applyBorder="1" applyAlignment="1">
      <alignment horizontal="center" vertical="center"/>
    </xf>
    <xf numFmtId="0" fontId="48" fillId="7" borderId="311" xfId="0" applyFont="1" applyFill="1" applyBorder="1" applyAlignment="1">
      <alignment horizontal="center" vertical="center"/>
    </xf>
    <xf numFmtId="0" fontId="48" fillId="7" borderId="312" xfId="0" applyFont="1" applyFill="1" applyBorder="1" applyAlignment="1">
      <alignment horizontal="center" vertical="center"/>
    </xf>
    <xf numFmtId="0" fontId="48" fillId="0" borderId="313" xfId="0" applyFont="1" applyBorder="1" applyAlignment="1">
      <alignment horizontal="center" vertical="center"/>
    </xf>
    <xf numFmtId="0" fontId="48" fillId="0" borderId="314" xfId="0" applyFont="1" applyBorder="1" applyAlignment="1">
      <alignment horizontal="center" vertical="center"/>
    </xf>
    <xf numFmtId="0" fontId="48" fillId="0" borderId="315" xfId="0" applyFont="1" applyBorder="1" applyAlignment="1">
      <alignment horizontal="center" vertical="center"/>
    </xf>
    <xf numFmtId="0" fontId="78" fillId="22" borderId="10" xfId="0" applyFont="1" applyFill="1" applyBorder="1" applyAlignment="1">
      <alignment horizontal="center" vertical="center"/>
    </xf>
    <xf numFmtId="0" fontId="78" fillId="22" borderId="29" xfId="0" applyFont="1" applyFill="1" applyBorder="1" applyAlignment="1">
      <alignment horizontal="center" vertical="center"/>
    </xf>
    <xf numFmtId="0" fontId="78" fillId="32" borderId="303" xfId="0" applyFont="1" applyFill="1" applyBorder="1" applyAlignment="1">
      <alignment horizontal="center" vertical="center" wrapText="1"/>
    </xf>
    <xf numFmtId="0" fontId="78" fillId="32" borderId="227" xfId="0" applyFont="1" applyFill="1" applyBorder="1" applyAlignment="1">
      <alignment horizontal="center" vertical="center" wrapText="1"/>
    </xf>
    <xf numFmtId="0" fontId="78" fillId="22" borderId="296" xfId="0" applyFont="1" applyFill="1" applyBorder="1" applyAlignment="1">
      <alignment horizontal="center" vertical="center"/>
    </xf>
    <xf numFmtId="0" fontId="78" fillId="22" borderId="299" xfId="0" applyFont="1" applyFill="1" applyBorder="1" applyAlignment="1">
      <alignment horizontal="center" vertical="center"/>
    </xf>
    <xf numFmtId="0" fontId="48" fillId="22" borderId="304" xfId="0" applyFont="1" applyFill="1" applyBorder="1" applyAlignment="1">
      <alignment horizontal="center" vertical="center"/>
    </xf>
    <xf numFmtId="0" fontId="48" fillId="22" borderId="223" xfId="0" applyFont="1" applyFill="1" applyBorder="1" applyAlignment="1">
      <alignment horizontal="center" vertical="center"/>
    </xf>
    <xf numFmtId="0" fontId="48" fillId="22" borderId="224" xfId="0" applyFont="1" applyFill="1" applyBorder="1" applyAlignment="1">
      <alignment horizontal="center" vertical="center"/>
    </xf>
    <xf numFmtId="0" fontId="48" fillId="22" borderId="225" xfId="0" applyFont="1" applyFill="1" applyBorder="1" applyAlignment="1">
      <alignment horizontal="center" vertical="center"/>
    </xf>
    <xf numFmtId="0" fontId="48" fillId="22" borderId="226" xfId="0" applyFont="1" applyFill="1" applyBorder="1" applyAlignment="1">
      <alignment horizontal="center" vertical="center"/>
    </xf>
    <xf numFmtId="9" fontId="51" fillId="30" borderId="60" xfId="0" applyNumberFormat="1" applyFont="1" applyFill="1" applyBorder="1" applyAlignment="1">
      <alignment horizontal="center" vertical="center"/>
    </xf>
    <xf numFmtId="9" fontId="51" fillId="30" borderId="209" xfId="0" applyNumberFormat="1" applyFont="1" applyFill="1" applyBorder="1" applyAlignment="1">
      <alignment horizontal="center" vertical="center"/>
    </xf>
    <xf numFmtId="0" fontId="33" fillId="7" borderId="282" xfId="0" applyFont="1" applyFill="1" applyBorder="1" applyAlignment="1">
      <alignment horizontal="center" vertical="center"/>
    </xf>
    <xf numFmtId="0" fontId="33" fillId="7" borderId="283" xfId="0" applyFont="1" applyFill="1" applyBorder="1" applyAlignment="1">
      <alignment horizontal="center" vertical="center"/>
    </xf>
    <xf numFmtId="0" fontId="53" fillId="14" borderId="163" xfId="0" applyFont="1" applyFill="1" applyBorder="1" applyAlignment="1">
      <alignment horizontal="center" vertical="center" wrapText="1"/>
    </xf>
    <xf numFmtId="0" fontId="53" fillId="14" borderId="166" xfId="0" applyFont="1" applyFill="1" applyBorder="1" applyAlignment="1">
      <alignment horizontal="center" vertical="center" wrapText="1"/>
    </xf>
    <xf numFmtId="0" fontId="53" fillId="14" borderId="169" xfId="0" applyFont="1" applyFill="1" applyBorder="1" applyAlignment="1">
      <alignment horizontal="center" vertical="center" wrapText="1"/>
    </xf>
    <xf numFmtId="0" fontId="51" fillId="21" borderId="162" xfId="0" applyFont="1" applyFill="1" applyBorder="1" applyAlignment="1" applyProtection="1">
      <alignment horizontal="center" vertical="center"/>
      <protection locked="0"/>
    </xf>
    <xf numFmtId="0" fontId="51" fillId="21" borderId="164" xfId="0" applyFont="1" applyFill="1" applyBorder="1" applyAlignment="1" applyProtection="1">
      <alignment horizontal="center" vertical="center"/>
      <protection locked="0"/>
    </xf>
    <xf numFmtId="0" fontId="51" fillId="21" borderId="163" xfId="0" applyFont="1" applyFill="1" applyBorder="1" applyAlignment="1" applyProtection="1">
      <alignment horizontal="center" vertical="center"/>
      <protection locked="0"/>
    </xf>
    <xf numFmtId="0" fontId="51" fillId="21" borderId="165" xfId="0" applyFont="1" applyFill="1" applyBorder="1" applyAlignment="1" applyProtection="1">
      <alignment horizontal="center" vertical="center"/>
      <protection locked="0"/>
    </xf>
    <xf numFmtId="0" fontId="51" fillId="21" borderId="0" xfId="0" applyFont="1" applyFill="1" applyAlignment="1" applyProtection="1">
      <alignment horizontal="center" vertical="center"/>
      <protection locked="0"/>
    </xf>
    <xf numFmtId="0" fontId="51" fillId="21" borderId="166" xfId="0" applyFont="1" applyFill="1" applyBorder="1" applyAlignment="1" applyProtection="1">
      <alignment horizontal="center" vertical="center"/>
      <protection locked="0"/>
    </xf>
    <xf numFmtId="0" fontId="51" fillId="21" borderId="168" xfId="0" applyFont="1" applyFill="1" applyBorder="1" applyAlignment="1" applyProtection="1">
      <alignment horizontal="center" vertical="center"/>
      <protection locked="0"/>
    </xf>
    <xf numFmtId="0" fontId="51" fillId="21" borderId="170" xfId="0" applyFont="1" applyFill="1" applyBorder="1" applyAlignment="1" applyProtection="1">
      <alignment horizontal="center" vertical="center"/>
      <protection locked="0"/>
    </xf>
    <xf numFmtId="0" fontId="51" fillId="21" borderId="169" xfId="0" applyFont="1" applyFill="1" applyBorder="1" applyAlignment="1" applyProtection="1">
      <alignment horizontal="center" vertical="center"/>
      <protection locked="0"/>
    </xf>
    <xf numFmtId="0" fontId="48" fillId="3" borderId="211" xfId="0" applyFont="1" applyFill="1" applyBorder="1" applyAlignment="1">
      <alignment horizontal="center" vertical="center"/>
    </xf>
    <xf numFmtId="0" fontId="48" fillId="3" borderId="216" xfId="0" applyFont="1" applyFill="1" applyBorder="1" applyAlignment="1">
      <alignment horizontal="center" vertical="center"/>
    </xf>
    <xf numFmtId="0" fontId="48" fillId="3" borderId="212" xfId="0" applyFont="1" applyFill="1" applyBorder="1" applyAlignment="1">
      <alignment horizontal="center" vertical="center"/>
    </xf>
    <xf numFmtId="0" fontId="48" fillId="33" borderId="237" xfId="0" applyFont="1" applyFill="1" applyBorder="1" applyAlignment="1">
      <alignment horizontal="center" vertical="center"/>
    </xf>
    <xf numFmtId="0" fontId="48" fillId="33" borderId="238" xfId="0" applyFont="1" applyFill="1" applyBorder="1" applyAlignment="1">
      <alignment horizontal="center" vertical="center"/>
    </xf>
    <xf numFmtId="0" fontId="48" fillId="33" borderId="271" xfId="0" applyFont="1" applyFill="1" applyBorder="1" applyAlignment="1">
      <alignment horizontal="center" vertical="center"/>
    </xf>
    <xf numFmtId="0" fontId="62" fillId="32" borderId="250" xfId="0" applyFont="1" applyFill="1" applyBorder="1" applyAlignment="1">
      <alignment horizontal="center" vertical="center"/>
    </xf>
    <xf numFmtId="0" fontId="62" fillId="32" borderId="251" xfId="0" applyFont="1" applyFill="1" applyBorder="1" applyAlignment="1">
      <alignment horizontal="center" vertical="center"/>
    </xf>
    <xf numFmtId="0" fontId="101" fillId="33" borderId="248" xfId="0" applyFont="1" applyFill="1" applyBorder="1" applyAlignment="1">
      <alignment horizontal="center" vertical="center"/>
    </xf>
    <xf numFmtId="0" fontId="101" fillId="33" borderId="249" xfId="0" applyFont="1" applyFill="1" applyBorder="1" applyAlignment="1">
      <alignment horizontal="center" vertical="center"/>
    </xf>
    <xf numFmtId="0" fontId="101" fillId="33" borderId="255" xfId="0" applyFont="1" applyFill="1" applyBorder="1" applyAlignment="1">
      <alignment horizontal="center" vertical="center"/>
    </xf>
    <xf numFmtId="0" fontId="87" fillId="22" borderId="276" xfId="0" applyFont="1" applyFill="1" applyBorder="1" applyAlignment="1">
      <alignment horizontal="center" vertical="center" wrapText="1"/>
    </xf>
    <xf numFmtId="0" fontId="87" fillId="22" borderId="53" xfId="0" applyFont="1" applyFill="1" applyBorder="1" applyAlignment="1">
      <alignment horizontal="center" vertical="center" wrapText="1"/>
    </xf>
    <xf numFmtId="0" fontId="87" fillId="22" borderId="278" xfId="0" applyFont="1" applyFill="1" applyBorder="1" applyAlignment="1">
      <alignment horizontal="center" vertical="center" wrapText="1"/>
    </xf>
    <xf numFmtId="0" fontId="87" fillId="22" borderId="0" xfId="0" applyFont="1" applyFill="1" applyAlignment="1">
      <alignment horizontal="center" vertical="center" wrapText="1"/>
    </xf>
    <xf numFmtId="0" fontId="87" fillId="22" borderId="280" xfId="0" applyFont="1" applyFill="1" applyBorder="1" applyAlignment="1">
      <alignment horizontal="center" vertical="center" wrapText="1"/>
    </xf>
    <xf numFmtId="0" fontId="87" fillId="22" borderId="281" xfId="0" applyFont="1" applyFill="1" applyBorder="1" applyAlignment="1">
      <alignment horizontal="center" vertical="center" wrapText="1"/>
    </xf>
    <xf numFmtId="0" fontId="51" fillId="7" borderId="235" xfId="0" applyFont="1" applyFill="1" applyBorder="1" applyAlignment="1">
      <alignment horizontal="center" vertical="center"/>
    </xf>
    <xf numFmtId="0" fontId="51" fillId="7" borderId="277" xfId="0" applyFont="1" applyFill="1" applyBorder="1" applyAlignment="1">
      <alignment horizontal="center" vertical="center"/>
    </xf>
    <xf numFmtId="164" fontId="48" fillId="0" borderId="147" xfId="0" applyNumberFormat="1" applyFont="1" applyBorder="1" applyAlignment="1">
      <alignment horizontal="center" vertical="center"/>
    </xf>
    <xf numFmtId="164" fontId="48" fillId="0" borderId="252" xfId="0" applyNumberFormat="1" applyFont="1" applyBorder="1" applyAlignment="1">
      <alignment horizontal="center" vertical="center"/>
    </xf>
    <xf numFmtId="0" fontId="48" fillId="3" borderId="256" xfId="0" applyFont="1" applyFill="1" applyBorder="1" applyAlignment="1">
      <alignment horizontal="center" vertical="center"/>
    </xf>
    <xf numFmtId="0" fontId="48" fillId="3" borderId="146" xfId="0" applyFont="1" applyFill="1" applyBorder="1" applyAlignment="1">
      <alignment horizontal="center" vertical="center"/>
    </xf>
    <xf numFmtId="0" fontId="48" fillId="3" borderId="257" xfId="0" applyFont="1" applyFill="1" applyBorder="1" applyAlignment="1">
      <alignment horizontal="center" vertical="center"/>
    </xf>
    <xf numFmtId="0" fontId="51" fillId="7" borderId="171" xfId="0" applyFont="1" applyFill="1" applyBorder="1" applyAlignment="1">
      <alignment horizontal="center" vertical="center"/>
    </xf>
    <xf numFmtId="0" fontId="51" fillId="7" borderId="279" xfId="0" applyFont="1" applyFill="1" applyBorder="1" applyAlignment="1">
      <alignment horizontal="center" vertical="center"/>
    </xf>
    <xf numFmtId="164" fontId="48" fillId="0" borderId="62" xfId="0" applyNumberFormat="1" applyFont="1" applyBorder="1" applyAlignment="1">
      <alignment horizontal="center" vertical="center"/>
    </xf>
    <xf numFmtId="164" fontId="48" fillId="0" borderId="253" xfId="0" applyNumberFormat="1" applyFont="1" applyBorder="1" applyAlignment="1">
      <alignment horizontal="center" vertical="center"/>
    </xf>
    <xf numFmtId="0" fontId="62" fillId="32" borderId="239" xfId="0" applyFont="1" applyFill="1" applyBorder="1" applyAlignment="1">
      <alignment horizontal="center" vertical="center"/>
    </xf>
    <xf numFmtId="0" fontId="62" fillId="32" borderId="240" xfId="0" applyFont="1" applyFill="1" applyBorder="1" applyAlignment="1">
      <alignment horizontal="center" vertical="center"/>
    </xf>
    <xf numFmtId="0" fontId="48" fillId="3" borderId="210" xfId="0" applyFont="1" applyFill="1" applyBorder="1" applyAlignment="1">
      <alignment horizontal="center" vertical="center"/>
    </xf>
    <xf numFmtId="0" fontId="48" fillId="3" borderId="60" xfId="0" applyFont="1" applyFill="1" applyBorder="1" applyAlignment="1">
      <alignment horizontal="center" vertical="center"/>
    </xf>
    <xf numFmtId="0" fontId="48" fillId="3" borderId="209" xfId="0" applyFont="1" applyFill="1" applyBorder="1" applyAlignment="1">
      <alignment horizontal="center" vertical="center"/>
    </xf>
    <xf numFmtId="0" fontId="51" fillId="7" borderId="282" xfId="0" applyFont="1" applyFill="1" applyBorder="1" applyAlignment="1">
      <alignment horizontal="center" vertical="center"/>
    </xf>
    <xf numFmtId="0" fontId="51" fillId="7" borderId="283" xfId="0" applyFont="1" applyFill="1" applyBorder="1" applyAlignment="1">
      <alignment horizontal="center" vertical="center"/>
    </xf>
    <xf numFmtId="164" fontId="48" fillId="0" borderId="275" xfId="0" applyNumberFormat="1" applyFont="1" applyBorder="1" applyAlignment="1">
      <alignment horizontal="center" vertical="center"/>
    </xf>
    <xf numFmtId="164" fontId="48" fillId="0" borderId="254" xfId="0" applyNumberFormat="1" applyFont="1" applyBorder="1" applyAlignment="1">
      <alignment horizontal="center" vertical="center"/>
    </xf>
    <xf numFmtId="9" fontId="51" fillId="30" borderId="216" xfId="0" applyNumberFormat="1" applyFont="1" applyFill="1" applyBorder="1" applyAlignment="1">
      <alignment horizontal="center" vertical="center"/>
    </xf>
    <xf numFmtId="9" fontId="51" fillId="30" borderId="212" xfId="0" applyNumberFormat="1" applyFont="1" applyFill="1" applyBorder="1" applyAlignment="1">
      <alignment horizontal="center" vertical="center"/>
    </xf>
    <xf numFmtId="0" fontId="30" fillId="0" borderId="104" xfId="0" applyFont="1" applyBorder="1" applyAlignment="1">
      <alignment horizontal="left" vertical="center"/>
    </xf>
    <xf numFmtId="0" fontId="30" fillId="0" borderId="101" xfId="0" applyFont="1" applyBorder="1" applyAlignment="1">
      <alignment horizontal="left" vertical="center"/>
    </xf>
    <xf numFmtId="0" fontId="30" fillId="0" borderId="102" xfId="0" applyFont="1" applyBorder="1" applyAlignment="1">
      <alignment horizontal="left" vertical="center"/>
    </xf>
    <xf numFmtId="0" fontId="62" fillId="32" borderId="249" xfId="0" applyFont="1" applyFill="1" applyBorder="1" applyAlignment="1">
      <alignment horizontal="center" vertical="center"/>
    </xf>
    <xf numFmtId="0" fontId="62" fillId="32" borderId="255" xfId="0" applyFont="1" applyFill="1" applyBorder="1" applyAlignment="1">
      <alignment horizontal="center" vertical="center"/>
    </xf>
    <xf numFmtId="0" fontId="87" fillId="22" borderId="241" xfId="0" applyFont="1" applyFill="1" applyBorder="1" applyAlignment="1">
      <alignment horizontal="center" vertical="center" wrapText="1"/>
    </xf>
    <xf numFmtId="0" fontId="87" fillId="22" borderId="2" xfId="0" applyFont="1" applyFill="1" applyBorder="1" applyAlignment="1">
      <alignment horizontal="center" vertical="center" wrapText="1"/>
    </xf>
    <xf numFmtId="0" fontId="87" fillId="22" borderId="244" xfId="0" applyFont="1" applyFill="1" applyBorder="1" applyAlignment="1">
      <alignment horizontal="center" vertical="center" wrapText="1"/>
    </xf>
    <xf numFmtId="0" fontId="87" fillId="22" borderId="245" xfId="0" applyFont="1" applyFill="1" applyBorder="1" applyAlignment="1">
      <alignment horizontal="center" vertical="center" wrapText="1"/>
    </xf>
    <xf numFmtId="0" fontId="51" fillId="7" borderId="158" xfId="0" applyFont="1" applyFill="1" applyBorder="1" applyAlignment="1">
      <alignment horizontal="center" vertical="center"/>
    </xf>
    <xf numFmtId="0" fontId="51" fillId="7" borderId="272" xfId="0" applyFont="1" applyFill="1" applyBorder="1" applyAlignment="1">
      <alignment horizontal="center" vertical="center"/>
    </xf>
    <xf numFmtId="164" fontId="48" fillId="0" borderId="242" xfId="0" applyNumberFormat="1" applyFont="1" applyBorder="1" applyAlignment="1">
      <alignment horizontal="center" vertical="center"/>
    </xf>
    <xf numFmtId="164" fontId="48" fillId="0" borderId="243" xfId="0" applyNumberFormat="1" applyFont="1" applyBorder="1" applyAlignment="1">
      <alignment horizontal="center" vertical="center"/>
    </xf>
    <xf numFmtId="164" fontId="48" fillId="0" borderId="270" xfId="0" applyNumberFormat="1" applyFont="1" applyBorder="1" applyAlignment="1">
      <alignment horizontal="center" vertical="center"/>
    </xf>
    <xf numFmtId="164" fontId="48" fillId="0" borderId="247" xfId="0" applyNumberFormat="1" applyFont="1" applyBorder="1" applyAlignment="1">
      <alignment horizontal="center" vertical="center"/>
    </xf>
    <xf numFmtId="0" fontId="99" fillId="33" borderId="248" xfId="0" applyFont="1" applyFill="1" applyBorder="1" applyAlignment="1">
      <alignment horizontal="center" vertical="center"/>
    </xf>
    <xf numFmtId="0" fontId="99" fillId="33" borderId="249" xfId="0" applyFont="1" applyFill="1" applyBorder="1" applyAlignment="1">
      <alignment horizontal="center" vertical="center"/>
    </xf>
    <xf numFmtId="0" fontId="99" fillId="33" borderId="255" xfId="0" applyFont="1" applyFill="1" applyBorder="1" applyAlignment="1">
      <alignment horizontal="center" vertical="center"/>
    </xf>
    <xf numFmtId="0" fontId="87" fillId="22" borderId="241" xfId="0" applyFont="1" applyFill="1" applyBorder="1" applyAlignment="1">
      <alignment horizontal="center" vertical="center"/>
    </xf>
    <xf numFmtId="0" fontId="87" fillId="22" borderId="2" xfId="0" applyFont="1" applyFill="1" applyBorder="1" applyAlignment="1">
      <alignment horizontal="center" vertical="center"/>
    </xf>
    <xf numFmtId="0" fontId="33" fillId="7" borderId="167" xfId="0" applyFont="1" applyFill="1" applyBorder="1" applyAlignment="1">
      <alignment horizontal="center" vertical="center"/>
    </xf>
    <xf numFmtId="0" fontId="33" fillId="7" borderId="284" xfId="0" applyFont="1" applyFill="1" applyBorder="1" applyAlignment="1">
      <alignment horizontal="center" vertical="center"/>
    </xf>
    <xf numFmtId="9" fontId="51" fillId="30" borderId="2" xfId="0" applyNumberFormat="1" applyFont="1" applyFill="1" applyBorder="1" applyAlignment="1">
      <alignment horizontal="center" vertical="center"/>
    </xf>
    <xf numFmtId="9" fontId="51" fillId="30" borderId="259" xfId="0" applyNumberFormat="1" applyFont="1" applyFill="1" applyBorder="1" applyAlignment="1">
      <alignment horizontal="center" vertical="center"/>
    </xf>
    <xf numFmtId="0" fontId="33" fillId="21" borderId="258" xfId="0" applyFont="1" applyFill="1" applyBorder="1" applyAlignment="1">
      <alignment horizontal="center" vertical="center" wrapText="1"/>
    </xf>
    <xf numFmtId="0" fontId="33" fillId="21" borderId="2" xfId="0" applyFont="1" applyFill="1" applyBorder="1" applyAlignment="1">
      <alignment horizontal="center" vertical="center" wrapText="1"/>
    </xf>
    <xf numFmtId="0" fontId="33" fillId="21" borderId="259" xfId="0" applyFont="1" applyFill="1" applyBorder="1" applyAlignment="1">
      <alignment horizontal="center" vertical="center" wrapText="1"/>
    </xf>
    <xf numFmtId="0" fontId="33" fillId="21" borderId="260" xfId="0" applyFont="1" applyFill="1" applyBorder="1" applyAlignment="1">
      <alignment horizontal="center" vertical="center" wrapText="1"/>
    </xf>
    <xf numFmtId="0" fontId="33" fillId="21" borderId="261" xfId="0" applyFont="1" applyFill="1" applyBorder="1" applyAlignment="1">
      <alignment horizontal="center" vertical="center" wrapText="1"/>
    </xf>
    <xf numFmtId="0" fontId="33" fillId="21" borderId="262" xfId="0" applyFont="1" applyFill="1" applyBorder="1" applyAlignment="1">
      <alignment horizontal="center" vertical="center" wrapText="1"/>
    </xf>
    <xf numFmtId="0" fontId="87" fillId="22" borderId="276" xfId="0" applyFont="1" applyFill="1" applyBorder="1" applyAlignment="1">
      <alignment horizontal="center" vertical="center"/>
    </xf>
    <xf numFmtId="0" fontId="87" fillId="22" borderId="53" xfId="0" applyFont="1" applyFill="1" applyBorder="1" applyAlignment="1">
      <alignment horizontal="center" vertical="center"/>
    </xf>
    <xf numFmtId="0" fontId="87" fillId="22" borderId="278" xfId="0" applyFont="1" applyFill="1" applyBorder="1" applyAlignment="1">
      <alignment horizontal="center" vertical="center"/>
    </xf>
    <xf numFmtId="0" fontId="87" fillId="22" borderId="0" xfId="0" applyFont="1" applyFill="1" applyAlignment="1">
      <alignment horizontal="center" vertical="center"/>
    </xf>
    <xf numFmtId="0" fontId="87" fillId="22" borderId="280" xfId="0" applyFont="1" applyFill="1" applyBorder="1" applyAlignment="1">
      <alignment horizontal="center" vertical="center"/>
    </xf>
    <xf numFmtId="0" fontId="87" fillId="22" borderId="281" xfId="0" applyFont="1" applyFill="1" applyBorder="1" applyAlignment="1">
      <alignment horizontal="center" vertical="center"/>
    </xf>
    <xf numFmtId="0" fontId="33" fillId="7" borderId="235" xfId="0" applyFont="1" applyFill="1" applyBorder="1" applyAlignment="1">
      <alignment horizontal="center" vertical="center"/>
    </xf>
    <xf numFmtId="0" fontId="33" fillId="7" borderId="277" xfId="0" applyFont="1" applyFill="1" applyBorder="1" applyAlignment="1">
      <alignment horizontal="center" vertical="center"/>
    </xf>
    <xf numFmtId="9" fontId="51" fillId="30" borderId="146" xfId="0" applyNumberFormat="1" applyFont="1" applyFill="1" applyBorder="1" applyAlignment="1">
      <alignment horizontal="center" vertical="center"/>
    </xf>
    <xf numFmtId="9" fontId="51" fillId="30" borderId="257" xfId="0" applyNumberFormat="1" applyFont="1" applyFill="1" applyBorder="1" applyAlignment="1">
      <alignment horizontal="center" vertical="center"/>
    </xf>
    <xf numFmtId="0" fontId="33" fillId="7" borderId="171" xfId="0" applyFont="1" applyFill="1" applyBorder="1" applyAlignment="1">
      <alignment horizontal="center" vertical="center"/>
    </xf>
    <xf numFmtId="0" fontId="33" fillId="7" borderId="279" xfId="0" applyFont="1" applyFill="1" applyBorder="1" applyAlignment="1">
      <alignment horizontal="center" vertical="center"/>
    </xf>
    <xf numFmtId="0" fontId="30" fillId="0" borderId="103" xfId="0" applyFont="1" applyBorder="1" applyAlignment="1">
      <alignment horizontal="left" vertical="center"/>
    </xf>
    <xf numFmtId="0" fontId="30" fillId="0" borderId="98" xfId="0" applyFont="1" applyBorder="1" applyAlignment="1">
      <alignment horizontal="left" vertical="center"/>
    </xf>
    <xf numFmtId="0" fontId="30" fillId="0" borderId="99" xfId="0" applyFont="1" applyBorder="1" applyAlignment="1">
      <alignment horizontal="left" vertical="center"/>
    </xf>
    <xf numFmtId="14" fontId="30" fillId="0" borderId="103" xfId="0" applyNumberFormat="1" applyFont="1" applyBorder="1" applyAlignment="1">
      <alignment horizontal="left" vertical="center"/>
    </xf>
    <xf numFmtId="14" fontId="30" fillId="0" borderId="98" xfId="0" applyNumberFormat="1" applyFont="1" applyBorder="1" applyAlignment="1">
      <alignment horizontal="left" vertical="center"/>
    </xf>
    <xf numFmtId="14" fontId="30" fillId="0" borderId="105" xfId="0" applyNumberFormat="1" applyFont="1" applyBorder="1" applyAlignment="1">
      <alignment horizontal="left" vertical="center"/>
    </xf>
    <xf numFmtId="0" fontId="52" fillId="0" borderId="205" xfId="0" applyFont="1" applyBorder="1" applyAlignment="1">
      <alignment horizontal="right" vertical="center"/>
    </xf>
    <xf numFmtId="0" fontId="52" fillId="0" borderId="0" xfId="0" applyFont="1" applyAlignment="1">
      <alignment horizontal="right" vertical="center"/>
    </xf>
    <xf numFmtId="0" fontId="52" fillId="0" borderId="203" xfId="0" applyFont="1" applyBorder="1" applyAlignment="1">
      <alignment horizontal="right" vertical="center"/>
    </xf>
    <xf numFmtId="0" fontId="52" fillId="3" borderId="102" xfId="0" applyFont="1" applyFill="1" applyBorder="1" applyAlignment="1">
      <alignment horizontal="right" vertical="center"/>
    </xf>
    <xf numFmtId="14" fontId="30" fillId="0" borderId="104" xfId="0" applyNumberFormat="1" applyFont="1" applyBorder="1" applyAlignment="1">
      <alignment horizontal="left" vertical="center"/>
    </xf>
    <xf numFmtId="14" fontId="30" fillId="0" borderId="101" xfId="0" applyNumberFormat="1" applyFont="1" applyBorder="1" applyAlignment="1">
      <alignment horizontal="left" vertical="center"/>
    </xf>
    <xf numFmtId="14" fontId="30" fillId="0" borderId="106" xfId="0" applyNumberFormat="1" applyFont="1" applyBorder="1" applyAlignment="1">
      <alignment horizontal="left" vertical="center"/>
    </xf>
    <xf numFmtId="0" fontId="52" fillId="0" borderId="206" xfId="0" applyFont="1" applyBorder="1" applyAlignment="1">
      <alignment horizontal="right" vertical="center"/>
    </xf>
    <xf numFmtId="0" fontId="52" fillId="0" borderId="207" xfId="0" applyFont="1" applyBorder="1" applyAlignment="1">
      <alignment horizontal="right" vertical="center"/>
    </xf>
    <xf numFmtId="0" fontId="52" fillId="0" borderId="208" xfId="0" applyFont="1" applyBorder="1" applyAlignment="1">
      <alignment horizontal="right" vertical="center"/>
    </xf>
    <xf numFmtId="0" fontId="32" fillId="23" borderId="179" xfId="0" applyFont="1" applyFill="1" applyBorder="1" applyAlignment="1">
      <alignment horizontal="center" vertical="center" wrapText="1"/>
    </xf>
    <xf numFmtId="0" fontId="32" fillId="23" borderId="180" xfId="0" applyFont="1" applyFill="1" applyBorder="1" applyAlignment="1">
      <alignment horizontal="center" vertical="center" wrapText="1"/>
    </xf>
    <xf numFmtId="0" fontId="100" fillId="25" borderId="5" xfId="0" applyFont="1" applyFill="1" applyBorder="1" applyAlignment="1">
      <alignment horizontal="center" vertical="center" wrapText="1"/>
    </xf>
    <xf numFmtId="0" fontId="100" fillId="25" borderId="19" xfId="0" applyFont="1" applyFill="1" applyBorder="1" applyAlignment="1">
      <alignment horizontal="center" vertical="center" wrapText="1"/>
    </xf>
    <xf numFmtId="0" fontId="52" fillId="0" borderId="204" xfId="0" applyFont="1" applyBorder="1" applyAlignment="1">
      <alignment horizontal="right" vertical="center"/>
    </xf>
    <xf numFmtId="0" fontId="52" fillId="0" borderId="201" xfId="0" applyFont="1" applyBorder="1" applyAlignment="1">
      <alignment horizontal="right" vertical="center"/>
    </xf>
    <xf numFmtId="0" fontId="52" fillId="0" borderId="202" xfId="0" applyFont="1" applyBorder="1" applyAlignment="1">
      <alignment horizontal="right" vertical="center"/>
    </xf>
    <xf numFmtId="0" fontId="30" fillId="0" borderId="199" xfId="0" applyFont="1" applyBorder="1" applyAlignment="1">
      <alignment horizontal="left" vertical="center"/>
    </xf>
    <xf numFmtId="0" fontId="30" fillId="0" borderId="200" xfId="0" applyFont="1" applyBorder="1" applyAlignment="1">
      <alignment horizontal="left" vertical="center"/>
    </xf>
    <xf numFmtId="0" fontId="30" fillId="0" borderId="105" xfId="0" applyFont="1" applyBorder="1" applyAlignment="1">
      <alignment horizontal="left" vertical="center"/>
    </xf>
    <xf numFmtId="0" fontId="48" fillId="7" borderId="48" xfId="0" applyFont="1" applyFill="1" applyBorder="1" applyAlignment="1">
      <alignment horizontal="center" vertical="center"/>
    </xf>
    <xf numFmtId="0" fontId="48" fillId="7" borderId="56" xfId="0" applyFont="1" applyFill="1" applyBorder="1" applyAlignment="1">
      <alignment horizontal="center" vertical="center"/>
    </xf>
    <xf numFmtId="0" fontId="48" fillId="0" borderId="171" xfId="0" applyFont="1" applyBorder="1" applyAlignment="1">
      <alignment horizontal="center" vertical="center"/>
    </xf>
    <xf numFmtId="0" fontId="48" fillId="0" borderId="56" xfId="0" applyFont="1" applyBorder="1" applyAlignment="1">
      <alignment horizontal="center" vertical="center"/>
    </xf>
    <xf numFmtId="0" fontId="48" fillId="0" borderId="60" xfId="0" applyFont="1" applyBorder="1" applyAlignment="1">
      <alignment horizontal="center" vertical="center"/>
    </xf>
    <xf numFmtId="0" fontId="31" fillId="22" borderId="214" xfId="0" applyFont="1" applyFill="1" applyBorder="1" applyAlignment="1">
      <alignment horizontal="center" vertical="center"/>
    </xf>
    <xf numFmtId="0" fontId="31" fillId="22" borderId="215" xfId="0" applyFont="1" applyFill="1" applyBorder="1" applyAlignment="1">
      <alignment horizontal="center" vertical="center"/>
    </xf>
    <xf numFmtId="0" fontId="78" fillId="7" borderId="214" xfId="0" applyFont="1" applyFill="1" applyBorder="1" applyAlignment="1">
      <alignment horizontal="center" vertical="center"/>
    </xf>
    <xf numFmtId="0" fontId="78" fillId="7" borderId="215" xfId="0" applyFont="1" applyFill="1" applyBorder="1" applyAlignment="1">
      <alignment horizontal="center" vertical="center"/>
    </xf>
    <xf numFmtId="0" fontId="51" fillId="21" borderId="42" xfId="0" applyFont="1" applyFill="1" applyBorder="1" applyAlignment="1">
      <alignment horizontal="center" vertical="center"/>
    </xf>
    <xf numFmtId="0" fontId="51" fillId="21" borderId="296" xfId="0" applyFont="1" applyFill="1" applyBorder="1" applyAlignment="1">
      <alignment horizontal="center" vertical="center"/>
    </xf>
    <xf numFmtId="0" fontId="51" fillId="21" borderId="48" xfId="0" applyFont="1" applyFill="1" applyBorder="1" applyAlignment="1">
      <alignment horizontal="center" vertical="center"/>
    </xf>
    <xf numFmtId="0" fontId="51" fillId="21" borderId="60" xfId="0" applyFont="1" applyFill="1" applyBorder="1" applyAlignment="1">
      <alignment horizontal="center" vertical="center"/>
    </xf>
    <xf numFmtId="0" fontId="51" fillId="21" borderId="297" xfId="0" applyFont="1" applyFill="1" applyBorder="1" applyAlignment="1">
      <alignment horizontal="center" vertical="center"/>
    </xf>
    <xf numFmtId="0" fontId="51" fillId="21" borderId="298" xfId="0" applyFont="1" applyFill="1" applyBorder="1" applyAlignment="1">
      <alignment horizontal="center" vertical="center"/>
    </xf>
    <xf numFmtId="0" fontId="5" fillId="21" borderId="42" xfId="0" applyFont="1" applyFill="1" applyBorder="1" applyAlignment="1">
      <alignment horizontal="center" vertical="center"/>
    </xf>
    <xf numFmtId="0" fontId="5" fillId="21" borderId="296" xfId="0" applyFont="1" applyFill="1" applyBorder="1" applyAlignment="1">
      <alignment horizontal="center" vertical="center"/>
    </xf>
    <xf numFmtId="0" fontId="5" fillId="21" borderId="48" xfId="0" applyFont="1" applyFill="1" applyBorder="1" applyAlignment="1">
      <alignment horizontal="center" vertical="center"/>
    </xf>
    <xf numFmtId="0" fontId="5" fillId="21" borderId="60" xfId="0" applyFont="1" applyFill="1" applyBorder="1" applyAlignment="1">
      <alignment horizontal="center" vertical="center"/>
    </xf>
    <xf numFmtId="0" fontId="5" fillId="21" borderId="297" xfId="0" applyFont="1" applyFill="1" applyBorder="1" applyAlignment="1">
      <alignment horizontal="center" vertical="center"/>
    </xf>
    <xf numFmtId="0" fontId="5" fillId="21" borderId="298" xfId="0" applyFont="1" applyFill="1" applyBorder="1" applyAlignment="1">
      <alignment horizontal="center" vertical="center"/>
    </xf>
    <xf numFmtId="0" fontId="78" fillId="7" borderId="266" xfId="0" applyFont="1" applyFill="1" applyBorder="1" applyAlignment="1">
      <alignment horizontal="center" vertical="center"/>
    </xf>
    <xf numFmtId="0" fontId="78" fillId="7" borderId="267" xfId="0" applyFont="1" applyFill="1" applyBorder="1" applyAlignment="1">
      <alignment horizontal="center" vertical="center"/>
    </xf>
    <xf numFmtId="0" fontId="51" fillId="21" borderId="265" xfId="0" applyFont="1" applyFill="1" applyBorder="1" applyAlignment="1">
      <alignment horizontal="center" vertical="center"/>
    </xf>
    <xf numFmtId="0" fontId="51" fillId="21" borderId="213" xfId="0" applyFont="1" applyFill="1" applyBorder="1" applyAlignment="1">
      <alignment horizontal="center" vertical="center"/>
    </xf>
    <xf numFmtId="0" fontId="51" fillId="21" borderId="210" xfId="0" applyFont="1" applyFill="1" applyBorder="1" applyAlignment="1">
      <alignment horizontal="center" vertical="center"/>
    </xf>
    <xf numFmtId="0" fontId="51" fillId="21" borderId="269" xfId="0" applyFont="1" applyFill="1" applyBorder="1" applyAlignment="1">
      <alignment horizontal="center" vertical="center"/>
    </xf>
    <xf numFmtId="0" fontId="51" fillId="21" borderId="193" xfId="0" applyFont="1" applyFill="1" applyBorder="1" applyAlignment="1">
      <alignment horizontal="center" vertical="center"/>
    </xf>
    <xf numFmtId="0" fontId="48" fillId="33" borderId="289" xfId="0" applyFont="1" applyFill="1" applyBorder="1" applyAlignment="1">
      <alignment horizontal="center" vertical="center"/>
    </xf>
    <xf numFmtId="0" fontId="48" fillId="33" borderId="290" xfId="0" applyFont="1" applyFill="1" applyBorder="1" applyAlignment="1">
      <alignment horizontal="center" vertical="center"/>
    </xf>
    <xf numFmtId="0" fontId="48" fillId="33" borderId="291" xfId="0" applyFont="1" applyFill="1" applyBorder="1" applyAlignment="1">
      <alignment horizontal="center" vertical="center"/>
    </xf>
    <xf numFmtId="0" fontId="48" fillId="0" borderId="309" xfId="0" applyFont="1" applyBorder="1" applyAlignment="1">
      <alignment horizontal="center" vertical="center"/>
    </xf>
    <xf numFmtId="0" fontId="48" fillId="0" borderId="298" xfId="0" applyFont="1" applyBorder="1" applyAlignment="1">
      <alignment horizontal="center" vertical="center"/>
    </xf>
    <xf numFmtId="0" fontId="31" fillId="7" borderId="288" xfId="0" applyFont="1" applyFill="1" applyBorder="1" applyAlignment="1">
      <alignment horizontal="right" vertical="center"/>
    </xf>
    <xf numFmtId="0" fontId="31" fillId="7" borderId="18" xfId="0" applyFont="1" applyFill="1" applyBorder="1" applyAlignment="1">
      <alignment horizontal="right" vertical="center"/>
    </xf>
    <xf numFmtId="0" fontId="31" fillId="7" borderId="244" xfId="0" applyFont="1" applyFill="1" applyBorder="1" applyAlignment="1">
      <alignment horizontal="right" vertical="center"/>
    </xf>
    <xf numFmtId="0" fontId="31" fillId="7" borderId="245" xfId="0" applyFont="1" applyFill="1" applyBorder="1" applyAlignment="1">
      <alignment horizontal="right" vertical="center"/>
    </xf>
    <xf numFmtId="0" fontId="86" fillId="21" borderId="2" xfId="0" applyFont="1" applyFill="1" applyBorder="1" applyAlignment="1">
      <alignment horizontal="left" vertical="center" wrapText="1"/>
    </xf>
    <xf numFmtId="0" fontId="86" fillId="21" borderId="259" xfId="0" applyFont="1" applyFill="1" applyBorder="1" applyAlignment="1">
      <alignment horizontal="left" vertical="center" wrapText="1"/>
    </xf>
    <xf numFmtId="0" fontId="86" fillId="21" borderId="261" xfId="0" applyFont="1" applyFill="1" applyBorder="1" applyAlignment="1">
      <alignment horizontal="left" vertical="center" wrapText="1"/>
    </xf>
    <xf numFmtId="0" fontId="86" fillId="21" borderId="262" xfId="0" applyFont="1" applyFill="1" applyBorder="1" applyAlignment="1">
      <alignment horizontal="left" vertical="center" wrapText="1"/>
    </xf>
    <xf numFmtId="0" fontId="31" fillId="32" borderId="285" xfId="0" applyFont="1" applyFill="1" applyBorder="1" applyAlignment="1">
      <alignment horizontal="center" vertical="center" wrapText="1"/>
    </xf>
    <xf numFmtId="0" fontId="31" fillId="32" borderId="286" xfId="0" applyFont="1" applyFill="1" applyBorder="1" applyAlignment="1">
      <alignment horizontal="center" vertical="center" wrapText="1"/>
    </xf>
    <xf numFmtId="0" fontId="48" fillId="7" borderId="297" xfId="0" applyFont="1" applyFill="1" applyBorder="1" applyAlignment="1">
      <alignment horizontal="center" vertical="center"/>
    </xf>
    <xf numFmtId="0" fontId="48" fillId="7" borderId="307" xfId="0" applyFont="1" applyFill="1" applyBorder="1" applyAlignment="1">
      <alignment horizontal="center" vertical="center"/>
    </xf>
    <xf numFmtId="0" fontId="51" fillId="7" borderId="246" xfId="0" applyFont="1" applyFill="1" applyBorder="1" applyAlignment="1">
      <alignment horizontal="center" vertical="center"/>
    </xf>
    <xf numFmtId="0" fontId="51" fillId="7" borderId="274" xfId="0" applyFont="1" applyFill="1" applyBorder="1" applyAlignment="1">
      <alignment horizontal="center" vertical="center"/>
    </xf>
    <xf numFmtId="0" fontId="51" fillId="7" borderId="149" xfId="0" applyFont="1" applyFill="1" applyBorder="1" applyAlignment="1">
      <alignment horizontal="center" vertical="center"/>
    </xf>
    <xf numFmtId="0" fontId="51" fillId="7" borderId="273" xfId="0" applyFont="1" applyFill="1" applyBorder="1" applyAlignment="1">
      <alignment horizontal="center" vertical="center"/>
    </xf>
    <xf numFmtId="0" fontId="48" fillId="0" borderId="307" xfId="0" applyFont="1" applyBorder="1" applyAlignment="1">
      <alignment horizontal="center" vertical="center"/>
    </xf>
    <xf numFmtId="0" fontId="78" fillId="34" borderId="266" xfId="0" applyFont="1" applyFill="1" applyBorder="1" applyAlignment="1">
      <alignment horizontal="center" vertical="center"/>
    </xf>
    <xf numFmtId="0" fontId="78" fillId="34" borderId="267" xfId="0" applyFont="1" applyFill="1" applyBorder="1" applyAlignment="1">
      <alignment horizontal="center" vertical="center"/>
    </xf>
    <xf numFmtId="0" fontId="88" fillId="30" borderId="0" xfId="0" applyFont="1" applyFill="1" applyAlignment="1">
      <alignment horizontal="center" vertical="center"/>
    </xf>
    <xf numFmtId="0" fontId="62" fillId="29" borderId="0" xfId="0" applyFont="1" applyFill="1" applyAlignment="1">
      <alignment horizontal="center" vertical="center"/>
    </xf>
    <xf numFmtId="0" fontId="5" fillId="21" borderId="265" xfId="0" applyFont="1" applyFill="1" applyBorder="1" applyAlignment="1">
      <alignment horizontal="center" vertical="center"/>
    </xf>
    <xf numFmtId="0" fontId="5" fillId="21" borderId="213" xfId="0" applyFont="1" applyFill="1" applyBorder="1" applyAlignment="1">
      <alignment horizontal="center" vertical="center"/>
    </xf>
    <xf numFmtId="0" fontId="5" fillId="21" borderId="210" xfId="0" applyFont="1" applyFill="1" applyBorder="1" applyAlignment="1">
      <alignment horizontal="center" vertical="center"/>
    </xf>
    <xf numFmtId="0" fontId="5" fillId="21" borderId="269" xfId="0" applyFont="1" applyFill="1" applyBorder="1" applyAlignment="1">
      <alignment horizontal="center" vertical="center"/>
    </xf>
    <xf numFmtId="0" fontId="5" fillId="21" borderId="193" xfId="0" applyFont="1" applyFill="1" applyBorder="1" applyAlignment="1">
      <alignment horizontal="center" vertical="center"/>
    </xf>
    <xf numFmtId="0" fontId="88" fillId="31" borderId="0" xfId="0" applyFont="1" applyFill="1" applyAlignment="1">
      <alignment horizontal="center" vertical="center"/>
    </xf>
    <xf numFmtId="0" fontId="31" fillId="33" borderId="214" xfId="0" applyFont="1" applyFill="1" applyBorder="1" applyAlignment="1">
      <alignment horizontal="center" vertical="center"/>
    </xf>
    <xf numFmtId="0" fontId="31" fillId="33" borderId="215" xfId="0" applyFont="1" applyFill="1" applyBorder="1" applyAlignment="1">
      <alignment horizontal="center" vertical="center"/>
    </xf>
    <xf numFmtId="0" fontId="86" fillId="0" borderId="160" xfId="0" applyFont="1" applyBorder="1" applyAlignment="1" applyProtection="1">
      <alignment vertical="center" wrapText="1"/>
      <protection locked="0"/>
    </xf>
    <xf numFmtId="0" fontId="51" fillId="34" borderId="152" xfId="0" applyFont="1" applyFill="1" applyBorder="1" applyAlignment="1">
      <alignment horizontal="left" vertical="center" wrapText="1"/>
    </xf>
    <xf numFmtId="0" fontId="51" fillId="34" borderId="192" xfId="0" applyFont="1" applyFill="1" applyBorder="1" applyAlignment="1">
      <alignment horizontal="left" vertical="center" wrapText="1"/>
    </xf>
    <xf numFmtId="0" fontId="86" fillId="0" borderId="231" xfId="0" applyFont="1" applyBorder="1" applyAlignment="1" applyProtection="1">
      <alignment vertical="center" wrapText="1"/>
      <protection locked="0"/>
    </xf>
    <xf numFmtId="0" fontId="51" fillId="21" borderId="126" xfId="0" applyFont="1" applyFill="1" applyBorder="1" applyAlignment="1" applyProtection="1">
      <alignment horizontal="left" vertical="top" wrapText="1"/>
      <protection locked="0"/>
    </xf>
    <xf numFmtId="0" fontId="51" fillId="21" borderId="127" xfId="0" applyFont="1" applyFill="1" applyBorder="1" applyAlignment="1" applyProtection="1">
      <alignment horizontal="left" vertical="top" wrapText="1"/>
      <protection locked="0"/>
    </xf>
    <xf numFmtId="0" fontId="51" fillId="21" borderId="128" xfId="0" applyFont="1" applyFill="1" applyBorder="1" applyAlignment="1" applyProtection="1">
      <alignment horizontal="left" vertical="top" wrapText="1"/>
      <protection locked="0"/>
    </xf>
    <xf numFmtId="0" fontId="51" fillId="34" borderId="148" xfId="0" applyFont="1" applyFill="1" applyBorder="1" applyAlignment="1">
      <alignment horizontal="left" vertical="center" wrapText="1"/>
    </xf>
    <xf numFmtId="0" fontId="51" fillId="34" borderId="60" xfId="0" applyFont="1" applyFill="1" applyBorder="1" applyAlignment="1">
      <alignment horizontal="left" vertical="center" wrapText="1"/>
    </xf>
    <xf numFmtId="0" fontId="51" fillId="22" borderId="233" xfId="0" applyFont="1" applyFill="1" applyBorder="1" applyAlignment="1">
      <alignment horizontal="center" vertical="center" wrapText="1"/>
    </xf>
    <xf numFmtId="0" fontId="51" fillId="22" borderId="18" xfId="0" applyFont="1" applyFill="1" applyBorder="1" applyAlignment="1">
      <alignment horizontal="center" vertical="center" wrapText="1"/>
    </xf>
    <xf numFmtId="0" fontId="51" fillId="22" borderId="236" xfId="0" applyFont="1" applyFill="1" applyBorder="1" applyAlignment="1">
      <alignment horizontal="center" vertical="center" wrapText="1"/>
    </xf>
    <xf numFmtId="0" fontId="86" fillId="0" borderId="233" xfId="0" applyFont="1" applyBorder="1" applyAlignment="1" applyProtection="1">
      <alignment vertical="center" wrapText="1"/>
      <protection locked="0"/>
    </xf>
    <xf numFmtId="0" fontId="86" fillId="0" borderId="18" xfId="0" applyFont="1" applyBorder="1" applyAlignment="1" applyProtection="1">
      <alignment vertical="center" wrapText="1"/>
      <protection locked="0"/>
    </xf>
    <xf numFmtId="0" fontId="86" fillId="0" borderId="55" xfId="0" applyFont="1" applyBorder="1" applyAlignment="1" applyProtection="1">
      <alignment vertical="center" wrapText="1"/>
      <protection locked="0"/>
    </xf>
    <xf numFmtId="0" fontId="51" fillId="34" borderId="145" xfId="0" applyFont="1" applyFill="1" applyBorder="1" applyAlignment="1">
      <alignment horizontal="left" vertical="center" wrapText="1"/>
    </xf>
    <xf numFmtId="0" fontId="51" fillId="34" borderId="146" xfId="0" applyFont="1" applyFill="1" applyBorder="1" applyAlignment="1">
      <alignment horizontal="left" vertical="center" wrapText="1"/>
    </xf>
    <xf numFmtId="0" fontId="86" fillId="0" borderId="230" xfId="0" applyFont="1" applyBorder="1" applyAlignment="1" applyProtection="1">
      <alignment vertical="center" wrapText="1"/>
      <protection locked="0"/>
    </xf>
    <xf numFmtId="0" fontId="89" fillId="3" borderId="0" xfId="0" applyFont="1" applyFill="1" applyAlignment="1">
      <alignment horizontal="left" vertical="top" wrapText="1"/>
    </xf>
    <xf numFmtId="0" fontId="31" fillId="34" borderId="1" xfId="0" applyFont="1" applyFill="1" applyBorder="1" applyAlignment="1">
      <alignment horizontal="center" vertical="center"/>
    </xf>
    <xf numFmtId="0" fontId="31" fillId="34" borderId="2" xfId="0" applyFont="1" applyFill="1" applyBorder="1" applyAlignment="1">
      <alignment horizontal="center" vertical="center"/>
    </xf>
    <xf numFmtId="0" fontId="86" fillId="0" borderId="1" xfId="0" applyFont="1" applyBorder="1" applyAlignment="1" applyProtection="1">
      <alignment horizontal="left" vertical="center" wrapText="1"/>
      <protection locked="0"/>
    </xf>
    <xf numFmtId="0" fontId="86" fillId="0" borderId="2" xfId="0" applyFont="1" applyBorder="1" applyAlignment="1" applyProtection="1">
      <alignment horizontal="left" vertical="center" wrapText="1"/>
      <protection locked="0"/>
    </xf>
    <xf numFmtId="0" fontId="86" fillId="0" borderId="3" xfId="0" applyFont="1" applyBorder="1" applyAlignment="1" applyProtection="1">
      <alignment horizontal="left" vertical="center" wrapText="1"/>
      <protection locked="0"/>
    </xf>
    <xf numFmtId="0" fontId="22" fillId="11" borderId="5" xfId="1" applyFont="1" applyFill="1" applyBorder="1" applyAlignment="1" applyProtection="1">
      <alignment horizontal="center" vertical="center"/>
      <protection hidden="1"/>
    </xf>
    <xf numFmtId="0" fontId="22" fillId="11" borderId="6" xfId="1" applyFont="1" applyFill="1" applyBorder="1" applyAlignment="1" applyProtection="1">
      <alignment horizontal="center" vertical="center"/>
      <protection hidden="1"/>
    </xf>
    <xf numFmtId="0" fontId="22" fillId="11" borderId="19" xfId="1" applyFont="1" applyFill="1" applyBorder="1" applyAlignment="1" applyProtection="1">
      <alignment horizontal="center" vertical="center"/>
      <protection hidden="1"/>
    </xf>
    <xf numFmtId="0" fontId="17" fillId="12" borderId="0" xfId="1" applyFill="1" applyAlignment="1" applyProtection="1">
      <alignment horizontal="center" vertical="center" wrapText="1"/>
      <protection hidden="1"/>
    </xf>
    <xf numFmtId="0" fontId="13" fillId="0" borderId="0" xfId="1" applyFont="1" applyAlignment="1" applyProtection="1">
      <alignment horizontal="left" vertical="center" wrapText="1"/>
      <protection hidden="1"/>
    </xf>
    <xf numFmtId="0" fontId="17" fillId="0" borderId="0" xfId="1" applyAlignment="1" applyProtection="1">
      <alignment horizontal="left" vertical="center" wrapText="1"/>
      <protection hidden="1"/>
    </xf>
    <xf numFmtId="0" fontId="10" fillId="11" borderId="10" xfId="0" applyFont="1" applyFill="1" applyBorder="1" applyAlignment="1">
      <alignment horizontal="center"/>
    </xf>
    <xf numFmtId="0" fontId="10" fillId="11" borderId="29" xfId="0" applyFont="1" applyFill="1" applyBorder="1" applyAlignment="1">
      <alignment horizontal="center"/>
    </xf>
    <xf numFmtId="0" fontId="10" fillId="11" borderId="30" xfId="0" applyFont="1" applyFill="1" applyBorder="1" applyAlignment="1">
      <alignment horizontal="center"/>
    </xf>
    <xf numFmtId="0" fontId="10" fillId="11" borderId="2" xfId="0" applyFont="1" applyFill="1" applyBorder="1" applyAlignment="1">
      <alignment horizontal="center" vertical="center"/>
    </xf>
    <xf numFmtId="0" fontId="10" fillId="11" borderId="10" xfId="0" applyFont="1" applyFill="1" applyBorder="1" applyAlignment="1">
      <alignment horizontal="center" vertical="center"/>
    </xf>
    <xf numFmtId="0" fontId="10" fillId="11" borderId="30" xfId="0" applyFont="1" applyFill="1" applyBorder="1" applyAlignment="1">
      <alignment horizontal="center" vertical="center"/>
    </xf>
    <xf numFmtId="0" fontId="11" fillId="5" borderId="12" xfId="0" applyFont="1" applyFill="1" applyBorder="1" applyAlignment="1">
      <alignment horizontal="center" vertical="center"/>
    </xf>
    <xf numFmtId="0" fontId="11" fillId="5" borderId="34" xfId="0" applyFont="1" applyFill="1" applyBorder="1" applyAlignment="1">
      <alignment horizontal="center" vertical="center"/>
    </xf>
    <xf numFmtId="0" fontId="11" fillId="5" borderId="173" xfId="0" applyFont="1" applyFill="1" applyBorder="1" applyAlignment="1">
      <alignment horizontal="center" vertical="center"/>
    </xf>
    <xf numFmtId="0" fontId="11" fillId="5" borderId="35"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6" xfId="0" applyFont="1" applyFill="1" applyBorder="1" applyAlignment="1">
      <alignment horizontal="center" vertical="center"/>
    </xf>
    <xf numFmtId="0" fontId="16" fillId="5" borderId="24" xfId="0" applyFont="1" applyFill="1" applyBorder="1" applyAlignment="1">
      <alignment horizontal="center" vertical="center"/>
    </xf>
    <xf numFmtId="0" fontId="16" fillId="5" borderId="61" xfId="0" applyFont="1" applyFill="1" applyBorder="1" applyAlignment="1">
      <alignment horizontal="center" vertical="center"/>
    </xf>
    <xf numFmtId="0" fontId="16" fillId="5" borderId="26" xfId="0" applyFont="1" applyFill="1" applyBorder="1" applyAlignment="1">
      <alignment horizontal="center" vertical="center"/>
    </xf>
    <xf numFmtId="0" fontId="11" fillId="5" borderId="23" xfId="0" applyFont="1" applyFill="1" applyBorder="1" applyAlignment="1">
      <alignment horizontal="center" vertical="center"/>
    </xf>
    <xf numFmtId="0" fontId="11" fillId="5" borderId="27" xfId="0" applyFont="1" applyFill="1" applyBorder="1" applyAlignment="1">
      <alignment horizontal="center" vertical="center"/>
    </xf>
    <xf numFmtId="0" fontId="11" fillId="5" borderId="25" xfId="0" applyFont="1" applyFill="1" applyBorder="1" applyAlignment="1">
      <alignment horizontal="center" vertical="center"/>
    </xf>
    <xf numFmtId="0" fontId="11" fillId="5" borderId="24" xfId="0" applyFont="1" applyFill="1" applyBorder="1" applyAlignment="1">
      <alignment horizontal="center" vertical="center"/>
    </xf>
    <xf numFmtId="0" fontId="11" fillId="5" borderId="61" xfId="0" applyFont="1" applyFill="1" applyBorder="1" applyAlignment="1">
      <alignment horizontal="center" vertical="center"/>
    </xf>
    <xf numFmtId="0" fontId="11" fillId="5" borderId="26" xfId="0" applyFont="1" applyFill="1" applyBorder="1" applyAlignment="1">
      <alignment horizontal="center" vertical="center"/>
    </xf>
    <xf numFmtId="0" fontId="10" fillId="11" borderId="1" xfId="0" applyFont="1" applyFill="1" applyBorder="1" applyAlignment="1">
      <alignment horizontal="center" vertical="center"/>
    </xf>
    <xf numFmtId="0" fontId="10" fillId="11" borderId="3" xfId="0" applyFont="1" applyFill="1" applyBorder="1" applyAlignment="1">
      <alignment horizontal="center" vertical="center"/>
    </xf>
    <xf numFmtId="164" fontId="16" fillId="5" borderId="24" xfId="0" applyNumberFormat="1" applyFont="1" applyFill="1" applyBorder="1" applyAlignment="1">
      <alignment horizontal="center" vertical="center"/>
    </xf>
    <xf numFmtId="164" fontId="16" fillId="5" borderId="61" xfId="0" applyNumberFormat="1" applyFont="1" applyFill="1" applyBorder="1" applyAlignment="1">
      <alignment horizontal="center" vertical="center"/>
    </xf>
    <xf numFmtId="164" fontId="16" fillId="5" borderId="26" xfId="0" applyNumberFormat="1" applyFont="1" applyFill="1" applyBorder="1" applyAlignment="1">
      <alignment horizontal="center" vertical="center"/>
    </xf>
    <xf numFmtId="0" fontId="10" fillId="23" borderId="10" xfId="0" applyFont="1" applyFill="1" applyBorder="1" applyAlignment="1">
      <alignment horizontal="center" vertical="center"/>
    </xf>
    <xf numFmtId="0" fontId="10" fillId="23" borderId="30" xfId="0" applyFont="1" applyFill="1" applyBorder="1" applyAlignment="1">
      <alignment horizontal="center" vertical="center"/>
    </xf>
    <xf numFmtId="0" fontId="81" fillId="0" borderId="31" xfId="0" applyFont="1" applyBorder="1" applyAlignment="1">
      <alignment horizontal="center" vertical="center"/>
    </xf>
    <xf numFmtId="0" fontId="81" fillId="0" borderId="32" xfId="0" applyFont="1" applyBorder="1" applyAlignment="1">
      <alignment horizontal="center" vertical="center"/>
    </xf>
    <xf numFmtId="0" fontId="81" fillId="0" borderId="21" xfId="0" applyFont="1" applyBorder="1" applyAlignment="1">
      <alignment horizontal="center" vertical="center"/>
    </xf>
    <xf numFmtId="0" fontId="81" fillId="0" borderId="22" xfId="0" applyFont="1" applyBorder="1" applyAlignment="1">
      <alignment horizontal="center" vertical="center"/>
    </xf>
    <xf numFmtId="0" fontId="79" fillId="21" borderId="0" xfId="0" applyFont="1" applyFill="1" applyAlignment="1">
      <alignment vertical="center"/>
    </xf>
    <xf numFmtId="0" fontId="50" fillId="7" borderId="337" xfId="0" applyFont="1" applyFill="1" applyBorder="1" applyAlignment="1">
      <alignment horizontal="center" vertical="center"/>
    </xf>
  </cellXfs>
  <cellStyles count="7">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A19F0B02-47E9-4D2C-B3F6-A8C99D86DDDE}"/>
    <cellStyle name="Pourcentage 2" xfId="2" xr:uid="{00000000-0005-0000-0000-000006000000}"/>
  </cellStyles>
  <dxfs count="63">
    <dxf>
      <font>
        <b/>
        <i val="0"/>
        <color theme="0"/>
      </font>
      <fill>
        <patternFill>
          <bgColor rgb="FFD57A44"/>
        </patternFill>
      </fill>
      <border>
        <left style="thin">
          <color auto="1"/>
        </left>
        <right style="thin">
          <color auto="1"/>
        </right>
        <top style="hair">
          <color auto="1"/>
        </top>
        <bottom style="hair">
          <color auto="1"/>
        </bottom>
      </border>
    </dxf>
    <dxf>
      <font>
        <b/>
        <i val="0"/>
        <color theme="0"/>
      </font>
      <fill>
        <patternFill>
          <bgColor rgb="FF7AB51C"/>
        </patternFill>
      </fill>
      <border>
        <left style="thin">
          <color auto="1"/>
        </left>
        <right style="thin">
          <color auto="1"/>
        </right>
        <top style="hair">
          <color auto="1"/>
        </top>
        <bottom style="hair">
          <color auto="1"/>
        </bottom>
      </border>
    </dxf>
    <dxf>
      <font>
        <b val="0"/>
        <i val="0"/>
        <color rgb="FF000000"/>
      </font>
      <fill>
        <patternFill>
          <bgColor rgb="FF000000"/>
        </patternFill>
      </fill>
      <border>
        <left style="thin">
          <color rgb="FF000000"/>
        </left>
        <right style="thin">
          <color rgb="FF000000"/>
        </right>
        <top style="thin">
          <color rgb="FF000000"/>
        </top>
        <bottom style="thin">
          <color rgb="FF000000"/>
        </bottom>
      </border>
    </dxf>
    <dxf>
      <font>
        <b val="0"/>
        <i val="0"/>
        <color theme="1"/>
      </font>
      <fill>
        <patternFill patternType="none">
          <bgColor auto="1"/>
        </patternFill>
      </fill>
      <border>
        <left style="thin">
          <color auto="1"/>
        </left>
        <right style="thin">
          <color auto="1"/>
        </right>
        <top style="hair">
          <color auto="1"/>
        </top>
        <bottom style="hair">
          <color auto="1"/>
        </bottom>
      </border>
    </dxf>
    <dxf>
      <font>
        <b val="0"/>
        <i val="0"/>
        <color rgb="FFC00000"/>
      </font>
      <fill>
        <patternFill patternType="none">
          <bgColor auto="1"/>
        </patternFill>
      </fill>
      <border>
        <left style="thin">
          <color auto="1"/>
        </left>
        <right style="thin">
          <color auto="1"/>
        </right>
        <top style="hair">
          <color auto="1"/>
        </top>
        <bottom style="hair">
          <color auto="1"/>
        </bottom>
      </border>
    </dxf>
    <dxf>
      <font>
        <b/>
        <i val="0"/>
        <color theme="0"/>
      </font>
      <fill>
        <patternFill>
          <bgColor rgb="FFD57A44"/>
        </patternFill>
      </fill>
    </dxf>
    <dxf>
      <font>
        <b/>
        <i val="0"/>
        <color theme="0"/>
      </font>
      <fill>
        <patternFill>
          <bgColor rgb="FF7AB51C"/>
        </patternFill>
      </fill>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ont>
        <b/>
        <i val="0"/>
        <color theme="0"/>
      </font>
      <fill>
        <patternFill>
          <bgColor rgb="FFD57A44"/>
        </patternFill>
      </fill>
    </dxf>
    <dxf>
      <font>
        <b/>
        <i val="0"/>
        <color theme="0"/>
      </font>
      <fill>
        <patternFill>
          <bgColor rgb="FF7AB51C"/>
        </patternFill>
      </fill>
    </dxf>
    <dxf>
      <fill>
        <patternFill patternType="mediumGray"/>
      </fill>
    </dxf>
    <dxf>
      <font>
        <color theme="0"/>
      </font>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D57A44"/>
      <color rgb="FF7AB51C"/>
      <color rgb="FFB896EF"/>
      <color rgb="FFC6EEFF"/>
      <color rgb="FF8FC4E6"/>
      <color rgb="FFC6EFCE"/>
      <color rgb="FF1F497D"/>
      <color rgb="FFFFFFFF"/>
      <color rgb="FFFF9966"/>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446550</xdr:colOff>
      <xdr:row>1</xdr:row>
      <xdr:rowOff>820395</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56079</xdr:colOff>
      <xdr:row>1</xdr:row>
      <xdr:rowOff>27867</xdr:rowOff>
    </xdr:from>
    <xdr:to>
      <xdr:col>4</xdr:col>
      <xdr:colOff>162926</xdr:colOff>
      <xdr:row>2</xdr:row>
      <xdr:rowOff>133</xdr:rowOff>
    </xdr:to>
    <xdr:pic>
      <xdr:nvPicPr>
        <xdr:cNvPr id="2" name="Image 1" descr="Logo Les agences de l'eau ferr droite">
          <a:extLst>
            <a:ext uri="{FF2B5EF4-FFF2-40B4-BE49-F238E27FC236}">
              <a16:creationId xmlns:a16="http://schemas.microsoft.com/office/drawing/2014/main" id="{8284E978-4AFD-4DFB-A9DB-0DDEEB857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079" y="151692"/>
          <a:ext cx="1286946" cy="81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56079</xdr:colOff>
      <xdr:row>1</xdr:row>
      <xdr:rowOff>29982</xdr:rowOff>
    </xdr:from>
    <xdr:to>
      <xdr:col>4</xdr:col>
      <xdr:colOff>142555</xdr:colOff>
      <xdr:row>1</xdr:row>
      <xdr:rowOff>808483</xdr:rowOff>
    </xdr:to>
    <xdr:pic>
      <xdr:nvPicPr>
        <xdr:cNvPr id="3" name="Image 2" descr="Logo Les agences de l'eau ferr droite">
          <a:extLst>
            <a:ext uri="{FF2B5EF4-FFF2-40B4-BE49-F238E27FC236}">
              <a16:creationId xmlns:a16="http://schemas.microsoft.com/office/drawing/2014/main" id="{DDF49F8B-3203-4AED-BDAF-B24E3A425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196" y="152749"/>
          <a:ext cx="1266460" cy="782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56079</xdr:colOff>
      <xdr:row>1</xdr:row>
      <xdr:rowOff>29982</xdr:rowOff>
    </xdr:from>
    <xdr:to>
      <xdr:col>4</xdr:col>
      <xdr:colOff>144614</xdr:colOff>
      <xdr:row>1</xdr:row>
      <xdr:rowOff>810657</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21" y="147414"/>
          <a:ext cx="1183476" cy="781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M92"/>
  <sheetViews>
    <sheetView showGridLines="0" zoomScale="73" zoomScaleNormal="73" workbookViewId="0">
      <pane ySplit="7" topLeftCell="A41" activePane="bottomLeft" state="frozen"/>
      <selection activeCell="K45" sqref="K45:T45"/>
      <selection pane="bottomLeft" activeCell="R34" sqref="R34:S34"/>
    </sheetView>
  </sheetViews>
  <sheetFormatPr baseColWidth="10" defaultColWidth="11.41015625" defaultRowHeight="20.100000000000001" customHeight="1" outlineLevelRow="1" x14ac:dyDescent="0.45"/>
  <cols>
    <col min="1" max="2" width="2.703125" style="222" customWidth="1"/>
    <col min="3" max="11" width="12.703125" style="222" customWidth="1"/>
    <col min="12" max="13" width="18.703125" style="222" customWidth="1"/>
    <col min="14" max="16" width="12.703125" style="222" customWidth="1"/>
    <col min="17" max="22" width="18.703125" style="222" customWidth="1"/>
    <col min="23" max="23" width="2.703125" style="222" customWidth="1"/>
    <col min="24" max="24" width="2.703125" style="315" customWidth="1"/>
    <col min="25" max="25" width="26.29296875" style="315" customWidth="1"/>
    <col min="26" max="28" width="11.41015625" style="315"/>
    <col min="29" max="30" width="16.41015625" style="315" customWidth="1"/>
    <col min="31" max="31" width="18.1171875" style="315" customWidth="1"/>
    <col min="32" max="32" width="16.41015625" style="315" customWidth="1"/>
    <col min="33" max="36" width="12.703125" style="315" customWidth="1"/>
    <col min="37" max="39" width="11.41015625" style="315"/>
    <col min="40" max="16384" width="11.41015625" style="222"/>
  </cols>
  <sheetData>
    <row r="1" spans="1:36" ht="9.9499999999999993" customHeight="1" thickBot="1" x14ac:dyDescent="0.6">
      <c r="A1" s="220"/>
      <c r="B1" s="244"/>
      <c r="C1" s="245"/>
      <c r="D1" s="246"/>
      <c r="E1" s="246"/>
      <c r="F1" s="246"/>
      <c r="G1" s="246"/>
      <c r="H1" s="246"/>
      <c r="I1" s="246"/>
      <c r="J1" s="246"/>
      <c r="K1" s="246"/>
      <c r="L1" s="246"/>
      <c r="M1" s="246"/>
      <c r="N1" s="246"/>
      <c r="O1" s="246"/>
      <c r="P1" s="246"/>
      <c r="Q1" s="246"/>
      <c r="R1" s="246"/>
      <c r="S1" s="246"/>
      <c r="T1" s="246"/>
      <c r="U1" s="246"/>
      <c r="V1" s="246"/>
      <c r="W1" s="247"/>
      <c r="X1" s="407"/>
      <c r="Y1" s="407"/>
      <c r="Z1" s="407"/>
      <c r="AA1" s="407"/>
      <c r="AB1" s="407"/>
      <c r="AC1" s="408" t="s">
        <v>299</v>
      </c>
      <c r="AD1" s="408" t="s">
        <v>299</v>
      </c>
      <c r="AE1" s="408" t="s">
        <v>299</v>
      </c>
      <c r="AF1" s="408" t="s">
        <v>299</v>
      </c>
      <c r="AG1" s="408" t="s">
        <v>299</v>
      </c>
      <c r="AH1" s="408" t="s">
        <v>299</v>
      </c>
      <c r="AI1" s="408" t="s">
        <v>299</v>
      </c>
      <c r="AJ1" s="408" t="s">
        <v>299</v>
      </c>
    </row>
    <row r="2" spans="1:36" ht="66.95" customHeight="1" thickTop="1" thickBot="1" x14ac:dyDescent="0.5">
      <c r="A2" s="223"/>
      <c r="B2" s="248"/>
      <c r="C2" s="694" t="s">
        <v>363</v>
      </c>
      <c r="D2" s="695"/>
      <c r="E2" s="695"/>
      <c r="F2" s="695"/>
      <c r="G2" s="695"/>
      <c r="H2" s="695"/>
      <c r="I2" s="695"/>
      <c r="J2" s="695"/>
      <c r="K2" s="695"/>
      <c r="L2" s="695"/>
      <c r="M2" s="695"/>
      <c r="N2" s="695"/>
      <c r="O2" s="695"/>
      <c r="P2" s="695"/>
      <c r="Q2" s="695"/>
      <c r="R2" s="695"/>
      <c r="S2" s="696"/>
      <c r="T2" s="424"/>
      <c r="U2" s="424"/>
      <c r="V2" s="425"/>
      <c r="W2" s="249"/>
      <c r="X2" s="409"/>
      <c r="Y2" s="409"/>
      <c r="Z2" s="409"/>
      <c r="AA2" s="409"/>
      <c r="AB2" s="409"/>
      <c r="AC2" s="410" t="s">
        <v>306</v>
      </c>
      <c r="AD2" s="410">
        <f>ROW(E13)+1</f>
        <v>14</v>
      </c>
      <c r="AE2" s="410" t="s">
        <v>308</v>
      </c>
      <c r="AF2" s="410">
        <f>ROW(D15)-1</f>
        <v>14</v>
      </c>
      <c r="AG2" s="309" t="s">
        <v>415</v>
      </c>
      <c r="AH2" s="309">
        <f>ROW(E22)+1</f>
        <v>23</v>
      </c>
      <c r="AI2" s="309">
        <f>ROW(D24)-1</f>
        <v>23</v>
      </c>
      <c r="AJ2" s="309"/>
    </row>
    <row r="3" spans="1:36" ht="24" customHeight="1" thickTop="1" x14ac:dyDescent="0.45">
      <c r="A3" s="224"/>
      <c r="B3" s="248"/>
      <c r="C3" s="682" t="s">
        <v>461</v>
      </c>
      <c r="D3" s="683"/>
      <c r="E3" s="684"/>
      <c r="F3" s="688"/>
      <c r="G3" s="689"/>
      <c r="H3" s="689"/>
      <c r="I3" s="692" t="s">
        <v>469</v>
      </c>
      <c r="J3" s="683"/>
      <c r="K3" s="684"/>
      <c r="L3" s="688"/>
      <c r="M3" s="689"/>
      <c r="N3" s="692" t="s">
        <v>470</v>
      </c>
      <c r="O3" s="683"/>
      <c r="P3" s="684"/>
      <c r="Q3" s="706"/>
      <c r="R3" s="707"/>
      <c r="S3" s="692" t="s">
        <v>494</v>
      </c>
      <c r="T3" s="683"/>
      <c r="U3" s="688"/>
      <c r="V3" s="755"/>
      <c r="W3" s="250"/>
      <c r="X3" s="409"/>
      <c r="Y3" s="409"/>
      <c r="Z3" s="408"/>
      <c r="AA3" s="408"/>
      <c r="AB3" s="411"/>
      <c r="AC3" s="410" t="s">
        <v>307</v>
      </c>
      <c r="AD3" s="410">
        <f>ROW(E33)+1</f>
        <v>34</v>
      </c>
      <c r="AE3" s="412" t="s">
        <v>309</v>
      </c>
      <c r="AF3" s="412">
        <f>ROW(D35)-1</f>
        <v>34</v>
      </c>
      <c r="AG3" s="309" t="s">
        <v>416</v>
      </c>
      <c r="AH3" s="309">
        <f>ROW(E42)+1</f>
        <v>43</v>
      </c>
      <c r="AI3" s="309">
        <f>ROW(D44)-1</f>
        <v>43</v>
      </c>
    </row>
    <row r="4" spans="1:36" ht="24" customHeight="1" x14ac:dyDescent="0.45">
      <c r="A4" s="224"/>
      <c r="B4" s="248"/>
      <c r="C4" s="685" t="s">
        <v>473</v>
      </c>
      <c r="D4" s="686"/>
      <c r="E4" s="687"/>
      <c r="F4" s="690"/>
      <c r="G4" s="691"/>
      <c r="H4" s="691"/>
      <c r="I4" s="693" t="s">
        <v>463</v>
      </c>
      <c r="J4" s="686"/>
      <c r="K4" s="687"/>
      <c r="L4" s="690"/>
      <c r="M4" s="752"/>
      <c r="N4" s="693" t="s">
        <v>477</v>
      </c>
      <c r="O4" s="686"/>
      <c r="P4" s="687"/>
      <c r="Q4" s="708"/>
      <c r="R4" s="709"/>
      <c r="S4" s="693" t="s">
        <v>471</v>
      </c>
      <c r="T4" s="686"/>
      <c r="U4" s="690"/>
      <c r="V4" s="756"/>
      <c r="W4" s="251"/>
      <c r="X4" s="408"/>
      <c r="Y4" s="408"/>
      <c r="Z4" s="408"/>
      <c r="AA4" s="408"/>
      <c r="AB4" s="411"/>
      <c r="AC4" s="412"/>
      <c r="AD4" s="412"/>
      <c r="AE4" s="412"/>
      <c r="AF4" s="412"/>
      <c r="AG4" s="309"/>
      <c r="AH4" s="309"/>
      <c r="AI4" s="309"/>
      <c r="AJ4" s="309"/>
    </row>
    <row r="5" spans="1:36" ht="32.1" customHeight="1" x14ac:dyDescent="0.45">
      <c r="A5" s="224"/>
      <c r="B5" s="248" t="s">
        <v>89</v>
      </c>
      <c r="C5" s="685" t="s">
        <v>495</v>
      </c>
      <c r="D5" s="686"/>
      <c r="E5" s="687"/>
      <c r="F5" s="705"/>
      <c r="G5" s="691"/>
      <c r="H5" s="691"/>
      <c r="I5" s="693" t="s">
        <v>464</v>
      </c>
      <c r="J5" s="686"/>
      <c r="K5" s="687"/>
      <c r="L5" s="705"/>
      <c r="M5" s="691"/>
      <c r="N5" s="693" t="s">
        <v>475</v>
      </c>
      <c r="O5" s="686"/>
      <c r="P5" s="687"/>
      <c r="Q5" s="714"/>
      <c r="R5" s="715"/>
      <c r="S5" s="693" t="s">
        <v>467</v>
      </c>
      <c r="T5" s="686"/>
      <c r="U5" s="757"/>
      <c r="V5" s="758"/>
      <c r="W5" s="251"/>
      <c r="X5" s="408"/>
      <c r="Y5" s="408"/>
      <c r="Z5" s="408"/>
      <c r="AA5" s="408"/>
      <c r="AB5" s="413"/>
      <c r="AC5" s="412"/>
      <c r="AD5" s="412"/>
      <c r="AE5" s="412"/>
      <c r="AF5" s="412"/>
    </row>
    <row r="6" spans="1:36" ht="24" customHeight="1" thickBot="1" x14ac:dyDescent="0.5">
      <c r="A6" s="224"/>
      <c r="B6" s="248"/>
      <c r="C6" s="704" t="s">
        <v>462</v>
      </c>
      <c r="D6" s="698"/>
      <c r="E6" s="699"/>
      <c r="F6" s="700"/>
      <c r="G6" s="701"/>
      <c r="H6" s="701"/>
      <c r="I6" s="697" t="s">
        <v>474</v>
      </c>
      <c r="J6" s="698"/>
      <c r="K6" s="699"/>
      <c r="L6" s="700"/>
      <c r="M6" s="701"/>
      <c r="N6" s="697" t="s">
        <v>476</v>
      </c>
      <c r="O6" s="698"/>
      <c r="P6" s="699"/>
      <c r="Q6" s="702"/>
      <c r="R6" s="703"/>
      <c r="S6" s="710" t="s">
        <v>478</v>
      </c>
      <c r="T6" s="711"/>
      <c r="U6" s="753"/>
      <c r="V6" s="754"/>
      <c r="W6" s="251"/>
      <c r="X6" s="408"/>
      <c r="Y6" s="408"/>
      <c r="Z6" s="408"/>
      <c r="AA6" s="408"/>
      <c r="AB6" s="413"/>
      <c r="AC6" s="412"/>
      <c r="AD6" s="412"/>
      <c r="AE6" s="412"/>
      <c r="AF6" s="412"/>
    </row>
    <row r="7" spans="1:36" ht="9.9499999999999993" customHeight="1" thickTop="1" thickBot="1" x14ac:dyDescent="0.5">
      <c r="A7" s="224"/>
      <c r="B7" s="248"/>
      <c r="C7" s="221"/>
      <c r="D7" s="719"/>
      <c r="E7" s="719"/>
      <c r="F7" s="720"/>
      <c r="G7" s="720"/>
      <c r="H7" s="719"/>
      <c r="I7" s="719"/>
      <c r="J7" s="721"/>
      <c r="K7" s="721"/>
      <c r="L7" s="225"/>
      <c r="M7" s="225"/>
      <c r="N7" s="226"/>
      <c r="O7" s="226"/>
      <c r="P7" s="226"/>
      <c r="Q7" s="226"/>
      <c r="R7" s="226"/>
      <c r="S7" s="226"/>
      <c r="T7" s="226"/>
      <c r="U7" s="226"/>
      <c r="V7" s="226"/>
      <c r="W7" s="251"/>
      <c r="X7" s="408"/>
      <c r="Y7" s="408"/>
      <c r="Z7" s="408"/>
      <c r="AA7" s="408"/>
      <c r="AB7" s="413"/>
      <c r="AC7" s="412"/>
      <c r="AD7" s="412"/>
      <c r="AE7" s="412"/>
      <c r="AF7" s="412"/>
    </row>
    <row r="8" spans="1:36" ht="20.100000000000001" customHeight="1" thickTop="1" thickBot="1" x14ac:dyDescent="0.5">
      <c r="B8" s="248"/>
      <c r="C8" s="716" t="s">
        <v>364</v>
      </c>
      <c r="D8" s="717"/>
      <c r="E8" s="717"/>
      <c r="F8" s="717"/>
      <c r="G8" s="717"/>
      <c r="H8" s="717"/>
      <c r="I8" s="717"/>
      <c r="J8" s="717"/>
      <c r="K8" s="717"/>
      <c r="L8" s="717"/>
      <c r="M8" s="717"/>
      <c r="N8" s="717"/>
      <c r="O8" s="717"/>
      <c r="P8" s="717"/>
      <c r="Q8" s="717"/>
      <c r="R8" s="717"/>
      <c r="S8" s="717"/>
      <c r="T8" s="717"/>
      <c r="U8" s="717"/>
      <c r="V8" s="718"/>
      <c r="W8" s="252"/>
      <c r="AC8" s="414"/>
      <c r="AD8" s="414"/>
      <c r="AE8" s="414"/>
      <c r="AF8" s="414"/>
    </row>
    <row r="9" spans="1:36" ht="20.100000000000001" customHeight="1" outlineLevel="1" thickTop="1" thickBot="1" x14ac:dyDescent="0.5">
      <c r="B9" s="248"/>
      <c r="C9" s="278"/>
      <c r="D9" s="518" t="s">
        <v>554</v>
      </c>
      <c r="E9" s="221" t="s">
        <v>555</v>
      </c>
      <c r="F9" s="227"/>
      <c r="G9" s="227"/>
      <c r="H9" s="227"/>
      <c r="I9" s="227"/>
      <c r="J9" s="227"/>
      <c r="K9" s="227"/>
      <c r="L9" s="227"/>
      <c r="M9" s="227"/>
      <c r="N9" s="227"/>
      <c r="O9" s="227"/>
      <c r="P9" s="227"/>
      <c r="Q9" s="227"/>
      <c r="R9" s="227"/>
      <c r="S9" s="227"/>
      <c r="T9" s="227"/>
      <c r="U9" s="227"/>
      <c r="V9" s="279"/>
      <c r="W9" s="252"/>
      <c r="AC9" s="414"/>
      <c r="AD9" s="414"/>
      <c r="AE9" s="414"/>
      <c r="AF9" s="414"/>
    </row>
    <row r="10" spans="1:36" ht="20.100000000000001" customHeight="1" outlineLevel="1" thickTop="1" thickBot="1" x14ac:dyDescent="0.5">
      <c r="B10" s="248"/>
      <c r="C10" s="278"/>
      <c r="D10" s="306" t="s">
        <v>452</v>
      </c>
      <c r="E10" s="307"/>
      <c r="F10" s="307"/>
      <c r="G10" s="307"/>
      <c r="H10" s="307"/>
      <c r="I10" s="307"/>
      <c r="J10" s="307"/>
      <c r="K10" s="307"/>
      <c r="L10" s="307"/>
      <c r="M10" s="307"/>
      <c r="N10" s="307"/>
      <c r="O10" s="307"/>
      <c r="P10" s="307"/>
      <c r="Q10" s="307"/>
      <c r="R10" s="307"/>
      <c r="S10" s="307"/>
      <c r="T10" s="307"/>
      <c r="U10" s="308"/>
      <c r="V10" s="279"/>
      <c r="W10" s="252"/>
      <c r="AC10" s="414"/>
      <c r="AD10" s="414"/>
      <c r="AE10" s="414"/>
      <c r="AF10" s="414"/>
    </row>
    <row r="11" spans="1:36" ht="20.100000000000001" customHeight="1" outlineLevel="1" thickTop="1" x14ac:dyDescent="0.45">
      <c r="B11" s="248"/>
      <c r="C11" s="278"/>
      <c r="D11" s="233"/>
      <c r="E11" s="227"/>
      <c r="F11" s="227"/>
      <c r="G11" s="227"/>
      <c r="H11" s="227"/>
      <c r="I11" s="227"/>
      <c r="J11" s="227"/>
      <c r="K11" s="227"/>
      <c r="L11" s="227"/>
      <c r="M11" s="262"/>
      <c r="N11" s="227"/>
      <c r="O11" s="227"/>
      <c r="P11" s="227"/>
      <c r="Q11" s="227"/>
      <c r="R11" s="227"/>
      <c r="S11" s="227"/>
      <c r="T11" s="227"/>
      <c r="U11" s="234"/>
      <c r="V11" s="279"/>
      <c r="W11" s="252"/>
      <c r="AC11" s="414"/>
      <c r="AD11" s="414"/>
      <c r="AE11" s="414"/>
      <c r="AF11" s="414"/>
    </row>
    <row r="12" spans="1:36" ht="20.100000000000001" customHeight="1" outlineLevel="1" x14ac:dyDescent="0.5">
      <c r="B12" s="248"/>
      <c r="C12" s="278"/>
      <c r="D12" s="233"/>
      <c r="E12" s="382"/>
      <c r="F12" s="227"/>
      <c r="G12" s="227"/>
      <c r="H12" s="730" t="s">
        <v>430</v>
      </c>
      <c r="I12" s="730"/>
      <c r="J12" s="730"/>
      <c r="K12" s="730"/>
      <c r="L12" s="730"/>
      <c r="M12" s="730"/>
      <c r="N12" s="730"/>
      <c r="O12" s="730"/>
      <c r="P12" s="730"/>
      <c r="Q12" s="730"/>
      <c r="R12" s="227"/>
      <c r="S12" s="227"/>
      <c r="T12" s="227"/>
      <c r="U12" s="234"/>
      <c r="V12" s="279"/>
      <c r="W12" s="252"/>
    </row>
    <row r="13" spans="1:36" ht="44.45" customHeight="1" outlineLevel="1" x14ac:dyDescent="0.45">
      <c r="B13" s="248"/>
      <c r="C13" s="278"/>
      <c r="D13" s="235"/>
      <c r="E13" s="261" t="s">
        <v>178</v>
      </c>
      <c r="F13" s="722" t="s">
        <v>366</v>
      </c>
      <c r="G13" s="722"/>
      <c r="H13" s="286" t="s">
        <v>360</v>
      </c>
      <c r="I13" s="286" t="s">
        <v>365</v>
      </c>
      <c r="J13" s="286" t="s">
        <v>455</v>
      </c>
      <c r="K13" s="722" t="s">
        <v>431</v>
      </c>
      <c r="L13" s="722"/>
      <c r="M13" s="722" t="s">
        <v>408</v>
      </c>
      <c r="N13" s="722"/>
      <c r="O13" s="722" t="s">
        <v>411</v>
      </c>
      <c r="P13" s="722"/>
      <c r="Q13" s="713" t="s">
        <v>472</v>
      </c>
      <c r="R13" s="713"/>
      <c r="S13" s="723" t="s">
        <v>429</v>
      </c>
      <c r="T13" s="724"/>
      <c r="U13" s="236"/>
      <c r="V13" s="279"/>
      <c r="W13" s="252"/>
      <c r="AC13" s="712" t="s">
        <v>304</v>
      </c>
      <c r="AD13" s="712"/>
      <c r="AE13" s="712" t="s">
        <v>305</v>
      </c>
      <c r="AF13" s="712"/>
      <c r="AG13" s="712" t="s">
        <v>362</v>
      </c>
      <c r="AH13" s="712"/>
      <c r="AI13" s="712" t="s">
        <v>361</v>
      </c>
      <c r="AJ13" s="712"/>
    </row>
    <row r="14" spans="1:36" ht="20" customHeight="1" outlineLevel="1" x14ac:dyDescent="0.45">
      <c r="B14" s="248"/>
      <c r="C14" s="278"/>
      <c r="D14" s="237"/>
      <c r="E14" s="230"/>
      <c r="F14" s="230"/>
      <c r="G14" s="230"/>
      <c r="H14" s="230"/>
      <c r="I14" s="230"/>
      <c r="J14" s="230"/>
      <c r="K14" s="230"/>
      <c r="L14" s="231"/>
      <c r="M14" s="231"/>
      <c r="N14" s="230"/>
      <c r="O14" s="230"/>
      <c r="P14" s="230"/>
      <c r="Q14" s="230"/>
      <c r="R14" s="230"/>
      <c r="S14" s="230"/>
      <c r="T14" s="230"/>
      <c r="U14" s="236"/>
      <c r="V14" s="279"/>
      <c r="W14" s="252"/>
      <c r="AB14" s="315">
        <f t="shared" ref="AB14:AB43" si="0">ROW(A14)- $AD$2 +1</f>
        <v>1</v>
      </c>
      <c r="AC14" s="357" t="str">
        <f t="shared" ref="AC14:AC43" si="1">IF(AND($E14="Oui",$M14="Préleveur"),$F14,"")</f>
        <v/>
      </c>
      <c r="AD14" s="357" t="str" cm="1">
        <f t="array" aca="1" ref="AD14" ca="1">IFERROR(INDEX($AC$14:$AC$99,SMALL(IF($AC$14:$AC$99&lt;&gt;"",ROW($AC$14:$AC$99)-ROW(INDIRECT("$AC$14"))+1),ROW(INDIRECT("A" &amp; AB14 ) ))),"")</f>
        <v/>
      </c>
      <c r="AE14" s="357" t="str">
        <f t="shared" ref="AE14:AE43" si="2">IF(AND($E14="Oui",LEFT($M14,10) ="Débitmètre"),$F14,"")</f>
        <v/>
      </c>
      <c r="AF14" s="357" t="str" cm="1">
        <f t="array" aca="1" ref="AF14" ca="1">IFERROR(INDEX($AE$14:$AE$99,SMALL(IF($AE$14:$AE$99&lt;&gt;"",ROW($AE$14:$AE$99)-ROW(INDIRECT("$AE$14"))+1),ROW(INDIRECT("A" &amp; AB14 ) ))),"")</f>
        <v/>
      </c>
      <c r="AG14" s="357" t="str">
        <f t="shared" ref="AG14:AG43" si="3">IF(AND($E14="Oui",LEFT($M14,5) ="Sonde"),$F14,"")</f>
        <v/>
      </c>
      <c r="AH14" s="357" t="str" cm="1">
        <f t="array" aca="1" ref="AH14" ca="1">IFERROR(INDEX($AG$14:$AG$99,SMALL(IF($AG$14:$AG$99&lt;&gt;"",ROW($AG$14:$AG$99)-ROW(INDIRECT("$AG$14"))+1),ROW(INDIRECT("A" &amp; AB14 ) ))),"")</f>
        <v/>
      </c>
      <c r="AI14" s="357" t="str">
        <f t="shared" ref="AI14:AI43" si="4">IF(AND($E14="Oui", $F14 &lt;&gt; "", $M14 = ""),$F14,"")</f>
        <v/>
      </c>
      <c r="AJ14" s="357" t="str" cm="1">
        <f t="array" aca="1" ref="AJ14" ca="1">IFERROR(INDEX($AI$14:$AI$99,SMALL(IF($AI$14:$AI$99&lt;&gt;"",ROW($AI$14:$AI$99)-ROW(INDIRECT("$AI$14"))+1),ROW(INDIRECT("A" &amp; AB14 ) ))),"")</f>
        <v/>
      </c>
    </row>
    <row r="15" spans="1:36" ht="20.100000000000001" customHeight="1" outlineLevel="1" x14ac:dyDescent="0.5">
      <c r="B15" s="248"/>
      <c r="C15" s="278"/>
      <c r="D15" s="237"/>
      <c r="E15" s="727" t="s">
        <v>179</v>
      </c>
      <c r="F15" s="728"/>
      <c r="G15" s="729"/>
      <c r="H15" s="232"/>
      <c r="I15" s="230"/>
      <c r="J15" s="232"/>
      <c r="K15" s="730" t="s">
        <v>480</v>
      </c>
      <c r="L15" s="730"/>
      <c r="M15" s="730"/>
      <c r="N15" s="730"/>
      <c r="O15" s="730"/>
      <c r="P15" s="730"/>
      <c r="Q15" s="730"/>
      <c r="R15" s="730"/>
      <c r="S15" s="730"/>
      <c r="T15" s="730"/>
      <c r="U15" s="236"/>
      <c r="V15" s="279"/>
      <c r="W15" s="252"/>
      <c r="AB15" s="315">
        <f t="shared" si="0"/>
        <v>2</v>
      </c>
      <c r="AC15" s="357" t="str">
        <f t="shared" si="1"/>
        <v/>
      </c>
      <c r="AD15" s="357" t="str" cm="1">
        <f t="array" aca="1" ref="AD15" ca="1">IFERROR(INDEX($AC$14:$AC$99,SMALL(IF($AC$14:$AC$99&lt;&gt;"",ROW($AC$14:$AC$99)-ROW(INDIRECT("$AC$14"))+1),ROW(INDIRECT("A" &amp; AB15 ) ))),"")</f>
        <v/>
      </c>
      <c r="AE15" s="357" t="str">
        <f t="shared" si="2"/>
        <v/>
      </c>
      <c r="AF15" s="357" t="str" cm="1">
        <f t="array" aca="1" ref="AF15" ca="1">IFERROR(INDEX($AE$14:$AE$99,SMALL(IF($AE$14:$AE$99&lt;&gt;"",ROW($AE$14:$AE$99)-ROW(INDIRECT("$AE$14"))+1),ROW(INDIRECT("A" &amp; AB15 ) ))),"")</f>
        <v/>
      </c>
      <c r="AG15" s="357" t="str">
        <f t="shared" si="3"/>
        <v/>
      </c>
      <c r="AH15" s="357" t="str" cm="1">
        <f t="array" aca="1" ref="AH15" ca="1">IFERROR(INDEX($AG$14:$AG$99,SMALL(IF($AG$14:$AG$99&lt;&gt;"",ROW($AG$14:$AG$99)-ROW(INDIRECT("$AG$14"))+1),ROW(INDIRECT("A" &amp; AB15 ) ))),"")</f>
        <v/>
      </c>
      <c r="AI15" s="357" t="str">
        <f t="shared" si="4"/>
        <v/>
      </c>
      <c r="AJ15" s="357" t="str" cm="1">
        <f t="array" aca="1" ref="AJ15" ca="1">IFERROR(INDEX($AI$14:$AI$99,SMALL(IF($AI$14:$AI$99&lt;&gt;"",ROW($AI$14:$AI$99)-ROW(INDIRECT("$AI$14"))+1),ROW(INDIRECT("A" &amp; AB15 ) ))),"")</f>
        <v/>
      </c>
    </row>
    <row r="16" spans="1:36" ht="20.100000000000001" customHeight="1" outlineLevel="1" x14ac:dyDescent="0.45">
      <c r="B16" s="248"/>
      <c r="C16" s="278"/>
      <c r="D16" s="237"/>
      <c r="E16" s="232"/>
      <c r="F16" s="232"/>
      <c r="G16" s="232"/>
      <c r="H16" s="232"/>
      <c r="I16" s="230"/>
      <c r="J16" s="232"/>
      <c r="K16" s="746"/>
      <c r="L16" s="747"/>
      <c r="M16" s="747"/>
      <c r="N16" s="747"/>
      <c r="O16" s="747"/>
      <c r="P16" s="747"/>
      <c r="Q16" s="747"/>
      <c r="R16" s="747"/>
      <c r="S16" s="747"/>
      <c r="T16" s="748"/>
      <c r="U16" s="236"/>
      <c r="V16" s="279"/>
      <c r="W16" s="252"/>
      <c r="AB16" s="315">
        <f t="shared" si="0"/>
        <v>3</v>
      </c>
      <c r="AC16" s="357" t="str">
        <f t="shared" si="1"/>
        <v/>
      </c>
      <c r="AD16" s="357" t="str" cm="1">
        <f t="array" aca="1" ref="AD16" ca="1">IFERROR(INDEX($AC$14:$AC$99,SMALL(IF($AC$14:$AC$99&lt;&gt;"",ROW($AC$14:$AC$99)-ROW(INDIRECT("$AC$14"))+1),ROW(INDIRECT("A" &amp; AB16 ) ))),"")</f>
        <v/>
      </c>
      <c r="AE16" s="357" t="str">
        <f t="shared" si="2"/>
        <v/>
      </c>
      <c r="AF16" s="357" t="str" cm="1">
        <f t="array" aca="1" ref="AF16" ca="1">IFERROR(INDEX($AE$14:$AE$99,SMALL(IF($AE$14:$AE$99&lt;&gt;"",ROW($AE$14:$AE$99)-ROW(INDIRECT("$AE$14"))+1),ROW(INDIRECT("A" &amp; AB16 ) ))),"")</f>
        <v/>
      </c>
      <c r="AG16" s="357" t="str">
        <f t="shared" si="3"/>
        <v/>
      </c>
      <c r="AH16" s="357" t="str" cm="1">
        <f t="array" aca="1" ref="AH16" ca="1">IFERROR(INDEX($AG$14:$AG$99,SMALL(IF($AG$14:$AG$99&lt;&gt;"",ROW($AG$14:$AG$99)-ROW(INDIRECT("$AG$14"))+1),ROW(INDIRECT("A" &amp; AB16 ) ))),"")</f>
        <v/>
      </c>
      <c r="AI16" s="357" t="str">
        <f t="shared" si="4"/>
        <v/>
      </c>
      <c r="AJ16" s="357" t="str" cm="1">
        <f t="array" aca="1" ref="AJ16" ca="1">IFERROR(INDEX($AI$14:$AI$99,SMALL(IF($AI$14:$AI$99&lt;&gt;"",ROW($AI$14:$AI$99)-ROW(INDIRECT("$AI$14"))+1),ROW(INDIRECT("A" &amp; AB16 ) ))),"")</f>
        <v/>
      </c>
    </row>
    <row r="17" spans="2:36" ht="20.100000000000001" customHeight="1" outlineLevel="1" x14ac:dyDescent="0.45">
      <c r="B17" s="248"/>
      <c r="C17" s="278"/>
      <c r="D17" s="237"/>
      <c r="E17" s="232"/>
      <c r="F17" s="232"/>
      <c r="G17" s="232"/>
      <c r="H17" s="232"/>
      <c r="I17" s="230"/>
      <c r="J17" s="232"/>
      <c r="K17" s="749"/>
      <c r="L17" s="750"/>
      <c r="M17" s="750"/>
      <c r="N17" s="750"/>
      <c r="O17" s="750"/>
      <c r="P17" s="750"/>
      <c r="Q17" s="750"/>
      <c r="R17" s="750"/>
      <c r="S17" s="750"/>
      <c r="T17" s="751"/>
      <c r="U17" s="236"/>
      <c r="V17" s="279"/>
      <c r="W17" s="252"/>
      <c r="AB17" s="315">
        <f t="shared" si="0"/>
        <v>4</v>
      </c>
      <c r="AC17" s="357" t="str">
        <f t="shared" si="1"/>
        <v/>
      </c>
      <c r="AD17" s="357" t="str" cm="1">
        <f t="array" aca="1" ref="AD17" ca="1">IFERROR(INDEX($AC$14:$AC$99,SMALL(IF($AC$14:$AC$99&lt;&gt;"",ROW($AC$14:$AC$99)-ROW(INDIRECT("$AC$14"))+1),ROW(INDIRECT("A" &amp; AB17 ) ))),"")</f>
        <v/>
      </c>
      <c r="AE17" s="357" t="str">
        <f t="shared" si="2"/>
        <v/>
      </c>
      <c r="AF17" s="357" t="str" cm="1">
        <f t="array" aca="1" ref="AF17" ca="1">IFERROR(INDEX($AE$14:$AE$99,SMALL(IF($AE$14:$AE$99&lt;&gt;"",ROW($AE$14:$AE$99)-ROW(INDIRECT("$AE$14"))+1),ROW(INDIRECT("A" &amp; AB17 ) ))),"")</f>
        <v/>
      </c>
      <c r="AG17" s="357" t="str">
        <f t="shared" si="3"/>
        <v/>
      </c>
      <c r="AH17" s="357" t="str" cm="1">
        <f t="array" aca="1" ref="AH17" ca="1">IFERROR(INDEX($AG$14:$AG$99,SMALL(IF($AG$14:$AG$99&lt;&gt;"",ROW($AG$14:$AG$99)-ROW(INDIRECT("$AG$14"))+1),ROW(INDIRECT("A" &amp; AB17 ) ))),"")</f>
        <v/>
      </c>
      <c r="AI17" s="357" t="str">
        <f t="shared" si="4"/>
        <v/>
      </c>
      <c r="AJ17" s="357" t="str" cm="1">
        <f t="array" aca="1" ref="AJ17" ca="1">IFERROR(INDEX($AI$14:$AI$99,SMALL(IF($AI$14:$AI$99&lt;&gt;"",ROW($AI$14:$AI$99)-ROW(INDIRECT("$AI$14"))+1),ROW(INDIRECT("A" &amp; AB17 ) ))),"")</f>
        <v/>
      </c>
    </row>
    <row r="18" spans="2:36" ht="20.100000000000001" customHeight="1" outlineLevel="1" thickBot="1" x14ac:dyDescent="0.5">
      <c r="B18" s="248"/>
      <c r="C18" s="278"/>
      <c r="D18" s="238"/>
      <c r="E18" s="239"/>
      <c r="F18" s="240"/>
      <c r="G18" s="241"/>
      <c r="H18" s="241"/>
      <c r="I18" s="241"/>
      <c r="J18" s="241"/>
      <c r="K18" s="241"/>
      <c r="L18" s="241"/>
      <c r="M18" s="242"/>
      <c r="N18" s="241"/>
      <c r="O18" s="241"/>
      <c r="P18" s="241"/>
      <c r="Q18" s="241"/>
      <c r="R18" s="241"/>
      <c r="S18" s="241"/>
      <c r="T18" s="241"/>
      <c r="U18" s="243"/>
      <c r="V18" s="279"/>
      <c r="W18" s="252"/>
      <c r="AB18" s="315">
        <f t="shared" si="0"/>
        <v>5</v>
      </c>
      <c r="AC18" s="357" t="str">
        <f t="shared" si="1"/>
        <v/>
      </c>
      <c r="AD18" s="357" t="str" cm="1">
        <f t="array" aca="1" ref="AD18" ca="1">IFERROR(INDEX($AC$14:$AC$99,SMALL(IF($AC$14:$AC$99&lt;&gt;"",ROW($AC$14:$AC$99)-ROW(INDIRECT("$AC$14"))+1),ROW(INDIRECT("A" &amp; AB18 ) ))),"")</f>
        <v/>
      </c>
      <c r="AE18" s="357" t="str">
        <f t="shared" si="2"/>
        <v/>
      </c>
      <c r="AF18" s="357" t="str" cm="1">
        <f t="array" aca="1" ref="AF18" ca="1">IFERROR(INDEX($AE$14:$AE$99,SMALL(IF($AE$14:$AE$99&lt;&gt;"",ROW($AE$14:$AE$99)-ROW(INDIRECT("$AE$14"))+1),ROW(INDIRECT("A" &amp; AB18 ) ))),"")</f>
        <v/>
      </c>
      <c r="AG18" s="357" t="str">
        <f t="shared" si="3"/>
        <v/>
      </c>
      <c r="AH18" s="357" t="str" cm="1">
        <f t="array" aca="1" ref="AH18" ca="1">IFERROR(INDEX($AG$14:$AG$99,SMALL(IF($AG$14:$AG$99&lt;&gt;"",ROW($AG$14:$AG$99)-ROW(INDIRECT("$AG$14"))+1),ROW(INDIRECT("A" &amp; AB18 ) ))),"")</f>
        <v/>
      </c>
      <c r="AI18" s="357" t="str">
        <f t="shared" si="4"/>
        <v/>
      </c>
      <c r="AJ18" s="357" t="str" cm="1">
        <f t="array" aca="1" ref="AJ18" ca="1">IFERROR(INDEX($AI$14:$AI$99,SMALL(IF($AI$14:$AI$99&lt;&gt;"",ROW($AI$14:$AI$99)-ROW(INDIRECT("$AI$14"))+1),ROW(INDIRECT("A" &amp; AB18 ) ))),"")</f>
        <v/>
      </c>
    </row>
    <row r="19" spans="2:36" ht="20.100000000000001" customHeight="1" outlineLevel="1" thickTop="1" thickBot="1" x14ac:dyDescent="0.5">
      <c r="B19" s="248"/>
      <c r="C19" s="278"/>
      <c r="D19" s="232"/>
      <c r="E19" s="263"/>
      <c r="F19" s="232"/>
      <c r="G19" s="230"/>
      <c r="H19" s="230"/>
      <c r="I19" s="230"/>
      <c r="J19" s="230"/>
      <c r="K19" s="230"/>
      <c r="L19" s="230"/>
      <c r="M19" s="264"/>
      <c r="N19" s="230"/>
      <c r="O19" s="230"/>
      <c r="P19" s="230"/>
      <c r="Q19" s="230"/>
      <c r="R19" s="230"/>
      <c r="S19" s="230"/>
      <c r="T19" s="230"/>
      <c r="U19" s="230"/>
      <c r="V19" s="279"/>
      <c r="W19" s="252"/>
      <c r="AB19" s="315">
        <f t="shared" si="0"/>
        <v>6</v>
      </c>
      <c r="AC19" s="357" t="str">
        <f t="shared" si="1"/>
        <v/>
      </c>
      <c r="AD19" s="357" t="str" cm="1">
        <f t="array" aca="1" ref="AD19" ca="1">IFERROR(INDEX($AC$14:$AC$99,SMALL(IF($AC$14:$AC$99&lt;&gt;"",ROW($AC$14:$AC$99)-ROW(INDIRECT("$AC$14"))+1),ROW(INDIRECT("A" &amp; AB19 ) ))),"")</f>
        <v/>
      </c>
      <c r="AE19" s="357" t="str">
        <f t="shared" si="2"/>
        <v/>
      </c>
      <c r="AF19" s="357" t="str" cm="1">
        <f t="array" aca="1" ref="AF19" ca="1">IFERROR(INDEX($AE$14:$AE$99,SMALL(IF($AE$14:$AE$99&lt;&gt;"",ROW($AE$14:$AE$99)-ROW(INDIRECT("$AE$14"))+1),ROW(INDIRECT("A" &amp; AB19 ) ))),"")</f>
        <v/>
      </c>
      <c r="AG19" s="357" t="str">
        <f t="shared" si="3"/>
        <v/>
      </c>
      <c r="AH19" s="357" t="str" cm="1">
        <f t="array" aca="1" ref="AH19" ca="1">IFERROR(INDEX($AG$14:$AG$99,SMALL(IF($AG$14:$AG$99&lt;&gt;"",ROW($AG$14:$AG$99)-ROW(INDIRECT("$AG$14"))+1),ROW(INDIRECT("A" &amp; AB19 ) ))),"")</f>
        <v/>
      </c>
      <c r="AI19" s="357" t="str">
        <f t="shared" si="4"/>
        <v/>
      </c>
      <c r="AJ19" s="357" t="str" cm="1">
        <f t="array" aca="1" ref="AJ19" ca="1">IFERROR(INDEX($AI$14:$AI$99,SMALL(IF($AI$14:$AI$99&lt;&gt;"",ROW($AI$14:$AI$99)-ROW(INDIRECT("$AI$14"))+1),ROW(INDIRECT("A" &amp; AB19 ) ))),"")</f>
        <v/>
      </c>
    </row>
    <row r="20" spans="2:36" ht="20.100000000000001" customHeight="1" outlineLevel="1" thickTop="1" thickBot="1" x14ac:dyDescent="0.5">
      <c r="B20" s="248"/>
      <c r="C20" s="278"/>
      <c r="D20" s="306" t="s">
        <v>427</v>
      </c>
      <c r="E20" s="307"/>
      <c r="F20" s="307"/>
      <c r="G20" s="307"/>
      <c r="H20" s="307"/>
      <c r="I20" s="307"/>
      <c r="J20" s="307"/>
      <c r="K20" s="307"/>
      <c r="L20" s="307"/>
      <c r="M20" s="307"/>
      <c r="N20" s="307"/>
      <c r="O20" s="307"/>
      <c r="P20" s="307"/>
      <c r="Q20" s="307"/>
      <c r="R20" s="307"/>
      <c r="S20" s="307"/>
      <c r="T20" s="307"/>
      <c r="U20" s="308"/>
      <c r="V20" s="279"/>
      <c r="W20" s="252"/>
      <c r="AB20" s="315">
        <f t="shared" si="0"/>
        <v>7</v>
      </c>
      <c r="AC20" s="357" t="str">
        <f t="shared" si="1"/>
        <v/>
      </c>
      <c r="AD20" s="357" t="str" cm="1">
        <f t="array" aca="1" ref="AD20" ca="1">IFERROR(INDEX($AC$14:$AC$99,SMALL(IF($AC$14:$AC$99&lt;&gt;"",ROW($AC$14:$AC$99)-ROW(INDIRECT("$AC$14"))+1),ROW(INDIRECT("A" &amp; AB20 ) ))),"")</f>
        <v/>
      </c>
      <c r="AE20" s="357" t="str">
        <f t="shared" si="2"/>
        <v/>
      </c>
      <c r="AF20" s="357" t="str" cm="1">
        <f t="array" aca="1" ref="AF20" ca="1">IFERROR(INDEX($AE$14:$AE$99,SMALL(IF($AE$14:$AE$99&lt;&gt;"",ROW($AE$14:$AE$99)-ROW(INDIRECT("$AE$14"))+1),ROW(INDIRECT("A" &amp; AB20 ) ))),"")</f>
        <v/>
      </c>
      <c r="AG20" s="357" t="str">
        <f t="shared" si="3"/>
        <v/>
      </c>
      <c r="AH20" s="357" t="str" cm="1">
        <f t="array" aca="1" ref="AH20" ca="1">IFERROR(INDEX($AG$14:$AG$99,SMALL(IF($AG$14:$AG$99&lt;&gt;"",ROW($AG$14:$AG$99)-ROW(INDIRECT("$AG$14"))+1),ROW(INDIRECT("A" &amp; AB20 ) ))),"")</f>
        <v/>
      </c>
      <c r="AI20" s="357" t="str">
        <f t="shared" si="4"/>
        <v/>
      </c>
      <c r="AJ20" s="357" t="str" cm="1">
        <f t="array" aca="1" ref="AJ20" ca="1">IFERROR(INDEX($AI$14:$AI$99,SMALL(IF($AI$14:$AI$99&lt;&gt;"",ROW($AI$14:$AI$99)-ROW(INDIRECT("$AI$14"))+1),ROW(INDIRECT("A" &amp; AB20 ) ))),"")</f>
        <v/>
      </c>
    </row>
    <row r="21" spans="2:36" ht="20.100000000000001" customHeight="1" outlineLevel="1" thickTop="1" x14ac:dyDescent="0.45">
      <c r="B21" s="248"/>
      <c r="C21" s="278"/>
      <c r="D21" s="269"/>
      <c r="E21" s="266"/>
      <c r="F21" s="266"/>
      <c r="G21" s="266"/>
      <c r="H21" s="266"/>
      <c r="I21" s="266"/>
      <c r="J21" s="266"/>
      <c r="K21" s="266"/>
      <c r="L21" s="266"/>
      <c r="M21" s="266"/>
      <c r="N21" s="266"/>
      <c r="O21" s="266"/>
      <c r="P21" s="266"/>
      <c r="Q21" s="266"/>
      <c r="R21" s="266"/>
      <c r="S21" s="266"/>
      <c r="T21" s="266"/>
      <c r="U21" s="270"/>
      <c r="V21" s="280"/>
      <c r="W21" s="252"/>
      <c r="AB21" s="315">
        <f t="shared" si="0"/>
        <v>8</v>
      </c>
      <c r="AC21" s="357" t="str">
        <f t="shared" si="1"/>
        <v/>
      </c>
      <c r="AD21" s="357" t="str" cm="1">
        <f t="array" aca="1" ref="AD21" ca="1">IFERROR(INDEX($AC$14:$AC$99,SMALL(IF($AC$14:$AC$99&lt;&gt;"",ROW($AC$14:$AC$99)-ROW(INDIRECT("$AC$14"))+1),ROW(INDIRECT("A" &amp; AB21 ) ))),"")</f>
        <v/>
      </c>
      <c r="AE21" s="357" t="str">
        <f t="shared" si="2"/>
        <v/>
      </c>
      <c r="AF21" s="357" t="str" cm="1">
        <f t="array" aca="1" ref="AF21" ca="1">IFERROR(INDEX($AE$14:$AE$99,SMALL(IF($AE$14:$AE$99&lt;&gt;"",ROW($AE$14:$AE$99)-ROW(INDIRECT("$AE$14"))+1),ROW(INDIRECT("A" &amp; AB21 ) ))),"")</f>
        <v/>
      </c>
      <c r="AG21" s="357" t="str">
        <f t="shared" si="3"/>
        <v/>
      </c>
      <c r="AH21" s="357" t="str" cm="1">
        <f t="array" aca="1" ref="AH21" ca="1">IFERROR(INDEX($AG$14:$AG$99,SMALL(IF($AG$14:$AG$99&lt;&gt;"",ROW($AG$14:$AG$99)-ROW(INDIRECT("$AG$14"))+1),ROW(INDIRECT("A" &amp; AB21 ) ))),"")</f>
        <v/>
      </c>
      <c r="AI21" s="357" t="str">
        <f t="shared" si="4"/>
        <v/>
      </c>
      <c r="AJ21" s="357" t="str" cm="1">
        <f t="array" aca="1" ref="AJ21" ca="1">IFERROR(INDEX($AI$14:$AI$99,SMALL(IF($AI$14:$AI$99&lt;&gt;"",ROW($AI$14:$AI$99)-ROW(INDIRECT("$AI$14"))+1),ROW(INDIRECT("A" &amp; AB21 ) ))),"")</f>
        <v/>
      </c>
    </row>
    <row r="22" spans="2:36" ht="30" customHeight="1" outlineLevel="1" x14ac:dyDescent="0.45">
      <c r="B22" s="248"/>
      <c r="C22" s="278"/>
      <c r="D22" s="269"/>
      <c r="E22" s="261" t="s">
        <v>178</v>
      </c>
      <c r="F22" s="732" t="s">
        <v>366</v>
      </c>
      <c r="G22" s="733"/>
      <c r="H22" s="285"/>
      <c r="I22" s="268"/>
      <c r="J22" s="268"/>
      <c r="K22" s="266"/>
      <c r="L22" s="266"/>
      <c r="M22" s="266"/>
      <c r="N22" s="266"/>
      <c r="O22" s="266"/>
      <c r="P22" s="266"/>
      <c r="Q22" s="266"/>
      <c r="R22" s="266"/>
      <c r="S22" s="266"/>
      <c r="T22" s="266"/>
      <c r="U22" s="270"/>
      <c r="V22" s="280"/>
      <c r="W22" s="252"/>
      <c r="AB22" s="315">
        <f t="shared" si="0"/>
        <v>9</v>
      </c>
      <c r="AC22" s="357" t="str">
        <f t="shared" si="1"/>
        <v/>
      </c>
      <c r="AD22" s="357" t="str" cm="1">
        <f t="array" aca="1" ref="AD22" ca="1">IFERROR(INDEX($AC$14:$AC$99,SMALL(IF($AC$14:$AC$99&lt;&gt;"",ROW($AC$14:$AC$99)-ROW(INDIRECT("$AC$14"))+1),ROW(INDIRECT("A" &amp; AB22 ) ))),"")</f>
        <v/>
      </c>
      <c r="AE22" s="357" t="str">
        <f t="shared" si="2"/>
        <v/>
      </c>
      <c r="AF22" s="357" t="str" cm="1">
        <f t="array" aca="1" ref="AF22" ca="1">IFERROR(INDEX($AE$14:$AE$99,SMALL(IF($AE$14:$AE$99&lt;&gt;"",ROW($AE$14:$AE$99)-ROW(INDIRECT("$AE$14"))+1),ROW(INDIRECT("A" &amp; AB22 ) ))),"")</f>
        <v/>
      </c>
      <c r="AG22" s="357" t="str">
        <f t="shared" si="3"/>
        <v/>
      </c>
      <c r="AH22" s="357" t="str" cm="1">
        <f t="array" aca="1" ref="AH22" ca="1">IFERROR(INDEX($AG$14:$AG$99,SMALL(IF($AG$14:$AG$99&lt;&gt;"",ROW($AG$14:$AG$99)-ROW(INDIRECT("$AG$14"))+1),ROW(INDIRECT("A" &amp; AB22 ) ))),"")</f>
        <v/>
      </c>
      <c r="AI22" s="357" t="str">
        <f t="shared" si="4"/>
        <v/>
      </c>
      <c r="AJ22" s="357" t="str" cm="1">
        <f t="array" aca="1" ref="AJ22" ca="1">IFERROR(INDEX($AI$14:$AI$99,SMALL(IF($AI$14:$AI$99&lt;&gt;"",ROW($AI$14:$AI$99)-ROW(INDIRECT("$AI$14"))+1),ROW(INDIRECT("A" &amp; AB22 ) ))),"")</f>
        <v/>
      </c>
    </row>
    <row r="23" spans="2:36" ht="15.75" customHeight="1" outlineLevel="1" x14ac:dyDescent="0.45">
      <c r="B23" s="248"/>
      <c r="C23" s="278"/>
      <c r="D23" s="269"/>
      <c r="E23" s="266"/>
      <c r="F23" s="266"/>
      <c r="G23" s="266"/>
      <c r="H23" s="266"/>
      <c r="I23" s="266"/>
      <c r="J23" s="266"/>
      <c r="K23" s="266"/>
      <c r="L23" s="266"/>
      <c r="M23" s="266"/>
      <c r="N23" s="266"/>
      <c r="O23" s="266"/>
      <c r="P23" s="266"/>
      <c r="Q23" s="266"/>
      <c r="R23" s="266"/>
      <c r="S23" s="266"/>
      <c r="T23" s="266"/>
      <c r="U23" s="270"/>
      <c r="V23" s="280"/>
      <c r="W23" s="252"/>
      <c r="AB23" s="315">
        <f t="shared" si="0"/>
        <v>10</v>
      </c>
      <c r="AC23" s="357" t="str">
        <f t="shared" si="1"/>
        <v/>
      </c>
      <c r="AD23" s="357" t="str" cm="1">
        <f t="array" aca="1" ref="AD23" ca="1">IFERROR(INDEX($AC$14:$AC$99,SMALL(IF($AC$14:$AC$99&lt;&gt;"",ROW($AC$14:$AC$99)-ROW(INDIRECT("$AC$14"))+1),ROW(INDIRECT("A" &amp; AB23 ) ))),"")</f>
        <v/>
      </c>
      <c r="AE23" s="357" t="str">
        <f t="shared" si="2"/>
        <v/>
      </c>
      <c r="AF23" s="357" t="str" cm="1">
        <f t="array" aca="1" ref="AF23" ca="1">IFERROR(INDEX($AE$14:$AE$99,SMALL(IF($AE$14:$AE$99&lt;&gt;"",ROW($AE$14:$AE$99)-ROW(INDIRECT("$AE$14"))+1),ROW(INDIRECT("A" &amp; AB23 ) ))),"")</f>
        <v/>
      </c>
      <c r="AG23" s="357" t="str">
        <f t="shared" si="3"/>
        <v/>
      </c>
      <c r="AH23" s="357" t="str" cm="1">
        <f t="array" aca="1" ref="AH23" ca="1">IFERROR(INDEX($AG$14:$AG$99,SMALL(IF($AG$14:$AG$99&lt;&gt;"",ROW($AG$14:$AG$99)-ROW(INDIRECT("$AG$14"))+1),ROW(INDIRECT("A" &amp; AB23 ) ))),"")</f>
        <v/>
      </c>
      <c r="AI23" s="357" t="str">
        <f t="shared" si="4"/>
        <v/>
      </c>
      <c r="AJ23" s="357" t="str" cm="1">
        <f t="array" aca="1" ref="AJ23" ca="1">IFERROR(INDEX($AI$14:$AI$99,SMALL(IF($AI$14:$AI$99&lt;&gt;"",ROW($AI$14:$AI$99)-ROW(INDIRECT("$AI$14"))+1),ROW(INDIRECT("A" &amp; AB23 ) ))),"")</f>
        <v/>
      </c>
    </row>
    <row r="24" spans="2:36" ht="20.100000000000001" customHeight="1" outlineLevel="1" x14ac:dyDescent="0.5">
      <c r="B24" s="248"/>
      <c r="C24" s="278"/>
      <c r="D24" s="272"/>
      <c r="E24" s="737" t="s">
        <v>283</v>
      </c>
      <c r="F24" s="738"/>
      <c r="G24" s="739"/>
      <c r="H24" s="231"/>
      <c r="I24" s="231"/>
      <c r="J24" s="231"/>
      <c r="K24" s="730" t="s">
        <v>367</v>
      </c>
      <c r="L24" s="730"/>
      <c r="M24" s="730"/>
      <c r="N24" s="730"/>
      <c r="O24" s="730"/>
      <c r="P24" s="730"/>
      <c r="Q24" s="730"/>
      <c r="R24" s="730"/>
      <c r="S24" s="730"/>
      <c r="T24" s="730"/>
      <c r="U24" s="271"/>
      <c r="V24" s="280"/>
      <c r="W24" s="252"/>
      <c r="AB24" s="315">
        <f t="shared" si="0"/>
        <v>11</v>
      </c>
      <c r="AC24" s="357" t="str">
        <f t="shared" si="1"/>
        <v/>
      </c>
      <c r="AD24" s="357" t="str" cm="1">
        <f t="array" aca="1" ref="AD24" ca="1">IFERROR(INDEX($AC$14:$AC$99,SMALL(IF($AC$14:$AC$99&lt;&gt;"",ROW($AC$14:$AC$99)-ROW(INDIRECT("$AC$14"))+1),ROW(INDIRECT("A" &amp; AB24 ) ))),"")</f>
        <v/>
      </c>
      <c r="AE24" s="357" t="str">
        <f t="shared" si="2"/>
        <v/>
      </c>
      <c r="AF24" s="357" t="str" cm="1">
        <f t="array" aca="1" ref="AF24" ca="1">IFERROR(INDEX($AE$14:$AE$99,SMALL(IF($AE$14:$AE$99&lt;&gt;"",ROW($AE$14:$AE$99)-ROW(INDIRECT("$AE$14"))+1),ROW(INDIRECT("A" &amp; AB24 ) ))),"")</f>
        <v/>
      </c>
      <c r="AG24" s="357" t="str">
        <f t="shared" si="3"/>
        <v/>
      </c>
      <c r="AH24" s="357" t="str" cm="1">
        <f t="array" aca="1" ref="AH24" ca="1">IFERROR(INDEX($AG$14:$AG$99,SMALL(IF($AG$14:$AG$99&lt;&gt;"",ROW($AG$14:$AG$99)-ROW(INDIRECT("$AG$14"))+1),ROW(INDIRECT("A" &amp; AB24 ) ))),"")</f>
        <v/>
      </c>
      <c r="AI24" s="357" t="str">
        <f t="shared" si="4"/>
        <v/>
      </c>
      <c r="AJ24" s="357" t="str" cm="1">
        <f t="array" aca="1" ref="AJ24" ca="1">IFERROR(INDEX($AI$14:$AI$99,SMALL(IF($AI$14:$AI$99&lt;&gt;"",ROW($AI$14:$AI$99)-ROW(INDIRECT("$AI$14"))+1),ROW(INDIRECT("A" &amp; AB24 ) ))),"")</f>
        <v/>
      </c>
    </row>
    <row r="25" spans="2:36" ht="39.950000000000003" customHeight="1" outlineLevel="1" x14ac:dyDescent="0.45">
      <c r="B25" s="248"/>
      <c r="C25" s="278"/>
      <c r="D25" s="273"/>
      <c r="E25" s="264"/>
      <c r="F25" s="231"/>
      <c r="G25" s="265"/>
      <c r="H25" s="265"/>
      <c r="I25" s="265"/>
      <c r="J25" s="265"/>
      <c r="K25" s="734"/>
      <c r="L25" s="735"/>
      <c r="M25" s="735"/>
      <c r="N25" s="735"/>
      <c r="O25" s="735"/>
      <c r="P25" s="735"/>
      <c r="Q25" s="735"/>
      <c r="R25" s="735"/>
      <c r="S25" s="735"/>
      <c r="T25" s="736"/>
      <c r="U25" s="271"/>
      <c r="V25" s="280"/>
      <c r="W25" s="252"/>
      <c r="AB25" s="315">
        <f t="shared" si="0"/>
        <v>12</v>
      </c>
      <c r="AC25" s="357" t="str">
        <f t="shared" si="1"/>
        <v/>
      </c>
      <c r="AD25" s="357" t="str" cm="1">
        <f t="array" aca="1" ref="AD25" ca="1">IFERROR(INDEX($AC$14:$AC$99,SMALL(IF($AC$14:$AC$99&lt;&gt;"",ROW($AC$14:$AC$99)-ROW(INDIRECT("$AC$14"))+1),ROW(INDIRECT("A" &amp; AB25 ) ))),"")</f>
        <v/>
      </c>
      <c r="AE25" s="357" t="str">
        <f t="shared" si="2"/>
        <v/>
      </c>
      <c r="AF25" s="357" t="str" cm="1">
        <f t="array" aca="1" ref="AF25" ca="1">IFERROR(INDEX($AE$14:$AE$99,SMALL(IF($AE$14:$AE$99&lt;&gt;"",ROW($AE$14:$AE$99)-ROW(INDIRECT("$AE$14"))+1),ROW(INDIRECT("A" &amp; AB25 ) ))),"")</f>
        <v/>
      </c>
      <c r="AG25" s="357" t="str">
        <f t="shared" si="3"/>
        <v/>
      </c>
      <c r="AH25" s="357" t="str" cm="1">
        <f t="array" aca="1" ref="AH25" ca="1">IFERROR(INDEX($AG$14:$AG$99,SMALL(IF($AG$14:$AG$99&lt;&gt;"",ROW($AG$14:$AG$99)-ROW(INDIRECT("$AG$14"))+1),ROW(INDIRECT("A" &amp; AB25 ) ))),"")</f>
        <v/>
      </c>
      <c r="AI25" s="357" t="str">
        <f t="shared" si="4"/>
        <v/>
      </c>
      <c r="AJ25" s="357" t="str" cm="1">
        <f t="array" aca="1" ref="AJ25" ca="1">IFERROR(INDEX($AI$14:$AI$99,SMALL(IF($AI$14:$AI$99&lt;&gt;"",ROW($AI$14:$AI$99)-ROW(INDIRECT("$AI$14"))+1),ROW(INDIRECT("A" &amp; AB25 ) ))),"")</f>
        <v/>
      </c>
    </row>
    <row r="26" spans="2:36" ht="20.100000000000001" customHeight="1" outlineLevel="1" thickBot="1" x14ac:dyDescent="0.5">
      <c r="B26" s="248"/>
      <c r="C26" s="278"/>
      <c r="D26" s="274"/>
      <c r="E26" s="275"/>
      <c r="F26" s="275"/>
      <c r="G26" s="276"/>
      <c r="H26" s="276"/>
      <c r="I26" s="276"/>
      <c r="J26" s="276"/>
      <c r="K26" s="275"/>
      <c r="L26" s="275"/>
      <c r="M26" s="242"/>
      <c r="N26" s="275"/>
      <c r="O26" s="275"/>
      <c r="P26" s="275"/>
      <c r="Q26" s="275"/>
      <c r="R26" s="275"/>
      <c r="S26" s="275"/>
      <c r="T26" s="275"/>
      <c r="U26" s="277"/>
      <c r="V26" s="280"/>
      <c r="W26" s="252"/>
      <c r="AB26" s="315">
        <f t="shared" si="0"/>
        <v>13</v>
      </c>
      <c r="AC26" s="357" t="str">
        <f t="shared" si="1"/>
        <v/>
      </c>
      <c r="AD26" s="357" t="str" cm="1">
        <f t="array" aca="1" ref="AD26" ca="1">IFERROR(INDEX($AC$14:$AC$99,SMALL(IF($AC$14:$AC$99&lt;&gt;"",ROW($AC$14:$AC$99)-ROW(INDIRECT("$AC$14"))+1),ROW(INDIRECT("A" &amp; AB26 ) ))),"")</f>
        <v/>
      </c>
      <c r="AE26" s="357" t="str">
        <f t="shared" si="2"/>
        <v/>
      </c>
      <c r="AF26" s="357" t="str" cm="1">
        <f t="array" aca="1" ref="AF26" ca="1">IFERROR(INDEX($AE$14:$AE$99,SMALL(IF($AE$14:$AE$99&lt;&gt;"",ROW($AE$14:$AE$99)-ROW(INDIRECT("$AE$14"))+1),ROW(INDIRECT("A" &amp; AB26 ) ))),"")</f>
        <v/>
      </c>
      <c r="AG26" s="357" t="str">
        <f t="shared" si="3"/>
        <v/>
      </c>
      <c r="AH26" s="357" t="str" cm="1">
        <f t="array" aca="1" ref="AH26" ca="1">IFERROR(INDEX($AG$14:$AG$99,SMALL(IF($AG$14:$AG$99&lt;&gt;"",ROW($AG$14:$AG$99)-ROW(INDIRECT("$AG$14"))+1),ROW(INDIRECT("A" &amp; AB26 ) ))),"")</f>
        <v/>
      </c>
      <c r="AI26" s="357" t="str">
        <f t="shared" si="4"/>
        <v/>
      </c>
      <c r="AJ26" s="357" t="str" cm="1">
        <f t="array" aca="1" ref="AJ26" ca="1">IFERROR(INDEX($AI$14:$AI$99,SMALL(IF($AI$14:$AI$99&lt;&gt;"",ROW($AI$14:$AI$99)-ROW(INDIRECT("$AI$14"))+1),ROW(INDIRECT("A" &amp; AB26 ) ))),"")</f>
        <v/>
      </c>
    </row>
    <row r="27" spans="2:36" ht="20.100000000000001" customHeight="1" outlineLevel="1" thickTop="1" thickBot="1" x14ac:dyDescent="0.5">
      <c r="B27" s="248"/>
      <c r="C27" s="281"/>
      <c r="D27" s="282"/>
      <c r="E27" s="282"/>
      <c r="F27" s="282"/>
      <c r="G27" s="282"/>
      <c r="H27" s="282"/>
      <c r="I27" s="282"/>
      <c r="J27" s="282"/>
      <c r="K27" s="282"/>
      <c r="L27" s="282"/>
      <c r="M27" s="283"/>
      <c r="N27" s="282"/>
      <c r="O27" s="282"/>
      <c r="P27" s="282"/>
      <c r="Q27" s="282"/>
      <c r="R27" s="282"/>
      <c r="S27" s="282"/>
      <c r="T27" s="282"/>
      <c r="U27" s="282"/>
      <c r="V27" s="284"/>
      <c r="W27" s="252"/>
      <c r="AB27" s="315">
        <f t="shared" si="0"/>
        <v>14</v>
      </c>
      <c r="AC27" s="357" t="str">
        <f t="shared" si="1"/>
        <v/>
      </c>
      <c r="AD27" s="357" t="str" cm="1">
        <f t="array" aca="1" ref="AD27" ca="1">IFERROR(INDEX($AC$14:$AC$99,SMALL(IF($AC$14:$AC$99&lt;&gt;"",ROW($AC$14:$AC$99)-ROW(INDIRECT("$AC$14"))+1),ROW(INDIRECT("A" &amp; AB27 ) ))),"")</f>
        <v/>
      </c>
      <c r="AE27" s="357" t="str">
        <f t="shared" si="2"/>
        <v/>
      </c>
      <c r="AF27" s="357" t="str" cm="1">
        <f t="array" aca="1" ref="AF27" ca="1">IFERROR(INDEX($AE$14:$AE$99,SMALL(IF($AE$14:$AE$99&lt;&gt;"",ROW($AE$14:$AE$99)-ROW(INDIRECT("$AE$14"))+1),ROW(INDIRECT("A" &amp; AB27 ) ))),"")</f>
        <v/>
      </c>
      <c r="AG27" s="357" t="str">
        <f t="shared" si="3"/>
        <v/>
      </c>
      <c r="AH27" s="357" t="str" cm="1">
        <f t="array" aca="1" ref="AH27" ca="1">IFERROR(INDEX($AG$14:$AG$99,SMALL(IF($AG$14:$AG$99&lt;&gt;"",ROW($AG$14:$AG$99)-ROW(INDIRECT("$AG$14"))+1),ROW(INDIRECT("A" &amp; AB27 ) ))),"")</f>
        <v/>
      </c>
      <c r="AI27" s="357" t="str">
        <f t="shared" si="4"/>
        <v/>
      </c>
      <c r="AJ27" s="357" t="str" cm="1">
        <f t="array" aca="1" ref="AJ27" ca="1">IFERROR(INDEX($AI$14:$AI$99,SMALL(IF($AI$14:$AI$99&lt;&gt;"",ROW($AI$14:$AI$99)-ROW(INDIRECT("$AI$14"))+1),ROW(INDIRECT("A" &amp; AB27 ) ))),"")</f>
        <v/>
      </c>
    </row>
    <row r="28" spans="2:36" ht="9.9499999999999993" customHeight="1" thickTop="1" thickBot="1" x14ac:dyDescent="0.5">
      <c r="B28" s="248"/>
      <c r="C28" s="227"/>
      <c r="D28" s="229"/>
      <c r="E28" s="229"/>
      <c r="F28" s="229"/>
      <c r="G28" s="229"/>
      <c r="H28" s="229"/>
      <c r="I28" s="229"/>
      <c r="J28" s="229"/>
      <c r="K28" s="229"/>
      <c r="L28" s="229"/>
      <c r="M28" s="229"/>
      <c r="N28" s="228"/>
      <c r="O28" s="228"/>
      <c r="P28" s="228"/>
      <c r="Q28" s="228"/>
      <c r="R28" s="228"/>
      <c r="S28" s="228"/>
      <c r="T28" s="228"/>
      <c r="U28" s="228"/>
      <c r="V28" s="267"/>
      <c r="W28" s="252"/>
      <c r="AB28" s="315">
        <f t="shared" si="0"/>
        <v>15</v>
      </c>
      <c r="AC28" s="357" t="str">
        <f t="shared" si="1"/>
        <v/>
      </c>
      <c r="AD28" s="357" t="str" cm="1">
        <f t="array" aca="1" ref="AD28" ca="1">IFERROR(INDEX($AC$14:$AC$99,SMALL(IF($AC$14:$AC$99&lt;&gt;"",ROW($AC$14:$AC$99)-ROW(INDIRECT("$AC$14"))+1),ROW(INDIRECT("A" &amp; AB28 ) ))),"")</f>
        <v/>
      </c>
      <c r="AE28" s="357" t="str">
        <f t="shared" si="2"/>
        <v/>
      </c>
      <c r="AF28" s="357" t="str" cm="1">
        <f t="array" aca="1" ref="AF28" ca="1">IFERROR(INDEX($AE$14:$AE$99,SMALL(IF($AE$14:$AE$99&lt;&gt;"",ROW($AE$14:$AE$99)-ROW(INDIRECT("$AE$14"))+1),ROW(INDIRECT("A" &amp; AB28 ) ))),"")</f>
        <v/>
      </c>
      <c r="AG28" s="357" t="str">
        <f t="shared" si="3"/>
        <v/>
      </c>
      <c r="AH28" s="357" t="str" cm="1">
        <f t="array" aca="1" ref="AH28" ca="1">IFERROR(INDEX($AG$14:$AG$99,SMALL(IF($AG$14:$AG$99&lt;&gt;"",ROW($AG$14:$AG$99)-ROW(INDIRECT("$AG$14"))+1),ROW(INDIRECT("A" &amp; AB28 ) ))),"")</f>
        <v/>
      </c>
      <c r="AI28" s="357" t="str">
        <f t="shared" si="4"/>
        <v/>
      </c>
      <c r="AJ28" s="357" t="str" cm="1">
        <f t="array" aca="1" ref="AJ28" ca="1">IFERROR(INDEX($AI$14:$AI$99,SMALL(IF($AI$14:$AI$99&lt;&gt;"",ROW($AI$14:$AI$99)-ROW(INDIRECT("$AI$14"))+1),ROW(INDIRECT("A" &amp; AB28 ) ))),"")</f>
        <v/>
      </c>
    </row>
    <row r="29" spans="2:36" ht="20.100000000000001" customHeight="1" thickTop="1" thickBot="1" x14ac:dyDescent="0.5">
      <c r="B29" s="248"/>
      <c r="C29" s="716" t="s">
        <v>368</v>
      </c>
      <c r="D29" s="717"/>
      <c r="E29" s="717"/>
      <c r="F29" s="717"/>
      <c r="G29" s="717"/>
      <c r="H29" s="717"/>
      <c r="I29" s="717"/>
      <c r="J29" s="717"/>
      <c r="K29" s="717"/>
      <c r="L29" s="717"/>
      <c r="M29" s="717"/>
      <c r="N29" s="717"/>
      <c r="O29" s="717"/>
      <c r="P29" s="717"/>
      <c r="Q29" s="717"/>
      <c r="R29" s="717"/>
      <c r="S29" s="717"/>
      <c r="T29" s="717"/>
      <c r="U29" s="717"/>
      <c r="V29" s="718"/>
      <c r="W29" s="252"/>
      <c r="AB29" s="315">
        <f t="shared" si="0"/>
        <v>16</v>
      </c>
      <c r="AC29" s="357" t="str">
        <f t="shared" si="1"/>
        <v/>
      </c>
      <c r="AD29" s="357" t="str" cm="1">
        <f t="array" aca="1" ref="AD29" ca="1">IFERROR(INDEX($AC$14:$AC$99,SMALL(IF($AC$14:$AC$99&lt;&gt;"",ROW($AC$14:$AC$99)-ROW(INDIRECT("$AC$14"))+1),ROW(INDIRECT("A" &amp; AB29 ) ))),"")</f>
        <v/>
      </c>
      <c r="AE29" s="357" t="str">
        <f t="shared" si="2"/>
        <v/>
      </c>
      <c r="AF29" s="357" t="str" cm="1">
        <f t="array" aca="1" ref="AF29" ca="1">IFERROR(INDEX($AE$14:$AE$99,SMALL(IF($AE$14:$AE$99&lt;&gt;"",ROW($AE$14:$AE$99)-ROW(INDIRECT("$AE$14"))+1),ROW(INDIRECT("A" &amp; AB29 ) ))),"")</f>
        <v/>
      </c>
      <c r="AG29" s="357" t="str">
        <f t="shared" si="3"/>
        <v/>
      </c>
      <c r="AH29" s="357" t="str" cm="1">
        <f t="array" aca="1" ref="AH29" ca="1">IFERROR(INDEX($AG$14:$AG$99,SMALL(IF($AG$14:$AG$99&lt;&gt;"",ROW($AG$14:$AG$99)-ROW(INDIRECT("$AG$14"))+1),ROW(INDIRECT("A" &amp; AB29 ) ))),"")</f>
        <v/>
      </c>
      <c r="AI29" s="357" t="str">
        <f t="shared" si="4"/>
        <v/>
      </c>
      <c r="AJ29" s="357" t="str" cm="1">
        <f t="array" aca="1" ref="AJ29" ca="1">IFERROR(INDEX($AI$14:$AI$99,SMALL(IF($AI$14:$AI$99&lt;&gt;"",ROW($AI$14:$AI$99)-ROW(INDIRECT("$AI$14"))+1),ROW(INDIRECT("A" &amp; AB29 ) ))),"")</f>
        <v/>
      </c>
    </row>
    <row r="30" spans="2:36" ht="20.100000000000001" customHeight="1" outlineLevel="1" thickTop="1" thickBot="1" x14ac:dyDescent="0.5">
      <c r="B30" s="248"/>
      <c r="C30" s="278"/>
      <c r="D30" s="519" t="s">
        <v>554</v>
      </c>
      <c r="E30" s="483" t="s">
        <v>555</v>
      </c>
      <c r="F30" s="262"/>
      <c r="G30" s="228"/>
      <c r="H30" s="228"/>
      <c r="I30" s="228"/>
      <c r="J30" s="228"/>
      <c r="K30" s="228"/>
      <c r="L30" s="228"/>
      <c r="M30" s="262"/>
      <c r="N30" s="228"/>
      <c r="O30" s="228"/>
      <c r="P30" s="228"/>
      <c r="Q30" s="228"/>
      <c r="R30" s="228"/>
      <c r="S30" s="228"/>
      <c r="T30" s="228"/>
      <c r="U30" s="228"/>
      <c r="V30" s="280"/>
      <c r="W30" s="252"/>
      <c r="AB30" s="315">
        <f t="shared" si="0"/>
        <v>17</v>
      </c>
      <c r="AC30" s="357" t="str">
        <f t="shared" si="1"/>
        <v/>
      </c>
      <c r="AD30" s="357" t="str" cm="1">
        <f t="array" aca="1" ref="AD30" ca="1">IFERROR(INDEX($AC$14:$AC$99,SMALL(IF($AC$14:$AC$99&lt;&gt;"",ROW($AC$14:$AC$99)-ROW(INDIRECT("$AC$14"))+1),ROW(INDIRECT("A" &amp; AB30 ) ))),"")</f>
        <v/>
      </c>
      <c r="AE30" s="357" t="str">
        <f t="shared" si="2"/>
        <v/>
      </c>
      <c r="AF30" s="357" t="str" cm="1">
        <f t="array" aca="1" ref="AF30" ca="1">IFERROR(INDEX($AE$14:$AE$99,SMALL(IF($AE$14:$AE$99&lt;&gt;"",ROW($AE$14:$AE$99)-ROW(INDIRECT("$AE$14"))+1),ROW(INDIRECT("A" &amp; AB30 ) ))),"")</f>
        <v/>
      </c>
      <c r="AG30" s="357" t="str">
        <f t="shared" si="3"/>
        <v/>
      </c>
      <c r="AH30" s="357" t="str" cm="1">
        <f t="array" aca="1" ref="AH30" ca="1">IFERROR(INDEX($AG$14:$AG$99,SMALL(IF($AG$14:$AG$99&lt;&gt;"",ROW($AG$14:$AG$99)-ROW(INDIRECT("$AG$14"))+1),ROW(INDIRECT("A" &amp; AB30 ) ))),"")</f>
        <v/>
      </c>
      <c r="AI30" s="357" t="str">
        <f t="shared" si="4"/>
        <v/>
      </c>
      <c r="AJ30" s="357" t="str" cm="1">
        <f t="array" aca="1" ref="AJ30" ca="1">IFERROR(INDEX($AI$14:$AI$99,SMALL(IF($AI$14:$AI$99&lt;&gt;"",ROW($AI$14:$AI$99)-ROW(INDIRECT("$AI$14"))+1),ROW(INDIRECT("A" &amp; AB30 ) ))),"")</f>
        <v/>
      </c>
    </row>
    <row r="31" spans="2:36" ht="20.100000000000001" customHeight="1" outlineLevel="1" thickTop="1" thickBot="1" x14ac:dyDescent="0.5">
      <c r="B31" s="248"/>
      <c r="C31" s="278"/>
      <c r="D31" s="306" t="s">
        <v>453</v>
      </c>
      <c r="E31" s="307"/>
      <c r="F31" s="307"/>
      <c r="G31" s="307"/>
      <c r="H31" s="307"/>
      <c r="I31" s="307"/>
      <c r="J31" s="307"/>
      <c r="K31" s="307"/>
      <c r="L31" s="307"/>
      <c r="M31" s="307"/>
      <c r="N31" s="307"/>
      <c r="O31" s="307"/>
      <c r="P31" s="307"/>
      <c r="Q31" s="307"/>
      <c r="R31" s="307"/>
      <c r="S31" s="307"/>
      <c r="T31" s="307"/>
      <c r="U31" s="308"/>
      <c r="V31" s="280"/>
      <c r="W31" s="252"/>
      <c r="AB31" s="315">
        <f t="shared" si="0"/>
        <v>18</v>
      </c>
      <c r="AC31" s="357" t="str">
        <f t="shared" si="1"/>
        <v/>
      </c>
      <c r="AD31" s="357" t="str" cm="1">
        <f t="array" aca="1" ref="AD31" ca="1">IFERROR(INDEX($AC$14:$AC$99,SMALL(IF($AC$14:$AC$99&lt;&gt;"",ROW($AC$14:$AC$99)-ROW(INDIRECT("$AC$14"))+1),ROW(INDIRECT("A" &amp; AB31 ) ))),"")</f>
        <v/>
      </c>
      <c r="AE31" s="357" t="str">
        <f t="shared" si="2"/>
        <v/>
      </c>
      <c r="AF31" s="357" t="str" cm="1">
        <f t="array" aca="1" ref="AF31" ca="1">IFERROR(INDEX($AE$14:$AE$99,SMALL(IF($AE$14:$AE$99&lt;&gt;"",ROW($AE$14:$AE$99)-ROW(INDIRECT("$AE$14"))+1),ROW(INDIRECT("A" &amp; AB31 ) ))),"")</f>
        <v/>
      </c>
      <c r="AG31" s="357" t="str">
        <f t="shared" si="3"/>
        <v/>
      </c>
      <c r="AH31" s="357" t="str" cm="1">
        <f t="array" aca="1" ref="AH31" ca="1">IFERROR(INDEX($AG$14:$AG$99,SMALL(IF($AG$14:$AG$99&lt;&gt;"",ROW($AG$14:$AG$99)-ROW(INDIRECT("$AG$14"))+1),ROW(INDIRECT("A" &amp; AB31 ) ))),"")</f>
        <v/>
      </c>
      <c r="AI31" s="357" t="str">
        <f t="shared" si="4"/>
        <v/>
      </c>
      <c r="AJ31" s="357" t="str" cm="1">
        <f t="array" aca="1" ref="AJ31" ca="1">IFERROR(INDEX($AI$14:$AI$99,SMALL(IF($AI$14:$AI$99&lt;&gt;"",ROW($AI$14:$AI$99)-ROW(INDIRECT("$AI$14"))+1),ROW(INDIRECT("A" &amp; AB31 ) ))),"")</f>
        <v/>
      </c>
    </row>
    <row r="32" spans="2:36" ht="20.100000000000001" customHeight="1" outlineLevel="1" thickTop="1" x14ac:dyDescent="0.45">
      <c r="B32" s="248"/>
      <c r="C32" s="278"/>
      <c r="D32" s="290"/>
      <c r="E32" s="262"/>
      <c r="F32" s="262"/>
      <c r="G32" s="228"/>
      <c r="H32" s="228"/>
      <c r="I32" s="262"/>
      <c r="J32" s="262"/>
      <c r="K32" s="262"/>
      <c r="L32" s="262"/>
      <c r="M32" s="262"/>
      <c r="N32" s="228"/>
      <c r="O32" s="228"/>
      <c r="P32" s="228"/>
      <c r="Q32" s="228"/>
      <c r="R32" s="228"/>
      <c r="S32" s="228"/>
      <c r="T32" s="228"/>
      <c r="U32" s="292"/>
      <c r="V32" s="280"/>
      <c r="W32" s="252"/>
      <c r="AB32" s="315">
        <f t="shared" si="0"/>
        <v>19</v>
      </c>
      <c r="AC32" s="357" t="str">
        <f t="shared" si="1"/>
        <v/>
      </c>
      <c r="AD32" s="357" t="str" cm="1">
        <f t="array" aca="1" ref="AD32" ca="1">IFERROR(INDEX($AC$14:$AC$99,SMALL(IF($AC$14:$AC$99&lt;&gt;"",ROW($AC$14:$AC$99)-ROW(INDIRECT("$AC$14"))+1),ROW(INDIRECT("A" &amp; AB32 ) ))),"")</f>
        <v/>
      </c>
      <c r="AE32" s="357" t="str">
        <f t="shared" si="2"/>
        <v/>
      </c>
      <c r="AF32" s="357" t="str" cm="1">
        <f t="array" aca="1" ref="AF32" ca="1">IFERROR(INDEX($AE$14:$AE$99,SMALL(IF($AE$14:$AE$99&lt;&gt;"",ROW($AE$14:$AE$99)-ROW(INDIRECT("$AE$14"))+1),ROW(INDIRECT("A" &amp; AB32 ) ))),"")</f>
        <v/>
      </c>
      <c r="AG32" s="357" t="str">
        <f t="shared" si="3"/>
        <v/>
      </c>
      <c r="AH32" s="357" t="str" cm="1">
        <f t="array" aca="1" ref="AH32" ca="1">IFERROR(INDEX($AG$14:$AG$99,SMALL(IF($AG$14:$AG$99&lt;&gt;"",ROW($AG$14:$AG$99)-ROW(INDIRECT("$AG$14"))+1),ROW(INDIRECT("A" &amp; AB32 ) ))),"")</f>
        <v/>
      </c>
      <c r="AI32" s="357" t="str">
        <f t="shared" si="4"/>
        <v/>
      </c>
      <c r="AJ32" s="357" t="str" cm="1">
        <f t="array" aca="1" ref="AJ32" ca="1">IFERROR(INDEX($AI$14:$AI$99,SMALL(IF($AI$14:$AI$99&lt;&gt;"",ROW($AI$14:$AI$99)-ROW(INDIRECT("$AI$14"))+1),ROW(INDIRECT("A" &amp; AB32 ) ))),"")</f>
        <v/>
      </c>
    </row>
    <row r="33" spans="2:36" ht="39.75" customHeight="1" outlineLevel="1" x14ac:dyDescent="0.45">
      <c r="B33" s="248"/>
      <c r="C33" s="278"/>
      <c r="D33" s="235"/>
      <c r="E33" s="288" t="s">
        <v>178</v>
      </c>
      <c r="F33" s="731" t="s">
        <v>366</v>
      </c>
      <c r="G33" s="731"/>
      <c r="H33" s="289" t="s">
        <v>360</v>
      </c>
      <c r="I33" s="289" t="s">
        <v>359</v>
      </c>
      <c r="J33" s="289" t="s">
        <v>455</v>
      </c>
      <c r="K33" s="731" t="s">
        <v>431</v>
      </c>
      <c r="L33" s="731"/>
      <c r="M33" s="731" t="s">
        <v>408</v>
      </c>
      <c r="N33" s="731"/>
      <c r="O33" s="731" t="s">
        <v>411</v>
      </c>
      <c r="P33" s="731"/>
      <c r="Q33" s="731"/>
      <c r="R33" s="725" t="s">
        <v>429</v>
      </c>
      <c r="S33" s="726"/>
      <c r="T33" s="726"/>
      <c r="U33" s="292"/>
      <c r="V33" s="301"/>
      <c r="W33" s="253"/>
      <c r="AB33" s="315">
        <f t="shared" si="0"/>
        <v>20</v>
      </c>
      <c r="AC33" s="357" t="str">
        <f t="shared" si="1"/>
        <v/>
      </c>
      <c r="AD33" s="357" t="str" cm="1">
        <f t="array" aca="1" ref="AD33" ca="1">IFERROR(INDEX($AC$14:$AC$99,SMALL(IF($AC$14:$AC$99&lt;&gt;"",ROW($AC$14:$AC$99)-ROW(INDIRECT("$AC$14"))+1),ROW(INDIRECT("A" &amp; AB33 ) ))),"")</f>
        <v/>
      </c>
      <c r="AE33" s="357" t="str">
        <f t="shared" si="2"/>
        <v/>
      </c>
      <c r="AF33" s="357" t="str" cm="1">
        <f t="array" aca="1" ref="AF33" ca="1">IFERROR(INDEX($AE$14:$AE$99,SMALL(IF($AE$14:$AE$99&lt;&gt;"",ROW($AE$14:$AE$99)-ROW(INDIRECT("$AE$14"))+1),ROW(INDIRECT("A" &amp; AB33 ) ))),"")</f>
        <v/>
      </c>
      <c r="AG33" s="357" t="str">
        <f t="shared" si="3"/>
        <v/>
      </c>
      <c r="AH33" s="357" t="str" cm="1">
        <f t="array" aca="1" ref="AH33" ca="1">IFERROR(INDEX($AG$14:$AG$99,SMALL(IF($AG$14:$AG$99&lt;&gt;"",ROW($AG$14:$AG$99)-ROW(INDIRECT("$AG$14"))+1),ROW(INDIRECT("A" &amp; AB33 ) ))),"")</f>
        <v/>
      </c>
      <c r="AI33" s="357" t="str">
        <f t="shared" si="4"/>
        <v/>
      </c>
      <c r="AJ33" s="357" t="str" cm="1">
        <f t="array" aca="1" ref="AJ33" ca="1">IFERROR(INDEX($AI$14:$AI$99,SMALL(IF($AI$14:$AI$99&lt;&gt;"",ROW($AI$14:$AI$99)-ROW(INDIRECT("$AI$14"))+1),ROW(INDIRECT("A" &amp; AB33 ) ))),"")</f>
        <v/>
      </c>
    </row>
    <row r="34" spans="2:36" ht="20" customHeight="1" outlineLevel="1" x14ac:dyDescent="0.45">
      <c r="B34" s="248"/>
      <c r="C34" s="278"/>
      <c r="D34" s="290"/>
      <c r="E34" s="228"/>
      <c r="F34" s="228"/>
      <c r="G34" s="228"/>
      <c r="H34" s="228"/>
      <c r="I34" s="228"/>
      <c r="J34" s="228"/>
      <c r="K34" s="228"/>
      <c r="L34" s="228"/>
      <c r="M34" s="228"/>
      <c r="N34" s="228"/>
      <c r="O34" s="228"/>
      <c r="P34" s="228"/>
      <c r="Q34" s="228"/>
      <c r="R34" s="228"/>
      <c r="S34" s="228"/>
      <c r="T34" s="228"/>
      <c r="U34" s="292"/>
      <c r="V34" s="280"/>
      <c r="W34" s="252"/>
      <c r="AB34" s="315">
        <f t="shared" si="0"/>
        <v>21</v>
      </c>
      <c r="AC34" s="357" t="str">
        <f t="shared" si="1"/>
        <v/>
      </c>
      <c r="AD34" s="357" t="str" cm="1">
        <f t="array" aca="1" ref="AD34" ca="1">IFERROR(INDEX($AC$14:$AC$99,SMALL(IF($AC$14:$AC$99&lt;&gt;"",ROW($AC$14:$AC$99)-ROW(INDIRECT("$AC$14"))+1),ROW(INDIRECT("A" &amp; AB34 ) ))),"")</f>
        <v/>
      </c>
      <c r="AE34" s="357" t="str">
        <f t="shared" si="2"/>
        <v/>
      </c>
      <c r="AF34" s="357" t="str" cm="1">
        <f t="array" aca="1" ref="AF34" ca="1">IFERROR(INDEX($AE$14:$AE$99,SMALL(IF($AE$14:$AE$99&lt;&gt;"",ROW($AE$14:$AE$99)-ROW(INDIRECT("$AE$14"))+1),ROW(INDIRECT("A" &amp; AB34 ) ))),"")</f>
        <v/>
      </c>
      <c r="AG34" s="357" t="str">
        <f t="shared" si="3"/>
        <v/>
      </c>
      <c r="AH34" s="357" t="str" cm="1">
        <f t="array" aca="1" ref="AH34" ca="1">IFERROR(INDEX($AG$14:$AG$99,SMALL(IF($AG$14:$AG$99&lt;&gt;"",ROW($AG$14:$AG$99)-ROW(INDIRECT("$AG$14"))+1),ROW(INDIRECT("A" &amp; AB34 ) ))),"")</f>
        <v/>
      </c>
      <c r="AI34" s="357" t="str">
        <f t="shared" si="4"/>
        <v/>
      </c>
      <c r="AJ34" s="357" t="str" cm="1">
        <f t="array" aca="1" ref="AJ34" ca="1">IFERROR(INDEX($AI$14:$AI$99,SMALL(IF($AI$14:$AI$99&lt;&gt;"",ROW($AI$14:$AI$99)-ROW(INDIRECT("$AI$14"))+1),ROW(INDIRECT("A" &amp; AB34 ) ))),"")</f>
        <v/>
      </c>
    </row>
    <row r="35" spans="2:36" ht="20.100000000000001" customHeight="1" outlineLevel="1" x14ac:dyDescent="0.5">
      <c r="B35" s="248"/>
      <c r="C35" s="278"/>
      <c r="D35" s="290"/>
      <c r="E35" s="727" t="s">
        <v>180</v>
      </c>
      <c r="F35" s="728"/>
      <c r="G35" s="729"/>
      <c r="H35" s="228"/>
      <c r="I35" s="228"/>
      <c r="J35" s="228"/>
      <c r="K35" s="730" t="s">
        <v>480</v>
      </c>
      <c r="L35" s="730"/>
      <c r="M35" s="730"/>
      <c r="N35" s="730"/>
      <c r="O35" s="730"/>
      <c r="P35" s="730"/>
      <c r="Q35" s="730"/>
      <c r="R35" s="730"/>
      <c r="S35" s="730"/>
      <c r="T35" s="730"/>
      <c r="U35" s="292"/>
      <c r="V35" s="301"/>
      <c r="W35" s="253"/>
      <c r="AB35" s="315">
        <f t="shared" si="0"/>
        <v>22</v>
      </c>
      <c r="AC35" s="357" t="str">
        <f t="shared" si="1"/>
        <v/>
      </c>
      <c r="AD35" s="357" t="str" cm="1">
        <f t="array" aca="1" ref="AD35" ca="1">IFERROR(INDEX($AC$14:$AC$99,SMALL(IF($AC$14:$AC$99&lt;&gt;"",ROW($AC$14:$AC$99)-ROW(INDIRECT("$AC$14"))+1),ROW(INDIRECT("A" &amp; AB35 ) ))),"")</f>
        <v/>
      </c>
      <c r="AE35" s="357" t="str">
        <f t="shared" si="2"/>
        <v/>
      </c>
      <c r="AF35" s="357" t="str" cm="1">
        <f t="array" aca="1" ref="AF35" ca="1">IFERROR(INDEX($AE$14:$AE$99,SMALL(IF($AE$14:$AE$99&lt;&gt;"",ROW($AE$14:$AE$99)-ROW(INDIRECT("$AE$14"))+1),ROW(INDIRECT("A" &amp; AB35 ) ))),"")</f>
        <v/>
      </c>
      <c r="AG35" s="357" t="str">
        <f t="shared" si="3"/>
        <v/>
      </c>
      <c r="AH35" s="357" t="str" cm="1">
        <f t="array" aca="1" ref="AH35" ca="1">IFERROR(INDEX($AG$14:$AG$99,SMALL(IF($AG$14:$AG$99&lt;&gt;"",ROW($AG$14:$AG$99)-ROW(INDIRECT("$AG$14"))+1),ROW(INDIRECT("A" &amp; AB35 ) ))),"")</f>
        <v/>
      </c>
      <c r="AI35" s="357" t="str">
        <f t="shared" si="4"/>
        <v/>
      </c>
      <c r="AJ35" s="357" t="str" cm="1">
        <f t="array" aca="1" ref="AJ35" ca="1">IFERROR(INDEX($AI$14:$AI$99,SMALL(IF($AI$14:$AI$99&lt;&gt;"",ROW($AI$14:$AI$99)-ROW(INDIRECT("$AI$14"))+1),ROW(INDIRECT("A" &amp; AB35 ) ))),"")</f>
        <v/>
      </c>
    </row>
    <row r="36" spans="2:36" ht="20.100000000000001" customHeight="1" outlineLevel="1" x14ac:dyDescent="0.45">
      <c r="B36" s="248"/>
      <c r="C36" s="278"/>
      <c r="D36" s="290"/>
      <c r="E36" s="228"/>
      <c r="F36" s="228"/>
      <c r="G36" s="228"/>
      <c r="H36" s="228"/>
      <c r="I36" s="228"/>
      <c r="J36" s="228"/>
      <c r="K36" s="740"/>
      <c r="L36" s="741"/>
      <c r="M36" s="741"/>
      <c r="N36" s="741"/>
      <c r="O36" s="741"/>
      <c r="P36" s="741"/>
      <c r="Q36" s="741"/>
      <c r="R36" s="741"/>
      <c r="S36" s="741"/>
      <c r="T36" s="742"/>
      <c r="U36" s="292"/>
      <c r="V36" s="301"/>
      <c r="W36" s="253"/>
      <c r="AB36" s="315">
        <f t="shared" si="0"/>
        <v>23</v>
      </c>
      <c r="AC36" s="357" t="str">
        <f t="shared" si="1"/>
        <v/>
      </c>
      <c r="AD36" s="357" t="str" cm="1">
        <f t="array" aca="1" ref="AD36" ca="1">IFERROR(INDEX($AC$14:$AC$99,SMALL(IF($AC$14:$AC$99&lt;&gt;"",ROW($AC$14:$AC$99)-ROW(INDIRECT("$AC$14"))+1),ROW(INDIRECT("A" &amp; AB36 ) ))),"")</f>
        <v/>
      </c>
      <c r="AE36" s="357" t="str">
        <f t="shared" si="2"/>
        <v/>
      </c>
      <c r="AF36" s="357" t="str" cm="1">
        <f t="array" aca="1" ref="AF36" ca="1">IFERROR(INDEX($AE$14:$AE$99,SMALL(IF($AE$14:$AE$99&lt;&gt;"",ROW($AE$14:$AE$99)-ROW(INDIRECT("$AE$14"))+1),ROW(INDIRECT("A" &amp; AB36 ) ))),"")</f>
        <v/>
      </c>
      <c r="AG36" s="357" t="str">
        <f t="shared" si="3"/>
        <v/>
      </c>
      <c r="AH36" s="357" t="str" cm="1">
        <f t="array" aca="1" ref="AH36" ca="1">IFERROR(INDEX($AG$14:$AG$99,SMALL(IF($AG$14:$AG$99&lt;&gt;"",ROW($AG$14:$AG$99)-ROW(INDIRECT("$AG$14"))+1),ROW(INDIRECT("A" &amp; AB36 ) ))),"")</f>
        <v/>
      </c>
      <c r="AI36" s="357" t="str">
        <f t="shared" si="4"/>
        <v/>
      </c>
      <c r="AJ36" s="357" t="str" cm="1">
        <f t="array" aca="1" ref="AJ36" ca="1">IFERROR(INDEX($AI$14:$AI$99,SMALL(IF($AI$14:$AI$99&lt;&gt;"",ROW($AI$14:$AI$99)-ROW(INDIRECT("$AI$14"))+1),ROW(INDIRECT("A" &amp; AB36 ) ))),"")</f>
        <v/>
      </c>
    </row>
    <row r="37" spans="2:36" ht="20.100000000000001" customHeight="1" outlineLevel="1" x14ac:dyDescent="0.45">
      <c r="B37" s="248"/>
      <c r="C37" s="278"/>
      <c r="D37" s="290"/>
      <c r="E37" s="228"/>
      <c r="F37" s="228"/>
      <c r="G37" s="228"/>
      <c r="H37" s="228"/>
      <c r="I37" s="228"/>
      <c r="J37" s="228"/>
      <c r="K37" s="743"/>
      <c r="L37" s="744"/>
      <c r="M37" s="744"/>
      <c r="N37" s="744"/>
      <c r="O37" s="744"/>
      <c r="P37" s="744"/>
      <c r="Q37" s="744"/>
      <c r="R37" s="744"/>
      <c r="S37" s="744"/>
      <c r="T37" s="745"/>
      <c r="U37" s="292"/>
      <c r="V37" s="301"/>
      <c r="W37" s="253"/>
      <c r="AB37" s="315">
        <f t="shared" si="0"/>
        <v>24</v>
      </c>
      <c r="AC37" s="357" t="str">
        <f t="shared" si="1"/>
        <v/>
      </c>
      <c r="AD37" s="357" t="str" cm="1">
        <f t="array" aca="1" ref="AD37" ca="1">IFERROR(INDEX($AC$14:$AC$99,SMALL(IF($AC$14:$AC$99&lt;&gt;"",ROW($AC$14:$AC$99)-ROW(INDIRECT("$AC$14"))+1),ROW(INDIRECT("A" &amp; AB37 ) ))),"")</f>
        <v/>
      </c>
      <c r="AE37" s="357" t="str">
        <f t="shared" si="2"/>
        <v/>
      </c>
      <c r="AF37" s="357" t="str" cm="1">
        <f t="array" aca="1" ref="AF37" ca="1">IFERROR(INDEX($AE$14:$AE$99,SMALL(IF($AE$14:$AE$99&lt;&gt;"",ROW($AE$14:$AE$99)-ROW(INDIRECT("$AE$14"))+1),ROW(INDIRECT("A" &amp; AB37 ) ))),"")</f>
        <v/>
      </c>
      <c r="AG37" s="357" t="str">
        <f t="shared" si="3"/>
        <v/>
      </c>
      <c r="AH37" s="357" t="str" cm="1">
        <f t="array" aca="1" ref="AH37" ca="1">IFERROR(INDEX($AG$14:$AG$99,SMALL(IF($AG$14:$AG$99&lt;&gt;"",ROW($AG$14:$AG$99)-ROW(INDIRECT("$AG$14"))+1),ROW(INDIRECT("A" &amp; AB37 ) ))),"")</f>
        <v/>
      </c>
      <c r="AI37" s="357" t="str">
        <f t="shared" si="4"/>
        <v/>
      </c>
      <c r="AJ37" s="357" t="str" cm="1">
        <f t="array" aca="1" ref="AJ37" ca="1">IFERROR(INDEX($AI$14:$AI$99,SMALL(IF($AI$14:$AI$99&lt;&gt;"",ROW($AI$14:$AI$99)-ROW(INDIRECT("$AI$14"))+1),ROW(INDIRECT("A" &amp; AB37 ) ))),"")</f>
        <v/>
      </c>
    </row>
    <row r="38" spans="2:36" ht="20.100000000000001" customHeight="1" outlineLevel="1" thickBot="1" x14ac:dyDescent="0.5">
      <c r="B38" s="248"/>
      <c r="C38" s="278"/>
      <c r="D38" s="298"/>
      <c r="E38" s="299"/>
      <c r="F38" s="299"/>
      <c r="G38" s="299"/>
      <c r="H38" s="296"/>
      <c r="I38" s="296"/>
      <c r="J38" s="296"/>
      <c r="K38" s="296"/>
      <c r="L38" s="300"/>
      <c r="M38" s="300"/>
      <c r="N38" s="300"/>
      <c r="O38" s="300"/>
      <c r="P38" s="300"/>
      <c r="Q38" s="296"/>
      <c r="R38" s="296"/>
      <c r="S38" s="296"/>
      <c r="T38" s="296"/>
      <c r="U38" s="297"/>
      <c r="V38" s="301"/>
      <c r="W38" s="253"/>
      <c r="AB38" s="315">
        <f t="shared" si="0"/>
        <v>25</v>
      </c>
      <c r="AC38" s="357" t="str">
        <f t="shared" si="1"/>
        <v/>
      </c>
      <c r="AD38" s="357" t="str" cm="1">
        <f t="array" aca="1" ref="AD38" ca="1">IFERROR(INDEX($AC$14:$AC$99,SMALL(IF($AC$14:$AC$99&lt;&gt;"",ROW($AC$14:$AC$99)-ROW(INDIRECT("$AC$14"))+1),ROW(INDIRECT("A" &amp; AB38 ) ))),"")</f>
        <v/>
      </c>
      <c r="AE38" s="357" t="str">
        <f t="shared" si="2"/>
        <v/>
      </c>
      <c r="AF38" s="357" t="str" cm="1">
        <f t="array" aca="1" ref="AF38" ca="1">IFERROR(INDEX($AE$14:$AE$99,SMALL(IF($AE$14:$AE$99&lt;&gt;"",ROW($AE$14:$AE$99)-ROW(INDIRECT("$AE$14"))+1),ROW(INDIRECT("A" &amp; AB38 ) ))),"")</f>
        <v/>
      </c>
      <c r="AG38" s="357" t="str">
        <f t="shared" si="3"/>
        <v/>
      </c>
      <c r="AH38" s="357" t="str" cm="1">
        <f t="array" aca="1" ref="AH38" ca="1">IFERROR(INDEX($AG$14:$AG$99,SMALL(IF($AG$14:$AG$99&lt;&gt;"",ROW($AG$14:$AG$99)-ROW(INDIRECT("$AG$14"))+1),ROW(INDIRECT("A" &amp; AB38 ) ))),"")</f>
        <v/>
      </c>
      <c r="AI38" s="357" t="str">
        <f t="shared" si="4"/>
        <v/>
      </c>
      <c r="AJ38" s="357" t="str" cm="1">
        <f t="array" aca="1" ref="AJ38" ca="1">IFERROR(INDEX($AI$14:$AI$99,SMALL(IF($AI$14:$AI$99&lt;&gt;"",ROW($AI$14:$AI$99)-ROW(INDIRECT("$AI$14"))+1),ROW(INDIRECT("A" &amp; AB38 ) ))),"")</f>
        <v/>
      </c>
    </row>
    <row r="39" spans="2:36" ht="20.100000000000001" customHeight="1" outlineLevel="1" thickTop="1" thickBot="1" x14ac:dyDescent="0.5">
      <c r="B39" s="248"/>
      <c r="C39" s="278"/>
      <c r="D39" s="228"/>
      <c r="E39" s="228"/>
      <c r="F39" s="228"/>
      <c r="G39" s="228"/>
      <c r="H39" s="228"/>
      <c r="I39" s="228"/>
      <c r="J39" s="228"/>
      <c r="K39" s="228"/>
      <c r="L39" s="221"/>
      <c r="M39" s="221"/>
      <c r="N39" s="221"/>
      <c r="O39" s="221"/>
      <c r="P39" s="221"/>
      <c r="Q39" s="262"/>
      <c r="R39" s="262"/>
      <c r="S39" s="262"/>
      <c r="T39" s="262"/>
      <c r="U39" s="262"/>
      <c r="V39" s="302"/>
      <c r="W39" s="254"/>
      <c r="X39" s="414"/>
      <c r="AB39" s="315">
        <f t="shared" si="0"/>
        <v>26</v>
      </c>
      <c r="AC39" s="357" t="str">
        <f t="shared" si="1"/>
        <v/>
      </c>
      <c r="AD39" s="357" t="str" cm="1">
        <f t="array" aca="1" ref="AD39" ca="1">IFERROR(INDEX($AC$14:$AC$99,SMALL(IF($AC$14:$AC$99&lt;&gt;"",ROW($AC$14:$AC$99)-ROW(INDIRECT("$AC$14"))+1),ROW(INDIRECT("A" &amp; AB39 ) ))),"")</f>
        <v/>
      </c>
      <c r="AE39" s="357" t="str">
        <f t="shared" si="2"/>
        <v/>
      </c>
      <c r="AF39" s="357" t="str" cm="1">
        <f t="array" aca="1" ref="AF39" ca="1">IFERROR(INDEX($AE$14:$AE$99,SMALL(IF($AE$14:$AE$99&lt;&gt;"",ROW($AE$14:$AE$99)-ROW(INDIRECT("$AE$14"))+1),ROW(INDIRECT("A" &amp; AB39 ) ))),"")</f>
        <v/>
      </c>
      <c r="AG39" s="357" t="str">
        <f t="shared" si="3"/>
        <v/>
      </c>
      <c r="AH39" s="357" t="str" cm="1">
        <f t="array" aca="1" ref="AH39" ca="1">IFERROR(INDEX($AG$14:$AG$99,SMALL(IF($AG$14:$AG$99&lt;&gt;"",ROW($AG$14:$AG$99)-ROW(INDIRECT("$AG$14"))+1),ROW(INDIRECT("A" &amp; AB39 ) ))),"")</f>
        <v/>
      </c>
      <c r="AI39" s="357" t="str">
        <f t="shared" si="4"/>
        <v/>
      </c>
      <c r="AJ39" s="357" t="str" cm="1">
        <f t="array" aca="1" ref="AJ39" ca="1">IFERROR(INDEX($AI$14:$AI$99,SMALL(IF($AI$14:$AI$99&lt;&gt;"",ROW($AI$14:$AI$99)-ROW(INDIRECT("$AI$14"))+1),ROW(INDIRECT("A" &amp; AB39 ) ))),"")</f>
        <v/>
      </c>
    </row>
    <row r="40" spans="2:36" ht="20.100000000000001" customHeight="1" outlineLevel="1" thickTop="1" thickBot="1" x14ac:dyDescent="0.5">
      <c r="B40" s="248"/>
      <c r="C40" s="278"/>
      <c r="D40" s="306" t="s">
        <v>428</v>
      </c>
      <c r="E40" s="307"/>
      <c r="F40" s="307"/>
      <c r="G40" s="307"/>
      <c r="H40" s="307"/>
      <c r="I40" s="307"/>
      <c r="J40" s="307"/>
      <c r="K40" s="307"/>
      <c r="L40" s="307"/>
      <c r="M40" s="307"/>
      <c r="N40" s="307"/>
      <c r="O40" s="307"/>
      <c r="P40" s="307"/>
      <c r="Q40" s="307"/>
      <c r="R40" s="307"/>
      <c r="S40" s="307"/>
      <c r="T40" s="307"/>
      <c r="U40" s="308"/>
      <c r="V40" s="302"/>
      <c r="W40" s="254"/>
      <c r="X40" s="414"/>
      <c r="AB40" s="315">
        <f t="shared" si="0"/>
        <v>27</v>
      </c>
      <c r="AC40" s="357" t="str">
        <f t="shared" si="1"/>
        <v/>
      </c>
      <c r="AD40" s="357" t="str" cm="1">
        <f t="array" aca="1" ref="AD40" ca="1">IFERROR(INDEX($AC$14:$AC$99,SMALL(IF($AC$14:$AC$99&lt;&gt;"",ROW($AC$14:$AC$99)-ROW(INDIRECT("$AC$14"))+1),ROW(INDIRECT("A" &amp; AB40 ) ))),"")</f>
        <v/>
      </c>
      <c r="AE40" s="357" t="str">
        <f t="shared" si="2"/>
        <v/>
      </c>
      <c r="AF40" s="357" t="str" cm="1">
        <f t="array" aca="1" ref="AF40" ca="1">IFERROR(INDEX($AE$14:$AE$99,SMALL(IF($AE$14:$AE$99&lt;&gt;"",ROW($AE$14:$AE$99)-ROW(INDIRECT("$AE$14"))+1),ROW(INDIRECT("A" &amp; AB40 ) ))),"")</f>
        <v/>
      </c>
      <c r="AG40" s="357" t="str">
        <f t="shared" si="3"/>
        <v/>
      </c>
      <c r="AH40" s="357" t="str" cm="1">
        <f t="array" aca="1" ref="AH40" ca="1">IFERROR(INDEX($AG$14:$AG$99,SMALL(IF($AG$14:$AG$99&lt;&gt;"",ROW($AG$14:$AG$99)-ROW(INDIRECT("$AG$14"))+1),ROW(INDIRECT("A" &amp; AB40 ) ))),"")</f>
        <v/>
      </c>
      <c r="AI40" s="357" t="str">
        <f t="shared" si="4"/>
        <v/>
      </c>
      <c r="AJ40" s="357" t="str" cm="1">
        <f t="array" aca="1" ref="AJ40" ca="1">IFERROR(INDEX($AI$14:$AI$99,SMALL(IF($AI$14:$AI$99&lt;&gt;"",ROW($AI$14:$AI$99)-ROW(INDIRECT("$AI$14"))+1),ROW(INDIRECT("A" &amp; AB40 ) ))),"")</f>
        <v/>
      </c>
    </row>
    <row r="41" spans="2:36" ht="20.100000000000001" customHeight="1" outlineLevel="1" thickTop="1" x14ac:dyDescent="0.45">
      <c r="B41" s="248"/>
      <c r="C41" s="278"/>
      <c r="D41" s="290"/>
      <c r="E41" s="228"/>
      <c r="F41" s="228"/>
      <c r="G41" s="228"/>
      <c r="H41" s="228"/>
      <c r="I41" s="228"/>
      <c r="J41" s="228"/>
      <c r="K41" s="228"/>
      <c r="L41" s="221"/>
      <c r="M41" s="221"/>
      <c r="N41" s="221"/>
      <c r="O41" s="221"/>
      <c r="P41" s="221"/>
      <c r="Q41" s="262"/>
      <c r="R41" s="262"/>
      <c r="S41" s="262"/>
      <c r="T41" s="262"/>
      <c r="U41" s="291"/>
      <c r="V41" s="302"/>
      <c r="W41" s="254"/>
      <c r="X41" s="414"/>
      <c r="AB41" s="315">
        <f t="shared" si="0"/>
        <v>28</v>
      </c>
      <c r="AC41" s="357" t="str">
        <f t="shared" si="1"/>
        <v/>
      </c>
      <c r="AD41" s="357" t="str" cm="1">
        <f t="array" aca="1" ref="AD41" ca="1">IFERROR(INDEX($AC$14:$AC$99,SMALL(IF($AC$14:$AC$99&lt;&gt;"",ROW($AC$14:$AC$99)-ROW(INDIRECT("$AC$14"))+1),ROW(INDIRECT("A" &amp; AB41 ) ))),"")</f>
        <v/>
      </c>
      <c r="AE41" s="357" t="str">
        <f t="shared" si="2"/>
        <v/>
      </c>
      <c r="AF41" s="357" t="str" cm="1">
        <f t="array" aca="1" ref="AF41" ca="1">IFERROR(INDEX($AE$14:$AE$99,SMALL(IF($AE$14:$AE$99&lt;&gt;"",ROW($AE$14:$AE$99)-ROW(INDIRECT("$AE$14"))+1),ROW(INDIRECT("A" &amp; AB41 ) ))),"")</f>
        <v/>
      </c>
      <c r="AG41" s="357" t="str">
        <f t="shared" si="3"/>
        <v/>
      </c>
      <c r="AH41" s="357" t="str" cm="1">
        <f t="array" aca="1" ref="AH41" ca="1">IFERROR(INDEX($AG$14:$AG$99,SMALL(IF($AG$14:$AG$99&lt;&gt;"",ROW($AG$14:$AG$99)-ROW(INDIRECT("$AG$14"))+1),ROW(INDIRECT("A" &amp; AB41 ) ))),"")</f>
        <v/>
      </c>
      <c r="AI41" s="357" t="str">
        <f t="shared" si="4"/>
        <v/>
      </c>
      <c r="AJ41" s="357" t="str" cm="1">
        <f t="array" aca="1" ref="AJ41" ca="1">IFERROR(INDEX($AI$14:$AI$99,SMALL(IF($AI$14:$AI$99&lt;&gt;"",ROW($AI$14:$AI$99)-ROW(INDIRECT("$AI$14"))+1),ROW(INDIRECT("A" &amp; AB41 ) ))),"")</f>
        <v/>
      </c>
    </row>
    <row r="42" spans="2:36" ht="30" customHeight="1" outlineLevel="1" x14ac:dyDescent="0.45">
      <c r="B42" s="248"/>
      <c r="C42" s="278"/>
      <c r="D42" s="290"/>
      <c r="E42" s="261" t="s">
        <v>178</v>
      </c>
      <c r="F42" s="722" t="s">
        <v>366</v>
      </c>
      <c r="G42" s="722"/>
      <c r="H42" s="287"/>
      <c r="I42" s="287"/>
      <c r="J42" s="228"/>
      <c r="K42" s="228"/>
      <c r="L42" s="221"/>
      <c r="M42" s="221"/>
      <c r="N42" s="221"/>
      <c r="O42" s="221"/>
      <c r="P42" s="221"/>
      <c r="Q42" s="228"/>
      <c r="R42" s="228"/>
      <c r="S42" s="228"/>
      <c r="T42" s="228"/>
      <c r="U42" s="292"/>
      <c r="V42" s="280"/>
      <c r="W42" s="252"/>
      <c r="AB42" s="315">
        <f t="shared" si="0"/>
        <v>29</v>
      </c>
      <c r="AC42" s="357" t="str">
        <f t="shared" si="1"/>
        <v/>
      </c>
      <c r="AD42" s="357" t="str" cm="1">
        <f t="array" aca="1" ref="AD42" ca="1">IFERROR(INDEX($AC$14:$AC$99,SMALL(IF($AC$14:$AC$99&lt;&gt;"",ROW($AC$14:$AC$99)-ROW(INDIRECT("$AC$14"))+1),ROW(INDIRECT("A" &amp; AB42 ) ))),"")</f>
        <v/>
      </c>
      <c r="AE42" s="357" t="str">
        <f t="shared" si="2"/>
        <v/>
      </c>
      <c r="AF42" s="357" t="str" cm="1">
        <f t="array" aca="1" ref="AF42" ca="1">IFERROR(INDEX($AE$14:$AE$99,SMALL(IF($AE$14:$AE$99&lt;&gt;"",ROW($AE$14:$AE$99)-ROW(INDIRECT("$AE$14"))+1),ROW(INDIRECT("A" &amp; AB42 ) ))),"")</f>
        <v/>
      </c>
      <c r="AG42" s="357" t="str">
        <f t="shared" si="3"/>
        <v/>
      </c>
      <c r="AH42" s="357" t="str" cm="1">
        <f t="array" aca="1" ref="AH42" ca="1">IFERROR(INDEX($AG$14:$AG$99,SMALL(IF($AG$14:$AG$99&lt;&gt;"",ROW($AG$14:$AG$99)-ROW(INDIRECT("$AG$14"))+1),ROW(INDIRECT("A" &amp; AB42 ) ))),"")</f>
        <v/>
      </c>
      <c r="AI42" s="357" t="str">
        <f t="shared" si="4"/>
        <v/>
      </c>
      <c r="AJ42" s="357" t="str" cm="1">
        <f t="array" aca="1" ref="AJ42" ca="1">IFERROR(INDEX($AI$14:$AI$99,SMALL(IF($AI$14:$AI$99&lt;&gt;"",ROW($AI$14:$AI$99)-ROW(INDIRECT("$AI$14"))+1),ROW(INDIRECT("A" &amp; AB42 ) ))),"")</f>
        <v/>
      </c>
    </row>
    <row r="43" spans="2:36" ht="20.100000000000001" customHeight="1" outlineLevel="1" x14ac:dyDescent="0.45">
      <c r="B43" s="248"/>
      <c r="C43" s="278"/>
      <c r="D43" s="235"/>
      <c r="E43" s="381"/>
      <c r="F43" s="381"/>
      <c r="G43" s="381"/>
      <c r="H43" s="381"/>
      <c r="I43" s="381"/>
      <c r="J43" s="228"/>
      <c r="K43" s="228"/>
      <c r="L43" s="221"/>
      <c r="M43" s="221"/>
      <c r="N43" s="221"/>
      <c r="O43" s="221"/>
      <c r="P43" s="221"/>
      <c r="Q43" s="228"/>
      <c r="R43" s="228"/>
      <c r="S43" s="228"/>
      <c r="T43" s="228"/>
      <c r="U43" s="292"/>
      <c r="V43" s="280"/>
      <c r="W43" s="252"/>
      <c r="AB43" s="315">
        <f t="shared" si="0"/>
        <v>30</v>
      </c>
      <c r="AC43" s="357" t="str">
        <f t="shared" si="1"/>
        <v/>
      </c>
      <c r="AD43" s="357" t="str" cm="1">
        <f t="array" aca="1" ref="AD43" ca="1">IFERROR(INDEX($AC$14:$AC$99,SMALL(IF($AC$14:$AC$99&lt;&gt;"",ROW($AC$14:$AC$99)-ROW(INDIRECT("$AC$14"))+1),ROW(INDIRECT("A" &amp; AB43 ) ))),"")</f>
        <v/>
      </c>
      <c r="AE43" s="357" t="str">
        <f t="shared" si="2"/>
        <v/>
      </c>
      <c r="AF43" s="357" t="str" cm="1">
        <f t="array" aca="1" ref="AF43" ca="1">IFERROR(INDEX($AE$14:$AE$99,SMALL(IF($AE$14:$AE$99&lt;&gt;"",ROW($AE$14:$AE$99)-ROW(INDIRECT("$AE$14"))+1),ROW(INDIRECT("A" &amp; AB43 ) ))),"")</f>
        <v/>
      </c>
      <c r="AG43" s="357" t="str">
        <f t="shared" si="3"/>
        <v/>
      </c>
      <c r="AH43" s="357" t="str" cm="1">
        <f t="array" aca="1" ref="AH43" ca="1">IFERROR(INDEX($AG$14:$AG$99,SMALL(IF($AG$14:$AG$99&lt;&gt;"",ROW($AG$14:$AG$99)-ROW(INDIRECT("$AG$14"))+1),ROW(INDIRECT("A" &amp; AB43 ) ))),"")</f>
        <v/>
      </c>
      <c r="AI43" s="357" t="str">
        <f t="shared" si="4"/>
        <v/>
      </c>
      <c r="AJ43" s="357" t="str" cm="1">
        <f t="array" aca="1" ref="AJ43" ca="1">IFERROR(INDEX($AI$14:$AI$99,SMALL(IF($AI$14:$AI$99&lt;&gt;"",ROW($AI$14:$AI$99)-ROW(INDIRECT("$AI$14"))+1),ROW(INDIRECT("A" &amp; AB43 ) ))),"")</f>
        <v/>
      </c>
    </row>
    <row r="44" spans="2:36" ht="20.100000000000001" customHeight="1" outlineLevel="1" x14ac:dyDescent="0.5">
      <c r="B44" s="248"/>
      <c r="C44" s="278"/>
      <c r="D44" s="235"/>
      <c r="E44" s="727" t="s">
        <v>358</v>
      </c>
      <c r="F44" s="728"/>
      <c r="G44" s="729"/>
      <c r="H44" s="228"/>
      <c r="I44" s="228"/>
      <c r="J44" s="228"/>
      <c r="K44" s="730" t="s">
        <v>367</v>
      </c>
      <c r="L44" s="730"/>
      <c r="M44" s="730"/>
      <c r="N44" s="730"/>
      <c r="O44" s="730"/>
      <c r="P44" s="730"/>
      <c r="Q44" s="730"/>
      <c r="R44" s="730"/>
      <c r="S44" s="730"/>
      <c r="T44" s="730"/>
      <c r="U44" s="292"/>
      <c r="V44" s="280"/>
      <c r="W44" s="252"/>
      <c r="AB44" s="315">
        <f t="shared" ref="AB44:AB69" si="5">ROW(A44)- $AD$2 +1</f>
        <v>31</v>
      </c>
      <c r="AC44" s="357" t="str">
        <f t="shared" ref="AC44:AC73" si="6">IF(AND($E44="Oui",$M44="Préleveur"),$F44,"")</f>
        <v/>
      </c>
      <c r="AD44" s="357" t="str" cm="1">
        <f t="array" aca="1" ref="AD44" ca="1">IFERROR(INDEX($AC$14:$AC$99,SMALL(IF($AC$14:$AC$99&lt;&gt;"",ROW($AC$14:$AC$99)-ROW(INDIRECT("$AC$13"))+1),ROW(INDIRECT("A" &amp; AB44 ) ))),"")</f>
        <v/>
      </c>
      <c r="AE44" s="357" t="str">
        <f t="shared" ref="AE44:AE73" si="7">IF(AND($E44="Oui",LEFT($M44,10) ="Débitmètre"),$F44,"")</f>
        <v/>
      </c>
      <c r="AF44" s="357" t="str" cm="1">
        <f t="array" aca="1" ref="AF44" ca="1">IFERROR(INDEX($AE$14:$AE$99,SMALL(IF($AE$14:$AE$99&lt;&gt;"",ROW($AE$14:$AE$99)-ROW(INDIRECT("$AE$13"))+1),ROW(INDIRECT("A" &amp; AB44 ) ))),"")</f>
        <v/>
      </c>
      <c r="AG44" s="357" t="str">
        <f t="shared" ref="AG44:AG73" si="8">IF(AND($E44="Oui",LEFT($M44,5) ="Sonde"),$F44,"")</f>
        <v/>
      </c>
      <c r="AH44" s="357" t="str" cm="1">
        <f t="array" aca="1" ref="AH44" ca="1">IFERROR(INDEX($AG$14:$AG$99,SMALL(IF($AG$14:$AG$99&lt;&gt;"",ROW($AG$14:$AG$99)-ROW(INDIRECT("$AG$13"))+1),ROW(INDIRECT("A" &amp; AB44 ) ))),"")</f>
        <v/>
      </c>
      <c r="AI44" s="357" t="str">
        <f t="shared" ref="AI44:AI73" si="9">IF(AND($E44="Oui", $F44 &lt;&gt; "", $M44 = ""),$F44,"")</f>
        <v/>
      </c>
      <c r="AJ44" s="357" t="str" cm="1">
        <f t="array" aca="1" ref="AJ44" ca="1">IFERROR(INDEX($AI$14:$AI$99,SMALL(IF($AI$14:$AI$99&lt;&gt;"",ROW($AI$14:$AI$99)-ROW(INDIRECT("$AI$13"))+1),ROW(INDIRECT("A" &amp; AB44 ) ))),"")</f>
        <v/>
      </c>
    </row>
    <row r="45" spans="2:36" ht="39.950000000000003" customHeight="1" outlineLevel="1" x14ac:dyDescent="0.45">
      <c r="B45" s="248"/>
      <c r="C45" s="278"/>
      <c r="D45" s="293"/>
      <c r="E45" s="228"/>
      <c r="F45" s="228"/>
      <c r="G45" s="228"/>
      <c r="H45" s="228"/>
      <c r="I45" s="228"/>
      <c r="J45" s="228"/>
      <c r="K45" s="734"/>
      <c r="L45" s="735"/>
      <c r="M45" s="735"/>
      <c r="N45" s="735"/>
      <c r="O45" s="735"/>
      <c r="P45" s="735"/>
      <c r="Q45" s="735"/>
      <c r="R45" s="735"/>
      <c r="S45" s="735"/>
      <c r="T45" s="736"/>
      <c r="U45" s="292"/>
      <c r="V45" s="280"/>
      <c r="W45" s="252"/>
      <c r="AB45" s="315">
        <f t="shared" si="5"/>
        <v>32</v>
      </c>
      <c r="AC45" s="357" t="str">
        <f t="shared" si="6"/>
        <v/>
      </c>
      <c r="AD45" s="357" t="str" cm="1">
        <f t="array" aca="1" ref="AD45" ca="1">IFERROR(INDEX($AC$14:$AC$99,SMALL(IF($AC$14:$AC$99&lt;&gt;"",ROW($AC$14:$AC$99)-ROW(INDIRECT("$AC$13"))+1),ROW(INDIRECT("A" &amp; AB45 ) ))),"")</f>
        <v/>
      </c>
      <c r="AE45" s="357" t="str">
        <f t="shared" si="7"/>
        <v/>
      </c>
      <c r="AF45" s="357" t="str" cm="1">
        <f t="array" aca="1" ref="AF45" ca="1">IFERROR(INDEX($AE$14:$AE$99,SMALL(IF($AE$14:$AE$99&lt;&gt;"",ROW($AE$14:$AE$99)-ROW(INDIRECT("$AE$13"))+1),ROW(INDIRECT("A" &amp; AB45 ) ))),"")</f>
        <v/>
      </c>
      <c r="AG45" s="357" t="str">
        <f t="shared" si="8"/>
        <v/>
      </c>
      <c r="AH45" s="357" t="str" cm="1">
        <f t="array" aca="1" ref="AH45" ca="1">IFERROR(INDEX($AG$14:$AG$99,SMALL(IF($AG$14:$AG$99&lt;&gt;"",ROW($AG$14:$AG$99)-ROW(INDIRECT("$AG$13"))+1),ROW(INDIRECT("A" &amp; AB45 ) ))),"")</f>
        <v/>
      </c>
      <c r="AI45" s="357" t="str">
        <f t="shared" si="9"/>
        <v/>
      </c>
      <c r="AJ45" s="357" t="str" cm="1">
        <f t="array" aca="1" ref="AJ45" ca="1">IFERROR(INDEX($AI$14:$AI$99,SMALL(IF($AI$14:$AI$99&lt;&gt;"",ROW($AI$14:$AI$99)-ROW(INDIRECT("$AI$13"))+1),ROW(INDIRECT("A" &amp; AB45 ) ))),"")</f>
        <v/>
      </c>
    </row>
    <row r="46" spans="2:36" ht="20.100000000000001" customHeight="1" outlineLevel="1" thickBot="1" x14ac:dyDescent="0.5">
      <c r="B46" s="248"/>
      <c r="C46" s="278"/>
      <c r="D46" s="294"/>
      <c r="E46" s="295"/>
      <c r="F46" s="295"/>
      <c r="G46" s="295"/>
      <c r="H46" s="295"/>
      <c r="I46" s="296"/>
      <c r="J46" s="296"/>
      <c r="K46" s="296"/>
      <c r="L46" s="296"/>
      <c r="M46" s="296"/>
      <c r="N46" s="296"/>
      <c r="O46" s="296"/>
      <c r="P46" s="296"/>
      <c r="Q46" s="296"/>
      <c r="R46" s="296"/>
      <c r="S46" s="296"/>
      <c r="T46" s="296"/>
      <c r="U46" s="297"/>
      <c r="V46" s="280"/>
      <c r="W46" s="252"/>
      <c r="AB46" s="315">
        <f t="shared" si="5"/>
        <v>33</v>
      </c>
      <c r="AC46" s="357" t="str">
        <f t="shared" si="6"/>
        <v/>
      </c>
      <c r="AD46" s="357" t="str" cm="1">
        <f t="array" aca="1" ref="AD46" ca="1">IFERROR(INDEX($AC$14:$AC$99,SMALL(IF($AC$14:$AC$99&lt;&gt;"",ROW($AC$14:$AC$99)-ROW(INDIRECT("$AC$13"))+1),ROW(INDIRECT("A" &amp; AB46 ) ))),"")</f>
        <v/>
      </c>
      <c r="AE46" s="357" t="str">
        <f t="shared" si="7"/>
        <v/>
      </c>
      <c r="AF46" s="357" t="str" cm="1">
        <f t="array" aca="1" ref="AF46" ca="1">IFERROR(INDEX($AE$14:$AE$99,SMALL(IF($AE$14:$AE$99&lt;&gt;"",ROW($AE$14:$AE$99)-ROW(INDIRECT("$AE$13"))+1),ROW(INDIRECT("A" &amp; AB46 ) ))),"")</f>
        <v/>
      </c>
      <c r="AG46" s="357" t="str">
        <f t="shared" si="8"/>
        <v/>
      </c>
      <c r="AH46" s="357" t="str" cm="1">
        <f t="array" aca="1" ref="AH46" ca="1">IFERROR(INDEX($AG$14:$AG$99,SMALL(IF($AG$14:$AG$99&lt;&gt;"",ROW($AG$14:$AG$99)-ROW(INDIRECT("$AG$13"))+1),ROW(INDIRECT("A" &amp; AB46 ) ))),"")</f>
        <v/>
      </c>
      <c r="AI46" s="357" t="str">
        <f t="shared" si="9"/>
        <v/>
      </c>
      <c r="AJ46" s="357" t="str" cm="1">
        <f t="array" aca="1" ref="AJ46" ca="1">IFERROR(INDEX($AI$14:$AI$99,SMALL(IF($AI$14:$AI$99&lt;&gt;"",ROW($AI$14:$AI$99)-ROW(INDIRECT("$AI$13"))+1),ROW(INDIRECT("A" &amp; AB46 ) ))),"")</f>
        <v/>
      </c>
    </row>
    <row r="47" spans="2:36" ht="20.100000000000001" customHeight="1" outlineLevel="1" thickTop="1" thickBot="1" x14ac:dyDescent="0.5">
      <c r="B47" s="248"/>
      <c r="C47" s="281"/>
      <c r="D47" s="303"/>
      <c r="E47" s="304"/>
      <c r="F47" s="304"/>
      <c r="G47" s="304"/>
      <c r="H47" s="304"/>
      <c r="I47" s="303"/>
      <c r="J47" s="303"/>
      <c r="K47" s="303"/>
      <c r="L47" s="303"/>
      <c r="M47" s="303"/>
      <c r="N47" s="303"/>
      <c r="O47" s="303"/>
      <c r="P47" s="303"/>
      <c r="Q47" s="303"/>
      <c r="R47" s="303"/>
      <c r="S47" s="303"/>
      <c r="T47" s="303"/>
      <c r="U47" s="303"/>
      <c r="V47" s="284"/>
      <c r="W47" s="252"/>
      <c r="AB47" s="315">
        <f t="shared" si="5"/>
        <v>34</v>
      </c>
      <c r="AC47" s="357" t="str">
        <f t="shared" si="6"/>
        <v/>
      </c>
      <c r="AD47" s="357" t="str" cm="1">
        <f t="array" aca="1" ref="AD47" ca="1">IFERROR(INDEX($AC$14:$AC$99,SMALL(IF($AC$14:$AC$99&lt;&gt;"",ROW($AC$14:$AC$99)-ROW(INDIRECT("$AC$13"))+1),ROW(INDIRECT("A" &amp; AB47 ) ))),"")</f>
        <v/>
      </c>
      <c r="AE47" s="357" t="str">
        <f t="shared" si="7"/>
        <v/>
      </c>
      <c r="AF47" s="357" t="str" cm="1">
        <f t="array" aca="1" ref="AF47" ca="1">IFERROR(INDEX($AE$14:$AE$99,SMALL(IF($AE$14:$AE$99&lt;&gt;"",ROW($AE$14:$AE$99)-ROW(INDIRECT("$AE$13"))+1),ROW(INDIRECT("A" &amp; AB47 ) ))),"")</f>
        <v/>
      </c>
      <c r="AG47" s="357" t="str">
        <f t="shared" si="8"/>
        <v/>
      </c>
      <c r="AH47" s="357" t="str" cm="1">
        <f t="array" aca="1" ref="AH47" ca="1">IFERROR(INDEX($AG$14:$AG$99,SMALL(IF($AG$14:$AG$99&lt;&gt;"",ROW($AG$14:$AG$99)-ROW(INDIRECT("$AG$13"))+1),ROW(INDIRECT("A" &amp; AB47 ) ))),"")</f>
        <v/>
      </c>
      <c r="AI47" s="357" t="str">
        <f t="shared" si="9"/>
        <v/>
      </c>
      <c r="AJ47" s="357" t="str" cm="1">
        <f t="array" aca="1" ref="AJ47" ca="1">IFERROR(INDEX($AI$14:$AI$99,SMALL(IF($AI$14:$AI$99&lt;&gt;"",ROW($AI$14:$AI$99)-ROW(INDIRECT("$AI$13"))+1),ROW(INDIRECT("A" &amp; AB47 ) ))),"")</f>
        <v/>
      </c>
    </row>
    <row r="48" spans="2:36" ht="20.100000000000001" customHeight="1" thickTop="1" x14ac:dyDescent="0.45">
      <c r="B48" s="255"/>
      <c r="C48" s="256"/>
      <c r="D48" s="257"/>
      <c r="E48" s="258"/>
      <c r="F48" s="257"/>
      <c r="G48" s="257"/>
      <c r="H48" s="257"/>
      <c r="I48" s="257"/>
      <c r="J48" s="257"/>
      <c r="K48" s="257"/>
      <c r="L48" s="257"/>
      <c r="M48" s="259"/>
      <c r="N48" s="256"/>
      <c r="O48" s="256"/>
      <c r="P48" s="256"/>
      <c r="Q48" s="256"/>
      <c r="R48" s="256"/>
      <c r="S48" s="256"/>
      <c r="T48" s="256"/>
      <c r="U48" s="256"/>
      <c r="V48" s="256"/>
      <c r="W48" s="260"/>
      <c r="AB48" s="315">
        <f t="shared" si="5"/>
        <v>35</v>
      </c>
      <c r="AC48" s="357" t="str">
        <f t="shared" si="6"/>
        <v/>
      </c>
      <c r="AD48" s="357" t="str" cm="1">
        <f t="array" aca="1" ref="AD48" ca="1">IFERROR(INDEX($AC$14:$AC$99,SMALL(IF($AC$14:$AC$99&lt;&gt;"",ROW($AC$14:$AC$99)-ROW(INDIRECT("$AC$13"))+1),ROW(INDIRECT("A" &amp; AB48 ) ))),"")</f>
        <v/>
      </c>
      <c r="AE48" s="357" t="str">
        <f t="shared" si="7"/>
        <v/>
      </c>
      <c r="AF48" s="357" t="str" cm="1">
        <f t="array" aca="1" ref="AF48" ca="1">IFERROR(INDEX($AE$14:$AE$99,SMALL(IF($AE$14:$AE$99&lt;&gt;"",ROW($AE$14:$AE$99)-ROW(INDIRECT("$AE$13"))+1),ROW(INDIRECT("A" &amp; AB48 ) ))),"")</f>
        <v/>
      </c>
      <c r="AG48" s="357" t="str">
        <f t="shared" si="8"/>
        <v/>
      </c>
      <c r="AH48" s="357" t="str" cm="1">
        <f t="array" aca="1" ref="AH48" ca="1">IFERROR(INDEX($AG$14:$AG$99,SMALL(IF($AG$14:$AG$99&lt;&gt;"",ROW($AG$14:$AG$99)-ROW(INDIRECT("$AG$13"))+1),ROW(INDIRECT("A" &amp; AB48 ) ))),"")</f>
        <v/>
      </c>
      <c r="AI48" s="357" t="str">
        <f t="shared" si="9"/>
        <v/>
      </c>
      <c r="AJ48" s="357" t="str" cm="1">
        <f t="array" aca="1" ref="AJ48" ca="1">IFERROR(INDEX($AI$14:$AI$99,SMALL(IF($AI$14:$AI$99&lt;&gt;"",ROW($AI$14:$AI$99)-ROW(INDIRECT("$AI$13"))+1),ROW(INDIRECT("A" &amp; AB48 ) ))),"")</f>
        <v/>
      </c>
    </row>
    <row r="49" spans="28:36" ht="20.100000000000001" customHeight="1" x14ac:dyDescent="0.45">
      <c r="AB49" s="315">
        <f t="shared" si="5"/>
        <v>36</v>
      </c>
      <c r="AC49" s="357" t="str">
        <f t="shared" si="6"/>
        <v/>
      </c>
      <c r="AD49" s="357" t="str" cm="1">
        <f t="array" aca="1" ref="AD49" ca="1">IFERROR(INDEX($AC$14:$AC$99,SMALL(IF($AC$14:$AC$99&lt;&gt;"",ROW($AC$14:$AC$99)-ROW(INDIRECT("$AC$13"))+1),ROW(INDIRECT("A" &amp; AB49 ) ))),"")</f>
        <v/>
      </c>
      <c r="AE49" s="357" t="str">
        <f t="shared" si="7"/>
        <v/>
      </c>
      <c r="AF49" s="357" t="str" cm="1">
        <f t="array" aca="1" ref="AF49" ca="1">IFERROR(INDEX($AE$14:$AE$99,SMALL(IF($AE$14:$AE$99&lt;&gt;"",ROW($AE$14:$AE$99)-ROW(INDIRECT("$AE$13"))+1),ROW(INDIRECT("A" &amp; AB49 ) ))),"")</f>
        <v/>
      </c>
      <c r="AG49" s="357" t="str">
        <f t="shared" si="8"/>
        <v/>
      </c>
      <c r="AH49" s="357" t="str" cm="1">
        <f t="array" aca="1" ref="AH49" ca="1">IFERROR(INDEX($AG$14:$AG$99,SMALL(IF($AG$14:$AG$99&lt;&gt;"",ROW($AG$14:$AG$99)-ROW(INDIRECT("$AG$13"))+1),ROW(INDIRECT("A" &amp; AB49 ) ))),"")</f>
        <v/>
      </c>
      <c r="AI49" s="357" t="str">
        <f t="shared" si="9"/>
        <v/>
      </c>
      <c r="AJ49" s="357" t="str" cm="1">
        <f t="array" aca="1" ref="AJ49" ca="1">IFERROR(INDEX($AI$14:$AI$99,SMALL(IF($AI$14:$AI$99&lt;&gt;"",ROW($AI$14:$AI$99)-ROW(INDIRECT("$AI$13"))+1),ROW(INDIRECT("A" &amp; AB49 ) ))),"")</f>
        <v/>
      </c>
    </row>
    <row r="50" spans="28:36" ht="20.100000000000001" customHeight="1" x14ac:dyDescent="0.45">
      <c r="AB50" s="315">
        <f t="shared" si="5"/>
        <v>37</v>
      </c>
      <c r="AC50" s="357" t="str">
        <f t="shared" si="6"/>
        <v/>
      </c>
      <c r="AD50" s="357" t="str" cm="1">
        <f t="array" aca="1" ref="AD50" ca="1">IFERROR(INDEX($AC$14:$AC$99,SMALL(IF($AC$14:$AC$99&lt;&gt;"",ROW($AC$14:$AC$99)-ROW(INDIRECT("$AC$13"))+1),ROW(INDIRECT("A" &amp; AB50 ) ))),"")</f>
        <v/>
      </c>
      <c r="AE50" s="357" t="str">
        <f t="shared" si="7"/>
        <v/>
      </c>
      <c r="AF50" s="357" t="str" cm="1">
        <f t="array" aca="1" ref="AF50" ca="1">IFERROR(INDEX($AE$14:$AE$99,SMALL(IF($AE$14:$AE$99&lt;&gt;"",ROW($AE$14:$AE$99)-ROW(INDIRECT("$AE$13"))+1),ROW(INDIRECT("A" &amp; AB50 ) ))),"")</f>
        <v/>
      </c>
      <c r="AG50" s="357" t="str">
        <f t="shared" si="8"/>
        <v/>
      </c>
      <c r="AH50" s="357" t="str" cm="1">
        <f t="array" aca="1" ref="AH50" ca="1">IFERROR(INDEX($AG$14:$AG$99,SMALL(IF($AG$14:$AG$99&lt;&gt;"",ROW($AG$14:$AG$99)-ROW(INDIRECT("$AG$13"))+1),ROW(INDIRECT("A" &amp; AB50 ) ))),"")</f>
        <v/>
      </c>
      <c r="AI50" s="357" t="str">
        <f t="shared" si="9"/>
        <v/>
      </c>
      <c r="AJ50" s="357" t="str" cm="1">
        <f t="array" aca="1" ref="AJ50" ca="1">IFERROR(INDEX($AI$14:$AI$99,SMALL(IF($AI$14:$AI$99&lt;&gt;"",ROW($AI$14:$AI$99)-ROW(INDIRECT("$AI$13"))+1),ROW(INDIRECT("A" &amp; AB50 ) ))),"")</f>
        <v/>
      </c>
    </row>
    <row r="51" spans="28:36" ht="20.100000000000001" customHeight="1" x14ac:dyDescent="0.45">
      <c r="AB51" s="315">
        <f t="shared" si="5"/>
        <v>38</v>
      </c>
      <c r="AC51" s="357" t="str">
        <f t="shared" si="6"/>
        <v/>
      </c>
      <c r="AD51" s="357" t="str" cm="1">
        <f t="array" aca="1" ref="AD51" ca="1">IFERROR(INDEX($AC$14:$AC$99,SMALL(IF($AC$14:$AC$99&lt;&gt;"",ROW($AC$14:$AC$99)-ROW(INDIRECT("$AC$13"))+1),ROW(INDIRECT("A" &amp; AB51 ) ))),"")</f>
        <v/>
      </c>
      <c r="AE51" s="357" t="str">
        <f t="shared" si="7"/>
        <v/>
      </c>
      <c r="AF51" s="357" t="str" cm="1">
        <f t="array" aca="1" ref="AF51" ca="1">IFERROR(INDEX($AE$14:$AE$99,SMALL(IF($AE$14:$AE$99&lt;&gt;"",ROW($AE$14:$AE$99)-ROW(INDIRECT("$AE$13"))+1),ROW(INDIRECT("A" &amp; AB51 ) ))),"")</f>
        <v/>
      </c>
      <c r="AG51" s="357" t="str">
        <f t="shared" si="8"/>
        <v/>
      </c>
      <c r="AH51" s="357" t="str" cm="1">
        <f t="array" aca="1" ref="AH51" ca="1">IFERROR(INDEX($AG$14:$AG$99,SMALL(IF($AG$14:$AG$99&lt;&gt;"",ROW($AG$14:$AG$99)-ROW(INDIRECT("$AG$13"))+1),ROW(INDIRECT("A" &amp; AB51 ) ))),"")</f>
        <v/>
      </c>
      <c r="AI51" s="357" t="str">
        <f t="shared" si="9"/>
        <v/>
      </c>
      <c r="AJ51" s="357" t="str" cm="1">
        <f t="array" aca="1" ref="AJ51" ca="1">IFERROR(INDEX($AI$14:$AI$99,SMALL(IF($AI$14:$AI$99&lt;&gt;"",ROW($AI$14:$AI$99)-ROW(INDIRECT("$AI$13"))+1),ROW(INDIRECT("A" &amp; AB51 ) ))),"")</f>
        <v/>
      </c>
    </row>
    <row r="52" spans="28:36" ht="20.100000000000001" customHeight="1" x14ac:dyDescent="0.45">
      <c r="AB52" s="315">
        <f t="shared" si="5"/>
        <v>39</v>
      </c>
      <c r="AC52" s="357" t="str">
        <f t="shared" si="6"/>
        <v/>
      </c>
      <c r="AD52" s="357" t="str" cm="1">
        <f t="array" aca="1" ref="AD52" ca="1">IFERROR(INDEX($AC$14:$AC$99,SMALL(IF($AC$14:$AC$99&lt;&gt;"",ROW($AC$14:$AC$99)-ROW(INDIRECT("$AC$13"))+1),ROW(INDIRECT("A" &amp; AB52 ) ))),"")</f>
        <v/>
      </c>
      <c r="AE52" s="357" t="str">
        <f t="shared" si="7"/>
        <v/>
      </c>
      <c r="AF52" s="357" t="str" cm="1">
        <f t="array" aca="1" ref="AF52" ca="1">IFERROR(INDEX($AE$14:$AE$99,SMALL(IF($AE$14:$AE$99&lt;&gt;"",ROW($AE$14:$AE$99)-ROW(INDIRECT("$AE$13"))+1),ROW(INDIRECT("A" &amp; AB52 ) ))),"")</f>
        <v/>
      </c>
      <c r="AG52" s="357" t="str">
        <f t="shared" si="8"/>
        <v/>
      </c>
      <c r="AH52" s="357" t="str" cm="1">
        <f t="array" aca="1" ref="AH52" ca="1">IFERROR(INDEX($AG$14:$AG$99,SMALL(IF($AG$14:$AG$99&lt;&gt;"",ROW($AG$14:$AG$99)-ROW(INDIRECT("$AG$13"))+1),ROW(INDIRECT("A" &amp; AB52 ) ))),"")</f>
        <v/>
      </c>
      <c r="AI52" s="357" t="str">
        <f t="shared" si="9"/>
        <v/>
      </c>
      <c r="AJ52" s="357" t="str" cm="1">
        <f t="array" aca="1" ref="AJ52" ca="1">IFERROR(INDEX($AI$14:$AI$99,SMALL(IF($AI$14:$AI$99&lt;&gt;"",ROW($AI$14:$AI$99)-ROW(INDIRECT("$AI$13"))+1),ROW(INDIRECT("A" &amp; AB52 ) ))),"")</f>
        <v/>
      </c>
    </row>
    <row r="53" spans="28:36" ht="20.100000000000001" customHeight="1" x14ac:dyDescent="0.45">
      <c r="AB53" s="315">
        <f t="shared" si="5"/>
        <v>40</v>
      </c>
      <c r="AC53" s="357" t="str">
        <f t="shared" si="6"/>
        <v/>
      </c>
      <c r="AD53" s="357" t="str" cm="1">
        <f t="array" aca="1" ref="AD53" ca="1">IFERROR(INDEX($AC$14:$AC$99,SMALL(IF($AC$14:$AC$99&lt;&gt;"",ROW($AC$14:$AC$99)-ROW(INDIRECT("$AC$13"))+1),ROW(INDIRECT("A" &amp; AB53 ) ))),"")</f>
        <v/>
      </c>
      <c r="AE53" s="357" t="str">
        <f t="shared" si="7"/>
        <v/>
      </c>
      <c r="AF53" s="357" t="str" cm="1">
        <f t="array" aca="1" ref="AF53" ca="1">IFERROR(INDEX($AE$14:$AE$99,SMALL(IF($AE$14:$AE$99&lt;&gt;"",ROW($AE$14:$AE$99)-ROW(INDIRECT("$AE$13"))+1),ROW(INDIRECT("A" &amp; AB53 ) ))),"")</f>
        <v/>
      </c>
      <c r="AG53" s="357" t="str">
        <f t="shared" si="8"/>
        <v/>
      </c>
      <c r="AH53" s="357" t="str" cm="1">
        <f t="array" aca="1" ref="AH53" ca="1">IFERROR(INDEX($AG$14:$AG$99,SMALL(IF($AG$14:$AG$99&lt;&gt;"",ROW($AG$14:$AG$99)-ROW(INDIRECT("$AG$13"))+1),ROW(INDIRECT("A" &amp; AB53 ) ))),"")</f>
        <v/>
      </c>
      <c r="AI53" s="357" t="str">
        <f t="shared" si="9"/>
        <v/>
      </c>
      <c r="AJ53" s="357" t="str" cm="1">
        <f t="array" aca="1" ref="AJ53" ca="1">IFERROR(INDEX($AI$14:$AI$99,SMALL(IF($AI$14:$AI$99&lt;&gt;"",ROW($AI$14:$AI$99)-ROW(INDIRECT("$AI$13"))+1),ROW(INDIRECT("A" &amp; AB53 ) ))),"")</f>
        <v/>
      </c>
    </row>
    <row r="54" spans="28:36" ht="20.100000000000001" customHeight="1" x14ac:dyDescent="0.45">
      <c r="AB54" s="315">
        <f t="shared" si="5"/>
        <v>41</v>
      </c>
      <c r="AC54" s="357" t="str">
        <f t="shared" si="6"/>
        <v/>
      </c>
      <c r="AD54" s="357" t="str" cm="1">
        <f t="array" aca="1" ref="AD54" ca="1">IFERROR(INDEX($AC$14:$AC$99,SMALL(IF($AC$14:$AC$99&lt;&gt;"",ROW($AC$14:$AC$99)-ROW(INDIRECT("$AC$13"))+1),ROW(INDIRECT("A" &amp; AB54 ) ))),"")</f>
        <v/>
      </c>
      <c r="AE54" s="357" t="str">
        <f t="shared" si="7"/>
        <v/>
      </c>
      <c r="AF54" s="357" t="str" cm="1">
        <f t="array" aca="1" ref="AF54" ca="1">IFERROR(INDEX($AE$14:$AE$99,SMALL(IF($AE$14:$AE$99&lt;&gt;"",ROW($AE$14:$AE$99)-ROW(INDIRECT("$AE$13"))+1),ROW(INDIRECT("A" &amp; AB54 ) ))),"")</f>
        <v/>
      </c>
      <c r="AG54" s="357" t="str">
        <f t="shared" si="8"/>
        <v/>
      </c>
      <c r="AH54" s="357" t="str" cm="1">
        <f t="array" aca="1" ref="AH54" ca="1">IFERROR(INDEX($AG$14:$AG$99,SMALL(IF($AG$14:$AG$99&lt;&gt;"",ROW($AG$14:$AG$99)-ROW(INDIRECT("$AG$13"))+1),ROW(INDIRECT("A" &amp; AB54 ) ))),"")</f>
        <v/>
      </c>
      <c r="AI54" s="357" t="str">
        <f t="shared" si="9"/>
        <v/>
      </c>
      <c r="AJ54" s="357" t="str" cm="1">
        <f t="array" aca="1" ref="AJ54" ca="1">IFERROR(INDEX($AI$14:$AI$99,SMALL(IF($AI$14:$AI$99&lt;&gt;"",ROW($AI$14:$AI$99)-ROW(INDIRECT("$AI$13"))+1),ROW(INDIRECT("A" &amp; AB54 ) ))),"")</f>
        <v/>
      </c>
    </row>
    <row r="55" spans="28:36" ht="20.100000000000001" customHeight="1" x14ac:dyDescent="0.45">
      <c r="AB55" s="315">
        <f t="shared" si="5"/>
        <v>42</v>
      </c>
      <c r="AC55" s="357" t="str">
        <f t="shared" si="6"/>
        <v/>
      </c>
      <c r="AD55" s="357" t="str" cm="1">
        <f t="array" aca="1" ref="AD55" ca="1">IFERROR(INDEX($AC$14:$AC$99,SMALL(IF($AC$14:$AC$99&lt;&gt;"",ROW($AC$14:$AC$99)-ROW(INDIRECT("$AC$13"))+1),ROW(INDIRECT("A" &amp; AB55 ) ))),"")</f>
        <v/>
      </c>
      <c r="AE55" s="357" t="str">
        <f t="shared" si="7"/>
        <v/>
      </c>
      <c r="AF55" s="357" t="str" cm="1">
        <f t="array" aca="1" ref="AF55" ca="1">IFERROR(INDEX($AE$14:$AE$99,SMALL(IF($AE$14:$AE$99&lt;&gt;"",ROW($AE$14:$AE$99)-ROW(INDIRECT("$AE$13"))+1),ROW(INDIRECT("A" &amp; AB55 ) ))),"")</f>
        <v/>
      </c>
      <c r="AG55" s="357" t="str">
        <f t="shared" si="8"/>
        <v/>
      </c>
      <c r="AH55" s="357" t="str" cm="1">
        <f t="array" aca="1" ref="AH55" ca="1">IFERROR(INDEX($AG$14:$AG$99,SMALL(IF($AG$14:$AG$99&lt;&gt;"",ROW($AG$14:$AG$99)-ROW(INDIRECT("$AG$13"))+1),ROW(INDIRECT("A" &amp; AB55 ) ))),"")</f>
        <v/>
      </c>
      <c r="AI55" s="357" t="str">
        <f t="shared" si="9"/>
        <v/>
      </c>
      <c r="AJ55" s="357" t="str" cm="1">
        <f t="array" aca="1" ref="AJ55" ca="1">IFERROR(INDEX($AI$14:$AI$99,SMALL(IF($AI$14:$AI$99&lt;&gt;"",ROW($AI$14:$AI$99)-ROW(INDIRECT("$AI$13"))+1),ROW(INDIRECT("A" &amp; AB55 ) ))),"")</f>
        <v/>
      </c>
    </row>
    <row r="56" spans="28:36" ht="20.100000000000001" customHeight="1" x14ac:dyDescent="0.45">
      <c r="AB56" s="315">
        <f t="shared" si="5"/>
        <v>43</v>
      </c>
      <c r="AC56" s="357" t="str">
        <f t="shared" si="6"/>
        <v/>
      </c>
      <c r="AD56" s="357" t="str" cm="1">
        <f t="array" aca="1" ref="AD56" ca="1">IFERROR(INDEX($AC$14:$AC$99,SMALL(IF($AC$14:$AC$99&lt;&gt;"",ROW($AC$14:$AC$99)-ROW(INDIRECT("$AC$13"))+1),ROW(INDIRECT("A" &amp; AB56 ) ))),"")</f>
        <v/>
      </c>
      <c r="AE56" s="357" t="str">
        <f t="shared" si="7"/>
        <v/>
      </c>
      <c r="AF56" s="357" t="str" cm="1">
        <f t="array" aca="1" ref="AF56" ca="1">IFERROR(INDEX($AE$14:$AE$99,SMALL(IF($AE$14:$AE$99&lt;&gt;"",ROW($AE$14:$AE$99)-ROW(INDIRECT("$AE$13"))+1),ROW(INDIRECT("A" &amp; AB56 ) ))),"")</f>
        <v/>
      </c>
      <c r="AG56" s="357" t="str">
        <f t="shared" si="8"/>
        <v/>
      </c>
      <c r="AH56" s="357" t="str" cm="1">
        <f t="array" aca="1" ref="AH56" ca="1">IFERROR(INDEX($AG$14:$AG$99,SMALL(IF($AG$14:$AG$99&lt;&gt;"",ROW($AG$14:$AG$99)-ROW(INDIRECT("$AG$13"))+1),ROW(INDIRECT("A" &amp; AB56 ) ))),"")</f>
        <v/>
      </c>
      <c r="AI56" s="357" t="str">
        <f t="shared" si="9"/>
        <v/>
      </c>
      <c r="AJ56" s="357" t="str" cm="1">
        <f t="array" aca="1" ref="AJ56" ca="1">IFERROR(INDEX($AI$14:$AI$99,SMALL(IF($AI$14:$AI$99&lt;&gt;"",ROW($AI$14:$AI$99)-ROW(INDIRECT("$AI$13"))+1),ROW(INDIRECT("A" &amp; AB56 ) ))),"")</f>
        <v/>
      </c>
    </row>
    <row r="57" spans="28:36" ht="20.100000000000001" customHeight="1" x14ac:dyDescent="0.45">
      <c r="AB57" s="315">
        <f t="shared" si="5"/>
        <v>44</v>
      </c>
      <c r="AC57" s="357" t="str">
        <f t="shared" si="6"/>
        <v/>
      </c>
      <c r="AD57" s="357" t="str" cm="1">
        <f t="array" aca="1" ref="AD57" ca="1">IFERROR(INDEX($AC$14:$AC$99,SMALL(IF($AC$14:$AC$99&lt;&gt;"",ROW($AC$14:$AC$99)-ROW(INDIRECT("$AC$13"))+1),ROW(INDIRECT("A" &amp; AB57 ) ))),"")</f>
        <v/>
      </c>
      <c r="AE57" s="357" t="str">
        <f t="shared" si="7"/>
        <v/>
      </c>
      <c r="AF57" s="357" t="str" cm="1">
        <f t="array" aca="1" ref="AF57" ca="1">IFERROR(INDEX($AE$14:$AE$99,SMALL(IF($AE$14:$AE$99&lt;&gt;"",ROW($AE$14:$AE$99)-ROW(INDIRECT("$AE$13"))+1),ROW(INDIRECT("A" &amp; AB57 ) ))),"")</f>
        <v/>
      </c>
      <c r="AG57" s="357" t="str">
        <f t="shared" si="8"/>
        <v/>
      </c>
      <c r="AH57" s="357" t="str" cm="1">
        <f t="array" aca="1" ref="AH57" ca="1">IFERROR(INDEX($AG$14:$AG$99,SMALL(IF($AG$14:$AG$99&lt;&gt;"",ROW($AG$14:$AG$99)-ROW(INDIRECT("$AG$13"))+1),ROW(INDIRECT("A" &amp; AB57 ) ))),"")</f>
        <v/>
      </c>
      <c r="AI57" s="357" t="str">
        <f t="shared" si="9"/>
        <v/>
      </c>
      <c r="AJ57" s="357" t="str" cm="1">
        <f t="array" aca="1" ref="AJ57" ca="1">IFERROR(INDEX($AI$14:$AI$99,SMALL(IF($AI$14:$AI$99&lt;&gt;"",ROW($AI$14:$AI$99)-ROW(INDIRECT("$AI$13"))+1),ROW(INDIRECT("A" &amp; AB57 ) ))),"")</f>
        <v/>
      </c>
    </row>
    <row r="58" spans="28:36" ht="20.100000000000001" customHeight="1" x14ac:dyDescent="0.45">
      <c r="AB58" s="315">
        <f t="shared" si="5"/>
        <v>45</v>
      </c>
      <c r="AC58" s="357" t="str">
        <f t="shared" si="6"/>
        <v/>
      </c>
      <c r="AD58" s="357" t="str" cm="1">
        <f t="array" aca="1" ref="AD58" ca="1">IFERROR(INDEX($AC$14:$AC$99,SMALL(IF($AC$14:$AC$99&lt;&gt;"",ROW($AC$14:$AC$99)-ROW(INDIRECT("$AC$13"))+1),ROW(INDIRECT("A" &amp; AB58 ) ))),"")</f>
        <v/>
      </c>
      <c r="AE58" s="357" t="str">
        <f t="shared" si="7"/>
        <v/>
      </c>
      <c r="AF58" s="357" t="str" cm="1">
        <f t="array" aca="1" ref="AF58" ca="1">IFERROR(INDEX($AE$14:$AE$99,SMALL(IF($AE$14:$AE$99&lt;&gt;"",ROW($AE$14:$AE$99)-ROW(INDIRECT("$AE$13"))+1),ROW(INDIRECT("A" &amp; AB58 ) ))),"")</f>
        <v/>
      </c>
      <c r="AG58" s="357" t="str">
        <f t="shared" si="8"/>
        <v/>
      </c>
      <c r="AH58" s="357" t="str" cm="1">
        <f t="array" aca="1" ref="AH58" ca="1">IFERROR(INDEX($AG$14:$AG$99,SMALL(IF($AG$14:$AG$99&lt;&gt;"",ROW($AG$14:$AG$99)-ROW(INDIRECT("$AG$13"))+1),ROW(INDIRECT("A" &amp; AB58 ) ))),"")</f>
        <v/>
      </c>
      <c r="AI58" s="357" t="str">
        <f t="shared" si="9"/>
        <v/>
      </c>
      <c r="AJ58" s="357" t="str" cm="1">
        <f t="array" aca="1" ref="AJ58" ca="1">IFERROR(INDEX($AI$14:$AI$99,SMALL(IF($AI$14:$AI$99&lt;&gt;"",ROW($AI$14:$AI$99)-ROW(INDIRECT("$AI$13"))+1),ROW(INDIRECT("A" &amp; AB58 ) ))),"")</f>
        <v/>
      </c>
    </row>
    <row r="59" spans="28:36" ht="20.100000000000001" customHeight="1" x14ac:dyDescent="0.45">
      <c r="AB59" s="315">
        <f t="shared" si="5"/>
        <v>46</v>
      </c>
      <c r="AC59" s="357" t="str">
        <f t="shared" si="6"/>
        <v/>
      </c>
      <c r="AD59" s="357" t="str" cm="1">
        <f t="array" aca="1" ref="AD59" ca="1">IFERROR(INDEX($AC$14:$AC$99,SMALL(IF($AC$14:$AC$99&lt;&gt;"",ROW($AC$14:$AC$99)-ROW(INDIRECT("$AC$13"))+1),ROW(INDIRECT("A" &amp; AB59 ) ))),"")</f>
        <v/>
      </c>
      <c r="AE59" s="357" t="str">
        <f t="shared" si="7"/>
        <v/>
      </c>
      <c r="AF59" s="357" t="str" cm="1">
        <f t="array" aca="1" ref="AF59" ca="1">IFERROR(INDEX($AE$14:$AE$99,SMALL(IF($AE$14:$AE$99&lt;&gt;"",ROW($AE$14:$AE$99)-ROW(INDIRECT("$AE$13"))+1),ROW(INDIRECT("A" &amp; AB59 ) ))),"")</f>
        <v/>
      </c>
      <c r="AG59" s="357" t="str">
        <f t="shared" si="8"/>
        <v/>
      </c>
      <c r="AH59" s="357" t="str" cm="1">
        <f t="array" aca="1" ref="AH59" ca="1">IFERROR(INDEX($AG$14:$AG$99,SMALL(IF($AG$14:$AG$99&lt;&gt;"",ROW($AG$14:$AG$99)-ROW(INDIRECT("$AG$13"))+1),ROW(INDIRECT("A" &amp; AB59 ) ))),"")</f>
        <v/>
      </c>
      <c r="AI59" s="357" t="str">
        <f t="shared" si="9"/>
        <v/>
      </c>
      <c r="AJ59" s="357" t="str" cm="1">
        <f t="array" aca="1" ref="AJ59" ca="1">IFERROR(INDEX($AI$14:$AI$99,SMALL(IF($AI$14:$AI$99&lt;&gt;"",ROW($AI$14:$AI$99)-ROW(INDIRECT("$AI$13"))+1),ROW(INDIRECT("A" &amp; AB59 ) ))),"")</f>
        <v/>
      </c>
    </row>
    <row r="60" spans="28:36" ht="20.100000000000001" customHeight="1" x14ac:dyDescent="0.45">
      <c r="AB60" s="315">
        <f t="shared" si="5"/>
        <v>47</v>
      </c>
      <c r="AC60" s="357" t="str">
        <f t="shared" si="6"/>
        <v/>
      </c>
      <c r="AD60" s="357" t="str" cm="1">
        <f t="array" aca="1" ref="AD60" ca="1">IFERROR(INDEX($AC$14:$AC$99,SMALL(IF($AC$14:$AC$99&lt;&gt;"",ROW($AC$14:$AC$99)-ROW(INDIRECT("$AC$13"))+1),ROW(INDIRECT("A" &amp; AB60 ) ))),"")</f>
        <v/>
      </c>
      <c r="AE60" s="357" t="str">
        <f t="shared" si="7"/>
        <v/>
      </c>
      <c r="AF60" s="357" t="str" cm="1">
        <f t="array" aca="1" ref="AF60" ca="1">IFERROR(INDEX($AE$14:$AE$99,SMALL(IF($AE$14:$AE$99&lt;&gt;"",ROW($AE$14:$AE$99)-ROW(INDIRECT("$AE$13"))+1),ROW(INDIRECT("A" &amp; AB60 ) ))),"")</f>
        <v/>
      </c>
      <c r="AG60" s="357" t="str">
        <f t="shared" si="8"/>
        <v/>
      </c>
      <c r="AH60" s="357" t="str" cm="1">
        <f t="array" aca="1" ref="AH60" ca="1">IFERROR(INDEX($AG$14:$AG$99,SMALL(IF($AG$14:$AG$99&lt;&gt;"",ROW($AG$14:$AG$99)-ROW(INDIRECT("$AG$13"))+1),ROW(INDIRECT("A" &amp; AB60 ) ))),"")</f>
        <v/>
      </c>
      <c r="AI60" s="357" t="str">
        <f t="shared" si="9"/>
        <v/>
      </c>
      <c r="AJ60" s="357" t="str" cm="1">
        <f t="array" aca="1" ref="AJ60" ca="1">IFERROR(INDEX($AI$14:$AI$99,SMALL(IF($AI$14:$AI$99&lt;&gt;"",ROW($AI$14:$AI$99)-ROW(INDIRECT("$AI$13"))+1),ROW(INDIRECT("A" &amp; AB60 ) ))),"")</f>
        <v/>
      </c>
    </row>
    <row r="61" spans="28:36" ht="20.100000000000001" customHeight="1" x14ac:dyDescent="0.45">
      <c r="AB61" s="315">
        <f t="shared" si="5"/>
        <v>48</v>
      </c>
      <c r="AC61" s="357" t="str">
        <f t="shared" si="6"/>
        <v/>
      </c>
      <c r="AD61" s="357" t="str" cm="1">
        <f t="array" aca="1" ref="AD61" ca="1">IFERROR(INDEX($AC$14:$AC$99,SMALL(IF($AC$14:$AC$99&lt;&gt;"",ROW($AC$14:$AC$99)-ROW(INDIRECT("$AC$13"))+1),ROW(INDIRECT("A" &amp; AB61 ) ))),"")</f>
        <v/>
      </c>
      <c r="AE61" s="357" t="str">
        <f t="shared" si="7"/>
        <v/>
      </c>
      <c r="AF61" s="357" t="str" cm="1">
        <f t="array" aca="1" ref="AF61" ca="1">IFERROR(INDEX($AE$14:$AE$99,SMALL(IF($AE$14:$AE$99&lt;&gt;"",ROW($AE$14:$AE$99)-ROW(INDIRECT("$AE$13"))+1),ROW(INDIRECT("A" &amp; AB61 ) ))),"")</f>
        <v/>
      </c>
      <c r="AG61" s="357" t="str">
        <f t="shared" si="8"/>
        <v/>
      </c>
      <c r="AH61" s="357" t="str" cm="1">
        <f t="array" aca="1" ref="AH61" ca="1">IFERROR(INDEX($AG$14:$AG$99,SMALL(IF($AG$14:$AG$99&lt;&gt;"",ROW($AG$14:$AG$99)-ROW(INDIRECT("$AG$13"))+1),ROW(INDIRECT("A" &amp; AB61 ) ))),"")</f>
        <v/>
      </c>
      <c r="AI61" s="357" t="str">
        <f t="shared" si="9"/>
        <v/>
      </c>
      <c r="AJ61" s="357" t="str" cm="1">
        <f t="array" aca="1" ref="AJ61" ca="1">IFERROR(INDEX($AI$14:$AI$99,SMALL(IF($AI$14:$AI$99&lt;&gt;"",ROW($AI$14:$AI$99)-ROW(INDIRECT("$AI$13"))+1),ROW(INDIRECT("A" &amp; AB61 ) ))),"")</f>
        <v/>
      </c>
    </row>
    <row r="62" spans="28:36" ht="20.100000000000001" customHeight="1" x14ac:dyDescent="0.45">
      <c r="AB62" s="315">
        <f t="shared" si="5"/>
        <v>49</v>
      </c>
      <c r="AC62" s="357" t="str">
        <f t="shared" si="6"/>
        <v/>
      </c>
      <c r="AD62" s="357" t="str" cm="1">
        <f t="array" aca="1" ref="AD62" ca="1">IFERROR(INDEX($AC$14:$AC$99,SMALL(IF($AC$14:$AC$99&lt;&gt;"",ROW($AC$14:$AC$99)-ROW(INDIRECT("$AC$13"))+1),ROW(INDIRECT("A" &amp; AB62 ) ))),"")</f>
        <v/>
      </c>
      <c r="AE62" s="357" t="str">
        <f t="shared" si="7"/>
        <v/>
      </c>
      <c r="AF62" s="357" t="str" cm="1">
        <f t="array" aca="1" ref="AF62" ca="1">IFERROR(INDEX($AE$14:$AE$99,SMALL(IF($AE$14:$AE$99&lt;&gt;"",ROW($AE$14:$AE$99)-ROW(INDIRECT("$AE$13"))+1),ROW(INDIRECT("A" &amp; AB62 ) ))),"")</f>
        <v/>
      </c>
      <c r="AG62" s="357" t="str">
        <f t="shared" si="8"/>
        <v/>
      </c>
      <c r="AH62" s="357" t="str" cm="1">
        <f t="array" aca="1" ref="AH62" ca="1">IFERROR(INDEX($AG$14:$AG$99,SMALL(IF($AG$14:$AG$99&lt;&gt;"",ROW($AG$14:$AG$99)-ROW(INDIRECT("$AG$13"))+1),ROW(INDIRECT("A" &amp; AB62 ) ))),"")</f>
        <v/>
      </c>
      <c r="AI62" s="357" t="str">
        <f t="shared" si="9"/>
        <v/>
      </c>
      <c r="AJ62" s="357" t="str" cm="1">
        <f t="array" aca="1" ref="AJ62" ca="1">IFERROR(INDEX($AI$14:$AI$99,SMALL(IF($AI$14:$AI$99&lt;&gt;"",ROW($AI$14:$AI$99)-ROW(INDIRECT("$AI$13"))+1),ROW(INDIRECT("A" &amp; AB62 ) ))),"")</f>
        <v/>
      </c>
    </row>
    <row r="63" spans="28:36" ht="20.100000000000001" customHeight="1" x14ac:dyDescent="0.45">
      <c r="AB63" s="315">
        <f t="shared" si="5"/>
        <v>50</v>
      </c>
      <c r="AC63" s="357" t="str">
        <f t="shared" si="6"/>
        <v/>
      </c>
      <c r="AD63" s="357" t="str" cm="1">
        <f t="array" aca="1" ref="AD63" ca="1">IFERROR(INDEX($AC$14:$AC$99,SMALL(IF($AC$14:$AC$99&lt;&gt;"",ROW($AC$14:$AC$99)-ROW(INDIRECT("$AC$13"))+1),ROW(INDIRECT("A" &amp; AB63 ) ))),"")</f>
        <v/>
      </c>
      <c r="AE63" s="357" t="str">
        <f t="shared" si="7"/>
        <v/>
      </c>
      <c r="AF63" s="357" t="str" cm="1">
        <f t="array" aca="1" ref="AF63" ca="1">IFERROR(INDEX($AE$14:$AE$99,SMALL(IF($AE$14:$AE$99&lt;&gt;"",ROW($AE$14:$AE$99)-ROW(INDIRECT("$AE$13"))+1),ROW(INDIRECT("A" &amp; AB63 ) ))),"")</f>
        <v/>
      </c>
      <c r="AG63" s="357" t="str">
        <f t="shared" si="8"/>
        <v/>
      </c>
      <c r="AH63" s="357" t="str" cm="1">
        <f t="array" aca="1" ref="AH63" ca="1">IFERROR(INDEX($AG$14:$AG$99,SMALL(IF($AG$14:$AG$99&lt;&gt;"",ROW($AG$14:$AG$99)-ROW(INDIRECT("$AG$13"))+1),ROW(INDIRECT("A" &amp; AB63 ) ))),"")</f>
        <v/>
      </c>
      <c r="AI63" s="357" t="str">
        <f t="shared" si="9"/>
        <v/>
      </c>
      <c r="AJ63" s="357" t="str" cm="1">
        <f t="array" aca="1" ref="AJ63" ca="1">IFERROR(INDEX($AI$14:$AI$99,SMALL(IF($AI$14:$AI$99&lt;&gt;"",ROW($AI$14:$AI$99)-ROW(INDIRECT("$AI$13"))+1),ROW(INDIRECT("A" &amp; AB63 ) ))),"")</f>
        <v/>
      </c>
    </row>
    <row r="64" spans="28:36" ht="20.100000000000001" customHeight="1" x14ac:dyDescent="0.45">
      <c r="AB64" s="315">
        <f t="shared" si="5"/>
        <v>51</v>
      </c>
      <c r="AC64" s="357" t="str">
        <f t="shared" si="6"/>
        <v/>
      </c>
      <c r="AD64" s="357" t="str" cm="1">
        <f t="array" aca="1" ref="AD64" ca="1">IFERROR(INDEX($AC$14:$AC$99,SMALL(IF($AC$14:$AC$99&lt;&gt;"",ROW($AC$14:$AC$99)-ROW(INDIRECT("$AC$13"))+1),ROW(INDIRECT("A" &amp; AB64 ) ))),"")</f>
        <v/>
      </c>
      <c r="AE64" s="357" t="str">
        <f t="shared" si="7"/>
        <v/>
      </c>
      <c r="AF64" s="357" t="str" cm="1">
        <f t="array" aca="1" ref="AF64" ca="1">IFERROR(INDEX($AE$14:$AE$99,SMALL(IF($AE$14:$AE$99&lt;&gt;"",ROW($AE$14:$AE$99)-ROW(INDIRECT("$AE$13"))+1),ROW(INDIRECT("A" &amp; AB64 ) ))),"")</f>
        <v/>
      </c>
      <c r="AG64" s="357" t="str">
        <f t="shared" si="8"/>
        <v/>
      </c>
      <c r="AH64" s="357" t="str" cm="1">
        <f t="array" aca="1" ref="AH64" ca="1">IFERROR(INDEX($AG$14:$AG$99,SMALL(IF($AG$14:$AG$99&lt;&gt;"",ROW($AG$14:$AG$99)-ROW(INDIRECT("$AG$13"))+1),ROW(INDIRECT("A" &amp; AB64 ) ))),"")</f>
        <v/>
      </c>
      <c r="AI64" s="357" t="str">
        <f t="shared" si="9"/>
        <v/>
      </c>
      <c r="AJ64" s="357" t="str" cm="1">
        <f t="array" aca="1" ref="AJ64" ca="1">IFERROR(INDEX($AI$14:$AI$99,SMALL(IF($AI$14:$AI$99&lt;&gt;"",ROW($AI$14:$AI$99)-ROW(INDIRECT("$AI$13"))+1),ROW(INDIRECT("A" &amp; AB64 ) ))),"")</f>
        <v/>
      </c>
    </row>
    <row r="65" spans="28:36" ht="20.100000000000001" customHeight="1" x14ac:dyDescent="0.45">
      <c r="AB65" s="315">
        <f t="shared" si="5"/>
        <v>52</v>
      </c>
      <c r="AC65" s="357" t="str">
        <f t="shared" si="6"/>
        <v/>
      </c>
      <c r="AD65" s="357" t="str" cm="1">
        <f t="array" aca="1" ref="AD65" ca="1">IFERROR(INDEX($AC$14:$AC$99,SMALL(IF($AC$14:$AC$99&lt;&gt;"",ROW($AC$14:$AC$99)-ROW(INDIRECT("$AC$13"))+1),ROW(INDIRECT("A" &amp; AB65 ) ))),"")</f>
        <v/>
      </c>
      <c r="AE65" s="357" t="str">
        <f t="shared" si="7"/>
        <v/>
      </c>
      <c r="AF65" s="357" t="str" cm="1">
        <f t="array" aca="1" ref="AF65" ca="1">IFERROR(INDEX($AE$14:$AE$99,SMALL(IF($AE$14:$AE$99&lt;&gt;"",ROW($AE$14:$AE$99)-ROW(INDIRECT("$AE$13"))+1),ROW(INDIRECT("A" &amp; AB65 ) ))),"")</f>
        <v/>
      </c>
      <c r="AG65" s="357" t="str">
        <f t="shared" si="8"/>
        <v/>
      </c>
      <c r="AH65" s="357" t="str" cm="1">
        <f t="array" aca="1" ref="AH65" ca="1">IFERROR(INDEX($AG$14:$AG$99,SMALL(IF($AG$14:$AG$99&lt;&gt;"",ROW($AG$14:$AG$99)-ROW(INDIRECT("$AG$13"))+1),ROW(INDIRECT("A" &amp; AB65 ) ))),"")</f>
        <v/>
      </c>
      <c r="AI65" s="357" t="str">
        <f t="shared" si="9"/>
        <v/>
      </c>
      <c r="AJ65" s="357" t="str" cm="1">
        <f t="array" aca="1" ref="AJ65" ca="1">IFERROR(INDEX($AI$14:$AI$99,SMALL(IF($AI$14:$AI$99&lt;&gt;"",ROW($AI$14:$AI$99)-ROW(INDIRECT("$AI$13"))+1),ROW(INDIRECT("A" &amp; AB65 ) ))),"")</f>
        <v/>
      </c>
    </row>
    <row r="66" spans="28:36" ht="20.100000000000001" customHeight="1" x14ac:dyDescent="0.45">
      <c r="AB66" s="315">
        <f t="shared" si="5"/>
        <v>53</v>
      </c>
      <c r="AC66" s="357" t="str">
        <f t="shared" si="6"/>
        <v/>
      </c>
      <c r="AD66" s="357" t="str" cm="1">
        <f t="array" aca="1" ref="AD66" ca="1">IFERROR(INDEX($AC$14:$AC$99,SMALL(IF($AC$14:$AC$99&lt;&gt;"",ROW($AC$14:$AC$99)-ROW(INDIRECT("$AC$13"))+1),ROW(INDIRECT("A" &amp; AB66 ) ))),"")</f>
        <v/>
      </c>
      <c r="AE66" s="357" t="str">
        <f t="shared" si="7"/>
        <v/>
      </c>
      <c r="AF66" s="357" t="str" cm="1">
        <f t="array" aca="1" ref="AF66" ca="1">IFERROR(INDEX($AE$14:$AE$99,SMALL(IF($AE$14:$AE$99&lt;&gt;"",ROW($AE$14:$AE$99)-ROW(INDIRECT("$AE$13"))+1),ROW(INDIRECT("A" &amp; AB66 ) ))),"")</f>
        <v/>
      </c>
      <c r="AG66" s="357" t="str">
        <f t="shared" si="8"/>
        <v/>
      </c>
      <c r="AH66" s="357" t="str" cm="1">
        <f t="array" aca="1" ref="AH66" ca="1">IFERROR(INDEX($AG$14:$AG$99,SMALL(IF($AG$14:$AG$99&lt;&gt;"",ROW($AG$14:$AG$99)-ROW(INDIRECT("$AG$13"))+1),ROW(INDIRECT("A" &amp; AB66 ) ))),"")</f>
        <v/>
      </c>
      <c r="AI66" s="357" t="str">
        <f t="shared" si="9"/>
        <v/>
      </c>
      <c r="AJ66" s="357" t="str" cm="1">
        <f t="array" aca="1" ref="AJ66" ca="1">IFERROR(INDEX($AI$14:$AI$99,SMALL(IF($AI$14:$AI$99&lt;&gt;"",ROW($AI$14:$AI$99)-ROW(INDIRECT("$AI$13"))+1),ROW(INDIRECT("A" &amp; AB66 ) ))),"")</f>
        <v/>
      </c>
    </row>
    <row r="67" spans="28:36" ht="20.100000000000001" customHeight="1" x14ac:dyDescent="0.45">
      <c r="AB67" s="315">
        <f t="shared" si="5"/>
        <v>54</v>
      </c>
      <c r="AC67" s="357" t="str">
        <f t="shared" si="6"/>
        <v/>
      </c>
      <c r="AD67" s="357" t="str" cm="1">
        <f t="array" aca="1" ref="AD67" ca="1">IFERROR(INDEX($AC$14:$AC$99,SMALL(IF($AC$14:$AC$99&lt;&gt;"",ROW($AC$14:$AC$99)-ROW(INDIRECT("$AC$13"))+1),ROW(INDIRECT("A" &amp; AB67 ) ))),"")</f>
        <v/>
      </c>
      <c r="AE67" s="357" t="str">
        <f t="shared" si="7"/>
        <v/>
      </c>
      <c r="AF67" s="357" t="str" cm="1">
        <f t="array" aca="1" ref="AF67" ca="1">IFERROR(INDEX($AE$14:$AE$99,SMALL(IF($AE$14:$AE$99&lt;&gt;"",ROW($AE$14:$AE$99)-ROW(INDIRECT("$AE$13"))+1),ROW(INDIRECT("A" &amp; AB67 ) ))),"")</f>
        <v/>
      </c>
      <c r="AG67" s="357" t="str">
        <f t="shared" si="8"/>
        <v/>
      </c>
      <c r="AH67" s="357" t="str" cm="1">
        <f t="array" aca="1" ref="AH67" ca="1">IFERROR(INDEX($AG$14:$AG$99,SMALL(IF($AG$14:$AG$99&lt;&gt;"",ROW($AG$14:$AG$99)-ROW(INDIRECT("$AG$13"))+1),ROW(INDIRECT("A" &amp; AB67 ) ))),"")</f>
        <v/>
      </c>
      <c r="AI67" s="357" t="str">
        <f t="shared" si="9"/>
        <v/>
      </c>
      <c r="AJ67" s="357" t="str" cm="1">
        <f t="array" aca="1" ref="AJ67" ca="1">IFERROR(INDEX($AI$14:$AI$99,SMALL(IF($AI$14:$AI$99&lt;&gt;"",ROW($AI$14:$AI$99)-ROW(INDIRECT("$AI$13"))+1),ROW(INDIRECT("A" &amp; AB67 ) ))),"")</f>
        <v/>
      </c>
    </row>
    <row r="68" spans="28:36" ht="20.100000000000001" customHeight="1" x14ac:dyDescent="0.45">
      <c r="AB68" s="315">
        <f t="shared" si="5"/>
        <v>55</v>
      </c>
      <c r="AC68" s="357" t="str">
        <f t="shared" si="6"/>
        <v/>
      </c>
      <c r="AD68" s="357" t="str" cm="1">
        <f t="array" aca="1" ref="AD68" ca="1">IFERROR(INDEX($AC$14:$AC$99,SMALL(IF($AC$14:$AC$99&lt;&gt;"",ROW($AC$14:$AC$99)-ROW(INDIRECT("$AC$13"))+1),ROW(INDIRECT("A" &amp; AB68 ) ))),"")</f>
        <v/>
      </c>
      <c r="AE68" s="357" t="str">
        <f t="shared" si="7"/>
        <v/>
      </c>
      <c r="AF68" s="357" t="str" cm="1">
        <f t="array" aca="1" ref="AF68" ca="1">IFERROR(INDEX($AE$14:$AE$99,SMALL(IF($AE$14:$AE$99&lt;&gt;"",ROW($AE$14:$AE$99)-ROW(INDIRECT("$AE$13"))+1),ROW(INDIRECT("A" &amp; AB68 ) ))),"")</f>
        <v/>
      </c>
      <c r="AG68" s="357" t="str">
        <f t="shared" si="8"/>
        <v/>
      </c>
      <c r="AH68" s="357" t="str" cm="1">
        <f t="array" aca="1" ref="AH68" ca="1">IFERROR(INDEX($AG$14:$AG$99,SMALL(IF($AG$14:$AG$99&lt;&gt;"",ROW($AG$14:$AG$99)-ROW(INDIRECT("$AG$13"))+1),ROW(INDIRECT("A" &amp; AB68 ) ))),"")</f>
        <v/>
      </c>
      <c r="AI68" s="357" t="str">
        <f t="shared" si="9"/>
        <v/>
      </c>
      <c r="AJ68" s="357" t="str" cm="1">
        <f t="array" aca="1" ref="AJ68" ca="1">IFERROR(INDEX($AI$14:$AI$99,SMALL(IF($AI$14:$AI$99&lt;&gt;"",ROW($AI$14:$AI$99)-ROW(INDIRECT("$AI$13"))+1),ROW(INDIRECT("A" &amp; AB68 ) ))),"")</f>
        <v/>
      </c>
    </row>
    <row r="69" spans="28:36" ht="20.100000000000001" customHeight="1" x14ac:dyDescent="0.45">
      <c r="AB69" s="315">
        <f t="shared" si="5"/>
        <v>56</v>
      </c>
      <c r="AC69" s="357" t="str">
        <f t="shared" si="6"/>
        <v/>
      </c>
      <c r="AD69" s="357" t="str" cm="1">
        <f t="array" aca="1" ref="AD69" ca="1">IFERROR(INDEX($AC$14:$AC$99,SMALL(IF($AC$14:$AC$99&lt;&gt;"",ROW($AC$14:$AC$99)-ROW(INDIRECT("$AC$13"))+1),ROW(INDIRECT("A" &amp; AB69 ) ))),"")</f>
        <v/>
      </c>
      <c r="AE69" s="357" t="str">
        <f t="shared" si="7"/>
        <v/>
      </c>
      <c r="AF69" s="357" t="str" cm="1">
        <f t="array" aca="1" ref="AF69" ca="1">IFERROR(INDEX($AE$14:$AE$99,SMALL(IF($AE$14:$AE$99&lt;&gt;"",ROW($AE$14:$AE$99)-ROW(INDIRECT("$AE$13"))+1),ROW(INDIRECT("A" &amp; AB69 ) ))),"")</f>
        <v/>
      </c>
      <c r="AG69" s="357" t="str">
        <f t="shared" si="8"/>
        <v/>
      </c>
      <c r="AH69" s="357" t="str" cm="1">
        <f t="array" aca="1" ref="AH69" ca="1">IFERROR(INDEX($AG$14:$AG$99,SMALL(IF($AG$14:$AG$99&lt;&gt;"",ROW($AG$14:$AG$99)-ROW(INDIRECT("$AG$13"))+1),ROW(INDIRECT("A" &amp; AB69 ) ))),"")</f>
        <v/>
      </c>
      <c r="AI69" s="357" t="str">
        <f t="shared" si="9"/>
        <v/>
      </c>
      <c r="AJ69" s="357" t="str" cm="1">
        <f t="array" aca="1" ref="AJ69" ca="1">IFERROR(INDEX($AI$14:$AI$99,SMALL(IF($AI$14:$AI$99&lt;&gt;"",ROW($AI$14:$AI$99)-ROW(INDIRECT("$AI$13"))+1),ROW(INDIRECT("A" &amp; AB69 ) ))),"")</f>
        <v/>
      </c>
    </row>
    <row r="70" spans="28:36" ht="20.100000000000001" customHeight="1" x14ac:dyDescent="0.45">
      <c r="AB70" s="315">
        <f t="shared" ref="AB70:AB91" si="10">ROW(A70)- $AD$2 +1</f>
        <v>57</v>
      </c>
      <c r="AC70" s="357" t="str">
        <f t="shared" si="6"/>
        <v/>
      </c>
      <c r="AD70" s="357" t="str" cm="1">
        <f t="array" aca="1" ref="AD70" ca="1">IFERROR(INDEX($AC$14:$AC$99,SMALL(IF($AC$14:$AC$99&lt;&gt;"",ROW($AC$14:$AC$99)-ROW(INDIRECT("$AC$13"))+1),ROW(INDIRECT("A" &amp; AB70 ) ))),"")</f>
        <v/>
      </c>
      <c r="AE70" s="357" t="str">
        <f t="shared" si="7"/>
        <v/>
      </c>
      <c r="AF70" s="357" t="str" cm="1">
        <f t="array" aca="1" ref="AF70" ca="1">IFERROR(INDEX($AE$14:$AE$99,SMALL(IF($AE$14:$AE$99&lt;&gt;"",ROW($AE$14:$AE$99)-ROW(INDIRECT("$AE$13"))+1),ROW(INDIRECT("A" &amp; AB70 ) ))),"")</f>
        <v/>
      </c>
      <c r="AG70" s="357" t="str">
        <f t="shared" si="8"/>
        <v/>
      </c>
      <c r="AH70" s="357" t="str" cm="1">
        <f t="array" aca="1" ref="AH70" ca="1">IFERROR(INDEX($AG$14:$AG$99,SMALL(IF($AG$14:$AG$99&lt;&gt;"",ROW($AG$14:$AG$99)-ROW(INDIRECT("$AG$13"))+1),ROW(INDIRECT("A" &amp; AB70 ) ))),"")</f>
        <v/>
      </c>
      <c r="AI70" s="357" t="str">
        <f t="shared" si="9"/>
        <v/>
      </c>
      <c r="AJ70" s="357" t="str" cm="1">
        <f t="array" aca="1" ref="AJ70" ca="1">IFERROR(INDEX($AI$14:$AI$99,SMALL(IF($AI$14:$AI$99&lt;&gt;"",ROW($AI$14:$AI$99)-ROW(INDIRECT("$AI$13"))+1),ROW(INDIRECT("A" &amp; AB70 ) ))),"")</f>
        <v/>
      </c>
    </row>
    <row r="71" spans="28:36" ht="20.100000000000001" customHeight="1" x14ac:dyDescent="0.45">
      <c r="AB71" s="315">
        <f t="shared" si="10"/>
        <v>58</v>
      </c>
      <c r="AC71" s="357" t="str">
        <f t="shared" si="6"/>
        <v/>
      </c>
      <c r="AD71" s="357" t="str" cm="1">
        <f t="array" aca="1" ref="AD71" ca="1">IFERROR(INDEX($AC$14:$AC$99,SMALL(IF($AC$14:$AC$99&lt;&gt;"",ROW($AC$14:$AC$99)-ROW(INDIRECT("$AC$13"))+1),ROW(INDIRECT("A" &amp; AB71 ) ))),"")</f>
        <v/>
      </c>
      <c r="AE71" s="357" t="str">
        <f t="shared" si="7"/>
        <v/>
      </c>
      <c r="AF71" s="357" t="str" cm="1">
        <f t="array" aca="1" ref="AF71" ca="1">IFERROR(INDEX($AE$14:$AE$99,SMALL(IF($AE$14:$AE$99&lt;&gt;"",ROW($AE$14:$AE$99)-ROW(INDIRECT("$AE$13"))+1),ROW(INDIRECT("A" &amp; AB71 ) ))),"")</f>
        <v/>
      </c>
      <c r="AG71" s="357" t="str">
        <f t="shared" si="8"/>
        <v/>
      </c>
      <c r="AH71" s="357" t="str" cm="1">
        <f t="array" aca="1" ref="AH71" ca="1">IFERROR(INDEX($AG$14:$AG$99,SMALL(IF($AG$14:$AG$99&lt;&gt;"",ROW($AG$14:$AG$99)-ROW(INDIRECT("$AG$13"))+1),ROW(INDIRECT("A" &amp; AB71 ) ))),"")</f>
        <v/>
      </c>
      <c r="AI71" s="357" t="str">
        <f t="shared" si="9"/>
        <v/>
      </c>
      <c r="AJ71" s="357" t="str" cm="1">
        <f t="array" aca="1" ref="AJ71" ca="1">IFERROR(INDEX($AI$14:$AI$99,SMALL(IF($AI$14:$AI$99&lt;&gt;"",ROW($AI$14:$AI$99)-ROW(INDIRECT("$AI$13"))+1),ROW(INDIRECT("A" &amp; AB71 ) ))),"")</f>
        <v/>
      </c>
    </row>
    <row r="72" spans="28:36" ht="20.100000000000001" customHeight="1" x14ac:dyDescent="0.45">
      <c r="AB72" s="315">
        <f t="shared" si="10"/>
        <v>59</v>
      </c>
      <c r="AC72" s="357" t="str">
        <f t="shared" si="6"/>
        <v/>
      </c>
      <c r="AD72" s="357" t="str" cm="1">
        <f t="array" aca="1" ref="AD72" ca="1">IFERROR(INDEX($AC$14:$AC$99,SMALL(IF($AC$14:$AC$99&lt;&gt;"",ROW($AC$14:$AC$99)-ROW(INDIRECT("$AC$13"))+1),ROW(INDIRECT("A" &amp; AB72 ) ))),"")</f>
        <v/>
      </c>
      <c r="AE72" s="357" t="str">
        <f t="shared" si="7"/>
        <v/>
      </c>
      <c r="AF72" s="357" t="str" cm="1">
        <f t="array" aca="1" ref="AF72" ca="1">IFERROR(INDEX($AE$14:$AE$99,SMALL(IF($AE$14:$AE$99&lt;&gt;"",ROW($AE$14:$AE$99)-ROW(INDIRECT("$AE$13"))+1),ROW(INDIRECT("A" &amp; AB72 ) ))),"")</f>
        <v/>
      </c>
      <c r="AG72" s="357" t="str">
        <f t="shared" si="8"/>
        <v/>
      </c>
      <c r="AH72" s="357" t="str" cm="1">
        <f t="array" aca="1" ref="AH72" ca="1">IFERROR(INDEX($AG$14:$AG$99,SMALL(IF($AG$14:$AG$99&lt;&gt;"",ROW($AG$14:$AG$99)-ROW(INDIRECT("$AG$13"))+1),ROW(INDIRECT("A" &amp; AB72 ) ))),"")</f>
        <v/>
      </c>
      <c r="AI72" s="357" t="str">
        <f t="shared" si="9"/>
        <v/>
      </c>
      <c r="AJ72" s="357" t="str" cm="1">
        <f t="array" aca="1" ref="AJ72" ca="1">IFERROR(INDEX($AI$14:$AI$99,SMALL(IF($AI$14:$AI$99&lt;&gt;"",ROW($AI$14:$AI$99)-ROW(INDIRECT("$AI$13"))+1),ROW(INDIRECT("A" &amp; AB72 ) ))),"")</f>
        <v/>
      </c>
    </row>
    <row r="73" spans="28:36" ht="20.100000000000001" customHeight="1" x14ac:dyDescent="0.45">
      <c r="AB73" s="315">
        <f t="shared" si="10"/>
        <v>60</v>
      </c>
      <c r="AC73" s="357" t="str">
        <f t="shared" si="6"/>
        <v/>
      </c>
      <c r="AD73" s="357" t="str" cm="1">
        <f t="array" aca="1" ref="AD73" ca="1">IFERROR(INDEX($AC$14:$AC$99,SMALL(IF($AC$14:$AC$99&lt;&gt;"",ROW($AC$14:$AC$99)-ROW(INDIRECT("$AC$13"))+1),ROW(INDIRECT("A" &amp; AB73 ) ))),"")</f>
        <v/>
      </c>
      <c r="AE73" s="357" t="str">
        <f t="shared" si="7"/>
        <v/>
      </c>
      <c r="AF73" s="357" t="str" cm="1">
        <f t="array" aca="1" ref="AF73" ca="1">IFERROR(INDEX($AE$14:$AE$99,SMALL(IF($AE$14:$AE$99&lt;&gt;"",ROW($AE$14:$AE$99)-ROW(INDIRECT("$AE$13"))+1),ROW(INDIRECT("A" &amp; AB73 ) ))),"")</f>
        <v/>
      </c>
      <c r="AG73" s="357" t="str">
        <f t="shared" si="8"/>
        <v/>
      </c>
      <c r="AH73" s="357" t="str" cm="1">
        <f t="array" aca="1" ref="AH73" ca="1">IFERROR(INDEX($AG$14:$AG$99,SMALL(IF($AG$14:$AG$99&lt;&gt;"",ROW($AG$14:$AG$99)-ROW(INDIRECT("$AG$13"))+1),ROW(INDIRECT("A" &amp; AB73 ) ))),"")</f>
        <v/>
      </c>
      <c r="AI73" s="357" t="str">
        <f t="shared" si="9"/>
        <v/>
      </c>
      <c r="AJ73" s="357" t="str" cm="1">
        <f t="array" aca="1" ref="AJ73" ca="1">IFERROR(INDEX($AI$14:$AI$99,SMALL(IF($AI$14:$AI$99&lt;&gt;"",ROW($AI$14:$AI$99)-ROW(INDIRECT("$AI$13"))+1),ROW(INDIRECT("A" &amp; AB73 ) ))),"")</f>
        <v/>
      </c>
    </row>
    <row r="74" spans="28:36" ht="20.100000000000001" customHeight="1" x14ac:dyDescent="0.45">
      <c r="AB74" s="315">
        <f t="shared" si="10"/>
        <v>61</v>
      </c>
      <c r="AC74" s="357" t="str">
        <f t="shared" ref="AC74:AC91" si="11">IF(AND($E74="Oui",$M74="Préleveur"),$F74,"")</f>
        <v/>
      </c>
      <c r="AD74" s="357" t="str" cm="1">
        <f t="array" aca="1" ref="AD74" ca="1">IFERROR(INDEX($AC$14:$AC$99,SMALL(IF($AC$14:$AC$99&lt;&gt;"",ROW($AC$14:$AC$99)-ROW(INDIRECT("$AC$13"))+1),ROW(INDIRECT("A" &amp; AB74 ) ))),"")</f>
        <v/>
      </c>
      <c r="AE74" s="357" t="str">
        <f t="shared" ref="AE74:AE91" si="12">IF(AND($E74="Oui",LEFT($M74,10) ="Débitmètre"),$F74,"")</f>
        <v/>
      </c>
      <c r="AF74" s="357" t="str" cm="1">
        <f t="array" aca="1" ref="AF74" ca="1">IFERROR(INDEX($AE$14:$AE$99,SMALL(IF($AE$14:$AE$99&lt;&gt;"",ROW($AE$14:$AE$99)-ROW(INDIRECT("$AE$13"))+1),ROW(INDIRECT("A" &amp; AB74 ) ))),"")</f>
        <v/>
      </c>
      <c r="AG74" s="357" t="str">
        <f t="shared" ref="AG74:AG91" si="13">IF(AND($E74="Oui",LEFT($M74,5) ="Sonde"),$F74,"")</f>
        <v/>
      </c>
      <c r="AH74" s="357" t="str" cm="1">
        <f t="array" aca="1" ref="AH74" ca="1">IFERROR(INDEX($AG$14:$AG$99,SMALL(IF($AG$14:$AG$99&lt;&gt;"",ROW($AG$14:$AG$99)-ROW(INDIRECT("$AG$13"))+1),ROW(INDIRECT("A" &amp; AB74 ) ))),"")</f>
        <v/>
      </c>
      <c r="AI74" s="357" t="str">
        <f t="shared" ref="AI74:AI91" si="14">IF(AND($E74="Oui", $F74 &lt;&gt; "", $M74 = ""),$F74,"")</f>
        <v/>
      </c>
      <c r="AJ74" s="357" t="str" cm="1">
        <f t="array" aca="1" ref="AJ74" ca="1">IFERROR(INDEX($AI$14:$AI$99,SMALL(IF($AI$14:$AI$99&lt;&gt;"",ROW($AI$14:$AI$99)-ROW(INDIRECT("$AI$13"))+1),ROW(INDIRECT("A" &amp; AB74 ) ))),"")</f>
        <v/>
      </c>
    </row>
    <row r="75" spans="28:36" ht="20.100000000000001" customHeight="1" x14ac:dyDescent="0.45">
      <c r="AB75" s="315">
        <f t="shared" si="10"/>
        <v>62</v>
      </c>
      <c r="AC75" s="357" t="str">
        <f t="shared" si="11"/>
        <v/>
      </c>
      <c r="AD75" s="357" t="str" cm="1">
        <f t="array" aca="1" ref="AD75" ca="1">IFERROR(INDEX($AC$14:$AC$99,SMALL(IF($AC$14:$AC$99&lt;&gt;"",ROW($AC$14:$AC$99)-ROW(INDIRECT("$AC$13"))+1),ROW(INDIRECT("A" &amp; AB75 ) ))),"")</f>
        <v/>
      </c>
      <c r="AE75" s="357" t="str">
        <f t="shared" si="12"/>
        <v/>
      </c>
      <c r="AF75" s="357" t="str" cm="1">
        <f t="array" aca="1" ref="AF75" ca="1">IFERROR(INDEX($AE$14:$AE$99,SMALL(IF($AE$14:$AE$99&lt;&gt;"",ROW($AE$14:$AE$99)-ROW(INDIRECT("$AE$13"))+1),ROW(INDIRECT("A" &amp; AB75 ) ))),"")</f>
        <v/>
      </c>
      <c r="AG75" s="357" t="str">
        <f t="shared" si="13"/>
        <v/>
      </c>
      <c r="AH75" s="357" t="str" cm="1">
        <f t="array" aca="1" ref="AH75" ca="1">IFERROR(INDEX($AG$14:$AG$99,SMALL(IF($AG$14:$AG$99&lt;&gt;"",ROW($AG$14:$AG$99)-ROW(INDIRECT("$AG$13"))+1),ROW(INDIRECT("A" &amp; AB75 ) ))),"")</f>
        <v/>
      </c>
      <c r="AI75" s="357" t="str">
        <f t="shared" si="14"/>
        <v/>
      </c>
      <c r="AJ75" s="357" t="str" cm="1">
        <f t="array" aca="1" ref="AJ75" ca="1">IFERROR(INDEX($AI$14:$AI$99,SMALL(IF($AI$14:$AI$99&lt;&gt;"",ROW($AI$14:$AI$99)-ROW(INDIRECT("$AI$13"))+1),ROW(INDIRECT("A" &amp; AB75 ) ))),"")</f>
        <v/>
      </c>
    </row>
    <row r="76" spans="28:36" ht="20.100000000000001" customHeight="1" x14ac:dyDescent="0.45">
      <c r="AB76" s="315">
        <f t="shared" si="10"/>
        <v>63</v>
      </c>
      <c r="AC76" s="357" t="str">
        <f t="shared" si="11"/>
        <v/>
      </c>
      <c r="AD76" s="357" t="str" cm="1">
        <f t="array" aca="1" ref="AD76" ca="1">IFERROR(INDEX($AC$14:$AC$99,SMALL(IF($AC$14:$AC$99&lt;&gt;"",ROW($AC$14:$AC$99)-ROW(INDIRECT("$AC$13"))+1),ROW(INDIRECT("A" &amp; AB76 ) ))),"")</f>
        <v/>
      </c>
      <c r="AE76" s="357" t="str">
        <f t="shared" si="12"/>
        <v/>
      </c>
      <c r="AF76" s="357" t="str" cm="1">
        <f t="array" aca="1" ref="AF76" ca="1">IFERROR(INDEX($AE$14:$AE$99,SMALL(IF($AE$14:$AE$99&lt;&gt;"",ROW($AE$14:$AE$99)-ROW(INDIRECT("$AE$13"))+1),ROW(INDIRECT("A" &amp; AB76 ) ))),"")</f>
        <v/>
      </c>
      <c r="AG76" s="357" t="str">
        <f t="shared" si="13"/>
        <v/>
      </c>
      <c r="AH76" s="357" t="str" cm="1">
        <f t="array" aca="1" ref="AH76" ca="1">IFERROR(INDEX($AG$14:$AG$99,SMALL(IF($AG$14:$AG$99&lt;&gt;"",ROW($AG$14:$AG$99)-ROW(INDIRECT("$AG$13"))+1),ROW(INDIRECT("A" &amp; AB76 ) ))),"")</f>
        <v/>
      </c>
      <c r="AI76" s="357" t="str">
        <f t="shared" si="14"/>
        <v/>
      </c>
      <c r="AJ76" s="357" t="str" cm="1">
        <f t="array" aca="1" ref="AJ76" ca="1">IFERROR(INDEX($AI$14:$AI$99,SMALL(IF($AI$14:$AI$99&lt;&gt;"",ROW($AI$14:$AI$99)-ROW(INDIRECT("$AI$13"))+1),ROW(INDIRECT("A" &amp; AB76 ) ))),"")</f>
        <v/>
      </c>
    </row>
    <row r="77" spans="28:36" ht="20.100000000000001" customHeight="1" x14ac:dyDescent="0.45">
      <c r="AB77" s="315">
        <f t="shared" si="10"/>
        <v>64</v>
      </c>
      <c r="AC77" s="357" t="str">
        <f t="shared" si="11"/>
        <v/>
      </c>
      <c r="AD77" s="357" t="str" cm="1">
        <f t="array" aca="1" ref="AD77" ca="1">IFERROR(INDEX($AC$14:$AC$99,SMALL(IF($AC$14:$AC$99&lt;&gt;"",ROW($AC$14:$AC$99)-ROW(INDIRECT("$AC$13"))+1),ROW(INDIRECT("A" &amp; AB77 ) ))),"")</f>
        <v/>
      </c>
      <c r="AE77" s="357" t="str">
        <f t="shared" si="12"/>
        <v/>
      </c>
      <c r="AF77" s="357" t="str" cm="1">
        <f t="array" aca="1" ref="AF77" ca="1">IFERROR(INDEX($AE$14:$AE$99,SMALL(IF($AE$14:$AE$99&lt;&gt;"",ROW($AE$14:$AE$99)-ROW(INDIRECT("$AE$13"))+1),ROW(INDIRECT("A" &amp; AB77 ) ))),"")</f>
        <v/>
      </c>
      <c r="AG77" s="357" t="str">
        <f t="shared" si="13"/>
        <v/>
      </c>
      <c r="AH77" s="357" t="str" cm="1">
        <f t="array" aca="1" ref="AH77" ca="1">IFERROR(INDEX($AG$14:$AG$99,SMALL(IF($AG$14:$AG$99&lt;&gt;"",ROW($AG$14:$AG$99)-ROW(INDIRECT("$AG$13"))+1),ROW(INDIRECT("A" &amp; AB77 ) ))),"")</f>
        <v/>
      </c>
      <c r="AI77" s="357" t="str">
        <f t="shared" si="14"/>
        <v/>
      </c>
      <c r="AJ77" s="357" t="str" cm="1">
        <f t="array" aca="1" ref="AJ77" ca="1">IFERROR(INDEX($AI$14:$AI$99,SMALL(IF($AI$14:$AI$99&lt;&gt;"",ROW($AI$14:$AI$99)-ROW(INDIRECT("$AI$13"))+1),ROW(INDIRECT("A" &amp; AB77 ) ))),"")</f>
        <v/>
      </c>
    </row>
    <row r="78" spans="28:36" ht="20.100000000000001" customHeight="1" x14ac:dyDescent="0.45">
      <c r="AB78" s="315">
        <f t="shared" si="10"/>
        <v>65</v>
      </c>
      <c r="AC78" s="357" t="str">
        <f t="shared" si="11"/>
        <v/>
      </c>
      <c r="AD78" s="357" t="str" cm="1">
        <f t="array" aca="1" ref="AD78" ca="1">IFERROR(INDEX($AC$14:$AC$99,SMALL(IF($AC$14:$AC$99&lt;&gt;"",ROW($AC$14:$AC$99)-ROW(INDIRECT("$AC$13"))+1),ROW(INDIRECT("A" &amp; AB78 ) ))),"")</f>
        <v/>
      </c>
      <c r="AE78" s="357" t="str">
        <f t="shared" si="12"/>
        <v/>
      </c>
      <c r="AF78" s="357" t="str" cm="1">
        <f t="array" aca="1" ref="AF78" ca="1">IFERROR(INDEX($AE$14:$AE$99,SMALL(IF($AE$14:$AE$99&lt;&gt;"",ROW($AE$14:$AE$99)-ROW(INDIRECT("$AE$13"))+1),ROW(INDIRECT("A" &amp; AB78 ) ))),"")</f>
        <v/>
      </c>
      <c r="AG78" s="357" t="str">
        <f t="shared" si="13"/>
        <v/>
      </c>
      <c r="AH78" s="357" t="str" cm="1">
        <f t="array" aca="1" ref="AH78" ca="1">IFERROR(INDEX($AG$14:$AG$99,SMALL(IF($AG$14:$AG$99&lt;&gt;"",ROW($AG$14:$AG$99)-ROW(INDIRECT("$AG$13"))+1),ROW(INDIRECT("A" &amp; AB78 ) ))),"")</f>
        <v/>
      </c>
      <c r="AI78" s="357" t="str">
        <f t="shared" si="14"/>
        <v/>
      </c>
      <c r="AJ78" s="357" t="str" cm="1">
        <f t="array" aca="1" ref="AJ78" ca="1">IFERROR(INDEX($AI$14:$AI$99,SMALL(IF($AI$14:$AI$99&lt;&gt;"",ROW($AI$14:$AI$99)-ROW(INDIRECT("$AI$13"))+1),ROW(INDIRECT("A" &amp; AB78 ) ))),"")</f>
        <v/>
      </c>
    </row>
    <row r="79" spans="28:36" ht="20.100000000000001" customHeight="1" x14ac:dyDescent="0.45">
      <c r="AB79" s="315">
        <f t="shared" si="10"/>
        <v>66</v>
      </c>
      <c r="AC79" s="357" t="str">
        <f t="shared" si="11"/>
        <v/>
      </c>
      <c r="AD79" s="357" t="str" cm="1">
        <f t="array" aca="1" ref="AD79" ca="1">IFERROR(INDEX($AC$14:$AC$99,SMALL(IF($AC$14:$AC$99&lt;&gt;"",ROW($AC$14:$AC$99)-ROW(INDIRECT("$AC$13"))+1),ROW(INDIRECT("A" &amp; AB79 ) ))),"")</f>
        <v/>
      </c>
      <c r="AE79" s="357" t="str">
        <f t="shared" si="12"/>
        <v/>
      </c>
      <c r="AF79" s="357" t="str" cm="1">
        <f t="array" aca="1" ref="AF79" ca="1">IFERROR(INDEX($AE$14:$AE$99,SMALL(IF($AE$14:$AE$99&lt;&gt;"",ROW($AE$14:$AE$99)-ROW(INDIRECT("$AE$13"))+1),ROW(INDIRECT("A" &amp; AB79 ) ))),"")</f>
        <v/>
      </c>
      <c r="AG79" s="357" t="str">
        <f t="shared" si="13"/>
        <v/>
      </c>
      <c r="AH79" s="357" t="str" cm="1">
        <f t="array" aca="1" ref="AH79" ca="1">IFERROR(INDEX($AG$14:$AG$99,SMALL(IF($AG$14:$AG$99&lt;&gt;"",ROW($AG$14:$AG$99)-ROW(INDIRECT("$AG$13"))+1),ROW(INDIRECT("A" &amp; AB79 ) ))),"")</f>
        <v/>
      </c>
      <c r="AI79" s="357" t="str">
        <f t="shared" si="14"/>
        <v/>
      </c>
      <c r="AJ79" s="357" t="str" cm="1">
        <f t="array" aca="1" ref="AJ79" ca="1">IFERROR(INDEX($AI$14:$AI$99,SMALL(IF($AI$14:$AI$99&lt;&gt;"",ROW($AI$14:$AI$99)-ROW(INDIRECT("$AI$13"))+1),ROW(INDIRECT("A" &amp; AB79 ) ))),"")</f>
        <v/>
      </c>
    </row>
    <row r="80" spans="28:36" ht="20.100000000000001" customHeight="1" x14ac:dyDescent="0.45">
      <c r="AB80" s="315">
        <f t="shared" si="10"/>
        <v>67</v>
      </c>
      <c r="AC80" s="357" t="str">
        <f t="shared" si="11"/>
        <v/>
      </c>
      <c r="AD80" s="357" t="str" cm="1">
        <f t="array" aca="1" ref="AD80" ca="1">IFERROR(INDEX($AC$14:$AC$99,SMALL(IF($AC$14:$AC$99&lt;&gt;"",ROW($AC$14:$AC$99)-ROW(INDIRECT("$AC$13"))+1),ROW(INDIRECT("A" &amp; AB80 ) ))),"")</f>
        <v/>
      </c>
      <c r="AE80" s="357" t="str">
        <f t="shared" si="12"/>
        <v/>
      </c>
      <c r="AF80" s="357" t="str" cm="1">
        <f t="array" aca="1" ref="AF80" ca="1">IFERROR(INDEX($AE$14:$AE$99,SMALL(IF($AE$14:$AE$99&lt;&gt;"",ROW($AE$14:$AE$99)-ROW(INDIRECT("$AE$13"))+1),ROW(INDIRECT("A" &amp; AB80 ) ))),"")</f>
        <v/>
      </c>
      <c r="AG80" s="357" t="str">
        <f t="shared" si="13"/>
        <v/>
      </c>
      <c r="AH80" s="357" t="str" cm="1">
        <f t="array" aca="1" ref="AH80" ca="1">IFERROR(INDEX($AG$14:$AG$99,SMALL(IF($AG$14:$AG$99&lt;&gt;"",ROW($AG$14:$AG$99)-ROW(INDIRECT("$AG$13"))+1),ROW(INDIRECT("A" &amp; AB80 ) ))),"")</f>
        <v/>
      </c>
      <c r="AI80" s="357" t="str">
        <f t="shared" si="14"/>
        <v/>
      </c>
      <c r="AJ80" s="357" t="str" cm="1">
        <f t="array" aca="1" ref="AJ80" ca="1">IFERROR(INDEX($AI$14:$AI$99,SMALL(IF($AI$14:$AI$99&lt;&gt;"",ROW($AI$14:$AI$99)-ROW(INDIRECT("$AI$13"))+1),ROW(INDIRECT("A" &amp; AB80 ) ))),"")</f>
        <v/>
      </c>
    </row>
    <row r="81" spans="28:36" ht="20.100000000000001" customHeight="1" x14ac:dyDescent="0.45">
      <c r="AB81" s="315">
        <f t="shared" si="10"/>
        <v>68</v>
      </c>
      <c r="AC81" s="357" t="str">
        <f t="shared" si="11"/>
        <v/>
      </c>
      <c r="AD81" s="357" t="str" cm="1">
        <f t="array" aca="1" ref="AD81" ca="1">IFERROR(INDEX($AC$14:$AC$99,SMALL(IF($AC$14:$AC$99&lt;&gt;"",ROW($AC$14:$AC$99)-ROW(INDIRECT("$AC$13"))+1),ROW(INDIRECT("A" &amp; AB81 ) ))),"")</f>
        <v/>
      </c>
      <c r="AE81" s="357" t="str">
        <f t="shared" si="12"/>
        <v/>
      </c>
      <c r="AF81" s="357" t="str" cm="1">
        <f t="array" aca="1" ref="AF81" ca="1">IFERROR(INDEX($AE$14:$AE$99,SMALL(IF($AE$14:$AE$99&lt;&gt;"",ROW($AE$14:$AE$99)-ROW(INDIRECT("$AE$13"))+1),ROW(INDIRECT("A" &amp; AB81 ) ))),"")</f>
        <v/>
      </c>
      <c r="AG81" s="357" t="str">
        <f t="shared" si="13"/>
        <v/>
      </c>
      <c r="AH81" s="357" t="str" cm="1">
        <f t="array" aca="1" ref="AH81" ca="1">IFERROR(INDEX($AG$14:$AG$99,SMALL(IF($AG$14:$AG$99&lt;&gt;"",ROW($AG$14:$AG$99)-ROW(INDIRECT("$AG$13"))+1),ROW(INDIRECT("A" &amp; AB81 ) ))),"")</f>
        <v/>
      </c>
      <c r="AI81" s="357" t="str">
        <f t="shared" si="14"/>
        <v/>
      </c>
      <c r="AJ81" s="357" t="str" cm="1">
        <f t="array" aca="1" ref="AJ81" ca="1">IFERROR(INDEX($AI$14:$AI$99,SMALL(IF($AI$14:$AI$99&lt;&gt;"",ROW($AI$14:$AI$99)-ROW(INDIRECT("$AI$13"))+1),ROW(INDIRECT("A" &amp; AB81 ) ))),"")</f>
        <v/>
      </c>
    </row>
    <row r="82" spans="28:36" ht="20.100000000000001" customHeight="1" x14ac:dyDescent="0.45">
      <c r="AB82" s="315">
        <f t="shared" si="10"/>
        <v>69</v>
      </c>
      <c r="AC82" s="357" t="str">
        <f t="shared" si="11"/>
        <v/>
      </c>
      <c r="AD82" s="357" t="str" cm="1">
        <f t="array" aca="1" ref="AD82" ca="1">IFERROR(INDEX($AC$14:$AC$99,SMALL(IF($AC$14:$AC$99&lt;&gt;"",ROW($AC$14:$AC$99)-ROW(INDIRECT("$AC$13"))+1),ROW(INDIRECT("A" &amp; AB82 ) ))),"")</f>
        <v/>
      </c>
      <c r="AE82" s="357" t="str">
        <f t="shared" si="12"/>
        <v/>
      </c>
      <c r="AF82" s="357" t="str" cm="1">
        <f t="array" aca="1" ref="AF82" ca="1">IFERROR(INDEX($AE$14:$AE$99,SMALL(IF($AE$14:$AE$99&lt;&gt;"",ROW($AE$14:$AE$99)-ROW(INDIRECT("$AE$13"))+1),ROW(INDIRECT("A" &amp; AB82 ) ))),"")</f>
        <v/>
      </c>
      <c r="AG82" s="357" t="str">
        <f t="shared" si="13"/>
        <v/>
      </c>
      <c r="AH82" s="357" t="str" cm="1">
        <f t="array" aca="1" ref="AH82" ca="1">IFERROR(INDEX($AG$14:$AG$99,SMALL(IF($AG$14:$AG$99&lt;&gt;"",ROW($AG$14:$AG$99)-ROW(INDIRECT("$AG$13"))+1),ROW(INDIRECT("A" &amp; AB82 ) ))),"")</f>
        <v/>
      </c>
      <c r="AI82" s="357" t="str">
        <f t="shared" si="14"/>
        <v/>
      </c>
      <c r="AJ82" s="357" t="str" cm="1">
        <f t="array" aca="1" ref="AJ82" ca="1">IFERROR(INDEX($AI$14:$AI$99,SMALL(IF($AI$14:$AI$99&lt;&gt;"",ROW($AI$14:$AI$99)-ROW(INDIRECT("$AI$13"))+1),ROW(INDIRECT("A" &amp; AB82 ) ))),"")</f>
        <v/>
      </c>
    </row>
    <row r="83" spans="28:36" ht="20.100000000000001" customHeight="1" x14ac:dyDescent="0.45">
      <c r="AB83" s="315">
        <f t="shared" si="10"/>
        <v>70</v>
      </c>
      <c r="AC83" s="357" t="str">
        <f t="shared" si="11"/>
        <v/>
      </c>
      <c r="AD83" s="357" t="str" cm="1">
        <f t="array" aca="1" ref="AD83" ca="1">IFERROR(INDEX($AC$14:$AC$99,SMALL(IF($AC$14:$AC$99&lt;&gt;"",ROW($AC$14:$AC$99)-ROW(INDIRECT("$AC$13"))+1),ROW(INDIRECT("A" &amp; AB83 ) ))),"")</f>
        <v/>
      </c>
      <c r="AE83" s="357" t="str">
        <f t="shared" si="12"/>
        <v/>
      </c>
      <c r="AF83" s="357" t="str" cm="1">
        <f t="array" aca="1" ref="AF83" ca="1">IFERROR(INDEX($AE$14:$AE$99,SMALL(IF($AE$14:$AE$99&lt;&gt;"",ROW($AE$14:$AE$99)-ROW(INDIRECT("$AE$13"))+1),ROW(INDIRECT("A" &amp; AB83 ) ))),"")</f>
        <v/>
      </c>
      <c r="AG83" s="357" t="str">
        <f t="shared" si="13"/>
        <v/>
      </c>
      <c r="AH83" s="357" t="str" cm="1">
        <f t="array" aca="1" ref="AH83" ca="1">IFERROR(INDEX($AG$14:$AG$99,SMALL(IF($AG$14:$AG$99&lt;&gt;"",ROW($AG$14:$AG$99)-ROW(INDIRECT("$AG$13"))+1),ROW(INDIRECT("A" &amp; AB83 ) ))),"")</f>
        <v/>
      </c>
      <c r="AI83" s="357" t="str">
        <f t="shared" si="14"/>
        <v/>
      </c>
      <c r="AJ83" s="357" t="str" cm="1">
        <f t="array" aca="1" ref="AJ83" ca="1">IFERROR(INDEX($AI$14:$AI$99,SMALL(IF($AI$14:$AI$99&lt;&gt;"",ROW($AI$14:$AI$99)-ROW(INDIRECT("$AI$13"))+1),ROW(INDIRECT("A" &amp; AB83 ) ))),"")</f>
        <v/>
      </c>
    </row>
    <row r="84" spans="28:36" ht="20.100000000000001" customHeight="1" x14ac:dyDescent="0.45">
      <c r="AB84" s="315">
        <f t="shared" si="10"/>
        <v>71</v>
      </c>
      <c r="AC84" s="357" t="str">
        <f t="shared" si="11"/>
        <v/>
      </c>
      <c r="AD84" s="357" t="str" cm="1">
        <f t="array" aca="1" ref="AD84" ca="1">IFERROR(INDEX($AC$14:$AC$99,SMALL(IF($AC$14:$AC$99&lt;&gt;"",ROW($AC$14:$AC$99)-ROW(INDIRECT("$AC$13"))+1),ROW(INDIRECT("A" &amp; AB84 ) ))),"")</f>
        <v/>
      </c>
      <c r="AE84" s="357" t="str">
        <f t="shared" si="12"/>
        <v/>
      </c>
      <c r="AF84" s="357" t="str" cm="1">
        <f t="array" aca="1" ref="AF84" ca="1">IFERROR(INDEX($AE$14:$AE$99,SMALL(IF($AE$14:$AE$99&lt;&gt;"",ROW($AE$14:$AE$99)-ROW(INDIRECT("$AE$13"))+1),ROW(INDIRECT("A" &amp; AB84 ) ))),"")</f>
        <v/>
      </c>
      <c r="AG84" s="357" t="str">
        <f t="shared" si="13"/>
        <v/>
      </c>
      <c r="AH84" s="357" t="str" cm="1">
        <f t="array" aca="1" ref="AH84" ca="1">IFERROR(INDEX($AG$14:$AG$99,SMALL(IF($AG$14:$AG$99&lt;&gt;"",ROW($AG$14:$AG$99)-ROW(INDIRECT("$AG$13"))+1),ROW(INDIRECT("A" &amp; AB84 ) ))),"")</f>
        <v/>
      </c>
      <c r="AI84" s="357" t="str">
        <f t="shared" si="14"/>
        <v/>
      </c>
      <c r="AJ84" s="357" t="str" cm="1">
        <f t="array" aca="1" ref="AJ84" ca="1">IFERROR(INDEX($AI$14:$AI$99,SMALL(IF($AI$14:$AI$99&lt;&gt;"",ROW($AI$14:$AI$99)-ROW(INDIRECT("$AI$13"))+1),ROW(INDIRECT("A" &amp; AB84 ) ))),"")</f>
        <v/>
      </c>
    </row>
    <row r="85" spans="28:36" ht="20.100000000000001" customHeight="1" x14ac:dyDescent="0.45">
      <c r="AB85" s="315">
        <f t="shared" si="10"/>
        <v>72</v>
      </c>
      <c r="AC85" s="357" t="str">
        <f t="shared" si="11"/>
        <v/>
      </c>
      <c r="AD85" s="357" t="str" cm="1">
        <f t="array" aca="1" ref="AD85" ca="1">IFERROR(INDEX($AC$14:$AC$99,SMALL(IF($AC$14:$AC$99&lt;&gt;"",ROW($AC$14:$AC$99)-ROW(INDIRECT("$AC$13"))+1),ROW(INDIRECT("A" &amp; AB85 ) ))),"")</f>
        <v/>
      </c>
      <c r="AE85" s="357" t="str">
        <f t="shared" si="12"/>
        <v/>
      </c>
      <c r="AF85" s="357" t="str" cm="1">
        <f t="array" aca="1" ref="AF85" ca="1">IFERROR(INDEX($AE$14:$AE$99,SMALL(IF($AE$14:$AE$99&lt;&gt;"",ROW($AE$14:$AE$99)-ROW(INDIRECT("$AE$13"))+1),ROW(INDIRECT("A" &amp; AB85 ) ))),"")</f>
        <v/>
      </c>
      <c r="AG85" s="357" t="str">
        <f t="shared" si="13"/>
        <v/>
      </c>
      <c r="AH85" s="357" t="str" cm="1">
        <f t="array" aca="1" ref="AH85" ca="1">IFERROR(INDEX($AG$14:$AG$99,SMALL(IF($AG$14:$AG$99&lt;&gt;"",ROW($AG$14:$AG$99)-ROW(INDIRECT("$AG$13"))+1),ROW(INDIRECT("A" &amp; AB85 ) ))),"")</f>
        <v/>
      </c>
      <c r="AI85" s="357" t="str">
        <f t="shared" si="14"/>
        <v/>
      </c>
      <c r="AJ85" s="357" t="str" cm="1">
        <f t="array" aca="1" ref="AJ85" ca="1">IFERROR(INDEX($AI$14:$AI$99,SMALL(IF($AI$14:$AI$99&lt;&gt;"",ROW($AI$14:$AI$99)-ROW(INDIRECT("$AI$13"))+1),ROW(INDIRECT("A" &amp; AB85 ) ))),"")</f>
        <v/>
      </c>
    </row>
    <row r="86" spans="28:36" ht="20.100000000000001" customHeight="1" x14ac:dyDescent="0.45">
      <c r="AB86" s="315">
        <f t="shared" si="10"/>
        <v>73</v>
      </c>
      <c r="AC86" s="357" t="str">
        <f t="shared" si="11"/>
        <v/>
      </c>
      <c r="AD86" s="357" t="str" cm="1">
        <f t="array" aca="1" ref="AD86" ca="1">IFERROR(INDEX($AC$14:$AC$99,SMALL(IF($AC$14:$AC$99&lt;&gt;"",ROW($AC$14:$AC$99)-ROW(INDIRECT("$AC$13"))+1),ROW(INDIRECT("A" &amp; AB86 ) ))),"")</f>
        <v/>
      </c>
      <c r="AE86" s="357" t="str">
        <f t="shared" si="12"/>
        <v/>
      </c>
      <c r="AF86" s="357" t="str" cm="1">
        <f t="array" aca="1" ref="AF86" ca="1">IFERROR(INDEX($AE$14:$AE$99,SMALL(IF($AE$14:$AE$99&lt;&gt;"",ROW($AE$14:$AE$99)-ROW(INDIRECT("$AE$13"))+1),ROW(INDIRECT("A" &amp; AB86 ) ))),"")</f>
        <v/>
      </c>
      <c r="AG86" s="357" t="str">
        <f t="shared" si="13"/>
        <v/>
      </c>
      <c r="AH86" s="357" t="str" cm="1">
        <f t="array" aca="1" ref="AH86" ca="1">IFERROR(INDEX($AG$14:$AG$99,SMALL(IF($AG$14:$AG$99&lt;&gt;"",ROW($AG$14:$AG$99)-ROW(INDIRECT("$AG$13"))+1),ROW(INDIRECT("A" &amp; AB86 ) ))),"")</f>
        <v/>
      </c>
      <c r="AI86" s="357" t="str">
        <f t="shared" si="14"/>
        <v/>
      </c>
      <c r="AJ86" s="357" t="str" cm="1">
        <f t="array" aca="1" ref="AJ86" ca="1">IFERROR(INDEX($AI$14:$AI$99,SMALL(IF($AI$14:$AI$99&lt;&gt;"",ROW($AI$14:$AI$99)-ROW(INDIRECT("$AI$13"))+1),ROW(INDIRECT("A" &amp; AB86 ) ))),"")</f>
        <v/>
      </c>
    </row>
    <row r="87" spans="28:36" ht="20.100000000000001" customHeight="1" x14ac:dyDescent="0.45">
      <c r="AB87" s="315">
        <f t="shared" si="10"/>
        <v>74</v>
      </c>
      <c r="AC87" s="357" t="str">
        <f t="shared" si="11"/>
        <v/>
      </c>
      <c r="AD87" s="357" t="str" cm="1">
        <f t="array" aca="1" ref="AD87" ca="1">IFERROR(INDEX($AC$14:$AC$99,SMALL(IF($AC$14:$AC$99&lt;&gt;"",ROW($AC$14:$AC$99)-ROW(INDIRECT("$AC$13"))+1),ROW(INDIRECT("A" &amp; AB87 ) ))),"")</f>
        <v/>
      </c>
      <c r="AE87" s="357" t="str">
        <f t="shared" si="12"/>
        <v/>
      </c>
      <c r="AF87" s="357" t="str" cm="1">
        <f t="array" aca="1" ref="AF87" ca="1">IFERROR(INDEX($AE$14:$AE$99,SMALL(IF($AE$14:$AE$99&lt;&gt;"",ROW($AE$14:$AE$99)-ROW(INDIRECT("$AE$13"))+1),ROW(INDIRECT("A" &amp; AB87 ) ))),"")</f>
        <v/>
      </c>
      <c r="AG87" s="357" t="str">
        <f t="shared" si="13"/>
        <v/>
      </c>
      <c r="AH87" s="357" t="str" cm="1">
        <f t="array" aca="1" ref="AH87" ca="1">IFERROR(INDEX($AG$14:$AG$99,SMALL(IF($AG$14:$AG$99&lt;&gt;"",ROW($AG$14:$AG$99)-ROW(INDIRECT("$AG$13"))+1),ROW(INDIRECT("A" &amp; AB87 ) ))),"")</f>
        <v/>
      </c>
      <c r="AI87" s="357" t="str">
        <f t="shared" si="14"/>
        <v/>
      </c>
      <c r="AJ87" s="357" t="str" cm="1">
        <f t="array" aca="1" ref="AJ87" ca="1">IFERROR(INDEX($AI$14:$AI$99,SMALL(IF($AI$14:$AI$99&lt;&gt;"",ROW($AI$14:$AI$99)-ROW(INDIRECT("$AI$13"))+1),ROW(INDIRECT("A" &amp; AB87 ) ))),"")</f>
        <v/>
      </c>
    </row>
    <row r="88" spans="28:36" ht="20.100000000000001" customHeight="1" x14ac:dyDescent="0.45">
      <c r="AB88" s="315">
        <f t="shared" si="10"/>
        <v>75</v>
      </c>
      <c r="AC88" s="357" t="str">
        <f t="shared" si="11"/>
        <v/>
      </c>
      <c r="AD88" s="357" t="str" cm="1">
        <f t="array" aca="1" ref="AD88" ca="1">IFERROR(INDEX($AC$14:$AC$99,SMALL(IF($AC$14:$AC$99&lt;&gt;"",ROW($AC$14:$AC$99)-ROW(INDIRECT("$AC$13"))+1),ROW(INDIRECT("A" &amp; AB88 ) ))),"")</f>
        <v/>
      </c>
      <c r="AE88" s="357" t="str">
        <f t="shared" si="12"/>
        <v/>
      </c>
      <c r="AF88" s="357" t="str" cm="1">
        <f t="array" aca="1" ref="AF88" ca="1">IFERROR(INDEX($AE$14:$AE$99,SMALL(IF($AE$14:$AE$99&lt;&gt;"",ROW($AE$14:$AE$99)-ROW(INDIRECT("$AE$13"))+1),ROW(INDIRECT("A" &amp; AB88 ) ))),"")</f>
        <v/>
      </c>
      <c r="AG88" s="357" t="str">
        <f t="shared" si="13"/>
        <v/>
      </c>
      <c r="AH88" s="357" t="str" cm="1">
        <f t="array" aca="1" ref="AH88" ca="1">IFERROR(INDEX($AG$14:$AG$99,SMALL(IF($AG$14:$AG$99&lt;&gt;"",ROW($AG$14:$AG$99)-ROW(INDIRECT("$AG$13"))+1),ROW(INDIRECT("A" &amp; AB88 ) ))),"")</f>
        <v/>
      </c>
      <c r="AI88" s="357" t="str">
        <f t="shared" si="14"/>
        <v/>
      </c>
      <c r="AJ88" s="357" t="str" cm="1">
        <f t="array" aca="1" ref="AJ88" ca="1">IFERROR(INDEX($AI$14:$AI$99,SMALL(IF($AI$14:$AI$99&lt;&gt;"",ROW($AI$14:$AI$99)-ROW(INDIRECT("$AI$13"))+1),ROW(INDIRECT("A" &amp; AB88 ) ))),"")</f>
        <v/>
      </c>
    </row>
    <row r="89" spans="28:36" ht="20.100000000000001" customHeight="1" x14ac:dyDescent="0.45">
      <c r="AB89" s="315">
        <f t="shared" si="10"/>
        <v>76</v>
      </c>
      <c r="AC89" s="357" t="str">
        <f t="shared" si="11"/>
        <v/>
      </c>
      <c r="AD89" s="357" t="str" cm="1">
        <f t="array" aca="1" ref="AD89" ca="1">IFERROR(INDEX($AC$14:$AC$99,SMALL(IF($AC$14:$AC$99&lt;&gt;"",ROW($AC$14:$AC$99)-ROW(INDIRECT("$AC$13"))+1),ROW(INDIRECT("A" &amp; AB89 ) ))),"")</f>
        <v/>
      </c>
      <c r="AE89" s="357" t="str">
        <f t="shared" si="12"/>
        <v/>
      </c>
      <c r="AF89" s="357" t="str" cm="1">
        <f t="array" aca="1" ref="AF89" ca="1">IFERROR(INDEX($AE$14:$AE$99,SMALL(IF($AE$14:$AE$99&lt;&gt;"",ROW($AE$14:$AE$99)-ROW(INDIRECT("$AE$13"))+1),ROW(INDIRECT("A" &amp; AB89 ) ))),"")</f>
        <v/>
      </c>
      <c r="AG89" s="357" t="str">
        <f t="shared" si="13"/>
        <v/>
      </c>
      <c r="AH89" s="357" t="str" cm="1">
        <f t="array" aca="1" ref="AH89" ca="1">IFERROR(INDEX($AG$14:$AG$99,SMALL(IF($AG$14:$AG$99&lt;&gt;"",ROW($AG$14:$AG$99)-ROW(INDIRECT("$AG$13"))+1),ROW(INDIRECT("A" &amp; AB89 ) ))),"")</f>
        <v/>
      </c>
      <c r="AI89" s="357" t="str">
        <f t="shared" si="14"/>
        <v/>
      </c>
      <c r="AJ89" s="357" t="str" cm="1">
        <f t="array" aca="1" ref="AJ89" ca="1">IFERROR(INDEX($AI$14:$AI$99,SMALL(IF($AI$14:$AI$99&lt;&gt;"",ROW($AI$14:$AI$99)-ROW(INDIRECT("$AI$13"))+1),ROW(INDIRECT("A" &amp; AB89 ) ))),"")</f>
        <v/>
      </c>
    </row>
    <row r="90" spans="28:36" ht="20.100000000000001" customHeight="1" x14ac:dyDescent="0.45">
      <c r="AB90" s="315">
        <f t="shared" si="10"/>
        <v>77</v>
      </c>
      <c r="AC90" s="357" t="str">
        <f t="shared" si="11"/>
        <v/>
      </c>
      <c r="AD90" s="357" t="str" cm="1">
        <f t="array" aca="1" ref="AD90" ca="1">IFERROR(INDEX($AC$14:$AC$99,SMALL(IF($AC$14:$AC$99&lt;&gt;"",ROW($AC$14:$AC$99)-ROW(INDIRECT("$AC$13"))+1),ROW(INDIRECT("A" &amp; AB90 ) ))),"")</f>
        <v/>
      </c>
      <c r="AE90" s="357" t="str">
        <f t="shared" si="12"/>
        <v/>
      </c>
      <c r="AF90" s="357" t="str" cm="1">
        <f t="array" aca="1" ref="AF90" ca="1">IFERROR(INDEX($AE$14:$AE$99,SMALL(IF($AE$14:$AE$99&lt;&gt;"",ROW($AE$14:$AE$99)-ROW(INDIRECT("$AE$13"))+1),ROW(INDIRECT("A" &amp; AB90 ) ))),"")</f>
        <v/>
      </c>
      <c r="AG90" s="357" t="str">
        <f t="shared" si="13"/>
        <v/>
      </c>
      <c r="AH90" s="357" t="str" cm="1">
        <f t="array" aca="1" ref="AH90" ca="1">IFERROR(INDEX($AG$14:$AG$99,SMALL(IF($AG$14:$AG$99&lt;&gt;"",ROW($AG$14:$AG$99)-ROW(INDIRECT("$AG$13"))+1),ROW(INDIRECT("A" &amp; AB90 ) ))),"")</f>
        <v/>
      </c>
      <c r="AI90" s="357" t="str">
        <f t="shared" si="14"/>
        <v/>
      </c>
      <c r="AJ90" s="357" t="str" cm="1">
        <f t="array" aca="1" ref="AJ90" ca="1">IFERROR(INDEX($AI$14:$AI$99,SMALL(IF($AI$14:$AI$99&lt;&gt;"",ROW($AI$14:$AI$99)-ROW(INDIRECT("$AI$13"))+1),ROW(INDIRECT("A" &amp; AB90 ) ))),"")</f>
        <v/>
      </c>
    </row>
    <row r="91" spans="28:36" ht="20.100000000000001" customHeight="1" x14ac:dyDescent="0.45">
      <c r="AB91" s="315">
        <f t="shared" si="10"/>
        <v>78</v>
      </c>
      <c r="AC91" s="357" t="str">
        <f t="shared" si="11"/>
        <v/>
      </c>
      <c r="AD91" s="357" t="str" cm="1">
        <f t="array" aca="1" ref="AD91" ca="1">IFERROR(INDEX($AC$14:$AC$99,SMALL(IF($AC$14:$AC$99&lt;&gt;"",ROW($AC$14:$AC$99)-ROW(INDIRECT("$AC$13"))+1),ROW(INDIRECT("A" &amp; AB91 ) ))),"")</f>
        <v/>
      </c>
      <c r="AE91" s="357" t="str">
        <f t="shared" si="12"/>
        <v/>
      </c>
      <c r="AF91" s="357" t="str" cm="1">
        <f t="array" aca="1" ref="AF91" ca="1">IFERROR(INDEX($AE$14:$AE$99,SMALL(IF($AE$14:$AE$99&lt;&gt;"",ROW($AE$14:$AE$99)-ROW(INDIRECT("$AE$13"))+1),ROW(INDIRECT("A" &amp; AB91 ) ))),"")</f>
        <v/>
      </c>
      <c r="AG91" s="357" t="str">
        <f t="shared" si="13"/>
        <v/>
      </c>
      <c r="AH91" s="357" t="str" cm="1">
        <f t="array" aca="1" ref="AH91" ca="1">IFERROR(INDEX($AG$14:$AG$99,SMALL(IF($AG$14:$AG$99&lt;&gt;"",ROW($AG$14:$AG$99)-ROW(INDIRECT("$AG$13"))+1),ROW(INDIRECT("A" &amp; AB91 ) ))),"")</f>
        <v/>
      </c>
      <c r="AI91" s="357" t="str">
        <f t="shared" si="14"/>
        <v/>
      </c>
      <c r="AJ91" s="357" t="str" cm="1">
        <f t="array" aca="1" ref="AJ91" ca="1">IFERROR(INDEX($AI$14:$AI$99,SMALL(IF($AI$14:$AI$99&lt;&gt;"",ROW($AI$14:$AI$99)-ROW(INDIRECT("$AI$13"))+1),ROW(INDIRECT("A" &amp; AB91 ) ))),"")</f>
        <v/>
      </c>
    </row>
    <row r="92" spans="28:36" ht="20.100000000000001" customHeight="1" x14ac:dyDescent="0.45">
      <c r="AI92" s="357" t="str">
        <f t="shared" ref="AI92" si="15">IF(AND($E92="Oui", $M92 &lt;&gt; "", $M92 = ""),$F92,"")</f>
        <v/>
      </c>
      <c r="AJ92" s="357" t="str" cm="1">
        <f t="array" aca="1" ref="AJ92" ca="1">IFERROR(INDEX($AI$14:$AI$99,SMALL(IF($AI$14:$AI$99&lt;&gt;"",ROW($AI$14:$AI$99)-ROW(INDIRECT("$AI$13"))+1),ROW(INDIRECT("A" &amp; AB92 ) ))),"")</f>
        <v/>
      </c>
    </row>
  </sheetData>
  <sheetProtection algorithmName="SHA-512" hashValue="TKNqFkjYZi9YMXOfFPqjRnPaEgBra5GCj5ByEdxRoUgAWTKFuHXOLqFgNES1uC3fphXVUjYIapd7kpOtwFxkZQ==" saltValue="r1PwFf4t3Yb1nVa042dmoA==" spinCount="100000" sheet="1" objects="1" scenarios="1" formatRows="0"/>
  <autoFilter ref="E33:Q33" xr:uid="{00000000-0009-0000-0000-000007000000}">
    <filterColumn colId="1" showButton="0"/>
    <filterColumn colId="6" showButton="0"/>
    <filterColumn colId="8" showButton="0"/>
    <filterColumn colId="10" showButton="0"/>
    <filterColumn colId="11" showButton="0"/>
  </autoFilter>
  <mergeCells count="69">
    <mergeCell ref="L3:M3"/>
    <mergeCell ref="L4:M4"/>
    <mergeCell ref="L5:M5"/>
    <mergeCell ref="H12:Q12"/>
    <mergeCell ref="U6:V6"/>
    <mergeCell ref="U3:V3"/>
    <mergeCell ref="U4:V4"/>
    <mergeCell ref="S3:T3"/>
    <mergeCell ref="S4:T4"/>
    <mergeCell ref="U5:V5"/>
    <mergeCell ref="K35:T35"/>
    <mergeCell ref="K16:T17"/>
    <mergeCell ref="K45:T45"/>
    <mergeCell ref="E35:G35"/>
    <mergeCell ref="F42:G42"/>
    <mergeCell ref="AG13:AH13"/>
    <mergeCell ref="R33:T33"/>
    <mergeCell ref="E44:G44"/>
    <mergeCell ref="K44:T44"/>
    <mergeCell ref="K33:L33"/>
    <mergeCell ref="F33:G33"/>
    <mergeCell ref="C29:V29"/>
    <mergeCell ref="F22:G22"/>
    <mergeCell ref="K24:T24"/>
    <mergeCell ref="K25:T25"/>
    <mergeCell ref="E24:G24"/>
    <mergeCell ref="O33:Q33"/>
    <mergeCell ref="M33:N33"/>
    <mergeCell ref="E15:G15"/>
    <mergeCell ref="K15:T15"/>
    <mergeCell ref="K36:T37"/>
    <mergeCell ref="AI13:AJ13"/>
    <mergeCell ref="AE13:AF13"/>
    <mergeCell ref="Q13:R13"/>
    <mergeCell ref="N5:P5"/>
    <mergeCell ref="Q5:R5"/>
    <mergeCell ref="C8:V8"/>
    <mergeCell ref="H7:I7"/>
    <mergeCell ref="D7:E7"/>
    <mergeCell ref="F7:G7"/>
    <mergeCell ref="J7:K7"/>
    <mergeCell ref="AC13:AD13"/>
    <mergeCell ref="M13:N13"/>
    <mergeCell ref="O13:P13"/>
    <mergeCell ref="K13:L13"/>
    <mergeCell ref="F13:G13"/>
    <mergeCell ref="S13:T13"/>
    <mergeCell ref="C2:S2"/>
    <mergeCell ref="N6:P6"/>
    <mergeCell ref="L6:M6"/>
    <mergeCell ref="Q6:R6"/>
    <mergeCell ref="C5:E5"/>
    <mergeCell ref="C6:E6"/>
    <mergeCell ref="F5:H5"/>
    <mergeCell ref="F6:H6"/>
    <mergeCell ref="N4:P4"/>
    <mergeCell ref="N3:P3"/>
    <mergeCell ref="Q3:R3"/>
    <mergeCell ref="Q4:R4"/>
    <mergeCell ref="S5:T5"/>
    <mergeCell ref="S6:T6"/>
    <mergeCell ref="I5:K5"/>
    <mergeCell ref="I6:K6"/>
    <mergeCell ref="C3:E3"/>
    <mergeCell ref="C4:E4"/>
    <mergeCell ref="F3:H3"/>
    <mergeCell ref="F4:H4"/>
    <mergeCell ref="I3:K3"/>
    <mergeCell ref="I4:K4"/>
  </mergeCells>
  <phoneticPr fontId="14" type="noConversion"/>
  <conditionalFormatting sqref="E18:E21 D28 D45:F45 D46:E46">
    <cfRule type="cellIs" dxfId="62" priority="37" operator="equal">
      <formula>"Non"</formula>
    </cfRule>
    <cfRule type="cellIs" dxfId="61" priority="38" operator="equal">
      <formula>"Oui"</formula>
    </cfRule>
  </conditionalFormatting>
  <conditionalFormatting sqref="E22">
    <cfRule type="cellIs" dxfId="60" priority="121" stopIfTrue="1" operator="equal">
      <formula>"Non"</formula>
    </cfRule>
    <cfRule type="cellIs" dxfId="59" priority="122" stopIfTrue="1" operator="equal">
      <formula>"Oui"</formula>
    </cfRule>
  </conditionalFormatting>
  <conditionalFormatting sqref="E24">
    <cfRule type="cellIs" dxfId="58" priority="83" stopIfTrue="1" operator="equal">
      <formula>"Non"</formula>
    </cfRule>
    <cfRule type="cellIs" dxfId="57" priority="84" stopIfTrue="1" operator="equal">
      <formula>"Oui"</formula>
    </cfRule>
  </conditionalFormatting>
  <conditionalFormatting sqref="E42">
    <cfRule type="cellIs" dxfId="56" priority="101" stopIfTrue="1" operator="equal">
      <formula>"Non"</formula>
    </cfRule>
    <cfRule type="cellIs" dxfId="55" priority="102" stopIfTrue="1" operator="equal">
      <formula>"Oui"</formula>
    </cfRule>
  </conditionalFormatting>
  <dataValidations count="5">
    <dataValidation type="list" allowBlank="1" showInputMessage="1" showErrorMessage="1" sqref="K48" xr:uid="{00000000-0002-0000-0700-000000000000}">
      <formula1>LISTE_1</formula1>
    </dataValidation>
    <dataValidation allowBlank="1" showInputMessage="1" showErrorMessage="1" promptTitle="Double click" prompt="Pour utiliser cette fonction, faites un double click sur la cellule" sqref="E24:G24 E44 E15 E38 E35" xr:uid="{00000000-0002-0000-0700-000002000000}"/>
    <dataValidation allowBlank="1" showInputMessage="1" showErrorMessage="1" promptTitle="Champ obligatoire" prompt="La saisie du pluviomètre de référence est obligatoire" sqref="Q13:R13" xr:uid="{B1EB909C-DD9A-4529-AB67-D930E53B681D}"/>
    <dataValidation type="list" allowBlank="1" showInputMessage="1" showErrorMessage="1" sqref="Q5:R5" xr:uid="{639DDD7E-E771-4E66-9B9C-CE276F3F695A}">
      <formula1>Type_reseau</formula1>
    </dataValidation>
    <dataValidation allowBlank="1" showInputMessage="1" showErrorMessage="1" prompt="Attention, le code du point noté dans le MAS, le fichier SANDRE et la grille de cotation doivent être identiques" sqref="J13 J33" xr:uid="{997C1E12-5B4E-48B6-85C1-CEA80CCD3C38}"/>
  </dataValidations>
  <pageMargins left="0.7" right="0.7" top="0.75"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D264-86DD-4775-AE0E-6B2729B31037}">
  <sheetPr codeName="Feuil10">
    <tabColor theme="9" tint="-0.249977111117893"/>
  </sheetPr>
  <dimension ref="B1:AB123"/>
  <sheetViews>
    <sheetView tabSelected="1" workbookViewId="0">
      <selection activeCell="N10" sqref="N10"/>
    </sheetView>
  </sheetViews>
  <sheetFormatPr baseColWidth="10" defaultColWidth="11.41015625" defaultRowHeight="20.100000000000001" customHeight="1" outlineLevelRow="1" x14ac:dyDescent="0.4"/>
  <cols>
    <col min="1" max="2" width="2.703125" style="312" customWidth="1"/>
    <col min="3" max="3" width="3.703125" style="312" customWidth="1"/>
    <col min="4" max="8" width="12.703125" style="312" customWidth="1"/>
    <col min="9" max="9" width="15.234375" style="312" customWidth="1"/>
    <col min="10" max="27" width="12.703125" style="312" customWidth="1"/>
    <col min="28" max="29" width="2.703125" style="312" customWidth="1"/>
    <col min="30" max="33" width="11.41015625" style="312"/>
    <col min="34" max="35" width="16.41015625" style="312" customWidth="1"/>
    <col min="36" max="36" width="18.1171875" style="312" customWidth="1"/>
    <col min="37" max="37" width="16.41015625" style="312" customWidth="1"/>
    <col min="38" max="41" width="12.703125" style="312" customWidth="1"/>
    <col min="42" max="16384" width="11.41015625" style="312"/>
  </cols>
  <sheetData>
    <row r="1" spans="2:28" ht="9.9499999999999993" customHeight="1" thickBot="1" x14ac:dyDescent="0.45">
      <c r="B1" s="325"/>
      <c r="C1" s="326"/>
      <c r="D1" s="326"/>
      <c r="E1" s="326"/>
      <c r="F1" s="326"/>
      <c r="G1" s="326"/>
      <c r="H1" s="326"/>
      <c r="I1" s="326"/>
      <c r="J1" s="326"/>
      <c r="K1" s="326"/>
      <c r="L1" s="326"/>
      <c r="M1" s="326"/>
      <c r="N1" s="326"/>
      <c r="O1" s="326"/>
      <c r="P1" s="326"/>
      <c r="Q1" s="326"/>
      <c r="R1" s="326"/>
      <c r="S1" s="326"/>
      <c r="T1" s="326"/>
      <c r="U1" s="326"/>
      <c r="V1" s="326"/>
      <c r="W1" s="326"/>
      <c r="X1" s="326"/>
      <c r="Y1" s="326"/>
      <c r="Z1" s="326"/>
      <c r="AA1" s="326"/>
      <c r="AB1" s="327"/>
    </row>
    <row r="2" spans="2:28" ht="66.95" customHeight="1" thickTop="1" thickBot="1" x14ac:dyDescent="0.45">
      <c r="B2" s="328"/>
      <c r="C2" s="900" t="s">
        <v>363</v>
      </c>
      <c r="D2" s="901"/>
      <c r="E2" s="901"/>
      <c r="F2" s="901"/>
      <c r="G2" s="901"/>
      <c r="H2" s="901"/>
      <c r="I2" s="901"/>
      <c r="J2" s="901"/>
      <c r="K2" s="901"/>
      <c r="L2" s="901"/>
      <c r="M2" s="901"/>
      <c r="N2" s="901"/>
      <c r="O2" s="901"/>
      <c r="P2" s="901"/>
      <c r="Q2" s="901"/>
      <c r="R2" s="901"/>
      <c r="S2" s="901"/>
      <c r="T2" s="901"/>
      <c r="U2" s="901"/>
      <c r="V2" s="901"/>
      <c r="W2" s="901"/>
      <c r="X2" s="426"/>
      <c r="Y2" s="902" t="s">
        <v>521</v>
      </c>
      <c r="Z2" s="903"/>
      <c r="AA2" s="427"/>
      <c r="AB2" s="323"/>
    </row>
    <row r="3" spans="2:28" ht="20.100000000000001" customHeight="1" x14ac:dyDescent="0.4">
      <c r="B3" s="328"/>
      <c r="C3" s="904" t="s">
        <v>461</v>
      </c>
      <c r="D3" s="905"/>
      <c r="E3" s="905"/>
      <c r="F3" s="906"/>
      <c r="G3" s="884" t="str">
        <f>IF(ISBLANK(Descriptif!F3),"",Descriptif!F3)</f>
        <v/>
      </c>
      <c r="H3" s="885"/>
      <c r="I3" s="886"/>
      <c r="J3" s="693" t="s">
        <v>469</v>
      </c>
      <c r="K3" s="686"/>
      <c r="L3" s="687"/>
      <c r="M3" s="884" t="str">
        <f>IF(ISBLANK(Descriptif!L3),"",Descriptif!L3)</f>
        <v/>
      </c>
      <c r="N3" s="885"/>
      <c r="O3" s="886"/>
      <c r="P3" s="693" t="s">
        <v>470</v>
      </c>
      <c r="Q3" s="686"/>
      <c r="R3" s="687"/>
      <c r="S3" s="884" t="str">
        <f>IF(ISBLANK(Descriptif!Q3),"",Descriptif!Q3)</f>
        <v/>
      </c>
      <c r="T3" s="885"/>
      <c r="U3" s="886"/>
      <c r="V3" s="693" t="s">
        <v>494</v>
      </c>
      <c r="W3" s="686"/>
      <c r="X3" s="687"/>
      <c r="Y3" s="907" t="str">
        <f>IF(ISBLANK(Descriptif!U3),"",Descriptif!U3)</f>
        <v/>
      </c>
      <c r="Z3" s="908"/>
      <c r="AA3" s="909"/>
      <c r="AB3" s="323"/>
    </row>
    <row r="4" spans="2:28" ht="20.100000000000001" customHeight="1" x14ac:dyDescent="0.4">
      <c r="B4" s="328"/>
      <c r="C4" s="890" t="s">
        <v>473</v>
      </c>
      <c r="D4" s="891"/>
      <c r="E4" s="891"/>
      <c r="F4" s="892"/>
      <c r="G4" s="884" t="str">
        <f>IF(ISBLANK(Descriptif!F4),"",Descriptif!F4)</f>
        <v/>
      </c>
      <c r="H4" s="885"/>
      <c r="I4" s="886"/>
      <c r="J4" s="693" t="s">
        <v>463</v>
      </c>
      <c r="K4" s="686"/>
      <c r="L4" s="687"/>
      <c r="M4" s="884" t="str">
        <f>IF(ISBLANK(Descriptif!L4),"",Descriptif!L4)</f>
        <v/>
      </c>
      <c r="N4" s="885"/>
      <c r="O4" s="886"/>
      <c r="P4" s="693" t="s">
        <v>477</v>
      </c>
      <c r="Q4" s="686"/>
      <c r="R4" s="687"/>
      <c r="S4" s="884" t="str">
        <f>IF(ISBLANK(Descriptif!Q4),"",Descriptif!Q4)</f>
        <v/>
      </c>
      <c r="T4" s="885"/>
      <c r="U4" s="886"/>
      <c r="V4" s="693" t="s">
        <v>471</v>
      </c>
      <c r="W4" s="686"/>
      <c r="X4" s="687"/>
      <c r="Y4" s="884" t="str">
        <f>IF(ISBLANK(Descriptif!U4),"",Descriptif!U4)</f>
        <v/>
      </c>
      <c r="Z4" s="885"/>
      <c r="AA4" s="909"/>
      <c r="AB4" s="323"/>
    </row>
    <row r="5" spans="2:28" ht="30" customHeight="1" x14ac:dyDescent="0.4">
      <c r="B5" s="328"/>
      <c r="C5" s="890" t="s">
        <v>495</v>
      </c>
      <c r="D5" s="891"/>
      <c r="E5" s="891"/>
      <c r="F5" s="892"/>
      <c r="G5" s="884" t="str">
        <f>IF(ISBLANK(Descriptif!F5),"",Descriptif!F5)</f>
        <v/>
      </c>
      <c r="H5" s="885"/>
      <c r="I5" s="886"/>
      <c r="J5" s="693" t="s">
        <v>464</v>
      </c>
      <c r="K5" s="686"/>
      <c r="L5" s="687"/>
      <c r="M5" s="884" t="str">
        <f>IF(ISBLANK(Descriptif!L5),"",Descriptif!L5)</f>
        <v/>
      </c>
      <c r="N5" s="885"/>
      <c r="O5" s="886"/>
      <c r="P5" s="693" t="s">
        <v>500</v>
      </c>
      <c r="Q5" s="686"/>
      <c r="R5" s="687"/>
      <c r="S5" s="884" t="str">
        <f>IF(ISBLANK(Descriptif!Q5),"",Descriptif!Q5)</f>
        <v/>
      </c>
      <c r="T5" s="885"/>
      <c r="U5" s="886"/>
      <c r="V5" s="693" t="s">
        <v>467</v>
      </c>
      <c r="W5" s="686"/>
      <c r="X5" s="687"/>
      <c r="Y5" s="887" t="str">
        <f>IF(ISBLANK(Descriptif!U5),"",Descriptif!U5)</f>
        <v/>
      </c>
      <c r="Z5" s="888"/>
      <c r="AA5" s="889"/>
      <c r="AB5" s="323"/>
    </row>
    <row r="6" spans="2:28" ht="20.100000000000001" customHeight="1" thickBot="1" x14ac:dyDescent="0.45">
      <c r="B6" s="328"/>
      <c r="C6" s="897" t="s">
        <v>462</v>
      </c>
      <c r="D6" s="898"/>
      <c r="E6" s="898"/>
      <c r="F6" s="899"/>
      <c r="G6" s="842" t="str">
        <f>IF(ISBLANK(Descriptif!F6),"",Descriptif!F6)</f>
        <v/>
      </c>
      <c r="H6" s="843"/>
      <c r="I6" s="844"/>
      <c r="J6" s="697" t="s">
        <v>501</v>
      </c>
      <c r="K6" s="698"/>
      <c r="L6" s="699"/>
      <c r="M6" s="842" t="str">
        <f>IF(ISBLANK(Descriptif!L6),"",Descriptif!L6)</f>
        <v/>
      </c>
      <c r="N6" s="843"/>
      <c r="O6" s="844"/>
      <c r="P6" s="697" t="s">
        <v>499</v>
      </c>
      <c r="Q6" s="698"/>
      <c r="R6" s="699"/>
      <c r="S6" s="842" t="str">
        <f>IF(ISBLANK(Descriptif!Q6),"",Descriptif!Q6)</f>
        <v/>
      </c>
      <c r="T6" s="843"/>
      <c r="U6" s="844"/>
      <c r="V6" s="710" t="s">
        <v>498</v>
      </c>
      <c r="W6" s="711"/>
      <c r="X6" s="893"/>
      <c r="Y6" s="894" t="str">
        <f>IF(ISBLANK(Descriptif!U6),"",Descriptif!U6)</f>
        <v/>
      </c>
      <c r="Z6" s="895"/>
      <c r="AA6" s="896"/>
      <c r="AB6" s="323"/>
    </row>
    <row r="7" spans="2:28" ht="20.100000000000001" customHeight="1" thickTop="1" thickBot="1" x14ac:dyDescent="0.45">
      <c r="B7" s="328"/>
      <c r="C7" s="329"/>
      <c r="D7" s="329"/>
      <c r="E7" s="329"/>
      <c r="F7" s="329"/>
      <c r="G7" s="329"/>
      <c r="H7" s="329"/>
      <c r="I7" s="329"/>
      <c r="J7" s="329"/>
      <c r="K7" s="329"/>
      <c r="L7" s="329"/>
      <c r="M7" s="329"/>
      <c r="N7" s="329"/>
      <c r="O7" s="329"/>
      <c r="P7" s="329"/>
      <c r="Q7" s="329"/>
      <c r="R7" s="329"/>
      <c r="S7" s="329"/>
      <c r="T7" s="329"/>
      <c r="U7" s="329"/>
      <c r="V7" s="329"/>
      <c r="W7" s="329"/>
      <c r="X7" s="329"/>
      <c r="Y7" s="329"/>
      <c r="Z7" s="329"/>
      <c r="AA7" s="329"/>
      <c r="AB7" s="323"/>
    </row>
    <row r="8" spans="2:28" ht="20.100000000000001" customHeight="1" thickTop="1" thickBot="1" x14ac:dyDescent="0.45">
      <c r="B8" s="328"/>
      <c r="C8" s="716" t="s">
        <v>513</v>
      </c>
      <c r="D8" s="717"/>
      <c r="E8" s="717"/>
      <c r="F8" s="717"/>
      <c r="G8" s="717"/>
      <c r="H8" s="717"/>
      <c r="I8" s="717"/>
      <c r="J8" s="717"/>
      <c r="K8" s="717"/>
      <c r="L8" s="717"/>
      <c r="M8" s="717"/>
      <c r="N8" s="717"/>
      <c r="O8" s="717"/>
      <c r="P8" s="717"/>
      <c r="Q8" s="717"/>
      <c r="R8" s="717"/>
      <c r="S8" s="717"/>
      <c r="T8" s="717"/>
      <c r="U8" s="717"/>
      <c r="V8" s="717"/>
      <c r="W8" s="717"/>
      <c r="X8" s="717"/>
      <c r="Y8" s="717"/>
      <c r="Z8" s="717"/>
      <c r="AA8" s="718"/>
      <c r="AB8" s="317"/>
    </row>
    <row r="9" spans="2:28" ht="20.100000000000001" customHeight="1" outlineLevel="1" thickTop="1" x14ac:dyDescent="0.4">
      <c r="B9" s="328"/>
      <c r="C9" s="345"/>
      <c r="D9" s="329"/>
      <c r="E9" s="329"/>
      <c r="F9" s="329"/>
      <c r="G9" s="329"/>
      <c r="H9" s="329"/>
      <c r="I9" s="329"/>
      <c r="J9" s="329"/>
      <c r="K9" s="329"/>
      <c r="L9" s="329"/>
      <c r="M9" s="329"/>
      <c r="N9" s="329"/>
      <c r="O9" s="329"/>
      <c r="P9" s="329"/>
      <c r="Q9" s="329"/>
      <c r="R9" s="329"/>
      <c r="S9" s="329"/>
      <c r="T9" s="329"/>
      <c r="U9" s="329"/>
      <c r="V9" s="329"/>
      <c r="W9" s="329"/>
      <c r="X9" s="329"/>
      <c r="Y9" s="329"/>
      <c r="Z9" s="329"/>
      <c r="AA9" s="346"/>
      <c r="AB9" s="323"/>
    </row>
    <row r="10" spans="2:28" ht="20.100000000000001" customHeight="1" outlineLevel="1" thickBot="1" x14ac:dyDescent="0.45">
      <c r="B10" s="328"/>
      <c r="C10" s="345"/>
      <c r="D10" s="329"/>
      <c r="E10" s="329"/>
      <c r="F10" s="329"/>
      <c r="G10" s="329"/>
      <c r="H10" s="329"/>
      <c r="I10" s="329"/>
      <c r="J10" s="329"/>
      <c r="K10" s="329"/>
      <c r="L10" s="329"/>
      <c r="M10" s="329"/>
      <c r="N10" s="329"/>
      <c r="O10" s="329"/>
      <c r="P10" s="329"/>
      <c r="Q10" s="329"/>
      <c r="R10" s="329"/>
      <c r="S10" s="329"/>
      <c r="T10" s="329"/>
      <c r="U10" s="329"/>
      <c r="V10" s="329"/>
      <c r="W10" s="329"/>
      <c r="X10" s="329"/>
      <c r="Y10" s="329"/>
      <c r="Z10" s="329"/>
      <c r="AA10" s="346"/>
      <c r="AB10" s="323"/>
    </row>
    <row r="11" spans="2:28" ht="20.100000000000001" customHeight="1" outlineLevel="1" thickBot="1" x14ac:dyDescent="0.45">
      <c r="B11" s="328"/>
      <c r="C11" s="345"/>
      <c r="D11" s="760" t="s">
        <v>524</v>
      </c>
      <c r="E11" s="791"/>
      <c r="F11" s="352"/>
      <c r="G11" s="352"/>
      <c r="H11" s="352"/>
      <c r="I11" s="352"/>
      <c r="J11" s="352"/>
      <c r="K11" s="352"/>
      <c r="L11" s="352"/>
      <c r="M11" s="352"/>
      <c r="N11" s="352"/>
      <c r="O11" s="352"/>
      <c r="P11" s="352"/>
      <c r="Q11" s="352"/>
      <c r="R11" s="352"/>
      <c r="S11" s="352"/>
      <c r="T11" s="352"/>
      <c r="U11" s="352"/>
      <c r="V11" s="352"/>
      <c r="W11" s="352"/>
      <c r="X11" s="352"/>
      <c r="Y11" s="352"/>
      <c r="Z11" s="348"/>
      <c r="AA11" s="346"/>
      <c r="AB11" s="323"/>
    </row>
    <row r="12" spans="2:28" ht="20.100000000000001" customHeight="1" outlineLevel="1" x14ac:dyDescent="0.4">
      <c r="B12" s="328"/>
      <c r="C12" s="345"/>
      <c r="D12" s="762"/>
      <c r="E12" s="792"/>
      <c r="F12" s="329"/>
      <c r="G12" s="806"/>
      <c r="H12" s="807"/>
      <c r="I12" s="807"/>
      <c r="J12" s="808"/>
      <c r="K12" s="845" t="s">
        <v>526</v>
      </c>
      <c r="L12" s="846"/>
      <c r="M12" s="383"/>
      <c r="N12" s="857" t="s">
        <v>505</v>
      </c>
      <c r="O12" s="858"/>
      <c r="P12" s="858"/>
      <c r="Q12" s="858"/>
      <c r="R12" s="858"/>
      <c r="S12" s="858"/>
      <c r="T12" s="858"/>
      <c r="U12" s="858"/>
      <c r="V12" s="858"/>
      <c r="W12" s="858"/>
      <c r="X12" s="858"/>
      <c r="Y12" s="859"/>
      <c r="Z12" s="349"/>
      <c r="AA12" s="346"/>
      <c r="AB12" s="323"/>
    </row>
    <row r="13" spans="2:28" ht="20.100000000000001" customHeight="1" outlineLevel="1" x14ac:dyDescent="0.4">
      <c r="B13" s="328"/>
      <c r="C13" s="345"/>
      <c r="D13" s="762"/>
      <c r="E13" s="792"/>
      <c r="F13" s="329"/>
      <c r="G13" s="860" t="s">
        <v>2</v>
      </c>
      <c r="H13" s="861"/>
      <c r="I13" s="862" t="s">
        <v>405</v>
      </c>
      <c r="J13" s="863"/>
      <c r="K13" s="864" t="str">
        <f>IF(Analytique!N11&lt;&gt;"",Analytique!N11,"")</f>
        <v/>
      </c>
      <c r="L13" s="865"/>
      <c r="M13" s="383"/>
      <c r="N13" s="866" t="str">
        <f>IF(Analytique!D17&lt;&gt;"",Analytique!D17,"")</f>
        <v/>
      </c>
      <c r="O13" s="867"/>
      <c r="P13" s="867"/>
      <c r="Q13" s="867"/>
      <c r="R13" s="867"/>
      <c r="S13" s="867"/>
      <c r="T13" s="867"/>
      <c r="U13" s="867"/>
      <c r="V13" s="867"/>
      <c r="W13" s="867"/>
      <c r="X13" s="867"/>
      <c r="Y13" s="868"/>
      <c r="Z13" s="349"/>
      <c r="AA13" s="346"/>
      <c r="AB13" s="323"/>
    </row>
    <row r="14" spans="2:28" ht="20.100000000000001" customHeight="1" outlineLevel="1" x14ac:dyDescent="0.4">
      <c r="B14" s="328"/>
      <c r="C14" s="345"/>
      <c r="D14" s="762"/>
      <c r="E14" s="792"/>
      <c r="F14" s="329"/>
      <c r="G14" s="872" t="s">
        <v>525</v>
      </c>
      <c r="H14" s="873"/>
      <c r="I14" s="878" t="s">
        <v>402</v>
      </c>
      <c r="J14" s="879"/>
      <c r="K14" s="880" t="str">
        <f>IF(Analytique!N12&lt;&gt;"",Analytique!N12,"")</f>
        <v/>
      </c>
      <c r="L14" s="881"/>
      <c r="M14" s="329"/>
      <c r="N14" s="866"/>
      <c r="O14" s="867"/>
      <c r="P14" s="867"/>
      <c r="Q14" s="867"/>
      <c r="R14" s="867"/>
      <c r="S14" s="867"/>
      <c r="T14" s="867"/>
      <c r="U14" s="867"/>
      <c r="V14" s="867"/>
      <c r="W14" s="867"/>
      <c r="X14" s="867"/>
      <c r="Y14" s="868"/>
      <c r="Z14" s="349"/>
      <c r="AA14" s="346"/>
      <c r="AB14" s="323"/>
    </row>
    <row r="15" spans="2:28" ht="20.100000000000001" customHeight="1" outlineLevel="1" x14ac:dyDescent="0.4">
      <c r="B15" s="328"/>
      <c r="C15" s="345"/>
      <c r="D15" s="762"/>
      <c r="E15" s="792"/>
      <c r="F15" s="329"/>
      <c r="G15" s="874"/>
      <c r="H15" s="875"/>
      <c r="I15" s="882" t="s">
        <v>403</v>
      </c>
      <c r="J15" s="883"/>
      <c r="K15" s="787" t="str">
        <f>IF(Analytique!N13&lt;&gt;"",Analytique!N13,"")</f>
        <v/>
      </c>
      <c r="L15" s="788"/>
      <c r="M15" s="329"/>
      <c r="N15" s="866"/>
      <c r="O15" s="867"/>
      <c r="P15" s="867"/>
      <c r="Q15" s="867"/>
      <c r="R15" s="867"/>
      <c r="S15" s="867"/>
      <c r="T15" s="867"/>
      <c r="U15" s="867"/>
      <c r="V15" s="867"/>
      <c r="W15" s="867"/>
      <c r="X15" s="867"/>
      <c r="Y15" s="868"/>
      <c r="Z15" s="349"/>
      <c r="AA15" s="346"/>
      <c r="AB15" s="323"/>
    </row>
    <row r="16" spans="2:28" ht="20.100000000000001" customHeight="1" outlineLevel="1" thickBot="1" x14ac:dyDescent="0.45">
      <c r="B16" s="328"/>
      <c r="C16" s="345"/>
      <c r="D16" s="762"/>
      <c r="E16" s="792"/>
      <c r="F16" s="329"/>
      <c r="G16" s="876"/>
      <c r="H16" s="877"/>
      <c r="I16" s="789" t="s">
        <v>404</v>
      </c>
      <c r="J16" s="790"/>
      <c r="K16" s="840" t="str">
        <f>IF(Analytique!N14&lt;&gt;"",Analytique!N14,"")</f>
        <v/>
      </c>
      <c r="L16" s="841"/>
      <c r="M16" s="329"/>
      <c r="N16" s="869"/>
      <c r="O16" s="870"/>
      <c r="P16" s="870"/>
      <c r="Q16" s="870"/>
      <c r="R16" s="870"/>
      <c r="S16" s="870"/>
      <c r="T16" s="870"/>
      <c r="U16" s="870"/>
      <c r="V16" s="870"/>
      <c r="W16" s="870"/>
      <c r="X16" s="870"/>
      <c r="Y16" s="871"/>
      <c r="Z16" s="349"/>
      <c r="AA16" s="346"/>
      <c r="AB16" s="323"/>
    </row>
    <row r="17" spans="2:28" ht="20.100000000000001" customHeight="1" outlineLevel="1" thickBot="1" x14ac:dyDescent="0.45">
      <c r="B17" s="328"/>
      <c r="C17" s="345"/>
      <c r="D17" s="764"/>
      <c r="E17" s="793"/>
      <c r="F17" s="351"/>
      <c r="G17" s="351"/>
      <c r="H17" s="351"/>
      <c r="I17" s="351"/>
      <c r="J17" s="351"/>
      <c r="K17" s="351"/>
      <c r="L17" s="351"/>
      <c r="M17" s="351"/>
      <c r="N17" s="351"/>
      <c r="O17" s="351"/>
      <c r="P17" s="351"/>
      <c r="Q17" s="351"/>
      <c r="R17" s="351"/>
      <c r="S17" s="351"/>
      <c r="T17" s="351"/>
      <c r="U17" s="351"/>
      <c r="V17" s="351"/>
      <c r="W17" s="351"/>
      <c r="X17" s="351"/>
      <c r="Y17" s="340"/>
      <c r="Z17" s="350"/>
      <c r="AA17" s="346"/>
      <c r="AB17" s="323"/>
    </row>
    <row r="18" spans="2:28" ht="20.100000000000001" customHeight="1" outlineLevel="1" thickBot="1" x14ac:dyDescent="0.45">
      <c r="B18" s="328"/>
      <c r="C18" s="345"/>
      <c r="D18" s="329"/>
      <c r="E18" s="329"/>
      <c r="F18" s="329"/>
      <c r="G18" s="329"/>
      <c r="H18" s="329"/>
      <c r="I18" s="329"/>
      <c r="J18" s="329"/>
      <c r="K18" s="329"/>
      <c r="L18" s="329"/>
      <c r="M18" s="329"/>
      <c r="N18" s="329"/>
      <c r="O18" s="329"/>
      <c r="P18" s="329"/>
      <c r="Q18" s="329"/>
      <c r="R18" s="329"/>
      <c r="S18" s="329"/>
      <c r="T18" s="329"/>
      <c r="U18" s="329"/>
      <c r="V18" s="329"/>
      <c r="W18" s="329"/>
      <c r="X18" s="329"/>
      <c r="Y18" s="310"/>
      <c r="Z18" s="329"/>
      <c r="AA18" s="346"/>
      <c r="AB18" s="323"/>
    </row>
    <row r="19" spans="2:28" ht="20.100000000000001" customHeight="1" outlineLevel="1" thickBot="1" x14ac:dyDescent="0.45">
      <c r="B19" s="328"/>
      <c r="C19" s="345"/>
      <c r="D19" s="760" t="s">
        <v>10</v>
      </c>
      <c r="E19" s="791"/>
      <c r="F19" s="352"/>
      <c r="G19" s="352"/>
      <c r="H19" s="352"/>
      <c r="I19" s="352"/>
      <c r="J19" s="352"/>
      <c r="K19" s="352"/>
      <c r="L19" s="352"/>
      <c r="M19" s="352"/>
      <c r="N19" s="352"/>
      <c r="O19" s="352"/>
      <c r="P19" s="352"/>
      <c r="Q19" s="352"/>
      <c r="R19" s="352"/>
      <c r="S19" s="352"/>
      <c r="T19" s="352"/>
      <c r="U19" s="352"/>
      <c r="V19" s="352"/>
      <c r="W19" s="352"/>
      <c r="X19" s="352"/>
      <c r="Y19" s="339"/>
      <c r="Z19" s="348"/>
      <c r="AA19" s="346"/>
      <c r="AB19" s="323"/>
    </row>
    <row r="20" spans="2:28" ht="20.100000000000001" customHeight="1" outlineLevel="1" x14ac:dyDescent="0.4">
      <c r="B20" s="328"/>
      <c r="C20" s="345"/>
      <c r="D20" s="762"/>
      <c r="E20" s="792"/>
      <c r="F20" s="329"/>
      <c r="G20" s="806"/>
      <c r="H20" s="807"/>
      <c r="I20" s="807"/>
      <c r="J20" s="808"/>
      <c r="K20" s="831" t="s">
        <v>30</v>
      </c>
      <c r="L20" s="832"/>
      <c r="M20" s="329"/>
      <c r="N20" s="811" t="s">
        <v>505</v>
      </c>
      <c r="O20" s="812"/>
      <c r="P20" s="812"/>
      <c r="Q20" s="812"/>
      <c r="R20" s="812"/>
      <c r="S20" s="812"/>
      <c r="T20" s="812"/>
      <c r="U20" s="812"/>
      <c r="V20" s="812"/>
      <c r="W20" s="812"/>
      <c r="X20" s="812"/>
      <c r="Y20" s="813"/>
      <c r="Z20" s="349"/>
      <c r="AA20" s="346"/>
      <c r="AB20" s="323"/>
    </row>
    <row r="21" spans="2:28" ht="20.100000000000001" customHeight="1" outlineLevel="1" x14ac:dyDescent="0.4">
      <c r="B21" s="328"/>
      <c r="C21" s="345"/>
      <c r="D21" s="762"/>
      <c r="E21" s="792"/>
      <c r="F21" s="329"/>
      <c r="G21" s="847" t="s">
        <v>11</v>
      </c>
      <c r="H21" s="848"/>
      <c r="I21" s="851" t="str" cm="1">
        <f t="array" aca="1" ref="I21" ca="1">IFERROR(INDEX(Equipements_SCL!$L$16:$L$72,SMALL(IF(Equipements_SCL!$J$16:$J$72="Sonde de température",ROW(Equipements_SCL!$J$16:$J$72)-ROW(Equipements_SCL!$J$16)+1),ROW(1:1))),"")</f>
        <v/>
      </c>
      <c r="J21" s="852"/>
      <c r="K21" s="822" t="str" cm="1">
        <f t="array" aca="1" ref="K21" ca="1">IFERROR(INDEX(Equipements_SCL!$P$16:$P$72,SMALL(IF(Equipements_SCL!$J$16:$J$72="Sonde de température",ROW(Equipements_SCL!$J$16:$J$72)-ROW(Equipements_SCL!$J$16)+1),ROW(1:1))),"")</f>
        <v/>
      </c>
      <c r="L21" s="853"/>
      <c r="M21" s="329"/>
      <c r="N21" s="824" t="str" cm="1">
        <f t="array" aca="1" ref="N21" ca="1">IFERROR(INDEX(Equipements_SCL!$T$16:$T$72,SMALL(IF(Equipements_SCL!$J$16:$J$72="Sonde de température",ROW(Equipements_SCL!$J$16:$J$72)-ROW(Equipements_SCL!$J$16)+1),ROW(1:1))),"")</f>
        <v/>
      </c>
      <c r="O21" s="825"/>
      <c r="P21" s="825"/>
      <c r="Q21" s="825"/>
      <c r="R21" s="825"/>
      <c r="S21" s="825"/>
      <c r="T21" s="825"/>
      <c r="U21" s="825"/>
      <c r="V21" s="825"/>
      <c r="W21" s="825"/>
      <c r="X21" s="825"/>
      <c r="Y21" s="826"/>
      <c r="Z21" s="349"/>
      <c r="AA21" s="346"/>
      <c r="AB21" s="323"/>
    </row>
    <row r="22" spans="2:28" ht="20.100000000000001" customHeight="1" outlineLevel="1" x14ac:dyDescent="0.4">
      <c r="B22" s="328"/>
      <c r="C22" s="345"/>
      <c r="D22" s="762"/>
      <c r="E22" s="792"/>
      <c r="F22" s="329"/>
      <c r="G22" s="847"/>
      <c r="H22" s="848"/>
      <c r="I22" s="827" t="str" cm="1">
        <f t="array" aca="1" ref="I22" ca="1">IFERROR(INDEX(Equipements_SCL!$L$16:$L$72,SMALL(IF(Equipements_SCL!$J$16:$J$72="Sonde de température",ROW(Equipements_SCL!$J$16:$J$72)-ROW(Equipements_SCL!$J$16)+1),ROW(2:2))),"")</f>
        <v/>
      </c>
      <c r="J22" s="828"/>
      <c r="K22" s="829" t="str" cm="1">
        <f t="array" aca="1" ref="K22" ca="1">IFERROR(INDEX(Equipements_SCL!$R$16:$R$72,SMALL(IF(Equipements_SCL!$J$16:$J$72="Sonde de température",ROW(Equipements_SCL!$J$16:$J$72)-ROW(Equipements_SCL!$J$16)+1),ROW(2:2))),"")</f>
        <v/>
      </c>
      <c r="L22" s="854"/>
      <c r="M22" s="329"/>
      <c r="N22" s="833" t="str" cm="1">
        <f t="array" aca="1" ref="N22" ca="1">IFERROR(INDEX(Equipements_SCL!$T$16:$T$72,SMALL(IF(Equipements_SCL!$J$16:$J$72="Sonde de température",ROW(Equipements_SCL!$J$16:$J$72)-ROW(Equipements_SCL!$J$16)+1),ROW(2:2))),"")</f>
        <v/>
      </c>
      <c r="O22" s="834"/>
      <c r="P22" s="834"/>
      <c r="Q22" s="834"/>
      <c r="R22" s="834"/>
      <c r="S22" s="834"/>
      <c r="T22" s="834"/>
      <c r="U22" s="834"/>
      <c r="V22" s="834"/>
      <c r="W22" s="834"/>
      <c r="X22" s="834"/>
      <c r="Y22" s="835"/>
      <c r="Z22" s="349"/>
      <c r="AA22" s="346"/>
      <c r="AB22" s="323"/>
    </row>
    <row r="23" spans="2:28" ht="20.100000000000001" customHeight="1" outlineLevel="1" thickBot="1" x14ac:dyDescent="0.45">
      <c r="B23" s="328"/>
      <c r="C23" s="345"/>
      <c r="D23" s="762"/>
      <c r="E23" s="792"/>
      <c r="F23" s="329"/>
      <c r="G23" s="849"/>
      <c r="H23" s="850"/>
      <c r="I23" s="836" t="str" cm="1">
        <f t="array" aca="1" ref="I23" ca="1">IFERROR(INDEX(Equipements_SCL!$L$16:$L$72,SMALL(IF(Equipements_SCL!$J$16:$J$72="Sonde de température",ROW(Equipements_SCL!$J$16:$J$72)-ROW(Equipements_SCL!$J$16)+1),ROW(3:3))),"")</f>
        <v/>
      </c>
      <c r="J23" s="837"/>
      <c r="K23" s="855" t="str" cm="1">
        <f t="array" aca="1" ref="K23" ca="1">IFERROR(INDEX(Equipements_SCL!$R$16:$R$72,SMALL(IF(Equipements_SCL!$J$16:$J$72="Sonde de température",ROW(Equipements_SCL!$J$16:$J$72)-ROW(Equipements_SCL!$J$16)+1),ROW(3:3))),"")</f>
        <v/>
      </c>
      <c r="L23" s="856"/>
      <c r="M23" s="329"/>
      <c r="N23" s="803" t="str" cm="1">
        <f t="array" aca="1" ref="N23" ca="1">IFERROR(INDEX(Equipements_SCL!$T$16:$T$72,SMALL(IF(Equipements_SCL!$J$16:$J$72="Sonde de température",ROW(Equipements_SCL!$J$16:$J$72)-ROW(Equipements_SCL!$J$16)+1),ROW(3:3))),"")</f>
        <v/>
      </c>
      <c r="O23" s="804"/>
      <c r="P23" s="804"/>
      <c r="Q23" s="804"/>
      <c r="R23" s="804"/>
      <c r="S23" s="804"/>
      <c r="T23" s="804"/>
      <c r="U23" s="804"/>
      <c r="V23" s="804"/>
      <c r="W23" s="804"/>
      <c r="X23" s="804"/>
      <c r="Y23" s="805"/>
      <c r="Z23" s="349"/>
      <c r="AA23" s="346"/>
      <c r="AB23" s="323"/>
    </row>
    <row r="24" spans="2:28" ht="20.100000000000001" customHeight="1" outlineLevel="1" thickBot="1" x14ac:dyDescent="0.45">
      <c r="B24" s="328"/>
      <c r="C24" s="345"/>
      <c r="D24" s="762"/>
      <c r="E24" s="792"/>
      <c r="F24" s="329"/>
      <c r="G24" s="329"/>
      <c r="H24" s="329"/>
      <c r="I24" s="329"/>
      <c r="J24" s="329"/>
      <c r="K24" s="329"/>
      <c r="L24" s="329"/>
      <c r="M24" s="329"/>
      <c r="N24" s="329"/>
      <c r="O24" s="329"/>
      <c r="P24" s="354"/>
      <c r="Q24" s="354"/>
      <c r="R24" s="354"/>
      <c r="S24" s="354"/>
      <c r="T24" s="355"/>
      <c r="U24" s="355"/>
      <c r="V24" s="355"/>
      <c r="W24" s="355"/>
      <c r="X24" s="353"/>
      <c r="Y24" s="353"/>
      <c r="Z24" s="349"/>
      <c r="AA24" s="346"/>
      <c r="AB24" s="323"/>
    </row>
    <row r="25" spans="2:28" ht="20.100000000000001" customHeight="1" outlineLevel="1" x14ac:dyDescent="0.4">
      <c r="B25" s="328"/>
      <c r="C25" s="345"/>
      <c r="D25" s="762"/>
      <c r="E25" s="792"/>
      <c r="F25" s="329"/>
      <c r="G25" s="806"/>
      <c r="H25" s="807"/>
      <c r="I25" s="807"/>
      <c r="J25" s="808"/>
      <c r="K25" s="809" t="s">
        <v>30</v>
      </c>
      <c r="L25" s="810"/>
      <c r="M25" s="329"/>
      <c r="N25" s="811" t="s">
        <v>505</v>
      </c>
      <c r="O25" s="812"/>
      <c r="P25" s="812"/>
      <c r="Q25" s="812"/>
      <c r="R25" s="812"/>
      <c r="S25" s="812"/>
      <c r="T25" s="812"/>
      <c r="U25" s="812"/>
      <c r="V25" s="812"/>
      <c r="W25" s="812"/>
      <c r="X25" s="812"/>
      <c r="Y25" s="813"/>
      <c r="Z25" s="349"/>
      <c r="AA25" s="346"/>
      <c r="AB25" s="323"/>
    </row>
    <row r="26" spans="2:28" ht="20.100000000000001" customHeight="1" outlineLevel="1" x14ac:dyDescent="0.4">
      <c r="B26" s="328"/>
      <c r="C26" s="345"/>
      <c r="D26" s="762"/>
      <c r="E26" s="792"/>
      <c r="F26" s="329"/>
      <c r="G26" s="814" t="s">
        <v>12</v>
      </c>
      <c r="H26" s="815"/>
      <c r="I26" s="820" t="str" cm="1">
        <f t="array" aca="1" ref="I26" ca="1">IFERROR(INDEX(Equipements_SCL!$L$16:$L$72,SMALL(IF(Equipements_SCL!$J$16:$J$72="Pluviomètre",ROW(Equipements_SCL!$J$16:$J$72)-ROW(Equipements_SCL!$J$16)+1),ROW(1:1))),"")</f>
        <v/>
      </c>
      <c r="J26" s="821"/>
      <c r="K26" s="822" t="str" cm="1">
        <f t="array" aca="1" ref="K26" ca="1">IFERROR(INDEX(Equipements_SCL!$P$16:$P$72,SMALL(IF(Equipements_SCL!$J$16:$J$72="Pluviomètre",ROW(Equipements_SCL!$J$16:$J$72)-ROW(Equipements_SCL!$J$16)+1),ROW(1:1))),"")</f>
        <v/>
      </c>
      <c r="L26" s="823"/>
      <c r="M26" s="329"/>
      <c r="N26" s="824" t="str" cm="1">
        <f t="array" aca="1" ref="N26" ca="1">IFERROR(INDEX(Equipements_SCL!$T$16:$T$72,SMALL(IF(Equipements_SCL!$J$16:$J$72="Pluviomètre",ROW(Equipements_SCL!$J$16:$J$72)-ROW(Equipements_SCL!$J$16)+1),ROW(1:1))),"")</f>
        <v/>
      </c>
      <c r="O26" s="825"/>
      <c r="P26" s="825"/>
      <c r="Q26" s="825"/>
      <c r="R26" s="825"/>
      <c r="S26" s="825"/>
      <c r="T26" s="825"/>
      <c r="U26" s="825"/>
      <c r="V26" s="825"/>
      <c r="W26" s="825"/>
      <c r="X26" s="825"/>
      <c r="Y26" s="826"/>
      <c r="Z26" s="349"/>
      <c r="AA26" s="346"/>
      <c r="AB26" s="323"/>
    </row>
    <row r="27" spans="2:28" ht="20.100000000000001" customHeight="1" outlineLevel="1" x14ac:dyDescent="0.4">
      <c r="B27" s="328"/>
      <c r="C27" s="345"/>
      <c r="D27" s="762"/>
      <c r="E27" s="792"/>
      <c r="F27" s="329"/>
      <c r="G27" s="816"/>
      <c r="H27" s="817"/>
      <c r="I27" s="827" t="str" cm="1">
        <f t="array" aca="1" ref="I27" ca="1">IFERROR(INDEX(Equipements_SCL!$L$16:$L$72,SMALL(IF(Equipements_SCL!$J$16:$J$72="Pluviomètre",ROW(Equipements_SCL!$J$16:$J$72)-ROW(Equipements_SCL!$J$16)+1),ROW(2:2))),"")</f>
        <v/>
      </c>
      <c r="J27" s="828"/>
      <c r="K27" s="829" t="str" cm="1">
        <f t="array" aca="1" ref="K27" ca="1">IFERROR(INDEX(Equipements_SCL!$P$16:$P$72,SMALL(IF(Equipements_SCL!$J$16:$J$72="Pluviomètre",ROW(Equipements_SCL!$J$16:$J$72)-ROW(Equipements_SCL!$J$16)+1),ROW(2:2))),"")</f>
        <v/>
      </c>
      <c r="L27" s="830"/>
      <c r="M27" s="329"/>
      <c r="N27" s="833" t="str" cm="1">
        <f t="array" aca="1" ref="N27" ca="1">IFERROR(INDEX(Equipements_SCL!$T$16:$T$72,SMALL(IF(Equipements_SCL!$J$16:$J$72="Pluviomètre",ROW(Equipements_SCL!$J$16:$J$72)-ROW(Equipements_SCL!$J$16)+1),ROW(2:2))),"")</f>
        <v/>
      </c>
      <c r="O27" s="834"/>
      <c r="P27" s="834"/>
      <c r="Q27" s="834"/>
      <c r="R27" s="834"/>
      <c r="S27" s="834"/>
      <c r="T27" s="834"/>
      <c r="U27" s="834"/>
      <c r="V27" s="834"/>
      <c r="W27" s="834"/>
      <c r="X27" s="834"/>
      <c r="Y27" s="835"/>
      <c r="Z27" s="349"/>
      <c r="AA27" s="346"/>
      <c r="AB27" s="323"/>
    </row>
    <row r="28" spans="2:28" ht="20.100000000000001" customHeight="1" outlineLevel="1" thickBot="1" x14ac:dyDescent="0.45">
      <c r="B28" s="328"/>
      <c r="C28" s="345"/>
      <c r="D28" s="762"/>
      <c r="E28" s="792"/>
      <c r="F28" s="329"/>
      <c r="G28" s="818"/>
      <c r="H28" s="819"/>
      <c r="I28" s="836" t="str" cm="1">
        <f t="array" aca="1" ref="I28" ca="1">IFERROR(INDEX(Equipements_SCL!$L$16:$L$72,SMALL(IF(Equipements_SCL!$J$16:$J$72="Pluviomètre",ROW(Equipements_SCL!$J$16:$J$72)-ROW(Equipements_SCL!$J$16)+1),ROW(3:3))),"")</f>
        <v/>
      </c>
      <c r="J28" s="837"/>
      <c r="K28" s="838" t="str" cm="1">
        <f t="array" aca="1" ref="K28" ca="1">IFERROR(INDEX(Equipements_SCL!$P$16:$P$72,SMALL(IF(Equipements_SCL!$J$16:$J$72="Pluviomètre",ROW(Equipements_SCL!$J$16:$J$72)-ROW(Equipements_SCL!$J$16)+1),ROW(3:3))),"")</f>
        <v/>
      </c>
      <c r="L28" s="839"/>
      <c r="M28" s="329"/>
      <c r="N28" s="803" t="str" cm="1">
        <f t="array" aca="1" ref="N28" ca="1">IFERROR(INDEX(Equipements_SCL!$T$16:$T$72,SMALL(IF(Equipements_SCL!$J$16:$J$72="Pluviomètre",ROW(Equipements_SCL!$J$16:$J$72)-ROW(Equipements_SCL!$J$16)+1),ROW(3:3))),"")</f>
        <v/>
      </c>
      <c r="O28" s="804"/>
      <c r="P28" s="804"/>
      <c r="Q28" s="804"/>
      <c r="R28" s="804"/>
      <c r="S28" s="804"/>
      <c r="T28" s="804"/>
      <c r="U28" s="804"/>
      <c r="V28" s="804"/>
      <c r="W28" s="804"/>
      <c r="X28" s="804"/>
      <c r="Y28" s="805"/>
      <c r="Z28" s="349"/>
      <c r="AA28" s="346"/>
      <c r="AB28" s="323"/>
    </row>
    <row r="29" spans="2:28" ht="20.100000000000001" customHeight="1" outlineLevel="1" thickBot="1" x14ac:dyDescent="0.45">
      <c r="B29" s="328"/>
      <c r="C29" s="345"/>
      <c r="D29" s="764"/>
      <c r="E29" s="793"/>
      <c r="F29" s="351"/>
      <c r="G29" s="351"/>
      <c r="H29" s="351"/>
      <c r="I29" s="351"/>
      <c r="J29" s="351"/>
      <c r="K29" s="351"/>
      <c r="L29" s="351"/>
      <c r="M29" s="351"/>
      <c r="N29" s="351"/>
      <c r="O29" s="351"/>
      <c r="P29" s="351"/>
      <c r="Q29" s="351"/>
      <c r="R29" s="351"/>
      <c r="S29" s="351"/>
      <c r="T29" s="351"/>
      <c r="U29" s="351"/>
      <c r="V29" s="351"/>
      <c r="W29" s="351"/>
      <c r="X29" s="351"/>
      <c r="Y29" s="351"/>
      <c r="Z29" s="350"/>
      <c r="AA29" s="346"/>
      <c r="AB29" s="323"/>
    </row>
    <row r="30" spans="2:28" ht="20.100000000000001" customHeight="1" outlineLevel="1" thickBot="1" x14ac:dyDescent="0.45">
      <c r="B30" s="328"/>
      <c r="C30" s="345"/>
      <c r="D30" s="356"/>
      <c r="E30" s="356"/>
      <c r="F30" s="329"/>
      <c r="G30" s="329"/>
      <c r="H30" s="329"/>
      <c r="I30" s="329"/>
      <c r="J30" s="329"/>
      <c r="K30" s="329"/>
      <c r="L30" s="329"/>
      <c r="M30" s="329"/>
      <c r="N30" s="329"/>
      <c r="O30" s="329"/>
      <c r="P30" s="329"/>
      <c r="Q30" s="329"/>
      <c r="R30" s="329"/>
      <c r="S30" s="329"/>
      <c r="T30" s="329"/>
      <c r="U30" s="329"/>
      <c r="V30" s="329"/>
      <c r="W30" s="329"/>
      <c r="X30" s="329"/>
      <c r="Y30" s="329"/>
      <c r="Z30" s="329"/>
      <c r="AA30" s="346"/>
      <c r="AB30" s="323"/>
    </row>
    <row r="31" spans="2:28" ht="20.100000000000001" customHeight="1" outlineLevel="1" thickBot="1" x14ac:dyDescent="0.45">
      <c r="B31" s="328"/>
      <c r="C31" s="345"/>
      <c r="D31" s="760" t="s">
        <v>550</v>
      </c>
      <c r="E31" s="761"/>
      <c r="F31" s="497"/>
      <c r="G31" s="498"/>
      <c r="H31" s="498"/>
      <c r="I31" s="498"/>
      <c r="J31" s="498"/>
      <c r="K31" s="498"/>
      <c r="L31" s="498"/>
      <c r="M31" s="498"/>
      <c r="N31" s="498"/>
      <c r="O31" s="498"/>
      <c r="P31" s="498"/>
      <c r="Q31" s="498"/>
      <c r="R31" s="498"/>
      <c r="S31" s="498"/>
      <c r="T31" s="498"/>
      <c r="U31" s="498"/>
      <c r="V31" s="498"/>
      <c r="W31" s="498"/>
      <c r="X31" s="498"/>
      <c r="Y31" s="498"/>
      <c r="Z31" s="499"/>
      <c r="AA31" s="346"/>
      <c r="AB31" s="323"/>
    </row>
    <row r="32" spans="2:28" ht="34.35" customHeight="1" outlineLevel="1" x14ac:dyDescent="0.4">
      <c r="B32" s="328"/>
      <c r="C32" s="345"/>
      <c r="D32" s="762"/>
      <c r="E32" s="763"/>
      <c r="F32" s="500"/>
      <c r="G32" s="508" t="s">
        <v>537</v>
      </c>
      <c r="H32" s="509" t="s">
        <v>30</v>
      </c>
      <c r="I32" s="509" t="s">
        <v>420</v>
      </c>
      <c r="J32" s="509" t="s">
        <v>398</v>
      </c>
      <c r="K32" s="509" t="s">
        <v>397</v>
      </c>
      <c r="L32" s="509" t="s">
        <v>300</v>
      </c>
      <c r="M32" s="510" t="s">
        <v>412</v>
      </c>
      <c r="N32" s="329"/>
      <c r="O32" s="329"/>
      <c r="P32" s="329"/>
      <c r="Q32" s="329"/>
      <c r="R32" s="329"/>
      <c r="S32" s="329"/>
      <c r="T32" s="329"/>
      <c r="U32" s="329"/>
      <c r="V32" s="329"/>
      <c r="W32" s="329"/>
      <c r="X32" s="329"/>
      <c r="Y32" s="329"/>
      <c r="Z32" s="501"/>
      <c r="AA32" s="346"/>
      <c r="AB32" s="323"/>
    </row>
    <row r="33" spans="2:28" ht="20.100000000000001" customHeight="1" outlineLevel="1" x14ac:dyDescent="0.4">
      <c r="B33" s="328"/>
      <c r="C33" s="345"/>
      <c r="D33" s="762"/>
      <c r="E33" s="763"/>
      <c r="F33" s="500"/>
      <c r="G33" s="511" t="str" cm="1">
        <f t="array" aca="1" ref="G33" ca="1">_xlfn._xlws.SORT(_xlfn.UNIQUE(_xlfn._xlws.FILTER(Equipements_SCL!$M$16:M100, Equipements_SCL!$M$16:M100&lt;&gt;"", "")))</f>
        <v/>
      </c>
      <c r="H33" s="512" t="str">
        <f ca="1">IF(AND($G33&lt;&gt;"",OR($I33&lt;&gt;"",$L33&lt;&gt;"",$M33&lt;&gt;"")),AVERAGE($I33,$L33,$M33),"")</f>
        <v/>
      </c>
      <c r="I33" s="512" t="str">
        <f ca="1">IF(AND($G33&lt;&gt;"",OR($J33&lt;&gt;"",$K33&lt;&gt;"")),MAX($J33,$K33),"")</f>
        <v/>
      </c>
      <c r="J33" s="512" t="str">
        <f ca="1">IF($G33="", "", IF(SUMIFS(Equipements_SCL!$P$16:$P$100, Equipements_SCL!$M$16:$M$100, $G33, Equipements_SCL!$J$16:$J$100, J$32)=0, "", SUMIFS(Equipements_SCL!$P$16:$P$100, Equipements_SCL!$M$16:$M$100, $G33, Equipements_SCL!$J$16:$J$100, J$32)))</f>
        <v/>
      </c>
      <c r="K33" s="512" t="str">
        <f ca="1">IF($G33="", "", IF(SUMIFS(Equipements_SCL!$P$16:$P$100, Equipements_SCL!$M$16:$M$100, $G33, Equipements_SCL!$J$16:$J$100, K$32)=0, "", SUMIFS(Equipements_SCL!$P$16:$P$100, Equipements_SCL!$M$16:$M$100, $G33, Equipements_SCL!$J$16:$J$100, K$32)))</f>
        <v/>
      </c>
      <c r="L33" s="512" t="str">
        <f ca="1">IF($G33="", "", IF(SUMIFS(Equipements_SCL!$P$16:$P$100, Equipements_SCL!$M$16:$M$100, $G33, Equipements_SCL!$J$16:$J$100, L$32)=0, "", SUMIFS(Equipements_SCL!$P$16:$P$100, Equipements_SCL!$M$16:$M$100, $G33, Equipements_SCL!$J$16:$J$100, L$32)))</f>
        <v/>
      </c>
      <c r="M33" s="513" t="str">
        <f ca="1">IF(
    $G33="",
    "",
    IF(
        SUMIFS(Analytique!$AD$3:$AD$20, Analytique!$Z$3:$Z$20, $G33, Analytique!$Y$3:$Y$20, "A1")=0,
        "",
        SUMIFS(Analytique!$AD$3:$AD$20, Analytique!$Z$3:$Z$20, $G33, Analytique!$Y$3:$Y$20, "A1")
    )
)</f>
        <v/>
      </c>
      <c r="N33" s="329"/>
      <c r="O33" s="329"/>
      <c r="P33" s="329"/>
      <c r="Q33" s="329"/>
      <c r="R33" s="329"/>
      <c r="S33" s="329"/>
      <c r="T33" s="329"/>
      <c r="U33" s="329"/>
      <c r="V33" s="329"/>
      <c r="W33" s="329"/>
      <c r="X33" s="329"/>
      <c r="Y33" s="329"/>
      <c r="Z33" s="501"/>
      <c r="AA33" s="346"/>
      <c r="AB33" s="323"/>
    </row>
    <row r="34" spans="2:28" ht="20.100000000000001" customHeight="1" outlineLevel="1" x14ac:dyDescent="0.4">
      <c r="B34" s="328"/>
      <c r="C34" s="345"/>
      <c r="D34" s="762"/>
      <c r="E34" s="763"/>
      <c r="F34" s="500"/>
      <c r="G34" s="511" t="str" cm="1">
        <f t="array" aca="1" ref="G34" ca="1">_xlfn._xlws.SORT(_xlfn.UNIQUE(_xlfn._xlws.FILTER(Equipements_SCL!$M$16:M101, Equipements_SCL!$M$16:M101&lt;&gt;"", "")))</f>
        <v/>
      </c>
      <c r="H34" s="514" t="str">
        <f t="shared" ref="H34:H57" ca="1" si="0">IF(AND($G34&lt;&gt;"",OR($I34&lt;&gt;"",$L34&lt;&gt;"",$M34&lt;&gt;"")),AVERAGE($I34,$L34,$M34),"")</f>
        <v/>
      </c>
      <c r="I34" s="514" t="str">
        <f t="shared" ref="I34:I57" ca="1" si="1">IF(AND($G34&lt;&gt;"",OR($J34&lt;&gt;"",$K34&lt;&gt;"")),MAX($J34,$K34),"")</f>
        <v/>
      </c>
      <c r="J34" s="514" t="str">
        <f ca="1">IF($G34="", "", IF(SUMIFS(Equipements_SCL!$P$16:$P$100, Equipements_SCL!$M$16:$M$100, $G34, Equipements_SCL!$J$16:$J$100, J$32)=0, "", SUMIFS(Equipements_SCL!$P$16:$P$100, Equipements_SCL!$M$16:$M$100, $G34, Equipements_SCL!$J$16:$J$100, J$32)))</f>
        <v/>
      </c>
      <c r="K34" s="514" t="str">
        <f ca="1">IF($G34="", "", IF(SUMIFS(Equipements_SCL!$P$16:$P$100, Equipements_SCL!$M$16:$M$100, $G34, Equipements_SCL!$J$16:$J$100, K$32)=0, "", SUMIFS(Equipements_SCL!$P$16:$P$100, Equipements_SCL!$M$16:$M$100, $G34, Equipements_SCL!$J$16:$J$100, K$32)))</f>
        <v/>
      </c>
      <c r="L34" s="514" t="str">
        <f ca="1">IF($G34="", "", IF(SUMIFS(Equipements_SCL!$P$16:$P$100, Equipements_SCL!$M$16:$M$100, $G34, Equipements_SCL!$J$16:$J$100, L$32)=0, "", SUMIFS(Equipements_SCL!$P$16:$P$100, Equipements_SCL!$M$16:$M$100, $G34, Equipements_SCL!$J$16:$J$100, L$32)))</f>
        <v/>
      </c>
      <c r="M34" s="515" t="str">
        <f ca="1">IF(
    $G34="",
    "",
    IF(
        SUMIFS(Analytique!$AD$3:$AD$20, Analytique!$Z$3:$Z$20, $G34, Analytique!$Y$3:$Y$20, "A1")=0,
        "",
        SUMIFS(Analytique!$AD$3:$AD$20, Analytique!$Z$3:$Z$20, $G34, Analytique!$Y$3:$Y$20, "A1")
    )
)</f>
        <v/>
      </c>
      <c r="N34" s="329"/>
      <c r="O34" s="329"/>
      <c r="P34" s="329"/>
      <c r="Q34" s="329"/>
      <c r="R34" s="329"/>
      <c r="S34" s="329"/>
      <c r="T34" s="329"/>
      <c r="U34" s="329"/>
      <c r="V34" s="329"/>
      <c r="W34" s="329"/>
      <c r="X34" s="329"/>
      <c r="Y34" s="329"/>
      <c r="Z34" s="501"/>
      <c r="AA34" s="346"/>
      <c r="AB34" s="323"/>
    </row>
    <row r="35" spans="2:28" ht="20.100000000000001" customHeight="1" outlineLevel="1" x14ac:dyDescent="0.4">
      <c r="B35" s="328"/>
      <c r="C35" s="345"/>
      <c r="D35" s="762"/>
      <c r="E35" s="763"/>
      <c r="F35" s="500"/>
      <c r="G35" s="511" t="str" cm="1">
        <f t="array" aca="1" ref="G35" ca="1">_xlfn._xlws.SORT(_xlfn.UNIQUE(_xlfn._xlws.FILTER(Equipements_SCL!$M$16:M102, Equipements_SCL!$M$16:M102&lt;&gt;"", "")))</f>
        <v/>
      </c>
      <c r="H35" s="514" t="str">
        <f t="shared" ca="1" si="0"/>
        <v/>
      </c>
      <c r="I35" s="514" t="str">
        <f t="shared" ca="1" si="1"/>
        <v/>
      </c>
      <c r="J35" s="514" t="str">
        <f ca="1">IF($G35="", "", IF(SUMIFS(Equipements_SCL!$P$16:$P$100, Equipements_SCL!$M$16:$M$100, $G35, Equipements_SCL!$J$16:$J$100, J$32)=0, "", SUMIFS(Equipements_SCL!$P$16:$P$100, Equipements_SCL!$M$16:$M$100, $G35, Equipements_SCL!$J$16:$J$100, J$32)))</f>
        <v/>
      </c>
      <c r="K35" s="514" t="str">
        <f ca="1">IF($G35="", "", IF(SUMIFS(Equipements_SCL!$P$16:$P$100, Equipements_SCL!$M$16:$M$100, $G35, Equipements_SCL!$J$16:$J$100, K$32)=0, "", SUMIFS(Equipements_SCL!$P$16:$P$100, Equipements_SCL!$M$16:$M$100, $G35, Equipements_SCL!$J$16:$J$100, K$32)))</f>
        <v/>
      </c>
      <c r="L35" s="514" t="str">
        <f ca="1">IF($G35="", "", IF(SUMIFS(Equipements_SCL!$P$16:$P$100, Equipements_SCL!$M$16:$M$100, $G35, Equipements_SCL!$J$16:$J$100, L$32)=0, "", SUMIFS(Equipements_SCL!$P$16:$P$100, Equipements_SCL!$M$16:$M$100, $G35, Equipements_SCL!$J$16:$J$100, L$32)))</f>
        <v/>
      </c>
      <c r="M35" s="515" t="str">
        <f ca="1">IF(
    $G35="",
    "",
    IF(
        SUMIFS(Analytique!$AD$3:$AD$20, Analytique!$Z$3:$Z$20, $G35, Analytique!$Y$3:$Y$20, "A1")=0,
        "",
        SUMIFS(Analytique!$AD$3:$AD$20, Analytique!$Z$3:$Z$20, $G35, Analytique!$Y$3:$Y$20, "A1")
    )
)</f>
        <v/>
      </c>
      <c r="N35" s="329"/>
      <c r="O35" s="329"/>
      <c r="P35" s="329"/>
      <c r="Q35" s="329"/>
      <c r="R35" s="329"/>
      <c r="S35" s="329"/>
      <c r="T35" s="329"/>
      <c r="U35" s="329"/>
      <c r="V35" s="329"/>
      <c r="W35" s="329"/>
      <c r="X35" s="329"/>
      <c r="Y35" s="329"/>
      <c r="Z35" s="501"/>
      <c r="AA35" s="346"/>
      <c r="AB35" s="323"/>
    </row>
    <row r="36" spans="2:28" ht="20.100000000000001" customHeight="1" outlineLevel="1" x14ac:dyDescent="0.4">
      <c r="B36" s="328"/>
      <c r="C36" s="345"/>
      <c r="D36" s="762"/>
      <c r="E36" s="763"/>
      <c r="F36" s="500"/>
      <c r="G36" s="511" t="str" cm="1">
        <f t="array" aca="1" ref="G36" ca="1">_xlfn._xlws.SORT(_xlfn.UNIQUE(_xlfn._xlws.FILTER(Equipements_SCL!$M$16:M103, Equipements_SCL!$M$16:M103&lt;&gt;"", "")))</f>
        <v/>
      </c>
      <c r="H36" s="514" t="str">
        <f t="shared" ca="1" si="0"/>
        <v/>
      </c>
      <c r="I36" s="514" t="str">
        <f t="shared" ca="1" si="1"/>
        <v/>
      </c>
      <c r="J36" s="514" t="str">
        <f ca="1">IF($G36="", "", IF(SUMIFS(Equipements_SCL!$P$16:$P$100, Equipements_SCL!$M$16:$M$100, $G36, Equipements_SCL!$J$16:$J$100, J$32)=0, "", SUMIFS(Equipements_SCL!$P$16:$P$100, Equipements_SCL!$M$16:$M$100, $G36, Equipements_SCL!$J$16:$J$100, J$32)))</f>
        <v/>
      </c>
      <c r="K36" s="514" t="str">
        <f ca="1">IF($G36="", "", IF(SUMIFS(Equipements_SCL!$P$16:$P$100, Equipements_SCL!$M$16:$M$100, $G36, Equipements_SCL!$J$16:$J$100, K$32)=0, "", SUMIFS(Equipements_SCL!$P$16:$P$100, Equipements_SCL!$M$16:$M$100, $G36, Equipements_SCL!$J$16:$J$100, K$32)))</f>
        <v/>
      </c>
      <c r="L36" s="514" t="str">
        <f ca="1">IF($G36="", "", IF(SUMIFS(Equipements_SCL!$P$16:$P$100, Equipements_SCL!$M$16:$M$100, $G36, Equipements_SCL!$J$16:$J$100, L$32)=0, "", SUMIFS(Equipements_SCL!$P$16:$P$100, Equipements_SCL!$M$16:$M$100, $G36, Equipements_SCL!$J$16:$J$100, L$32)))</f>
        <v/>
      </c>
      <c r="M36" s="515" t="str">
        <f ca="1">IF(
    $G36="",
    "",
    IF(
        SUMIFS(Analytique!$AD$3:$AD$20, Analytique!$Z$3:$Z$20, $G36, Analytique!$Y$3:$Y$20, "A1")=0,
        "",
        SUMIFS(Analytique!$AD$3:$AD$20, Analytique!$Z$3:$Z$20, $G36, Analytique!$Y$3:$Y$20, "A1")
    )
)</f>
        <v/>
      </c>
      <c r="N36" s="329"/>
      <c r="O36" s="329"/>
      <c r="P36" s="329"/>
      <c r="Q36" s="329"/>
      <c r="R36" s="329"/>
      <c r="S36" s="329"/>
      <c r="T36" s="329"/>
      <c r="U36" s="329"/>
      <c r="V36" s="329"/>
      <c r="W36" s="329"/>
      <c r="X36" s="329"/>
      <c r="Y36" s="329"/>
      <c r="Z36" s="501"/>
      <c r="AA36" s="346"/>
      <c r="AB36" s="323"/>
    </row>
    <row r="37" spans="2:28" ht="20.100000000000001" customHeight="1" outlineLevel="1" x14ac:dyDescent="0.4">
      <c r="B37" s="328"/>
      <c r="C37" s="345"/>
      <c r="D37" s="762"/>
      <c r="E37" s="763"/>
      <c r="F37" s="500"/>
      <c r="G37" s="511" t="str" cm="1">
        <f t="array" aca="1" ref="G37" ca="1">_xlfn._xlws.SORT(_xlfn.UNIQUE(_xlfn._xlws.FILTER(Equipements_SCL!$M$16:M104, Equipements_SCL!$M$16:M104&lt;&gt;"", "")))</f>
        <v/>
      </c>
      <c r="H37" s="514" t="str">
        <f t="shared" ca="1" si="0"/>
        <v/>
      </c>
      <c r="I37" s="514" t="str">
        <f t="shared" ca="1" si="1"/>
        <v/>
      </c>
      <c r="J37" s="514" t="str">
        <f ca="1">IF($G37="", "", IF(SUMIFS(Equipements_SCL!$P$16:$P$100, Equipements_SCL!$M$16:$M$100, $G37, Equipements_SCL!$J$16:$J$100, J$32)=0, "", SUMIFS(Equipements_SCL!$P$16:$P$100, Equipements_SCL!$M$16:$M$100, $G37, Equipements_SCL!$J$16:$J$100, J$32)))</f>
        <v/>
      </c>
      <c r="K37" s="514" t="str">
        <f ca="1">IF($G37="", "", IF(SUMIFS(Equipements_SCL!$P$16:$P$100, Equipements_SCL!$M$16:$M$100, $G37, Equipements_SCL!$J$16:$J$100, K$32)=0, "", SUMIFS(Equipements_SCL!$P$16:$P$100, Equipements_SCL!$M$16:$M$100, $G37, Equipements_SCL!$J$16:$J$100, K$32)))</f>
        <v/>
      </c>
      <c r="L37" s="514" t="str">
        <f ca="1">IF($G37="", "", IF(SUMIFS(Equipements_SCL!$P$16:$P$100, Equipements_SCL!$M$16:$M$100, $G37, Equipements_SCL!$J$16:$J$100, L$32)=0, "", SUMIFS(Equipements_SCL!$P$16:$P$100, Equipements_SCL!$M$16:$M$100, $G37, Equipements_SCL!$J$16:$J$100, L$32)))</f>
        <v/>
      </c>
      <c r="M37" s="515" t="str">
        <f ca="1">IF(
    $G37="",
    "",
    IF(
        SUMIFS(Analytique!$AD$3:$AD$20, Analytique!$Z$3:$Z$20, $G37, Analytique!$Y$3:$Y$20, "A1")=0,
        "",
        SUMIFS(Analytique!$AD$3:$AD$20, Analytique!$Z$3:$Z$20, $G37, Analytique!$Y$3:$Y$20, "A1")
    )
)</f>
        <v/>
      </c>
      <c r="N37" s="329"/>
      <c r="O37" s="329"/>
      <c r="P37" s="329"/>
      <c r="Q37" s="329"/>
      <c r="R37" s="329"/>
      <c r="S37" s="329"/>
      <c r="T37" s="329"/>
      <c r="U37" s="329"/>
      <c r="V37" s="329"/>
      <c r="W37" s="329"/>
      <c r="X37" s="329"/>
      <c r="Y37" s="329"/>
      <c r="Z37" s="501"/>
      <c r="AA37" s="346"/>
      <c r="AB37" s="323"/>
    </row>
    <row r="38" spans="2:28" ht="20.100000000000001" customHeight="1" outlineLevel="1" x14ac:dyDescent="0.4">
      <c r="B38" s="328"/>
      <c r="C38" s="345"/>
      <c r="D38" s="762"/>
      <c r="E38" s="763"/>
      <c r="F38" s="500"/>
      <c r="G38" s="511" t="str" cm="1">
        <f t="array" aca="1" ref="G38" ca="1">_xlfn._xlws.SORT(_xlfn.UNIQUE(_xlfn._xlws.FILTER(Equipements_SCL!$M$16:M105, Equipements_SCL!$M$16:M105&lt;&gt;"", "")))</f>
        <v/>
      </c>
      <c r="H38" s="514" t="str">
        <f t="shared" ca="1" si="0"/>
        <v/>
      </c>
      <c r="I38" s="514" t="str">
        <f t="shared" ca="1" si="1"/>
        <v/>
      </c>
      <c r="J38" s="514" t="str">
        <f ca="1">IF($G38="", "", IF(SUMIFS(Equipements_SCL!$P$16:$P$100, Equipements_SCL!$M$16:$M$100, $G38, Equipements_SCL!$J$16:$J$100, J$32)=0, "", SUMIFS(Equipements_SCL!$P$16:$P$100, Equipements_SCL!$M$16:$M$100, $G38, Equipements_SCL!$J$16:$J$100, J$32)))</f>
        <v/>
      </c>
      <c r="K38" s="514" t="str">
        <f ca="1">IF($G38="", "", IF(SUMIFS(Equipements_SCL!$P$16:$P$100, Equipements_SCL!$M$16:$M$100, $G38, Equipements_SCL!$J$16:$J$100, K$32)=0, "", SUMIFS(Equipements_SCL!$P$16:$P$100, Equipements_SCL!$M$16:$M$100, $G38, Equipements_SCL!$J$16:$J$100, K$32)))</f>
        <v/>
      </c>
      <c r="L38" s="514" t="str">
        <f ca="1">IF($G38="", "", IF(SUMIFS(Equipements_SCL!$P$16:$P$100, Equipements_SCL!$M$16:$M$100, $G38, Equipements_SCL!$J$16:$J$100, L$32)=0, "", SUMIFS(Equipements_SCL!$P$16:$P$100, Equipements_SCL!$M$16:$M$100, $G38, Equipements_SCL!$J$16:$J$100, L$32)))</f>
        <v/>
      </c>
      <c r="M38" s="515" t="str">
        <f ca="1">IF(
    $G38="",
    "",
    IF(
        SUMIFS(Analytique!$AD$3:$AD$20, Analytique!$Z$3:$Z$20, $G38, Analytique!$Y$3:$Y$20, "A1")=0,
        "",
        SUMIFS(Analytique!$AD$3:$AD$20, Analytique!$Z$3:$Z$20, $G38, Analytique!$Y$3:$Y$20, "A1")
    )
)</f>
        <v/>
      </c>
      <c r="N38" s="329"/>
      <c r="O38" s="329"/>
      <c r="P38" s="329"/>
      <c r="Q38" s="329"/>
      <c r="R38" s="329"/>
      <c r="S38" s="329"/>
      <c r="T38" s="329"/>
      <c r="U38" s="329"/>
      <c r="V38" s="329"/>
      <c r="W38" s="329"/>
      <c r="X38" s="329"/>
      <c r="Y38" s="329"/>
      <c r="Z38" s="501"/>
      <c r="AA38" s="346"/>
      <c r="AB38" s="323"/>
    </row>
    <row r="39" spans="2:28" ht="20.100000000000001" customHeight="1" outlineLevel="1" x14ac:dyDescent="0.4">
      <c r="B39" s="328"/>
      <c r="C39" s="345"/>
      <c r="D39" s="762"/>
      <c r="E39" s="763"/>
      <c r="F39" s="500"/>
      <c r="G39" s="511" t="str" cm="1">
        <f t="array" aca="1" ref="G39" ca="1">_xlfn._xlws.SORT(_xlfn.UNIQUE(_xlfn._xlws.FILTER(Equipements_SCL!$M$16:M106, Equipements_SCL!$M$16:M106&lt;&gt;"", "")))</f>
        <v/>
      </c>
      <c r="H39" s="514" t="str">
        <f t="shared" ca="1" si="0"/>
        <v/>
      </c>
      <c r="I39" s="514" t="str">
        <f t="shared" ca="1" si="1"/>
        <v/>
      </c>
      <c r="J39" s="514" t="str">
        <f ca="1">IF($G39="", "", IF(SUMIFS(Equipements_SCL!$P$16:$P$100, Equipements_SCL!$M$16:$M$100, $G39, Equipements_SCL!$J$16:$J$100, J$32)=0, "", SUMIFS(Equipements_SCL!$P$16:$P$100, Equipements_SCL!$M$16:$M$100, $G39, Equipements_SCL!$J$16:$J$100, J$32)))</f>
        <v/>
      </c>
      <c r="K39" s="514" t="str">
        <f ca="1">IF($G39="", "", IF(SUMIFS(Equipements_SCL!$P$16:$P$100, Equipements_SCL!$M$16:$M$100, $G39, Equipements_SCL!$J$16:$J$100, K$32)=0, "", SUMIFS(Equipements_SCL!$P$16:$P$100, Equipements_SCL!$M$16:$M$100, $G39, Equipements_SCL!$J$16:$J$100, K$32)))</f>
        <v/>
      </c>
      <c r="L39" s="514" t="str">
        <f ca="1">IF($G39="", "", IF(SUMIFS(Equipements_SCL!$P$16:$P$100, Equipements_SCL!$M$16:$M$100, $G39, Equipements_SCL!$J$16:$J$100, L$32)=0, "", SUMIFS(Equipements_SCL!$P$16:$P$100, Equipements_SCL!$M$16:$M$100, $G39, Equipements_SCL!$J$16:$J$100, L$32)))</f>
        <v/>
      </c>
      <c r="M39" s="515" t="str">
        <f ca="1">IF(
    $G39="",
    "",
    IF(
        SUMIFS(Analytique!$AD$3:$AD$20, Analytique!$Z$3:$Z$20, $G39, Analytique!$Y$3:$Y$20, "A1")=0,
        "",
        SUMIFS(Analytique!$AD$3:$AD$20, Analytique!$Z$3:$Z$20, $G39, Analytique!$Y$3:$Y$20, "A1")
    )
)</f>
        <v/>
      </c>
      <c r="N39" s="329"/>
      <c r="O39" s="329"/>
      <c r="P39" s="329"/>
      <c r="Q39" s="329"/>
      <c r="R39" s="329"/>
      <c r="S39" s="329"/>
      <c r="T39" s="329"/>
      <c r="U39" s="329"/>
      <c r="V39" s="329"/>
      <c r="W39" s="329"/>
      <c r="X39" s="329"/>
      <c r="Y39" s="329"/>
      <c r="Z39" s="501"/>
      <c r="AA39" s="346"/>
      <c r="AB39" s="323"/>
    </row>
    <row r="40" spans="2:28" ht="20.100000000000001" customHeight="1" outlineLevel="1" x14ac:dyDescent="0.4">
      <c r="B40" s="328"/>
      <c r="C40" s="345"/>
      <c r="D40" s="762"/>
      <c r="E40" s="763"/>
      <c r="F40" s="500"/>
      <c r="G40" s="511" t="str" cm="1">
        <f t="array" aca="1" ref="G40" ca="1">_xlfn._xlws.SORT(_xlfn.UNIQUE(_xlfn._xlws.FILTER(Equipements_SCL!$M$16:M107, Equipements_SCL!$M$16:M107&lt;&gt;"", "")))</f>
        <v/>
      </c>
      <c r="H40" s="514" t="str">
        <f t="shared" ca="1" si="0"/>
        <v/>
      </c>
      <c r="I40" s="514" t="str">
        <f t="shared" ca="1" si="1"/>
        <v/>
      </c>
      <c r="J40" s="514" t="str">
        <f ca="1">IF($G40="", "", IF(SUMIFS(Equipements_SCL!$P$16:$P$100, Equipements_SCL!$M$16:$M$100, $G40, Equipements_SCL!$J$16:$J$100, J$32)=0, "", SUMIFS(Equipements_SCL!$P$16:$P$100, Equipements_SCL!$M$16:$M$100, $G40, Equipements_SCL!$J$16:$J$100, J$32)))</f>
        <v/>
      </c>
      <c r="K40" s="514" t="str">
        <f ca="1">IF($G40="", "", IF(SUMIFS(Equipements_SCL!$P$16:$P$100, Equipements_SCL!$M$16:$M$100, $G40, Equipements_SCL!$J$16:$J$100, K$32)=0, "", SUMIFS(Equipements_SCL!$P$16:$P$100, Equipements_SCL!$M$16:$M$100, $G40, Equipements_SCL!$J$16:$J$100, K$32)))</f>
        <v/>
      </c>
      <c r="L40" s="514" t="str">
        <f ca="1">IF($G40="", "", IF(SUMIFS(Equipements_SCL!$P$16:$P$100, Equipements_SCL!$M$16:$M$100, $G40, Equipements_SCL!$J$16:$J$100, L$32)=0, "", SUMIFS(Equipements_SCL!$P$16:$P$100, Equipements_SCL!$M$16:$M$100, $G40, Equipements_SCL!$J$16:$J$100, L$32)))</f>
        <v/>
      </c>
      <c r="M40" s="515" t="str">
        <f ca="1">IF(
    $G40="",
    "",
    IF(
        SUMIFS(Analytique!$AD$3:$AD$20, Analytique!$Z$3:$Z$20, $G40, Analytique!$Y$3:$Y$20, "A1")=0,
        "",
        SUMIFS(Analytique!$AD$3:$AD$20, Analytique!$Z$3:$Z$20, $G40, Analytique!$Y$3:$Y$20, "A1")
    )
)</f>
        <v/>
      </c>
      <c r="N40" s="329"/>
      <c r="O40" s="329"/>
      <c r="P40" s="329"/>
      <c r="Q40" s="329"/>
      <c r="R40" s="329"/>
      <c r="S40" s="329"/>
      <c r="T40" s="329"/>
      <c r="U40" s="329"/>
      <c r="V40" s="329"/>
      <c r="W40" s="329"/>
      <c r="X40" s="329"/>
      <c r="Y40" s="329"/>
      <c r="Z40" s="501"/>
      <c r="AA40" s="346"/>
      <c r="AB40" s="323"/>
    </row>
    <row r="41" spans="2:28" ht="20.100000000000001" customHeight="1" outlineLevel="1" x14ac:dyDescent="0.4">
      <c r="B41" s="328"/>
      <c r="C41" s="345"/>
      <c r="D41" s="762"/>
      <c r="E41" s="763"/>
      <c r="F41" s="500"/>
      <c r="G41" s="511" t="str" cm="1">
        <f t="array" aca="1" ref="G41" ca="1">_xlfn._xlws.SORT(_xlfn.UNIQUE(_xlfn._xlws.FILTER(Equipements_SCL!$M$16:M108, Equipements_SCL!$M$16:M108&lt;&gt;"", "")))</f>
        <v/>
      </c>
      <c r="H41" s="514" t="str">
        <f t="shared" ca="1" si="0"/>
        <v/>
      </c>
      <c r="I41" s="514" t="str">
        <f t="shared" ca="1" si="1"/>
        <v/>
      </c>
      <c r="J41" s="514" t="str">
        <f ca="1">IF($G41="", "", IF(SUMIFS(Equipements_SCL!$P$16:$P$100, Equipements_SCL!$M$16:$M$100, $G41, Equipements_SCL!$J$16:$J$100, J$32)=0, "", SUMIFS(Equipements_SCL!$P$16:$P$100, Equipements_SCL!$M$16:$M$100, $G41, Equipements_SCL!$J$16:$J$100, J$32)))</f>
        <v/>
      </c>
      <c r="K41" s="514" t="str">
        <f ca="1">IF($G41="", "", IF(SUMIFS(Equipements_SCL!$P$16:$P$100, Equipements_SCL!$M$16:$M$100, $G41, Equipements_SCL!$J$16:$J$100, K$32)=0, "", SUMIFS(Equipements_SCL!$P$16:$P$100, Equipements_SCL!$M$16:$M$100, $G41, Equipements_SCL!$J$16:$J$100, K$32)))</f>
        <v/>
      </c>
      <c r="L41" s="514" t="str">
        <f ca="1">IF($G41="", "", IF(SUMIFS(Equipements_SCL!$P$16:$P$100, Equipements_SCL!$M$16:$M$100, $G41, Equipements_SCL!$J$16:$J$100, L$32)=0, "", SUMIFS(Equipements_SCL!$P$16:$P$100, Equipements_SCL!$M$16:$M$100, $G41, Equipements_SCL!$J$16:$J$100, L$32)))</f>
        <v/>
      </c>
      <c r="M41" s="515" t="str">
        <f ca="1">IF(
    $G41="",
    "",
    IF(
        SUMIFS(Analytique!$AD$3:$AD$20, Analytique!$Z$3:$Z$20, $G41, Analytique!$Y$3:$Y$20, "A1")=0,
        "",
        SUMIFS(Analytique!$AD$3:$AD$20, Analytique!$Z$3:$Z$20, $G41, Analytique!$Y$3:$Y$20, "A1")
    )
)</f>
        <v/>
      </c>
      <c r="N41" s="329"/>
      <c r="O41" s="329"/>
      <c r="P41" s="329"/>
      <c r="Q41" s="329"/>
      <c r="R41" s="329"/>
      <c r="S41" s="329"/>
      <c r="T41" s="329"/>
      <c r="U41" s="329"/>
      <c r="V41" s="329"/>
      <c r="W41" s="329"/>
      <c r="X41" s="329"/>
      <c r="Y41" s="329"/>
      <c r="Z41" s="501"/>
      <c r="AA41" s="346"/>
      <c r="AB41" s="323"/>
    </row>
    <row r="42" spans="2:28" ht="20.100000000000001" customHeight="1" outlineLevel="1" x14ac:dyDescent="0.4">
      <c r="B42" s="328"/>
      <c r="C42" s="345"/>
      <c r="D42" s="762"/>
      <c r="E42" s="763"/>
      <c r="F42" s="500"/>
      <c r="G42" s="511" t="str" cm="1">
        <f t="array" aca="1" ref="G42" ca="1">_xlfn._xlws.SORT(_xlfn.UNIQUE(_xlfn._xlws.FILTER(Equipements_SCL!$M$16:M109, Equipements_SCL!$M$16:M109&lt;&gt;"", "")))</f>
        <v/>
      </c>
      <c r="H42" s="514" t="str">
        <f t="shared" ca="1" si="0"/>
        <v/>
      </c>
      <c r="I42" s="514" t="str">
        <f t="shared" ca="1" si="1"/>
        <v/>
      </c>
      <c r="J42" s="514" t="str">
        <f ca="1">IF($G42="", "", IF(SUMIFS(Equipements_SCL!$P$16:$P$100, Equipements_SCL!$M$16:$M$100, $G42, Equipements_SCL!$J$16:$J$100, J$32)=0, "", SUMIFS(Equipements_SCL!$P$16:$P$100, Equipements_SCL!$M$16:$M$100, $G42, Equipements_SCL!$J$16:$J$100, J$32)))</f>
        <v/>
      </c>
      <c r="K42" s="514" t="str">
        <f ca="1">IF($G42="", "", IF(SUMIFS(Equipements_SCL!$P$16:$P$100, Equipements_SCL!$M$16:$M$100, $G42, Equipements_SCL!$J$16:$J$100, K$32)=0, "", SUMIFS(Equipements_SCL!$P$16:$P$100, Equipements_SCL!$M$16:$M$100, $G42, Equipements_SCL!$J$16:$J$100, K$32)))</f>
        <v/>
      </c>
      <c r="L42" s="514" t="str">
        <f ca="1">IF($G42="", "", IF(SUMIFS(Equipements_SCL!$P$16:$P$100, Equipements_SCL!$M$16:$M$100, $G42, Equipements_SCL!$J$16:$J$100, L$32)=0, "", SUMIFS(Equipements_SCL!$P$16:$P$100, Equipements_SCL!$M$16:$M$100, $G42, Equipements_SCL!$J$16:$J$100, L$32)))</f>
        <v/>
      </c>
      <c r="M42" s="515" t="str">
        <f ca="1">IF(
    $G42="",
    "",
    IF(
        SUMIFS(Analytique!$AD$3:$AD$20, Analytique!$Z$3:$Z$20, $G42, Analytique!$Y$3:$Y$20, "A1")=0,
        "",
        SUMIFS(Analytique!$AD$3:$AD$20, Analytique!$Z$3:$Z$20, $G42, Analytique!$Y$3:$Y$20, "A1")
    )
)</f>
        <v/>
      </c>
      <c r="N42" s="329"/>
      <c r="O42" s="329"/>
      <c r="P42" s="329"/>
      <c r="Q42" s="329"/>
      <c r="R42" s="329"/>
      <c r="S42" s="329"/>
      <c r="T42" s="329"/>
      <c r="U42" s="329"/>
      <c r="V42" s="329"/>
      <c r="W42" s="329"/>
      <c r="X42" s="329"/>
      <c r="Y42" s="329"/>
      <c r="Z42" s="501"/>
      <c r="AA42" s="346"/>
      <c r="AB42" s="323"/>
    </row>
    <row r="43" spans="2:28" ht="20.100000000000001" customHeight="1" outlineLevel="1" x14ac:dyDescent="0.4">
      <c r="B43" s="328"/>
      <c r="C43" s="345"/>
      <c r="D43" s="762"/>
      <c r="E43" s="763"/>
      <c r="F43" s="500"/>
      <c r="G43" s="511" t="str" cm="1">
        <f t="array" aca="1" ref="G43" ca="1">_xlfn._xlws.SORT(_xlfn.UNIQUE(_xlfn._xlws.FILTER(Equipements_SCL!$M$16:M110, Equipements_SCL!$M$16:M110&lt;&gt;"", "")))</f>
        <v/>
      </c>
      <c r="H43" s="514" t="str">
        <f t="shared" ca="1" si="0"/>
        <v/>
      </c>
      <c r="I43" s="514" t="str">
        <f t="shared" ca="1" si="1"/>
        <v/>
      </c>
      <c r="J43" s="514" t="str">
        <f ca="1">IF($G43="", "", IF(SUMIFS(Equipements_SCL!$P$16:$P$100, Equipements_SCL!$M$16:$M$100, $G43, Equipements_SCL!$J$16:$J$100, J$32)=0, "", SUMIFS(Equipements_SCL!$P$16:$P$100, Equipements_SCL!$M$16:$M$100, $G43, Equipements_SCL!$J$16:$J$100, J$32)))</f>
        <v/>
      </c>
      <c r="K43" s="514" t="str">
        <f ca="1">IF($G43="", "", IF(SUMIFS(Equipements_SCL!$P$16:$P$100, Equipements_SCL!$M$16:$M$100, $G43, Equipements_SCL!$J$16:$J$100, K$32)=0, "", SUMIFS(Equipements_SCL!$P$16:$P$100, Equipements_SCL!$M$16:$M$100, $G43, Equipements_SCL!$J$16:$J$100, K$32)))</f>
        <v/>
      </c>
      <c r="L43" s="514" t="str">
        <f ca="1">IF($G43="", "", IF(SUMIFS(Equipements_SCL!$P$16:$P$100, Equipements_SCL!$M$16:$M$100, $G43, Equipements_SCL!$J$16:$J$100, L$32)=0, "", SUMIFS(Equipements_SCL!$P$16:$P$100, Equipements_SCL!$M$16:$M$100, $G43, Equipements_SCL!$J$16:$J$100, L$32)))</f>
        <v/>
      </c>
      <c r="M43" s="515" t="str">
        <f ca="1">IF(
    $G43="",
    "",
    IF(
        SUMIFS(Analytique!$AD$3:$AD$20, Analytique!$Z$3:$Z$20, $G43, Analytique!$Y$3:$Y$20, "A1")=0,
        "",
        SUMIFS(Analytique!$AD$3:$AD$20, Analytique!$Z$3:$Z$20, $G43, Analytique!$Y$3:$Y$20, "A1")
    )
)</f>
        <v/>
      </c>
      <c r="N43" s="329"/>
      <c r="O43" s="329"/>
      <c r="P43" s="329"/>
      <c r="Q43" s="329"/>
      <c r="R43" s="329"/>
      <c r="S43" s="329"/>
      <c r="T43" s="329"/>
      <c r="U43" s="329"/>
      <c r="V43" s="329"/>
      <c r="W43" s="329"/>
      <c r="X43" s="329"/>
      <c r="Y43" s="329"/>
      <c r="Z43" s="501"/>
      <c r="AA43" s="346"/>
      <c r="AB43" s="323"/>
    </row>
    <row r="44" spans="2:28" ht="20.100000000000001" customHeight="1" outlineLevel="1" x14ac:dyDescent="0.4">
      <c r="B44" s="328"/>
      <c r="C44" s="345"/>
      <c r="D44" s="762"/>
      <c r="E44" s="763"/>
      <c r="F44" s="500"/>
      <c r="G44" s="511" t="str" cm="1">
        <f t="array" aca="1" ref="G44" ca="1">_xlfn._xlws.SORT(_xlfn.UNIQUE(_xlfn._xlws.FILTER(Equipements_SCL!$M$16:M111, Equipements_SCL!$M$16:M111&lt;&gt;"", "")))</f>
        <v/>
      </c>
      <c r="H44" s="514" t="str">
        <f t="shared" ca="1" si="0"/>
        <v/>
      </c>
      <c r="I44" s="514" t="str">
        <f t="shared" ca="1" si="1"/>
        <v/>
      </c>
      <c r="J44" s="514" t="str">
        <f ca="1">IF($G44="", "", IF(SUMIFS(Equipements_SCL!$P$16:$P$100, Equipements_SCL!$M$16:$M$100, $G44, Equipements_SCL!$J$16:$J$100, J$32)=0, "", SUMIFS(Equipements_SCL!$P$16:$P$100, Equipements_SCL!$M$16:$M$100, $G44, Equipements_SCL!$J$16:$J$100, J$32)))</f>
        <v/>
      </c>
      <c r="K44" s="514" t="str">
        <f ca="1">IF($G44="", "", IF(SUMIFS(Equipements_SCL!$P$16:$P$100, Equipements_SCL!$M$16:$M$100, $G44, Equipements_SCL!$J$16:$J$100, K$32)=0, "", SUMIFS(Equipements_SCL!$P$16:$P$100, Equipements_SCL!$M$16:$M$100, $G44, Equipements_SCL!$J$16:$J$100, K$32)))</f>
        <v/>
      </c>
      <c r="L44" s="514" t="str">
        <f ca="1">IF($G44="", "", IF(SUMIFS(Equipements_SCL!$P$16:$P$100, Equipements_SCL!$M$16:$M$100, $G44, Equipements_SCL!$J$16:$J$100, L$32)=0, "", SUMIFS(Equipements_SCL!$P$16:$P$100, Equipements_SCL!$M$16:$M$100, $G44, Equipements_SCL!$J$16:$J$100, L$32)))</f>
        <v/>
      </c>
      <c r="M44" s="515" t="str">
        <f ca="1">IF(
    $G44="",
    "",
    IF(
        SUMIFS(Analytique!$AD$3:$AD$20, Analytique!$Z$3:$Z$20, $G44, Analytique!$Y$3:$Y$20, "A1")=0,
        "",
        SUMIFS(Analytique!$AD$3:$AD$20, Analytique!$Z$3:$Z$20, $G44, Analytique!$Y$3:$Y$20, "A1")
    )
)</f>
        <v/>
      </c>
      <c r="N44" s="329"/>
      <c r="O44" s="329"/>
      <c r="P44" s="329"/>
      <c r="Q44" s="329"/>
      <c r="R44" s="329"/>
      <c r="S44" s="329"/>
      <c r="T44" s="329"/>
      <c r="U44" s="329"/>
      <c r="V44" s="329"/>
      <c r="W44" s="329"/>
      <c r="X44" s="329"/>
      <c r="Y44" s="329"/>
      <c r="Z44" s="501"/>
      <c r="AA44" s="346"/>
      <c r="AB44" s="323"/>
    </row>
    <row r="45" spans="2:28" ht="20.100000000000001" customHeight="1" outlineLevel="1" x14ac:dyDescent="0.4">
      <c r="B45" s="328"/>
      <c r="C45" s="345"/>
      <c r="D45" s="762"/>
      <c r="E45" s="763"/>
      <c r="F45" s="500"/>
      <c r="G45" s="511" t="str" cm="1">
        <f t="array" aca="1" ref="G45" ca="1">_xlfn._xlws.SORT(_xlfn.UNIQUE(_xlfn._xlws.FILTER(Equipements_SCL!$M$16:M112, Equipements_SCL!$M$16:M112&lt;&gt;"", "")))</f>
        <v/>
      </c>
      <c r="H45" s="514" t="str">
        <f t="shared" ca="1" si="0"/>
        <v/>
      </c>
      <c r="I45" s="514" t="str">
        <f t="shared" ca="1" si="1"/>
        <v/>
      </c>
      <c r="J45" s="514" t="str">
        <f ca="1">IF($G45="", "", IF(SUMIFS(Equipements_SCL!$P$16:$P$100, Equipements_SCL!$M$16:$M$100, $G45, Equipements_SCL!$J$16:$J$100, J$32)=0, "", SUMIFS(Equipements_SCL!$P$16:$P$100, Equipements_SCL!$M$16:$M$100, $G45, Equipements_SCL!$J$16:$J$100, J$32)))</f>
        <v/>
      </c>
      <c r="K45" s="514" t="str">
        <f ca="1">IF($G45="", "", IF(SUMIFS(Equipements_SCL!$P$16:$P$100, Equipements_SCL!$M$16:$M$100, $G45, Equipements_SCL!$J$16:$J$100, K$32)=0, "", SUMIFS(Equipements_SCL!$P$16:$P$100, Equipements_SCL!$M$16:$M$100, $G45, Equipements_SCL!$J$16:$J$100, K$32)))</f>
        <v/>
      </c>
      <c r="L45" s="514" t="str">
        <f ca="1">IF($G45="", "", IF(SUMIFS(Equipements_SCL!$P$16:$P$100, Equipements_SCL!$M$16:$M$100, $G45, Equipements_SCL!$J$16:$J$100, L$32)=0, "", SUMIFS(Equipements_SCL!$P$16:$P$100, Equipements_SCL!$M$16:$M$100, $G45, Equipements_SCL!$J$16:$J$100, L$32)))</f>
        <v/>
      </c>
      <c r="M45" s="515" t="str">
        <f ca="1">IF(
    $G45="",
    "",
    IF(
        SUMIFS(Analytique!$AD$3:$AD$20, Analytique!$Z$3:$Z$20, $G45, Analytique!$Y$3:$Y$20, "A1")=0,
        "",
        SUMIFS(Analytique!$AD$3:$AD$20, Analytique!$Z$3:$Z$20, $G45, Analytique!$Y$3:$Y$20, "A1")
    )
)</f>
        <v/>
      </c>
      <c r="N45" s="329"/>
      <c r="O45" s="329"/>
      <c r="P45" s="329"/>
      <c r="Q45" s="329"/>
      <c r="R45" s="329"/>
      <c r="S45" s="329"/>
      <c r="T45" s="329"/>
      <c r="U45" s="329"/>
      <c r="V45" s="329"/>
      <c r="W45" s="329"/>
      <c r="X45" s="329"/>
      <c r="Y45" s="329"/>
      <c r="Z45" s="501"/>
      <c r="AA45" s="346"/>
      <c r="AB45" s="323"/>
    </row>
    <row r="46" spans="2:28" ht="20.100000000000001" customHeight="1" outlineLevel="1" x14ac:dyDescent="0.4">
      <c r="B46" s="328"/>
      <c r="C46" s="345"/>
      <c r="D46" s="762"/>
      <c r="E46" s="763"/>
      <c r="F46" s="500"/>
      <c r="G46" s="511" t="str" cm="1">
        <f t="array" aca="1" ref="G46" ca="1">_xlfn._xlws.SORT(_xlfn.UNIQUE(_xlfn._xlws.FILTER(Equipements_SCL!$M$16:M113, Equipements_SCL!$M$16:M113&lt;&gt;"", "")))</f>
        <v/>
      </c>
      <c r="H46" s="514" t="str">
        <f t="shared" ca="1" si="0"/>
        <v/>
      </c>
      <c r="I46" s="514" t="str">
        <f t="shared" ca="1" si="1"/>
        <v/>
      </c>
      <c r="J46" s="514" t="str">
        <f ca="1">IF($G46="", "", IF(SUMIFS(Equipements_SCL!$P$16:$P$100, Equipements_SCL!$M$16:$M$100, $G46, Equipements_SCL!$J$16:$J$100, J$32)=0, "", SUMIFS(Equipements_SCL!$P$16:$P$100, Equipements_SCL!$M$16:$M$100, $G46, Equipements_SCL!$J$16:$J$100, J$32)))</f>
        <v/>
      </c>
      <c r="K46" s="514" t="str">
        <f ca="1">IF($G46="", "", IF(SUMIFS(Equipements_SCL!$P$16:$P$100, Equipements_SCL!$M$16:$M$100, $G46, Equipements_SCL!$J$16:$J$100, K$32)=0, "", SUMIFS(Equipements_SCL!$P$16:$P$100, Equipements_SCL!$M$16:$M$100, $G46, Equipements_SCL!$J$16:$J$100, K$32)))</f>
        <v/>
      </c>
      <c r="L46" s="514" t="str">
        <f ca="1">IF($G46="", "", IF(SUMIFS(Equipements_SCL!$P$16:$P$100, Equipements_SCL!$M$16:$M$100, $G46, Equipements_SCL!$J$16:$J$100, L$32)=0, "", SUMIFS(Equipements_SCL!$P$16:$P$100, Equipements_SCL!$M$16:$M$100, $G46, Equipements_SCL!$J$16:$J$100, L$32)))</f>
        <v/>
      </c>
      <c r="M46" s="515" t="str">
        <f ca="1">IF(
    $G46="",
    "",
    IF(
        SUMIFS(Analytique!$AD$3:$AD$20, Analytique!$Z$3:$Z$20, $G46, Analytique!$Y$3:$Y$20, "A1")=0,
        "",
        SUMIFS(Analytique!$AD$3:$AD$20, Analytique!$Z$3:$Z$20, $G46, Analytique!$Y$3:$Y$20, "A1")
    )
)</f>
        <v/>
      </c>
      <c r="N46" s="329"/>
      <c r="O46" s="329"/>
      <c r="P46" s="329"/>
      <c r="Q46" s="329"/>
      <c r="R46" s="329"/>
      <c r="S46" s="329"/>
      <c r="T46" s="329"/>
      <c r="U46" s="329"/>
      <c r="V46" s="329"/>
      <c r="W46" s="329"/>
      <c r="X46" s="329"/>
      <c r="Y46" s="329"/>
      <c r="Z46" s="501"/>
      <c r="AA46" s="346"/>
      <c r="AB46" s="323"/>
    </row>
    <row r="47" spans="2:28" ht="20.100000000000001" customHeight="1" outlineLevel="1" x14ac:dyDescent="0.4">
      <c r="B47" s="328"/>
      <c r="C47" s="345"/>
      <c r="D47" s="762"/>
      <c r="E47" s="763"/>
      <c r="F47" s="500"/>
      <c r="G47" s="511" t="str" cm="1">
        <f t="array" aca="1" ref="G47" ca="1">_xlfn._xlws.SORT(_xlfn.UNIQUE(_xlfn._xlws.FILTER(Equipements_SCL!$M$16:M114, Equipements_SCL!$M$16:M114&lt;&gt;"", "")))</f>
        <v/>
      </c>
      <c r="H47" s="514" t="str">
        <f t="shared" ca="1" si="0"/>
        <v/>
      </c>
      <c r="I47" s="514" t="str">
        <f t="shared" ca="1" si="1"/>
        <v/>
      </c>
      <c r="J47" s="514" t="str">
        <f ca="1">IF($G47="", "", IF(SUMIFS(Equipements_SCL!$P$16:$P$100, Equipements_SCL!$M$16:$M$100, $G47, Equipements_SCL!$J$16:$J$100, J$32)=0, "", SUMIFS(Equipements_SCL!$P$16:$P$100, Equipements_SCL!$M$16:$M$100, $G47, Equipements_SCL!$J$16:$J$100, J$32)))</f>
        <v/>
      </c>
      <c r="K47" s="514" t="str">
        <f ca="1">IF($G47="", "", IF(SUMIFS(Equipements_SCL!$P$16:$P$100, Equipements_SCL!$M$16:$M$100, $G47, Equipements_SCL!$J$16:$J$100, K$32)=0, "", SUMIFS(Equipements_SCL!$P$16:$P$100, Equipements_SCL!$M$16:$M$100, $G47, Equipements_SCL!$J$16:$J$100, K$32)))</f>
        <v/>
      </c>
      <c r="L47" s="514" t="str">
        <f ca="1">IF($G47="", "", IF(SUMIFS(Equipements_SCL!$P$16:$P$100, Equipements_SCL!$M$16:$M$100, $G47, Equipements_SCL!$J$16:$J$100, L$32)=0, "", SUMIFS(Equipements_SCL!$P$16:$P$100, Equipements_SCL!$M$16:$M$100, $G47, Equipements_SCL!$J$16:$J$100, L$32)))</f>
        <v/>
      </c>
      <c r="M47" s="515" t="str">
        <f ca="1">IF(
    $G47="",
    "",
    IF(
        SUMIFS(Analytique!$AD$3:$AD$20, Analytique!$Z$3:$Z$20, $G47, Analytique!$Y$3:$Y$20, "A1")=0,
        "",
        SUMIFS(Analytique!$AD$3:$AD$20, Analytique!$Z$3:$Z$20, $G47, Analytique!$Y$3:$Y$20, "A1")
    )
)</f>
        <v/>
      </c>
      <c r="N47" s="329"/>
      <c r="O47" s="329"/>
      <c r="P47" s="329"/>
      <c r="Q47" s="329"/>
      <c r="R47" s="329"/>
      <c r="S47" s="329"/>
      <c r="T47" s="329"/>
      <c r="U47" s="329"/>
      <c r="V47" s="329"/>
      <c r="W47" s="329"/>
      <c r="X47" s="329"/>
      <c r="Y47" s="329"/>
      <c r="Z47" s="501"/>
      <c r="AA47" s="346"/>
      <c r="AB47" s="323"/>
    </row>
    <row r="48" spans="2:28" ht="25.35" customHeight="1" outlineLevel="1" x14ac:dyDescent="0.4">
      <c r="B48" s="328"/>
      <c r="C48" s="345"/>
      <c r="D48" s="762"/>
      <c r="E48" s="763"/>
      <c r="F48" s="500"/>
      <c r="G48" s="511" t="str" cm="1">
        <f t="array" aca="1" ref="G48" ca="1">_xlfn._xlws.SORT(_xlfn.UNIQUE(_xlfn._xlws.FILTER(Equipements_SCL!$M$16:M115, Equipements_SCL!$M$16:M115&lt;&gt;"", "")))</f>
        <v/>
      </c>
      <c r="H48" s="514" t="str">
        <f t="shared" ca="1" si="0"/>
        <v/>
      </c>
      <c r="I48" s="514" t="str">
        <f t="shared" ca="1" si="1"/>
        <v/>
      </c>
      <c r="J48" s="514" t="str">
        <f ca="1">IF($G48="", "", IF(SUMIFS(Equipements_SCL!$P$16:$P$100, Equipements_SCL!$M$16:$M$100, $G48, Equipements_SCL!$J$16:$J$100, J$32)=0, "", SUMIFS(Equipements_SCL!$P$16:$P$100, Equipements_SCL!$M$16:$M$100, $G48, Equipements_SCL!$J$16:$J$100, J$32)))</f>
        <v/>
      </c>
      <c r="K48" s="514" t="str">
        <f ca="1">IF($G48="", "", IF(SUMIFS(Equipements_SCL!$P$16:$P$100, Equipements_SCL!$M$16:$M$100, $G48, Equipements_SCL!$J$16:$J$100, K$32)=0, "", SUMIFS(Equipements_SCL!$P$16:$P$100, Equipements_SCL!$M$16:$M$100, $G48, Equipements_SCL!$J$16:$J$100, K$32)))</f>
        <v/>
      </c>
      <c r="L48" s="514" t="str">
        <f ca="1">IF($G48="", "", IF(SUMIFS(Equipements_SCL!$P$16:$P$100, Equipements_SCL!$M$16:$M$100, $G48, Equipements_SCL!$J$16:$J$100, L$32)=0, "", SUMIFS(Equipements_SCL!$P$16:$P$100, Equipements_SCL!$M$16:$M$100, $G48, Equipements_SCL!$J$16:$J$100, L$32)))</f>
        <v/>
      </c>
      <c r="M48" s="515" t="str">
        <f ca="1">IF(
    $G48="",
    "",
    IF(
        SUMIFS(Analytique!$AD$3:$AD$20, Analytique!$Z$3:$Z$20, $G48, Analytique!$Y$3:$Y$20, "A1")=0,
        "",
        SUMIFS(Analytique!$AD$3:$AD$20, Analytique!$Z$3:$Z$20, $G48, Analytique!$Y$3:$Y$20, "A1")
    )
)</f>
        <v/>
      </c>
      <c r="N48" s="329"/>
      <c r="O48" s="329"/>
      <c r="P48" s="329"/>
      <c r="Q48" s="329"/>
      <c r="R48" s="329"/>
      <c r="S48" s="329"/>
      <c r="T48" s="329"/>
      <c r="U48" s="329"/>
      <c r="V48" s="329"/>
      <c r="W48" s="329"/>
      <c r="X48" s="329"/>
      <c r="Y48" s="329"/>
      <c r="Z48" s="501"/>
      <c r="AA48" s="346"/>
      <c r="AB48" s="323"/>
    </row>
    <row r="49" spans="2:28" ht="20.100000000000001" customHeight="1" outlineLevel="1" x14ac:dyDescent="0.4">
      <c r="B49" s="328"/>
      <c r="C49" s="345"/>
      <c r="D49" s="762"/>
      <c r="E49" s="763"/>
      <c r="F49" s="500"/>
      <c r="G49" s="511" t="str" cm="1">
        <f t="array" aca="1" ref="G49" ca="1">_xlfn._xlws.SORT(_xlfn.UNIQUE(_xlfn._xlws.FILTER(Equipements_SCL!$M$16:M116, Equipements_SCL!$M$16:M116&lt;&gt;"", "")))</f>
        <v/>
      </c>
      <c r="H49" s="514" t="str">
        <f t="shared" ca="1" si="0"/>
        <v/>
      </c>
      <c r="I49" s="514" t="str">
        <f t="shared" ca="1" si="1"/>
        <v/>
      </c>
      <c r="J49" s="514" t="str">
        <f ca="1">IF($G49="", "", IF(SUMIFS(Equipements_SCL!$P$16:$P$100, Equipements_SCL!$M$16:$M$100, $G49, Equipements_SCL!$J$16:$J$100, J$32)=0, "", SUMIFS(Equipements_SCL!$P$16:$P$100, Equipements_SCL!$M$16:$M$100, $G49, Equipements_SCL!$J$16:$J$100, J$32)))</f>
        <v/>
      </c>
      <c r="K49" s="514" t="str">
        <f ca="1">IF($G49="", "", IF(SUMIFS(Equipements_SCL!$P$16:$P$100, Equipements_SCL!$M$16:$M$100, $G49, Equipements_SCL!$J$16:$J$100, K$32)=0, "", SUMIFS(Equipements_SCL!$P$16:$P$100, Equipements_SCL!$M$16:$M$100, $G49, Equipements_SCL!$J$16:$J$100, K$32)))</f>
        <v/>
      </c>
      <c r="L49" s="514" t="str">
        <f ca="1">IF($G49="", "", IF(SUMIFS(Equipements_SCL!$P$16:$P$100, Equipements_SCL!$M$16:$M$100, $G49, Equipements_SCL!$J$16:$J$100, L$32)=0, "", SUMIFS(Equipements_SCL!$P$16:$P$100, Equipements_SCL!$M$16:$M$100, $G49, Equipements_SCL!$J$16:$J$100, L$32)))</f>
        <v/>
      </c>
      <c r="M49" s="515" t="str">
        <f ca="1">IF(
    $G49="",
    "",
    IF(
        SUMIFS(Analytique!$AD$3:$AD$20, Analytique!$Z$3:$Z$20, $G49, Analytique!$Y$3:$Y$20, "A1")=0,
        "",
        SUMIFS(Analytique!$AD$3:$AD$20, Analytique!$Z$3:$Z$20, $G49, Analytique!$Y$3:$Y$20, "A1")
    )
)</f>
        <v/>
      </c>
      <c r="N49" s="329"/>
      <c r="O49" s="329"/>
      <c r="P49" s="329"/>
      <c r="Q49" s="329"/>
      <c r="R49" s="329"/>
      <c r="S49" s="329"/>
      <c r="T49" s="329"/>
      <c r="U49" s="329"/>
      <c r="V49" s="329"/>
      <c r="W49" s="329"/>
      <c r="X49" s="329"/>
      <c r="Y49" s="329"/>
      <c r="Z49" s="501"/>
      <c r="AA49" s="346"/>
      <c r="AB49" s="323"/>
    </row>
    <row r="50" spans="2:28" ht="20.100000000000001" customHeight="1" outlineLevel="1" x14ac:dyDescent="0.4">
      <c r="B50" s="328"/>
      <c r="C50" s="345"/>
      <c r="D50" s="762"/>
      <c r="E50" s="763"/>
      <c r="F50" s="500"/>
      <c r="G50" s="511" t="str" cm="1">
        <f t="array" aca="1" ref="G50" ca="1">_xlfn._xlws.SORT(_xlfn.UNIQUE(_xlfn._xlws.FILTER(Equipements_SCL!$M$16:M117, Equipements_SCL!$M$16:M117&lt;&gt;"", "")))</f>
        <v/>
      </c>
      <c r="H50" s="514" t="str">
        <f t="shared" ca="1" si="0"/>
        <v/>
      </c>
      <c r="I50" s="514" t="str">
        <f t="shared" ca="1" si="1"/>
        <v/>
      </c>
      <c r="J50" s="514" t="str">
        <f ca="1">IF($G50="", "", IF(SUMIFS(Equipements_SCL!$P$16:$P$100, Equipements_SCL!$M$16:$M$100, $G50, Equipements_SCL!$J$16:$J$100, J$32)=0, "", SUMIFS(Equipements_SCL!$P$16:$P$100, Equipements_SCL!$M$16:$M$100, $G50, Equipements_SCL!$J$16:$J$100, J$32)))</f>
        <v/>
      </c>
      <c r="K50" s="514" t="str">
        <f ca="1">IF($G50="", "", IF(SUMIFS(Equipements_SCL!$P$16:$P$100, Equipements_SCL!$M$16:$M$100, $G50, Equipements_SCL!$J$16:$J$100, K$32)=0, "", SUMIFS(Equipements_SCL!$P$16:$P$100, Equipements_SCL!$M$16:$M$100, $G50, Equipements_SCL!$J$16:$J$100, K$32)))</f>
        <v/>
      </c>
      <c r="L50" s="514" t="str">
        <f ca="1">IF($G50="", "", IF(SUMIFS(Equipements_SCL!$P$16:$P$100, Equipements_SCL!$M$16:$M$100, $G50, Equipements_SCL!$J$16:$J$100, L$32)=0, "", SUMIFS(Equipements_SCL!$P$16:$P$100, Equipements_SCL!$M$16:$M$100, $G50, Equipements_SCL!$J$16:$J$100, L$32)))</f>
        <v/>
      </c>
      <c r="M50" s="515" t="str">
        <f ca="1">IF(
    $G50="",
    "",
    IF(
        SUMIFS(Analytique!$AD$3:$AD$20, Analytique!$Z$3:$Z$20, $G50, Analytique!$Y$3:$Y$20, "A1")=0,
        "",
        SUMIFS(Analytique!$AD$3:$AD$20, Analytique!$Z$3:$Z$20, $G50, Analytique!$Y$3:$Y$20, "A1")
    )
)</f>
        <v/>
      </c>
      <c r="N50" s="329"/>
      <c r="O50" s="329"/>
      <c r="P50" s="329"/>
      <c r="Q50" s="329"/>
      <c r="R50" s="329"/>
      <c r="S50" s="329"/>
      <c r="T50" s="329"/>
      <c r="U50" s="329"/>
      <c r="V50" s="329"/>
      <c r="W50" s="329"/>
      <c r="X50" s="329"/>
      <c r="Y50" s="329"/>
      <c r="Z50" s="501"/>
      <c r="AA50" s="346"/>
      <c r="AB50" s="323"/>
    </row>
    <row r="51" spans="2:28" ht="20.100000000000001" customHeight="1" outlineLevel="1" x14ac:dyDescent="0.4">
      <c r="B51" s="328"/>
      <c r="C51" s="345"/>
      <c r="D51" s="762"/>
      <c r="E51" s="763"/>
      <c r="F51" s="500"/>
      <c r="G51" s="511" t="str" cm="1">
        <f t="array" aca="1" ref="G51" ca="1">_xlfn._xlws.SORT(_xlfn.UNIQUE(_xlfn._xlws.FILTER(Equipements_SCL!$M$16:M118, Equipements_SCL!$M$16:M118&lt;&gt;"", "")))</f>
        <v/>
      </c>
      <c r="H51" s="514" t="str">
        <f t="shared" ca="1" si="0"/>
        <v/>
      </c>
      <c r="I51" s="514" t="str">
        <f t="shared" ca="1" si="1"/>
        <v/>
      </c>
      <c r="J51" s="514" t="str">
        <f ca="1">IF($G51="", "", IF(SUMIFS(Equipements_SCL!$P$16:$P$100, Equipements_SCL!$M$16:$M$100, $G51, Equipements_SCL!$J$16:$J$100, J$32)=0, "", SUMIFS(Equipements_SCL!$P$16:$P$100, Equipements_SCL!$M$16:$M$100, $G51, Equipements_SCL!$J$16:$J$100, J$32)))</f>
        <v/>
      </c>
      <c r="K51" s="514" t="str">
        <f ca="1">IF($G51="", "", IF(SUMIFS(Equipements_SCL!$P$16:$P$100, Equipements_SCL!$M$16:$M$100, $G51, Equipements_SCL!$J$16:$J$100, K$32)=0, "", SUMIFS(Equipements_SCL!$P$16:$P$100, Equipements_SCL!$M$16:$M$100, $G51, Equipements_SCL!$J$16:$J$100, K$32)))</f>
        <v/>
      </c>
      <c r="L51" s="514" t="str">
        <f ca="1">IF($G51="", "", IF(SUMIFS(Equipements_SCL!$P$16:$P$100, Equipements_SCL!$M$16:$M$100, $G51, Equipements_SCL!$J$16:$J$100, L$32)=0, "", SUMIFS(Equipements_SCL!$P$16:$P$100, Equipements_SCL!$M$16:$M$100, $G51, Equipements_SCL!$J$16:$J$100, L$32)))</f>
        <v/>
      </c>
      <c r="M51" s="515" t="str">
        <f ca="1">IF(
    $G51="",
    "",
    IF(
        SUMIFS(Analytique!$AD$3:$AD$20, Analytique!$Z$3:$Z$20, $G51, Analytique!$Y$3:$Y$20, "A1")=0,
        "",
        SUMIFS(Analytique!$AD$3:$AD$20, Analytique!$Z$3:$Z$20, $G51, Analytique!$Y$3:$Y$20, "A1")
    )
)</f>
        <v/>
      </c>
      <c r="N51" s="329"/>
      <c r="O51" s="329"/>
      <c r="P51" s="329"/>
      <c r="Q51" s="329"/>
      <c r="R51" s="329"/>
      <c r="S51" s="329"/>
      <c r="T51" s="329"/>
      <c r="U51" s="329"/>
      <c r="V51" s="329"/>
      <c r="W51" s="329"/>
      <c r="X51" s="329"/>
      <c r="Y51" s="329"/>
      <c r="Z51" s="501"/>
      <c r="AA51" s="346"/>
      <c r="AB51" s="323"/>
    </row>
    <row r="52" spans="2:28" ht="20.100000000000001" customHeight="1" outlineLevel="1" x14ac:dyDescent="0.4">
      <c r="B52" s="328"/>
      <c r="C52" s="345"/>
      <c r="D52" s="762"/>
      <c r="E52" s="763"/>
      <c r="F52" s="500"/>
      <c r="G52" s="511" t="str" cm="1">
        <f t="array" aca="1" ref="G52" ca="1">_xlfn._xlws.SORT(_xlfn.UNIQUE(_xlfn._xlws.FILTER(Equipements_SCL!$M$16:M119, Equipements_SCL!$M$16:M119&lt;&gt;"", "")))</f>
        <v/>
      </c>
      <c r="H52" s="514" t="str">
        <f t="shared" ca="1" si="0"/>
        <v/>
      </c>
      <c r="I52" s="514" t="str">
        <f t="shared" ca="1" si="1"/>
        <v/>
      </c>
      <c r="J52" s="514" t="str">
        <f ca="1">IF($G52="", "", IF(SUMIFS(Equipements_SCL!$P$16:$P$100, Equipements_SCL!$M$16:$M$100, $G52, Equipements_SCL!$J$16:$J$100, J$32)=0, "", SUMIFS(Equipements_SCL!$P$16:$P$100, Equipements_SCL!$M$16:$M$100, $G52, Equipements_SCL!$J$16:$J$100, J$32)))</f>
        <v/>
      </c>
      <c r="K52" s="514" t="str">
        <f ca="1">IF($G52="", "", IF(SUMIFS(Equipements_SCL!$P$16:$P$100, Equipements_SCL!$M$16:$M$100, $G52, Equipements_SCL!$J$16:$J$100, K$32)=0, "", SUMIFS(Equipements_SCL!$P$16:$P$100, Equipements_SCL!$M$16:$M$100, $G52, Equipements_SCL!$J$16:$J$100, K$32)))</f>
        <v/>
      </c>
      <c r="L52" s="514" t="str">
        <f ca="1">IF($G52="", "", IF(SUMIFS(Equipements_SCL!$P$16:$P$100, Equipements_SCL!$M$16:$M$100, $G52, Equipements_SCL!$J$16:$J$100, L$32)=0, "", SUMIFS(Equipements_SCL!$P$16:$P$100, Equipements_SCL!$M$16:$M$100, $G52, Equipements_SCL!$J$16:$J$100, L$32)))</f>
        <v/>
      </c>
      <c r="M52" s="515" t="str">
        <f ca="1">IF(
    $G52="",
    "",
    IF(
        SUMIFS(Analytique!$AD$3:$AD$20, Analytique!$Z$3:$Z$20, $G52, Analytique!$Y$3:$Y$20, "A1")=0,
        "",
        SUMIFS(Analytique!$AD$3:$AD$20, Analytique!$Z$3:$Z$20, $G52, Analytique!$Y$3:$Y$20, "A1")
    )
)</f>
        <v/>
      </c>
      <c r="N52" s="329"/>
      <c r="O52" s="329"/>
      <c r="P52" s="329"/>
      <c r="Q52" s="329"/>
      <c r="R52" s="329"/>
      <c r="S52" s="329"/>
      <c r="T52" s="329"/>
      <c r="U52" s="329"/>
      <c r="V52" s="329"/>
      <c r="W52" s="329"/>
      <c r="X52" s="329"/>
      <c r="Y52" s="329"/>
      <c r="Z52" s="501"/>
      <c r="AA52" s="346"/>
      <c r="AB52" s="323"/>
    </row>
    <row r="53" spans="2:28" ht="20.100000000000001" customHeight="1" outlineLevel="1" x14ac:dyDescent="0.4">
      <c r="B53" s="328"/>
      <c r="C53" s="345"/>
      <c r="D53" s="762"/>
      <c r="E53" s="763"/>
      <c r="F53" s="500"/>
      <c r="G53" s="511" t="str" cm="1">
        <f t="array" aca="1" ref="G53" ca="1">_xlfn._xlws.SORT(_xlfn.UNIQUE(_xlfn._xlws.FILTER(Equipements_SCL!$M$16:M120, Equipements_SCL!$M$16:M120&lt;&gt;"", "")))</f>
        <v/>
      </c>
      <c r="H53" s="514" t="str">
        <f t="shared" ca="1" si="0"/>
        <v/>
      </c>
      <c r="I53" s="514" t="str">
        <f t="shared" ca="1" si="1"/>
        <v/>
      </c>
      <c r="J53" s="514" t="str">
        <f ca="1">IF($G53="", "", IF(SUMIFS(Equipements_SCL!$P$16:$P$100, Equipements_SCL!$M$16:$M$100, $G53, Equipements_SCL!$J$16:$J$100, J$32)=0, "", SUMIFS(Equipements_SCL!$P$16:$P$100, Equipements_SCL!$M$16:$M$100, $G53, Equipements_SCL!$J$16:$J$100, J$32)))</f>
        <v/>
      </c>
      <c r="K53" s="514" t="str">
        <f ca="1">IF($G53="", "", IF(SUMIFS(Equipements_SCL!$P$16:$P$100, Equipements_SCL!$M$16:$M$100, $G53, Equipements_SCL!$J$16:$J$100, K$32)=0, "", SUMIFS(Equipements_SCL!$P$16:$P$100, Equipements_SCL!$M$16:$M$100, $G53, Equipements_SCL!$J$16:$J$100, K$32)))</f>
        <v/>
      </c>
      <c r="L53" s="514" t="str">
        <f ca="1">IF($G53="", "", IF(SUMIFS(Equipements_SCL!$P$16:$P$100, Equipements_SCL!$M$16:$M$100, $G53, Equipements_SCL!$J$16:$J$100, L$32)=0, "", SUMIFS(Equipements_SCL!$P$16:$P$100, Equipements_SCL!$M$16:$M$100, $G53, Equipements_SCL!$J$16:$J$100, L$32)))</f>
        <v/>
      </c>
      <c r="M53" s="515" t="str">
        <f ca="1">IF(
    $G53="",
    "",
    IF(
        SUMIFS(Analytique!$AD$3:$AD$20, Analytique!$Z$3:$Z$20, $G53, Analytique!$Y$3:$Y$20, "A1")=0,
        "",
        SUMIFS(Analytique!$AD$3:$AD$20, Analytique!$Z$3:$Z$20, $G53, Analytique!$Y$3:$Y$20, "A1")
    )
)</f>
        <v/>
      </c>
      <c r="N53" s="329"/>
      <c r="O53" s="329"/>
      <c r="P53" s="329"/>
      <c r="Q53" s="329"/>
      <c r="R53" s="329"/>
      <c r="S53" s="329"/>
      <c r="T53" s="329"/>
      <c r="U53" s="329"/>
      <c r="V53" s="329"/>
      <c r="W53" s="329"/>
      <c r="X53" s="329"/>
      <c r="Y53" s="329"/>
      <c r="Z53" s="501"/>
      <c r="AA53" s="346"/>
      <c r="AB53" s="323"/>
    </row>
    <row r="54" spans="2:28" ht="20.100000000000001" customHeight="1" outlineLevel="1" x14ac:dyDescent="0.4">
      <c r="B54" s="328"/>
      <c r="C54" s="345"/>
      <c r="D54" s="762"/>
      <c r="E54" s="763"/>
      <c r="F54" s="500"/>
      <c r="G54" s="511" t="str" cm="1">
        <f t="array" aca="1" ref="G54" ca="1">_xlfn._xlws.SORT(_xlfn.UNIQUE(_xlfn._xlws.FILTER(Equipements_SCL!$M$16:M121, Equipements_SCL!$M$16:M121&lt;&gt;"", "")))</f>
        <v/>
      </c>
      <c r="H54" s="514" t="str">
        <f t="shared" ca="1" si="0"/>
        <v/>
      </c>
      <c r="I54" s="514" t="str">
        <f t="shared" ca="1" si="1"/>
        <v/>
      </c>
      <c r="J54" s="514" t="str">
        <f ca="1">IF($G54="", "", IF(SUMIFS(Equipements_SCL!$P$16:$P$100, Equipements_SCL!$M$16:$M$100, $G54, Equipements_SCL!$J$16:$J$100, J$32)=0, "", SUMIFS(Equipements_SCL!$P$16:$P$100, Equipements_SCL!$M$16:$M$100, $G54, Equipements_SCL!$J$16:$J$100, J$32)))</f>
        <v/>
      </c>
      <c r="K54" s="514" t="str">
        <f ca="1">IF($G54="", "", IF(SUMIFS(Equipements_SCL!$P$16:$P$100, Equipements_SCL!$M$16:$M$100, $G54, Equipements_SCL!$J$16:$J$100, K$32)=0, "", SUMIFS(Equipements_SCL!$P$16:$P$100, Equipements_SCL!$M$16:$M$100, $G54, Equipements_SCL!$J$16:$J$100, K$32)))</f>
        <v/>
      </c>
      <c r="L54" s="514" t="str">
        <f ca="1">IF($G54="", "", IF(SUMIFS(Equipements_SCL!$P$16:$P$100, Equipements_SCL!$M$16:$M$100, $G54, Equipements_SCL!$J$16:$J$100, L$32)=0, "", SUMIFS(Equipements_SCL!$P$16:$P$100, Equipements_SCL!$M$16:$M$100, $G54, Equipements_SCL!$J$16:$J$100, L$32)))</f>
        <v/>
      </c>
      <c r="M54" s="515" t="str">
        <f ca="1">IF(
    $G54="",
    "",
    IF(
        SUMIFS(Analytique!$AD$3:$AD$20, Analytique!$Z$3:$Z$20, $G54, Analytique!$Y$3:$Y$20, "A1")=0,
        "",
        SUMIFS(Analytique!$AD$3:$AD$20, Analytique!$Z$3:$Z$20, $G54, Analytique!$Y$3:$Y$20, "A1")
    )
)</f>
        <v/>
      </c>
      <c r="N54" s="329"/>
      <c r="O54" s="329"/>
      <c r="P54" s="329"/>
      <c r="Q54" s="329"/>
      <c r="R54" s="329"/>
      <c r="S54" s="329"/>
      <c r="T54" s="329"/>
      <c r="U54" s="329"/>
      <c r="V54" s="329"/>
      <c r="W54" s="329"/>
      <c r="X54" s="329"/>
      <c r="Y54" s="329"/>
      <c r="Z54" s="501"/>
      <c r="AA54" s="346"/>
      <c r="AB54" s="323"/>
    </row>
    <row r="55" spans="2:28" ht="20.100000000000001" customHeight="1" outlineLevel="1" x14ac:dyDescent="0.4">
      <c r="B55" s="328"/>
      <c r="C55" s="345"/>
      <c r="D55" s="762"/>
      <c r="E55" s="763"/>
      <c r="F55" s="500"/>
      <c r="G55" s="511" t="str" cm="1">
        <f t="array" aca="1" ref="G55" ca="1">_xlfn._xlws.SORT(_xlfn.UNIQUE(_xlfn._xlws.FILTER(Equipements_SCL!$M$16:M122, Equipements_SCL!$M$16:M122&lt;&gt;"", "")))</f>
        <v/>
      </c>
      <c r="H55" s="514" t="str">
        <f t="shared" ca="1" si="0"/>
        <v/>
      </c>
      <c r="I55" s="514" t="str">
        <f t="shared" ca="1" si="1"/>
        <v/>
      </c>
      <c r="J55" s="514" t="str">
        <f ca="1">IF($G55="", "", IF(SUMIFS(Equipements_SCL!$P$16:$P$100, Equipements_SCL!$M$16:$M$100, $G55, Equipements_SCL!$J$16:$J$100, J$32)=0, "", SUMIFS(Equipements_SCL!$P$16:$P$100, Equipements_SCL!$M$16:$M$100, $G55, Equipements_SCL!$J$16:$J$100, J$32)))</f>
        <v/>
      </c>
      <c r="K55" s="514" t="str">
        <f ca="1">IF($G55="", "", IF(SUMIFS(Equipements_SCL!$P$16:$P$100, Equipements_SCL!$M$16:$M$100, $G55, Equipements_SCL!$J$16:$J$100, K$32)=0, "", SUMIFS(Equipements_SCL!$P$16:$P$100, Equipements_SCL!$M$16:$M$100, $G55, Equipements_SCL!$J$16:$J$100, K$32)))</f>
        <v/>
      </c>
      <c r="L55" s="514" t="str">
        <f ca="1">IF($G55="", "", IF(SUMIFS(Equipements_SCL!$P$16:$P$100, Equipements_SCL!$M$16:$M$100, $G55, Equipements_SCL!$J$16:$J$100, L$32)=0, "", SUMIFS(Equipements_SCL!$P$16:$P$100, Equipements_SCL!$M$16:$M$100, $G55, Equipements_SCL!$J$16:$J$100, L$32)))</f>
        <v/>
      </c>
      <c r="M55" s="515" t="str">
        <f ca="1">IF(
    $G55="",
    "",
    IF(
        SUMIFS(Analytique!$AD$3:$AD$20, Analytique!$Z$3:$Z$20, $G55, Analytique!$Y$3:$Y$20, "A1")=0,
        "",
        SUMIFS(Analytique!$AD$3:$AD$20, Analytique!$Z$3:$Z$20, $G55, Analytique!$Y$3:$Y$20, "A1")
    )
)</f>
        <v/>
      </c>
      <c r="N55" s="329"/>
      <c r="O55" s="329"/>
      <c r="P55" s="329"/>
      <c r="Q55" s="329"/>
      <c r="R55" s="329"/>
      <c r="S55" s="329"/>
      <c r="T55" s="329"/>
      <c r="U55" s="329"/>
      <c r="V55" s="329"/>
      <c r="W55" s="329"/>
      <c r="X55" s="329"/>
      <c r="Y55" s="329"/>
      <c r="Z55" s="501"/>
      <c r="AA55" s="346"/>
      <c r="AB55" s="323"/>
    </row>
    <row r="56" spans="2:28" ht="20.100000000000001" customHeight="1" outlineLevel="1" x14ac:dyDescent="0.4">
      <c r="B56" s="328"/>
      <c r="C56" s="345"/>
      <c r="D56" s="762"/>
      <c r="E56" s="763"/>
      <c r="F56" s="500"/>
      <c r="G56" s="511" t="str" cm="1">
        <f t="array" aca="1" ref="G56" ca="1">_xlfn._xlws.SORT(_xlfn.UNIQUE(_xlfn._xlws.FILTER(Equipements_SCL!$M$16:M123, Equipements_SCL!$M$16:M123&lt;&gt;"", "")))</f>
        <v/>
      </c>
      <c r="H56" s="514" t="str">
        <f t="shared" ca="1" si="0"/>
        <v/>
      </c>
      <c r="I56" s="514" t="str">
        <f t="shared" ca="1" si="1"/>
        <v/>
      </c>
      <c r="J56" s="514" t="str">
        <f ca="1">IF($G56="", "", IF(SUMIFS(Equipements_SCL!$P$16:$P$100, Equipements_SCL!$M$16:$M$100, $G56, Equipements_SCL!$J$16:$J$100, J$32)=0, "", SUMIFS(Equipements_SCL!$P$16:$P$100, Equipements_SCL!$M$16:$M$100, $G56, Equipements_SCL!$J$16:$J$100, J$32)))</f>
        <v/>
      </c>
      <c r="K56" s="514" t="str">
        <f ca="1">IF($G56="", "", IF(SUMIFS(Equipements_SCL!$P$16:$P$100, Equipements_SCL!$M$16:$M$100, $G56, Equipements_SCL!$J$16:$J$100, K$32)=0, "", SUMIFS(Equipements_SCL!$P$16:$P$100, Equipements_SCL!$M$16:$M$100, $G56, Equipements_SCL!$J$16:$J$100, K$32)))</f>
        <v/>
      </c>
      <c r="L56" s="514" t="str">
        <f ca="1">IF($G56="", "", IF(SUMIFS(Equipements_SCL!$P$16:$P$100, Equipements_SCL!$M$16:$M$100, $G56, Equipements_SCL!$J$16:$J$100, L$32)=0, "", SUMIFS(Equipements_SCL!$P$16:$P$100, Equipements_SCL!$M$16:$M$100, $G56, Equipements_SCL!$J$16:$J$100, L$32)))</f>
        <v/>
      </c>
      <c r="M56" s="515" t="str">
        <f ca="1">IF(
    $G56="",
    "",
    IF(
        SUMIFS(Analytique!$AD$3:$AD$20, Analytique!$Z$3:$Z$20, $G56, Analytique!$Y$3:$Y$20, "A1")=0,
        "",
        SUMIFS(Analytique!$AD$3:$AD$20, Analytique!$Z$3:$Z$20, $G56, Analytique!$Y$3:$Y$20, "A1")
    )
)</f>
        <v/>
      </c>
      <c r="N56" s="329"/>
      <c r="O56" s="329"/>
      <c r="P56" s="329"/>
      <c r="Q56" s="329"/>
      <c r="R56" s="329"/>
      <c r="S56" s="329"/>
      <c r="T56" s="329"/>
      <c r="U56" s="329"/>
      <c r="V56" s="329"/>
      <c r="W56" s="329"/>
      <c r="X56" s="329"/>
      <c r="Y56" s="329"/>
      <c r="Z56" s="501"/>
      <c r="AA56" s="346"/>
      <c r="AB56" s="323"/>
    </row>
    <row r="57" spans="2:28" ht="20.100000000000001" customHeight="1" outlineLevel="1" thickBot="1" x14ac:dyDescent="0.45">
      <c r="B57" s="328"/>
      <c r="C57" s="345"/>
      <c r="D57" s="762"/>
      <c r="E57" s="763"/>
      <c r="F57" s="500"/>
      <c r="G57" s="1037" t="str" cm="1">
        <f t="array" aca="1" ref="G57" ca="1">_xlfn._xlws.SORT(_xlfn.UNIQUE(_xlfn._xlws.FILTER(Equipements_SCL!$M$16:M124, Equipements_SCL!$M$16:M124&lt;&gt;"", "")))</f>
        <v/>
      </c>
      <c r="H57" s="516" t="str">
        <f t="shared" ca="1" si="0"/>
        <v/>
      </c>
      <c r="I57" s="516" t="str">
        <f t="shared" ca="1" si="1"/>
        <v/>
      </c>
      <c r="J57" s="516" t="str">
        <f ca="1">IF($G57="", "", IF(SUMIFS(Equipements_SCL!$P$16:$P$100, Equipements_SCL!$M$16:$M$100, $G57, Equipements_SCL!$J$16:$J$100, J$32)=0, "", SUMIFS(Equipements_SCL!$P$16:$P$100, Equipements_SCL!$M$16:$M$100, $G57, Equipements_SCL!$J$16:$J$100, J$32)))</f>
        <v/>
      </c>
      <c r="K57" s="516" t="str">
        <f ca="1">IF($G57="", "", IF(SUMIFS(Equipements_SCL!$P$16:$P$100, Equipements_SCL!$M$16:$M$100, $G57, Equipements_SCL!$J$16:$J$100, K$32)=0, "", SUMIFS(Equipements_SCL!$P$16:$P$100, Equipements_SCL!$M$16:$M$100, $G57, Equipements_SCL!$J$16:$J$100, K$32)))</f>
        <v/>
      </c>
      <c r="L57" s="516" t="str">
        <f ca="1">IF($G57="", "", IF(SUMIFS(Equipements_SCL!$P$16:$P$100, Equipements_SCL!$M$16:$M$100, $G57, Equipements_SCL!$J$16:$J$100, L$32)=0, "", SUMIFS(Equipements_SCL!$P$16:$P$100, Equipements_SCL!$M$16:$M$100, $G57, Equipements_SCL!$J$16:$J$100, L$32)))</f>
        <v/>
      </c>
      <c r="M57" s="517" t="str">
        <f ca="1">IF(
    $G57="",
    "",
    IF(
        SUMIFS(Analytique!$AD$3:$AD$20, Analytique!$Z$3:$Z$20, $G57, Analytique!$Y$3:$Y$20, "A1")=0,
        "",
        SUMIFS(Analytique!$AD$3:$AD$20, Analytique!$Z$3:$Z$20, $G57, Analytique!$Y$3:$Y$20, "A1")
    )
)</f>
        <v/>
      </c>
      <c r="N57" s="329"/>
      <c r="O57" s="329"/>
      <c r="P57" s="329"/>
      <c r="Q57" s="329"/>
      <c r="R57" s="329"/>
      <c r="S57" s="329"/>
      <c r="T57" s="329"/>
      <c r="U57" s="329"/>
      <c r="V57" s="329"/>
      <c r="W57" s="329"/>
      <c r="X57" s="329"/>
      <c r="Y57" s="329"/>
      <c r="Z57" s="501"/>
      <c r="AA57" s="346"/>
      <c r="AB57" s="323"/>
    </row>
    <row r="58" spans="2:28" ht="20.100000000000001" customHeight="1" outlineLevel="1" thickBot="1" x14ac:dyDescent="0.45">
      <c r="B58" s="328"/>
      <c r="C58" s="345"/>
      <c r="D58" s="764"/>
      <c r="E58" s="765"/>
      <c r="F58" s="502"/>
      <c r="G58" s="503" t="s">
        <v>553</v>
      </c>
      <c r="H58" s="503"/>
      <c r="I58" s="503"/>
      <c r="J58" s="503"/>
      <c r="K58" s="503"/>
      <c r="L58" s="503"/>
      <c r="M58" s="503"/>
      <c r="N58" s="503"/>
      <c r="O58" s="503"/>
      <c r="P58" s="503"/>
      <c r="Q58" s="503"/>
      <c r="R58" s="503"/>
      <c r="S58" s="503"/>
      <c r="T58" s="503"/>
      <c r="U58" s="503"/>
      <c r="V58" s="503"/>
      <c r="W58" s="503"/>
      <c r="X58" s="503"/>
      <c r="Y58" s="503"/>
      <c r="Z58" s="504"/>
      <c r="AA58" s="346"/>
      <c r="AB58" s="323"/>
    </row>
    <row r="59" spans="2:28" ht="20.100000000000001" customHeight="1" outlineLevel="1" x14ac:dyDescent="0.4">
      <c r="B59" s="328"/>
      <c r="C59" s="345"/>
      <c r="D59" s="356"/>
      <c r="E59" s="356"/>
      <c r="F59" s="329"/>
      <c r="G59" s="329"/>
      <c r="H59" s="329"/>
      <c r="I59" s="329"/>
      <c r="J59" s="329"/>
      <c r="K59" s="329"/>
      <c r="L59" s="329"/>
      <c r="M59" s="329"/>
      <c r="N59" s="329"/>
      <c r="O59" s="329"/>
      <c r="P59" s="329"/>
      <c r="Q59" s="329"/>
      <c r="R59" s="329"/>
      <c r="S59" s="329"/>
      <c r="T59" s="329"/>
      <c r="U59" s="329"/>
      <c r="V59" s="329"/>
      <c r="W59" s="329"/>
      <c r="X59" s="329"/>
      <c r="Y59" s="329"/>
      <c r="Z59" s="329"/>
      <c r="AA59" s="346"/>
      <c r="AB59" s="323"/>
    </row>
    <row r="60" spans="2:28" ht="20.100000000000001" customHeight="1" outlineLevel="1" x14ac:dyDescent="0.4">
      <c r="B60" s="328"/>
      <c r="C60" s="345"/>
      <c r="D60" s="356"/>
      <c r="E60" s="356"/>
      <c r="F60" s="329"/>
      <c r="G60" s="329"/>
      <c r="H60" s="329"/>
      <c r="I60" s="329"/>
      <c r="J60" s="329"/>
      <c r="K60" s="329"/>
      <c r="L60" s="329"/>
      <c r="M60" s="329"/>
      <c r="N60" s="329"/>
      <c r="O60" s="329"/>
      <c r="P60" s="329"/>
      <c r="Q60" s="329"/>
      <c r="R60" s="329"/>
      <c r="S60" s="329"/>
      <c r="T60" s="329"/>
      <c r="U60" s="329"/>
      <c r="V60" s="329"/>
      <c r="W60" s="329"/>
      <c r="X60" s="329"/>
      <c r="Y60" s="329"/>
      <c r="Z60" s="329"/>
      <c r="AA60" s="346"/>
      <c r="AB60" s="323"/>
    </row>
    <row r="61" spans="2:28" ht="20.100000000000001" customHeight="1" outlineLevel="1" thickBot="1" x14ac:dyDescent="0.45">
      <c r="B61" s="328"/>
      <c r="C61" s="345"/>
      <c r="D61" s="356"/>
      <c r="E61" s="356"/>
      <c r="F61" s="329"/>
      <c r="G61" s="329"/>
      <c r="H61" s="329"/>
      <c r="I61" s="329"/>
      <c r="J61" s="329"/>
      <c r="K61" s="329"/>
      <c r="L61" s="329"/>
      <c r="M61" s="329"/>
      <c r="N61" s="329"/>
      <c r="O61" s="329"/>
      <c r="P61" s="329"/>
      <c r="Q61" s="329"/>
      <c r="R61" s="329"/>
      <c r="S61" s="329"/>
      <c r="T61" s="329"/>
      <c r="U61" s="329"/>
      <c r="V61" s="329"/>
      <c r="W61" s="329"/>
      <c r="X61" s="329"/>
      <c r="Y61" s="329"/>
      <c r="Z61" s="329"/>
      <c r="AA61" s="346"/>
      <c r="AB61" s="323"/>
    </row>
    <row r="62" spans="2:28" ht="20.100000000000001" customHeight="1" outlineLevel="1" x14ac:dyDescent="0.4">
      <c r="B62" s="328"/>
      <c r="C62" s="345"/>
      <c r="D62" s="760" t="s">
        <v>13</v>
      </c>
      <c r="E62" s="791"/>
      <c r="F62" s="794"/>
      <c r="G62" s="795"/>
      <c r="H62" s="795"/>
      <c r="I62" s="795"/>
      <c r="J62" s="795"/>
      <c r="K62" s="795"/>
      <c r="L62" s="795"/>
      <c r="M62" s="795"/>
      <c r="N62" s="795"/>
      <c r="O62" s="795"/>
      <c r="P62" s="795"/>
      <c r="Q62" s="795"/>
      <c r="R62" s="795"/>
      <c r="S62" s="795"/>
      <c r="T62" s="795"/>
      <c r="U62" s="795"/>
      <c r="V62" s="795"/>
      <c r="W62" s="795"/>
      <c r="X62" s="795"/>
      <c r="Y62" s="795"/>
      <c r="Z62" s="796"/>
      <c r="AA62" s="338"/>
      <c r="AB62" s="323"/>
    </row>
    <row r="63" spans="2:28" ht="20.100000000000001" customHeight="1" outlineLevel="1" x14ac:dyDescent="0.4">
      <c r="B63" s="328"/>
      <c r="C63" s="345"/>
      <c r="D63" s="762"/>
      <c r="E63" s="792"/>
      <c r="F63" s="797"/>
      <c r="G63" s="798"/>
      <c r="H63" s="798"/>
      <c r="I63" s="798"/>
      <c r="J63" s="798"/>
      <c r="K63" s="798"/>
      <c r="L63" s="798"/>
      <c r="M63" s="798"/>
      <c r="N63" s="798"/>
      <c r="O63" s="798"/>
      <c r="P63" s="798"/>
      <c r="Q63" s="798"/>
      <c r="R63" s="798"/>
      <c r="S63" s="798"/>
      <c r="T63" s="798"/>
      <c r="U63" s="798"/>
      <c r="V63" s="798"/>
      <c r="W63" s="798"/>
      <c r="X63" s="798"/>
      <c r="Y63" s="798"/>
      <c r="Z63" s="799"/>
      <c r="AA63" s="346"/>
      <c r="AB63" s="323"/>
    </row>
    <row r="64" spans="2:28" ht="20.100000000000001" customHeight="1" outlineLevel="1" x14ac:dyDescent="0.4">
      <c r="B64" s="328"/>
      <c r="C64" s="345"/>
      <c r="D64" s="762"/>
      <c r="E64" s="792"/>
      <c r="F64" s="797"/>
      <c r="G64" s="798"/>
      <c r="H64" s="798"/>
      <c r="I64" s="798"/>
      <c r="J64" s="798"/>
      <c r="K64" s="798"/>
      <c r="L64" s="798"/>
      <c r="M64" s="798"/>
      <c r="N64" s="798"/>
      <c r="O64" s="798"/>
      <c r="P64" s="798"/>
      <c r="Q64" s="798"/>
      <c r="R64" s="798"/>
      <c r="S64" s="798"/>
      <c r="T64" s="798"/>
      <c r="U64" s="798"/>
      <c r="V64" s="798"/>
      <c r="W64" s="798"/>
      <c r="X64" s="798"/>
      <c r="Y64" s="798"/>
      <c r="Z64" s="799"/>
      <c r="AA64" s="346"/>
      <c r="AB64" s="323"/>
    </row>
    <row r="65" spans="2:28" ht="20.100000000000001" customHeight="1" outlineLevel="1" thickBot="1" x14ac:dyDescent="0.45">
      <c r="B65" s="328"/>
      <c r="C65" s="337"/>
      <c r="D65" s="764"/>
      <c r="E65" s="793"/>
      <c r="F65" s="800"/>
      <c r="G65" s="801"/>
      <c r="H65" s="801"/>
      <c r="I65" s="801"/>
      <c r="J65" s="801"/>
      <c r="K65" s="801"/>
      <c r="L65" s="801"/>
      <c r="M65" s="801"/>
      <c r="N65" s="801"/>
      <c r="O65" s="801"/>
      <c r="P65" s="801"/>
      <c r="Q65" s="801"/>
      <c r="R65" s="801"/>
      <c r="S65" s="801"/>
      <c r="T65" s="801"/>
      <c r="U65" s="801"/>
      <c r="V65" s="801"/>
      <c r="W65" s="801"/>
      <c r="X65" s="801"/>
      <c r="Y65" s="801"/>
      <c r="Z65" s="802"/>
      <c r="AA65" s="346"/>
      <c r="AB65" s="323"/>
    </row>
    <row r="66" spans="2:28" ht="20.100000000000001" customHeight="1" outlineLevel="1" thickBot="1" x14ac:dyDescent="0.45">
      <c r="B66" s="328"/>
      <c r="C66" s="342"/>
      <c r="D66" s="347"/>
      <c r="E66" s="347"/>
      <c r="F66" s="347"/>
      <c r="G66" s="347"/>
      <c r="H66" s="347"/>
      <c r="I66" s="347"/>
      <c r="J66" s="347"/>
      <c r="K66" s="347"/>
      <c r="L66" s="347"/>
      <c r="M66" s="347"/>
      <c r="N66" s="347"/>
      <c r="O66" s="347"/>
      <c r="P66" s="347"/>
      <c r="Q66" s="347"/>
      <c r="R66" s="347"/>
      <c r="S66" s="347"/>
      <c r="T66" s="347"/>
      <c r="U66" s="347"/>
      <c r="V66" s="347"/>
      <c r="W66" s="347"/>
      <c r="X66" s="347"/>
      <c r="Y66" s="347"/>
      <c r="Z66" s="347"/>
      <c r="AA66" s="344"/>
      <c r="AB66" s="323"/>
    </row>
    <row r="67" spans="2:28" ht="9.9499999999999993" customHeight="1" thickTop="1" thickBot="1" x14ac:dyDescent="0.45">
      <c r="B67" s="328"/>
      <c r="C67" s="329"/>
      <c r="D67" s="329"/>
      <c r="E67" s="329"/>
      <c r="F67" s="329"/>
      <c r="G67" s="329"/>
      <c r="H67" s="329"/>
      <c r="I67" s="329"/>
      <c r="J67" s="329"/>
      <c r="K67" s="329"/>
      <c r="L67" s="329"/>
      <c r="M67" s="329"/>
      <c r="N67" s="329"/>
      <c r="O67" s="329"/>
      <c r="P67" s="329"/>
      <c r="Q67" s="329"/>
      <c r="R67" s="329"/>
      <c r="S67" s="329"/>
      <c r="T67" s="329"/>
      <c r="U67" s="329"/>
      <c r="V67" s="329"/>
      <c r="W67" s="329"/>
      <c r="X67" s="329"/>
      <c r="Y67" s="329"/>
      <c r="Z67" s="329"/>
      <c r="AA67" s="329"/>
      <c r="AB67" s="323"/>
    </row>
    <row r="68" spans="2:28" ht="20.100000000000001" customHeight="1" thickTop="1" thickBot="1" x14ac:dyDescent="0.45">
      <c r="B68" s="336"/>
      <c r="C68" s="716" t="s">
        <v>514</v>
      </c>
      <c r="D68" s="717"/>
      <c r="E68" s="717"/>
      <c r="F68" s="717"/>
      <c r="G68" s="717"/>
      <c r="H68" s="717"/>
      <c r="I68" s="717"/>
      <c r="J68" s="717"/>
      <c r="K68" s="717"/>
      <c r="L68" s="717"/>
      <c r="M68" s="717"/>
      <c r="N68" s="717"/>
      <c r="O68" s="717"/>
      <c r="P68" s="717"/>
      <c r="Q68" s="717"/>
      <c r="R68" s="717"/>
      <c r="S68" s="717"/>
      <c r="T68" s="717"/>
      <c r="U68" s="717"/>
      <c r="V68" s="717"/>
      <c r="W68" s="717"/>
      <c r="X68" s="717"/>
      <c r="Y68" s="717"/>
      <c r="Z68" s="717"/>
      <c r="AA68" s="718"/>
      <c r="AB68" s="317"/>
    </row>
    <row r="69" spans="2:28" ht="20.100000000000001" customHeight="1" outlineLevel="1" thickTop="1" thickBot="1" x14ac:dyDescent="0.45">
      <c r="B69" s="328"/>
      <c r="C69" s="345"/>
      <c r="D69" s="329"/>
      <c r="E69" s="329"/>
      <c r="F69" s="329"/>
      <c r="G69" s="329"/>
      <c r="H69" s="329"/>
      <c r="I69" s="329"/>
      <c r="J69" s="329"/>
      <c r="K69" s="329"/>
      <c r="L69" s="329"/>
      <c r="M69" s="329"/>
      <c r="N69" s="329"/>
      <c r="O69" s="329"/>
      <c r="P69" s="329"/>
      <c r="Q69" s="329"/>
      <c r="R69" s="329"/>
      <c r="S69" s="329"/>
      <c r="T69" s="329"/>
      <c r="U69" s="329"/>
      <c r="V69" s="329"/>
      <c r="W69" s="329"/>
      <c r="X69" s="329"/>
      <c r="Y69" s="329"/>
      <c r="Z69" s="329"/>
      <c r="AA69" s="346"/>
      <c r="AB69" s="323"/>
    </row>
    <row r="70" spans="2:28" ht="20.100000000000001" customHeight="1" outlineLevel="1" x14ac:dyDescent="0.4">
      <c r="B70" s="328"/>
      <c r="C70" s="345"/>
      <c r="D70" s="776" t="s">
        <v>14</v>
      </c>
      <c r="E70" s="777"/>
      <c r="F70" s="777"/>
      <c r="G70" s="777"/>
      <c r="H70" s="777"/>
      <c r="I70" s="777"/>
      <c r="J70" s="777"/>
      <c r="K70" s="777"/>
      <c r="L70" s="777"/>
      <c r="M70" s="777"/>
      <c r="N70" s="778" t="s">
        <v>406</v>
      </c>
      <c r="O70" s="780" t="s">
        <v>280</v>
      </c>
      <c r="P70" s="780"/>
      <c r="Q70" s="780"/>
      <c r="R70" s="780"/>
      <c r="S70" s="780"/>
      <c r="T70" s="780"/>
      <c r="U70" s="780"/>
      <c r="V70" s="780"/>
      <c r="W70" s="780"/>
      <c r="X70" s="781"/>
      <c r="Y70" s="329"/>
      <c r="Z70" s="329"/>
      <c r="AA70" s="346"/>
      <c r="AB70" s="323"/>
    </row>
    <row r="71" spans="2:28" ht="20.100000000000001" customHeight="1" outlineLevel="1" x14ac:dyDescent="0.4">
      <c r="B71" s="328"/>
      <c r="C71" s="345"/>
      <c r="D71" s="782" t="s">
        <v>16</v>
      </c>
      <c r="E71" s="783"/>
      <c r="F71" s="449" t="s">
        <v>407</v>
      </c>
      <c r="G71" s="449" t="s">
        <v>515</v>
      </c>
      <c r="H71" s="784" t="s">
        <v>408</v>
      </c>
      <c r="I71" s="785"/>
      <c r="J71" s="784" t="s">
        <v>411</v>
      </c>
      <c r="K71" s="786"/>
      <c r="L71" s="786"/>
      <c r="M71" s="786"/>
      <c r="N71" s="779"/>
      <c r="O71" s="448">
        <v>1</v>
      </c>
      <c r="P71" s="449">
        <v>2</v>
      </c>
      <c r="Q71" s="449">
        <v>3</v>
      </c>
      <c r="R71" s="449">
        <v>4</v>
      </c>
      <c r="S71" s="449">
        <v>5</v>
      </c>
      <c r="T71" s="449">
        <v>6</v>
      </c>
      <c r="U71" s="449">
        <v>7</v>
      </c>
      <c r="V71" s="449">
        <v>8</v>
      </c>
      <c r="W71" s="449">
        <v>9</v>
      </c>
      <c r="X71" s="484">
        <v>10</v>
      </c>
      <c r="Y71" s="329"/>
      <c r="Z71" s="329"/>
      <c r="AA71" s="346"/>
      <c r="AB71" s="323"/>
    </row>
    <row r="72" spans="2:28" ht="20.100000000000001" customHeight="1" outlineLevel="1" x14ac:dyDescent="0.4">
      <c r="B72" s="328"/>
      <c r="C72" s="345"/>
      <c r="D72" s="766" t="str">
        <f ca="1">Equipements_SCL!H16</f>
        <v/>
      </c>
      <c r="E72" s="767"/>
      <c r="F72" s="431" t="str">
        <f ca="1">Equipements_SCL!I16</f>
        <v/>
      </c>
      <c r="G72" s="432" t="str">
        <f ca="1">Equipements_SCL!M16</f>
        <v/>
      </c>
      <c r="H72" s="768" t="str">
        <f ca="1">Equipements_SCL!J16</f>
        <v/>
      </c>
      <c r="I72" s="769"/>
      <c r="J72" s="768" t="str">
        <f ca="1">Equipements_SCL!K16</f>
        <v/>
      </c>
      <c r="K72" s="770"/>
      <c r="L72" s="770"/>
      <c r="M72" s="770"/>
      <c r="N72" s="433" t="str">
        <f ca="1">Equipements_SCL!P16</f>
        <v/>
      </c>
      <c r="O72" s="434" t="str">
        <f ca="1">IF(Equipements_SCL!Y16&lt;&gt;"",Equipements_SCL!AK16,"")</f>
        <v/>
      </c>
      <c r="P72" s="434" t="str">
        <f ca="1">IF(Equipements_SCL!Z16&lt;&gt;"",Equipements_SCL!AL16,"")</f>
        <v/>
      </c>
      <c r="Q72" s="434" t="str">
        <f ca="1">IF(Equipements_SCL!AA16&lt;&gt;"",Equipements_SCL!AM16,"")</f>
        <v/>
      </c>
      <c r="R72" s="434" t="str">
        <f ca="1">IF(Equipements_SCL!AB16&lt;&gt;"",Equipements_SCL!AN16,"")</f>
        <v/>
      </c>
      <c r="S72" s="434" t="str">
        <f ca="1">IF(Equipements_SCL!AC16&lt;&gt;"",Equipements_SCL!AO16,"")</f>
        <v/>
      </c>
      <c r="T72" s="434" t="str">
        <f ca="1">IF(Equipements_SCL!AD16&lt;&gt;"",Equipements_SCL!AP16,"")</f>
        <v/>
      </c>
      <c r="U72" s="434" t="str">
        <f ca="1">IF(Equipements_SCL!AE16&lt;&gt;"",Equipements_SCL!AQ16,"")</f>
        <v/>
      </c>
      <c r="V72" s="434" t="str">
        <f ca="1">IF(Equipements_SCL!AF16&lt;&gt;"",Equipements_SCL!AR16,"")</f>
        <v/>
      </c>
      <c r="W72" s="434" t="str">
        <f ca="1">IF(Equipements_SCL!AG16&lt;&gt;"",Equipements_SCL!AS16,"")</f>
        <v/>
      </c>
      <c r="X72" s="485" t="str">
        <f ca="1">IF(Equipements_SCL!AH16&lt;&gt;"",Equipements_SCL!AT16,"")</f>
        <v/>
      </c>
      <c r="Y72" s="329"/>
      <c r="Z72" s="329"/>
      <c r="AA72" s="346"/>
      <c r="AB72" s="323"/>
    </row>
    <row r="73" spans="2:28" ht="20.100000000000001" customHeight="1" outlineLevel="1" x14ac:dyDescent="0.4">
      <c r="B73" s="328"/>
      <c r="C73" s="345"/>
      <c r="D73" s="766" t="str">
        <f ca="1">Equipements_SCL!H17</f>
        <v/>
      </c>
      <c r="E73" s="767"/>
      <c r="F73" s="431" t="str">
        <f ca="1">Equipements_SCL!I17</f>
        <v/>
      </c>
      <c r="G73" s="432" t="str">
        <f ca="1">Equipements_SCL!M17</f>
        <v/>
      </c>
      <c r="H73" s="768" t="str">
        <f ca="1">Equipements_SCL!J17</f>
        <v/>
      </c>
      <c r="I73" s="769"/>
      <c r="J73" s="768" t="str">
        <f ca="1">Equipements_SCL!K17</f>
        <v/>
      </c>
      <c r="K73" s="770"/>
      <c r="L73" s="770"/>
      <c r="M73" s="770"/>
      <c r="N73" s="433" t="str">
        <f ca="1">Equipements_SCL!P17</f>
        <v/>
      </c>
      <c r="O73" s="434" t="str">
        <f ca="1">IF(Equipements_SCL!Y17&lt;&gt;"",Equipements_SCL!AK17,"")</f>
        <v/>
      </c>
      <c r="P73" s="434" t="str">
        <f ca="1">IF(Equipements_SCL!Z17&lt;&gt;"",Equipements_SCL!AL17,"")</f>
        <v/>
      </c>
      <c r="Q73" s="434" t="str">
        <f ca="1">IF(Equipements_SCL!AA17&lt;&gt;"",Equipements_SCL!AM17,"")</f>
        <v/>
      </c>
      <c r="R73" s="434" t="str">
        <f ca="1">IF(Equipements_SCL!AB17&lt;&gt;"",Equipements_SCL!AN17,"")</f>
        <v/>
      </c>
      <c r="S73" s="434" t="str">
        <f ca="1">IF(Equipements_SCL!AC17&lt;&gt;"",Equipements_SCL!AO17,"")</f>
        <v/>
      </c>
      <c r="T73" s="434" t="str">
        <f ca="1">IF(Equipements_SCL!AD17&lt;&gt;"",Equipements_SCL!AP17,"")</f>
        <v/>
      </c>
      <c r="U73" s="434" t="str">
        <f ca="1">IF(Equipements_SCL!AE17&lt;&gt;"",Equipements_SCL!AQ17,"")</f>
        <v/>
      </c>
      <c r="V73" s="434" t="str">
        <f ca="1">IF(Equipements_SCL!AF17&lt;&gt;"",Equipements_SCL!AR17,"")</f>
        <v/>
      </c>
      <c r="W73" s="434" t="str">
        <f ca="1">IF(Equipements_SCL!AG17&lt;&gt;"",Equipements_SCL!AS17,"")</f>
        <v/>
      </c>
      <c r="X73" s="485" t="str">
        <f ca="1">IF(Equipements_SCL!AH17&lt;&gt;"",Equipements_SCL!AT17,"")</f>
        <v/>
      </c>
      <c r="Y73" s="329"/>
      <c r="Z73" s="329"/>
      <c r="AA73" s="346"/>
      <c r="AB73" s="323"/>
    </row>
    <row r="74" spans="2:28" ht="20.100000000000001" customHeight="1" outlineLevel="1" x14ac:dyDescent="0.4">
      <c r="B74" s="328"/>
      <c r="C74" s="345"/>
      <c r="D74" s="766" t="str">
        <f ca="1">Equipements_SCL!H18</f>
        <v/>
      </c>
      <c r="E74" s="767"/>
      <c r="F74" s="431" t="str">
        <f ca="1">Equipements_SCL!I18</f>
        <v/>
      </c>
      <c r="G74" s="432" t="str">
        <f ca="1">Equipements_SCL!M18</f>
        <v/>
      </c>
      <c r="H74" s="768" t="str">
        <f ca="1">Equipements_SCL!J18</f>
        <v/>
      </c>
      <c r="I74" s="769"/>
      <c r="J74" s="768" t="str">
        <f ca="1">Equipements_SCL!K18</f>
        <v/>
      </c>
      <c r="K74" s="770"/>
      <c r="L74" s="770"/>
      <c r="M74" s="770"/>
      <c r="N74" s="433" t="str">
        <f ca="1">Equipements_SCL!P18</f>
        <v/>
      </c>
      <c r="O74" s="434" t="str">
        <f ca="1">IF(Equipements_SCL!Y18&lt;&gt;"",Equipements_SCL!AK18,"")</f>
        <v/>
      </c>
      <c r="P74" s="434" t="str">
        <f ca="1">IF(Equipements_SCL!Z18&lt;&gt;"",Equipements_SCL!AL18,"")</f>
        <v/>
      </c>
      <c r="Q74" s="434" t="str">
        <f ca="1">IF(Equipements_SCL!AA18&lt;&gt;"",Equipements_SCL!AM18,"")</f>
        <v/>
      </c>
      <c r="R74" s="434" t="str">
        <f ca="1">IF(Equipements_SCL!AB18&lt;&gt;"",Equipements_SCL!AN18,"")</f>
        <v/>
      </c>
      <c r="S74" s="434" t="str">
        <f ca="1">IF(Equipements_SCL!AC18&lt;&gt;"",Equipements_SCL!AO18,"")</f>
        <v/>
      </c>
      <c r="T74" s="434" t="str">
        <f ca="1">IF(Equipements_SCL!AD18&lt;&gt;"",Equipements_SCL!AP18,"")</f>
        <v/>
      </c>
      <c r="U74" s="434" t="str">
        <f ca="1">IF(Equipements_SCL!AE18&lt;&gt;"",Equipements_SCL!AQ18,"")</f>
        <v/>
      </c>
      <c r="V74" s="434" t="str">
        <f ca="1">IF(Equipements_SCL!AF18&lt;&gt;"",Equipements_SCL!AR18,"")</f>
        <v/>
      </c>
      <c r="W74" s="434" t="str">
        <f ca="1">IF(Equipements_SCL!AG18&lt;&gt;"",Equipements_SCL!AS18,"")</f>
        <v/>
      </c>
      <c r="X74" s="485" t="str">
        <f ca="1">IF(Equipements_SCL!AH18&lt;&gt;"",Equipements_SCL!AT18,"")</f>
        <v/>
      </c>
      <c r="Y74" s="329"/>
      <c r="Z74" s="329"/>
      <c r="AA74" s="346"/>
      <c r="AB74" s="323"/>
    </row>
    <row r="75" spans="2:28" ht="20.100000000000001" customHeight="1" outlineLevel="1" x14ac:dyDescent="0.4">
      <c r="B75" s="328"/>
      <c r="C75" s="345"/>
      <c r="D75" s="766" t="str">
        <f ca="1">Equipements_SCL!H19</f>
        <v/>
      </c>
      <c r="E75" s="767"/>
      <c r="F75" s="431" t="str">
        <f ca="1">Equipements_SCL!I19</f>
        <v/>
      </c>
      <c r="G75" s="432" t="str">
        <f ca="1">Equipements_SCL!M19</f>
        <v/>
      </c>
      <c r="H75" s="768" t="str">
        <f ca="1">Equipements_SCL!J19</f>
        <v/>
      </c>
      <c r="I75" s="769"/>
      <c r="J75" s="768" t="str">
        <f ca="1">Equipements_SCL!K19</f>
        <v/>
      </c>
      <c r="K75" s="770"/>
      <c r="L75" s="770"/>
      <c r="M75" s="770"/>
      <c r="N75" s="433" t="str">
        <f ca="1">Equipements_SCL!P19</f>
        <v/>
      </c>
      <c r="O75" s="434" t="str">
        <f ca="1">IF(Equipements_SCL!Y19&lt;&gt;"",Equipements_SCL!AK19,"")</f>
        <v/>
      </c>
      <c r="P75" s="434" t="str">
        <f ca="1">IF(Equipements_SCL!Z19&lt;&gt;"",Equipements_SCL!AL19,"")</f>
        <v/>
      </c>
      <c r="Q75" s="434" t="str">
        <f ca="1">IF(Equipements_SCL!AA19&lt;&gt;"",Equipements_SCL!AM19,"")</f>
        <v/>
      </c>
      <c r="R75" s="434" t="str">
        <f ca="1">IF(Equipements_SCL!AB19&lt;&gt;"",Equipements_SCL!AN19,"")</f>
        <v/>
      </c>
      <c r="S75" s="434" t="str">
        <f ca="1">IF(Equipements_SCL!AC19&lt;&gt;"",Equipements_SCL!AO19,"")</f>
        <v/>
      </c>
      <c r="T75" s="434" t="str">
        <f ca="1">IF(Equipements_SCL!AD19&lt;&gt;"",Equipements_SCL!AP19,"")</f>
        <v/>
      </c>
      <c r="U75" s="434" t="str">
        <f ca="1">IF(Equipements_SCL!AE19&lt;&gt;"",Equipements_SCL!AQ19,"")</f>
        <v/>
      </c>
      <c r="V75" s="434" t="str">
        <f ca="1">IF(Equipements_SCL!AF19&lt;&gt;"",Equipements_SCL!AR19,"")</f>
        <v/>
      </c>
      <c r="W75" s="434" t="str">
        <f ca="1">IF(Equipements_SCL!AG19&lt;&gt;"",Equipements_SCL!AS19,"")</f>
        <v/>
      </c>
      <c r="X75" s="485" t="str">
        <f ca="1">IF(Equipements_SCL!AH19&lt;&gt;"",Equipements_SCL!AT19,"")</f>
        <v/>
      </c>
      <c r="Y75" s="329"/>
      <c r="Z75" s="329"/>
      <c r="AA75" s="346"/>
      <c r="AB75" s="323"/>
    </row>
    <row r="76" spans="2:28" ht="20.100000000000001" customHeight="1" outlineLevel="1" x14ac:dyDescent="0.4">
      <c r="B76" s="328"/>
      <c r="C76" s="345"/>
      <c r="D76" s="766" t="str">
        <f ca="1">Equipements_SCL!H20</f>
        <v/>
      </c>
      <c r="E76" s="767"/>
      <c r="F76" s="431" t="str">
        <f ca="1">Equipements_SCL!I20</f>
        <v/>
      </c>
      <c r="G76" s="432" t="str">
        <f ca="1">Equipements_SCL!M20</f>
        <v/>
      </c>
      <c r="H76" s="768" t="str">
        <f ca="1">Equipements_SCL!J20</f>
        <v/>
      </c>
      <c r="I76" s="769"/>
      <c r="J76" s="768" t="str">
        <f ca="1">Equipements_SCL!K20</f>
        <v/>
      </c>
      <c r="K76" s="770"/>
      <c r="L76" s="770"/>
      <c r="M76" s="770"/>
      <c r="N76" s="433" t="str">
        <f ca="1">Equipements_SCL!P20</f>
        <v/>
      </c>
      <c r="O76" s="434" t="str">
        <f ca="1">IF(Equipements_SCL!Y20&lt;&gt;"",Equipements_SCL!AK20,"")</f>
        <v/>
      </c>
      <c r="P76" s="434" t="str">
        <f ca="1">IF(Equipements_SCL!Z20&lt;&gt;"",Equipements_SCL!AL20,"")</f>
        <v/>
      </c>
      <c r="Q76" s="434" t="str">
        <f ca="1">IF(Equipements_SCL!AA20&lt;&gt;"",Equipements_SCL!AM20,"")</f>
        <v/>
      </c>
      <c r="R76" s="434" t="str">
        <f ca="1">IF(Equipements_SCL!AB20&lt;&gt;"",Equipements_SCL!AN20,"")</f>
        <v/>
      </c>
      <c r="S76" s="434" t="str">
        <f ca="1">IF(Equipements_SCL!AC20&lt;&gt;"",Equipements_SCL!AO20,"")</f>
        <v/>
      </c>
      <c r="T76" s="434" t="str">
        <f ca="1">IF(Equipements_SCL!AD20&lt;&gt;"",Equipements_SCL!AP20,"")</f>
        <v/>
      </c>
      <c r="U76" s="434" t="str">
        <f ca="1">IF(Equipements_SCL!AE20&lt;&gt;"",Equipements_SCL!AQ20,"")</f>
        <v/>
      </c>
      <c r="V76" s="434" t="str">
        <f ca="1">IF(Equipements_SCL!AF20&lt;&gt;"",Equipements_SCL!AR20,"")</f>
        <v/>
      </c>
      <c r="W76" s="434" t="str">
        <f ca="1">IF(Equipements_SCL!AG20&lt;&gt;"",Equipements_SCL!AS20,"")</f>
        <v/>
      </c>
      <c r="X76" s="485" t="str">
        <f ca="1">IF(Equipements_SCL!AH20&lt;&gt;"",Equipements_SCL!AT20,"")</f>
        <v/>
      </c>
      <c r="Y76" s="329"/>
      <c r="Z76" s="329"/>
      <c r="AA76" s="346"/>
      <c r="AB76" s="323"/>
    </row>
    <row r="77" spans="2:28" ht="20.100000000000001" customHeight="1" outlineLevel="1" x14ac:dyDescent="0.4">
      <c r="B77" s="328"/>
      <c r="C77" s="345"/>
      <c r="D77" s="766" t="str">
        <f ca="1">Equipements_SCL!H21</f>
        <v/>
      </c>
      <c r="E77" s="767"/>
      <c r="F77" s="431" t="str">
        <f ca="1">Equipements_SCL!I21</f>
        <v/>
      </c>
      <c r="G77" s="432" t="str">
        <f ca="1">Equipements_SCL!M21</f>
        <v/>
      </c>
      <c r="H77" s="768" t="str">
        <f ca="1">Equipements_SCL!J21</f>
        <v/>
      </c>
      <c r="I77" s="769"/>
      <c r="J77" s="768" t="str">
        <f ca="1">Equipements_SCL!K21</f>
        <v/>
      </c>
      <c r="K77" s="770"/>
      <c r="L77" s="770"/>
      <c r="M77" s="770"/>
      <c r="N77" s="433" t="str">
        <f ca="1">Equipements_SCL!P21</f>
        <v/>
      </c>
      <c r="O77" s="434" t="str">
        <f ca="1">IF(Equipements_SCL!Y21&lt;&gt;"",Equipements_SCL!AK21,"")</f>
        <v/>
      </c>
      <c r="P77" s="434" t="str">
        <f ca="1">IF(Equipements_SCL!Z21&lt;&gt;"",Equipements_SCL!AL21,"")</f>
        <v/>
      </c>
      <c r="Q77" s="434" t="str">
        <f ca="1">IF(Equipements_SCL!AA21&lt;&gt;"",Equipements_SCL!AM21,"")</f>
        <v/>
      </c>
      <c r="R77" s="434" t="str">
        <f ca="1">IF(Equipements_SCL!AB21&lt;&gt;"",Equipements_SCL!AN21,"")</f>
        <v/>
      </c>
      <c r="S77" s="434" t="str">
        <f ca="1">IF(Equipements_SCL!AC21&lt;&gt;"",Equipements_SCL!AO21,"")</f>
        <v/>
      </c>
      <c r="T77" s="434" t="str">
        <f ca="1">IF(Equipements_SCL!AD21&lt;&gt;"",Equipements_SCL!AP21,"")</f>
        <v/>
      </c>
      <c r="U77" s="434" t="str">
        <f ca="1">IF(Equipements_SCL!AE21&lt;&gt;"",Equipements_SCL!AQ21,"")</f>
        <v/>
      </c>
      <c r="V77" s="434" t="str">
        <f ca="1">IF(Equipements_SCL!AF21&lt;&gt;"",Equipements_SCL!AR21,"")</f>
        <v/>
      </c>
      <c r="W77" s="434" t="str">
        <f ca="1">IF(Equipements_SCL!AG21&lt;&gt;"",Equipements_SCL!AS21,"")</f>
        <v/>
      </c>
      <c r="X77" s="485" t="str">
        <f ca="1">IF(Equipements_SCL!AH21&lt;&gt;"",Equipements_SCL!AT21,"")</f>
        <v/>
      </c>
      <c r="Y77" s="329"/>
      <c r="Z77" s="329"/>
      <c r="AA77" s="346"/>
      <c r="AB77" s="323"/>
    </row>
    <row r="78" spans="2:28" ht="20.100000000000001" customHeight="1" outlineLevel="1" x14ac:dyDescent="0.4">
      <c r="B78" s="328"/>
      <c r="C78" s="345"/>
      <c r="D78" s="766" t="str">
        <f ca="1">Equipements_SCL!H22</f>
        <v/>
      </c>
      <c r="E78" s="767"/>
      <c r="F78" s="431" t="str">
        <f ca="1">Equipements_SCL!I22</f>
        <v/>
      </c>
      <c r="G78" s="432" t="str">
        <f ca="1">Equipements_SCL!M22</f>
        <v/>
      </c>
      <c r="H78" s="768" t="str">
        <f ca="1">Equipements_SCL!J22</f>
        <v/>
      </c>
      <c r="I78" s="769"/>
      <c r="J78" s="768" t="str">
        <f ca="1">Equipements_SCL!K22</f>
        <v/>
      </c>
      <c r="K78" s="770"/>
      <c r="L78" s="770"/>
      <c r="M78" s="770"/>
      <c r="N78" s="433" t="str">
        <f ca="1">Equipements_SCL!P22</f>
        <v/>
      </c>
      <c r="O78" s="434" t="str">
        <f ca="1">IF(Equipements_SCL!Y22&lt;&gt;"",Equipements_SCL!AK22,"")</f>
        <v/>
      </c>
      <c r="P78" s="434" t="str">
        <f ca="1">IF(Equipements_SCL!Z22&lt;&gt;"",Equipements_SCL!AL22,"")</f>
        <v/>
      </c>
      <c r="Q78" s="434" t="str">
        <f ca="1">IF(Equipements_SCL!AA22&lt;&gt;"",Equipements_SCL!AM22,"")</f>
        <v/>
      </c>
      <c r="R78" s="434" t="str">
        <f ca="1">IF(Equipements_SCL!AB22&lt;&gt;"",Equipements_SCL!AN22,"")</f>
        <v/>
      </c>
      <c r="S78" s="434" t="str">
        <f ca="1">IF(Equipements_SCL!AC22&lt;&gt;"",Equipements_SCL!AO22,"")</f>
        <v/>
      </c>
      <c r="T78" s="434" t="str">
        <f ca="1">IF(Equipements_SCL!AD22&lt;&gt;"",Equipements_SCL!AP22,"")</f>
        <v/>
      </c>
      <c r="U78" s="434" t="str">
        <f ca="1">IF(Equipements_SCL!AE22&lt;&gt;"",Equipements_SCL!AQ22,"")</f>
        <v/>
      </c>
      <c r="V78" s="434" t="str">
        <f ca="1">IF(Equipements_SCL!AF22&lt;&gt;"",Equipements_SCL!AR22,"")</f>
        <v/>
      </c>
      <c r="W78" s="434" t="str">
        <f ca="1">IF(Equipements_SCL!AG22&lt;&gt;"",Equipements_SCL!AS22,"")</f>
        <v/>
      </c>
      <c r="X78" s="485" t="str">
        <f ca="1">IF(Equipements_SCL!AH22&lt;&gt;"",Equipements_SCL!AT22,"")</f>
        <v/>
      </c>
      <c r="Y78" s="329"/>
      <c r="Z78" s="329"/>
      <c r="AA78" s="346"/>
      <c r="AB78" s="323"/>
    </row>
    <row r="79" spans="2:28" ht="20.100000000000001" customHeight="1" outlineLevel="1" x14ac:dyDescent="0.4">
      <c r="B79" s="328"/>
      <c r="C79" s="345"/>
      <c r="D79" s="766" t="str">
        <f ca="1">Equipements_SCL!H23</f>
        <v/>
      </c>
      <c r="E79" s="767"/>
      <c r="F79" s="431" t="str">
        <f ca="1">Equipements_SCL!I23</f>
        <v/>
      </c>
      <c r="G79" s="432" t="str">
        <f ca="1">Equipements_SCL!M23</f>
        <v/>
      </c>
      <c r="H79" s="768" t="str">
        <f ca="1">Equipements_SCL!J23</f>
        <v/>
      </c>
      <c r="I79" s="769"/>
      <c r="J79" s="768" t="str">
        <f ca="1">Equipements_SCL!K23</f>
        <v/>
      </c>
      <c r="K79" s="770"/>
      <c r="L79" s="770"/>
      <c r="M79" s="770"/>
      <c r="N79" s="433" t="str">
        <f ca="1">Equipements_SCL!P23</f>
        <v/>
      </c>
      <c r="O79" s="434" t="str">
        <f ca="1">IF(Equipements_SCL!Y23&lt;&gt;"",Equipements_SCL!AK23,"")</f>
        <v/>
      </c>
      <c r="P79" s="434" t="str">
        <f ca="1">IF(Equipements_SCL!Z23&lt;&gt;"",Equipements_SCL!AL23,"")</f>
        <v/>
      </c>
      <c r="Q79" s="434" t="str">
        <f ca="1">IF(Equipements_SCL!AA23&lt;&gt;"",Equipements_SCL!AM23,"")</f>
        <v/>
      </c>
      <c r="R79" s="434" t="str">
        <f ca="1">IF(Equipements_SCL!AB23&lt;&gt;"",Equipements_SCL!AN23,"")</f>
        <v/>
      </c>
      <c r="S79" s="434" t="str">
        <f ca="1">IF(Equipements_SCL!AC23&lt;&gt;"",Equipements_SCL!AO23,"")</f>
        <v/>
      </c>
      <c r="T79" s="434" t="str">
        <f ca="1">IF(Equipements_SCL!AD23&lt;&gt;"",Equipements_SCL!AP23,"")</f>
        <v/>
      </c>
      <c r="U79" s="434" t="str">
        <f ca="1">IF(Equipements_SCL!AE23&lt;&gt;"",Equipements_SCL!AQ23,"")</f>
        <v/>
      </c>
      <c r="V79" s="434" t="str">
        <f ca="1">IF(Equipements_SCL!AF23&lt;&gt;"",Equipements_SCL!AR23,"")</f>
        <v/>
      </c>
      <c r="W79" s="434" t="str">
        <f ca="1">IF(Equipements_SCL!AG23&lt;&gt;"",Equipements_SCL!AS23,"")</f>
        <v/>
      </c>
      <c r="X79" s="485" t="str">
        <f ca="1">IF(Equipements_SCL!AH23&lt;&gt;"",Equipements_SCL!AT23,"")</f>
        <v/>
      </c>
      <c r="Y79" s="329"/>
      <c r="Z79" s="329"/>
      <c r="AA79" s="346"/>
      <c r="AB79" s="323"/>
    </row>
    <row r="80" spans="2:28" ht="20.100000000000001" customHeight="1" outlineLevel="1" x14ac:dyDescent="0.4">
      <c r="B80" s="328"/>
      <c r="C80" s="345"/>
      <c r="D80" s="766" t="str">
        <f ca="1">Equipements_SCL!H24</f>
        <v/>
      </c>
      <c r="E80" s="767"/>
      <c r="F80" s="431" t="str">
        <f ca="1">Equipements_SCL!I24</f>
        <v/>
      </c>
      <c r="G80" s="432" t="str">
        <f ca="1">Equipements_SCL!M24</f>
        <v/>
      </c>
      <c r="H80" s="768" t="str">
        <f ca="1">Equipements_SCL!J24</f>
        <v/>
      </c>
      <c r="I80" s="769"/>
      <c r="J80" s="768" t="str">
        <f ca="1">Equipements_SCL!K24</f>
        <v/>
      </c>
      <c r="K80" s="770"/>
      <c r="L80" s="770"/>
      <c r="M80" s="770"/>
      <c r="N80" s="433" t="str">
        <f ca="1">Equipements_SCL!P24</f>
        <v/>
      </c>
      <c r="O80" s="434" t="str">
        <f ca="1">IF(Equipements_SCL!Y24&lt;&gt;"",Equipements_SCL!AK24,"")</f>
        <v/>
      </c>
      <c r="P80" s="434" t="str">
        <f ca="1">IF(Equipements_SCL!Z24&lt;&gt;"",Equipements_SCL!AL24,"")</f>
        <v/>
      </c>
      <c r="Q80" s="434" t="str">
        <f ca="1">IF(Equipements_SCL!AA24&lt;&gt;"",Equipements_SCL!AM24,"")</f>
        <v/>
      </c>
      <c r="R80" s="434" t="str">
        <f ca="1">IF(Equipements_SCL!AB24&lt;&gt;"",Equipements_SCL!AN24,"")</f>
        <v/>
      </c>
      <c r="S80" s="434" t="str">
        <f ca="1">IF(Equipements_SCL!AC24&lt;&gt;"",Equipements_SCL!AO24,"")</f>
        <v/>
      </c>
      <c r="T80" s="434" t="str">
        <f ca="1">IF(Equipements_SCL!AD24&lt;&gt;"",Equipements_SCL!AP24,"")</f>
        <v/>
      </c>
      <c r="U80" s="434" t="str">
        <f ca="1">IF(Equipements_SCL!AE24&lt;&gt;"",Equipements_SCL!AQ24,"")</f>
        <v/>
      </c>
      <c r="V80" s="434" t="str">
        <f ca="1">IF(Equipements_SCL!AF24&lt;&gt;"",Equipements_SCL!AR24,"")</f>
        <v/>
      </c>
      <c r="W80" s="434" t="str">
        <f ca="1">IF(Equipements_SCL!AG24&lt;&gt;"",Equipements_SCL!AS24,"")</f>
        <v/>
      </c>
      <c r="X80" s="485" t="str">
        <f ca="1">IF(Equipements_SCL!AH24&lt;&gt;"",Equipements_SCL!AT24,"")</f>
        <v/>
      </c>
      <c r="Y80" s="329"/>
      <c r="Z80" s="329"/>
      <c r="AA80" s="346"/>
      <c r="AB80" s="323"/>
    </row>
    <row r="81" spans="2:28" ht="20.100000000000001" customHeight="1" outlineLevel="1" x14ac:dyDescent="0.4">
      <c r="B81" s="328"/>
      <c r="C81" s="345"/>
      <c r="D81" s="766" t="str">
        <f ca="1">Equipements_SCL!H25</f>
        <v/>
      </c>
      <c r="E81" s="767"/>
      <c r="F81" s="431" t="str">
        <f ca="1">Equipements_SCL!I25</f>
        <v/>
      </c>
      <c r="G81" s="432" t="str">
        <f ca="1">Equipements_SCL!M25</f>
        <v/>
      </c>
      <c r="H81" s="768" t="str">
        <f ca="1">Equipements_SCL!J25</f>
        <v/>
      </c>
      <c r="I81" s="769"/>
      <c r="J81" s="768" t="str">
        <f ca="1">Equipements_SCL!K25</f>
        <v/>
      </c>
      <c r="K81" s="770"/>
      <c r="L81" s="770"/>
      <c r="M81" s="770"/>
      <c r="N81" s="433" t="str">
        <f ca="1">Equipements_SCL!P25</f>
        <v/>
      </c>
      <c r="O81" s="434" t="str">
        <f ca="1">IF(Equipements_SCL!Y25&lt;&gt;"",Equipements_SCL!AK25,"")</f>
        <v/>
      </c>
      <c r="P81" s="434" t="str">
        <f ca="1">IF(Equipements_SCL!Z25&lt;&gt;"",Equipements_SCL!AL25,"")</f>
        <v/>
      </c>
      <c r="Q81" s="434" t="str">
        <f ca="1">IF(Equipements_SCL!AA25&lt;&gt;"",Equipements_SCL!AM25,"")</f>
        <v/>
      </c>
      <c r="R81" s="434" t="str">
        <f ca="1">IF(Equipements_SCL!AB25&lt;&gt;"",Equipements_SCL!AN25,"")</f>
        <v/>
      </c>
      <c r="S81" s="434" t="str">
        <f ca="1">IF(Equipements_SCL!AC25&lt;&gt;"",Equipements_SCL!AO25,"")</f>
        <v/>
      </c>
      <c r="T81" s="434" t="str">
        <f ca="1">IF(Equipements_SCL!AD25&lt;&gt;"",Equipements_SCL!AP25,"")</f>
        <v/>
      </c>
      <c r="U81" s="434" t="str">
        <f ca="1">IF(Equipements_SCL!AE25&lt;&gt;"",Equipements_SCL!AQ25,"")</f>
        <v/>
      </c>
      <c r="V81" s="434" t="str">
        <f ca="1">IF(Equipements_SCL!AF25&lt;&gt;"",Equipements_SCL!AR25,"")</f>
        <v/>
      </c>
      <c r="W81" s="434" t="str">
        <f ca="1">IF(Equipements_SCL!AG25&lt;&gt;"",Equipements_SCL!AS25,"")</f>
        <v/>
      </c>
      <c r="X81" s="485" t="str">
        <f ca="1">IF(Equipements_SCL!AH25&lt;&gt;"",Equipements_SCL!AT25,"")</f>
        <v/>
      </c>
      <c r="Y81" s="329"/>
      <c r="Z81" s="329"/>
      <c r="AA81" s="346"/>
      <c r="AB81" s="323"/>
    </row>
    <row r="82" spans="2:28" ht="20.100000000000001" customHeight="1" outlineLevel="1" x14ac:dyDescent="0.4">
      <c r="B82" s="328"/>
      <c r="C82" s="345"/>
      <c r="D82" s="766" t="str">
        <f ca="1">Equipements_SCL!H26</f>
        <v/>
      </c>
      <c r="E82" s="767"/>
      <c r="F82" s="431" t="str">
        <f ca="1">Equipements_SCL!I26</f>
        <v/>
      </c>
      <c r="G82" s="432" t="str">
        <f ca="1">Equipements_SCL!M26</f>
        <v/>
      </c>
      <c r="H82" s="768" t="str">
        <f ca="1">Equipements_SCL!J26</f>
        <v/>
      </c>
      <c r="I82" s="769"/>
      <c r="J82" s="768" t="str">
        <f ca="1">Equipements_SCL!K26</f>
        <v/>
      </c>
      <c r="K82" s="770"/>
      <c r="L82" s="770"/>
      <c r="M82" s="770"/>
      <c r="N82" s="433" t="str">
        <f ca="1">Equipements_SCL!P26</f>
        <v/>
      </c>
      <c r="O82" s="434" t="str">
        <f ca="1">IF(Equipements_SCL!Y26&lt;&gt;"",Equipements_SCL!AK26,"")</f>
        <v/>
      </c>
      <c r="P82" s="434" t="str">
        <f ca="1">IF(Equipements_SCL!Z26&lt;&gt;"",Equipements_SCL!AL26,"")</f>
        <v/>
      </c>
      <c r="Q82" s="434" t="str">
        <f ca="1">IF(Equipements_SCL!AA26&lt;&gt;"",Equipements_SCL!AM26,"")</f>
        <v/>
      </c>
      <c r="R82" s="434" t="str">
        <f ca="1">IF(Equipements_SCL!AB26&lt;&gt;"",Equipements_SCL!AN26,"")</f>
        <v/>
      </c>
      <c r="S82" s="434" t="str">
        <f ca="1">IF(Equipements_SCL!AC26&lt;&gt;"",Equipements_SCL!AO26,"")</f>
        <v/>
      </c>
      <c r="T82" s="434" t="str">
        <f ca="1">IF(Equipements_SCL!AD26&lt;&gt;"",Equipements_SCL!AP26,"")</f>
        <v/>
      </c>
      <c r="U82" s="434" t="str">
        <f ca="1">IF(Equipements_SCL!AE26&lt;&gt;"",Equipements_SCL!AQ26,"")</f>
        <v/>
      </c>
      <c r="V82" s="434" t="str">
        <f ca="1">IF(Equipements_SCL!AF26&lt;&gt;"",Equipements_SCL!AR26,"")</f>
        <v/>
      </c>
      <c r="W82" s="434" t="str">
        <f ca="1">IF(Equipements_SCL!AG26&lt;&gt;"",Equipements_SCL!AS26,"")</f>
        <v/>
      </c>
      <c r="X82" s="485" t="str">
        <f ca="1">IF(Equipements_SCL!AH26&lt;&gt;"",Equipements_SCL!AT26,"")</f>
        <v/>
      </c>
      <c r="Y82" s="329"/>
      <c r="Z82" s="329"/>
      <c r="AA82" s="346"/>
      <c r="AB82" s="323"/>
    </row>
    <row r="83" spans="2:28" ht="20.100000000000001" customHeight="1" outlineLevel="1" x14ac:dyDescent="0.4">
      <c r="B83" s="328"/>
      <c r="C83" s="345"/>
      <c r="D83" s="766" t="str">
        <f ca="1">Equipements_SCL!H27</f>
        <v/>
      </c>
      <c r="E83" s="767"/>
      <c r="F83" s="431" t="str">
        <f ca="1">Equipements_SCL!I27</f>
        <v/>
      </c>
      <c r="G83" s="432" t="str">
        <f ca="1">Equipements_SCL!M27</f>
        <v/>
      </c>
      <c r="H83" s="768" t="str">
        <f ca="1">Equipements_SCL!J27</f>
        <v/>
      </c>
      <c r="I83" s="769"/>
      <c r="J83" s="768" t="str">
        <f ca="1">Equipements_SCL!K27</f>
        <v/>
      </c>
      <c r="K83" s="770"/>
      <c r="L83" s="770"/>
      <c r="M83" s="770"/>
      <c r="N83" s="433" t="str">
        <f ca="1">Equipements_SCL!P27</f>
        <v/>
      </c>
      <c r="O83" s="434" t="str">
        <f ca="1">IF(Equipements_SCL!Y27&lt;&gt;"",Equipements_SCL!AK27,"")</f>
        <v/>
      </c>
      <c r="P83" s="434" t="str">
        <f ca="1">IF(Equipements_SCL!Z27&lt;&gt;"",Equipements_SCL!AL27,"")</f>
        <v/>
      </c>
      <c r="Q83" s="434" t="str">
        <f ca="1">IF(Equipements_SCL!AA27&lt;&gt;"",Equipements_SCL!AM27,"")</f>
        <v/>
      </c>
      <c r="R83" s="434" t="str">
        <f ca="1">IF(Equipements_SCL!AB27&lt;&gt;"",Equipements_SCL!AN27,"")</f>
        <v/>
      </c>
      <c r="S83" s="434" t="str">
        <f ca="1">IF(Equipements_SCL!AC27&lt;&gt;"",Equipements_SCL!AO27,"")</f>
        <v/>
      </c>
      <c r="T83" s="434" t="str">
        <f ca="1">IF(Equipements_SCL!AD27&lt;&gt;"",Equipements_SCL!AP27,"")</f>
        <v/>
      </c>
      <c r="U83" s="434" t="str">
        <f ca="1">IF(Equipements_SCL!AE27&lt;&gt;"",Equipements_SCL!AQ27,"")</f>
        <v/>
      </c>
      <c r="V83" s="434" t="str">
        <f ca="1">IF(Equipements_SCL!AF27&lt;&gt;"",Equipements_SCL!AR27,"")</f>
        <v/>
      </c>
      <c r="W83" s="434" t="str">
        <f ca="1">IF(Equipements_SCL!AG27&lt;&gt;"",Equipements_SCL!AS27,"")</f>
        <v/>
      </c>
      <c r="X83" s="485" t="str">
        <f ca="1">IF(Equipements_SCL!AH27&lt;&gt;"",Equipements_SCL!AT27,"")</f>
        <v/>
      </c>
      <c r="Y83" s="329"/>
      <c r="Z83" s="329"/>
      <c r="AA83" s="346"/>
      <c r="AB83" s="323"/>
    </row>
    <row r="84" spans="2:28" ht="20.100000000000001" customHeight="1" outlineLevel="1" x14ac:dyDescent="0.4">
      <c r="B84" s="328"/>
      <c r="C84" s="345"/>
      <c r="D84" s="766" t="str">
        <f ca="1">Equipements_SCL!H28</f>
        <v/>
      </c>
      <c r="E84" s="767"/>
      <c r="F84" s="431" t="str">
        <f ca="1">Equipements_SCL!I28</f>
        <v/>
      </c>
      <c r="G84" s="432" t="str">
        <f ca="1">Equipements_SCL!M28</f>
        <v/>
      </c>
      <c r="H84" s="768" t="str">
        <f ca="1">Equipements_SCL!J28</f>
        <v/>
      </c>
      <c r="I84" s="769"/>
      <c r="J84" s="768" t="str">
        <f ca="1">Equipements_SCL!K28</f>
        <v/>
      </c>
      <c r="K84" s="770"/>
      <c r="L84" s="770"/>
      <c r="M84" s="770"/>
      <c r="N84" s="433" t="str">
        <f ca="1">Equipements_SCL!P28</f>
        <v/>
      </c>
      <c r="O84" s="434" t="str">
        <f ca="1">IF(Equipements_SCL!Y28&lt;&gt;"",Equipements_SCL!AK28,"")</f>
        <v/>
      </c>
      <c r="P84" s="434" t="str">
        <f ca="1">IF(Equipements_SCL!Z28&lt;&gt;"",Equipements_SCL!AL28,"")</f>
        <v/>
      </c>
      <c r="Q84" s="434" t="str">
        <f ca="1">IF(Equipements_SCL!AA28&lt;&gt;"",Equipements_SCL!AM28,"")</f>
        <v/>
      </c>
      <c r="R84" s="434" t="str">
        <f ca="1">IF(Equipements_SCL!AB28&lt;&gt;"",Equipements_SCL!AN28,"")</f>
        <v/>
      </c>
      <c r="S84" s="434" t="str">
        <f ca="1">IF(Equipements_SCL!AC28&lt;&gt;"",Equipements_SCL!AO28,"")</f>
        <v/>
      </c>
      <c r="T84" s="434" t="str">
        <f ca="1">IF(Equipements_SCL!AD28&lt;&gt;"",Equipements_SCL!AP28,"")</f>
        <v/>
      </c>
      <c r="U84" s="434" t="str">
        <f ca="1">IF(Equipements_SCL!AE28&lt;&gt;"",Equipements_SCL!AQ28,"")</f>
        <v/>
      </c>
      <c r="V84" s="434" t="str">
        <f ca="1">IF(Equipements_SCL!AF28&lt;&gt;"",Equipements_SCL!AR28,"")</f>
        <v/>
      </c>
      <c r="W84" s="434" t="str">
        <f ca="1">IF(Equipements_SCL!AG28&lt;&gt;"",Equipements_SCL!AS28,"")</f>
        <v/>
      </c>
      <c r="X84" s="485" t="str">
        <f ca="1">IF(Equipements_SCL!AH28&lt;&gt;"",Equipements_SCL!AT28,"")</f>
        <v/>
      </c>
      <c r="Y84" s="329"/>
      <c r="Z84" s="329"/>
      <c r="AA84" s="346"/>
      <c r="AB84" s="323"/>
    </row>
    <row r="85" spans="2:28" ht="20.100000000000001" customHeight="1" outlineLevel="1" x14ac:dyDescent="0.4">
      <c r="B85" s="328"/>
      <c r="C85" s="345"/>
      <c r="D85" s="766" t="str">
        <f ca="1">Equipements_SCL!H29</f>
        <v/>
      </c>
      <c r="E85" s="767"/>
      <c r="F85" s="431" t="str">
        <f ca="1">Equipements_SCL!I29</f>
        <v/>
      </c>
      <c r="G85" s="432" t="str">
        <f ca="1">Equipements_SCL!M29</f>
        <v/>
      </c>
      <c r="H85" s="768" t="str">
        <f ca="1">Equipements_SCL!J29</f>
        <v/>
      </c>
      <c r="I85" s="769"/>
      <c r="J85" s="768" t="str">
        <f ca="1">Equipements_SCL!K29</f>
        <v/>
      </c>
      <c r="K85" s="770"/>
      <c r="L85" s="770"/>
      <c r="M85" s="770"/>
      <c r="N85" s="433" t="str">
        <f ca="1">Equipements_SCL!P29</f>
        <v/>
      </c>
      <c r="O85" s="434" t="str">
        <f ca="1">IF(Equipements_SCL!Y29&lt;&gt;"",Equipements_SCL!AK29,"")</f>
        <v/>
      </c>
      <c r="P85" s="434" t="str">
        <f ca="1">IF(Equipements_SCL!Z29&lt;&gt;"",Equipements_SCL!AL29,"")</f>
        <v/>
      </c>
      <c r="Q85" s="434" t="str">
        <f ca="1">IF(Equipements_SCL!AA29&lt;&gt;"",Equipements_SCL!AM29,"")</f>
        <v/>
      </c>
      <c r="R85" s="434" t="str">
        <f ca="1">IF(Equipements_SCL!AB29&lt;&gt;"",Equipements_SCL!AN29,"")</f>
        <v/>
      </c>
      <c r="S85" s="434" t="str">
        <f ca="1">IF(Equipements_SCL!AC29&lt;&gt;"",Equipements_SCL!AO29,"")</f>
        <v/>
      </c>
      <c r="T85" s="434" t="str">
        <f ca="1">IF(Equipements_SCL!AD29&lt;&gt;"",Equipements_SCL!AP29,"")</f>
        <v/>
      </c>
      <c r="U85" s="434" t="str">
        <f ca="1">IF(Equipements_SCL!AE29&lt;&gt;"",Equipements_SCL!AQ29,"")</f>
        <v/>
      </c>
      <c r="V85" s="434" t="str">
        <f ca="1">IF(Equipements_SCL!AF29&lt;&gt;"",Equipements_SCL!AR29,"")</f>
        <v/>
      </c>
      <c r="W85" s="434" t="str">
        <f ca="1">IF(Equipements_SCL!AG29&lt;&gt;"",Equipements_SCL!AS29,"")</f>
        <v/>
      </c>
      <c r="X85" s="485" t="str">
        <f ca="1">IF(Equipements_SCL!AH29&lt;&gt;"",Equipements_SCL!AT29,"")</f>
        <v/>
      </c>
      <c r="Y85" s="329"/>
      <c r="Z85" s="329"/>
      <c r="AA85" s="346"/>
      <c r="AB85" s="323"/>
    </row>
    <row r="86" spans="2:28" ht="20.100000000000001" customHeight="1" outlineLevel="1" x14ac:dyDescent="0.4">
      <c r="B86" s="328"/>
      <c r="C86" s="345"/>
      <c r="D86" s="766" t="str">
        <f ca="1">Equipements_SCL!H30</f>
        <v/>
      </c>
      <c r="E86" s="767"/>
      <c r="F86" s="431" t="str">
        <f ca="1">Equipements_SCL!I30</f>
        <v/>
      </c>
      <c r="G86" s="432" t="str">
        <f ca="1">Equipements_SCL!M30</f>
        <v/>
      </c>
      <c r="H86" s="768" t="str">
        <f ca="1">Equipements_SCL!J30</f>
        <v/>
      </c>
      <c r="I86" s="769"/>
      <c r="J86" s="768" t="str">
        <f ca="1">Equipements_SCL!K30</f>
        <v/>
      </c>
      <c r="K86" s="770"/>
      <c r="L86" s="770"/>
      <c r="M86" s="770"/>
      <c r="N86" s="433" t="str">
        <f ca="1">Equipements_SCL!P30</f>
        <v/>
      </c>
      <c r="O86" s="434" t="str">
        <f ca="1">IF(Equipements_SCL!Y30&lt;&gt;"",Equipements_SCL!AK30,"")</f>
        <v/>
      </c>
      <c r="P86" s="434" t="str">
        <f ca="1">IF(Equipements_SCL!Z30&lt;&gt;"",Equipements_SCL!AL30,"")</f>
        <v/>
      </c>
      <c r="Q86" s="434" t="str">
        <f ca="1">IF(Equipements_SCL!AA30&lt;&gt;"",Equipements_SCL!AM30,"")</f>
        <v/>
      </c>
      <c r="R86" s="434" t="str">
        <f ca="1">IF(Equipements_SCL!AB30&lt;&gt;"",Equipements_SCL!AN30,"")</f>
        <v/>
      </c>
      <c r="S86" s="434" t="str">
        <f ca="1">IF(Equipements_SCL!AC30&lt;&gt;"",Equipements_SCL!AO30,"")</f>
        <v/>
      </c>
      <c r="T86" s="434" t="str">
        <f ca="1">IF(Equipements_SCL!AD30&lt;&gt;"",Equipements_SCL!AP30,"")</f>
        <v/>
      </c>
      <c r="U86" s="434" t="str">
        <f ca="1">IF(Equipements_SCL!AE30&lt;&gt;"",Equipements_SCL!AQ30,"")</f>
        <v/>
      </c>
      <c r="V86" s="434" t="str">
        <f ca="1">IF(Equipements_SCL!AF30&lt;&gt;"",Equipements_SCL!AR30,"")</f>
        <v/>
      </c>
      <c r="W86" s="434" t="str">
        <f ca="1">IF(Equipements_SCL!AG30&lt;&gt;"",Equipements_SCL!AS30,"")</f>
        <v/>
      </c>
      <c r="X86" s="485" t="str">
        <f ca="1">IF(Equipements_SCL!AH30&lt;&gt;"",Equipements_SCL!AT30,"")</f>
        <v/>
      </c>
      <c r="Y86" s="329"/>
      <c r="Z86" s="329"/>
      <c r="AA86" s="346"/>
      <c r="AB86" s="323"/>
    </row>
    <row r="87" spans="2:28" ht="20.100000000000001" customHeight="1" outlineLevel="1" x14ac:dyDescent="0.4">
      <c r="B87" s="328"/>
      <c r="C87" s="345"/>
      <c r="D87" s="766" t="str">
        <f ca="1">Equipements_SCL!H31</f>
        <v/>
      </c>
      <c r="E87" s="767"/>
      <c r="F87" s="431" t="str">
        <f ca="1">Equipements_SCL!I31</f>
        <v/>
      </c>
      <c r="G87" s="432" t="str">
        <f ca="1">Equipements_SCL!M31</f>
        <v/>
      </c>
      <c r="H87" s="768" t="str">
        <f ca="1">Equipements_SCL!J31</f>
        <v/>
      </c>
      <c r="I87" s="769"/>
      <c r="J87" s="768" t="str">
        <f ca="1">Equipements_SCL!K31</f>
        <v/>
      </c>
      <c r="K87" s="770"/>
      <c r="L87" s="770"/>
      <c r="M87" s="770"/>
      <c r="N87" s="433" t="str">
        <f ca="1">Equipements_SCL!P31</f>
        <v/>
      </c>
      <c r="O87" s="434" t="str">
        <f ca="1">IF(Equipements_SCL!Y31&lt;&gt;"",Equipements_SCL!AK31,"")</f>
        <v/>
      </c>
      <c r="P87" s="434" t="str">
        <f ca="1">IF(Equipements_SCL!Z31&lt;&gt;"",Equipements_SCL!AL31,"")</f>
        <v/>
      </c>
      <c r="Q87" s="434" t="str">
        <f ca="1">IF(Equipements_SCL!AA31&lt;&gt;"",Equipements_SCL!AM31,"")</f>
        <v/>
      </c>
      <c r="R87" s="434" t="str">
        <f ca="1">IF(Equipements_SCL!AB31&lt;&gt;"",Equipements_SCL!AN31,"")</f>
        <v/>
      </c>
      <c r="S87" s="434" t="str">
        <f ca="1">IF(Equipements_SCL!AC31&lt;&gt;"",Equipements_SCL!AO31,"")</f>
        <v/>
      </c>
      <c r="T87" s="434" t="str">
        <f ca="1">IF(Equipements_SCL!AD31&lt;&gt;"",Equipements_SCL!AP31,"")</f>
        <v/>
      </c>
      <c r="U87" s="434" t="str">
        <f ca="1">IF(Equipements_SCL!AE31&lt;&gt;"",Equipements_SCL!AQ31,"")</f>
        <v/>
      </c>
      <c r="V87" s="434" t="str">
        <f ca="1">IF(Equipements_SCL!AF31&lt;&gt;"",Equipements_SCL!AR31,"")</f>
        <v/>
      </c>
      <c r="W87" s="434" t="str">
        <f ca="1">IF(Equipements_SCL!AG31&lt;&gt;"",Equipements_SCL!AS31,"")</f>
        <v/>
      </c>
      <c r="X87" s="485" t="str">
        <f ca="1">IF(Equipements_SCL!AH31&lt;&gt;"",Equipements_SCL!AT31,"")</f>
        <v/>
      </c>
      <c r="Y87" s="329"/>
      <c r="Z87" s="329"/>
      <c r="AA87" s="346"/>
      <c r="AB87" s="323"/>
    </row>
    <row r="88" spans="2:28" ht="20.100000000000001" customHeight="1" outlineLevel="1" x14ac:dyDescent="0.4">
      <c r="B88" s="328"/>
      <c r="C88" s="345"/>
      <c r="D88" s="766" t="str">
        <f ca="1">Equipements_SCL!H32</f>
        <v/>
      </c>
      <c r="E88" s="767"/>
      <c r="F88" s="431" t="str">
        <f ca="1">Equipements_SCL!I32</f>
        <v/>
      </c>
      <c r="G88" s="432" t="str">
        <f ca="1">Equipements_SCL!M32</f>
        <v/>
      </c>
      <c r="H88" s="768" t="str">
        <f ca="1">Equipements_SCL!J32</f>
        <v/>
      </c>
      <c r="I88" s="769"/>
      <c r="J88" s="768" t="str">
        <f ca="1">Equipements_SCL!K32</f>
        <v/>
      </c>
      <c r="K88" s="770"/>
      <c r="L88" s="770"/>
      <c r="M88" s="770"/>
      <c r="N88" s="433" t="str">
        <f ca="1">Equipements_SCL!P32</f>
        <v/>
      </c>
      <c r="O88" s="434" t="str">
        <f ca="1">IF(Equipements_SCL!Y32&lt;&gt;"",Equipements_SCL!AK32,"")</f>
        <v/>
      </c>
      <c r="P88" s="434" t="str">
        <f ca="1">IF(Equipements_SCL!Z32&lt;&gt;"",Equipements_SCL!AL32,"")</f>
        <v/>
      </c>
      <c r="Q88" s="434" t="str">
        <f ca="1">IF(Equipements_SCL!AA32&lt;&gt;"",Equipements_SCL!AM32,"")</f>
        <v/>
      </c>
      <c r="R88" s="434" t="str">
        <f ca="1">IF(Equipements_SCL!AB32&lt;&gt;"",Equipements_SCL!AN32,"")</f>
        <v/>
      </c>
      <c r="S88" s="434" t="str">
        <f ca="1">IF(Equipements_SCL!AC32&lt;&gt;"",Equipements_SCL!AO32,"")</f>
        <v/>
      </c>
      <c r="T88" s="434" t="str">
        <f ca="1">IF(Equipements_SCL!AD32&lt;&gt;"",Equipements_SCL!AP32,"")</f>
        <v/>
      </c>
      <c r="U88" s="434" t="str">
        <f ca="1">IF(Equipements_SCL!AE32&lt;&gt;"",Equipements_SCL!AQ32,"")</f>
        <v/>
      </c>
      <c r="V88" s="434" t="str">
        <f ca="1">IF(Equipements_SCL!AF32&lt;&gt;"",Equipements_SCL!AR32,"")</f>
        <v/>
      </c>
      <c r="W88" s="434" t="str">
        <f ca="1">IF(Equipements_SCL!AG32&lt;&gt;"",Equipements_SCL!AS32,"")</f>
        <v/>
      </c>
      <c r="X88" s="485" t="str">
        <f ca="1">IF(Equipements_SCL!AH32&lt;&gt;"",Equipements_SCL!AT32,"")</f>
        <v/>
      </c>
      <c r="Y88" s="329"/>
      <c r="Z88" s="329"/>
      <c r="AA88" s="346"/>
      <c r="AB88" s="323"/>
    </row>
    <row r="89" spans="2:28" ht="20.100000000000001" customHeight="1" outlineLevel="1" x14ac:dyDescent="0.4">
      <c r="B89" s="328"/>
      <c r="C89" s="345"/>
      <c r="D89" s="766" t="str">
        <f ca="1">Equipements_SCL!H33</f>
        <v/>
      </c>
      <c r="E89" s="767"/>
      <c r="F89" s="431" t="str">
        <f ca="1">Equipements_SCL!I33</f>
        <v/>
      </c>
      <c r="G89" s="432" t="str">
        <f ca="1">Equipements_SCL!M33</f>
        <v/>
      </c>
      <c r="H89" s="768" t="str">
        <f ca="1">Equipements_SCL!J33</f>
        <v/>
      </c>
      <c r="I89" s="769"/>
      <c r="J89" s="768" t="str">
        <f ca="1">Equipements_SCL!K33</f>
        <v/>
      </c>
      <c r="K89" s="770"/>
      <c r="L89" s="770"/>
      <c r="M89" s="770"/>
      <c r="N89" s="433" t="str">
        <f ca="1">Equipements_SCL!P33</f>
        <v/>
      </c>
      <c r="O89" s="434" t="str">
        <f ca="1">IF(Equipements_SCL!Y33&lt;&gt;"",Equipements_SCL!AK33,"")</f>
        <v/>
      </c>
      <c r="P89" s="434" t="str">
        <f ca="1">IF(Equipements_SCL!Z33&lt;&gt;"",Equipements_SCL!AL33,"")</f>
        <v/>
      </c>
      <c r="Q89" s="434" t="str">
        <f ca="1">IF(Equipements_SCL!AA33&lt;&gt;"",Equipements_SCL!AM33,"")</f>
        <v/>
      </c>
      <c r="R89" s="434" t="str">
        <f ca="1">IF(Equipements_SCL!AB33&lt;&gt;"",Equipements_SCL!AN33,"")</f>
        <v/>
      </c>
      <c r="S89" s="434" t="str">
        <f ca="1">IF(Equipements_SCL!AC33&lt;&gt;"",Equipements_SCL!AO33,"")</f>
        <v/>
      </c>
      <c r="T89" s="434" t="str">
        <f ca="1">IF(Equipements_SCL!AD33&lt;&gt;"",Equipements_SCL!AP33,"")</f>
        <v/>
      </c>
      <c r="U89" s="434" t="str">
        <f ca="1">IF(Equipements_SCL!AE33&lt;&gt;"",Equipements_SCL!AQ33,"")</f>
        <v/>
      </c>
      <c r="V89" s="434" t="str">
        <f ca="1">IF(Equipements_SCL!AF33&lt;&gt;"",Equipements_SCL!AR33,"")</f>
        <v/>
      </c>
      <c r="W89" s="434" t="str">
        <f ca="1">IF(Equipements_SCL!AG33&lt;&gt;"",Equipements_SCL!AS33,"")</f>
        <v/>
      </c>
      <c r="X89" s="485" t="str">
        <f ca="1">IF(Equipements_SCL!AH33&lt;&gt;"",Equipements_SCL!AT33,"")</f>
        <v/>
      </c>
      <c r="Y89" s="329"/>
      <c r="Z89" s="329"/>
      <c r="AA89" s="346"/>
      <c r="AB89" s="323"/>
    </row>
    <row r="90" spans="2:28" ht="20.100000000000001" customHeight="1" outlineLevel="1" x14ac:dyDescent="0.4">
      <c r="B90" s="328"/>
      <c r="C90" s="345"/>
      <c r="D90" s="766" t="str">
        <f ca="1">Equipements_SCL!H34</f>
        <v/>
      </c>
      <c r="E90" s="767"/>
      <c r="F90" s="431" t="str">
        <f ca="1">Equipements_SCL!I34</f>
        <v/>
      </c>
      <c r="G90" s="432" t="str">
        <f ca="1">Equipements_SCL!M34</f>
        <v/>
      </c>
      <c r="H90" s="768" t="str">
        <f ca="1">Equipements_SCL!J34</f>
        <v/>
      </c>
      <c r="I90" s="769"/>
      <c r="J90" s="768" t="str">
        <f ca="1">Equipements_SCL!K34</f>
        <v/>
      </c>
      <c r="K90" s="770"/>
      <c r="L90" s="770"/>
      <c r="M90" s="770"/>
      <c r="N90" s="433" t="str">
        <f ca="1">Equipements_SCL!P34</f>
        <v/>
      </c>
      <c r="O90" s="434" t="str">
        <f ca="1">IF(Equipements_SCL!Y34&lt;&gt;"",Equipements_SCL!AK34,"")</f>
        <v/>
      </c>
      <c r="P90" s="434" t="str">
        <f ca="1">IF(Equipements_SCL!Z34&lt;&gt;"",Equipements_SCL!AL34,"")</f>
        <v/>
      </c>
      <c r="Q90" s="434" t="str">
        <f ca="1">IF(Equipements_SCL!AA34&lt;&gt;"",Equipements_SCL!AM34,"")</f>
        <v/>
      </c>
      <c r="R90" s="434" t="str">
        <f ca="1">IF(Equipements_SCL!AB34&lt;&gt;"",Equipements_SCL!AN34,"")</f>
        <v/>
      </c>
      <c r="S90" s="434" t="str">
        <f ca="1">IF(Equipements_SCL!AC34&lt;&gt;"",Equipements_SCL!AO34,"")</f>
        <v/>
      </c>
      <c r="T90" s="434" t="str">
        <f ca="1">IF(Equipements_SCL!AD34&lt;&gt;"",Equipements_SCL!AP34,"")</f>
        <v/>
      </c>
      <c r="U90" s="434" t="str">
        <f ca="1">IF(Equipements_SCL!AE34&lt;&gt;"",Equipements_SCL!AQ34,"")</f>
        <v/>
      </c>
      <c r="V90" s="434" t="str">
        <f ca="1">IF(Equipements_SCL!AF34&lt;&gt;"",Equipements_SCL!AR34,"")</f>
        <v/>
      </c>
      <c r="W90" s="434" t="str">
        <f ca="1">IF(Equipements_SCL!AG34&lt;&gt;"",Equipements_SCL!AS34,"")</f>
        <v/>
      </c>
      <c r="X90" s="485" t="str">
        <f ca="1">IF(Equipements_SCL!AH34&lt;&gt;"",Equipements_SCL!AT34,"")</f>
        <v/>
      </c>
      <c r="Y90" s="329"/>
      <c r="Z90" s="329"/>
      <c r="AA90" s="346"/>
      <c r="AB90" s="323"/>
    </row>
    <row r="91" spans="2:28" ht="20.100000000000001" customHeight="1" outlineLevel="1" x14ac:dyDescent="0.4">
      <c r="B91" s="328"/>
      <c r="C91" s="345"/>
      <c r="D91" s="766" t="str">
        <f ca="1">Equipements_SCL!H35</f>
        <v/>
      </c>
      <c r="E91" s="767"/>
      <c r="F91" s="431" t="str">
        <f ca="1">Equipements_SCL!I35</f>
        <v/>
      </c>
      <c r="G91" s="432" t="str">
        <f ca="1">Equipements_SCL!M35</f>
        <v/>
      </c>
      <c r="H91" s="768" t="str">
        <f ca="1">Equipements_SCL!J35</f>
        <v/>
      </c>
      <c r="I91" s="769"/>
      <c r="J91" s="768" t="str">
        <f ca="1">Equipements_SCL!K35</f>
        <v/>
      </c>
      <c r="K91" s="770"/>
      <c r="L91" s="770"/>
      <c r="M91" s="770"/>
      <c r="N91" s="433" t="str">
        <f ca="1">Equipements_SCL!P35</f>
        <v/>
      </c>
      <c r="O91" s="434" t="str">
        <f ca="1">IF(Equipements_SCL!Y35&lt;&gt;"",Equipements_SCL!AK35,"")</f>
        <v/>
      </c>
      <c r="P91" s="434" t="str">
        <f ca="1">IF(Equipements_SCL!Z35&lt;&gt;"",Equipements_SCL!AL35,"")</f>
        <v/>
      </c>
      <c r="Q91" s="434" t="str">
        <f ca="1">IF(Equipements_SCL!AA35&lt;&gt;"",Equipements_SCL!AM35,"")</f>
        <v/>
      </c>
      <c r="R91" s="434" t="str">
        <f ca="1">IF(Equipements_SCL!AB35&lt;&gt;"",Equipements_SCL!AN35,"")</f>
        <v/>
      </c>
      <c r="S91" s="434" t="str">
        <f ca="1">IF(Equipements_SCL!AC35&lt;&gt;"",Equipements_SCL!AO35,"")</f>
        <v/>
      </c>
      <c r="T91" s="434" t="str">
        <f ca="1">IF(Equipements_SCL!AD35&lt;&gt;"",Equipements_SCL!AP35,"")</f>
        <v/>
      </c>
      <c r="U91" s="434" t="str">
        <f ca="1">IF(Equipements_SCL!AE35&lt;&gt;"",Equipements_SCL!AQ35,"")</f>
        <v/>
      </c>
      <c r="V91" s="434" t="str">
        <f ca="1">IF(Equipements_SCL!AF35&lt;&gt;"",Equipements_SCL!AR35,"")</f>
        <v/>
      </c>
      <c r="W91" s="434" t="str">
        <f ca="1">IF(Equipements_SCL!AG35&lt;&gt;"",Equipements_SCL!AS35,"")</f>
        <v/>
      </c>
      <c r="X91" s="485" t="str">
        <f ca="1">IF(Equipements_SCL!AH35&lt;&gt;"",Equipements_SCL!AT35,"")</f>
        <v/>
      </c>
      <c r="Y91" s="329"/>
      <c r="Z91" s="329"/>
      <c r="AA91" s="346"/>
      <c r="AB91" s="323"/>
    </row>
    <row r="92" spans="2:28" ht="20.100000000000001" customHeight="1" outlineLevel="1" x14ac:dyDescent="0.4">
      <c r="B92" s="328"/>
      <c r="C92" s="345"/>
      <c r="D92" s="766" t="str">
        <f ca="1">Equipements_SCL!H36</f>
        <v/>
      </c>
      <c r="E92" s="767"/>
      <c r="F92" s="431" t="str">
        <f ca="1">Equipements_SCL!I36</f>
        <v/>
      </c>
      <c r="G92" s="432" t="str">
        <f ca="1">Equipements_SCL!M36</f>
        <v/>
      </c>
      <c r="H92" s="768" t="str">
        <f ca="1">Equipements_SCL!J36</f>
        <v/>
      </c>
      <c r="I92" s="769"/>
      <c r="J92" s="768" t="str">
        <f ca="1">Equipements_SCL!K36</f>
        <v/>
      </c>
      <c r="K92" s="770"/>
      <c r="L92" s="770"/>
      <c r="M92" s="770"/>
      <c r="N92" s="433" t="str">
        <f ca="1">Equipements_SCL!P36</f>
        <v/>
      </c>
      <c r="O92" s="434" t="str">
        <f ca="1">IF(Equipements_SCL!Y36&lt;&gt;"",Equipements_SCL!AK36,"")</f>
        <v/>
      </c>
      <c r="P92" s="434" t="str">
        <f ca="1">IF(Equipements_SCL!Z36&lt;&gt;"",Equipements_SCL!AL36,"")</f>
        <v/>
      </c>
      <c r="Q92" s="434" t="str">
        <f ca="1">IF(Equipements_SCL!AA36&lt;&gt;"",Equipements_SCL!AM36,"")</f>
        <v/>
      </c>
      <c r="R92" s="434" t="str">
        <f ca="1">IF(Equipements_SCL!AB36&lt;&gt;"",Equipements_SCL!AN36,"")</f>
        <v/>
      </c>
      <c r="S92" s="434" t="str">
        <f ca="1">IF(Equipements_SCL!AC36&lt;&gt;"",Equipements_SCL!AO36,"")</f>
        <v/>
      </c>
      <c r="T92" s="434" t="str">
        <f ca="1">IF(Equipements_SCL!AD36&lt;&gt;"",Equipements_SCL!AP36,"")</f>
        <v/>
      </c>
      <c r="U92" s="434" t="str">
        <f ca="1">IF(Equipements_SCL!AE36&lt;&gt;"",Equipements_SCL!AQ36,"")</f>
        <v/>
      </c>
      <c r="V92" s="434" t="str">
        <f ca="1">IF(Equipements_SCL!AF36&lt;&gt;"",Equipements_SCL!AR36,"")</f>
        <v/>
      </c>
      <c r="W92" s="434" t="str">
        <f ca="1">IF(Equipements_SCL!AG36&lt;&gt;"",Equipements_SCL!AS36,"")</f>
        <v/>
      </c>
      <c r="X92" s="485" t="str">
        <f ca="1">IF(Equipements_SCL!AH36&lt;&gt;"",Equipements_SCL!AT36,"")</f>
        <v/>
      </c>
      <c r="Y92" s="329"/>
      <c r="Z92" s="329"/>
      <c r="AA92" s="346"/>
      <c r="AB92" s="323"/>
    </row>
    <row r="93" spans="2:28" ht="20.100000000000001" customHeight="1" outlineLevel="1" x14ac:dyDescent="0.4">
      <c r="B93" s="328"/>
      <c r="C93" s="345"/>
      <c r="D93" s="766" t="str">
        <f ca="1">Equipements_SCL!H37</f>
        <v/>
      </c>
      <c r="E93" s="767"/>
      <c r="F93" s="431" t="str">
        <f ca="1">Equipements_SCL!I37</f>
        <v/>
      </c>
      <c r="G93" s="432" t="str">
        <f ca="1">Equipements_SCL!M37</f>
        <v/>
      </c>
      <c r="H93" s="768" t="str">
        <f ca="1">Equipements_SCL!J37</f>
        <v/>
      </c>
      <c r="I93" s="769"/>
      <c r="J93" s="768" t="str">
        <f ca="1">Equipements_SCL!K37</f>
        <v/>
      </c>
      <c r="K93" s="770"/>
      <c r="L93" s="770"/>
      <c r="M93" s="770"/>
      <c r="N93" s="433" t="str">
        <f ca="1">Equipements_SCL!P37</f>
        <v/>
      </c>
      <c r="O93" s="434" t="str">
        <f ca="1">IF(Equipements_SCL!Y37&lt;&gt;"",Equipements_SCL!AK37,"")</f>
        <v/>
      </c>
      <c r="P93" s="434" t="str">
        <f ca="1">IF(Equipements_SCL!Z37&lt;&gt;"",Equipements_SCL!AL37,"")</f>
        <v/>
      </c>
      <c r="Q93" s="434" t="str">
        <f ca="1">IF(Equipements_SCL!AA37&lt;&gt;"",Equipements_SCL!AM37,"")</f>
        <v/>
      </c>
      <c r="R93" s="434" t="str">
        <f ca="1">IF(Equipements_SCL!AB37&lt;&gt;"",Equipements_SCL!AN37,"")</f>
        <v/>
      </c>
      <c r="S93" s="434" t="str">
        <f ca="1">IF(Equipements_SCL!AC37&lt;&gt;"",Equipements_SCL!AO37,"")</f>
        <v/>
      </c>
      <c r="T93" s="434" t="str">
        <f ca="1">IF(Equipements_SCL!AD37&lt;&gt;"",Equipements_SCL!AP37,"")</f>
        <v/>
      </c>
      <c r="U93" s="434" t="str">
        <f ca="1">IF(Equipements_SCL!AE37&lt;&gt;"",Equipements_SCL!AQ37,"")</f>
        <v/>
      </c>
      <c r="V93" s="434" t="str">
        <f ca="1">IF(Equipements_SCL!AF37&lt;&gt;"",Equipements_SCL!AR37,"")</f>
        <v/>
      </c>
      <c r="W93" s="434" t="str">
        <f ca="1">IF(Equipements_SCL!AG37&lt;&gt;"",Equipements_SCL!AS37,"")</f>
        <v/>
      </c>
      <c r="X93" s="485" t="str">
        <f ca="1">IF(Equipements_SCL!AH37&lt;&gt;"",Equipements_SCL!AT37,"")</f>
        <v/>
      </c>
      <c r="Y93" s="329"/>
      <c r="Z93" s="329"/>
      <c r="AA93" s="346"/>
      <c r="AB93" s="323"/>
    </row>
    <row r="94" spans="2:28" ht="20.100000000000001" customHeight="1" outlineLevel="1" x14ac:dyDescent="0.4">
      <c r="B94" s="328"/>
      <c r="C94" s="345"/>
      <c r="D94" s="766" t="str">
        <f ca="1">Equipements_SCL!H38</f>
        <v/>
      </c>
      <c r="E94" s="767"/>
      <c r="F94" s="431" t="str">
        <f ca="1">Equipements_SCL!I38</f>
        <v/>
      </c>
      <c r="G94" s="432" t="str">
        <f ca="1">Equipements_SCL!M38</f>
        <v/>
      </c>
      <c r="H94" s="768" t="str">
        <f ca="1">Equipements_SCL!J38</f>
        <v/>
      </c>
      <c r="I94" s="769"/>
      <c r="J94" s="768" t="str">
        <f ca="1">Equipements_SCL!K38</f>
        <v/>
      </c>
      <c r="K94" s="770"/>
      <c r="L94" s="770"/>
      <c r="M94" s="770"/>
      <c r="N94" s="433" t="str">
        <f ca="1">Equipements_SCL!P38</f>
        <v/>
      </c>
      <c r="O94" s="434" t="str">
        <f ca="1">IF(Equipements_SCL!Y38&lt;&gt;"",Equipements_SCL!AK38,"")</f>
        <v/>
      </c>
      <c r="P94" s="434" t="str">
        <f ca="1">IF(Equipements_SCL!Z38&lt;&gt;"",Equipements_SCL!AL38,"")</f>
        <v/>
      </c>
      <c r="Q94" s="434" t="str">
        <f ca="1">IF(Equipements_SCL!AA38&lt;&gt;"",Equipements_SCL!AM38,"")</f>
        <v/>
      </c>
      <c r="R94" s="434" t="str">
        <f ca="1">IF(Equipements_SCL!AB38&lt;&gt;"",Equipements_SCL!AN38,"")</f>
        <v/>
      </c>
      <c r="S94" s="434" t="str">
        <f ca="1">IF(Equipements_SCL!AC38&lt;&gt;"",Equipements_SCL!AO38,"")</f>
        <v/>
      </c>
      <c r="T94" s="434" t="str">
        <f ca="1">IF(Equipements_SCL!AD38&lt;&gt;"",Equipements_SCL!AP38,"")</f>
        <v/>
      </c>
      <c r="U94" s="434" t="str">
        <f ca="1">IF(Equipements_SCL!AE38&lt;&gt;"",Equipements_SCL!AQ38,"")</f>
        <v/>
      </c>
      <c r="V94" s="434" t="str">
        <f ca="1">IF(Equipements_SCL!AF38&lt;&gt;"",Equipements_SCL!AR38,"")</f>
        <v/>
      </c>
      <c r="W94" s="434" t="str">
        <f ca="1">IF(Equipements_SCL!AG38&lt;&gt;"",Equipements_SCL!AS38,"")</f>
        <v/>
      </c>
      <c r="X94" s="485" t="str">
        <f ca="1">IF(Equipements_SCL!AH38&lt;&gt;"",Equipements_SCL!AT38,"")</f>
        <v/>
      </c>
      <c r="Y94" s="329"/>
      <c r="Z94" s="329"/>
      <c r="AA94" s="346"/>
      <c r="AB94" s="323"/>
    </row>
    <row r="95" spans="2:28" ht="20.100000000000001" customHeight="1" outlineLevel="1" x14ac:dyDescent="0.4">
      <c r="B95" s="328"/>
      <c r="C95" s="345"/>
      <c r="D95" s="766" t="str">
        <f ca="1">Equipements_SCL!H39</f>
        <v/>
      </c>
      <c r="E95" s="767"/>
      <c r="F95" s="431" t="str">
        <f ca="1">Equipements_SCL!I39</f>
        <v/>
      </c>
      <c r="G95" s="432" t="str">
        <f ca="1">Equipements_SCL!M39</f>
        <v/>
      </c>
      <c r="H95" s="768" t="str">
        <f ca="1">Equipements_SCL!J39</f>
        <v/>
      </c>
      <c r="I95" s="769"/>
      <c r="J95" s="768" t="str">
        <f ca="1">Equipements_SCL!K39</f>
        <v/>
      </c>
      <c r="K95" s="770"/>
      <c r="L95" s="770"/>
      <c r="M95" s="770"/>
      <c r="N95" s="433" t="str">
        <f ca="1">Equipements_SCL!P39</f>
        <v/>
      </c>
      <c r="O95" s="434" t="str">
        <f ca="1">IF(Equipements_SCL!Y39&lt;&gt;"",Equipements_SCL!AK39,"")</f>
        <v/>
      </c>
      <c r="P95" s="434" t="str">
        <f ca="1">IF(Equipements_SCL!Z39&lt;&gt;"",Equipements_SCL!AL39,"")</f>
        <v/>
      </c>
      <c r="Q95" s="434" t="str">
        <f ca="1">IF(Equipements_SCL!AA39&lt;&gt;"",Equipements_SCL!AM39,"")</f>
        <v/>
      </c>
      <c r="R95" s="434" t="str">
        <f ca="1">IF(Equipements_SCL!AB39&lt;&gt;"",Equipements_SCL!AN39,"")</f>
        <v/>
      </c>
      <c r="S95" s="434" t="str">
        <f ca="1">IF(Equipements_SCL!AC39&lt;&gt;"",Equipements_SCL!AO39,"")</f>
        <v/>
      </c>
      <c r="T95" s="434" t="str">
        <f ca="1">IF(Equipements_SCL!AD39&lt;&gt;"",Equipements_SCL!AP39,"")</f>
        <v/>
      </c>
      <c r="U95" s="434" t="str">
        <f ca="1">IF(Equipements_SCL!AE39&lt;&gt;"",Equipements_SCL!AQ39,"")</f>
        <v/>
      </c>
      <c r="V95" s="434" t="str">
        <f ca="1">IF(Equipements_SCL!AF39&lt;&gt;"",Equipements_SCL!AR39,"")</f>
        <v/>
      </c>
      <c r="W95" s="434" t="str">
        <f ca="1">IF(Equipements_SCL!AG39&lt;&gt;"",Equipements_SCL!AS39,"")</f>
        <v/>
      </c>
      <c r="X95" s="485" t="str">
        <f ca="1">IF(Equipements_SCL!AH39&lt;&gt;"",Equipements_SCL!AT39,"")</f>
        <v/>
      </c>
      <c r="Y95" s="329"/>
      <c r="Z95" s="329"/>
      <c r="AA95" s="346"/>
      <c r="AB95" s="323"/>
    </row>
    <row r="96" spans="2:28" ht="20.100000000000001" customHeight="1" outlineLevel="1" x14ac:dyDescent="0.4">
      <c r="B96" s="328"/>
      <c r="C96" s="345"/>
      <c r="D96" s="766" t="str">
        <f ca="1">Equipements_SCL!H40</f>
        <v/>
      </c>
      <c r="E96" s="767"/>
      <c r="F96" s="431" t="str">
        <f ca="1">Equipements_SCL!I40</f>
        <v/>
      </c>
      <c r="G96" s="432" t="str">
        <f ca="1">Equipements_SCL!M40</f>
        <v/>
      </c>
      <c r="H96" s="768" t="str">
        <f ca="1">Equipements_SCL!J40</f>
        <v/>
      </c>
      <c r="I96" s="769"/>
      <c r="J96" s="768" t="str">
        <f ca="1">Equipements_SCL!K40</f>
        <v/>
      </c>
      <c r="K96" s="770"/>
      <c r="L96" s="770"/>
      <c r="M96" s="770"/>
      <c r="N96" s="433" t="str">
        <f ca="1">Equipements_SCL!P40</f>
        <v/>
      </c>
      <c r="O96" s="434" t="str">
        <f ca="1">IF(Equipements_SCL!Y40&lt;&gt;"",Equipements_SCL!AK40,"")</f>
        <v/>
      </c>
      <c r="P96" s="434" t="str">
        <f ca="1">IF(Equipements_SCL!Z40&lt;&gt;"",Equipements_SCL!AL40,"")</f>
        <v/>
      </c>
      <c r="Q96" s="434" t="str">
        <f ca="1">IF(Equipements_SCL!AA40&lt;&gt;"",Equipements_SCL!AM40,"")</f>
        <v/>
      </c>
      <c r="R96" s="434" t="str">
        <f ca="1">IF(Equipements_SCL!AB40&lt;&gt;"",Equipements_SCL!AN40,"")</f>
        <v/>
      </c>
      <c r="S96" s="434" t="str">
        <f ca="1">IF(Equipements_SCL!AC40&lt;&gt;"",Equipements_SCL!AO40,"")</f>
        <v/>
      </c>
      <c r="T96" s="434" t="str">
        <f ca="1">IF(Equipements_SCL!AD40&lt;&gt;"",Equipements_SCL!AP40,"")</f>
        <v/>
      </c>
      <c r="U96" s="434" t="str">
        <f ca="1">IF(Equipements_SCL!AE40&lt;&gt;"",Equipements_SCL!AQ40,"")</f>
        <v/>
      </c>
      <c r="V96" s="434" t="str">
        <f ca="1">IF(Equipements_SCL!AF40&lt;&gt;"",Equipements_SCL!AR40,"")</f>
        <v/>
      </c>
      <c r="W96" s="434" t="str">
        <f ca="1">IF(Equipements_SCL!AG40&lt;&gt;"",Equipements_SCL!AS40,"")</f>
        <v/>
      </c>
      <c r="X96" s="485" t="str">
        <f ca="1">IF(Equipements_SCL!AH40&lt;&gt;"",Equipements_SCL!AT40,"")</f>
        <v/>
      </c>
      <c r="Y96" s="329"/>
      <c r="Z96" s="329"/>
      <c r="AA96" s="346"/>
      <c r="AB96" s="323"/>
    </row>
    <row r="97" spans="2:28" ht="20.100000000000001" customHeight="1" outlineLevel="1" x14ac:dyDescent="0.4">
      <c r="B97" s="328"/>
      <c r="C97" s="345"/>
      <c r="D97" s="766" t="str">
        <f ca="1">Equipements_SCL!H41</f>
        <v/>
      </c>
      <c r="E97" s="767"/>
      <c r="F97" s="431" t="str">
        <f ca="1">Equipements_SCL!I41</f>
        <v/>
      </c>
      <c r="G97" s="432" t="str">
        <f ca="1">Equipements_SCL!M41</f>
        <v/>
      </c>
      <c r="H97" s="768" t="str">
        <f ca="1">Equipements_SCL!J41</f>
        <v/>
      </c>
      <c r="I97" s="769"/>
      <c r="J97" s="768" t="str">
        <f ca="1">Equipements_SCL!K41</f>
        <v/>
      </c>
      <c r="K97" s="770"/>
      <c r="L97" s="770"/>
      <c r="M97" s="770"/>
      <c r="N97" s="433" t="str">
        <f ca="1">Equipements_SCL!P41</f>
        <v/>
      </c>
      <c r="O97" s="434" t="str">
        <f ca="1">IF(Equipements_SCL!Y41&lt;&gt;"",Equipements_SCL!AK41,"")</f>
        <v/>
      </c>
      <c r="P97" s="434" t="str">
        <f ca="1">IF(Equipements_SCL!Z41&lt;&gt;"",Equipements_SCL!AL41,"")</f>
        <v/>
      </c>
      <c r="Q97" s="434" t="str">
        <f ca="1">IF(Equipements_SCL!AA41&lt;&gt;"",Equipements_SCL!AM41,"")</f>
        <v/>
      </c>
      <c r="R97" s="434" t="str">
        <f ca="1">IF(Equipements_SCL!AB41&lt;&gt;"",Equipements_SCL!AN41,"")</f>
        <v/>
      </c>
      <c r="S97" s="434" t="str">
        <f ca="1">IF(Equipements_SCL!AC41&lt;&gt;"",Equipements_SCL!AO41,"")</f>
        <v/>
      </c>
      <c r="T97" s="434" t="str">
        <f ca="1">IF(Equipements_SCL!AD41&lt;&gt;"",Equipements_SCL!AP41,"")</f>
        <v/>
      </c>
      <c r="U97" s="434" t="str">
        <f ca="1">IF(Equipements_SCL!AE41&lt;&gt;"",Equipements_SCL!AQ41,"")</f>
        <v/>
      </c>
      <c r="V97" s="434" t="str">
        <f ca="1">IF(Equipements_SCL!AF41&lt;&gt;"",Equipements_SCL!AR41,"")</f>
        <v/>
      </c>
      <c r="W97" s="434" t="str">
        <f ca="1">IF(Equipements_SCL!AG41&lt;&gt;"",Equipements_SCL!AS41,"")</f>
        <v/>
      </c>
      <c r="X97" s="485" t="str">
        <f ca="1">IF(Equipements_SCL!AH41&lt;&gt;"",Equipements_SCL!AT41,"")</f>
        <v/>
      </c>
      <c r="Y97" s="329"/>
      <c r="Z97" s="329"/>
      <c r="AA97" s="346"/>
      <c r="AB97" s="323"/>
    </row>
    <row r="98" spans="2:28" ht="20.100000000000001" customHeight="1" outlineLevel="1" x14ac:dyDescent="0.4">
      <c r="B98" s="328"/>
      <c r="C98" s="345"/>
      <c r="D98" s="766" t="str">
        <f ca="1">Equipements_SCL!H42</f>
        <v/>
      </c>
      <c r="E98" s="767"/>
      <c r="F98" s="431" t="str">
        <f ca="1">Equipements_SCL!I42</f>
        <v/>
      </c>
      <c r="G98" s="432" t="str">
        <f ca="1">Equipements_SCL!M42</f>
        <v/>
      </c>
      <c r="H98" s="768" t="str">
        <f ca="1">Equipements_SCL!J42</f>
        <v/>
      </c>
      <c r="I98" s="769"/>
      <c r="J98" s="768" t="str">
        <f ca="1">Equipements_SCL!K42</f>
        <v/>
      </c>
      <c r="K98" s="770"/>
      <c r="L98" s="770"/>
      <c r="M98" s="770"/>
      <c r="N98" s="433" t="str">
        <f ca="1">Equipements_SCL!P42</f>
        <v/>
      </c>
      <c r="O98" s="434" t="str">
        <f ca="1">IF(Equipements_SCL!Y42&lt;&gt;"",Equipements_SCL!AK42,"")</f>
        <v/>
      </c>
      <c r="P98" s="434" t="str">
        <f ca="1">IF(Equipements_SCL!Z42&lt;&gt;"",Equipements_SCL!AL42,"")</f>
        <v/>
      </c>
      <c r="Q98" s="434" t="str">
        <f ca="1">IF(Equipements_SCL!AA42&lt;&gt;"",Equipements_SCL!AM42,"")</f>
        <v/>
      </c>
      <c r="R98" s="434" t="str">
        <f ca="1">IF(Equipements_SCL!AB42&lt;&gt;"",Equipements_SCL!AN42,"")</f>
        <v/>
      </c>
      <c r="S98" s="434" t="str">
        <f ca="1">IF(Equipements_SCL!AC42&lt;&gt;"",Equipements_SCL!AO42,"")</f>
        <v/>
      </c>
      <c r="T98" s="434" t="str">
        <f ca="1">IF(Equipements_SCL!AD42&lt;&gt;"",Equipements_SCL!AP42,"")</f>
        <v/>
      </c>
      <c r="U98" s="434" t="str">
        <f ca="1">IF(Equipements_SCL!AE42&lt;&gt;"",Equipements_SCL!AQ42,"")</f>
        <v/>
      </c>
      <c r="V98" s="434" t="str">
        <f ca="1">IF(Equipements_SCL!AF42&lt;&gt;"",Equipements_SCL!AR42,"")</f>
        <v/>
      </c>
      <c r="W98" s="434" t="str">
        <f ca="1">IF(Equipements_SCL!AG42&lt;&gt;"",Equipements_SCL!AS42,"")</f>
        <v/>
      </c>
      <c r="X98" s="485" t="str">
        <f ca="1">IF(Equipements_SCL!AH42&lt;&gt;"",Equipements_SCL!AT42,"")</f>
        <v/>
      </c>
      <c r="Y98" s="329"/>
      <c r="Z98" s="329"/>
      <c r="AA98" s="346"/>
      <c r="AB98" s="323"/>
    </row>
    <row r="99" spans="2:28" ht="20.100000000000001" customHeight="1" outlineLevel="1" x14ac:dyDescent="0.4">
      <c r="B99" s="328"/>
      <c r="C99" s="345"/>
      <c r="D99" s="766" t="str">
        <f ca="1">Equipements_SCL!H43</f>
        <v/>
      </c>
      <c r="E99" s="767"/>
      <c r="F99" s="431" t="str">
        <f ca="1">Equipements_SCL!I43</f>
        <v/>
      </c>
      <c r="G99" s="432" t="str">
        <f ca="1">Equipements_SCL!M43</f>
        <v/>
      </c>
      <c r="H99" s="768" t="str">
        <f ca="1">Equipements_SCL!J43</f>
        <v/>
      </c>
      <c r="I99" s="769"/>
      <c r="J99" s="768" t="str">
        <f ca="1">Equipements_SCL!K43</f>
        <v/>
      </c>
      <c r="K99" s="770"/>
      <c r="L99" s="770"/>
      <c r="M99" s="770"/>
      <c r="N99" s="433" t="str">
        <f ca="1">Equipements_SCL!P43</f>
        <v/>
      </c>
      <c r="O99" s="434" t="str">
        <f ca="1">IF(Equipements_SCL!Y43&lt;&gt;"",Equipements_SCL!AK43,"")</f>
        <v/>
      </c>
      <c r="P99" s="434" t="str">
        <f ca="1">IF(Equipements_SCL!Z43&lt;&gt;"",Equipements_SCL!AL43,"")</f>
        <v/>
      </c>
      <c r="Q99" s="434" t="str">
        <f ca="1">IF(Equipements_SCL!AA43&lt;&gt;"",Equipements_SCL!AM43,"")</f>
        <v/>
      </c>
      <c r="R99" s="434" t="str">
        <f ca="1">IF(Equipements_SCL!AB43&lt;&gt;"",Equipements_SCL!AN43,"")</f>
        <v/>
      </c>
      <c r="S99" s="434" t="str">
        <f ca="1">IF(Equipements_SCL!AC43&lt;&gt;"",Equipements_SCL!AO43,"")</f>
        <v/>
      </c>
      <c r="T99" s="434" t="str">
        <f ca="1">IF(Equipements_SCL!AD43&lt;&gt;"",Equipements_SCL!AP43,"")</f>
        <v/>
      </c>
      <c r="U99" s="434" t="str">
        <f ca="1">IF(Equipements_SCL!AE43&lt;&gt;"",Equipements_SCL!AQ43,"")</f>
        <v/>
      </c>
      <c r="V99" s="434" t="str">
        <f ca="1">IF(Equipements_SCL!AF43&lt;&gt;"",Equipements_SCL!AR43,"")</f>
        <v/>
      </c>
      <c r="W99" s="434" t="str">
        <f ca="1">IF(Equipements_SCL!AG43&lt;&gt;"",Equipements_SCL!AS43,"")</f>
        <v/>
      </c>
      <c r="X99" s="485" t="str">
        <f ca="1">IF(Equipements_SCL!AH43&lt;&gt;"",Equipements_SCL!AT43,"")</f>
        <v/>
      </c>
      <c r="Y99" s="329"/>
      <c r="Z99" s="329"/>
      <c r="AA99" s="346"/>
      <c r="AB99" s="323"/>
    </row>
    <row r="100" spans="2:28" ht="20.100000000000001" customHeight="1" outlineLevel="1" x14ac:dyDescent="0.4">
      <c r="B100" s="328"/>
      <c r="C100" s="345"/>
      <c r="D100" s="766" t="str">
        <f ca="1">Equipements_SCL!H44</f>
        <v/>
      </c>
      <c r="E100" s="767"/>
      <c r="F100" s="431" t="str">
        <f ca="1">Equipements_SCL!I44</f>
        <v/>
      </c>
      <c r="G100" s="432" t="str">
        <f ca="1">Equipements_SCL!M44</f>
        <v/>
      </c>
      <c r="H100" s="768" t="str">
        <f ca="1">Equipements_SCL!J44</f>
        <v/>
      </c>
      <c r="I100" s="769"/>
      <c r="J100" s="768" t="str">
        <f ca="1">Equipements_SCL!K44</f>
        <v/>
      </c>
      <c r="K100" s="770"/>
      <c r="L100" s="770"/>
      <c r="M100" s="770"/>
      <c r="N100" s="433" t="str">
        <f ca="1">Equipements_SCL!P44</f>
        <v/>
      </c>
      <c r="O100" s="434" t="str">
        <f ca="1">IF(Equipements_SCL!Y44&lt;&gt;"",Equipements_SCL!AK44,"")</f>
        <v/>
      </c>
      <c r="P100" s="434" t="str">
        <f ca="1">IF(Equipements_SCL!Z44&lt;&gt;"",Equipements_SCL!AL44,"")</f>
        <v/>
      </c>
      <c r="Q100" s="434" t="str">
        <f ca="1">IF(Equipements_SCL!AA44&lt;&gt;"",Equipements_SCL!AM44,"")</f>
        <v/>
      </c>
      <c r="R100" s="434" t="str">
        <f ca="1">IF(Equipements_SCL!AB44&lt;&gt;"",Equipements_SCL!AN44,"")</f>
        <v/>
      </c>
      <c r="S100" s="434" t="str">
        <f ca="1">IF(Equipements_SCL!AC44&lt;&gt;"",Equipements_SCL!AO44,"")</f>
        <v/>
      </c>
      <c r="T100" s="434" t="str">
        <f ca="1">IF(Equipements_SCL!AD44&lt;&gt;"",Equipements_SCL!AP44,"")</f>
        <v/>
      </c>
      <c r="U100" s="434" t="str">
        <f ca="1">IF(Equipements_SCL!AE44&lt;&gt;"",Equipements_SCL!AQ44,"")</f>
        <v/>
      </c>
      <c r="V100" s="434" t="str">
        <f ca="1">IF(Equipements_SCL!AF44&lt;&gt;"",Equipements_SCL!AR44,"")</f>
        <v/>
      </c>
      <c r="W100" s="434" t="str">
        <f ca="1">IF(Equipements_SCL!AG44&lt;&gt;"",Equipements_SCL!AS44,"")</f>
        <v/>
      </c>
      <c r="X100" s="485" t="str">
        <f ca="1">IF(Equipements_SCL!AH44&lt;&gt;"",Equipements_SCL!AT44,"")</f>
        <v/>
      </c>
      <c r="Y100" s="329"/>
      <c r="Z100" s="329"/>
      <c r="AA100" s="346"/>
      <c r="AB100" s="323"/>
    </row>
    <row r="101" spans="2:28" ht="20.100000000000001" customHeight="1" outlineLevel="1" x14ac:dyDescent="0.4">
      <c r="B101" s="328"/>
      <c r="C101" s="345"/>
      <c r="D101" s="766" t="str">
        <f ca="1">Equipements_SCL!H45</f>
        <v/>
      </c>
      <c r="E101" s="767"/>
      <c r="F101" s="431" t="str">
        <f ca="1">Equipements_SCL!I45</f>
        <v/>
      </c>
      <c r="G101" s="432" t="str">
        <f ca="1">Equipements_SCL!M45</f>
        <v/>
      </c>
      <c r="H101" s="768" t="str">
        <f ca="1">Equipements_SCL!J45</f>
        <v/>
      </c>
      <c r="I101" s="769"/>
      <c r="J101" s="768" t="str">
        <f ca="1">Equipements_SCL!K45</f>
        <v/>
      </c>
      <c r="K101" s="770"/>
      <c r="L101" s="770"/>
      <c r="M101" s="770"/>
      <c r="N101" s="433" t="str">
        <f ca="1">Equipements_SCL!P45</f>
        <v/>
      </c>
      <c r="O101" s="434" t="str">
        <f ca="1">IF(Equipements_SCL!Y45&lt;&gt;"",Equipements_SCL!AK45,"")</f>
        <v/>
      </c>
      <c r="P101" s="434" t="str">
        <f ca="1">IF(Equipements_SCL!Z45&lt;&gt;"",Equipements_SCL!AL45,"")</f>
        <v/>
      </c>
      <c r="Q101" s="434" t="str">
        <f ca="1">IF(Equipements_SCL!AA45&lt;&gt;"",Equipements_SCL!AM45,"")</f>
        <v/>
      </c>
      <c r="R101" s="434" t="str">
        <f ca="1">IF(Equipements_SCL!AB45&lt;&gt;"",Equipements_SCL!AN45,"")</f>
        <v/>
      </c>
      <c r="S101" s="434" t="str">
        <f ca="1">IF(Equipements_SCL!AC45&lt;&gt;"",Equipements_SCL!AO45,"")</f>
        <v/>
      </c>
      <c r="T101" s="434" t="str">
        <f ca="1">IF(Equipements_SCL!AD45&lt;&gt;"",Equipements_SCL!AP45,"")</f>
        <v/>
      </c>
      <c r="U101" s="434" t="str">
        <f ca="1">IF(Equipements_SCL!AE45&lt;&gt;"",Equipements_SCL!AQ45,"")</f>
        <v/>
      </c>
      <c r="V101" s="434" t="str">
        <f ca="1">IF(Equipements_SCL!AF45&lt;&gt;"",Equipements_SCL!AR45,"")</f>
        <v/>
      </c>
      <c r="W101" s="434" t="str">
        <f ca="1">IF(Equipements_SCL!AG45&lt;&gt;"",Equipements_SCL!AS45,"")</f>
        <v/>
      </c>
      <c r="X101" s="485" t="str">
        <f ca="1">IF(Equipements_SCL!AH45&lt;&gt;"",Equipements_SCL!AT45,"")</f>
        <v/>
      </c>
      <c r="Y101" s="329"/>
      <c r="Z101" s="329"/>
      <c r="AA101" s="346"/>
      <c r="AB101" s="323"/>
    </row>
    <row r="102" spans="2:28" ht="20.100000000000001" customHeight="1" outlineLevel="1" x14ac:dyDescent="0.4">
      <c r="B102" s="328"/>
      <c r="C102" s="345"/>
      <c r="D102" s="766" t="str">
        <f ca="1">Equipements_SCL!H46</f>
        <v/>
      </c>
      <c r="E102" s="767"/>
      <c r="F102" s="431" t="str">
        <f ca="1">Equipements_SCL!I46</f>
        <v/>
      </c>
      <c r="G102" s="432" t="str">
        <f ca="1">Equipements_SCL!M46</f>
        <v/>
      </c>
      <c r="H102" s="768" t="str">
        <f ca="1">Equipements_SCL!J46</f>
        <v/>
      </c>
      <c r="I102" s="769"/>
      <c r="J102" s="768" t="str">
        <f ca="1">Equipements_SCL!K46</f>
        <v/>
      </c>
      <c r="K102" s="770"/>
      <c r="L102" s="770"/>
      <c r="M102" s="770"/>
      <c r="N102" s="433" t="str">
        <f ca="1">Equipements_SCL!P46</f>
        <v/>
      </c>
      <c r="O102" s="434" t="str">
        <f ca="1">IF(Equipements_SCL!Y46&lt;&gt;"",Equipements_SCL!AK46,"")</f>
        <v/>
      </c>
      <c r="P102" s="434" t="str">
        <f ca="1">IF(Equipements_SCL!Z46&lt;&gt;"",Equipements_SCL!AL46,"")</f>
        <v/>
      </c>
      <c r="Q102" s="434" t="str">
        <f ca="1">IF(Equipements_SCL!AA46&lt;&gt;"",Equipements_SCL!AM46,"")</f>
        <v/>
      </c>
      <c r="R102" s="434" t="str">
        <f ca="1">IF(Equipements_SCL!AB46&lt;&gt;"",Equipements_SCL!AN46,"")</f>
        <v/>
      </c>
      <c r="S102" s="434" t="str">
        <f ca="1">IF(Equipements_SCL!AC46&lt;&gt;"",Equipements_SCL!AO46,"")</f>
        <v/>
      </c>
      <c r="T102" s="434" t="str">
        <f ca="1">IF(Equipements_SCL!AD46&lt;&gt;"",Equipements_SCL!AP46,"")</f>
        <v/>
      </c>
      <c r="U102" s="434" t="str">
        <f ca="1">IF(Equipements_SCL!AE46&lt;&gt;"",Equipements_SCL!AQ46,"")</f>
        <v/>
      </c>
      <c r="V102" s="434" t="str">
        <f ca="1">IF(Equipements_SCL!AF46&lt;&gt;"",Equipements_SCL!AR46,"")</f>
        <v/>
      </c>
      <c r="W102" s="434" t="str">
        <f ca="1">IF(Equipements_SCL!AG46&lt;&gt;"",Equipements_SCL!AS46,"")</f>
        <v/>
      </c>
      <c r="X102" s="485" t="str">
        <f ca="1">IF(Equipements_SCL!AH46&lt;&gt;"",Equipements_SCL!AT46,"")</f>
        <v/>
      </c>
      <c r="Y102" s="329"/>
      <c r="Z102" s="329"/>
      <c r="AA102" s="346"/>
      <c r="AB102" s="323"/>
    </row>
    <row r="103" spans="2:28" ht="20.100000000000001" customHeight="1" outlineLevel="1" x14ac:dyDescent="0.4">
      <c r="B103" s="328"/>
      <c r="C103" s="345"/>
      <c r="D103" s="766" t="str">
        <f ca="1">Equipements_SCL!H47</f>
        <v/>
      </c>
      <c r="E103" s="767"/>
      <c r="F103" s="431" t="str">
        <f ca="1">Equipements_SCL!I47</f>
        <v/>
      </c>
      <c r="G103" s="432" t="str">
        <f ca="1">Equipements_SCL!M47</f>
        <v/>
      </c>
      <c r="H103" s="768" t="str">
        <f ca="1">Equipements_SCL!J47</f>
        <v/>
      </c>
      <c r="I103" s="769"/>
      <c r="J103" s="768" t="str">
        <f ca="1">Equipements_SCL!K47</f>
        <v/>
      </c>
      <c r="K103" s="770"/>
      <c r="L103" s="770"/>
      <c r="M103" s="770"/>
      <c r="N103" s="433" t="str">
        <f ca="1">Equipements_SCL!P47</f>
        <v/>
      </c>
      <c r="O103" s="434" t="str">
        <f ca="1">IF(Equipements_SCL!Y47&lt;&gt;"",Equipements_SCL!AK47,"")</f>
        <v/>
      </c>
      <c r="P103" s="434" t="str">
        <f ca="1">IF(Equipements_SCL!Z47&lt;&gt;"",Equipements_SCL!AL47,"")</f>
        <v/>
      </c>
      <c r="Q103" s="434" t="str">
        <f ca="1">IF(Equipements_SCL!AA47&lt;&gt;"",Equipements_SCL!AM47,"")</f>
        <v/>
      </c>
      <c r="R103" s="434" t="str">
        <f ca="1">IF(Equipements_SCL!AB47&lt;&gt;"",Equipements_SCL!AN47,"")</f>
        <v/>
      </c>
      <c r="S103" s="434" t="str">
        <f ca="1">IF(Equipements_SCL!AC47&lt;&gt;"",Equipements_SCL!AO47,"")</f>
        <v/>
      </c>
      <c r="T103" s="434" t="str">
        <f ca="1">IF(Equipements_SCL!AD47&lt;&gt;"",Equipements_SCL!AP47,"")</f>
        <v/>
      </c>
      <c r="U103" s="434" t="str">
        <f ca="1">IF(Equipements_SCL!AE47&lt;&gt;"",Equipements_SCL!AQ47,"")</f>
        <v/>
      </c>
      <c r="V103" s="434" t="str">
        <f ca="1">IF(Equipements_SCL!AF47&lt;&gt;"",Equipements_SCL!AR47,"")</f>
        <v/>
      </c>
      <c r="W103" s="434" t="str">
        <f ca="1">IF(Equipements_SCL!AG47&lt;&gt;"",Equipements_SCL!AS47,"")</f>
        <v/>
      </c>
      <c r="X103" s="485" t="str">
        <f ca="1">IF(Equipements_SCL!AH47&lt;&gt;"",Equipements_SCL!AT47,"")</f>
        <v/>
      </c>
      <c r="Y103" s="329"/>
      <c r="Z103" s="329"/>
      <c r="AA103" s="346"/>
      <c r="AB103" s="323"/>
    </row>
    <row r="104" spans="2:28" ht="20.100000000000001" customHeight="1" outlineLevel="1" x14ac:dyDescent="0.4">
      <c r="B104" s="328"/>
      <c r="C104" s="345"/>
      <c r="D104" s="766" t="str">
        <f ca="1">Equipements_SCL!H48</f>
        <v/>
      </c>
      <c r="E104" s="767"/>
      <c r="F104" s="431" t="str">
        <f ca="1">Equipements_SCL!I48</f>
        <v/>
      </c>
      <c r="G104" s="432" t="str">
        <f ca="1">Equipements_SCL!M48</f>
        <v/>
      </c>
      <c r="H104" s="768" t="str">
        <f ca="1">Equipements_SCL!J48</f>
        <v/>
      </c>
      <c r="I104" s="769"/>
      <c r="J104" s="768" t="str">
        <f ca="1">Equipements_SCL!K48</f>
        <v/>
      </c>
      <c r="K104" s="770"/>
      <c r="L104" s="770"/>
      <c r="M104" s="770"/>
      <c r="N104" s="433" t="str">
        <f ca="1">Equipements_SCL!P48</f>
        <v/>
      </c>
      <c r="O104" s="434" t="str">
        <f ca="1">IF(Equipements_SCL!Y48&lt;&gt;"",Equipements_SCL!AK48,"")</f>
        <v/>
      </c>
      <c r="P104" s="434" t="str">
        <f ca="1">IF(Equipements_SCL!Z48&lt;&gt;"",Equipements_SCL!AL48,"")</f>
        <v/>
      </c>
      <c r="Q104" s="434" t="str">
        <f ca="1">IF(Equipements_SCL!AA48&lt;&gt;"",Equipements_SCL!AM48,"")</f>
        <v/>
      </c>
      <c r="R104" s="434" t="str">
        <f ca="1">IF(Equipements_SCL!AB48&lt;&gt;"",Equipements_SCL!AN48,"")</f>
        <v/>
      </c>
      <c r="S104" s="434" t="str">
        <f ca="1">IF(Equipements_SCL!AC48&lt;&gt;"",Equipements_SCL!AO48,"")</f>
        <v/>
      </c>
      <c r="T104" s="434" t="str">
        <f ca="1">IF(Equipements_SCL!AD48&lt;&gt;"",Equipements_SCL!AP48,"")</f>
        <v/>
      </c>
      <c r="U104" s="434" t="str">
        <f ca="1">IF(Equipements_SCL!AE48&lt;&gt;"",Equipements_SCL!AQ48,"")</f>
        <v/>
      </c>
      <c r="V104" s="434" t="str">
        <f ca="1">IF(Equipements_SCL!AF48&lt;&gt;"",Equipements_SCL!AR48,"")</f>
        <v/>
      </c>
      <c r="W104" s="434" t="str">
        <f ca="1">IF(Equipements_SCL!AG48&lt;&gt;"",Equipements_SCL!AS48,"")</f>
        <v/>
      </c>
      <c r="X104" s="485" t="str">
        <f ca="1">IF(Equipements_SCL!AH48&lt;&gt;"",Equipements_SCL!AT48,"")</f>
        <v/>
      </c>
      <c r="Y104" s="329"/>
      <c r="Z104" s="329"/>
      <c r="AA104" s="346"/>
      <c r="AB104" s="323"/>
    </row>
    <row r="105" spans="2:28" ht="20.100000000000001" customHeight="1" outlineLevel="1" x14ac:dyDescent="0.4">
      <c r="B105" s="328"/>
      <c r="C105" s="345"/>
      <c r="D105" s="766" t="str">
        <f ca="1">Equipements_SCL!H49</f>
        <v/>
      </c>
      <c r="E105" s="767"/>
      <c r="F105" s="431" t="str">
        <f ca="1">Equipements_SCL!I49</f>
        <v/>
      </c>
      <c r="G105" s="432" t="str">
        <f ca="1">Equipements_SCL!M49</f>
        <v/>
      </c>
      <c r="H105" s="768" t="str">
        <f ca="1">Equipements_SCL!J49</f>
        <v/>
      </c>
      <c r="I105" s="769"/>
      <c r="J105" s="768" t="str">
        <f ca="1">Equipements_SCL!K49</f>
        <v/>
      </c>
      <c r="K105" s="770"/>
      <c r="L105" s="770"/>
      <c r="M105" s="770"/>
      <c r="N105" s="433" t="str">
        <f ca="1">Equipements_SCL!P49</f>
        <v/>
      </c>
      <c r="O105" s="434" t="str">
        <f ca="1">IF(Equipements_SCL!Y49&lt;&gt;"",Equipements_SCL!AK49,"")</f>
        <v/>
      </c>
      <c r="P105" s="434" t="str">
        <f ca="1">IF(Equipements_SCL!Z49&lt;&gt;"",Equipements_SCL!AL49,"")</f>
        <v/>
      </c>
      <c r="Q105" s="434" t="str">
        <f ca="1">IF(Equipements_SCL!AA49&lt;&gt;"",Equipements_SCL!AM49,"")</f>
        <v/>
      </c>
      <c r="R105" s="434" t="str">
        <f ca="1">IF(Equipements_SCL!AB49&lt;&gt;"",Equipements_SCL!AN49,"")</f>
        <v/>
      </c>
      <c r="S105" s="434" t="str">
        <f ca="1">IF(Equipements_SCL!AC49&lt;&gt;"",Equipements_SCL!AO49,"")</f>
        <v/>
      </c>
      <c r="T105" s="434" t="str">
        <f ca="1">IF(Equipements_SCL!AD49&lt;&gt;"",Equipements_SCL!AP49,"")</f>
        <v/>
      </c>
      <c r="U105" s="434" t="str">
        <f ca="1">IF(Equipements_SCL!AE49&lt;&gt;"",Equipements_SCL!AQ49,"")</f>
        <v/>
      </c>
      <c r="V105" s="434" t="str">
        <f ca="1">IF(Equipements_SCL!AF49&lt;&gt;"",Equipements_SCL!AR49,"")</f>
        <v/>
      </c>
      <c r="W105" s="434" t="str">
        <f ca="1">IF(Equipements_SCL!AG49&lt;&gt;"",Equipements_SCL!AS49,"")</f>
        <v/>
      </c>
      <c r="X105" s="485" t="str">
        <f ca="1">IF(Equipements_SCL!AH49&lt;&gt;"",Equipements_SCL!AT49,"")</f>
        <v/>
      </c>
      <c r="Y105" s="329"/>
      <c r="Z105" s="329"/>
      <c r="AA105" s="346"/>
      <c r="AB105" s="323"/>
    </row>
    <row r="106" spans="2:28" ht="20.100000000000001" customHeight="1" outlineLevel="1" x14ac:dyDescent="0.4">
      <c r="B106" s="328"/>
      <c r="C106" s="345"/>
      <c r="D106" s="766" t="str">
        <f ca="1">Equipements_SCL!H50</f>
        <v/>
      </c>
      <c r="E106" s="767"/>
      <c r="F106" s="431" t="str">
        <f ca="1">Equipements_SCL!I50</f>
        <v/>
      </c>
      <c r="G106" s="432" t="str">
        <f ca="1">Equipements_SCL!M50</f>
        <v/>
      </c>
      <c r="H106" s="768" t="str">
        <f ca="1">Equipements_SCL!J50</f>
        <v/>
      </c>
      <c r="I106" s="769"/>
      <c r="J106" s="768" t="str">
        <f ca="1">Equipements_SCL!K50</f>
        <v/>
      </c>
      <c r="K106" s="770"/>
      <c r="L106" s="770"/>
      <c r="M106" s="770"/>
      <c r="N106" s="433" t="str">
        <f ca="1">Equipements_SCL!P50</f>
        <v/>
      </c>
      <c r="O106" s="434" t="str">
        <f ca="1">IF(Equipements_SCL!Y50&lt;&gt;"",Equipements_SCL!AK50,"")</f>
        <v/>
      </c>
      <c r="P106" s="434" t="str">
        <f ca="1">IF(Equipements_SCL!Z50&lt;&gt;"",Equipements_SCL!AL50,"")</f>
        <v/>
      </c>
      <c r="Q106" s="434" t="str">
        <f ca="1">IF(Equipements_SCL!AA50&lt;&gt;"",Equipements_SCL!AM50,"")</f>
        <v/>
      </c>
      <c r="R106" s="434" t="str">
        <f ca="1">IF(Equipements_SCL!AB50&lt;&gt;"",Equipements_SCL!AN50,"")</f>
        <v/>
      </c>
      <c r="S106" s="434" t="str">
        <f ca="1">IF(Equipements_SCL!AC50&lt;&gt;"",Equipements_SCL!AO50,"")</f>
        <v/>
      </c>
      <c r="T106" s="434" t="str">
        <f ca="1">IF(Equipements_SCL!AD50&lt;&gt;"",Equipements_SCL!AP50,"")</f>
        <v/>
      </c>
      <c r="U106" s="434" t="str">
        <f ca="1">IF(Equipements_SCL!AE50&lt;&gt;"",Equipements_SCL!AQ50,"")</f>
        <v/>
      </c>
      <c r="V106" s="434" t="str">
        <f ca="1">IF(Equipements_SCL!AF50&lt;&gt;"",Equipements_SCL!AR50,"")</f>
        <v/>
      </c>
      <c r="W106" s="434" t="str">
        <f ca="1">IF(Equipements_SCL!AG50&lt;&gt;"",Equipements_SCL!AS50,"")</f>
        <v/>
      </c>
      <c r="X106" s="485" t="str">
        <f ca="1">IF(Equipements_SCL!AH50&lt;&gt;"",Equipements_SCL!AT50,"")</f>
        <v/>
      </c>
      <c r="Y106" s="329"/>
      <c r="Z106" s="329"/>
      <c r="AA106" s="346"/>
      <c r="AB106" s="323"/>
    </row>
    <row r="107" spans="2:28" ht="20.100000000000001" customHeight="1" outlineLevel="1" x14ac:dyDescent="0.4">
      <c r="B107" s="328"/>
      <c r="C107" s="345"/>
      <c r="D107" s="766" t="str">
        <f ca="1">Equipements_SCL!H51</f>
        <v/>
      </c>
      <c r="E107" s="767"/>
      <c r="F107" s="431" t="str">
        <f ca="1">Equipements_SCL!I51</f>
        <v/>
      </c>
      <c r="G107" s="432" t="str">
        <f ca="1">Equipements_SCL!M51</f>
        <v/>
      </c>
      <c r="H107" s="768" t="str">
        <f ca="1">Equipements_SCL!J51</f>
        <v/>
      </c>
      <c r="I107" s="769"/>
      <c r="J107" s="768" t="str">
        <f ca="1">Equipements_SCL!K51</f>
        <v/>
      </c>
      <c r="K107" s="770"/>
      <c r="L107" s="770"/>
      <c r="M107" s="770"/>
      <c r="N107" s="433" t="str">
        <f ca="1">Equipements_SCL!P51</f>
        <v/>
      </c>
      <c r="O107" s="434" t="str">
        <f ca="1">IF(Equipements_SCL!Y51&lt;&gt;"",Equipements_SCL!AK51,"")</f>
        <v/>
      </c>
      <c r="P107" s="434" t="str">
        <f ca="1">IF(Equipements_SCL!Z51&lt;&gt;"",Equipements_SCL!AL51,"")</f>
        <v/>
      </c>
      <c r="Q107" s="434" t="str">
        <f ca="1">IF(Equipements_SCL!AA51&lt;&gt;"",Equipements_SCL!AM51,"")</f>
        <v/>
      </c>
      <c r="R107" s="434" t="str">
        <f ca="1">IF(Equipements_SCL!AB51&lt;&gt;"",Equipements_SCL!AN51,"")</f>
        <v/>
      </c>
      <c r="S107" s="434" t="str">
        <f ca="1">IF(Equipements_SCL!AC51&lt;&gt;"",Equipements_SCL!AO51,"")</f>
        <v/>
      </c>
      <c r="T107" s="434" t="str">
        <f ca="1">IF(Equipements_SCL!AD51&lt;&gt;"",Equipements_SCL!AP51,"")</f>
        <v/>
      </c>
      <c r="U107" s="434" t="str">
        <f ca="1">IF(Equipements_SCL!AE51&lt;&gt;"",Equipements_SCL!AQ51,"")</f>
        <v/>
      </c>
      <c r="V107" s="434" t="str">
        <f ca="1">IF(Equipements_SCL!AF51&lt;&gt;"",Equipements_SCL!AR51,"")</f>
        <v/>
      </c>
      <c r="W107" s="434" t="str">
        <f ca="1">IF(Equipements_SCL!AG51&lt;&gt;"",Equipements_SCL!AS51,"")</f>
        <v/>
      </c>
      <c r="X107" s="485" t="str">
        <f ca="1">IF(Equipements_SCL!AH51&lt;&gt;"",Equipements_SCL!AT51,"")</f>
        <v/>
      </c>
      <c r="Y107" s="329"/>
      <c r="Z107" s="329"/>
      <c r="AA107" s="346"/>
      <c r="AB107" s="323"/>
    </row>
    <row r="108" spans="2:28" ht="20.100000000000001" customHeight="1" outlineLevel="1" x14ac:dyDescent="0.4">
      <c r="B108" s="328"/>
      <c r="C108" s="345"/>
      <c r="D108" s="766" t="str">
        <f ca="1">Equipements_SCL!H52</f>
        <v/>
      </c>
      <c r="E108" s="767"/>
      <c r="F108" s="431" t="str">
        <f ca="1">Equipements_SCL!I52</f>
        <v/>
      </c>
      <c r="G108" s="432" t="str">
        <f ca="1">Equipements_SCL!M52</f>
        <v/>
      </c>
      <c r="H108" s="768" t="str">
        <f ca="1">Equipements_SCL!J52</f>
        <v/>
      </c>
      <c r="I108" s="769"/>
      <c r="J108" s="768" t="str">
        <f ca="1">Equipements_SCL!K52</f>
        <v/>
      </c>
      <c r="K108" s="770"/>
      <c r="L108" s="770"/>
      <c r="M108" s="770"/>
      <c r="N108" s="433" t="str">
        <f ca="1">Equipements_SCL!P52</f>
        <v/>
      </c>
      <c r="O108" s="434" t="str">
        <f ca="1">IF(Equipements_SCL!Y52&lt;&gt;"",Equipements_SCL!AK52,"")</f>
        <v/>
      </c>
      <c r="P108" s="434" t="str">
        <f ca="1">IF(Equipements_SCL!Z52&lt;&gt;"",Equipements_SCL!AL52,"")</f>
        <v/>
      </c>
      <c r="Q108" s="434" t="str">
        <f ca="1">IF(Equipements_SCL!AA52&lt;&gt;"",Equipements_SCL!AM52,"")</f>
        <v/>
      </c>
      <c r="R108" s="434" t="str">
        <f ca="1">IF(Equipements_SCL!AB52&lt;&gt;"",Equipements_SCL!AN52,"")</f>
        <v/>
      </c>
      <c r="S108" s="434" t="str">
        <f ca="1">IF(Equipements_SCL!AC52&lt;&gt;"",Equipements_SCL!AO52,"")</f>
        <v/>
      </c>
      <c r="T108" s="434" t="str">
        <f ca="1">IF(Equipements_SCL!AD52&lt;&gt;"",Equipements_SCL!AP52,"")</f>
        <v/>
      </c>
      <c r="U108" s="434" t="str">
        <f ca="1">IF(Equipements_SCL!AE52&lt;&gt;"",Equipements_SCL!AQ52,"")</f>
        <v/>
      </c>
      <c r="V108" s="434" t="str">
        <f ca="1">IF(Equipements_SCL!AF52&lt;&gt;"",Equipements_SCL!AR52,"")</f>
        <v/>
      </c>
      <c r="W108" s="434" t="str">
        <f ca="1">IF(Equipements_SCL!AG52&lt;&gt;"",Equipements_SCL!AS52,"")</f>
        <v/>
      </c>
      <c r="X108" s="485" t="str">
        <f ca="1">IF(Equipements_SCL!AH52&lt;&gt;"",Equipements_SCL!AT52,"")</f>
        <v/>
      </c>
      <c r="Y108" s="329"/>
      <c r="Z108" s="329"/>
      <c r="AA108" s="346"/>
      <c r="AB108" s="323"/>
    </row>
    <row r="109" spans="2:28" ht="20.100000000000001" customHeight="1" outlineLevel="1" x14ac:dyDescent="0.4">
      <c r="B109" s="328"/>
      <c r="C109" s="345"/>
      <c r="D109" s="766" t="str">
        <f ca="1">Equipements_SCL!H53</f>
        <v/>
      </c>
      <c r="E109" s="767"/>
      <c r="F109" s="431" t="str">
        <f ca="1">Equipements_SCL!I53</f>
        <v/>
      </c>
      <c r="G109" s="432" t="str">
        <f ca="1">Equipements_SCL!M53</f>
        <v/>
      </c>
      <c r="H109" s="768" t="str">
        <f ca="1">Equipements_SCL!J53</f>
        <v/>
      </c>
      <c r="I109" s="769"/>
      <c r="J109" s="768" t="str">
        <f ca="1">Equipements_SCL!K53</f>
        <v/>
      </c>
      <c r="K109" s="770"/>
      <c r="L109" s="770"/>
      <c r="M109" s="770"/>
      <c r="N109" s="433" t="str">
        <f ca="1">Equipements_SCL!P53</f>
        <v/>
      </c>
      <c r="O109" s="434" t="str">
        <f ca="1">IF(Equipements_SCL!Y53&lt;&gt;"",Equipements_SCL!AK53,"")</f>
        <v/>
      </c>
      <c r="P109" s="434" t="str">
        <f ca="1">IF(Equipements_SCL!Z53&lt;&gt;"",Equipements_SCL!AL53,"")</f>
        <v/>
      </c>
      <c r="Q109" s="434" t="str">
        <f ca="1">IF(Equipements_SCL!AA53&lt;&gt;"",Equipements_SCL!AM53,"")</f>
        <v/>
      </c>
      <c r="R109" s="434" t="str">
        <f ca="1">IF(Equipements_SCL!AB53&lt;&gt;"",Equipements_SCL!AN53,"")</f>
        <v/>
      </c>
      <c r="S109" s="434" t="str">
        <f ca="1">IF(Equipements_SCL!AC53&lt;&gt;"",Equipements_SCL!AO53,"")</f>
        <v/>
      </c>
      <c r="T109" s="434" t="str">
        <f ca="1">IF(Equipements_SCL!AD53&lt;&gt;"",Equipements_SCL!AP53,"")</f>
        <v/>
      </c>
      <c r="U109" s="434" t="str">
        <f ca="1">IF(Equipements_SCL!AE53&lt;&gt;"",Equipements_SCL!AQ53,"")</f>
        <v/>
      </c>
      <c r="V109" s="434" t="str">
        <f ca="1">IF(Equipements_SCL!AF53&lt;&gt;"",Equipements_SCL!AR53,"")</f>
        <v/>
      </c>
      <c r="W109" s="434" t="str">
        <f ca="1">IF(Equipements_SCL!AG53&lt;&gt;"",Equipements_SCL!AS53,"")</f>
        <v/>
      </c>
      <c r="X109" s="485" t="str">
        <f ca="1">IF(Equipements_SCL!AH53&lt;&gt;"",Equipements_SCL!AT53,"")</f>
        <v/>
      </c>
      <c r="Y109" s="329"/>
      <c r="Z109" s="329"/>
      <c r="AA109" s="346"/>
      <c r="AB109" s="323"/>
    </row>
    <row r="110" spans="2:28" ht="20.100000000000001" customHeight="1" outlineLevel="1" x14ac:dyDescent="0.4">
      <c r="B110" s="328"/>
      <c r="C110" s="345"/>
      <c r="D110" s="766" t="str">
        <f ca="1">Equipements_SCL!H54</f>
        <v/>
      </c>
      <c r="E110" s="767"/>
      <c r="F110" s="431" t="str">
        <f ca="1">Equipements_SCL!I54</f>
        <v/>
      </c>
      <c r="G110" s="432" t="str">
        <f ca="1">Equipements_SCL!M54</f>
        <v/>
      </c>
      <c r="H110" s="768" t="str">
        <f ca="1">Equipements_SCL!J54</f>
        <v/>
      </c>
      <c r="I110" s="769"/>
      <c r="J110" s="768" t="str">
        <f ca="1">Equipements_SCL!K54</f>
        <v/>
      </c>
      <c r="K110" s="770"/>
      <c r="L110" s="770"/>
      <c r="M110" s="770"/>
      <c r="N110" s="433" t="str">
        <f ca="1">Equipements_SCL!P54</f>
        <v/>
      </c>
      <c r="O110" s="434" t="str">
        <f ca="1">IF(Equipements_SCL!Y54&lt;&gt;"",Equipements_SCL!AK54,"")</f>
        <v/>
      </c>
      <c r="P110" s="434" t="str">
        <f ca="1">IF(Equipements_SCL!Z54&lt;&gt;"",Equipements_SCL!AL54,"")</f>
        <v/>
      </c>
      <c r="Q110" s="434" t="str">
        <f ca="1">IF(Equipements_SCL!AA54&lt;&gt;"",Equipements_SCL!AM54,"")</f>
        <v/>
      </c>
      <c r="R110" s="434" t="str">
        <f ca="1">IF(Equipements_SCL!AB54&lt;&gt;"",Equipements_SCL!AN54,"")</f>
        <v/>
      </c>
      <c r="S110" s="434" t="str">
        <f ca="1">IF(Equipements_SCL!AC54&lt;&gt;"",Equipements_SCL!AO54,"")</f>
        <v/>
      </c>
      <c r="T110" s="434" t="str">
        <f ca="1">IF(Equipements_SCL!AD54&lt;&gt;"",Equipements_SCL!AP54,"")</f>
        <v/>
      </c>
      <c r="U110" s="434" t="str">
        <f ca="1">IF(Equipements_SCL!AE54&lt;&gt;"",Equipements_SCL!AQ54,"")</f>
        <v/>
      </c>
      <c r="V110" s="434" t="str">
        <f ca="1">IF(Equipements_SCL!AF54&lt;&gt;"",Equipements_SCL!AR54,"")</f>
        <v/>
      </c>
      <c r="W110" s="434" t="str">
        <f ca="1">IF(Equipements_SCL!AG54&lt;&gt;"",Equipements_SCL!AS54,"")</f>
        <v/>
      </c>
      <c r="X110" s="485" t="str">
        <f ca="1">IF(Equipements_SCL!AH54&lt;&gt;"",Equipements_SCL!AT54,"")</f>
        <v/>
      </c>
      <c r="Y110" s="329"/>
      <c r="Z110" s="329"/>
      <c r="AA110" s="346"/>
      <c r="AB110" s="323"/>
    </row>
    <row r="111" spans="2:28" ht="20.100000000000001" customHeight="1" outlineLevel="1" x14ac:dyDescent="0.4">
      <c r="B111" s="328"/>
      <c r="C111" s="345"/>
      <c r="D111" s="766" t="str">
        <f ca="1">Equipements_SCL!H55</f>
        <v/>
      </c>
      <c r="E111" s="767"/>
      <c r="F111" s="431" t="str">
        <f ca="1">Equipements_SCL!I55</f>
        <v/>
      </c>
      <c r="G111" s="432" t="str">
        <f ca="1">Equipements_SCL!M55</f>
        <v/>
      </c>
      <c r="H111" s="768" t="str">
        <f ca="1">Equipements_SCL!J55</f>
        <v/>
      </c>
      <c r="I111" s="769"/>
      <c r="J111" s="768" t="str">
        <f ca="1">Equipements_SCL!K55</f>
        <v/>
      </c>
      <c r="K111" s="770"/>
      <c r="L111" s="770"/>
      <c r="M111" s="770"/>
      <c r="N111" s="433" t="str">
        <f ca="1">Equipements_SCL!P55</f>
        <v/>
      </c>
      <c r="O111" s="434" t="str">
        <f ca="1">IF(Equipements_SCL!Y55&lt;&gt;"",Equipements_SCL!AK55,"")</f>
        <v/>
      </c>
      <c r="P111" s="434" t="str">
        <f ca="1">IF(Equipements_SCL!Z55&lt;&gt;"",Equipements_SCL!AL55,"")</f>
        <v/>
      </c>
      <c r="Q111" s="434" t="str">
        <f ca="1">IF(Equipements_SCL!AA55&lt;&gt;"",Equipements_SCL!AM55,"")</f>
        <v/>
      </c>
      <c r="R111" s="434" t="str">
        <f ca="1">IF(Equipements_SCL!AB55&lt;&gt;"",Equipements_SCL!AN55,"")</f>
        <v/>
      </c>
      <c r="S111" s="434" t="str">
        <f ca="1">IF(Equipements_SCL!AC55&lt;&gt;"",Equipements_SCL!AO55,"")</f>
        <v/>
      </c>
      <c r="T111" s="434" t="str">
        <f ca="1">IF(Equipements_SCL!AD55&lt;&gt;"",Equipements_SCL!AP55,"")</f>
        <v/>
      </c>
      <c r="U111" s="434" t="str">
        <f ca="1">IF(Equipements_SCL!AE55&lt;&gt;"",Equipements_SCL!AQ55,"")</f>
        <v/>
      </c>
      <c r="V111" s="434" t="str">
        <f ca="1">IF(Equipements_SCL!AF55&lt;&gt;"",Equipements_SCL!AR55,"")</f>
        <v/>
      </c>
      <c r="W111" s="434" t="str">
        <f ca="1">IF(Equipements_SCL!AG55&lt;&gt;"",Equipements_SCL!AS55,"")</f>
        <v/>
      </c>
      <c r="X111" s="485" t="str">
        <f ca="1">IF(Equipements_SCL!AH55&lt;&gt;"",Equipements_SCL!AT55,"")</f>
        <v/>
      </c>
      <c r="Y111" s="329"/>
      <c r="Z111" s="329"/>
      <c r="AA111" s="346"/>
      <c r="AB111" s="323"/>
    </row>
    <row r="112" spans="2:28" ht="20.100000000000001" customHeight="1" outlineLevel="1" x14ac:dyDescent="0.4">
      <c r="B112" s="328"/>
      <c r="C112" s="345"/>
      <c r="D112" s="766" t="str">
        <f ca="1">Equipements_SCL!H56</f>
        <v/>
      </c>
      <c r="E112" s="767"/>
      <c r="F112" s="431" t="str">
        <f ca="1">Equipements_SCL!I56</f>
        <v/>
      </c>
      <c r="G112" s="432" t="str">
        <f ca="1">Equipements_SCL!M56</f>
        <v/>
      </c>
      <c r="H112" s="768" t="str">
        <f ca="1">Equipements_SCL!J56</f>
        <v/>
      </c>
      <c r="I112" s="769"/>
      <c r="J112" s="768" t="str">
        <f ca="1">Equipements_SCL!K56</f>
        <v/>
      </c>
      <c r="K112" s="770"/>
      <c r="L112" s="770"/>
      <c r="M112" s="770"/>
      <c r="N112" s="433" t="str">
        <f ca="1">Equipements_SCL!P56</f>
        <v/>
      </c>
      <c r="O112" s="434" t="str">
        <f ca="1">IF(Equipements_SCL!Y56&lt;&gt;"",Equipements_SCL!AK56,"")</f>
        <v/>
      </c>
      <c r="P112" s="434" t="str">
        <f ca="1">IF(Equipements_SCL!Z56&lt;&gt;"",Equipements_SCL!AL56,"")</f>
        <v/>
      </c>
      <c r="Q112" s="434" t="str">
        <f ca="1">IF(Equipements_SCL!AA56&lt;&gt;"",Equipements_SCL!AM56,"")</f>
        <v/>
      </c>
      <c r="R112" s="434" t="str">
        <f ca="1">IF(Equipements_SCL!AB56&lt;&gt;"",Equipements_SCL!AN56,"")</f>
        <v/>
      </c>
      <c r="S112" s="434" t="str">
        <f ca="1">IF(Equipements_SCL!AC56&lt;&gt;"",Equipements_SCL!AO56,"")</f>
        <v/>
      </c>
      <c r="T112" s="434" t="str">
        <f ca="1">IF(Equipements_SCL!AD56&lt;&gt;"",Equipements_SCL!AP56,"")</f>
        <v/>
      </c>
      <c r="U112" s="434" t="str">
        <f ca="1">IF(Equipements_SCL!AE56&lt;&gt;"",Equipements_SCL!AQ56,"")</f>
        <v/>
      </c>
      <c r="V112" s="434" t="str">
        <f ca="1">IF(Equipements_SCL!AF56&lt;&gt;"",Equipements_SCL!AR56,"")</f>
        <v/>
      </c>
      <c r="W112" s="434" t="str">
        <f ca="1">IF(Equipements_SCL!AG56&lt;&gt;"",Equipements_SCL!AS56,"")</f>
        <v/>
      </c>
      <c r="X112" s="485" t="str">
        <f ca="1">IF(Equipements_SCL!AH56&lt;&gt;"",Equipements_SCL!AT56,"")</f>
        <v/>
      </c>
      <c r="Y112" s="329"/>
      <c r="Z112" s="329"/>
      <c r="AA112" s="346"/>
      <c r="AB112" s="323"/>
    </row>
    <row r="113" spans="2:28" ht="20.100000000000001" customHeight="1" outlineLevel="1" x14ac:dyDescent="0.4">
      <c r="B113" s="328"/>
      <c r="C113" s="345"/>
      <c r="D113" s="766" t="str">
        <f ca="1">Equipements_SCL!H57</f>
        <v/>
      </c>
      <c r="E113" s="767"/>
      <c r="F113" s="431" t="str">
        <f ca="1">Equipements_SCL!I57</f>
        <v/>
      </c>
      <c r="G113" s="432" t="str">
        <f ca="1">Equipements_SCL!M57</f>
        <v/>
      </c>
      <c r="H113" s="768" t="str">
        <f ca="1">Equipements_SCL!J57</f>
        <v/>
      </c>
      <c r="I113" s="769"/>
      <c r="J113" s="768" t="str">
        <f ca="1">Equipements_SCL!K57</f>
        <v/>
      </c>
      <c r="K113" s="770"/>
      <c r="L113" s="770"/>
      <c r="M113" s="770"/>
      <c r="N113" s="433" t="str">
        <f ca="1">Equipements_SCL!P57</f>
        <v/>
      </c>
      <c r="O113" s="434" t="str">
        <f ca="1">IF(Equipements_SCL!Y57&lt;&gt;"",Equipements_SCL!AK57,"")</f>
        <v/>
      </c>
      <c r="P113" s="434" t="str">
        <f ca="1">IF(Equipements_SCL!Z57&lt;&gt;"",Equipements_SCL!AL57,"")</f>
        <v/>
      </c>
      <c r="Q113" s="434" t="str">
        <f ca="1">IF(Equipements_SCL!AA57&lt;&gt;"",Equipements_SCL!AM57,"")</f>
        <v/>
      </c>
      <c r="R113" s="434" t="str">
        <f ca="1">IF(Equipements_SCL!AB57&lt;&gt;"",Equipements_SCL!AN57,"")</f>
        <v/>
      </c>
      <c r="S113" s="434" t="str">
        <f ca="1">IF(Equipements_SCL!AC57&lt;&gt;"",Equipements_SCL!AO57,"")</f>
        <v/>
      </c>
      <c r="T113" s="434" t="str">
        <f ca="1">IF(Equipements_SCL!AD57&lt;&gt;"",Equipements_SCL!AP57,"")</f>
        <v/>
      </c>
      <c r="U113" s="434" t="str">
        <f ca="1">IF(Equipements_SCL!AE57&lt;&gt;"",Equipements_SCL!AQ57,"")</f>
        <v/>
      </c>
      <c r="V113" s="434" t="str">
        <f ca="1">IF(Equipements_SCL!AF57&lt;&gt;"",Equipements_SCL!AR57,"")</f>
        <v/>
      </c>
      <c r="W113" s="434" t="str">
        <f ca="1">IF(Equipements_SCL!AG57&lt;&gt;"",Equipements_SCL!AS57,"")</f>
        <v/>
      </c>
      <c r="X113" s="485" t="str">
        <f ca="1">IF(Equipements_SCL!AH57&lt;&gt;"",Equipements_SCL!AT57,"")</f>
        <v/>
      </c>
      <c r="Y113" s="329"/>
      <c r="Z113" s="329"/>
      <c r="AA113" s="346"/>
      <c r="AB113" s="323"/>
    </row>
    <row r="114" spans="2:28" ht="20.100000000000001" customHeight="1" outlineLevel="1" x14ac:dyDescent="0.4">
      <c r="B114" s="328"/>
      <c r="C114" s="345"/>
      <c r="D114" s="766" t="str">
        <f ca="1">Equipements_SCL!H58</f>
        <v/>
      </c>
      <c r="E114" s="767"/>
      <c r="F114" s="431" t="str">
        <f ca="1">Equipements_SCL!I58</f>
        <v/>
      </c>
      <c r="G114" s="432" t="str">
        <f ca="1">Equipements_SCL!M58</f>
        <v/>
      </c>
      <c r="H114" s="768" t="str">
        <f ca="1">Equipements_SCL!J58</f>
        <v/>
      </c>
      <c r="I114" s="769"/>
      <c r="J114" s="768" t="str">
        <f ca="1">Equipements_SCL!K58</f>
        <v/>
      </c>
      <c r="K114" s="770"/>
      <c r="L114" s="770"/>
      <c r="M114" s="770"/>
      <c r="N114" s="433" t="str">
        <f ca="1">Equipements_SCL!P58</f>
        <v/>
      </c>
      <c r="O114" s="434" t="str">
        <f ca="1">IF(Equipements_SCL!Y58&lt;&gt;"",Equipements_SCL!AK58,"")</f>
        <v/>
      </c>
      <c r="P114" s="434" t="str">
        <f ca="1">IF(Equipements_SCL!Z58&lt;&gt;"",Equipements_SCL!AL58,"")</f>
        <v/>
      </c>
      <c r="Q114" s="434" t="str">
        <f ca="1">IF(Equipements_SCL!AA58&lt;&gt;"",Equipements_SCL!AM58,"")</f>
        <v/>
      </c>
      <c r="R114" s="434" t="str">
        <f ca="1">IF(Equipements_SCL!AB58&lt;&gt;"",Equipements_SCL!AN58,"")</f>
        <v/>
      </c>
      <c r="S114" s="434" t="str">
        <f ca="1">IF(Equipements_SCL!AC58&lt;&gt;"",Equipements_SCL!AO58,"")</f>
        <v/>
      </c>
      <c r="T114" s="434" t="str">
        <f ca="1">IF(Equipements_SCL!AD58&lt;&gt;"",Equipements_SCL!AP58,"")</f>
        <v/>
      </c>
      <c r="U114" s="434" t="str">
        <f ca="1">IF(Equipements_SCL!AE58&lt;&gt;"",Equipements_SCL!AQ58,"")</f>
        <v/>
      </c>
      <c r="V114" s="434" t="str">
        <f ca="1">IF(Equipements_SCL!AF58&lt;&gt;"",Equipements_SCL!AR58,"")</f>
        <v/>
      </c>
      <c r="W114" s="434" t="str">
        <f ca="1">IF(Equipements_SCL!AG58&lt;&gt;"",Equipements_SCL!AS58,"")</f>
        <v/>
      </c>
      <c r="X114" s="485" t="str">
        <f ca="1">IF(Equipements_SCL!AH58&lt;&gt;"",Equipements_SCL!AT58,"")</f>
        <v/>
      </c>
      <c r="Y114" s="329"/>
      <c r="Z114" s="329"/>
      <c r="AA114" s="346"/>
      <c r="AB114" s="323"/>
    </row>
    <row r="115" spans="2:28" ht="20.100000000000001" customHeight="1" outlineLevel="1" x14ac:dyDescent="0.4">
      <c r="B115" s="328"/>
      <c r="C115" s="345"/>
      <c r="D115" s="766" t="str">
        <f ca="1">Equipements_SCL!H59</f>
        <v/>
      </c>
      <c r="E115" s="767"/>
      <c r="F115" s="431" t="str">
        <f ca="1">Equipements_SCL!I59</f>
        <v/>
      </c>
      <c r="G115" s="432" t="str">
        <f ca="1">Equipements_SCL!M59</f>
        <v/>
      </c>
      <c r="H115" s="768" t="str">
        <f ca="1">Equipements_SCL!J59</f>
        <v/>
      </c>
      <c r="I115" s="769"/>
      <c r="J115" s="768" t="str">
        <f ca="1">Equipements_SCL!K59</f>
        <v/>
      </c>
      <c r="K115" s="770"/>
      <c r="L115" s="770"/>
      <c r="M115" s="770"/>
      <c r="N115" s="433" t="str">
        <f ca="1">Equipements_SCL!P59</f>
        <v/>
      </c>
      <c r="O115" s="434" t="str">
        <f ca="1">IF(Equipements_SCL!Y59&lt;&gt;"",Equipements_SCL!AK59,"")</f>
        <v/>
      </c>
      <c r="P115" s="434" t="str">
        <f ca="1">IF(Equipements_SCL!Z59&lt;&gt;"",Equipements_SCL!AL59,"")</f>
        <v/>
      </c>
      <c r="Q115" s="434" t="str">
        <f ca="1">IF(Equipements_SCL!AA59&lt;&gt;"",Equipements_SCL!AM59,"")</f>
        <v/>
      </c>
      <c r="R115" s="434" t="str">
        <f ca="1">IF(Equipements_SCL!AB59&lt;&gt;"",Equipements_SCL!AN59,"")</f>
        <v/>
      </c>
      <c r="S115" s="434" t="str">
        <f ca="1">IF(Equipements_SCL!AC59&lt;&gt;"",Equipements_SCL!AO59,"")</f>
        <v/>
      </c>
      <c r="T115" s="434" t="str">
        <f ca="1">IF(Equipements_SCL!AD59&lt;&gt;"",Equipements_SCL!AP59,"")</f>
        <v/>
      </c>
      <c r="U115" s="434" t="str">
        <f ca="1">IF(Equipements_SCL!AE59&lt;&gt;"",Equipements_SCL!AQ59,"")</f>
        <v/>
      </c>
      <c r="V115" s="434" t="str">
        <f ca="1">IF(Equipements_SCL!AF59&lt;&gt;"",Equipements_SCL!AR59,"")</f>
        <v/>
      </c>
      <c r="W115" s="434" t="str">
        <f ca="1">IF(Equipements_SCL!AG59&lt;&gt;"",Equipements_SCL!AS59,"")</f>
        <v/>
      </c>
      <c r="X115" s="485" t="str">
        <f ca="1">IF(Equipements_SCL!AH59&lt;&gt;"",Equipements_SCL!AT59,"")</f>
        <v/>
      </c>
      <c r="Y115" s="329"/>
      <c r="Z115" s="329"/>
      <c r="AA115" s="346"/>
      <c r="AB115" s="323"/>
    </row>
    <row r="116" spans="2:28" ht="20.100000000000001" customHeight="1" outlineLevel="1" x14ac:dyDescent="0.4">
      <c r="B116" s="328"/>
      <c r="C116" s="345"/>
      <c r="D116" s="766" t="str">
        <f ca="1">Equipements_SCL!H60</f>
        <v/>
      </c>
      <c r="E116" s="767"/>
      <c r="F116" s="431" t="str">
        <f ca="1">Equipements_SCL!I60</f>
        <v/>
      </c>
      <c r="G116" s="432" t="str">
        <f ca="1">Equipements_SCL!M60</f>
        <v/>
      </c>
      <c r="H116" s="768" t="str">
        <f ca="1">Equipements_SCL!J60</f>
        <v/>
      </c>
      <c r="I116" s="769"/>
      <c r="J116" s="768" t="str">
        <f ca="1">Equipements_SCL!K60</f>
        <v/>
      </c>
      <c r="K116" s="770"/>
      <c r="L116" s="770"/>
      <c r="M116" s="770"/>
      <c r="N116" s="433" t="str">
        <f ca="1">Equipements_SCL!P60</f>
        <v/>
      </c>
      <c r="O116" s="434" t="str">
        <f ca="1">IF(Equipements_SCL!Y60&lt;&gt;"",Equipements_SCL!AK60,"")</f>
        <v/>
      </c>
      <c r="P116" s="434" t="str">
        <f ca="1">IF(Equipements_SCL!Z60&lt;&gt;"",Equipements_SCL!AL60,"")</f>
        <v/>
      </c>
      <c r="Q116" s="434" t="str">
        <f ca="1">IF(Equipements_SCL!AA60&lt;&gt;"",Equipements_SCL!AM60,"")</f>
        <v/>
      </c>
      <c r="R116" s="434" t="str">
        <f ca="1">IF(Equipements_SCL!AB60&lt;&gt;"",Equipements_SCL!AN60,"")</f>
        <v/>
      </c>
      <c r="S116" s="434" t="str">
        <f ca="1">IF(Equipements_SCL!AC60&lt;&gt;"",Equipements_SCL!AO60,"")</f>
        <v/>
      </c>
      <c r="T116" s="434" t="str">
        <f ca="1">IF(Equipements_SCL!AD60&lt;&gt;"",Equipements_SCL!AP60,"")</f>
        <v/>
      </c>
      <c r="U116" s="434" t="str">
        <f ca="1">IF(Equipements_SCL!AE60&lt;&gt;"",Equipements_SCL!AQ60,"")</f>
        <v/>
      </c>
      <c r="V116" s="434" t="str">
        <f ca="1">IF(Equipements_SCL!AF60&lt;&gt;"",Equipements_SCL!AR60,"")</f>
        <v/>
      </c>
      <c r="W116" s="434" t="str">
        <f ca="1">IF(Equipements_SCL!AG60&lt;&gt;"",Equipements_SCL!AS60,"")</f>
        <v/>
      </c>
      <c r="X116" s="485" t="str">
        <f ca="1">IF(Equipements_SCL!AH60&lt;&gt;"",Equipements_SCL!AT60,"")</f>
        <v/>
      </c>
      <c r="Y116" s="329"/>
      <c r="Z116" s="329"/>
      <c r="AA116" s="346"/>
      <c r="AB116" s="323"/>
    </row>
    <row r="117" spans="2:28" ht="20.100000000000001" customHeight="1" outlineLevel="1" x14ac:dyDescent="0.4">
      <c r="B117" s="328"/>
      <c r="C117" s="345"/>
      <c r="D117" s="766" t="str">
        <f ca="1">Equipements_SCL!H61</f>
        <v/>
      </c>
      <c r="E117" s="767"/>
      <c r="F117" s="431" t="str">
        <f ca="1">Equipements_SCL!I61</f>
        <v/>
      </c>
      <c r="G117" s="432" t="str">
        <f ca="1">Equipements_SCL!M61</f>
        <v/>
      </c>
      <c r="H117" s="768" t="str">
        <f ca="1">Equipements_SCL!J61</f>
        <v/>
      </c>
      <c r="I117" s="769"/>
      <c r="J117" s="768" t="str">
        <f ca="1">Equipements_SCL!K61</f>
        <v/>
      </c>
      <c r="K117" s="770"/>
      <c r="L117" s="770"/>
      <c r="M117" s="770"/>
      <c r="N117" s="433" t="str">
        <f ca="1">Equipements_SCL!P61</f>
        <v/>
      </c>
      <c r="O117" s="434" t="str">
        <f ca="1">IF(Equipements_SCL!Y61&lt;&gt;"",Equipements_SCL!AK61,"")</f>
        <v/>
      </c>
      <c r="P117" s="434" t="str">
        <f ca="1">IF(Equipements_SCL!Z61&lt;&gt;"",Equipements_SCL!AL61,"")</f>
        <v/>
      </c>
      <c r="Q117" s="434" t="str">
        <f ca="1">IF(Equipements_SCL!AA61&lt;&gt;"",Equipements_SCL!AM61,"")</f>
        <v/>
      </c>
      <c r="R117" s="434" t="str">
        <f ca="1">IF(Equipements_SCL!AB61&lt;&gt;"",Equipements_SCL!AN61,"")</f>
        <v/>
      </c>
      <c r="S117" s="434" t="str">
        <f ca="1">IF(Equipements_SCL!AC61&lt;&gt;"",Equipements_SCL!AO61,"")</f>
        <v/>
      </c>
      <c r="T117" s="434" t="str">
        <f ca="1">IF(Equipements_SCL!AD61&lt;&gt;"",Equipements_SCL!AP61,"")</f>
        <v/>
      </c>
      <c r="U117" s="434" t="str">
        <f ca="1">IF(Equipements_SCL!AE61&lt;&gt;"",Equipements_SCL!AQ61,"")</f>
        <v/>
      </c>
      <c r="V117" s="434" t="str">
        <f ca="1">IF(Equipements_SCL!AF61&lt;&gt;"",Equipements_SCL!AR61,"")</f>
        <v/>
      </c>
      <c r="W117" s="434" t="str">
        <f ca="1">IF(Equipements_SCL!AG61&lt;&gt;"",Equipements_SCL!AS61,"")</f>
        <v/>
      </c>
      <c r="X117" s="485" t="str">
        <f ca="1">IF(Equipements_SCL!AH61&lt;&gt;"",Equipements_SCL!AT61,"")</f>
        <v/>
      </c>
      <c r="Y117" s="329"/>
      <c r="Z117" s="329"/>
      <c r="AA117" s="346"/>
      <c r="AB117" s="323"/>
    </row>
    <row r="118" spans="2:28" ht="20.100000000000001" customHeight="1" outlineLevel="1" x14ac:dyDescent="0.4">
      <c r="B118" s="328"/>
      <c r="C118" s="345"/>
      <c r="D118" s="766" t="str">
        <f ca="1">Equipements_SCL!H62</f>
        <v/>
      </c>
      <c r="E118" s="767"/>
      <c r="F118" s="431" t="str">
        <f ca="1">Equipements_SCL!I62</f>
        <v/>
      </c>
      <c r="G118" s="432" t="str">
        <f ca="1">Equipements_SCL!M62</f>
        <v/>
      </c>
      <c r="H118" s="768" t="str">
        <f ca="1">Equipements_SCL!J62</f>
        <v/>
      </c>
      <c r="I118" s="769"/>
      <c r="J118" s="768" t="str">
        <f ca="1">Equipements_SCL!K62</f>
        <v/>
      </c>
      <c r="K118" s="770"/>
      <c r="L118" s="770"/>
      <c r="M118" s="770"/>
      <c r="N118" s="433" t="str">
        <f ca="1">Equipements_SCL!P62</f>
        <v/>
      </c>
      <c r="O118" s="434" t="str">
        <f ca="1">IF(Equipements_SCL!Y62&lt;&gt;"",Equipements_SCL!AK62,"")</f>
        <v/>
      </c>
      <c r="P118" s="434" t="str">
        <f ca="1">IF(Equipements_SCL!Z62&lt;&gt;"",Equipements_SCL!AL62,"")</f>
        <v/>
      </c>
      <c r="Q118" s="434" t="str">
        <f ca="1">IF(Equipements_SCL!AA62&lt;&gt;"",Equipements_SCL!AM62,"")</f>
        <v/>
      </c>
      <c r="R118" s="434" t="str">
        <f ca="1">IF(Equipements_SCL!AB62&lt;&gt;"",Equipements_SCL!AN62,"")</f>
        <v/>
      </c>
      <c r="S118" s="434" t="str">
        <f ca="1">IF(Equipements_SCL!AC62&lt;&gt;"",Equipements_SCL!AO62,"")</f>
        <v/>
      </c>
      <c r="T118" s="434" t="str">
        <f ca="1">IF(Equipements_SCL!AD62&lt;&gt;"",Equipements_SCL!AP62,"")</f>
        <v/>
      </c>
      <c r="U118" s="434" t="str">
        <f ca="1">IF(Equipements_SCL!AE62&lt;&gt;"",Equipements_SCL!AQ62,"")</f>
        <v/>
      </c>
      <c r="V118" s="434" t="str">
        <f ca="1">IF(Equipements_SCL!AF62&lt;&gt;"",Equipements_SCL!AR62,"")</f>
        <v/>
      </c>
      <c r="W118" s="434" t="str">
        <f ca="1">IF(Equipements_SCL!AG62&lt;&gt;"",Equipements_SCL!AS62,"")</f>
        <v/>
      </c>
      <c r="X118" s="485" t="str">
        <f ca="1">IF(Equipements_SCL!AH62&lt;&gt;"",Equipements_SCL!AT62,"")</f>
        <v/>
      </c>
      <c r="Y118" s="329"/>
      <c r="Z118" s="329"/>
      <c r="AA118" s="346"/>
      <c r="AB118" s="323"/>
    </row>
    <row r="119" spans="2:28" ht="20.100000000000001" customHeight="1" outlineLevel="1" x14ac:dyDescent="0.4">
      <c r="B119" s="328"/>
      <c r="C119" s="345"/>
      <c r="D119" s="766" t="str">
        <f ca="1">Equipements_SCL!H63</f>
        <v/>
      </c>
      <c r="E119" s="767"/>
      <c r="F119" s="431" t="str">
        <f ca="1">Equipements_SCL!I63</f>
        <v/>
      </c>
      <c r="G119" s="432" t="str">
        <f ca="1">Equipements_SCL!M63</f>
        <v/>
      </c>
      <c r="H119" s="768" t="str">
        <f ca="1">Equipements_SCL!J63</f>
        <v/>
      </c>
      <c r="I119" s="769"/>
      <c r="J119" s="768" t="str">
        <f ca="1">Equipements_SCL!K63</f>
        <v/>
      </c>
      <c r="K119" s="770"/>
      <c r="L119" s="770"/>
      <c r="M119" s="770"/>
      <c r="N119" s="433" t="str">
        <f ca="1">Equipements_SCL!P63</f>
        <v/>
      </c>
      <c r="O119" s="434" t="str">
        <f ca="1">IF(Equipements_SCL!Y63&lt;&gt;"",Equipements_SCL!AK63,"")</f>
        <v/>
      </c>
      <c r="P119" s="434" t="str">
        <f ca="1">IF(Equipements_SCL!Z63&lt;&gt;"",Equipements_SCL!AL63,"")</f>
        <v/>
      </c>
      <c r="Q119" s="434" t="str">
        <f ca="1">IF(Equipements_SCL!AA63&lt;&gt;"",Equipements_SCL!AM63,"")</f>
        <v/>
      </c>
      <c r="R119" s="434" t="str">
        <f ca="1">IF(Equipements_SCL!AB63&lt;&gt;"",Equipements_SCL!AN63,"")</f>
        <v/>
      </c>
      <c r="S119" s="434" t="str">
        <f ca="1">IF(Equipements_SCL!AC63&lt;&gt;"",Equipements_SCL!AO63,"")</f>
        <v/>
      </c>
      <c r="T119" s="434" t="str">
        <f ca="1">IF(Equipements_SCL!AD63&lt;&gt;"",Equipements_SCL!AP63,"")</f>
        <v/>
      </c>
      <c r="U119" s="434" t="str">
        <f ca="1">IF(Equipements_SCL!AE63&lt;&gt;"",Equipements_SCL!AQ63,"")</f>
        <v/>
      </c>
      <c r="V119" s="434" t="str">
        <f ca="1">IF(Equipements_SCL!AF63&lt;&gt;"",Equipements_SCL!AR63,"")</f>
        <v/>
      </c>
      <c r="W119" s="434" t="str">
        <f ca="1">IF(Equipements_SCL!AG63&lt;&gt;"",Equipements_SCL!AS63,"")</f>
        <v/>
      </c>
      <c r="X119" s="485" t="str">
        <f ca="1">IF(Equipements_SCL!AH63&lt;&gt;"",Equipements_SCL!AT63,"")</f>
        <v/>
      </c>
      <c r="Y119" s="329"/>
      <c r="Z119" s="329"/>
      <c r="AA119" s="346"/>
      <c r="AB119" s="323"/>
    </row>
    <row r="120" spans="2:28" ht="20.100000000000001" customHeight="1" outlineLevel="1" x14ac:dyDescent="0.4">
      <c r="B120" s="328"/>
      <c r="C120" s="345"/>
      <c r="D120" s="766" t="str">
        <f ca="1">Equipements_SCL!H64</f>
        <v/>
      </c>
      <c r="E120" s="767"/>
      <c r="F120" s="431" t="str">
        <f ca="1">Equipements_SCL!I64</f>
        <v/>
      </c>
      <c r="G120" s="432" t="str">
        <f ca="1">Equipements_SCL!M64</f>
        <v/>
      </c>
      <c r="H120" s="768" t="str">
        <f ca="1">Equipements_SCL!J64</f>
        <v/>
      </c>
      <c r="I120" s="769"/>
      <c r="J120" s="768" t="str">
        <f ca="1">Equipements_SCL!K64</f>
        <v/>
      </c>
      <c r="K120" s="770"/>
      <c r="L120" s="770"/>
      <c r="M120" s="770"/>
      <c r="N120" s="433" t="str">
        <f ca="1">Equipements_SCL!P64</f>
        <v/>
      </c>
      <c r="O120" s="434" t="str">
        <f ca="1">IF(Equipements_SCL!Y64&lt;&gt;"",Equipements_SCL!AK64,"")</f>
        <v/>
      </c>
      <c r="P120" s="434" t="str">
        <f ca="1">IF(Equipements_SCL!Z64&lt;&gt;"",Equipements_SCL!AL64,"")</f>
        <v/>
      </c>
      <c r="Q120" s="434" t="str">
        <f ca="1">IF(Equipements_SCL!AA64&lt;&gt;"",Equipements_SCL!AM64,"")</f>
        <v/>
      </c>
      <c r="R120" s="434" t="str">
        <f ca="1">IF(Equipements_SCL!AB64&lt;&gt;"",Equipements_SCL!AN64,"")</f>
        <v/>
      </c>
      <c r="S120" s="434" t="str">
        <f ca="1">IF(Equipements_SCL!AC64&lt;&gt;"",Equipements_SCL!AO64,"")</f>
        <v/>
      </c>
      <c r="T120" s="434" t="str">
        <f ca="1">IF(Equipements_SCL!AD64&lt;&gt;"",Equipements_SCL!AP64,"")</f>
        <v/>
      </c>
      <c r="U120" s="434" t="str">
        <f ca="1">IF(Equipements_SCL!AE64&lt;&gt;"",Equipements_SCL!AQ64,"")</f>
        <v/>
      </c>
      <c r="V120" s="434" t="str">
        <f ca="1">IF(Equipements_SCL!AF64&lt;&gt;"",Equipements_SCL!AR64,"")</f>
        <v/>
      </c>
      <c r="W120" s="434" t="str">
        <f ca="1">IF(Equipements_SCL!AG64&lt;&gt;"",Equipements_SCL!AS64,"")</f>
        <v/>
      </c>
      <c r="X120" s="485" t="str">
        <f ca="1">IF(Equipements_SCL!AH64&lt;&gt;"",Equipements_SCL!AT64,"")</f>
        <v/>
      </c>
      <c r="Y120" s="329"/>
      <c r="Z120" s="329"/>
      <c r="AA120" s="346"/>
      <c r="AB120" s="323"/>
    </row>
    <row r="121" spans="2:28" ht="20.100000000000001" customHeight="1" outlineLevel="1" thickBot="1" x14ac:dyDescent="0.45">
      <c r="B121" s="328"/>
      <c r="C121" s="345"/>
      <c r="D121" s="771" t="str">
        <f ca="1">Equipements_SCL!H65</f>
        <v/>
      </c>
      <c r="E121" s="772"/>
      <c r="F121" s="492" t="str">
        <f ca="1">Equipements_SCL!I65</f>
        <v/>
      </c>
      <c r="G121" s="493" t="str">
        <f ca="1">Equipements_SCL!M65</f>
        <v/>
      </c>
      <c r="H121" s="773" t="str">
        <f ca="1">Equipements_SCL!J65</f>
        <v/>
      </c>
      <c r="I121" s="774"/>
      <c r="J121" s="773" t="str">
        <f ca="1">Equipements_SCL!K65</f>
        <v/>
      </c>
      <c r="K121" s="775"/>
      <c r="L121" s="775"/>
      <c r="M121" s="775"/>
      <c r="N121" s="494" t="str">
        <f ca="1">Equipements_SCL!P65</f>
        <v/>
      </c>
      <c r="O121" s="495" t="str">
        <f ca="1">IF(Equipements_SCL!Y65&lt;&gt;"",Equipements_SCL!AK65,"")</f>
        <v/>
      </c>
      <c r="P121" s="495" t="str">
        <f ca="1">IF(Equipements_SCL!Z65&lt;&gt;"",Equipements_SCL!AL65,"")</f>
        <v/>
      </c>
      <c r="Q121" s="495" t="str">
        <f ca="1">IF(Equipements_SCL!AA65&lt;&gt;"",Equipements_SCL!AM65,"")</f>
        <v/>
      </c>
      <c r="R121" s="495" t="str">
        <f ca="1">IF(Equipements_SCL!AB65&lt;&gt;"",Equipements_SCL!AN65,"")</f>
        <v/>
      </c>
      <c r="S121" s="495" t="str">
        <f ca="1">IF(Equipements_SCL!AC65&lt;&gt;"",Equipements_SCL!AO65,"")</f>
        <v/>
      </c>
      <c r="T121" s="495" t="str">
        <f ca="1">IF(Equipements_SCL!AD65&lt;&gt;"",Equipements_SCL!AP65,"")</f>
        <v/>
      </c>
      <c r="U121" s="495" t="str">
        <f ca="1">IF(Equipements_SCL!AE65&lt;&gt;"",Equipements_SCL!AQ65,"")</f>
        <v/>
      </c>
      <c r="V121" s="495" t="str">
        <f ca="1">IF(Equipements_SCL!AF65&lt;&gt;"",Equipements_SCL!AR65,"")</f>
        <v/>
      </c>
      <c r="W121" s="495" t="str">
        <f ca="1">IF(Equipements_SCL!AG65&lt;&gt;"",Equipements_SCL!AS65,"")</f>
        <v/>
      </c>
      <c r="X121" s="496" t="str">
        <f ca="1">IF(Equipements_SCL!AH65&lt;&gt;"",Equipements_SCL!AT65,"")</f>
        <v/>
      </c>
      <c r="Y121" s="329"/>
      <c r="Z121" s="329"/>
      <c r="AA121" s="346"/>
      <c r="AB121" s="323"/>
    </row>
    <row r="122" spans="2:28" ht="20.100000000000001" customHeight="1" outlineLevel="1" thickBot="1" x14ac:dyDescent="0.45">
      <c r="B122" s="328"/>
      <c r="C122" s="342"/>
      <c r="D122" s="503" t="s">
        <v>552</v>
      </c>
      <c r="E122" s="343"/>
      <c r="F122" s="343"/>
      <c r="G122" s="343"/>
      <c r="H122" s="343"/>
      <c r="I122" s="343"/>
      <c r="J122" s="343"/>
      <c r="K122" s="343"/>
      <c r="L122" s="343"/>
      <c r="M122" s="343"/>
      <c r="N122" s="343"/>
      <c r="O122" s="343"/>
      <c r="P122" s="343"/>
      <c r="Q122" s="343"/>
      <c r="R122" s="343"/>
      <c r="S122" s="343"/>
      <c r="T122" s="343"/>
      <c r="U122" s="343"/>
      <c r="V122" s="343"/>
      <c r="W122" s="343"/>
      <c r="X122" s="759"/>
      <c r="Y122" s="759"/>
      <c r="Z122" s="759"/>
      <c r="AA122" s="344"/>
      <c r="AB122" s="323"/>
    </row>
    <row r="123" spans="2:28" ht="9.9499999999999993" customHeight="1" thickTop="1" x14ac:dyDescent="0.4">
      <c r="B123" s="319"/>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c r="AA123" s="320"/>
      <c r="AB123" s="321"/>
    </row>
  </sheetData>
  <sheetProtection algorithmName="SHA-512" hashValue="zosO5sJ86RgP/FOdoSDZSKHtvg5omqhyMkDtCMnQ19RW6hQPkmNOBRXrUaZ/WZQuABMbYxm4loQ59CpQL9WoJg==" saltValue="VgQKJosC7P5oxbPLIHwhjA==" spinCount="100000" sheet="1" objects="1" scenarios="1" formatRows="0"/>
  <mergeCells count="238">
    <mergeCell ref="V6:X6"/>
    <mergeCell ref="Y6:AA6"/>
    <mergeCell ref="C8:AA8"/>
    <mergeCell ref="C6:F6"/>
    <mergeCell ref="G6:I6"/>
    <mergeCell ref="J6:L6"/>
    <mergeCell ref="M6:O6"/>
    <mergeCell ref="C2:W2"/>
    <mergeCell ref="Y2:Z2"/>
    <mergeCell ref="C3:F3"/>
    <mergeCell ref="G3:I3"/>
    <mergeCell ref="J3:L3"/>
    <mergeCell ref="M3:O3"/>
    <mergeCell ref="P3:R3"/>
    <mergeCell ref="S3:U3"/>
    <mergeCell ref="V3:X3"/>
    <mergeCell ref="Y3:AA3"/>
    <mergeCell ref="V4:X4"/>
    <mergeCell ref="Y4:AA4"/>
    <mergeCell ref="C5:F5"/>
    <mergeCell ref="G5:I5"/>
    <mergeCell ref="J5:L5"/>
    <mergeCell ref="M5:O5"/>
    <mergeCell ref="P5:R5"/>
    <mergeCell ref="S5:U5"/>
    <mergeCell ref="V5:X5"/>
    <mergeCell ref="Y5:AA5"/>
    <mergeCell ref="C4:F4"/>
    <mergeCell ref="G4:I4"/>
    <mergeCell ref="J4:L4"/>
    <mergeCell ref="M4:O4"/>
    <mergeCell ref="P4:R4"/>
    <mergeCell ref="S4:U4"/>
    <mergeCell ref="P6:R6"/>
    <mergeCell ref="S6:U6"/>
    <mergeCell ref="D11:E17"/>
    <mergeCell ref="G12:J12"/>
    <mergeCell ref="K12:L12"/>
    <mergeCell ref="N20:Y20"/>
    <mergeCell ref="G21:H23"/>
    <mergeCell ref="I21:J21"/>
    <mergeCell ref="K21:L21"/>
    <mergeCell ref="N21:Y21"/>
    <mergeCell ref="I22:J22"/>
    <mergeCell ref="K22:L22"/>
    <mergeCell ref="N22:Y22"/>
    <mergeCell ref="I23:J23"/>
    <mergeCell ref="K23:L23"/>
    <mergeCell ref="N12:Y12"/>
    <mergeCell ref="G13:H13"/>
    <mergeCell ref="I13:J13"/>
    <mergeCell ref="K13:L13"/>
    <mergeCell ref="N13:Y16"/>
    <mergeCell ref="G14:H16"/>
    <mergeCell ref="I14:J14"/>
    <mergeCell ref="K14:L14"/>
    <mergeCell ref="I15:J15"/>
    <mergeCell ref="K15:L15"/>
    <mergeCell ref="I16:J16"/>
    <mergeCell ref="D62:E65"/>
    <mergeCell ref="F62:Z65"/>
    <mergeCell ref="N23:Y23"/>
    <mergeCell ref="G25:J25"/>
    <mergeCell ref="K25:L25"/>
    <mergeCell ref="N25:Y25"/>
    <mergeCell ref="G26:H28"/>
    <mergeCell ref="I26:J26"/>
    <mergeCell ref="K26:L26"/>
    <mergeCell ref="N26:Y26"/>
    <mergeCell ref="I27:J27"/>
    <mergeCell ref="K27:L27"/>
    <mergeCell ref="D19:E29"/>
    <mergeCell ref="G20:J20"/>
    <mergeCell ref="K20:L20"/>
    <mergeCell ref="N27:Y27"/>
    <mergeCell ref="I28:J28"/>
    <mergeCell ref="K28:L28"/>
    <mergeCell ref="N28:Y28"/>
    <mergeCell ref="K16:L16"/>
    <mergeCell ref="D72:E72"/>
    <mergeCell ref="H72:I72"/>
    <mergeCell ref="J72:M72"/>
    <mergeCell ref="D73:E73"/>
    <mergeCell ref="H73:I73"/>
    <mergeCell ref="J73:M73"/>
    <mergeCell ref="C68:AA68"/>
    <mergeCell ref="D70:M70"/>
    <mergeCell ref="N70:N71"/>
    <mergeCell ref="O70:X70"/>
    <mergeCell ref="D71:E71"/>
    <mergeCell ref="H71:I71"/>
    <mergeCell ref="J71:M71"/>
    <mergeCell ref="D76:E76"/>
    <mergeCell ref="H76:I76"/>
    <mergeCell ref="J76:M76"/>
    <mergeCell ref="D77:E77"/>
    <mergeCell ref="H77:I77"/>
    <mergeCell ref="J77:M77"/>
    <mergeCell ref="D74:E74"/>
    <mergeCell ref="H74:I74"/>
    <mergeCell ref="J74:M74"/>
    <mergeCell ref="D75:E75"/>
    <mergeCell ref="H75:I75"/>
    <mergeCell ref="J75:M75"/>
    <mergeCell ref="D80:E80"/>
    <mergeCell ref="H80:I80"/>
    <mergeCell ref="J80:M80"/>
    <mergeCell ref="D81:E81"/>
    <mergeCell ref="H81:I81"/>
    <mergeCell ref="J81:M81"/>
    <mergeCell ref="D78:E78"/>
    <mergeCell ref="H78:I78"/>
    <mergeCell ref="J78:M78"/>
    <mergeCell ref="D79:E79"/>
    <mergeCell ref="H79:I79"/>
    <mergeCell ref="J79:M79"/>
    <mergeCell ref="D84:E84"/>
    <mergeCell ref="H84:I84"/>
    <mergeCell ref="J84:M84"/>
    <mergeCell ref="D85:E85"/>
    <mergeCell ref="H85:I85"/>
    <mergeCell ref="J85:M85"/>
    <mergeCell ref="D82:E82"/>
    <mergeCell ref="H82:I82"/>
    <mergeCell ref="J82:M82"/>
    <mergeCell ref="D83:E83"/>
    <mergeCell ref="H83:I83"/>
    <mergeCell ref="J83:M83"/>
    <mergeCell ref="D88:E88"/>
    <mergeCell ref="H88:I88"/>
    <mergeCell ref="J88:M88"/>
    <mergeCell ref="D89:E89"/>
    <mergeCell ref="H89:I89"/>
    <mergeCell ref="J89:M89"/>
    <mergeCell ref="D86:E86"/>
    <mergeCell ref="H86:I86"/>
    <mergeCell ref="J86:M86"/>
    <mergeCell ref="D87:E87"/>
    <mergeCell ref="H87:I87"/>
    <mergeCell ref="J87:M87"/>
    <mergeCell ref="D92:E92"/>
    <mergeCell ref="H92:I92"/>
    <mergeCell ref="J92:M92"/>
    <mergeCell ref="D93:E93"/>
    <mergeCell ref="H93:I93"/>
    <mergeCell ref="J93:M93"/>
    <mergeCell ref="D90:E90"/>
    <mergeCell ref="H90:I90"/>
    <mergeCell ref="J90:M90"/>
    <mergeCell ref="D91:E91"/>
    <mergeCell ref="H91:I91"/>
    <mergeCell ref="J91:M91"/>
    <mergeCell ref="D96:E96"/>
    <mergeCell ref="H96:I96"/>
    <mergeCell ref="J96:M96"/>
    <mergeCell ref="D97:E97"/>
    <mergeCell ref="H97:I97"/>
    <mergeCell ref="J97:M97"/>
    <mergeCell ref="D94:E94"/>
    <mergeCell ref="H94:I94"/>
    <mergeCell ref="J94:M94"/>
    <mergeCell ref="D95:E95"/>
    <mergeCell ref="H95:I95"/>
    <mergeCell ref="J95:M95"/>
    <mergeCell ref="D100:E100"/>
    <mergeCell ref="H100:I100"/>
    <mergeCell ref="J100:M100"/>
    <mergeCell ref="D101:E101"/>
    <mergeCell ref="H101:I101"/>
    <mergeCell ref="J101:M101"/>
    <mergeCell ref="D98:E98"/>
    <mergeCell ref="H98:I98"/>
    <mergeCell ref="J98:M98"/>
    <mergeCell ref="D99:E99"/>
    <mergeCell ref="H99:I99"/>
    <mergeCell ref="J99:M99"/>
    <mergeCell ref="D104:E104"/>
    <mergeCell ref="H104:I104"/>
    <mergeCell ref="J104:M104"/>
    <mergeCell ref="D105:E105"/>
    <mergeCell ref="H105:I105"/>
    <mergeCell ref="J105:M105"/>
    <mergeCell ref="D102:E102"/>
    <mergeCell ref="H102:I102"/>
    <mergeCell ref="J102:M102"/>
    <mergeCell ref="D103:E103"/>
    <mergeCell ref="H103:I103"/>
    <mergeCell ref="J103:M103"/>
    <mergeCell ref="D108:E108"/>
    <mergeCell ref="H108:I108"/>
    <mergeCell ref="J108:M108"/>
    <mergeCell ref="D109:E109"/>
    <mergeCell ref="H109:I109"/>
    <mergeCell ref="J109:M109"/>
    <mergeCell ref="D106:E106"/>
    <mergeCell ref="H106:I106"/>
    <mergeCell ref="J106:M106"/>
    <mergeCell ref="D107:E107"/>
    <mergeCell ref="H107:I107"/>
    <mergeCell ref="J107:M107"/>
    <mergeCell ref="H115:I115"/>
    <mergeCell ref="J115:M115"/>
    <mergeCell ref="D112:E112"/>
    <mergeCell ref="H112:I112"/>
    <mergeCell ref="J112:M112"/>
    <mergeCell ref="D113:E113"/>
    <mergeCell ref="H113:I113"/>
    <mergeCell ref="J113:M113"/>
    <mergeCell ref="D110:E110"/>
    <mergeCell ref="H110:I110"/>
    <mergeCell ref="J110:M110"/>
    <mergeCell ref="D111:E111"/>
    <mergeCell ref="H111:I111"/>
    <mergeCell ref="J111:M111"/>
    <mergeCell ref="X122:Z122"/>
    <mergeCell ref="D31:E58"/>
    <mergeCell ref="D120:E120"/>
    <mergeCell ref="H120:I120"/>
    <mergeCell ref="J120:M120"/>
    <mergeCell ref="D121:E121"/>
    <mergeCell ref="H121:I121"/>
    <mergeCell ref="J121:M121"/>
    <mergeCell ref="D118:E118"/>
    <mergeCell ref="H118:I118"/>
    <mergeCell ref="J118:M118"/>
    <mergeCell ref="D119:E119"/>
    <mergeCell ref="H119:I119"/>
    <mergeCell ref="J119:M119"/>
    <mergeCell ref="D116:E116"/>
    <mergeCell ref="H116:I116"/>
    <mergeCell ref="J116:M116"/>
    <mergeCell ref="D117:E117"/>
    <mergeCell ref="H117:I117"/>
    <mergeCell ref="J117:M117"/>
    <mergeCell ref="D114:E114"/>
    <mergeCell ref="H114:I114"/>
    <mergeCell ref="J114:M114"/>
    <mergeCell ref="D115:E115"/>
  </mergeCells>
  <conditionalFormatting sqref="H33:M57">
    <cfRule type="cellIs" dxfId="54" priority="1" operator="greaterThan">
      <formula>99</formula>
    </cfRule>
    <cfRule type="cellIs" dxfId="53" priority="2" operator="between">
      <formula>70.1</formula>
      <formula>99</formula>
    </cfRule>
    <cfRule type="cellIs" dxfId="52" priority="3" operator="lessThanOrEqual">
      <formula>70</formula>
    </cfRule>
  </conditionalFormatting>
  <conditionalFormatting sqref="K21:K23">
    <cfRule type="cellIs" dxfId="51" priority="16" operator="greaterThan">
      <formula>99</formula>
    </cfRule>
    <cfRule type="cellIs" dxfId="50" priority="17" operator="between">
      <formula>70</formula>
      <formula>99</formula>
    </cfRule>
    <cfRule type="cellIs" dxfId="49" priority="18" operator="lessThan">
      <formula>70</formula>
    </cfRule>
  </conditionalFormatting>
  <conditionalFormatting sqref="K26:K28">
    <cfRule type="cellIs" dxfId="48" priority="7" operator="greaterThan">
      <formula>99</formula>
    </cfRule>
    <cfRule type="cellIs" dxfId="47" priority="8" operator="between">
      <formula>70</formula>
      <formula>99</formula>
    </cfRule>
    <cfRule type="cellIs" dxfId="46" priority="9" operator="lessThan">
      <formula>70</formula>
    </cfRule>
  </conditionalFormatting>
  <conditionalFormatting sqref="K13:L16">
    <cfRule type="containsText" dxfId="45" priority="22" operator="containsText" text="0,1">
      <formula>NOT(ISERROR(SEARCH("0,1",K13)))</formula>
    </cfRule>
    <cfRule type="containsText" dxfId="44" priority="23" operator="containsText" text="0">
      <formula>NOT(ISERROR(SEARCH("0",K13)))</formula>
    </cfRule>
  </conditionalFormatting>
  <conditionalFormatting sqref="N72:N121">
    <cfRule type="cellIs" dxfId="43" priority="19" operator="greaterThan">
      <formula>99</formula>
    </cfRule>
    <cfRule type="cellIs" dxfId="42" priority="20" operator="between">
      <formula>70.1</formula>
      <formula>99</formula>
    </cfRule>
    <cfRule type="cellIs" dxfId="41" priority="21" operator="lessThanOrEqual">
      <formula>70</formula>
    </cfRule>
  </conditionalFormatting>
  <conditionalFormatting sqref="O72:X121">
    <cfRule type="cellIs" dxfId="40" priority="12" operator="equal">
      <formula>0</formula>
    </cfRule>
    <cfRule type="cellIs" dxfId="39" priority="13" operator="greaterThan">
      <formula>0</formula>
    </cfRule>
  </conditionalFormatting>
  <dataValidations count="1">
    <dataValidation allowBlank="1" showInputMessage="1" showErrorMessage="1" promptTitle="Double click" prompt="Faite un double click pour exporter le rapport CDA" sqref="Y2:Z2" xr:uid="{EE23C2AA-FBD4-4149-B59A-40041CDDF707}"/>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B109"/>
  <sheetViews>
    <sheetView topLeftCell="A28" zoomScale="73" zoomScaleNormal="73" workbookViewId="0">
      <selection activeCell="G58" sqref="G58"/>
    </sheetView>
  </sheetViews>
  <sheetFormatPr baseColWidth="10" defaultColWidth="11.41015625" defaultRowHeight="20.100000000000001" customHeight="1" outlineLevelRow="1" x14ac:dyDescent="0.4"/>
  <cols>
    <col min="1" max="2" width="2.703125" style="312" customWidth="1"/>
    <col min="3" max="3" width="3.703125" style="312" customWidth="1"/>
    <col min="4" max="27" width="12.703125" style="312" customWidth="1"/>
    <col min="28" max="29" width="2.703125" style="312" customWidth="1"/>
    <col min="30" max="33" width="11.41015625" style="312"/>
    <col min="34" max="35" width="16.41015625" style="312" customWidth="1"/>
    <col min="36" max="36" width="18.1171875" style="312" customWidth="1"/>
    <col min="37" max="37" width="16.41015625" style="312" customWidth="1"/>
    <col min="38" max="41" width="12.703125" style="312" customWidth="1"/>
    <col min="42" max="16384" width="11.41015625" style="312"/>
  </cols>
  <sheetData>
    <row r="1" spans="2:28" ht="9.9499999999999993" customHeight="1" thickBot="1" x14ac:dyDescent="0.45">
      <c r="B1" s="325"/>
      <c r="C1" s="326"/>
      <c r="D1" s="326"/>
      <c r="E1" s="326"/>
      <c r="F1" s="326"/>
      <c r="G1" s="326"/>
      <c r="H1" s="326"/>
      <c r="I1" s="326"/>
      <c r="J1" s="326"/>
      <c r="K1" s="326"/>
      <c r="L1" s="326"/>
      <c r="M1" s="326"/>
      <c r="N1" s="326"/>
      <c r="O1" s="326"/>
      <c r="P1" s="326"/>
      <c r="Q1" s="326"/>
      <c r="R1" s="326"/>
      <c r="S1" s="326"/>
      <c r="T1" s="326"/>
      <c r="U1" s="326"/>
      <c r="V1" s="326"/>
      <c r="W1" s="326"/>
      <c r="X1" s="326"/>
      <c r="Y1" s="326"/>
      <c r="Z1" s="326"/>
      <c r="AA1" s="326"/>
      <c r="AB1" s="327"/>
    </row>
    <row r="2" spans="2:28" ht="66.95" customHeight="1" thickTop="1" thickBot="1" x14ac:dyDescent="0.45">
      <c r="B2" s="328"/>
      <c r="C2" s="900" t="s">
        <v>363</v>
      </c>
      <c r="D2" s="901"/>
      <c r="E2" s="901"/>
      <c r="F2" s="901"/>
      <c r="G2" s="901"/>
      <c r="H2" s="901"/>
      <c r="I2" s="901"/>
      <c r="J2" s="901"/>
      <c r="K2" s="901"/>
      <c r="L2" s="901"/>
      <c r="M2" s="901"/>
      <c r="N2" s="901"/>
      <c r="O2" s="901"/>
      <c r="P2" s="901"/>
      <c r="Q2" s="901"/>
      <c r="R2" s="901"/>
      <c r="S2" s="901"/>
      <c r="T2" s="901"/>
      <c r="U2" s="901"/>
      <c r="V2" s="901"/>
      <c r="W2" s="901"/>
      <c r="X2" s="426"/>
      <c r="Y2" s="902" t="s">
        <v>521</v>
      </c>
      <c r="Z2" s="903"/>
      <c r="AA2" s="427"/>
      <c r="AB2" s="323"/>
    </row>
    <row r="3" spans="2:28" ht="20.100000000000001" customHeight="1" x14ac:dyDescent="0.4">
      <c r="B3" s="328"/>
      <c r="C3" s="904" t="s">
        <v>461</v>
      </c>
      <c r="D3" s="905"/>
      <c r="E3" s="905"/>
      <c r="F3" s="906"/>
      <c r="G3" s="884" t="str">
        <f>IF(ISBLANK(Descriptif!F3),"",Descriptif!F3)</f>
        <v/>
      </c>
      <c r="H3" s="885"/>
      <c r="I3" s="886"/>
      <c r="J3" s="693" t="s">
        <v>469</v>
      </c>
      <c r="K3" s="686"/>
      <c r="L3" s="687"/>
      <c r="M3" s="884" t="str">
        <f>IF(ISBLANK(Descriptif!L3),"",Descriptif!L3)</f>
        <v/>
      </c>
      <c r="N3" s="885"/>
      <c r="O3" s="886"/>
      <c r="P3" s="693" t="s">
        <v>470</v>
      </c>
      <c r="Q3" s="686"/>
      <c r="R3" s="687"/>
      <c r="S3" s="884" t="str">
        <f>IF(ISBLANK(Descriptif!Q3),"",Descriptif!Q3)</f>
        <v/>
      </c>
      <c r="T3" s="885"/>
      <c r="U3" s="886"/>
      <c r="V3" s="693" t="s">
        <v>494</v>
      </c>
      <c r="W3" s="686"/>
      <c r="X3" s="687"/>
      <c r="Y3" s="907" t="str">
        <f>IF(ISBLANK(Descriptif!U3),"",Descriptif!U3)</f>
        <v/>
      </c>
      <c r="Z3" s="908"/>
      <c r="AA3" s="909"/>
      <c r="AB3" s="323"/>
    </row>
    <row r="4" spans="2:28" ht="20.100000000000001" customHeight="1" x14ac:dyDescent="0.4">
      <c r="B4" s="328"/>
      <c r="C4" s="890" t="s">
        <v>473</v>
      </c>
      <c r="D4" s="891"/>
      <c r="E4" s="891"/>
      <c r="F4" s="892"/>
      <c r="G4" s="884" t="str">
        <f>IF(ISBLANK(Descriptif!F4),"",Descriptif!F4)</f>
        <v/>
      </c>
      <c r="H4" s="885"/>
      <c r="I4" s="886"/>
      <c r="J4" s="693" t="s">
        <v>463</v>
      </c>
      <c r="K4" s="686"/>
      <c r="L4" s="687"/>
      <c r="M4" s="884" t="str">
        <f>IF(ISBLANK(Descriptif!L4),"",Descriptif!L4)</f>
        <v/>
      </c>
      <c r="N4" s="885"/>
      <c r="O4" s="886"/>
      <c r="P4" s="693" t="s">
        <v>477</v>
      </c>
      <c r="Q4" s="686"/>
      <c r="R4" s="687"/>
      <c r="S4" s="884" t="str">
        <f>IF(ISBLANK(Descriptif!Q4),"",Descriptif!Q4)</f>
        <v/>
      </c>
      <c r="T4" s="885"/>
      <c r="U4" s="886"/>
      <c r="V4" s="693" t="s">
        <v>471</v>
      </c>
      <c r="W4" s="686"/>
      <c r="X4" s="687"/>
      <c r="Y4" s="884" t="str">
        <f>IF(ISBLANK(Descriptif!U4),"",Descriptif!U4)</f>
        <v/>
      </c>
      <c r="Z4" s="885"/>
      <c r="AA4" s="909"/>
      <c r="AB4" s="323"/>
    </row>
    <row r="5" spans="2:28" ht="30" customHeight="1" x14ac:dyDescent="0.4">
      <c r="B5" s="328"/>
      <c r="C5" s="890" t="s">
        <v>495</v>
      </c>
      <c r="D5" s="891"/>
      <c r="E5" s="891"/>
      <c r="F5" s="892"/>
      <c r="G5" s="884" t="str">
        <f>IF(ISBLANK(Descriptif!F5),"",Descriptif!F5)</f>
        <v/>
      </c>
      <c r="H5" s="885"/>
      <c r="I5" s="886"/>
      <c r="J5" s="693" t="s">
        <v>464</v>
      </c>
      <c r="K5" s="686"/>
      <c r="L5" s="687"/>
      <c r="M5" s="884" t="str">
        <f>IF(ISBLANK(Descriptif!L5),"",Descriptif!L5)</f>
        <v/>
      </c>
      <c r="N5" s="885"/>
      <c r="O5" s="886"/>
      <c r="P5" s="693" t="s">
        <v>500</v>
      </c>
      <c r="Q5" s="686"/>
      <c r="R5" s="687"/>
      <c r="S5" s="884" t="str">
        <f>IF(ISBLANK(Descriptif!Q5),"",Descriptif!Q5)</f>
        <v/>
      </c>
      <c r="T5" s="885"/>
      <c r="U5" s="886"/>
      <c r="V5" s="693" t="s">
        <v>467</v>
      </c>
      <c r="W5" s="686"/>
      <c r="X5" s="687"/>
      <c r="Y5" s="887" t="str">
        <f>IF(ISBLANK(Descriptif!U5),"",Descriptif!U5)</f>
        <v/>
      </c>
      <c r="Z5" s="888"/>
      <c r="AA5" s="889"/>
      <c r="AB5" s="323"/>
    </row>
    <row r="6" spans="2:28" ht="20.100000000000001" customHeight="1" thickBot="1" x14ac:dyDescent="0.45">
      <c r="B6" s="328"/>
      <c r="C6" s="897" t="s">
        <v>462</v>
      </c>
      <c r="D6" s="898"/>
      <c r="E6" s="898"/>
      <c r="F6" s="899"/>
      <c r="G6" s="842" t="str">
        <f>IF(ISBLANK(Descriptif!F6),"",Descriptif!F6)</f>
        <v/>
      </c>
      <c r="H6" s="843"/>
      <c r="I6" s="844"/>
      <c r="J6" s="697" t="s">
        <v>501</v>
      </c>
      <c r="K6" s="698"/>
      <c r="L6" s="699"/>
      <c r="M6" s="842" t="str">
        <f>IF(ISBLANK(Descriptif!L6),"",Descriptif!L6)</f>
        <v/>
      </c>
      <c r="N6" s="843"/>
      <c r="O6" s="844"/>
      <c r="P6" s="697" t="s">
        <v>499</v>
      </c>
      <c r="Q6" s="698"/>
      <c r="R6" s="699"/>
      <c r="S6" s="842" t="str">
        <f>IF(ISBLANK(Descriptif!Q6),"",Descriptif!Q6)</f>
        <v/>
      </c>
      <c r="T6" s="843"/>
      <c r="U6" s="844"/>
      <c r="V6" s="710" t="s">
        <v>498</v>
      </c>
      <c r="W6" s="711"/>
      <c r="X6" s="893"/>
      <c r="Y6" s="894" t="str">
        <f>IF(ISBLANK(Descriptif!U6),"",Descriptif!U6)</f>
        <v/>
      </c>
      <c r="Z6" s="895"/>
      <c r="AA6" s="896"/>
      <c r="AB6" s="323"/>
    </row>
    <row r="7" spans="2:28" ht="20.100000000000001" customHeight="1" thickTop="1" thickBot="1" x14ac:dyDescent="0.45">
      <c r="B7" s="328"/>
      <c r="C7" s="329"/>
      <c r="D7" s="329"/>
      <c r="E7" s="329"/>
      <c r="F7" s="329"/>
      <c r="G7" s="329"/>
      <c r="H7" s="329"/>
      <c r="I7" s="329"/>
      <c r="J7" s="329"/>
      <c r="K7" s="329"/>
      <c r="L7" s="329"/>
      <c r="M7" s="329"/>
      <c r="N7" s="329"/>
      <c r="O7" s="329"/>
      <c r="P7" s="329"/>
      <c r="Q7" s="329"/>
      <c r="R7" s="329"/>
      <c r="S7" s="329"/>
      <c r="T7" s="329"/>
      <c r="U7" s="329"/>
      <c r="V7" s="329"/>
      <c r="W7" s="329"/>
      <c r="X7" s="329"/>
      <c r="Y7" s="329"/>
      <c r="Z7" s="329"/>
      <c r="AA7" s="329"/>
      <c r="AB7" s="323"/>
    </row>
    <row r="8" spans="2:28" ht="20.100000000000001" customHeight="1" thickTop="1" thickBot="1" x14ac:dyDescent="0.45">
      <c r="B8" s="328"/>
      <c r="C8" s="716" t="s">
        <v>513</v>
      </c>
      <c r="D8" s="717"/>
      <c r="E8" s="717"/>
      <c r="F8" s="717"/>
      <c r="G8" s="717"/>
      <c r="H8" s="717"/>
      <c r="I8" s="717"/>
      <c r="J8" s="717"/>
      <c r="K8" s="717"/>
      <c r="L8" s="717"/>
      <c r="M8" s="717"/>
      <c r="N8" s="717"/>
      <c r="O8" s="717"/>
      <c r="P8" s="717"/>
      <c r="Q8" s="717"/>
      <c r="R8" s="717"/>
      <c r="S8" s="717"/>
      <c r="T8" s="717"/>
      <c r="U8" s="717"/>
      <c r="V8" s="717"/>
      <c r="W8" s="717"/>
      <c r="X8" s="717"/>
      <c r="Y8" s="717"/>
      <c r="Z8" s="717"/>
      <c r="AA8" s="718"/>
      <c r="AB8" s="317"/>
    </row>
    <row r="9" spans="2:28" ht="20.100000000000001" customHeight="1" outlineLevel="1" thickTop="1" thickBot="1" x14ac:dyDescent="0.45">
      <c r="B9" s="328"/>
      <c r="C9" s="345"/>
      <c r="D9" s="329"/>
      <c r="E9" s="329"/>
      <c r="F9" s="329"/>
      <c r="G9" s="329"/>
      <c r="H9" s="329"/>
      <c r="I9" s="329"/>
      <c r="J9" s="329"/>
      <c r="K9" s="329"/>
      <c r="L9" s="329"/>
      <c r="M9" s="329"/>
      <c r="N9" s="329"/>
      <c r="O9" s="329"/>
      <c r="P9" s="329"/>
      <c r="Q9" s="329"/>
      <c r="R9" s="329"/>
      <c r="S9" s="329"/>
      <c r="T9" s="329"/>
      <c r="U9" s="329"/>
      <c r="V9" s="329"/>
      <c r="W9" s="329"/>
      <c r="X9" s="329"/>
      <c r="Y9" s="329"/>
      <c r="Z9" s="329"/>
      <c r="AA9" s="346"/>
      <c r="AB9" s="323"/>
    </row>
    <row r="10" spans="2:28" ht="20.100000000000001" customHeight="1" outlineLevel="1" thickBot="1" x14ac:dyDescent="0.45">
      <c r="B10" s="328"/>
      <c r="C10" s="345"/>
      <c r="D10" s="760" t="s">
        <v>506</v>
      </c>
      <c r="E10" s="791"/>
      <c r="F10" s="352"/>
      <c r="G10" s="402"/>
      <c r="H10" s="352"/>
      <c r="I10" s="352"/>
      <c r="J10" s="352"/>
      <c r="K10" s="352"/>
      <c r="L10" s="352"/>
      <c r="M10" s="352"/>
      <c r="N10" s="352"/>
      <c r="O10" s="352"/>
      <c r="P10" s="352"/>
      <c r="Q10" s="352"/>
      <c r="R10" s="352"/>
      <c r="S10" s="352"/>
      <c r="T10" s="352"/>
      <c r="U10" s="352"/>
      <c r="V10" s="339"/>
      <c r="W10" s="352"/>
      <c r="X10" s="352"/>
      <c r="Y10" s="352"/>
      <c r="Z10" s="348"/>
      <c r="AA10" s="346"/>
      <c r="AB10" s="317"/>
    </row>
    <row r="11" spans="2:28" ht="20.100000000000001" customHeight="1" outlineLevel="1" thickBot="1" x14ac:dyDescent="0.45">
      <c r="B11" s="328"/>
      <c r="C11" s="345"/>
      <c r="D11" s="762"/>
      <c r="E11" s="792"/>
      <c r="F11" s="329"/>
      <c r="G11" s="970" t="s">
        <v>502</v>
      </c>
      <c r="H11" s="971"/>
      <c r="I11" s="971"/>
      <c r="J11" s="454" t="s">
        <v>30</v>
      </c>
      <c r="K11" s="353"/>
      <c r="L11" s="915" t="s">
        <v>503</v>
      </c>
      <c r="M11" s="916"/>
      <c r="N11" s="916"/>
      <c r="O11" s="454" t="s">
        <v>30</v>
      </c>
      <c r="P11" s="428"/>
      <c r="Q11" s="915" t="s">
        <v>504</v>
      </c>
      <c r="R11" s="916"/>
      <c r="S11" s="916"/>
      <c r="T11" s="454" t="s">
        <v>30</v>
      </c>
      <c r="U11" s="428"/>
      <c r="V11" s="915" t="s">
        <v>547</v>
      </c>
      <c r="W11" s="916"/>
      <c r="X11" s="916"/>
      <c r="Y11" s="454" t="s">
        <v>30</v>
      </c>
      <c r="Z11" s="349"/>
      <c r="AA11" s="346"/>
      <c r="AB11" s="323"/>
    </row>
    <row r="12" spans="2:28" ht="20.100000000000001" customHeight="1" outlineLevel="1" thickBot="1" x14ac:dyDescent="0.45">
      <c r="B12" s="328"/>
      <c r="C12" s="345"/>
      <c r="D12" s="762"/>
      <c r="E12" s="792"/>
      <c r="F12" s="329"/>
      <c r="G12" s="960" t="s">
        <v>0</v>
      </c>
      <c r="H12" s="961"/>
      <c r="I12" s="961"/>
      <c r="J12" s="457" t="str">
        <f ca="1">Recap_equipements!E63</f>
        <v/>
      </c>
      <c r="K12" s="353"/>
      <c r="L12" s="931" t="s">
        <v>3</v>
      </c>
      <c r="M12" s="932"/>
      <c r="N12" s="932"/>
      <c r="O12" s="459" t="str">
        <f ca="1">Recap_equipements!E75</f>
        <v/>
      </c>
      <c r="P12" s="353"/>
      <c r="Q12" s="931" t="s">
        <v>8</v>
      </c>
      <c r="R12" s="932"/>
      <c r="S12" s="932"/>
      <c r="T12" s="460" t="str">
        <f ca="1">Recap_equipements!E87</f>
        <v/>
      </c>
      <c r="U12" s="428"/>
      <c r="V12" s="917" t="s">
        <v>546</v>
      </c>
      <c r="W12" s="918"/>
      <c r="X12" s="918"/>
      <c r="Y12" s="481" t="str">
        <f ca="1">Recap_equipements!E105</f>
        <v/>
      </c>
      <c r="Z12" s="349"/>
      <c r="AA12" s="346"/>
      <c r="AB12" s="323"/>
    </row>
    <row r="13" spans="2:28" ht="20.100000000000001" customHeight="1" outlineLevel="1" x14ac:dyDescent="0.4">
      <c r="B13" s="328"/>
      <c r="C13" s="345"/>
      <c r="D13" s="762"/>
      <c r="E13" s="792"/>
      <c r="F13" s="329"/>
      <c r="G13" s="964" t="s">
        <v>420</v>
      </c>
      <c r="H13" s="965"/>
      <c r="I13" s="965"/>
      <c r="J13" s="458" t="str">
        <f ca="1">IF(Recap_equipements!F65&lt;&gt;"",Recap_equipements!F65,"")</f>
        <v/>
      </c>
      <c r="K13" s="353"/>
      <c r="L13" s="964" t="s">
        <v>420</v>
      </c>
      <c r="M13" s="965"/>
      <c r="N13" s="965"/>
      <c r="O13" s="458" t="str">
        <f ca="1">IF(Recap_equipements!F77&lt;&gt;"",Recap_equipements!F77,"")</f>
        <v/>
      </c>
      <c r="P13" s="353"/>
      <c r="Q13" s="933" t="s">
        <v>420</v>
      </c>
      <c r="R13" s="934"/>
      <c r="S13" s="934"/>
      <c r="T13" s="458" t="str">
        <f ca="1">IF(Recap_equipements!F89&lt;&gt;"",Recap_equipements!F89,"")</f>
        <v/>
      </c>
      <c r="U13" s="428"/>
      <c r="V13" s="919" t="s">
        <v>420</v>
      </c>
      <c r="W13" s="920"/>
      <c r="X13" s="920"/>
      <c r="Y13" s="477" t="str">
        <f ca="1">IF(Recap_equipements!F107&lt;&gt;"",Recap_equipements!F107,"")</f>
        <v/>
      </c>
      <c r="Z13" s="349"/>
      <c r="AA13" s="346"/>
      <c r="AB13" s="323"/>
    </row>
    <row r="14" spans="2:28" ht="20.100000000000001" customHeight="1" outlineLevel="1" x14ac:dyDescent="0.4">
      <c r="B14" s="328"/>
      <c r="C14" s="345"/>
      <c r="D14" s="762"/>
      <c r="E14" s="792"/>
      <c r="F14" s="329"/>
      <c r="G14" s="966" t="s">
        <v>300</v>
      </c>
      <c r="H14" s="928"/>
      <c r="I14" s="928"/>
      <c r="J14" s="455" t="str">
        <f ca="1">IF(Recap_equipements!F66&lt;&gt;"",Recap_equipements!F66,"")</f>
        <v/>
      </c>
      <c r="K14" s="353"/>
      <c r="L14" s="966" t="s">
        <v>300</v>
      </c>
      <c r="M14" s="928"/>
      <c r="N14" s="928"/>
      <c r="O14" s="455" t="str">
        <f ca="1">IF(Recap_equipements!F78&lt;&gt;"",Recap_equipements!F78,"")</f>
        <v/>
      </c>
      <c r="P14" s="353"/>
      <c r="Q14" s="935" t="s">
        <v>300</v>
      </c>
      <c r="R14" s="922"/>
      <c r="S14" s="922"/>
      <c r="T14" s="455" t="str">
        <f ca="1">IF(Recap_equipements!F90&lt;&gt;"",Recap_equipements!F90,"")</f>
        <v/>
      </c>
      <c r="U14" s="428"/>
      <c r="V14" s="921" t="s">
        <v>300</v>
      </c>
      <c r="W14" s="922"/>
      <c r="X14" s="922"/>
      <c r="Y14" s="478" t="str">
        <f ca="1">IF(Recap_equipements!F108&lt;&gt;"",Recap_equipements!F108,"")</f>
        <v/>
      </c>
      <c r="Z14" s="349"/>
      <c r="AA14" s="346"/>
      <c r="AB14" s="323"/>
    </row>
    <row r="15" spans="2:28" ht="20.100000000000001" customHeight="1" outlineLevel="1" thickBot="1" x14ac:dyDescent="0.45">
      <c r="B15" s="328"/>
      <c r="C15" s="345"/>
      <c r="D15" s="762"/>
      <c r="E15" s="792"/>
      <c r="F15" s="329"/>
      <c r="G15" s="967" t="s">
        <v>412</v>
      </c>
      <c r="H15" s="968"/>
      <c r="I15" s="968"/>
      <c r="J15" s="456" t="str">
        <f ca="1">IF(Recap_equipements!F67&lt;&gt;"",Recap_equipements!F67,"")</f>
        <v/>
      </c>
      <c r="K15" s="353"/>
      <c r="L15" s="967" t="s">
        <v>412</v>
      </c>
      <c r="M15" s="968"/>
      <c r="N15" s="968"/>
      <c r="O15" s="456" t="str">
        <f ca="1">IF(Recap_equipements!F79&lt;&gt;"",Recap_equipements!F79,"")</f>
        <v/>
      </c>
      <c r="P15" s="353"/>
      <c r="Q15" s="936" t="s">
        <v>412</v>
      </c>
      <c r="R15" s="937"/>
      <c r="S15" s="937"/>
      <c r="T15" s="456" t="str">
        <f ca="1">IF(Recap_equipements!F91&lt;&gt;"",Recap_equipements!F91,"")</f>
        <v/>
      </c>
      <c r="U15" s="428"/>
      <c r="V15" s="923" t="s">
        <v>412</v>
      </c>
      <c r="W15" s="924"/>
      <c r="X15" s="924"/>
      <c r="Y15" s="479" t="str">
        <f ca="1">IF(Recap_equipements!F109&lt;&gt;"",Recap_equipements!F109,"")</f>
        <v/>
      </c>
      <c r="Z15" s="349"/>
      <c r="AA15" s="346"/>
      <c r="AB15" s="323"/>
    </row>
    <row r="16" spans="2:28" ht="20.100000000000001" customHeight="1" outlineLevel="1" thickBot="1" x14ac:dyDescent="0.45">
      <c r="B16" s="328"/>
      <c r="C16" s="345"/>
      <c r="D16" s="762"/>
      <c r="E16" s="792"/>
      <c r="F16" s="329"/>
      <c r="G16" s="917" t="s">
        <v>1</v>
      </c>
      <c r="H16" s="918"/>
      <c r="I16" s="918"/>
      <c r="J16" s="476" t="str">
        <f ca="1">Recap_equipements!E69</f>
        <v/>
      </c>
      <c r="K16" s="353"/>
      <c r="L16" s="917" t="s">
        <v>4</v>
      </c>
      <c r="M16" s="918"/>
      <c r="N16" s="918"/>
      <c r="O16" s="480" t="str">
        <f ca="1">Recap_equipements!E81</f>
        <v/>
      </c>
      <c r="P16" s="353"/>
      <c r="Q16" s="917" t="s">
        <v>9</v>
      </c>
      <c r="R16" s="918"/>
      <c r="S16" s="918"/>
      <c r="T16" s="480" t="str">
        <f ca="1">Recap_equipements!E93</f>
        <v/>
      </c>
      <c r="U16" s="428"/>
      <c r="V16" s="428"/>
      <c r="W16" s="329"/>
      <c r="X16" s="329"/>
      <c r="Y16" s="329"/>
      <c r="Z16" s="349"/>
      <c r="AA16" s="346"/>
      <c r="AB16" s="323"/>
    </row>
    <row r="17" spans="2:28" ht="20.100000000000001" customHeight="1" outlineLevel="1" x14ac:dyDescent="0.4">
      <c r="B17" s="328"/>
      <c r="C17" s="345"/>
      <c r="D17" s="762"/>
      <c r="E17" s="792"/>
      <c r="F17" s="329"/>
      <c r="G17" s="925" t="s">
        <v>420</v>
      </c>
      <c r="H17" s="926"/>
      <c r="I17" s="926"/>
      <c r="J17" s="477" t="str">
        <f ca="1">IF(Recap_equipements!F71&lt;&gt;"",Recap_equipements!F71,"")</f>
        <v/>
      </c>
      <c r="K17" s="353"/>
      <c r="L17" s="925" t="s">
        <v>420</v>
      </c>
      <c r="M17" s="926"/>
      <c r="N17" s="926"/>
      <c r="O17" s="477" t="str">
        <f ca="1">IF(Recap_equipements!F83&lt;&gt;"",Recap_equipements!F83,"")</f>
        <v/>
      </c>
      <c r="P17" s="353"/>
      <c r="Q17" s="919" t="s">
        <v>420</v>
      </c>
      <c r="R17" s="920"/>
      <c r="S17" s="920"/>
      <c r="T17" s="477" t="str">
        <f ca="1">IF(Recap_equipements!F95&lt;&gt;"",Recap_equipements!F95,"")</f>
        <v/>
      </c>
      <c r="U17" s="428"/>
      <c r="V17" s="962" t="s">
        <v>100</v>
      </c>
      <c r="W17" s="962"/>
      <c r="X17" s="329"/>
      <c r="Y17" s="329"/>
      <c r="Z17" s="349"/>
      <c r="AA17" s="346"/>
      <c r="AB17" s="323"/>
    </row>
    <row r="18" spans="2:28" ht="20.100000000000001" customHeight="1" outlineLevel="1" x14ac:dyDescent="0.4">
      <c r="B18" s="328"/>
      <c r="C18" s="345"/>
      <c r="D18" s="762"/>
      <c r="E18" s="792"/>
      <c r="F18" s="329"/>
      <c r="G18" s="927" t="s">
        <v>300</v>
      </c>
      <c r="H18" s="928"/>
      <c r="I18" s="928"/>
      <c r="J18" s="478" t="str">
        <f ca="1">IF(Recap_equipements!F72&lt;&gt;"",Recap_equipements!F72,"")</f>
        <v/>
      </c>
      <c r="K18" s="353"/>
      <c r="L18" s="927" t="s">
        <v>300</v>
      </c>
      <c r="M18" s="928"/>
      <c r="N18" s="928"/>
      <c r="O18" s="478" t="str">
        <f ca="1">IF(Recap_equipements!F84&lt;&gt;"",Recap_equipements!F84,"")</f>
        <v/>
      </c>
      <c r="P18" s="353"/>
      <c r="Q18" s="921" t="s">
        <v>300</v>
      </c>
      <c r="R18" s="922"/>
      <c r="S18" s="922"/>
      <c r="T18" s="478" t="str">
        <f ca="1">IF(Recap_equipements!F96&lt;&gt;"",Recap_equipements!F96,"")</f>
        <v/>
      </c>
      <c r="U18" s="428"/>
      <c r="V18" s="963" t="s">
        <v>548</v>
      </c>
      <c r="W18" s="963"/>
      <c r="X18" s="329"/>
      <c r="Y18" s="329"/>
      <c r="Z18" s="349"/>
      <c r="AA18" s="346"/>
      <c r="AB18" s="323"/>
    </row>
    <row r="19" spans="2:28" ht="20.100000000000001" customHeight="1" outlineLevel="1" thickBot="1" x14ac:dyDescent="0.45">
      <c r="B19" s="328"/>
      <c r="C19" s="345"/>
      <c r="D19" s="762"/>
      <c r="E19" s="792"/>
      <c r="F19" s="329"/>
      <c r="G19" s="929" t="s">
        <v>412</v>
      </c>
      <c r="H19" s="930"/>
      <c r="I19" s="930"/>
      <c r="J19" s="479" t="str">
        <f ca="1">IF(Recap_equipements!F73&lt;&gt;"",Recap_equipements!F73,"")</f>
        <v/>
      </c>
      <c r="K19" s="353"/>
      <c r="L19" s="929" t="s">
        <v>412</v>
      </c>
      <c r="M19" s="930"/>
      <c r="N19" s="930"/>
      <c r="O19" s="479" t="str">
        <f ca="1">IF(Recap_equipements!F85&lt;&gt;"",Recap_equipements!F85,"")</f>
        <v/>
      </c>
      <c r="P19" s="353"/>
      <c r="Q19" s="923" t="s">
        <v>412</v>
      </c>
      <c r="R19" s="924"/>
      <c r="S19" s="924"/>
      <c r="T19" s="479" t="str">
        <f ca="1">IF(Recap_equipements!F97&lt;&gt;"",Recap_equipements!F97,"")</f>
        <v/>
      </c>
      <c r="U19" s="353"/>
      <c r="V19" s="969" t="s">
        <v>61</v>
      </c>
      <c r="W19" s="969"/>
      <c r="X19" s="329"/>
      <c r="Y19" s="329"/>
      <c r="Z19" s="349"/>
      <c r="AA19" s="346"/>
      <c r="AB19" s="323"/>
    </row>
    <row r="20" spans="2:28" ht="20.100000000000001" customHeight="1" outlineLevel="1" thickBot="1" x14ac:dyDescent="0.45">
      <c r="B20" s="328"/>
      <c r="C20" s="345"/>
      <c r="D20" s="764"/>
      <c r="E20" s="793"/>
      <c r="F20" s="351"/>
      <c r="G20" s="429"/>
      <c r="H20" s="429"/>
      <c r="I20" s="429"/>
      <c r="J20" s="429"/>
      <c r="K20" s="429"/>
      <c r="L20" s="429"/>
      <c r="M20" s="429"/>
      <c r="N20" s="429"/>
      <c r="O20" s="429"/>
      <c r="P20" s="429"/>
      <c r="Q20" s="429"/>
      <c r="R20" s="429"/>
      <c r="S20" s="429"/>
      <c r="T20" s="429"/>
      <c r="U20" s="429"/>
      <c r="V20" s="429"/>
      <c r="W20" s="351"/>
      <c r="X20" s="351"/>
      <c r="Y20" s="351"/>
      <c r="Z20" s="350"/>
      <c r="AA20" s="346"/>
      <c r="AB20" s="323"/>
    </row>
    <row r="21" spans="2:28" ht="20.100000000000001" customHeight="1" outlineLevel="1" thickBot="1" x14ac:dyDescent="0.45">
      <c r="B21" s="328"/>
      <c r="C21" s="345"/>
      <c r="D21" s="329"/>
      <c r="E21" s="329"/>
      <c r="F21" s="329"/>
      <c r="G21" s="329"/>
      <c r="H21" s="329"/>
      <c r="I21" s="329"/>
      <c r="J21" s="329"/>
      <c r="K21" s="329"/>
      <c r="L21" s="329"/>
      <c r="M21" s="329"/>
      <c r="N21" s="329"/>
      <c r="O21" s="329"/>
      <c r="P21" s="329"/>
      <c r="Q21" s="329"/>
      <c r="R21" s="329"/>
      <c r="S21" s="329"/>
      <c r="T21" s="329"/>
      <c r="U21" s="329"/>
      <c r="V21" s="329"/>
      <c r="W21" s="329"/>
      <c r="X21" s="329"/>
      <c r="Y21" s="329"/>
      <c r="Z21" s="329"/>
      <c r="AA21" s="346"/>
      <c r="AB21" s="323"/>
    </row>
    <row r="22" spans="2:28" ht="20.100000000000001" customHeight="1" outlineLevel="1" thickBot="1" x14ac:dyDescent="0.6">
      <c r="B22" s="328"/>
      <c r="C22" s="345"/>
      <c r="D22" s="760" t="s">
        <v>507</v>
      </c>
      <c r="E22" s="791"/>
      <c r="F22" s="352"/>
      <c r="G22" s="352"/>
      <c r="H22" s="352"/>
      <c r="I22" s="352"/>
      <c r="J22" s="352"/>
      <c r="K22" s="352"/>
      <c r="L22" s="352"/>
      <c r="M22" s="352"/>
      <c r="N22" s="339"/>
      <c r="O22" s="339"/>
      <c r="P22" s="392"/>
      <c r="Q22" s="392"/>
      <c r="R22" s="393"/>
      <c r="S22" s="393"/>
      <c r="T22" s="393"/>
      <c r="U22" s="393"/>
      <c r="V22" s="393"/>
      <c r="W22" s="393"/>
      <c r="X22" s="393"/>
      <c r="Y22" s="393"/>
      <c r="Z22" s="348"/>
      <c r="AA22" s="346"/>
      <c r="AB22" s="323"/>
    </row>
    <row r="23" spans="2:28" ht="20.100000000000001" customHeight="1" outlineLevel="1" x14ac:dyDescent="0.4">
      <c r="B23" s="328"/>
      <c r="C23" s="345"/>
      <c r="D23" s="762"/>
      <c r="E23" s="792"/>
      <c r="F23" s="329"/>
      <c r="G23" s="938"/>
      <c r="H23" s="939"/>
      <c r="I23" s="939"/>
      <c r="J23" s="939"/>
      <c r="K23" s="939"/>
      <c r="L23" s="940"/>
      <c r="M23" s="951" t="s">
        <v>508</v>
      </c>
      <c r="N23" s="858" t="s">
        <v>505</v>
      </c>
      <c r="O23" s="858"/>
      <c r="P23" s="858"/>
      <c r="Q23" s="858"/>
      <c r="R23" s="858"/>
      <c r="S23" s="858"/>
      <c r="T23" s="858"/>
      <c r="U23" s="858"/>
      <c r="V23" s="858"/>
      <c r="W23" s="858"/>
      <c r="X23" s="858"/>
      <c r="Y23" s="859"/>
      <c r="Z23" s="349"/>
      <c r="AA23" s="346"/>
      <c r="AB23" s="323"/>
    </row>
    <row r="24" spans="2:28" ht="30" customHeight="1" outlineLevel="1" x14ac:dyDescent="0.4">
      <c r="B24" s="328"/>
      <c r="C24" s="345"/>
      <c r="D24" s="762"/>
      <c r="E24" s="792"/>
      <c r="F24" s="329"/>
      <c r="G24" s="943" t="s">
        <v>510</v>
      </c>
      <c r="H24" s="944"/>
      <c r="I24" s="944"/>
      <c r="J24" s="944"/>
      <c r="K24" s="944"/>
      <c r="L24" s="466" t="str">
        <f>IF(Qualité!L10&lt;&gt;"",Qualité!L10,"Non contrôlé")</f>
        <v>Non contrôlé</v>
      </c>
      <c r="M24" s="952"/>
      <c r="N24" s="947" t="str">
        <f>IF(Qualité!M10&lt;&gt;"",Qualité!M10,"")</f>
        <v/>
      </c>
      <c r="O24" s="947"/>
      <c r="P24" s="947"/>
      <c r="Q24" s="947"/>
      <c r="R24" s="947"/>
      <c r="S24" s="947"/>
      <c r="T24" s="947"/>
      <c r="U24" s="947"/>
      <c r="V24" s="947"/>
      <c r="W24" s="947"/>
      <c r="X24" s="947"/>
      <c r="Y24" s="948"/>
      <c r="Z24" s="349"/>
      <c r="AA24" s="346"/>
      <c r="AB24" s="323"/>
    </row>
    <row r="25" spans="2:28" ht="30" customHeight="1" outlineLevel="1" thickBot="1" x14ac:dyDescent="0.45">
      <c r="B25" s="328"/>
      <c r="C25" s="345"/>
      <c r="D25" s="762"/>
      <c r="E25" s="792"/>
      <c r="F25" s="329"/>
      <c r="G25" s="945" t="s">
        <v>509</v>
      </c>
      <c r="H25" s="946"/>
      <c r="I25" s="946"/>
      <c r="J25" s="946"/>
      <c r="K25" s="946"/>
      <c r="L25" s="467" t="str">
        <f>IF(Qualité!L29&lt;&gt;"",Qualité!L29,"Non contrôlé")</f>
        <v>Non contrôlé</v>
      </c>
      <c r="M25" s="482">
        <f>IF(Qualité!L29="Oui",1,0.9)</f>
        <v>0.9</v>
      </c>
      <c r="N25" s="949" t="str">
        <f>IF(Qualité!D32&lt;&gt;"",Qualité!D32,"")</f>
        <v/>
      </c>
      <c r="O25" s="949"/>
      <c r="P25" s="949"/>
      <c r="Q25" s="949"/>
      <c r="R25" s="949"/>
      <c r="S25" s="949"/>
      <c r="T25" s="949"/>
      <c r="U25" s="949"/>
      <c r="V25" s="949"/>
      <c r="W25" s="949"/>
      <c r="X25" s="949"/>
      <c r="Y25" s="950"/>
      <c r="Z25" s="349"/>
      <c r="AA25" s="346"/>
      <c r="AB25" s="323"/>
    </row>
    <row r="26" spans="2:28" ht="20.100000000000001" customHeight="1" outlineLevel="1" thickBot="1" x14ac:dyDescent="0.45">
      <c r="B26" s="328"/>
      <c r="C26" s="345"/>
      <c r="D26" s="764"/>
      <c r="E26" s="793"/>
      <c r="F26" s="351"/>
      <c r="G26" s="351"/>
      <c r="H26" s="351"/>
      <c r="I26" s="351"/>
      <c r="J26" s="351"/>
      <c r="K26" s="351"/>
      <c r="L26" s="351"/>
      <c r="M26" s="351"/>
      <c r="N26" s="351"/>
      <c r="O26" s="351"/>
      <c r="P26" s="351"/>
      <c r="Q26" s="351"/>
      <c r="R26" s="351"/>
      <c r="S26" s="351"/>
      <c r="T26" s="351"/>
      <c r="U26" s="351"/>
      <c r="V26" s="351"/>
      <c r="W26" s="351"/>
      <c r="X26" s="351"/>
      <c r="Y26" s="351"/>
      <c r="Z26" s="350"/>
      <c r="AA26" s="346"/>
      <c r="AB26" s="323"/>
    </row>
    <row r="27" spans="2:28" ht="20.100000000000001" customHeight="1" outlineLevel="1" thickBot="1" x14ac:dyDescent="0.45">
      <c r="B27" s="328"/>
      <c r="C27" s="345"/>
      <c r="D27" s="329"/>
      <c r="E27" s="329"/>
      <c r="F27" s="329"/>
      <c r="G27" s="329"/>
      <c r="H27" s="329"/>
      <c r="I27" s="329"/>
      <c r="J27" s="329"/>
      <c r="K27" s="329"/>
      <c r="L27" s="329"/>
      <c r="M27" s="329"/>
      <c r="N27" s="329"/>
      <c r="O27" s="329"/>
      <c r="P27" s="329"/>
      <c r="Q27" s="329"/>
      <c r="R27" s="329"/>
      <c r="S27" s="329"/>
      <c r="T27" s="329"/>
      <c r="U27" s="329"/>
      <c r="V27" s="329"/>
      <c r="W27" s="329"/>
      <c r="X27" s="329"/>
      <c r="Y27" s="329"/>
      <c r="Z27" s="329"/>
      <c r="AA27" s="346"/>
      <c r="AB27" s="323"/>
    </row>
    <row r="28" spans="2:28" ht="20.100000000000001" customHeight="1" outlineLevel="1" thickBot="1" x14ac:dyDescent="0.45">
      <c r="B28" s="328"/>
      <c r="C28" s="345"/>
      <c r="D28" s="760" t="s">
        <v>524</v>
      </c>
      <c r="E28" s="791"/>
      <c r="F28" s="352"/>
      <c r="G28" s="352"/>
      <c r="H28" s="352"/>
      <c r="I28" s="352"/>
      <c r="J28" s="352"/>
      <c r="K28" s="352"/>
      <c r="L28" s="352"/>
      <c r="M28" s="352"/>
      <c r="N28" s="352"/>
      <c r="O28" s="352"/>
      <c r="P28" s="352"/>
      <c r="Q28" s="352"/>
      <c r="R28" s="352"/>
      <c r="S28" s="352"/>
      <c r="T28" s="352"/>
      <c r="U28" s="352"/>
      <c r="V28" s="352"/>
      <c r="W28" s="352"/>
      <c r="X28" s="352"/>
      <c r="Y28" s="352"/>
      <c r="Z28" s="348"/>
      <c r="AA28" s="346"/>
      <c r="AB28" s="323"/>
    </row>
    <row r="29" spans="2:28" ht="20.100000000000001" customHeight="1" outlineLevel="1" x14ac:dyDescent="0.4">
      <c r="B29" s="328"/>
      <c r="C29" s="345"/>
      <c r="D29" s="762"/>
      <c r="E29" s="792"/>
      <c r="F29" s="329"/>
      <c r="G29" s="806"/>
      <c r="H29" s="807"/>
      <c r="I29" s="807"/>
      <c r="J29" s="808"/>
      <c r="K29" s="845" t="s">
        <v>526</v>
      </c>
      <c r="L29" s="846"/>
      <c r="M29" s="383"/>
      <c r="N29" s="857" t="s">
        <v>505</v>
      </c>
      <c r="O29" s="858"/>
      <c r="P29" s="858"/>
      <c r="Q29" s="858"/>
      <c r="R29" s="858"/>
      <c r="S29" s="858"/>
      <c r="T29" s="858"/>
      <c r="U29" s="858"/>
      <c r="V29" s="858"/>
      <c r="W29" s="858"/>
      <c r="X29" s="858"/>
      <c r="Y29" s="859"/>
      <c r="Z29" s="349"/>
      <c r="AA29" s="346"/>
      <c r="AB29" s="323"/>
    </row>
    <row r="30" spans="2:28" ht="20.100000000000001" customHeight="1" outlineLevel="1" x14ac:dyDescent="0.4">
      <c r="B30" s="328"/>
      <c r="C30" s="345"/>
      <c r="D30" s="762"/>
      <c r="E30" s="792"/>
      <c r="F30" s="329"/>
      <c r="G30" s="860" t="s">
        <v>2</v>
      </c>
      <c r="H30" s="861"/>
      <c r="I30" s="862" t="s">
        <v>405</v>
      </c>
      <c r="J30" s="863"/>
      <c r="K30" s="864" t="str">
        <f>IF(Analytique!N11&lt;&gt;"",Analytique!N11,"")</f>
        <v/>
      </c>
      <c r="L30" s="865"/>
      <c r="M30" s="383"/>
      <c r="N30" s="866" t="str">
        <f>IF(Analytique!D17&lt;&gt;"",Analytique!D17,"")</f>
        <v/>
      </c>
      <c r="O30" s="867"/>
      <c r="P30" s="867"/>
      <c r="Q30" s="867"/>
      <c r="R30" s="867"/>
      <c r="S30" s="867"/>
      <c r="T30" s="867"/>
      <c r="U30" s="867"/>
      <c r="V30" s="867"/>
      <c r="W30" s="867"/>
      <c r="X30" s="867"/>
      <c r="Y30" s="868"/>
      <c r="Z30" s="349"/>
      <c r="AA30" s="346"/>
      <c r="AB30" s="323"/>
    </row>
    <row r="31" spans="2:28" ht="20.100000000000001" customHeight="1" outlineLevel="1" x14ac:dyDescent="0.4">
      <c r="B31" s="328"/>
      <c r="C31" s="345"/>
      <c r="D31" s="762"/>
      <c r="E31" s="792"/>
      <c r="F31" s="329"/>
      <c r="G31" s="872" t="s">
        <v>525</v>
      </c>
      <c r="H31" s="873"/>
      <c r="I31" s="878" t="s">
        <v>402</v>
      </c>
      <c r="J31" s="879"/>
      <c r="K31" s="880" t="str">
        <f>IF(Analytique!N12&lt;&gt;"",Analytique!N12,"")</f>
        <v/>
      </c>
      <c r="L31" s="881"/>
      <c r="M31" s="329"/>
      <c r="N31" s="866"/>
      <c r="O31" s="867"/>
      <c r="P31" s="867"/>
      <c r="Q31" s="867"/>
      <c r="R31" s="867"/>
      <c r="S31" s="867"/>
      <c r="T31" s="867"/>
      <c r="U31" s="867"/>
      <c r="V31" s="867"/>
      <c r="W31" s="867"/>
      <c r="X31" s="867"/>
      <c r="Y31" s="868"/>
      <c r="Z31" s="349"/>
      <c r="AA31" s="346"/>
      <c r="AB31" s="323"/>
    </row>
    <row r="32" spans="2:28" ht="20.100000000000001" customHeight="1" outlineLevel="1" x14ac:dyDescent="0.4">
      <c r="B32" s="328"/>
      <c r="C32" s="345"/>
      <c r="D32" s="762"/>
      <c r="E32" s="792"/>
      <c r="F32" s="329"/>
      <c r="G32" s="874"/>
      <c r="H32" s="875"/>
      <c r="I32" s="882" t="s">
        <v>403</v>
      </c>
      <c r="J32" s="883"/>
      <c r="K32" s="787" t="str">
        <f>IF(Analytique!N13&lt;&gt;"",Analytique!N13,"")</f>
        <v/>
      </c>
      <c r="L32" s="788"/>
      <c r="M32" s="329"/>
      <c r="N32" s="866"/>
      <c r="O32" s="867"/>
      <c r="P32" s="867"/>
      <c r="Q32" s="867"/>
      <c r="R32" s="867"/>
      <c r="S32" s="867"/>
      <c r="T32" s="867"/>
      <c r="U32" s="867"/>
      <c r="V32" s="867"/>
      <c r="W32" s="867"/>
      <c r="X32" s="867"/>
      <c r="Y32" s="868"/>
      <c r="Z32" s="349"/>
      <c r="AA32" s="346"/>
      <c r="AB32" s="323"/>
    </row>
    <row r="33" spans="2:28" ht="20.100000000000001" customHeight="1" outlineLevel="1" thickBot="1" x14ac:dyDescent="0.45">
      <c r="B33" s="328"/>
      <c r="C33" s="345"/>
      <c r="D33" s="762"/>
      <c r="E33" s="792"/>
      <c r="F33" s="329"/>
      <c r="G33" s="876"/>
      <c r="H33" s="877"/>
      <c r="I33" s="789" t="s">
        <v>404</v>
      </c>
      <c r="J33" s="790"/>
      <c r="K33" s="840" t="str">
        <f>IF(Analytique!N14&lt;&gt;"",Analytique!N14,"")</f>
        <v/>
      </c>
      <c r="L33" s="841"/>
      <c r="M33" s="329"/>
      <c r="N33" s="869"/>
      <c r="O33" s="870"/>
      <c r="P33" s="870"/>
      <c r="Q33" s="870"/>
      <c r="R33" s="870"/>
      <c r="S33" s="870"/>
      <c r="T33" s="870"/>
      <c r="U33" s="870"/>
      <c r="V33" s="870"/>
      <c r="W33" s="870"/>
      <c r="X33" s="870"/>
      <c r="Y33" s="871"/>
      <c r="Z33" s="349"/>
      <c r="AA33" s="346"/>
      <c r="AB33" s="323"/>
    </row>
    <row r="34" spans="2:28" ht="20.100000000000001" customHeight="1" outlineLevel="1" thickBot="1" x14ac:dyDescent="0.45">
      <c r="B34" s="328"/>
      <c r="C34" s="345"/>
      <c r="D34" s="764"/>
      <c r="E34" s="793"/>
      <c r="F34" s="351"/>
      <c r="G34" s="351"/>
      <c r="H34" s="351"/>
      <c r="I34" s="351"/>
      <c r="J34" s="351"/>
      <c r="K34" s="351"/>
      <c r="L34" s="351"/>
      <c r="M34" s="351"/>
      <c r="N34" s="351"/>
      <c r="O34" s="351"/>
      <c r="P34" s="351"/>
      <c r="Q34" s="351"/>
      <c r="R34" s="351"/>
      <c r="S34" s="351"/>
      <c r="T34" s="351"/>
      <c r="U34" s="351"/>
      <c r="V34" s="351"/>
      <c r="W34" s="351"/>
      <c r="X34" s="351"/>
      <c r="Y34" s="340"/>
      <c r="Z34" s="350"/>
      <c r="AA34" s="346"/>
      <c r="AB34" s="323"/>
    </row>
    <row r="35" spans="2:28" ht="20.100000000000001" customHeight="1" outlineLevel="1" thickBot="1" x14ac:dyDescent="0.45">
      <c r="B35" s="328"/>
      <c r="C35" s="345"/>
      <c r="D35" s="329"/>
      <c r="E35" s="329"/>
      <c r="F35" s="329"/>
      <c r="G35" s="329"/>
      <c r="H35" s="329"/>
      <c r="I35" s="329"/>
      <c r="J35" s="329"/>
      <c r="K35" s="329"/>
      <c r="L35" s="329"/>
      <c r="M35" s="329"/>
      <c r="N35" s="329"/>
      <c r="O35" s="329"/>
      <c r="P35" s="329"/>
      <c r="Q35" s="329"/>
      <c r="R35" s="329"/>
      <c r="S35" s="329"/>
      <c r="T35" s="329"/>
      <c r="U35" s="329"/>
      <c r="V35" s="329"/>
      <c r="W35" s="329"/>
      <c r="X35" s="329"/>
      <c r="Y35" s="310"/>
      <c r="Z35" s="329"/>
      <c r="AA35" s="346"/>
      <c r="AB35" s="323"/>
    </row>
    <row r="36" spans="2:28" ht="20.100000000000001" customHeight="1" outlineLevel="1" thickBot="1" x14ac:dyDescent="0.45">
      <c r="B36" s="328"/>
      <c r="C36" s="345"/>
      <c r="D36" s="760" t="s">
        <v>10</v>
      </c>
      <c r="E36" s="791"/>
      <c r="F36" s="352"/>
      <c r="G36" s="352"/>
      <c r="H36" s="352"/>
      <c r="I36" s="352"/>
      <c r="J36" s="352"/>
      <c r="K36" s="352"/>
      <c r="L36" s="352"/>
      <c r="M36" s="352"/>
      <c r="N36" s="352"/>
      <c r="O36" s="352"/>
      <c r="P36" s="352"/>
      <c r="Q36" s="352"/>
      <c r="R36" s="352"/>
      <c r="S36" s="352"/>
      <c r="T36" s="352"/>
      <c r="U36" s="352"/>
      <c r="V36" s="352"/>
      <c r="W36" s="352"/>
      <c r="X36" s="352"/>
      <c r="Y36" s="339"/>
      <c r="Z36" s="348"/>
      <c r="AA36" s="346"/>
      <c r="AB36" s="323"/>
    </row>
    <row r="37" spans="2:28" ht="20.100000000000001" customHeight="1" outlineLevel="1" x14ac:dyDescent="0.4">
      <c r="B37" s="328"/>
      <c r="C37" s="345"/>
      <c r="D37" s="762"/>
      <c r="E37" s="792"/>
      <c r="F37" s="329"/>
      <c r="G37" s="806"/>
      <c r="H37" s="807"/>
      <c r="I37" s="807"/>
      <c r="J37" s="808"/>
      <c r="K37" s="831" t="s">
        <v>30</v>
      </c>
      <c r="L37" s="832"/>
      <c r="M37" s="329"/>
      <c r="N37" s="811" t="s">
        <v>505</v>
      </c>
      <c r="O37" s="812"/>
      <c r="P37" s="812"/>
      <c r="Q37" s="812"/>
      <c r="R37" s="812"/>
      <c r="S37" s="812"/>
      <c r="T37" s="812"/>
      <c r="U37" s="812"/>
      <c r="V37" s="812"/>
      <c r="W37" s="812"/>
      <c r="X37" s="812"/>
      <c r="Y37" s="813"/>
      <c r="Z37" s="349"/>
      <c r="AA37" s="346"/>
      <c r="AB37" s="323"/>
    </row>
    <row r="38" spans="2:28" ht="20.100000000000001" customHeight="1" outlineLevel="1" x14ac:dyDescent="0.4">
      <c r="B38" s="328"/>
      <c r="C38" s="345"/>
      <c r="D38" s="762"/>
      <c r="E38" s="792"/>
      <c r="F38" s="329"/>
      <c r="G38" s="847" t="s">
        <v>11</v>
      </c>
      <c r="H38" s="848"/>
      <c r="I38" s="851" t="str" cm="1">
        <f t="array" aca="1" ref="I38" ca="1">IFERROR(INDEX(Equipements_STEU!$L$16:$L$72,SMALL(IF(Equipements_STEU!$J$16:$J$72="Sonde de température",ROW(Equipements_STEU!$J$16:$J$72)-ROW(Equipements_STEU!$J$16)+1),ROW(1:1))),"")</f>
        <v/>
      </c>
      <c r="J38" s="852"/>
      <c r="K38" s="822" t="str" cm="1">
        <f t="array" aca="1" ref="K38" ca="1">IFERROR(INDEX(Equipements_STEU!$P$16:$P$72,SMALL(IF(Equipements_STEU!$J$16:$J$72="Sonde de température",ROW(Equipements_STEU!$J$16:$J$72)-ROW(Equipements_STEU!$J$16)+1),ROW(1:1))),"")</f>
        <v/>
      </c>
      <c r="L38" s="853"/>
      <c r="M38" s="329"/>
      <c r="N38" s="824" t="str" cm="1">
        <f t="array" aca="1" ref="N38" ca="1">IFERROR(INDEX(Equipements_STEU!$T$16:$T$72,SMALL(IF(Equipements_STEU!$J$16:$J$72="Sonde de température",ROW(Equipements_STEU!$J$16:$J$72)-ROW(Equipements_STEU!$J$16)+1),ROW(1:1))),"")</f>
        <v/>
      </c>
      <c r="O38" s="825"/>
      <c r="P38" s="825"/>
      <c r="Q38" s="825"/>
      <c r="R38" s="825"/>
      <c r="S38" s="825"/>
      <c r="T38" s="825"/>
      <c r="U38" s="825"/>
      <c r="V38" s="825"/>
      <c r="W38" s="825"/>
      <c r="X38" s="825"/>
      <c r="Y38" s="826"/>
      <c r="Z38" s="349"/>
      <c r="AA38" s="346"/>
      <c r="AB38" s="323"/>
    </row>
    <row r="39" spans="2:28" ht="20.100000000000001" customHeight="1" outlineLevel="1" x14ac:dyDescent="0.4">
      <c r="B39" s="328"/>
      <c r="C39" s="345"/>
      <c r="D39" s="762"/>
      <c r="E39" s="792"/>
      <c r="F39" s="329"/>
      <c r="G39" s="847"/>
      <c r="H39" s="848"/>
      <c r="I39" s="957" t="str" cm="1">
        <f t="array" aca="1" ref="I39" ca="1">IFERROR(INDEX(Equipements_STEU!$L$16:$L$72,SMALL(IF(Equipements_STEU!$J$16:$J$72="Sonde de température",ROW(Equipements_STEU!$J$16:$J$72)-ROW(Equipements_STEU!$J$16)+1),ROW(2:2))),"")</f>
        <v/>
      </c>
      <c r="J39" s="958"/>
      <c r="K39" s="829" t="str" cm="1">
        <f t="array" aca="1" ref="K39" ca="1">IFERROR(INDEX(Equipements_STEU!$R$16:$R$72,SMALL(IF(Equipements_STEU!$J$16:$J$72="Sonde de température",ROW(Equipements_STEU!$J$16:$J$72)-ROW(Equipements_STEU!$J$16)+1),ROW(2:2))),"")</f>
        <v/>
      </c>
      <c r="L39" s="854"/>
      <c r="M39" s="329"/>
      <c r="N39" s="833" t="str" cm="1">
        <f t="array" aca="1" ref="N39" ca="1">IFERROR(INDEX(Equipements_STEU!$T$16:$T$72,SMALL(IF(Equipements_STEU!$J$16:$J$72="Sonde de température",ROW(Equipements_STEU!$J$16:$J$72)-ROW(Equipements_STEU!$J$16)+1),ROW(2:2))),"")</f>
        <v/>
      </c>
      <c r="O39" s="834"/>
      <c r="P39" s="834"/>
      <c r="Q39" s="834"/>
      <c r="R39" s="834"/>
      <c r="S39" s="834"/>
      <c r="T39" s="834"/>
      <c r="U39" s="834"/>
      <c r="V39" s="834"/>
      <c r="W39" s="834"/>
      <c r="X39" s="834"/>
      <c r="Y39" s="835"/>
      <c r="Z39" s="349"/>
      <c r="AA39" s="346"/>
      <c r="AB39" s="323"/>
    </row>
    <row r="40" spans="2:28" ht="20.100000000000001" customHeight="1" outlineLevel="1" thickBot="1" x14ac:dyDescent="0.45">
      <c r="B40" s="328"/>
      <c r="C40" s="345"/>
      <c r="D40" s="762"/>
      <c r="E40" s="792"/>
      <c r="F40" s="329"/>
      <c r="G40" s="849"/>
      <c r="H40" s="850"/>
      <c r="I40" s="955" t="str" cm="1">
        <f t="array" aca="1" ref="I40" ca="1">IFERROR(INDEX(Equipements_STEU!$L$16:$L$72,SMALL(IF(Equipements_STEU!$J$16:$J$72="Sonde de température",ROW(Equipements_STEU!$J$16:$J$72)-ROW(Equipements_STEU!$J$16)+1),ROW(3:3))),"")</f>
        <v/>
      </c>
      <c r="J40" s="956"/>
      <c r="K40" s="855" t="str" cm="1">
        <f t="array" aca="1" ref="K40" ca="1">IFERROR(INDEX(Equipements_STEU!$R$16:$R$72,SMALL(IF(Equipements_STEU!$J$16:$J$72="Sonde de température",ROW(Equipements_STEU!$J$16:$J$72)-ROW(Equipements_STEU!$J$16)+1),ROW(3:3))),"")</f>
        <v/>
      </c>
      <c r="L40" s="856"/>
      <c r="M40" s="329"/>
      <c r="N40" s="803" t="str" cm="1">
        <f t="array" aca="1" ref="N40" ca="1">IFERROR(INDEX(Equipements_STEU!$T$16:$T$72,SMALL(IF(Equipements_STEU!$J$16:$J$72="Sonde de température",ROW(Equipements_STEU!$J$16:$J$72)-ROW(Equipements_STEU!$J$16)+1),ROW(3:3))),"")</f>
        <v/>
      </c>
      <c r="O40" s="804"/>
      <c r="P40" s="804"/>
      <c r="Q40" s="804"/>
      <c r="R40" s="804"/>
      <c r="S40" s="804"/>
      <c r="T40" s="804"/>
      <c r="U40" s="804"/>
      <c r="V40" s="804"/>
      <c r="W40" s="804"/>
      <c r="X40" s="804"/>
      <c r="Y40" s="805"/>
      <c r="Z40" s="349"/>
      <c r="AA40" s="346"/>
      <c r="AB40" s="323"/>
    </row>
    <row r="41" spans="2:28" ht="20.100000000000001" customHeight="1" outlineLevel="1" thickBot="1" x14ac:dyDescent="0.45">
      <c r="B41" s="328"/>
      <c r="C41" s="345"/>
      <c r="D41" s="762"/>
      <c r="E41" s="792"/>
      <c r="F41" s="329"/>
      <c r="G41" s="329"/>
      <c r="H41" s="329"/>
      <c r="I41" s="329"/>
      <c r="J41" s="329"/>
      <c r="K41" s="329"/>
      <c r="L41" s="329"/>
      <c r="M41" s="329"/>
      <c r="N41" s="329"/>
      <c r="O41" s="329"/>
      <c r="P41" s="354"/>
      <c r="Q41" s="354"/>
      <c r="R41" s="354"/>
      <c r="S41" s="354"/>
      <c r="T41" s="355"/>
      <c r="U41" s="355"/>
      <c r="V41" s="355"/>
      <c r="W41" s="355"/>
      <c r="X41" s="353"/>
      <c r="Y41" s="353"/>
      <c r="Z41" s="349"/>
      <c r="AA41" s="346"/>
      <c r="AB41" s="323"/>
    </row>
    <row r="42" spans="2:28" ht="20.100000000000001" customHeight="1" outlineLevel="1" x14ac:dyDescent="0.4">
      <c r="B42" s="328"/>
      <c r="C42" s="345"/>
      <c r="D42" s="762"/>
      <c r="E42" s="792"/>
      <c r="F42" s="329"/>
      <c r="G42" s="806"/>
      <c r="H42" s="807"/>
      <c r="I42" s="807"/>
      <c r="J42" s="808"/>
      <c r="K42" s="809" t="s">
        <v>30</v>
      </c>
      <c r="L42" s="810"/>
      <c r="M42" s="329"/>
      <c r="N42" s="811" t="s">
        <v>505</v>
      </c>
      <c r="O42" s="812"/>
      <c r="P42" s="812"/>
      <c r="Q42" s="812"/>
      <c r="R42" s="812"/>
      <c r="S42" s="812"/>
      <c r="T42" s="812"/>
      <c r="U42" s="812"/>
      <c r="V42" s="812"/>
      <c r="W42" s="812"/>
      <c r="X42" s="812"/>
      <c r="Y42" s="813"/>
      <c r="Z42" s="349"/>
      <c r="AA42" s="346"/>
      <c r="AB42" s="323"/>
    </row>
    <row r="43" spans="2:28" ht="20.100000000000001" customHeight="1" outlineLevel="1" x14ac:dyDescent="0.4">
      <c r="B43" s="328"/>
      <c r="C43" s="345"/>
      <c r="D43" s="762"/>
      <c r="E43" s="792"/>
      <c r="F43" s="329"/>
      <c r="G43" s="814" t="s">
        <v>12</v>
      </c>
      <c r="H43" s="815"/>
      <c r="I43" s="820" t="str" cm="1">
        <f t="array" aca="1" ref="I43" ca="1">IFERROR(INDEX(Equipements_STEU!$L$16:$L$72,SMALL(IF(Equipements_STEU!$J$16:$J$72="Pluviomètre",ROW(Equipements_STEU!$J$16:$J$72)-ROW(Equipements_STEU!$J$16)+1),ROW(1:1))),"")</f>
        <v/>
      </c>
      <c r="J43" s="821"/>
      <c r="K43" s="822" t="str" cm="1">
        <f t="array" aca="1" ref="K43" ca="1">IFERROR(INDEX(Equipements_STEU!$P$16:$P$72,SMALL(IF(Equipements_STEU!$J$16:$J$72="Pluviomètre",ROW(Equipements_STEU!$J$16:$J$72)-ROW(Equipements_STEU!$J$16)+1),ROW(1:1))),"")</f>
        <v/>
      </c>
      <c r="L43" s="823"/>
      <c r="M43" s="329"/>
      <c r="N43" s="824" t="str" cm="1">
        <f t="array" aca="1" ref="N43" ca="1">IFERROR(INDEX(Equipements_STEU!$T$16:$T$72,SMALL(IF(Equipements_STEU!$J$16:$J$72="Pluviomètre",ROW(Equipements_STEU!$J$16:$J$72)-ROW(Equipements_STEU!$J$16)+1),ROW(1:1))),"")</f>
        <v/>
      </c>
      <c r="O43" s="825"/>
      <c r="P43" s="825"/>
      <c r="Q43" s="825"/>
      <c r="R43" s="825"/>
      <c r="S43" s="825"/>
      <c r="T43" s="825"/>
      <c r="U43" s="825"/>
      <c r="V43" s="825"/>
      <c r="W43" s="825"/>
      <c r="X43" s="825"/>
      <c r="Y43" s="826"/>
      <c r="Z43" s="349"/>
      <c r="AA43" s="346"/>
      <c r="AB43" s="323"/>
    </row>
    <row r="44" spans="2:28" ht="20.100000000000001" customHeight="1" outlineLevel="1" x14ac:dyDescent="0.4">
      <c r="B44" s="328"/>
      <c r="C44" s="345"/>
      <c r="D44" s="762"/>
      <c r="E44" s="792"/>
      <c r="F44" s="329"/>
      <c r="G44" s="816"/>
      <c r="H44" s="817"/>
      <c r="I44" s="827" t="str" cm="1">
        <f t="array" aca="1" ref="I44" ca="1">IFERROR(INDEX(Equipements_STEU!$L$16:$L$72,SMALL(IF(Equipements_STEU!$J$16:$J$72="Pluviomètre",ROW(Equipements_STEU!$J$16:$J$72)-ROW(Equipements_STEU!$J$16)+1),ROW(2:2))),"")</f>
        <v/>
      </c>
      <c r="J44" s="828"/>
      <c r="K44" s="829" t="str" cm="1">
        <f t="array" aca="1" ref="K44" ca="1">IFERROR(INDEX(Equipements_STEU!$P$16:$P$72,SMALL(IF(Equipements_STEU!$J$16:$J$72="Pluviomètre",ROW(Equipements_STEU!$J$16:$J$72)-ROW(Equipements_STEU!$J$16)+1),ROW(2:2))),"")</f>
        <v/>
      </c>
      <c r="L44" s="830"/>
      <c r="M44" s="329"/>
      <c r="N44" s="833" t="str" cm="1">
        <f t="array" aca="1" ref="N44" ca="1">IFERROR(INDEX(Equipements_STEU!$T$16:$T$72,SMALL(IF(Equipements_STEU!$J$16:$J$72="Pluviomètre",ROW(Equipements_STEU!$J$16:$J$72)-ROW(Equipements_STEU!$J$16)+1),ROW(2:2))),"")</f>
        <v/>
      </c>
      <c r="O44" s="834"/>
      <c r="P44" s="834"/>
      <c r="Q44" s="834"/>
      <c r="R44" s="834"/>
      <c r="S44" s="834"/>
      <c r="T44" s="834"/>
      <c r="U44" s="834"/>
      <c r="V44" s="834"/>
      <c r="W44" s="834"/>
      <c r="X44" s="834"/>
      <c r="Y44" s="835"/>
      <c r="Z44" s="349"/>
      <c r="AA44" s="346"/>
      <c r="AB44" s="323"/>
    </row>
    <row r="45" spans="2:28" ht="20.100000000000001" customHeight="1" outlineLevel="1" thickBot="1" x14ac:dyDescent="0.45">
      <c r="B45" s="328"/>
      <c r="C45" s="345"/>
      <c r="D45" s="762"/>
      <c r="E45" s="792"/>
      <c r="F45" s="329"/>
      <c r="G45" s="818"/>
      <c r="H45" s="819"/>
      <c r="I45" s="836" t="str" cm="1">
        <f t="array" aca="1" ref="I45" ca="1">IFERROR(INDEX(Equipements_STEU!$L$16:$L$72,SMALL(IF(Equipements_STEU!$J$16:$J$72="Pluviomètre",ROW(Equipements_STEU!$J$16:$J$72)-ROW(Equipements_STEU!$J$16)+1),ROW(3:3))),"")</f>
        <v/>
      </c>
      <c r="J45" s="837"/>
      <c r="K45" s="838" t="str" cm="1">
        <f t="array" aca="1" ref="K45" ca="1">IFERROR(INDEX(Equipements_STEU!$P$16:$P$72,SMALL(IF(Equipements_STEU!$J$16:$J$72="Pluviomètre",ROW(Equipements_STEU!$J$16:$J$72)-ROW(Equipements_STEU!$J$16)+1),ROW(3:3))),"")</f>
        <v/>
      </c>
      <c r="L45" s="839"/>
      <c r="M45" s="329"/>
      <c r="N45" s="803" t="str" cm="1">
        <f t="array" aca="1" ref="N45" ca="1">IFERROR(INDEX(Equipements_STEU!$T$16:$T$72,SMALL(IF(Equipements_STEU!$J$16:$J$72="Pluviomètre",ROW(Equipements_STEU!$J$16:$J$72)-ROW(Equipements_STEU!$J$16)+1),ROW(3:3))),"")</f>
        <v/>
      </c>
      <c r="O45" s="804"/>
      <c r="P45" s="804"/>
      <c r="Q45" s="804"/>
      <c r="R45" s="804"/>
      <c r="S45" s="804"/>
      <c r="T45" s="804"/>
      <c r="U45" s="804"/>
      <c r="V45" s="804"/>
      <c r="W45" s="804"/>
      <c r="X45" s="804"/>
      <c r="Y45" s="805"/>
      <c r="Z45" s="349"/>
      <c r="AA45" s="346"/>
      <c r="AB45" s="323"/>
    </row>
    <row r="46" spans="2:28" ht="20.100000000000001" customHeight="1" outlineLevel="1" thickBot="1" x14ac:dyDescent="0.45">
      <c r="B46" s="328"/>
      <c r="C46" s="345"/>
      <c r="D46" s="764"/>
      <c r="E46" s="793"/>
      <c r="F46" s="351"/>
      <c r="G46" s="351"/>
      <c r="H46" s="351"/>
      <c r="I46" s="351"/>
      <c r="J46" s="351"/>
      <c r="K46" s="351"/>
      <c r="L46" s="351"/>
      <c r="M46" s="351"/>
      <c r="N46" s="351"/>
      <c r="O46" s="351"/>
      <c r="P46" s="351"/>
      <c r="Q46" s="351"/>
      <c r="R46" s="351"/>
      <c r="S46" s="351"/>
      <c r="T46" s="351"/>
      <c r="U46" s="351"/>
      <c r="V46" s="351"/>
      <c r="W46" s="351"/>
      <c r="X46" s="351"/>
      <c r="Y46" s="351"/>
      <c r="Z46" s="350"/>
      <c r="AA46" s="346"/>
      <c r="AB46" s="323"/>
    </row>
    <row r="47" spans="2:28" ht="20.100000000000001" customHeight="1" outlineLevel="1" thickBot="1" x14ac:dyDescent="0.45">
      <c r="B47" s="328"/>
      <c r="C47" s="345"/>
      <c r="D47" s="356"/>
      <c r="E47" s="356"/>
      <c r="F47" s="329"/>
      <c r="G47" s="329"/>
      <c r="H47" s="329"/>
      <c r="I47" s="329"/>
      <c r="J47" s="329"/>
      <c r="K47" s="329"/>
      <c r="L47" s="329"/>
      <c r="M47" s="329"/>
      <c r="N47" s="329"/>
      <c r="O47" s="329"/>
      <c r="P47" s="329"/>
      <c r="Q47" s="329"/>
      <c r="R47" s="329"/>
      <c r="S47" s="329"/>
      <c r="T47" s="329"/>
      <c r="U47" s="329"/>
      <c r="V47" s="329"/>
      <c r="W47" s="329"/>
      <c r="X47" s="329"/>
      <c r="Y47" s="329"/>
      <c r="Z47" s="329"/>
      <c r="AA47" s="346"/>
      <c r="AB47" s="323"/>
    </row>
    <row r="48" spans="2:28" ht="20.100000000000001" customHeight="1" outlineLevel="1" x14ac:dyDescent="0.4">
      <c r="B48" s="328"/>
      <c r="C48" s="345"/>
      <c r="D48" s="760" t="s">
        <v>13</v>
      </c>
      <c r="E48" s="791"/>
      <c r="F48" s="794"/>
      <c r="G48" s="795"/>
      <c r="H48" s="795"/>
      <c r="I48" s="795"/>
      <c r="J48" s="795"/>
      <c r="K48" s="795"/>
      <c r="L48" s="795"/>
      <c r="M48" s="795"/>
      <c r="N48" s="795"/>
      <c r="O48" s="795"/>
      <c r="P48" s="795"/>
      <c r="Q48" s="795"/>
      <c r="R48" s="795"/>
      <c r="S48" s="795"/>
      <c r="T48" s="795"/>
      <c r="U48" s="795"/>
      <c r="V48" s="795"/>
      <c r="W48" s="795"/>
      <c r="X48" s="795"/>
      <c r="Y48" s="795"/>
      <c r="Z48" s="796"/>
      <c r="AA48" s="338"/>
      <c r="AB48" s="323"/>
    </row>
    <row r="49" spans="2:28" ht="20.100000000000001" customHeight="1" outlineLevel="1" x14ac:dyDescent="0.4">
      <c r="B49" s="328"/>
      <c r="C49" s="345"/>
      <c r="D49" s="762"/>
      <c r="E49" s="792"/>
      <c r="F49" s="797"/>
      <c r="G49" s="798"/>
      <c r="H49" s="798"/>
      <c r="I49" s="798"/>
      <c r="J49" s="798"/>
      <c r="K49" s="798"/>
      <c r="L49" s="798"/>
      <c r="M49" s="798"/>
      <c r="N49" s="798"/>
      <c r="O49" s="798"/>
      <c r="P49" s="798"/>
      <c r="Q49" s="798"/>
      <c r="R49" s="798"/>
      <c r="S49" s="798"/>
      <c r="T49" s="798"/>
      <c r="U49" s="798"/>
      <c r="V49" s="798"/>
      <c r="W49" s="798"/>
      <c r="X49" s="798"/>
      <c r="Y49" s="798"/>
      <c r="Z49" s="799"/>
      <c r="AA49" s="346"/>
      <c r="AB49" s="323"/>
    </row>
    <row r="50" spans="2:28" ht="20.100000000000001" customHeight="1" outlineLevel="1" x14ac:dyDescent="0.4">
      <c r="B50" s="328"/>
      <c r="C50" s="345"/>
      <c r="D50" s="762"/>
      <c r="E50" s="792"/>
      <c r="F50" s="797"/>
      <c r="G50" s="798"/>
      <c r="H50" s="798"/>
      <c r="I50" s="798"/>
      <c r="J50" s="798"/>
      <c r="K50" s="798"/>
      <c r="L50" s="798"/>
      <c r="M50" s="798"/>
      <c r="N50" s="798"/>
      <c r="O50" s="798"/>
      <c r="P50" s="798"/>
      <c r="Q50" s="798"/>
      <c r="R50" s="798"/>
      <c r="S50" s="798"/>
      <c r="T50" s="798"/>
      <c r="U50" s="798"/>
      <c r="V50" s="798"/>
      <c r="W50" s="798"/>
      <c r="X50" s="798"/>
      <c r="Y50" s="798"/>
      <c r="Z50" s="799"/>
      <c r="AA50" s="346"/>
      <c r="AB50" s="323"/>
    </row>
    <row r="51" spans="2:28" ht="20.100000000000001" customHeight="1" outlineLevel="1" thickBot="1" x14ac:dyDescent="0.45">
      <c r="B51" s="328"/>
      <c r="C51" s="337"/>
      <c r="D51" s="764"/>
      <c r="E51" s="793"/>
      <c r="F51" s="800"/>
      <c r="G51" s="801"/>
      <c r="H51" s="801"/>
      <c r="I51" s="801"/>
      <c r="J51" s="801"/>
      <c r="K51" s="801"/>
      <c r="L51" s="801"/>
      <c r="M51" s="801"/>
      <c r="N51" s="801"/>
      <c r="O51" s="801"/>
      <c r="P51" s="801"/>
      <c r="Q51" s="801"/>
      <c r="R51" s="801"/>
      <c r="S51" s="801"/>
      <c r="T51" s="801"/>
      <c r="U51" s="801"/>
      <c r="V51" s="801"/>
      <c r="W51" s="801"/>
      <c r="X51" s="801"/>
      <c r="Y51" s="801"/>
      <c r="Z51" s="802"/>
      <c r="AA51" s="346"/>
      <c r="AB51" s="323"/>
    </row>
    <row r="52" spans="2:28" ht="20.100000000000001" customHeight="1" outlineLevel="1" thickBot="1" x14ac:dyDescent="0.45">
      <c r="B52" s="328"/>
      <c r="C52" s="342"/>
      <c r="D52" s="347"/>
      <c r="E52" s="347"/>
      <c r="F52" s="347"/>
      <c r="G52" s="347"/>
      <c r="H52" s="347"/>
      <c r="I52" s="347"/>
      <c r="J52" s="347"/>
      <c r="K52" s="347"/>
      <c r="L52" s="347"/>
      <c r="M52" s="347"/>
      <c r="N52" s="347"/>
      <c r="O52" s="347"/>
      <c r="P52" s="347"/>
      <c r="Q52" s="347"/>
      <c r="R52" s="347"/>
      <c r="S52" s="347"/>
      <c r="T52" s="347"/>
      <c r="U52" s="347"/>
      <c r="V52" s="347"/>
      <c r="W52" s="347"/>
      <c r="X52" s="347"/>
      <c r="Y52" s="347"/>
      <c r="Z52" s="347"/>
      <c r="AA52" s="344"/>
      <c r="AB52" s="323"/>
    </row>
    <row r="53" spans="2:28" ht="9.9499999999999993" customHeight="1" thickTop="1" thickBot="1" x14ac:dyDescent="0.45">
      <c r="B53" s="328"/>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3"/>
    </row>
    <row r="54" spans="2:28" ht="20.100000000000001" customHeight="1" thickTop="1" thickBot="1" x14ac:dyDescent="0.45">
      <c r="B54" s="336"/>
      <c r="C54" s="716" t="s">
        <v>514</v>
      </c>
      <c r="D54" s="717"/>
      <c r="E54" s="717"/>
      <c r="F54" s="717"/>
      <c r="G54" s="717"/>
      <c r="H54" s="717"/>
      <c r="I54" s="717"/>
      <c r="J54" s="717"/>
      <c r="K54" s="717"/>
      <c r="L54" s="717"/>
      <c r="M54" s="717"/>
      <c r="N54" s="717"/>
      <c r="O54" s="717"/>
      <c r="P54" s="717"/>
      <c r="Q54" s="717"/>
      <c r="R54" s="717"/>
      <c r="S54" s="717"/>
      <c r="T54" s="717"/>
      <c r="U54" s="717"/>
      <c r="V54" s="717"/>
      <c r="W54" s="717"/>
      <c r="X54" s="717"/>
      <c r="Y54" s="717"/>
      <c r="Z54" s="717"/>
      <c r="AA54" s="718"/>
      <c r="AB54" s="317"/>
    </row>
    <row r="55" spans="2:28" ht="20.100000000000001" customHeight="1" outlineLevel="1" thickTop="1" thickBot="1" x14ac:dyDescent="0.45">
      <c r="B55" s="328"/>
      <c r="C55" s="345"/>
      <c r="D55" s="329"/>
      <c r="E55" s="329"/>
      <c r="F55" s="329"/>
      <c r="G55" s="329"/>
      <c r="H55" s="329"/>
      <c r="I55" s="329"/>
      <c r="J55" s="329"/>
      <c r="K55" s="329"/>
      <c r="L55" s="329"/>
      <c r="M55" s="329"/>
      <c r="N55" s="329"/>
      <c r="O55" s="329"/>
      <c r="P55" s="329"/>
      <c r="Q55" s="329"/>
      <c r="R55" s="329"/>
      <c r="S55" s="329"/>
      <c r="T55" s="329"/>
      <c r="U55" s="329"/>
      <c r="V55" s="329"/>
      <c r="W55" s="329"/>
      <c r="X55" s="329"/>
      <c r="Y55" s="329"/>
      <c r="Z55" s="329"/>
      <c r="AA55" s="346"/>
      <c r="AB55" s="323"/>
    </row>
    <row r="56" spans="2:28" ht="20.100000000000001" customHeight="1" outlineLevel="1" x14ac:dyDescent="0.4">
      <c r="B56" s="328"/>
      <c r="C56" s="345"/>
      <c r="D56" s="776" t="s">
        <v>14</v>
      </c>
      <c r="E56" s="777"/>
      <c r="F56" s="777"/>
      <c r="G56" s="777"/>
      <c r="H56" s="777"/>
      <c r="I56" s="777"/>
      <c r="J56" s="777"/>
      <c r="K56" s="777"/>
      <c r="L56" s="777"/>
      <c r="M56" s="777"/>
      <c r="N56" s="778" t="s">
        <v>406</v>
      </c>
      <c r="O56" s="780" t="s">
        <v>280</v>
      </c>
      <c r="P56" s="780"/>
      <c r="Q56" s="780"/>
      <c r="R56" s="780"/>
      <c r="S56" s="780"/>
      <c r="T56" s="780"/>
      <c r="U56" s="780"/>
      <c r="V56" s="780"/>
      <c r="W56" s="780"/>
      <c r="X56" s="781"/>
      <c r="Y56" s="329"/>
      <c r="Z56" s="329"/>
      <c r="AA56" s="346"/>
      <c r="AB56" s="323"/>
    </row>
    <row r="57" spans="2:28" ht="20.100000000000001" customHeight="1" outlineLevel="1" x14ac:dyDescent="0.4">
      <c r="B57" s="328"/>
      <c r="C57" s="345"/>
      <c r="D57" s="782" t="s">
        <v>16</v>
      </c>
      <c r="E57" s="783"/>
      <c r="F57" s="449" t="s">
        <v>407</v>
      </c>
      <c r="G57" s="449" t="s">
        <v>515</v>
      </c>
      <c r="H57" s="784" t="s">
        <v>408</v>
      </c>
      <c r="I57" s="785"/>
      <c r="J57" s="784" t="s">
        <v>411</v>
      </c>
      <c r="K57" s="786"/>
      <c r="L57" s="786"/>
      <c r="M57" s="786"/>
      <c r="N57" s="779"/>
      <c r="O57" s="448">
        <v>1</v>
      </c>
      <c r="P57" s="449">
        <v>2</v>
      </c>
      <c r="Q57" s="449">
        <v>3</v>
      </c>
      <c r="R57" s="449">
        <v>4</v>
      </c>
      <c r="S57" s="449">
        <v>5</v>
      </c>
      <c r="T57" s="449">
        <v>6</v>
      </c>
      <c r="U57" s="449">
        <v>7</v>
      </c>
      <c r="V57" s="449">
        <v>8</v>
      </c>
      <c r="W57" s="449">
        <v>9</v>
      </c>
      <c r="X57" s="484">
        <v>10</v>
      </c>
      <c r="Y57" s="329"/>
      <c r="Z57" s="329"/>
      <c r="AA57" s="346"/>
      <c r="AB57" s="323"/>
    </row>
    <row r="58" spans="2:28" ht="20.100000000000001" customHeight="1" outlineLevel="1" x14ac:dyDescent="0.4">
      <c r="B58" s="328"/>
      <c r="C58" s="345"/>
      <c r="D58" s="766" t="str">
        <f ca="1">Equipements_STEU!H16</f>
        <v/>
      </c>
      <c r="E58" s="767"/>
      <c r="F58" s="431" t="str">
        <f ca="1">Equipements_STEU!I16</f>
        <v/>
      </c>
      <c r="G58" s="432" t="str">
        <f ca="1">Equipements_STEU!M16</f>
        <v/>
      </c>
      <c r="H58" s="768" t="str">
        <f ca="1">Equipements_STEU!J16</f>
        <v/>
      </c>
      <c r="I58" s="769"/>
      <c r="J58" s="768" t="str">
        <f ca="1">Equipements_STEU!K16</f>
        <v/>
      </c>
      <c r="K58" s="770"/>
      <c r="L58" s="770"/>
      <c r="M58" s="770"/>
      <c r="N58" s="433" t="str">
        <f ca="1">Equipements_STEU!P16</f>
        <v/>
      </c>
      <c r="O58" s="434" t="str">
        <f ca="1">IF(Equipements_STEU!Y16&lt;&gt;"",Equipements_STEU!AK16,"")</f>
        <v/>
      </c>
      <c r="P58" s="434" t="str">
        <f ca="1">IF(Equipements_STEU!Z16&lt;&gt;"",Equipements_STEU!AL16,"")</f>
        <v/>
      </c>
      <c r="Q58" s="434" t="str">
        <f ca="1">IF(Equipements_STEU!AA16&lt;&gt;"",Equipements_STEU!AM16,"")</f>
        <v/>
      </c>
      <c r="R58" s="434" t="str">
        <f ca="1">IF(Equipements_STEU!AB16&lt;&gt;"",Equipements_STEU!AN16,"")</f>
        <v/>
      </c>
      <c r="S58" s="434" t="str">
        <f ca="1">IF(Equipements_STEU!AC16&lt;&gt;"",Equipements_STEU!AO16,"")</f>
        <v/>
      </c>
      <c r="T58" s="434" t="str">
        <f ca="1">IF(Equipements_STEU!AD16&lt;&gt;"",Equipements_STEU!AP16,"")</f>
        <v/>
      </c>
      <c r="U58" s="434" t="str">
        <f ca="1">IF(Equipements_STEU!AE16&lt;&gt;"",Equipements_STEU!AQ16,"")</f>
        <v/>
      </c>
      <c r="V58" s="434" t="str">
        <f ca="1">IF(Equipements_STEU!AF16&lt;&gt;"",Equipements_STEU!AR16,"")</f>
        <v/>
      </c>
      <c r="W58" s="434" t="str">
        <f ca="1">IF(Equipements_STEU!AG16&lt;&gt;"",Equipements_STEU!AS16,"")</f>
        <v/>
      </c>
      <c r="X58" s="485" t="str">
        <f ca="1">IF(Equipements_STEU!AH16&lt;&gt;"",Equipements_STEU!AT16,"")</f>
        <v/>
      </c>
      <c r="Y58" s="329"/>
      <c r="Z58" s="329"/>
      <c r="AA58" s="346"/>
      <c r="AB58" s="323"/>
    </row>
    <row r="59" spans="2:28" ht="20.100000000000001" customHeight="1" outlineLevel="1" x14ac:dyDescent="0.4">
      <c r="B59" s="328"/>
      <c r="C59" s="345"/>
      <c r="D59" s="910" t="str">
        <f ca="1">Equipements_STEU!H17</f>
        <v/>
      </c>
      <c r="E59" s="911"/>
      <c r="F59" s="341" t="str">
        <f ca="1">Equipements_STEU!I17</f>
        <v/>
      </c>
      <c r="G59" s="423" t="str">
        <f ca="1">Equipements_STEU!M17</f>
        <v/>
      </c>
      <c r="H59" s="912" t="str">
        <f ca="1">Equipements_STEU!J17</f>
        <v/>
      </c>
      <c r="I59" s="913"/>
      <c r="J59" s="912" t="str">
        <f ca="1">Equipements_STEU!K17</f>
        <v/>
      </c>
      <c r="K59" s="914"/>
      <c r="L59" s="914"/>
      <c r="M59" s="914"/>
      <c r="N59" s="430" t="str">
        <f ca="1">Equipements_STEU!P17</f>
        <v/>
      </c>
      <c r="O59" s="394" t="str">
        <f ca="1">IF(Equipements_STEU!Y17&lt;&gt;"",Equipements_STEU!AK17,"")</f>
        <v/>
      </c>
      <c r="P59" s="394" t="str">
        <f ca="1">IF(Equipements_STEU!Z17&lt;&gt;"",Equipements_STEU!AL17,"")</f>
        <v/>
      </c>
      <c r="Q59" s="394" t="str">
        <f ca="1">IF(Equipements_STEU!AA17&lt;&gt;"",Equipements_STEU!AM17,"")</f>
        <v/>
      </c>
      <c r="R59" s="394" t="str">
        <f ca="1">IF(Equipements_STEU!AB17&lt;&gt;"",Equipements_STEU!AN17,"")</f>
        <v/>
      </c>
      <c r="S59" s="394" t="str">
        <f ca="1">IF(Equipements_STEU!AC17&lt;&gt;"",Equipements_STEU!AO17,"")</f>
        <v/>
      </c>
      <c r="T59" s="394" t="str">
        <f ca="1">IF(Equipements_STEU!AD17&lt;&gt;"",Equipements_STEU!AP17,"")</f>
        <v/>
      </c>
      <c r="U59" s="394" t="str">
        <f ca="1">IF(Equipements_STEU!AE17&lt;&gt;"",Equipements_STEU!AQ17,"")</f>
        <v/>
      </c>
      <c r="V59" s="394" t="str">
        <f ca="1">IF(Equipements_STEU!AF17&lt;&gt;"",Equipements_STEU!AR17,"")</f>
        <v/>
      </c>
      <c r="W59" s="394" t="str">
        <f ca="1">IF(Equipements_STEU!AG17&lt;&gt;"",Equipements_STEU!AS17,"")</f>
        <v/>
      </c>
      <c r="X59" s="486" t="str">
        <f ca="1">IF(Equipements_STEU!AH17&lt;&gt;"",Equipements_STEU!AT17,"")</f>
        <v/>
      </c>
      <c r="Y59" s="329"/>
      <c r="Z59" s="329"/>
      <c r="AA59" s="346"/>
      <c r="AB59" s="323"/>
    </row>
    <row r="60" spans="2:28" ht="20.100000000000001" customHeight="1" outlineLevel="1" x14ac:dyDescent="0.4">
      <c r="B60" s="328"/>
      <c r="C60" s="345"/>
      <c r="D60" s="910" t="str">
        <f ca="1">Equipements_STEU!H18</f>
        <v/>
      </c>
      <c r="E60" s="911"/>
      <c r="F60" s="341" t="str">
        <f ca="1">Equipements_STEU!I18</f>
        <v/>
      </c>
      <c r="G60" s="423" t="str">
        <f ca="1">Equipements_STEU!M18</f>
        <v/>
      </c>
      <c r="H60" s="912" t="str">
        <f ca="1">Equipements_STEU!J18</f>
        <v/>
      </c>
      <c r="I60" s="913"/>
      <c r="J60" s="912" t="str">
        <f ca="1">Equipements_STEU!K18</f>
        <v/>
      </c>
      <c r="K60" s="914"/>
      <c r="L60" s="914"/>
      <c r="M60" s="914"/>
      <c r="N60" s="430" t="str">
        <f ca="1">Equipements_STEU!P18</f>
        <v/>
      </c>
      <c r="O60" s="394" t="str">
        <f ca="1">IF(Equipements_STEU!Y18&lt;&gt;"",Equipements_STEU!AK18,"")</f>
        <v/>
      </c>
      <c r="P60" s="394" t="str">
        <f ca="1">IF(Equipements_STEU!Z18&lt;&gt;"",Equipements_STEU!AL18,"")</f>
        <v/>
      </c>
      <c r="Q60" s="394" t="str">
        <f ca="1">IF(Equipements_STEU!AA18&lt;&gt;"",Equipements_STEU!AM18,"")</f>
        <v/>
      </c>
      <c r="R60" s="394" t="str">
        <f ca="1">IF(Equipements_STEU!AB18&lt;&gt;"",Equipements_STEU!AN18,"")</f>
        <v/>
      </c>
      <c r="S60" s="394" t="str">
        <f ca="1">IF(Equipements_STEU!AC18&lt;&gt;"",Equipements_STEU!AO18,"")</f>
        <v/>
      </c>
      <c r="T60" s="394" t="str">
        <f ca="1">IF(Equipements_STEU!AD18&lt;&gt;"",Equipements_STEU!AP18,"")</f>
        <v/>
      </c>
      <c r="U60" s="394" t="str">
        <f ca="1">IF(Equipements_STEU!AE18&lt;&gt;"",Equipements_STEU!AQ18,"")</f>
        <v/>
      </c>
      <c r="V60" s="394" t="str">
        <f ca="1">IF(Equipements_STEU!AF18&lt;&gt;"",Equipements_STEU!AR18,"")</f>
        <v/>
      </c>
      <c r="W60" s="394" t="str">
        <f ca="1">IF(Equipements_STEU!AG18&lt;&gt;"",Equipements_STEU!AS18,"")</f>
        <v/>
      </c>
      <c r="X60" s="486" t="str">
        <f ca="1">IF(Equipements_STEU!AH18&lt;&gt;"",Equipements_STEU!AT18,"")</f>
        <v/>
      </c>
      <c r="Y60" s="329"/>
      <c r="Z60" s="329"/>
      <c r="AA60" s="346"/>
      <c r="AB60" s="323"/>
    </row>
    <row r="61" spans="2:28" ht="20.100000000000001" customHeight="1" outlineLevel="1" x14ac:dyDescent="0.4">
      <c r="B61" s="328"/>
      <c r="C61" s="345"/>
      <c r="D61" s="910" t="str">
        <f ca="1">Equipements_STEU!H19</f>
        <v/>
      </c>
      <c r="E61" s="911"/>
      <c r="F61" s="341" t="str">
        <f ca="1">Equipements_STEU!I19</f>
        <v/>
      </c>
      <c r="G61" s="423" t="str">
        <f ca="1">Equipements_STEU!M19</f>
        <v/>
      </c>
      <c r="H61" s="912" t="str">
        <f ca="1">Equipements_STEU!J19</f>
        <v/>
      </c>
      <c r="I61" s="913"/>
      <c r="J61" s="912" t="str">
        <f ca="1">Equipements_STEU!K19</f>
        <v/>
      </c>
      <c r="K61" s="914"/>
      <c r="L61" s="914"/>
      <c r="M61" s="914"/>
      <c r="N61" s="430" t="str">
        <f ca="1">Equipements_STEU!P19</f>
        <v/>
      </c>
      <c r="O61" s="394" t="str">
        <f ca="1">IF(Equipements_STEU!Y19&lt;&gt;"",Equipements_STEU!AK19,"")</f>
        <v/>
      </c>
      <c r="P61" s="394" t="str">
        <f ca="1">IF(Equipements_STEU!Z19&lt;&gt;"",Equipements_STEU!AL19,"")</f>
        <v/>
      </c>
      <c r="Q61" s="394" t="str">
        <f ca="1">IF(Equipements_STEU!AA19&lt;&gt;"",Equipements_STEU!AM19,"")</f>
        <v/>
      </c>
      <c r="R61" s="394" t="str">
        <f ca="1">IF(Equipements_STEU!AB19&lt;&gt;"",Equipements_STEU!AN19,"")</f>
        <v/>
      </c>
      <c r="S61" s="394" t="str">
        <f ca="1">IF(Equipements_STEU!AC19&lt;&gt;"",Equipements_STEU!AO19,"")</f>
        <v/>
      </c>
      <c r="T61" s="394" t="str">
        <f ca="1">IF(Equipements_STEU!AD19&lt;&gt;"",Equipements_STEU!AP19,"")</f>
        <v/>
      </c>
      <c r="U61" s="394" t="str">
        <f ca="1">IF(Equipements_STEU!AE19&lt;&gt;"",Equipements_STEU!AQ19,"")</f>
        <v/>
      </c>
      <c r="V61" s="394" t="str">
        <f ca="1">IF(Equipements_STEU!AF19&lt;&gt;"",Equipements_STEU!AR19,"")</f>
        <v/>
      </c>
      <c r="W61" s="394" t="str">
        <f ca="1">IF(Equipements_STEU!AG19&lt;&gt;"",Equipements_STEU!AS19,"")</f>
        <v/>
      </c>
      <c r="X61" s="486" t="str">
        <f ca="1">IF(Equipements_STEU!AH19&lt;&gt;"",Equipements_STEU!AT19,"")</f>
        <v/>
      </c>
      <c r="Y61" s="329"/>
      <c r="Z61" s="329"/>
      <c r="AA61" s="346"/>
      <c r="AB61" s="323"/>
    </row>
    <row r="62" spans="2:28" ht="20.100000000000001" customHeight="1" outlineLevel="1" x14ac:dyDescent="0.4">
      <c r="B62" s="328"/>
      <c r="C62" s="345"/>
      <c r="D62" s="910" t="str">
        <f ca="1">Equipements_STEU!H20</f>
        <v/>
      </c>
      <c r="E62" s="911"/>
      <c r="F62" s="341" t="str">
        <f ca="1">Equipements_STEU!I20</f>
        <v/>
      </c>
      <c r="G62" s="423" t="str">
        <f ca="1">Equipements_STEU!M20</f>
        <v/>
      </c>
      <c r="H62" s="912" t="str">
        <f ca="1">Equipements_STEU!J20</f>
        <v/>
      </c>
      <c r="I62" s="913"/>
      <c r="J62" s="912" t="str">
        <f ca="1">Equipements_STEU!K20</f>
        <v/>
      </c>
      <c r="K62" s="914"/>
      <c r="L62" s="914"/>
      <c r="M62" s="914"/>
      <c r="N62" s="430" t="str">
        <f ca="1">Equipements_STEU!P20</f>
        <v/>
      </c>
      <c r="O62" s="394" t="str">
        <f ca="1">IF(Equipements_STEU!Y20&lt;&gt;"",Equipements_STEU!AK20,"")</f>
        <v/>
      </c>
      <c r="P62" s="394" t="str">
        <f ca="1">IF(Equipements_STEU!Z20&lt;&gt;"",Equipements_STEU!AL20,"")</f>
        <v/>
      </c>
      <c r="Q62" s="394" t="str">
        <f ca="1">IF(Equipements_STEU!AA20&lt;&gt;"",Equipements_STEU!AM20,"")</f>
        <v/>
      </c>
      <c r="R62" s="394" t="str">
        <f ca="1">IF(Equipements_STEU!AB20&lt;&gt;"",Equipements_STEU!AN20,"")</f>
        <v/>
      </c>
      <c r="S62" s="394" t="str">
        <f ca="1">IF(Equipements_STEU!AC20&lt;&gt;"",Equipements_STEU!AO20,"")</f>
        <v/>
      </c>
      <c r="T62" s="394" t="str">
        <f ca="1">IF(Equipements_STEU!AD20&lt;&gt;"",Equipements_STEU!AP20,"")</f>
        <v/>
      </c>
      <c r="U62" s="394" t="str">
        <f ca="1">IF(Equipements_STEU!AE20&lt;&gt;"",Equipements_STEU!AQ20,"")</f>
        <v/>
      </c>
      <c r="V62" s="394" t="str">
        <f ca="1">IF(Equipements_STEU!AF20&lt;&gt;"",Equipements_STEU!AR20,"")</f>
        <v/>
      </c>
      <c r="W62" s="394" t="str">
        <f ca="1">IF(Equipements_STEU!AG20&lt;&gt;"",Equipements_STEU!AS20,"")</f>
        <v/>
      </c>
      <c r="X62" s="486" t="str">
        <f ca="1">IF(Equipements_STEU!AH20&lt;&gt;"",Equipements_STEU!AT20,"")</f>
        <v/>
      </c>
      <c r="Y62" s="329"/>
      <c r="Z62" s="329"/>
      <c r="AA62" s="346"/>
      <c r="AB62" s="323"/>
    </row>
    <row r="63" spans="2:28" ht="20.100000000000001" customHeight="1" outlineLevel="1" x14ac:dyDescent="0.4">
      <c r="B63" s="328"/>
      <c r="C63" s="345"/>
      <c r="D63" s="910" t="str">
        <f ca="1">Equipements_STEU!H21</f>
        <v/>
      </c>
      <c r="E63" s="911"/>
      <c r="F63" s="341" t="str">
        <f ca="1">Equipements_STEU!I21</f>
        <v/>
      </c>
      <c r="G63" s="423" t="str">
        <f ca="1">Equipements_STEU!M21</f>
        <v/>
      </c>
      <c r="H63" s="912" t="str">
        <f ca="1">Equipements_STEU!J21</f>
        <v/>
      </c>
      <c r="I63" s="913"/>
      <c r="J63" s="912" t="str">
        <f ca="1">Equipements_STEU!K21</f>
        <v/>
      </c>
      <c r="K63" s="914"/>
      <c r="L63" s="914"/>
      <c r="M63" s="914"/>
      <c r="N63" s="430" t="str">
        <f ca="1">Equipements_STEU!P21</f>
        <v/>
      </c>
      <c r="O63" s="394" t="str">
        <f ca="1">IF(Equipements_STEU!Y21&lt;&gt;"",Equipements_STEU!AK21,"")</f>
        <v/>
      </c>
      <c r="P63" s="394" t="str">
        <f ca="1">IF(Equipements_STEU!Z21&lt;&gt;"",Equipements_STEU!AL21,"")</f>
        <v/>
      </c>
      <c r="Q63" s="394" t="str">
        <f ca="1">IF(Equipements_STEU!AA21&lt;&gt;"",Equipements_STEU!AM21,"")</f>
        <v/>
      </c>
      <c r="R63" s="394" t="str">
        <f ca="1">IF(Equipements_STEU!AB21&lt;&gt;"",Equipements_STEU!AN21,"")</f>
        <v/>
      </c>
      <c r="S63" s="394" t="str">
        <f ca="1">IF(Equipements_STEU!AC21&lt;&gt;"",Equipements_STEU!AO21,"")</f>
        <v/>
      </c>
      <c r="T63" s="394" t="str">
        <f ca="1">IF(Equipements_STEU!AD21&lt;&gt;"",Equipements_STEU!AP21,"")</f>
        <v/>
      </c>
      <c r="U63" s="394" t="str">
        <f ca="1">IF(Equipements_STEU!AE21&lt;&gt;"",Equipements_STEU!AQ21,"")</f>
        <v/>
      </c>
      <c r="V63" s="394" t="str">
        <f ca="1">IF(Equipements_STEU!AF21&lt;&gt;"",Equipements_STEU!AR21,"")</f>
        <v/>
      </c>
      <c r="W63" s="394" t="str">
        <f ca="1">IF(Equipements_STEU!AG21&lt;&gt;"",Equipements_STEU!AS21,"")</f>
        <v/>
      </c>
      <c r="X63" s="486" t="str">
        <f ca="1">IF(Equipements_STEU!AH21&lt;&gt;"",Equipements_STEU!AT21,"")</f>
        <v/>
      </c>
      <c r="Y63" s="329"/>
      <c r="Z63" s="329"/>
      <c r="AA63" s="346"/>
      <c r="AB63" s="323"/>
    </row>
    <row r="64" spans="2:28" ht="20.100000000000001" customHeight="1" outlineLevel="1" x14ac:dyDescent="0.4">
      <c r="B64" s="328"/>
      <c r="C64" s="345"/>
      <c r="D64" s="910" t="str">
        <f ca="1">Equipements_STEU!H22</f>
        <v/>
      </c>
      <c r="E64" s="911"/>
      <c r="F64" s="341" t="str">
        <f ca="1">Equipements_STEU!I22</f>
        <v/>
      </c>
      <c r="G64" s="423" t="str">
        <f ca="1">Equipements_STEU!M22</f>
        <v/>
      </c>
      <c r="H64" s="912" t="str">
        <f ca="1">Equipements_STEU!J22</f>
        <v/>
      </c>
      <c r="I64" s="913"/>
      <c r="J64" s="912" t="str">
        <f ca="1">Equipements_STEU!K22</f>
        <v/>
      </c>
      <c r="K64" s="914"/>
      <c r="L64" s="914"/>
      <c r="M64" s="914"/>
      <c r="N64" s="430" t="str">
        <f ca="1">Equipements_STEU!P22</f>
        <v/>
      </c>
      <c r="O64" s="394" t="str">
        <f ca="1">IF(Equipements_STEU!Y22&lt;&gt;"",Equipements_STEU!AK22,"")</f>
        <v/>
      </c>
      <c r="P64" s="394" t="str">
        <f ca="1">IF(Equipements_STEU!Z22&lt;&gt;"",Equipements_STEU!AL22,"")</f>
        <v/>
      </c>
      <c r="Q64" s="394" t="str">
        <f ca="1">IF(Equipements_STEU!AA22&lt;&gt;"",Equipements_STEU!AM22,"")</f>
        <v/>
      </c>
      <c r="R64" s="394" t="str">
        <f ca="1">IF(Equipements_STEU!AB22&lt;&gt;"",Equipements_STEU!AN22,"")</f>
        <v/>
      </c>
      <c r="S64" s="394" t="str">
        <f ca="1">IF(Equipements_STEU!AC22&lt;&gt;"",Equipements_STEU!AO22,"")</f>
        <v/>
      </c>
      <c r="T64" s="394" t="str">
        <f ca="1">IF(Equipements_STEU!AD22&lt;&gt;"",Equipements_STEU!AP22,"")</f>
        <v/>
      </c>
      <c r="U64" s="394" t="str">
        <f ca="1">IF(Equipements_STEU!AE22&lt;&gt;"",Equipements_STEU!AQ22,"")</f>
        <v/>
      </c>
      <c r="V64" s="394" t="str">
        <f ca="1">IF(Equipements_STEU!AF22&lt;&gt;"",Equipements_STEU!AR22,"")</f>
        <v/>
      </c>
      <c r="W64" s="394" t="str">
        <f ca="1">IF(Equipements_STEU!AG22&lt;&gt;"",Equipements_STEU!AS22,"")</f>
        <v/>
      </c>
      <c r="X64" s="486" t="str">
        <f ca="1">IF(Equipements_STEU!AH22&lt;&gt;"",Equipements_STEU!AT22,"")</f>
        <v/>
      </c>
      <c r="Y64" s="329"/>
      <c r="Z64" s="329"/>
      <c r="AA64" s="346"/>
      <c r="AB64" s="323"/>
    </row>
    <row r="65" spans="2:28" ht="20.100000000000001" customHeight="1" outlineLevel="1" x14ac:dyDescent="0.4">
      <c r="B65" s="328"/>
      <c r="C65" s="345"/>
      <c r="D65" s="910" t="str">
        <f ca="1">Equipements_STEU!H23</f>
        <v/>
      </c>
      <c r="E65" s="911"/>
      <c r="F65" s="341" t="str">
        <f ca="1">Equipements_STEU!I23</f>
        <v/>
      </c>
      <c r="G65" s="423" t="str">
        <f ca="1">Equipements_STEU!M23</f>
        <v/>
      </c>
      <c r="H65" s="912" t="str">
        <f ca="1">Equipements_STEU!J23</f>
        <v/>
      </c>
      <c r="I65" s="913"/>
      <c r="J65" s="912" t="str">
        <f ca="1">Equipements_STEU!K23</f>
        <v/>
      </c>
      <c r="K65" s="914"/>
      <c r="L65" s="914"/>
      <c r="M65" s="914"/>
      <c r="N65" s="430" t="str">
        <f ca="1">Equipements_STEU!P23</f>
        <v/>
      </c>
      <c r="O65" s="394" t="str">
        <f ca="1">IF(Equipements_STEU!Y23&lt;&gt;"",Equipements_STEU!AK23,"")</f>
        <v/>
      </c>
      <c r="P65" s="394" t="str">
        <f ca="1">IF(Equipements_STEU!Z23&lt;&gt;"",Equipements_STEU!AL23,"")</f>
        <v/>
      </c>
      <c r="Q65" s="394" t="str">
        <f ca="1">IF(Equipements_STEU!AA23&lt;&gt;"",Equipements_STEU!AM23,"")</f>
        <v/>
      </c>
      <c r="R65" s="394" t="str">
        <f ca="1">IF(Equipements_STEU!AB23&lt;&gt;"",Equipements_STEU!AN23,"")</f>
        <v/>
      </c>
      <c r="S65" s="394" t="str">
        <f ca="1">IF(Equipements_STEU!AC23&lt;&gt;"",Equipements_STEU!AO23,"")</f>
        <v/>
      </c>
      <c r="T65" s="394" t="str">
        <f ca="1">IF(Equipements_STEU!AD23&lt;&gt;"",Equipements_STEU!AP23,"")</f>
        <v/>
      </c>
      <c r="U65" s="394" t="str">
        <f ca="1">IF(Equipements_STEU!AE23&lt;&gt;"",Equipements_STEU!AQ23,"")</f>
        <v/>
      </c>
      <c r="V65" s="394" t="str">
        <f ca="1">IF(Equipements_STEU!AF23&lt;&gt;"",Equipements_STEU!AR23,"")</f>
        <v/>
      </c>
      <c r="W65" s="394" t="str">
        <f ca="1">IF(Equipements_STEU!AG23&lt;&gt;"",Equipements_STEU!AS23,"")</f>
        <v/>
      </c>
      <c r="X65" s="486" t="str">
        <f ca="1">IF(Equipements_STEU!AH23&lt;&gt;"",Equipements_STEU!AT23,"")</f>
        <v/>
      </c>
      <c r="Y65" s="329"/>
      <c r="Z65" s="329"/>
      <c r="AA65" s="346"/>
      <c r="AB65" s="323"/>
    </row>
    <row r="66" spans="2:28" ht="20.100000000000001" customHeight="1" outlineLevel="1" x14ac:dyDescent="0.4">
      <c r="B66" s="328"/>
      <c r="C66" s="345"/>
      <c r="D66" s="910" t="str">
        <f ca="1">Equipements_STEU!H24</f>
        <v/>
      </c>
      <c r="E66" s="911"/>
      <c r="F66" s="341" t="str">
        <f ca="1">Equipements_STEU!I24</f>
        <v/>
      </c>
      <c r="G66" s="423" t="str">
        <f ca="1">Equipements_STEU!M24</f>
        <v/>
      </c>
      <c r="H66" s="912" t="str">
        <f ca="1">Equipements_STEU!J24</f>
        <v/>
      </c>
      <c r="I66" s="913"/>
      <c r="J66" s="912" t="str">
        <f ca="1">Equipements_STEU!K24</f>
        <v/>
      </c>
      <c r="K66" s="914"/>
      <c r="L66" s="914"/>
      <c r="M66" s="914"/>
      <c r="N66" s="430" t="str">
        <f ca="1">Equipements_STEU!P24</f>
        <v/>
      </c>
      <c r="O66" s="394" t="str">
        <f ca="1">IF(Equipements_STEU!Y24&lt;&gt;"",Equipements_STEU!AK24,"")</f>
        <v/>
      </c>
      <c r="P66" s="394" t="str">
        <f ca="1">IF(Equipements_STEU!Z24&lt;&gt;"",Equipements_STEU!AL24,"")</f>
        <v/>
      </c>
      <c r="Q66" s="394" t="str">
        <f ca="1">IF(Equipements_STEU!AA24&lt;&gt;"",Equipements_STEU!AM24,"")</f>
        <v/>
      </c>
      <c r="R66" s="394" t="str">
        <f ca="1">IF(Equipements_STEU!AB24&lt;&gt;"",Equipements_STEU!AN24,"")</f>
        <v/>
      </c>
      <c r="S66" s="394" t="str">
        <f ca="1">IF(Equipements_STEU!AC24&lt;&gt;"",Equipements_STEU!AO24,"")</f>
        <v/>
      </c>
      <c r="T66" s="394" t="str">
        <f ca="1">IF(Equipements_STEU!AD24&lt;&gt;"",Equipements_STEU!AP24,"")</f>
        <v/>
      </c>
      <c r="U66" s="394" t="str">
        <f ca="1">IF(Equipements_STEU!AE24&lt;&gt;"",Equipements_STEU!AQ24,"")</f>
        <v/>
      </c>
      <c r="V66" s="394" t="str">
        <f ca="1">IF(Equipements_STEU!AF24&lt;&gt;"",Equipements_STEU!AR24,"")</f>
        <v/>
      </c>
      <c r="W66" s="394" t="str">
        <f ca="1">IF(Equipements_STEU!AG24&lt;&gt;"",Equipements_STEU!AS24,"")</f>
        <v/>
      </c>
      <c r="X66" s="486" t="str">
        <f ca="1">IF(Equipements_STEU!AH24&lt;&gt;"",Equipements_STEU!AT24,"")</f>
        <v/>
      </c>
      <c r="Y66" s="329"/>
      <c r="Z66" s="329"/>
      <c r="AA66" s="346"/>
      <c r="AB66" s="323"/>
    </row>
    <row r="67" spans="2:28" ht="20.100000000000001" customHeight="1" outlineLevel="1" x14ac:dyDescent="0.4">
      <c r="B67" s="328"/>
      <c r="C67" s="345"/>
      <c r="D67" s="910" t="str">
        <f ca="1">Equipements_STEU!H25</f>
        <v/>
      </c>
      <c r="E67" s="911"/>
      <c r="F67" s="341" t="str">
        <f ca="1">Equipements_STEU!I25</f>
        <v/>
      </c>
      <c r="G67" s="423" t="str">
        <f ca="1">Equipements_STEU!M25</f>
        <v/>
      </c>
      <c r="H67" s="912" t="str">
        <f ca="1">Equipements_STEU!J25</f>
        <v/>
      </c>
      <c r="I67" s="913"/>
      <c r="J67" s="912" t="str">
        <f ca="1">Equipements_STEU!K25</f>
        <v/>
      </c>
      <c r="K67" s="914"/>
      <c r="L67" s="914"/>
      <c r="M67" s="914"/>
      <c r="N67" s="430" t="str">
        <f ca="1">Equipements_STEU!P25</f>
        <v/>
      </c>
      <c r="O67" s="394" t="str">
        <f ca="1">IF(Equipements_STEU!Y25&lt;&gt;"",Equipements_STEU!AK25,"")</f>
        <v/>
      </c>
      <c r="P67" s="394" t="str">
        <f ca="1">IF(Equipements_STEU!Z25&lt;&gt;"",Equipements_STEU!AL25,"")</f>
        <v/>
      </c>
      <c r="Q67" s="394" t="str">
        <f ca="1">IF(Equipements_STEU!AA25&lt;&gt;"",Equipements_STEU!AM25,"")</f>
        <v/>
      </c>
      <c r="R67" s="394" t="str">
        <f ca="1">IF(Equipements_STEU!AB25&lt;&gt;"",Equipements_STEU!AN25,"")</f>
        <v/>
      </c>
      <c r="S67" s="394" t="str">
        <f ca="1">IF(Equipements_STEU!AC25&lt;&gt;"",Equipements_STEU!AO25,"")</f>
        <v/>
      </c>
      <c r="T67" s="394" t="str">
        <f ca="1">IF(Equipements_STEU!AD25&lt;&gt;"",Equipements_STEU!AP25,"")</f>
        <v/>
      </c>
      <c r="U67" s="394" t="str">
        <f ca="1">IF(Equipements_STEU!AE25&lt;&gt;"",Equipements_STEU!AQ25,"")</f>
        <v/>
      </c>
      <c r="V67" s="394" t="str">
        <f ca="1">IF(Equipements_STEU!AF25&lt;&gt;"",Equipements_STEU!AR25,"")</f>
        <v/>
      </c>
      <c r="W67" s="394" t="str">
        <f ca="1">IF(Equipements_STEU!AG25&lt;&gt;"",Equipements_STEU!AS25,"")</f>
        <v/>
      </c>
      <c r="X67" s="486" t="str">
        <f ca="1">IF(Equipements_STEU!AH25&lt;&gt;"",Equipements_STEU!AT25,"")</f>
        <v/>
      </c>
      <c r="Y67" s="329"/>
      <c r="Z67" s="329"/>
      <c r="AA67" s="346"/>
      <c r="AB67" s="323"/>
    </row>
    <row r="68" spans="2:28" ht="20.100000000000001" customHeight="1" outlineLevel="1" x14ac:dyDescent="0.4">
      <c r="B68" s="328"/>
      <c r="C68" s="345"/>
      <c r="D68" s="910" t="str">
        <f ca="1">Equipements_STEU!H26</f>
        <v/>
      </c>
      <c r="E68" s="911"/>
      <c r="F68" s="341" t="str">
        <f ca="1">Equipements_STEU!I26</f>
        <v/>
      </c>
      <c r="G68" s="423" t="str">
        <f ca="1">Equipements_STEU!M26</f>
        <v/>
      </c>
      <c r="H68" s="912" t="str">
        <f ca="1">Equipements_STEU!J26</f>
        <v/>
      </c>
      <c r="I68" s="913"/>
      <c r="J68" s="912" t="str">
        <f ca="1">Equipements_STEU!K26</f>
        <v/>
      </c>
      <c r="K68" s="914"/>
      <c r="L68" s="914"/>
      <c r="M68" s="914"/>
      <c r="N68" s="430" t="str">
        <f ca="1">Equipements_STEU!P26</f>
        <v/>
      </c>
      <c r="O68" s="394" t="str">
        <f ca="1">IF(Equipements_STEU!Y26&lt;&gt;"",Equipements_STEU!AK26,"")</f>
        <v/>
      </c>
      <c r="P68" s="394" t="str">
        <f ca="1">IF(Equipements_STEU!Z26&lt;&gt;"",Equipements_STEU!AL26,"")</f>
        <v/>
      </c>
      <c r="Q68" s="394" t="str">
        <f ca="1">IF(Equipements_STEU!AA26&lt;&gt;"",Equipements_STEU!AM26,"")</f>
        <v/>
      </c>
      <c r="R68" s="394" t="str">
        <f ca="1">IF(Equipements_STEU!AB26&lt;&gt;"",Equipements_STEU!AN26,"")</f>
        <v/>
      </c>
      <c r="S68" s="394" t="str">
        <f ca="1">IF(Equipements_STEU!AC26&lt;&gt;"",Equipements_STEU!AO26,"")</f>
        <v/>
      </c>
      <c r="T68" s="394" t="str">
        <f ca="1">IF(Equipements_STEU!AD26&lt;&gt;"",Equipements_STEU!AP26,"")</f>
        <v/>
      </c>
      <c r="U68" s="394" t="str">
        <f ca="1">IF(Equipements_STEU!AE26&lt;&gt;"",Equipements_STEU!AQ26,"")</f>
        <v/>
      </c>
      <c r="V68" s="394" t="str">
        <f ca="1">IF(Equipements_STEU!AF26&lt;&gt;"",Equipements_STEU!AR26,"")</f>
        <v/>
      </c>
      <c r="W68" s="394" t="str">
        <f ca="1">IF(Equipements_STEU!AG26&lt;&gt;"",Equipements_STEU!AS26,"")</f>
        <v/>
      </c>
      <c r="X68" s="486" t="str">
        <f ca="1">IF(Equipements_STEU!AH26&lt;&gt;"",Equipements_STEU!AT26,"")</f>
        <v/>
      </c>
      <c r="Y68" s="329"/>
      <c r="Z68" s="329"/>
      <c r="AA68" s="346"/>
      <c r="AB68" s="323"/>
    </row>
    <row r="69" spans="2:28" ht="20.100000000000001" customHeight="1" outlineLevel="1" x14ac:dyDescent="0.4">
      <c r="B69" s="328"/>
      <c r="C69" s="345"/>
      <c r="D69" s="910" t="str">
        <f ca="1">Equipements_STEU!H27</f>
        <v/>
      </c>
      <c r="E69" s="911"/>
      <c r="F69" s="341" t="str">
        <f ca="1">Equipements_STEU!I27</f>
        <v/>
      </c>
      <c r="G69" s="423" t="str">
        <f ca="1">Equipements_STEU!M27</f>
        <v/>
      </c>
      <c r="H69" s="912" t="str">
        <f ca="1">Equipements_STEU!J27</f>
        <v/>
      </c>
      <c r="I69" s="913"/>
      <c r="J69" s="912" t="str">
        <f ca="1">Equipements_STEU!K27</f>
        <v/>
      </c>
      <c r="K69" s="914"/>
      <c r="L69" s="914"/>
      <c r="M69" s="914"/>
      <c r="N69" s="430" t="str">
        <f ca="1">Equipements_STEU!P27</f>
        <v/>
      </c>
      <c r="O69" s="394" t="str">
        <f ca="1">IF(Equipements_STEU!Y27&lt;&gt;"",Equipements_STEU!AK27,"")</f>
        <v/>
      </c>
      <c r="P69" s="394" t="str">
        <f ca="1">IF(Equipements_STEU!Z27&lt;&gt;"",Equipements_STEU!AL27,"")</f>
        <v/>
      </c>
      <c r="Q69" s="394" t="str">
        <f ca="1">IF(Equipements_STEU!AA27&lt;&gt;"",Equipements_STEU!AM27,"")</f>
        <v/>
      </c>
      <c r="R69" s="394" t="str">
        <f ca="1">IF(Equipements_STEU!AB27&lt;&gt;"",Equipements_STEU!AN27,"")</f>
        <v/>
      </c>
      <c r="S69" s="394" t="str">
        <f ca="1">IF(Equipements_STEU!AC27&lt;&gt;"",Equipements_STEU!AO27,"")</f>
        <v/>
      </c>
      <c r="T69" s="394" t="str">
        <f ca="1">IF(Equipements_STEU!AD27&lt;&gt;"",Equipements_STEU!AP27,"")</f>
        <v/>
      </c>
      <c r="U69" s="394" t="str">
        <f ca="1">IF(Equipements_STEU!AE27&lt;&gt;"",Equipements_STEU!AQ27,"")</f>
        <v/>
      </c>
      <c r="V69" s="394" t="str">
        <f ca="1">IF(Equipements_STEU!AF27&lt;&gt;"",Equipements_STEU!AR27,"")</f>
        <v/>
      </c>
      <c r="W69" s="394" t="str">
        <f ca="1">IF(Equipements_STEU!AG27&lt;&gt;"",Equipements_STEU!AS27,"")</f>
        <v/>
      </c>
      <c r="X69" s="486" t="str">
        <f ca="1">IF(Equipements_STEU!AH27&lt;&gt;"",Equipements_STEU!AT27,"")</f>
        <v/>
      </c>
      <c r="Y69" s="329"/>
      <c r="Z69" s="329"/>
      <c r="AA69" s="346"/>
      <c r="AB69" s="323"/>
    </row>
    <row r="70" spans="2:28" ht="20.100000000000001" customHeight="1" outlineLevel="1" x14ac:dyDescent="0.4">
      <c r="B70" s="328"/>
      <c r="C70" s="345"/>
      <c r="D70" s="910" t="str">
        <f ca="1">Equipements_STEU!H28</f>
        <v/>
      </c>
      <c r="E70" s="911"/>
      <c r="F70" s="341" t="str">
        <f ca="1">Equipements_STEU!I28</f>
        <v/>
      </c>
      <c r="G70" s="423" t="str">
        <f ca="1">Equipements_STEU!M28</f>
        <v/>
      </c>
      <c r="H70" s="912" t="str">
        <f ca="1">Equipements_STEU!J28</f>
        <v/>
      </c>
      <c r="I70" s="913"/>
      <c r="J70" s="912" t="str">
        <f ca="1">Equipements_STEU!K28</f>
        <v/>
      </c>
      <c r="K70" s="914"/>
      <c r="L70" s="914"/>
      <c r="M70" s="914"/>
      <c r="N70" s="430" t="str">
        <f ca="1">Equipements_STEU!P28</f>
        <v/>
      </c>
      <c r="O70" s="394" t="str">
        <f ca="1">IF(Equipements_STEU!Y28&lt;&gt;"",Equipements_STEU!AK28,"")</f>
        <v/>
      </c>
      <c r="P70" s="394" t="str">
        <f ca="1">IF(Equipements_STEU!Z28&lt;&gt;"",Equipements_STEU!AL28,"")</f>
        <v/>
      </c>
      <c r="Q70" s="394" t="str">
        <f ca="1">IF(Equipements_STEU!AA28&lt;&gt;"",Equipements_STEU!AM28,"")</f>
        <v/>
      </c>
      <c r="R70" s="394" t="str">
        <f ca="1">IF(Equipements_STEU!AB28&lt;&gt;"",Equipements_STEU!AN28,"")</f>
        <v/>
      </c>
      <c r="S70" s="394" t="str">
        <f ca="1">IF(Equipements_STEU!AC28&lt;&gt;"",Equipements_STEU!AO28,"")</f>
        <v/>
      </c>
      <c r="T70" s="394" t="str">
        <f ca="1">IF(Equipements_STEU!AD28&lt;&gt;"",Equipements_STEU!AP28,"")</f>
        <v/>
      </c>
      <c r="U70" s="394" t="str">
        <f ca="1">IF(Equipements_STEU!AE28&lt;&gt;"",Equipements_STEU!AQ28,"")</f>
        <v/>
      </c>
      <c r="V70" s="394" t="str">
        <f ca="1">IF(Equipements_STEU!AF28&lt;&gt;"",Equipements_STEU!AR28,"")</f>
        <v/>
      </c>
      <c r="W70" s="394" t="str">
        <f ca="1">IF(Equipements_STEU!AG28&lt;&gt;"",Equipements_STEU!AS28,"")</f>
        <v/>
      </c>
      <c r="X70" s="486" t="str">
        <f ca="1">IF(Equipements_STEU!AH28&lt;&gt;"",Equipements_STEU!AT28,"")</f>
        <v/>
      </c>
      <c r="Y70" s="329"/>
      <c r="Z70" s="329"/>
      <c r="AA70" s="346"/>
      <c r="AB70" s="323"/>
    </row>
    <row r="71" spans="2:28" ht="20.100000000000001" customHeight="1" outlineLevel="1" x14ac:dyDescent="0.4">
      <c r="B71" s="328"/>
      <c r="C71" s="345"/>
      <c r="D71" s="910" t="str">
        <f ca="1">Equipements_STEU!H29</f>
        <v/>
      </c>
      <c r="E71" s="911"/>
      <c r="F71" s="341" t="str">
        <f ca="1">Equipements_STEU!I29</f>
        <v/>
      </c>
      <c r="G71" s="423" t="str">
        <f ca="1">Equipements_STEU!M29</f>
        <v/>
      </c>
      <c r="H71" s="912" t="str">
        <f ca="1">Equipements_STEU!J29</f>
        <v/>
      </c>
      <c r="I71" s="913"/>
      <c r="J71" s="912" t="str">
        <f ca="1">Equipements_STEU!K29</f>
        <v/>
      </c>
      <c r="K71" s="914"/>
      <c r="L71" s="914"/>
      <c r="M71" s="914"/>
      <c r="N71" s="430" t="str">
        <f ca="1">Equipements_STEU!P29</f>
        <v/>
      </c>
      <c r="O71" s="394" t="str">
        <f ca="1">IF(Equipements_STEU!Y29&lt;&gt;"",Equipements_STEU!AK29,"")</f>
        <v/>
      </c>
      <c r="P71" s="394" t="str">
        <f ca="1">IF(Equipements_STEU!Z29&lt;&gt;"",Equipements_STEU!AL29,"")</f>
        <v/>
      </c>
      <c r="Q71" s="394" t="str">
        <f ca="1">IF(Equipements_STEU!AA29&lt;&gt;"",Equipements_STEU!AM29,"")</f>
        <v/>
      </c>
      <c r="R71" s="394" t="str">
        <f ca="1">IF(Equipements_STEU!AB29&lt;&gt;"",Equipements_STEU!AN29,"")</f>
        <v/>
      </c>
      <c r="S71" s="394" t="str">
        <f ca="1">IF(Equipements_STEU!AC29&lt;&gt;"",Equipements_STEU!AO29,"")</f>
        <v/>
      </c>
      <c r="T71" s="394" t="str">
        <f ca="1">IF(Equipements_STEU!AD29&lt;&gt;"",Equipements_STEU!AP29,"")</f>
        <v/>
      </c>
      <c r="U71" s="394" t="str">
        <f ca="1">IF(Equipements_STEU!AE29&lt;&gt;"",Equipements_STEU!AQ29,"")</f>
        <v/>
      </c>
      <c r="V71" s="394" t="str">
        <f ca="1">IF(Equipements_STEU!AF29&lt;&gt;"",Equipements_STEU!AR29,"")</f>
        <v/>
      </c>
      <c r="W71" s="394" t="str">
        <f ca="1">IF(Equipements_STEU!AG29&lt;&gt;"",Equipements_STEU!AS29,"")</f>
        <v/>
      </c>
      <c r="X71" s="486" t="str">
        <f ca="1">IF(Equipements_STEU!AH29&lt;&gt;"",Equipements_STEU!AT29,"")</f>
        <v/>
      </c>
      <c r="Y71" s="329"/>
      <c r="Z71" s="329"/>
      <c r="AA71" s="346"/>
      <c r="AB71" s="323"/>
    </row>
    <row r="72" spans="2:28" ht="20.100000000000001" customHeight="1" outlineLevel="1" x14ac:dyDescent="0.4">
      <c r="B72" s="328"/>
      <c r="C72" s="345"/>
      <c r="D72" s="910" t="str">
        <f ca="1">Equipements_STEU!H30</f>
        <v/>
      </c>
      <c r="E72" s="911"/>
      <c r="F72" s="341" t="str">
        <f ca="1">Equipements_STEU!I30</f>
        <v/>
      </c>
      <c r="G72" s="423" t="str">
        <f ca="1">Equipements_STEU!M30</f>
        <v/>
      </c>
      <c r="H72" s="912" t="str">
        <f ca="1">Equipements_STEU!J30</f>
        <v/>
      </c>
      <c r="I72" s="913"/>
      <c r="J72" s="912" t="str">
        <f ca="1">Equipements_STEU!K30</f>
        <v/>
      </c>
      <c r="K72" s="914"/>
      <c r="L72" s="914"/>
      <c r="M72" s="914"/>
      <c r="N72" s="430" t="str">
        <f ca="1">Equipements_STEU!P30</f>
        <v/>
      </c>
      <c r="O72" s="394" t="str">
        <f ca="1">IF(Equipements_STEU!Y30&lt;&gt;"",Equipements_STEU!AK30,"")</f>
        <v/>
      </c>
      <c r="P72" s="394" t="str">
        <f ca="1">IF(Equipements_STEU!Z30&lt;&gt;"",Equipements_STEU!AL30,"")</f>
        <v/>
      </c>
      <c r="Q72" s="394" t="str">
        <f ca="1">IF(Equipements_STEU!AA30&lt;&gt;"",Equipements_STEU!AM30,"")</f>
        <v/>
      </c>
      <c r="R72" s="394" t="str">
        <f ca="1">IF(Equipements_STEU!AB30&lt;&gt;"",Equipements_STEU!AN30,"")</f>
        <v/>
      </c>
      <c r="S72" s="394" t="str">
        <f ca="1">IF(Equipements_STEU!AC30&lt;&gt;"",Equipements_STEU!AO30,"")</f>
        <v/>
      </c>
      <c r="T72" s="394" t="str">
        <f ca="1">IF(Equipements_STEU!AD30&lt;&gt;"",Equipements_STEU!AP30,"")</f>
        <v/>
      </c>
      <c r="U72" s="394" t="str">
        <f ca="1">IF(Equipements_STEU!AE30&lt;&gt;"",Equipements_STEU!AQ30,"")</f>
        <v/>
      </c>
      <c r="V72" s="394" t="str">
        <f ca="1">IF(Equipements_STEU!AF30&lt;&gt;"",Equipements_STEU!AR30,"")</f>
        <v/>
      </c>
      <c r="W72" s="394" t="str">
        <f ca="1">IF(Equipements_STEU!AG30&lt;&gt;"",Equipements_STEU!AS30,"")</f>
        <v/>
      </c>
      <c r="X72" s="486" t="str">
        <f ca="1">IF(Equipements_STEU!AH30&lt;&gt;"",Equipements_STEU!AT30,"")</f>
        <v/>
      </c>
      <c r="Y72" s="329"/>
      <c r="Z72" s="329"/>
      <c r="AA72" s="346"/>
      <c r="AB72" s="323"/>
    </row>
    <row r="73" spans="2:28" ht="20.100000000000001" customHeight="1" outlineLevel="1" x14ac:dyDescent="0.4">
      <c r="B73" s="328"/>
      <c r="C73" s="345"/>
      <c r="D73" s="910" t="str">
        <f ca="1">Equipements_STEU!H31</f>
        <v/>
      </c>
      <c r="E73" s="911"/>
      <c r="F73" s="341" t="str">
        <f ca="1">Equipements_STEU!I31</f>
        <v/>
      </c>
      <c r="G73" s="423" t="str">
        <f ca="1">Equipements_STEU!M31</f>
        <v/>
      </c>
      <c r="H73" s="912" t="str">
        <f ca="1">Equipements_STEU!J31</f>
        <v/>
      </c>
      <c r="I73" s="913"/>
      <c r="J73" s="912" t="str">
        <f ca="1">Equipements_STEU!K31</f>
        <v/>
      </c>
      <c r="K73" s="914"/>
      <c r="L73" s="914"/>
      <c r="M73" s="914"/>
      <c r="N73" s="430" t="str">
        <f ca="1">Equipements_STEU!P31</f>
        <v/>
      </c>
      <c r="O73" s="394" t="str">
        <f ca="1">IF(Equipements_STEU!Y31&lt;&gt;"",Equipements_STEU!AK31,"")</f>
        <v/>
      </c>
      <c r="P73" s="394" t="str">
        <f ca="1">IF(Equipements_STEU!Z31&lt;&gt;"",Equipements_STEU!AL31,"")</f>
        <v/>
      </c>
      <c r="Q73" s="394" t="str">
        <f ca="1">IF(Equipements_STEU!AA31&lt;&gt;"",Equipements_STEU!AM31,"")</f>
        <v/>
      </c>
      <c r="R73" s="394" t="str">
        <f ca="1">IF(Equipements_STEU!AB31&lt;&gt;"",Equipements_STEU!AN31,"")</f>
        <v/>
      </c>
      <c r="S73" s="394" t="str">
        <f ca="1">IF(Equipements_STEU!AC31&lt;&gt;"",Equipements_STEU!AO31,"")</f>
        <v/>
      </c>
      <c r="T73" s="394" t="str">
        <f ca="1">IF(Equipements_STEU!AD31&lt;&gt;"",Equipements_STEU!AP31,"")</f>
        <v/>
      </c>
      <c r="U73" s="394" t="str">
        <f ca="1">IF(Equipements_STEU!AE31&lt;&gt;"",Equipements_STEU!AQ31,"")</f>
        <v/>
      </c>
      <c r="V73" s="394" t="str">
        <f ca="1">IF(Equipements_STEU!AF31&lt;&gt;"",Equipements_STEU!AR31,"")</f>
        <v/>
      </c>
      <c r="W73" s="394" t="str">
        <f ca="1">IF(Equipements_STEU!AG31&lt;&gt;"",Equipements_STEU!AS31,"")</f>
        <v/>
      </c>
      <c r="X73" s="486" t="str">
        <f ca="1">IF(Equipements_STEU!AH31&lt;&gt;"",Equipements_STEU!AT31,"")</f>
        <v/>
      </c>
      <c r="Y73" s="329"/>
      <c r="Z73" s="329"/>
      <c r="AA73" s="346"/>
      <c r="AB73" s="323"/>
    </row>
    <row r="74" spans="2:28" ht="20.100000000000001" customHeight="1" outlineLevel="1" x14ac:dyDescent="0.4">
      <c r="B74" s="328"/>
      <c r="C74" s="345"/>
      <c r="D74" s="910" t="str">
        <f ca="1">Equipements_STEU!H32</f>
        <v/>
      </c>
      <c r="E74" s="911"/>
      <c r="F74" s="341" t="str">
        <f ca="1">Equipements_STEU!I32</f>
        <v/>
      </c>
      <c r="G74" s="423" t="str">
        <f ca="1">Equipements_STEU!M32</f>
        <v/>
      </c>
      <c r="H74" s="912" t="str">
        <f ca="1">Equipements_STEU!J32</f>
        <v/>
      </c>
      <c r="I74" s="913"/>
      <c r="J74" s="912" t="str">
        <f ca="1">Equipements_STEU!K32</f>
        <v/>
      </c>
      <c r="K74" s="914"/>
      <c r="L74" s="914"/>
      <c r="M74" s="914"/>
      <c r="N74" s="430" t="str">
        <f ca="1">Equipements_STEU!P32</f>
        <v/>
      </c>
      <c r="O74" s="394" t="str">
        <f ca="1">IF(Equipements_STEU!Y32&lt;&gt;"",Equipements_STEU!AK32,"")</f>
        <v/>
      </c>
      <c r="P74" s="394" t="str">
        <f ca="1">IF(Equipements_STEU!Z32&lt;&gt;"",Equipements_STEU!AL32,"")</f>
        <v/>
      </c>
      <c r="Q74" s="394" t="str">
        <f ca="1">IF(Equipements_STEU!AA32&lt;&gt;"",Equipements_STEU!AM32,"")</f>
        <v/>
      </c>
      <c r="R74" s="394" t="str">
        <f ca="1">IF(Equipements_STEU!AB32&lt;&gt;"",Equipements_STEU!AN32,"")</f>
        <v/>
      </c>
      <c r="S74" s="394" t="str">
        <f ca="1">IF(Equipements_STEU!AC32&lt;&gt;"",Equipements_STEU!AO32,"")</f>
        <v/>
      </c>
      <c r="T74" s="394" t="str">
        <f ca="1">IF(Equipements_STEU!AD32&lt;&gt;"",Equipements_STEU!AP32,"")</f>
        <v/>
      </c>
      <c r="U74" s="394" t="str">
        <f ca="1">IF(Equipements_STEU!AE32&lt;&gt;"",Equipements_STEU!AQ32,"")</f>
        <v/>
      </c>
      <c r="V74" s="394" t="str">
        <f ca="1">IF(Equipements_STEU!AF32&lt;&gt;"",Equipements_STEU!AR32,"")</f>
        <v/>
      </c>
      <c r="W74" s="394" t="str">
        <f ca="1">IF(Equipements_STEU!AG32&lt;&gt;"",Equipements_STEU!AS32,"")</f>
        <v/>
      </c>
      <c r="X74" s="486" t="str">
        <f ca="1">IF(Equipements_STEU!AH32&lt;&gt;"",Equipements_STEU!AT32,"")</f>
        <v/>
      </c>
      <c r="Y74" s="329"/>
      <c r="Z74" s="329"/>
      <c r="AA74" s="346"/>
      <c r="AB74" s="323"/>
    </row>
    <row r="75" spans="2:28" ht="20.100000000000001" customHeight="1" outlineLevel="1" x14ac:dyDescent="0.4">
      <c r="B75" s="328"/>
      <c r="C75" s="345"/>
      <c r="D75" s="910" t="str">
        <f ca="1">Equipements_STEU!H33</f>
        <v/>
      </c>
      <c r="E75" s="911"/>
      <c r="F75" s="341" t="str">
        <f ca="1">Equipements_STEU!I33</f>
        <v/>
      </c>
      <c r="G75" s="423" t="str">
        <f ca="1">Equipements_STEU!M33</f>
        <v/>
      </c>
      <c r="H75" s="912" t="str">
        <f ca="1">Equipements_STEU!J33</f>
        <v/>
      </c>
      <c r="I75" s="913"/>
      <c r="J75" s="912" t="str">
        <f ca="1">Equipements_STEU!K33</f>
        <v/>
      </c>
      <c r="K75" s="914"/>
      <c r="L75" s="914"/>
      <c r="M75" s="914"/>
      <c r="N75" s="430" t="str">
        <f ca="1">Equipements_STEU!P33</f>
        <v/>
      </c>
      <c r="O75" s="394" t="str">
        <f ca="1">IF(Equipements_STEU!Y33&lt;&gt;"",Equipements_STEU!AK33,"")</f>
        <v/>
      </c>
      <c r="P75" s="394" t="str">
        <f ca="1">IF(Equipements_STEU!Z33&lt;&gt;"",Equipements_STEU!AL33,"")</f>
        <v/>
      </c>
      <c r="Q75" s="394" t="str">
        <f ca="1">IF(Equipements_STEU!AA33&lt;&gt;"",Equipements_STEU!AM33,"")</f>
        <v/>
      </c>
      <c r="R75" s="394" t="str">
        <f ca="1">IF(Equipements_STEU!AB33&lt;&gt;"",Equipements_STEU!AN33,"")</f>
        <v/>
      </c>
      <c r="S75" s="394" t="str">
        <f ca="1">IF(Equipements_STEU!AC33&lt;&gt;"",Equipements_STEU!AO33,"")</f>
        <v/>
      </c>
      <c r="T75" s="394" t="str">
        <f ca="1">IF(Equipements_STEU!AD33&lt;&gt;"",Equipements_STEU!AP33,"")</f>
        <v/>
      </c>
      <c r="U75" s="394" t="str">
        <f ca="1">IF(Equipements_STEU!AE33&lt;&gt;"",Equipements_STEU!AQ33,"")</f>
        <v/>
      </c>
      <c r="V75" s="394" t="str">
        <f ca="1">IF(Equipements_STEU!AF33&lt;&gt;"",Equipements_STEU!AR33,"")</f>
        <v/>
      </c>
      <c r="W75" s="394" t="str">
        <f ca="1">IF(Equipements_STEU!AG33&lt;&gt;"",Equipements_STEU!AS33,"")</f>
        <v/>
      </c>
      <c r="X75" s="486" t="str">
        <f ca="1">IF(Equipements_STEU!AH33&lt;&gt;"",Equipements_STEU!AT33,"")</f>
        <v/>
      </c>
      <c r="Y75" s="329"/>
      <c r="Z75" s="329"/>
      <c r="AA75" s="346"/>
      <c r="AB75" s="323"/>
    </row>
    <row r="76" spans="2:28" ht="20.100000000000001" customHeight="1" outlineLevel="1" x14ac:dyDescent="0.4">
      <c r="B76" s="328"/>
      <c r="C76" s="345"/>
      <c r="D76" s="910" t="str">
        <f ca="1">Equipements_STEU!H34</f>
        <v/>
      </c>
      <c r="E76" s="911"/>
      <c r="F76" s="341" t="str">
        <f ca="1">Equipements_STEU!I34</f>
        <v/>
      </c>
      <c r="G76" s="423" t="str">
        <f ca="1">Equipements_STEU!M34</f>
        <v/>
      </c>
      <c r="H76" s="912" t="str">
        <f ca="1">Equipements_STEU!J34</f>
        <v/>
      </c>
      <c r="I76" s="913"/>
      <c r="J76" s="912" t="str">
        <f ca="1">Equipements_STEU!K34</f>
        <v/>
      </c>
      <c r="K76" s="914"/>
      <c r="L76" s="914"/>
      <c r="M76" s="914"/>
      <c r="N76" s="430" t="str">
        <f ca="1">Equipements_STEU!P34</f>
        <v/>
      </c>
      <c r="O76" s="394" t="str">
        <f ca="1">IF(Equipements_STEU!Y34&lt;&gt;"",Equipements_STEU!AK34,"")</f>
        <v/>
      </c>
      <c r="P76" s="394" t="str">
        <f ca="1">IF(Equipements_STEU!Z34&lt;&gt;"",Equipements_STEU!AL34,"")</f>
        <v/>
      </c>
      <c r="Q76" s="394" t="str">
        <f ca="1">IF(Equipements_STEU!AA34&lt;&gt;"",Equipements_STEU!AM34,"")</f>
        <v/>
      </c>
      <c r="R76" s="394" t="str">
        <f ca="1">IF(Equipements_STEU!AB34&lt;&gt;"",Equipements_STEU!AN34,"")</f>
        <v/>
      </c>
      <c r="S76" s="394" t="str">
        <f ca="1">IF(Equipements_STEU!AC34&lt;&gt;"",Equipements_STEU!AO34,"")</f>
        <v/>
      </c>
      <c r="T76" s="394" t="str">
        <f ca="1">IF(Equipements_STEU!AD34&lt;&gt;"",Equipements_STEU!AP34,"")</f>
        <v/>
      </c>
      <c r="U76" s="394" t="str">
        <f ca="1">IF(Equipements_STEU!AE34&lt;&gt;"",Equipements_STEU!AQ34,"")</f>
        <v/>
      </c>
      <c r="V76" s="394" t="str">
        <f ca="1">IF(Equipements_STEU!AF34&lt;&gt;"",Equipements_STEU!AR34,"")</f>
        <v/>
      </c>
      <c r="W76" s="394" t="str">
        <f ca="1">IF(Equipements_STEU!AG34&lt;&gt;"",Equipements_STEU!AS34,"")</f>
        <v/>
      </c>
      <c r="X76" s="486" t="str">
        <f ca="1">IF(Equipements_STEU!AH34&lt;&gt;"",Equipements_STEU!AT34,"")</f>
        <v/>
      </c>
      <c r="Y76" s="329"/>
      <c r="Z76" s="329"/>
      <c r="AA76" s="346"/>
      <c r="AB76" s="323"/>
    </row>
    <row r="77" spans="2:28" ht="20.100000000000001" customHeight="1" outlineLevel="1" x14ac:dyDescent="0.4">
      <c r="B77" s="328"/>
      <c r="C77" s="345"/>
      <c r="D77" s="910" t="str">
        <f ca="1">Equipements_STEU!H35</f>
        <v/>
      </c>
      <c r="E77" s="911"/>
      <c r="F77" s="341" t="str">
        <f ca="1">Equipements_STEU!I35</f>
        <v/>
      </c>
      <c r="G77" s="423" t="str">
        <f ca="1">Equipements_STEU!M35</f>
        <v/>
      </c>
      <c r="H77" s="912" t="str">
        <f ca="1">Equipements_STEU!J35</f>
        <v/>
      </c>
      <c r="I77" s="913"/>
      <c r="J77" s="912" t="str">
        <f ca="1">Equipements_STEU!K35</f>
        <v/>
      </c>
      <c r="K77" s="914"/>
      <c r="L77" s="914"/>
      <c r="M77" s="914"/>
      <c r="N77" s="430" t="str">
        <f ca="1">Equipements_STEU!P35</f>
        <v/>
      </c>
      <c r="O77" s="394" t="str">
        <f ca="1">IF(Equipements_STEU!Y35&lt;&gt;"",Equipements_STEU!AK35,"")</f>
        <v/>
      </c>
      <c r="P77" s="394" t="str">
        <f ca="1">IF(Equipements_STEU!Z35&lt;&gt;"",Equipements_STEU!AL35,"")</f>
        <v/>
      </c>
      <c r="Q77" s="394" t="str">
        <f ca="1">IF(Equipements_STEU!AA35&lt;&gt;"",Equipements_STEU!AM35,"")</f>
        <v/>
      </c>
      <c r="R77" s="394" t="str">
        <f ca="1">IF(Equipements_STEU!AB35&lt;&gt;"",Equipements_STEU!AN35,"")</f>
        <v/>
      </c>
      <c r="S77" s="394" t="str">
        <f ca="1">IF(Equipements_STEU!AC35&lt;&gt;"",Equipements_STEU!AO35,"")</f>
        <v/>
      </c>
      <c r="T77" s="394" t="str">
        <f ca="1">IF(Equipements_STEU!AD35&lt;&gt;"",Equipements_STEU!AP35,"")</f>
        <v/>
      </c>
      <c r="U77" s="394" t="str">
        <f ca="1">IF(Equipements_STEU!AE35&lt;&gt;"",Equipements_STEU!AQ35,"")</f>
        <v/>
      </c>
      <c r="V77" s="394" t="str">
        <f ca="1">IF(Equipements_STEU!AF35&lt;&gt;"",Equipements_STEU!AR35,"")</f>
        <v/>
      </c>
      <c r="W77" s="394" t="str">
        <f ca="1">IF(Equipements_STEU!AG35&lt;&gt;"",Equipements_STEU!AS35,"")</f>
        <v/>
      </c>
      <c r="X77" s="486" t="str">
        <f ca="1">IF(Equipements_STEU!AH35&lt;&gt;"",Equipements_STEU!AT35,"")</f>
        <v/>
      </c>
      <c r="Y77" s="329"/>
      <c r="Z77" s="329"/>
      <c r="AA77" s="346"/>
      <c r="AB77" s="323"/>
    </row>
    <row r="78" spans="2:28" ht="20.100000000000001" customHeight="1" outlineLevel="1" x14ac:dyDescent="0.4">
      <c r="B78" s="328"/>
      <c r="C78" s="345"/>
      <c r="D78" s="910" t="str">
        <f ca="1">Equipements_STEU!H36</f>
        <v/>
      </c>
      <c r="E78" s="911"/>
      <c r="F78" s="341" t="str">
        <f ca="1">Equipements_STEU!I36</f>
        <v/>
      </c>
      <c r="G78" s="423" t="str">
        <f ca="1">Equipements_STEU!M36</f>
        <v/>
      </c>
      <c r="H78" s="912" t="str">
        <f ca="1">Equipements_STEU!J36</f>
        <v/>
      </c>
      <c r="I78" s="913"/>
      <c r="J78" s="912" t="str">
        <f ca="1">Equipements_STEU!K36</f>
        <v/>
      </c>
      <c r="K78" s="914"/>
      <c r="L78" s="914"/>
      <c r="M78" s="914"/>
      <c r="N78" s="430" t="str">
        <f ca="1">Equipements_STEU!P36</f>
        <v/>
      </c>
      <c r="O78" s="394" t="str">
        <f ca="1">IF(Equipements_STEU!Y36&lt;&gt;"",Equipements_STEU!AK36,"")</f>
        <v/>
      </c>
      <c r="P78" s="394" t="str">
        <f ca="1">IF(Equipements_STEU!Z36&lt;&gt;"",Equipements_STEU!AL36,"")</f>
        <v/>
      </c>
      <c r="Q78" s="394" t="str">
        <f ca="1">IF(Equipements_STEU!AA36&lt;&gt;"",Equipements_STEU!AM36,"")</f>
        <v/>
      </c>
      <c r="R78" s="394" t="str">
        <f ca="1">IF(Equipements_STEU!AB36&lt;&gt;"",Equipements_STEU!AN36,"")</f>
        <v/>
      </c>
      <c r="S78" s="394" t="str">
        <f ca="1">IF(Equipements_STEU!AC36&lt;&gt;"",Equipements_STEU!AO36,"")</f>
        <v/>
      </c>
      <c r="T78" s="394" t="str">
        <f ca="1">IF(Equipements_STEU!AD36&lt;&gt;"",Equipements_STEU!AP36,"")</f>
        <v/>
      </c>
      <c r="U78" s="394" t="str">
        <f ca="1">IF(Equipements_STEU!AE36&lt;&gt;"",Equipements_STEU!AQ36,"")</f>
        <v/>
      </c>
      <c r="V78" s="394" t="str">
        <f ca="1">IF(Equipements_STEU!AF36&lt;&gt;"",Equipements_STEU!AR36,"")</f>
        <v/>
      </c>
      <c r="W78" s="394" t="str">
        <f ca="1">IF(Equipements_STEU!AG36&lt;&gt;"",Equipements_STEU!AS36,"")</f>
        <v/>
      </c>
      <c r="X78" s="486" t="str">
        <f ca="1">IF(Equipements_STEU!AH36&lt;&gt;"",Equipements_STEU!AT36,"")</f>
        <v/>
      </c>
      <c r="Y78" s="329"/>
      <c r="Z78" s="329"/>
      <c r="AA78" s="346"/>
      <c r="AB78" s="323"/>
    </row>
    <row r="79" spans="2:28" ht="20.100000000000001" customHeight="1" outlineLevel="1" x14ac:dyDescent="0.4">
      <c r="B79" s="328"/>
      <c r="C79" s="345"/>
      <c r="D79" s="910" t="str">
        <f ca="1">Equipements_STEU!H37</f>
        <v/>
      </c>
      <c r="E79" s="911"/>
      <c r="F79" s="341" t="str">
        <f ca="1">Equipements_STEU!I37</f>
        <v/>
      </c>
      <c r="G79" s="423" t="str">
        <f ca="1">Equipements_STEU!M37</f>
        <v/>
      </c>
      <c r="H79" s="912" t="str">
        <f ca="1">Equipements_STEU!J37</f>
        <v/>
      </c>
      <c r="I79" s="913"/>
      <c r="J79" s="912" t="str">
        <f ca="1">Equipements_STEU!K37</f>
        <v/>
      </c>
      <c r="K79" s="914"/>
      <c r="L79" s="914"/>
      <c r="M79" s="914"/>
      <c r="N79" s="430" t="str">
        <f ca="1">Equipements_STEU!P37</f>
        <v/>
      </c>
      <c r="O79" s="394" t="str">
        <f ca="1">IF(Equipements_STEU!Y37&lt;&gt;"",Equipements_STEU!AK37,"")</f>
        <v/>
      </c>
      <c r="P79" s="394" t="str">
        <f ca="1">IF(Equipements_STEU!Z37&lt;&gt;"",Equipements_STEU!AL37,"")</f>
        <v/>
      </c>
      <c r="Q79" s="394" t="str">
        <f ca="1">IF(Equipements_STEU!AA37&lt;&gt;"",Equipements_STEU!AM37,"")</f>
        <v/>
      </c>
      <c r="R79" s="394" t="str">
        <f ca="1">IF(Equipements_STEU!AB37&lt;&gt;"",Equipements_STEU!AN37,"")</f>
        <v/>
      </c>
      <c r="S79" s="394" t="str">
        <f ca="1">IF(Equipements_STEU!AC37&lt;&gt;"",Equipements_STEU!AO37,"")</f>
        <v/>
      </c>
      <c r="T79" s="394" t="str">
        <f ca="1">IF(Equipements_STEU!AD37&lt;&gt;"",Equipements_STEU!AP37,"")</f>
        <v/>
      </c>
      <c r="U79" s="394" t="str">
        <f ca="1">IF(Equipements_STEU!AE37&lt;&gt;"",Equipements_STEU!AQ37,"")</f>
        <v/>
      </c>
      <c r="V79" s="394" t="str">
        <f ca="1">IF(Equipements_STEU!AF37&lt;&gt;"",Equipements_STEU!AR37,"")</f>
        <v/>
      </c>
      <c r="W79" s="394" t="str">
        <f ca="1">IF(Equipements_STEU!AG37&lt;&gt;"",Equipements_STEU!AS37,"")</f>
        <v/>
      </c>
      <c r="X79" s="486" t="str">
        <f ca="1">IF(Equipements_STEU!AH37&lt;&gt;"",Equipements_STEU!AT37,"")</f>
        <v/>
      </c>
      <c r="Y79" s="329"/>
      <c r="Z79" s="329"/>
      <c r="AA79" s="346"/>
      <c r="AB79" s="323"/>
    </row>
    <row r="80" spans="2:28" ht="20.100000000000001" customHeight="1" outlineLevel="1" x14ac:dyDescent="0.4">
      <c r="B80" s="328"/>
      <c r="C80" s="345"/>
      <c r="D80" s="910" t="str">
        <f ca="1">Equipements_STEU!H38</f>
        <v/>
      </c>
      <c r="E80" s="911"/>
      <c r="F80" s="341" t="str">
        <f ca="1">Equipements_STEU!I38</f>
        <v/>
      </c>
      <c r="G80" s="423" t="str">
        <f ca="1">Equipements_STEU!M38</f>
        <v/>
      </c>
      <c r="H80" s="912" t="str">
        <f ca="1">Equipements_STEU!J38</f>
        <v/>
      </c>
      <c r="I80" s="913"/>
      <c r="J80" s="912" t="str">
        <f ca="1">Equipements_STEU!K38</f>
        <v/>
      </c>
      <c r="K80" s="914"/>
      <c r="L80" s="914"/>
      <c r="M80" s="914"/>
      <c r="N80" s="430" t="str">
        <f ca="1">Equipements_STEU!P38</f>
        <v/>
      </c>
      <c r="O80" s="394" t="str">
        <f ca="1">IF(Equipements_STEU!Y38&lt;&gt;"",Equipements_STEU!AK38,"")</f>
        <v/>
      </c>
      <c r="P80" s="394" t="str">
        <f ca="1">IF(Equipements_STEU!Z38&lt;&gt;"",Equipements_STEU!AL38,"")</f>
        <v/>
      </c>
      <c r="Q80" s="394" t="str">
        <f ca="1">IF(Equipements_STEU!AA38&lt;&gt;"",Equipements_STEU!AM38,"")</f>
        <v/>
      </c>
      <c r="R80" s="394" t="str">
        <f ca="1">IF(Equipements_STEU!AB38&lt;&gt;"",Equipements_STEU!AN38,"")</f>
        <v/>
      </c>
      <c r="S80" s="394" t="str">
        <f ca="1">IF(Equipements_STEU!AC38&lt;&gt;"",Equipements_STEU!AO38,"")</f>
        <v/>
      </c>
      <c r="T80" s="394" t="str">
        <f ca="1">IF(Equipements_STEU!AD38&lt;&gt;"",Equipements_STEU!AP38,"")</f>
        <v/>
      </c>
      <c r="U80" s="394" t="str">
        <f ca="1">IF(Equipements_STEU!AE38&lt;&gt;"",Equipements_STEU!AQ38,"")</f>
        <v/>
      </c>
      <c r="V80" s="394" t="str">
        <f ca="1">IF(Equipements_STEU!AF38&lt;&gt;"",Equipements_STEU!AR38,"")</f>
        <v/>
      </c>
      <c r="W80" s="394" t="str">
        <f ca="1">IF(Equipements_STEU!AG38&lt;&gt;"",Equipements_STEU!AS38,"")</f>
        <v/>
      </c>
      <c r="X80" s="486" t="str">
        <f ca="1">IF(Equipements_STEU!AH38&lt;&gt;"",Equipements_STEU!AT38,"")</f>
        <v/>
      </c>
      <c r="Y80" s="329"/>
      <c r="Z80" s="329"/>
      <c r="AA80" s="346"/>
      <c r="AB80" s="323"/>
    </row>
    <row r="81" spans="2:28" ht="20.100000000000001" customHeight="1" outlineLevel="1" x14ac:dyDescent="0.4">
      <c r="B81" s="328"/>
      <c r="C81" s="345"/>
      <c r="D81" s="910" t="str">
        <f ca="1">Equipements_STEU!H39</f>
        <v/>
      </c>
      <c r="E81" s="911"/>
      <c r="F81" s="341" t="str">
        <f ca="1">Equipements_STEU!I39</f>
        <v/>
      </c>
      <c r="G81" s="423" t="str">
        <f ca="1">Equipements_STEU!M39</f>
        <v/>
      </c>
      <c r="H81" s="912" t="str">
        <f ca="1">Equipements_STEU!J39</f>
        <v/>
      </c>
      <c r="I81" s="913"/>
      <c r="J81" s="912" t="str">
        <f ca="1">Equipements_STEU!K39</f>
        <v/>
      </c>
      <c r="K81" s="914"/>
      <c r="L81" s="914"/>
      <c r="M81" s="914"/>
      <c r="N81" s="430" t="str">
        <f ca="1">Equipements_STEU!P39</f>
        <v/>
      </c>
      <c r="O81" s="394" t="str">
        <f ca="1">IF(Equipements_STEU!Y39&lt;&gt;"",Equipements_STEU!AK39,"")</f>
        <v/>
      </c>
      <c r="P81" s="394" t="str">
        <f ca="1">IF(Equipements_STEU!Z39&lt;&gt;"",Equipements_STEU!AL39,"")</f>
        <v/>
      </c>
      <c r="Q81" s="394" t="str">
        <f ca="1">IF(Equipements_STEU!AA39&lt;&gt;"",Equipements_STEU!AM39,"")</f>
        <v/>
      </c>
      <c r="R81" s="394" t="str">
        <f ca="1">IF(Equipements_STEU!AB39&lt;&gt;"",Equipements_STEU!AN39,"")</f>
        <v/>
      </c>
      <c r="S81" s="394" t="str">
        <f ca="1">IF(Equipements_STEU!AC39&lt;&gt;"",Equipements_STEU!AO39,"")</f>
        <v/>
      </c>
      <c r="T81" s="394" t="str">
        <f ca="1">IF(Equipements_STEU!AD39&lt;&gt;"",Equipements_STEU!AP39,"")</f>
        <v/>
      </c>
      <c r="U81" s="394" t="str">
        <f ca="1">IF(Equipements_STEU!AE39&lt;&gt;"",Equipements_STEU!AQ39,"")</f>
        <v/>
      </c>
      <c r="V81" s="394" t="str">
        <f ca="1">IF(Equipements_STEU!AF39&lt;&gt;"",Equipements_STEU!AR39,"")</f>
        <v/>
      </c>
      <c r="W81" s="394" t="str">
        <f ca="1">IF(Equipements_STEU!AG39&lt;&gt;"",Equipements_STEU!AS39,"")</f>
        <v/>
      </c>
      <c r="X81" s="486" t="str">
        <f ca="1">IF(Equipements_STEU!AH39&lt;&gt;"",Equipements_STEU!AT39,"")</f>
        <v/>
      </c>
      <c r="Y81" s="329"/>
      <c r="Z81" s="329"/>
      <c r="AA81" s="346"/>
      <c r="AB81" s="323"/>
    </row>
    <row r="82" spans="2:28" ht="20.100000000000001" customHeight="1" outlineLevel="1" x14ac:dyDescent="0.4">
      <c r="B82" s="328"/>
      <c r="C82" s="345"/>
      <c r="D82" s="910" t="str">
        <f ca="1">Equipements_STEU!H40</f>
        <v/>
      </c>
      <c r="E82" s="911"/>
      <c r="F82" s="341" t="str">
        <f ca="1">Equipements_STEU!I40</f>
        <v/>
      </c>
      <c r="G82" s="423" t="str">
        <f ca="1">Equipements_STEU!M40</f>
        <v/>
      </c>
      <c r="H82" s="912" t="str">
        <f ca="1">Equipements_STEU!J40</f>
        <v/>
      </c>
      <c r="I82" s="913"/>
      <c r="J82" s="912" t="str">
        <f ca="1">Equipements_STEU!K40</f>
        <v/>
      </c>
      <c r="K82" s="914"/>
      <c r="L82" s="914"/>
      <c r="M82" s="914"/>
      <c r="N82" s="430" t="str">
        <f ca="1">Equipements_STEU!P40</f>
        <v/>
      </c>
      <c r="O82" s="394" t="str">
        <f ca="1">IF(Equipements_STEU!Y40&lt;&gt;"",Equipements_STEU!AK40,"")</f>
        <v/>
      </c>
      <c r="P82" s="394" t="str">
        <f ca="1">IF(Equipements_STEU!Z40&lt;&gt;"",Equipements_STEU!AL40,"")</f>
        <v/>
      </c>
      <c r="Q82" s="394" t="str">
        <f ca="1">IF(Equipements_STEU!AA40&lt;&gt;"",Equipements_STEU!AM40,"")</f>
        <v/>
      </c>
      <c r="R82" s="394" t="str">
        <f ca="1">IF(Equipements_STEU!AB40&lt;&gt;"",Equipements_STEU!AN40,"")</f>
        <v/>
      </c>
      <c r="S82" s="394" t="str">
        <f ca="1">IF(Equipements_STEU!AC40&lt;&gt;"",Equipements_STEU!AO40,"")</f>
        <v/>
      </c>
      <c r="T82" s="394" t="str">
        <f ca="1">IF(Equipements_STEU!AD40&lt;&gt;"",Equipements_STEU!AP40,"")</f>
        <v/>
      </c>
      <c r="U82" s="394" t="str">
        <f ca="1">IF(Equipements_STEU!AE40&lt;&gt;"",Equipements_STEU!AQ40,"")</f>
        <v/>
      </c>
      <c r="V82" s="394" t="str">
        <f ca="1">IF(Equipements_STEU!AF40&lt;&gt;"",Equipements_STEU!AR40,"")</f>
        <v/>
      </c>
      <c r="W82" s="394" t="str">
        <f ca="1">IF(Equipements_STEU!AG40&lt;&gt;"",Equipements_STEU!AS40,"")</f>
        <v/>
      </c>
      <c r="X82" s="486" t="str">
        <f ca="1">IF(Equipements_STEU!AH40&lt;&gt;"",Equipements_STEU!AT40,"")</f>
        <v/>
      </c>
      <c r="Y82" s="329"/>
      <c r="Z82" s="329"/>
      <c r="AA82" s="346"/>
      <c r="AB82" s="323"/>
    </row>
    <row r="83" spans="2:28" ht="20.100000000000001" customHeight="1" outlineLevel="1" x14ac:dyDescent="0.4">
      <c r="B83" s="328"/>
      <c r="C83" s="345"/>
      <c r="D83" s="910" t="str">
        <f ca="1">Equipements_STEU!H41</f>
        <v/>
      </c>
      <c r="E83" s="911"/>
      <c r="F83" s="341" t="str">
        <f ca="1">Equipements_STEU!I41</f>
        <v/>
      </c>
      <c r="G83" s="423" t="str">
        <f ca="1">Equipements_STEU!M41</f>
        <v/>
      </c>
      <c r="H83" s="912" t="str">
        <f ca="1">Equipements_STEU!J41</f>
        <v/>
      </c>
      <c r="I83" s="913"/>
      <c r="J83" s="912" t="str">
        <f ca="1">Equipements_STEU!K41</f>
        <v/>
      </c>
      <c r="K83" s="914"/>
      <c r="L83" s="914"/>
      <c r="M83" s="914"/>
      <c r="N83" s="430" t="str">
        <f ca="1">Equipements_STEU!P41</f>
        <v/>
      </c>
      <c r="O83" s="394" t="str">
        <f ca="1">IF(Equipements_STEU!Y41&lt;&gt;"",Equipements_STEU!AK41,"")</f>
        <v/>
      </c>
      <c r="P83" s="394" t="str">
        <f ca="1">IF(Equipements_STEU!Z41&lt;&gt;"",Equipements_STEU!AL41,"")</f>
        <v/>
      </c>
      <c r="Q83" s="394" t="str">
        <f ca="1">IF(Equipements_STEU!AA41&lt;&gt;"",Equipements_STEU!AM41,"")</f>
        <v/>
      </c>
      <c r="R83" s="394" t="str">
        <f ca="1">IF(Equipements_STEU!AB41&lt;&gt;"",Equipements_STEU!AN41,"")</f>
        <v/>
      </c>
      <c r="S83" s="394" t="str">
        <f ca="1">IF(Equipements_STEU!AC41&lt;&gt;"",Equipements_STEU!AO41,"")</f>
        <v/>
      </c>
      <c r="T83" s="394" t="str">
        <f ca="1">IF(Equipements_STEU!AD41&lt;&gt;"",Equipements_STEU!AP41,"")</f>
        <v/>
      </c>
      <c r="U83" s="394" t="str">
        <f ca="1">IF(Equipements_STEU!AE41&lt;&gt;"",Equipements_STEU!AQ41,"")</f>
        <v/>
      </c>
      <c r="V83" s="394" t="str">
        <f ca="1">IF(Equipements_STEU!AF41&lt;&gt;"",Equipements_STEU!AR41,"")</f>
        <v/>
      </c>
      <c r="W83" s="394" t="str">
        <f ca="1">IF(Equipements_STEU!AG41&lt;&gt;"",Equipements_STEU!AS41,"")</f>
        <v/>
      </c>
      <c r="X83" s="486" t="str">
        <f ca="1">IF(Equipements_STEU!AH41&lt;&gt;"",Equipements_STEU!AT41,"")</f>
        <v/>
      </c>
      <c r="Y83" s="329"/>
      <c r="Z83" s="329"/>
      <c r="AA83" s="346"/>
      <c r="AB83" s="323"/>
    </row>
    <row r="84" spans="2:28" ht="20.100000000000001" customHeight="1" outlineLevel="1" x14ac:dyDescent="0.4">
      <c r="B84" s="328"/>
      <c r="C84" s="345"/>
      <c r="D84" s="910" t="str">
        <f ca="1">Equipements_STEU!H42</f>
        <v/>
      </c>
      <c r="E84" s="911"/>
      <c r="F84" s="341" t="str">
        <f ca="1">Equipements_STEU!I42</f>
        <v/>
      </c>
      <c r="G84" s="423" t="str">
        <f ca="1">Equipements_STEU!M42</f>
        <v/>
      </c>
      <c r="H84" s="912" t="str">
        <f ca="1">Equipements_STEU!J42</f>
        <v/>
      </c>
      <c r="I84" s="913"/>
      <c r="J84" s="912" t="str">
        <f ca="1">Equipements_STEU!K42</f>
        <v/>
      </c>
      <c r="K84" s="914"/>
      <c r="L84" s="914"/>
      <c r="M84" s="914"/>
      <c r="N84" s="430" t="str">
        <f ca="1">Equipements_STEU!P42</f>
        <v/>
      </c>
      <c r="O84" s="394" t="str">
        <f ca="1">IF(Equipements_STEU!Y42&lt;&gt;"",Equipements_STEU!AK42,"")</f>
        <v/>
      </c>
      <c r="P84" s="394" t="str">
        <f ca="1">IF(Equipements_STEU!Z42&lt;&gt;"",Equipements_STEU!AL42,"")</f>
        <v/>
      </c>
      <c r="Q84" s="394" t="str">
        <f ca="1">IF(Equipements_STEU!AA42&lt;&gt;"",Equipements_STEU!AM42,"")</f>
        <v/>
      </c>
      <c r="R84" s="394" t="str">
        <f ca="1">IF(Equipements_STEU!AB42&lt;&gt;"",Equipements_STEU!AN42,"")</f>
        <v/>
      </c>
      <c r="S84" s="394" t="str">
        <f ca="1">IF(Equipements_STEU!AC42&lt;&gt;"",Equipements_STEU!AO42,"")</f>
        <v/>
      </c>
      <c r="T84" s="394" t="str">
        <f ca="1">IF(Equipements_STEU!AD42&lt;&gt;"",Equipements_STEU!AP42,"")</f>
        <v/>
      </c>
      <c r="U84" s="394" t="str">
        <f ca="1">IF(Equipements_STEU!AE42&lt;&gt;"",Equipements_STEU!AQ42,"")</f>
        <v/>
      </c>
      <c r="V84" s="394" t="str">
        <f ca="1">IF(Equipements_STEU!AF42&lt;&gt;"",Equipements_STEU!AR42,"")</f>
        <v/>
      </c>
      <c r="W84" s="394" t="str">
        <f ca="1">IF(Equipements_STEU!AG42&lt;&gt;"",Equipements_STEU!AS42,"")</f>
        <v/>
      </c>
      <c r="X84" s="486" t="str">
        <f ca="1">IF(Equipements_STEU!AH42&lt;&gt;"",Equipements_STEU!AT42,"")</f>
        <v/>
      </c>
      <c r="Y84" s="329"/>
      <c r="Z84" s="329"/>
      <c r="AA84" s="346"/>
      <c r="AB84" s="323"/>
    </row>
    <row r="85" spans="2:28" ht="20.100000000000001" customHeight="1" outlineLevel="1" x14ac:dyDescent="0.4">
      <c r="B85" s="328"/>
      <c r="C85" s="345"/>
      <c r="D85" s="910" t="str">
        <f ca="1">Equipements_STEU!H43</f>
        <v/>
      </c>
      <c r="E85" s="911"/>
      <c r="F85" s="341" t="str">
        <f ca="1">Equipements_STEU!I43</f>
        <v/>
      </c>
      <c r="G85" s="423" t="str">
        <f ca="1">Equipements_STEU!M43</f>
        <v/>
      </c>
      <c r="H85" s="912" t="str">
        <f ca="1">Equipements_STEU!J43</f>
        <v/>
      </c>
      <c r="I85" s="913"/>
      <c r="J85" s="912" t="str">
        <f ca="1">Equipements_STEU!K43</f>
        <v/>
      </c>
      <c r="K85" s="914"/>
      <c r="L85" s="914"/>
      <c r="M85" s="914"/>
      <c r="N85" s="430" t="str">
        <f ca="1">Equipements_STEU!P43</f>
        <v/>
      </c>
      <c r="O85" s="394" t="str">
        <f ca="1">IF(Equipements_STEU!Y43&lt;&gt;"",Equipements_STEU!AK43,"")</f>
        <v/>
      </c>
      <c r="P85" s="394" t="str">
        <f ca="1">IF(Equipements_STEU!Z43&lt;&gt;"",Equipements_STEU!AL43,"")</f>
        <v/>
      </c>
      <c r="Q85" s="394" t="str">
        <f ca="1">IF(Equipements_STEU!AA43&lt;&gt;"",Equipements_STEU!AM43,"")</f>
        <v/>
      </c>
      <c r="R85" s="394" t="str">
        <f ca="1">IF(Equipements_STEU!AB43&lt;&gt;"",Equipements_STEU!AN43,"")</f>
        <v/>
      </c>
      <c r="S85" s="394" t="str">
        <f ca="1">IF(Equipements_STEU!AC43&lt;&gt;"",Equipements_STEU!AO43,"")</f>
        <v/>
      </c>
      <c r="T85" s="394" t="str">
        <f ca="1">IF(Equipements_STEU!AD43&lt;&gt;"",Equipements_STEU!AP43,"")</f>
        <v/>
      </c>
      <c r="U85" s="394" t="str">
        <f ca="1">IF(Equipements_STEU!AE43&lt;&gt;"",Equipements_STEU!AQ43,"")</f>
        <v/>
      </c>
      <c r="V85" s="394" t="str">
        <f ca="1">IF(Equipements_STEU!AF43&lt;&gt;"",Equipements_STEU!AR43,"")</f>
        <v/>
      </c>
      <c r="W85" s="394" t="str">
        <f ca="1">IF(Equipements_STEU!AG43&lt;&gt;"",Equipements_STEU!AS43,"")</f>
        <v/>
      </c>
      <c r="X85" s="486" t="str">
        <f ca="1">IF(Equipements_STEU!AH43&lt;&gt;"",Equipements_STEU!AT43,"")</f>
        <v/>
      </c>
      <c r="Y85" s="329"/>
      <c r="Z85" s="329"/>
      <c r="AA85" s="346"/>
      <c r="AB85" s="323"/>
    </row>
    <row r="86" spans="2:28" ht="20.100000000000001" customHeight="1" outlineLevel="1" x14ac:dyDescent="0.4">
      <c r="B86" s="328"/>
      <c r="C86" s="345"/>
      <c r="D86" s="910" t="str">
        <f ca="1">Equipements_STEU!H44</f>
        <v/>
      </c>
      <c r="E86" s="911"/>
      <c r="F86" s="341" t="str">
        <f ca="1">Equipements_STEU!I44</f>
        <v/>
      </c>
      <c r="G86" s="423" t="str">
        <f ca="1">Equipements_STEU!M44</f>
        <v/>
      </c>
      <c r="H86" s="912" t="str">
        <f ca="1">Equipements_STEU!J44</f>
        <v/>
      </c>
      <c r="I86" s="913"/>
      <c r="J86" s="912" t="str">
        <f ca="1">Equipements_STEU!K44</f>
        <v/>
      </c>
      <c r="K86" s="914"/>
      <c r="L86" s="914"/>
      <c r="M86" s="914"/>
      <c r="N86" s="430" t="str">
        <f ca="1">Equipements_STEU!P44</f>
        <v/>
      </c>
      <c r="O86" s="394" t="str">
        <f ca="1">IF(Equipements_STEU!Y44&lt;&gt;"",Equipements_STEU!AK44,"")</f>
        <v/>
      </c>
      <c r="P86" s="394" t="str">
        <f ca="1">IF(Equipements_STEU!Z44&lt;&gt;"",Equipements_STEU!AL44,"")</f>
        <v/>
      </c>
      <c r="Q86" s="394" t="str">
        <f ca="1">IF(Equipements_STEU!AA44&lt;&gt;"",Equipements_STEU!AM44,"")</f>
        <v/>
      </c>
      <c r="R86" s="394" t="str">
        <f ca="1">IF(Equipements_STEU!AB44&lt;&gt;"",Equipements_STEU!AN44,"")</f>
        <v/>
      </c>
      <c r="S86" s="394" t="str">
        <f ca="1">IF(Equipements_STEU!AC44&lt;&gt;"",Equipements_STEU!AO44,"")</f>
        <v/>
      </c>
      <c r="T86" s="394" t="str">
        <f ca="1">IF(Equipements_STEU!AD44&lt;&gt;"",Equipements_STEU!AP44,"")</f>
        <v/>
      </c>
      <c r="U86" s="394" t="str">
        <f ca="1">IF(Equipements_STEU!AE44&lt;&gt;"",Equipements_STEU!AQ44,"")</f>
        <v/>
      </c>
      <c r="V86" s="394" t="str">
        <f ca="1">IF(Equipements_STEU!AF44&lt;&gt;"",Equipements_STEU!AR44,"")</f>
        <v/>
      </c>
      <c r="W86" s="394" t="str">
        <f ca="1">IF(Equipements_STEU!AG44&lt;&gt;"",Equipements_STEU!AS44,"")</f>
        <v/>
      </c>
      <c r="X86" s="486" t="str">
        <f ca="1">IF(Equipements_STEU!AH44&lt;&gt;"",Equipements_STEU!AT44,"")</f>
        <v/>
      </c>
      <c r="Y86" s="329"/>
      <c r="Z86" s="329"/>
      <c r="AA86" s="346"/>
      <c r="AB86" s="323"/>
    </row>
    <row r="87" spans="2:28" ht="20.100000000000001" customHeight="1" outlineLevel="1" x14ac:dyDescent="0.4">
      <c r="B87" s="328"/>
      <c r="C87" s="345"/>
      <c r="D87" s="910" t="str">
        <f ca="1">Equipements_STEU!H45</f>
        <v/>
      </c>
      <c r="E87" s="911"/>
      <c r="F87" s="341" t="str">
        <f ca="1">Equipements_STEU!I45</f>
        <v/>
      </c>
      <c r="G87" s="423" t="str">
        <f ca="1">Equipements_STEU!M45</f>
        <v/>
      </c>
      <c r="H87" s="912" t="str">
        <f ca="1">Equipements_STEU!J45</f>
        <v/>
      </c>
      <c r="I87" s="913"/>
      <c r="J87" s="912" t="str">
        <f ca="1">Equipements_STEU!K45</f>
        <v/>
      </c>
      <c r="K87" s="914"/>
      <c r="L87" s="914"/>
      <c r="M87" s="914"/>
      <c r="N87" s="430" t="str">
        <f ca="1">Equipements_STEU!P45</f>
        <v/>
      </c>
      <c r="O87" s="394" t="str">
        <f ca="1">IF(Equipements_STEU!Y45&lt;&gt;"",Equipements_STEU!AK45,"")</f>
        <v/>
      </c>
      <c r="P87" s="394" t="str">
        <f ca="1">IF(Equipements_STEU!Z45&lt;&gt;"",Equipements_STEU!AL45,"")</f>
        <v/>
      </c>
      <c r="Q87" s="394" t="str">
        <f ca="1">IF(Equipements_STEU!AA45&lt;&gt;"",Equipements_STEU!AM45,"")</f>
        <v/>
      </c>
      <c r="R87" s="394" t="str">
        <f ca="1">IF(Equipements_STEU!AB45&lt;&gt;"",Equipements_STEU!AN45,"")</f>
        <v/>
      </c>
      <c r="S87" s="394" t="str">
        <f ca="1">IF(Equipements_STEU!AC45&lt;&gt;"",Equipements_STEU!AO45,"")</f>
        <v/>
      </c>
      <c r="T87" s="394" t="str">
        <f ca="1">IF(Equipements_STEU!AD45&lt;&gt;"",Equipements_STEU!AP45,"")</f>
        <v/>
      </c>
      <c r="U87" s="394" t="str">
        <f ca="1">IF(Equipements_STEU!AE45&lt;&gt;"",Equipements_STEU!AQ45,"")</f>
        <v/>
      </c>
      <c r="V87" s="394" t="str">
        <f ca="1">IF(Equipements_STEU!AF45&lt;&gt;"",Equipements_STEU!AR45,"")</f>
        <v/>
      </c>
      <c r="W87" s="394" t="str">
        <f ca="1">IF(Equipements_STEU!AG45&lt;&gt;"",Equipements_STEU!AS45,"")</f>
        <v/>
      </c>
      <c r="X87" s="486" t="str">
        <f ca="1">IF(Equipements_STEU!AH45&lt;&gt;"",Equipements_STEU!AT45,"")</f>
        <v/>
      </c>
      <c r="Y87" s="329"/>
      <c r="Z87" s="329"/>
      <c r="AA87" s="346"/>
      <c r="AB87" s="323"/>
    </row>
    <row r="88" spans="2:28" ht="20.100000000000001" customHeight="1" outlineLevel="1" x14ac:dyDescent="0.4">
      <c r="B88" s="328"/>
      <c r="C88" s="345"/>
      <c r="D88" s="910" t="str">
        <f ca="1">Equipements_STEU!H46</f>
        <v/>
      </c>
      <c r="E88" s="911"/>
      <c r="F88" s="341" t="str">
        <f ca="1">Equipements_STEU!I46</f>
        <v/>
      </c>
      <c r="G88" s="423" t="str">
        <f ca="1">Equipements_STEU!M46</f>
        <v/>
      </c>
      <c r="H88" s="912" t="str">
        <f ca="1">Equipements_STEU!J46</f>
        <v/>
      </c>
      <c r="I88" s="913"/>
      <c r="J88" s="912" t="str">
        <f ca="1">Equipements_STEU!K46</f>
        <v/>
      </c>
      <c r="K88" s="914"/>
      <c r="L88" s="914"/>
      <c r="M88" s="914"/>
      <c r="N88" s="430" t="str">
        <f ca="1">Equipements_STEU!P46</f>
        <v/>
      </c>
      <c r="O88" s="394" t="str">
        <f ca="1">IF(Equipements_STEU!Y46&lt;&gt;"",Equipements_STEU!AK46,"")</f>
        <v/>
      </c>
      <c r="P88" s="394" t="str">
        <f ca="1">IF(Equipements_STEU!Z46&lt;&gt;"",Equipements_STEU!AL46,"")</f>
        <v/>
      </c>
      <c r="Q88" s="394" t="str">
        <f ca="1">IF(Equipements_STEU!AA46&lt;&gt;"",Equipements_STEU!AM46,"")</f>
        <v/>
      </c>
      <c r="R88" s="394" t="str">
        <f ca="1">IF(Equipements_STEU!AB46&lt;&gt;"",Equipements_STEU!AN46,"")</f>
        <v/>
      </c>
      <c r="S88" s="394" t="str">
        <f ca="1">IF(Equipements_STEU!AC46&lt;&gt;"",Equipements_STEU!AO46,"")</f>
        <v/>
      </c>
      <c r="T88" s="394" t="str">
        <f ca="1">IF(Equipements_STEU!AD46&lt;&gt;"",Equipements_STEU!AP46,"")</f>
        <v/>
      </c>
      <c r="U88" s="394" t="str">
        <f ca="1">IF(Equipements_STEU!AE46&lt;&gt;"",Equipements_STEU!AQ46,"")</f>
        <v/>
      </c>
      <c r="V88" s="394" t="str">
        <f ca="1">IF(Equipements_STEU!AF46&lt;&gt;"",Equipements_STEU!AR46,"")</f>
        <v/>
      </c>
      <c r="W88" s="394" t="str">
        <f ca="1">IF(Equipements_STEU!AG46&lt;&gt;"",Equipements_STEU!AS46,"")</f>
        <v/>
      </c>
      <c r="X88" s="486" t="str">
        <f ca="1">IF(Equipements_STEU!AH46&lt;&gt;"",Equipements_STEU!AT46,"")</f>
        <v/>
      </c>
      <c r="Y88" s="329"/>
      <c r="Z88" s="329"/>
      <c r="AA88" s="346"/>
      <c r="AB88" s="323"/>
    </row>
    <row r="89" spans="2:28" ht="20.100000000000001" customHeight="1" outlineLevel="1" x14ac:dyDescent="0.4">
      <c r="B89" s="328"/>
      <c r="C89" s="345"/>
      <c r="D89" s="910" t="str">
        <f ca="1">Equipements_STEU!H47</f>
        <v/>
      </c>
      <c r="E89" s="911"/>
      <c r="F89" s="341" t="str">
        <f ca="1">Equipements_STEU!I47</f>
        <v/>
      </c>
      <c r="G89" s="423" t="str">
        <f ca="1">Equipements_STEU!M47</f>
        <v/>
      </c>
      <c r="H89" s="912" t="str">
        <f ca="1">Equipements_STEU!J47</f>
        <v/>
      </c>
      <c r="I89" s="913"/>
      <c r="J89" s="912" t="str">
        <f ca="1">Equipements_STEU!K47</f>
        <v/>
      </c>
      <c r="K89" s="914"/>
      <c r="L89" s="914"/>
      <c r="M89" s="914"/>
      <c r="N89" s="430" t="str">
        <f ca="1">Equipements_STEU!P47</f>
        <v/>
      </c>
      <c r="O89" s="394" t="str">
        <f ca="1">IF(Equipements_STEU!Y47&lt;&gt;"",Equipements_STEU!AK47,"")</f>
        <v/>
      </c>
      <c r="P89" s="394" t="str">
        <f ca="1">IF(Equipements_STEU!Z47&lt;&gt;"",Equipements_STEU!AL47,"")</f>
        <v/>
      </c>
      <c r="Q89" s="394" t="str">
        <f ca="1">IF(Equipements_STEU!AA47&lt;&gt;"",Equipements_STEU!AM47,"")</f>
        <v/>
      </c>
      <c r="R89" s="394" t="str">
        <f ca="1">IF(Equipements_STEU!AB47&lt;&gt;"",Equipements_STEU!AN47,"")</f>
        <v/>
      </c>
      <c r="S89" s="394" t="str">
        <f ca="1">IF(Equipements_STEU!AC47&lt;&gt;"",Equipements_STEU!AO47,"")</f>
        <v/>
      </c>
      <c r="T89" s="394" t="str">
        <f ca="1">IF(Equipements_STEU!AD47&lt;&gt;"",Equipements_STEU!AP47,"")</f>
        <v/>
      </c>
      <c r="U89" s="394" t="str">
        <f ca="1">IF(Equipements_STEU!AE47&lt;&gt;"",Equipements_STEU!AQ47,"")</f>
        <v/>
      </c>
      <c r="V89" s="394" t="str">
        <f ca="1">IF(Equipements_STEU!AF47&lt;&gt;"",Equipements_STEU!AR47,"")</f>
        <v/>
      </c>
      <c r="W89" s="394" t="str">
        <f ca="1">IF(Equipements_STEU!AG47&lt;&gt;"",Equipements_STEU!AS47,"")</f>
        <v/>
      </c>
      <c r="X89" s="486" t="str">
        <f ca="1">IF(Equipements_STEU!AH47&lt;&gt;"",Equipements_STEU!AT47,"")</f>
        <v/>
      </c>
      <c r="Y89" s="329"/>
      <c r="Z89" s="329"/>
      <c r="AA89" s="346"/>
      <c r="AB89" s="323"/>
    </row>
    <row r="90" spans="2:28" ht="20.100000000000001" customHeight="1" outlineLevel="1" x14ac:dyDescent="0.4">
      <c r="B90" s="328"/>
      <c r="C90" s="345"/>
      <c r="D90" s="910" t="str">
        <f ca="1">Equipements_STEU!H48</f>
        <v/>
      </c>
      <c r="E90" s="911"/>
      <c r="F90" s="341" t="str">
        <f ca="1">Equipements_STEU!I48</f>
        <v/>
      </c>
      <c r="G90" s="423" t="str">
        <f ca="1">Equipements_STEU!M48</f>
        <v/>
      </c>
      <c r="H90" s="912" t="str">
        <f ca="1">Equipements_STEU!J48</f>
        <v/>
      </c>
      <c r="I90" s="913"/>
      <c r="J90" s="912" t="str">
        <f ca="1">Equipements_STEU!K48</f>
        <v/>
      </c>
      <c r="K90" s="914"/>
      <c r="L90" s="914"/>
      <c r="M90" s="914"/>
      <c r="N90" s="430" t="str">
        <f ca="1">Equipements_STEU!P48</f>
        <v/>
      </c>
      <c r="O90" s="394" t="str">
        <f ca="1">IF(Equipements_STEU!Y48&lt;&gt;"",Equipements_STEU!AK48,"")</f>
        <v/>
      </c>
      <c r="P90" s="394" t="str">
        <f ca="1">IF(Equipements_STEU!Z48&lt;&gt;"",Equipements_STEU!AL48,"")</f>
        <v/>
      </c>
      <c r="Q90" s="394" t="str">
        <f ca="1">IF(Equipements_STEU!AA48&lt;&gt;"",Equipements_STEU!AM48,"")</f>
        <v/>
      </c>
      <c r="R90" s="394" t="str">
        <f ca="1">IF(Equipements_STEU!AB48&lt;&gt;"",Equipements_STEU!AN48,"")</f>
        <v/>
      </c>
      <c r="S90" s="394" t="str">
        <f ca="1">IF(Equipements_STEU!AC48&lt;&gt;"",Equipements_STEU!AO48,"")</f>
        <v/>
      </c>
      <c r="T90" s="394" t="str">
        <f ca="1">IF(Equipements_STEU!AD48&lt;&gt;"",Equipements_STEU!AP48,"")</f>
        <v/>
      </c>
      <c r="U90" s="394" t="str">
        <f ca="1">IF(Equipements_STEU!AE48&lt;&gt;"",Equipements_STEU!AQ48,"")</f>
        <v/>
      </c>
      <c r="V90" s="394" t="str">
        <f ca="1">IF(Equipements_STEU!AF48&lt;&gt;"",Equipements_STEU!AR48,"")</f>
        <v/>
      </c>
      <c r="W90" s="394" t="str">
        <f ca="1">IF(Equipements_STEU!AG48&lt;&gt;"",Equipements_STEU!AS48,"")</f>
        <v/>
      </c>
      <c r="X90" s="486" t="str">
        <f ca="1">IF(Equipements_STEU!AH48&lt;&gt;"",Equipements_STEU!AT48,"")</f>
        <v/>
      </c>
      <c r="Y90" s="329"/>
      <c r="Z90" s="329"/>
      <c r="AA90" s="346"/>
      <c r="AB90" s="323"/>
    </row>
    <row r="91" spans="2:28" ht="20.100000000000001" customHeight="1" outlineLevel="1" x14ac:dyDescent="0.4">
      <c r="B91" s="328"/>
      <c r="C91" s="345"/>
      <c r="D91" s="910" t="str">
        <f ca="1">Equipements_STEU!H49</f>
        <v/>
      </c>
      <c r="E91" s="911"/>
      <c r="F91" s="341" t="str">
        <f ca="1">Equipements_STEU!I49</f>
        <v/>
      </c>
      <c r="G91" s="423" t="str">
        <f ca="1">Equipements_STEU!M49</f>
        <v/>
      </c>
      <c r="H91" s="912" t="str">
        <f ca="1">Equipements_STEU!J49</f>
        <v/>
      </c>
      <c r="I91" s="913"/>
      <c r="J91" s="912" t="str">
        <f ca="1">Equipements_STEU!K49</f>
        <v/>
      </c>
      <c r="K91" s="914"/>
      <c r="L91" s="914"/>
      <c r="M91" s="914"/>
      <c r="N91" s="430" t="str">
        <f ca="1">Equipements_STEU!P49</f>
        <v/>
      </c>
      <c r="O91" s="394" t="str">
        <f ca="1">IF(Equipements_STEU!Y49&lt;&gt;"",Equipements_STEU!AK49,"")</f>
        <v/>
      </c>
      <c r="P91" s="394" t="str">
        <f ca="1">IF(Equipements_STEU!Z49&lt;&gt;"",Equipements_STEU!AL49,"")</f>
        <v/>
      </c>
      <c r="Q91" s="394" t="str">
        <f ca="1">IF(Equipements_STEU!AA49&lt;&gt;"",Equipements_STEU!AM49,"")</f>
        <v/>
      </c>
      <c r="R91" s="394" t="str">
        <f ca="1">IF(Equipements_STEU!AB49&lt;&gt;"",Equipements_STEU!AN49,"")</f>
        <v/>
      </c>
      <c r="S91" s="394" t="str">
        <f ca="1">IF(Equipements_STEU!AC49&lt;&gt;"",Equipements_STEU!AO49,"")</f>
        <v/>
      </c>
      <c r="T91" s="394" t="str">
        <f ca="1">IF(Equipements_STEU!AD49&lt;&gt;"",Equipements_STEU!AP49,"")</f>
        <v/>
      </c>
      <c r="U91" s="394" t="str">
        <f ca="1">IF(Equipements_STEU!AE49&lt;&gt;"",Equipements_STEU!AQ49,"")</f>
        <v/>
      </c>
      <c r="V91" s="394" t="str">
        <f ca="1">IF(Equipements_STEU!AF49&lt;&gt;"",Equipements_STEU!AR49,"")</f>
        <v/>
      </c>
      <c r="W91" s="394" t="str">
        <f ca="1">IF(Equipements_STEU!AG49&lt;&gt;"",Equipements_STEU!AS49,"")</f>
        <v/>
      </c>
      <c r="X91" s="486" t="str">
        <f ca="1">IF(Equipements_STEU!AH49&lt;&gt;"",Equipements_STEU!AT49,"")</f>
        <v/>
      </c>
      <c r="Y91" s="329"/>
      <c r="Z91" s="329"/>
      <c r="AA91" s="346"/>
      <c r="AB91" s="323"/>
    </row>
    <row r="92" spans="2:28" ht="20.100000000000001" customHeight="1" outlineLevel="1" x14ac:dyDescent="0.4">
      <c r="B92" s="328"/>
      <c r="C92" s="345"/>
      <c r="D92" s="910" t="str">
        <f ca="1">Equipements_STEU!H50</f>
        <v/>
      </c>
      <c r="E92" s="911"/>
      <c r="F92" s="341" t="str">
        <f ca="1">Equipements_STEU!I50</f>
        <v/>
      </c>
      <c r="G92" s="423" t="str">
        <f ca="1">Equipements_STEU!M50</f>
        <v/>
      </c>
      <c r="H92" s="912" t="str">
        <f ca="1">Equipements_STEU!J50</f>
        <v/>
      </c>
      <c r="I92" s="913"/>
      <c r="J92" s="912" t="str">
        <f ca="1">Equipements_STEU!K50</f>
        <v/>
      </c>
      <c r="K92" s="914"/>
      <c r="L92" s="914"/>
      <c r="M92" s="914"/>
      <c r="N92" s="430" t="str">
        <f ca="1">Equipements_STEU!P50</f>
        <v/>
      </c>
      <c r="O92" s="394" t="str">
        <f ca="1">IF(Equipements_STEU!Y50&lt;&gt;"",Equipements_STEU!AK50,"")</f>
        <v/>
      </c>
      <c r="P92" s="394" t="str">
        <f ca="1">IF(Equipements_STEU!Z50&lt;&gt;"",Equipements_STEU!AL50,"")</f>
        <v/>
      </c>
      <c r="Q92" s="394" t="str">
        <f ca="1">IF(Equipements_STEU!AA50&lt;&gt;"",Equipements_STEU!AM50,"")</f>
        <v/>
      </c>
      <c r="R92" s="394" t="str">
        <f ca="1">IF(Equipements_STEU!AB50&lt;&gt;"",Equipements_STEU!AN50,"")</f>
        <v/>
      </c>
      <c r="S92" s="394" t="str">
        <f ca="1">IF(Equipements_STEU!AC50&lt;&gt;"",Equipements_STEU!AO50,"")</f>
        <v/>
      </c>
      <c r="T92" s="394" t="str">
        <f ca="1">IF(Equipements_STEU!AD50&lt;&gt;"",Equipements_STEU!AP50,"")</f>
        <v/>
      </c>
      <c r="U92" s="394" t="str">
        <f ca="1">IF(Equipements_STEU!AE50&lt;&gt;"",Equipements_STEU!AQ50,"")</f>
        <v/>
      </c>
      <c r="V92" s="394" t="str">
        <f ca="1">IF(Equipements_STEU!AF50&lt;&gt;"",Equipements_STEU!AR50,"")</f>
        <v/>
      </c>
      <c r="W92" s="394" t="str">
        <f ca="1">IF(Equipements_STEU!AG50&lt;&gt;"",Equipements_STEU!AS50,"")</f>
        <v/>
      </c>
      <c r="X92" s="486" t="str">
        <f ca="1">IF(Equipements_STEU!AH50&lt;&gt;"",Equipements_STEU!AT50,"")</f>
        <v/>
      </c>
      <c r="Y92" s="329"/>
      <c r="Z92" s="329"/>
      <c r="AA92" s="346"/>
      <c r="AB92" s="323"/>
    </row>
    <row r="93" spans="2:28" ht="20.100000000000001" customHeight="1" outlineLevel="1" x14ac:dyDescent="0.4">
      <c r="B93" s="328"/>
      <c r="C93" s="345"/>
      <c r="D93" s="910" t="str">
        <f ca="1">Equipements_STEU!H51</f>
        <v/>
      </c>
      <c r="E93" s="911"/>
      <c r="F93" s="341" t="str">
        <f ca="1">Equipements_STEU!I51</f>
        <v/>
      </c>
      <c r="G93" s="423" t="str">
        <f ca="1">Equipements_STEU!M51</f>
        <v/>
      </c>
      <c r="H93" s="912" t="str">
        <f ca="1">Equipements_STEU!J51</f>
        <v/>
      </c>
      <c r="I93" s="913"/>
      <c r="J93" s="912" t="str">
        <f ca="1">Equipements_STEU!K51</f>
        <v/>
      </c>
      <c r="K93" s="914"/>
      <c r="L93" s="914"/>
      <c r="M93" s="914"/>
      <c r="N93" s="430" t="str">
        <f ca="1">Equipements_STEU!P51</f>
        <v/>
      </c>
      <c r="O93" s="394" t="str">
        <f ca="1">IF(Equipements_STEU!Y51&lt;&gt;"",Equipements_STEU!AK51,"")</f>
        <v/>
      </c>
      <c r="P93" s="394" t="str">
        <f ca="1">IF(Equipements_STEU!Z51&lt;&gt;"",Equipements_STEU!AL51,"")</f>
        <v/>
      </c>
      <c r="Q93" s="394" t="str">
        <f ca="1">IF(Equipements_STEU!AA51&lt;&gt;"",Equipements_STEU!AM51,"")</f>
        <v/>
      </c>
      <c r="R93" s="394" t="str">
        <f ca="1">IF(Equipements_STEU!AB51&lt;&gt;"",Equipements_STEU!AN51,"")</f>
        <v/>
      </c>
      <c r="S93" s="394" t="str">
        <f ca="1">IF(Equipements_STEU!AC51&lt;&gt;"",Equipements_STEU!AO51,"")</f>
        <v/>
      </c>
      <c r="T93" s="394" t="str">
        <f ca="1">IF(Equipements_STEU!AD51&lt;&gt;"",Equipements_STEU!AP51,"")</f>
        <v/>
      </c>
      <c r="U93" s="394" t="str">
        <f ca="1">IF(Equipements_STEU!AE51&lt;&gt;"",Equipements_STEU!AQ51,"")</f>
        <v/>
      </c>
      <c r="V93" s="394" t="str">
        <f ca="1">IF(Equipements_STEU!AF51&lt;&gt;"",Equipements_STEU!AR51,"")</f>
        <v/>
      </c>
      <c r="W93" s="394" t="str">
        <f ca="1">IF(Equipements_STEU!AG51&lt;&gt;"",Equipements_STEU!AS51,"")</f>
        <v/>
      </c>
      <c r="X93" s="486" t="str">
        <f ca="1">IF(Equipements_STEU!AH51&lt;&gt;"",Equipements_STEU!AT51,"")</f>
        <v/>
      </c>
      <c r="Y93" s="329"/>
      <c r="Z93" s="329"/>
      <c r="AA93" s="346"/>
      <c r="AB93" s="323"/>
    </row>
    <row r="94" spans="2:28" ht="20.100000000000001" customHeight="1" outlineLevel="1" x14ac:dyDescent="0.4">
      <c r="B94" s="328"/>
      <c r="C94" s="345"/>
      <c r="D94" s="910" t="str">
        <f ca="1">Equipements_STEU!H52</f>
        <v/>
      </c>
      <c r="E94" s="911"/>
      <c r="F94" s="341" t="str">
        <f ca="1">Equipements_STEU!I52</f>
        <v/>
      </c>
      <c r="G94" s="423" t="str">
        <f ca="1">Equipements_STEU!M52</f>
        <v/>
      </c>
      <c r="H94" s="912" t="str">
        <f ca="1">Equipements_STEU!J52</f>
        <v/>
      </c>
      <c r="I94" s="913"/>
      <c r="J94" s="912" t="str">
        <f ca="1">Equipements_STEU!K52</f>
        <v/>
      </c>
      <c r="K94" s="914"/>
      <c r="L94" s="914"/>
      <c r="M94" s="914"/>
      <c r="N94" s="430" t="str">
        <f ca="1">Equipements_STEU!P52</f>
        <v/>
      </c>
      <c r="O94" s="394" t="str">
        <f ca="1">IF(Equipements_STEU!Y52&lt;&gt;"",Equipements_STEU!AK52,"")</f>
        <v/>
      </c>
      <c r="P94" s="394" t="str">
        <f ca="1">IF(Equipements_STEU!Z52&lt;&gt;"",Equipements_STEU!AL52,"")</f>
        <v/>
      </c>
      <c r="Q94" s="394" t="str">
        <f ca="1">IF(Equipements_STEU!AA52&lt;&gt;"",Equipements_STEU!AM52,"")</f>
        <v/>
      </c>
      <c r="R94" s="394" t="str">
        <f ca="1">IF(Equipements_STEU!AB52&lt;&gt;"",Equipements_STEU!AN52,"")</f>
        <v/>
      </c>
      <c r="S94" s="394" t="str">
        <f ca="1">IF(Equipements_STEU!AC52&lt;&gt;"",Equipements_STEU!AO52,"")</f>
        <v/>
      </c>
      <c r="T94" s="394" t="str">
        <f ca="1">IF(Equipements_STEU!AD52&lt;&gt;"",Equipements_STEU!AP52,"")</f>
        <v/>
      </c>
      <c r="U94" s="394" t="str">
        <f ca="1">IF(Equipements_STEU!AE52&lt;&gt;"",Equipements_STEU!AQ52,"")</f>
        <v/>
      </c>
      <c r="V94" s="394" t="str">
        <f ca="1">IF(Equipements_STEU!AF52&lt;&gt;"",Equipements_STEU!AR52,"")</f>
        <v/>
      </c>
      <c r="W94" s="394" t="str">
        <f ca="1">IF(Equipements_STEU!AG52&lt;&gt;"",Equipements_STEU!AS52,"")</f>
        <v/>
      </c>
      <c r="X94" s="486" t="str">
        <f ca="1">IF(Equipements_STEU!AH52&lt;&gt;"",Equipements_STEU!AT52,"")</f>
        <v/>
      </c>
      <c r="Y94" s="329"/>
      <c r="Z94" s="329"/>
      <c r="AA94" s="346"/>
      <c r="AB94" s="323"/>
    </row>
    <row r="95" spans="2:28" ht="20.100000000000001" customHeight="1" outlineLevel="1" x14ac:dyDescent="0.4">
      <c r="B95" s="328"/>
      <c r="C95" s="345"/>
      <c r="D95" s="910" t="str">
        <f ca="1">Equipements_STEU!H53</f>
        <v/>
      </c>
      <c r="E95" s="911"/>
      <c r="F95" s="341" t="str">
        <f ca="1">Equipements_STEU!I53</f>
        <v/>
      </c>
      <c r="G95" s="423" t="str">
        <f ca="1">Equipements_STEU!M53</f>
        <v/>
      </c>
      <c r="H95" s="912" t="str">
        <f ca="1">Equipements_STEU!J53</f>
        <v/>
      </c>
      <c r="I95" s="913"/>
      <c r="J95" s="912" t="str">
        <f ca="1">Equipements_STEU!K53</f>
        <v/>
      </c>
      <c r="K95" s="914"/>
      <c r="L95" s="914"/>
      <c r="M95" s="914"/>
      <c r="N95" s="430" t="str">
        <f ca="1">Equipements_STEU!P53</f>
        <v/>
      </c>
      <c r="O95" s="394" t="str">
        <f ca="1">IF(Equipements_STEU!Y53&lt;&gt;"",Equipements_STEU!AK53,"")</f>
        <v/>
      </c>
      <c r="P95" s="394" t="str">
        <f ca="1">IF(Equipements_STEU!Z53&lt;&gt;"",Equipements_STEU!AL53,"")</f>
        <v/>
      </c>
      <c r="Q95" s="394" t="str">
        <f ca="1">IF(Equipements_STEU!AA53&lt;&gt;"",Equipements_STEU!AM53,"")</f>
        <v/>
      </c>
      <c r="R95" s="394" t="str">
        <f ca="1">IF(Equipements_STEU!AB53&lt;&gt;"",Equipements_STEU!AN53,"")</f>
        <v/>
      </c>
      <c r="S95" s="394" t="str">
        <f ca="1">IF(Equipements_STEU!AC53&lt;&gt;"",Equipements_STEU!AO53,"")</f>
        <v/>
      </c>
      <c r="T95" s="394" t="str">
        <f ca="1">IF(Equipements_STEU!AD53&lt;&gt;"",Equipements_STEU!AP53,"")</f>
        <v/>
      </c>
      <c r="U95" s="394" t="str">
        <f ca="1">IF(Equipements_STEU!AE53&lt;&gt;"",Equipements_STEU!AQ53,"")</f>
        <v/>
      </c>
      <c r="V95" s="394" t="str">
        <f ca="1">IF(Equipements_STEU!AF53&lt;&gt;"",Equipements_STEU!AR53,"")</f>
        <v/>
      </c>
      <c r="W95" s="394" t="str">
        <f ca="1">IF(Equipements_STEU!AG53&lt;&gt;"",Equipements_STEU!AS53,"")</f>
        <v/>
      </c>
      <c r="X95" s="486" t="str">
        <f ca="1">IF(Equipements_STEU!AH53&lt;&gt;"",Equipements_STEU!AT53,"")</f>
        <v/>
      </c>
      <c r="Y95" s="329"/>
      <c r="Z95" s="329"/>
      <c r="AA95" s="346"/>
      <c r="AB95" s="323"/>
    </row>
    <row r="96" spans="2:28" ht="20.100000000000001" customHeight="1" outlineLevel="1" x14ac:dyDescent="0.4">
      <c r="B96" s="328"/>
      <c r="C96" s="345"/>
      <c r="D96" s="910" t="str">
        <f ca="1">Equipements_STEU!H54</f>
        <v/>
      </c>
      <c r="E96" s="911"/>
      <c r="F96" s="341" t="str">
        <f ca="1">Equipements_STEU!I54</f>
        <v/>
      </c>
      <c r="G96" s="423" t="str">
        <f ca="1">Equipements_STEU!M54</f>
        <v/>
      </c>
      <c r="H96" s="912" t="str">
        <f ca="1">Equipements_STEU!J54</f>
        <v/>
      </c>
      <c r="I96" s="913"/>
      <c r="J96" s="912" t="str">
        <f ca="1">Equipements_STEU!K54</f>
        <v/>
      </c>
      <c r="K96" s="914"/>
      <c r="L96" s="914"/>
      <c r="M96" s="914"/>
      <c r="N96" s="430" t="str">
        <f ca="1">Equipements_STEU!P54</f>
        <v/>
      </c>
      <c r="O96" s="394" t="str">
        <f ca="1">IF(Equipements_STEU!Y54&lt;&gt;"",Equipements_STEU!AK54,"")</f>
        <v/>
      </c>
      <c r="P96" s="394" t="str">
        <f ca="1">IF(Equipements_STEU!Z54&lt;&gt;"",Equipements_STEU!AL54,"")</f>
        <v/>
      </c>
      <c r="Q96" s="394" t="str">
        <f ca="1">IF(Equipements_STEU!AA54&lt;&gt;"",Equipements_STEU!AM54,"")</f>
        <v/>
      </c>
      <c r="R96" s="394" t="str">
        <f ca="1">IF(Equipements_STEU!AB54&lt;&gt;"",Equipements_STEU!AN54,"")</f>
        <v/>
      </c>
      <c r="S96" s="394" t="str">
        <f ca="1">IF(Equipements_STEU!AC54&lt;&gt;"",Equipements_STEU!AO54,"")</f>
        <v/>
      </c>
      <c r="T96" s="394" t="str">
        <f ca="1">IF(Equipements_STEU!AD54&lt;&gt;"",Equipements_STEU!AP54,"")</f>
        <v/>
      </c>
      <c r="U96" s="394" t="str">
        <f ca="1">IF(Equipements_STEU!AE54&lt;&gt;"",Equipements_STEU!AQ54,"")</f>
        <v/>
      </c>
      <c r="V96" s="394" t="str">
        <f ca="1">IF(Equipements_STEU!AF54&lt;&gt;"",Equipements_STEU!AR54,"")</f>
        <v/>
      </c>
      <c r="W96" s="394" t="str">
        <f ca="1">IF(Equipements_STEU!AG54&lt;&gt;"",Equipements_STEU!AS54,"")</f>
        <v/>
      </c>
      <c r="X96" s="486" t="str">
        <f ca="1">IF(Equipements_STEU!AH54&lt;&gt;"",Equipements_STEU!AT54,"")</f>
        <v/>
      </c>
      <c r="Y96" s="329"/>
      <c r="Z96" s="329"/>
      <c r="AA96" s="346"/>
      <c r="AB96" s="323"/>
    </row>
    <row r="97" spans="2:28" ht="20.100000000000001" customHeight="1" outlineLevel="1" x14ac:dyDescent="0.4">
      <c r="B97" s="328"/>
      <c r="C97" s="345"/>
      <c r="D97" s="910" t="str">
        <f ca="1">Equipements_STEU!H55</f>
        <v/>
      </c>
      <c r="E97" s="911"/>
      <c r="F97" s="341" t="str">
        <f ca="1">Equipements_STEU!I55</f>
        <v/>
      </c>
      <c r="G97" s="423" t="str">
        <f ca="1">Equipements_STEU!M55</f>
        <v/>
      </c>
      <c r="H97" s="912" t="str">
        <f ca="1">Equipements_STEU!J55</f>
        <v/>
      </c>
      <c r="I97" s="913"/>
      <c r="J97" s="912" t="str">
        <f ca="1">Equipements_STEU!K55</f>
        <v/>
      </c>
      <c r="K97" s="914"/>
      <c r="L97" s="914"/>
      <c r="M97" s="914"/>
      <c r="N97" s="430" t="str">
        <f ca="1">Equipements_STEU!P55</f>
        <v/>
      </c>
      <c r="O97" s="394" t="str">
        <f ca="1">IF(Equipements_STEU!Y55&lt;&gt;"",Equipements_STEU!AK55,"")</f>
        <v/>
      </c>
      <c r="P97" s="394" t="str">
        <f ca="1">IF(Equipements_STEU!Z55&lt;&gt;"",Equipements_STEU!AL55,"")</f>
        <v/>
      </c>
      <c r="Q97" s="394" t="str">
        <f ca="1">IF(Equipements_STEU!AA55&lt;&gt;"",Equipements_STEU!AM55,"")</f>
        <v/>
      </c>
      <c r="R97" s="394" t="str">
        <f ca="1">IF(Equipements_STEU!AB55&lt;&gt;"",Equipements_STEU!AN55,"")</f>
        <v/>
      </c>
      <c r="S97" s="394" t="str">
        <f ca="1">IF(Equipements_STEU!AC55&lt;&gt;"",Equipements_STEU!AO55,"")</f>
        <v/>
      </c>
      <c r="T97" s="394" t="str">
        <f ca="1">IF(Equipements_STEU!AD55&lt;&gt;"",Equipements_STEU!AP55,"")</f>
        <v/>
      </c>
      <c r="U97" s="394" t="str">
        <f ca="1">IF(Equipements_STEU!AE55&lt;&gt;"",Equipements_STEU!AQ55,"")</f>
        <v/>
      </c>
      <c r="V97" s="394" t="str">
        <f ca="1">IF(Equipements_STEU!AF55&lt;&gt;"",Equipements_STEU!AR55,"")</f>
        <v/>
      </c>
      <c r="W97" s="394" t="str">
        <f ca="1">IF(Equipements_STEU!AG55&lt;&gt;"",Equipements_STEU!AS55,"")</f>
        <v/>
      </c>
      <c r="X97" s="486" t="str">
        <f ca="1">IF(Equipements_STEU!AH55&lt;&gt;"",Equipements_STEU!AT55,"")</f>
        <v/>
      </c>
      <c r="Y97" s="329"/>
      <c r="Z97" s="329"/>
      <c r="AA97" s="346"/>
      <c r="AB97" s="323"/>
    </row>
    <row r="98" spans="2:28" ht="20.100000000000001" customHeight="1" outlineLevel="1" x14ac:dyDescent="0.4">
      <c r="B98" s="328"/>
      <c r="C98" s="345"/>
      <c r="D98" s="910" t="str">
        <f ca="1">Equipements_STEU!H56</f>
        <v/>
      </c>
      <c r="E98" s="911"/>
      <c r="F98" s="341" t="str">
        <f ca="1">Equipements_STEU!I56</f>
        <v/>
      </c>
      <c r="G98" s="423" t="str">
        <f ca="1">Equipements_STEU!M56</f>
        <v/>
      </c>
      <c r="H98" s="912" t="str">
        <f ca="1">Equipements_STEU!J56</f>
        <v/>
      </c>
      <c r="I98" s="913"/>
      <c r="J98" s="912" t="str">
        <f ca="1">Equipements_STEU!K56</f>
        <v/>
      </c>
      <c r="K98" s="914"/>
      <c r="L98" s="914"/>
      <c r="M98" s="914"/>
      <c r="N98" s="430" t="str">
        <f ca="1">Equipements_STEU!P56</f>
        <v/>
      </c>
      <c r="O98" s="394" t="str">
        <f ca="1">IF(Equipements_STEU!Y56&lt;&gt;"",Equipements_STEU!AK56,"")</f>
        <v/>
      </c>
      <c r="P98" s="394" t="str">
        <f ca="1">IF(Equipements_STEU!Z56&lt;&gt;"",Equipements_STEU!AL56,"")</f>
        <v/>
      </c>
      <c r="Q98" s="394" t="str">
        <f ca="1">IF(Equipements_STEU!AA56&lt;&gt;"",Equipements_STEU!AM56,"")</f>
        <v/>
      </c>
      <c r="R98" s="394" t="str">
        <f ca="1">IF(Equipements_STEU!AB56&lt;&gt;"",Equipements_STEU!AN56,"")</f>
        <v/>
      </c>
      <c r="S98" s="394" t="str">
        <f ca="1">IF(Equipements_STEU!AC56&lt;&gt;"",Equipements_STEU!AO56,"")</f>
        <v/>
      </c>
      <c r="T98" s="394" t="str">
        <f ca="1">IF(Equipements_STEU!AD56&lt;&gt;"",Equipements_STEU!AP56,"")</f>
        <v/>
      </c>
      <c r="U98" s="394" t="str">
        <f ca="1">IF(Equipements_STEU!AE56&lt;&gt;"",Equipements_STEU!AQ56,"")</f>
        <v/>
      </c>
      <c r="V98" s="394" t="str">
        <f ca="1">IF(Equipements_STEU!AF56&lt;&gt;"",Equipements_STEU!AR56,"")</f>
        <v/>
      </c>
      <c r="W98" s="394" t="str">
        <f ca="1">IF(Equipements_STEU!AG56&lt;&gt;"",Equipements_STEU!AS56,"")</f>
        <v/>
      </c>
      <c r="X98" s="486" t="str">
        <f ca="1">IF(Equipements_STEU!AH56&lt;&gt;"",Equipements_STEU!AT56,"")</f>
        <v/>
      </c>
      <c r="Y98" s="329"/>
      <c r="Z98" s="329"/>
      <c r="AA98" s="346"/>
      <c r="AB98" s="323"/>
    </row>
    <row r="99" spans="2:28" ht="20.100000000000001" customHeight="1" outlineLevel="1" x14ac:dyDescent="0.4">
      <c r="B99" s="328"/>
      <c r="C99" s="345"/>
      <c r="D99" s="910" t="str">
        <f ca="1">Equipements_STEU!H57</f>
        <v/>
      </c>
      <c r="E99" s="911"/>
      <c r="F99" s="341" t="str">
        <f ca="1">Equipements_STEU!I57</f>
        <v/>
      </c>
      <c r="G99" s="423" t="str">
        <f ca="1">Equipements_STEU!M57</f>
        <v/>
      </c>
      <c r="H99" s="912" t="str">
        <f ca="1">Equipements_STEU!J57</f>
        <v/>
      </c>
      <c r="I99" s="913"/>
      <c r="J99" s="912" t="str">
        <f ca="1">Equipements_STEU!K57</f>
        <v/>
      </c>
      <c r="K99" s="914"/>
      <c r="L99" s="914"/>
      <c r="M99" s="914"/>
      <c r="N99" s="430" t="str">
        <f ca="1">Equipements_STEU!P57</f>
        <v/>
      </c>
      <c r="O99" s="394" t="str">
        <f ca="1">IF(Equipements_STEU!Y57&lt;&gt;"",Equipements_STEU!AK57,"")</f>
        <v/>
      </c>
      <c r="P99" s="394" t="str">
        <f ca="1">IF(Equipements_STEU!Z57&lt;&gt;"",Equipements_STEU!AL57,"")</f>
        <v/>
      </c>
      <c r="Q99" s="394" t="str">
        <f ca="1">IF(Equipements_STEU!AA57&lt;&gt;"",Equipements_STEU!AM57,"")</f>
        <v/>
      </c>
      <c r="R99" s="394" t="str">
        <f ca="1">IF(Equipements_STEU!AB57&lt;&gt;"",Equipements_STEU!AN57,"")</f>
        <v/>
      </c>
      <c r="S99" s="394" t="str">
        <f ca="1">IF(Equipements_STEU!AC57&lt;&gt;"",Equipements_STEU!AO57,"")</f>
        <v/>
      </c>
      <c r="T99" s="394" t="str">
        <f ca="1">IF(Equipements_STEU!AD57&lt;&gt;"",Equipements_STEU!AP57,"")</f>
        <v/>
      </c>
      <c r="U99" s="394" t="str">
        <f ca="1">IF(Equipements_STEU!AE57&lt;&gt;"",Equipements_STEU!AQ57,"")</f>
        <v/>
      </c>
      <c r="V99" s="394" t="str">
        <f ca="1">IF(Equipements_STEU!AF57&lt;&gt;"",Equipements_STEU!AR57,"")</f>
        <v/>
      </c>
      <c r="W99" s="394" t="str">
        <f ca="1">IF(Equipements_STEU!AG57&lt;&gt;"",Equipements_STEU!AS57,"")</f>
        <v/>
      </c>
      <c r="X99" s="486" t="str">
        <f ca="1">IF(Equipements_STEU!AH57&lt;&gt;"",Equipements_STEU!AT57,"")</f>
        <v/>
      </c>
      <c r="Y99" s="329"/>
      <c r="Z99" s="329"/>
      <c r="AA99" s="346"/>
      <c r="AB99" s="323"/>
    </row>
    <row r="100" spans="2:28" ht="20.100000000000001" customHeight="1" outlineLevel="1" x14ac:dyDescent="0.4">
      <c r="B100" s="328"/>
      <c r="C100" s="345"/>
      <c r="D100" s="910" t="str">
        <f ca="1">Equipements_STEU!H58</f>
        <v/>
      </c>
      <c r="E100" s="911"/>
      <c r="F100" s="341" t="str">
        <f ca="1">Equipements_STEU!I58</f>
        <v/>
      </c>
      <c r="G100" s="423" t="str">
        <f ca="1">Equipements_STEU!M58</f>
        <v/>
      </c>
      <c r="H100" s="912" t="str">
        <f ca="1">Equipements_STEU!J58</f>
        <v/>
      </c>
      <c r="I100" s="913"/>
      <c r="J100" s="912" t="str">
        <f ca="1">Equipements_STEU!K58</f>
        <v/>
      </c>
      <c r="K100" s="914"/>
      <c r="L100" s="914"/>
      <c r="M100" s="914"/>
      <c r="N100" s="430" t="str">
        <f ca="1">Equipements_STEU!P58</f>
        <v/>
      </c>
      <c r="O100" s="394" t="str">
        <f ca="1">IF(Equipements_STEU!Y58&lt;&gt;"",Equipements_STEU!AK58,"")</f>
        <v/>
      </c>
      <c r="P100" s="394" t="str">
        <f ca="1">IF(Equipements_STEU!Z58&lt;&gt;"",Equipements_STEU!AL58,"")</f>
        <v/>
      </c>
      <c r="Q100" s="394" t="str">
        <f ca="1">IF(Equipements_STEU!AA58&lt;&gt;"",Equipements_STEU!AM58,"")</f>
        <v/>
      </c>
      <c r="R100" s="394" t="str">
        <f ca="1">IF(Equipements_STEU!AB58&lt;&gt;"",Equipements_STEU!AN58,"")</f>
        <v/>
      </c>
      <c r="S100" s="394" t="str">
        <f ca="1">IF(Equipements_STEU!AC58&lt;&gt;"",Equipements_STEU!AO58,"")</f>
        <v/>
      </c>
      <c r="T100" s="394" t="str">
        <f ca="1">IF(Equipements_STEU!AD58&lt;&gt;"",Equipements_STEU!AP58,"")</f>
        <v/>
      </c>
      <c r="U100" s="394" t="str">
        <f ca="1">IF(Equipements_STEU!AE58&lt;&gt;"",Equipements_STEU!AQ58,"")</f>
        <v/>
      </c>
      <c r="V100" s="394" t="str">
        <f ca="1">IF(Equipements_STEU!AF58&lt;&gt;"",Equipements_STEU!AR58,"")</f>
        <v/>
      </c>
      <c r="W100" s="394" t="str">
        <f ca="1">IF(Equipements_STEU!AG58&lt;&gt;"",Equipements_STEU!AS58,"")</f>
        <v/>
      </c>
      <c r="X100" s="486" t="str">
        <f ca="1">IF(Equipements_STEU!AH58&lt;&gt;"",Equipements_STEU!AT58,"")</f>
        <v/>
      </c>
      <c r="Y100" s="329"/>
      <c r="Z100" s="329"/>
      <c r="AA100" s="346"/>
      <c r="AB100" s="323"/>
    </row>
    <row r="101" spans="2:28" ht="20.100000000000001" customHeight="1" outlineLevel="1" x14ac:dyDescent="0.4">
      <c r="B101" s="328"/>
      <c r="C101" s="345"/>
      <c r="D101" s="910" t="str">
        <f ca="1">Equipements_STEU!H59</f>
        <v/>
      </c>
      <c r="E101" s="911"/>
      <c r="F101" s="341" t="str">
        <f ca="1">Equipements_STEU!I59</f>
        <v/>
      </c>
      <c r="G101" s="423" t="str">
        <f ca="1">Equipements_STEU!M59</f>
        <v/>
      </c>
      <c r="H101" s="912" t="str">
        <f ca="1">Equipements_STEU!J59</f>
        <v/>
      </c>
      <c r="I101" s="913"/>
      <c r="J101" s="912" t="str">
        <f ca="1">Equipements_STEU!K59</f>
        <v/>
      </c>
      <c r="K101" s="914"/>
      <c r="L101" s="914"/>
      <c r="M101" s="914"/>
      <c r="N101" s="430" t="str">
        <f ca="1">Equipements_STEU!P59</f>
        <v/>
      </c>
      <c r="O101" s="394" t="str">
        <f ca="1">IF(Equipements_STEU!Y59&lt;&gt;"",Equipements_STEU!AK59,"")</f>
        <v/>
      </c>
      <c r="P101" s="394" t="str">
        <f ca="1">IF(Equipements_STEU!Z59&lt;&gt;"",Equipements_STEU!AL59,"")</f>
        <v/>
      </c>
      <c r="Q101" s="394" t="str">
        <f ca="1">IF(Equipements_STEU!AA59&lt;&gt;"",Equipements_STEU!AM59,"")</f>
        <v/>
      </c>
      <c r="R101" s="394" t="str">
        <f ca="1">IF(Equipements_STEU!AB59&lt;&gt;"",Equipements_STEU!AN59,"")</f>
        <v/>
      </c>
      <c r="S101" s="394" t="str">
        <f ca="1">IF(Equipements_STEU!AC59&lt;&gt;"",Equipements_STEU!AO59,"")</f>
        <v/>
      </c>
      <c r="T101" s="394" t="str">
        <f ca="1">IF(Equipements_STEU!AD59&lt;&gt;"",Equipements_STEU!AP59,"")</f>
        <v/>
      </c>
      <c r="U101" s="394" t="str">
        <f ca="1">IF(Equipements_STEU!AE59&lt;&gt;"",Equipements_STEU!AQ59,"")</f>
        <v/>
      </c>
      <c r="V101" s="394" t="str">
        <f ca="1">IF(Equipements_STEU!AF59&lt;&gt;"",Equipements_STEU!AR59,"")</f>
        <v/>
      </c>
      <c r="W101" s="394" t="str">
        <f ca="1">IF(Equipements_STEU!AG59&lt;&gt;"",Equipements_STEU!AS59,"")</f>
        <v/>
      </c>
      <c r="X101" s="486" t="str">
        <f ca="1">IF(Equipements_STEU!AH59&lt;&gt;"",Equipements_STEU!AT59,"")</f>
        <v/>
      </c>
      <c r="Y101" s="329"/>
      <c r="Z101" s="329"/>
      <c r="AA101" s="346"/>
      <c r="AB101" s="323"/>
    </row>
    <row r="102" spans="2:28" ht="20.100000000000001" customHeight="1" outlineLevel="1" x14ac:dyDescent="0.4">
      <c r="B102" s="328"/>
      <c r="C102" s="345"/>
      <c r="D102" s="910" t="str">
        <f ca="1">Equipements_STEU!H60</f>
        <v/>
      </c>
      <c r="E102" s="911"/>
      <c r="F102" s="341" t="str">
        <f ca="1">Equipements_STEU!I60</f>
        <v/>
      </c>
      <c r="G102" s="423" t="str">
        <f ca="1">Equipements_STEU!M60</f>
        <v/>
      </c>
      <c r="H102" s="912" t="str">
        <f ca="1">Equipements_STEU!J60</f>
        <v/>
      </c>
      <c r="I102" s="913"/>
      <c r="J102" s="912" t="str">
        <f ca="1">Equipements_STEU!K60</f>
        <v/>
      </c>
      <c r="K102" s="914"/>
      <c r="L102" s="914"/>
      <c r="M102" s="914"/>
      <c r="N102" s="430" t="str">
        <f ca="1">Equipements_STEU!P60</f>
        <v/>
      </c>
      <c r="O102" s="394" t="str">
        <f ca="1">IF(Equipements_STEU!Y60&lt;&gt;"",Equipements_STEU!AK60,"")</f>
        <v/>
      </c>
      <c r="P102" s="394" t="str">
        <f ca="1">IF(Equipements_STEU!Z60&lt;&gt;"",Equipements_STEU!AL60,"")</f>
        <v/>
      </c>
      <c r="Q102" s="394" t="str">
        <f ca="1">IF(Equipements_STEU!AA60&lt;&gt;"",Equipements_STEU!AM60,"")</f>
        <v/>
      </c>
      <c r="R102" s="394" t="str">
        <f ca="1">IF(Equipements_STEU!AB60&lt;&gt;"",Equipements_STEU!AN60,"")</f>
        <v/>
      </c>
      <c r="S102" s="394" t="str">
        <f ca="1">IF(Equipements_STEU!AC60&lt;&gt;"",Equipements_STEU!AO60,"")</f>
        <v/>
      </c>
      <c r="T102" s="394" t="str">
        <f ca="1">IF(Equipements_STEU!AD60&lt;&gt;"",Equipements_STEU!AP60,"")</f>
        <v/>
      </c>
      <c r="U102" s="394" t="str">
        <f ca="1">IF(Equipements_STEU!AE60&lt;&gt;"",Equipements_STEU!AQ60,"")</f>
        <v/>
      </c>
      <c r="V102" s="394" t="str">
        <f ca="1">IF(Equipements_STEU!AF60&lt;&gt;"",Equipements_STEU!AR60,"")</f>
        <v/>
      </c>
      <c r="W102" s="394" t="str">
        <f ca="1">IF(Equipements_STEU!AG60&lt;&gt;"",Equipements_STEU!AS60,"")</f>
        <v/>
      </c>
      <c r="X102" s="486" t="str">
        <f ca="1">IF(Equipements_STEU!AH60&lt;&gt;"",Equipements_STEU!AT60,"")</f>
        <v/>
      </c>
      <c r="Y102" s="329"/>
      <c r="Z102" s="329"/>
      <c r="AA102" s="346"/>
      <c r="AB102" s="323"/>
    </row>
    <row r="103" spans="2:28" ht="20.100000000000001" customHeight="1" outlineLevel="1" x14ac:dyDescent="0.4">
      <c r="B103" s="328"/>
      <c r="C103" s="345"/>
      <c r="D103" s="910" t="str">
        <f ca="1">Equipements_STEU!H61</f>
        <v/>
      </c>
      <c r="E103" s="911"/>
      <c r="F103" s="341" t="str">
        <f ca="1">Equipements_STEU!I61</f>
        <v/>
      </c>
      <c r="G103" s="423" t="str">
        <f ca="1">Equipements_STEU!M61</f>
        <v/>
      </c>
      <c r="H103" s="912" t="str">
        <f ca="1">Equipements_STEU!J61</f>
        <v/>
      </c>
      <c r="I103" s="913"/>
      <c r="J103" s="912" t="str">
        <f ca="1">Equipements_STEU!K61</f>
        <v/>
      </c>
      <c r="K103" s="914"/>
      <c r="L103" s="914"/>
      <c r="M103" s="914"/>
      <c r="N103" s="430" t="str">
        <f ca="1">Equipements_STEU!P61</f>
        <v/>
      </c>
      <c r="O103" s="394" t="str">
        <f ca="1">IF(Equipements_STEU!Y61&lt;&gt;"",Equipements_STEU!AK61,"")</f>
        <v/>
      </c>
      <c r="P103" s="394" t="str">
        <f ca="1">IF(Equipements_STEU!Z61&lt;&gt;"",Equipements_STEU!AL61,"")</f>
        <v/>
      </c>
      <c r="Q103" s="394" t="str">
        <f ca="1">IF(Equipements_STEU!AA61&lt;&gt;"",Equipements_STEU!AM61,"")</f>
        <v/>
      </c>
      <c r="R103" s="394" t="str">
        <f ca="1">IF(Equipements_STEU!AB61&lt;&gt;"",Equipements_STEU!AN61,"")</f>
        <v/>
      </c>
      <c r="S103" s="394" t="str">
        <f ca="1">IF(Equipements_STEU!AC61&lt;&gt;"",Equipements_STEU!AO61,"")</f>
        <v/>
      </c>
      <c r="T103" s="394" t="str">
        <f ca="1">IF(Equipements_STEU!AD61&lt;&gt;"",Equipements_STEU!AP61,"")</f>
        <v/>
      </c>
      <c r="U103" s="394" t="str">
        <f ca="1">IF(Equipements_STEU!AE61&lt;&gt;"",Equipements_STEU!AQ61,"")</f>
        <v/>
      </c>
      <c r="V103" s="394" t="str">
        <f ca="1">IF(Equipements_STEU!AF61&lt;&gt;"",Equipements_STEU!AR61,"")</f>
        <v/>
      </c>
      <c r="W103" s="394" t="str">
        <f ca="1">IF(Equipements_STEU!AG61&lt;&gt;"",Equipements_STEU!AS61,"")</f>
        <v/>
      </c>
      <c r="X103" s="486" t="str">
        <f ca="1">IF(Equipements_STEU!AH61&lt;&gt;"",Equipements_STEU!AT61,"")</f>
        <v/>
      </c>
      <c r="Y103" s="329"/>
      <c r="Z103" s="329"/>
      <c r="AA103" s="346"/>
      <c r="AB103" s="323"/>
    </row>
    <row r="104" spans="2:28" ht="20.100000000000001" customHeight="1" outlineLevel="1" x14ac:dyDescent="0.4">
      <c r="B104" s="328"/>
      <c r="C104" s="345"/>
      <c r="D104" s="910" t="str">
        <f ca="1">Equipements_STEU!H62</f>
        <v/>
      </c>
      <c r="E104" s="911"/>
      <c r="F104" s="341" t="str">
        <f ca="1">Equipements_STEU!I62</f>
        <v/>
      </c>
      <c r="G104" s="423" t="str">
        <f ca="1">Equipements_STEU!M62</f>
        <v/>
      </c>
      <c r="H104" s="912" t="str">
        <f ca="1">Equipements_STEU!J62</f>
        <v/>
      </c>
      <c r="I104" s="913"/>
      <c r="J104" s="912" t="str">
        <f ca="1">Equipements_STEU!K62</f>
        <v/>
      </c>
      <c r="K104" s="914"/>
      <c r="L104" s="914"/>
      <c r="M104" s="914"/>
      <c r="N104" s="430" t="str">
        <f ca="1">Equipements_STEU!P62</f>
        <v/>
      </c>
      <c r="O104" s="394" t="str">
        <f ca="1">IF(Equipements_STEU!Y62&lt;&gt;"",Equipements_STEU!AK62,"")</f>
        <v/>
      </c>
      <c r="P104" s="394" t="str">
        <f ca="1">IF(Equipements_STEU!Z62&lt;&gt;"",Equipements_STEU!AL62,"")</f>
        <v/>
      </c>
      <c r="Q104" s="394" t="str">
        <f ca="1">IF(Equipements_STEU!AA62&lt;&gt;"",Equipements_STEU!AM62,"")</f>
        <v/>
      </c>
      <c r="R104" s="394" t="str">
        <f ca="1">IF(Equipements_STEU!AB62&lt;&gt;"",Equipements_STEU!AN62,"")</f>
        <v/>
      </c>
      <c r="S104" s="394" t="str">
        <f ca="1">IF(Equipements_STEU!AC62&lt;&gt;"",Equipements_STEU!AO62,"")</f>
        <v/>
      </c>
      <c r="T104" s="394" t="str">
        <f ca="1">IF(Equipements_STEU!AD62&lt;&gt;"",Equipements_STEU!AP62,"")</f>
        <v/>
      </c>
      <c r="U104" s="394" t="str">
        <f ca="1">IF(Equipements_STEU!AE62&lt;&gt;"",Equipements_STEU!AQ62,"")</f>
        <v/>
      </c>
      <c r="V104" s="394" t="str">
        <f ca="1">IF(Equipements_STEU!AF62&lt;&gt;"",Equipements_STEU!AR62,"")</f>
        <v/>
      </c>
      <c r="W104" s="394" t="str">
        <f ca="1">IF(Equipements_STEU!AG62&lt;&gt;"",Equipements_STEU!AS62,"")</f>
        <v/>
      </c>
      <c r="X104" s="486" t="str">
        <f ca="1">IF(Equipements_STEU!AH62&lt;&gt;"",Equipements_STEU!AT62,"")</f>
        <v/>
      </c>
      <c r="Y104" s="329"/>
      <c r="Z104" s="329"/>
      <c r="AA104" s="346"/>
      <c r="AB104" s="323"/>
    </row>
    <row r="105" spans="2:28" ht="20.100000000000001" customHeight="1" outlineLevel="1" x14ac:dyDescent="0.4">
      <c r="B105" s="328"/>
      <c r="C105" s="345"/>
      <c r="D105" s="910" t="str">
        <f ca="1">Equipements_STEU!H63</f>
        <v/>
      </c>
      <c r="E105" s="911"/>
      <c r="F105" s="341" t="str">
        <f ca="1">Equipements_STEU!I63</f>
        <v/>
      </c>
      <c r="G105" s="423" t="str">
        <f ca="1">Equipements_STEU!M63</f>
        <v/>
      </c>
      <c r="H105" s="912" t="str">
        <f ca="1">Equipements_STEU!J63</f>
        <v/>
      </c>
      <c r="I105" s="913"/>
      <c r="J105" s="912" t="str">
        <f ca="1">Equipements_STEU!K63</f>
        <v/>
      </c>
      <c r="K105" s="914"/>
      <c r="L105" s="914"/>
      <c r="M105" s="914"/>
      <c r="N105" s="430" t="str">
        <f ca="1">Equipements_STEU!P63</f>
        <v/>
      </c>
      <c r="O105" s="394" t="str">
        <f ca="1">IF(Equipements_STEU!Y63&lt;&gt;"",Equipements_STEU!AK63,"")</f>
        <v/>
      </c>
      <c r="P105" s="394" t="str">
        <f ca="1">IF(Equipements_STEU!Z63&lt;&gt;"",Equipements_STEU!AL63,"")</f>
        <v/>
      </c>
      <c r="Q105" s="394" t="str">
        <f ca="1">IF(Equipements_STEU!AA63&lt;&gt;"",Equipements_STEU!AM63,"")</f>
        <v/>
      </c>
      <c r="R105" s="394" t="str">
        <f ca="1">IF(Equipements_STEU!AB63&lt;&gt;"",Equipements_STEU!AN63,"")</f>
        <v/>
      </c>
      <c r="S105" s="394" t="str">
        <f ca="1">IF(Equipements_STEU!AC63&lt;&gt;"",Equipements_STEU!AO63,"")</f>
        <v/>
      </c>
      <c r="T105" s="394" t="str">
        <f ca="1">IF(Equipements_STEU!AD63&lt;&gt;"",Equipements_STEU!AP63,"")</f>
        <v/>
      </c>
      <c r="U105" s="394" t="str">
        <f ca="1">IF(Equipements_STEU!AE63&lt;&gt;"",Equipements_STEU!AQ63,"")</f>
        <v/>
      </c>
      <c r="V105" s="394" t="str">
        <f ca="1">IF(Equipements_STEU!AF63&lt;&gt;"",Equipements_STEU!AR63,"")</f>
        <v/>
      </c>
      <c r="W105" s="394" t="str">
        <f ca="1">IF(Equipements_STEU!AG63&lt;&gt;"",Equipements_STEU!AS63,"")</f>
        <v/>
      </c>
      <c r="X105" s="486" t="str">
        <f ca="1">IF(Equipements_STEU!AH63&lt;&gt;"",Equipements_STEU!AT63,"")</f>
        <v/>
      </c>
      <c r="Y105" s="329"/>
      <c r="Z105" s="329"/>
      <c r="AA105" s="346"/>
      <c r="AB105" s="323"/>
    </row>
    <row r="106" spans="2:28" ht="20.100000000000001" customHeight="1" outlineLevel="1" x14ac:dyDescent="0.4">
      <c r="B106" s="328"/>
      <c r="C106" s="345"/>
      <c r="D106" s="910" t="str">
        <f ca="1">Equipements_STEU!H64</f>
        <v/>
      </c>
      <c r="E106" s="911"/>
      <c r="F106" s="341" t="str">
        <f ca="1">Equipements_STEU!I64</f>
        <v/>
      </c>
      <c r="G106" s="423" t="str">
        <f ca="1">Equipements_STEU!M64</f>
        <v/>
      </c>
      <c r="H106" s="912" t="str">
        <f ca="1">Equipements_STEU!J64</f>
        <v/>
      </c>
      <c r="I106" s="913"/>
      <c r="J106" s="912" t="str">
        <f ca="1">Equipements_STEU!K64</f>
        <v/>
      </c>
      <c r="K106" s="914"/>
      <c r="L106" s="914"/>
      <c r="M106" s="914"/>
      <c r="N106" s="430" t="str">
        <f ca="1">Equipements_STEU!P64</f>
        <v/>
      </c>
      <c r="O106" s="394" t="str">
        <f ca="1">IF(Equipements_STEU!Y64&lt;&gt;"",Equipements_STEU!AK64,"")</f>
        <v/>
      </c>
      <c r="P106" s="394" t="str">
        <f ca="1">IF(Equipements_STEU!Z64&lt;&gt;"",Equipements_STEU!AL64,"")</f>
        <v/>
      </c>
      <c r="Q106" s="394" t="str">
        <f ca="1">IF(Equipements_STEU!AA64&lt;&gt;"",Equipements_STEU!AM64,"")</f>
        <v/>
      </c>
      <c r="R106" s="394" t="str">
        <f ca="1">IF(Equipements_STEU!AB64&lt;&gt;"",Equipements_STEU!AN64,"")</f>
        <v/>
      </c>
      <c r="S106" s="394" t="str">
        <f ca="1">IF(Equipements_STEU!AC64&lt;&gt;"",Equipements_STEU!AO64,"")</f>
        <v/>
      </c>
      <c r="T106" s="394" t="str">
        <f ca="1">IF(Equipements_STEU!AD64&lt;&gt;"",Equipements_STEU!AP64,"")</f>
        <v/>
      </c>
      <c r="U106" s="394" t="str">
        <f ca="1">IF(Equipements_STEU!AE64&lt;&gt;"",Equipements_STEU!AQ64,"")</f>
        <v/>
      </c>
      <c r="V106" s="394" t="str">
        <f ca="1">IF(Equipements_STEU!AF64&lt;&gt;"",Equipements_STEU!AR64,"")</f>
        <v/>
      </c>
      <c r="W106" s="394" t="str">
        <f ca="1">IF(Equipements_STEU!AG64&lt;&gt;"",Equipements_STEU!AS64,"")</f>
        <v/>
      </c>
      <c r="X106" s="486" t="str">
        <f ca="1">IF(Equipements_STEU!AH64&lt;&gt;"",Equipements_STEU!AT64,"")</f>
        <v/>
      </c>
      <c r="Y106" s="329"/>
      <c r="Z106" s="329"/>
      <c r="AA106" s="346"/>
      <c r="AB106" s="323"/>
    </row>
    <row r="107" spans="2:28" ht="20.100000000000001" customHeight="1" outlineLevel="1" thickBot="1" x14ac:dyDescent="0.45">
      <c r="B107" s="328"/>
      <c r="C107" s="345"/>
      <c r="D107" s="953" t="str">
        <f ca="1">Equipements_STEU!H65</f>
        <v/>
      </c>
      <c r="E107" s="954"/>
      <c r="F107" s="487" t="str">
        <f ca="1">Equipements_STEU!I65</f>
        <v/>
      </c>
      <c r="G107" s="488" t="str">
        <f ca="1">Equipements_STEU!M65</f>
        <v/>
      </c>
      <c r="H107" s="941" t="str">
        <f ca="1">Equipements_STEU!J65</f>
        <v/>
      </c>
      <c r="I107" s="959"/>
      <c r="J107" s="941" t="str">
        <f ca="1">Equipements_STEU!K65</f>
        <v/>
      </c>
      <c r="K107" s="942"/>
      <c r="L107" s="942"/>
      <c r="M107" s="942"/>
      <c r="N107" s="489" t="str">
        <f ca="1">Equipements_STEU!P65</f>
        <v/>
      </c>
      <c r="O107" s="490" t="str">
        <f ca="1">IF(Equipements_STEU!Y65&lt;&gt;"",Equipements_STEU!AK65,"")</f>
        <v/>
      </c>
      <c r="P107" s="490" t="str">
        <f ca="1">IF(Equipements_STEU!Z65&lt;&gt;"",Equipements_STEU!AL65,"")</f>
        <v/>
      </c>
      <c r="Q107" s="490" t="str">
        <f ca="1">IF(Equipements_STEU!AA65&lt;&gt;"",Equipements_STEU!AM65,"")</f>
        <v/>
      </c>
      <c r="R107" s="490" t="str">
        <f ca="1">IF(Equipements_STEU!AB65&lt;&gt;"",Equipements_STEU!AN65,"")</f>
        <v/>
      </c>
      <c r="S107" s="490" t="str">
        <f ca="1">IF(Equipements_STEU!AC65&lt;&gt;"",Equipements_STEU!AO65,"")</f>
        <v/>
      </c>
      <c r="T107" s="490" t="str">
        <f ca="1">IF(Equipements_STEU!AD65&lt;&gt;"",Equipements_STEU!AP65,"")</f>
        <v/>
      </c>
      <c r="U107" s="490" t="str">
        <f ca="1">IF(Equipements_STEU!AE65&lt;&gt;"",Equipements_STEU!AQ65,"")</f>
        <v/>
      </c>
      <c r="V107" s="490" t="str">
        <f ca="1">IF(Equipements_STEU!AF65&lt;&gt;"",Equipements_STEU!AR65,"")</f>
        <v/>
      </c>
      <c r="W107" s="490" t="str">
        <f ca="1">IF(Equipements_STEU!AG65&lt;&gt;"",Equipements_STEU!AS65,"")</f>
        <v/>
      </c>
      <c r="X107" s="491" t="str">
        <f ca="1">IF(Equipements_STEU!AH65&lt;&gt;"",Equipements_STEU!AT65,"")</f>
        <v/>
      </c>
      <c r="Y107" s="329"/>
      <c r="Z107" s="329"/>
      <c r="AA107" s="346"/>
      <c r="AB107" s="323"/>
    </row>
    <row r="108" spans="2:28" ht="20.100000000000001" customHeight="1" outlineLevel="1" thickBot="1" x14ac:dyDescent="0.45">
      <c r="B108" s="328"/>
      <c r="C108" s="342"/>
      <c r="D108" s="343"/>
      <c r="E108" s="343"/>
      <c r="F108" s="343"/>
      <c r="G108" s="343"/>
      <c r="H108" s="343"/>
      <c r="I108" s="343"/>
      <c r="J108" s="343"/>
      <c r="K108" s="343"/>
      <c r="L108" s="343"/>
      <c r="M108" s="343"/>
      <c r="N108" s="343"/>
      <c r="O108" s="343"/>
      <c r="P108" s="343"/>
      <c r="Q108" s="343"/>
      <c r="R108" s="343"/>
      <c r="S108" s="343"/>
      <c r="T108" s="343"/>
      <c r="U108" s="343"/>
      <c r="V108" s="343"/>
      <c r="W108" s="343"/>
      <c r="X108" s="759"/>
      <c r="Y108" s="759"/>
      <c r="Z108" s="759"/>
      <c r="AA108" s="344"/>
      <c r="AB108" s="323"/>
    </row>
    <row r="109" spans="2:28" ht="9.9499999999999993" customHeight="1" thickTop="1" x14ac:dyDescent="0.4">
      <c r="B109" s="319"/>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c r="AA109" s="320"/>
      <c r="AB109" s="321"/>
    </row>
  </sheetData>
  <sheetProtection algorithmName="SHA-512" hashValue="pXeY/yv1XckWH+ohYZAZNiVs1zo8CkCafivRXLlV/XXglABrguyfki8ur3AAmRRmysY2sXMLz8ED2klyYQF/3Q==" saltValue="jRdZ8yZmKecXi9BTb7Q1Sw==" spinCount="100000" sheet="1" objects="1" scenarios="1" formatRows="0"/>
  <mergeCells count="281">
    <mergeCell ref="D10:E20"/>
    <mergeCell ref="G11:I11"/>
    <mergeCell ref="D102:E102"/>
    <mergeCell ref="H102:I102"/>
    <mergeCell ref="D103:E103"/>
    <mergeCell ref="H103:I103"/>
    <mergeCell ref="D22:E26"/>
    <mergeCell ref="D48:E51"/>
    <mergeCell ref="F48:Z51"/>
    <mergeCell ref="C54:AA54"/>
    <mergeCell ref="D57:E57"/>
    <mergeCell ref="K44:L44"/>
    <mergeCell ref="I38:J38"/>
    <mergeCell ref="O56:X56"/>
    <mergeCell ref="L11:N11"/>
    <mergeCell ref="L12:N12"/>
    <mergeCell ref="L13:N13"/>
    <mergeCell ref="L14:N14"/>
    <mergeCell ref="L15:N15"/>
    <mergeCell ref="K29:L29"/>
    <mergeCell ref="I33:J33"/>
    <mergeCell ref="K33:L33"/>
    <mergeCell ref="I31:J31"/>
    <mergeCell ref="H98:I98"/>
    <mergeCell ref="C2:W2"/>
    <mergeCell ref="Y2:Z2"/>
    <mergeCell ref="Y6:AA6"/>
    <mergeCell ref="Y5:AA5"/>
    <mergeCell ref="G19:I19"/>
    <mergeCell ref="G12:I12"/>
    <mergeCell ref="V5:X5"/>
    <mergeCell ref="C8:AA8"/>
    <mergeCell ref="V6:X6"/>
    <mergeCell ref="S5:U5"/>
    <mergeCell ref="S6:U6"/>
    <mergeCell ref="P5:R5"/>
    <mergeCell ref="P6:R6"/>
    <mergeCell ref="M5:O5"/>
    <mergeCell ref="M6:O6"/>
    <mergeCell ref="V17:W17"/>
    <mergeCell ref="V18:W18"/>
    <mergeCell ref="G13:I13"/>
    <mergeCell ref="G14:I14"/>
    <mergeCell ref="G15:I15"/>
    <mergeCell ref="G16:I16"/>
    <mergeCell ref="G17:I17"/>
    <mergeCell ref="G18:I18"/>
    <mergeCell ref="V19:W19"/>
    <mergeCell ref="Y3:AA3"/>
    <mergeCell ref="V3:X3"/>
    <mergeCell ref="Y4:AA4"/>
    <mergeCell ref="V4:X4"/>
    <mergeCell ref="S3:U3"/>
    <mergeCell ref="S4:U4"/>
    <mergeCell ref="P3:R3"/>
    <mergeCell ref="P4:R4"/>
    <mergeCell ref="M3:O3"/>
    <mergeCell ref="M4:O4"/>
    <mergeCell ref="X108:Z108"/>
    <mergeCell ref="D106:E106"/>
    <mergeCell ref="D107:E107"/>
    <mergeCell ref="D98:E98"/>
    <mergeCell ref="D101:E101"/>
    <mergeCell ref="D99:E99"/>
    <mergeCell ref="D100:E100"/>
    <mergeCell ref="K37:L37"/>
    <mergeCell ref="I40:J40"/>
    <mergeCell ref="K40:L40"/>
    <mergeCell ref="I39:J39"/>
    <mergeCell ref="K39:L39"/>
    <mergeCell ref="H101:I101"/>
    <mergeCell ref="H100:I100"/>
    <mergeCell ref="H99:I99"/>
    <mergeCell ref="K42:L42"/>
    <mergeCell ref="K43:L43"/>
    <mergeCell ref="G43:H45"/>
    <mergeCell ref="I43:J43"/>
    <mergeCell ref="D104:E104"/>
    <mergeCell ref="H106:I106"/>
    <mergeCell ref="H105:I105"/>
    <mergeCell ref="H107:I107"/>
    <mergeCell ref="N56:N57"/>
    <mergeCell ref="D105:E105"/>
    <mergeCell ref="G24:K24"/>
    <mergeCell ref="G25:K25"/>
    <mergeCell ref="N24:Y24"/>
    <mergeCell ref="N25:Y25"/>
    <mergeCell ref="N30:Y33"/>
    <mergeCell ref="N29:Y29"/>
    <mergeCell ref="M23:M24"/>
    <mergeCell ref="D28:E34"/>
    <mergeCell ref="H104:I104"/>
    <mergeCell ref="D36:E46"/>
    <mergeCell ref="G38:H40"/>
    <mergeCell ref="K45:L45"/>
    <mergeCell ref="N23:Y23"/>
    <mergeCell ref="K38:L38"/>
    <mergeCell ref="K32:L32"/>
    <mergeCell ref="D56:M56"/>
    <mergeCell ref="J57:M57"/>
    <mergeCell ref="J58:M58"/>
    <mergeCell ref="J59:M59"/>
    <mergeCell ref="D58:E58"/>
    <mergeCell ref="H57:I57"/>
    <mergeCell ref="H58:I58"/>
    <mergeCell ref="I44:J44"/>
    <mergeCell ref="J5:L5"/>
    <mergeCell ref="J6:L6"/>
    <mergeCell ref="G3:I3"/>
    <mergeCell ref="G4:I4"/>
    <mergeCell ref="G5:I5"/>
    <mergeCell ref="G6:I6"/>
    <mergeCell ref="C3:F3"/>
    <mergeCell ref="C4:F4"/>
    <mergeCell ref="C5:F5"/>
    <mergeCell ref="C6:F6"/>
    <mergeCell ref="J3:L3"/>
    <mergeCell ref="J4:L4"/>
    <mergeCell ref="J96:M96"/>
    <mergeCell ref="J97:M97"/>
    <mergeCell ref="D97:E97"/>
    <mergeCell ref="D59:E59"/>
    <mergeCell ref="D60:E60"/>
    <mergeCell ref="D61:E61"/>
    <mergeCell ref="D62:E62"/>
    <mergeCell ref="H59:I59"/>
    <mergeCell ref="D96:E96"/>
    <mergeCell ref="H60:I60"/>
    <mergeCell ref="H61:I61"/>
    <mergeCell ref="H62:I62"/>
    <mergeCell ref="H96:I96"/>
    <mergeCell ref="H97:I97"/>
    <mergeCell ref="J60:M60"/>
    <mergeCell ref="J61:M61"/>
    <mergeCell ref="J62:M62"/>
    <mergeCell ref="J63:M63"/>
    <mergeCell ref="J64:M64"/>
    <mergeCell ref="J65:M65"/>
    <mergeCell ref="J66:M66"/>
    <mergeCell ref="J67:M67"/>
    <mergeCell ref="J68:M68"/>
    <mergeCell ref="J69:M69"/>
    <mergeCell ref="J107:M107"/>
    <mergeCell ref="J98:M98"/>
    <mergeCell ref="J99:M99"/>
    <mergeCell ref="J100:M100"/>
    <mergeCell ref="J101:M101"/>
    <mergeCell ref="J102:M102"/>
    <mergeCell ref="J103:M103"/>
    <mergeCell ref="J104:M104"/>
    <mergeCell ref="J105:M105"/>
    <mergeCell ref="J106:M106"/>
    <mergeCell ref="N43:Y43"/>
    <mergeCell ref="N44:Y44"/>
    <mergeCell ref="N45:Y45"/>
    <mergeCell ref="G23:L23"/>
    <mergeCell ref="G29:J29"/>
    <mergeCell ref="G37:J37"/>
    <mergeCell ref="G42:J42"/>
    <mergeCell ref="K31:L31"/>
    <mergeCell ref="I32:J32"/>
    <mergeCell ref="G30:H30"/>
    <mergeCell ref="I30:J30"/>
    <mergeCell ref="K30:L30"/>
    <mergeCell ref="G31:H33"/>
    <mergeCell ref="I45:J45"/>
    <mergeCell ref="V11:X11"/>
    <mergeCell ref="V12:X12"/>
    <mergeCell ref="V13:X13"/>
    <mergeCell ref="V14:X14"/>
    <mergeCell ref="V15:X15"/>
    <mergeCell ref="N37:Y37"/>
    <mergeCell ref="N42:Y42"/>
    <mergeCell ref="N38:Y38"/>
    <mergeCell ref="N39:Y39"/>
    <mergeCell ref="N40:Y40"/>
    <mergeCell ref="L16:N16"/>
    <mergeCell ref="L17:N17"/>
    <mergeCell ref="L18:N18"/>
    <mergeCell ref="L19:N19"/>
    <mergeCell ref="Q11:S11"/>
    <mergeCell ref="Q12:S12"/>
    <mergeCell ref="Q13:S13"/>
    <mergeCell ref="Q14:S14"/>
    <mergeCell ref="Q15:S15"/>
    <mergeCell ref="Q16:S16"/>
    <mergeCell ref="Q17:S17"/>
    <mergeCell ref="Q18:S18"/>
    <mergeCell ref="Q19:S19"/>
    <mergeCell ref="J95:M95"/>
    <mergeCell ref="J94:M94"/>
    <mergeCell ref="J93:M93"/>
    <mergeCell ref="J92:M92"/>
    <mergeCell ref="J91:M91"/>
    <mergeCell ref="J90:M90"/>
    <mergeCell ref="J89:M89"/>
    <mergeCell ref="J88:M88"/>
    <mergeCell ref="J87:M87"/>
    <mergeCell ref="J86:M86"/>
    <mergeCell ref="J70:M70"/>
    <mergeCell ref="J71:M71"/>
    <mergeCell ref="J72:M72"/>
    <mergeCell ref="J73:M73"/>
    <mergeCell ref="J74:M74"/>
    <mergeCell ref="J75:M75"/>
    <mergeCell ref="J76:M76"/>
    <mergeCell ref="J77:M77"/>
    <mergeCell ref="J78:M78"/>
    <mergeCell ref="J79:M79"/>
    <mergeCell ref="J80:M80"/>
    <mergeCell ref="J81:M81"/>
    <mergeCell ref="J82:M82"/>
    <mergeCell ref="J83:M83"/>
    <mergeCell ref="J84:M84"/>
    <mergeCell ref="J85:M85"/>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90:E90"/>
    <mergeCell ref="D91:E91"/>
    <mergeCell ref="D92:E92"/>
    <mergeCell ref="D93:E93"/>
    <mergeCell ref="D94:E94"/>
    <mergeCell ref="D95:E95"/>
    <mergeCell ref="D81:E81"/>
    <mergeCell ref="D82:E82"/>
    <mergeCell ref="D83:E83"/>
    <mergeCell ref="D84:E84"/>
    <mergeCell ref="D85:E85"/>
    <mergeCell ref="D86:E86"/>
    <mergeCell ref="D87:E87"/>
    <mergeCell ref="D88:E88"/>
    <mergeCell ref="D89:E89"/>
  </mergeCells>
  <conditionalFormatting sqref="J12:J19 O12:O19 T12:T19">
    <cfRule type="cellIs" dxfId="38" priority="41" operator="greaterThan">
      <formula>99</formula>
    </cfRule>
    <cfRule type="cellIs" dxfId="37" priority="42" operator="between">
      <formula>70.1</formula>
      <formula>99</formula>
    </cfRule>
    <cfRule type="cellIs" dxfId="36" priority="43" operator="lessThanOrEqual">
      <formula>70</formula>
    </cfRule>
  </conditionalFormatting>
  <conditionalFormatting sqref="K38:K40">
    <cfRule type="cellIs" dxfId="35" priority="16" operator="greaterThan">
      <formula>99</formula>
    </cfRule>
    <cfRule type="cellIs" dxfId="34" priority="17" operator="between">
      <formula>70</formula>
      <formula>99</formula>
    </cfRule>
    <cfRule type="cellIs" dxfId="33" priority="18" operator="lessThan">
      <formula>70</formula>
    </cfRule>
  </conditionalFormatting>
  <conditionalFormatting sqref="K43:K45">
    <cfRule type="cellIs" dxfId="32" priority="4" operator="greaterThan">
      <formula>99</formula>
    </cfRule>
    <cfRule type="cellIs" dxfId="31" priority="5" operator="between">
      <formula>70</formula>
      <formula>99</formula>
    </cfRule>
    <cfRule type="cellIs" dxfId="30" priority="6" operator="lessThan">
      <formula>70</formula>
    </cfRule>
  </conditionalFormatting>
  <conditionalFormatting sqref="K30:L33">
    <cfRule type="containsText" dxfId="29" priority="39" operator="containsText" text="0,1">
      <formula>NOT(ISERROR(SEARCH("0,1",K30)))</formula>
    </cfRule>
    <cfRule type="containsText" dxfId="28" priority="40" operator="containsText" text="0">
      <formula>NOT(ISERROR(SEARCH("0",K30)))</formula>
    </cfRule>
  </conditionalFormatting>
  <conditionalFormatting sqref="L24:L25">
    <cfRule type="cellIs" dxfId="27" priority="11" operator="equal">
      <formula>"Oui"</formula>
    </cfRule>
    <cfRule type="cellIs" dxfId="26" priority="12" operator="equal">
      <formula>"Non"</formula>
    </cfRule>
  </conditionalFormatting>
  <conditionalFormatting sqref="M25">
    <cfRule type="cellIs" dxfId="25" priority="7" operator="lessThan">
      <formula>1</formula>
    </cfRule>
    <cfRule type="cellIs" dxfId="24" priority="8" operator="equal">
      <formula>1</formula>
    </cfRule>
  </conditionalFormatting>
  <conditionalFormatting sqref="N58:N107">
    <cfRule type="cellIs" dxfId="23" priority="19" operator="greaterThan">
      <formula>99</formula>
    </cfRule>
    <cfRule type="cellIs" dxfId="22" priority="20" operator="between">
      <formula>70.1</formula>
      <formula>99</formula>
    </cfRule>
    <cfRule type="cellIs" dxfId="21" priority="21" operator="lessThanOrEqual">
      <formula>70</formula>
    </cfRule>
  </conditionalFormatting>
  <conditionalFormatting sqref="O58:X107">
    <cfRule type="cellIs" dxfId="20" priority="9" operator="equal">
      <formula>0</formula>
    </cfRule>
    <cfRule type="cellIs" dxfId="19" priority="10" operator="greaterThan">
      <formula>0</formula>
    </cfRule>
  </conditionalFormatting>
  <conditionalFormatting sqref="Y12:Y15">
    <cfRule type="cellIs" dxfId="18" priority="1" operator="greaterThan">
      <formula>99</formula>
    </cfRule>
    <cfRule type="cellIs" dxfId="17" priority="2" operator="between">
      <formula>70.1</formula>
      <formula>99</formula>
    </cfRule>
    <cfRule type="cellIs" dxfId="16" priority="3" operator="lessThanOrEqual">
      <formula>70</formula>
    </cfRule>
  </conditionalFormatting>
  <dataValidations xWindow="1171" yWindow="551" count="5">
    <dataValidation type="list" allowBlank="1" showDropDown="1" showInputMessage="1" showErrorMessage="1" sqref="L25" xr:uid="{89175763-9742-48D1-A2DC-B6142B4032EA}">
      <formula1>LISTE_2</formula1>
    </dataValidation>
    <dataValidation type="list" allowBlank="1" showDropDown="1" showInputMessage="1" showErrorMessage="1" sqref="L24" xr:uid="{FBDF92D5-49EC-497A-B064-3B6AA935D569}">
      <formula1>LISTE_3</formula1>
    </dataValidation>
    <dataValidation allowBlank="1" showInputMessage="1" showErrorMessage="1" promptTitle="Information sur le calcul" prompt="Moyenne des scores des débitmètres du point" sqref="O13:O15 J17:J19 T13:T15 O17:O19 J13:J15 T17:T19 Y13:Y15" xr:uid="{2030949C-0E44-4AED-A1E4-904A639C888F}"/>
    <dataValidation allowBlank="1" showInputMessage="1" showErrorMessage="1" promptTitle="Information sur le calcul" prompt="Moyenne des moyennes des scores du point par type d'équipement * coef qualité" sqref="J12 J16 T16 T12 O12 O16 Y12" xr:uid="{AE1E78F1-060F-4BC5-B46B-4A0BC0C8D1A8}"/>
    <dataValidation allowBlank="1" showInputMessage="1" showErrorMessage="1" promptTitle="Double click" prompt="Faite un double click pour exporter le rapport CDA" sqref="Y2:Z2" xr:uid="{61C14012-F44D-4F61-B397-EF964A3E6673}"/>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3"/>
  <sheetViews>
    <sheetView topLeftCell="A19" zoomScale="90" zoomScaleNormal="90" workbookViewId="0">
      <selection activeCell="M29" sqref="M29:Q29"/>
    </sheetView>
  </sheetViews>
  <sheetFormatPr baseColWidth="10" defaultColWidth="10.87890625" defaultRowHeight="12.7" x14ac:dyDescent="0.4"/>
  <cols>
    <col min="1" max="1" width="1.41015625" style="137" customWidth="1"/>
    <col min="2" max="2" width="2" style="137" customWidth="1"/>
    <col min="3" max="3" width="12.703125" style="137" customWidth="1"/>
    <col min="4" max="4" width="12.703125" style="138" customWidth="1"/>
    <col min="5" max="7" width="12.703125" style="137" customWidth="1"/>
    <col min="8" max="8" width="12.703125" style="138" customWidth="1"/>
    <col min="9" max="11" width="12.703125" style="137" customWidth="1"/>
    <col min="12" max="18" width="12.703125" style="314" customWidth="1"/>
    <col min="19" max="19" width="2.1171875" style="137" customWidth="1"/>
    <col min="20" max="20" width="10.87890625" style="405"/>
    <col min="21" max="28" width="10.87890625" style="404"/>
    <col min="29" max="29" width="10.87890625" style="318"/>
    <col min="30" max="16384" width="10.87890625" style="137"/>
  </cols>
  <sheetData>
    <row r="1" spans="1:21" ht="9.9499999999999993" customHeight="1" thickBot="1" x14ac:dyDescent="0.45">
      <c r="A1" s="312"/>
      <c r="B1" s="325"/>
      <c r="C1" s="326"/>
      <c r="D1" s="326"/>
      <c r="E1" s="326"/>
      <c r="F1" s="326"/>
      <c r="G1" s="326"/>
      <c r="H1" s="326"/>
      <c r="I1" s="326"/>
      <c r="J1" s="326"/>
      <c r="K1" s="326"/>
      <c r="L1" s="326"/>
      <c r="M1" s="326"/>
      <c r="N1" s="326"/>
      <c r="O1" s="326"/>
      <c r="P1" s="326"/>
      <c r="Q1" s="326"/>
      <c r="R1" s="326"/>
      <c r="S1" s="327"/>
      <c r="T1" s="401"/>
      <c r="U1" s="401"/>
    </row>
    <row r="2" spans="1:21" ht="38.1" customHeight="1" thickTop="1" x14ac:dyDescent="0.4">
      <c r="A2" s="312"/>
      <c r="B2" s="328"/>
      <c r="C2" s="594" t="s">
        <v>393</v>
      </c>
      <c r="D2" s="595"/>
      <c r="E2" s="595"/>
      <c r="F2" s="595"/>
      <c r="G2" s="595"/>
      <c r="H2" s="595"/>
      <c r="I2" s="595"/>
      <c r="J2" s="595"/>
      <c r="K2" s="595"/>
      <c r="L2" s="595"/>
      <c r="M2" s="595"/>
      <c r="N2" s="595"/>
      <c r="O2" s="595"/>
      <c r="P2" s="595"/>
      <c r="Q2" s="595"/>
      <c r="R2" s="596"/>
      <c r="S2" s="323"/>
      <c r="T2" s="401"/>
      <c r="U2" s="401"/>
    </row>
    <row r="3" spans="1:21" ht="18.95" customHeight="1" x14ac:dyDescent="0.4">
      <c r="A3" s="312"/>
      <c r="B3" s="328"/>
      <c r="C3" s="597" t="s">
        <v>479</v>
      </c>
      <c r="D3" s="598"/>
      <c r="E3" s="599" t="str">
        <f>IF(ISBLANK(Descriptif!L3),"",Descriptif!L3)</f>
        <v/>
      </c>
      <c r="F3" s="599"/>
      <c r="G3" s="599"/>
      <c r="H3" s="598" t="s">
        <v>496</v>
      </c>
      <c r="I3" s="598"/>
      <c r="J3" s="599" t="str">
        <f>IF(ISBLANK(Descriptif!Q3),"",Descriptif!Q3)</f>
        <v/>
      </c>
      <c r="K3" s="599"/>
      <c r="L3" s="599"/>
      <c r="M3" s="598" t="s">
        <v>465</v>
      </c>
      <c r="N3" s="598"/>
      <c r="O3" s="598"/>
      <c r="P3" s="599" t="str">
        <f>IF(ISBLANK(Descriptif!U3),"",Descriptif!U3)</f>
        <v/>
      </c>
      <c r="Q3" s="599"/>
      <c r="R3" s="600"/>
      <c r="S3" s="323"/>
      <c r="T3" s="401"/>
      <c r="U3" s="401"/>
    </row>
    <row r="4" spans="1:21" ht="18.95" customHeight="1" x14ac:dyDescent="0.4">
      <c r="A4" s="312"/>
      <c r="B4" s="328"/>
      <c r="C4" s="597" t="s">
        <v>481</v>
      </c>
      <c r="D4" s="598"/>
      <c r="E4" s="599" t="str">
        <f>IF(ISBLANK(Descriptif!L4),"",Descriptif!L4)</f>
        <v/>
      </c>
      <c r="F4" s="599"/>
      <c r="G4" s="599"/>
      <c r="H4" s="598" t="s">
        <v>481</v>
      </c>
      <c r="I4" s="598"/>
      <c r="J4" s="599" t="str">
        <f>IF(ISBLANK(Descriptif!Q4),"",Descriptif!Q4)</f>
        <v/>
      </c>
      <c r="K4" s="599"/>
      <c r="L4" s="599"/>
      <c r="M4" s="598" t="s">
        <v>466</v>
      </c>
      <c r="N4" s="598"/>
      <c r="O4" s="598"/>
      <c r="P4" s="599" t="str">
        <f>IF(ISBLANK(Descriptif!U4),"",Descriptif!U4)</f>
        <v/>
      </c>
      <c r="Q4" s="599"/>
      <c r="R4" s="600"/>
      <c r="S4" s="323"/>
      <c r="T4" s="401"/>
      <c r="U4" s="401"/>
    </row>
    <row r="5" spans="1:21" ht="30" customHeight="1" x14ac:dyDescent="0.4">
      <c r="A5" s="312"/>
      <c r="B5" s="328"/>
      <c r="C5" s="597" t="s">
        <v>482</v>
      </c>
      <c r="D5" s="598"/>
      <c r="E5" s="599" t="str">
        <f>IF(ISBLANK(Descriptif!F5),"",Descriptif!F5)</f>
        <v/>
      </c>
      <c r="F5" s="599"/>
      <c r="G5" s="599"/>
      <c r="H5" s="598" t="s">
        <v>475</v>
      </c>
      <c r="I5" s="598"/>
      <c r="J5" s="599" t="str">
        <f>IF(ISBLANK(Descriptif!Q5),"",Descriptif!Q5)</f>
        <v/>
      </c>
      <c r="K5" s="599"/>
      <c r="L5" s="599"/>
      <c r="M5" s="598" t="s">
        <v>467</v>
      </c>
      <c r="N5" s="598"/>
      <c r="O5" s="598"/>
      <c r="P5" s="644" t="str">
        <f>IF(ISBLANK(Descriptif!U5),"",Descriptif!U5)</f>
        <v/>
      </c>
      <c r="Q5" s="644"/>
      <c r="R5" s="645"/>
      <c r="S5" s="323"/>
      <c r="T5" s="401"/>
      <c r="U5" s="401"/>
    </row>
    <row r="6" spans="1:21" ht="18.95" customHeight="1" thickBot="1" x14ac:dyDescent="0.45">
      <c r="A6" s="312"/>
      <c r="B6" s="328"/>
      <c r="C6" s="601" t="s">
        <v>483</v>
      </c>
      <c r="D6" s="553"/>
      <c r="E6" s="554" t="str">
        <f>IF(ISBLANK(Descriptif!L6),"",Descriptif!F6)</f>
        <v/>
      </c>
      <c r="F6" s="554"/>
      <c r="G6" s="554"/>
      <c r="H6" s="553" t="s">
        <v>483</v>
      </c>
      <c r="I6" s="553"/>
      <c r="J6" s="554" t="str">
        <f>IF(ISBLANK(Descriptif!Q6),"",Descriptif!Q6)</f>
        <v/>
      </c>
      <c r="K6" s="554"/>
      <c r="L6" s="554"/>
      <c r="M6" s="553" t="s">
        <v>468</v>
      </c>
      <c r="N6" s="553"/>
      <c r="O6" s="553"/>
      <c r="P6" s="567" t="str">
        <f>IF(ISBLANK(Descriptif!U6),"",Descriptif!U6)</f>
        <v/>
      </c>
      <c r="Q6" s="567"/>
      <c r="R6" s="568"/>
      <c r="S6" s="323"/>
      <c r="T6" s="401"/>
      <c r="U6" s="401"/>
    </row>
    <row r="7" spans="1:21" ht="9.9499999999999993" customHeight="1" thickTop="1" thickBot="1" x14ac:dyDescent="0.45">
      <c r="A7" s="312"/>
      <c r="B7" s="328"/>
      <c r="C7" s="329"/>
      <c r="D7" s="329"/>
      <c r="E7" s="329"/>
      <c r="F7" s="329"/>
      <c r="G7" s="329"/>
      <c r="H7" s="329"/>
      <c r="I7" s="329"/>
      <c r="J7" s="329"/>
      <c r="K7" s="329"/>
      <c r="L7" s="329"/>
      <c r="M7" s="329"/>
      <c r="N7" s="329"/>
      <c r="O7" s="329"/>
      <c r="P7" s="329"/>
      <c r="Q7" s="329"/>
      <c r="R7" s="329"/>
      <c r="S7" s="323"/>
      <c r="T7" s="401"/>
      <c r="U7" s="401"/>
    </row>
    <row r="8" spans="1:21" ht="24" thickTop="1" thickBot="1" x14ac:dyDescent="0.45">
      <c r="A8" s="312"/>
      <c r="B8" s="328"/>
      <c r="C8" s="641" t="s">
        <v>399</v>
      </c>
      <c r="D8" s="642"/>
      <c r="E8" s="642"/>
      <c r="F8" s="642"/>
      <c r="G8" s="642"/>
      <c r="H8" s="642"/>
      <c r="I8" s="642"/>
      <c r="J8" s="642"/>
      <c r="K8" s="642"/>
      <c r="L8" s="642"/>
      <c r="M8" s="642"/>
      <c r="N8" s="642"/>
      <c r="O8" s="642"/>
      <c r="P8" s="642"/>
      <c r="Q8" s="642"/>
      <c r="R8" s="678"/>
      <c r="S8" s="317"/>
      <c r="T8" s="401"/>
      <c r="U8" s="401"/>
    </row>
    <row r="9" spans="1:21" ht="13.35" thickTop="1" x14ac:dyDescent="0.4">
      <c r="A9" s="312"/>
      <c r="B9" s="328"/>
      <c r="C9" s="330"/>
      <c r="D9" s="329"/>
      <c r="E9" s="329"/>
      <c r="F9" s="329"/>
      <c r="G9" s="329"/>
      <c r="H9" s="329"/>
      <c r="I9" s="329"/>
      <c r="J9" s="329"/>
      <c r="K9" s="329"/>
      <c r="L9" s="329"/>
      <c r="M9" s="329"/>
      <c r="N9" s="329"/>
      <c r="O9" s="329"/>
      <c r="P9" s="329"/>
      <c r="Q9" s="329"/>
      <c r="R9" s="322"/>
      <c r="S9" s="323"/>
      <c r="T9" s="401"/>
      <c r="U9" s="401"/>
    </row>
    <row r="10" spans="1:21" ht="30" customHeight="1" x14ac:dyDescent="0.4">
      <c r="A10" s="312"/>
      <c r="B10" s="328"/>
      <c r="C10" s="311"/>
      <c r="D10" s="462">
        <v>1</v>
      </c>
      <c r="E10" s="991" t="s">
        <v>511</v>
      </c>
      <c r="F10" s="992"/>
      <c r="G10" s="992"/>
      <c r="H10" s="992"/>
      <c r="I10" s="992"/>
      <c r="J10" s="992"/>
      <c r="K10" s="992"/>
      <c r="L10" s="435"/>
      <c r="M10" s="993"/>
      <c r="N10" s="994"/>
      <c r="O10" s="994"/>
      <c r="P10" s="994"/>
      <c r="Q10" s="995"/>
      <c r="R10" s="322"/>
      <c r="S10" s="323"/>
      <c r="T10" s="401"/>
      <c r="U10" s="401"/>
    </row>
    <row r="11" spans="1:21" ht="9.9499999999999993" customHeight="1" x14ac:dyDescent="0.4">
      <c r="A11" s="312"/>
      <c r="B11" s="328"/>
      <c r="C11" s="330"/>
      <c r="D11" s="329"/>
      <c r="E11" s="329"/>
      <c r="F11" s="329"/>
      <c r="G11" s="329"/>
      <c r="H11" s="329"/>
      <c r="I11" s="329"/>
      <c r="J11" s="329"/>
      <c r="K11" s="329"/>
      <c r="L11" s="329"/>
      <c r="M11" s="329"/>
      <c r="N11" s="329"/>
      <c r="O11" s="329"/>
      <c r="P11" s="329"/>
      <c r="Q11" s="329"/>
      <c r="R11" s="322"/>
      <c r="S11" s="323"/>
      <c r="T11" s="401"/>
      <c r="U11" s="401"/>
    </row>
    <row r="12" spans="1:21" ht="15.7" x14ac:dyDescent="0.4">
      <c r="A12" s="312"/>
      <c r="B12" s="328"/>
      <c r="C12" s="330"/>
      <c r="D12" s="331" t="s">
        <v>369</v>
      </c>
      <c r="E12" s="329"/>
      <c r="F12" s="329"/>
      <c r="G12" s="329"/>
      <c r="H12" s="329"/>
      <c r="I12" s="329"/>
      <c r="J12" s="329"/>
      <c r="K12" s="329"/>
      <c r="L12" s="329"/>
      <c r="M12" s="329"/>
      <c r="N12" s="329"/>
      <c r="O12" s="329"/>
      <c r="P12" s="329"/>
      <c r="Q12" s="329"/>
      <c r="R12" s="322"/>
      <c r="S12" s="323"/>
      <c r="T12" s="401"/>
      <c r="U12" s="401"/>
    </row>
    <row r="13" spans="1:21" ht="53.85" customHeight="1" x14ac:dyDescent="0.4">
      <c r="A13" s="312"/>
      <c r="B13" s="328"/>
      <c r="C13" s="311"/>
      <c r="D13" s="976"/>
      <c r="E13" s="977"/>
      <c r="F13" s="977"/>
      <c r="G13" s="977"/>
      <c r="H13" s="977"/>
      <c r="I13" s="977"/>
      <c r="J13" s="977"/>
      <c r="K13" s="977"/>
      <c r="L13" s="977"/>
      <c r="M13" s="977"/>
      <c r="N13" s="977"/>
      <c r="O13" s="977"/>
      <c r="P13" s="977"/>
      <c r="Q13" s="978"/>
      <c r="R13" s="322"/>
      <c r="S13" s="323"/>
      <c r="T13" s="401"/>
      <c r="U13" s="401"/>
    </row>
    <row r="14" spans="1:21" ht="9.9499999999999993" customHeight="1" x14ac:dyDescent="0.4">
      <c r="A14" s="312"/>
      <c r="B14" s="328"/>
      <c r="C14" s="330"/>
      <c r="D14" s="406"/>
      <c r="E14" s="406"/>
      <c r="F14" s="406"/>
      <c r="G14" s="406"/>
      <c r="H14" s="406"/>
      <c r="I14" s="406"/>
      <c r="J14" s="406"/>
      <c r="K14" s="406"/>
      <c r="L14" s="406"/>
      <c r="M14" s="406"/>
      <c r="N14" s="406"/>
      <c r="O14" s="406"/>
      <c r="P14" s="406"/>
      <c r="Q14" s="406"/>
      <c r="R14" s="322"/>
      <c r="S14" s="323"/>
      <c r="T14" s="401"/>
      <c r="U14" s="401"/>
    </row>
    <row r="15" spans="1:21" ht="53.7" customHeight="1" x14ac:dyDescent="0.4">
      <c r="A15" s="312"/>
      <c r="B15" s="328"/>
      <c r="C15" s="330"/>
      <c r="D15" s="990" t="s">
        <v>497</v>
      </c>
      <c r="E15" s="990"/>
      <c r="F15" s="990"/>
      <c r="G15" s="990"/>
      <c r="H15" s="990"/>
      <c r="I15" s="990"/>
      <c r="J15" s="990"/>
      <c r="K15" s="990"/>
      <c r="L15" s="990"/>
      <c r="M15" s="990"/>
      <c r="N15" s="990"/>
      <c r="O15" s="990"/>
      <c r="P15" s="990"/>
      <c r="Q15" s="990"/>
      <c r="R15" s="322"/>
      <c r="S15" s="323"/>
      <c r="T15" s="401"/>
      <c r="U15" s="401"/>
    </row>
    <row r="16" spans="1:21" ht="110.7" customHeight="1" x14ac:dyDescent="0.4">
      <c r="A16" s="312"/>
      <c r="B16" s="328"/>
      <c r="C16" s="311"/>
      <c r="D16" s="990"/>
      <c r="E16" s="990"/>
      <c r="F16" s="990"/>
      <c r="G16" s="990"/>
      <c r="H16" s="990"/>
      <c r="I16" s="990"/>
      <c r="J16" s="990"/>
      <c r="K16" s="990"/>
      <c r="L16" s="990"/>
      <c r="M16" s="990"/>
      <c r="N16" s="990"/>
      <c r="O16" s="990"/>
      <c r="P16" s="990"/>
      <c r="Q16" s="990"/>
      <c r="R16" s="322"/>
      <c r="S16" s="323"/>
      <c r="T16" s="401"/>
      <c r="U16" s="401"/>
    </row>
    <row r="17" spans="1:29" ht="9.9499999999999993" customHeight="1" thickBot="1" x14ac:dyDescent="0.45">
      <c r="A17" s="312"/>
      <c r="B17" s="328"/>
      <c r="C17" s="332"/>
      <c r="D17" s="333"/>
      <c r="E17" s="333"/>
      <c r="F17" s="333"/>
      <c r="G17" s="333"/>
      <c r="H17" s="333"/>
      <c r="I17" s="333"/>
      <c r="J17" s="333"/>
      <c r="K17" s="333"/>
      <c r="L17" s="333"/>
      <c r="M17" s="333"/>
      <c r="N17" s="333"/>
      <c r="O17" s="333"/>
      <c r="P17" s="333"/>
      <c r="Q17" s="333"/>
      <c r="R17" s="324"/>
      <c r="S17" s="323"/>
      <c r="T17" s="401"/>
      <c r="U17" s="401"/>
    </row>
    <row r="18" spans="1:29" ht="13.7" thickTop="1" thickBot="1" x14ac:dyDescent="0.45">
      <c r="A18" s="312"/>
      <c r="B18" s="328"/>
      <c r="C18" s="329"/>
      <c r="D18" s="329"/>
      <c r="E18" s="329"/>
      <c r="F18" s="329"/>
      <c r="G18" s="329"/>
      <c r="H18" s="329"/>
      <c r="I18" s="329"/>
      <c r="J18" s="329"/>
      <c r="K18" s="329"/>
      <c r="L18" s="329"/>
      <c r="M18" s="329"/>
      <c r="N18" s="329"/>
      <c r="O18" s="329"/>
      <c r="P18" s="329"/>
      <c r="Q18" s="329"/>
      <c r="R18" s="329"/>
      <c r="S18" s="323"/>
      <c r="T18" s="401"/>
      <c r="U18" s="401"/>
    </row>
    <row r="19" spans="1:29" ht="24" thickTop="1" thickBot="1" x14ac:dyDescent="0.45">
      <c r="A19" s="312"/>
      <c r="B19" s="328"/>
      <c r="C19" s="641" t="s">
        <v>401</v>
      </c>
      <c r="D19" s="642"/>
      <c r="E19" s="642"/>
      <c r="F19" s="642"/>
      <c r="G19" s="642"/>
      <c r="H19" s="642"/>
      <c r="I19" s="642"/>
      <c r="J19" s="642"/>
      <c r="K19" s="642"/>
      <c r="L19" s="642"/>
      <c r="M19" s="642"/>
      <c r="N19" s="642"/>
      <c r="O19" s="642"/>
      <c r="P19" s="642"/>
      <c r="Q19" s="642"/>
      <c r="R19" s="678"/>
      <c r="S19" s="317"/>
      <c r="T19" s="401"/>
      <c r="U19" s="401"/>
    </row>
    <row r="20" spans="1:29" ht="13.35" thickTop="1" x14ac:dyDescent="0.4">
      <c r="A20" s="312"/>
      <c r="B20" s="328"/>
      <c r="C20" s="330"/>
      <c r="D20" s="329"/>
      <c r="E20" s="329"/>
      <c r="F20" s="329"/>
      <c r="G20" s="329"/>
      <c r="H20" s="329"/>
      <c r="I20" s="329"/>
      <c r="J20" s="329"/>
      <c r="K20" s="329"/>
      <c r="L20" s="329"/>
      <c r="M20" s="329"/>
      <c r="N20" s="329"/>
      <c r="O20" s="329"/>
      <c r="P20" s="329"/>
      <c r="Q20" s="329"/>
      <c r="R20" s="322"/>
      <c r="S20" s="323"/>
      <c r="T20" s="401"/>
      <c r="U20" s="401"/>
    </row>
    <row r="21" spans="1:29" s="138" customFormat="1" ht="30" customHeight="1" x14ac:dyDescent="0.4">
      <c r="A21" s="415"/>
      <c r="B21" s="416"/>
      <c r="C21" s="417"/>
      <c r="D21" s="463">
        <v>2</v>
      </c>
      <c r="E21" s="987" t="s">
        <v>439</v>
      </c>
      <c r="F21" s="988"/>
      <c r="G21" s="988"/>
      <c r="H21" s="988"/>
      <c r="I21" s="988"/>
      <c r="J21" s="988"/>
      <c r="K21" s="988"/>
      <c r="L21" s="451"/>
      <c r="M21" s="989"/>
      <c r="N21" s="989"/>
      <c r="O21" s="989"/>
      <c r="P21" s="989"/>
      <c r="Q21" s="989"/>
      <c r="R21" s="418"/>
      <c r="S21" s="419"/>
      <c r="T21" s="420"/>
      <c r="U21" s="420"/>
      <c r="V21" s="421"/>
      <c r="W21" s="421"/>
      <c r="X21" s="421"/>
      <c r="Y21" s="421"/>
      <c r="Z21" s="421"/>
      <c r="AA21" s="421"/>
      <c r="AB21" s="421"/>
      <c r="AC21" s="422"/>
    </row>
    <row r="22" spans="1:29" ht="30" customHeight="1" x14ac:dyDescent="0.4">
      <c r="A22" s="312"/>
      <c r="B22" s="328"/>
      <c r="C22" s="330"/>
      <c r="D22" s="464">
        <v>3</v>
      </c>
      <c r="E22" s="979" t="s">
        <v>440</v>
      </c>
      <c r="F22" s="980"/>
      <c r="G22" s="980"/>
      <c r="H22" s="980"/>
      <c r="I22" s="980"/>
      <c r="J22" s="980"/>
      <c r="K22" s="980"/>
      <c r="L22" s="452"/>
      <c r="M22" s="972"/>
      <c r="N22" s="972"/>
      <c r="O22" s="972"/>
      <c r="P22" s="972"/>
      <c r="Q22" s="972"/>
      <c r="R22" s="322"/>
      <c r="S22" s="323"/>
      <c r="T22" s="401"/>
      <c r="U22" s="401"/>
    </row>
    <row r="23" spans="1:29" ht="30" customHeight="1" x14ac:dyDescent="0.4">
      <c r="A23" s="312"/>
      <c r="B23" s="328"/>
      <c r="C23" s="330"/>
      <c r="D23" s="464">
        <v>4</v>
      </c>
      <c r="E23" s="979" t="s">
        <v>441</v>
      </c>
      <c r="F23" s="980"/>
      <c r="G23" s="980"/>
      <c r="H23" s="980"/>
      <c r="I23" s="980"/>
      <c r="J23" s="980"/>
      <c r="K23" s="980"/>
      <c r="L23" s="452"/>
      <c r="M23" s="972"/>
      <c r="N23" s="972"/>
      <c r="O23" s="972"/>
      <c r="P23" s="972"/>
      <c r="Q23" s="972"/>
      <c r="R23" s="322"/>
      <c r="S23" s="323"/>
      <c r="T23" s="401"/>
      <c r="U23" s="401"/>
    </row>
    <row r="24" spans="1:29" ht="30" customHeight="1" x14ac:dyDescent="0.4">
      <c r="A24" s="312"/>
      <c r="B24" s="328"/>
      <c r="C24" s="330"/>
      <c r="D24" s="464">
        <v>5</v>
      </c>
      <c r="E24" s="979" t="s">
        <v>442</v>
      </c>
      <c r="F24" s="980"/>
      <c r="G24" s="980"/>
      <c r="H24" s="980"/>
      <c r="I24" s="980"/>
      <c r="J24" s="980"/>
      <c r="K24" s="980"/>
      <c r="L24" s="452"/>
      <c r="M24" s="972"/>
      <c r="N24" s="972"/>
      <c r="O24" s="972"/>
      <c r="P24" s="972"/>
      <c r="Q24" s="972"/>
      <c r="R24" s="322"/>
      <c r="S24" s="323"/>
      <c r="T24" s="401"/>
      <c r="U24" s="401"/>
    </row>
    <row r="25" spans="1:29" ht="30" customHeight="1" x14ac:dyDescent="0.4">
      <c r="A25" s="312"/>
      <c r="B25" s="328"/>
      <c r="C25" s="330"/>
      <c r="D25" s="464">
        <v>6</v>
      </c>
      <c r="E25" s="979" t="s">
        <v>443</v>
      </c>
      <c r="F25" s="980"/>
      <c r="G25" s="980"/>
      <c r="H25" s="980"/>
      <c r="I25" s="980"/>
      <c r="J25" s="980"/>
      <c r="K25" s="980"/>
      <c r="L25" s="452"/>
      <c r="M25" s="972"/>
      <c r="N25" s="972"/>
      <c r="O25" s="972"/>
      <c r="P25" s="972"/>
      <c r="Q25" s="972"/>
      <c r="R25" s="322"/>
      <c r="S25" s="323"/>
      <c r="T25" s="401"/>
      <c r="U25" s="401"/>
    </row>
    <row r="26" spans="1:29" ht="30" customHeight="1" x14ac:dyDescent="0.4">
      <c r="A26" s="312"/>
      <c r="B26" s="328"/>
      <c r="C26" s="330"/>
      <c r="D26" s="464">
        <v>7</v>
      </c>
      <c r="E26" s="979" t="s">
        <v>444</v>
      </c>
      <c r="F26" s="980"/>
      <c r="G26" s="980"/>
      <c r="H26" s="980"/>
      <c r="I26" s="980"/>
      <c r="J26" s="980"/>
      <c r="K26" s="980"/>
      <c r="L26" s="452"/>
      <c r="M26" s="972"/>
      <c r="N26" s="972"/>
      <c r="O26" s="972"/>
      <c r="P26" s="972"/>
      <c r="Q26" s="972"/>
      <c r="R26" s="322"/>
      <c r="S26" s="323"/>
      <c r="T26" s="401"/>
      <c r="U26" s="401"/>
    </row>
    <row r="27" spans="1:29" ht="30" customHeight="1" x14ac:dyDescent="0.4">
      <c r="A27" s="312"/>
      <c r="B27" s="328"/>
      <c r="C27" s="330"/>
      <c r="D27" s="464">
        <v>8</v>
      </c>
      <c r="E27" s="979" t="s">
        <v>445</v>
      </c>
      <c r="F27" s="980"/>
      <c r="G27" s="980"/>
      <c r="H27" s="980"/>
      <c r="I27" s="980"/>
      <c r="J27" s="980"/>
      <c r="K27" s="980"/>
      <c r="L27" s="452"/>
      <c r="M27" s="972"/>
      <c r="N27" s="972"/>
      <c r="O27" s="972"/>
      <c r="P27" s="972"/>
      <c r="Q27" s="972"/>
      <c r="R27" s="322"/>
      <c r="S27" s="323"/>
      <c r="T27" s="401"/>
      <c r="U27" s="401"/>
    </row>
    <row r="28" spans="1:29" ht="30" customHeight="1" x14ac:dyDescent="0.4">
      <c r="A28" s="312"/>
      <c r="B28" s="328"/>
      <c r="C28" s="330"/>
      <c r="D28" s="465">
        <v>9</v>
      </c>
      <c r="E28" s="973" t="s">
        <v>446</v>
      </c>
      <c r="F28" s="974"/>
      <c r="G28" s="974"/>
      <c r="H28" s="974"/>
      <c r="I28" s="974"/>
      <c r="J28" s="974"/>
      <c r="K28" s="974"/>
      <c r="L28" s="453"/>
      <c r="M28" s="975"/>
      <c r="N28" s="975"/>
      <c r="O28" s="975"/>
      <c r="P28" s="975"/>
      <c r="Q28" s="975"/>
      <c r="R28" s="322"/>
      <c r="S28" s="323"/>
      <c r="T28" s="401"/>
      <c r="U28" s="401"/>
    </row>
    <row r="29" spans="1:29" ht="30" customHeight="1" x14ac:dyDescent="0.4">
      <c r="A29" s="312"/>
      <c r="B29" s="328"/>
      <c r="C29" s="330"/>
      <c r="D29" s="461"/>
      <c r="E29" s="981" t="s">
        <v>447</v>
      </c>
      <c r="F29" s="982"/>
      <c r="G29" s="982"/>
      <c r="H29" s="982"/>
      <c r="I29" s="982"/>
      <c r="J29" s="982"/>
      <c r="K29" s="983"/>
      <c r="L29" s="450" t="str">
        <f>IF(
    OR(COUNTIF(L21:L28,"Non")&gt;0,L10="Non"),
    "Non",
    IF(
        AND(COUNTIF(L21:L28,"Oui")&gt;0,L10="Oui"),
        "Oui",
        ""
    )
)</f>
        <v/>
      </c>
      <c r="M29" s="984"/>
      <c r="N29" s="985"/>
      <c r="O29" s="985"/>
      <c r="P29" s="985"/>
      <c r="Q29" s="986"/>
      <c r="R29" s="322"/>
      <c r="S29" s="323"/>
      <c r="T29" s="401"/>
      <c r="U29" s="401"/>
    </row>
    <row r="30" spans="1:29" ht="13" x14ac:dyDescent="0.4">
      <c r="A30" s="312"/>
      <c r="B30" s="328"/>
      <c r="C30" s="330"/>
      <c r="D30" s="329"/>
      <c r="E30" s="329"/>
      <c r="F30" s="329"/>
      <c r="G30" s="329"/>
      <c r="H30" s="329"/>
      <c r="I30" s="329"/>
      <c r="J30" s="329"/>
      <c r="K30" s="329"/>
      <c r="L30" s="329"/>
      <c r="M30" s="329"/>
      <c r="N30" s="329"/>
      <c r="O30" s="329"/>
      <c r="P30" s="329"/>
      <c r="Q30" s="329"/>
      <c r="R30" s="322"/>
      <c r="S30" s="323"/>
      <c r="T30" s="401"/>
      <c r="U30" s="401"/>
    </row>
    <row r="31" spans="1:29" ht="15.7" x14ac:dyDescent="0.4">
      <c r="A31" s="312"/>
      <c r="B31" s="328"/>
      <c r="C31" s="330"/>
      <c r="D31" s="331" t="s">
        <v>369</v>
      </c>
      <c r="E31" s="329"/>
      <c r="F31" s="329"/>
      <c r="G31" s="329"/>
      <c r="H31" s="329"/>
      <c r="I31" s="329"/>
      <c r="J31" s="329"/>
      <c r="K31" s="329"/>
      <c r="L31" s="329"/>
      <c r="M31" s="329"/>
      <c r="N31" s="329"/>
      <c r="O31" s="329"/>
      <c r="P31" s="329"/>
      <c r="Q31" s="329"/>
      <c r="R31" s="322"/>
      <c r="S31" s="323"/>
      <c r="T31" s="401"/>
      <c r="U31" s="401"/>
    </row>
    <row r="32" spans="1:29" ht="53.85" customHeight="1" x14ac:dyDescent="0.4">
      <c r="A32" s="312"/>
      <c r="B32" s="328"/>
      <c r="C32" s="330"/>
      <c r="D32" s="976"/>
      <c r="E32" s="977"/>
      <c r="F32" s="977"/>
      <c r="G32" s="977"/>
      <c r="H32" s="977"/>
      <c r="I32" s="977"/>
      <c r="J32" s="977"/>
      <c r="K32" s="977"/>
      <c r="L32" s="977"/>
      <c r="M32" s="977"/>
      <c r="N32" s="977"/>
      <c r="O32" s="977"/>
      <c r="P32" s="977"/>
      <c r="Q32" s="978"/>
      <c r="R32" s="322"/>
      <c r="S32" s="323"/>
      <c r="T32" s="401"/>
      <c r="U32" s="401"/>
    </row>
    <row r="33" spans="1:21" ht="13.35" thickBot="1" x14ac:dyDescent="0.45">
      <c r="A33" s="312"/>
      <c r="B33" s="328"/>
      <c r="C33" s="332"/>
      <c r="D33" s="333"/>
      <c r="E33" s="333"/>
      <c r="F33" s="333"/>
      <c r="G33" s="333"/>
      <c r="H33" s="333"/>
      <c r="I33" s="333"/>
      <c r="J33" s="333"/>
      <c r="K33" s="333"/>
      <c r="L33" s="333"/>
      <c r="M33" s="333"/>
      <c r="N33" s="333"/>
      <c r="O33" s="333"/>
      <c r="P33" s="333"/>
      <c r="Q33" s="333"/>
      <c r="R33" s="324"/>
      <c r="S33" s="323"/>
      <c r="T33" s="401"/>
      <c r="U33" s="401"/>
    </row>
    <row r="34" spans="1:21" ht="13.35" thickTop="1" x14ac:dyDescent="0.4">
      <c r="A34" s="312"/>
      <c r="B34" s="328"/>
      <c r="C34" s="329"/>
      <c r="D34" s="329"/>
      <c r="E34" s="329"/>
      <c r="F34" s="329"/>
      <c r="G34" s="329"/>
      <c r="H34" s="329"/>
      <c r="I34" s="329"/>
      <c r="J34" s="329"/>
      <c r="K34" s="329"/>
      <c r="L34" s="329"/>
      <c r="M34" s="329"/>
      <c r="N34" s="329"/>
      <c r="O34" s="329"/>
      <c r="P34" s="329"/>
      <c r="Q34" s="329"/>
      <c r="R34" s="329"/>
      <c r="S34" s="323"/>
      <c r="T34" s="401"/>
      <c r="U34" s="401"/>
    </row>
    <row r="35" spans="1:21" ht="13" x14ac:dyDescent="0.4">
      <c r="A35" s="312"/>
      <c r="B35" s="319"/>
      <c r="C35" s="320"/>
      <c r="D35" s="320"/>
      <c r="E35" s="320"/>
      <c r="F35" s="320"/>
      <c r="G35" s="320"/>
      <c r="H35" s="320"/>
      <c r="I35" s="320"/>
      <c r="J35" s="320"/>
      <c r="K35" s="320"/>
      <c r="L35" s="320"/>
      <c r="M35" s="320"/>
      <c r="N35" s="320"/>
      <c r="O35" s="320"/>
      <c r="P35" s="320"/>
      <c r="Q35" s="320"/>
      <c r="R35" s="320"/>
      <c r="S35" s="321"/>
      <c r="T35" s="401"/>
      <c r="U35" s="401"/>
    </row>
    <row r="36" spans="1:21" ht="13" x14ac:dyDescent="0.4">
      <c r="A36" s="312"/>
      <c r="B36" s="312"/>
      <c r="C36" s="312"/>
      <c r="D36" s="312"/>
      <c r="E36" s="312"/>
      <c r="F36" s="312"/>
      <c r="G36" s="312"/>
      <c r="H36" s="312"/>
      <c r="I36" s="312"/>
      <c r="J36" s="312"/>
      <c r="K36" s="312"/>
      <c r="L36" s="312"/>
      <c r="M36" s="312"/>
      <c r="N36" s="312"/>
      <c r="O36" s="312"/>
      <c r="P36" s="312"/>
      <c r="Q36" s="312"/>
      <c r="R36" s="312"/>
      <c r="S36" s="312"/>
      <c r="T36" s="401"/>
      <c r="U36" s="401"/>
    </row>
    <row r="37" spans="1:21" ht="13" x14ac:dyDescent="0.4">
      <c r="A37" s="312"/>
      <c r="B37" s="312"/>
      <c r="C37" s="312"/>
      <c r="D37" s="312"/>
      <c r="E37" s="312"/>
      <c r="F37" s="312"/>
      <c r="G37" s="312"/>
      <c r="H37" s="312"/>
      <c r="I37" s="312"/>
      <c r="J37" s="312"/>
      <c r="K37" s="312"/>
      <c r="L37" s="312"/>
      <c r="M37" s="312"/>
      <c r="N37" s="312"/>
      <c r="O37" s="312"/>
      <c r="P37" s="312"/>
      <c r="Q37" s="312"/>
      <c r="R37" s="312"/>
      <c r="S37" s="312"/>
      <c r="T37" s="401"/>
      <c r="U37" s="401"/>
    </row>
    <row r="38" spans="1:21" ht="13" x14ac:dyDescent="0.4">
      <c r="A38" s="312"/>
      <c r="B38" s="312"/>
      <c r="C38" s="312"/>
      <c r="D38" s="312"/>
      <c r="E38" s="312"/>
      <c r="F38" s="312"/>
      <c r="G38" s="312"/>
      <c r="H38" s="312"/>
      <c r="I38" s="312"/>
      <c r="J38" s="312"/>
      <c r="K38" s="312"/>
      <c r="L38" s="312"/>
      <c r="M38" s="312"/>
      <c r="N38" s="312"/>
      <c r="O38" s="312"/>
      <c r="P38" s="312"/>
      <c r="Q38" s="312"/>
      <c r="R38" s="312"/>
      <c r="S38" s="312"/>
      <c r="T38" s="401"/>
      <c r="U38" s="401"/>
    </row>
    <row r="39" spans="1:21" ht="13" x14ac:dyDescent="0.4">
      <c r="A39" s="312"/>
      <c r="B39" s="312"/>
      <c r="C39" s="312"/>
      <c r="D39" s="312"/>
      <c r="E39" s="312"/>
      <c r="F39" s="312"/>
      <c r="G39" s="312"/>
      <c r="H39" s="312"/>
      <c r="I39" s="312"/>
      <c r="J39" s="312"/>
      <c r="K39" s="312"/>
      <c r="L39" s="312"/>
      <c r="M39" s="312"/>
      <c r="N39" s="312"/>
      <c r="O39" s="312"/>
      <c r="P39" s="312"/>
      <c r="Q39" s="312"/>
      <c r="R39" s="312"/>
      <c r="S39" s="312"/>
      <c r="T39" s="401"/>
      <c r="U39" s="401"/>
    </row>
    <row r="40" spans="1:21" ht="13" x14ac:dyDescent="0.4">
      <c r="A40" s="312"/>
      <c r="B40" s="312"/>
      <c r="C40" s="312"/>
      <c r="D40" s="312"/>
      <c r="E40" s="312"/>
      <c r="F40" s="312"/>
      <c r="G40" s="312"/>
      <c r="H40" s="312"/>
      <c r="I40" s="312"/>
      <c r="J40" s="312"/>
      <c r="K40" s="312"/>
      <c r="L40" s="312"/>
      <c r="M40" s="312"/>
      <c r="N40" s="312"/>
      <c r="O40" s="312"/>
      <c r="P40" s="312"/>
      <c r="Q40" s="312"/>
      <c r="R40" s="312"/>
      <c r="S40" s="312"/>
      <c r="T40" s="401"/>
      <c r="U40" s="401"/>
    </row>
    <row r="41" spans="1:21" ht="13" x14ac:dyDescent="0.4">
      <c r="A41" s="312"/>
      <c r="B41" s="312"/>
      <c r="C41" s="312"/>
      <c r="D41" s="312"/>
      <c r="E41" s="312"/>
      <c r="F41" s="312"/>
      <c r="G41" s="312"/>
      <c r="H41" s="312"/>
      <c r="I41" s="312"/>
      <c r="J41" s="312"/>
      <c r="K41" s="312"/>
      <c r="L41" s="312"/>
      <c r="M41" s="312"/>
      <c r="N41" s="312"/>
      <c r="O41" s="312"/>
      <c r="P41" s="312"/>
      <c r="Q41" s="312"/>
      <c r="R41" s="312"/>
      <c r="S41" s="312"/>
      <c r="T41" s="401"/>
      <c r="U41" s="401"/>
    </row>
    <row r="42" spans="1:21" ht="13" x14ac:dyDescent="0.4">
      <c r="A42" s="312"/>
      <c r="B42" s="312"/>
      <c r="C42" s="312"/>
      <c r="D42" s="312"/>
      <c r="E42" s="312"/>
      <c r="F42" s="312"/>
      <c r="G42" s="312"/>
      <c r="H42" s="312"/>
      <c r="I42" s="312"/>
      <c r="J42" s="312"/>
      <c r="K42" s="312"/>
      <c r="L42" s="312"/>
      <c r="M42" s="312"/>
      <c r="N42" s="312"/>
      <c r="O42" s="312"/>
      <c r="P42" s="312"/>
      <c r="Q42" s="312"/>
      <c r="R42" s="312"/>
      <c r="S42" s="312"/>
      <c r="T42" s="401"/>
      <c r="U42" s="401"/>
    </row>
    <row r="43" spans="1:21" ht="13" x14ac:dyDescent="0.4">
      <c r="A43" s="312"/>
      <c r="B43" s="312"/>
      <c r="C43" s="312"/>
      <c r="D43" s="312"/>
      <c r="E43" s="312"/>
      <c r="F43" s="312"/>
      <c r="G43" s="312"/>
      <c r="H43" s="312"/>
      <c r="I43" s="312"/>
      <c r="J43" s="312"/>
      <c r="K43" s="312"/>
      <c r="L43" s="312"/>
      <c r="M43" s="312"/>
      <c r="N43" s="312"/>
      <c r="O43" s="312"/>
      <c r="P43" s="312"/>
      <c r="Q43" s="312"/>
      <c r="R43" s="312"/>
      <c r="S43" s="312"/>
      <c r="T43" s="401"/>
      <c r="U43" s="401"/>
    </row>
    <row r="44" spans="1:21" ht="13" x14ac:dyDescent="0.4">
      <c r="A44" s="312"/>
      <c r="B44" s="312"/>
      <c r="C44" s="312"/>
      <c r="D44" s="312"/>
      <c r="E44" s="312"/>
      <c r="F44" s="312"/>
      <c r="G44" s="312"/>
      <c r="H44" s="312"/>
      <c r="I44" s="312"/>
      <c r="J44" s="312"/>
      <c r="K44" s="312"/>
      <c r="L44" s="312"/>
      <c r="M44" s="312"/>
      <c r="N44" s="312"/>
      <c r="O44" s="312"/>
      <c r="P44" s="312"/>
      <c r="Q44" s="312"/>
      <c r="R44" s="312"/>
      <c r="S44" s="312"/>
      <c r="T44" s="401"/>
      <c r="U44" s="401"/>
    </row>
    <row r="45" spans="1:21" ht="13" x14ac:dyDescent="0.4">
      <c r="A45" s="312"/>
      <c r="B45" s="312"/>
      <c r="C45" s="312"/>
      <c r="D45" s="312"/>
      <c r="E45" s="312"/>
      <c r="F45" s="312"/>
      <c r="G45" s="312"/>
      <c r="H45" s="312"/>
      <c r="I45" s="312"/>
      <c r="J45" s="312"/>
      <c r="K45" s="312"/>
      <c r="L45" s="312"/>
      <c r="M45" s="312"/>
      <c r="N45" s="312"/>
      <c r="O45" s="312"/>
      <c r="P45" s="312"/>
      <c r="Q45" s="312"/>
      <c r="R45" s="312"/>
      <c r="S45" s="312"/>
      <c r="T45" s="401"/>
      <c r="U45" s="401"/>
    </row>
    <row r="46" spans="1:21" ht="13" x14ac:dyDescent="0.4">
      <c r="A46" s="312"/>
      <c r="B46" s="312"/>
      <c r="C46" s="312"/>
      <c r="D46" s="312"/>
      <c r="E46" s="312"/>
      <c r="F46" s="312"/>
      <c r="G46" s="312"/>
      <c r="H46" s="312"/>
      <c r="I46" s="312"/>
      <c r="J46" s="312"/>
      <c r="K46" s="312"/>
      <c r="L46" s="312"/>
      <c r="M46" s="312"/>
      <c r="N46" s="312"/>
      <c r="O46" s="312"/>
      <c r="P46" s="312"/>
      <c r="Q46" s="312"/>
      <c r="R46" s="312"/>
      <c r="S46" s="312"/>
      <c r="T46" s="401"/>
      <c r="U46" s="401"/>
    </row>
    <row r="47" spans="1:21" ht="13" x14ac:dyDescent="0.4">
      <c r="A47" s="312"/>
      <c r="B47" s="312"/>
      <c r="C47" s="312"/>
      <c r="D47" s="312"/>
      <c r="E47" s="312"/>
      <c r="F47" s="312"/>
      <c r="G47" s="312"/>
      <c r="H47" s="312"/>
      <c r="I47" s="312"/>
      <c r="J47" s="312"/>
      <c r="K47" s="312"/>
      <c r="L47" s="312"/>
      <c r="M47" s="312"/>
      <c r="N47" s="312"/>
      <c r="O47" s="312"/>
      <c r="P47" s="312"/>
      <c r="Q47" s="312"/>
      <c r="R47" s="312"/>
      <c r="S47" s="312"/>
      <c r="T47" s="401"/>
      <c r="U47" s="401"/>
    </row>
    <row r="48" spans="1:21" ht="13" x14ac:dyDescent="0.4">
      <c r="A48" s="312"/>
      <c r="B48" s="312"/>
      <c r="C48" s="312"/>
      <c r="D48" s="312"/>
      <c r="E48" s="312"/>
      <c r="F48" s="312"/>
      <c r="G48" s="312"/>
      <c r="H48" s="312"/>
      <c r="I48" s="312"/>
      <c r="J48" s="312"/>
      <c r="K48" s="312"/>
      <c r="L48" s="312"/>
      <c r="M48" s="312"/>
      <c r="N48" s="312"/>
      <c r="O48" s="312"/>
      <c r="P48" s="312"/>
      <c r="Q48" s="312"/>
      <c r="R48" s="312"/>
      <c r="S48" s="312"/>
      <c r="T48" s="401"/>
      <c r="U48" s="401"/>
    </row>
    <row r="49" spans="1:21" ht="13" x14ac:dyDescent="0.4">
      <c r="A49" s="312"/>
      <c r="B49" s="312"/>
      <c r="C49" s="312"/>
      <c r="D49" s="312"/>
      <c r="E49" s="312"/>
      <c r="F49" s="312"/>
      <c r="G49" s="312"/>
      <c r="H49" s="312"/>
      <c r="I49" s="312"/>
      <c r="J49" s="312"/>
      <c r="K49" s="312"/>
      <c r="L49" s="312"/>
      <c r="M49" s="312"/>
      <c r="N49" s="312"/>
      <c r="O49" s="312"/>
      <c r="P49" s="312"/>
      <c r="Q49" s="312"/>
      <c r="R49" s="312"/>
      <c r="S49" s="312"/>
      <c r="T49" s="401"/>
      <c r="U49" s="401"/>
    </row>
    <row r="50" spans="1:21" ht="13" x14ac:dyDescent="0.4">
      <c r="A50" s="312"/>
      <c r="B50" s="312"/>
      <c r="C50" s="312"/>
      <c r="D50" s="312"/>
      <c r="E50" s="312"/>
      <c r="F50" s="312"/>
      <c r="G50" s="312"/>
      <c r="H50" s="312"/>
      <c r="I50" s="312"/>
      <c r="J50" s="312"/>
      <c r="K50" s="312"/>
      <c r="L50" s="312"/>
      <c r="M50" s="312"/>
      <c r="N50" s="312"/>
      <c r="O50" s="312"/>
      <c r="P50" s="312"/>
      <c r="Q50" s="312"/>
      <c r="R50" s="312"/>
      <c r="S50" s="312"/>
      <c r="T50" s="401"/>
      <c r="U50" s="401"/>
    </row>
    <row r="51" spans="1:21" ht="13" x14ac:dyDescent="0.4">
      <c r="A51" s="312"/>
      <c r="B51" s="312"/>
      <c r="C51" s="312"/>
      <c r="D51" s="312"/>
      <c r="E51" s="312"/>
      <c r="F51" s="312"/>
      <c r="G51" s="312"/>
      <c r="H51" s="312"/>
      <c r="I51" s="312"/>
      <c r="J51" s="312"/>
      <c r="K51" s="312"/>
      <c r="L51" s="312"/>
      <c r="M51" s="312"/>
      <c r="N51" s="312"/>
      <c r="O51" s="312"/>
      <c r="P51" s="312"/>
      <c r="Q51" s="312"/>
      <c r="R51" s="312"/>
      <c r="S51" s="312"/>
      <c r="T51" s="401"/>
      <c r="U51" s="401"/>
    </row>
    <row r="52" spans="1:21" ht="13" x14ac:dyDescent="0.4">
      <c r="A52" s="312"/>
      <c r="B52" s="312"/>
      <c r="C52" s="312"/>
      <c r="D52" s="312"/>
      <c r="E52" s="312"/>
      <c r="F52" s="312"/>
      <c r="G52" s="312"/>
      <c r="H52" s="312"/>
      <c r="I52" s="312"/>
      <c r="J52" s="312"/>
      <c r="K52" s="312"/>
      <c r="L52" s="312"/>
      <c r="M52" s="312"/>
      <c r="N52" s="312"/>
      <c r="O52" s="312"/>
      <c r="P52" s="312"/>
      <c r="Q52" s="312"/>
      <c r="R52" s="312"/>
      <c r="S52" s="312"/>
      <c r="T52" s="401"/>
      <c r="U52" s="401"/>
    </row>
    <row r="53" spans="1:21" ht="13" x14ac:dyDescent="0.4">
      <c r="A53" s="312"/>
      <c r="B53" s="312"/>
      <c r="C53" s="312"/>
      <c r="D53" s="312"/>
      <c r="E53" s="312"/>
      <c r="F53" s="312"/>
      <c r="G53" s="312"/>
      <c r="H53" s="312"/>
      <c r="I53" s="312"/>
      <c r="J53" s="312"/>
      <c r="K53" s="312"/>
      <c r="L53" s="312"/>
      <c r="M53" s="312"/>
      <c r="N53" s="312"/>
      <c r="O53" s="312"/>
      <c r="P53" s="312"/>
      <c r="Q53" s="312"/>
      <c r="R53" s="312"/>
      <c r="S53" s="312"/>
      <c r="T53" s="401"/>
      <c r="U53" s="401"/>
    </row>
    <row r="54" spans="1:21" ht="13" x14ac:dyDescent="0.4">
      <c r="A54" s="312"/>
      <c r="B54" s="312"/>
      <c r="C54" s="312"/>
      <c r="D54" s="312"/>
      <c r="E54" s="312"/>
      <c r="F54" s="312"/>
      <c r="G54" s="312"/>
      <c r="H54" s="312"/>
      <c r="I54" s="312"/>
      <c r="J54" s="312"/>
      <c r="K54" s="312"/>
      <c r="L54" s="312"/>
      <c r="M54" s="312"/>
      <c r="N54" s="312"/>
      <c r="O54" s="312"/>
      <c r="P54" s="312"/>
      <c r="Q54" s="312"/>
      <c r="R54" s="312"/>
      <c r="S54" s="312"/>
      <c r="T54" s="401"/>
      <c r="U54" s="401"/>
    </row>
    <row r="55" spans="1:21" ht="13" x14ac:dyDescent="0.4">
      <c r="A55" s="312"/>
      <c r="B55" s="312"/>
      <c r="C55" s="312"/>
      <c r="D55" s="312"/>
      <c r="E55" s="312"/>
      <c r="F55" s="312"/>
      <c r="G55" s="312"/>
      <c r="H55" s="312"/>
      <c r="I55" s="312"/>
      <c r="J55" s="312"/>
      <c r="K55" s="312"/>
      <c r="L55" s="312"/>
      <c r="M55" s="312"/>
      <c r="N55" s="312"/>
      <c r="O55" s="312"/>
      <c r="P55" s="312"/>
      <c r="Q55" s="312"/>
      <c r="R55" s="312"/>
      <c r="S55" s="312"/>
      <c r="T55" s="401"/>
      <c r="U55" s="401"/>
    </row>
    <row r="56" spans="1:21" ht="13" x14ac:dyDescent="0.4">
      <c r="A56" s="312"/>
      <c r="B56" s="312"/>
      <c r="C56" s="312"/>
      <c r="D56" s="312"/>
      <c r="E56" s="312"/>
      <c r="F56" s="312"/>
      <c r="G56" s="312"/>
      <c r="H56" s="312"/>
      <c r="I56" s="312"/>
      <c r="J56" s="312"/>
      <c r="K56" s="312"/>
      <c r="L56" s="312"/>
      <c r="M56" s="312"/>
      <c r="N56" s="312"/>
      <c r="O56" s="312"/>
      <c r="P56" s="312"/>
      <c r="Q56" s="312"/>
      <c r="R56" s="312"/>
      <c r="S56" s="312"/>
      <c r="T56" s="401"/>
      <c r="U56" s="401"/>
    </row>
    <row r="57" spans="1:21" ht="13" x14ac:dyDescent="0.4">
      <c r="A57" s="312"/>
      <c r="B57" s="312"/>
      <c r="C57" s="312"/>
      <c r="D57" s="312"/>
      <c r="E57" s="312"/>
      <c r="F57" s="312"/>
      <c r="G57" s="312"/>
      <c r="H57" s="312"/>
      <c r="I57" s="312"/>
      <c r="J57" s="312"/>
      <c r="K57" s="312"/>
      <c r="L57" s="312"/>
      <c r="M57" s="312"/>
      <c r="N57" s="312"/>
      <c r="O57" s="312"/>
      <c r="P57" s="312"/>
      <c r="Q57" s="312"/>
      <c r="R57" s="312"/>
      <c r="S57" s="312"/>
      <c r="T57" s="401"/>
      <c r="U57" s="401"/>
    </row>
    <row r="58" spans="1:21" ht="13" x14ac:dyDescent="0.4">
      <c r="A58" s="312"/>
      <c r="B58" s="312"/>
      <c r="C58" s="312"/>
      <c r="D58" s="312"/>
      <c r="E58" s="312"/>
      <c r="F58" s="312"/>
      <c r="G58" s="312"/>
      <c r="H58" s="312"/>
      <c r="I58" s="312"/>
      <c r="J58" s="312"/>
      <c r="K58" s="312"/>
      <c r="L58" s="312"/>
      <c r="M58" s="312"/>
      <c r="N58" s="312"/>
      <c r="O58" s="312"/>
      <c r="P58" s="312"/>
      <c r="Q58" s="312"/>
      <c r="R58" s="312"/>
      <c r="S58" s="312"/>
      <c r="T58" s="401"/>
      <c r="U58" s="401"/>
    </row>
    <row r="59" spans="1:21" ht="13" x14ac:dyDescent="0.4">
      <c r="A59" s="312"/>
      <c r="B59" s="312"/>
      <c r="C59" s="312"/>
      <c r="D59" s="312"/>
      <c r="E59" s="312"/>
      <c r="F59" s="312"/>
      <c r="G59" s="312"/>
      <c r="H59" s="312"/>
      <c r="I59" s="312"/>
      <c r="J59" s="312"/>
      <c r="K59" s="312"/>
      <c r="L59" s="312"/>
      <c r="M59" s="312"/>
      <c r="N59" s="312"/>
      <c r="O59" s="312"/>
      <c r="P59" s="312"/>
      <c r="Q59" s="312"/>
      <c r="R59" s="312"/>
      <c r="S59" s="312"/>
      <c r="T59" s="401"/>
      <c r="U59" s="401"/>
    </row>
    <row r="60" spans="1:21" ht="13" x14ac:dyDescent="0.4">
      <c r="A60" s="312"/>
      <c r="B60" s="312"/>
      <c r="C60" s="312"/>
      <c r="D60" s="312"/>
      <c r="E60" s="312"/>
      <c r="F60" s="312"/>
      <c r="G60" s="312"/>
      <c r="H60" s="312"/>
      <c r="I60" s="312"/>
      <c r="J60" s="312"/>
      <c r="K60" s="312"/>
      <c r="L60" s="312"/>
      <c r="M60" s="312"/>
      <c r="N60" s="312"/>
      <c r="O60" s="312"/>
      <c r="P60" s="312"/>
      <c r="Q60" s="312"/>
      <c r="R60" s="312"/>
      <c r="S60" s="312"/>
      <c r="T60" s="401"/>
      <c r="U60" s="401"/>
    </row>
    <row r="61" spans="1:21" ht="13" x14ac:dyDescent="0.4">
      <c r="A61" s="312"/>
      <c r="B61" s="312"/>
      <c r="C61" s="312"/>
      <c r="D61" s="312"/>
      <c r="E61" s="312"/>
      <c r="F61" s="312"/>
      <c r="G61" s="312"/>
      <c r="H61" s="312"/>
      <c r="I61" s="312"/>
      <c r="J61" s="312"/>
      <c r="K61" s="312"/>
      <c r="L61" s="312"/>
      <c r="M61" s="312"/>
      <c r="N61" s="312"/>
      <c r="O61" s="312"/>
      <c r="P61" s="312"/>
      <c r="Q61" s="312"/>
      <c r="R61" s="312"/>
      <c r="S61" s="312"/>
      <c r="T61" s="401"/>
      <c r="U61" s="401"/>
    </row>
    <row r="62" spans="1:21" ht="13" x14ac:dyDescent="0.4">
      <c r="A62" s="312"/>
      <c r="B62" s="312"/>
      <c r="C62" s="312"/>
      <c r="D62" s="312"/>
      <c r="E62" s="312"/>
      <c r="F62" s="312"/>
      <c r="G62" s="312"/>
      <c r="H62" s="312"/>
      <c r="I62" s="312"/>
      <c r="J62" s="312"/>
      <c r="K62" s="312"/>
      <c r="L62" s="312"/>
      <c r="M62" s="312"/>
      <c r="N62" s="312"/>
      <c r="O62" s="312"/>
      <c r="P62" s="312"/>
      <c r="Q62" s="312"/>
      <c r="R62" s="312"/>
      <c r="S62" s="312"/>
      <c r="T62" s="401"/>
      <c r="U62" s="401"/>
    </row>
    <row r="63" spans="1:21" ht="13" x14ac:dyDescent="0.4">
      <c r="A63" s="312"/>
      <c r="B63" s="312"/>
      <c r="C63" s="312"/>
      <c r="D63" s="312"/>
      <c r="E63" s="312"/>
      <c r="F63" s="312"/>
      <c r="G63" s="312"/>
      <c r="H63" s="312"/>
      <c r="I63" s="312"/>
      <c r="J63" s="312"/>
      <c r="K63" s="312"/>
      <c r="L63" s="312"/>
      <c r="M63" s="312"/>
      <c r="N63" s="312"/>
      <c r="O63" s="312"/>
      <c r="P63" s="312"/>
      <c r="Q63" s="312"/>
      <c r="R63" s="312"/>
      <c r="S63" s="312"/>
      <c r="T63" s="401"/>
      <c r="U63" s="401"/>
    </row>
    <row r="64" spans="1:21" ht="13" x14ac:dyDescent="0.4">
      <c r="A64" s="312"/>
      <c r="B64" s="312"/>
      <c r="C64" s="312"/>
      <c r="D64" s="312"/>
      <c r="E64" s="312"/>
      <c r="F64" s="312"/>
      <c r="G64" s="312"/>
      <c r="H64" s="312"/>
      <c r="I64" s="312"/>
      <c r="J64" s="312"/>
      <c r="K64" s="312"/>
      <c r="L64" s="312"/>
      <c r="M64" s="312"/>
      <c r="N64" s="312"/>
      <c r="O64" s="312"/>
      <c r="P64" s="312"/>
      <c r="Q64" s="312"/>
      <c r="R64" s="312"/>
      <c r="S64" s="312"/>
      <c r="T64" s="401"/>
      <c r="U64" s="401"/>
    </row>
    <row r="65" spans="1:21" ht="13" x14ac:dyDescent="0.4">
      <c r="A65" s="312"/>
      <c r="B65" s="312"/>
      <c r="C65" s="312"/>
      <c r="D65" s="312"/>
      <c r="E65" s="312"/>
      <c r="F65" s="312"/>
      <c r="G65" s="312"/>
      <c r="H65" s="312"/>
      <c r="I65" s="312"/>
      <c r="J65" s="312"/>
      <c r="K65" s="312"/>
      <c r="L65" s="312"/>
      <c r="M65" s="312"/>
      <c r="N65" s="312"/>
      <c r="O65" s="312"/>
      <c r="P65" s="312"/>
      <c r="Q65" s="312"/>
      <c r="R65" s="312"/>
      <c r="S65" s="312"/>
      <c r="T65" s="401"/>
      <c r="U65" s="401"/>
    </row>
    <row r="66" spans="1:21" ht="13" x14ac:dyDescent="0.4">
      <c r="A66" s="312"/>
      <c r="B66" s="312"/>
      <c r="C66" s="312"/>
      <c r="D66" s="312"/>
      <c r="E66" s="312"/>
      <c r="F66" s="312"/>
      <c r="G66" s="312"/>
      <c r="H66" s="312"/>
      <c r="I66" s="312"/>
      <c r="J66" s="312"/>
      <c r="K66" s="312"/>
      <c r="L66" s="312"/>
      <c r="M66" s="312"/>
      <c r="N66" s="312"/>
      <c r="O66" s="312"/>
      <c r="P66" s="312"/>
      <c r="Q66" s="312"/>
      <c r="R66" s="312"/>
      <c r="S66" s="312"/>
      <c r="T66" s="401"/>
      <c r="U66" s="401"/>
    </row>
    <row r="67" spans="1:21" ht="13" x14ac:dyDescent="0.4">
      <c r="A67" s="312"/>
      <c r="B67" s="312"/>
      <c r="C67" s="312"/>
      <c r="D67" s="312"/>
      <c r="E67" s="312"/>
      <c r="F67" s="312"/>
      <c r="G67" s="312"/>
      <c r="H67" s="312"/>
      <c r="I67" s="312"/>
      <c r="J67" s="312"/>
      <c r="K67" s="312"/>
      <c r="L67" s="312"/>
      <c r="M67" s="312"/>
      <c r="N67" s="312"/>
      <c r="O67" s="312"/>
      <c r="P67" s="312"/>
      <c r="Q67" s="312"/>
      <c r="R67" s="312"/>
      <c r="S67" s="312"/>
      <c r="T67" s="401"/>
      <c r="U67" s="401"/>
    </row>
    <row r="68" spans="1:21" ht="13" x14ac:dyDescent="0.4">
      <c r="A68" s="312"/>
      <c r="B68" s="312"/>
      <c r="C68" s="312"/>
      <c r="D68" s="312"/>
      <c r="E68" s="312"/>
      <c r="F68" s="312"/>
      <c r="G68" s="312"/>
      <c r="H68" s="312"/>
      <c r="I68" s="312"/>
      <c r="J68" s="312"/>
      <c r="K68" s="312"/>
      <c r="L68" s="312"/>
      <c r="M68" s="312"/>
      <c r="N68" s="312"/>
      <c r="O68" s="312"/>
      <c r="P68" s="312"/>
      <c r="Q68" s="312"/>
      <c r="R68" s="312"/>
      <c r="S68" s="312"/>
      <c r="T68" s="401"/>
      <c r="U68" s="401"/>
    </row>
    <row r="69" spans="1:21" ht="13" x14ac:dyDescent="0.4">
      <c r="A69" s="312"/>
      <c r="B69" s="312"/>
      <c r="C69" s="312"/>
      <c r="D69" s="312"/>
      <c r="E69" s="312"/>
      <c r="F69" s="312"/>
      <c r="G69" s="312"/>
      <c r="H69" s="312"/>
      <c r="I69" s="312"/>
      <c r="J69" s="312"/>
      <c r="K69" s="312"/>
      <c r="L69" s="312"/>
      <c r="M69" s="312"/>
      <c r="N69" s="312"/>
      <c r="O69" s="312"/>
      <c r="P69" s="312"/>
      <c r="Q69" s="312"/>
      <c r="R69" s="312"/>
      <c r="S69" s="312"/>
      <c r="T69" s="401"/>
      <c r="U69" s="401"/>
    </row>
    <row r="70" spans="1:21" ht="13" x14ac:dyDescent="0.4">
      <c r="A70" s="312"/>
      <c r="B70" s="312"/>
      <c r="C70" s="312"/>
      <c r="D70" s="312"/>
      <c r="E70" s="312"/>
      <c r="F70" s="312"/>
      <c r="G70" s="312"/>
      <c r="H70" s="312"/>
      <c r="I70" s="312"/>
      <c r="J70" s="312"/>
      <c r="K70" s="312"/>
      <c r="L70" s="312"/>
      <c r="M70" s="312"/>
      <c r="N70" s="312"/>
      <c r="O70" s="312"/>
      <c r="P70" s="312"/>
      <c r="Q70" s="312"/>
      <c r="R70" s="312"/>
      <c r="S70" s="312"/>
      <c r="T70" s="401"/>
      <c r="U70" s="401"/>
    </row>
    <row r="71" spans="1:21" ht="13" x14ac:dyDescent="0.4">
      <c r="A71" s="312"/>
      <c r="B71" s="312"/>
      <c r="C71" s="312"/>
      <c r="D71" s="312"/>
      <c r="E71" s="312"/>
      <c r="F71" s="312"/>
      <c r="G71" s="312"/>
      <c r="H71" s="312"/>
      <c r="I71" s="312"/>
      <c r="J71" s="312"/>
      <c r="K71" s="312"/>
      <c r="L71" s="312"/>
      <c r="M71" s="312"/>
      <c r="N71" s="312"/>
      <c r="O71" s="312"/>
      <c r="P71" s="312"/>
      <c r="Q71" s="312"/>
      <c r="R71" s="312"/>
      <c r="S71" s="312"/>
      <c r="T71" s="401"/>
      <c r="U71" s="401"/>
    </row>
    <row r="72" spans="1:21" ht="13" x14ac:dyDescent="0.4">
      <c r="A72" s="312"/>
      <c r="B72" s="312"/>
      <c r="C72" s="312"/>
      <c r="D72" s="312"/>
      <c r="E72" s="312"/>
      <c r="F72" s="312"/>
      <c r="G72" s="312"/>
      <c r="H72" s="312"/>
      <c r="I72" s="312"/>
      <c r="J72" s="312"/>
      <c r="K72" s="312"/>
      <c r="L72" s="312"/>
      <c r="M72" s="312"/>
      <c r="N72" s="312"/>
      <c r="O72" s="312"/>
      <c r="P72" s="312"/>
      <c r="Q72" s="312"/>
      <c r="R72" s="312"/>
      <c r="S72" s="312"/>
      <c r="T72" s="401"/>
      <c r="U72" s="401"/>
    </row>
    <row r="73" spans="1:21" ht="13" x14ac:dyDescent="0.4">
      <c r="A73" s="312"/>
      <c r="B73" s="312"/>
      <c r="C73" s="312"/>
      <c r="D73" s="312"/>
      <c r="E73" s="312"/>
      <c r="F73" s="312"/>
      <c r="G73" s="312"/>
      <c r="H73" s="312"/>
      <c r="I73" s="312"/>
      <c r="J73" s="312"/>
      <c r="K73" s="312"/>
      <c r="L73" s="312"/>
      <c r="M73" s="312"/>
      <c r="N73" s="312"/>
      <c r="O73" s="312"/>
      <c r="P73" s="312"/>
      <c r="Q73" s="312"/>
      <c r="R73" s="312"/>
      <c r="S73" s="312"/>
      <c r="T73" s="401"/>
      <c r="U73" s="401"/>
    </row>
    <row r="74" spans="1:21" ht="13" x14ac:dyDescent="0.4">
      <c r="A74" s="312"/>
      <c r="B74" s="312"/>
      <c r="C74" s="312"/>
      <c r="D74" s="312"/>
      <c r="E74" s="312"/>
      <c r="F74" s="312"/>
      <c r="G74" s="312"/>
      <c r="H74" s="312"/>
      <c r="I74" s="312"/>
      <c r="J74" s="312"/>
      <c r="K74" s="312"/>
      <c r="L74" s="312"/>
      <c r="M74" s="312"/>
      <c r="N74" s="312"/>
      <c r="O74" s="312"/>
      <c r="P74" s="312"/>
      <c r="Q74" s="312"/>
      <c r="R74" s="312"/>
      <c r="S74" s="312"/>
      <c r="T74" s="401"/>
      <c r="U74" s="401"/>
    </row>
    <row r="75" spans="1:21" ht="13" x14ac:dyDescent="0.4">
      <c r="A75" s="312"/>
      <c r="B75" s="312"/>
      <c r="C75" s="312"/>
      <c r="D75" s="312"/>
      <c r="E75" s="312"/>
      <c r="F75" s="312"/>
      <c r="G75" s="312"/>
      <c r="H75" s="312"/>
      <c r="I75" s="312"/>
      <c r="J75" s="312"/>
      <c r="K75" s="312"/>
      <c r="L75" s="312"/>
      <c r="M75" s="312"/>
      <c r="N75" s="312"/>
      <c r="O75" s="312"/>
      <c r="P75" s="312"/>
      <c r="Q75" s="312"/>
      <c r="R75" s="312"/>
      <c r="S75" s="312"/>
      <c r="T75" s="401"/>
      <c r="U75" s="401"/>
    </row>
    <row r="76" spans="1:21" ht="13" x14ac:dyDescent="0.4">
      <c r="A76" s="312"/>
      <c r="B76" s="312"/>
      <c r="C76" s="312"/>
      <c r="D76" s="312"/>
      <c r="E76" s="312"/>
      <c r="F76" s="312"/>
      <c r="G76" s="312"/>
      <c r="H76" s="312"/>
      <c r="I76" s="312"/>
      <c r="J76" s="312"/>
      <c r="K76" s="312"/>
      <c r="L76" s="312"/>
      <c r="M76" s="312"/>
      <c r="N76" s="312"/>
      <c r="O76" s="312"/>
      <c r="P76" s="312"/>
      <c r="Q76" s="312"/>
      <c r="R76" s="312"/>
      <c r="S76" s="312"/>
      <c r="T76" s="401"/>
      <c r="U76" s="401"/>
    </row>
    <row r="77" spans="1:21" ht="13" x14ac:dyDescent="0.4">
      <c r="A77" s="312"/>
      <c r="B77" s="312"/>
      <c r="C77" s="312"/>
      <c r="D77" s="312"/>
      <c r="E77" s="312"/>
      <c r="F77" s="312"/>
      <c r="G77" s="312"/>
      <c r="H77" s="312"/>
      <c r="I77" s="312"/>
      <c r="J77" s="312"/>
      <c r="K77" s="312"/>
      <c r="L77" s="312"/>
      <c r="M77" s="312"/>
      <c r="N77" s="312"/>
      <c r="O77" s="312"/>
      <c r="P77" s="312"/>
      <c r="Q77" s="312"/>
      <c r="R77" s="312"/>
      <c r="S77" s="312"/>
      <c r="T77" s="401"/>
      <c r="U77" s="401"/>
    </row>
    <row r="78" spans="1:21" ht="13" x14ac:dyDescent="0.4">
      <c r="A78" s="312"/>
      <c r="B78" s="312"/>
      <c r="C78" s="312"/>
      <c r="D78" s="312"/>
      <c r="E78" s="312"/>
      <c r="F78" s="312"/>
      <c r="G78" s="312"/>
      <c r="H78" s="312"/>
      <c r="I78" s="312"/>
      <c r="J78" s="312"/>
      <c r="K78" s="312"/>
      <c r="L78" s="312"/>
      <c r="M78" s="312"/>
      <c r="N78" s="312"/>
      <c r="O78" s="312"/>
      <c r="P78" s="312"/>
      <c r="Q78" s="312"/>
      <c r="R78" s="312"/>
      <c r="S78" s="312"/>
      <c r="T78" s="401"/>
      <c r="U78" s="401"/>
    </row>
    <row r="79" spans="1:21" ht="13" x14ac:dyDescent="0.4">
      <c r="A79" s="312"/>
      <c r="B79" s="312"/>
      <c r="C79" s="312"/>
      <c r="D79" s="312"/>
      <c r="E79" s="312"/>
      <c r="F79" s="312"/>
      <c r="G79" s="312"/>
      <c r="H79" s="312"/>
      <c r="I79" s="312"/>
      <c r="J79" s="312"/>
      <c r="K79" s="312"/>
      <c r="L79" s="312"/>
      <c r="M79" s="312"/>
      <c r="N79" s="312"/>
      <c r="O79" s="312"/>
      <c r="P79" s="312"/>
      <c r="Q79" s="312"/>
      <c r="R79" s="312"/>
      <c r="S79" s="312"/>
      <c r="T79" s="401"/>
      <c r="U79" s="401"/>
    </row>
    <row r="80" spans="1:21" ht="13" x14ac:dyDescent="0.4">
      <c r="A80" s="312"/>
      <c r="B80" s="312"/>
      <c r="C80" s="312"/>
      <c r="D80" s="312"/>
      <c r="E80" s="312"/>
      <c r="F80" s="312"/>
      <c r="G80" s="312"/>
      <c r="H80" s="312"/>
      <c r="I80" s="312"/>
      <c r="J80" s="312"/>
      <c r="K80" s="312"/>
      <c r="L80" s="312"/>
      <c r="M80" s="312"/>
      <c r="N80" s="312"/>
      <c r="O80" s="312"/>
      <c r="P80" s="312"/>
      <c r="Q80" s="312"/>
      <c r="R80" s="312"/>
      <c r="S80" s="312"/>
      <c r="T80" s="401"/>
      <c r="U80" s="401"/>
    </row>
    <row r="81" spans="1:21" ht="13" x14ac:dyDescent="0.4">
      <c r="A81" s="312"/>
      <c r="B81" s="312"/>
      <c r="C81" s="312"/>
      <c r="D81" s="312"/>
      <c r="E81" s="312"/>
      <c r="F81" s="312"/>
      <c r="G81" s="312"/>
      <c r="H81" s="312"/>
      <c r="I81" s="312"/>
      <c r="J81" s="312"/>
      <c r="K81" s="312"/>
      <c r="L81" s="312"/>
      <c r="M81" s="312"/>
      <c r="N81" s="312"/>
      <c r="O81" s="312"/>
      <c r="P81" s="312"/>
      <c r="Q81" s="312"/>
      <c r="R81" s="312"/>
      <c r="S81" s="312"/>
      <c r="T81" s="401"/>
      <c r="U81" s="401"/>
    </row>
    <row r="82" spans="1:21" ht="13" x14ac:dyDescent="0.4">
      <c r="A82" s="312"/>
      <c r="B82" s="312"/>
      <c r="C82" s="312"/>
      <c r="D82" s="312"/>
      <c r="E82" s="312"/>
      <c r="F82" s="312"/>
      <c r="G82" s="312"/>
      <c r="H82" s="312"/>
      <c r="I82" s="312"/>
      <c r="J82" s="312"/>
      <c r="K82" s="312"/>
      <c r="L82" s="312"/>
      <c r="M82" s="312"/>
      <c r="N82" s="312"/>
      <c r="O82" s="312"/>
      <c r="P82" s="312"/>
      <c r="Q82" s="312"/>
      <c r="R82" s="312"/>
      <c r="S82" s="312"/>
      <c r="T82" s="401"/>
      <c r="U82" s="401"/>
    </row>
    <row r="83" spans="1:21" ht="13" x14ac:dyDescent="0.4">
      <c r="A83" s="312"/>
      <c r="B83" s="312"/>
      <c r="C83" s="312"/>
      <c r="D83" s="312"/>
      <c r="E83" s="312"/>
      <c r="F83" s="312"/>
      <c r="G83" s="312"/>
      <c r="H83" s="312"/>
      <c r="I83" s="312"/>
      <c r="J83" s="312"/>
      <c r="K83" s="312"/>
      <c r="L83" s="312"/>
      <c r="M83" s="312"/>
      <c r="N83" s="312"/>
      <c r="O83" s="312"/>
      <c r="P83" s="312"/>
      <c r="Q83" s="312"/>
      <c r="R83" s="312"/>
      <c r="S83" s="312"/>
      <c r="T83" s="401"/>
      <c r="U83" s="401"/>
    </row>
    <row r="84" spans="1:21" ht="13" x14ac:dyDescent="0.4">
      <c r="A84" s="312"/>
      <c r="B84" s="312"/>
      <c r="C84" s="312"/>
      <c r="D84" s="312"/>
      <c r="E84" s="312"/>
      <c r="F84" s="312"/>
      <c r="G84" s="312"/>
      <c r="H84" s="312"/>
      <c r="I84" s="312"/>
      <c r="J84" s="312"/>
      <c r="K84" s="312"/>
      <c r="L84" s="312"/>
      <c r="M84" s="312"/>
      <c r="N84" s="312"/>
      <c r="O84" s="312"/>
      <c r="P84" s="312"/>
      <c r="Q84" s="312"/>
      <c r="R84" s="312"/>
      <c r="S84" s="312"/>
      <c r="T84" s="401"/>
      <c r="U84" s="401"/>
    </row>
    <row r="85" spans="1:21" ht="13" x14ac:dyDescent="0.4">
      <c r="A85" s="312"/>
      <c r="B85" s="312"/>
      <c r="C85" s="312"/>
      <c r="D85" s="312"/>
      <c r="E85" s="312"/>
      <c r="F85" s="312"/>
      <c r="G85" s="312"/>
      <c r="H85" s="312"/>
      <c r="I85" s="312"/>
      <c r="J85" s="312"/>
      <c r="K85" s="312"/>
      <c r="L85" s="312"/>
      <c r="M85" s="312"/>
      <c r="N85" s="312"/>
      <c r="O85" s="312"/>
      <c r="P85" s="312"/>
      <c r="Q85" s="312"/>
      <c r="R85" s="312"/>
      <c r="S85" s="312"/>
      <c r="T85" s="401"/>
      <c r="U85" s="401"/>
    </row>
    <row r="86" spans="1:21" ht="13" x14ac:dyDescent="0.4">
      <c r="A86" s="312"/>
      <c r="B86" s="312"/>
      <c r="C86" s="312"/>
      <c r="D86" s="312"/>
      <c r="E86" s="312"/>
      <c r="F86" s="312"/>
      <c r="G86" s="312"/>
      <c r="H86" s="312"/>
      <c r="I86" s="312"/>
      <c r="J86" s="312"/>
      <c r="K86" s="312"/>
      <c r="L86" s="312"/>
      <c r="M86" s="312"/>
      <c r="N86" s="312"/>
      <c r="O86" s="312"/>
      <c r="P86" s="312"/>
      <c r="Q86" s="312"/>
      <c r="R86" s="312"/>
      <c r="S86" s="312"/>
      <c r="T86" s="401"/>
      <c r="U86" s="401"/>
    </row>
    <row r="87" spans="1:21" ht="13" x14ac:dyDescent="0.4">
      <c r="A87" s="312"/>
      <c r="B87" s="312"/>
      <c r="C87" s="312"/>
      <c r="D87" s="312"/>
      <c r="E87" s="312"/>
      <c r="F87" s="312"/>
      <c r="G87" s="312"/>
      <c r="H87" s="312"/>
      <c r="I87" s="312"/>
      <c r="J87" s="312"/>
      <c r="K87" s="312"/>
      <c r="L87" s="312"/>
      <c r="M87" s="312"/>
      <c r="N87" s="312"/>
      <c r="O87" s="312"/>
      <c r="P87" s="312"/>
      <c r="Q87" s="312"/>
      <c r="R87" s="312"/>
      <c r="S87" s="312"/>
      <c r="T87" s="401"/>
      <c r="U87" s="401"/>
    </row>
    <row r="88" spans="1:21" ht="13" x14ac:dyDescent="0.4">
      <c r="A88" s="312"/>
      <c r="B88" s="312"/>
      <c r="C88" s="312"/>
      <c r="D88" s="312"/>
      <c r="E88" s="312"/>
      <c r="F88" s="312"/>
      <c r="G88" s="312"/>
      <c r="H88" s="312"/>
      <c r="I88" s="312"/>
      <c r="J88" s="312"/>
      <c r="K88" s="312"/>
      <c r="L88" s="312"/>
      <c r="M88" s="312"/>
      <c r="N88" s="312"/>
      <c r="O88" s="312"/>
      <c r="P88" s="312"/>
      <c r="Q88" s="312"/>
      <c r="R88" s="312"/>
      <c r="S88" s="312"/>
      <c r="T88" s="401"/>
      <c r="U88" s="401"/>
    </row>
    <row r="89" spans="1:21" ht="13" x14ac:dyDescent="0.4">
      <c r="A89" s="312"/>
      <c r="B89" s="312"/>
      <c r="C89" s="312"/>
      <c r="D89" s="312"/>
      <c r="E89" s="312"/>
      <c r="F89" s="312"/>
      <c r="G89" s="312"/>
      <c r="H89" s="312"/>
      <c r="I89" s="312"/>
      <c r="J89" s="312"/>
      <c r="K89" s="312"/>
      <c r="L89" s="312"/>
      <c r="M89" s="312"/>
      <c r="N89" s="312"/>
      <c r="O89" s="312"/>
      <c r="P89" s="312"/>
      <c r="Q89" s="312"/>
      <c r="R89" s="312"/>
      <c r="S89" s="312"/>
      <c r="T89" s="401"/>
      <c r="U89" s="401"/>
    </row>
    <row r="90" spans="1:21" ht="13" x14ac:dyDescent="0.4">
      <c r="A90" s="312"/>
      <c r="B90" s="312"/>
      <c r="C90" s="312"/>
      <c r="D90" s="312"/>
      <c r="E90" s="312"/>
      <c r="F90" s="312"/>
      <c r="G90" s="312"/>
      <c r="H90" s="312"/>
      <c r="I90" s="312"/>
      <c r="J90" s="312"/>
      <c r="K90" s="312"/>
      <c r="L90" s="312"/>
      <c r="M90" s="312"/>
      <c r="N90" s="312"/>
      <c r="O90" s="312"/>
      <c r="P90" s="312"/>
      <c r="Q90" s="312"/>
      <c r="R90" s="312"/>
      <c r="S90" s="312"/>
      <c r="T90" s="401"/>
      <c r="U90" s="401"/>
    </row>
    <row r="91" spans="1:21" ht="13" x14ac:dyDescent="0.4">
      <c r="A91" s="312"/>
      <c r="B91" s="312"/>
      <c r="C91" s="312"/>
      <c r="D91" s="312"/>
      <c r="E91" s="312"/>
      <c r="F91" s="312"/>
      <c r="G91" s="312"/>
      <c r="H91" s="312"/>
      <c r="I91" s="312"/>
      <c r="J91" s="312"/>
      <c r="K91" s="312"/>
      <c r="L91" s="312"/>
      <c r="M91" s="312"/>
      <c r="N91" s="312"/>
      <c r="O91" s="312"/>
      <c r="P91" s="312"/>
      <c r="Q91" s="312"/>
      <c r="R91" s="312"/>
      <c r="S91" s="312"/>
      <c r="T91" s="401"/>
      <c r="U91" s="401"/>
    </row>
    <row r="92" spans="1:21" ht="13" x14ac:dyDescent="0.4">
      <c r="A92" s="312"/>
      <c r="B92" s="312"/>
      <c r="C92" s="312"/>
      <c r="D92" s="312"/>
      <c r="E92" s="312"/>
      <c r="F92" s="312"/>
      <c r="G92" s="312"/>
      <c r="H92" s="312"/>
      <c r="I92" s="312"/>
      <c r="J92" s="312"/>
      <c r="K92" s="312"/>
      <c r="L92" s="312"/>
      <c r="M92" s="312"/>
      <c r="N92" s="312"/>
      <c r="O92" s="312"/>
      <c r="P92" s="312"/>
      <c r="Q92" s="312"/>
      <c r="R92" s="312"/>
      <c r="S92" s="312"/>
      <c r="T92" s="401"/>
      <c r="U92" s="401"/>
    </row>
    <row r="93" spans="1:21" ht="13" x14ac:dyDescent="0.4">
      <c r="A93" s="312"/>
      <c r="B93" s="312"/>
      <c r="C93" s="312"/>
      <c r="D93" s="312"/>
      <c r="E93" s="312"/>
      <c r="F93" s="312"/>
      <c r="G93" s="312"/>
      <c r="H93" s="312"/>
      <c r="I93" s="312"/>
      <c r="J93" s="312"/>
      <c r="K93" s="312"/>
      <c r="L93" s="312"/>
      <c r="M93" s="312"/>
      <c r="N93" s="312"/>
      <c r="O93" s="312"/>
      <c r="P93" s="312"/>
      <c r="Q93" s="312"/>
      <c r="R93" s="312"/>
      <c r="S93" s="312"/>
      <c r="T93" s="401"/>
      <c r="U93" s="401"/>
    </row>
    <row r="94" spans="1:21" ht="13" x14ac:dyDescent="0.4">
      <c r="A94" s="312"/>
      <c r="B94" s="312"/>
      <c r="C94" s="312"/>
      <c r="D94" s="312"/>
      <c r="E94" s="312"/>
      <c r="F94" s="312"/>
      <c r="G94" s="312"/>
      <c r="H94" s="312"/>
      <c r="I94" s="312"/>
      <c r="J94" s="312"/>
      <c r="K94" s="312"/>
      <c r="L94" s="312"/>
      <c r="M94" s="312"/>
      <c r="N94" s="312"/>
      <c r="O94" s="312"/>
      <c r="P94" s="312"/>
      <c r="Q94" s="312"/>
      <c r="R94" s="312"/>
      <c r="S94" s="312"/>
      <c r="T94" s="401"/>
      <c r="U94" s="401"/>
    </row>
    <row r="95" spans="1:21" ht="13" x14ac:dyDescent="0.4">
      <c r="A95" s="312"/>
      <c r="B95" s="312"/>
      <c r="C95" s="312"/>
      <c r="D95" s="312"/>
      <c r="E95" s="312"/>
      <c r="F95" s="312"/>
      <c r="G95" s="312"/>
      <c r="H95" s="312"/>
      <c r="I95" s="312"/>
      <c r="J95" s="312"/>
      <c r="K95" s="312"/>
      <c r="L95" s="312"/>
      <c r="M95" s="312"/>
      <c r="N95" s="312"/>
      <c r="O95" s="312"/>
      <c r="P95" s="312"/>
      <c r="Q95" s="312"/>
      <c r="R95" s="312"/>
      <c r="S95" s="312"/>
      <c r="T95" s="401"/>
      <c r="U95" s="401"/>
    </row>
    <row r="96" spans="1:21" ht="13" x14ac:dyDescent="0.4">
      <c r="A96" s="312"/>
      <c r="B96" s="312"/>
      <c r="C96" s="312"/>
      <c r="D96" s="312"/>
      <c r="E96" s="312"/>
      <c r="F96" s="312"/>
      <c r="G96" s="312"/>
      <c r="H96" s="312"/>
      <c r="I96" s="312"/>
      <c r="J96" s="312"/>
      <c r="K96" s="312"/>
      <c r="L96" s="312"/>
      <c r="M96" s="312"/>
      <c r="N96" s="312"/>
      <c r="O96" s="312"/>
      <c r="P96" s="312"/>
      <c r="Q96" s="312"/>
      <c r="R96" s="312"/>
      <c r="S96" s="312"/>
      <c r="T96" s="401"/>
      <c r="U96" s="401"/>
    </row>
    <row r="97" spans="1:21" ht="13" x14ac:dyDescent="0.4">
      <c r="A97" s="312"/>
      <c r="B97" s="312"/>
      <c r="C97" s="312"/>
      <c r="D97" s="312"/>
      <c r="E97" s="312"/>
      <c r="F97" s="312"/>
      <c r="G97" s="312"/>
      <c r="H97" s="312"/>
      <c r="I97" s="312"/>
      <c r="J97" s="312"/>
      <c r="K97" s="312"/>
      <c r="L97" s="312"/>
      <c r="M97" s="312"/>
      <c r="N97" s="312"/>
      <c r="O97" s="312"/>
      <c r="P97" s="312"/>
      <c r="Q97" s="312"/>
      <c r="R97" s="312"/>
      <c r="S97" s="312"/>
      <c r="T97" s="401"/>
      <c r="U97" s="401"/>
    </row>
    <row r="98" spans="1:21" ht="13" x14ac:dyDescent="0.4">
      <c r="A98" s="312"/>
      <c r="B98" s="312"/>
      <c r="C98" s="312"/>
      <c r="D98" s="312"/>
      <c r="E98" s="312"/>
      <c r="F98" s="312"/>
      <c r="G98" s="312"/>
      <c r="H98" s="312"/>
      <c r="I98" s="312"/>
      <c r="J98" s="312"/>
      <c r="K98" s="312"/>
      <c r="L98" s="312"/>
      <c r="M98" s="312"/>
      <c r="N98" s="312"/>
      <c r="O98" s="312"/>
      <c r="P98" s="312"/>
      <c r="Q98" s="312"/>
      <c r="R98" s="312"/>
      <c r="S98" s="312"/>
      <c r="T98" s="401"/>
      <c r="U98" s="401"/>
    </row>
    <row r="99" spans="1:21" ht="13" x14ac:dyDescent="0.4">
      <c r="A99" s="312"/>
      <c r="B99" s="312"/>
      <c r="C99" s="312"/>
      <c r="D99" s="312"/>
      <c r="E99" s="312"/>
      <c r="F99" s="312"/>
      <c r="G99" s="312"/>
      <c r="H99" s="312"/>
      <c r="I99" s="312"/>
      <c r="J99" s="312"/>
      <c r="K99" s="312"/>
      <c r="L99" s="312"/>
      <c r="M99" s="312"/>
      <c r="N99" s="312"/>
      <c r="O99" s="312"/>
      <c r="P99" s="312"/>
      <c r="Q99" s="312"/>
      <c r="R99" s="312"/>
      <c r="S99" s="312"/>
      <c r="T99" s="401"/>
      <c r="U99" s="401"/>
    </row>
    <row r="100" spans="1:21" ht="13" x14ac:dyDescent="0.4">
      <c r="A100" s="312"/>
      <c r="B100" s="312"/>
      <c r="C100" s="312"/>
      <c r="D100" s="312"/>
      <c r="E100" s="312"/>
      <c r="F100" s="312"/>
      <c r="G100" s="312"/>
      <c r="H100" s="312"/>
      <c r="I100" s="312"/>
      <c r="J100" s="312"/>
      <c r="K100" s="312"/>
      <c r="L100" s="312"/>
      <c r="M100" s="312"/>
      <c r="N100" s="312"/>
      <c r="O100" s="312"/>
      <c r="P100" s="312"/>
      <c r="Q100" s="312"/>
      <c r="R100" s="312"/>
      <c r="S100" s="312"/>
      <c r="T100" s="401"/>
      <c r="U100" s="401"/>
    </row>
    <row r="101" spans="1:21" ht="13" x14ac:dyDescent="0.4">
      <c r="A101" s="312"/>
      <c r="B101" s="312"/>
      <c r="C101" s="312"/>
      <c r="D101" s="312"/>
      <c r="E101" s="312"/>
      <c r="F101" s="312"/>
      <c r="G101" s="312"/>
      <c r="H101" s="312"/>
      <c r="I101" s="312"/>
      <c r="J101" s="312"/>
      <c r="K101" s="312"/>
      <c r="L101" s="312"/>
      <c r="M101" s="312"/>
      <c r="N101" s="312"/>
      <c r="O101" s="312"/>
      <c r="P101" s="312"/>
      <c r="Q101" s="312"/>
      <c r="R101" s="312"/>
      <c r="S101" s="312"/>
      <c r="T101" s="401"/>
      <c r="U101" s="401"/>
    </row>
    <row r="102" spans="1:21" ht="13" x14ac:dyDescent="0.4">
      <c r="A102" s="312"/>
      <c r="B102" s="312"/>
      <c r="C102" s="312"/>
      <c r="D102" s="312"/>
      <c r="E102" s="312"/>
      <c r="F102" s="312"/>
      <c r="G102" s="312"/>
      <c r="H102" s="312"/>
      <c r="I102" s="312"/>
      <c r="J102" s="312"/>
      <c r="K102" s="312"/>
      <c r="L102" s="312"/>
      <c r="M102" s="312"/>
      <c r="N102" s="312"/>
      <c r="O102" s="312"/>
      <c r="P102" s="312"/>
      <c r="Q102" s="312"/>
      <c r="R102" s="312"/>
      <c r="S102" s="312"/>
      <c r="T102" s="401"/>
      <c r="U102" s="401"/>
    </row>
    <row r="103" spans="1:21" ht="13" x14ac:dyDescent="0.4">
      <c r="A103" s="312"/>
      <c r="B103" s="312"/>
      <c r="C103" s="312"/>
      <c r="D103" s="312"/>
      <c r="E103" s="312"/>
      <c r="F103" s="312"/>
      <c r="G103" s="312"/>
      <c r="H103" s="312"/>
      <c r="I103" s="312"/>
      <c r="J103" s="312"/>
      <c r="K103" s="312"/>
      <c r="L103" s="312"/>
      <c r="M103" s="312"/>
      <c r="N103" s="312"/>
      <c r="O103" s="312"/>
      <c r="P103" s="312"/>
      <c r="Q103" s="312"/>
      <c r="R103" s="312"/>
      <c r="S103" s="312"/>
      <c r="T103" s="401"/>
      <c r="U103" s="401"/>
    </row>
    <row r="104" spans="1:21" ht="13" x14ac:dyDescent="0.4">
      <c r="A104" s="312"/>
      <c r="B104" s="312"/>
      <c r="C104" s="312"/>
      <c r="D104" s="312"/>
      <c r="E104" s="312"/>
      <c r="F104" s="312"/>
      <c r="G104" s="312"/>
      <c r="H104" s="312"/>
      <c r="I104" s="312"/>
      <c r="J104" s="312"/>
      <c r="K104" s="312"/>
      <c r="L104" s="312"/>
      <c r="M104" s="312"/>
      <c r="N104" s="312"/>
      <c r="O104" s="312"/>
      <c r="P104" s="312"/>
      <c r="Q104" s="312"/>
      <c r="R104" s="312"/>
      <c r="S104" s="312"/>
      <c r="T104" s="401"/>
      <c r="U104" s="401"/>
    </row>
    <row r="105" spans="1:21" ht="13" x14ac:dyDescent="0.4">
      <c r="A105" s="312"/>
      <c r="B105" s="312"/>
      <c r="C105" s="312"/>
      <c r="D105" s="312"/>
      <c r="E105" s="312"/>
      <c r="F105" s="312"/>
      <c r="G105" s="312"/>
      <c r="H105" s="312"/>
      <c r="I105" s="312"/>
      <c r="J105" s="312"/>
      <c r="K105" s="312"/>
      <c r="L105" s="312"/>
      <c r="M105" s="312"/>
      <c r="N105" s="312"/>
      <c r="O105" s="312"/>
      <c r="P105" s="312"/>
      <c r="Q105" s="312"/>
      <c r="R105" s="312"/>
      <c r="S105" s="312"/>
      <c r="T105" s="401"/>
      <c r="U105" s="401"/>
    </row>
    <row r="106" spans="1:21" ht="13" x14ac:dyDescent="0.4">
      <c r="A106" s="312"/>
      <c r="B106" s="312"/>
      <c r="C106" s="312"/>
      <c r="D106" s="312"/>
      <c r="E106" s="312"/>
      <c r="F106" s="312"/>
      <c r="G106" s="312"/>
      <c r="H106" s="312"/>
      <c r="I106" s="312"/>
      <c r="J106" s="312"/>
      <c r="K106" s="312"/>
      <c r="L106" s="312"/>
      <c r="M106" s="312"/>
      <c r="N106" s="312"/>
      <c r="O106" s="312"/>
      <c r="P106" s="312"/>
      <c r="Q106" s="312"/>
      <c r="R106" s="312"/>
      <c r="S106" s="312"/>
      <c r="T106" s="401"/>
      <c r="U106" s="401"/>
    </row>
    <row r="107" spans="1:21" ht="13" x14ac:dyDescent="0.4">
      <c r="A107" s="312"/>
      <c r="B107" s="312"/>
      <c r="C107" s="312"/>
      <c r="D107" s="312"/>
      <c r="E107" s="312"/>
      <c r="F107" s="312"/>
      <c r="G107" s="312"/>
      <c r="H107" s="312"/>
      <c r="I107" s="312"/>
      <c r="J107" s="312"/>
      <c r="K107" s="312"/>
      <c r="L107" s="312"/>
      <c r="M107" s="312"/>
      <c r="N107" s="312"/>
      <c r="O107" s="312"/>
      <c r="P107" s="312"/>
      <c r="Q107" s="312"/>
      <c r="R107" s="312"/>
      <c r="S107" s="312"/>
      <c r="T107" s="401"/>
      <c r="U107" s="401"/>
    </row>
    <row r="108" spans="1:21" ht="13" x14ac:dyDescent="0.4">
      <c r="A108" s="312"/>
      <c r="B108" s="312"/>
      <c r="C108" s="312"/>
      <c r="D108" s="312"/>
      <c r="E108" s="312"/>
      <c r="F108" s="312"/>
      <c r="G108" s="312"/>
      <c r="H108" s="312"/>
      <c r="I108" s="312"/>
      <c r="J108" s="312"/>
      <c r="K108" s="312"/>
      <c r="L108" s="312"/>
      <c r="M108" s="312"/>
      <c r="N108" s="312"/>
      <c r="O108" s="312"/>
      <c r="P108" s="312"/>
      <c r="Q108" s="312"/>
      <c r="R108" s="312"/>
      <c r="S108" s="312"/>
      <c r="T108" s="401"/>
      <c r="U108" s="401"/>
    </row>
    <row r="109" spans="1:21" ht="13" x14ac:dyDescent="0.4">
      <c r="A109" s="312"/>
      <c r="B109" s="312"/>
      <c r="C109" s="312"/>
      <c r="D109" s="312"/>
      <c r="E109" s="312"/>
      <c r="F109" s="312"/>
      <c r="G109" s="312"/>
      <c r="H109" s="312"/>
      <c r="I109" s="312"/>
      <c r="J109" s="312"/>
      <c r="K109" s="312"/>
      <c r="L109" s="312"/>
      <c r="M109" s="312"/>
      <c r="N109" s="312"/>
      <c r="O109" s="312"/>
      <c r="P109" s="312"/>
      <c r="Q109" s="312"/>
      <c r="R109" s="312"/>
      <c r="S109" s="312"/>
      <c r="T109" s="401"/>
      <c r="U109" s="401"/>
    </row>
    <row r="110" spans="1:21" ht="13" x14ac:dyDescent="0.4">
      <c r="A110" s="312"/>
      <c r="B110" s="312"/>
      <c r="C110" s="312"/>
      <c r="D110" s="312"/>
      <c r="E110" s="312"/>
      <c r="F110" s="312"/>
      <c r="G110" s="312"/>
      <c r="H110" s="312"/>
      <c r="I110" s="312"/>
      <c r="J110" s="312"/>
      <c r="K110" s="312"/>
      <c r="L110" s="312"/>
      <c r="M110" s="312"/>
      <c r="N110" s="312"/>
      <c r="O110" s="312"/>
      <c r="P110" s="312"/>
      <c r="Q110" s="312"/>
      <c r="R110" s="312"/>
      <c r="S110" s="312"/>
      <c r="T110" s="401"/>
      <c r="U110" s="401"/>
    </row>
    <row r="111" spans="1:21" ht="13" x14ac:dyDescent="0.4">
      <c r="A111" s="312"/>
      <c r="B111" s="312"/>
      <c r="C111" s="312"/>
      <c r="D111" s="312"/>
      <c r="E111" s="312"/>
      <c r="F111" s="312"/>
      <c r="G111" s="312"/>
      <c r="H111" s="312"/>
      <c r="I111" s="312"/>
      <c r="J111" s="312"/>
      <c r="K111" s="312"/>
      <c r="L111" s="312"/>
      <c r="M111" s="312"/>
      <c r="N111" s="312"/>
      <c r="O111" s="312"/>
      <c r="P111" s="312"/>
      <c r="Q111" s="312"/>
      <c r="R111" s="312"/>
      <c r="S111" s="312"/>
      <c r="T111" s="401"/>
      <c r="U111" s="401"/>
    </row>
    <row r="112" spans="1:21" ht="13" x14ac:dyDescent="0.4">
      <c r="A112" s="312"/>
      <c r="B112" s="312"/>
      <c r="C112" s="312"/>
      <c r="D112" s="312"/>
      <c r="E112" s="312"/>
      <c r="F112" s="312"/>
      <c r="G112" s="312"/>
      <c r="H112" s="312"/>
      <c r="I112" s="312"/>
      <c r="J112" s="312"/>
      <c r="K112" s="312"/>
      <c r="L112" s="312"/>
      <c r="M112" s="312"/>
      <c r="N112" s="312"/>
      <c r="O112" s="312"/>
      <c r="P112" s="312"/>
      <c r="Q112" s="312"/>
      <c r="R112" s="312"/>
      <c r="S112" s="312"/>
      <c r="T112" s="401"/>
      <c r="U112" s="401"/>
    </row>
    <row r="113" spans="1:21" ht="13" x14ac:dyDescent="0.4">
      <c r="A113" s="312"/>
      <c r="B113" s="312"/>
      <c r="C113" s="312"/>
      <c r="D113" s="312"/>
      <c r="E113" s="312"/>
      <c r="F113" s="312"/>
      <c r="G113" s="312"/>
      <c r="H113" s="312"/>
      <c r="I113" s="312"/>
      <c r="J113" s="312"/>
      <c r="K113" s="312"/>
      <c r="L113" s="312"/>
      <c r="M113" s="312"/>
      <c r="N113" s="312"/>
      <c r="O113" s="312"/>
      <c r="P113" s="312"/>
      <c r="Q113" s="312"/>
      <c r="R113" s="312"/>
      <c r="S113" s="312"/>
      <c r="T113" s="401"/>
      <c r="U113" s="401"/>
    </row>
    <row r="114" spans="1:21" ht="13" x14ac:dyDescent="0.4">
      <c r="A114" s="312"/>
      <c r="B114" s="312"/>
      <c r="C114" s="312"/>
      <c r="D114" s="312"/>
      <c r="E114" s="312"/>
      <c r="F114" s="312"/>
      <c r="G114" s="312"/>
      <c r="H114" s="312"/>
      <c r="I114" s="312"/>
      <c r="J114" s="312"/>
      <c r="K114" s="312"/>
      <c r="L114" s="312"/>
      <c r="M114" s="312"/>
      <c r="N114" s="312"/>
      <c r="O114" s="312"/>
      <c r="P114" s="312"/>
      <c r="Q114" s="312"/>
      <c r="R114" s="312"/>
      <c r="S114" s="312"/>
      <c r="T114" s="401"/>
      <c r="U114" s="401"/>
    </row>
    <row r="115" spans="1:21" ht="13" x14ac:dyDescent="0.4">
      <c r="A115" s="312"/>
      <c r="B115" s="312"/>
      <c r="C115" s="312"/>
      <c r="D115" s="312"/>
      <c r="E115" s="312"/>
      <c r="F115" s="312"/>
      <c r="G115" s="312"/>
      <c r="H115" s="312"/>
      <c r="I115" s="312"/>
      <c r="J115" s="312"/>
      <c r="K115" s="312"/>
      <c r="L115" s="312"/>
      <c r="M115" s="312"/>
      <c r="N115" s="312"/>
      <c r="O115" s="312"/>
      <c r="P115" s="312"/>
      <c r="Q115" s="312"/>
      <c r="R115" s="312"/>
      <c r="S115" s="312"/>
      <c r="T115" s="401"/>
      <c r="U115" s="401"/>
    </row>
    <row r="116" spans="1:21" ht="13" x14ac:dyDescent="0.4">
      <c r="A116" s="312"/>
      <c r="B116" s="312"/>
      <c r="C116" s="312"/>
      <c r="D116" s="312"/>
      <c r="E116" s="312"/>
      <c r="F116" s="312"/>
      <c r="G116" s="312"/>
      <c r="H116" s="312"/>
      <c r="I116" s="312"/>
      <c r="J116" s="312"/>
      <c r="K116" s="312"/>
      <c r="L116" s="312"/>
      <c r="M116" s="312"/>
      <c r="N116" s="312"/>
      <c r="O116" s="312"/>
      <c r="P116" s="312"/>
      <c r="Q116" s="312"/>
      <c r="R116" s="312"/>
      <c r="S116" s="312"/>
      <c r="T116" s="401"/>
      <c r="U116" s="401"/>
    </row>
    <row r="117" spans="1:21" ht="13" x14ac:dyDescent="0.4">
      <c r="A117" s="312"/>
      <c r="B117" s="312"/>
      <c r="C117" s="312"/>
      <c r="D117" s="312"/>
      <c r="E117" s="312"/>
      <c r="F117" s="312"/>
      <c r="G117" s="312"/>
      <c r="H117" s="312"/>
      <c r="I117" s="312"/>
      <c r="J117" s="312"/>
      <c r="K117" s="312"/>
      <c r="L117" s="312"/>
      <c r="M117" s="312"/>
      <c r="N117" s="312"/>
      <c r="O117" s="312"/>
      <c r="P117" s="312"/>
      <c r="Q117" s="312"/>
      <c r="R117" s="312"/>
      <c r="S117" s="312"/>
      <c r="T117" s="401"/>
      <c r="U117" s="401"/>
    </row>
    <row r="118" spans="1:21" ht="13" x14ac:dyDescent="0.4">
      <c r="A118" s="312"/>
      <c r="B118" s="312"/>
      <c r="C118" s="312"/>
      <c r="D118" s="312"/>
      <c r="E118" s="312"/>
      <c r="F118" s="312"/>
      <c r="G118" s="312"/>
      <c r="H118" s="312"/>
      <c r="I118" s="312"/>
      <c r="J118" s="312"/>
      <c r="K118" s="312"/>
      <c r="L118" s="312"/>
      <c r="M118" s="312"/>
      <c r="N118" s="312"/>
      <c r="O118" s="312"/>
      <c r="P118" s="312"/>
      <c r="Q118" s="312"/>
      <c r="R118" s="312"/>
      <c r="S118" s="312"/>
      <c r="T118" s="401"/>
      <c r="U118" s="401"/>
    </row>
    <row r="119" spans="1:21" ht="13" x14ac:dyDescent="0.4">
      <c r="A119" s="312"/>
      <c r="B119" s="312"/>
      <c r="C119" s="312"/>
      <c r="D119" s="312"/>
      <c r="E119" s="312"/>
      <c r="F119" s="312"/>
      <c r="G119" s="312"/>
      <c r="H119" s="312"/>
      <c r="I119" s="312"/>
      <c r="J119" s="312"/>
      <c r="K119" s="312"/>
      <c r="L119" s="312"/>
      <c r="M119" s="312"/>
      <c r="N119" s="312"/>
      <c r="O119" s="312"/>
      <c r="P119" s="312"/>
      <c r="Q119" s="312"/>
      <c r="R119" s="312"/>
      <c r="S119" s="312"/>
      <c r="T119" s="401"/>
      <c r="U119" s="401"/>
    </row>
    <row r="120" spans="1:21" ht="13" x14ac:dyDescent="0.4">
      <c r="A120" s="312"/>
      <c r="B120" s="312"/>
      <c r="C120" s="312"/>
      <c r="D120" s="312"/>
      <c r="E120" s="312"/>
      <c r="F120" s="312"/>
      <c r="G120" s="312"/>
      <c r="H120" s="312"/>
      <c r="I120" s="312"/>
      <c r="J120" s="312"/>
      <c r="K120" s="312"/>
      <c r="L120" s="312"/>
      <c r="M120" s="312"/>
      <c r="N120" s="312"/>
      <c r="O120" s="312"/>
      <c r="P120" s="312"/>
      <c r="Q120" s="312"/>
      <c r="R120" s="312"/>
      <c r="S120" s="312"/>
      <c r="T120" s="401"/>
      <c r="U120" s="401"/>
    </row>
    <row r="121" spans="1:21" ht="13" x14ac:dyDescent="0.4">
      <c r="A121" s="312"/>
      <c r="B121" s="312"/>
      <c r="C121" s="312"/>
      <c r="D121" s="312"/>
      <c r="E121" s="312"/>
      <c r="F121" s="312"/>
      <c r="G121" s="312"/>
      <c r="H121" s="312"/>
      <c r="I121" s="312"/>
      <c r="J121" s="312"/>
      <c r="K121" s="312"/>
      <c r="L121" s="312"/>
      <c r="M121" s="312"/>
      <c r="N121" s="312"/>
      <c r="O121" s="312"/>
      <c r="P121" s="312"/>
      <c r="Q121" s="312"/>
      <c r="R121" s="312"/>
      <c r="S121" s="312"/>
      <c r="T121" s="401"/>
      <c r="U121" s="401"/>
    </row>
    <row r="122" spans="1:21" ht="13" x14ac:dyDescent="0.4">
      <c r="A122" s="312"/>
      <c r="B122" s="312"/>
      <c r="C122" s="312"/>
      <c r="D122" s="312"/>
      <c r="E122" s="312"/>
      <c r="F122" s="312"/>
      <c r="G122" s="312"/>
      <c r="H122" s="312"/>
      <c r="I122" s="312"/>
      <c r="J122" s="312"/>
      <c r="K122" s="312"/>
      <c r="L122" s="312"/>
      <c r="M122" s="312"/>
      <c r="N122" s="312"/>
      <c r="O122" s="312"/>
      <c r="P122" s="312"/>
      <c r="Q122" s="312"/>
      <c r="R122" s="312"/>
      <c r="S122" s="312"/>
      <c r="T122" s="401"/>
      <c r="U122" s="401"/>
    </row>
    <row r="123" spans="1:21" ht="13" x14ac:dyDescent="0.4">
      <c r="A123" s="312"/>
      <c r="B123" s="312"/>
      <c r="C123" s="312"/>
      <c r="D123" s="312"/>
      <c r="E123" s="312"/>
      <c r="F123" s="312"/>
      <c r="G123" s="312"/>
      <c r="H123" s="312"/>
      <c r="I123" s="312"/>
      <c r="J123" s="312"/>
      <c r="K123" s="312"/>
      <c r="L123" s="312"/>
      <c r="M123" s="312"/>
      <c r="N123" s="312"/>
      <c r="O123" s="312"/>
      <c r="P123" s="312"/>
      <c r="Q123" s="312"/>
      <c r="R123" s="312"/>
      <c r="S123" s="312"/>
      <c r="T123" s="401"/>
      <c r="U123" s="401"/>
    </row>
    <row r="124" spans="1:21" ht="13" x14ac:dyDescent="0.4">
      <c r="A124" s="312"/>
      <c r="B124" s="312"/>
      <c r="C124" s="312"/>
      <c r="D124" s="312"/>
      <c r="E124" s="312"/>
      <c r="F124" s="312"/>
      <c r="G124" s="312"/>
      <c r="H124" s="312"/>
      <c r="I124" s="312"/>
      <c r="J124" s="312"/>
      <c r="K124" s="312"/>
      <c r="L124" s="312"/>
      <c r="M124" s="312"/>
      <c r="N124" s="312"/>
      <c r="O124" s="312"/>
      <c r="P124" s="312"/>
      <c r="Q124" s="312"/>
      <c r="R124" s="312"/>
      <c r="S124" s="312"/>
      <c r="T124" s="401"/>
      <c r="U124" s="401"/>
    </row>
    <row r="125" spans="1:21" ht="13" x14ac:dyDescent="0.4">
      <c r="A125" s="312"/>
      <c r="B125" s="312"/>
      <c r="C125" s="312"/>
      <c r="D125" s="312"/>
      <c r="E125" s="312"/>
      <c r="F125" s="312"/>
      <c r="G125" s="312"/>
      <c r="H125" s="312"/>
      <c r="I125" s="312"/>
      <c r="J125" s="312"/>
      <c r="K125" s="312"/>
      <c r="L125" s="312"/>
      <c r="M125" s="312"/>
      <c r="N125" s="312"/>
      <c r="O125" s="312"/>
      <c r="P125" s="312"/>
      <c r="Q125" s="312"/>
      <c r="R125" s="312"/>
      <c r="S125" s="312"/>
      <c r="T125" s="401"/>
      <c r="U125" s="401"/>
    </row>
    <row r="126" spans="1:21" ht="13" x14ac:dyDescent="0.4">
      <c r="A126" s="312"/>
      <c r="B126" s="312"/>
      <c r="C126" s="312"/>
      <c r="D126" s="312"/>
      <c r="E126" s="312"/>
      <c r="F126" s="312"/>
      <c r="G126" s="312"/>
      <c r="H126" s="312"/>
      <c r="I126" s="312"/>
      <c r="J126" s="312"/>
      <c r="K126" s="312"/>
      <c r="L126" s="312"/>
      <c r="M126" s="312"/>
      <c r="N126" s="312"/>
      <c r="O126" s="312"/>
      <c r="P126" s="312"/>
      <c r="Q126" s="312"/>
      <c r="R126" s="312"/>
      <c r="S126" s="312"/>
      <c r="T126" s="401"/>
      <c r="U126" s="401"/>
    </row>
    <row r="127" spans="1:21" ht="13" x14ac:dyDescent="0.4">
      <c r="A127" s="312"/>
      <c r="B127" s="312"/>
      <c r="C127" s="312"/>
      <c r="D127" s="312"/>
      <c r="E127" s="312"/>
      <c r="F127" s="312"/>
      <c r="G127" s="312"/>
      <c r="H127" s="312"/>
      <c r="I127" s="312"/>
      <c r="J127" s="312"/>
      <c r="K127" s="312"/>
      <c r="L127" s="312"/>
      <c r="M127" s="312"/>
      <c r="N127" s="312"/>
      <c r="O127" s="312"/>
      <c r="P127" s="312"/>
      <c r="Q127" s="312"/>
      <c r="R127" s="312"/>
      <c r="S127" s="312"/>
      <c r="T127" s="401"/>
      <c r="U127" s="401"/>
    </row>
    <row r="128" spans="1:21" ht="13" x14ac:dyDescent="0.4">
      <c r="A128" s="312"/>
      <c r="B128" s="312"/>
      <c r="C128" s="312"/>
      <c r="D128" s="312"/>
      <c r="E128" s="312"/>
      <c r="F128" s="312"/>
      <c r="G128" s="312"/>
      <c r="H128" s="312"/>
      <c r="I128" s="312"/>
      <c r="J128" s="312"/>
      <c r="K128" s="312"/>
      <c r="L128" s="312"/>
      <c r="M128" s="312"/>
      <c r="N128" s="312"/>
      <c r="O128" s="312"/>
      <c r="P128" s="312"/>
      <c r="Q128" s="312"/>
      <c r="R128" s="312"/>
      <c r="S128" s="312"/>
      <c r="T128" s="401"/>
      <c r="U128" s="401"/>
    </row>
    <row r="129" spans="1:21" ht="13" x14ac:dyDescent="0.4">
      <c r="A129" s="312"/>
      <c r="B129" s="312"/>
      <c r="C129" s="312"/>
      <c r="D129" s="312"/>
      <c r="E129" s="312"/>
      <c r="F129" s="312"/>
      <c r="G129" s="312"/>
      <c r="H129" s="312"/>
      <c r="I129" s="312"/>
      <c r="J129" s="312"/>
      <c r="K129" s="312"/>
      <c r="L129" s="312"/>
      <c r="M129" s="312"/>
      <c r="N129" s="312"/>
      <c r="O129" s="312"/>
      <c r="P129" s="312"/>
      <c r="Q129" s="312"/>
      <c r="R129" s="312"/>
      <c r="S129" s="312"/>
      <c r="T129" s="401"/>
      <c r="U129" s="401"/>
    </row>
    <row r="130" spans="1:21" ht="13" x14ac:dyDescent="0.4">
      <c r="A130" s="312"/>
      <c r="B130" s="312"/>
      <c r="C130" s="312"/>
      <c r="D130" s="312"/>
      <c r="E130" s="312"/>
      <c r="F130" s="312"/>
      <c r="G130" s="312"/>
      <c r="H130" s="312"/>
      <c r="I130" s="312"/>
      <c r="J130" s="312"/>
      <c r="K130" s="312"/>
      <c r="L130" s="312"/>
      <c r="M130" s="312"/>
      <c r="N130" s="312"/>
      <c r="O130" s="312"/>
      <c r="P130" s="312"/>
      <c r="Q130" s="312"/>
      <c r="R130" s="312"/>
      <c r="S130" s="312"/>
      <c r="T130" s="401"/>
      <c r="U130" s="401"/>
    </row>
    <row r="131" spans="1:21" ht="13" x14ac:dyDescent="0.4">
      <c r="A131" s="312"/>
      <c r="B131" s="312"/>
      <c r="C131" s="312"/>
      <c r="D131" s="312"/>
      <c r="E131" s="312"/>
      <c r="F131" s="312"/>
      <c r="G131" s="312"/>
      <c r="H131" s="312"/>
      <c r="I131" s="312"/>
      <c r="J131" s="312"/>
      <c r="K131" s="312"/>
      <c r="L131" s="312"/>
      <c r="M131" s="312"/>
      <c r="N131" s="312"/>
      <c r="O131" s="312"/>
      <c r="P131" s="312"/>
      <c r="Q131" s="312"/>
      <c r="R131" s="312"/>
      <c r="S131" s="312"/>
      <c r="T131" s="401"/>
      <c r="U131" s="401"/>
    </row>
    <row r="132" spans="1:21" ht="13" x14ac:dyDescent="0.4">
      <c r="A132" s="312"/>
      <c r="B132" s="312"/>
      <c r="C132" s="312"/>
      <c r="D132" s="312"/>
      <c r="E132" s="312"/>
      <c r="F132" s="312"/>
      <c r="G132" s="312"/>
      <c r="H132" s="312"/>
      <c r="I132" s="312"/>
      <c r="J132" s="312"/>
      <c r="K132" s="312"/>
      <c r="L132" s="312"/>
      <c r="M132" s="312"/>
      <c r="N132" s="312"/>
      <c r="O132" s="312"/>
      <c r="P132" s="312"/>
      <c r="Q132" s="312"/>
      <c r="R132" s="312"/>
      <c r="S132" s="312"/>
      <c r="T132" s="401"/>
      <c r="U132" s="401"/>
    </row>
    <row r="133" spans="1:21" ht="13" x14ac:dyDescent="0.4">
      <c r="A133" s="312"/>
      <c r="B133" s="312"/>
      <c r="C133" s="312"/>
      <c r="D133" s="312"/>
      <c r="E133" s="312"/>
      <c r="F133" s="312"/>
      <c r="G133" s="312"/>
      <c r="H133" s="312"/>
      <c r="I133" s="312"/>
      <c r="J133" s="312"/>
      <c r="K133" s="312"/>
      <c r="L133" s="312"/>
      <c r="M133" s="312"/>
      <c r="N133" s="312"/>
      <c r="O133" s="312"/>
      <c r="P133" s="312"/>
      <c r="Q133" s="312"/>
      <c r="R133" s="312"/>
      <c r="S133" s="312"/>
      <c r="T133" s="401"/>
      <c r="U133" s="401"/>
    </row>
    <row r="134" spans="1:21" ht="13" x14ac:dyDescent="0.4">
      <c r="A134" s="312"/>
      <c r="B134" s="312"/>
      <c r="C134" s="312"/>
      <c r="D134" s="312"/>
      <c r="E134" s="312"/>
      <c r="F134" s="312"/>
      <c r="G134" s="312"/>
      <c r="H134" s="312"/>
      <c r="I134" s="312"/>
      <c r="J134" s="312"/>
      <c r="K134" s="312"/>
      <c r="L134" s="312"/>
      <c r="M134" s="312"/>
      <c r="N134" s="312"/>
      <c r="O134" s="312"/>
      <c r="P134" s="312"/>
      <c r="Q134" s="312"/>
      <c r="R134" s="312"/>
      <c r="S134" s="312"/>
      <c r="T134" s="401"/>
      <c r="U134" s="401"/>
    </row>
    <row r="135" spans="1:21" ht="13" x14ac:dyDescent="0.4">
      <c r="A135" s="312"/>
      <c r="B135" s="312"/>
      <c r="C135" s="312"/>
      <c r="D135" s="312"/>
      <c r="E135" s="312"/>
      <c r="F135" s="312"/>
      <c r="G135" s="312"/>
      <c r="H135" s="312"/>
      <c r="I135" s="312"/>
      <c r="J135" s="312"/>
      <c r="K135" s="312"/>
      <c r="L135" s="312"/>
      <c r="M135" s="312"/>
      <c r="N135" s="312"/>
      <c r="O135" s="312"/>
      <c r="P135" s="312"/>
      <c r="Q135" s="312"/>
      <c r="R135" s="312"/>
      <c r="S135" s="312"/>
      <c r="T135" s="401"/>
      <c r="U135" s="401"/>
    </row>
    <row r="136" spans="1:21" ht="13" x14ac:dyDescent="0.4">
      <c r="A136" s="312"/>
      <c r="B136" s="312"/>
      <c r="C136" s="312"/>
      <c r="D136" s="312"/>
      <c r="E136" s="312"/>
      <c r="F136" s="312"/>
      <c r="G136" s="312"/>
      <c r="H136" s="312"/>
      <c r="I136" s="312"/>
      <c r="J136" s="312"/>
      <c r="K136" s="312"/>
      <c r="L136" s="312"/>
      <c r="M136" s="312"/>
      <c r="N136" s="312"/>
      <c r="O136" s="312"/>
      <c r="P136" s="312"/>
      <c r="Q136" s="312"/>
      <c r="R136" s="312"/>
      <c r="S136" s="312"/>
      <c r="T136" s="401"/>
      <c r="U136" s="401"/>
    </row>
    <row r="137" spans="1:21" ht="13" x14ac:dyDescent="0.4">
      <c r="A137" s="312"/>
      <c r="B137" s="312"/>
      <c r="C137" s="312"/>
      <c r="D137" s="312"/>
      <c r="E137" s="312"/>
      <c r="F137" s="312"/>
      <c r="G137" s="312"/>
      <c r="H137" s="312"/>
      <c r="I137" s="312"/>
      <c r="J137" s="312"/>
      <c r="K137" s="312"/>
      <c r="L137" s="312"/>
      <c r="M137" s="312"/>
      <c r="N137" s="312"/>
      <c r="O137" s="312"/>
      <c r="P137" s="312"/>
      <c r="Q137" s="312"/>
      <c r="R137" s="312"/>
      <c r="S137" s="312"/>
      <c r="T137" s="401"/>
      <c r="U137" s="401"/>
    </row>
    <row r="138" spans="1:21" ht="13" x14ac:dyDescent="0.4">
      <c r="A138" s="312"/>
      <c r="B138" s="312"/>
      <c r="C138" s="312"/>
      <c r="D138" s="312"/>
      <c r="E138" s="312"/>
      <c r="F138" s="312"/>
      <c r="G138" s="312"/>
      <c r="H138" s="312"/>
      <c r="I138" s="312"/>
      <c r="J138" s="312"/>
      <c r="K138" s="312"/>
      <c r="L138" s="312"/>
      <c r="M138" s="312"/>
      <c r="N138" s="312"/>
      <c r="O138" s="312"/>
      <c r="P138" s="312"/>
      <c r="Q138" s="312"/>
      <c r="R138" s="312"/>
      <c r="S138" s="312"/>
      <c r="T138" s="401"/>
      <c r="U138" s="401"/>
    </row>
    <row r="139" spans="1:21" ht="13" x14ac:dyDescent="0.4">
      <c r="A139" s="312"/>
      <c r="B139" s="312"/>
      <c r="C139" s="312"/>
      <c r="D139" s="312"/>
      <c r="E139" s="312"/>
      <c r="F139" s="312"/>
      <c r="G139" s="312"/>
      <c r="H139" s="312"/>
      <c r="I139" s="312"/>
      <c r="J139" s="312"/>
      <c r="K139" s="312"/>
      <c r="L139" s="312"/>
      <c r="M139" s="312"/>
      <c r="N139" s="312"/>
      <c r="O139" s="312"/>
      <c r="P139" s="312"/>
      <c r="Q139" s="312"/>
      <c r="R139" s="312"/>
      <c r="S139" s="312"/>
      <c r="T139" s="401"/>
      <c r="U139" s="401"/>
    </row>
    <row r="140" spans="1:21" ht="13" x14ac:dyDescent="0.4">
      <c r="A140" s="312"/>
      <c r="B140" s="312"/>
      <c r="C140" s="312"/>
      <c r="D140" s="312"/>
      <c r="E140" s="312"/>
      <c r="F140" s="312"/>
      <c r="G140" s="312"/>
      <c r="H140" s="312"/>
      <c r="I140" s="312"/>
      <c r="J140" s="312"/>
      <c r="K140" s="312"/>
      <c r="L140" s="312"/>
      <c r="M140" s="312"/>
      <c r="N140" s="312"/>
      <c r="O140" s="312"/>
      <c r="P140" s="312"/>
      <c r="Q140" s="312"/>
      <c r="R140" s="312"/>
      <c r="S140" s="312"/>
      <c r="T140" s="401"/>
      <c r="U140" s="401"/>
    </row>
    <row r="141" spans="1:21" ht="13" x14ac:dyDescent="0.4">
      <c r="A141" s="312"/>
      <c r="B141" s="312"/>
      <c r="C141" s="312"/>
      <c r="D141" s="312"/>
      <c r="E141" s="312"/>
      <c r="F141" s="312"/>
      <c r="G141" s="312"/>
      <c r="H141" s="312"/>
      <c r="I141" s="312"/>
      <c r="J141" s="312"/>
      <c r="K141" s="312"/>
      <c r="L141" s="312"/>
      <c r="M141" s="312"/>
      <c r="N141" s="312"/>
      <c r="O141" s="312"/>
      <c r="P141" s="312"/>
      <c r="Q141" s="312"/>
      <c r="R141" s="312"/>
      <c r="S141" s="312"/>
      <c r="T141" s="401"/>
      <c r="U141" s="401"/>
    </row>
    <row r="142" spans="1:21" ht="13" x14ac:dyDescent="0.4">
      <c r="A142" s="312"/>
      <c r="B142" s="312"/>
      <c r="C142" s="312"/>
      <c r="D142" s="312"/>
      <c r="E142" s="312"/>
      <c r="F142" s="312"/>
      <c r="G142" s="312"/>
      <c r="H142" s="312"/>
      <c r="I142" s="312"/>
      <c r="J142" s="312"/>
      <c r="K142" s="312"/>
      <c r="L142" s="312"/>
      <c r="M142" s="312"/>
      <c r="N142" s="312"/>
      <c r="O142" s="312"/>
      <c r="P142" s="312"/>
      <c r="Q142" s="312"/>
      <c r="R142" s="312"/>
      <c r="S142" s="312"/>
      <c r="T142" s="401"/>
      <c r="U142" s="401"/>
    </row>
    <row r="143" spans="1:21" ht="13" x14ac:dyDescent="0.4">
      <c r="A143" s="312"/>
      <c r="B143" s="312"/>
      <c r="C143" s="312"/>
      <c r="D143" s="312"/>
      <c r="E143" s="312"/>
      <c r="F143" s="312"/>
      <c r="G143" s="312"/>
      <c r="H143" s="312"/>
      <c r="I143" s="312"/>
      <c r="J143" s="312"/>
      <c r="K143" s="312"/>
      <c r="L143" s="312"/>
      <c r="M143" s="312"/>
      <c r="N143" s="312"/>
      <c r="O143" s="312"/>
      <c r="P143" s="312"/>
      <c r="Q143" s="312"/>
      <c r="R143" s="312"/>
      <c r="S143" s="312"/>
      <c r="T143" s="401"/>
      <c r="U143" s="401"/>
    </row>
    <row r="144" spans="1:21" ht="13" x14ac:dyDescent="0.4">
      <c r="A144" s="312"/>
      <c r="B144" s="312"/>
      <c r="C144" s="312"/>
      <c r="D144" s="312"/>
      <c r="E144" s="312"/>
      <c r="F144" s="312"/>
      <c r="G144" s="312"/>
      <c r="H144" s="312"/>
      <c r="I144" s="312"/>
      <c r="J144" s="312"/>
      <c r="K144" s="312"/>
      <c r="L144" s="312"/>
      <c r="M144" s="312"/>
      <c r="N144" s="312"/>
      <c r="O144" s="312"/>
      <c r="P144" s="312"/>
      <c r="Q144" s="312"/>
      <c r="R144" s="312"/>
      <c r="S144" s="312"/>
      <c r="T144" s="401"/>
      <c r="U144" s="401"/>
    </row>
    <row r="145" spans="1:21" ht="13" x14ac:dyDescent="0.4">
      <c r="A145" s="312"/>
      <c r="B145" s="312"/>
      <c r="C145" s="312"/>
      <c r="D145" s="312"/>
      <c r="E145" s="312"/>
      <c r="F145" s="312"/>
      <c r="G145" s="312"/>
      <c r="H145" s="312"/>
      <c r="I145" s="312"/>
      <c r="J145" s="312"/>
      <c r="K145" s="312"/>
      <c r="L145" s="312"/>
      <c r="M145" s="312"/>
      <c r="N145" s="312"/>
      <c r="O145" s="312"/>
      <c r="P145" s="312"/>
      <c r="Q145" s="312"/>
      <c r="R145" s="312"/>
      <c r="S145" s="312"/>
      <c r="T145" s="401"/>
      <c r="U145" s="401"/>
    </row>
    <row r="146" spans="1:21" ht="13" x14ac:dyDescent="0.4">
      <c r="A146" s="312"/>
      <c r="B146" s="312"/>
      <c r="C146" s="312"/>
      <c r="D146" s="312"/>
      <c r="E146" s="312"/>
      <c r="F146" s="312"/>
      <c r="G146" s="312"/>
      <c r="H146" s="312"/>
      <c r="I146" s="312"/>
      <c r="J146" s="312"/>
      <c r="K146" s="312"/>
      <c r="L146" s="312"/>
      <c r="M146" s="312"/>
      <c r="N146" s="312"/>
      <c r="O146" s="312"/>
      <c r="P146" s="312"/>
      <c r="Q146" s="312"/>
      <c r="R146" s="312"/>
      <c r="S146" s="312"/>
      <c r="T146" s="401"/>
      <c r="U146" s="401"/>
    </row>
    <row r="147" spans="1:21" ht="13" x14ac:dyDescent="0.4">
      <c r="A147" s="312"/>
      <c r="B147" s="312"/>
      <c r="C147" s="312"/>
      <c r="D147" s="312"/>
      <c r="E147" s="312"/>
      <c r="F147" s="312"/>
      <c r="G147" s="312"/>
      <c r="H147" s="312"/>
      <c r="I147" s="312"/>
      <c r="J147" s="312"/>
      <c r="K147" s="312"/>
      <c r="L147" s="312"/>
      <c r="M147" s="312"/>
      <c r="N147" s="312"/>
      <c r="O147" s="312"/>
      <c r="P147" s="312"/>
      <c r="Q147" s="312"/>
      <c r="R147" s="312"/>
      <c r="S147" s="312"/>
      <c r="T147" s="401"/>
      <c r="U147" s="401"/>
    </row>
    <row r="148" spans="1:21" ht="13" x14ac:dyDescent="0.4">
      <c r="A148" s="312"/>
      <c r="B148" s="312"/>
      <c r="C148" s="312"/>
      <c r="D148" s="312"/>
      <c r="E148" s="312"/>
      <c r="F148" s="312"/>
      <c r="G148" s="312"/>
      <c r="H148" s="312"/>
      <c r="I148" s="312"/>
      <c r="J148" s="312"/>
      <c r="K148" s="312"/>
      <c r="L148" s="312"/>
      <c r="M148" s="312"/>
      <c r="N148" s="312"/>
      <c r="O148" s="312"/>
      <c r="P148" s="312"/>
      <c r="Q148" s="312"/>
      <c r="R148" s="312"/>
      <c r="S148" s="312"/>
      <c r="T148" s="401"/>
      <c r="U148" s="401"/>
    </row>
    <row r="149" spans="1:21" ht="13" x14ac:dyDescent="0.4">
      <c r="A149" s="312"/>
      <c r="B149" s="312"/>
      <c r="C149" s="312"/>
      <c r="D149" s="312"/>
      <c r="E149" s="312"/>
      <c r="F149" s="312"/>
      <c r="G149" s="312"/>
      <c r="H149" s="312"/>
      <c r="I149" s="312"/>
      <c r="J149" s="312"/>
      <c r="K149" s="312"/>
      <c r="L149" s="312"/>
      <c r="M149" s="312"/>
      <c r="N149" s="312"/>
      <c r="O149" s="312"/>
      <c r="P149" s="312"/>
      <c r="Q149" s="312"/>
      <c r="R149" s="312"/>
      <c r="S149" s="312"/>
      <c r="T149" s="401"/>
      <c r="U149" s="401"/>
    </row>
    <row r="150" spans="1:21" ht="13" x14ac:dyDescent="0.4">
      <c r="A150" s="312"/>
      <c r="B150" s="312"/>
      <c r="C150" s="312"/>
      <c r="D150" s="312"/>
      <c r="E150" s="312"/>
      <c r="F150" s="312"/>
      <c r="G150" s="312"/>
      <c r="H150" s="312"/>
      <c r="I150" s="312"/>
      <c r="J150" s="312"/>
      <c r="K150" s="312"/>
      <c r="L150" s="312"/>
      <c r="M150" s="312"/>
      <c r="N150" s="312"/>
      <c r="O150" s="312"/>
      <c r="P150" s="312"/>
      <c r="Q150" s="312"/>
      <c r="R150" s="312"/>
      <c r="S150" s="312"/>
      <c r="T150" s="401"/>
      <c r="U150" s="401"/>
    </row>
    <row r="151" spans="1:21" ht="13" x14ac:dyDescent="0.4">
      <c r="A151" s="312"/>
      <c r="B151" s="312"/>
      <c r="C151" s="312"/>
      <c r="D151" s="312"/>
      <c r="E151" s="312"/>
      <c r="F151" s="312"/>
      <c r="G151" s="312"/>
      <c r="H151" s="312"/>
      <c r="I151" s="312"/>
      <c r="J151" s="312"/>
      <c r="K151" s="312"/>
      <c r="L151" s="312"/>
      <c r="M151" s="312"/>
      <c r="N151" s="312"/>
      <c r="O151" s="312"/>
      <c r="P151" s="312"/>
      <c r="Q151" s="312"/>
      <c r="R151" s="312"/>
      <c r="S151" s="312"/>
      <c r="T151" s="401"/>
      <c r="U151" s="401"/>
    </row>
    <row r="152" spans="1:21" ht="13" x14ac:dyDescent="0.4">
      <c r="A152" s="312"/>
      <c r="B152" s="312"/>
      <c r="C152" s="312"/>
      <c r="D152" s="312"/>
      <c r="E152" s="312"/>
      <c r="F152" s="312"/>
      <c r="G152" s="312"/>
      <c r="H152" s="312"/>
      <c r="I152" s="312"/>
      <c r="J152" s="312"/>
      <c r="K152" s="312"/>
      <c r="L152" s="312"/>
      <c r="M152" s="312"/>
      <c r="N152" s="312"/>
      <c r="O152" s="312"/>
      <c r="P152" s="312"/>
      <c r="Q152" s="312"/>
      <c r="R152" s="312"/>
      <c r="S152" s="312"/>
      <c r="T152" s="401"/>
      <c r="U152" s="401"/>
    </row>
    <row r="153" spans="1:21" ht="13" x14ac:dyDescent="0.4">
      <c r="A153" s="312"/>
      <c r="B153" s="312"/>
      <c r="C153" s="312"/>
      <c r="D153" s="312"/>
      <c r="E153" s="312"/>
      <c r="F153" s="312"/>
      <c r="G153" s="312"/>
      <c r="H153" s="312"/>
      <c r="I153" s="312"/>
      <c r="J153" s="312"/>
      <c r="K153" s="312"/>
      <c r="L153" s="312"/>
      <c r="M153" s="312"/>
      <c r="N153" s="312"/>
      <c r="O153" s="312"/>
      <c r="P153" s="312"/>
      <c r="Q153" s="312"/>
      <c r="R153" s="312"/>
      <c r="S153" s="312"/>
      <c r="T153" s="401"/>
      <c r="U153" s="401"/>
    </row>
    <row r="154" spans="1:21" ht="13" x14ac:dyDescent="0.4">
      <c r="A154" s="312"/>
      <c r="B154" s="312"/>
      <c r="C154" s="312"/>
      <c r="D154" s="312"/>
      <c r="E154" s="312"/>
      <c r="F154" s="312"/>
      <c r="G154" s="312"/>
      <c r="H154" s="312"/>
      <c r="I154" s="312"/>
      <c r="J154" s="312"/>
      <c r="K154" s="312"/>
      <c r="L154" s="312"/>
      <c r="M154" s="312"/>
      <c r="N154" s="312"/>
      <c r="O154" s="312"/>
      <c r="P154" s="312"/>
      <c r="Q154" s="312"/>
      <c r="R154" s="312"/>
      <c r="S154" s="312"/>
      <c r="T154" s="401"/>
      <c r="U154" s="401"/>
    </row>
    <row r="155" spans="1:21" ht="13" x14ac:dyDescent="0.4">
      <c r="A155" s="312"/>
      <c r="B155" s="312"/>
      <c r="C155" s="312"/>
      <c r="D155" s="312"/>
      <c r="E155" s="312"/>
      <c r="F155" s="312"/>
      <c r="G155" s="312"/>
      <c r="H155" s="312"/>
      <c r="I155" s="312"/>
      <c r="J155" s="312"/>
      <c r="K155" s="312"/>
      <c r="L155" s="312"/>
      <c r="M155" s="312"/>
      <c r="N155" s="312"/>
      <c r="O155" s="312"/>
      <c r="P155" s="312"/>
      <c r="Q155" s="312"/>
      <c r="R155" s="312"/>
      <c r="S155" s="312"/>
      <c r="T155" s="401"/>
      <c r="U155" s="401"/>
    </row>
    <row r="156" spans="1:21" ht="13" x14ac:dyDescent="0.4">
      <c r="A156" s="312"/>
      <c r="B156" s="312"/>
      <c r="C156" s="312"/>
      <c r="D156" s="312"/>
      <c r="E156" s="312"/>
      <c r="F156" s="312"/>
      <c r="G156" s="312"/>
      <c r="H156" s="312"/>
      <c r="I156" s="312"/>
      <c r="J156" s="312"/>
      <c r="K156" s="312"/>
      <c r="L156" s="312"/>
      <c r="M156" s="312"/>
      <c r="N156" s="312"/>
      <c r="O156" s="312"/>
      <c r="P156" s="312"/>
      <c r="Q156" s="312"/>
      <c r="R156" s="312"/>
      <c r="S156" s="312"/>
      <c r="T156" s="401"/>
      <c r="U156" s="401"/>
    </row>
    <row r="157" spans="1:21" ht="13" x14ac:dyDescent="0.4">
      <c r="A157" s="312"/>
      <c r="B157" s="312"/>
      <c r="C157" s="312"/>
      <c r="D157" s="312"/>
      <c r="E157" s="312"/>
      <c r="F157" s="312"/>
      <c r="G157" s="312"/>
      <c r="H157" s="312"/>
      <c r="I157" s="312"/>
      <c r="J157" s="312"/>
      <c r="K157" s="312"/>
      <c r="L157" s="312"/>
      <c r="M157" s="312"/>
      <c r="N157" s="312"/>
      <c r="O157" s="312"/>
      <c r="P157" s="312"/>
      <c r="Q157" s="312"/>
      <c r="R157" s="312"/>
      <c r="S157" s="312"/>
      <c r="T157" s="401"/>
      <c r="U157" s="401"/>
    </row>
    <row r="158" spans="1:21" ht="13" x14ac:dyDescent="0.4">
      <c r="A158" s="312"/>
      <c r="B158" s="312"/>
      <c r="C158" s="312"/>
      <c r="D158" s="312"/>
      <c r="E158" s="312"/>
      <c r="F158" s="312"/>
      <c r="G158" s="312"/>
      <c r="H158" s="312"/>
      <c r="I158" s="312"/>
      <c r="J158" s="312"/>
      <c r="K158" s="312"/>
      <c r="L158" s="312"/>
      <c r="M158" s="312"/>
      <c r="N158" s="312"/>
      <c r="O158" s="312"/>
      <c r="P158" s="312"/>
      <c r="Q158" s="312"/>
      <c r="R158" s="312"/>
      <c r="S158" s="312"/>
      <c r="T158" s="401"/>
      <c r="U158" s="401"/>
    </row>
    <row r="159" spans="1:21" ht="13" x14ac:dyDescent="0.4">
      <c r="A159" s="312"/>
      <c r="B159" s="312"/>
      <c r="C159" s="312"/>
      <c r="D159" s="312"/>
      <c r="E159" s="312"/>
      <c r="F159" s="312"/>
      <c r="G159" s="312"/>
      <c r="H159" s="312"/>
      <c r="I159" s="312"/>
      <c r="J159" s="312"/>
      <c r="K159" s="312"/>
      <c r="L159" s="312"/>
      <c r="M159" s="312"/>
      <c r="N159" s="312"/>
      <c r="O159" s="312"/>
      <c r="P159" s="312"/>
      <c r="Q159" s="312"/>
      <c r="R159" s="312"/>
      <c r="S159" s="312"/>
      <c r="T159" s="401"/>
      <c r="U159" s="401"/>
    </row>
    <row r="160" spans="1:21" ht="13" x14ac:dyDescent="0.4">
      <c r="A160" s="312"/>
      <c r="B160" s="312"/>
      <c r="C160" s="312"/>
      <c r="D160" s="312"/>
      <c r="E160" s="312"/>
      <c r="F160" s="312"/>
      <c r="G160" s="312"/>
      <c r="H160" s="312"/>
      <c r="I160" s="312"/>
      <c r="J160" s="312"/>
      <c r="K160" s="312"/>
      <c r="L160" s="312"/>
      <c r="M160" s="312"/>
      <c r="N160" s="312"/>
      <c r="O160" s="312"/>
      <c r="P160" s="312"/>
      <c r="Q160" s="312"/>
      <c r="R160" s="312"/>
      <c r="S160" s="312"/>
      <c r="T160" s="401"/>
      <c r="U160" s="401"/>
    </row>
    <row r="161" spans="1:21" ht="13" x14ac:dyDescent="0.4">
      <c r="A161" s="312"/>
      <c r="B161" s="312"/>
      <c r="C161" s="312"/>
      <c r="D161" s="312"/>
      <c r="E161" s="312"/>
      <c r="F161" s="312"/>
      <c r="G161" s="312"/>
      <c r="H161" s="312"/>
      <c r="I161" s="312"/>
      <c r="J161" s="312"/>
      <c r="K161" s="312"/>
      <c r="L161" s="312"/>
      <c r="M161" s="312"/>
      <c r="N161" s="312"/>
      <c r="O161" s="312"/>
      <c r="P161" s="312"/>
      <c r="Q161" s="312"/>
      <c r="R161" s="312"/>
      <c r="S161" s="312"/>
      <c r="T161" s="401"/>
      <c r="U161" s="401"/>
    </row>
    <row r="162" spans="1:21" ht="13" x14ac:dyDescent="0.4">
      <c r="A162" s="312"/>
      <c r="B162" s="312"/>
      <c r="C162" s="312"/>
      <c r="D162" s="312"/>
      <c r="E162" s="312"/>
      <c r="F162" s="312"/>
      <c r="G162" s="312"/>
      <c r="H162" s="312"/>
      <c r="I162" s="312"/>
      <c r="J162" s="312"/>
      <c r="K162" s="312"/>
      <c r="L162" s="312"/>
      <c r="M162" s="312"/>
      <c r="N162" s="312"/>
      <c r="O162" s="312"/>
      <c r="P162" s="312"/>
      <c r="Q162" s="312"/>
      <c r="R162" s="312"/>
      <c r="S162" s="312"/>
      <c r="T162" s="401"/>
      <c r="U162" s="401"/>
    </row>
    <row r="163" spans="1:21" ht="13" x14ac:dyDescent="0.4">
      <c r="A163" s="312"/>
      <c r="B163" s="312"/>
      <c r="C163" s="312"/>
      <c r="D163" s="312"/>
      <c r="E163" s="312"/>
      <c r="F163" s="312"/>
      <c r="G163" s="312"/>
      <c r="H163" s="312"/>
      <c r="I163" s="312"/>
      <c r="J163" s="312"/>
      <c r="K163" s="312"/>
      <c r="L163" s="312"/>
      <c r="M163" s="312"/>
      <c r="N163" s="312"/>
      <c r="O163" s="312"/>
      <c r="P163" s="312"/>
      <c r="Q163" s="312"/>
      <c r="R163" s="312"/>
      <c r="S163" s="312"/>
      <c r="T163" s="401"/>
      <c r="U163" s="401"/>
    </row>
    <row r="164" spans="1:21" ht="13" x14ac:dyDescent="0.4">
      <c r="A164" s="312"/>
      <c r="B164" s="312"/>
      <c r="C164" s="312"/>
      <c r="D164" s="312"/>
      <c r="E164" s="312"/>
      <c r="F164" s="312"/>
      <c r="G164" s="312"/>
      <c r="H164" s="312"/>
      <c r="I164" s="312"/>
      <c r="J164" s="312"/>
      <c r="K164" s="312"/>
      <c r="L164" s="312"/>
      <c r="M164" s="312"/>
      <c r="N164" s="312"/>
      <c r="O164" s="312"/>
      <c r="P164" s="312"/>
      <c r="Q164" s="312"/>
      <c r="R164" s="312"/>
      <c r="S164" s="312"/>
      <c r="T164" s="401"/>
      <c r="U164" s="401"/>
    </row>
    <row r="165" spans="1:21" ht="13" x14ac:dyDescent="0.4">
      <c r="A165" s="312"/>
      <c r="B165" s="312"/>
      <c r="C165" s="312"/>
      <c r="D165" s="312"/>
      <c r="E165" s="312"/>
      <c r="F165" s="312"/>
      <c r="G165" s="312"/>
      <c r="H165" s="312"/>
      <c r="I165" s="312"/>
      <c r="J165" s="312"/>
      <c r="K165" s="312"/>
      <c r="L165" s="312"/>
      <c r="M165" s="312"/>
      <c r="N165" s="312"/>
      <c r="O165" s="312"/>
      <c r="P165" s="312"/>
      <c r="Q165" s="312"/>
      <c r="R165" s="312"/>
      <c r="S165" s="312"/>
      <c r="T165" s="401"/>
      <c r="U165" s="401"/>
    </row>
    <row r="166" spans="1:21" ht="13" x14ac:dyDescent="0.4">
      <c r="A166" s="312"/>
      <c r="B166" s="312"/>
      <c r="C166" s="312"/>
      <c r="D166" s="312"/>
      <c r="E166" s="312"/>
      <c r="F166" s="312"/>
      <c r="G166" s="312"/>
      <c r="H166" s="312"/>
      <c r="I166" s="312"/>
      <c r="J166" s="312"/>
      <c r="K166" s="312"/>
      <c r="L166" s="312"/>
      <c r="M166" s="312"/>
      <c r="N166" s="312"/>
      <c r="O166" s="312"/>
      <c r="P166" s="312"/>
      <c r="Q166" s="312"/>
      <c r="R166" s="312"/>
      <c r="S166" s="312"/>
      <c r="T166" s="401"/>
      <c r="U166" s="401"/>
    </row>
    <row r="167" spans="1:21" ht="13" x14ac:dyDescent="0.4">
      <c r="A167" s="312"/>
      <c r="B167" s="312"/>
      <c r="C167" s="312"/>
      <c r="D167" s="312"/>
      <c r="E167" s="312"/>
      <c r="F167" s="312"/>
      <c r="G167" s="312"/>
      <c r="H167" s="312"/>
      <c r="I167" s="312"/>
      <c r="J167" s="312"/>
      <c r="K167" s="312"/>
      <c r="L167" s="312"/>
      <c r="M167" s="312"/>
      <c r="N167" s="312"/>
      <c r="O167" s="312"/>
      <c r="P167" s="312"/>
      <c r="Q167" s="312"/>
      <c r="R167" s="312"/>
      <c r="S167" s="312"/>
      <c r="T167" s="401"/>
      <c r="U167" s="401"/>
    </row>
    <row r="168" spans="1:21" ht="13" x14ac:dyDescent="0.4">
      <c r="A168" s="312"/>
      <c r="B168" s="312"/>
      <c r="C168" s="312"/>
      <c r="D168" s="312"/>
      <c r="E168" s="312"/>
      <c r="F168" s="312"/>
      <c r="G168" s="312"/>
      <c r="H168" s="312"/>
      <c r="I168" s="312"/>
      <c r="J168" s="312"/>
      <c r="K168" s="312"/>
      <c r="L168" s="312"/>
      <c r="M168" s="312"/>
      <c r="N168" s="312"/>
      <c r="O168" s="312"/>
      <c r="P168" s="312"/>
      <c r="Q168" s="312"/>
      <c r="R168" s="312"/>
      <c r="S168" s="312"/>
      <c r="T168" s="401"/>
      <c r="U168" s="401"/>
    </row>
    <row r="169" spans="1:21" ht="13" x14ac:dyDescent="0.4">
      <c r="A169" s="312"/>
      <c r="B169" s="312"/>
      <c r="C169" s="312"/>
      <c r="D169" s="312"/>
      <c r="E169" s="312"/>
      <c r="F169" s="312"/>
      <c r="G169" s="312"/>
      <c r="H169" s="312"/>
      <c r="I169" s="312"/>
      <c r="J169" s="312"/>
      <c r="K169" s="312"/>
      <c r="L169" s="312"/>
      <c r="M169" s="312"/>
      <c r="N169" s="312"/>
      <c r="O169" s="312"/>
      <c r="P169" s="312"/>
      <c r="Q169" s="312"/>
      <c r="R169" s="312"/>
      <c r="S169" s="312"/>
      <c r="T169" s="401"/>
      <c r="U169" s="401"/>
    </row>
    <row r="170" spans="1:21" ht="13" x14ac:dyDescent="0.4">
      <c r="A170" s="312"/>
      <c r="B170" s="312"/>
      <c r="C170" s="312"/>
      <c r="D170" s="312"/>
      <c r="E170" s="312"/>
      <c r="F170" s="312"/>
      <c r="G170" s="312"/>
      <c r="H170" s="312"/>
      <c r="I170" s="312"/>
      <c r="J170" s="312"/>
      <c r="K170" s="312"/>
      <c r="L170" s="312"/>
      <c r="M170" s="312"/>
      <c r="N170" s="312"/>
      <c r="O170" s="312"/>
      <c r="P170" s="312"/>
      <c r="Q170" s="312"/>
      <c r="R170" s="312"/>
      <c r="S170" s="312"/>
      <c r="T170" s="401"/>
      <c r="U170" s="401"/>
    </row>
    <row r="171" spans="1:21" ht="13" x14ac:dyDescent="0.4">
      <c r="A171" s="312"/>
      <c r="B171" s="312"/>
      <c r="C171" s="312"/>
      <c r="D171" s="312"/>
      <c r="E171" s="312"/>
      <c r="F171" s="312"/>
      <c r="G171" s="312"/>
      <c r="H171" s="312"/>
      <c r="I171" s="312"/>
      <c r="J171" s="312"/>
      <c r="K171" s="312"/>
      <c r="L171" s="312"/>
      <c r="M171" s="312"/>
      <c r="N171" s="312"/>
      <c r="O171" s="312"/>
      <c r="P171" s="312"/>
      <c r="Q171" s="312"/>
      <c r="R171" s="312"/>
      <c r="S171" s="312"/>
      <c r="T171" s="401"/>
      <c r="U171" s="401"/>
    </row>
    <row r="172" spans="1:21" ht="13" x14ac:dyDescent="0.4">
      <c r="A172" s="312"/>
      <c r="B172" s="312"/>
      <c r="C172" s="312"/>
      <c r="D172" s="312"/>
      <c r="E172" s="312"/>
      <c r="F172" s="312"/>
      <c r="G172" s="312"/>
      <c r="H172" s="312"/>
      <c r="I172" s="312"/>
      <c r="J172" s="312"/>
      <c r="K172" s="312"/>
      <c r="L172" s="312"/>
      <c r="M172" s="312"/>
      <c r="N172" s="312"/>
      <c r="O172" s="312"/>
      <c r="P172" s="312"/>
      <c r="Q172" s="312"/>
      <c r="R172" s="312"/>
      <c r="S172" s="312"/>
      <c r="T172" s="401"/>
      <c r="U172" s="401"/>
    </row>
    <row r="173" spans="1:21" ht="13" x14ac:dyDescent="0.4">
      <c r="A173" s="312"/>
      <c r="B173" s="312"/>
      <c r="C173" s="312"/>
      <c r="D173" s="312"/>
      <c r="E173" s="312"/>
      <c r="F173" s="312"/>
      <c r="G173" s="312"/>
      <c r="H173" s="312"/>
      <c r="I173" s="312"/>
      <c r="J173" s="312"/>
      <c r="K173" s="312"/>
      <c r="L173" s="312"/>
      <c r="M173" s="312"/>
      <c r="N173" s="312"/>
      <c r="O173" s="312"/>
      <c r="P173" s="312"/>
      <c r="Q173" s="312"/>
      <c r="R173" s="312"/>
      <c r="S173" s="312"/>
      <c r="T173" s="401"/>
      <c r="U173" s="401"/>
    </row>
    <row r="174" spans="1:21" ht="13" x14ac:dyDescent="0.4">
      <c r="A174" s="312"/>
      <c r="B174" s="312"/>
      <c r="C174" s="312"/>
      <c r="D174" s="312"/>
      <c r="E174" s="312"/>
      <c r="F174" s="312"/>
      <c r="G174" s="312"/>
      <c r="H174" s="312"/>
      <c r="I174" s="312"/>
      <c r="J174" s="312"/>
      <c r="K174" s="312"/>
      <c r="L174" s="312"/>
      <c r="M174" s="312"/>
      <c r="N174" s="312"/>
      <c r="O174" s="312"/>
      <c r="P174" s="312"/>
      <c r="Q174" s="312"/>
      <c r="R174" s="312"/>
      <c r="S174" s="312"/>
      <c r="T174" s="401"/>
      <c r="U174" s="401"/>
    </row>
    <row r="175" spans="1:21" ht="13" x14ac:dyDescent="0.4">
      <c r="A175" s="312"/>
      <c r="B175" s="312"/>
      <c r="C175" s="312"/>
      <c r="D175" s="312"/>
      <c r="E175" s="312"/>
      <c r="F175" s="312"/>
      <c r="G175" s="312"/>
      <c r="H175" s="312"/>
      <c r="I175" s="312"/>
      <c r="J175" s="312"/>
      <c r="K175" s="312"/>
      <c r="L175" s="312"/>
      <c r="M175" s="312"/>
      <c r="N175" s="312"/>
      <c r="O175" s="312"/>
      <c r="P175" s="312"/>
      <c r="Q175" s="312"/>
      <c r="R175" s="312"/>
      <c r="S175" s="312"/>
      <c r="T175" s="401"/>
      <c r="U175" s="401"/>
    </row>
    <row r="176" spans="1:21" ht="13" x14ac:dyDescent="0.4">
      <c r="A176" s="312"/>
      <c r="B176" s="312"/>
      <c r="C176" s="312"/>
      <c r="D176" s="312"/>
      <c r="E176" s="312"/>
      <c r="F176" s="312"/>
      <c r="G176" s="312"/>
      <c r="H176" s="312"/>
      <c r="I176" s="312"/>
      <c r="J176" s="312"/>
      <c r="K176" s="312"/>
      <c r="L176" s="312"/>
      <c r="M176" s="312"/>
      <c r="N176" s="312"/>
      <c r="O176" s="312"/>
      <c r="P176" s="312"/>
      <c r="Q176" s="312"/>
      <c r="R176" s="312"/>
      <c r="S176" s="312"/>
      <c r="T176" s="401"/>
      <c r="U176" s="401"/>
    </row>
    <row r="177" spans="1:21" ht="13" x14ac:dyDescent="0.4">
      <c r="A177" s="312"/>
      <c r="B177" s="312"/>
      <c r="C177" s="312"/>
      <c r="D177" s="312"/>
      <c r="E177" s="312"/>
      <c r="F177" s="312"/>
      <c r="G177" s="312"/>
      <c r="H177" s="312"/>
      <c r="I177" s="312"/>
      <c r="J177" s="312"/>
      <c r="K177" s="312"/>
      <c r="L177" s="312"/>
      <c r="M177" s="312"/>
      <c r="N177" s="312"/>
      <c r="O177" s="312"/>
      <c r="P177" s="312"/>
      <c r="Q177" s="312"/>
      <c r="R177" s="312"/>
      <c r="S177" s="312"/>
      <c r="T177" s="401"/>
      <c r="U177" s="401"/>
    </row>
    <row r="178" spans="1:21" ht="13" x14ac:dyDescent="0.4">
      <c r="A178" s="312"/>
      <c r="B178" s="312"/>
      <c r="C178" s="312"/>
      <c r="D178" s="312"/>
      <c r="E178" s="312"/>
      <c r="F178" s="312"/>
      <c r="G178" s="312"/>
      <c r="H178" s="312"/>
      <c r="I178" s="312"/>
      <c r="J178" s="312"/>
      <c r="K178" s="312"/>
      <c r="L178" s="312"/>
      <c r="M178" s="312"/>
      <c r="N178" s="312"/>
      <c r="O178" s="312"/>
      <c r="P178" s="312"/>
      <c r="Q178" s="312"/>
      <c r="R178" s="312"/>
      <c r="S178" s="312"/>
      <c r="T178" s="401"/>
      <c r="U178" s="401"/>
    </row>
    <row r="179" spans="1:21" ht="13" x14ac:dyDescent="0.4">
      <c r="A179" s="312"/>
      <c r="B179" s="312"/>
      <c r="C179" s="312"/>
      <c r="D179" s="312"/>
      <c r="E179" s="312"/>
      <c r="F179" s="312"/>
      <c r="G179" s="312"/>
      <c r="H179" s="312"/>
      <c r="I179" s="312"/>
      <c r="J179" s="312"/>
      <c r="K179" s="312"/>
      <c r="L179" s="312"/>
      <c r="M179" s="312"/>
      <c r="N179" s="312"/>
      <c r="O179" s="312"/>
      <c r="P179" s="312"/>
      <c r="Q179" s="312"/>
      <c r="R179" s="312"/>
      <c r="S179" s="312"/>
      <c r="T179" s="401"/>
      <c r="U179" s="401"/>
    </row>
    <row r="180" spans="1:21" ht="13" x14ac:dyDescent="0.4">
      <c r="A180" s="312"/>
      <c r="B180" s="312"/>
      <c r="C180" s="312"/>
      <c r="D180" s="312"/>
      <c r="E180" s="312"/>
      <c r="F180" s="312"/>
      <c r="G180" s="312"/>
      <c r="H180" s="312"/>
      <c r="I180" s="312"/>
      <c r="J180" s="312"/>
      <c r="K180" s="312"/>
      <c r="L180" s="312"/>
      <c r="M180" s="312"/>
      <c r="N180" s="312"/>
      <c r="O180" s="312"/>
      <c r="P180" s="312"/>
      <c r="Q180" s="312"/>
      <c r="R180" s="312"/>
      <c r="S180" s="312"/>
      <c r="T180" s="401"/>
      <c r="U180" s="401"/>
    </row>
    <row r="181" spans="1:21" ht="13" x14ac:dyDescent="0.4">
      <c r="A181" s="312"/>
      <c r="B181" s="312"/>
      <c r="C181" s="312"/>
      <c r="D181" s="312"/>
      <c r="E181" s="312"/>
      <c r="F181" s="312"/>
      <c r="G181" s="312"/>
      <c r="H181" s="312"/>
      <c r="I181" s="312"/>
      <c r="J181" s="312"/>
      <c r="K181" s="312"/>
      <c r="L181" s="312"/>
      <c r="M181" s="312"/>
      <c r="N181" s="312"/>
      <c r="O181" s="312"/>
      <c r="P181" s="312"/>
      <c r="Q181" s="312"/>
      <c r="R181" s="312"/>
      <c r="S181" s="312"/>
      <c r="T181" s="401"/>
      <c r="U181" s="401"/>
    </row>
    <row r="182" spans="1:21" ht="13" x14ac:dyDescent="0.4">
      <c r="A182" s="312"/>
      <c r="B182" s="312"/>
      <c r="C182" s="312"/>
      <c r="D182" s="312"/>
      <c r="E182" s="312"/>
      <c r="F182" s="312"/>
      <c r="G182" s="312"/>
      <c r="H182" s="312"/>
      <c r="I182" s="312"/>
      <c r="J182" s="312"/>
      <c r="K182" s="312"/>
      <c r="L182" s="312"/>
      <c r="M182" s="312"/>
      <c r="N182" s="312"/>
      <c r="O182" s="312"/>
      <c r="P182" s="312"/>
      <c r="Q182" s="312"/>
      <c r="R182" s="312"/>
      <c r="S182" s="312"/>
      <c r="T182" s="401"/>
      <c r="U182" s="401"/>
    </row>
    <row r="183" spans="1:21" ht="13" x14ac:dyDescent="0.4">
      <c r="A183" s="312"/>
      <c r="B183" s="312"/>
      <c r="C183" s="312"/>
      <c r="D183" s="312"/>
      <c r="E183" s="312"/>
      <c r="F183" s="312"/>
      <c r="G183" s="312"/>
      <c r="H183" s="312"/>
      <c r="I183" s="312"/>
      <c r="J183" s="312"/>
      <c r="K183" s="312"/>
      <c r="L183" s="312"/>
      <c r="M183" s="312"/>
      <c r="N183" s="312"/>
      <c r="O183" s="312"/>
      <c r="P183" s="312"/>
      <c r="Q183" s="312"/>
      <c r="R183" s="312"/>
      <c r="S183" s="312"/>
      <c r="T183" s="401"/>
      <c r="U183" s="401"/>
    </row>
    <row r="184" spans="1:21" ht="13" x14ac:dyDescent="0.4">
      <c r="A184" s="312"/>
      <c r="B184" s="312"/>
      <c r="C184" s="312"/>
      <c r="D184" s="312"/>
      <c r="E184" s="312"/>
      <c r="F184" s="312"/>
      <c r="G184" s="312"/>
      <c r="H184" s="312"/>
      <c r="I184" s="312"/>
      <c r="J184" s="312"/>
      <c r="K184" s="312"/>
      <c r="L184" s="312"/>
      <c r="M184" s="312"/>
      <c r="N184" s="312"/>
      <c r="O184" s="312"/>
      <c r="P184" s="312"/>
      <c r="Q184" s="312"/>
      <c r="R184" s="312"/>
      <c r="S184" s="312"/>
      <c r="T184" s="401"/>
      <c r="U184" s="401"/>
    </row>
    <row r="185" spans="1:21" ht="13" x14ac:dyDescent="0.4">
      <c r="A185" s="312"/>
      <c r="B185" s="312"/>
      <c r="C185" s="312"/>
      <c r="D185" s="312"/>
      <c r="E185" s="312"/>
      <c r="F185" s="312"/>
      <c r="G185" s="312"/>
      <c r="H185" s="312"/>
      <c r="I185" s="312"/>
      <c r="J185" s="312"/>
      <c r="K185" s="312"/>
      <c r="L185" s="312"/>
      <c r="M185" s="312"/>
      <c r="N185" s="312"/>
      <c r="O185" s="312"/>
      <c r="P185" s="312"/>
      <c r="Q185" s="312"/>
      <c r="R185" s="312"/>
      <c r="S185" s="312"/>
      <c r="T185" s="401"/>
      <c r="U185" s="401"/>
    </row>
    <row r="186" spans="1:21" ht="13" x14ac:dyDescent="0.4">
      <c r="A186" s="312"/>
      <c r="B186" s="312"/>
      <c r="C186" s="312"/>
      <c r="D186" s="312"/>
      <c r="E186" s="312"/>
      <c r="F186" s="312"/>
      <c r="G186" s="312"/>
      <c r="H186" s="312"/>
      <c r="I186" s="312"/>
      <c r="J186" s="312"/>
      <c r="K186" s="312"/>
      <c r="L186" s="312"/>
      <c r="M186" s="312"/>
      <c r="N186" s="312"/>
      <c r="O186" s="312"/>
      <c r="P186" s="312"/>
      <c r="Q186" s="312"/>
      <c r="R186" s="312"/>
      <c r="S186" s="312"/>
      <c r="T186" s="401"/>
      <c r="U186" s="401"/>
    </row>
    <row r="187" spans="1:21" ht="13" x14ac:dyDescent="0.4">
      <c r="A187" s="312"/>
      <c r="B187" s="312"/>
      <c r="C187" s="312"/>
      <c r="D187" s="312"/>
      <c r="E187" s="312"/>
      <c r="F187" s="312"/>
      <c r="G187" s="312"/>
      <c r="H187" s="312"/>
      <c r="I187" s="312"/>
      <c r="J187" s="312"/>
      <c r="K187" s="312"/>
      <c r="L187" s="312"/>
      <c r="M187" s="312"/>
      <c r="N187" s="312"/>
      <c r="O187" s="312"/>
      <c r="P187" s="312"/>
      <c r="Q187" s="312"/>
      <c r="R187" s="312"/>
      <c r="S187" s="312"/>
      <c r="T187" s="401"/>
      <c r="U187" s="401"/>
    </row>
    <row r="188" spans="1:21" ht="13" x14ac:dyDescent="0.4">
      <c r="A188" s="312"/>
      <c r="B188" s="312"/>
      <c r="C188" s="312"/>
      <c r="D188" s="312"/>
      <c r="E188" s="312"/>
      <c r="F188" s="312"/>
      <c r="G188" s="312"/>
      <c r="H188" s="312"/>
      <c r="I188" s="312"/>
      <c r="J188" s="312"/>
      <c r="K188" s="312"/>
      <c r="L188" s="312"/>
      <c r="M188" s="312"/>
      <c r="N188" s="312"/>
      <c r="O188" s="312"/>
      <c r="P188" s="312"/>
      <c r="Q188" s="312"/>
      <c r="R188" s="312"/>
      <c r="S188" s="312"/>
      <c r="T188" s="401"/>
      <c r="U188" s="401"/>
    </row>
    <row r="189" spans="1:21" ht="13" x14ac:dyDescent="0.4">
      <c r="A189" s="312"/>
      <c r="B189" s="312"/>
      <c r="C189" s="312"/>
      <c r="D189" s="312"/>
      <c r="E189" s="312"/>
      <c r="F189" s="312"/>
      <c r="G189" s="312"/>
      <c r="H189" s="312"/>
      <c r="I189" s="312"/>
      <c r="J189" s="312"/>
      <c r="K189" s="312"/>
      <c r="L189" s="312"/>
      <c r="M189" s="312"/>
      <c r="N189" s="312"/>
      <c r="O189" s="312"/>
      <c r="P189" s="312"/>
      <c r="Q189" s="312"/>
      <c r="R189" s="312"/>
      <c r="S189" s="312"/>
      <c r="T189" s="401"/>
      <c r="U189" s="401"/>
    </row>
    <row r="190" spans="1:21" ht="13" x14ac:dyDescent="0.4">
      <c r="A190" s="312"/>
      <c r="B190" s="312"/>
      <c r="C190" s="312"/>
      <c r="D190" s="312"/>
      <c r="E190" s="312"/>
      <c r="F190" s="312"/>
      <c r="G190" s="312"/>
      <c r="H190" s="312"/>
      <c r="I190" s="312"/>
      <c r="J190" s="312"/>
      <c r="K190" s="312"/>
      <c r="L190" s="312"/>
      <c r="M190" s="312"/>
      <c r="N190" s="312"/>
      <c r="O190" s="312"/>
      <c r="P190" s="312"/>
      <c r="Q190" s="312"/>
      <c r="R190" s="312"/>
      <c r="S190" s="312"/>
      <c r="T190" s="401"/>
      <c r="U190" s="401"/>
    </row>
    <row r="191" spans="1:21" ht="13" x14ac:dyDescent="0.4">
      <c r="A191" s="312"/>
      <c r="B191" s="312"/>
      <c r="C191" s="312"/>
      <c r="D191" s="312"/>
      <c r="E191" s="312"/>
      <c r="F191" s="312"/>
      <c r="G191" s="312"/>
      <c r="H191" s="312"/>
      <c r="I191" s="312"/>
      <c r="J191" s="312"/>
      <c r="K191" s="312"/>
      <c r="L191" s="312"/>
      <c r="M191" s="312"/>
      <c r="N191" s="312"/>
      <c r="O191" s="312"/>
      <c r="P191" s="312"/>
      <c r="Q191" s="312"/>
      <c r="R191" s="312"/>
      <c r="S191" s="312"/>
      <c r="T191" s="401"/>
      <c r="U191" s="401"/>
    </row>
    <row r="192" spans="1:21" ht="13" x14ac:dyDescent="0.4">
      <c r="A192" s="312"/>
      <c r="B192" s="312"/>
      <c r="C192" s="312"/>
      <c r="D192" s="312"/>
      <c r="E192" s="312"/>
      <c r="F192" s="312"/>
      <c r="G192" s="312"/>
      <c r="H192" s="312"/>
      <c r="I192" s="312"/>
      <c r="J192" s="312"/>
      <c r="K192" s="312"/>
      <c r="L192" s="312"/>
      <c r="M192" s="312"/>
      <c r="N192" s="312"/>
      <c r="O192" s="312"/>
      <c r="P192" s="312"/>
      <c r="Q192" s="312"/>
      <c r="R192" s="312"/>
      <c r="S192" s="312"/>
      <c r="T192" s="401"/>
      <c r="U192" s="401"/>
    </row>
    <row r="193" spans="1:21" ht="13" x14ac:dyDescent="0.4">
      <c r="A193" s="312"/>
      <c r="B193" s="312"/>
      <c r="C193" s="312"/>
      <c r="D193" s="312"/>
      <c r="E193" s="312"/>
      <c r="F193" s="312"/>
      <c r="G193" s="312"/>
      <c r="H193" s="312"/>
      <c r="I193" s="312"/>
      <c r="J193" s="312"/>
      <c r="K193" s="312"/>
      <c r="L193" s="312"/>
      <c r="M193" s="312"/>
      <c r="N193" s="312"/>
      <c r="O193" s="312"/>
      <c r="P193" s="312"/>
      <c r="Q193" s="312"/>
      <c r="R193" s="312"/>
      <c r="S193" s="312"/>
      <c r="T193" s="401"/>
      <c r="U193" s="401"/>
    </row>
    <row r="194" spans="1:21" ht="13" x14ac:dyDescent="0.4">
      <c r="A194" s="312"/>
      <c r="B194" s="312"/>
      <c r="C194" s="312"/>
      <c r="D194" s="312"/>
      <c r="E194" s="312"/>
      <c r="F194" s="312"/>
      <c r="G194" s="312"/>
      <c r="H194" s="312"/>
      <c r="I194" s="312"/>
      <c r="J194" s="312"/>
      <c r="K194" s="312"/>
      <c r="L194" s="312"/>
      <c r="M194" s="312"/>
      <c r="N194" s="312"/>
      <c r="O194" s="312"/>
      <c r="P194" s="312"/>
      <c r="Q194" s="312"/>
      <c r="R194" s="312"/>
      <c r="S194" s="312"/>
      <c r="T194" s="401"/>
      <c r="U194" s="401"/>
    </row>
    <row r="195" spans="1:21" ht="13" x14ac:dyDescent="0.4">
      <c r="A195" s="312"/>
      <c r="B195" s="312"/>
      <c r="C195" s="312"/>
      <c r="D195" s="312"/>
      <c r="E195" s="312"/>
      <c r="F195" s="312"/>
      <c r="G195" s="312"/>
      <c r="H195" s="312"/>
      <c r="I195" s="312"/>
      <c r="J195" s="312"/>
      <c r="K195" s="312"/>
      <c r="L195" s="312"/>
      <c r="M195" s="312"/>
      <c r="N195" s="312"/>
      <c r="O195" s="312"/>
      <c r="P195" s="312"/>
      <c r="Q195" s="312"/>
      <c r="R195" s="312"/>
      <c r="S195" s="312"/>
      <c r="T195" s="401"/>
      <c r="U195" s="401"/>
    </row>
    <row r="196" spans="1:21" ht="13" x14ac:dyDescent="0.4">
      <c r="A196" s="312"/>
      <c r="B196" s="312"/>
      <c r="C196" s="312"/>
      <c r="D196" s="312"/>
      <c r="E196" s="312"/>
      <c r="F196" s="312"/>
      <c r="G196" s="312"/>
      <c r="H196" s="312"/>
      <c r="I196" s="312"/>
      <c r="J196" s="312"/>
      <c r="K196" s="312"/>
      <c r="L196" s="312"/>
      <c r="M196" s="312"/>
      <c r="N196" s="312"/>
      <c r="O196" s="312"/>
      <c r="P196" s="312"/>
      <c r="Q196" s="312"/>
      <c r="R196" s="312"/>
      <c r="S196" s="312"/>
      <c r="T196" s="401"/>
      <c r="U196" s="401"/>
    </row>
    <row r="197" spans="1:21" ht="13" x14ac:dyDescent="0.4">
      <c r="A197" s="312"/>
      <c r="B197" s="312"/>
      <c r="C197" s="312"/>
      <c r="D197" s="312"/>
      <c r="E197" s="312"/>
      <c r="F197" s="312"/>
      <c r="G197" s="312"/>
      <c r="H197" s="312"/>
      <c r="I197" s="312"/>
      <c r="J197" s="312"/>
      <c r="K197" s="312"/>
      <c r="L197" s="312"/>
      <c r="M197" s="312"/>
      <c r="N197" s="312"/>
      <c r="O197" s="312"/>
      <c r="P197" s="312"/>
      <c r="Q197" s="312"/>
      <c r="R197" s="312"/>
      <c r="S197" s="312"/>
      <c r="T197" s="401"/>
      <c r="U197" s="401"/>
    </row>
    <row r="198" spans="1:21" ht="13" x14ac:dyDescent="0.4">
      <c r="A198" s="312"/>
      <c r="B198" s="312"/>
      <c r="C198" s="312"/>
      <c r="D198" s="312"/>
      <c r="E198" s="312"/>
      <c r="F198" s="312"/>
      <c r="G198" s="312"/>
      <c r="H198" s="312"/>
      <c r="I198" s="312"/>
      <c r="J198" s="312"/>
      <c r="K198" s="312"/>
      <c r="L198" s="312"/>
      <c r="M198" s="312"/>
      <c r="N198" s="312"/>
      <c r="O198" s="312"/>
      <c r="P198" s="312"/>
      <c r="Q198" s="312"/>
      <c r="R198" s="312"/>
      <c r="S198" s="312"/>
      <c r="T198" s="401"/>
      <c r="U198" s="401"/>
    </row>
    <row r="199" spans="1:21" ht="13" x14ac:dyDescent="0.4">
      <c r="A199" s="312"/>
      <c r="B199" s="312"/>
      <c r="C199" s="312"/>
      <c r="D199" s="312"/>
      <c r="E199" s="312"/>
      <c r="F199" s="312"/>
      <c r="G199" s="312"/>
      <c r="H199" s="312"/>
      <c r="I199" s="312"/>
      <c r="J199" s="312"/>
      <c r="K199" s="312"/>
      <c r="L199" s="312"/>
      <c r="M199" s="312"/>
      <c r="N199" s="312"/>
      <c r="O199" s="312"/>
      <c r="P199" s="312"/>
      <c r="Q199" s="312"/>
      <c r="R199" s="312"/>
      <c r="S199" s="312"/>
      <c r="T199" s="401"/>
      <c r="U199" s="401"/>
    </row>
    <row r="200" spans="1:21" ht="13" x14ac:dyDescent="0.4">
      <c r="A200" s="312"/>
      <c r="B200" s="312"/>
      <c r="C200" s="312"/>
      <c r="D200" s="312"/>
      <c r="E200" s="312"/>
      <c r="F200" s="312"/>
      <c r="G200" s="312"/>
      <c r="H200" s="312"/>
      <c r="I200" s="312"/>
      <c r="J200" s="312"/>
      <c r="K200" s="312"/>
      <c r="L200" s="312"/>
      <c r="M200" s="312"/>
      <c r="N200" s="312"/>
      <c r="O200" s="312"/>
      <c r="P200" s="312"/>
      <c r="Q200" s="312"/>
      <c r="R200" s="312"/>
      <c r="S200" s="312"/>
      <c r="T200" s="401"/>
      <c r="U200" s="401"/>
    </row>
    <row r="201" spans="1:21" ht="13" x14ac:dyDescent="0.4">
      <c r="A201" s="312"/>
      <c r="B201" s="312"/>
      <c r="C201" s="312"/>
      <c r="D201" s="312"/>
      <c r="E201" s="312"/>
      <c r="F201" s="312"/>
      <c r="G201" s="312"/>
      <c r="H201" s="312"/>
      <c r="I201" s="312"/>
      <c r="J201" s="312"/>
      <c r="K201" s="312"/>
      <c r="L201" s="312"/>
      <c r="M201" s="312"/>
      <c r="N201" s="312"/>
      <c r="O201" s="312"/>
      <c r="P201" s="312"/>
      <c r="Q201" s="312"/>
      <c r="R201" s="312"/>
      <c r="S201" s="312"/>
      <c r="T201" s="401"/>
      <c r="U201" s="401"/>
    </row>
    <row r="202" spans="1:21" ht="13" x14ac:dyDescent="0.4">
      <c r="A202" s="312"/>
      <c r="B202" s="312"/>
      <c r="C202" s="312"/>
      <c r="D202" s="312"/>
      <c r="E202" s="312"/>
      <c r="F202" s="312"/>
      <c r="G202" s="312"/>
      <c r="H202" s="312"/>
      <c r="I202" s="312"/>
      <c r="J202" s="312"/>
      <c r="K202" s="312"/>
      <c r="L202" s="312"/>
      <c r="M202" s="312"/>
      <c r="N202" s="312"/>
      <c r="O202" s="312"/>
      <c r="P202" s="312"/>
      <c r="Q202" s="312"/>
      <c r="R202" s="312"/>
      <c r="S202" s="312"/>
      <c r="T202" s="401"/>
      <c r="U202" s="401"/>
    </row>
    <row r="203" spans="1:21" ht="13" x14ac:dyDescent="0.4">
      <c r="A203" s="312"/>
      <c r="B203" s="312"/>
      <c r="C203" s="312"/>
      <c r="D203" s="312"/>
      <c r="E203" s="312"/>
      <c r="F203" s="312"/>
      <c r="G203" s="312"/>
      <c r="H203" s="312"/>
      <c r="I203" s="312"/>
      <c r="J203" s="312"/>
      <c r="K203" s="312"/>
      <c r="L203" s="312"/>
      <c r="M203" s="312"/>
      <c r="N203" s="312"/>
      <c r="O203" s="312"/>
      <c r="P203" s="312"/>
      <c r="Q203" s="312"/>
      <c r="R203" s="312"/>
      <c r="S203" s="312"/>
      <c r="T203" s="401"/>
      <c r="U203" s="401"/>
    </row>
    <row r="204" spans="1:21" ht="13" x14ac:dyDescent="0.4">
      <c r="A204" s="312"/>
      <c r="B204" s="312"/>
      <c r="C204" s="312"/>
      <c r="D204" s="312"/>
      <c r="E204" s="312"/>
      <c r="F204" s="312"/>
      <c r="G204" s="312"/>
      <c r="H204" s="312"/>
      <c r="I204" s="312"/>
      <c r="J204" s="312"/>
      <c r="K204" s="312"/>
      <c r="L204" s="312"/>
      <c r="M204" s="312"/>
      <c r="N204" s="312"/>
      <c r="O204" s="312"/>
      <c r="P204" s="312"/>
      <c r="Q204" s="312"/>
      <c r="R204" s="312"/>
      <c r="S204" s="312"/>
      <c r="T204" s="401"/>
      <c r="U204" s="401"/>
    </row>
    <row r="205" spans="1:21" ht="13" x14ac:dyDescent="0.4">
      <c r="A205" s="312"/>
      <c r="B205" s="312"/>
      <c r="C205" s="312"/>
      <c r="D205" s="312"/>
      <c r="E205" s="312"/>
      <c r="F205" s="312"/>
      <c r="G205" s="312"/>
      <c r="H205" s="312"/>
      <c r="I205" s="312"/>
      <c r="J205" s="312"/>
      <c r="K205" s="312"/>
      <c r="L205" s="312"/>
      <c r="M205" s="312"/>
      <c r="N205" s="312"/>
      <c r="O205" s="312"/>
      <c r="P205" s="312"/>
      <c r="Q205" s="312"/>
      <c r="R205" s="312"/>
      <c r="S205" s="312"/>
      <c r="T205" s="401"/>
      <c r="U205" s="401"/>
    </row>
    <row r="206" spans="1:21" ht="13" x14ac:dyDescent="0.4">
      <c r="A206" s="312"/>
      <c r="B206" s="312"/>
      <c r="C206" s="312"/>
      <c r="D206" s="312"/>
      <c r="E206" s="312"/>
      <c r="F206" s="312"/>
      <c r="G206" s="312"/>
      <c r="H206" s="312"/>
      <c r="I206" s="312"/>
      <c r="J206" s="312"/>
      <c r="K206" s="312"/>
      <c r="L206" s="312"/>
      <c r="M206" s="312"/>
      <c r="N206" s="312"/>
      <c r="O206" s="312"/>
      <c r="P206" s="312"/>
      <c r="Q206" s="312"/>
      <c r="R206" s="312"/>
      <c r="S206" s="312"/>
      <c r="T206" s="401"/>
      <c r="U206" s="401"/>
    </row>
    <row r="207" spans="1:21" ht="13" x14ac:dyDescent="0.4">
      <c r="A207" s="312"/>
      <c r="B207" s="312"/>
      <c r="C207" s="312"/>
      <c r="D207" s="312"/>
      <c r="E207" s="312"/>
      <c r="F207" s="312"/>
      <c r="G207" s="312"/>
      <c r="H207" s="312"/>
      <c r="I207" s="312"/>
      <c r="J207" s="312"/>
      <c r="K207" s="312"/>
      <c r="L207" s="312"/>
      <c r="M207" s="312"/>
      <c r="N207" s="312"/>
      <c r="O207" s="312"/>
      <c r="P207" s="312"/>
      <c r="Q207" s="312"/>
      <c r="R207" s="312"/>
      <c r="S207" s="312"/>
      <c r="T207" s="401"/>
      <c r="U207" s="401"/>
    </row>
    <row r="208" spans="1:21" ht="13" x14ac:dyDescent="0.4">
      <c r="A208" s="312"/>
      <c r="B208" s="312"/>
      <c r="C208" s="312"/>
      <c r="D208" s="312"/>
      <c r="E208" s="312"/>
      <c r="F208" s="312"/>
      <c r="G208" s="312"/>
      <c r="H208" s="312"/>
      <c r="I208" s="312"/>
      <c r="J208" s="312"/>
      <c r="K208" s="312"/>
      <c r="L208" s="312"/>
      <c r="M208" s="312"/>
      <c r="N208" s="312"/>
      <c r="O208" s="312"/>
      <c r="P208" s="312"/>
      <c r="Q208" s="312"/>
      <c r="R208" s="312"/>
      <c r="S208" s="312"/>
      <c r="T208" s="401"/>
      <c r="U208" s="401"/>
    </row>
    <row r="209" spans="1:21" ht="13" x14ac:dyDescent="0.4">
      <c r="A209" s="312"/>
      <c r="B209" s="312"/>
      <c r="C209" s="312"/>
      <c r="D209" s="312"/>
      <c r="E209" s="312"/>
      <c r="F209" s="312"/>
      <c r="G209" s="312"/>
      <c r="H209" s="312"/>
      <c r="I209" s="312"/>
      <c r="J209" s="312"/>
      <c r="K209" s="312"/>
      <c r="L209" s="312"/>
      <c r="M209" s="312"/>
      <c r="N209" s="312"/>
      <c r="O209" s="312"/>
      <c r="P209" s="312"/>
      <c r="Q209" s="312"/>
      <c r="R209" s="312"/>
      <c r="S209" s="312"/>
      <c r="T209" s="401"/>
      <c r="U209" s="401"/>
    </row>
    <row r="210" spans="1:21" ht="13" x14ac:dyDescent="0.4">
      <c r="A210" s="312"/>
      <c r="B210" s="312"/>
      <c r="C210" s="312"/>
      <c r="D210" s="312"/>
      <c r="E210" s="312"/>
      <c r="F210" s="312"/>
      <c r="G210" s="312"/>
      <c r="H210" s="312"/>
      <c r="I210" s="312"/>
      <c r="J210" s="312"/>
      <c r="K210" s="312"/>
      <c r="L210" s="312"/>
      <c r="M210" s="312"/>
      <c r="N210" s="312"/>
      <c r="O210" s="312"/>
      <c r="P210" s="312"/>
      <c r="Q210" s="312"/>
      <c r="R210" s="312"/>
      <c r="S210" s="312"/>
      <c r="T210" s="401"/>
      <c r="U210" s="401"/>
    </row>
    <row r="211" spans="1:21" ht="13" x14ac:dyDescent="0.4">
      <c r="A211" s="312"/>
      <c r="B211" s="312"/>
      <c r="C211" s="312"/>
      <c r="D211" s="312"/>
      <c r="E211" s="312"/>
      <c r="F211" s="312"/>
      <c r="G211" s="312"/>
      <c r="H211" s="312"/>
      <c r="I211" s="312"/>
      <c r="J211" s="312"/>
      <c r="K211" s="312"/>
      <c r="L211" s="312"/>
      <c r="M211" s="312"/>
      <c r="N211" s="312"/>
      <c r="O211" s="312"/>
      <c r="P211" s="312"/>
      <c r="Q211" s="312"/>
      <c r="R211" s="312"/>
      <c r="S211" s="312"/>
      <c r="T211" s="401"/>
      <c r="U211" s="401"/>
    </row>
    <row r="212" spans="1:21" ht="13" x14ac:dyDescent="0.4">
      <c r="A212" s="312"/>
      <c r="B212" s="312"/>
      <c r="C212" s="312"/>
      <c r="D212" s="312"/>
      <c r="E212" s="312"/>
      <c r="F212" s="312"/>
      <c r="G212" s="312"/>
      <c r="H212" s="312"/>
      <c r="I212" s="312"/>
      <c r="J212" s="312"/>
      <c r="K212" s="312"/>
      <c r="L212" s="312"/>
      <c r="M212" s="312"/>
      <c r="N212" s="312"/>
      <c r="O212" s="312"/>
      <c r="P212" s="312"/>
      <c r="Q212" s="312"/>
      <c r="R212" s="312"/>
      <c r="S212" s="312"/>
      <c r="T212" s="401"/>
      <c r="U212" s="401"/>
    </row>
    <row r="213" spans="1:21" ht="13" x14ac:dyDescent="0.4">
      <c r="A213" s="312"/>
      <c r="B213" s="312"/>
      <c r="C213" s="312"/>
      <c r="D213" s="312"/>
      <c r="E213" s="312"/>
      <c r="F213" s="312"/>
      <c r="G213" s="312"/>
      <c r="H213" s="312"/>
      <c r="I213" s="312"/>
      <c r="J213" s="312"/>
      <c r="K213" s="312"/>
      <c r="L213" s="312"/>
      <c r="M213" s="312"/>
      <c r="N213" s="312"/>
      <c r="O213" s="312"/>
      <c r="P213" s="312"/>
      <c r="Q213" s="312"/>
      <c r="R213" s="312"/>
      <c r="S213" s="312"/>
      <c r="T213" s="401"/>
      <c r="U213" s="401"/>
    </row>
    <row r="214" spans="1:21" ht="13" x14ac:dyDescent="0.4">
      <c r="A214" s="312"/>
      <c r="B214" s="312"/>
      <c r="C214" s="312"/>
      <c r="D214" s="312"/>
      <c r="E214" s="312"/>
      <c r="F214" s="312"/>
      <c r="G214" s="312"/>
      <c r="H214" s="312"/>
      <c r="I214" s="312"/>
      <c r="J214" s="312"/>
      <c r="K214" s="312"/>
      <c r="L214" s="312"/>
      <c r="M214" s="312"/>
      <c r="N214" s="312"/>
      <c r="O214" s="312"/>
      <c r="P214" s="312"/>
      <c r="Q214" s="312"/>
      <c r="R214" s="312"/>
      <c r="S214" s="312"/>
      <c r="T214" s="401"/>
      <c r="U214" s="401"/>
    </row>
    <row r="215" spans="1:21" ht="13" x14ac:dyDescent="0.4">
      <c r="A215" s="312"/>
      <c r="B215" s="312"/>
      <c r="C215" s="312"/>
      <c r="D215" s="312"/>
      <c r="E215" s="312"/>
      <c r="F215" s="312"/>
      <c r="G215" s="312"/>
      <c r="H215" s="312"/>
      <c r="I215" s="312"/>
      <c r="J215" s="312"/>
      <c r="K215" s="312"/>
      <c r="L215" s="312"/>
      <c r="M215" s="312"/>
      <c r="N215" s="312"/>
      <c r="O215" s="312"/>
      <c r="P215" s="312"/>
      <c r="Q215" s="312"/>
      <c r="R215" s="312"/>
      <c r="S215" s="312"/>
      <c r="T215" s="401"/>
      <c r="U215" s="401"/>
    </row>
    <row r="216" spans="1:21" ht="13" x14ac:dyDescent="0.4">
      <c r="A216" s="312"/>
      <c r="B216" s="312"/>
      <c r="C216" s="312"/>
      <c r="D216" s="312"/>
      <c r="E216" s="312"/>
      <c r="F216" s="312"/>
      <c r="G216" s="312"/>
      <c r="H216" s="312"/>
      <c r="I216" s="312"/>
      <c r="J216" s="312"/>
      <c r="K216" s="312"/>
      <c r="L216" s="312"/>
      <c r="M216" s="312"/>
      <c r="N216" s="312"/>
      <c r="O216" s="312"/>
      <c r="P216" s="312"/>
      <c r="Q216" s="312"/>
      <c r="R216" s="312"/>
      <c r="S216" s="312"/>
      <c r="T216" s="401"/>
      <c r="U216" s="401"/>
    </row>
    <row r="217" spans="1:21" ht="13" x14ac:dyDescent="0.4">
      <c r="A217" s="312"/>
      <c r="B217" s="312"/>
      <c r="C217" s="312"/>
      <c r="D217" s="312"/>
      <c r="E217" s="312"/>
      <c r="F217" s="312"/>
      <c r="G217" s="312"/>
      <c r="H217" s="312"/>
      <c r="I217" s="312"/>
      <c r="J217" s="312"/>
      <c r="K217" s="312"/>
      <c r="L217" s="312"/>
      <c r="M217" s="312"/>
      <c r="N217" s="312"/>
      <c r="O217" s="312"/>
      <c r="P217" s="312"/>
      <c r="Q217" s="312"/>
      <c r="R217" s="312"/>
      <c r="S217" s="312"/>
      <c r="T217" s="401"/>
      <c r="U217" s="401"/>
    </row>
    <row r="218" spans="1:21" ht="13" x14ac:dyDescent="0.4">
      <c r="A218" s="312"/>
      <c r="B218" s="312"/>
      <c r="C218" s="312"/>
      <c r="D218" s="312"/>
      <c r="E218" s="312"/>
      <c r="F218" s="312"/>
      <c r="G218" s="312"/>
      <c r="H218" s="312"/>
      <c r="I218" s="312"/>
      <c r="J218" s="312"/>
      <c r="K218" s="312"/>
      <c r="L218" s="312"/>
      <c r="M218" s="312"/>
      <c r="N218" s="312"/>
      <c r="O218" s="312"/>
      <c r="P218" s="312"/>
      <c r="Q218" s="312"/>
      <c r="R218" s="312"/>
      <c r="S218" s="312"/>
      <c r="T218" s="401"/>
      <c r="U218" s="401"/>
    </row>
    <row r="219" spans="1:21" ht="13" x14ac:dyDescent="0.4">
      <c r="A219" s="312"/>
      <c r="B219" s="312"/>
      <c r="C219" s="312"/>
      <c r="D219" s="312"/>
      <c r="E219" s="312"/>
      <c r="F219" s="312"/>
      <c r="G219" s="312"/>
      <c r="H219" s="312"/>
      <c r="I219" s="312"/>
      <c r="J219" s="312"/>
      <c r="K219" s="312"/>
      <c r="L219" s="312"/>
      <c r="M219" s="312"/>
      <c r="N219" s="312"/>
      <c r="O219" s="312"/>
      <c r="P219" s="312"/>
      <c r="Q219" s="312"/>
      <c r="R219" s="312"/>
      <c r="S219" s="312"/>
      <c r="T219" s="401"/>
      <c r="U219" s="401"/>
    </row>
    <row r="220" spans="1:21" ht="13" x14ac:dyDescent="0.4">
      <c r="A220" s="312"/>
      <c r="B220" s="312"/>
      <c r="C220" s="312"/>
      <c r="D220" s="312"/>
      <c r="E220" s="312"/>
      <c r="F220" s="312"/>
      <c r="G220" s="312"/>
      <c r="H220" s="312"/>
      <c r="I220" s="312"/>
      <c r="J220" s="312"/>
      <c r="K220" s="312"/>
      <c r="L220" s="312"/>
      <c r="M220" s="312"/>
      <c r="N220" s="312"/>
      <c r="O220" s="312"/>
      <c r="P220" s="312"/>
      <c r="Q220" s="312"/>
      <c r="R220" s="312"/>
      <c r="S220" s="312"/>
      <c r="T220" s="401"/>
      <c r="U220" s="401"/>
    </row>
    <row r="221" spans="1:21" ht="13" x14ac:dyDescent="0.4">
      <c r="A221" s="312"/>
      <c r="B221" s="312"/>
      <c r="C221" s="312"/>
      <c r="D221" s="312"/>
      <c r="E221" s="312"/>
      <c r="F221" s="312"/>
      <c r="G221" s="312"/>
      <c r="H221" s="312"/>
      <c r="I221" s="312"/>
      <c r="J221" s="312"/>
      <c r="K221" s="312"/>
      <c r="L221" s="312"/>
      <c r="M221" s="312"/>
      <c r="N221" s="312"/>
      <c r="O221" s="312"/>
      <c r="P221" s="312"/>
      <c r="Q221" s="312"/>
      <c r="R221" s="312"/>
      <c r="S221" s="312"/>
      <c r="T221" s="401"/>
      <c r="U221" s="401"/>
    </row>
    <row r="222" spans="1:21" ht="13" x14ac:dyDescent="0.4">
      <c r="A222" s="312"/>
      <c r="B222" s="312"/>
      <c r="C222" s="312"/>
      <c r="D222" s="312"/>
      <c r="E222" s="312"/>
      <c r="F222" s="312"/>
      <c r="G222" s="312"/>
      <c r="H222" s="312"/>
      <c r="I222" s="312"/>
      <c r="J222" s="312"/>
      <c r="K222" s="312"/>
      <c r="L222" s="312"/>
      <c r="M222" s="312"/>
      <c r="N222" s="312"/>
      <c r="O222" s="312"/>
      <c r="P222" s="312"/>
      <c r="Q222" s="312"/>
      <c r="R222" s="312"/>
      <c r="S222" s="312"/>
      <c r="T222" s="401"/>
      <c r="U222" s="401"/>
    </row>
    <row r="223" spans="1:21" ht="13" x14ac:dyDescent="0.4">
      <c r="A223" s="312"/>
      <c r="B223" s="312"/>
      <c r="C223" s="312"/>
      <c r="D223" s="312"/>
      <c r="E223" s="312"/>
      <c r="F223" s="312"/>
      <c r="G223" s="312"/>
      <c r="H223" s="312"/>
      <c r="I223" s="312"/>
      <c r="J223" s="312"/>
      <c r="K223" s="312"/>
      <c r="L223" s="312"/>
      <c r="M223" s="312"/>
      <c r="N223" s="312"/>
      <c r="O223" s="312"/>
      <c r="P223" s="312"/>
      <c r="Q223" s="312"/>
      <c r="R223" s="312"/>
      <c r="S223" s="312"/>
      <c r="T223" s="401"/>
      <c r="U223" s="401"/>
    </row>
    <row r="224" spans="1:21" ht="13" x14ac:dyDescent="0.4">
      <c r="A224" s="312"/>
      <c r="B224" s="312"/>
      <c r="C224" s="312"/>
      <c r="D224" s="312"/>
      <c r="E224" s="312"/>
      <c r="F224" s="312"/>
      <c r="G224" s="312"/>
      <c r="H224" s="312"/>
      <c r="I224" s="312"/>
      <c r="J224" s="312"/>
      <c r="K224" s="312"/>
      <c r="L224" s="312"/>
      <c r="M224" s="312"/>
      <c r="N224" s="312"/>
      <c r="O224" s="312"/>
      <c r="P224" s="312"/>
      <c r="Q224" s="312"/>
      <c r="R224" s="312"/>
      <c r="S224" s="312"/>
      <c r="T224" s="401"/>
      <c r="U224" s="401"/>
    </row>
    <row r="225" spans="1:21" ht="13" x14ac:dyDescent="0.4">
      <c r="A225" s="312"/>
      <c r="B225" s="312"/>
      <c r="C225" s="312"/>
      <c r="D225" s="312"/>
      <c r="E225" s="312"/>
      <c r="F225" s="312"/>
      <c r="G225" s="312"/>
      <c r="H225" s="312"/>
      <c r="I225" s="312"/>
      <c r="J225" s="312"/>
      <c r="K225" s="312"/>
      <c r="L225" s="312"/>
      <c r="M225" s="312"/>
      <c r="N225" s="312"/>
      <c r="O225" s="312"/>
      <c r="P225" s="312"/>
      <c r="Q225" s="312"/>
      <c r="R225" s="312"/>
      <c r="S225" s="312"/>
      <c r="T225" s="401"/>
      <c r="U225" s="401"/>
    </row>
    <row r="226" spans="1:21" ht="13" x14ac:dyDescent="0.4">
      <c r="A226" s="312"/>
      <c r="B226" s="312"/>
      <c r="C226" s="312"/>
      <c r="D226" s="312"/>
      <c r="E226" s="312"/>
      <c r="F226" s="312"/>
      <c r="G226" s="312"/>
      <c r="H226" s="312"/>
      <c r="I226" s="312"/>
      <c r="J226" s="312"/>
      <c r="K226" s="312"/>
      <c r="L226" s="312"/>
      <c r="M226" s="312"/>
      <c r="N226" s="312"/>
      <c r="O226" s="312"/>
      <c r="P226" s="312"/>
      <c r="Q226" s="312"/>
      <c r="R226" s="312"/>
      <c r="S226" s="312"/>
      <c r="T226" s="401"/>
      <c r="U226" s="401"/>
    </row>
    <row r="227" spans="1:21" ht="13" x14ac:dyDescent="0.4">
      <c r="A227" s="312"/>
      <c r="B227" s="312"/>
      <c r="C227" s="312"/>
      <c r="D227" s="312"/>
      <c r="E227" s="312"/>
      <c r="F227" s="312"/>
      <c r="G227" s="312"/>
      <c r="H227" s="312"/>
      <c r="I227" s="312"/>
      <c r="J227" s="312"/>
      <c r="K227" s="312"/>
      <c r="L227" s="312"/>
      <c r="M227" s="312"/>
      <c r="N227" s="312"/>
      <c r="O227" s="312"/>
      <c r="P227" s="312"/>
      <c r="Q227" s="312"/>
      <c r="R227" s="312"/>
      <c r="S227" s="312"/>
      <c r="T227" s="401"/>
      <c r="U227" s="401"/>
    </row>
    <row r="228" spans="1:21" ht="13" x14ac:dyDescent="0.4">
      <c r="A228" s="312"/>
      <c r="B228" s="312"/>
      <c r="C228" s="312"/>
      <c r="D228" s="312"/>
      <c r="E228" s="312"/>
      <c r="F228" s="312"/>
      <c r="G228" s="312"/>
      <c r="H228" s="312"/>
      <c r="I228" s="312"/>
      <c r="J228" s="312"/>
      <c r="K228" s="312"/>
      <c r="L228" s="312"/>
      <c r="M228" s="312"/>
      <c r="N228" s="312"/>
      <c r="O228" s="312"/>
      <c r="P228" s="312"/>
      <c r="Q228" s="312"/>
      <c r="R228" s="312"/>
      <c r="S228" s="312"/>
      <c r="T228" s="401"/>
      <c r="U228" s="401"/>
    </row>
    <row r="229" spans="1:21" ht="13" x14ac:dyDescent="0.4">
      <c r="A229" s="312"/>
      <c r="B229" s="312"/>
      <c r="C229" s="312"/>
      <c r="D229" s="312"/>
      <c r="E229" s="312"/>
      <c r="F229" s="312"/>
      <c r="G229" s="312"/>
      <c r="H229" s="312"/>
      <c r="I229" s="312"/>
      <c r="J229" s="312"/>
      <c r="K229" s="312"/>
      <c r="L229" s="312"/>
      <c r="M229" s="312"/>
      <c r="N229" s="312"/>
      <c r="O229" s="312"/>
      <c r="P229" s="312"/>
      <c r="Q229" s="312"/>
      <c r="R229" s="312"/>
      <c r="S229" s="312"/>
      <c r="T229" s="401"/>
      <c r="U229" s="401"/>
    </row>
    <row r="230" spans="1:21" ht="13" x14ac:dyDescent="0.4">
      <c r="A230" s="312"/>
      <c r="B230" s="312"/>
      <c r="C230" s="312"/>
      <c r="D230" s="312"/>
      <c r="E230" s="312"/>
      <c r="F230" s="312"/>
      <c r="G230" s="312"/>
      <c r="H230" s="312"/>
      <c r="I230" s="312"/>
      <c r="J230" s="312"/>
      <c r="K230" s="312"/>
      <c r="L230" s="312"/>
      <c r="M230" s="312"/>
      <c r="N230" s="312"/>
      <c r="O230" s="312"/>
      <c r="P230" s="312"/>
      <c r="Q230" s="312"/>
      <c r="R230" s="312"/>
      <c r="S230" s="312"/>
      <c r="T230" s="401"/>
      <c r="U230" s="401"/>
    </row>
    <row r="231" spans="1:21" ht="13" x14ac:dyDescent="0.4">
      <c r="A231" s="312"/>
      <c r="B231" s="312"/>
      <c r="C231" s="312"/>
      <c r="D231" s="312"/>
      <c r="E231" s="312"/>
      <c r="F231" s="312"/>
      <c r="G231" s="312"/>
      <c r="H231" s="312"/>
      <c r="I231" s="312"/>
      <c r="J231" s="312"/>
      <c r="K231" s="312"/>
      <c r="L231" s="312"/>
      <c r="M231" s="312"/>
      <c r="N231" s="312"/>
      <c r="O231" s="312"/>
      <c r="P231" s="312"/>
      <c r="Q231" s="312"/>
      <c r="R231" s="312"/>
      <c r="S231" s="312"/>
      <c r="T231" s="401"/>
      <c r="U231" s="401"/>
    </row>
    <row r="232" spans="1:21" ht="13" x14ac:dyDescent="0.4">
      <c r="A232" s="312"/>
      <c r="B232" s="312"/>
      <c r="C232" s="312"/>
      <c r="D232" s="312"/>
      <c r="E232" s="312"/>
      <c r="F232" s="312"/>
      <c r="G232" s="312"/>
      <c r="H232" s="312"/>
      <c r="I232" s="312"/>
      <c r="J232" s="312"/>
      <c r="K232" s="312"/>
      <c r="L232" s="312"/>
      <c r="M232" s="312"/>
      <c r="N232" s="312"/>
      <c r="O232" s="312"/>
      <c r="P232" s="312"/>
      <c r="Q232" s="312"/>
      <c r="R232" s="312"/>
      <c r="S232" s="312"/>
      <c r="T232" s="401"/>
      <c r="U232" s="401"/>
    </row>
    <row r="233" spans="1:21" ht="13" x14ac:dyDescent="0.4">
      <c r="A233" s="312"/>
      <c r="B233" s="312"/>
      <c r="C233" s="312"/>
      <c r="D233" s="312"/>
      <c r="E233" s="312"/>
      <c r="F233" s="312"/>
      <c r="G233" s="312"/>
      <c r="H233" s="312"/>
      <c r="I233" s="312"/>
      <c r="J233" s="312"/>
      <c r="K233" s="312"/>
      <c r="L233" s="312"/>
      <c r="M233" s="312"/>
      <c r="N233" s="312"/>
      <c r="O233" s="312"/>
      <c r="P233" s="312"/>
      <c r="Q233" s="312"/>
      <c r="R233" s="312"/>
      <c r="S233" s="312"/>
      <c r="T233" s="401"/>
      <c r="U233" s="401"/>
    </row>
    <row r="234" spans="1:21" ht="13" x14ac:dyDescent="0.4">
      <c r="A234" s="312"/>
      <c r="B234" s="312"/>
      <c r="C234" s="312"/>
      <c r="D234" s="312"/>
      <c r="E234" s="312"/>
      <c r="F234" s="312"/>
      <c r="G234" s="312"/>
      <c r="H234" s="312"/>
      <c r="I234" s="312"/>
      <c r="J234" s="312"/>
      <c r="K234" s="312"/>
      <c r="L234" s="312"/>
      <c r="M234" s="312"/>
      <c r="N234" s="312"/>
      <c r="O234" s="312"/>
      <c r="P234" s="312"/>
      <c r="Q234" s="312"/>
      <c r="R234" s="312"/>
      <c r="S234" s="312"/>
      <c r="T234" s="401"/>
      <c r="U234" s="401"/>
    </row>
    <row r="235" spans="1:21" ht="13" x14ac:dyDescent="0.4">
      <c r="A235" s="312"/>
      <c r="B235" s="312"/>
      <c r="C235" s="312"/>
      <c r="D235" s="312"/>
      <c r="E235" s="312"/>
      <c r="F235" s="312"/>
      <c r="G235" s="312"/>
      <c r="H235" s="312"/>
      <c r="I235" s="312"/>
      <c r="J235" s="312"/>
      <c r="K235" s="312"/>
      <c r="L235" s="312"/>
      <c r="M235" s="312"/>
      <c r="N235" s="312"/>
      <c r="O235" s="312"/>
      <c r="P235" s="312"/>
      <c r="Q235" s="312"/>
      <c r="R235" s="312"/>
      <c r="S235" s="312"/>
      <c r="T235" s="401"/>
      <c r="U235" s="401"/>
    </row>
    <row r="236" spans="1:21" ht="13" x14ac:dyDescent="0.4">
      <c r="A236" s="312"/>
      <c r="B236" s="312"/>
      <c r="C236" s="312"/>
      <c r="D236" s="312"/>
      <c r="E236" s="312"/>
      <c r="F236" s="312"/>
      <c r="G236" s="312"/>
      <c r="H236" s="312"/>
      <c r="I236" s="312"/>
      <c r="J236" s="312"/>
      <c r="K236" s="312"/>
      <c r="L236" s="312"/>
      <c r="M236" s="312"/>
      <c r="N236" s="312"/>
      <c r="O236" s="312"/>
      <c r="P236" s="312"/>
      <c r="Q236" s="312"/>
      <c r="R236" s="312"/>
      <c r="S236" s="312"/>
      <c r="T236" s="401"/>
      <c r="U236" s="401"/>
    </row>
    <row r="237" spans="1:21" ht="13" x14ac:dyDescent="0.4">
      <c r="A237" s="312"/>
      <c r="B237" s="312"/>
      <c r="C237" s="312"/>
      <c r="D237" s="312"/>
      <c r="E237" s="312"/>
      <c r="F237" s="312"/>
      <c r="G237" s="312"/>
      <c r="H237" s="312"/>
      <c r="I237" s="312"/>
      <c r="J237" s="312"/>
      <c r="K237" s="312"/>
      <c r="L237" s="312"/>
      <c r="M237" s="312"/>
      <c r="N237" s="312"/>
      <c r="O237" s="312"/>
      <c r="P237" s="312"/>
      <c r="Q237" s="312"/>
      <c r="R237" s="312"/>
      <c r="S237" s="312"/>
      <c r="T237" s="401"/>
      <c r="U237" s="401"/>
    </row>
    <row r="238" spans="1:21" ht="13" x14ac:dyDescent="0.4">
      <c r="A238" s="312"/>
      <c r="B238" s="312"/>
      <c r="C238" s="312"/>
      <c r="D238" s="312"/>
      <c r="E238" s="312"/>
      <c r="F238" s="312"/>
      <c r="G238" s="312"/>
      <c r="H238" s="312"/>
      <c r="I238" s="312"/>
      <c r="J238" s="312"/>
      <c r="K238" s="312"/>
      <c r="L238" s="312"/>
      <c r="M238" s="312"/>
      <c r="N238" s="312"/>
      <c r="O238" s="312"/>
      <c r="P238" s="312"/>
      <c r="Q238" s="312"/>
      <c r="R238" s="312"/>
      <c r="S238" s="312"/>
      <c r="T238" s="401"/>
      <c r="U238" s="401"/>
    </row>
    <row r="239" spans="1:21" ht="13" x14ac:dyDescent="0.4">
      <c r="A239" s="312"/>
      <c r="B239" s="312"/>
      <c r="C239" s="312"/>
      <c r="D239" s="312"/>
      <c r="E239" s="312"/>
      <c r="F239" s="312"/>
      <c r="G239" s="312"/>
      <c r="H239" s="312"/>
      <c r="I239" s="312"/>
      <c r="J239" s="312"/>
      <c r="K239" s="312"/>
      <c r="L239" s="312"/>
      <c r="M239" s="312"/>
      <c r="N239" s="312"/>
      <c r="O239" s="312"/>
      <c r="P239" s="312"/>
      <c r="Q239" s="312"/>
      <c r="R239" s="312"/>
      <c r="S239" s="312"/>
      <c r="T239" s="401"/>
      <c r="U239" s="401"/>
    </row>
    <row r="240" spans="1:21" ht="13" x14ac:dyDescent="0.4">
      <c r="A240" s="312"/>
      <c r="B240" s="312"/>
      <c r="C240" s="312"/>
      <c r="D240" s="312"/>
      <c r="E240" s="312"/>
      <c r="F240" s="312"/>
      <c r="G240" s="312"/>
      <c r="H240" s="312"/>
      <c r="I240" s="312"/>
      <c r="J240" s="312"/>
      <c r="K240" s="312"/>
      <c r="L240" s="312"/>
      <c r="M240" s="312"/>
      <c r="N240" s="312"/>
      <c r="O240" s="312"/>
      <c r="P240" s="312"/>
      <c r="Q240" s="312"/>
      <c r="R240" s="312"/>
      <c r="S240" s="312"/>
      <c r="T240" s="401"/>
      <c r="U240" s="401"/>
    </row>
    <row r="241" spans="1:21" ht="13" x14ac:dyDescent="0.4">
      <c r="A241" s="312"/>
      <c r="B241" s="312"/>
      <c r="C241" s="312"/>
      <c r="D241" s="312"/>
      <c r="E241" s="312"/>
      <c r="F241" s="312"/>
      <c r="G241" s="312"/>
      <c r="H241" s="312"/>
      <c r="I241" s="312"/>
      <c r="J241" s="312"/>
      <c r="K241" s="312"/>
      <c r="L241" s="312"/>
      <c r="M241" s="312"/>
      <c r="N241" s="312"/>
      <c r="O241" s="312"/>
      <c r="P241" s="312"/>
      <c r="Q241" s="312"/>
      <c r="R241" s="312"/>
      <c r="S241" s="312"/>
      <c r="T241" s="401"/>
      <c r="U241" s="401"/>
    </row>
    <row r="242" spans="1:21" ht="13" x14ac:dyDescent="0.4">
      <c r="A242" s="312"/>
      <c r="B242" s="312"/>
      <c r="C242" s="312"/>
      <c r="D242" s="312"/>
      <c r="E242" s="312"/>
      <c r="F242" s="312"/>
      <c r="G242" s="312"/>
      <c r="H242" s="312"/>
      <c r="I242" s="312"/>
      <c r="J242" s="312"/>
      <c r="K242" s="312"/>
      <c r="L242" s="312"/>
      <c r="M242" s="312"/>
      <c r="N242" s="312"/>
      <c r="O242" s="312"/>
      <c r="P242" s="312"/>
      <c r="Q242" s="312"/>
      <c r="R242" s="312"/>
      <c r="S242" s="312"/>
      <c r="T242" s="401"/>
      <c r="U242" s="401"/>
    </row>
    <row r="243" spans="1:21" ht="13" x14ac:dyDescent="0.4">
      <c r="A243" s="312"/>
      <c r="B243" s="312"/>
      <c r="C243" s="312"/>
      <c r="D243" s="312"/>
      <c r="E243" s="312"/>
      <c r="F243" s="312"/>
      <c r="G243" s="312"/>
      <c r="H243" s="312"/>
      <c r="I243" s="312"/>
      <c r="J243" s="312"/>
      <c r="K243" s="312"/>
      <c r="L243" s="312"/>
      <c r="M243" s="312"/>
      <c r="N243" s="312"/>
      <c r="O243" s="312"/>
      <c r="P243" s="312"/>
      <c r="Q243" s="312"/>
      <c r="R243" s="312"/>
      <c r="S243" s="312"/>
      <c r="T243" s="401"/>
      <c r="U243" s="401"/>
    </row>
    <row r="244" spans="1:21" ht="13" x14ac:dyDescent="0.4">
      <c r="A244" s="312"/>
      <c r="B244" s="312"/>
      <c r="C244" s="312"/>
      <c r="D244" s="312"/>
      <c r="E244" s="312"/>
      <c r="F244" s="312"/>
      <c r="G244" s="312"/>
      <c r="H244" s="312"/>
      <c r="I244" s="312"/>
      <c r="J244" s="312"/>
      <c r="K244" s="312"/>
      <c r="L244" s="312"/>
      <c r="M244" s="312"/>
      <c r="N244" s="312"/>
      <c r="O244" s="312"/>
      <c r="P244" s="312"/>
      <c r="Q244" s="312"/>
      <c r="R244" s="312"/>
      <c r="S244" s="312"/>
      <c r="T244" s="401"/>
      <c r="U244" s="401"/>
    </row>
    <row r="245" spans="1:21" ht="13" x14ac:dyDescent="0.4">
      <c r="A245" s="312"/>
      <c r="B245" s="312"/>
      <c r="C245" s="312"/>
      <c r="D245" s="312"/>
      <c r="E245" s="312"/>
      <c r="F245" s="312"/>
      <c r="G245" s="312"/>
      <c r="H245" s="312"/>
      <c r="I245" s="312"/>
      <c r="J245" s="312"/>
      <c r="K245" s="312"/>
      <c r="L245" s="312"/>
      <c r="M245" s="312"/>
      <c r="N245" s="312"/>
      <c r="O245" s="312"/>
      <c r="P245" s="312"/>
      <c r="Q245" s="312"/>
      <c r="R245" s="312"/>
      <c r="S245" s="312"/>
      <c r="T245" s="401"/>
      <c r="U245" s="401"/>
    </row>
    <row r="246" spans="1:21" ht="13" x14ac:dyDescent="0.4">
      <c r="A246" s="312"/>
      <c r="B246" s="312"/>
      <c r="C246" s="312"/>
      <c r="D246" s="312"/>
      <c r="E246" s="312"/>
      <c r="F246" s="312"/>
      <c r="G246" s="312"/>
      <c r="H246" s="312"/>
      <c r="I246" s="312"/>
      <c r="J246" s="312"/>
      <c r="K246" s="312"/>
      <c r="L246" s="312"/>
      <c r="M246" s="312"/>
      <c r="N246" s="312"/>
      <c r="O246" s="312"/>
      <c r="P246" s="312"/>
      <c r="Q246" s="312"/>
      <c r="R246" s="312"/>
      <c r="S246" s="312"/>
      <c r="T246" s="401"/>
      <c r="U246" s="401"/>
    </row>
    <row r="247" spans="1:21" ht="13" x14ac:dyDescent="0.4">
      <c r="A247" s="312"/>
      <c r="B247" s="312"/>
      <c r="C247" s="312"/>
      <c r="D247" s="312"/>
      <c r="E247" s="312"/>
      <c r="F247" s="312"/>
      <c r="G247" s="312"/>
      <c r="H247" s="312"/>
      <c r="I247" s="312"/>
      <c r="J247" s="312"/>
      <c r="K247" s="312"/>
      <c r="L247" s="312"/>
      <c r="M247" s="312"/>
      <c r="N247" s="312"/>
      <c r="O247" s="312"/>
      <c r="P247" s="312"/>
      <c r="Q247" s="312"/>
      <c r="R247" s="312"/>
      <c r="S247" s="312"/>
      <c r="T247" s="401"/>
      <c r="U247" s="401"/>
    </row>
    <row r="248" spans="1:21" ht="13" x14ac:dyDescent="0.4">
      <c r="A248" s="312"/>
      <c r="B248" s="312"/>
      <c r="C248" s="312"/>
      <c r="D248" s="312"/>
      <c r="E248" s="312"/>
      <c r="F248" s="312"/>
      <c r="G248" s="312"/>
      <c r="H248" s="312"/>
      <c r="I248" s="312"/>
      <c r="J248" s="312"/>
      <c r="K248" s="312"/>
      <c r="L248" s="312"/>
      <c r="M248" s="312"/>
      <c r="N248" s="312"/>
      <c r="O248" s="312"/>
      <c r="P248" s="312"/>
      <c r="Q248" s="312"/>
      <c r="R248" s="312"/>
      <c r="S248" s="312"/>
      <c r="T248" s="401"/>
      <c r="U248" s="401"/>
    </row>
    <row r="249" spans="1:21" ht="13" x14ac:dyDescent="0.4">
      <c r="A249" s="312"/>
      <c r="B249" s="312"/>
      <c r="C249" s="312"/>
      <c r="D249" s="312"/>
      <c r="E249" s="312"/>
      <c r="F249" s="312"/>
      <c r="G249" s="312"/>
      <c r="H249" s="312"/>
      <c r="I249" s="312"/>
      <c r="J249" s="312"/>
      <c r="K249" s="312"/>
      <c r="L249" s="312"/>
      <c r="M249" s="312"/>
      <c r="N249" s="312"/>
      <c r="O249" s="312"/>
      <c r="P249" s="312"/>
      <c r="Q249" s="312"/>
      <c r="R249" s="312"/>
      <c r="S249" s="312"/>
      <c r="T249" s="401"/>
      <c r="U249" s="401"/>
    </row>
    <row r="250" spans="1:21" ht="13" x14ac:dyDescent="0.4">
      <c r="A250" s="312"/>
      <c r="B250" s="312"/>
      <c r="C250" s="312"/>
      <c r="D250" s="312"/>
      <c r="E250" s="312"/>
      <c r="F250" s="312"/>
      <c r="G250" s="312"/>
      <c r="H250" s="312"/>
      <c r="I250" s="312"/>
      <c r="J250" s="312"/>
      <c r="K250" s="312"/>
      <c r="L250" s="312"/>
      <c r="M250" s="312"/>
      <c r="N250" s="312"/>
      <c r="O250" s="312"/>
      <c r="P250" s="312"/>
      <c r="Q250" s="312"/>
      <c r="R250" s="312"/>
      <c r="S250" s="312"/>
      <c r="T250" s="401"/>
      <c r="U250" s="401"/>
    </row>
    <row r="251" spans="1:21" ht="13" x14ac:dyDescent="0.4">
      <c r="A251" s="312"/>
      <c r="B251" s="312"/>
      <c r="C251" s="312"/>
      <c r="D251" s="312"/>
      <c r="E251" s="312"/>
      <c r="F251" s="312"/>
      <c r="G251" s="312"/>
      <c r="H251" s="312"/>
      <c r="I251" s="312"/>
      <c r="J251" s="312"/>
      <c r="K251" s="312"/>
      <c r="L251" s="312"/>
      <c r="M251" s="312"/>
      <c r="N251" s="312"/>
      <c r="O251" s="312"/>
      <c r="P251" s="312"/>
      <c r="Q251" s="312"/>
      <c r="R251" s="312"/>
      <c r="S251" s="312"/>
      <c r="T251" s="401"/>
      <c r="U251" s="401"/>
    </row>
    <row r="252" spans="1:21" ht="13" x14ac:dyDescent="0.4">
      <c r="A252" s="312"/>
      <c r="B252" s="312"/>
      <c r="C252" s="312"/>
      <c r="D252" s="312"/>
      <c r="E252" s="312"/>
      <c r="F252" s="312"/>
      <c r="G252" s="312"/>
      <c r="H252" s="312"/>
      <c r="I252" s="312"/>
      <c r="J252" s="312"/>
      <c r="K252" s="312"/>
      <c r="L252" s="312"/>
      <c r="M252" s="312"/>
      <c r="N252" s="312"/>
      <c r="O252" s="312"/>
      <c r="P252" s="312"/>
      <c r="Q252" s="312"/>
      <c r="R252" s="312"/>
      <c r="S252" s="312"/>
      <c r="T252" s="401"/>
      <c r="U252" s="401"/>
    </row>
    <row r="253" spans="1:21" ht="13" x14ac:dyDescent="0.4">
      <c r="A253" s="312"/>
      <c r="B253" s="312"/>
      <c r="C253" s="312"/>
      <c r="D253" s="312"/>
      <c r="E253" s="312"/>
      <c r="F253" s="312"/>
      <c r="G253" s="312"/>
      <c r="H253" s="312"/>
      <c r="I253" s="312"/>
      <c r="J253" s="312"/>
      <c r="K253" s="312"/>
      <c r="L253" s="312"/>
      <c r="M253" s="312"/>
      <c r="N253" s="312"/>
      <c r="O253" s="312"/>
      <c r="P253" s="312"/>
      <c r="Q253" s="312"/>
      <c r="R253" s="312"/>
      <c r="S253" s="312"/>
      <c r="T253" s="401"/>
      <c r="U253" s="401"/>
    </row>
    <row r="254" spans="1:21" ht="13" x14ac:dyDescent="0.4">
      <c r="A254" s="312"/>
      <c r="B254" s="312"/>
      <c r="C254" s="312"/>
      <c r="D254" s="312"/>
      <c r="E254" s="312"/>
      <c r="F254" s="312"/>
      <c r="G254" s="312"/>
      <c r="H254" s="312"/>
      <c r="I254" s="312"/>
      <c r="J254" s="312"/>
      <c r="K254" s="312"/>
      <c r="L254" s="312"/>
      <c r="M254" s="312"/>
      <c r="N254" s="312"/>
      <c r="O254" s="312"/>
      <c r="P254" s="312"/>
      <c r="Q254" s="312"/>
      <c r="R254" s="312"/>
      <c r="S254" s="312"/>
      <c r="T254" s="401"/>
      <c r="U254" s="401"/>
    </row>
    <row r="255" spans="1:21" ht="13" x14ac:dyDescent="0.4">
      <c r="A255" s="312"/>
      <c r="B255" s="312"/>
      <c r="C255" s="312"/>
      <c r="D255" s="312"/>
      <c r="E255" s="312"/>
      <c r="F255" s="312"/>
      <c r="G255" s="312"/>
      <c r="H255" s="312"/>
      <c r="I255" s="312"/>
      <c r="J255" s="312"/>
      <c r="K255" s="312"/>
      <c r="L255" s="312"/>
      <c r="M255" s="312"/>
      <c r="N255" s="312"/>
      <c r="O255" s="312"/>
      <c r="P255" s="312"/>
      <c r="Q255" s="312"/>
      <c r="R255" s="312"/>
      <c r="S255" s="312"/>
      <c r="T255" s="401"/>
      <c r="U255" s="401"/>
    </row>
    <row r="256" spans="1:21" ht="13" x14ac:dyDescent="0.4">
      <c r="A256" s="312"/>
      <c r="B256" s="312"/>
      <c r="C256" s="312"/>
      <c r="D256" s="312"/>
      <c r="E256" s="312"/>
      <c r="F256" s="312"/>
      <c r="G256" s="312"/>
      <c r="H256" s="312"/>
      <c r="I256" s="312"/>
      <c r="J256" s="312"/>
      <c r="K256" s="312"/>
      <c r="L256" s="312"/>
      <c r="M256" s="312"/>
      <c r="N256" s="312"/>
      <c r="O256" s="312"/>
      <c r="P256" s="312"/>
      <c r="Q256" s="312"/>
      <c r="R256" s="312"/>
      <c r="S256" s="312"/>
      <c r="T256" s="401"/>
      <c r="U256" s="401"/>
    </row>
    <row r="257" spans="1:21" ht="13" x14ac:dyDescent="0.4">
      <c r="A257" s="312"/>
      <c r="B257" s="312"/>
      <c r="C257" s="312"/>
      <c r="D257" s="312"/>
      <c r="E257" s="312"/>
      <c r="F257" s="312"/>
      <c r="G257" s="312"/>
      <c r="H257" s="312"/>
      <c r="I257" s="312"/>
      <c r="J257" s="312"/>
      <c r="K257" s="312"/>
      <c r="L257" s="312"/>
      <c r="M257" s="312"/>
      <c r="N257" s="312"/>
      <c r="O257" s="312"/>
      <c r="P257" s="312"/>
      <c r="Q257" s="312"/>
      <c r="R257" s="312"/>
      <c r="S257" s="312"/>
      <c r="T257" s="401"/>
      <c r="U257" s="401"/>
    </row>
    <row r="258" spans="1:21" ht="13" x14ac:dyDescent="0.4">
      <c r="A258" s="312"/>
      <c r="B258" s="312"/>
      <c r="C258" s="312"/>
      <c r="D258" s="312"/>
      <c r="E258" s="312"/>
      <c r="F258" s="312"/>
      <c r="G258" s="312"/>
      <c r="H258" s="312"/>
      <c r="I258" s="312"/>
      <c r="J258" s="312"/>
      <c r="K258" s="312"/>
      <c r="L258" s="312"/>
      <c r="M258" s="312"/>
      <c r="N258" s="312"/>
      <c r="O258" s="312"/>
      <c r="P258" s="312"/>
      <c r="Q258" s="312"/>
      <c r="R258" s="312"/>
      <c r="S258" s="312"/>
      <c r="T258" s="401"/>
      <c r="U258" s="401"/>
    </row>
    <row r="259" spans="1:21" ht="13" x14ac:dyDescent="0.4">
      <c r="A259" s="312"/>
      <c r="B259" s="312"/>
      <c r="C259" s="312"/>
      <c r="D259" s="312"/>
      <c r="E259" s="312"/>
      <c r="F259" s="312"/>
      <c r="G259" s="312"/>
      <c r="H259" s="312"/>
      <c r="I259" s="312"/>
      <c r="J259" s="312"/>
      <c r="K259" s="312"/>
      <c r="L259" s="312"/>
      <c r="M259" s="312"/>
      <c r="N259" s="312"/>
      <c r="O259" s="312"/>
      <c r="P259" s="312"/>
      <c r="Q259" s="312"/>
      <c r="R259" s="312"/>
      <c r="S259" s="312"/>
      <c r="T259" s="401"/>
      <c r="U259" s="401"/>
    </row>
    <row r="260" spans="1:21" ht="13" x14ac:dyDescent="0.4">
      <c r="A260" s="312"/>
      <c r="B260" s="312"/>
      <c r="C260" s="312"/>
      <c r="D260" s="312"/>
      <c r="E260" s="312"/>
      <c r="F260" s="312"/>
      <c r="G260" s="312"/>
      <c r="H260" s="312"/>
      <c r="I260" s="312"/>
      <c r="J260" s="312"/>
      <c r="K260" s="312"/>
      <c r="L260" s="312"/>
      <c r="M260" s="312"/>
      <c r="N260" s="312"/>
      <c r="O260" s="312"/>
      <c r="P260" s="312"/>
      <c r="Q260" s="312"/>
      <c r="R260" s="312"/>
      <c r="S260" s="312"/>
      <c r="T260" s="401"/>
      <c r="U260" s="401"/>
    </row>
    <row r="261" spans="1:21" ht="13" x14ac:dyDescent="0.4">
      <c r="A261" s="312"/>
      <c r="B261" s="312"/>
      <c r="C261" s="312"/>
      <c r="D261" s="312"/>
      <c r="E261" s="312"/>
      <c r="F261" s="312"/>
      <c r="G261" s="312"/>
      <c r="H261" s="312"/>
      <c r="I261" s="312"/>
      <c r="J261" s="312"/>
      <c r="K261" s="312"/>
      <c r="L261" s="312"/>
      <c r="M261" s="312"/>
      <c r="N261" s="312"/>
      <c r="O261" s="312"/>
      <c r="P261" s="312"/>
      <c r="Q261" s="312"/>
      <c r="R261" s="312"/>
      <c r="S261" s="312"/>
      <c r="T261" s="401"/>
      <c r="U261" s="401"/>
    </row>
    <row r="262" spans="1:21" ht="13" x14ac:dyDescent="0.4">
      <c r="A262" s="312"/>
      <c r="B262" s="312"/>
      <c r="C262" s="312"/>
      <c r="D262" s="312"/>
      <c r="E262" s="312"/>
      <c r="F262" s="312"/>
      <c r="G262" s="312"/>
      <c r="H262" s="312"/>
      <c r="I262" s="312"/>
      <c r="J262" s="312"/>
      <c r="K262" s="312"/>
      <c r="L262" s="312"/>
      <c r="M262" s="312"/>
      <c r="N262" s="312"/>
      <c r="O262" s="312"/>
      <c r="P262" s="312"/>
      <c r="Q262" s="312"/>
      <c r="R262" s="312"/>
      <c r="S262" s="312"/>
      <c r="T262" s="401"/>
      <c r="U262" s="401"/>
    </row>
    <row r="263" spans="1:21" ht="13" x14ac:dyDescent="0.4">
      <c r="A263" s="312"/>
      <c r="B263" s="312"/>
      <c r="C263" s="312"/>
      <c r="D263" s="312"/>
      <c r="E263" s="312"/>
      <c r="F263" s="312"/>
      <c r="G263" s="312"/>
      <c r="H263" s="312"/>
      <c r="I263" s="312"/>
      <c r="J263" s="312"/>
      <c r="K263" s="312"/>
      <c r="L263" s="312"/>
      <c r="M263" s="312"/>
      <c r="N263" s="312"/>
      <c r="O263" s="312"/>
      <c r="P263" s="312"/>
      <c r="Q263" s="312"/>
      <c r="R263" s="312"/>
      <c r="S263" s="312"/>
      <c r="T263" s="401"/>
      <c r="U263" s="401"/>
    </row>
    <row r="264" spans="1:21" ht="13" x14ac:dyDescent="0.4">
      <c r="A264" s="312"/>
      <c r="B264" s="312"/>
      <c r="C264" s="312"/>
      <c r="D264" s="312"/>
      <c r="E264" s="312"/>
      <c r="F264" s="312"/>
      <c r="G264" s="312"/>
      <c r="H264" s="312"/>
      <c r="I264" s="312"/>
      <c r="J264" s="312"/>
      <c r="K264" s="312"/>
      <c r="L264" s="312"/>
      <c r="M264" s="312"/>
      <c r="N264" s="312"/>
      <c r="O264" s="312"/>
      <c r="P264" s="312"/>
      <c r="Q264" s="312"/>
      <c r="R264" s="312"/>
      <c r="S264" s="312"/>
      <c r="T264" s="401"/>
      <c r="U264" s="401"/>
    </row>
    <row r="265" spans="1:21" ht="13" x14ac:dyDescent="0.4">
      <c r="A265" s="312"/>
      <c r="B265" s="312"/>
      <c r="C265" s="312"/>
      <c r="D265" s="312"/>
      <c r="E265" s="312"/>
      <c r="F265" s="312"/>
      <c r="G265" s="312"/>
      <c r="H265" s="312"/>
      <c r="I265" s="312"/>
      <c r="J265" s="312"/>
      <c r="K265" s="312"/>
      <c r="L265" s="312"/>
      <c r="M265" s="312"/>
      <c r="N265" s="312"/>
      <c r="O265" s="312"/>
      <c r="P265" s="312"/>
      <c r="Q265" s="312"/>
      <c r="R265" s="312"/>
      <c r="S265" s="312"/>
      <c r="T265" s="401"/>
      <c r="U265" s="401"/>
    </row>
    <row r="266" spans="1:21" ht="13" x14ac:dyDescent="0.4">
      <c r="A266" s="312"/>
      <c r="B266" s="312"/>
      <c r="C266" s="312"/>
      <c r="D266" s="312"/>
      <c r="E266" s="312"/>
      <c r="F266" s="312"/>
      <c r="G266" s="312"/>
      <c r="H266" s="312"/>
      <c r="I266" s="312"/>
      <c r="J266" s="312"/>
      <c r="K266" s="312"/>
      <c r="L266" s="312"/>
      <c r="M266" s="312"/>
      <c r="N266" s="312"/>
      <c r="O266" s="312"/>
      <c r="P266" s="312"/>
      <c r="Q266" s="312"/>
      <c r="R266" s="312"/>
      <c r="S266" s="312"/>
      <c r="T266" s="401"/>
      <c r="U266" s="401"/>
    </row>
    <row r="267" spans="1:21" ht="13" x14ac:dyDescent="0.4">
      <c r="A267" s="312"/>
      <c r="B267" s="312"/>
      <c r="C267" s="312"/>
      <c r="D267" s="312"/>
      <c r="E267" s="312"/>
      <c r="F267" s="312"/>
      <c r="G267" s="312"/>
      <c r="H267" s="312"/>
      <c r="I267" s="312"/>
      <c r="J267" s="312"/>
      <c r="K267" s="312"/>
      <c r="L267" s="312"/>
      <c r="M267" s="312"/>
      <c r="N267" s="312"/>
      <c r="O267" s="312"/>
      <c r="P267" s="312"/>
      <c r="Q267" s="312"/>
      <c r="R267" s="312"/>
      <c r="S267" s="312"/>
      <c r="T267" s="401"/>
      <c r="U267" s="401"/>
    </row>
    <row r="268" spans="1:21" ht="13" x14ac:dyDescent="0.4">
      <c r="A268" s="312"/>
      <c r="B268" s="312"/>
      <c r="C268" s="312"/>
      <c r="D268" s="312"/>
      <c r="E268" s="312"/>
      <c r="F268" s="312"/>
      <c r="G268" s="312"/>
      <c r="H268" s="312"/>
      <c r="I268" s="312"/>
      <c r="J268" s="312"/>
      <c r="K268" s="312"/>
      <c r="L268" s="312"/>
      <c r="M268" s="312"/>
      <c r="N268" s="312"/>
      <c r="O268" s="312"/>
      <c r="P268" s="312"/>
      <c r="Q268" s="312"/>
      <c r="R268" s="312"/>
      <c r="S268" s="312"/>
      <c r="T268" s="401"/>
      <c r="U268" s="401"/>
    </row>
    <row r="269" spans="1:21" ht="13" x14ac:dyDescent="0.4">
      <c r="A269" s="312"/>
      <c r="B269" s="312"/>
      <c r="C269" s="312"/>
      <c r="D269" s="312"/>
      <c r="E269" s="312"/>
      <c r="F269" s="312"/>
      <c r="G269" s="312"/>
      <c r="H269" s="312"/>
      <c r="I269" s="312"/>
      <c r="J269" s="312"/>
      <c r="K269" s="312"/>
      <c r="L269" s="312"/>
      <c r="M269" s="312"/>
      <c r="N269" s="312"/>
      <c r="O269" s="312"/>
      <c r="P269" s="312"/>
      <c r="Q269" s="312"/>
      <c r="R269" s="312"/>
      <c r="S269" s="312"/>
      <c r="T269" s="401"/>
      <c r="U269" s="401"/>
    </row>
    <row r="270" spans="1:21" ht="13" x14ac:dyDescent="0.4">
      <c r="A270" s="312"/>
      <c r="B270" s="312"/>
      <c r="C270" s="312"/>
      <c r="D270" s="312"/>
      <c r="E270" s="312"/>
      <c r="F270" s="312"/>
      <c r="G270" s="312"/>
      <c r="H270" s="312"/>
      <c r="I270" s="312"/>
      <c r="J270" s="312"/>
      <c r="K270" s="312"/>
      <c r="L270" s="312"/>
      <c r="M270" s="312"/>
      <c r="N270" s="312"/>
      <c r="O270" s="312"/>
      <c r="P270" s="312"/>
      <c r="Q270" s="312"/>
      <c r="R270" s="312"/>
      <c r="S270" s="312"/>
      <c r="T270" s="401"/>
      <c r="U270" s="401"/>
    </row>
    <row r="271" spans="1:21" ht="13" x14ac:dyDescent="0.4">
      <c r="A271" s="312"/>
      <c r="B271" s="312"/>
      <c r="C271" s="312"/>
      <c r="D271" s="312"/>
      <c r="E271" s="312"/>
      <c r="F271" s="312"/>
      <c r="G271" s="312"/>
      <c r="H271" s="312"/>
      <c r="I271" s="312"/>
      <c r="J271" s="312"/>
      <c r="K271" s="312"/>
      <c r="L271" s="312"/>
      <c r="M271" s="312"/>
      <c r="N271" s="312"/>
      <c r="O271" s="312"/>
      <c r="P271" s="312"/>
      <c r="Q271" s="312"/>
      <c r="R271" s="312"/>
      <c r="S271" s="312"/>
      <c r="T271" s="401"/>
      <c r="U271" s="401"/>
    </row>
    <row r="272" spans="1:21" ht="13" x14ac:dyDescent="0.4">
      <c r="A272" s="312"/>
      <c r="B272" s="312"/>
      <c r="C272" s="312"/>
      <c r="D272" s="312"/>
      <c r="E272" s="312"/>
      <c r="F272" s="312"/>
      <c r="G272" s="312"/>
      <c r="H272" s="312"/>
      <c r="I272" s="312"/>
      <c r="J272" s="312"/>
      <c r="K272" s="312"/>
      <c r="L272" s="312"/>
      <c r="M272" s="312"/>
      <c r="N272" s="312"/>
      <c r="O272" s="312"/>
      <c r="P272" s="312"/>
      <c r="Q272" s="312"/>
      <c r="R272" s="312"/>
      <c r="S272" s="312"/>
      <c r="T272" s="401"/>
      <c r="U272" s="401"/>
    </row>
    <row r="273" spans="1:21" ht="13" x14ac:dyDescent="0.4">
      <c r="A273" s="312"/>
      <c r="B273" s="312"/>
      <c r="C273" s="312"/>
      <c r="D273" s="312"/>
      <c r="E273" s="312"/>
      <c r="F273" s="312"/>
      <c r="G273" s="312"/>
      <c r="H273" s="312"/>
      <c r="I273" s="312"/>
      <c r="J273" s="312"/>
      <c r="K273" s="312"/>
      <c r="L273" s="312"/>
      <c r="M273" s="312"/>
      <c r="N273" s="312"/>
      <c r="O273" s="312"/>
      <c r="P273" s="312"/>
      <c r="Q273" s="312"/>
      <c r="R273" s="312"/>
      <c r="S273" s="312"/>
      <c r="T273" s="401"/>
      <c r="U273" s="401"/>
    </row>
    <row r="274" spans="1:21" ht="13" x14ac:dyDescent="0.4">
      <c r="A274" s="312"/>
      <c r="B274" s="312"/>
      <c r="C274" s="312"/>
      <c r="D274" s="312"/>
      <c r="E274" s="312"/>
      <c r="F274" s="312"/>
      <c r="G274" s="312"/>
      <c r="H274" s="312"/>
      <c r="I274" s="312"/>
      <c r="J274" s="312"/>
      <c r="K274" s="312"/>
      <c r="L274" s="312"/>
      <c r="M274" s="312"/>
      <c r="N274" s="312"/>
      <c r="O274" s="312"/>
      <c r="P274" s="312"/>
      <c r="Q274" s="312"/>
      <c r="R274" s="312"/>
      <c r="S274" s="312"/>
      <c r="T274" s="401"/>
      <c r="U274" s="401"/>
    </row>
    <row r="275" spans="1:21" ht="13" x14ac:dyDescent="0.4">
      <c r="A275" s="312"/>
      <c r="B275" s="312"/>
      <c r="C275" s="312"/>
      <c r="D275" s="312"/>
      <c r="E275" s="312"/>
      <c r="F275" s="312"/>
      <c r="G275" s="312"/>
      <c r="H275" s="312"/>
      <c r="I275" s="312"/>
      <c r="J275" s="312"/>
      <c r="K275" s="312"/>
      <c r="L275" s="312"/>
      <c r="M275" s="312"/>
      <c r="N275" s="312"/>
      <c r="O275" s="312"/>
      <c r="P275" s="312"/>
      <c r="Q275" s="312"/>
      <c r="R275" s="312"/>
      <c r="S275" s="312"/>
      <c r="T275" s="401"/>
      <c r="U275" s="401"/>
    </row>
    <row r="276" spans="1:21" ht="13" x14ac:dyDescent="0.4">
      <c r="A276" s="312"/>
      <c r="B276" s="312"/>
      <c r="C276" s="312"/>
      <c r="D276" s="312"/>
      <c r="E276" s="312"/>
      <c r="F276" s="312"/>
      <c r="G276" s="312"/>
      <c r="H276" s="312"/>
      <c r="I276" s="312"/>
      <c r="J276" s="312"/>
      <c r="K276" s="312"/>
      <c r="L276" s="312"/>
      <c r="M276" s="312"/>
      <c r="N276" s="312"/>
      <c r="O276" s="312"/>
      <c r="P276" s="312"/>
      <c r="Q276" s="312"/>
      <c r="R276" s="312"/>
      <c r="S276" s="312"/>
      <c r="T276" s="401"/>
      <c r="U276" s="401"/>
    </row>
    <row r="277" spans="1:21" ht="13" x14ac:dyDescent="0.4">
      <c r="A277" s="312"/>
      <c r="B277" s="312"/>
      <c r="C277" s="312"/>
      <c r="D277" s="312"/>
      <c r="E277" s="312"/>
      <c r="F277" s="312"/>
      <c r="G277" s="312"/>
      <c r="H277" s="312"/>
      <c r="I277" s="312"/>
      <c r="J277" s="312"/>
      <c r="K277" s="312"/>
      <c r="L277" s="312"/>
      <c r="M277" s="312"/>
      <c r="N277" s="312"/>
      <c r="O277" s="312"/>
      <c r="P277" s="312"/>
      <c r="Q277" s="312"/>
      <c r="R277" s="312"/>
      <c r="S277" s="312"/>
      <c r="T277" s="401"/>
      <c r="U277" s="401"/>
    </row>
    <row r="278" spans="1:21" ht="13" x14ac:dyDescent="0.4">
      <c r="A278" s="312"/>
      <c r="B278" s="312"/>
      <c r="C278" s="312"/>
      <c r="D278" s="312"/>
      <c r="E278" s="312"/>
      <c r="F278" s="312"/>
      <c r="G278" s="312"/>
      <c r="H278" s="312"/>
      <c r="I278" s="312"/>
      <c r="J278" s="312"/>
      <c r="K278" s="312"/>
      <c r="L278" s="312"/>
      <c r="M278" s="312"/>
      <c r="N278" s="312"/>
      <c r="O278" s="312"/>
      <c r="P278" s="312"/>
      <c r="Q278" s="312"/>
      <c r="R278" s="312"/>
      <c r="S278" s="312"/>
      <c r="T278" s="401"/>
      <c r="U278" s="401"/>
    </row>
    <row r="279" spans="1:21" ht="13" x14ac:dyDescent="0.4">
      <c r="A279" s="312"/>
      <c r="B279" s="312"/>
      <c r="C279" s="312"/>
      <c r="D279" s="312"/>
      <c r="E279" s="312"/>
      <c r="F279" s="312"/>
      <c r="G279" s="312"/>
      <c r="H279" s="312"/>
      <c r="I279" s="312"/>
      <c r="J279" s="312"/>
      <c r="K279" s="312"/>
      <c r="L279" s="312"/>
      <c r="M279" s="312"/>
      <c r="N279" s="312"/>
      <c r="O279" s="312"/>
      <c r="P279" s="312"/>
      <c r="Q279" s="312"/>
      <c r="R279" s="312"/>
      <c r="S279" s="312"/>
      <c r="T279" s="401"/>
      <c r="U279" s="401"/>
    </row>
    <row r="280" spans="1:21" ht="13" x14ac:dyDescent="0.4">
      <c r="A280" s="312"/>
      <c r="B280" s="312"/>
      <c r="C280" s="312"/>
      <c r="D280" s="312"/>
      <c r="E280" s="312"/>
      <c r="F280" s="312"/>
      <c r="G280" s="312"/>
      <c r="H280" s="312"/>
      <c r="I280" s="312"/>
      <c r="J280" s="312"/>
      <c r="K280" s="312"/>
      <c r="L280" s="312"/>
      <c r="M280" s="312"/>
      <c r="N280" s="312"/>
      <c r="O280" s="312"/>
      <c r="P280" s="312"/>
      <c r="Q280" s="312"/>
      <c r="R280" s="312"/>
      <c r="S280" s="312"/>
      <c r="T280" s="401"/>
      <c r="U280" s="401"/>
    </row>
    <row r="281" spans="1:21" ht="13" x14ac:dyDescent="0.4">
      <c r="A281" s="312"/>
      <c r="B281" s="312"/>
      <c r="C281" s="312"/>
      <c r="D281" s="312"/>
      <c r="E281" s="312"/>
      <c r="F281" s="312"/>
      <c r="G281" s="312"/>
      <c r="H281" s="312"/>
      <c r="I281" s="312"/>
      <c r="J281" s="312"/>
      <c r="K281" s="312"/>
      <c r="L281" s="312"/>
      <c r="M281" s="312"/>
      <c r="N281" s="312"/>
      <c r="O281" s="312"/>
      <c r="P281" s="312"/>
      <c r="Q281" s="312"/>
      <c r="R281" s="312"/>
      <c r="S281" s="312"/>
      <c r="T281" s="401"/>
      <c r="U281" s="401"/>
    </row>
    <row r="282" spans="1:21" ht="13" x14ac:dyDescent="0.4">
      <c r="A282" s="312"/>
      <c r="B282" s="312"/>
      <c r="C282" s="312"/>
      <c r="D282" s="312"/>
      <c r="E282" s="312"/>
      <c r="F282" s="312"/>
      <c r="G282" s="312"/>
      <c r="H282" s="312"/>
      <c r="I282" s="312"/>
      <c r="J282" s="312"/>
      <c r="K282" s="312"/>
      <c r="L282" s="312"/>
      <c r="M282" s="312"/>
      <c r="N282" s="312"/>
      <c r="O282" s="312"/>
      <c r="P282" s="312"/>
      <c r="Q282" s="312"/>
      <c r="R282" s="312"/>
      <c r="S282" s="312"/>
      <c r="T282" s="401"/>
      <c r="U282" s="401"/>
    </row>
    <row r="283" spans="1:21" ht="13" x14ac:dyDescent="0.4">
      <c r="A283" s="312"/>
      <c r="B283" s="312"/>
      <c r="C283" s="312"/>
      <c r="D283" s="312"/>
      <c r="E283" s="312"/>
      <c r="F283" s="312"/>
      <c r="G283" s="312"/>
      <c r="H283" s="312"/>
      <c r="I283" s="312"/>
      <c r="J283" s="312"/>
      <c r="K283" s="312"/>
      <c r="L283" s="312"/>
      <c r="M283" s="312"/>
      <c r="N283" s="312"/>
      <c r="O283" s="312"/>
      <c r="P283" s="312"/>
      <c r="Q283" s="312"/>
      <c r="R283" s="312"/>
      <c r="S283" s="312"/>
      <c r="T283" s="401"/>
      <c r="U283" s="401"/>
    </row>
  </sheetData>
  <sheetProtection algorithmName="SHA-512" hashValue="FNbz6dZUFkxOO/2d4RiH08HbqWk8bc8GnslAz0lycm9Cout7YyKMYywxRpXzW1Sxh4q4MvWyMnGnf99SQb0MNA==" saltValue="ehXrEHwvxYw9tYWjkmwBqg==" spinCount="100000" sheet="1" objects="1" scenarios="1" formatRows="0"/>
  <mergeCells count="50">
    <mergeCell ref="P4:R4"/>
    <mergeCell ref="C5:D5"/>
    <mergeCell ref="E5:G5"/>
    <mergeCell ref="E10:K10"/>
    <mergeCell ref="M10:Q10"/>
    <mergeCell ref="C8:R8"/>
    <mergeCell ref="C4:D4"/>
    <mergeCell ref="E4:G4"/>
    <mergeCell ref="H4:I4"/>
    <mergeCell ref="J4:L4"/>
    <mergeCell ref="M4:O4"/>
    <mergeCell ref="H5:I5"/>
    <mergeCell ref="J5:L5"/>
    <mergeCell ref="M5:O5"/>
    <mergeCell ref="P5:R5"/>
    <mergeCell ref="C6:D6"/>
    <mergeCell ref="C2:R2"/>
    <mergeCell ref="C3:D3"/>
    <mergeCell ref="E3:G3"/>
    <mergeCell ref="H3:I3"/>
    <mergeCell ref="J3:L3"/>
    <mergeCell ref="M3:O3"/>
    <mergeCell ref="P3:R3"/>
    <mergeCell ref="D13:Q13"/>
    <mergeCell ref="C19:R19"/>
    <mergeCell ref="E22:K22"/>
    <mergeCell ref="E23:K23"/>
    <mergeCell ref="E24:K24"/>
    <mergeCell ref="M22:Q22"/>
    <mergeCell ref="D15:Q16"/>
    <mergeCell ref="E25:K25"/>
    <mergeCell ref="E26:K26"/>
    <mergeCell ref="E21:K21"/>
    <mergeCell ref="M21:Q21"/>
    <mergeCell ref="M26:Q26"/>
    <mergeCell ref="M25:Q25"/>
    <mergeCell ref="M24:Q24"/>
    <mergeCell ref="M23:Q23"/>
    <mergeCell ref="M27:Q27"/>
    <mergeCell ref="E28:K28"/>
    <mergeCell ref="M28:Q28"/>
    <mergeCell ref="D32:Q32"/>
    <mergeCell ref="E27:K27"/>
    <mergeCell ref="E29:K29"/>
    <mergeCell ref="M29:Q29"/>
    <mergeCell ref="E6:G6"/>
    <mergeCell ref="H6:I6"/>
    <mergeCell ref="J6:L6"/>
    <mergeCell ref="M6:O6"/>
    <mergeCell ref="P6:R6"/>
  </mergeCells>
  <phoneticPr fontId="14" type="noConversion"/>
  <conditionalFormatting sqref="L10">
    <cfRule type="cellIs" dxfId="15" priority="3" operator="equal">
      <formula>"Oui"</formula>
    </cfRule>
    <cfRule type="cellIs" dxfId="14" priority="4" operator="equal">
      <formula>"Non"</formula>
    </cfRule>
  </conditionalFormatting>
  <conditionalFormatting sqref="L21:L29">
    <cfRule type="cellIs" dxfId="13" priority="1" operator="equal">
      <formula>"Oui"</formula>
    </cfRule>
    <cfRule type="cellIs" dxfId="12" priority="2" operator="equal">
      <formula>"Non"</formula>
    </cfRule>
  </conditionalFormatting>
  <dataValidations count="3">
    <dataValidation type="list" allowBlank="1" showInputMessage="1" showErrorMessage="1" sqref="L10 L21:L29" xr:uid="{7D1E51BD-197D-46C1-9505-B0EDB5700FC4}">
      <formula1>LISTE_1</formula1>
    </dataValidation>
    <dataValidation allowBlank="1" showInputMessage="1" showErrorMessage="1" prompt="changement du maitre d’ouvrage ou de l’exploitant_x000a_la construction d’une nouvelle STEU ou la réhabilitation d’une STEU ;_x000a_la modification des points particuliers du système de collecte et des points de déversement au milieu ;_x000a_..._x000a__x000a__x000a__x000a__x000a__x000a_" sqref="E10:K10" xr:uid="{D81D6C72-D13E-42EE-944C-B78086C5EEEC}"/>
    <dataValidation allowBlank="1" showInputMessage="1" showErrorMessage="1" prompt="Joindre en annexe du rapport un exemple de fiche de vie pour chaque type de contrôle" sqref="C19:R19" xr:uid="{21CEABF3-B54C-4669-B22F-7C3EF1FBD22E}"/>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I60"/>
  <sheetViews>
    <sheetView topLeftCell="A25" zoomScale="90" zoomScaleNormal="90" workbookViewId="0">
      <selection activeCell="G24" sqref="G24:J24"/>
    </sheetView>
  </sheetViews>
  <sheetFormatPr baseColWidth="10" defaultColWidth="10.703125" defaultRowHeight="13" outlineLevelRow="1" x14ac:dyDescent="0.4"/>
  <cols>
    <col min="1" max="2" width="2.703125" style="312" customWidth="1"/>
    <col min="3" max="3" width="10.703125" style="312"/>
    <col min="4" max="16" width="12.703125" style="312" customWidth="1"/>
    <col min="17" max="17" width="12.703125" style="401" customWidth="1"/>
    <col min="18" max="18" width="17.87890625" style="401" customWidth="1"/>
    <col min="19" max="19" width="2.703125" style="312" customWidth="1"/>
    <col min="20" max="20" width="2.703125" style="309" customWidth="1"/>
    <col min="21" max="22" width="10.703125" style="309" customWidth="1"/>
    <col min="23" max="35" width="10.703125" style="309"/>
    <col min="36" max="16384" width="10.703125" style="312"/>
  </cols>
  <sheetData>
    <row r="1" spans="2:32" ht="9.9499999999999993" customHeight="1" thickBot="1" x14ac:dyDescent="0.45">
      <c r="B1" s="325"/>
      <c r="C1" s="326"/>
      <c r="D1" s="326"/>
      <c r="E1" s="326"/>
      <c r="F1" s="326"/>
      <c r="G1" s="326"/>
      <c r="H1" s="326"/>
      <c r="I1" s="326"/>
      <c r="J1" s="326"/>
      <c r="K1" s="326"/>
      <c r="L1" s="326"/>
      <c r="M1" s="326"/>
      <c r="N1" s="326"/>
      <c r="O1" s="326"/>
      <c r="P1" s="326"/>
      <c r="Q1" s="438"/>
      <c r="R1" s="438"/>
      <c r="S1" s="327"/>
      <c r="U1" s="1036" t="s">
        <v>299</v>
      </c>
      <c r="V1" s="1036" t="s">
        <v>299</v>
      </c>
      <c r="W1" s="1036" t="s">
        <v>299</v>
      </c>
      <c r="X1" s="1036" t="s">
        <v>299</v>
      </c>
      <c r="Y1" s="1036"/>
      <c r="Z1" s="1036"/>
      <c r="AA1" s="1036" t="s">
        <v>299</v>
      </c>
      <c r="AB1" s="1036" t="s">
        <v>299</v>
      </c>
      <c r="AC1" s="1036" t="s">
        <v>299</v>
      </c>
      <c r="AD1" s="1036" t="s">
        <v>299</v>
      </c>
      <c r="AE1" s="1036" t="s">
        <v>299</v>
      </c>
      <c r="AF1" s="1036"/>
    </row>
    <row r="2" spans="2:32" ht="30" customHeight="1" thickTop="1" x14ac:dyDescent="0.4">
      <c r="B2" s="328"/>
      <c r="C2" s="594" t="s">
        <v>393</v>
      </c>
      <c r="D2" s="595"/>
      <c r="E2" s="595"/>
      <c r="F2" s="595"/>
      <c r="G2" s="595"/>
      <c r="H2" s="595"/>
      <c r="I2" s="595"/>
      <c r="J2" s="595"/>
      <c r="K2" s="595"/>
      <c r="L2" s="595"/>
      <c r="M2" s="595"/>
      <c r="N2" s="595"/>
      <c r="O2" s="595"/>
      <c r="P2" s="595"/>
      <c r="Q2" s="595"/>
      <c r="R2" s="596"/>
      <c r="S2" s="323"/>
      <c r="U2" s="1036" t="s">
        <v>537</v>
      </c>
      <c r="V2" s="1036" t="s">
        <v>538</v>
      </c>
      <c r="W2" s="1036" t="s">
        <v>539</v>
      </c>
      <c r="X2" s="1036" t="s">
        <v>421</v>
      </c>
      <c r="Y2" s="1036" t="s">
        <v>324</v>
      </c>
      <c r="Z2" s="1036" t="s">
        <v>537</v>
      </c>
      <c r="AA2" s="1036" t="s">
        <v>422</v>
      </c>
      <c r="AB2" s="1036" t="s">
        <v>423</v>
      </c>
      <c r="AC2" s="357" t="s">
        <v>424</v>
      </c>
      <c r="AD2" s="357" t="s">
        <v>30</v>
      </c>
      <c r="AE2" s="1036" t="s">
        <v>168</v>
      </c>
    </row>
    <row r="3" spans="2:32" ht="20.100000000000001" customHeight="1" x14ac:dyDescent="0.4">
      <c r="B3" s="328"/>
      <c r="C3" s="597" t="s">
        <v>479</v>
      </c>
      <c r="D3" s="598"/>
      <c r="E3" s="599" t="str">
        <f>IF(ISBLANK(Descriptif!L3),"",Descriptif!L3)</f>
        <v/>
      </c>
      <c r="F3" s="599"/>
      <c r="G3" s="599"/>
      <c r="H3" s="598" t="s">
        <v>496</v>
      </c>
      <c r="I3" s="598"/>
      <c r="J3" s="599" t="str">
        <f>IF(ISBLANK(Descriptif!Q3),"",Descriptif!Q3)</f>
        <v/>
      </c>
      <c r="K3" s="599"/>
      <c r="L3" s="599"/>
      <c r="M3" s="598" t="s">
        <v>465</v>
      </c>
      <c r="N3" s="598"/>
      <c r="O3" s="598"/>
      <c r="P3" s="599" t="str">
        <f>IF(ISBLANK(Descriptif!U3),"",Descriptif!U3)</f>
        <v/>
      </c>
      <c r="Q3" s="599"/>
      <c r="R3" s="600"/>
      <c r="S3" s="323"/>
      <c r="X3" s="309" t="str" cm="1">
        <f t="array" ref="X3">IFERROR(INDEX($T$21:$T$1021,SMALL(IF($T$21:$T$1021&lt;&gt;"",ROW($T$21:$T$1021)-ROW($T$21)+1),ROW(1:1))),"")</f>
        <v/>
      </c>
      <c r="Y3" s="309" t="str">
        <f>IF(X3&lt;&gt;"",LEFT(X3,2),"")</f>
        <v/>
      </c>
      <c r="Z3" s="309" t="str">
        <f>IF($X3&lt;&gt;"",MID($X3, SEARCH("_", $X3) + 1, SEARCH("_", $X3, SEARCH("_",$X3) + 1) - SEARCH("_", $X3) - 1),"")</f>
        <v/>
      </c>
      <c r="AA3" s="309" t="str" cm="1">
        <f t="array" ref="AA3">IFERROR(INDEX($U$21:$U$1021,SMALL(IF($T$21:$T$1021&lt;&gt;"",ROW($T$21:$T$1021)-ROW($T$21)+1),ROW(1:1))),"")</f>
        <v/>
      </c>
      <c r="AB3" s="309" t="str" cm="1">
        <f t="array" ref="AB3">IFERROR(INDEX($V$21:$V$1021,SMALL(IF($T$21:$T$1021&lt;&gt;"",ROW($T$21:$T$1021)-ROW($T$21)+1),ROW(1:1))),"")</f>
        <v/>
      </c>
      <c r="AC3" s="309" t="str" cm="1">
        <f t="array" ref="AC3">IFERROR(INDEX($W$21:$W$1021,SMALL(IF($T$21:$T$1021&lt;&gt;"",ROW($T$21:$T$1021)-ROW($T$21)+1),ROW(1:1))),"")</f>
        <v/>
      </c>
      <c r="AD3" s="309" t="str">
        <f>IF(AND(X3&lt;&gt;"",AC3&lt;&gt;""),(AC3/100  * (1-$N$15)*100),"")</f>
        <v/>
      </c>
      <c r="AE3" s="309" t="str">
        <f>IF(X3&lt;&gt;"",IF(AD3&lt;&gt;"",IF(AD3&gt;80,"Validé",IF(AD3&lt;70,"Non Validé","Réserve")),"Non contrôlé"),"")</f>
        <v/>
      </c>
    </row>
    <row r="4" spans="2:32" ht="20.100000000000001" customHeight="1" x14ac:dyDescent="0.4">
      <c r="B4" s="328"/>
      <c r="C4" s="597" t="s">
        <v>481</v>
      </c>
      <c r="D4" s="598"/>
      <c r="E4" s="599" t="str">
        <f>IF(ISBLANK(Descriptif!L4),"",Descriptif!L4)</f>
        <v/>
      </c>
      <c r="F4" s="599"/>
      <c r="G4" s="599"/>
      <c r="H4" s="598" t="s">
        <v>481</v>
      </c>
      <c r="I4" s="598"/>
      <c r="J4" s="599" t="str">
        <f>IF(ISBLANK(Descriptif!Q4),"",Descriptif!Q4)</f>
        <v/>
      </c>
      <c r="K4" s="599"/>
      <c r="L4" s="599"/>
      <c r="M4" s="598" t="s">
        <v>466</v>
      </c>
      <c r="N4" s="598"/>
      <c r="O4" s="598"/>
      <c r="P4" s="599" t="str">
        <f>IF(ISBLANK(Descriptif!U4),"",Descriptif!U4)</f>
        <v/>
      </c>
      <c r="Q4" s="599"/>
      <c r="R4" s="600"/>
      <c r="S4" s="323"/>
      <c r="X4" s="309" t="str" cm="1">
        <f t="array" ref="X4">IFERROR(INDEX($T$21:$T$1021,SMALL(IF($T$21:$T$1021&lt;&gt;"",ROW($T$21:$T$1021)-ROW($T$21)+1),ROW(2:2))),"")</f>
        <v/>
      </c>
      <c r="Y4" s="309" t="str">
        <f t="shared" ref="Y4:Y20" si="0">IF(X4&lt;&gt;"",LEFT(X4,2),"")</f>
        <v/>
      </c>
      <c r="Z4" s="309" t="str">
        <f t="shared" ref="Z4:Z20" si="1">IF($X4&lt;&gt;"",MID($X4, SEARCH("_", $X4) + 1, SEARCH("_", $X4, SEARCH("_",$X4) + 1) - SEARCH("_", $X4) - 1),"")</f>
        <v/>
      </c>
      <c r="AA4" s="309" t="str" cm="1">
        <f t="array" ref="AA4">IFERROR(INDEX($U$21:$U$1021,SMALL(IF($T$21:$T$1021&lt;&gt;"",ROW($T$21:$T$1021)-ROW($T$21)+1),ROW(2:2))),"")</f>
        <v/>
      </c>
      <c r="AB4" s="309" t="str" cm="1">
        <f t="array" ref="AB4">IFERROR(INDEX($V$21:$V$1021,SMALL(IF($T$21:$T$1021&lt;&gt;"",ROW($T$21:$T$1021)-ROW($T$21)+1),ROW(2:2))),"")</f>
        <v/>
      </c>
      <c r="AC4" s="309" t="str" cm="1">
        <f t="array" ref="AC4">IFERROR(INDEX($W$21:$W$1021,SMALL(IF($T$21:$T$1021&lt;&gt;"",ROW($T$21:$T$1021)-ROW($T$21)+1),ROW(2:2))),"")</f>
        <v/>
      </c>
      <c r="AD4" s="309" t="str">
        <f t="shared" ref="AD4:AD20" si="2">IF(AND(X4&lt;&gt;"",AC4&lt;&gt;""),(AC4/100  * (1-$N$15)*100),"")</f>
        <v/>
      </c>
      <c r="AE4" s="309" t="str">
        <f t="shared" ref="AE4:AE19" si="3">IF(X4&lt;&gt;"",IF(AD4&lt;&gt;"",IF(AD4&gt;80,"Validé",IF(AD4&lt;70,"Non Validé","Réserve")),"Non contrôlé"),"")</f>
        <v/>
      </c>
    </row>
    <row r="5" spans="2:32" ht="30" customHeight="1" x14ac:dyDescent="0.4">
      <c r="B5" s="328"/>
      <c r="C5" s="597" t="s">
        <v>482</v>
      </c>
      <c r="D5" s="598"/>
      <c r="E5" s="599" t="str">
        <f>IF(ISBLANK(Descriptif!F5),"",Descriptif!F5)</f>
        <v/>
      </c>
      <c r="F5" s="599"/>
      <c r="G5" s="599"/>
      <c r="H5" s="598" t="s">
        <v>475</v>
      </c>
      <c r="I5" s="598"/>
      <c r="J5" s="599" t="str">
        <f>IF(ISBLANK(Descriptif!Q5),"",Descriptif!Q5)</f>
        <v/>
      </c>
      <c r="K5" s="599"/>
      <c r="L5" s="599"/>
      <c r="M5" s="598" t="s">
        <v>467</v>
      </c>
      <c r="N5" s="598"/>
      <c r="O5" s="598"/>
      <c r="P5" s="644" t="str">
        <f>IF(ISBLANK(Descriptif!U5),"",Descriptif!U5)</f>
        <v/>
      </c>
      <c r="Q5" s="644"/>
      <c r="R5" s="645"/>
      <c r="S5" s="323"/>
      <c r="X5" s="309" t="str" cm="1">
        <f t="array" ref="X5">IFERROR(INDEX($T$21:$T$1021,SMALL(IF($T$21:$T$1021&lt;&gt;"",ROW($T$21:$T$1021)-ROW($T$21)+1),ROW(3:3))),"")</f>
        <v/>
      </c>
      <c r="Y5" s="309" t="str">
        <f t="shared" si="0"/>
        <v/>
      </c>
      <c r="Z5" s="309" t="str">
        <f t="shared" si="1"/>
        <v/>
      </c>
      <c r="AA5" s="309" t="str" cm="1">
        <f t="array" ref="AA5">IFERROR(INDEX($U$21:$U$1021,SMALL(IF($T$21:$T$1021&lt;&gt;"",ROW($T$21:$T$1021)-ROW($T$21)+1),ROW(3:3))),"")</f>
        <v/>
      </c>
      <c r="AB5" s="309" t="str" cm="1">
        <f t="array" ref="AB5">IFERROR(INDEX($V$21:$V$1021,SMALL(IF($T$21:$T$1021&lt;&gt;"",ROW($T$21:$T$1021)-ROW($T$21)+1),ROW(3:3))),"")</f>
        <v/>
      </c>
      <c r="AC5" s="309" t="str" cm="1">
        <f t="array" ref="AC5">IFERROR(INDEX($W$21:$W$1021,SMALL(IF($T$21:$T$1021&lt;&gt;"",ROW($T$21:$T$1021)-ROW($T$21)+1),ROW(3:3))),"")</f>
        <v/>
      </c>
      <c r="AD5" s="309" t="str">
        <f t="shared" si="2"/>
        <v/>
      </c>
      <c r="AE5" s="309" t="str">
        <f t="shared" si="3"/>
        <v/>
      </c>
    </row>
    <row r="6" spans="2:32" ht="20.100000000000001" customHeight="1" thickBot="1" x14ac:dyDescent="0.45">
      <c r="B6" s="328"/>
      <c r="C6" s="601" t="s">
        <v>483</v>
      </c>
      <c r="D6" s="553"/>
      <c r="E6" s="554" t="str">
        <f>IF(ISBLANK(Descriptif!L6),"",Descriptif!F6)</f>
        <v/>
      </c>
      <c r="F6" s="554"/>
      <c r="G6" s="554"/>
      <c r="H6" s="553" t="s">
        <v>483</v>
      </c>
      <c r="I6" s="553"/>
      <c r="J6" s="554" t="str">
        <f>IF(ISBLANK(Descriptif!Q6),"",Descriptif!Q6)</f>
        <v/>
      </c>
      <c r="K6" s="554"/>
      <c r="L6" s="554"/>
      <c r="M6" s="553" t="s">
        <v>468</v>
      </c>
      <c r="N6" s="553"/>
      <c r="O6" s="553"/>
      <c r="P6" s="567" t="str">
        <f>IF(ISBLANK(Descriptif!U6),"",Descriptif!U6)</f>
        <v/>
      </c>
      <c r="Q6" s="567"/>
      <c r="R6" s="568"/>
      <c r="S6" s="323"/>
      <c r="X6" s="309" t="str" cm="1">
        <f t="array" ref="X6">IFERROR(INDEX($T$21:$T$1021,SMALL(IF($T$21:$T$1021&lt;&gt;"",ROW($T$21:$T$1021)-ROW($T$21)+1),ROW(4:4))),"")</f>
        <v/>
      </c>
      <c r="Y6" s="309" t="str">
        <f t="shared" si="0"/>
        <v/>
      </c>
      <c r="Z6" s="309" t="str">
        <f t="shared" si="1"/>
        <v/>
      </c>
      <c r="AA6" s="309" t="str" cm="1">
        <f t="array" ref="AA6">IFERROR(INDEX($U$21:$U$1021,SMALL(IF($T$21:$T$1021&lt;&gt;"",ROW($T$21:$T$1021)-ROW($T$21)+1),ROW(4:4))),"")</f>
        <v/>
      </c>
      <c r="AB6" s="309" t="str" cm="1">
        <f t="array" ref="AB6">IFERROR(INDEX($V$21:$V$1021,SMALL(IF($T$21:$T$1021&lt;&gt;"",ROW($T$21:$T$1021)-ROW($T$21)+1),ROW(4:4))),"")</f>
        <v/>
      </c>
      <c r="AC6" s="309" t="str" cm="1">
        <f t="array" ref="AC6">IFERROR(INDEX($W$21:$W$1021,SMALL(IF($T$21:$T$1021&lt;&gt;"",ROW($T$21:$T$1021)-ROW($T$21)+1),ROW(4:4))),"")</f>
        <v/>
      </c>
      <c r="AD6" s="309" t="str">
        <f t="shared" si="2"/>
        <v/>
      </c>
      <c r="AE6" s="309" t="str">
        <f t="shared" si="3"/>
        <v/>
      </c>
    </row>
    <row r="7" spans="2:32" ht="9.9499999999999993" customHeight="1" thickTop="1" thickBot="1" x14ac:dyDescent="0.45">
      <c r="B7" s="328"/>
      <c r="C7" s="329"/>
      <c r="D7" s="329"/>
      <c r="E7" s="329"/>
      <c r="F7" s="329"/>
      <c r="G7" s="329"/>
      <c r="H7" s="329"/>
      <c r="I7" s="329"/>
      <c r="J7" s="329"/>
      <c r="K7" s="329"/>
      <c r="L7" s="329"/>
      <c r="M7" s="329"/>
      <c r="N7" s="329"/>
      <c r="O7" s="329"/>
      <c r="P7" s="329"/>
      <c r="Q7" s="439"/>
      <c r="R7" s="439"/>
      <c r="S7" s="323"/>
      <c r="X7" s="309" t="str" cm="1">
        <f t="array" ref="X7">IFERROR(INDEX($T$21:$T$1021,SMALL(IF($T$21:$T$1021&lt;&gt;"",ROW($T$21:$T$1021)-ROW($T$21)+1),ROW(5:5))),"")</f>
        <v/>
      </c>
      <c r="Y7" s="309" t="str">
        <f t="shared" si="0"/>
        <v/>
      </c>
      <c r="Z7" s="309" t="str">
        <f t="shared" si="1"/>
        <v/>
      </c>
      <c r="AA7" s="309" t="str" cm="1">
        <f t="array" ref="AA7">IFERROR(INDEX($U$21:$U$1021,SMALL(IF($T$21:$T$1021&lt;&gt;"",ROW($T$21:$T$1021)-ROW($T$21)+1),ROW(5:5))),"")</f>
        <v/>
      </c>
      <c r="AB7" s="309" t="str" cm="1">
        <f t="array" ref="AB7">IFERROR(INDEX($V$21:$V$1021,SMALL(IF($T$21:$T$1021&lt;&gt;"",ROW($T$21:$T$1021)-ROW($T$21)+1),ROW(5:5))),"")</f>
        <v/>
      </c>
      <c r="AC7" s="309" t="str" cm="1">
        <f t="array" ref="AC7">IFERROR(INDEX($W$21:$W$1021,SMALL(IF($T$21:$T$1021&lt;&gt;"",ROW($T$21:$T$1021)-ROW($T$21)+1),ROW(5:5))),"")</f>
        <v/>
      </c>
      <c r="AD7" s="309" t="str">
        <f t="shared" si="2"/>
        <v/>
      </c>
      <c r="AE7" s="309" t="str">
        <f t="shared" si="3"/>
        <v/>
      </c>
    </row>
    <row r="8" spans="2:32" ht="20.100000000000001" customHeight="1" thickTop="1" thickBot="1" x14ac:dyDescent="0.45">
      <c r="B8" s="328"/>
      <c r="C8" s="641" t="s">
        <v>527</v>
      </c>
      <c r="D8" s="642"/>
      <c r="E8" s="642"/>
      <c r="F8" s="642"/>
      <c r="G8" s="642"/>
      <c r="H8" s="642"/>
      <c r="I8" s="642"/>
      <c r="J8" s="642"/>
      <c r="K8" s="642"/>
      <c r="L8" s="642"/>
      <c r="M8" s="642"/>
      <c r="N8" s="642"/>
      <c r="O8" s="642"/>
      <c r="P8" s="642"/>
      <c r="Q8" s="642"/>
      <c r="R8" s="678"/>
      <c r="S8" s="323"/>
      <c r="X8" s="309" t="str" cm="1">
        <f t="array" ref="X8">IFERROR(INDEX($T$21:$T$1021,SMALL(IF($T$21:$T$1021&lt;&gt;"",ROW($T$21:$T$1021)-ROW($T$21)+1),ROW(6:6))),"")</f>
        <v/>
      </c>
      <c r="Y8" s="309" t="str">
        <f t="shared" si="0"/>
        <v/>
      </c>
      <c r="Z8" s="309" t="str">
        <f t="shared" si="1"/>
        <v/>
      </c>
      <c r="AA8" s="309" t="str" cm="1">
        <f t="array" ref="AA8">IFERROR(INDEX($U$21:$U$1021,SMALL(IF($T$21:$T$1021&lt;&gt;"",ROW($T$21:$T$1021)-ROW($T$21)+1),ROW(6:6))),"")</f>
        <v/>
      </c>
      <c r="AB8" s="309" t="str" cm="1">
        <f t="array" ref="AB8">IFERROR(INDEX($V$21:$V$1021,SMALL(IF($T$21:$T$1021&lt;&gt;"",ROW($T$21:$T$1021)-ROW($T$21)+1),ROW(6:6))),"")</f>
        <v/>
      </c>
      <c r="AC8" s="309" t="str" cm="1">
        <f t="array" ref="AC8">IFERROR(INDEX($W$21:$W$1021,SMALL(IF($T$21:$T$1021&lt;&gt;"",ROW($T$21:$T$1021)-ROW($T$21)+1),ROW(6:6))),"")</f>
        <v/>
      </c>
      <c r="AD8" s="309" t="str">
        <f t="shared" si="2"/>
        <v/>
      </c>
      <c r="AE8" s="309" t="str">
        <f t="shared" si="3"/>
        <v/>
      </c>
    </row>
    <row r="9" spans="2:32" ht="20.100000000000001" customHeight="1" outlineLevel="1" thickTop="1" x14ac:dyDescent="0.4">
      <c r="B9" s="328"/>
      <c r="C9" s="330"/>
      <c r="D9" s="329"/>
      <c r="E9" s="329"/>
      <c r="F9" s="329"/>
      <c r="G9" s="329"/>
      <c r="H9" s="329"/>
      <c r="I9" s="329"/>
      <c r="J9" s="329"/>
      <c r="K9" s="329"/>
      <c r="L9" s="329"/>
      <c r="M9" s="329"/>
      <c r="N9" s="329"/>
      <c r="O9" s="329"/>
      <c r="P9" s="329"/>
      <c r="Q9" s="439"/>
      <c r="R9" s="440"/>
      <c r="S9" s="323"/>
      <c r="X9" s="309" t="str" cm="1">
        <f t="array" ref="X9">IFERROR(INDEX($T$21:$T$1021,SMALL(IF($T$21:$T$1021&lt;&gt;"",ROW($T$21:$T$1021)-ROW($T$21)+1),ROW(7:7))),"")</f>
        <v/>
      </c>
      <c r="Y9" s="309" t="str">
        <f t="shared" si="0"/>
        <v/>
      </c>
      <c r="Z9" s="309" t="str">
        <f t="shared" si="1"/>
        <v/>
      </c>
      <c r="AA9" s="309" t="str" cm="1">
        <f t="array" ref="AA9">IFERROR(INDEX($U$21:$U$1021,SMALL(IF($T$21:$T$1021&lt;&gt;"",ROW($T$21:$T$1021)-ROW($T$21)+1),ROW(7:7))),"")</f>
        <v/>
      </c>
      <c r="AB9" s="309" t="str" cm="1">
        <f t="array" ref="AB9">IFERROR(INDEX($V$21:$V$1021,SMALL(IF($T$21:$T$1021&lt;&gt;"",ROW($T$21:$T$1021)-ROW($T$21)+1),ROW(7:7))),"")</f>
        <v/>
      </c>
      <c r="AC9" s="309" t="str" cm="1">
        <f t="array" ref="AC9">IFERROR(INDEX($W$21:$W$1021,SMALL(IF($T$21:$T$1021&lt;&gt;"",ROW($T$21:$T$1021)-ROW($T$21)+1),ROW(7:7))),"")</f>
        <v/>
      </c>
      <c r="AD9" s="309" t="str">
        <f t="shared" si="2"/>
        <v/>
      </c>
      <c r="AE9" s="309" t="str">
        <f t="shared" si="3"/>
        <v/>
      </c>
    </row>
    <row r="10" spans="2:32" ht="32.1" customHeight="1" outlineLevel="1" x14ac:dyDescent="0.4">
      <c r="B10" s="328"/>
      <c r="C10" s="330"/>
      <c r="D10" s="679" t="s">
        <v>177</v>
      </c>
      <c r="E10" s="680"/>
      <c r="F10" s="680"/>
      <c r="G10" s="680"/>
      <c r="H10" s="680"/>
      <c r="I10" s="680"/>
      <c r="J10" s="680"/>
      <c r="K10" s="680"/>
      <c r="L10" s="680"/>
      <c r="M10" s="681"/>
      <c r="N10" s="610" t="s">
        <v>434</v>
      </c>
      <c r="O10" s="611"/>
      <c r="P10" s="612"/>
      <c r="Q10" s="439"/>
      <c r="R10" s="440"/>
      <c r="S10" s="323"/>
      <c r="X10" s="309" t="str" cm="1">
        <f t="array" ref="X10">IFERROR(INDEX($T$21:$T$1021,SMALL(IF($T$21:$T$1021&lt;&gt;"",ROW($T$21:$T$1021)-ROW($T$21)+1),ROW(8:8))),"")</f>
        <v/>
      </c>
      <c r="Y10" s="309" t="str">
        <f t="shared" si="0"/>
        <v/>
      </c>
      <c r="Z10" s="309" t="str">
        <f t="shared" si="1"/>
        <v/>
      </c>
      <c r="AA10" s="309" t="str" cm="1">
        <f t="array" ref="AA10">IFERROR(INDEX($U$21:$U$1021,SMALL(IF($T$21:$T$1021&lt;&gt;"",ROW($T$21:$T$1021)-ROW($T$21)+1),ROW(8:8))),"")</f>
        <v/>
      </c>
      <c r="AB10" s="309" t="str" cm="1">
        <f t="array" ref="AB10">IFERROR(INDEX($V$21:$V$1021,SMALL(IF($T$21:$T$1021&lt;&gt;"",ROW($T$21:$T$1021)-ROW($T$21)+1),ROW(8:8))),"")</f>
        <v/>
      </c>
      <c r="AC10" s="309" t="str" cm="1">
        <f t="array" ref="AC10">IFERROR(INDEX($W$21:$W$1021,SMALL(IF($T$21:$T$1021&lt;&gt;"",ROW($T$21:$T$1021)-ROW($T$21)+1),ROW(8:8))),"")</f>
        <v/>
      </c>
      <c r="AD10" s="309" t="str">
        <f t="shared" si="2"/>
        <v/>
      </c>
      <c r="AE10" s="309" t="str">
        <f t="shared" si="3"/>
        <v/>
      </c>
    </row>
    <row r="11" spans="2:32" ht="32.1" customHeight="1" outlineLevel="1" x14ac:dyDescent="0.4">
      <c r="B11" s="328"/>
      <c r="C11" s="330"/>
      <c r="D11" s="606" t="s">
        <v>484</v>
      </c>
      <c r="E11" s="607"/>
      <c r="F11" s="607"/>
      <c r="G11" s="607"/>
      <c r="H11" s="607"/>
      <c r="I11" s="607"/>
      <c r="J11" s="607"/>
      <c r="K11" s="607"/>
      <c r="L11" s="608"/>
      <c r="M11" s="609"/>
      <c r="N11" s="613" t="str">
        <f>IF(L11="","",IF(L11="Non",0.1,0))</f>
        <v/>
      </c>
      <c r="O11" s="614"/>
      <c r="P11" s="615"/>
      <c r="Q11" s="439"/>
      <c r="R11" s="440"/>
      <c r="S11" s="323"/>
      <c r="X11" s="309" t="str" cm="1">
        <f t="array" ref="X11">IFERROR(INDEX($T$21:$T$1021,SMALL(IF($T$21:$T$1021&lt;&gt;"",ROW($T$21:$T$1021)-ROW($T$21)+1),ROW(9:9))),"")</f>
        <v/>
      </c>
      <c r="Y11" s="309" t="str">
        <f t="shared" si="0"/>
        <v/>
      </c>
      <c r="Z11" s="309" t="str">
        <f t="shared" si="1"/>
        <v/>
      </c>
      <c r="AA11" s="309" t="str" cm="1">
        <f t="array" ref="AA11">IFERROR(INDEX($U$21:$U$1021,SMALL(IF($T$21:$T$1021&lt;&gt;"",ROW($T$21:$T$1021)-ROW($T$21)+1),ROW(9:9))),"")</f>
        <v/>
      </c>
      <c r="AB11" s="309" t="str" cm="1">
        <f t="array" ref="AB11">IFERROR(INDEX($V$21:$V$1021,SMALL(IF($T$21:$T$1021&lt;&gt;"",ROW($T$21:$T$1021)-ROW($T$21)+1),ROW(9:9))),"")</f>
        <v/>
      </c>
      <c r="AC11" s="309" t="str" cm="1">
        <f t="array" ref="AC11">IFERROR(INDEX($W$21:$W$1021,SMALL(IF($T$21:$T$1021&lt;&gt;"",ROW($T$21:$T$1021)-ROW($T$21)+1),ROW(9:9))),"")</f>
        <v/>
      </c>
      <c r="AD11" s="309" t="str">
        <f t="shared" si="2"/>
        <v/>
      </c>
      <c r="AE11" s="309" t="str">
        <f t="shared" si="3"/>
        <v/>
      </c>
    </row>
    <row r="12" spans="2:32" ht="32.1" customHeight="1" outlineLevel="1" x14ac:dyDescent="0.4">
      <c r="B12" s="328"/>
      <c r="C12" s="330"/>
      <c r="D12" s="674" t="s">
        <v>485</v>
      </c>
      <c r="E12" s="675"/>
      <c r="F12" s="675"/>
      <c r="G12" s="675"/>
      <c r="H12" s="675"/>
      <c r="I12" s="675"/>
      <c r="J12" s="675"/>
      <c r="K12" s="675"/>
      <c r="L12" s="676"/>
      <c r="M12" s="677"/>
      <c r="N12" s="616" t="str">
        <f>IF(L12="","",IF(L12="Non",0.1,0))</f>
        <v/>
      </c>
      <c r="O12" s="617"/>
      <c r="P12" s="618"/>
      <c r="Q12" s="439"/>
      <c r="R12" s="440"/>
      <c r="S12" s="323"/>
      <c r="X12" s="309" t="str" cm="1">
        <f t="array" ref="X12">IFERROR(INDEX($T$21:$T$1021,SMALL(IF($T$21:$T$1021&lt;&gt;"",ROW($T$21:$T$1021)-ROW($T$21)+1),ROW(10:10))),"")</f>
        <v/>
      </c>
      <c r="Y12" s="309" t="str">
        <f t="shared" si="0"/>
        <v/>
      </c>
      <c r="Z12" s="309" t="str">
        <f t="shared" si="1"/>
        <v/>
      </c>
      <c r="AA12" s="309" t="str" cm="1">
        <f t="array" ref="AA12">IFERROR(INDEX($U$21:$U$1021,SMALL(IF($T$21:$T$1021&lt;&gt;"",ROW($T$21:$T$1021)-ROW($T$21)+1),ROW(10:10))),"")</f>
        <v/>
      </c>
      <c r="AB12" s="309" t="str" cm="1">
        <f t="array" ref="AB12">IFERROR(INDEX($V$21:$V$1021,SMALL(IF($T$21:$T$1021&lt;&gt;"",ROW($T$21:$T$1021)-ROW($T$21)+1),ROW(10:10))),"")</f>
        <v/>
      </c>
      <c r="AC12" s="309" t="str" cm="1">
        <f t="array" ref="AC12">IFERROR(INDEX($W$21:$W$1021,SMALL(IF($T$21:$T$1021&lt;&gt;"",ROW($T$21:$T$1021)-ROW($T$21)+1),ROW(10:10))),"")</f>
        <v/>
      </c>
      <c r="AD12" s="309" t="str">
        <f t="shared" si="2"/>
        <v/>
      </c>
      <c r="AE12" s="309" t="str">
        <f t="shared" si="3"/>
        <v/>
      </c>
    </row>
    <row r="13" spans="2:32" ht="32.1" customHeight="1" outlineLevel="1" x14ac:dyDescent="0.4">
      <c r="B13" s="328"/>
      <c r="C13" s="330"/>
      <c r="D13" s="674" t="s">
        <v>486</v>
      </c>
      <c r="E13" s="675"/>
      <c r="F13" s="675"/>
      <c r="G13" s="675"/>
      <c r="H13" s="675"/>
      <c r="I13" s="675"/>
      <c r="J13" s="675"/>
      <c r="K13" s="675"/>
      <c r="L13" s="676"/>
      <c r="M13" s="677"/>
      <c r="N13" s="616" t="str">
        <f>IF(L13="","",IF(L13="Non",0.1,0))</f>
        <v/>
      </c>
      <c r="O13" s="617"/>
      <c r="P13" s="618"/>
      <c r="Q13" s="439"/>
      <c r="R13" s="440"/>
      <c r="S13" s="323"/>
      <c r="X13" s="309" t="str" cm="1">
        <f t="array" ref="X13">IFERROR(INDEX($T$21:$T$1021,SMALL(IF($T$21:$T$1021&lt;&gt;"",ROW($T$21:$T$1021)-ROW($T$21)+1),ROW(11:11))),"")</f>
        <v/>
      </c>
      <c r="Y13" s="309" t="str">
        <f t="shared" si="0"/>
        <v/>
      </c>
      <c r="Z13" s="309" t="str">
        <f t="shared" si="1"/>
        <v/>
      </c>
      <c r="AA13" s="309" t="str" cm="1">
        <f t="array" ref="AA13">IFERROR(INDEX($U$21:$U$1021,SMALL(IF($T$21:$T$1021&lt;&gt;"",ROW($T$21:$T$1021)-ROW($T$21)+1),ROW(11:11))),"")</f>
        <v/>
      </c>
      <c r="AB13" s="309" t="str" cm="1">
        <f t="array" ref="AB13">IFERROR(INDEX($V$21:$V$1021,SMALL(IF($T$21:$T$1021&lt;&gt;"",ROW($T$21:$T$1021)-ROW($T$21)+1),ROW(11:11))),"")</f>
        <v/>
      </c>
      <c r="AC13" s="309" t="str" cm="1">
        <f t="array" ref="AC13">IFERROR(INDEX($W$21:$W$1021,SMALL(IF($T$21:$T$1021&lt;&gt;"",ROW($T$21:$T$1021)-ROW($T$21)+1),ROW(11:11))),"")</f>
        <v/>
      </c>
      <c r="AD13" s="309" t="str">
        <f t="shared" si="2"/>
        <v/>
      </c>
      <c r="AE13" s="309" t="str">
        <f t="shared" si="3"/>
        <v/>
      </c>
    </row>
    <row r="14" spans="2:32" ht="32.1" customHeight="1" outlineLevel="1" x14ac:dyDescent="0.4">
      <c r="B14" s="328"/>
      <c r="C14" s="330"/>
      <c r="D14" s="655" t="s">
        <v>487</v>
      </c>
      <c r="E14" s="656"/>
      <c r="F14" s="656"/>
      <c r="G14" s="656"/>
      <c r="H14" s="656"/>
      <c r="I14" s="656"/>
      <c r="J14" s="656"/>
      <c r="K14" s="656"/>
      <c r="L14" s="657"/>
      <c r="M14" s="658"/>
      <c r="N14" s="669" t="str">
        <f>IF(L14="","",IF(L14="Non",0.1,0))</f>
        <v/>
      </c>
      <c r="O14" s="670"/>
      <c r="P14" s="671"/>
      <c r="Q14" s="439"/>
      <c r="R14" s="440"/>
      <c r="S14" s="323"/>
      <c r="X14" s="309" t="str" cm="1">
        <f t="array" ref="X14">IFERROR(INDEX($T$21:$T$1021,SMALL(IF($T$21:$T$1021&lt;&gt;"",ROW($T$21:$T$1021)-ROW($T$21)+1),ROW(12:12))),"")</f>
        <v/>
      </c>
      <c r="Y14" s="309" t="str">
        <f t="shared" si="0"/>
        <v/>
      </c>
      <c r="Z14" s="309" t="str">
        <f t="shared" si="1"/>
        <v/>
      </c>
      <c r="AA14" s="309" t="str" cm="1">
        <f t="array" ref="AA14">IFERROR(INDEX($U$21:$U$1021,SMALL(IF($T$21:$T$1021&lt;&gt;"",ROW($T$21:$T$1021)-ROW($T$21)+1),ROW(12:12))),"")</f>
        <v/>
      </c>
      <c r="AB14" s="309" t="str" cm="1">
        <f t="array" ref="AB14">IFERROR(INDEX($V$21:$V$1021,SMALL(IF($T$21:$T$1021&lt;&gt;"",ROW($T$21:$T$1021)-ROW($T$21)+1),ROW(12:12))),"")</f>
        <v/>
      </c>
      <c r="AC14" s="309" t="str" cm="1">
        <f t="array" ref="AC14">IFERROR(INDEX($W$21:$W$1021,SMALL(IF($T$21:$T$1021&lt;&gt;"",ROW($T$21:$T$1021)-ROW($T$21)+1),ROW(12:12))),"")</f>
        <v/>
      </c>
      <c r="AD14" s="309" t="str">
        <f t="shared" si="2"/>
        <v/>
      </c>
      <c r="AE14" s="309" t="str">
        <f t="shared" si="3"/>
        <v/>
      </c>
    </row>
    <row r="15" spans="2:32" ht="26.1" customHeight="1" outlineLevel="1" x14ac:dyDescent="0.4">
      <c r="B15" s="328"/>
      <c r="C15" s="330"/>
      <c r="D15" s="384"/>
      <c r="E15" s="384"/>
      <c r="F15" s="384"/>
      <c r="G15" s="384"/>
      <c r="H15" s="384"/>
      <c r="I15" s="384"/>
      <c r="J15" s="384"/>
      <c r="K15" s="384"/>
      <c r="L15" s="672" t="s">
        <v>400</v>
      </c>
      <c r="M15" s="673"/>
      <c r="N15" s="666">
        <f>SUM(N11:P14)</f>
        <v>0</v>
      </c>
      <c r="O15" s="667"/>
      <c r="P15" s="668"/>
      <c r="Q15" s="439"/>
      <c r="R15" s="440"/>
      <c r="S15" s="323"/>
      <c r="X15" s="309" t="str" cm="1">
        <f t="array" ref="X15">IFERROR(INDEX($T$21:$T$1021,SMALL(IF($T$21:$T$1021&lt;&gt;"",ROW($T$21:$T$1021)-ROW($T$21)+1),ROW(13:13))),"")</f>
        <v/>
      </c>
      <c r="Y15" s="309" t="str">
        <f t="shared" si="0"/>
        <v/>
      </c>
      <c r="Z15" s="309" t="str">
        <f t="shared" si="1"/>
        <v/>
      </c>
      <c r="AA15" s="309" t="str" cm="1">
        <f t="array" ref="AA15">IFERROR(INDEX($U$21:$U$1021,SMALL(IF($T$21:$T$1021&lt;&gt;"",ROW($T$21:$T$1021)-ROW($T$21)+1),ROW(13:13))),"")</f>
        <v/>
      </c>
      <c r="AB15" s="309" t="str" cm="1">
        <f t="array" ref="AB15">IFERROR(INDEX($V$21:$V$1021,SMALL(IF($T$21:$T$1021&lt;&gt;"",ROW($T$21:$T$1021)-ROW($T$21)+1),ROW(13:13))),"")</f>
        <v/>
      </c>
      <c r="AC15" s="309" t="str" cm="1">
        <f t="array" ref="AC15">IFERROR(INDEX($W$21:$W$1021,SMALL(IF($T$21:$T$1021&lt;&gt;"",ROW($T$21:$T$1021)-ROW($T$21)+1),ROW(13:13))),"")</f>
        <v/>
      </c>
      <c r="AD15" s="309" t="str">
        <f t="shared" si="2"/>
        <v/>
      </c>
      <c r="AE15" s="309" t="str">
        <f t="shared" si="3"/>
        <v/>
      </c>
    </row>
    <row r="16" spans="2:32" ht="20.100000000000001" customHeight="1" outlineLevel="1" x14ac:dyDescent="0.4">
      <c r="B16" s="328"/>
      <c r="C16" s="330"/>
      <c r="D16" s="331" t="s">
        <v>369</v>
      </c>
      <c r="E16" s="384"/>
      <c r="F16" s="384"/>
      <c r="G16" s="384"/>
      <c r="H16" s="384"/>
      <c r="I16" s="384"/>
      <c r="J16" s="384"/>
      <c r="K16" s="384"/>
      <c r="L16" s="384"/>
      <c r="M16" s="384"/>
      <c r="N16" s="384"/>
      <c r="O16" s="384"/>
      <c r="P16" s="384"/>
      <c r="Q16" s="441"/>
      <c r="R16" s="440"/>
      <c r="S16" s="323"/>
      <c r="Y16" s="309" t="str">
        <f t="shared" si="0"/>
        <v/>
      </c>
      <c r="Z16" s="309" t="str">
        <f t="shared" si="1"/>
        <v/>
      </c>
      <c r="AD16" s="309" t="str">
        <f t="shared" si="2"/>
        <v/>
      </c>
      <c r="AE16" s="309" t="str">
        <f t="shared" si="3"/>
        <v/>
      </c>
    </row>
    <row r="17" spans="2:31" ht="20.100000000000001" customHeight="1" outlineLevel="1" x14ac:dyDescent="0.4">
      <c r="B17" s="328"/>
      <c r="C17" s="330"/>
      <c r="D17" s="547"/>
      <c r="E17" s="548"/>
      <c r="F17" s="548"/>
      <c r="G17" s="548"/>
      <c r="H17" s="548"/>
      <c r="I17" s="548"/>
      <c r="J17" s="548"/>
      <c r="K17" s="548"/>
      <c r="L17" s="548"/>
      <c r="M17" s="548"/>
      <c r="N17" s="548"/>
      <c r="O17" s="548"/>
      <c r="P17" s="549"/>
      <c r="Q17" s="441"/>
      <c r="R17" s="440"/>
      <c r="S17" s="323"/>
      <c r="Y17" s="309" t="str">
        <f t="shared" si="0"/>
        <v/>
      </c>
      <c r="Z17" s="309" t="str">
        <f t="shared" si="1"/>
        <v/>
      </c>
      <c r="AD17" s="309" t="str">
        <f t="shared" si="2"/>
        <v/>
      </c>
      <c r="AE17" s="309" t="str">
        <f t="shared" si="3"/>
        <v/>
      </c>
    </row>
    <row r="18" spans="2:31" ht="20.100000000000001" customHeight="1" outlineLevel="1" x14ac:dyDescent="0.4">
      <c r="B18" s="328"/>
      <c r="C18" s="330"/>
      <c r="D18" s="550"/>
      <c r="E18" s="551"/>
      <c r="F18" s="551"/>
      <c r="G18" s="551"/>
      <c r="H18" s="551"/>
      <c r="I18" s="551"/>
      <c r="J18" s="551"/>
      <c r="K18" s="551"/>
      <c r="L18" s="551"/>
      <c r="M18" s="551"/>
      <c r="N18" s="551"/>
      <c r="O18" s="551"/>
      <c r="P18" s="552"/>
      <c r="Q18" s="441"/>
      <c r="R18" s="440"/>
      <c r="S18" s="323"/>
      <c r="Y18" s="309" t="str">
        <f t="shared" si="0"/>
        <v/>
      </c>
      <c r="Z18" s="309" t="str">
        <f t="shared" si="1"/>
        <v/>
      </c>
      <c r="AD18" s="309" t="str">
        <f t="shared" si="2"/>
        <v/>
      </c>
      <c r="AE18" s="309" t="str">
        <f t="shared" si="3"/>
        <v/>
      </c>
    </row>
    <row r="19" spans="2:31" ht="20.100000000000001" customHeight="1" outlineLevel="1" thickBot="1" x14ac:dyDescent="0.45">
      <c r="B19" s="328"/>
      <c r="C19" s="332"/>
      <c r="D19" s="333"/>
      <c r="E19" s="333"/>
      <c r="F19" s="333"/>
      <c r="G19" s="333"/>
      <c r="H19" s="333"/>
      <c r="I19" s="333"/>
      <c r="J19" s="333"/>
      <c r="K19" s="333"/>
      <c r="L19" s="333"/>
      <c r="M19" s="333"/>
      <c r="N19" s="333"/>
      <c r="O19" s="333"/>
      <c r="P19" s="333"/>
      <c r="Q19" s="442"/>
      <c r="R19" s="443"/>
      <c r="S19" s="323"/>
      <c r="X19" s="309" t="str" cm="1">
        <f t="array" ref="X19">IFERROR(INDEX($T$21:$T$1021,SMALL(IF($T$21:$T$1021&lt;&gt;"",ROW($T$21:$T$1021)-ROW($T$21)+1),ROW(14:14))),"")</f>
        <v/>
      </c>
      <c r="Y19" s="309" t="str">
        <f t="shared" si="0"/>
        <v/>
      </c>
      <c r="Z19" s="309" t="str">
        <f t="shared" si="1"/>
        <v/>
      </c>
      <c r="AA19" s="309" t="str" cm="1">
        <f t="array" ref="AA19">IFERROR(INDEX($U$21:$U$1021,SMALL(IF($T$21:$T$1021&lt;&gt;"",ROW($T$21:$T$1021)-ROW($T$21)+1),ROW(14:14))),"")</f>
        <v/>
      </c>
      <c r="AB19" s="309" t="str" cm="1">
        <f t="array" ref="AB19">IFERROR(INDEX($V$21:$V$1021,SMALL(IF($T$21:$T$1021&lt;&gt;"",ROW($T$21:$T$1021)-ROW($T$21)+1),ROW(14:14))),"")</f>
        <v/>
      </c>
      <c r="AC19" s="309" t="str" cm="1">
        <f t="array" ref="AC19">IFERROR(INDEX($W$21:$W$1021,SMALL(IF($T$21:$T$1021&lt;&gt;"",ROW($T$21:$T$1021)-ROW($T$21)+1),ROW(14:14))),"")</f>
        <v/>
      </c>
      <c r="AD19" s="309" t="str">
        <f t="shared" si="2"/>
        <v/>
      </c>
      <c r="AE19" s="309" t="str">
        <f t="shared" si="3"/>
        <v/>
      </c>
    </row>
    <row r="20" spans="2:31" ht="20.100000000000001" customHeight="1" thickTop="1" thickBot="1" x14ac:dyDescent="0.45">
      <c r="B20" s="328"/>
      <c r="C20" s="329"/>
      <c r="D20" s="329"/>
      <c r="E20" s="329"/>
      <c r="F20" s="329"/>
      <c r="G20" s="329"/>
      <c r="H20" s="329"/>
      <c r="I20" s="329"/>
      <c r="J20" s="329"/>
      <c r="K20" s="329"/>
      <c r="L20" s="329"/>
      <c r="M20" s="329"/>
      <c r="N20" s="329"/>
      <c r="O20" s="329"/>
      <c r="P20" s="329"/>
      <c r="Q20" s="439"/>
      <c r="R20" s="439"/>
      <c r="S20" s="323"/>
      <c r="X20" s="309" t="str" cm="1">
        <f t="array" ref="X20">IFERROR(INDEX($T$21:$T$1021,SMALL(IF($T$21:$T$1021&lt;&gt;"",ROW($T$21:$T$1021)-ROW($T$21)+1),ROW(15:15))),"")</f>
        <v/>
      </c>
      <c r="Y20" s="309" t="str">
        <f t="shared" si="0"/>
        <v/>
      </c>
      <c r="Z20" s="309" t="str">
        <f t="shared" si="1"/>
        <v/>
      </c>
      <c r="AA20" s="309" t="str" cm="1">
        <f t="array" ref="AA20">IFERROR(INDEX($U$21:$U$1021,SMALL(IF($T$21:$T$1021&lt;&gt;"",ROW($T$21:$T$1021)-ROW($T$21)+1),ROW(15:15))),"")</f>
        <v/>
      </c>
      <c r="AB20" s="309" t="str" cm="1">
        <f t="array" ref="AB20">IFERROR(INDEX($V$21:$V$1021,SMALL(IF($T$21:$T$1021&lt;&gt;"",ROW($T$21:$T$1021)-ROW($T$21)+1),ROW(15:15))),"")</f>
        <v/>
      </c>
      <c r="AC20" s="309" t="str" cm="1">
        <f t="array" ref="AC20">IFERROR(INDEX($W$21:$W$1021,SMALL(IF($T$21:$T$1021&lt;&gt;"",ROW($T$21:$T$1021)-ROW($T$21)+1),ROW(15:15))),"")</f>
        <v/>
      </c>
      <c r="AD20" s="309" t="str">
        <f t="shared" si="2"/>
        <v/>
      </c>
      <c r="AE20" s="309" t="str">
        <f>IF(X20&lt;&gt;"",IF(AD20&lt;&gt;"",IF(AD20&gt;80,"Validé",IF(AD20&lt;70,"Non Validé","Réserve")),"Non contrôlé"),"")</f>
        <v/>
      </c>
    </row>
    <row r="21" spans="2:31" ht="20.100000000000001" customHeight="1" thickTop="1" thickBot="1" x14ac:dyDescent="0.45">
      <c r="B21" s="328"/>
      <c r="C21" s="641" t="s">
        <v>31</v>
      </c>
      <c r="D21" s="642"/>
      <c r="E21" s="642"/>
      <c r="F21" s="642"/>
      <c r="G21" s="642"/>
      <c r="H21" s="642"/>
      <c r="I21" s="642"/>
      <c r="J21" s="642"/>
      <c r="K21" s="643" t="s">
        <v>534</v>
      </c>
      <c r="L21" s="643"/>
      <c r="M21" s="643"/>
      <c r="N21" s="643"/>
      <c r="O21" s="643"/>
      <c r="P21" s="643"/>
      <c r="Q21" s="643"/>
      <c r="R21" s="470"/>
      <c r="S21" s="323"/>
    </row>
    <row r="22" spans="2:31" ht="20.100000000000001" customHeight="1" outlineLevel="1" thickTop="1" x14ac:dyDescent="0.4">
      <c r="B22" s="328"/>
      <c r="C22" s="330"/>
      <c r="D22" s="403"/>
      <c r="E22" s="329"/>
      <c r="F22" s="329"/>
      <c r="G22" s="329"/>
      <c r="H22" s="329"/>
      <c r="I22" s="329"/>
      <c r="J22" s="329"/>
      <c r="K22" s="329"/>
      <c r="L22" s="329"/>
      <c r="M22" s="329"/>
      <c r="N22" s="329"/>
      <c r="O22" s="329"/>
      <c r="P22" s="329"/>
      <c r="Q22" s="444"/>
      <c r="R22" s="440"/>
      <c r="S22" s="323"/>
    </row>
    <row r="23" spans="2:31" ht="20.100000000000001" customHeight="1" outlineLevel="1" x14ac:dyDescent="0.4">
      <c r="B23" s="328"/>
      <c r="C23" s="330"/>
      <c r="D23" s="562" t="s">
        <v>532</v>
      </c>
      <c r="E23" s="563"/>
      <c r="F23" s="563"/>
      <c r="G23" s="563"/>
      <c r="H23" s="563"/>
      <c r="I23" s="563"/>
      <c r="J23" s="563"/>
      <c r="K23" s="563"/>
      <c r="L23" s="563"/>
      <c r="M23" s="563"/>
      <c r="N23" s="563"/>
      <c r="O23" s="563"/>
      <c r="P23" s="563"/>
      <c r="Q23" s="564"/>
      <c r="R23" s="440"/>
      <c r="S23" s="323"/>
    </row>
    <row r="24" spans="2:31" ht="20.100000000000001" customHeight="1" outlineLevel="1" x14ac:dyDescent="0.4">
      <c r="B24" s="328"/>
      <c r="C24" s="330"/>
      <c r="D24" s="659" t="s">
        <v>488</v>
      </c>
      <c r="E24" s="660"/>
      <c r="F24" s="661"/>
      <c r="G24" s="662"/>
      <c r="H24" s="663"/>
      <c r="I24" s="663"/>
      <c r="J24" s="664"/>
      <c r="K24" s="659" t="s">
        <v>489</v>
      </c>
      <c r="L24" s="660"/>
      <c r="M24" s="665"/>
      <c r="N24" s="565" t="str">
        <f>P5</f>
        <v/>
      </c>
      <c r="O24" s="565"/>
      <c r="P24" s="565"/>
      <c r="Q24" s="565"/>
      <c r="R24" s="440"/>
      <c r="S24" s="323"/>
    </row>
    <row r="25" spans="2:31" ht="30" customHeight="1" outlineLevel="1" x14ac:dyDescent="0.4">
      <c r="B25" s="328"/>
      <c r="C25" s="330"/>
      <c r="D25" s="624" t="s">
        <v>512</v>
      </c>
      <c r="E25" s="625"/>
      <c r="F25" s="626"/>
      <c r="G25" s="602"/>
      <c r="H25" s="602"/>
      <c r="I25" s="602"/>
      <c r="J25" s="603"/>
      <c r="K25" s="630" t="s">
        <v>531</v>
      </c>
      <c r="L25" s="631"/>
      <c r="M25" s="632"/>
      <c r="N25" s="566"/>
      <c r="O25" s="566"/>
      <c r="P25" s="566"/>
      <c r="Q25" s="566"/>
      <c r="R25" s="440"/>
      <c r="S25" s="323"/>
    </row>
    <row r="26" spans="2:31" ht="20.100000000000001" customHeight="1" outlineLevel="1" x14ac:dyDescent="0.4">
      <c r="B26" s="328"/>
      <c r="C26" s="330"/>
      <c r="D26" s="11"/>
      <c r="E26" s="11"/>
      <c r="F26" s="11"/>
      <c r="G26" s="11"/>
      <c r="H26" s="11"/>
      <c r="I26" s="11"/>
      <c r="J26" s="11"/>
      <c r="K26" s="11"/>
      <c r="L26" s="11"/>
      <c r="M26" s="11"/>
      <c r="N26" s="11"/>
      <c r="O26" s="11"/>
      <c r="P26" s="11"/>
      <c r="Q26" s="445"/>
      <c r="R26" s="440"/>
      <c r="S26" s="323"/>
    </row>
    <row r="27" spans="2:31" ht="20.100000000000001" customHeight="1" outlineLevel="1" x14ac:dyDescent="0.4">
      <c r="B27" s="328"/>
      <c r="C27" s="330"/>
      <c r="D27" s="633" t="s">
        <v>284</v>
      </c>
      <c r="E27" s="633"/>
      <c r="F27" s="633"/>
      <c r="G27" s="633"/>
      <c r="H27" s="633"/>
      <c r="I27" s="633"/>
      <c r="J27" s="633"/>
      <c r="K27" s="633"/>
      <c r="L27" s="633"/>
      <c r="M27" s="633"/>
      <c r="N27" s="633"/>
      <c r="O27" s="633"/>
      <c r="P27" s="633"/>
      <c r="Q27" s="633"/>
      <c r="R27" s="440"/>
      <c r="S27" s="323"/>
    </row>
    <row r="28" spans="2:31" ht="23" customHeight="1" outlineLevel="1" x14ac:dyDescent="0.4">
      <c r="B28" s="328"/>
      <c r="C28" s="330"/>
      <c r="D28" s="634" t="s">
        <v>490</v>
      </c>
      <c r="E28" s="635"/>
      <c r="F28" s="635"/>
      <c r="G28" s="635"/>
      <c r="H28" s="635"/>
      <c r="I28" s="635"/>
      <c r="J28" s="636"/>
      <c r="K28" s="637"/>
      <c r="L28" s="573"/>
      <c r="M28" s="573"/>
      <c r="N28" s="573"/>
      <c r="O28" s="573"/>
      <c r="P28" s="573"/>
      <c r="Q28" s="574"/>
      <c r="R28" s="440"/>
      <c r="S28" s="323"/>
    </row>
    <row r="29" spans="2:31" ht="23" customHeight="1" outlineLevel="1" x14ac:dyDescent="0.4">
      <c r="B29" s="328"/>
      <c r="C29" s="330"/>
      <c r="D29" s="634" t="s">
        <v>491</v>
      </c>
      <c r="E29" s="635"/>
      <c r="F29" s="635"/>
      <c r="G29" s="635"/>
      <c r="H29" s="635"/>
      <c r="I29" s="635"/>
      <c r="J29" s="638"/>
      <c r="K29" s="637"/>
      <c r="L29" s="573"/>
      <c r="M29" s="573"/>
      <c r="N29" s="573"/>
      <c r="O29" s="573"/>
      <c r="P29" s="573"/>
      <c r="Q29" s="574"/>
      <c r="R29" s="440"/>
      <c r="S29" s="323"/>
    </row>
    <row r="30" spans="2:31" ht="33.700000000000003" customHeight="1" outlineLevel="1" x14ac:dyDescent="0.4">
      <c r="B30" s="328"/>
      <c r="C30" s="330"/>
      <c r="D30" s="639" t="s">
        <v>492</v>
      </c>
      <c r="E30" s="640"/>
      <c r="F30" s="640"/>
      <c r="G30" s="640"/>
      <c r="H30" s="640"/>
      <c r="I30" s="640"/>
      <c r="J30" s="435" t="s">
        <v>105</v>
      </c>
      <c r="K30" s="573"/>
      <c r="L30" s="573"/>
      <c r="M30" s="573"/>
      <c r="N30" s="573"/>
      <c r="O30" s="573"/>
      <c r="P30" s="573"/>
      <c r="Q30" s="574"/>
      <c r="R30" s="440"/>
      <c r="S30" s="323"/>
    </row>
    <row r="31" spans="2:31" ht="29.7" customHeight="1" outlineLevel="1" x14ac:dyDescent="0.4">
      <c r="B31" s="328"/>
      <c r="C31" s="330"/>
      <c r="D31" s="575" t="s">
        <v>493</v>
      </c>
      <c r="E31" s="576"/>
      <c r="F31" s="576"/>
      <c r="G31" s="576"/>
      <c r="H31" s="576"/>
      <c r="I31" s="576"/>
      <c r="J31" s="447" t="s">
        <v>105</v>
      </c>
      <c r="K31" s="577"/>
      <c r="L31" s="577"/>
      <c r="M31" s="577"/>
      <c r="N31" s="577"/>
      <c r="O31" s="577"/>
      <c r="P31" s="577"/>
      <c r="Q31" s="578"/>
      <c r="R31" s="440"/>
      <c r="S31" s="323"/>
    </row>
    <row r="32" spans="2:31" ht="20.100000000000001" customHeight="1" outlineLevel="1" x14ac:dyDescent="0.4">
      <c r="B32" s="328"/>
      <c r="C32" s="330"/>
      <c r="D32" s="11"/>
      <c r="E32" s="11"/>
      <c r="F32" s="11"/>
      <c r="G32" s="11"/>
      <c r="H32" s="11"/>
      <c r="I32" s="11"/>
      <c r="J32" s="11"/>
      <c r="K32" s="11"/>
      <c r="L32" s="11"/>
      <c r="M32" s="11"/>
      <c r="N32" s="11"/>
      <c r="O32" s="11"/>
      <c r="P32" s="11"/>
      <c r="Q32" s="445"/>
      <c r="R32" s="440"/>
      <c r="S32" s="323"/>
    </row>
    <row r="33" spans="2:23" ht="20.100000000000001" customHeight="1" outlineLevel="1" x14ac:dyDescent="0.4">
      <c r="B33" s="328"/>
      <c r="C33" s="330"/>
      <c r="D33" s="627" t="s">
        <v>533</v>
      </c>
      <c r="E33" s="628"/>
      <c r="F33" s="628"/>
      <c r="G33" s="628"/>
      <c r="H33" s="628"/>
      <c r="I33" s="628"/>
      <c r="J33" s="628"/>
      <c r="K33" s="628"/>
      <c r="L33" s="628"/>
      <c r="M33" s="628"/>
      <c r="N33" s="628"/>
      <c r="O33" s="628"/>
      <c r="P33" s="628"/>
      <c r="Q33" s="629"/>
      <c r="R33" s="440"/>
      <c r="S33" s="323"/>
    </row>
    <row r="34" spans="2:23" ht="30" customHeight="1" outlineLevel="1" x14ac:dyDescent="0.4">
      <c r="B34" s="328"/>
      <c r="C34" s="330"/>
      <c r="D34" s="604" t="s">
        <v>32</v>
      </c>
      <c r="E34" s="604"/>
      <c r="F34" s="605" t="s">
        <v>33</v>
      </c>
      <c r="G34" s="605" t="s">
        <v>535</v>
      </c>
      <c r="H34" s="605"/>
      <c r="I34" s="604" t="s">
        <v>34</v>
      </c>
      <c r="J34" s="605" t="s">
        <v>536</v>
      </c>
      <c r="K34" s="605"/>
      <c r="L34" s="604" t="s">
        <v>34</v>
      </c>
      <c r="M34" s="622" t="s">
        <v>529</v>
      </c>
      <c r="N34" s="623"/>
      <c r="O34" s="622" t="s">
        <v>530</v>
      </c>
      <c r="P34" s="623"/>
      <c r="Q34" s="469" t="s">
        <v>528</v>
      </c>
      <c r="R34" s="440"/>
      <c r="S34" s="323"/>
    </row>
    <row r="35" spans="2:23" ht="20.100000000000001" customHeight="1" outlineLevel="1" x14ac:dyDescent="0.4">
      <c r="B35" s="328"/>
      <c r="C35" s="330"/>
      <c r="D35" s="604"/>
      <c r="E35" s="604"/>
      <c r="F35" s="605"/>
      <c r="G35" s="605"/>
      <c r="H35" s="605"/>
      <c r="I35" s="604"/>
      <c r="J35" s="605"/>
      <c r="K35" s="605"/>
      <c r="L35" s="604"/>
      <c r="M35" s="579">
        <f>COUNTA(G37:H46)</f>
        <v>0</v>
      </c>
      <c r="N35" s="579"/>
      <c r="O35" s="579">
        <f>COUNTIF(O37:P46,"=Oui")</f>
        <v>0</v>
      </c>
      <c r="P35" s="579"/>
      <c r="Q35" s="475">
        <f>IF(OR($J30="Oui",$J31="Oui"),100*(1-N15),IF(M35&gt;0,(O35/M35)*100*(1-N15),0))</f>
        <v>0</v>
      </c>
      <c r="R35" s="440"/>
      <c r="S35" s="323"/>
      <c r="T35" s="309" t="str">
        <f>IF(G24&lt;&gt;"",G24,"")</f>
        <v/>
      </c>
      <c r="U35" s="309" t="str">
        <f>IF(T35&lt;&gt;"",M35,"")</f>
        <v/>
      </c>
      <c r="V35" s="309" t="str">
        <f>IF(T35&lt;&gt;"",O35,"")</f>
        <v/>
      </c>
      <c r="W35" s="309" t="str">
        <f>IF(M35&gt;0,100*(O35/M35),"")</f>
        <v/>
      </c>
    </row>
    <row r="36" spans="2:23" ht="20.100000000000001" customHeight="1" outlineLevel="1" x14ac:dyDescent="0.4">
      <c r="B36" s="328"/>
      <c r="C36" s="330"/>
      <c r="D36" s="604"/>
      <c r="E36" s="604"/>
      <c r="F36" s="605"/>
      <c r="G36" s="605"/>
      <c r="H36" s="605"/>
      <c r="I36" s="604"/>
      <c r="J36" s="605"/>
      <c r="K36" s="605"/>
      <c r="L36" s="604"/>
      <c r="M36" s="623" t="s">
        <v>35</v>
      </c>
      <c r="N36" s="623"/>
      <c r="O36" s="623" t="s">
        <v>36</v>
      </c>
      <c r="P36" s="623"/>
      <c r="Q36" s="468" t="s">
        <v>523</v>
      </c>
      <c r="R36" s="440"/>
      <c r="S36" s="323"/>
    </row>
    <row r="37" spans="2:23" ht="20.100000000000001" customHeight="1" outlineLevel="1" x14ac:dyDescent="0.4">
      <c r="B37" s="328"/>
      <c r="C37" s="330"/>
      <c r="D37" s="561" t="s">
        <v>37</v>
      </c>
      <c r="E37" s="561"/>
      <c r="F37" s="335">
        <f>VLOOKUP(D37, 'SeuilsComparaison-EMT'!$C$5:$E$28, 3, FALSE)</f>
        <v>3</v>
      </c>
      <c r="G37" s="619"/>
      <c r="H37" s="619"/>
      <c r="I37" s="436"/>
      <c r="J37" s="619"/>
      <c r="K37" s="619"/>
      <c r="L37" s="437"/>
      <c r="M37" s="620" t="str">
        <f>IF(OR(J37="",G37=""),"",IF(ISERROR(VLOOKUP(D37,'SeuilsComparaison-EMT'!$C$5:$J$25,4,FALSE)),"-",IF(OR(IF(ISTEXT(J37)=TRUE,SUBSTITUTE(J37,"&lt;","",1)*1,J37)&gt;VLOOKUP(D37,'SeuilsComparaison-EMT'!$C$5:$J$25,4,FALSE),IF(ISTEXT(G37)=TRUE,SUBSTITUTE(G37,"&lt;","",1)*1,G37)&gt;VLOOKUP(D37,'SeuilsComparaison-EMT'!$C$5:$J$25,4,FALSE)=TRUE),(IF(ISTEXT(G37)=TRUE,SUBSTITUTE(G37,"&lt;","",1)*1,G37)-((IF(ISTEXT(G37)=TRUE,SUBSTITUTE(G37,"&lt;","",1)*1,G37)+IF(ISTEXT(J37)=TRUE,SUBSTITUTE(J37,"&lt;","",1)*1,J37))/2))/((IF(ISTEXT(G37)=TRUE,SUBSTITUTE(G37,"&lt;","",1)*1,G37)+IF(ISTEXT(J37)=TRUE,SUBSTITUTE(J37,"&lt;","",1),J37))/2),"-")))</f>
        <v/>
      </c>
      <c r="N37" s="621"/>
      <c r="O37" s="558" t="str">
        <f>IF(OR(G37="",J37=""),"",IF(AND(I37="Oui",L37="Oui"),"Oui",IF(M37="-","Oui",IF(OR(J37&gt;VLOOKUP($D37,'SeuilsComparaison-EMT'!$C$5:$J$27,4,FALSE),G37&gt;VLOOKUP($D37,'SeuilsComparaison-EMT'!$C$5:$J$27,4,FALSE)=TRUE),IF(J37&lt;=VLOOKUP($D37,'SeuilsComparaison-EMT'!$C$5:$J$27,5,FALSE),IF(ABS(M37)&lt;=VLOOKUP($D37,'SeuilsComparaison-EMT'!$C$5:$J$27,6,FALSE),"Oui","Non"),IF(ABS(M37)&lt;=VLOOKUP($D37,'SeuilsComparaison-EMT'!$C$5:$J$27,8,FALSE),"Oui","Non")),"Oui"))))</f>
        <v/>
      </c>
      <c r="P37" s="559"/>
      <c r="Q37" s="471" t="str">
        <f>IF(OR(AND(ISNUMBER(G37),G37&gt;VLOOKUP(D37,'SeuilsComparaison-EMT'!$C$5:$J$27,4,FALSE)),AND(ISNUMBER(J37),J37&gt;VLOOKUP(D37,'SeuilsComparaison-EMT'!$C$5:$J$27,4,FALSE))),IF(AVERAGE(G37,J37)&lt;=VLOOKUP(D37,'SeuilsComparaison-EMT'!$C$5:$J$27,5,FALSE),VLOOKUP(D37,'SeuilsComparaison-EMT'!$C$5:$J$27,6,FALSE),VLOOKUP(D37,'SeuilsComparaison-EMT'!$C$5:$J$27,8,FALSE)),"")</f>
        <v/>
      </c>
      <c r="R37" s="440"/>
      <c r="S37" s="323"/>
    </row>
    <row r="38" spans="2:23" ht="20.100000000000001" customHeight="1" outlineLevel="1" x14ac:dyDescent="0.4">
      <c r="B38" s="328"/>
      <c r="C38" s="330"/>
      <c r="D38" s="560" t="s">
        <v>38</v>
      </c>
      <c r="E38" s="560"/>
      <c r="F38" s="335">
        <f>VLOOKUP(D38, 'SeuilsComparaison-EMT'!$C$5:$E$28, 3, FALSE)</f>
        <v>30</v>
      </c>
      <c r="G38" s="555"/>
      <c r="H38" s="555"/>
      <c r="I38" s="437"/>
      <c r="J38" s="555"/>
      <c r="K38" s="555"/>
      <c r="L38" s="437"/>
      <c r="M38" s="556" t="str">
        <f>IF(OR(J38="",G38=""),"",IF(ISERROR(VLOOKUP(D38,'SeuilsComparaison-EMT'!$C$5:$J$25,4,FALSE)),"-",IF(OR(IF(ISTEXT(J38)=TRUE,SUBSTITUTE(J38,"&lt;","",1)*1,J38)&gt;VLOOKUP(D38,'SeuilsComparaison-EMT'!$C$5:$J$25,4,FALSE),IF(ISTEXT(G38)=TRUE,SUBSTITUTE(G38,"&lt;","",1)*1,G38)&gt;VLOOKUP(D38,'SeuilsComparaison-EMT'!$C$5:$J$25,4,FALSE)=TRUE),(IF(ISTEXT(G38)=TRUE,SUBSTITUTE(G38,"&lt;","",1)*1,G38)-((IF(ISTEXT(G38)=TRUE,SUBSTITUTE(G38,"&lt;","",1)*1,G38)+IF(ISTEXT(J38)=TRUE,SUBSTITUTE(J38,"&lt;","",1)*1,J38))/2))/((IF(ISTEXT(G38)=TRUE,SUBSTITUTE(G38,"&lt;","",1)*1,G38)+IF(ISTEXT(J38)=TRUE,SUBSTITUTE(J38,"&lt;","",1),J38))/2),"-")))</f>
        <v/>
      </c>
      <c r="N38" s="557"/>
      <c r="O38" s="558" t="str">
        <f>IF(OR(G38="",J38=""),"",IF(AND(I38="Oui",L38="Oui"),"Oui",IF(M38="-","Oui",IF(OR(J38&gt;VLOOKUP($D38,'SeuilsComparaison-EMT'!$C$5:$J$27,4,FALSE),G38&gt;VLOOKUP($D38,'SeuilsComparaison-EMT'!$C$5:$J$27,4,FALSE)=TRUE),IF(J38&lt;=VLOOKUP($D38,'SeuilsComparaison-EMT'!$C$5:$J$27,5,FALSE),IF(ABS(M38)&lt;=VLOOKUP($D38,'SeuilsComparaison-EMT'!$C$5:$J$27,6,FALSE),"Oui","Non"),IF(ABS(M38)&lt;=VLOOKUP($D38,'SeuilsComparaison-EMT'!$C$5:$J$27,8,FALSE),"Oui","Non")),"Oui"))))</f>
        <v/>
      </c>
      <c r="P38" s="559"/>
      <c r="Q38" s="472" t="str">
        <f>IF(OR(AND(ISNUMBER(G38),G38&gt;VLOOKUP(D38,'SeuilsComparaison-EMT'!$C$5:$J$27,4,FALSE)),AND(ISNUMBER(J38),J38&gt;VLOOKUP(D38,'SeuilsComparaison-EMT'!$C$5:$J$27,4,FALSE))),IF(AVERAGE(G38,J38)&lt;=VLOOKUP(D38,'SeuilsComparaison-EMT'!$C$5:$J$27,5,FALSE),VLOOKUP(D38,'SeuilsComparaison-EMT'!$C$5:$J$27,6,FALSE),VLOOKUP(D38,'SeuilsComparaison-EMT'!$C$5:$J$27,8,FALSE)),"")</f>
        <v/>
      </c>
      <c r="R38" s="440"/>
      <c r="S38" s="323"/>
    </row>
    <row r="39" spans="2:23" ht="20.100000000000001" customHeight="1" outlineLevel="1" x14ac:dyDescent="0.4">
      <c r="B39" s="328"/>
      <c r="C39" s="330"/>
      <c r="D39" s="560" t="s">
        <v>39</v>
      </c>
      <c r="E39" s="560"/>
      <c r="F39" s="335">
        <f>VLOOKUP(D39, 'SeuilsComparaison-EMT'!$C$5:$E$28, 3, FALSE)</f>
        <v>10</v>
      </c>
      <c r="G39" s="555"/>
      <c r="H39" s="555"/>
      <c r="I39" s="437"/>
      <c r="J39" s="555"/>
      <c r="K39" s="555"/>
      <c r="L39" s="437"/>
      <c r="M39" s="556" t="str">
        <f>IF(OR(J39="",G39=""),"",IF(ISERROR(VLOOKUP(D39,'SeuilsComparaison-EMT'!$C$5:$J$25,4,FALSE)),"-",IF(OR(IF(ISTEXT(J39)=TRUE,SUBSTITUTE(J39,"&lt;","",1)*1,J39)&gt;VLOOKUP(D39,'SeuilsComparaison-EMT'!$C$5:$J$25,4,FALSE),IF(ISTEXT(G39)=TRUE,SUBSTITUTE(G39,"&lt;","",1)*1,G39)&gt;VLOOKUP(D39,'SeuilsComparaison-EMT'!$C$5:$J$25,4,FALSE)=TRUE),(IF(ISTEXT(G39)=TRUE,SUBSTITUTE(G39,"&lt;","",1)*1,G39)-((IF(ISTEXT(G39)=TRUE,SUBSTITUTE(G39,"&lt;","",1)*1,G39)+IF(ISTEXT(J39)=TRUE,SUBSTITUTE(J39,"&lt;","",1)*1,J39))/2))/((IF(ISTEXT(G39)=TRUE,SUBSTITUTE(G39,"&lt;","",1)*1,G39)+IF(ISTEXT(J39)=TRUE,SUBSTITUTE(J39,"&lt;","",1),J39))/2),"-")))</f>
        <v/>
      </c>
      <c r="N39" s="557"/>
      <c r="O39" s="558" t="str">
        <f>IF(OR(G39="",J39=""),"",IF(AND(I39="Oui",L39="Oui"),"Oui",IF(M39="-","Oui",IF(OR(J39&gt;VLOOKUP($D39,'SeuilsComparaison-EMT'!$C$5:$J$27,4,FALSE),G39&gt;VLOOKUP($D39,'SeuilsComparaison-EMT'!$C$5:$J$27,4,FALSE)=TRUE),IF(J39&lt;=VLOOKUP($D39,'SeuilsComparaison-EMT'!$C$5:$J$27,5,FALSE),IF(ABS(M39)&lt;=VLOOKUP($D39,'SeuilsComparaison-EMT'!$C$5:$J$27,6,FALSE),"Oui","Non"),IF(ABS(M39)&lt;=VLOOKUP($D39,'SeuilsComparaison-EMT'!$C$5:$J$27,8,FALSE),"Oui","Non")),"Oui"))))</f>
        <v/>
      </c>
      <c r="P39" s="559"/>
      <c r="Q39" s="472" t="str">
        <f>IF(OR(AND(ISNUMBER(G39),G39&gt;VLOOKUP(D39,'SeuilsComparaison-EMT'!$C$5:$J$27,4,FALSE)),AND(ISNUMBER(J39),J39&gt;VLOOKUP(D39,'SeuilsComparaison-EMT'!$C$5:$J$27,4,FALSE))),IF(AVERAGE(G39,J39)&lt;=VLOOKUP(D39,'SeuilsComparaison-EMT'!$C$5:$J$27,5,FALSE),VLOOKUP(D39,'SeuilsComparaison-EMT'!$C$5:$J$27,6,FALSE),VLOOKUP(D39,'SeuilsComparaison-EMT'!$C$5:$J$27,8,FALSE)),"")</f>
        <v/>
      </c>
      <c r="R39" s="440"/>
      <c r="S39" s="323"/>
    </row>
    <row r="40" spans="2:23" ht="20.100000000000001" customHeight="1" outlineLevel="1" x14ac:dyDescent="0.4">
      <c r="B40" s="328"/>
      <c r="C40" s="330"/>
      <c r="D40" s="560" t="s">
        <v>41</v>
      </c>
      <c r="E40" s="560"/>
      <c r="F40" s="335">
        <f>VLOOKUP(D40, 'SeuilsComparaison-EMT'!$C$5:$E$28, 3, FALSE)</f>
        <v>2</v>
      </c>
      <c r="G40" s="555"/>
      <c r="H40" s="555"/>
      <c r="I40" s="437"/>
      <c r="J40" s="555"/>
      <c r="K40" s="555"/>
      <c r="L40" s="437"/>
      <c r="M40" s="556" t="str">
        <f>IF(OR(J40="",G40=""),"",IF(ISERROR(VLOOKUP(D40,'SeuilsComparaison-EMT'!$C$5:$J$25,4,FALSE)),"-",IF(OR(IF(ISTEXT(J40)=TRUE,SUBSTITUTE(J40,"&lt;","",1)*1,J40)&gt;VLOOKUP(D40,'SeuilsComparaison-EMT'!$C$5:$J$25,4,FALSE),IF(ISTEXT(G40)=TRUE,SUBSTITUTE(G40,"&lt;","",1)*1,G40)&gt;VLOOKUP(D40,'SeuilsComparaison-EMT'!$C$5:$J$25,4,FALSE)=TRUE),(IF(ISTEXT(G40)=TRUE,SUBSTITUTE(G40,"&lt;","",1)*1,G40)-((IF(ISTEXT(G40)=TRUE,SUBSTITUTE(G40,"&lt;","",1)*1,G40)+IF(ISTEXT(J40)=TRUE,SUBSTITUTE(J40,"&lt;","",1)*1,J40))/2))/((IF(ISTEXT(G40)=TRUE,SUBSTITUTE(G40,"&lt;","",1)*1,G40)+IF(ISTEXT(J40)=TRUE,SUBSTITUTE(J40,"&lt;","",1),J40))/2),"-")))</f>
        <v/>
      </c>
      <c r="N40" s="557"/>
      <c r="O40" s="558" t="str">
        <f>IF(OR(G40="",J40=""),"",IF(AND(I40="Oui",L40="Oui"),"Oui",IF(M40="-","Oui",IF(OR(J40&gt;VLOOKUP($D40,'SeuilsComparaison-EMT'!$C$5:$J$27,4,FALSE),G40&gt;VLOOKUP($D40,'SeuilsComparaison-EMT'!$C$5:$J$27,4,FALSE)=TRUE),IF(J40&lt;=VLOOKUP($D40,'SeuilsComparaison-EMT'!$C$5:$J$27,5,FALSE),IF(ABS(M40)&lt;=VLOOKUP($D40,'SeuilsComparaison-EMT'!$C$5:$J$27,6,FALSE),"Oui","Non"),IF(ABS(M40)&lt;=VLOOKUP($D40,'SeuilsComparaison-EMT'!$C$5:$J$27,8,FALSE),"Oui","Non")),"Oui"))))</f>
        <v/>
      </c>
      <c r="P40" s="559"/>
      <c r="Q40" s="472" t="str">
        <f>IF(OR(AND(ISNUMBER(G40),G40&gt;VLOOKUP(D40,'SeuilsComparaison-EMT'!$C$5:$J$27,4,FALSE)),AND(ISNUMBER(J40),J40&gt;VLOOKUP(D40,'SeuilsComparaison-EMT'!$C$5:$J$27,4,FALSE))),IF(AVERAGE(G40,J40)&lt;=VLOOKUP(D40,'SeuilsComparaison-EMT'!$C$5:$J$27,5,FALSE),VLOOKUP(D40,'SeuilsComparaison-EMT'!$C$5:$J$27,6,FALSE),VLOOKUP(D40,'SeuilsComparaison-EMT'!$C$5:$J$27,8,FALSE)),"")</f>
        <v/>
      </c>
      <c r="R40" s="440"/>
      <c r="S40" s="323"/>
    </row>
    <row r="41" spans="2:23" ht="20.100000000000001" customHeight="1" outlineLevel="1" x14ac:dyDescent="0.4">
      <c r="B41" s="328"/>
      <c r="C41" s="330"/>
      <c r="D41" s="560" t="s">
        <v>42</v>
      </c>
      <c r="E41" s="560"/>
      <c r="F41" s="335">
        <f>VLOOKUP(D41, 'SeuilsComparaison-EMT'!$C$5:$E$28, 3, FALSE)</f>
        <v>0.5</v>
      </c>
      <c r="G41" s="555"/>
      <c r="H41" s="555"/>
      <c r="I41" s="437"/>
      <c r="J41" s="555"/>
      <c r="K41" s="555"/>
      <c r="L41" s="437"/>
      <c r="M41" s="556" t="str">
        <f>IF(OR(J41="",G41=""),"",IF(ISERROR(VLOOKUP(D41,'SeuilsComparaison-EMT'!$C$5:$J$25,4,FALSE)),"-",IF(OR(IF(ISTEXT(J41)=TRUE,SUBSTITUTE(J41,"&lt;","",1)*1,J41)&gt;VLOOKUP(D41,'SeuilsComparaison-EMT'!$C$5:$J$25,4,FALSE),IF(ISTEXT(G41)=TRUE,SUBSTITUTE(G41,"&lt;","",1)*1,G41)&gt;VLOOKUP(D41,'SeuilsComparaison-EMT'!$C$5:$J$25,4,FALSE)=TRUE),(IF(ISTEXT(G41)=TRUE,SUBSTITUTE(G41,"&lt;","",1)*1,G41)-((IF(ISTEXT(G41)=TRUE,SUBSTITUTE(G41,"&lt;","",1)*1,G41)+IF(ISTEXT(J41)=TRUE,SUBSTITUTE(J41,"&lt;","",1)*1,J41))/2))/((IF(ISTEXT(G41)=TRUE,SUBSTITUTE(G41,"&lt;","",1)*1,G41)+IF(ISTEXT(J41)=TRUE,SUBSTITUTE(J41,"&lt;","",1),J41))/2),"-")))</f>
        <v/>
      </c>
      <c r="N41" s="557"/>
      <c r="O41" s="558" t="str">
        <f>IF(OR(G41="",J41=""),"",IF(AND(I41="Oui",L41="Oui"),"Oui",IF(M41="-","Oui",IF(OR(J41&gt;VLOOKUP($D41,'SeuilsComparaison-EMT'!$C$5:$J$27,4,FALSE),G41&gt;VLOOKUP($D41,'SeuilsComparaison-EMT'!$C$5:$J$27,4,FALSE)=TRUE),IF(J41&lt;=VLOOKUP($D41,'SeuilsComparaison-EMT'!$C$5:$J$27,5,FALSE),IF(ABS(M41)&lt;=VLOOKUP($D41,'SeuilsComparaison-EMT'!$C$5:$J$27,6,FALSE),"Oui","Non"),IF(ABS(M41)&lt;=VLOOKUP($D41,'SeuilsComparaison-EMT'!$C$5:$J$27,8,FALSE),"Oui","Non")),"Oui"))))</f>
        <v/>
      </c>
      <c r="P41" s="559"/>
      <c r="Q41" s="472" t="str">
        <f>IF(OR(AND(ISNUMBER(G41),G41&gt;VLOOKUP(D41,'SeuilsComparaison-EMT'!$C$5:$J$27,4,FALSE)),AND(ISNUMBER(J41),J41&gt;VLOOKUP(D41,'SeuilsComparaison-EMT'!$C$5:$J$27,4,FALSE))),IF(AVERAGE(G41,J41)&lt;=VLOOKUP(D41,'SeuilsComparaison-EMT'!$C$5:$J$27,5,FALSE),VLOOKUP(D41,'SeuilsComparaison-EMT'!$C$5:$J$27,6,FALSE),VLOOKUP(D41,'SeuilsComparaison-EMT'!$C$5:$J$27,8,FALSE)),"")</f>
        <v/>
      </c>
      <c r="R41" s="440"/>
      <c r="S41" s="323"/>
    </row>
    <row r="42" spans="2:23" ht="20.100000000000001" customHeight="1" outlineLevel="1" x14ac:dyDescent="0.4">
      <c r="B42" s="328"/>
      <c r="C42" s="330"/>
      <c r="D42" s="560" t="s">
        <v>46</v>
      </c>
      <c r="E42" s="560"/>
      <c r="F42" s="335">
        <f>VLOOKUP(D42, 'SeuilsComparaison-EMT'!$C$5:$E$28, 3, FALSE)</f>
        <v>1</v>
      </c>
      <c r="G42" s="555"/>
      <c r="H42" s="555"/>
      <c r="I42" s="437"/>
      <c r="J42" s="555"/>
      <c r="K42" s="555"/>
      <c r="L42" s="437"/>
      <c r="M42" s="556" t="str">
        <f>IF(OR(J42="",G42=""),"",IF(ISERROR(VLOOKUP(D42,'SeuilsComparaison-EMT'!$C$5:$J$25,4,FALSE)),"-",IF(OR(IF(ISTEXT(J42)=TRUE,SUBSTITUTE(J42,"&lt;","",1)*1,J42)&gt;VLOOKUP(D42,'SeuilsComparaison-EMT'!$C$5:$J$25,4,FALSE),IF(ISTEXT(G42)=TRUE,SUBSTITUTE(G42,"&lt;","",1)*1,G42)&gt;VLOOKUP(D42,'SeuilsComparaison-EMT'!$C$5:$J$25,4,FALSE)=TRUE),(IF(ISTEXT(G42)=TRUE,SUBSTITUTE(G42,"&lt;","",1)*1,G42)-((IF(ISTEXT(G42)=TRUE,SUBSTITUTE(G42,"&lt;","",1)*1,G42)+IF(ISTEXT(J42)=TRUE,SUBSTITUTE(J42,"&lt;","",1)*1,J42))/2))/((IF(ISTEXT(G42)=TRUE,SUBSTITUTE(G42,"&lt;","",1)*1,G42)+IF(ISTEXT(J42)=TRUE,SUBSTITUTE(J42,"&lt;","",1),J42))/2),"-")))</f>
        <v/>
      </c>
      <c r="N42" s="557"/>
      <c r="O42" s="558" t="str">
        <f>IF(OR(G42="",J42=""),"",IF(AND(I42="Oui",L42="Oui"),"Oui",IF(M42="-","Oui",IF(OR(J42&gt;VLOOKUP($D42,'SeuilsComparaison-EMT'!$C$5:$J$27,4,FALSE),G42&gt;VLOOKUP($D42,'SeuilsComparaison-EMT'!$C$5:$J$27,4,FALSE)=TRUE),IF(J42&lt;=VLOOKUP($D42,'SeuilsComparaison-EMT'!$C$5:$J$27,5,FALSE),IF(ABS(M42)&lt;=VLOOKUP($D42,'SeuilsComparaison-EMT'!$C$5:$J$27,6,FALSE),"Oui","Non"),IF(ABS(M42)&lt;=VLOOKUP($D42,'SeuilsComparaison-EMT'!$C$5:$J$27,8,FALSE),"Oui","Non")),"Oui"))))</f>
        <v/>
      </c>
      <c r="P42" s="559"/>
      <c r="Q42" s="472" t="str">
        <f>IF(OR(AND(ISNUMBER(G42),G42&gt;VLOOKUP(D42,'SeuilsComparaison-EMT'!$C$5:$J$27,4,FALSE)),AND(ISNUMBER(J42),J42&gt;VLOOKUP(D42,'SeuilsComparaison-EMT'!$C$5:$J$27,4,FALSE))),IF(AVERAGE(G42,J42)&lt;=VLOOKUP(D42,'SeuilsComparaison-EMT'!$C$5:$J$27,5,FALSE),VLOOKUP(D42,'SeuilsComparaison-EMT'!$C$5:$J$27,6,FALSE),VLOOKUP(D42,'SeuilsComparaison-EMT'!$C$5:$J$27,8,FALSE)),"")</f>
        <v/>
      </c>
      <c r="R42" s="440"/>
      <c r="S42" s="323"/>
    </row>
    <row r="43" spans="2:23" ht="20.100000000000001" customHeight="1" outlineLevel="1" x14ac:dyDescent="0.4">
      <c r="B43" s="328"/>
      <c r="C43" s="330"/>
      <c r="D43" s="560" t="s">
        <v>43</v>
      </c>
      <c r="E43" s="560"/>
      <c r="F43" s="335">
        <f>VLOOKUP(D43, 'SeuilsComparaison-EMT'!$C$5:$E$28, 3, FALSE)</f>
        <v>0.5</v>
      </c>
      <c r="G43" s="555"/>
      <c r="H43" s="555"/>
      <c r="I43" s="437"/>
      <c r="J43" s="555"/>
      <c r="K43" s="555"/>
      <c r="L43" s="437"/>
      <c r="M43" s="556" t="str">
        <f>IF(OR(J43="",G43=""),"",IF(ISERROR(VLOOKUP(D43,'SeuilsComparaison-EMT'!$C$5:$J$25,4,FALSE)),"-",IF(OR(IF(ISTEXT(J43)=TRUE,SUBSTITUTE(J43,"&lt;","",1)*1,J43)&gt;VLOOKUP(D43,'SeuilsComparaison-EMT'!$C$5:$J$25,4,FALSE),IF(ISTEXT(G43)=TRUE,SUBSTITUTE(G43,"&lt;","",1)*1,G43)&gt;VLOOKUP(D43,'SeuilsComparaison-EMT'!$C$5:$J$25,4,FALSE)=TRUE),(IF(ISTEXT(G43)=TRUE,SUBSTITUTE(G43,"&lt;","",1)*1,G43)-((IF(ISTEXT(G43)=TRUE,SUBSTITUTE(G43,"&lt;","",1)*1,G43)+IF(ISTEXT(J43)=TRUE,SUBSTITUTE(J43,"&lt;","",1)*1,J43))/2))/((IF(ISTEXT(G43)=TRUE,SUBSTITUTE(G43,"&lt;","",1)*1,G43)+IF(ISTEXT(J43)=TRUE,SUBSTITUTE(J43,"&lt;","",1),J43))/2),"-")))</f>
        <v/>
      </c>
      <c r="N43" s="557"/>
      <c r="O43" s="558" t="str">
        <f>IF(OR(G43="",J43=""),"",IF(AND(I43="Oui",L43="Oui"),"Oui",IF(M43="-","Oui",IF(OR(J43&gt;VLOOKUP($D43,'SeuilsComparaison-EMT'!$C$5:$J$27,4,FALSE),G43&gt;VLOOKUP($D43,'SeuilsComparaison-EMT'!$C$5:$J$27,4,FALSE)=TRUE),IF(J43&lt;=VLOOKUP($D43,'SeuilsComparaison-EMT'!$C$5:$J$27,5,FALSE),IF(ABS(M43)&lt;=VLOOKUP($D43,'SeuilsComparaison-EMT'!$C$5:$J$27,6,FALSE),"Oui","Non"),IF(ABS(M43)&lt;=VLOOKUP($D43,'SeuilsComparaison-EMT'!$C$5:$J$27,8,FALSE),"Oui","Non")),"Oui"))))</f>
        <v/>
      </c>
      <c r="P43" s="559"/>
      <c r="Q43" s="472" t="str">
        <f>IF(OR(AND(ISNUMBER(G43),G43&gt;VLOOKUP(D43,'SeuilsComparaison-EMT'!$C$5:$J$27,4,FALSE)),AND(ISNUMBER(J43),J43&gt;VLOOKUP(D43,'SeuilsComparaison-EMT'!$C$5:$J$27,4,FALSE))),IF(AVERAGE(G43,J43)&lt;=VLOOKUP(D43,'SeuilsComparaison-EMT'!$C$5:$J$27,5,FALSE),VLOOKUP(D43,'SeuilsComparaison-EMT'!$C$5:$J$27,6,FALSE),VLOOKUP(D43,'SeuilsComparaison-EMT'!$C$5:$J$27,8,FALSE)),"")</f>
        <v/>
      </c>
      <c r="R43" s="440"/>
      <c r="S43" s="323"/>
    </row>
    <row r="44" spans="2:23" ht="20.100000000000001" customHeight="1" outlineLevel="1" x14ac:dyDescent="0.4">
      <c r="B44" s="328"/>
      <c r="C44" s="330"/>
      <c r="D44" s="560" t="s">
        <v>44</v>
      </c>
      <c r="E44" s="560"/>
      <c r="F44" s="335">
        <f>VLOOKUP(D44, 'SeuilsComparaison-EMT'!$C$5:$E$28, 3, FALSE)</f>
        <v>0.05</v>
      </c>
      <c r="G44" s="555"/>
      <c r="H44" s="555"/>
      <c r="I44" s="437"/>
      <c r="J44" s="555"/>
      <c r="K44" s="555"/>
      <c r="L44" s="437"/>
      <c r="M44" s="556" t="str">
        <f>IF(OR(J44="",G44=""),"",IF(ISERROR(VLOOKUP(D44,'SeuilsComparaison-EMT'!$C$5:$J$25,4,FALSE)),"-",IF(OR(IF(ISTEXT(J44)=TRUE,SUBSTITUTE(J44,"&lt;","",1)*1,J44)&gt;VLOOKUP(D44,'SeuilsComparaison-EMT'!$C$5:$J$25,4,FALSE),IF(ISTEXT(G44)=TRUE,SUBSTITUTE(G44,"&lt;","",1)*1,G44)&gt;VLOOKUP(D44,'SeuilsComparaison-EMT'!$C$5:$J$25,4,FALSE)=TRUE),(IF(ISTEXT(G44)=TRUE,SUBSTITUTE(G44,"&lt;","",1)*1,G44)-((IF(ISTEXT(G44)=TRUE,SUBSTITUTE(G44,"&lt;","",1)*1,G44)+IF(ISTEXT(J44)=TRUE,SUBSTITUTE(J44,"&lt;","",1)*1,J44))/2))/((IF(ISTEXT(G44)=TRUE,SUBSTITUTE(G44,"&lt;","",1)*1,G44)+IF(ISTEXT(J44)=TRUE,SUBSTITUTE(J44,"&lt;","",1),J44))/2),"-")))</f>
        <v/>
      </c>
      <c r="N44" s="557"/>
      <c r="O44" s="558" t="str">
        <f>IF(OR(G44="",J44=""),"",IF(AND(I44="Oui",L44="Oui"),"Oui",IF(M44="-","Oui",IF(OR(J44&gt;VLOOKUP($D44,'SeuilsComparaison-EMT'!$C$5:$J$27,4,FALSE),G44&gt;VLOOKUP($D44,'SeuilsComparaison-EMT'!$C$5:$J$27,4,FALSE)=TRUE),IF(J44&lt;=VLOOKUP($D44,'SeuilsComparaison-EMT'!$C$5:$J$27,5,FALSE),IF(ABS(M44)&lt;=VLOOKUP($D44,'SeuilsComparaison-EMT'!$C$5:$J$27,6,FALSE),"Oui","Non"),IF(ABS(M44)&lt;=VLOOKUP($D44,'SeuilsComparaison-EMT'!$C$5:$J$27,8,FALSE),"Oui","Non")),"Oui"))))</f>
        <v/>
      </c>
      <c r="P44" s="559"/>
      <c r="Q44" s="472" t="str">
        <f>IF(OR(AND(ISNUMBER(G44),G44&gt;VLOOKUP(D44,'SeuilsComparaison-EMT'!$C$5:$J$27,4,FALSE)),AND(ISNUMBER(J44),J44&gt;VLOOKUP(D44,'SeuilsComparaison-EMT'!$C$5:$J$27,4,FALSE))),IF(AVERAGE(G44,J44)&lt;=VLOOKUP(D44,'SeuilsComparaison-EMT'!$C$5:$J$27,5,FALSE),VLOOKUP(D44,'SeuilsComparaison-EMT'!$C$5:$J$27,6,FALSE),VLOOKUP(D44,'SeuilsComparaison-EMT'!$C$5:$J$27,8,FALSE)),"")</f>
        <v/>
      </c>
      <c r="R44" s="440"/>
      <c r="S44" s="323"/>
    </row>
    <row r="45" spans="2:23" ht="20.100000000000001" customHeight="1" outlineLevel="1" x14ac:dyDescent="0.4">
      <c r="B45" s="328"/>
      <c r="C45" s="330"/>
      <c r="D45" s="560" t="s">
        <v>45</v>
      </c>
      <c r="E45" s="560"/>
      <c r="F45" s="335">
        <f>VLOOKUP(D45, 'SeuilsComparaison-EMT'!$C$5:$E$28, 3, FALSE)</f>
        <v>1</v>
      </c>
      <c r="G45" s="555"/>
      <c r="H45" s="555"/>
      <c r="I45" s="437"/>
      <c r="J45" s="555"/>
      <c r="K45" s="555"/>
      <c r="L45" s="437"/>
      <c r="M45" s="556" t="str">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
      </c>
      <c r="N45" s="557"/>
      <c r="O45" s="558"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
      </c>
      <c r="P45" s="559"/>
      <c r="Q45" s="472" t="str">
        <f>IF(OR(AND(ISNUMBER(G45),G45&gt;VLOOKUP(D45,'SeuilsComparaison-EMT'!$C$5:$J$27,4,FALSE)),AND(ISNUMBER(J45),J45&gt;VLOOKUP(D45,'SeuilsComparaison-EMT'!$C$5:$J$27,4,FALSE))),IF(AVERAGE(G45,J45)&lt;=VLOOKUP(D45,'SeuilsComparaison-EMT'!$C$5:$J$27,5,FALSE),VLOOKUP(D45,'SeuilsComparaison-EMT'!$C$5:$J$27,6,FALSE),VLOOKUP(D45,'SeuilsComparaison-EMT'!$C$5:$J$27,8,FALSE)),"")</f>
        <v/>
      </c>
      <c r="R45" s="440"/>
      <c r="S45" s="323"/>
    </row>
    <row r="46" spans="2:23" ht="20.100000000000001" customHeight="1" outlineLevel="1" x14ac:dyDescent="0.4">
      <c r="B46" s="328"/>
      <c r="C46" s="330"/>
      <c r="D46" s="560" t="s">
        <v>47</v>
      </c>
      <c r="E46" s="560"/>
      <c r="F46" s="335">
        <f>VLOOKUP(D46, 'SeuilsComparaison-EMT'!$C$5:$E$28, 3, FALSE)</f>
        <v>0.05</v>
      </c>
      <c r="G46" s="555"/>
      <c r="H46" s="555"/>
      <c r="I46" s="437"/>
      <c r="J46" s="555"/>
      <c r="K46" s="555"/>
      <c r="L46" s="437"/>
      <c r="M46" s="556" t="str">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
      </c>
      <c r="N46" s="557"/>
      <c r="O46" s="558"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
      </c>
      <c r="P46" s="559"/>
      <c r="Q46" s="472" t="str">
        <f>IF(OR(AND(ISNUMBER(G46),G46&gt;VLOOKUP(D46,'SeuilsComparaison-EMT'!$C$5:$J$27,4,FALSE)),AND(ISNUMBER(J46),J46&gt;VLOOKUP(D46,'SeuilsComparaison-EMT'!$C$5:$J$27,4,FALSE))),IF(AVERAGE(G46,J46)&lt;=VLOOKUP(D46,'SeuilsComparaison-EMT'!$C$5:$J$27,5,FALSE),VLOOKUP(D46,'SeuilsComparaison-EMT'!$C$5:$J$27,6,FALSE),VLOOKUP(D46,'SeuilsComparaison-EMT'!$C$5:$J$27,8,FALSE)),"")</f>
        <v/>
      </c>
      <c r="R46" s="440"/>
      <c r="S46" s="323"/>
    </row>
    <row r="47" spans="2:23" ht="20.100000000000001" customHeight="1" outlineLevel="1" x14ac:dyDescent="0.4">
      <c r="B47" s="328"/>
      <c r="C47" s="330"/>
      <c r="D47" s="560" t="s">
        <v>296</v>
      </c>
      <c r="E47" s="560"/>
      <c r="F47" s="335">
        <f>VLOOKUP(D47, 'SeuilsComparaison-EMT'!$C$5:$E$28, 3, FALSE)</f>
        <v>0</v>
      </c>
      <c r="G47" s="585"/>
      <c r="H47" s="585"/>
      <c r="I47" s="522"/>
      <c r="J47" s="585"/>
      <c r="K47" s="585"/>
      <c r="L47" s="522"/>
      <c r="M47" s="586" t="str">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
      </c>
      <c r="N47" s="587"/>
      <c r="O47" s="588"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
      </c>
      <c r="P47" s="589"/>
      <c r="Q47" s="472" t="str">
        <f>IF(OR(AND(ISNUMBER(G47),G47&gt;VLOOKUP(D47,'SeuilsComparaison-EMT'!$C$5:$J$27,4,FALSE)),AND(ISNUMBER(J47),J47&gt;VLOOKUP(D47,'SeuilsComparaison-EMT'!$C$5:$J$27,4,FALSE))),IF(AVERAGE(G47,J47)&lt;=VLOOKUP(D47,'SeuilsComparaison-EMT'!$C$5:$J$27,5,FALSE),VLOOKUP(D47,'SeuilsComparaison-EMT'!$C$5:$J$27,6,FALSE),VLOOKUP(D47,'SeuilsComparaison-EMT'!$C$5:$J$27,8,FALSE)),"")</f>
        <v/>
      </c>
      <c r="R47" s="440" t="s">
        <v>557</v>
      </c>
      <c r="S47" s="323"/>
    </row>
    <row r="48" spans="2:23" ht="20.100000000000001" customHeight="1" outlineLevel="1" x14ac:dyDescent="0.4">
      <c r="B48" s="328"/>
      <c r="C48" s="330"/>
      <c r="D48" s="590" t="s">
        <v>297</v>
      </c>
      <c r="E48" s="590"/>
      <c r="F48" s="316">
        <f>VLOOKUP(D48, 'SeuilsComparaison-EMT'!$C$5:$E$28, 3, FALSE)</f>
        <v>5</v>
      </c>
      <c r="G48" s="591"/>
      <c r="H48" s="591"/>
      <c r="I48" s="523"/>
      <c r="J48" s="591"/>
      <c r="K48" s="591"/>
      <c r="L48" s="523"/>
      <c r="M48" s="586"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587"/>
      <c r="O48" s="592"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
      </c>
      <c r="P48" s="593"/>
      <c r="Q48" s="473" t="str">
        <f>IF(OR(AND(ISNUMBER(G48),G48&gt;VLOOKUP(D48,'SeuilsComparaison-EMT'!$C$5:$J$27,4,FALSE)),AND(ISNUMBER(J48),J48&gt;VLOOKUP(D48,'SeuilsComparaison-EMT'!$C$5:$J$27,4,FALSE))),IF(AVERAGE(G48,J48)&lt;=VLOOKUP(D48,'SeuilsComparaison-EMT'!$C$5:$J$27,5,FALSE),VLOOKUP(D48,'SeuilsComparaison-EMT'!$C$5:$J$27,6,FALSE),VLOOKUP(D48,'SeuilsComparaison-EMT'!$C$5:$J$27,8,FALSE)),"")</f>
        <v/>
      </c>
      <c r="R48" s="440" t="s">
        <v>557</v>
      </c>
      <c r="S48" s="323"/>
    </row>
    <row r="49" spans="2:19" ht="20.100000000000001" customHeight="1" outlineLevel="1" x14ac:dyDescent="0.4">
      <c r="B49" s="328"/>
      <c r="C49" s="330"/>
      <c r="D49" s="579" t="s">
        <v>57</v>
      </c>
      <c r="E49" s="579"/>
      <c r="F49" s="334">
        <f>VLOOKUP(D49, 'SeuilsComparaison-EMT'!$C$5:$E$28, 3, FALSE)</f>
        <v>0</v>
      </c>
      <c r="G49" s="580"/>
      <c r="H49" s="580"/>
      <c r="I49" s="524"/>
      <c r="J49" s="580"/>
      <c r="K49" s="580"/>
      <c r="L49" s="524"/>
      <c r="M49" s="581"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582"/>
      <c r="O49" s="583"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
      </c>
      <c r="P49" s="584"/>
      <c r="Q49" s="474" t="str">
        <f>IF(OR(AND(ISNUMBER(G49),G49&gt;VLOOKUP(D49,'SeuilsComparaison-EMT'!$C$5:$J$27,4,FALSE)),AND(ISNUMBER(J49),J49&gt;VLOOKUP(D49,'SeuilsComparaison-EMT'!$C$5:$J$27,4,FALSE))),IF(AVERAGE(G49,J49)&lt;=VLOOKUP(D49,'SeuilsComparaison-EMT'!$C$5:$J$27,5,FALSE),VLOOKUP(D49,'SeuilsComparaison-EMT'!$C$5:$J$27,6,FALSE),VLOOKUP(D49,'SeuilsComparaison-EMT'!$C$5:$J$27,8,FALSE)),"")</f>
        <v/>
      </c>
      <c r="R49" s="440" t="s">
        <v>557</v>
      </c>
      <c r="S49" s="323"/>
    </row>
    <row r="50" spans="2:19" ht="20.100000000000001" customHeight="1" outlineLevel="1" x14ac:dyDescent="0.4">
      <c r="B50" s="328"/>
      <c r="C50" s="330"/>
      <c r="D50" s="11"/>
      <c r="E50" s="11"/>
      <c r="F50" s="11"/>
      <c r="G50" s="11"/>
      <c r="H50" s="11"/>
      <c r="I50" s="11"/>
      <c r="J50" s="11"/>
      <c r="K50" s="11"/>
      <c r="L50" s="11"/>
      <c r="M50" s="11"/>
      <c r="N50" s="11"/>
      <c r="O50" s="11"/>
      <c r="P50" s="11"/>
      <c r="Q50" s="445"/>
      <c r="R50" s="440"/>
      <c r="S50" s="323"/>
    </row>
    <row r="51" spans="2:19" ht="20.100000000000001" customHeight="1" outlineLevel="1" x14ac:dyDescent="0.4">
      <c r="B51" s="328"/>
      <c r="C51" s="330"/>
      <c r="D51" s="572" t="s">
        <v>369</v>
      </c>
      <c r="E51" s="572"/>
      <c r="F51" s="572"/>
      <c r="G51" s="572"/>
      <c r="H51" s="572"/>
      <c r="I51" s="572"/>
      <c r="J51" s="572"/>
      <c r="K51" s="572"/>
      <c r="L51" s="572"/>
      <c r="M51" s="572"/>
      <c r="N51" s="572"/>
      <c r="O51" s="572"/>
      <c r="P51" s="572"/>
      <c r="Q51" s="445"/>
      <c r="R51" s="440"/>
      <c r="S51" s="323"/>
    </row>
    <row r="52" spans="2:19" ht="20.100000000000001" customHeight="1" outlineLevel="1" x14ac:dyDescent="0.4">
      <c r="B52" s="328"/>
      <c r="C52" s="330"/>
      <c r="D52" s="646"/>
      <c r="E52" s="647"/>
      <c r="F52" s="647"/>
      <c r="G52" s="647"/>
      <c r="H52" s="647"/>
      <c r="I52" s="647"/>
      <c r="J52" s="647"/>
      <c r="K52" s="647"/>
      <c r="L52" s="647"/>
      <c r="M52" s="647"/>
      <c r="N52" s="647"/>
      <c r="O52" s="647"/>
      <c r="P52" s="647"/>
      <c r="Q52" s="648"/>
      <c r="R52" s="440"/>
      <c r="S52" s="323"/>
    </row>
    <row r="53" spans="2:19" ht="20.100000000000001" customHeight="1" outlineLevel="1" x14ac:dyDescent="0.4">
      <c r="B53" s="328"/>
      <c r="C53" s="330"/>
      <c r="D53" s="649"/>
      <c r="E53" s="650"/>
      <c r="F53" s="650"/>
      <c r="G53" s="650"/>
      <c r="H53" s="650"/>
      <c r="I53" s="650"/>
      <c r="J53" s="650"/>
      <c r="K53" s="650"/>
      <c r="L53" s="650"/>
      <c r="M53" s="650"/>
      <c r="N53" s="650"/>
      <c r="O53" s="650"/>
      <c r="P53" s="650"/>
      <c r="Q53" s="651"/>
      <c r="R53" s="440"/>
      <c r="S53" s="323"/>
    </row>
    <row r="54" spans="2:19" ht="20.100000000000001" customHeight="1" outlineLevel="1" x14ac:dyDescent="0.4">
      <c r="B54" s="328"/>
      <c r="C54" s="330"/>
      <c r="D54" s="649"/>
      <c r="E54" s="650"/>
      <c r="F54" s="650"/>
      <c r="G54" s="650"/>
      <c r="H54" s="650"/>
      <c r="I54" s="650"/>
      <c r="J54" s="650"/>
      <c r="K54" s="650"/>
      <c r="L54" s="650"/>
      <c r="M54" s="650"/>
      <c r="N54" s="650"/>
      <c r="O54" s="650"/>
      <c r="P54" s="650"/>
      <c r="Q54" s="651"/>
      <c r="R54" s="440"/>
      <c r="S54" s="323"/>
    </row>
    <row r="55" spans="2:19" ht="20.100000000000001" customHeight="1" outlineLevel="1" x14ac:dyDescent="0.4">
      <c r="B55" s="328"/>
      <c r="C55" s="330"/>
      <c r="D55" s="649"/>
      <c r="E55" s="650"/>
      <c r="F55" s="650"/>
      <c r="G55" s="650"/>
      <c r="H55" s="650"/>
      <c r="I55" s="650"/>
      <c r="J55" s="650"/>
      <c r="K55" s="650"/>
      <c r="L55" s="650"/>
      <c r="M55" s="650"/>
      <c r="N55" s="650"/>
      <c r="O55" s="650"/>
      <c r="P55" s="650"/>
      <c r="Q55" s="651"/>
      <c r="R55" s="440"/>
      <c r="S55" s="323"/>
    </row>
    <row r="56" spans="2:19" ht="20.100000000000001" customHeight="1" outlineLevel="1" x14ac:dyDescent="0.4">
      <c r="B56" s="328"/>
      <c r="C56" s="330"/>
      <c r="D56" s="652"/>
      <c r="E56" s="653"/>
      <c r="F56" s="653"/>
      <c r="G56" s="653"/>
      <c r="H56" s="653"/>
      <c r="I56" s="653"/>
      <c r="J56" s="653"/>
      <c r="K56" s="653"/>
      <c r="L56" s="653"/>
      <c r="M56" s="653"/>
      <c r="N56" s="653"/>
      <c r="O56" s="653"/>
      <c r="P56" s="653"/>
      <c r="Q56" s="654"/>
      <c r="R56" s="440"/>
      <c r="S56" s="323"/>
    </row>
    <row r="57" spans="2:19" ht="20.100000000000001" customHeight="1" outlineLevel="1" x14ac:dyDescent="0.4">
      <c r="B57" s="328"/>
      <c r="C57" s="330"/>
      <c r="D57" s="329"/>
      <c r="E57" s="329"/>
      <c r="F57" s="329"/>
      <c r="G57" s="329"/>
      <c r="H57" s="329"/>
      <c r="I57" s="329"/>
      <c r="J57" s="329"/>
      <c r="K57" s="329"/>
      <c r="L57" s="329"/>
      <c r="M57" s="329"/>
      <c r="N57" s="329"/>
      <c r="O57" s="329"/>
      <c r="P57" s="329"/>
      <c r="Q57" s="329"/>
      <c r="R57" s="440"/>
      <c r="S57" s="323"/>
    </row>
    <row r="58" spans="2:19" ht="20.100000000000001" customHeight="1" outlineLevel="1" x14ac:dyDescent="0.4">
      <c r="B58" s="328"/>
      <c r="C58" s="330"/>
      <c r="D58" s="329"/>
      <c r="E58" s="329"/>
      <c r="F58" s="329"/>
      <c r="G58" s="329"/>
      <c r="H58" s="329"/>
      <c r="I58" s="329"/>
      <c r="J58" s="569" t="s">
        <v>298</v>
      </c>
      <c r="K58" s="570"/>
      <c r="L58" s="571"/>
      <c r="M58" s="329"/>
      <c r="N58" s="329"/>
      <c r="O58" s="329"/>
      <c r="P58" s="329"/>
      <c r="Q58" s="439"/>
      <c r="R58" s="440"/>
      <c r="S58" s="323"/>
    </row>
    <row r="59" spans="2:19" ht="20.100000000000001" customHeight="1" outlineLevel="1" thickBot="1" x14ac:dyDescent="0.45">
      <c r="B59" s="328"/>
      <c r="C59" s="332"/>
      <c r="D59" s="333"/>
      <c r="E59" s="333"/>
      <c r="F59" s="333"/>
      <c r="G59" s="333"/>
      <c r="H59" s="333"/>
      <c r="I59" s="333"/>
      <c r="J59" s="333"/>
      <c r="K59" s="333"/>
      <c r="L59" s="333"/>
      <c r="M59" s="333"/>
      <c r="N59" s="333"/>
      <c r="O59" s="333"/>
      <c r="P59" s="333"/>
      <c r="Q59" s="442"/>
      <c r="R59" s="443"/>
      <c r="S59" s="323"/>
    </row>
    <row r="60" spans="2:19" ht="20.100000000000001" customHeight="1" thickTop="1" x14ac:dyDescent="0.4">
      <c r="B60" s="319"/>
      <c r="C60" s="320"/>
      <c r="D60" s="320"/>
      <c r="E60" s="320"/>
      <c r="F60" s="320"/>
      <c r="G60" s="320"/>
      <c r="H60" s="320"/>
      <c r="I60" s="320"/>
      <c r="J60" s="320"/>
      <c r="K60" s="320"/>
      <c r="L60" s="320"/>
      <c r="M60" s="320"/>
      <c r="N60" s="320"/>
      <c r="O60" s="320"/>
      <c r="P60" s="320"/>
      <c r="Q60" s="446"/>
      <c r="R60" s="446"/>
      <c r="S60" s="321"/>
    </row>
  </sheetData>
  <sheetProtection algorithmName="SHA-512" hashValue="/+xW3nY5XBIaiYLNiO2I5rMOZ/lN+wdEiNtvOO/HPxjSHOyHmUfpWa7GEECC4RBzMHL8CeChupYY5/CA0Yv/Sg==" saltValue="2s0/YH8pMpXKkKVC2OY2pw==" spinCount="100000" sheet="1" objects="1" scenarios="1" formatRows="0"/>
  <mergeCells count="144">
    <mergeCell ref="C21:J21"/>
    <mergeCell ref="K21:Q21"/>
    <mergeCell ref="M5:O5"/>
    <mergeCell ref="P5:R5"/>
    <mergeCell ref="M6:O6"/>
    <mergeCell ref="D52:Q56"/>
    <mergeCell ref="D14:K14"/>
    <mergeCell ref="L14:M14"/>
    <mergeCell ref="O35:P35"/>
    <mergeCell ref="M36:N36"/>
    <mergeCell ref="O36:P36"/>
    <mergeCell ref="D24:F24"/>
    <mergeCell ref="G24:J24"/>
    <mergeCell ref="K24:M24"/>
    <mergeCell ref="N15:P15"/>
    <mergeCell ref="N13:P13"/>
    <mergeCell ref="N14:P14"/>
    <mergeCell ref="L15:M15"/>
    <mergeCell ref="D13:K13"/>
    <mergeCell ref="L13:M13"/>
    <mergeCell ref="D12:K12"/>
    <mergeCell ref="L12:M12"/>
    <mergeCell ref="C8:R8"/>
    <mergeCell ref="D10:M10"/>
    <mergeCell ref="D11:K11"/>
    <mergeCell ref="L11:M11"/>
    <mergeCell ref="N10:P10"/>
    <mergeCell ref="N11:P11"/>
    <mergeCell ref="N12:P12"/>
    <mergeCell ref="G37:H37"/>
    <mergeCell ref="J37:K37"/>
    <mergeCell ref="M37:N37"/>
    <mergeCell ref="O37:P37"/>
    <mergeCell ref="I34:I36"/>
    <mergeCell ref="J34:K36"/>
    <mergeCell ref="L34:L36"/>
    <mergeCell ref="M34:N34"/>
    <mergeCell ref="O34:P34"/>
    <mergeCell ref="M35:N35"/>
    <mergeCell ref="D25:F25"/>
    <mergeCell ref="D33:Q33"/>
    <mergeCell ref="K25:M25"/>
    <mergeCell ref="D27:Q27"/>
    <mergeCell ref="D28:J28"/>
    <mergeCell ref="K28:Q28"/>
    <mergeCell ref="D29:J29"/>
    <mergeCell ref="K29:Q29"/>
    <mergeCell ref="D30:I30"/>
    <mergeCell ref="D38:E38"/>
    <mergeCell ref="C2:R2"/>
    <mergeCell ref="C3:D3"/>
    <mergeCell ref="E3:G3"/>
    <mergeCell ref="C4:D4"/>
    <mergeCell ref="E4:G4"/>
    <mergeCell ref="H3:I3"/>
    <mergeCell ref="J3:L3"/>
    <mergeCell ref="H4:I4"/>
    <mergeCell ref="J4:L4"/>
    <mergeCell ref="M3:O3"/>
    <mergeCell ref="P3:R3"/>
    <mergeCell ref="M4:O4"/>
    <mergeCell ref="P4:R4"/>
    <mergeCell ref="C5:D5"/>
    <mergeCell ref="E5:G5"/>
    <mergeCell ref="C6:D6"/>
    <mergeCell ref="E6:G6"/>
    <mergeCell ref="H5:I5"/>
    <mergeCell ref="J5:L5"/>
    <mergeCell ref="G25:J25"/>
    <mergeCell ref="D34:E36"/>
    <mergeCell ref="F34:F36"/>
    <mergeCell ref="G34:H36"/>
    <mergeCell ref="K30:Q30"/>
    <mergeCell ref="D31:I31"/>
    <mergeCell ref="K31:Q31"/>
    <mergeCell ref="M38:N38"/>
    <mergeCell ref="O38:P38"/>
    <mergeCell ref="D49:E49"/>
    <mergeCell ref="G49:H49"/>
    <mergeCell ref="J49:K49"/>
    <mergeCell ref="M49:N49"/>
    <mergeCell ref="O49:P49"/>
    <mergeCell ref="D47:E47"/>
    <mergeCell ref="G47:H47"/>
    <mergeCell ref="J47:K47"/>
    <mergeCell ref="M47:N47"/>
    <mergeCell ref="O47:P47"/>
    <mergeCell ref="D48:E48"/>
    <mergeCell ref="G48:H48"/>
    <mergeCell ref="J48:K48"/>
    <mergeCell ref="M48:N48"/>
    <mergeCell ref="O48:P48"/>
    <mergeCell ref="G39:H39"/>
    <mergeCell ref="J39:K39"/>
    <mergeCell ref="M39:N39"/>
    <mergeCell ref="O39:P39"/>
    <mergeCell ref="M41:N41"/>
    <mergeCell ref="D39:E39"/>
    <mergeCell ref="J58:L58"/>
    <mergeCell ref="D51:P51"/>
    <mergeCell ref="D46:E46"/>
    <mergeCell ref="G46:H46"/>
    <mergeCell ref="J46:K46"/>
    <mergeCell ref="D42:E42"/>
    <mergeCell ref="G42:H42"/>
    <mergeCell ref="J42:K42"/>
    <mergeCell ref="M42:N42"/>
    <mergeCell ref="O42:P42"/>
    <mergeCell ref="G44:H44"/>
    <mergeCell ref="J44:K44"/>
    <mergeCell ref="M44:N44"/>
    <mergeCell ref="O44:P44"/>
    <mergeCell ref="D43:E43"/>
    <mergeCell ref="G43:H43"/>
    <mergeCell ref="O46:P46"/>
    <mergeCell ref="D45:E45"/>
    <mergeCell ref="G45:H45"/>
    <mergeCell ref="J45:K45"/>
    <mergeCell ref="M45:N45"/>
    <mergeCell ref="O45:P45"/>
    <mergeCell ref="D17:P18"/>
    <mergeCell ref="H6:I6"/>
    <mergeCell ref="J6:L6"/>
    <mergeCell ref="J43:K43"/>
    <mergeCell ref="M43:N43"/>
    <mergeCell ref="O43:P43"/>
    <mergeCell ref="D44:E44"/>
    <mergeCell ref="M46:N46"/>
    <mergeCell ref="D40:E40"/>
    <mergeCell ref="G40:H40"/>
    <mergeCell ref="J40:K40"/>
    <mergeCell ref="M40:N40"/>
    <mergeCell ref="O40:P40"/>
    <mergeCell ref="D41:E41"/>
    <mergeCell ref="G41:H41"/>
    <mergeCell ref="J41:K41"/>
    <mergeCell ref="D37:E37"/>
    <mergeCell ref="D23:Q23"/>
    <mergeCell ref="N24:Q24"/>
    <mergeCell ref="N25:Q25"/>
    <mergeCell ref="P6:R6"/>
    <mergeCell ref="O41:P41"/>
    <mergeCell ref="G38:H38"/>
    <mergeCell ref="J38:K38"/>
  </mergeCells>
  <conditionalFormatting sqref="D22">
    <cfRule type="expression" dxfId="11" priority="132">
      <formula>AND(#REF!="Oui",#REF!="Oui")</formula>
    </cfRule>
  </conditionalFormatting>
  <conditionalFormatting sqref="D31:Q31">
    <cfRule type="expression" dxfId="10" priority="55">
      <formula>#REF! = "Oui"</formula>
    </cfRule>
  </conditionalFormatting>
  <conditionalFormatting sqref="J30:J31">
    <cfRule type="cellIs" dxfId="9" priority="56" operator="equal">
      <formula>"Oui"</formula>
    </cfRule>
    <cfRule type="cellIs" dxfId="8" priority="57" operator="equal">
      <formula>"Non"</formula>
    </cfRule>
  </conditionalFormatting>
  <conditionalFormatting sqref="K25:M25">
    <cfRule type="expression" dxfId="7" priority="133">
      <formula>$D25="Oui"</formula>
    </cfRule>
  </conditionalFormatting>
  <conditionalFormatting sqref="L11:L14">
    <cfRule type="cellIs" dxfId="6" priority="178" operator="equal">
      <formula>"Oui"</formula>
    </cfRule>
    <cfRule type="cellIs" dxfId="5" priority="179" operator="equal">
      <formula>"Non"</formula>
    </cfRule>
  </conditionalFormatting>
  <conditionalFormatting sqref="M37:N48">
    <cfRule type="expression" dxfId="4" priority="87" stopIfTrue="1">
      <formula>IF(ABS(M37)&gt;Q37,TRUE,FALSE)</formula>
    </cfRule>
  </conditionalFormatting>
  <conditionalFormatting sqref="M37:N49">
    <cfRule type="expression" dxfId="3" priority="86" stopIfTrue="1">
      <formula>IF(ABS(M37)&lt;=Q37,TRUE,FALSE)</formula>
    </cfRule>
  </conditionalFormatting>
  <conditionalFormatting sqref="N25">
    <cfRule type="expression" dxfId="2" priority="136">
      <formula>$D25="Non"</formula>
    </cfRule>
  </conditionalFormatting>
  <conditionalFormatting sqref="O37:O49">
    <cfRule type="cellIs" dxfId="1" priority="116" operator="equal">
      <formula>"Oui"</formula>
    </cfRule>
    <cfRule type="cellIs" dxfId="0" priority="117" operator="equal">
      <formula>"Non"</formula>
    </cfRule>
  </conditionalFormatting>
  <dataValidations count="6">
    <dataValidation type="list" allowBlank="1" showInputMessage="1" showErrorMessage="1" sqref="G25 L12:L14 O37:P48 J30:J31" xr:uid="{D9571EBC-6FF8-4CB6-B6B8-5654E9E0B57B}">
      <formula1>LISTE_1</formula1>
    </dataValidation>
    <dataValidation type="list" allowBlank="1" showInputMessage="1" showErrorMessage="1" sqref="L11:M11" xr:uid="{4E722016-2475-44AF-AE08-F4A2E58C1B8F}">
      <formula1>LISTE_7</formula1>
    </dataValidation>
    <dataValidation allowBlank="1" showInputMessage="1" showErrorMessage="1" prompt="Vérifier l’information sur 3 rapports d’analyses correspondant à des bilans réalisés en période estivale" sqref="D13:K14" xr:uid="{545C6CD0-A9ED-41E6-A298-62445C7FF17E}"/>
    <dataValidation type="list" allowBlank="1" showInputMessage="1" showErrorMessage="1" sqref="G24" xr:uid="{6478A3AA-E53F-46B7-8EB5-18387D457970}">
      <formula1>listePreleveurs</formula1>
    </dataValidation>
    <dataValidation type="list" allowBlank="1" showInputMessage="1" showErrorMessage="1" sqref="L37:L49 O49:P49 I37:I49" xr:uid="{9827A3EB-1CBF-4ADD-9F4D-3F87BB2F1115}">
      <formula1>"Oui,Non"</formula1>
    </dataValidation>
    <dataValidation allowBlank="1" showInputMessage="1" showErrorMessage="1" promptTitle="Coefficient Analytique" prompt="Le coefficient est égale au nombre d'analyse conforme / nombre d'analyse réalisées x le score de pénalité" sqref="Q34" xr:uid="{313D5F53-6AFF-4D4B-86B9-F6AB2F5BA58F}"/>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N68"/>
  <sheetViews>
    <sheetView showGridLines="0" topLeftCell="A16" zoomScaleNormal="100" workbookViewId="0">
      <selection activeCell="G22" sqref="G22"/>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1" spans="1:14" x14ac:dyDescent="0.4">
      <c r="A1" s="305"/>
      <c r="B1" s="305"/>
      <c r="C1" s="305"/>
      <c r="D1" s="305"/>
      <c r="E1" s="305"/>
      <c r="F1" s="305"/>
      <c r="G1" s="305"/>
      <c r="H1" s="305"/>
      <c r="I1" s="305"/>
      <c r="J1" s="305"/>
      <c r="K1" s="305"/>
      <c r="L1" s="305"/>
      <c r="M1" s="305"/>
      <c r="N1" s="305"/>
    </row>
    <row r="2" spans="1:14" x14ac:dyDescent="0.4">
      <c r="A2" s="305"/>
      <c r="B2" s="305"/>
      <c r="C2" s="305"/>
      <c r="D2" s="305"/>
      <c r="E2" s="305"/>
      <c r="F2" s="305"/>
      <c r="G2" s="305"/>
      <c r="H2" s="305"/>
      <c r="I2" s="305"/>
      <c r="J2" s="305"/>
      <c r="K2" s="305"/>
      <c r="L2" s="305"/>
      <c r="M2" s="305"/>
      <c r="N2" s="305"/>
    </row>
    <row r="3" spans="1:14" x14ac:dyDescent="0.4">
      <c r="A3" s="385" t="s">
        <v>95</v>
      </c>
      <c r="B3" s="385" t="s">
        <v>96</v>
      </c>
      <c r="C3" s="385" t="s">
        <v>171</v>
      </c>
      <c r="D3" s="386" t="s">
        <v>97</v>
      </c>
      <c r="E3" s="385" t="s">
        <v>15</v>
      </c>
      <c r="F3" s="385" t="s">
        <v>15</v>
      </c>
      <c r="G3" s="386" t="s">
        <v>97</v>
      </c>
      <c r="H3" s="386" t="s">
        <v>97</v>
      </c>
      <c r="I3" s="385" t="s">
        <v>15</v>
      </c>
      <c r="J3" s="305"/>
      <c r="K3" s="305"/>
      <c r="L3" s="305"/>
      <c r="M3" s="305"/>
      <c r="N3" s="305"/>
    </row>
    <row r="4" spans="1:14" x14ac:dyDescent="0.4">
      <c r="A4" s="305" t="s">
        <v>63</v>
      </c>
      <c r="B4" s="305" t="s">
        <v>72</v>
      </c>
      <c r="C4" s="305" t="s">
        <v>397</v>
      </c>
      <c r="D4" s="391" t="s">
        <v>100</v>
      </c>
      <c r="E4" s="2" t="s">
        <v>101</v>
      </c>
      <c r="F4" s="2" t="s">
        <v>102</v>
      </c>
      <c r="G4" s="2" t="s">
        <v>58</v>
      </c>
      <c r="H4" s="305" t="s">
        <v>103</v>
      </c>
      <c r="I4" s="2" t="s">
        <v>101</v>
      </c>
      <c r="J4" s="2"/>
      <c r="K4" s="305"/>
      <c r="L4" s="305"/>
      <c r="M4" s="305"/>
      <c r="N4" s="305"/>
    </row>
    <row r="5" spans="1:14" x14ac:dyDescent="0.4">
      <c r="A5" s="305" t="s">
        <v>64</v>
      </c>
      <c r="B5" s="305" t="s">
        <v>73</v>
      </c>
      <c r="C5" s="305" t="s">
        <v>398</v>
      </c>
      <c r="D5" s="391" t="s">
        <v>61</v>
      </c>
      <c r="E5" s="2" t="s">
        <v>98</v>
      </c>
      <c r="F5" s="2" t="s">
        <v>104</v>
      </c>
      <c r="G5" s="2" t="s">
        <v>105</v>
      </c>
      <c r="H5" s="305" t="s">
        <v>106</v>
      </c>
      <c r="I5" s="2" t="s">
        <v>98</v>
      </c>
      <c r="J5" s="2"/>
      <c r="K5" s="305"/>
      <c r="L5" s="305"/>
      <c r="M5" s="305"/>
      <c r="N5" s="305"/>
    </row>
    <row r="6" spans="1:14" x14ac:dyDescent="0.4">
      <c r="A6" s="305" t="s">
        <v>65</v>
      </c>
      <c r="B6" s="305" t="s">
        <v>74</v>
      </c>
      <c r="C6" s="305" t="s">
        <v>300</v>
      </c>
      <c r="D6" s="391" t="s">
        <v>60</v>
      </c>
      <c r="E6" s="2" t="s">
        <v>59</v>
      </c>
      <c r="F6" s="2" t="s">
        <v>107</v>
      </c>
      <c r="G6" s="305"/>
      <c r="H6" s="305"/>
      <c r="I6" s="2" t="s">
        <v>59</v>
      </c>
      <c r="J6" s="2"/>
      <c r="K6" s="305"/>
      <c r="L6" s="305"/>
      <c r="M6" s="305"/>
      <c r="N6" s="305"/>
    </row>
    <row r="7" spans="1:14" x14ac:dyDescent="0.4">
      <c r="A7" s="305" t="s">
        <v>66</v>
      </c>
      <c r="B7" s="305"/>
      <c r="C7" s="305" t="s">
        <v>285</v>
      </c>
      <c r="D7" s="391" t="s">
        <v>548</v>
      </c>
      <c r="E7" s="2" t="s">
        <v>109</v>
      </c>
      <c r="F7" s="2" t="s">
        <v>110</v>
      </c>
      <c r="G7" s="305"/>
      <c r="H7" s="305"/>
      <c r="I7" s="2" t="s">
        <v>109</v>
      </c>
      <c r="J7" s="2"/>
      <c r="K7" s="305"/>
      <c r="L7" s="305"/>
      <c r="M7" s="305"/>
      <c r="N7" s="305"/>
    </row>
    <row r="8" spans="1:14" x14ac:dyDescent="0.4">
      <c r="A8" s="305" t="s">
        <v>27</v>
      </c>
      <c r="B8" s="305"/>
      <c r="C8" s="305"/>
      <c r="D8" s="391" t="s">
        <v>111</v>
      </c>
      <c r="E8" s="2" t="s">
        <v>112</v>
      </c>
      <c r="F8" s="3"/>
      <c r="G8" s="305"/>
      <c r="H8" s="305"/>
      <c r="I8" s="2" t="s">
        <v>112</v>
      </c>
      <c r="J8" s="2"/>
      <c r="K8" s="305"/>
      <c r="L8" s="305"/>
      <c r="M8" s="305"/>
      <c r="N8" s="305"/>
    </row>
    <row r="9" spans="1:14" x14ac:dyDescent="0.4">
      <c r="A9" s="305" t="s">
        <v>67</v>
      </c>
      <c r="B9" s="305"/>
      <c r="C9" s="305"/>
      <c r="D9" s="391" t="s">
        <v>113</v>
      </c>
      <c r="E9" s="2" t="s">
        <v>114</v>
      </c>
      <c r="F9" s="3"/>
      <c r="G9" s="305"/>
      <c r="H9" s="305"/>
      <c r="I9" s="2" t="s">
        <v>114</v>
      </c>
      <c r="J9" s="2"/>
      <c r="K9" s="305"/>
      <c r="L9" s="305"/>
      <c r="M9" s="305"/>
      <c r="N9" s="305"/>
    </row>
    <row r="10" spans="1:14" x14ac:dyDescent="0.4">
      <c r="A10" s="305" t="s">
        <v>69</v>
      </c>
      <c r="B10" s="305"/>
      <c r="C10" s="305"/>
      <c r="D10" s="390"/>
      <c r="E10" s="2" t="s">
        <v>116</v>
      </c>
      <c r="F10" s="2"/>
      <c r="G10" s="305"/>
      <c r="H10" s="305"/>
      <c r="I10" s="2" t="s">
        <v>116</v>
      </c>
      <c r="J10" s="2"/>
      <c r="K10" s="305"/>
      <c r="L10" s="305"/>
      <c r="M10" s="305"/>
      <c r="N10" s="305"/>
    </row>
    <row r="11" spans="1:14" x14ac:dyDescent="0.4">
      <c r="A11" s="305" t="s">
        <v>28</v>
      </c>
      <c r="B11" s="305"/>
      <c r="C11" s="305"/>
      <c r="D11" s="390"/>
      <c r="E11" s="2" t="s">
        <v>99</v>
      </c>
      <c r="F11" s="305"/>
      <c r="G11" s="305"/>
      <c r="H11" s="305"/>
      <c r="I11" s="2" t="s">
        <v>99</v>
      </c>
      <c r="J11" s="2"/>
      <c r="K11" s="305"/>
      <c r="L11" s="305"/>
      <c r="M11" s="305"/>
      <c r="N11" s="305"/>
    </row>
    <row r="12" spans="1:14" x14ac:dyDescent="0.4">
      <c r="A12" s="305" t="s">
        <v>71</v>
      </c>
      <c r="B12" s="305"/>
      <c r="C12" s="305"/>
      <c r="D12" s="390"/>
      <c r="E12" s="2" t="s">
        <v>108</v>
      </c>
      <c r="F12" s="305"/>
      <c r="G12" s="305"/>
      <c r="H12" s="305"/>
      <c r="I12" s="2" t="s">
        <v>108</v>
      </c>
      <c r="J12" s="2"/>
      <c r="K12" s="305"/>
      <c r="L12" s="305"/>
      <c r="M12" s="305"/>
      <c r="N12" s="305"/>
    </row>
    <row r="13" spans="1:14" x14ac:dyDescent="0.4">
      <c r="A13" s="305" t="s">
        <v>68</v>
      </c>
      <c r="B13" s="305"/>
      <c r="C13" s="305"/>
      <c r="D13" s="305"/>
      <c r="E13" s="2" t="s">
        <v>117</v>
      </c>
      <c r="F13" s="305"/>
      <c r="G13" s="305"/>
      <c r="H13" s="305"/>
      <c r="I13" s="2" t="s">
        <v>117</v>
      </c>
      <c r="J13" s="2"/>
      <c r="K13" s="305"/>
      <c r="L13" s="305"/>
      <c r="M13" s="305"/>
      <c r="N13" s="305"/>
    </row>
    <row r="14" spans="1:14" x14ac:dyDescent="0.4">
      <c r="A14" s="305" t="s">
        <v>70</v>
      </c>
      <c r="B14" s="305"/>
      <c r="C14" s="305"/>
      <c r="D14" s="305"/>
      <c r="E14" s="2" t="s">
        <v>120</v>
      </c>
      <c r="F14" s="305"/>
      <c r="G14" s="305"/>
      <c r="H14" s="305"/>
      <c r="I14" s="2" t="s">
        <v>120</v>
      </c>
      <c r="J14" s="2"/>
      <c r="K14" s="305"/>
      <c r="L14" s="305"/>
      <c r="M14" s="305"/>
      <c r="N14" s="305"/>
    </row>
    <row r="15" spans="1:14" x14ac:dyDescent="0.4">
      <c r="A15" s="305" t="s">
        <v>121</v>
      </c>
      <c r="B15" s="305"/>
      <c r="C15" s="305"/>
      <c r="D15" s="305"/>
      <c r="E15" s="2" t="s">
        <v>118</v>
      </c>
      <c r="F15" s="305"/>
      <c r="G15" s="305"/>
      <c r="H15" s="305"/>
      <c r="I15" s="2" t="s">
        <v>118</v>
      </c>
      <c r="J15" s="2"/>
      <c r="K15" s="305"/>
      <c r="L15" s="305"/>
      <c r="M15" s="305"/>
      <c r="N15" s="305"/>
    </row>
    <row r="16" spans="1:14" x14ac:dyDescent="0.4">
      <c r="A16" s="305"/>
      <c r="B16" s="305"/>
      <c r="C16" s="305"/>
      <c r="D16" s="305"/>
      <c r="E16" s="2" t="s">
        <v>119</v>
      </c>
      <c r="F16" s="305"/>
      <c r="G16" s="305"/>
      <c r="H16" s="305"/>
      <c r="I16" s="2" t="s">
        <v>119</v>
      </c>
      <c r="J16" s="2"/>
      <c r="K16" s="305"/>
      <c r="L16" s="305"/>
      <c r="M16" s="305"/>
      <c r="N16" s="305"/>
    </row>
    <row r="17" spans="1:14" x14ac:dyDescent="0.4">
      <c r="A17" s="305"/>
      <c r="B17" s="305"/>
      <c r="C17" s="305"/>
      <c r="D17" s="305"/>
      <c r="E17" s="2" t="s">
        <v>122</v>
      </c>
      <c r="F17" s="305"/>
      <c r="G17" s="305"/>
      <c r="H17" s="305"/>
      <c r="I17" s="2" t="s">
        <v>122</v>
      </c>
      <c r="J17" s="2"/>
      <c r="K17" s="305"/>
      <c r="L17" s="305"/>
      <c r="M17" s="305"/>
      <c r="N17" s="305"/>
    </row>
    <row r="18" spans="1:14" x14ac:dyDescent="0.4">
      <c r="A18" s="305"/>
      <c r="B18" s="305"/>
      <c r="C18" s="305"/>
      <c r="D18" s="305"/>
      <c r="E18" s="2" t="s">
        <v>115</v>
      </c>
      <c r="F18" s="305"/>
      <c r="G18" s="305"/>
      <c r="H18" s="305"/>
      <c r="I18" s="2" t="s">
        <v>115</v>
      </c>
      <c r="J18" s="2"/>
      <c r="K18" s="305"/>
      <c r="L18" s="305"/>
      <c r="M18" s="305"/>
      <c r="N18" s="305"/>
    </row>
    <row r="19" spans="1:14" x14ac:dyDescent="0.4">
      <c r="A19" s="305"/>
      <c r="B19" s="305"/>
      <c r="C19" s="305"/>
      <c r="D19" s="305"/>
      <c r="E19" s="2" t="s">
        <v>123</v>
      </c>
      <c r="F19" s="305"/>
      <c r="G19" s="305"/>
      <c r="H19" s="305"/>
      <c r="I19" s="2" t="s">
        <v>123</v>
      </c>
      <c r="J19" s="2"/>
      <c r="K19" s="305"/>
      <c r="L19" s="305"/>
      <c r="M19" s="305"/>
      <c r="N19" s="305"/>
    </row>
    <row r="20" spans="1:14" x14ac:dyDescent="0.4">
      <c r="A20" s="385" t="s">
        <v>91</v>
      </c>
      <c r="B20" s="385" t="s">
        <v>93</v>
      </c>
      <c r="C20" s="385" t="s">
        <v>92</v>
      </c>
      <c r="D20" s="385" t="s">
        <v>124</v>
      </c>
      <c r="E20" s="385"/>
      <c r="F20" s="385" t="s">
        <v>94</v>
      </c>
      <c r="G20" s="385" t="s">
        <v>448</v>
      </c>
      <c r="H20" s="386" t="s">
        <v>454</v>
      </c>
      <c r="I20" s="305"/>
      <c r="J20" s="305"/>
      <c r="K20" s="305"/>
      <c r="L20" s="305"/>
      <c r="M20" s="305"/>
      <c r="N20" s="305"/>
    </row>
    <row r="21" spans="1:14" x14ac:dyDescent="0.4">
      <c r="A21" s="2" t="s">
        <v>58</v>
      </c>
      <c r="B21" s="2" t="s">
        <v>100</v>
      </c>
      <c r="C21" s="2" t="s">
        <v>100</v>
      </c>
      <c r="D21" s="2" t="s">
        <v>100</v>
      </c>
      <c r="E21" s="305"/>
      <c r="F21" s="2" t="s">
        <v>100</v>
      </c>
      <c r="G21" s="2" t="s">
        <v>559</v>
      </c>
      <c r="H21" s="2" t="s">
        <v>58</v>
      </c>
      <c r="I21" s="305"/>
      <c r="J21" s="305"/>
      <c r="K21" s="305"/>
      <c r="L21" s="305"/>
      <c r="M21" s="305"/>
      <c r="N21" s="305"/>
    </row>
    <row r="22" spans="1:14" x14ac:dyDescent="0.4">
      <c r="A22" s="2" t="s">
        <v>105</v>
      </c>
      <c r="B22" s="2" t="s">
        <v>61</v>
      </c>
      <c r="C22" s="2" t="s">
        <v>61</v>
      </c>
      <c r="D22" s="2" t="s">
        <v>61</v>
      </c>
      <c r="E22" s="305"/>
      <c r="F22" s="2" t="s">
        <v>125</v>
      </c>
      <c r="G22" s="2"/>
      <c r="H22" s="2" t="s">
        <v>105</v>
      </c>
      <c r="I22" s="305"/>
      <c r="J22" s="305"/>
      <c r="K22" s="305"/>
      <c r="L22" s="305"/>
      <c r="M22" s="305"/>
      <c r="N22" s="305"/>
    </row>
    <row r="23" spans="1:14" x14ac:dyDescent="0.4">
      <c r="A23" s="2" t="s">
        <v>559</v>
      </c>
      <c r="B23" s="2" t="s">
        <v>60</v>
      </c>
      <c r="C23" s="2" t="s">
        <v>60</v>
      </c>
      <c r="D23" s="2" t="s">
        <v>60</v>
      </c>
      <c r="E23" s="305"/>
      <c r="F23" s="2" t="s">
        <v>126</v>
      </c>
      <c r="G23" s="2"/>
      <c r="H23" s="2" t="s">
        <v>60</v>
      </c>
      <c r="I23" s="305"/>
      <c r="J23" s="305"/>
      <c r="K23" s="305"/>
      <c r="L23" s="305"/>
      <c r="M23" s="305"/>
      <c r="N23" s="305"/>
    </row>
    <row r="24" spans="1:14" x14ac:dyDescent="0.4">
      <c r="A24" s="305"/>
      <c r="B24" s="305" t="s">
        <v>559</v>
      </c>
      <c r="C24" s="2" t="s">
        <v>548</v>
      </c>
      <c r="D24" s="2" t="s">
        <v>548</v>
      </c>
      <c r="E24" s="305"/>
      <c r="F24" s="2" t="s">
        <v>60</v>
      </c>
      <c r="G24" s="305"/>
      <c r="H24" s="2"/>
      <c r="I24" s="305"/>
      <c r="J24" s="305"/>
      <c r="K24" s="305"/>
      <c r="L24" s="305"/>
      <c r="M24" s="305"/>
      <c r="N24" s="305"/>
    </row>
    <row r="25" spans="1:14" ht="14.25" customHeight="1" x14ac:dyDescent="0.4">
      <c r="A25" s="305"/>
      <c r="B25" s="305"/>
      <c r="C25" s="305" t="s">
        <v>559</v>
      </c>
      <c r="D25" s="2" t="s">
        <v>111</v>
      </c>
      <c r="E25" s="305"/>
      <c r="F25" s="305" t="s">
        <v>559</v>
      </c>
      <c r="G25" s="305"/>
      <c r="H25" s="305"/>
      <c r="I25" s="305"/>
      <c r="J25" s="305"/>
      <c r="K25" s="305"/>
      <c r="L25" s="305"/>
      <c r="M25" s="305"/>
      <c r="N25" s="305"/>
    </row>
    <row r="26" spans="1:14" x14ac:dyDescent="0.4">
      <c r="A26" s="305"/>
      <c r="B26" s="305"/>
      <c r="C26" s="305"/>
      <c r="D26" s="2" t="s">
        <v>113</v>
      </c>
      <c r="E26" s="305"/>
      <c r="F26" s="305"/>
      <c r="G26" s="305"/>
      <c r="H26" s="305"/>
      <c r="I26" s="305"/>
      <c r="J26" s="305"/>
      <c r="K26" s="305"/>
      <c r="L26" s="305"/>
      <c r="M26" s="305"/>
      <c r="N26" s="305"/>
    </row>
    <row r="27" spans="1:14" x14ac:dyDescent="0.4">
      <c r="A27" s="305"/>
      <c r="B27" s="305"/>
      <c r="C27" s="305"/>
      <c r="D27" s="305" t="s">
        <v>559</v>
      </c>
      <c r="E27" s="305"/>
      <c r="F27" s="305"/>
      <c r="G27" s="305"/>
      <c r="H27" s="305"/>
      <c r="I27" s="305"/>
      <c r="J27" s="305"/>
      <c r="K27" s="305"/>
      <c r="L27" s="305"/>
      <c r="M27" s="305"/>
      <c r="N27" s="305"/>
    </row>
    <row r="28" spans="1:14" x14ac:dyDescent="0.4">
      <c r="A28" s="385" t="s">
        <v>185</v>
      </c>
      <c r="B28" s="385"/>
      <c r="C28" s="385"/>
      <c r="D28" s="385"/>
      <c r="E28" s="305"/>
      <c r="F28" s="305"/>
      <c r="G28" s="305"/>
      <c r="H28" s="305"/>
      <c r="I28" s="305"/>
      <c r="J28" s="305"/>
      <c r="K28" s="305"/>
      <c r="L28" s="305"/>
      <c r="M28" s="305"/>
      <c r="N28" s="305"/>
    </row>
    <row r="29" spans="1:14" x14ac:dyDescent="0.4">
      <c r="A29" s="387" t="s">
        <v>181</v>
      </c>
      <c r="B29" s="387" t="s">
        <v>184</v>
      </c>
      <c r="C29" s="387" t="s">
        <v>301</v>
      </c>
      <c r="D29" s="387" t="s">
        <v>435</v>
      </c>
      <c r="E29" s="521" t="s">
        <v>556</v>
      </c>
      <c r="F29" s="305"/>
      <c r="G29" s="305"/>
      <c r="H29" s="305"/>
      <c r="I29" s="305"/>
      <c r="J29" s="305"/>
      <c r="K29" s="305"/>
      <c r="L29" s="305"/>
      <c r="M29" s="305"/>
      <c r="N29" s="305"/>
    </row>
    <row r="30" spans="1:14" x14ac:dyDescent="0.4">
      <c r="A30" s="390" t="s">
        <v>64</v>
      </c>
      <c r="B30" s="390" t="s">
        <v>63</v>
      </c>
      <c r="C30" s="390" t="s">
        <v>174</v>
      </c>
      <c r="D30" s="390" t="s">
        <v>449</v>
      </c>
      <c r="E30" s="520" t="s">
        <v>65</v>
      </c>
      <c r="F30" s="390"/>
      <c r="G30" s="305"/>
      <c r="H30" s="305"/>
      <c r="I30" s="305"/>
      <c r="J30" s="305"/>
      <c r="K30" s="305"/>
      <c r="L30" s="305"/>
      <c r="M30" s="305"/>
      <c r="N30" s="305"/>
    </row>
    <row r="31" spans="1:14" x14ac:dyDescent="0.4">
      <c r="A31" s="390" t="s">
        <v>544</v>
      </c>
      <c r="B31" s="390" t="s">
        <v>66</v>
      </c>
      <c r="C31" s="390" t="s">
        <v>302</v>
      </c>
      <c r="D31" s="390" t="s">
        <v>450</v>
      </c>
      <c r="E31" s="390"/>
      <c r="F31" s="390"/>
      <c r="G31" s="305"/>
      <c r="H31" s="305"/>
      <c r="I31" s="305"/>
      <c r="J31" s="305"/>
      <c r="K31" s="305"/>
      <c r="L31" s="305"/>
      <c r="M31" s="305"/>
      <c r="N31" s="305"/>
    </row>
    <row r="32" spans="1:14" x14ac:dyDescent="0.4">
      <c r="A32" s="390" t="s">
        <v>182</v>
      </c>
      <c r="B32" s="390" t="s">
        <v>27</v>
      </c>
      <c r="C32" s="390" t="s">
        <v>303</v>
      </c>
      <c r="D32" s="390" t="s">
        <v>451</v>
      </c>
      <c r="E32" s="390"/>
      <c r="F32" s="390"/>
      <c r="G32" s="305"/>
      <c r="H32" s="305"/>
      <c r="I32" s="305"/>
      <c r="J32" s="305"/>
      <c r="K32" s="305"/>
      <c r="L32" s="305"/>
      <c r="M32" s="305"/>
      <c r="N32" s="305"/>
    </row>
    <row r="33" spans="1:14" x14ac:dyDescent="0.4">
      <c r="A33" t="s">
        <v>545</v>
      </c>
      <c r="B33" s="390" t="s">
        <v>67</v>
      </c>
      <c r="C33" s="390"/>
      <c r="D33" s="390"/>
      <c r="E33" s="390"/>
      <c r="F33" s="390"/>
      <c r="G33" s="305"/>
      <c r="H33" s="305"/>
      <c r="I33" s="305"/>
      <c r="J33" s="305"/>
      <c r="K33" s="305"/>
      <c r="L33" s="305"/>
      <c r="M33" s="305"/>
      <c r="N33" s="305"/>
    </row>
    <row r="34" spans="1:14" x14ac:dyDescent="0.4">
      <c r="A34" s="390"/>
      <c r="B34" s="390" t="s">
        <v>69</v>
      </c>
      <c r="C34" s="390"/>
      <c r="D34" s="390"/>
      <c r="E34" s="390"/>
      <c r="F34" s="390"/>
      <c r="G34" s="305"/>
      <c r="H34" s="305"/>
      <c r="I34" s="305"/>
      <c r="J34" s="305"/>
      <c r="K34" s="305"/>
      <c r="L34" s="305"/>
      <c r="M34" s="305"/>
      <c r="N34" s="305"/>
    </row>
    <row r="35" spans="1:14" x14ac:dyDescent="0.4">
      <c r="A35" s="390"/>
      <c r="B35" s="390" t="s">
        <v>28</v>
      </c>
      <c r="C35" s="390"/>
      <c r="D35" s="390"/>
      <c r="E35" s="390"/>
      <c r="F35" s="390"/>
      <c r="G35" s="305"/>
      <c r="H35" s="305"/>
      <c r="I35" s="305"/>
      <c r="J35" s="305"/>
      <c r="K35" s="305"/>
      <c r="L35" s="305"/>
      <c r="M35" s="305"/>
      <c r="N35" s="305"/>
    </row>
    <row r="36" spans="1:14" x14ac:dyDescent="0.4">
      <c r="A36" s="390"/>
      <c r="B36" s="390" t="s">
        <v>71</v>
      </c>
      <c r="C36" s="390"/>
      <c r="D36" s="390"/>
      <c r="E36" s="390"/>
      <c r="F36" s="390"/>
      <c r="G36" s="305"/>
      <c r="H36" s="305"/>
      <c r="I36" s="305"/>
      <c r="J36" s="305"/>
      <c r="K36" s="305"/>
      <c r="L36" s="305"/>
      <c r="M36" s="305"/>
      <c r="N36" s="305"/>
    </row>
    <row r="37" spans="1:14" x14ac:dyDescent="0.4">
      <c r="A37" s="390"/>
      <c r="B37" s="390" t="s">
        <v>68</v>
      </c>
      <c r="C37" s="390"/>
      <c r="D37" s="390"/>
      <c r="E37" s="390"/>
      <c r="F37" s="390"/>
      <c r="G37" s="305"/>
      <c r="H37" s="305"/>
      <c r="I37" s="305"/>
      <c r="J37" s="305"/>
      <c r="K37" s="305"/>
      <c r="L37" s="305"/>
      <c r="M37" s="305"/>
      <c r="N37" s="305"/>
    </row>
    <row r="38" spans="1:14" x14ac:dyDescent="0.4">
      <c r="A38" s="390"/>
      <c r="B38" s="390" t="s">
        <v>70</v>
      </c>
      <c r="C38" s="390"/>
      <c r="D38" s="390"/>
      <c r="E38" s="390"/>
      <c r="F38" s="390"/>
      <c r="G38" s="305"/>
      <c r="H38" s="305"/>
      <c r="I38" s="305"/>
      <c r="J38" s="305"/>
      <c r="K38" s="305"/>
      <c r="L38" s="305"/>
      <c r="M38" s="305"/>
      <c r="N38" s="305"/>
    </row>
    <row r="39" spans="1:14" x14ac:dyDescent="0.4">
      <c r="A39" s="390"/>
      <c r="B39" s="390"/>
      <c r="C39" s="390"/>
      <c r="D39" s="390"/>
      <c r="E39" s="390"/>
      <c r="F39" s="390"/>
      <c r="G39" s="305"/>
      <c r="H39" s="305"/>
      <c r="I39" s="305"/>
      <c r="J39" s="305"/>
      <c r="K39" s="305"/>
      <c r="L39" s="305"/>
      <c r="M39" s="305"/>
      <c r="N39" s="305"/>
    </row>
    <row r="40" spans="1:14" x14ac:dyDescent="0.4">
      <c r="A40" s="390"/>
      <c r="B40" s="390"/>
      <c r="C40" s="390"/>
      <c r="D40" s="390"/>
      <c r="E40" s="390"/>
      <c r="F40" s="390"/>
      <c r="G40" s="305"/>
      <c r="H40" s="305"/>
      <c r="I40" s="305"/>
      <c r="J40" s="305"/>
      <c r="K40" s="305"/>
      <c r="L40" s="305"/>
      <c r="M40" s="305"/>
      <c r="N40" s="305"/>
    </row>
    <row r="41" spans="1:14" x14ac:dyDescent="0.4">
      <c r="A41" s="305"/>
      <c r="B41" s="305"/>
      <c r="C41" s="305"/>
      <c r="D41" s="305"/>
      <c r="E41" s="305"/>
      <c r="F41" s="305"/>
      <c r="G41" s="305"/>
      <c r="H41" s="305"/>
      <c r="I41" s="305"/>
      <c r="J41" s="305"/>
      <c r="K41" s="305"/>
      <c r="L41" s="305"/>
      <c r="M41" s="305"/>
      <c r="N41" s="305"/>
    </row>
    <row r="42" spans="1:14" x14ac:dyDescent="0.4">
      <c r="A42" s="385" t="s">
        <v>186</v>
      </c>
      <c r="B42" s="385"/>
      <c r="C42" s="385"/>
      <c r="D42" s="385"/>
      <c r="E42" s="385"/>
      <c r="F42" s="385"/>
      <c r="G42" s="385"/>
      <c r="H42" s="305"/>
      <c r="I42" s="305"/>
      <c r="J42" s="305"/>
      <c r="K42" s="305"/>
      <c r="L42" s="305"/>
      <c r="M42" s="305"/>
      <c r="N42" s="305"/>
    </row>
    <row r="43" spans="1:14" x14ac:dyDescent="0.4">
      <c r="A43" s="387" t="s">
        <v>188</v>
      </c>
      <c r="B43" s="387" t="s">
        <v>36</v>
      </c>
      <c r="C43" s="387" t="s">
        <v>193</v>
      </c>
      <c r="D43" s="387" t="s">
        <v>200</v>
      </c>
      <c r="E43" s="387" t="s">
        <v>199</v>
      </c>
      <c r="F43" s="387" t="s">
        <v>183</v>
      </c>
      <c r="G43" s="388" t="s">
        <v>281</v>
      </c>
      <c r="H43" s="305"/>
      <c r="I43" s="305"/>
      <c r="J43" s="305"/>
      <c r="K43" s="305"/>
      <c r="L43" s="305"/>
      <c r="M43" s="305"/>
      <c r="N43" s="305"/>
    </row>
    <row r="44" spans="1:14" x14ac:dyDescent="0.4">
      <c r="A44" s="305" t="s">
        <v>169</v>
      </c>
      <c r="B44" s="305" t="s">
        <v>170</v>
      </c>
      <c r="C44" s="305" t="s">
        <v>192</v>
      </c>
      <c r="D44" s="305" t="s">
        <v>175</v>
      </c>
      <c r="E44" s="305" t="s">
        <v>201</v>
      </c>
      <c r="F44" s="305" t="s">
        <v>278</v>
      </c>
      <c r="G44" s="305" t="s">
        <v>370</v>
      </c>
      <c r="H44" s="305"/>
      <c r="I44" s="305"/>
      <c r="J44" s="305"/>
      <c r="K44" s="305"/>
      <c r="L44" s="305"/>
      <c r="M44" s="305"/>
      <c r="N44" s="305"/>
    </row>
    <row r="45" spans="1:14" x14ac:dyDescent="0.4">
      <c r="A45" s="305" t="s">
        <v>187</v>
      </c>
      <c r="B45" s="305" t="s">
        <v>310</v>
      </c>
      <c r="C45" s="305" t="s">
        <v>194</v>
      </c>
      <c r="D45" s="305" t="s">
        <v>198</v>
      </c>
      <c r="E45" s="305" t="s">
        <v>205</v>
      </c>
      <c r="F45" s="305" t="s">
        <v>279</v>
      </c>
      <c r="G45" s="305" t="s">
        <v>173</v>
      </c>
      <c r="H45" s="305"/>
      <c r="I45" s="305"/>
      <c r="J45" s="305"/>
      <c r="K45" s="305"/>
      <c r="L45" s="305"/>
      <c r="M45" s="305"/>
      <c r="N45" s="305"/>
    </row>
    <row r="46" spans="1:14" x14ac:dyDescent="0.4">
      <c r="A46" s="305" t="s">
        <v>206</v>
      </c>
      <c r="B46" s="305" t="s">
        <v>189</v>
      </c>
      <c r="C46" s="305" t="s">
        <v>195</v>
      </c>
      <c r="D46" s="305" t="s">
        <v>190</v>
      </c>
      <c r="E46" s="305" t="s">
        <v>176</v>
      </c>
      <c r="F46" s="305" t="s">
        <v>277</v>
      </c>
      <c r="G46" s="305" t="s">
        <v>282</v>
      </c>
      <c r="H46" s="305"/>
      <c r="I46" s="305"/>
      <c r="J46" s="305"/>
      <c r="K46" s="305"/>
      <c r="L46" s="305"/>
      <c r="M46" s="305"/>
      <c r="N46" s="305"/>
    </row>
    <row r="47" spans="1:14" x14ac:dyDescent="0.4">
      <c r="A47" s="305"/>
      <c r="B47" s="305" t="s">
        <v>190</v>
      </c>
      <c r="C47" s="305" t="s">
        <v>196</v>
      </c>
      <c r="D47" s="305"/>
      <c r="E47" s="305" t="s">
        <v>202</v>
      </c>
      <c r="F47" s="305"/>
      <c r="G47" s="305" t="s">
        <v>371</v>
      </c>
      <c r="H47" s="305"/>
      <c r="I47" s="305"/>
      <c r="J47" s="305"/>
      <c r="K47" s="305"/>
      <c r="L47" s="305"/>
      <c r="M47" s="305"/>
      <c r="N47" s="305"/>
    </row>
    <row r="48" spans="1:14" x14ac:dyDescent="0.4">
      <c r="A48" s="305"/>
      <c r="B48" s="305" t="s">
        <v>191</v>
      </c>
      <c r="C48" s="305" t="s">
        <v>197</v>
      </c>
      <c r="D48" s="305"/>
      <c r="E48" s="305" t="s">
        <v>203</v>
      </c>
      <c r="F48" s="305"/>
      <c r="G48" s="305"/>
      <c r="H48" s="305"/>
      <c r="I48" s="305"/>
      <c r="J48" s="305"/>
      <c r="K48" s="305"/>
      <c r="L48" s="305"/>
      <c r="M48" s="305"/>
      <c r="N48" s="305"/>
    </row>
    <row r="49" spans="1:14" x14ac:dyDescent="0.4">
      <c r="A49" s="305"/>
      <c r="B49" s="305"/>
      <c r="C49" s="305"/>
      <c r="D49" s="305"/>
      <c r="E49" s="305" t="s">
        <v>204</v>
      </c>
      <c r="F49" s="305"/>
      <c r="G49" s="305"/>
      <c r="H49" s="305"/>
      <c r="I49" s="305"/>
      <c r="J49" s="305"/>
      <c r="K49" s="305"/>
      <c r="L49" s="305"/>
      <c r="M49" s="305"/>
      <c r="N49" s="305"/>
    </row>
    <row r="50" spans="1:14" x14ac:dyDescent="0.4">
      <c r="A50" s="305"/>
      <c r="B50" s="305"/>
      <c r="C50" s="305"/>
      <c r="D50" s="305"/>
      <c r="E50" s="305" t="s">
        <v>172</v>
      </c>
      <c r="F50" s="305"/>
      <c r="G50" s="305"/>
      <c r="H50" s="305"/>
      <c r="I50" s="305"/>
      <c r="J50" s="305"/>
      <c r="K50" s="305"/>
      <c r="L50" s="305"/>
      <c r="M50" s="305"/>
      <c r="N50" s="305"/>
    </row>
    <row r="51" spans="1:14" x14ac:dyDescent="0.4">
      <c r="A51" s="305"/>
      <c r="B51" s="305"/>
      <c r="C51" s="305"/>
      <c r="D51" s="305"/>
      <c r="E51" s="305" t="s">
        <v>197</v>
      </c>
      <c r="F51" s="305"/>
      <c r="G51" s="305"/>
      <c r="H51" s="305"/>
      <c r="I51" s="305"/>
      <c r="J51" s="305"/>
      <c r="K51" s="305"/>
      <c r="L51" s="305"/>
      <c r="M51" s="305"/>
      <c r="N51" s="305"/>
    </row>
    <row r="52" spans="1:14" x14ac:dyDescent="0.4">
      <c r="A52" s="305"/>
      <c r="B52" s="305"/>
      <c r="C52" s="305"/>
      <c r="D52" s="305"/>
      <c r="E52" s="305"/>
      <c r="F52" s="305"/>
      <c r="G52" s="305"/>
      <c r="H52" s="305"/>
      <c r="I52" s="305"/>
      <c r="J52" s="305"/>
      <c r="K52" s="305"/>
      <c r="L52" s="305"/>
      <c r="M52" s="305"/>
      <c r="N52" s="305"/>
    </row>
    <row r="53" spans="1:14" x14ac:dyDescent="0.4">
      <c r="A53" s="389" t="s">
        <v>372</v>
      </c>
      <c r="B53" s="305"/>
      <c r="C53" s="305"/>
      <c r="D53" s="305"/>
      <c r="E53" s="305"/>
      <c r="F53" s="305"/>
      <c r="G53" s="305"/>
      <c r="H53" s="305"/>
      <c r="I53" s="305"/>
      <c r="J53" s="305"/>
      <c r="K53" s="305"/>
      <c r="L53" s="305"/>
      <c r="M53" s="305"/>
      <c r="N53" s="305"/>
    </row>
    <row r="54" spans="1:14" x14ac:dyDescent="0.4">
      <c r="A54" s="387" t="s">
        <v>373</v>
      </c>
      <c r="B54" s="387" t="s">
        <v>409</v>
      </c>
      <c r="C54" s="305"/>
      <c r="D54" s="305"/>
      <c r="E54" s="305"/>
      <c r="F54" s="305"/>
      <c r="G54" s="305"/>
      <c r="H54" s="305"/>
      <c r="I54" s="305"/>
      <c r="J54" s="305"/>
      <c r="K54" s="305"/>
      <c r="L54" s="305"/>
      <c r="M54" s="305"/>
      <c r="N54" s="305"/>
    </row>
    <row r="55" spans="1:14" x14ac:dyDescent="0.4">
      <c r="A55" s="305" t="s">
        <v>438</v>
      </c>
      <c r="B55" s="305" t="s">
        <v>410</v>
      </c>
      <c r="C55" s="305"/>
      <c r="D55" s="305"/>
      <c r="E55" s="305"/>
      <c r="F55" s="305"/>
      <c r="G55" s="305"/>
      <c r="H55" s="305"/>
      <c r="I55" s="305"/>
      <c r="J55" s="305"/>
      <c r="K55" s="305"/>
      <c r="L55" s="305"/>
      <c r="M55" s="305"/>
      <c r="N55" s="305"/>
    </row>
    <row r="56" spans="1:14" x14ac:dyDescent="0.4">
      <c r="A56" s="305" t="s">
        <v>522</v>
      </c>
      <c r="B56" s="305" t="s">
        <v>413</v>
      </c>
      <c r="C56" s="305"/>
      <c r="D56" s="305"/>
      <c r="E56" s="305"/>
      <c r="F56" s="305"/>
      <c r="G56" s="305"/>
      <c r="H56" s="305"/>
      <c r="I56" s="305"/>
      <c r="J56" s="305"/>
      <c r="K56" s="305"/>
      <c r="L56" s="305"/>
      <c r="M56" s="305"/>
      <c r="N56" s="305"/>
    </row>
    <row r="57" spans="1:14" x14ac:dyDescent="0.4">
      <c r="A57" s="305" t="s">
        <v>374</v>
      </c>
      <c r="B57" s="305"/>
      <c r="C57" s="305"/>
      <c r="D57" s="305"/>
      <c r="E57" s="305"/>
      <c r="F57" s="305"/>
      <c r="G57" s="305"/>
      <c r="H57" s="305"/>
      <c r="I57" s="305"/>
      <c r="J57" s="305"/>
      <c r="K57" s="305"/>
      <c r="L57" s="305"/>
      <c r="M57" s="305"/>
      <c r="N57" s="305"/>
    </row>
    <row r="58" spans="1:14" x14ac:dyDescent="0.4">
      <c r="A58" s="305"/>
      <c r="B58" s="305"/>
      <c r="C58" s="305"/>
      <c r="D58" s="305"/>
      <c r="E58" s="305"/>
      <c r="F58" s="305"/>
      <c r="G58" s="305"/>
      <c r="H58" s="305"/>
      <c r="I58" s="305"/>
      <c r="J58" s="305"/>
      <c r="K58" s="305"/>
      <c r="L58" s="305"/>
      <c r="M58" s="305"/>
      <c r="N58" s="305"/>
    </row>
    <row r="59" spans="1:14" x14ac:dyDescent="0.4">
      <c r="A59" s="305"/>
      <c r="B59" s="305"/>
      <c r="C59" s="305"/>
      <c r="D59" s="305"/>
      <c r="E59" s="305"/>
      <c r="F59" s="305"/>
      <c r="G59" s="305"/>
      <c r="H59" s="305"/>
      <c r="I59" s="305"/>
      <c r="J59" s="305"/>
      <c r="K59" s="305"/>
      <c r="L59" s="305"/>
      <c r="M59" s="305"/>
      <c r="N59" s="305"/>
    </row>
    <row r="60" spans="1:14" x14ac:dyDescent="0.4">
      <c r="A60" s="305"/>
      <c r="B60" s="305"/>
      <c r="C60" s="305"/>
      <c r="D60" s="305"/>
      <c r="E60" s="305"/>
      <c r="F60" s="305"/>
      <c r="G60" s="305"/>
      <c r="H60" s="305"/>
      <c r="I60" s="305"/>
      <c r="J60" s="305"/>
      <c r="K60" s="305"/>
      <c r="L60" s="305"/>
      <c r="M60" s="305"/>
      <c r="N60" s="305"/>
    </row>
    <row r="61" spans="1:14" x14ac:dyDescent="0.4">
      <c r="A61" s="305"/>
      <c r="B61" s="305"/>
      <c r="C61" s="305"/>
      <c r="D61" s="305"/>
      <c r="E61" s="305"/>
      <c r="F61" s="305"/>
      <c r="G61" s="305"/>
      <c r="H61" s="305"/>
      <c r="I61" s="305"/>
      <c r="J61" s="305"/>
      <c r="K61" s="305"/>
      <c r="L61" s="305"/>
      <c r="M61" s="305"/>
      <c r="N61" s="305"/>
    </row>
    <row r="62" spans="1:14" x14ac:dyDescent="0.4">
      <c r="A62" s="305"/>
      <c r="B62" s="305"/>
      <c r="C62" s="305"/>
      <c r="D62" s="305"/>
      <c r="E62" s="305"/>
      <c r="F62" s="305"/>
      <c r="G62" s="305"/>
      <c r="H62" s="305"/>
      <c r="I62" s="305"/>
      <c r="J62" s="305"/>
      <c r="K62" s="305"/>
      <c r="L62" s="305"/>
      <c r="M62" s="305"/>
      <c r="N62" s="305"/>
    </row>
    <row r="63" spans="1:14" x14ac:dyDescent="0.4">
      <c r="A63" s="305"/>
      <c r="B63" s="305"/>
      <c r="C63" s="305"/>
      <c r="D63" s="305"/>
      <c r="E63" s="305"/>
      <c r="F63" s="305"/>
      <c r="G63" s="305"/>
      <c r="H63" s="305"/>
      <c r="I63" s="305"/>
      <c r="J63" s="305"/>
      <c r="K63" s="305"/>
      <c r="L63" s="305"/>
      <c r="M63" s="305"/>
      <c r="N63" s="305"/>
    </row>
    <row r="64" spans="1:14" x14ac:dyDescent="0.4">
      <c r="A64" s="305"/>
      <c r="B64" s="305"/>
      <c r="C64" s="305"/>
      <c r="D64" s="305"/>
      <c r="E64" s="305"/>
      <c r="F64" s="305"/>
      <c r="G64" s="305"/>
      <c r="H64" s="305"/>
      <c r="I64" s="305"/>
      <c r="J64" s="305"/>
      <c r="K64" s="305"/>
      <c r="L64" s="305"/>
      <c r="M64" s="305"/>
      <c r="N64" s="305"/>
    </row>
    <row r="65" spans="1:14" x14ac:dyDescent="0.4">
      <c r="A65" s="305"/>
      <c r="B65" s="305"/>
      <c r="C65" s="305"/>
      <c r="D65" s="305"/>
      <c r="E65" s="305"/>
      <c r="F65" s="305"/>
      <c r="G65" s="305"/>
      <c r="H65" s="305"/>
      <c r="I65" s="305"/>
      <c r="J65" s="305"/>
      <c r="K65" s="305"/>
      <c r="L65" s="305"/>
      <c r="M65" s="305"/>
      <c r="N65" s="305"/>
    </row>
    <row r="66" spans="1:14" x14ac:dyDescent="0.4">
      <c r="A66" s="305"/>
      <c r="B66" s="305"/>
      <c r="C66" s="305"/>
      <c r="D66" s="305"/>
      <c r="E66" s="305"/>
      <c r="F66" s="305"/>
      <c r="G66" s="305"/>
      <c r="H66" s="305"/>
      <c r="I66" s="305"/>
      <c r="J66" s="305"/>
      <c r="K66" s="305"/>
      <c r="L66" s="305"/>
      <c r="M66" s="305"/>
      <c r="N66" s="305"/>
    </row>
    <row r="67" spans="1:14" x14ac:dyDescent="0.4">
      <c r="A67" s="305"/>
      <c r="B67" s="305"/>
      <c r="C67" s="305"/>
      <c r="D67" s="305"/>
      <c r="E67" s="305"/>
      <c r="F67" s="305"/>
      <c r="G67" s="305"/>
      <c r="H67" s="305"/>
      <c r="I67" s="305"/>
      <c r="J67" s="305"/>
      <c r="K67" s="305"/>
      <c r="L67" s="305"/>
      <c r="M67" s="305"/>
      <c r="N67" s="305"/>
    </row>
    <row r="68" spans="1:14" x14ac:dyDescent="0.4">
      <c r="A68" s="305"/>
      <c r="B68" s="305"/>
      <c r="C68" s="305"/>
      <c r="D68" s="305"/>
      <c r="E68" s="305"/>
      <c r="F68" s="305"/>
      <c r="G68" s="305"/>
      <c r="H68" s="305"/>
      <c r="I68" s="305"/>
      <c r="J68" s="305"/>
      <c r="K68" s="305"/>
      <c r="L68" s="305"/>
      <c r="M68" s="305"/>
      <c r="N68" s="305"/>
    </row>
  </sheetData>
  <sheetProtection algorithmName="SHA-512" hashValue="lSFAQk38RnGhQKmzLS3NLH1UATItQl9FA0nu1EpqHOEkVEx8b/+VZziCa3nvom9HIJHfOFTND0eROraU8hL43w==" saltValue="o2zJX+EmNEULnYY6S2k42Q==" spinCount="100000" sheet="1" objects="1" scenarios="1" formatRows="0"/>
  <sortState xmlns:xlrd2="http://schemas.microsoft.com/office/spreadsheetml/2017/richdata2" ref="H21:H27">
    <sortCondition ref="H21:H27"/>
  </sortState>
  <phoneticPr fontId="14" type="noConversion"/>
  <conditionalFormatting sqref="D4:D9">
    <cfRule type="expression" priority="11">
      <formula>IF($B$3="Industrie",1,0)</formula>
    </cfRule>
  </conditionalFormatting>
  <conditionalFormatting sqref="E4:E13 E15 E17:E19">
    <cfRule type="expression" priority="2">
      <formula>IF($B$3="Industrie",1,0)</formula>
    </cfRule>
  </conditionalFormatting>
  <conditionalFormatting sqref="F4:G12">
    <cfRule type="expression" priority="84">
      <formula>IF($B$3="Industrie",1,0)</formula>
    </cfRule>
  </conditionalFormatting>
  <conditionalFormatting sqref="G21:H22">
    <cfRule type="expression" priority="1">
      <formula>IF($B$3="Industrie",1,0)</formula>
    </cfRule>
  </conditionalFormatting>
  <conditionalFormatting sqref="I4:J13 I15:J15 I17:J19 A21:A23">
    <cfRule type="expression" priority="10">
      <formula>IF($B$3="Industrie",1,0)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election activeCell="J27" sqref="J27"/>
    </sheetView>
  </sheetViews>
  <sheetFormatPr baseColWidth="10" defaultColWidth="0" defaultRowHeight="12.75" customHeight="1" zeroHeight="1" x14ac:dyDescent="0.4"/>
  <cols>
    <col min="1" max="1" width="2.703125" style="4" customWidth="1"/>
    <col min="2" max="2" width="10.1171875" style="4" bestFit="1" customWidth="1"/>
    <col min="3" max="3" width="10.5859375" style="8" bestFit="1" customWidth="1"/>
    <col min="4" max="4" width="14" style="8" bestFit="1" customWidth="1"/>
    <col min="5" max="5" width="11.87890625" style="4" bestFit="1" customWidth="1"/>
    <col min="6" max="6" width="11.5859375" style="4" bestFit="1" customWidth="1"/>
    <col min="7" max="7" width="17.87890625" style="4" customWidth="1"/>
    <col min="8" max="8" width="9.1171875" style="4" bestFit="1" customWidth="1"/>
    <col min="9" max="9" width="12.41015625" style="4" bestFit="1" customWidth="1"/>
    <col min="10" max="10" width="9.1171875" style="4" bestFit="1" customWidth="1"/>
    <col min="11" max="11" width="7.5859375" style="4" customWidth="1"/>
    <col min="12" max="14" width="0" style="4" hidden="1" customWidth="1"/>
    <col min="15" max="16384" width="11.41015625" style="4" hidden="1"/>
  </cols>
  <sheetData>
    <row r="1" spans="1:11" ht="13" thickBot="1" x14ac:dyDescent="0.45">
      <c r="A1" s="60"/>
      <c r="B1" s="60"/>
      <c r="C1" s="116"/>
      <c r="D1" s="116"/>
      <c r="E1" s="60"/>
      <c r="F1" s="60"/>
      <c r="G1" s="60"/>
      <c r="H1" s="60"/>
      <c r="I1" s="60"/>
      <c r="J1" s="60"/>
      <c r="K1" s="60"/>
    </row>
    <row r="2" spans="1:11" ht="15.7" thickBot="1" x14ac:dyDescent="0.45">
      <c r="A2" s="60"/>
      <c r="B2" s="996" t="s">
        <v>127</v>
      </c>
      <c r="C2" s="997"/>
      <c r="D2" s="997"/>
      <c r="E2" s="997"/>
      <c r="F2" s="997"/>
      <c r="G2" s="997"/>
      <c r="H2" s="997"/>
      <c r="I2" s="997"/>
      <c r="J2" s="998"/>
      <c r="K2" s="60"/>
    </row>
    <row r="3" spans="1:11" ht="13" thickBot="1" x14ac:dyDescent="0.45">
      <c r="A3" s="60"/>
      <c r="B3" s="60"/>
      <c r="C3" s="116"/>
      <c r="D3" s="116"/>
      <c r="E3" s="60"/>
      <c r="F3" s="60"/>
      <c r="G3" s="60"/>
      <c r="H3" s="60"/>
      <c r="I3" s="60"/>
      <c r="J3" s="60"/>
      <c r="K3" s="60"/>
    </row>
    <row r="4" spans="1:11" s="5" customFormat="1" ht="67.7" customHeight="1" thickBot="1" x14ac:dyDescent="0.45">
      <c r="A4" s="96"/>
      <c r="B4" s="97" t="s">
        <v>26</v>
      </c>
      <c r="C4" s="97" t="s">
        <v>32</v>
      </c>
      <c r="D4" s="97" t="s">
        <v>128</v>
      </c>
      <c r="E4" s="118" t="s">
        <v>129</v>
      </c>
      <c r="F4" s="119" t="s">
        <v>130</v>
      </c>
      <c r="G4" s="120" t="s">
        <v>131</v>
      </c>
      <c r="H4" s="121" t="s">
        <v>132</v>
      </c>
      <c r="I4" s="120" t="s">
        <v>133</v>
      </c>
      <c r="J4" s="121" t="s">
        <v>132</v>
      </c>
      <c r="K4" s="122"/>
    </row>
    <row r="5" spans="1:11" ht="14.7" x14ac:dyDescent="0.4">
      <c r="A5" s="60"/>
      <c r="B5" s="123">
        <v>1313</v>
      </c>
      <c r="C5" s="123" t="s">
        <v>37</v>
      </c>
      <c r="D5" s="124" t="s">
        <v>134</v>
      </c>
      <c r="E5" s="125">
        <v>3</v>
      </c>
      <c r="F5" s="124">
        <v>15</v>
      </c>
      <c r="G5" s="126">
        <v>80</v>
      </c>
      <c r="H5" s="127">
        <v>0.3</v>
      </c>
      <c r="I5" s="128">
        <v>80</v>
      </c>
      <c r="J5" s="129">
        <v>0.2</v>
      </c>
      <c r="K5" s="60"/>
    </row>
    <row r="6" spans="1:11" ht="14.7" x14ac:dyDescent="0.4">
      <c r="A6" s="60"/>
      <c r="B6" s="130">
        <v>1314</v>
      </c>
      <c r="C6" s="130" t="s">
        <v>38</v>
      </c>
      <c r="D6" s="131" t="s">
        <v>134</v>
      </c>
      <c r="E6" s="132">
        <v>30</v>
      </c>
      <c r="F6" s="131">
        <v>80</v>
      </c>
      <c r="G6" s="133">
        <v>250</v>
      </c>
      <c r="H6" s="134">
        <v>0.2</v>
      </c>
      <c r="I6" s="133">
        <v>250</v>
      </c>
      <c r="J6" s="134">
        <v>0.1</v>
      </c>
      <c r="K6" s="60"/>
    </row>
    <row r="7" spans="1:11" ht="14.7" x14ac:dyDescent="0.4">
      <c r="A7" s="60"/>
      <c r="B7" s="130">
        <v>6396</v>
      </c>
      <c r="C7" s="130" t="s">
        <v>39</v>
      </c>
      <c r="D7" s="131" t="s">
        <v>134</v>
      </c>
      <c r="E7" s="132">
        <v>10</v>
      </c>
      <c r="F7" s="131">
        <v>20</v>
      </c>
      <c r="G7" s="133">
        <v>150</v>
      </c>
      <c r="H7" s="134">
        <v>0.2</v>
      </c>
      <c r="I7" s="133">
        <v>150</v>
      </c>
      <c r="J7" s="134">
        <v>0.1</v>
      </c>
      <c r="K7" s="60"/>
    </row>
    <row r="8" spans="1:11" ht="12.7" x14ac:dyDescent="0.4">
      <c r="A8" s="60"/>
      <c r="B8" s="130">
        <v>1305</v>
      </c>
      <c r="C8" s="130" t="s">
        <v>41</v>
      </c>
      <c r="D8" s="131" t="s">
        <v>135</v>
      </c>
      <c r="E8" s="132">
        <v>2</v>
      </c>
      <c r="F8" s="131">
        <v>15</v>
      </c>
      <c r="G8" s="133">
        <v>60</v>
      </c>
      <c r="H8" s="134">
        <v>0.3</v>
      </c>
      <c r="I8" s="133">
        <v>60</v>
      </c>
      <c r="J8" s="134">
        <v>0.2</v>
      </c>
      <c r="K8" s="60"/>
    </row>
    <row r="9" spans="1:11" ht="12.7" x14ac:dyDescent="0.4">
      <c r="A9" s="60"/>
      <c r="B9" s="135">
        <v>1319</v>
      </c>
      <c r="C9" s="135" t="s">
        <v>42</v>
      </c>
      <c r="D9" s="131" t="s">
        <v>136</v>
      </c>
      <c r="E9" s="132">
        <v>0.5</v>
      </c>
      <c r="F9" s="131">
        <v>6</v>
      </c>
      <c r="G9" s="6"/>
      <c r="H9" s="7"/>
      <c r="I9" s="133">
        <v>6</v>
      </c>
      <c r="J9" s="134">
        <v>0.1</v>
      </c>
      <c r="K9" s="60"/>
    </row>
    <row r="10" spans="1:11" ht="12.7" x14ac:dyDescent="0.4">
      <c r="A10" s="60"/>
      <c r="B10" s="130">
        <v>1551</v>
      </c>
      <c r="C10" s="130" t="s">
        <v>46</v>
      </c>
      <c r="D10" s="131" t="s">
        <v>136</v>
      </c>
      <c r="E10" s="132">
        <v>1</v>
      </c>
      <c r="F10" s="131">
        <v>6</v>
      </c>
      <c r="G10" s="6"/>
      <c r="H10" s="7"/>
      <c r="I10" s="133">
        <v>6</v>
      </c>
      <c r="J10" s="134">
        <v>0.2</v>
      </c>
      <c r="K10" s="60"/>
    </row>
    <row r="11" spans="1:11" ht="14.7" x14ac:dyDescent="0.4">
      <c r="A11" s="60"/>
      <c r="B11" s="135">
        <v>1335</v>
      </c>
      <c r="C11" s="135" t="s">
        <v>43</v>
      </c>
      <c r="D11" s="131" t="s">
        <v>137</v>
      </c>
      <c r="E11" s="132">
        <v>0.5</v>
      </c>
      <c r="F11" s="131">
        <v>6</v>
      </c>
      <c r="G11" s="6"/>
      <c r="H11" s="7"/>
      <c r="I11" s="133">
        <v>6</v>
      </c>
      <c r="J11" s="134">
        <v>0.1</v>
      </c>
      <c r="K11" s="60"/>
    </row>
    <row r="12" spans="1:11" ht="14.7" x14ac:dyDescent="0.4">
      <c r="A12" s="60"/>
      <c r="B12" s="135">
        <v>1339</v>
      </c>
      <c r="C12" s="135" t="s">
        <v>44</v>
      </c>
      <c r="D12" s="131" t="s">
        <v>138</v>
      </c>
      <c r="E12" s="132">
        <v>0.05</v>
      </c>
      <c r="F12" s="131">
        <v>1</v>
      </c>
      <c r="G12" s="6"/>
      <c r="H12" s="7"/>
      <c r="I12" s="133">
        <v>1</v>
      </c>
      <c r="J12" s="134">
        <v>0.2</v>
      </c>
      <c r="K12" s="60"/>
    </row>
    <row r="13" spans="1:11" ht="14.7" x14ac:dyDescent="0.4">
      <c r="A13" s="60"/>
      <c r="B13" s="135">
        <v>1340</v>
      </c>
      <c r="C13" s="135" t="s">
        <v>45</v>
      </c>
      <c r="D13" s="131" t="s">
        <v>139</v>
      </c>
      <c r="E13" s="132">
        <v>1</v>
      </c>
      <c r="F13" s="131">
        <v>5</v>
      </c>
      <c r="G13" s="6"/>
      <c r="H13" s="7"/>
      <c r="I13" s="133">
        <v>5</v>
      </c>
      <c r="J13" s="134">
        <v>0.2</v>
      </c>
      <c r="K13" s="60"/>
    </row>
    <row r="14" spans="1:11" ht="12.7" x14ac:dyDescent="0.4">
      <c r="A14" s="60"/>
      <c r="B14" s="130">
        <v>1350</v>
      </c>
      <c r="C14" s="130" t="s">
        <v>47</v>
      </c>
      <c r="D14" s="131" t="s">
        <v>140</v>
      </c>
      <c r="E14" s="132">
        <v>0.05</v>
      </c>
      <c r="F14" s="131">
        <v>1</v>
      </c>
      <c r="G14" s="6"/>
      <c r="H14" s="7"/>
      <c r="I14" s="133">
        <v>1</v>
      </c>
      <c r="J14" s="134">
        <v>0.2</v>
      </c>
      <c r="K14" s="60"/>
    </row>
    <row r="15" spans="1:11" ht="12.7" x14ac:dyDescent="0.4">
      <c r="A15" s="60"/>
      <c r="B15" s="130">
        <v>1369</v>
      </c>
      <c r="C15" s="130" t="s">
        <v>49</v>
      </c>
      <c r="D15" s="136" t="s">
        <v>135</v>
      </c>
      <c r="E15" s="132">
        <v>5.0000000000000001E-3</v>
      </c>
      <c r="F15" s="131">
        <v>0.5</v>
      </c>
      <c r="G15" s="133">
        <v>1</v>
      </c>
      <c r="H15" s="134">
        <v>0.6</v>
      </c>
      <c r="I15" s="133">
        <v>1</v>
      </c>
      <c r="J15" s="134">
        <v>0.3</v>
      </c>
      <c r="K15" s="60"/>
    </row>
    <row r="16" spans="1:11" ht="12.7" x14ac:dyDescent="0.4">
      <c r="A16" s="60"/>
      <c r="B16" s="130">
        <v>1388</v>
      </c>
      <c r="C16" s="130" t="s">
        <v>50</v>
      </c>
      <c r="D16" s="136" t="s">
        <v>135</v>
      </c>
      <c r="E16" s="132">
        <v>1E-3</v>
      </c>
      <c r="F16" s="131">
        <v>0.5</v>
      </c>
      <c r="G16" s="133">
        <v>1</v>
      </c>
      <c r="H16" s="134">
        <v>0.6</v>
      </c>
      <c r="I16" s="133">
        <v>1</v>
      </c>
      <c r="J16" s="134">
        <v>0.3</v>
      </c>
      <c r="K16" s="60"/>
    </row>
    <row r="17" spans="1:11" ht="12.7" x14ac:dyDescent="0.4">
      <c r="A17" s="60"/>
      <c r="B17" s="130">
        <v>1389</v>
      </c>
      <c r="C17" s="130" t="s">
        <v>51</v>
      </c>
      <c r="D17" s="136" t="s">
        <v>135</v>
      </c>
      <c r="E17" s="132">
        <v>5.0000000000000001E-3</v>
      </c>
      <c r="F17" s="131">
        <v>0.5</v>
      </c>
      <c r="G17" s="133">
        <v>1</v>
      </c>
      <c r="H17" s="134">
        <v>0.6</v>
      </c>
      <c r="I17" s="133">
        <v>1</v>
      </c>
      <c r="J17" s="134">
        <v>0.3</v>
      </c>
      <c r="K17" s="60"/>
    </row>
    <row r="18" spans="1:11" ht="12.7" x14ac:dyDescent="0.4">
      <c r="A18" s="60"/>
      <c r="B18" s="130">
        <v>1392</v>
      </c>
      <c r="C18" s="130" t="s">
        <v>52</v>
      </c>
      <c r="D18" s="136" t="s">
        <v>135</v>
      </c>
      <c r="E18" s="132">
        <v>5.0000000000000001E-3</v>
      </c>
      <c r="F18" s="131">
        <v>0.5</v>
      </c>
      <c r="G18" s="133">
        <v>1</v>
      </c>
      <c r="H18" s="134">
        <v>0.6</v>
      </c>
      <c r="I18" s="133">
        <v>1</v>
      </c>
      <c r="J18" s="134">
        <v>0.3</v>
      </c>
      <c r="K18" s="60"/>
    </row>
    <row r="19" spans="1:11" ht="12.7" x14ac:dyDescent="0.4">
      <c r="A19" s="60"/>
      <c r="B19" s="130">
        <v>1387</v>
      </c>
      <c r="C19" s="130" t="s">
        <v>53</v>
      </c>
      <c r="D19" s="136" t="s">
        <v>135</v>
      </c>
      <c r="E19" s="132">
        <v>2.0000000000000001E-4</v>
      </c>
      <c r="F19" s="131">
        <v>5.0000000000000001E-3</v>
      </c>
      <c r="G19" s="133">
        <v>0.01</v>
      </c>
      <c r="H19" s="134">
        <v>0.6</v>
      </c>
      <c r="I19" s="133">
        <v>0.01</v>
      </c>
      <c r="J19" s="134">
        <v>0.3</v>
      </c>
      <c r="K19" s="60"/>
    </row>
    <row r="20" spans="1:11" ht="12.7" x14ac:dyDescent="0.4">
      <c r="A20" s="60"/>
      <c r="B20" s="130">
        <v>1386</v>
      </c>
      <c r="C20" s="130" t="s">
        <v>54</v>
      </c>
      <c r="D20" s="136" t="s">
        <v>135</v>
      </c>
      <c r="E20" s="132">
        <v>5.0000000000000001E-3</v>
      </c>
      <c r="F20" s="131">
        <v>0.5</v>
      </c>
      <c r="G20" s="133">
        <v>1</v>
      </c>
      <c r="H20" s="134">
        <v>0.6</v>
      </c>
      <c r="I20" s="133">
        <v>1</v>
      </c>
      <c r="J20" s="134">
        <v>0.3</v>
      </c>
      <c r="K20" s="60"/>
    </row>
    <row r="21" spans="1:11" ht="12.7" x14ac:dyDescent="0.4">
      <c r="A21" s="60"/>
      <c r="B21" s="130">
        <v>1382</v>
      </c>
      <c r="C21" s="130" t="s">
        <v>55</v>
      </c>
      <c r="D21" s="136" t="s">
        <v>135</v>
      </c>
      <c r="E21" s="132">
        <v>2E-3</v>
      </c>
      <c r="F21" s="131">
        <v>0.5</v>
      </c>
      <c r="G21" s="133">
        <v>1</v>
      </c>
      <c r="H21" s="134">
        <v>0.6</v>
      </c>
      <c r="I21" s="133">
        <v>1</v>
      </c>
      <c r="J21" s="134">
        <v>0.3</v>
      </c>
      <c r="K21" s="60"/>
    </row>
    <row r="22" spans="1:11" ht="12.7" x14ac:dyDescent="0.4">
      <c r="A22" s="60"/>
      <c r="B22" s="130">
        <v>1383</v>
      </c>
      <c r="C22" s="130" t="s">
        <v>56</v>
      </c>
      <c r="D22" s="136" t="s">
        <v>135</v>
      </c>
      <c r="E22" s="132">
        <v>5.0000000000000001E-3</v>
      </c>
      <c r="F22" s="131">
        <v>0.5</v>
      </c>
      <c r="G22" s="133">
        <v>1</v>
      </c>
      <c r="H22" s="134">
        <v>0.6</v>
      </c>
      <c r="I22" s="133">
        <v>1</v>
      </c>
      <c r="J22" s="134">
        <v>0.3</v>
      </c>
      <c r="K22" s="60"/>
    </row>
    <row r="23" spans="1:11" ht="12.7" x14ac:dyDescent="0.4">
      <c r="A23" s="60"/>
      <c r="B23" s="130">
        <v>1106</v>
      </c>
      <c r="C23" s="130" t="s">
        <v>48</v>
      </c>
      <c r="D23" s="136" t="s">
        <v>135</v>
      </c>
      <c r="E23" s="132">
        <v>0.01</v>
      </c>
      <c r="F23" s="131">
        <v>0.05</v>
      </c>
      <c r="G23" s="133">
        <v>0.5</v>
      </c>
      <c r="H23" s="134">
        <v>0.6</v>
      </c>
      <c r="I23" s="133">
        <v>0.5</v>
      </c>
      <c r="J23" s="134">
        <v>0.3</v>
      </c>
      <c r="K23" s="60"/>
    </row>
    <row r="24" spans="1:11" ht="12.7" x14ac:dyDescent="0.4">
      <c r="A24" s="60"/>
      <c r="B24" s="130">
        <v>1841</v>
      </c>
      <c r="C24" s="130" t="s">
        <v>40</v>
      </c>
      <c r="D24" s="136" t="s">
        <v>135</v>
      </c>
      <c r="E24" s="132">
        <v>0.3</v>
      </c>
      <c r="F24" s="131">
        <v>5</v>
      </c>
      <c r="G24" s="133">
        <v>15</v>
      </c>
      <c r="H24" s="134">
        <v>0.3</v>
      </c>
      <c r="I24" s="133">
        <v>15</v>
      </c>
      <c r="J24" s="134">
        <v>0.1</v>
      </c>
      <c r="K24" s="60"/>
    </row>
    <row r="25" spans="1:11" ht="12.7" x14ac:dyDescent="0.4">
      <c r="A25" s="60"/>
      <c r="B25" s="130">
        <v>1798</v>
      </c>
      <c r="C25" s="130" t="s">
        <v>296</v>
      </c>
      <c r="D25" s="136"/>
      <c r="E25" s="132"/>
      <c r="F25" s="131"/>
      <c r="G25" s="133"/>
      <c r="H25" s="134"/>
      <c r="I25" s="133"/>
      <c r="J25" s="134"/>
      <c r="K25" s="60"/>
    </row>
    <row r="26" spans="1:11" ht="13" thickBot="1" x14ac:dyDescent="0.45">
      <c r="A26" s="60"/>
      <c r="B26" s="139">
        <v>1337</v>
      </c>
      <c r="C26" s="139" t="s">
        <v>297</v>
      </c>
      <c r="D26" s="140" t="s">
        <v>135</v>
      </c>
      <c r="E26" s="141">
        <v>5</v>
      </c>
      <c r="F26" s="142"/>
      <c r="G26" s="143"/>
      <c r="H26" s="144"/>
      <c r="I26" s="143"/>
      <c r="J26" s="144"/>
      <c r="K26" s="60"/>
    </row>
    <row r="27" spans="1:11" ht="13" thickBot="1" x14ac:dyDescent="0.45">
      <c r="A27" s="60"/>
      <c r="B27" s="145">
        <v>1799</v>
      </c>
      <c r="C27" s="145" t="s">
        <v>57</v>
      </c>
      <c r="D27" s="146" t="s">
        <v>357</v>
      </c>
      <c r="E27" s="145"/>
      <c r="F27" s="147"/>
      <c r="G27" s="148"/>
      <c r="H27" s="149">
        <v>0.2</v>
      </c>
      <c r="I27" s="148"/>
      <c r="J27" s="149">
        <v>0.05</v>
      </c>
      <c r="K27" s="61"/>
    </row>
    <row r="28" spans="1:11" ht="12.75" customHeight="1" x14ac:dyDescent="0.4">
      <c r="A28" s="60"/>
      <c r="B28" s="999" t="s">
        <v>141</v>
      </c>
      <c r="C28" s="999"/>
      <c r="D28" s="999"/>
      <c r="E28" s="999"/>
      <c r="F28" s="999"/>
      <c r="G28" s="999"/>
      <c r="H28" s="999"/>
      <c r="I28" s="999"/>
      <c r="J28" s="999"/>
      <c r="K28" s="60"/>
    </row>
    <row r="29" spans="1:11" ht="14.45" customHeight="1" x14ac:dyDescent="0.4">
      <c r="A29" s="60"/>
      <c r="B29" s="999"/>
      <c r="C29" s="999"/>
      <c r="D29" s="999"/>
      <c r="E29" s="999"/>
      <c r="F29" s="999"/>
      <c r="G29" s="999"/>
      <c r="H29" s="999"/>
      <c r="I29" s="999"/>
      <c r="J29" s="999"/>
      <c r="K29" s="60"/>
    </row>
    <row r="33" spans="4:9" ht="2.1" customHeight="1" x14ac:dyDescent="0.4"/>
    <row r="34" spans="4:9" ht="66.75" hidden="1" customHeight="1" x14ac:dyDescent="0.4"/>
    <row r="37" spans="4:9" ht="12.7" hidden="1" x14ac:dyDescent="0.4">
      <c r="D37" s="1000"/>
      <c r="E37" s="1001"/>
      <c r="F37" s="1001"/>
      <c r="G37" s="1001"/>
      <c r="H37" s="1001"/>
      <c r="I37" s="1001"/>
    </row>
    <row r="38" spans="4:9" ht="12.7" hidden="1" x14ac:dyDescent="0.4">
      <c r="D38" s="1001"/>
      <c r="E38" s="1001"/>
      <c r="F38" s="1001"/>
      <c r="G38" s="1001"/>
      <c r="H38" s="1001"/>
      <c r="I38" s="1001"/>
    </row>
    <row r="39" spans="4:9" ht="12.7" hidden="1" x14ac:dyDescent="0.4">
      <c r="D39" s="1001"/>
      <c r="E39" s="1001"/>
      <c r="F39" s="1001"/>
      <c r="G39" s="1001"/>
      <c r="H39" s="1001"/>
      <c r="I39" s="1001"/>
    </row>
    <row r="40" spans="4:9" ht="12.7" hidden="1" x14ac:dyDescent="0.4">
      <c r="D40" s="1001"/>
      <c r="E40" s="1001"/>
      <c r="F40" s="1001"/>
      <c r="G40" s="1001"/>
      <c r="H40" s="1001"/>
      <c r="I40" s="1001"/>
    </row>
    <row r="41" spans="4:9" ht="12.7" hidden="1" x14ac:dyDescent="0.4">
      <c r="D41" s="1001"/>
      <c r="E41" s="1001"/>
      <c r="F41" s="1001"/>
      <c r="G41" s="1001"/>
      <c r="H41" s="1001"/>
      <c r="I41" s="1001"/>
    </row>
    <row r="42" spans="4:9" ht="12.7" hidden="1" x14ac:dyDescent="0.4">
      <c r="D42" s="1001"/>
      <c r="E42" s="1001"/>
      <c r="F42" s="1001"/>
      <c r="G42" s="1001"/>
      <c r="H42" s="1001"/>
      <c r="I42" s="1001"/>
    </row>
    <row r="43" spans="4:9" ht="12.7" hidden="1" x14ac:dyDescent="0.4">
      <c r="D43" s="1001"/>
      <c r="E43" s="1001"/>
      <c r="F43" s="1001"/>
      <c r="G43" s="1001"/>
      <c r="H43" s="1001"/>
      <c r="I43" s="1001"/>
    </row>
    <row r="44" spans="4:9" ht="12.7" hidden="1" x14ac:dyDescent="0.4">
      <c r="D44" s="1001"/>
      <c r="E44" s="1001"/>
      <c r="F44" s="1001"/>
      <c r="G44" s="1001"/>
      <c r="H44" s="1001"/>
      <c r="I44" s="1001"/>
    </row>
    <row r="45" spans="4:9" ht="12.7" hidden="1" x14ac:dyDescent="0.4">
      <c r="D45" s="1001"/>
      <c r="E45" s="1001"/>
      <c r="F45" s="1001"/>
      <c r="G45" s="1001"/>
      <c r="H45" s="1001"/>
      <c r="I45" s="1001"/>
    </row>
    <row r="46" spans="4:9" ht="12.7" hidden="1" x14ac:dyDescent="0.4">
      <c r="D46" s="1001"/>
      <c r="E46" s="1001"/>
      <c r="F46" s="1001"/>
      <c r="G46" s="1001"/>
      <c r="H46" s="1001"/>
      <c r="I46" s="1001"/>
    </row>
    <row r="47" spans="4:9" ht="12.7" hidden="1" x14ac:dyDescent="0.4">
      <c r="D47" s="1001"/>
      <c r="E47" s="1001"/>
      <c r="F47" s="1001"/>
      <c r="G47" s="1001"/>
      <c r="H47" s="1001"/>
      <c r="I47" s="1001"/>
    </row>
  </sheetData>
  <sheetProtection algorithmName="SHA-512" hashValue="+QtlUt/AqmAVBDJiEU2MP6qGTL4z3CXYT6gbE8FBbGDH7vznVqLFxZKDGqhE/XJKgKXVg60QCzp1skiqcquXWA==" saltValue="xKIWOjY6jyq1QWlFNJvHDA==" spinCount="100000" sheet="1" objects="1" scenarios="1" formatRows="0"/>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T72"/>
  <sheetViews>
    <sheetView workbookViewId="0">
      <selection activeCell="B5" sqref="B5:F5"/>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199" t="s">
        <v>339</v>
      </c>
      <c r="B1" s="1">
        <f>Descriptif!$AD$3</f>
        <v>34</v>
      </c>
      <c r="C1" s="1">
        <f>Descriptif!$AF$3</f>
        <v>34</v>
      </c>
      <c r="D1" s="1"/>
      <c r="E1" s="1"/>
      <c r="F1" s="1"/>
      <c r="G1" s="1"/>
    </row>
    <row r="2" spans="1:46" x14ac:dyDescent="0.4">
      <c r="A2" t="s">
        <v>418</v>
      </c>
      <c r="B2" s="1">
        <f>Descriptif!$AH$3</f>
        <v>43</v>
      </c>
      <c r="C2" s="1">
        <f>Descriptif!$AI$3</f>
        <v>43</v>
      </c>
      <c r="D2" s="1"/>
      <c r="E2" s="1"/>
      <c r="F2" s="1"/>
      <c r="G2" s="1"/>
    </row>
    <row r="3" spans="1:46" x14ac:dyDescent="0.4">
      <c r="A3" s="172" t="s">
        <v>312</v>
      </c>
      <c r="B3" s="1005" t="s">
        <v>171</v>
      </c>
      <c r="C3" s="1005"/>
      <c r="D3" s="1005"/>
      <c r="E3" s="1005"/>
      <c r="F3" s="1005"/>
      <c r="G3" s="398"/>
    </row>
    <row r="4" spans="1:46" x14ac:dyDescent="0.4">
      <c r="A4" s="152"/>
      <c r="B4" s="152" t="s">
        <v>313</v>
      </c>
      <c r="C4" s="152" t="s">
        <v>352</v>
      </c>
      <c r="D4" s="152" t="s">
        <v>353</v>
      </c>
      <c r="E4" s="152" t="s">
        <v>315</v>
      </c>
      <c r="F4" s="152" t="s">
        <v>316</v>
      </c>
      <c r="G4" s="1"/>
    </row>
    <row r="5" spans="1:46" x14ac:dyDescent="0.4">
      <c r="A5" s="152" t="s">
        <v>12</v>
      </c>
      <c r="B5" s="153" t="s">
        <v>549</v>
      </c>
      <c r="C5" s="153" t="s">
        <v>377</v>
      </c>
      <c r="D5" s="153" t="s">
        <v>378</v>
      </c>
      <c r="E5" s="153" t="s">
        <v>317</v>
      </c>
      <c r="F5" s="153" t="s">
        <v>379</v>
      </c>
      <c r="G5" s="399"/>
    </row>
    <row r="6" spans="1:46" x14ac:dyDescent="0.4">
      <c r="A6" s="152" t="str">
        <f>PARAM!$C4</f>
        <v>Débitmètre en charge</v>
      </c>
      <c r="B6" s="151" t="s">
        <v>375</v>
      </c>
      <c r="C6" s="151" t="s">
        <v>385</v>
      </c>
      <c r="D6" s="151" t="s">
        <v>386</v>
      </c>
      <c r="E6" s="151" t="s">
        <v>387</v>
      </c>
      <c r="F6" s="151" t="s">
        <v>388</v>
      </c>
    </row>
    <row r="7" spans="1:46" x14ac:dyDescent="0.4">
      <c r="A7" s="152" t="str">
        <f>PARAM!$C5</f>
        <v>Débitmètre gravitaire</v>
      </c>
      <c r="B7" s="151" t="s">
        <v>389</v>
      </c>
      <c r="C7" s="151" t="s">
        <v>516</v>
      </c>
      <c r="D7" s="151" t="s">
        <v>390</v>
      </c>
      <c r="E7" s="151" t="s">
        <v>314</v>
      </c>
      <c r="F7" s="151" t="s">
        <v>391</v>
      </c>
    </row>
    <row r="8" spans="1:46" x14ac:dyDescent="0.4">
      <c r="A8" s="152" t="str">
        <f>PARAM!$C6</f>
        <v>Préleveur</v>
      </c>
      <c r="B8" s="151" t="s">
        <v>380</v>
      </c>
      <c r="C8" s="151" t="s">
        <v>381</v>
      </c>
      <c r="D8" s="151" t="s">
        <v>382</v>
      </c>
      <c r="E8" s="151" t="s">
        <v>383</v>
      </c>
      <c r="F8" s="151" t="s">
        <v>384</v>
      </c>
    </row>
    <row r="9" spans="1:46" x14ac:dyDescent="0.4">
      <c r="A9" s="152" t="str">
        <f>PARAM!$C7</f>
        <v>Sonde de température</v>
      </c>
      <c r="B9" s="151" t="s">
        <v>376</v>
      </c>
      <c r="C9" s="151" t="s">
        <v>377</v>
      </c>
      <c r="D9" s="151" t="s">
        <v>378</v>
      </c>
      <c r="E9" s="151" t="s">
        <v>317</v>
      </c>
      <c r="F9" s="151" t="s">
        <v>379</v>
      </c>
    </row>
    <row r="10" spans="1:46" x14ac:dyDescent="0.4">
      <c r="C10" s="168"/>
    </row>
    <row r="11" spans="1:46" x14ac:dyDescent="0.4">
      <c r="C11" s="168"/>
    </row>
    <row r="12" spans="1:46" x14ac:dyDescent="0.4">
      <c r="B12">
        <f>$B$2+A42-1</f>
        <v>69</v>
      </c>
      <c r="C12" s="168"/>
    </row>
    <row r="13" spans="1:46" s="202" customFormat="1" ht="13" thickBot="1" x14ac:dyDescent="0.45">
      <c r="A13" s="201" t="s">
        <v>336</v>
      </c>
      <c r="C13" s="203"/>
    </row>
    <row r="14" spans="1:46" s="154" customFormat="1" ht="17.45" customHeight="1" x14ac:dyDescent="0.4">
      <c r="A14" s="1006" t="s">
        <v>329</v>
      </c>
      <c r="B14" s="1007"/>
      <c r="C14" s="395" t="s">
        <v>346</v>
      </c>
      <c r="D14" s="396"/>
      <c r="E14" s="396"/>
      <c r="F14" s="397"/>
      <c r="G14" s="396"/>
      <c r="H14" s="395" t="s">
        <v>347</v>
      </c>
      <c r="I14" s="396"/>
      <c r="J14" s="396"/>
      <c r="K14" s="396"/>
      <c r="L14" s="358"/>
      <c r="M14" s="358"/>
      <c r="N14" s="205" t="s">
        <v>356</v>
      </c>
      <c r="O14" s="1003" t="s">
        <v>30</v>
      </c>
      <c r="P14" s="1003"/>
      <c r="Q14" s="1003" t="s">
        <v>168</v>
      </c>
      <c r="R14" s="1003"/>
      <c r="S14" s="1003" t="s">
        <v>348</v>
      </c>
      <c r="T14" s="1003"/>
      <c r="U14" s="1003" t="s">
        <v>351</v>
      </c>
      <c r="V14" s="1004"/>
      <c r="W14" s="1002" t="s">
        <v>433</v>
      </c>
      <c r="X14" s="1003"/>
      <c r="Y14" s="1003"/>
      <c r="Z14" s="1003"/>
      <c r="AA14" s="1003"/>
      <c r="AB14" s="1003"/>
      <c r="AC14" s="1003"/>
      <c r="AD14" s="1003"/>
      <c r="AE14" s="1003"/>
      <c r="AF14" s="1003"/>
      <c r="AG14" s="1003"/>
      <c r="AH14" s="1004"/>
      <c r="AI14" s="1002" t="s">
        <v>432</v>
      </c>
      <c r="AJ14" s="1003"/>
      <c r="AK14" s="1003"/>
      <c r="AL14" s="1003"/>
      <c r="AM14" s="1003"/>
      <c r="AN14" s="1003"/>
      <c r="AO14" s="1003"/>
      <c r="AP14" s="1003"/>
      <c r="AQ14" s="1003"/>
      <c r="AR14" s="1003"/>
      <c r="AS14" s="1003"/>
      <c r="AT14" s="1004"/>
    </row>
    <row r="15" spans="1:46" s="199" customFormat="1" x14ac:dyDescent="0.4">
      <c r="A15" s="206" t="s">
        <v>344</v>
      </c>
      <c r="B15" s="207" t="s">
        <v>345</v>
      </c>
      <c r="C15" s="208" t="s">
        <v>392</v>
      </c>
      <c r="D15" s="200" t="s">
        <v>337</v>
      </c>
      <c r="E15" s="200" t="s">
        <v>394</v>
      </c>
      <c r="F15" s="313" t="s">
        <v>395</v>
      </c>
      <c r="G15" s="200" t="s">
        <v>456</v>
      </c>
      <c r="H15" s="208" t="s">
        <v>340</v>
      </c>
      <c r="I15" s="200" t="s">
        <v>341</v>
      </c>
      <c r="J15" s="200" t="s">
        <v>342</v>
      </c>
      <c r="K15" s="200" t="s">
        <v>343</v>
      </c>
      <c r="L15" s="200" t="s">
        <v>419</v>
      </c>
      <c r="M15" s="200" t="s">
        <v>457</v>
      </c>
      <c r="N15" s="213" t="s">
        <v>349</v>
      </c>
      <c r="O15" s="212" t="s">
        <v>349</v>
      </c>
      <c r="P15" s="212" t="s">
        <v>350</v>
      </c>
      <c r="Q15" s="212" t="s">
        <v>349</v>
      </c>
      <c r="R15" s="212" t="s">
        <v>350</v>
      </c>
      <c r="S15" s="212" t="s">
        <v>349</v>
      </c>
      <c r="T15" s="212" t="s">
        <v>350</v>
      </c>
      <c r="U15" s="212" t="s">
        <v>349</v>
      </c>
      <c r="V15" s="214" t="s">
        <v>350</v>
      </c>
      <c r="W15" s="373" t="s">
        <v>354</v>
      </c>
      <c r="X15" s="374" t="s">
        <v>355</v>
      </c>
      <c r="Y15" s="374">
        <v>1</v>
      </c>
      <c r="Z15" s="374">
        <v>2</v>
      </c>
      <c r="AA15" s="374">
        <v>3</v>
      </c>
      <c r="AB15" s="374">
        <v>4</v>
      </c>
      <c r="AC15" s="374">
        <v>5</v>
      </c>
      <c r="AD15" s="374">
        <v>6</v>
      </c>
      <c r="AE15" s="374">
        <v>7</v>
      </c>
      <c r="AF15" s="374">
        <v>8</v>
      </c>
      <c r="AG15" s="374">
        <v>9</v>
      </c>
      <c r="AH15" s="375">
        <v>10</v>
      </c>
      <c r="AI15" s="373" t="s">
        <v>354</v>
      </c>
      <c r="AJ15" s="374" t="s">
        <v>355</v>
      </c>
      <c r="AK15" s="374">
        <v>1</v>
      </c>
      <c r="AL15" s="374">
        <v>2</v>
      </c>
      <c r="AM15" s="374">
        <v>3</v>
      </c>
      <c r="AN15" s="374">
        <v>4</v>
      </c>
      <c r="AO15" s="374">
        <v>5</v>
      </c>
      <c r="AP15" s="374">
        <v>6</v>
      </c>
      <c r="AQ15" s="374">
        <v>7</v>
      </c>
      <c r="AR15" s="374">
        <v>8</v>
      </c>
      <c r="AS15" s="374">
        <v>9</v>
      </c>
      <c r="AT15" s="375">
        <v>10</v>
      </c>
    </row>
    <row r="16" spans="1:46" x14ac:dyDescent="0.4">
      <c r="A16" s="150">
        <v>1</v>
      </c>
      <c r="B16" s="204" t="b">
        <f>IF(OR(AND(($B$1+A16-1)&gt;=$B$1,($B$1+A16-1)&lt;$C$1),AND(($B$1+A16-1)&gt;=$B$2,($B$1+A16-1)&lt;$C$2)),TRUE,FALSE)</f>
        <v>0</v>
      </c>
      <c r="C16" s="209" t="str">
        <f ca="1">IF(
    AND(
        $B16,
        OR(
            _xlfn.SINGLE(INDIRECT("Descriptif!$M"&amp;($B$1+$A16-1)))="Préleveur",
            LEFT(_xlfn.SINGLE(INDIRECT("Descriptif!$M"&amp;($B$1+$A16-1))),5)="Sonde",
            LEFT(_xlfn.SINGLE(INDIRECT("Descriptif!$M"&amp;($B$1+$A16-1))),10)="Débitmètre",
            LEFT(_xlfn.SINGLE(INDIRECT("Descriptif!$F"&amp;($B$1+$A16-1))),6)="PLUVIO"
        )
    ),
    _xlfn.SINGLE(INDIRECT("Descriptif!$"&amp;C$15&amp;($B$1 +$A16 -1))),
    ""
)</f>
        <v/>
      </c>
      <c r="D16" s="359" t="str">
        <f ca="1">IF(
    AND(
        $B16,
        OR(
            _xlfn.SINGLE(INDIRECT("Descriptif!$M"&amp;($B$1+$A16-1)))="Préleveur",
            LEFT(_xlfn.SINGLE(INDIRECT("Descriptif!$M"&amp;($B$1+$A16-1))),5)="Sonde",
            LEFT(_xlfn.SINGLE(INDIRECT("Descriptif!$M"&amp;($B$1+$A16-1))),10)="Débitmètre",
            LEFT(_xlfn.SINGLE(INDIRECT("Descriptif!$F"&amp;($B$1+$A16-1))),6)="PLUVIO"
        )
    ),
    IF(
        LEFT(_xlfn.SINGLE(INDIRECT("Descriptif!$F"&amp;($B$1+$A16-1))),11)="PLUVIO_STEU",
        "A3",
        IF(
            LEFT(_xlfn.SINGLE(INDIRECT("Descriptif!$F"&amp;($B$1+$A16-1))),10)="PLUVIO_SCL",
            "A1",
            _xlfn.SINGLE(INDIRECT("Descriptif!$"&amp;D$15&amp;($B$1 +$A16 -1))
        ))
    ),
    ""
)</f>
        <v/>
      </c>
      <c r="E16" s="359"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IF(LEFT(_xlfn.SINGLE(INDIRECT("Descriptif!$F"&amp;($B$1+$A16-1))),6)="PLUVIO","Pluviomètre",_xlfn.SINGLE(INDIRECT("Descriptif!$"&amp;E$15&amp;($B$1 +$A16 -1)))),
    ""
)</f>
        <v/>
      </c>
      <c r="F16" s="57"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IF(LEFT(_xlfn.SINGLE(INDIRECT("Descriptif!$F"&amp;($B$1+$A16-1))),6)="PLUVIO","Pluviomètre",_xlfn.SINGLE(INDIRECT("Descriptif!$"&amp;F$15&amp;($B$1 +$A16 -1)))),
    ""
)</f>
        <v/>
      </c>
      <c r="G16" s="57"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IF(LEFT(_xlfn.SINGLE(INDIRECT("Descriptif!$F"&amp;($B$1+$A16-1))),6)="PLUVIO","Pluviomètre",_xlfn.SINGLE(INDIRECT("Descriptif!$"&amp;G$15&amp;($B$1 +$A16 -1)))),
    ""
)</f>
        <v/>
      </c>
      <c r="H16" s="211" t="str" cm="1">
        <f t="array" aca="1" ref="H16" ca="1">IFERROR(INDEX($C$16:$C$116,SMALL(IF($C$16:$C$116&lt;&gt;"",ROW($C$16:$C$116)-ROW($C$16)+1),ROW(A1))),"")</f>
        <v/>
      </c>
      <c r="I16" s="210" t="str" cm="1">
        <f t="array" aca="1" ref="I16" ca="1">IFERROR(INDEX($D$16:$D$116,SMALL(IF($D$16:$D$116&lt;&gt;"",ROW($D$16:$D$116)-ROW($D$16)+1),ROW(A1))),"")</f>
        <v/>
      </c>
      <c r="J16" s="210" t="str" cm="1">
        <f t="array" aca="1" ref="J16" ca="1">IFERROR(INDEX($E$16:$E$116,SMALL(IF($E$16:$E$116&lt;&gt;"",ROW($E$16:$E$116)-ROW($E$16)+1),ROW(A1))),"")</f>
        <v/>
      </c>
      <c r="K16" s="210" t="str" cm="1">
        <f t="array" aca="1" ref="K16" ca="1">IFERROR(INDEX($F$16:$F$116,SMALL(IF($F$16:$F$116&lt;&gt;"",ROW($F$16:$F$116)-ROW($F$16)+1),ROW(A1))),"")</f>
        <v/>
      </c>
      <c r="L16" s="210" t="str">
        <f t="shared" ref="L16:L47" ca="1" si="0">H16</f>
        <v/>
      </c>
      <c r="M16" s="210" t="str" cm="1">
        <f t="array" aca="1" ref="M16" ca="1">IFERROR(INDEX($G$16:$G$116,SMALL(IF($G$16:$G$116&lt;&gt;"",ROW($G$16:$G$116)-ROW($G$16)+1),ROW(A1))),"")</f>
        <v/>
      </c>
      <c r="N16" s="215" t="str">
        <f t="shared" ref="N16:N47" ca="1" si="1">IF($J16&lt;&gt;"",VLOOKUP($J16,$A$5:$F$9,2,FALSE),"")</f>
        <v/>
      </c>
      <c r="O16" s="216" t="str">
        <f t="shared" ref="O16:O47" ca="1" si="2">IF($J16&lt;&gt;"",VLOOKUP($J16,$A$5:$F$9,3,FALSE),"")</f>
        <v/>
      </c>
      <c r="P16" s="216" t="str">
        <f t="shared" ref="P16:P47" ca="1" si="3">IF($J16&lt;&gt;"",IF(_xlfn.SINGLE(INDIRECT($H16&amp;"!"&amp;$O16))&lt;&gt;"",_xlfn.SINGLE(INDIRECT($H16&amp;"!"&amp;$O16)),""),"")</f>
        <v/>
      </c>
      <c r="Q16" s="216" t="str">
        <f t="shared" ref="Q16:Q47" ca="1" si="4">IF($J16&lt;&gt;"",VLOOKUP($J16,$A$5:$F$9,4,FALSE),"")</f>
        <v/>
      </c>
      <c r="R16" s="216" t="str">
        <f t="shared" ref="R16:R47" ca="1" si="5">IF($J16&lt;&gt;"",IF(_xlfn.SINGLE(INDIRECT($H16&amp;"!"&amp;$Q16))&lt;&gt;"",_xlfn.SINGLE(INDIRECT($H16&amp;"!"&amp;$Q16)),""),"")</f>
        <v/>
      </c>
      <c r="S16" s="216" t="str">
        <f t="shared" ref="S16:S47" ca="1" si="6">IF($J16&lt;&gt;"",VLOOKUP($J16,$A$5:$F$9,5,FALSE),"")</f>
        <v/>
      </c>
      <c r="T16" s="216" t="str">
        <f t="shared" ref="T16:T47" ca="1" si="7">IF($J16&lt;&gt;"",IF(_xlfn.SINGLE(INDIRECT($H16&amp;"!"&amp;$S16))&lt;&gt;"",_xlfn.SINGLE(INDIRECT($H16&amp;"!"&amp;$S16)),""),"")</f>
        <v/>
      </c>
      <c r="U16" s="216" t="str">
        <f t="shared" ref="U16:U47" ca="1" si="8">IF($J16&lt;&gt;"",VLOOKUP($J16,$A$5:$F$9,6,FALSE),"")</f>
        <v/>
      </c>
      <c r="V16" s="217" t="str">
        <f t="shared" ref="V16:V47" ca="1" si="9">IF($J16&lt;&gt;"",IF(_xlfn.SINGLE(INDIRECT($H16&amp;"!"&amp;$U16))&lt;&gt;"",_xlfn.SINGLE(INDIRECT($H16&amp;"!"&amp;$U16)),""),"")</f>
        <v/>
      </c>
      <c r="W16" s="376" t="str">
        <f ca="1">LEFT($Q16,1)</f>
        <v/>
      </c>
      <c r="X16" s="377" t="str">
        <f ca="1">RIGHT($N16,2)</f>
        <v/>
      </c>
      <c r="Y16" s="378" t="str">
        <f t="shared" ref="Y16:AB35" ca="1" si="10">IF($H16&lt;&gt;"",IF(_xlfn.SINGLE(INDIRECT($H16&amp;"!"&amp;$W16&amp;($X16+Y$15+1)))&lt;&gt;"",_xlfn.SINGLE(INDIRECT($H16&amp;"!"&amp;$W16&amp;($X16+Y$15+1))),""),"")</f>
        <v/>
      </c>
      <c r="Z16" s="378" t="str">
        <f t="shared" ca="1" si="10"/>
        <v/>
      </c>
      <c r="AA16" s="378" t="str">
        <f t="shared" ca="1" si="10"/>
        <v/>
      </c>
      <c r="AB16" s="378" t="str">
        <f t="shared" ca="1" si="10"/>
        <v/>
      </c>
      <c r="AC16" s="378" t="str">
        <f t="shared" ref="AC16:AC47" ca="1" si="11">IF(LEFT($J16,5)="Sonde","",IF($H16&lt;&gt;"",IF(_xlfn.SINGLE(INDIRECT($H16&amp;"!"&amp;$W16&amp;($X16+AC$15+1)))&lt;&gt;"",_xlfn.SINGLE(INDIRECT($H16&amp;"!"&amp;$W16&amp;($X16+AC$15+1))),""),""))</f>
        <v/>
      </c>
      <c r="AD16" s="378" t="str">
        <f t="shared" ref="AD16:AH25" ca="1" si="12">IF(OR($J16="Pluviomètre",LEFT($J16,5)="Sonde"),"",IF($H16&lt;&gt;"",IF(_xlfn.SINGLE(INDIRECT($H16&amp;"!"&amp;$W16&amp;($X16+AD$15+1)))&lt;&gt;"",_xlfn.SINGLE(INDIRECT($H16&amp;"!"&amp;$W16&amp;($X16+AD$15+1))),""),""))</f>
        <v/>
      </c>
      <c r="AE16" s="378" t="str">
        <f t="shared" ca="1" si="12"/>
        <v/>
      </c>
      <c r="AF16" s="378" t="str">
        <f t="shared" ca="1" si="12"/>
        <v/>
      </c>
      <c r="AG16" s="378" t="str">
        <f t="shared" ca="1" si="12"/>
        <v/>
      </c>
      <c r="AH16" s="378" t="str">
        <f t="shared" ca="1" si="12"/>
        <v/>
      </c>
      <c r="AI16" s="376" t="str">
        <f ca="1">LEFT($O16,1)</f>
        <v/>
      </c>
      <c r="AJ16" s="377" t="str">
        <f ca="1">RIGHT($N16,2)</f>
        <v/>
      </c>
      <c r="AK16" s="378" t="str">
        <f t="shared" ref="AK16:AN35" ca="1" si="13">IF($H16&lt;&gt;"",IF(_xlfn.SINGLE(INDIRECT($H16&amp;"!"&amp;$AI16&amp;($AJ16+AK$15+1)))&lt;&gt;"",_xlfn.SINGLE(INDIRECT($H16&amp;"!"&amp;$AI16&amp;($AJ16+AK$15+1))),""),"")</f>
        <v/>
      </c>
      <c r="AL16" s="378" t="str">
        <f t="shared" ca="1" si="13"/>
        <v/>
      </c>
      <c r="AM16" s="378" t="str">
        <f t="shared" ca="1" si="13"/>
        <v/>
      </c>
      <c r="AN16" s="378" t="str">
        <f t="shared" ca="1" si="13"/>
        <v/>
      </c>
      <c r="AO16" s="378" t="str">
        <f t="shared" ref="AO16:AO47" ca="1" si="14">IF(LEFT($J16,5)="Sonde","",IF($H16&lt;&gt;"",IF(_xlfn.SINGLE(INDIRECT($H16&amp;"!"&amp;$AI16&amp;($AJ16+AO$15+1)))&lt;&gt;"",_xlfn.SINGLE(INDIRECT($H16&amp;"!"&amp;$AI16&amp;($AJ16+AO$15+1))),""),""))</f>
        <v/>
      </c>
      <c r="AP16" s="378" t="str">
        <f t="shared" ref="AP16:AT25" ca="1" si="15">IF(OR($J16="Pluviomètre",LEFT($J16,5)="Sonde"),"",IF($H16&lt;&gt;"",IF(_xlfn.SINGLE(INDIRECT($H16&amp;"!"&amp;$AI16&amp;($AJ16+AP$15+1)))&lt;&gt;"",_xlfn.SINGLE(INDIRECT($H16&amp;"!"&amp;$AI16&amp;($AJ16+AP$15+1))),""),""))</f>
        <v/>
      </c>
      <c r="AQ16" s="378" t="str">
        <f t="shared" ca="1" si="15"/>
        <v/>
      </c>
      <c r="AR16" s="378" t="str">
        <f t="shared" ca="1" si="15"/>
        <v/>
      </c>
      <c r="AS16" s="378" t="str">
        <f t="shared" ca="1" si="15"/>
        <v/>
      </c>
      <c r="AT16" s="378" t="str">
        <f t="shared" ca="1" si="15"/>
        <v/>
      </c>
    </row>
    <row r="17" spans="1:46" x14ac:dyDescent="0.4">
      <c r="A17" s="150">
        <v>2</v>
      </c>
      <c r="B17" s="204" t="b">
        <f t="shared" ref="B17:B72" si="16">IF(OR(AND(($B$1+A17-1)&gt;=$B$1,($B$1+A17-1)&lt;$C$1),AND(($B$1+A17-1)&gt;=$B$2,($B$1+A17-1)&lt;$C$2)),TRUE,FALSE)</f>
        <v>0</v>
      </c>
      <c r="C17" s="209" t="str">
        <f t="shared" ref="C17:C72" ca="1" si="17">IF(
    AND(
        $B17,
        OR(
            _xlfn.SINGLE(INDIRECT("Descriptif!$M"&amp;($B$1+$A17-1)))="Préleveur",
            LEFT(_xlfn.SINGLE(INDIRECT("Descriptif!$M"&amp;($B$1+$A17-1))),5)="Sonde",
            LEFT(_xlfn.SINGLE(INDIRECT("Descriptif!$M"&amp;($B$1+$A17-1))),10)="Débitmètre",
            LEFT(_xlfn.SINGLE(INDIRECT("Descriptif!$F"&amp;($B$1+$A17-1))),6)="PLUVIO"
        )
    ),
    _xlfn.SINGLE(INDIRECT("Descriptif!$"&amp;C$15&amp;($B$1 +$A17 -1))),
    ""
)</f>
        <v/>
      </c>
      <c r="D17" s="359" t="str">
        <f t="shared" ref="D17:D72" ca="1" si="18">IF(
    AND(
        $B17,
        OR(
            _xlfn.SINGLE(INDIRECT("Descriptif!$M"&amp;($B$1+$A17-1)))="Préleveur",
            LEFT(_xlfn.SINGLE(INDIRECT("Descriptif!$M"&amp;($B$1+$A17-1))),5)="Sonde",
            LEFT(_xlfn.SINGLE(INDIRECT("Descriptif!$M"&amp;($B$1+$A17-1))),10)="Débitmètre",
            LEFT(_xlfn.SINGLE(INDIRECT("Descriptif!$F"&amp;($B$1+$A17-1))),6)="PLUVIO"
        )
    ),
    IF(
        LEFT(_xlfn.SINGLE(INDIRECT("Descriptif!$F"&amp;($B$1+$A17-1))),11)="PLUVIO_STEU",
        "A3",
        IF(
            LEFT(_xlfn.SINGLE(INDIRECT("Descriptif!$F"&amp;($B$1+$A17-1))),10)="PLUVIO_SCL",
            "A1",
            _xlfn.SINGLE(INDIRECT("Descriptif!$"&amp;D$15&amp;($B$1 +$A17 -1))
        ))
    ),
    ""
)</f>
        <v/>
      </c>
      <c r="E17" s="359" t="str">
        <f t="shared" ref="E17:E72" ca="1" si="19">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IF(LEFT(_xlfn.SINGLE(INDIRECT("Descriptif!$F"&amp;($B$1+$A17-1))),6)="PLUVIO","Pluviomètre",_xlfn.SINGLE(INDIRECT("Descriptif!$"&amp;E$15&amp;($B$1 +$A17 -1)))),
    ""
)</f>
        <v/>
      </c>
      <c r="F17" s="57" t="str">
        <f t="shared" ref="F17:G72" ca="1" si="20">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IF(LEFT(_xlfn.SINGLE(INDIRECT("Descriptif!$F"&amp;($B$1+$A17-1))),6)="PLUVIO","Pluviomètre",_xlfn.SINGLE(INDIRECT("Descriptif!$"&amp;F$15&amp;($B$1 +$A17 -1)))),
    ""
)</f>
        <v/>
      </c>
      <c r="G17" s="57" t="str">
        <f t="shared" ca="1" si="20"/>
        <v/>
      </c>
      <c r="H17" s="211" t="str" cm="1">
        <f t="array" aca="1" ref="H17" ca="1">IFERROR(INDEX($C$16:$C$116,SMALL(IF($C$16:$C$116&lt;&gt;"",ROW($C$16:$C$116)-ROW($C$16)+1),ROW(A2))),"")</f>
        <v/>
      </c>
      <c r="I17" s="210" t="str" cm="1">
        <f t="array" aca="1" ref="I17" ca="1">IFERROR(INDEX($D$16:$D$116,SMALL(IF($D$16:$D$116&lt;&gt;"",ROW($D$16:$D$116)-ROW($D$16)+1),ROW(A2))),"")</f>
        <v/>
      </c>
      <c r="J17" s="210" t="str" cm="1">
        <f t="array" aca="1" ref="J17" ca="1">IFERROR(INDEX($E$16:$E$116,SMALL(IF($E$16:$E$116&lt;&gt;"",ROW($E$16:$E$116)-ROW($E$16)+1),ROW(A2))),"")</f>
        <v/>
      </c>
      <c r="K17" s="210" t="str" cm="1">
        <f t="array" aca="1" ref="K17" ca="1">IFERROR(INDEX($F$16:$F$116,SMALL(IF($F$16:$F$116&lt;&gt;"",ROW($F$16:$F$116)-ROW($F$16)+1),ROW(A2))),"")</f>
        <v/>
      </c>
      <c r="L17" s="210" t="str">
        <f t="shared" ca="1" si="0"/>
        <v/>
      </c>
      <c r="M17" s="210" t="str" cm="1">
        <f t="array" aca="1" ref="M17" ca="1">IFERROR(INDEX($G$16:$G$116,SMALL(IF($G$16:$G$116&lt;&gt;"",ROW($G$16:$G$116)-ROW($G$16)+1),ROW(A2))),"")</f>
        <v/>
      </c>
      <c r="N17" s="215" t="str">
        <f t="shared" ca="1" si="1"/>
        <v/>
      </c>
      <c r="O17" s="216" t="str">
        <f t="shared" ca="1" si="2"/>
        <v/>
      </c>
      <c r="P17" s="216" t="str">
        <f t="shared" ca="1" si="3"/>
        <v/>
      </c>
      <c r="Q17" s="216" t="str">
        <f t="shared" ca="1" si="4"/>
        <v/>
      </c>
      <c r="R17" s="216" t="str">
        <f t="shared" ca="1" si="5"/>
        <v/>
      </c>
      <c r="S17" s="216" t="str">
        <f t="shared" ca="1" si="6"/>
        <v/>
      </c>
      <c r="T17" s="216" t="str">
        <f t="shared" ca="1" si="7"/>
        <v/>
      </c>
      <c r="U17" s="216" t="str">
        <f t="shared" ca="1" si="8"/>
        <v/>
      </c>
      <c r="V17" s="217" t="str">
        <f t="shared" ca="1" si="9"/>
        <v/>
      </c>
      <c r="W17" s="376" t="str">
        <f t="shared" ref="W17:W72" ca="1" si="21">LEFT($Q17,1)</f>
        <v/>
      </c>
      <c r="X17" s="377" t="str">
        <f t="shared" ref="X17:X72" ca="1" si="22">RIGHT($N17,2)</f>
        <v/>
      </c>
      <c r="Y17" s="378" t="str">
        <f t="shared" ca="1" si="10"/>
        <v/>
      </c>
      <c r="Z17" s="378" t="str">
        <f t="shared" ca="1" si="10"/>
        <v/>
      </c>
      <c r="AA17" s="378" t="str">
        <f t="shared" ca="1" si="10"/>
        <v/>
      </c>
      <c r="AB17" s="378" t="str">
        <f t="shared" ca="1" si="10"/>
        <v/>
      </c>
      <c r="AC17" s="378" t="str">
        <f t="shared" ca="1" si="11"/>
        <v/>
      </c>
      <c r="AD17" s="378" t="str">
        <f t="shared" ca="1" si="12"/>
        <v/>
      </c>
      <c r="AE17" s="378" t="str">
        <f t="shared" ca="1" si="12"/>
        <v/>
      </c>
      <c r="AF17" s="378" t="str">
        <f t="shared" ca="1" si="12"/>
        <v/>
      </c>
      <c r="AG17" s="378" t="str">
        <f t="shared" ca="1" si="12"/>
        <v/>
      </c>
      <c r="AH17" s="378" t="str">
        <f t="shared" ca="1" si="12"/>
        <v/>
      </c>
      <c r="AI17" s="376" t="str">
        <f t="shared" ref="AI17:AI72" ca="1" si="23">LEFT($O17,1)</f>
        <v/>
      </c>
      <c r="AJ17" s="377" t="str">
        <f t="shared" ref="AJ17:AJ72" ca="1" si="24">RIGHT($N17,2)</f>
        <v/>
      </c>
      <c r="AK17" s="378" t="str">
        <f t="shared" ca="1" si="13"/>
        <v/>
      </c>
      <c r="AL17" s="378" t="str">
        <f t="shared" ca="1" si="13"/>
        <v/>
      </c>
      <c r="AM17" s="378" t="str">
        <f t="shared" ca="1" si="13"/>
        <v/>
      </c>
      <c r="AN17" s="378" t="str">
        <f t="shared" ca="1" si="13"/>
        <v/>
      </c>
      <c r="AO17" s="378" t="str">
        <f t="shared" ca="1" si="14"/>
        <v/>
      </c>
      <c r="AP17" s="378" t="str">
        <f t="shared" ca="1" si="15"/>
        <v/>
      </c>
      <c r="AQ17" s="378" t="str">
        <f t="shared" ca="1" si="15"/>
        <v/>
      </c>
      <c r="AR17" s="378" t="str">
        <f t="shared" ca="1" si="15"/>
        <v/>
      </c>
      <c r="AS17" s="378" t="str">
        <f t="shared" ca="1" si="15"/>
        <v/>
      </c>
      <c r="AT17" s="378" t="str">
        <f t="shared" ca="1" si="15"/>
        <v/>
      </c>
    </row>
    <row r="18" spans="1:46" x14ac:dyDescent="0.4">
      <c r="A18" s="150">
        <v>3</v>
      </c>
      <c r="B18" s="204" t="b">
        <f t="shared" si="16"/>
        <v>0</v>
      </c>
      <c r="C18" s="209" t="str">
        <f t="shared" ca="1" si="17"/>
        <v/>
      </c>
      <c r="D18" s="359" t="str">
        <f t="shared" ca="1" si="18"/>
        <v/>
      </c>
      <c r="E18" s="359" t="str">
        <f t="shared" ca="1" si="19"/>
        <v/>
      </c>
      <c r="F18" s="57" t="str">
        <f t="shared" ca="1" si="20"/>
        <v/>
      </c>
      <c r="G18" s="57" t="str">
        <f t="shared" ca="1" si="20"/>
        <v/>
      </c>
      <c r="H18" s="211" t="str" cm="1">
        <f t="array" aca="1" ref="H18" ca="1">IFERROR(INDEX($C$16:$C$116,SMALL(IF($C$16:$C$116&lt;&gt;"",ROW($C$16:$C$116)-ROW($C$16)+1),ROW(A3))),"")</f>
        <v/>
      </c>
      <c r="I18" s="210" t="str" cm="1">
        <f t="array" aca="1" ref="I18" ca="1">IFERROR(INDEX($D$16:$D$116,SMALL(IF($D$16:$D$116&lt;&gt;"",ROW($D$16:$D$116)-ROW($D$16)+1),ROW(A3))),"")</f>
        <v/>
      </c>
      <c r="J18" s="210" t="str" cm="1">
        <f t="array" aca="1" ref="J18" ca="1">IFERROR(INDEX($E$16:$E$116,SMALL(IF($E$16:$E$116&lt;&gt;"",ROW($E$16:$E$116)-ROW($E$16)+1),ROW(A3))),"")</f>
        <v/>
      </c>
      <c r="K18" s="210" t="str" cm="1">
        <f t="array" aca="1" ref="K18" ca="1">IFERROR(INDEX($F$16:$F$116,SMALL(IF($F$16:$F$116&lt;&gt;"",ROW($F$16:$F$116)-ROW($F$16)+1),ROW(A3))),"")</f>
        <v/>
      </c>
      <c r="L18" s="210" t="str">
        <f t="shared" ca="1" si="0"/>
        <v/>
      </c>
      <c r="M18" s="210" t="str" cm="1">
        <f t="array" aca="1" ref="M18" ca="1">IFERROR(INDEX($G$16:$G$116,SMALL(IF($G$16:$G$116&lt;&gt;"",ROW($G$16:$G$116)-ROW($G$16)+1),ROW(A3))),"")</f>
        <v/>
      </c>
      <c r="N18" s="215" t="str">
        <f t="shared" ca="1" si="1"/>
        <v/>
      </c>
      <c r="O18" s="216" t="str">
        <f t="shared" ca="1" si="2"/>
        <v/>
      </c>
      <c r="P18" s="216" t="str">
        <f t="shared" ca="1" si="3"/>
        <v/>
      </c>
      <c r="Q18" s="216" t="str">
        <f t="shared" ca="1" si="4"/>
        <v/>
      </c>
      <c r="R18" s="216" t="str">
        <f t="shared" ca="1" si="5"/>
        <v/>
      </c>
      <c r="S18" s="216" t="str">
        <f t="shared" ca="1" si="6"/>
        <v/>
      </c>
      <c r="T18" s="216" t="str">
        <f t="shared" ca="1" si="7"/>
        <v/>
      </c>
      <c r="U18" s="216" t="str">
        <f t="shared" ca="1" si="8"/>
        <v/>
      </c>
      <c r="V18" s="217" t="str">
        <f t="shared" ca="1" si="9"/>
        <v/>
      </c>
      <c r="W18" s="376" t="str">
        <f t="shared" ca="1" si="21"/>
        <v/>
      </c>
      <c r="X18" s="377" t="str">
        <f t="shared" ca="1" si="22"/>
        <v/>
      </c>
      <c r="Y18" s="378" t="str">
        <f t="shared" ca="1" si="10"/>
        <v/>
      </c>
      <c r="Z18" s="378" t="str">
        <f t="shared" ca="1" si="10"/>
        <v/>
      </c>
      <c r="AA18" s="378" t="str">
        <f t="shared" ca="1" si="10"/>
        <v/>
      </c>
      <c r="AB18" s="378" t="str">
        <f t="shared" ca="1" si="10"/>
        <v/>
      </c>
      <c r="AC18" s="378" t="str">
        <f t="shared" ca="1" si="11"/>
        <v/>
      </c>
      <c r="AD18" s="378" t="str">
        <f t="shared" ca="1" si="12"/>
        <v/>
      </c>
      <c r="AE18" s="378" t="str">
        <f t="shared" ca="1" si="12"/>
        <v/>
      </c>
      <c r="AF18" s="378" t="str">
        <f t="shared" ca="1" si="12"/>
        <v/>
      </c>
      <c r="AG18" s="378" t="str">
        <f t="shared" ca="1" si="12"/>
        <v/>
      </c>
      <c r="AH18" s="378" t="str">
        <f t="shared" ca="1" si="12"/>
        <v/>
      </c>
      <c r="AI18" s="376" t="str">
        <f t="shared" ca="1" si="23"/>
        <v/>
      </c>
      <c r="AJ18" s="377" t="str">
        <f t="shared" ca="1" si="24"/>
        <v/>
      </c>
      <c r="AK18" s="378" t="str">
        <f t="shared" ca="1" si="13"/>
        <v/>
      </c>
      <c r="AL18" s="378" t="str">
        <f t="shared" ca="1" si="13"/>
        <v/>
      </c>
      <c r="AM18" s="378" t="str">
        <f t="shared" ca="1" si="13"/>
        <v/>
      </c>
      <c r="AN18" s="378" t="str">
        <f t="shared" ca="1" si="13"/>
        <v/>
      </c>
      <c r="AO18" s="378" t="str">
        <f t="shared" ca="1" si="14"/>
        <v/>
      </c>
      <c r="AP18" s="378" t="str">
        <f t="shared" ca="1" si="15"/>
        <v/>
      </c>
      <c r="AQ18" s="378" t="str">
        <f t="shared" ca="1" si="15"/>
        <v/>
      </c>
      <c r="AR18" s="378" t="str">
        <f t="shared" ca="1" si="15"/>
        <v/>
      </c>
      <c r="AS18" s="378" t="str">
        <f t="shared" ca="1" si="15"/>
        <v/>
      </c>
      <c r="AT18" s="378" t="str">
        <f t="shared" ca="1" si="15"/>
        <v/>
      </c>
    </row>
    <row r="19" spans="1:46" x14ac:dyDescent="0.4">
      <c r="A19" s="150">
        <v>4</v>
      </c>
      <c r="B19" s="204" t="b">
        <f t="shared" si="16"/>
        <v>0</v>
      </c>
      <c r="C19" s="209" t="str">
        <f t="shared" ca="1" si="17"/>
        <v/>
      </c>
      <c r="D19" s="359" t="str">
        <f t="shared" ca="1" si="18"/>
        <v/>
      </c>
      <c r="E19" s="359" t="str">
        <f t="shared" ca="1" si="19"/>
        <v/>
      </c>
      <c r="F19" s="57" t="str">
        <f t="shared" ca="1" si="20"/>
        <v/>
      </c>
      <c r="G19" s="57" t="str">
        <f t="shared" ca="1" si="20"/>
        <v/>
      </c>
      <c r="H19" s="211" t="str" cm="1">
        <f t="array" aca="1" ref="H19" ca="1">IFERROR(INDEX($C$16:$C$116,SMALL(IF($C$16:$C$116&lt;&gt;"",ROW($C$16:$C$116)-ROW($C$16)+1),ROW(A4))),"")</f>
        <v/>
      </c>
      <c r="I19" s="210" t="str" cm="1">
        <f t="array" aca="1" ref="I19" ca="1">IFERROR(INDEX($D$16:$D$116,SMALL(IF($D$16:$D$116&lt;&gt;"",ROW($D$16:$D$116)-ROW($D$16)+1),ROW(A4))),"")</f>
        <v/>
      </c>
      <c r="J19" s="210" t="str" cm="1">
        <f t="array" aca="1" ref="J19" ca="1">IFERROR(INDEX($E$16:$E$116,SMALL(IF($E$16:$E$116&lt;&gt;"",ROW($E$16:$E$116)-ROW($E$16)+1),ROW(A4))),"")</f>
        <v/>
      </c>
      <c r="K19" s="210" t="str" cm="1">
        <f t="array" aca="1" ref="K19" ca="1">IFERROR(INDEX($F$16:$F$116,SMALL(IF($F$16:$F$116&lt;&gt;"",ROW($F$16:$F$116)-ROW($F$16)+1),ROW(A4))),"")</f>
        <v/>
      </c>
      <c r="L19" s="210" t="str">
        <f t="shared" ca="1" si="0"/>
        <v/>
      </c>
      <c r="M19" s="210" t="str" cm="1">
        <f t="array" aca="1" ref="M19" ca="1">IFERROR(INDEX($G$16:$G$116,SMALL(IF($G$16:$G$116&lt;&gt;"",ROW($G$16:$G$116)-ROW($G$16)+1),ROW(A4))),"")</f>
        <v/>
      </c>
      <c r="N19" s="215" t="str">
        <f t="shared" ca="1" si="1"/>
        <v/>
      </c>
      <c r="O19" s="216" t="str">
        <f t="shared" ca="1" si="2"/>
        <v/>
      </c>
      <c r="P19" s="216" t="str">
        <f t="shared" ca="1" si="3"/>
        <v/>
      </c>
      <c r="Q19" s="216" t="str">
        <f t="shared" ca="1" si="4"/>
        <v/>
      </c>
      <c r="R19" s="216" t="str">
        <f t="shared" ca="1" si="5"/>
        <v/>
      </c>
      <c r="S19" s="216" t="str">
        <f t="shared" ca="1" si="6"/>
        <v/>
      </c>
      <c r="T19" s="216" t="str">
        <f t="shared" ca="1" si="7"/>
        <v/>
      </c>
      <c r="U19" s="216" t="str">
        <f t="shared" ca="1" si="8"/>
        <v/>
      </c>
      <c r="V19" s="217" t="str">
        <f t="shared" ca="1" si="9"/>
        <v/>
      </c>
      <c r="W19" s="376" t="str">
        <f t="shared" ca="1" si="21"/>
        <v/>
      </c>
      <c r="X19" s="377" t="str">
        <f t="shared" ca="1" si="22"/>
        <v/>
      </c>
      <c r="Y19" s="378" t="str">
        <f t="shared" ca="1" si="10"/>
        <v/>
      </c>
      <c r="Z19" s="378" t="str">
        <f t="shared" ca="1" si="10"/>
        <v/>
      </c>
      <c r="AA19" s="378" t="str">
        <f t="shared" ca="1" si="10"/>
        <v/>
      </c>
      <c r="AB19" s="378" t="str">
        <f t="shared" ca="1" si="10"/>
        <v/>
      </c>
      <c r="AC19" s="378" t="str">
        <f t="shared" ca="1" si="11"/>
        <v/>
      </c>
      <c r="AD19" s="378" t="str">
        <f t="shared" ca="1" si="12"/>
        <v/>
      </c>
      <c r="AE19" s="378" t="str">
        <f t="shared" ca="1" si="12"/>
        <v/>
      </c>
      <c r="AF19" s="378" t="str">
        <f t="shared" ca="1" si="12"/>
        <v/>
      </c>
      <c r="AG19" s="378" t="str">
        <f t="shared" ca="1" si="12"/>
        <v/>
      </c>
      <c r="AH19" s="378" t="str">
        <f t="shared" ca="1" si="12"/>
        <v/>
      </c>
      <c r="AI19" s="376" t="str">
        <f t="shared" ca="1" si="23"/>
        <v/>
      </c>
      <c r="AJ19" s="377" t="str">
        <f t="shared" ca="1" si="24"/>
        <v/>
      </c>
      <c r="AK19" s="378" t="str">
        <f t="shared" ca="1" si="13"/>
        <v/>
      </c>
      <c r="AL19" s="378" t="str">
        <f t="shared" ca="1" si="13"/>
        <v/>
      </c>
      <c r="AM19" s="378" t="str">
        <f t="shared" ca="1" si="13"/>
        <v/>
      </c>
      <c r="AN19" s="378" t="str">
        <f t="shared" ca="1" si="13"/>
        <v/>
      </c>
      <c r="AO19" s="378" t="str">
        <f t="shared" ca="1" si="14"/>
        <v/>
      </c>
      <c r="AP19" s="378" t="str">
        <f t="shared" ca="1" si="15"/>
        <v/>
      </c>
      <c r="AQ19" s="378" t="str">
        <f t="shared" ca="1" si="15"/>
        <v/>
      </c>
      <c r="AR19" s="378" t="str">
        <f t="shared" ca="1" si="15"/>
        <v/>
      </c>
      <c r="AS19" s="378" t="str">
        <f t="shared" ca="1" si="15"/>
        <v/>
      </c>
      <c r="AT19" s="378" t="str">
        <f t="shared" ca="1" si="15"/>
        <v/>
      </c>
    </row>
    <row r="20" spans="1:46" x14ac:dyDescent="0.4">
      <c r="A20" s="150">
        <v>5</v>
      </c>
      <c r="B20" s="204" t="b">
        <f t="shared" si="16"/>
        <v>0</v>
      </c>
      <c r="C20" s="209" t="str">
        <f t="shared" ca="1" si="17"/>
        <v/>
      </c>
      <c r="D20" s="359" t="str">
        <f t="shared" ca="1" si="18"/>
        <v/>
      </c>
      <c r="E20" s="359" t="str">
        <f t="shared" ca="1" si="19"/>
        <v/>
      </c>
      <c r="F20" s="57" t="str">
        <f t="shared" ca="1" si="20"/>
        <v/>
      </c>
      <c r="G20" s="57" t="str">
        <f t="shared" ca="1" si="20"/>
        <v/>
      </c>
      <c r="H20" s="211" t="str" cm="1">
        <f t="array" aca="1" ref="H20" ca="1">IFERROR(INDEX($C$16:$C$116,SMALL(IF($C$16:$C$116&lt;&gt;"",ROW($C$16:$C$116)-ROW($C$16)+1),ROW(A5))),"")</f>
        <v/>
      </c>
      <c r="I20" s="210" t="str" cm="1">
        <f t="array" aca="1" ref="I20" ca="1">IFERROR(INDEX($D$16:$D$116,SMALL(IF($D$16:$D$116&lt;&gt;"",ROW($D$16:$D$116)-ROW($D$16)+1),ROW(A5))),"")</f>
        <v/>
      </c>
      <c r="J20" s="210" t="str" cm="1">
        <f t="array" aca="1" ref="J20" ca="1">IFERROR(INDEX($E$16:$E$116,SMALL(IF($E$16:$E$116&lt;&gt;"",ROW($E$16:$E$116)-ROW($E$16)+1),ROW(A5))),"")</f>
        <v/>
      </c>
      <c r="K20" s="210" t="str" cm="1">
        <f t="array" aca="1" ref="K20" ca="1">IFERROR(INDEX($F$16:$F$116,SMALL(IF($F$16:$F$116&lt;&gt;"",ROW($F$16:$F$116)-ROW($F$16)+1),ROW(A5))),"")</f>
        <v/>
      </c>
      <c r="L20" s="210" t="str">
        <f t="shared" ca="1" si="0"/>
        <v/>
      </c>
      <c r="M20" s="210" t="str" cm="1">
        <f t="array" aca="1" ref="M20" ca="1">IFERROR(INDEX($G$16:$G$116,SMALL(IF($G$16:$G$116&lt;&gt;"",ROW($G$16:$G$116)-ROW($G$16)+1),ROW(A5))),"")</f>
        <v/>
      </c>
      <c r="N20" s="215" t="str">
        <f t="shared" ca="1" si="1"/>
        <v/>
      </c>
      <c r="O20" s="216" t="str">
        <f t="shared" ca="1" si="2"/>
        <v/>
      </c>
      <c r="P20" s="216" t="str">
        <f t="shared" ca="1" si="3"/>
        <v/>
      </c>
      <c r="Q20" s="216" t="str">
        <f t="shared" ca="1" si="4"/>
        <v/>
      </c>
      <c r="R20" s="216" t="str">
        <f t="shared" ca="1" si="5"/>
        <v/>
      </c>
      <c r="S20" s="216" t="str">
        <f t="shared" ca="1" si="6"/>
        <v/>
      </c>
      <c r="T20" s="216" t="str">
        <f t="shared" ca="1" si="7"/>
        <v/>
      </c>
      <c r="U20" s="216" t="str">
        <f t="shared" ca="1" si="8"/>
        <v/>
      </c>
      <c r="V20" s="217" t="str">
        <f t="shared" ca="1" si="9"/>
        <v/>
      </c>
      <c r="W20" s="376" t="str">
        <f t="shared" ca="1" si="21"/>
        <v/>
      </c>
      <c r="X20" s="377" t="str">
        <f t="shared" ca="1" si="22"/>
        <v/>
      </c>
      <c r="Y20" s="378" t="str">
        <f t="shared" ca="1" si="10"/>
        <v/>
      </c>
      <c r="Z20" s="378" t="str">
        <f t="shared" ca="1" si="10"/>
        <v/>
      </c>
      <c r="AA20" s="378" t="str">
        <f t="shared" ca="1" si="10"/>
        <v/>
      </c>
      <c r="AB20" s="378" t="str">
        <f t="shared" ca="1" si="10"/>
        <v/>
      </c>
      <c r="AC20" s="378" t="str">
        <f t="shared" ca="1" si="11"/>
        <v/>
      </c>
      <c r="AD20" s="378" t="str">
        <f t="shared" ca="1" si="12"/>
        <v/>
      </c>
      <c r="AE20" s="378" t="str">
        <f t="shared" ca="1" si="12"/>
        <v/>
      </c>
      <c r="AF20" s="378" t="str">
        <f t="shared" ca="1" si="12"/>
        <v/>
      </c>
      <c r="AG20" s="378" t="str">
        <f t="shared" ca="1" si="12"/>
        <v/>
      </c>
      <c r="AH20" s="378" t="str">
        <f t="shared" ca="1" si="12"/>
        <v/>
      </c>
      <c r="AI20" s="376" t="str">
        <f t="shared" ca="1" si="23"/>
        <v/>
      </c>
      <c r="AJ20" s="377" t="str">
        <f t="shared" ca="1" si="24"/>
        <v/>
      </c>
      <c r="AK20" s="378" t="str">
        <f t="shared" ca="1" si="13"/>
        <v/>
      </c>
      <c r="AL20" s="378" t="str">
        <f t="shared" ca="1" si="13"/>
        <v/>
      </c>
      <c r="AM20" s="378" t="str">
        <f t="shared" ca="1" si="13"/>
        <v/>
      </c>
      <c r="AN20" s="378" t="str">
        <f t="shared" ca="1" si="13"/>
        <v/>
      </c>
      <c r="AO20" s="378" t="str">
        <f t="shared" ca="1" si="14"/>
        <v/>
      </c>
      <c r="AP20" s="378" t="str">
        <f t="shared" ca="1" si="15"/>
        <v/>
      </c>
      <c r="AQ20" s="378" t="str">
        <f t="shared" ca="1" si="15"/>
        <v/>
      </c>
      <c r="AR20" s="378" t="str">
        <f t="shared" ca="1" si="15"/>
        <v/>
      </c>
      <c r="AS20" s="378" t="str">
        <f t="shared" ca="1" si="15"/>
        <v/>
      </c>
      <c r="AT20" s="378" t="str">
        <f t="shared" ca="1" si="15"/>
        <v/>
      </c>
    </row>
    <row r="21" spans="1:46" x14ac:dyDescent="0.4">
      <c r="A21" s="150">
        <v>6</v>
      </c>
      <c r="B21" s="204" t="b">
        <f t="shared" si="16"/>
        <v>0</v>
      </c>
      <c r="C21" s="209" t="str">
        <f t="shared" ca="1" si="17"/>
        <v/>
      </c>
      <c r="D21" s="359" t="str">
        <f t="shared" ca="1" si="18"/>
        <v/>
      </c>
      <c r="E21" s="359" t="str">
        <f t="shared" ca="1" si="19"/>
        <v/>
      </c>
      <c r="F21" s="57" t="str">
        <f t="shared" ca="1" si="20"/>
        <v/>
      </c>
      <c r="G21" s="57" t="str">
        <f t="shared" ca="1" si="20"/>
        <v/>
      </c>
      <c r="H21" s="211" t="str" cm="1">
        <f t="array" aca="1" ref="H21" ca="1">IFERROR(INDEX($C$16:$C$116,SMALL(IF($C$16:$C$116&lt;&gt;"",ROW($C$16:$C$116)-ROW($C$16)+1),ROW(A6))),"")</f>
        <v/>
      </c>
      <c r="I21" s="210" t="str" cm="1">
        <f t="array" aca="1" ref="I21" ca="1">IFERROR(INDEX($D$16:$D$116,SMALL(IF($D$16:$D$116&lt;&gt;"",ROW($D$16:$D$116)-ROW($D$16)+1),ROW(A6))),"")</f>
        <v/>
      </c>
      <c r="J21" s="210" t="str" cm="1">
        <f t="array" aca="1" ref="J21" ca="1">IFERROR(INDEX($E$16:$E$116,SMALL(IF($E$16:$E$116&lt;&gt;"",ROW($E$16:$E$116)-ROW($E$16)+1),ROW(A6))),"")</f>
        <v/>
      </c>
      <c r="K21" s="210" t="str" cm="1">
        <f t="array" aca="1" ref="K21" ca="1">IFERROR(INDEX($F$16:$F$116,SMALL(IF($F$16:$F$116&lt;&gt;"",ROW($F$16:$F$116)-ROW($F$16)+1),ROW(A6))),"")</f>
        <v/>
      </c>
      <c r="L21" s="210" t="str">
        <f t="shared" ca="1" si="0"/>
        <v/>
      </c>
      <c r="M21" s="210" t="str" cm="1">
        <f t="array" aca="1" ref="M21" ca="1">IFERROR(INDEX($G$16:$G$116,SMALL(IF($G$16:$G$116&lt;&gt;"",ROW($G$16:$G$116)-ROW($G$16)+1),ROW(A6))),"")</f>
        <v/>
      </c>
      <c r="N21" s="215" t="str">
        <f t="shared" ca="1" si="1"/>
        <v/>
      </c>
      <c r="O21" s="216" t="str">
        <f t="shared" ca="1" si="2"/>
        <v/>
      </c>
      <c r="P21" s="216" t="str">
        <f t="shared" ca="1" si="3"/>
        <v/>
      </c>
      <c r="Q21" s="216" t="str">
        <f t="shared" ca="1" si="4"/>
        <v/>
      </c>
      <c r="R21" s="216" t="str">
        <f t="shared" ca="1" si="5"/>
        <v/>
      </c>
      <c r="S21" s="216" t="str">
        <f t="shared" ca="1" si="6"/>
        <v/>
      </c>
      <c r="T21" s="216" t="str">
        <f t="shared" ca="1" si="7"/>
        <v/>
      </c>
      <c r="U21" s="216" t="str">
        <f t="shared" ca="1" si="8"/>
        <v/>
      </c>
      <c r="V21" s="217" t="str">
        <f t="shared" ca="1" si="9"/>
        <v/>
      </c>
      <c r="W21" s="376" t="str">
        <f t="shared" ca="1" si="21"/>
        <v/>
      </c>
      <c r="X21" s="377" t="str">
        <f t="shared" ca="1" si="22"/>
        <v/>
      </c>
      <c r="Y21" s="378" t="str">
        <f t="shared" ca="1" si="10"/>
        <v/>
      </c>
      <c r="Z21" s="378" t="str">
        <f t="shared" ca="1" si="10"/>
        <v/>
      </c>
      <c r="AA21" s="378" t="str">
        <f t="shared" ca="1" si="10"/>
        <v/>
      </c>
      <c r="AB21" s="378" t="str">
        <f t="shared" ca="1" si="10"/>
        <v/>
      </c>
      <c r="AC21" s="378" t="str">
        <f t="shared" ca="1" si="11"/>
        <v/>
      </c>
      <c r="AD21" s="378" t="str">
        <f t="shared" ca="1" si="12"/>
        <v/>
      </c>
      <c r="AE21" s="378" t="str">
        <f t="shared" ca="1" si="12"/>
        <v/>
      </c>
      <c r="AF21" s="378" t="str">
        <f t="shared" ca="1" si="12"/>
        <v/>
      </c>
      <c r="AG21" s="378" t="str">
        <f t="shared" ca="1" si="12"/>
        <v/>
      </c>
      <c r="AH21" s="378" t="str">
        <f t="shared" ca="1" si="12"/>
        <v/>
      </c>
      <c r="AI21" s="376" t="str">
        <f t="shared" ca="1" si="23"/>
        <v/>
      </c>
      <c r="AJ21" s="377" t="str">
        <f t="shared" ca="1" si="24"/>
        <v/>
      </c>
      <c r="AK21" s="378" t="str">
        <f t="shared" ca="1" si="13"/>
        <v/>
      </c>
      <c r="AL21" s="378" t="str">
        <f t="shared" ca="1" si="13"/>
        <v/>
      </c>
      <c r="AM21" s="378" t="str">
        <f t="shared" ca="1" si="13"/>
        <v/>
      </c>
      <c r="AN21" s="378" t="str">
        <f t="shared" ca="1" si="13"/>
        <v/>
      </c>
      <c r="AO21" s="378" t="str">
        <f t="shared" ca="1" si="14"/>
        <v/>
      </c>
      <c r="AP21" s="378" t="str">
        <f t="shared" ca="1" si="15"/>
        <v/>
      </c>
      <c r="AQ21" s="378" t="str">
        <f t="shared" ca="1" si="15"/>
        <v/>
      </c>
      <c r="AR21" s="378" t="str">
        <f t="shared" ca="1" si="15"/>
        <v/>
      </c>
      <c r="AS21" s="378" t="str">
        <f t="shared" ca="1" si="15"/>
        <v/>
      </c>
      <c r="AT21" s="378" t="str">
        <f t="shared" ca="1" si="15"/>
        <v/>
      </c>
    </row>
    <row r="22" spans="1:46" x14ac:dyDescent="0.4">
      <c r="A22" s="150">
        <v>7</v>
      </c>
      <c r="B22" s="204" t="b">
        <f t="shared" si="16"/>
        <v>0</v>
      </c>
      <c r="C22" s="209" t="str">
        <f t="shared" ca="1" si="17"/>
        <v/>
      </c>
      <c r="D22" s="359" t="str">
        <f t="shared" ca="1" si="18"/>
        <v/>
      </c>
      <c r="E22" s="359" t="str">
        <f t="shared" ca="1" si="19"/>
        <v/>
      </c>
      <c r="F22" s="57" t="str">
        <f t="shared" ca="1" si="20"/>
        <v/>
      </c>
      <c r="G22" s="57" t="str">
        <f t="shared" ca="1" si="20"/>
        <v/>
      </c>
      <c r="H22" s="211" t="str" cm="1">
        <f t="array" aca="1" ref="H22" ca="1">IFERROR(INDEX($C$16:$C$116,SMALL(IF($C$16:$C$116&lt;&gt;"",ROW($C$16:$C$116)-ROW($C$16)+1),ROW(A7))),"")</f>
        <v/>
      </c>
      <c r="I22" s="210" t="str" cm="1">
        <f t="array" aca="1" ref="I22" ca="1">IFERROR(INDEX($D$16:$D$116,SMALL(IF($D$16:$D$116&lt;&gt;"",ROW($D$16:$D$116)-ROW($D$16)+1),ROW(A7))),"")</f>
        <v/>
      </c>
      <c r="J22" s="210" t="str" cm="1">
        <f t="array" aca="1" ref="J22" ca="1">IFERROR(INDEX($E$16:$E$116,SMALL(IF($E$16:$E$116&lt;&gt;"",ROW($E$16:$E$116)-ROW($E$16)+1),ROW(A7))),"")</f>
        <v/>
      </c>
      <c r="K22" s="210" t="str" cm="1">
        <f t="array" aca="1" ref="K22" ca="1">IFERROR(INDEX($F$16:$F$116,SMALL(IF($F$16:$F$116&lt;&gt;"",ROW($F$16:$F$116)-ROW($F$16)+1),ROW(A7))),"")</f>
        <v/>
      </c>
      <c r="L22" s="210" t="str">
        <f t="shared" ca="1" si="0"/>
        <v/>
      </c>
      <c r="M22" s="210" t="str" cm="1">
        <f t="array" aca="1" ref="M22" ca="1">IFERROR(INDEX($G$16:$G$116,SMALL(IF($G$16:$G$116&lt;&gt;"",ROW($G$16:$G$116)-ROW($G$16)+1),ROW(A7))),"")</f>
        <v/>
      </c>
      <c r="N22" s="215" t="str">
        <f t="shared" ca="1" si="1"/>
        <v/>
      </c>
      <c r="O22" s="216" t="str">
        <f t="shared" ca="1" si="2"/>
        <v/>
      </c>
      <c r="P22" s="216" t="str">
        <f t="shared" ca="1" si="3"/>
        <v/>
      </c>
      <c r="Q22" s="216" t="str">
        <f t="shared" ca="1" si="4"/>
        <v/>
      </c>
      <c r="R22" s="216" t="str">
        <f t="shared" ca="1" si="5"/>
        <v/>
      </c>
      <c r="S22" s="216" t="str">
        <f t="shared" ca="1" si="6"/>
        <v/>
      </c>
      <c r="T22" s="216" t="str">
        <f t="shared" ca="1" si="7"/>
        <v/>
      </c>
      <c r="U22" s="216" t="str">
        <f t="shared" ca="1" si="8"/>
        <v/>
      </c>
      <c r="V22" s="217" t="str">
        <f t="shared" ca="1" si="9"/>
        <v/>
      </c>
      <c r="W22" s="376" t="str">
        <f t="shared" ca="1" si="21"/>
        <v/>
      </c>
      <c r="X22" s="377" t="str">
        <f t="shared" ca="1" si="22"/>
        <v/>
      </c>
      <c r="Y22" s="378" t="str">
        <f t="shared" ca="1" si="10"/>
        <v/>
      </c>
      <c r="Z22" s="378" t="str">
        <f t="shared" ca="1" si="10"/>
        <v/>
      </c>
      <c r="AA22" s="378" t="str">
        <f t="shared" ca="1" si="10"/>
        <v/>
      </c>
      <c r="AB22" s="378" t="str">
        <f t="shared" ca="1" si="10"/>
        <v/>
      </c>
      <c r="AC22" s="378" t="str">
        <f t="shared" ca="1" si="11"/>
        <v/>
      </c>
      <c r="AD22" s="378" t="str">
        <f t="shared" ca="1" si="12"/>
        <v/>
      </c>
      <c r="AE22" s="378" t="str">
        <f t="shared" ca="1" si="12"/>
        <v/>
      </c>
      <c r="AF22" s="378" t="str">
        <f t="shared" ca="1" si="12"/>
        <v/>
      </c>
      <c r="AG22" s="378" t="str">
        <f t="shared" ca="1" si="12"/>
        <v/>
      </c>
      <c r="AH22" s="378" t="str">
        <f t="shared" ca="1" si="12"/>
        <v/>
      </c>
      <c r="AI22" s="376" t="str">
        <f t="shared" ca="1" si="23"/>
        <v/>
      </c>
      <c r="AJ22" s="377" t="str">
        <f t="shared" ca="1" si="24"/>
        <v/>
      </c>
      <c r="AK22" s="378" t="str">
        <f t="shared" ca="1" si="13"/>
        <v/>
      </c>
      <c r="AL22" s="378" t="str">
        <f t="shared" ca="1" si="13"/>
        <v/>
      </c>
      <c r="AM22" s="378" t="str">
        <f t="shared" ca="1" si="13"/>
        <v/>
      </c>
      <c r="AN22" s="378" t="str">
        <f t="shared" ca="1" si="13"/>
        <v/>
      </c>
      <c r="AO22" s="378" t="str">
        <f t="shared" ca="1" si="14"/>
        <v/>
      </c>
      <c r="AP22" s="378" t="str">
        <f t="shared" ca="1" si="15"/>
        <v/>
      </c>
      <c r="AQ22" s="378" t="str">
        <f t="shared" ca="1" si="15"/>
        <v/>
      </c>
      <c r="AR22" s="378" t="str">
        <f t="shared" ca="1" si="15"/>
        <v/>
      </c>
      <c r="AS22" s="378" t="str">
        <f t="shared" ca="1" si="15"/>
        <v/>
      </c>
      <c r="AT22" s="378" t="str">
        <f t="shared" ca="1" si="15"/>
        <v/>
      </c>
    </row>
    <row r="23" spans="1:46" x14ac:dyDescent="0.4">
      <c r="A23" s="150">
        <v>8</v>
      </c>
      <c r="B23" s="204" t="b">
        <f t="shared" si="16"/>
        <v>0</v>
      </c>
      <c r="C23" s="209" t="str">
        <f t="shared" ca="1" si="17"/>
        <v/>
      </c>
      <c r="D23" s="359" t="str">
        <f t="shared" ca="1" si="18"/>
        <v/>
      </c>
      <c r="E23" s="359" t="str">
        <f t="shared" ca="1" si="19"/>
        <v/>
      </c>
      <c r="F23" s="57" t="str">
        <f t="shared" ca="1" si="20"/>
        <v/>
      </c>
      <c r="G23" s="57" t="str">
        <f t="shared" ca="1" si="20"/>
        <v/>
      </c>
      <c r="H23" s="211" t="str" cm="1">
        <f t="array" aca="1" ref="H23" ca="1">IFERROR(INDEX($C$16:$C$116,SMALL(IF($C$16:$C$116&lt;&gt;"",ROW($C$16:$C$116)-ROW($C$16)+1),ROW(A8))),"")</f>
        <v/>
      </c>
      <c r="I23" s="210" t="str" cm="1">
        <f t="array" aca="1" ref="I23" ca="1">IFERROR(INDEX($D$16:$D$116,SMALL(IF($D$16:$D$116&lt;&gt;"",ROW($D$16:$D$116)-ROW($D$16)+1),ROW(A8))),"")</f>
        <v/>
      </c>
      <c r="J23" s="210" t="str" cm="1">
        <f t="array" aca="1" ref="J23" ca="1">IFERROR(INDEX($E$16:$E$116,SMALL(IF($E$16:$E$116&lt;&gt;"",ROW($E$16:$E$116)-ROW($E$16)+1),ROW(A8))),"")</f>
        <v/>
      </c>
      <c r="K23" s="210" t="str" cm="1">
        <f t="array" aca="1" ref="K23" ca="1">IFERROR(INDEX($F$16:$F$116,SMALL(IF($F$16:$F$116&lt;&gt;"",ROW($F$16:$F$116)-ROW($F$16)+1),ROW(A8))),"")</f>
        <v/>
      </c>
      <c r="L23" s="210" t="str">
        <f t="shared" ca="1" si="0"/>
        <v/>
      </c>
      <c r="M23" s="210" t="str" cm="1">
        <f t="array" aca="1" ref="M23" ca="1">IFERROR(INDEX($G$16:$G$116,SMALL(IF($G$16:$G$116&lt;&gt;"",ROW($G$16:$G$116)-ROW($G$16)+1),ROW(A8))),"")</f>
        <v/>
      </c>
      <c r="N23" s="215" t="str">
        <f t="shared" ca="1" si="1"/>
        <v/>
      </c>
      <c r="O23" s="216" t="str">
        <f t="shared" ca="1" si="2"/>
        <v/>
      </c>
      <c r="P23" s="216" t="str">
        <f t="shared" ca="1" si="3"/>
        <v/>
      </c>
      <c r="Q23" s="216" t="str">
        <f t="shared" ca="1" si="4"/>
        <v/>
      </c>
      <c r="R23" s="216" t="str">
        <f t="shared" ca="1" si="5"/>
        <v/>
      </c>
      <c r="S23" s="216" t="str">
        <f t="shared" ca="1" si="6"/>
        <v/>
      </c>
      <c r="T23" s="216" t="str">
        <f t="shared" ca="1" si="7"/>
        <v/>
      </c>
      <c r="U23" s="216" t="str">
        <f t="shared" ca="1" si="8"/>
        <v/>
      </c>
      <c r="V23" s="217" t="str">
        <f t="shared" ca="1" si="9"/>
        <v/>
      </c>
      <c r="W23" s="376" t="str">
        <f t="shared" ca="1" si="21"/>
        <v/>
      </c>
      <c r="X23" s="377" t="str">
        <f t="shared" ca="1" si="22"/>
        <v/>
      </c>
      <c r="Y23" s="378" t="str">
        <f t="shared" ca="1" si="10"/>
        <v/>
      </c>
      <c r="Z23" s="378" t="str">
        <f t="shared" ca="1" si="10"/>
        <v/>
      </c>
      <c r="AA23" s="378" t="str">
        <f t="shared" ca="1" si="10"/>
        <v/>
      </c>
      <c r="AB23" s="378" t="str">
        <f t="shared" ca="1" si="10"/>
        <v/>
      </c>
      <c r="AC23" s="378" t="str">
        <f t="shared" ca="1" si="11"/>
        <v/>
      </c>
      <c r="AD23" s="378" t="str">
        <f t="shared" ca="1" si="12"/>
        <v/>
      </c>
      <c r="AE23" s="378" t="str">
        <f t="shared" ca="1" si="12"/>
        <v/>
      </c>
      <c r="AF23" s="378" t="str">
        <f t="shared" ca="1" si="12"/>
        <v/>
      </c>
      <c r="AG23" s="378" t="str">
        <f t="shared" ca="1" si="12"/>
        <v/>
      </c>
      <c r="AH23" s="378" t="str">
        <f t="shared" ca="1" si="12"/>
        <v/>
      </c>
      <c r="AI23" s="376" t="str">
        <f t="shared" ca="1" si="23"/>
        <v/>
      </c>
      <c r="AJ23" s="377" t="str">
        <f t="shared" ca="1" si="24"/>
        <v/>
      </c>
      <c r="AK23" s="378" t="str">
        <f t="shared" ca="1" si="13"/>
        <v/>
      </c>
      <c r="AL23" s="378" t="str">
        <f t="shared" ca="1" si="13"/>
        <v/>
      </c>
      <c r="AM23" s="378" t="str">
        <f t="shared" ca="1" si="13"/>
        <v/>
      </c>
      <c r="AN23" s="378" t="str">
        <f t="shared" ca="1" si="13"/>
        <v/>
      </c>
      <c r="AO23" s="378" t="str">
        <f t="shared" ca="1" si="14"/>
        <v/>
      </c>
      <c r="AP23" s="378" t="str">
        <f t="shared" ca="1" si="15"/>
        <v/>
      </c>
      <c r="AQ23" s="378" t="str">
        <f t="shared" ca="1" si="15"/>
        <v/>
      </c>
      <c r="AR23" s="378" t="str">
        <f t="shared" ca="1" si="15"/>
        <v/>
      </c>
      <c r="AS23" s="378" t="str">
        <f t="shared" ca="1" si="15"/>
        <v/>
      </c>
      <c r="AT23" s="378" t="str">
        <f t="shared" ca="1" si="15"/>
        <v/>
      </c>
    </row>
    <row r="24" spans="1:46" x14ac:dyDescent="0.4">
      <c r="A24" s="150">
        <v>9</v>
      </c>
      <c r="B24" s="204" t="b">
        <f t="shared" si="16"/>
        <v>0</v>
      </c>
      <c r="C24" s="209" t="str">
        <f t="shared" ca="1" si="17"/>
        <v/>
      </c>
      <c r="D24" s="359" t="str">
        <f t="shared" ca="1" si="18"/>
        <v/>
      </c>
      <c r="E24" s="359" t="str">
        <f t="shared" ca="1" si="19"/>
        <v/>
      </c>
      <c r="F24" s="57" t="str">
        <f t="shared" ca="1" si="20"/>
        <v/>
      </c>
      <c r="G24" s="57" t="str">
        <f t="shared" ca="1" si="20"/>
        <v/>
      </c>
      <c r="H24" s="211" t="str" cm="1">
        <f t="array" aca="1" ref="H24" ca="1">IFERROR(INDEX($C$16:$C$116,SMALL(IF($C$16:$C$116&lt;&gt;"",ROW($C$16:$C$116)-ROW($C$16)+1),ROW(A9))),"")</f>
        <v/>
      </c>
      <c r="I24" s="210" t="str" cm="1">
        <f t="array" aca="1" ref="I24" ca="1">IFERROR(INDEX($D$16:$D$116,SMALL(IF($D$16:$D$116&lt;&gt;"",ROW($D$16:$D$116)-ROW($D$16)+1),ROW(A9))),"")</f>
        <v/>
      </c>
      <c r="J24" s="210" t="str" cm="1">
        <f t="array" aca="1" ref="J24" ca="1">IFERROR(INDEX($E$16:$E$116,SMALL(IF($E$16:$E$116&lt;&gt;"",ROW($E$16:$E$116)-ROW($E$16)+1),ROW(A9))),"")</f>
        <v/>
      </c>
      <c r="K24" s="210" t="str" cm="1">
        <f t="array" aca="1" ref="K24" ca="1">IFERROR(INDEX($F$16:$F$116,SMALL(IF($F$16:$F$116&lt;&gt;"",ROW($F$16:$F$116)-ROW($F$16)+1),ROW(A9))),"")</f>
        <v/>
      </c>
      <c r="L24" s="210" t="str">
        <f t="shared" ca="1" si="0"/>
        <v/>
      </c>
      <c r="M24" s="210" t="str" cm="1">
        <f t="array" aca="1" ref="M24" ca="1">IFERROR(INDEX($G$16:$G$116,SMALL(IF($G$16:$G$116&lt;&gt;"",ROW($G$16:$G$116)-ROW($G$16)+1),ROW(A9))),"")</f>
        <v/>
      </c>
      <c r="N24" s="215" t="str">
        <f t="shared" ca="1" si="1"/>
        <v/>
      </c>
      <c r="O24" s="216" t="str">
        <f t="shared" ca="1" si="2"/>
        <v/>
      </c>
      <c r="P24" s="216" t="str">
        <f t="shared" ca="1" si="3"/>
        <v/>
      </c>
      <c r="Q24" s="216" t="str">
        <f t="shared" ca="1" si="4"/>
        <v/>
      </c>
      <c r="R24" s="216" t="str">
        <f t="shared" ca="1" si="5"/>
        <v/>
      </c>
      <c r="S24" s="216" t="str">
        <f t="shared" ca="1" si="6"/>
        <v/>
      </c>
      <c r="T24" s="216" t="str">
        <f t="shared" ca="1" si="7"/>
        <v/>
      </c>
      <c r="U24" s="216" t="str">
        <f t="shared" ca="1" si="8"/>
        <v/>
      </c>
      <c r="V24" s="217" t="str">
        <f t="shared" ca="1" si="9"/>
        <v/>
      </c>
      <c r="W24" s="376" t="str">
        <f t="shared" ca="1" si="21"/>
        <v/>
      </c>
      <c r="X24" s="377" t="str">
        <f t="shared" ca="1" si="22"/>
        <v/>
      </c>
      <c r="Y24" s="378" t="str">
        <f t="shared" ca="1" si="10"/>
        <v/>
      </c>
      <c r="Z24" s="378" t="str">
        <f t="shared" ca="1" si="10"/>
        <v/>
      </c>
      <c r="AA24" s="378" t="str">
        <f t="shared" ca="1" si="10"/>
        <v/>
      </c>
      <c r="AB24" s="378" t="str">
        <f t="shared" ca="1" si="10"/>
        <v/>
      </c>
      <c r="AC24" s="378" t="str">
        <f t="shared" ca="1" si="11"/>
        <v/>
      </c>
      <c r="AD24" s="378" t="str">
        <f t="shared" ca="1" si="12"/>
        <v/>
      </c>
      <c r="AE24" s="378" t="str">
        <f t="shared" ca="1" si="12"/>
        <v/>
      </c>
      <c r="AF24" s="378" t="str">
        <f t="shared" ca="1" si="12"/>
        <v/>
      </c>
      <c r="AG24" s="378" t="str">
        <f t="shared" ca="1" si="12"/>
        <v/>
      </c>
      <c r="AH24" s="378" t="str">
        <f t="shared" ca="1" si="12"/>
        <v/>
      </c>
      <c r="AI24" s="376" t="str">
        <f t="shared" ca="1" si="23"/>
        <v/>
      </c>
      <c r="AJ24" s="377" t="str">
        <f t="shared" ca="1" si="24"/>
        <v/>
      </c>
      <c r="AK24" s="378" t="str">
        <f t="shared" ca="1" si="13"/>
        <v/>
      </c>
      <c r="AL24" s="378" t="str">
        <f t="shared" ca="1" si="13"/>
        <v/>
      </c>
      <c r="AM24" s="378" t="str">
        <f t="shared" ca="1" si="13"/>
        <v/>
      </c>
      <c r="AN24" s="378" t="str">
        <f t="shared" ca="1" si="13"/>
        <v/>
      </c>
      <c r="AO24" s="378" t="str">
        <f t="shared" ca="1" si="14"/>
        <v/>
      </c>
      <c r="AP24" s="378" t="str">
        <f t="shared" ca="1" si="15"/>
        <v/>
      </c>
      <c r="AQ24" s="378" t="str">
        <f t="shared" ca="1" si="15"/>
        <v/>
      </c>
      <c r="AR24" s="378" t="str">
        <f t="shared" ca="1" si="15"/>
        <v/>
      </c>
      <c r="AS24" s="378" t="str">
        <f t="shared" ca="1" si="15"/>
        <v/>
      </c>
      <c r="AT24" s="378" t="str">
        <f t="shared" ca="1" si="15"/>
        <v/>
      </c>
    </row>
    <row r="25" spans="1:46" x14ac:dyDescent="0.4">
      <c r="A25" s="150">
        <v>10</v>
      </c>
      <c r="B25" s="204" t="b">
        <f t="shared" si="16"/>
        <v>0</v>
      </c>
      <c r="C25" s="209" t="str">
        <f t="shared" ca="1" si="17"/>
        <v/>
      </c>
      <c r="D25" s="359" t="str">
        <f t="shared" ca="1" si="18"/>
        <v/>
      </c>
      <c r="E25" s="359" t="str">
        <f t="shared" ca="1" si="19"/>
        <v/>
      </c>
      <c r="F25" s="57" t="str">
        <f t="shared" ca="1" si="20"/>
        <v/>
      </c>
      <c r="G25" s="57" t="str">
        <f t="shared" ca="1" si="20"/>
        <v/>
      </c>
      <c r="H25" s="211" t="str" cm="1">
        <f t="array" aca="1" ref="H25" ca="1">IFERROR(INDEX($C$16:$C$116,SMALL(IF($C$16:$C$116&lt;&gt;"",ROW($C$16:$C$116)-ROW($C$16)+1),ROW(A10))),"")</f>
        <v/>
      </c>
      <c r="I25" s="210" t="str" cm="1">
        <f t="array" aca="1" ref="I25" ca="1">IFERROR(INDEX($D$16:$D$116,SMALL(IF($D$16:$D$116&lt;&gt;"",ROW($D$16:$D$116)-ROW($D$16)+1),ROW(A10))),"")</f>
        <v/>
      </c>
      <c r="J25" s="210" t="str" cm="1">
        <f t="array" aca="1" ref="J25" ca="1">IFERROR(INDEX($E$16:$E$116,SMALL(IF($E$16:$E$116&lt;&gt;"",ROW($E$16:$E$116)-ROW($E$16)+1),ROW(A10))),"")</f>
        <v/>
      </c>
      <c r="K25" s="210" t="str" cm="1">
        <f t="array" aca="1" ref="K25" ca="1">IFERROR(INDEX($F$16:$F$116,SMALL(IF($F$16:$F$116&lt;&gt;"",ROW($F$16:$F$116)-ROW($F$16)+1),ROW(A10))),"")</f>
        <v/>
      </c>
      <c r="L25" s="210" t="str">
        <f t="shared" ca="1" si="0"/>
        <v/>
      </c>
      <c r="M25" s="210" t="str" cm="1">
        <f t="array" aca="1" ref="M25" ca="1">IFERROR(INDEX($G$16:$G$116,SMALL(IF($G$16:$G$116&lt;&gt;"",ROW($G$16:$G$116)-ROW($G$16)+1),ROW(A10))),"")</f>
        <v/>
      </c>
      <c r="N25" s="215" t="str">
        <f t="shared" ca="1" si="1"/>
        <v/>
      </c>
      <c r="O25" s="216" t="str">
        <f t="shared" ca="1" si="2"/>
        <v/>
      </c>
      <c r="P25" s="216" t="str">
        <f t="shared" ca="1" si="3"/>
        <v/>
      </c>
      <c r="Q25" s="216" t="str">
        <f t="shared" ca="1" si="4"/>
        <v/>
      </c>
      <c r="R25" s="216" t="str">
        <f t="shared" ca="1" si="5"/>
        <v/>
      </c>
      <c r="S25" s="216" t="str">
        <f t="shared" ca="1" si="6"/>
        <v/>
      </c>
      <c r="T25" s="216" t="str">
        <f t="shared" ca="1" si="7"/>
        <v/>
      </c>
      <c r="U25" s="216" t="str">
        <f t="shared" ca="1" si="8"/>
        <v/>
      </c>
      <c r="V25" s="217" t="str">
        <f t="shared" ca="1" si="9"/>
        <v/>
      </c>
      <c r="W25" s="376" t="str">
        <f t="shared" ca="1" si="21"/>
        <v/>
      </c>
      <c r="X25" s="377" t="str">
        <f t="shared" ca="1" si="22"/>
        <v/>
      </c>
      <c r="Y25" s="378" t="str">
        <f t="shared" ca="1" si="10"/>
        <v/>
      </c>
      <c r="Z25" s="378" t="str">
        <f t="shared" ca="1" si="10"/>
        <v/>
      </c>
      <c r="AA25" s="378" t="str">
        <f t="shared" ca="1" si="10"/>
        <v/>
      </c>
      <c r="AB25" s="378" t="str">
        <f t="shared" ca="1" si="10"/>
        <v/>
      </c>
      <c r="AC25" s="378" t="str">
        <f t="shared" ca="1" si="11"/>
        <v/>
      </c>
      <c r="AD25" s="378" t="str">
        <f t="shared" ca="1" si="12"/>
        <v/>
      </c>
      <c r="AE25" s="378" t="str">
        <f t="shared" ca="1" si="12"/>
        <v/>
      </c>
      <c r="AF25" s="378" t="str">
        <f t="shared" ca="1" si="12"/>
        <v/>
      </c>
      <c r="AG25" s="378" t="str">
        <f t="shared" ca="1" si="12"/>
        <v/>
      </c>
      <c r="AH25" s="378" t="str">
        <f t="shared" ca="1" si="12"/>
        <v/>
      </c>
      <c r="AI25" s="376" t="str">
        <f t="shared" ca="1" si="23"/>
        <v/>
      </c>
      <c r="AJ25" s="377" t="str">
        <f t="shared" ca="1" si="24"/>
        <v/>
      </c>
      <c r="AK25" s="378" t="str">
        <f t="shared" ca="1" si="13"/>
        <v/>
      </c>
      <c r="AL25" s="378" t="str">
        <f t="shared" ca="1" si="13"/>
        <v/>
      </c>
      <c r="AM25" s="378" t="str">
        <f t="shared" ca="1" si="13"/>
        <v/>
      </c>
      <c r="AN25" s="378" t="str">
        <f t="shared" ca="1" si="13"/>
        <v/>
      </c>
      <c r="AO25" s="378" t="str">
        <f t="shared" ca="1" si="14"/>
        <v/>
      </c>
      <c r="AP25" s="378" t="str">
        <f t="shared" ca="1" si="15"/>
        <v/>
      </c>
      <c r="AQ25" s="378" t="str">
        <f t="shared" ca="1" si="15"/>
        <v/>
      </c>
      <c r="AR25" s="378" t="str">
        <f t="shared" ca="1" si="15"/>
        <v/>
      </c>
      <c r="AS25" s="378" t="str">
        <f t="shared" ca="1" si="15"/>
        <v/>
      </c>
      <c r="AT25" s="378" t="str">
        <f t="shared" ca="1" si="15"/>
        <v/>
      </c>
    </row>
    <row r="26" spans="1:46" x14ac:dyDescent="0.4">
      <c r="A26" s="150">
        <v>11</v>
      </c>
      <c r="B26" s="204" t="b">
        <f t="shared" si="16"/>
        <v>0</v>
      </c>
      <c r="C26" s="209" t="str">
        <f t="shared" ca="1" si="17"/>
        <v/>
      </c>
      <c r="D26" s="359" t="str">
        <f t="shared" ca="1" si="18"/>
        <v/>
      </c>
      <c r="E26" s="359" t="str">
        <f t="shared" ca="1" si="19"/>
        <v/>
      </c>
      <c r="F26" s="57" t="str">
        <f t="shared" ca="1" si="20"/>
        <v/>
      </c>
      <c r="G26" s="57" t="str">
        <f t="shared" ca="1" si="20"/>
        <v/>
      </c>
      <c r="H26" s="211" t="str" cm="1">
        <f t="array" aca="1" ref="H26" ca="1">IFERROR(INDEX($C$16:$C$116,SMALL(IF($C$16:$C$116&lt;&gt;"",ROW($C$16:$C$116)-ROW($C$16)+1),ROW(A11))),"")</f>
        <v/>
      </c>
      <c r="I26" s="210" t="str" cm="1">
        <f t="array" aca="1" ref="I26" ca="1">IFERROR(INDEX($D$16:$D$116,SMALL(IF($D$16:$D$116&lt;&gt;"",ROW($D$16:$D$116)-ROW($D$16)+1),ROW(A11))),"")</f>
        <v/>
      </c>
      <c r="J26" s="210" t="str" cm="1">
        <f t="array" aca="1" ref="J26" ca="1">IFERROR(INDEX($E$16:$E$116,SMALL(IF($E$16:$E$116&lt;&gt;"",ROW($E$16:$E$116)-ROW($E$16)+1),ROW(A11))),"")</f>
        <v/>
      </c>
      <c r="K26" s="210" t="str" cm="1">
        <f t="array" aca="1" ref="K26" ca="1">IFERROR(INDEX($F$16:$F$116,SMALL(IF($F$16:$F$116&lt;&gt;"",ROW($F$16:$F$116)-ROW($F$16)+1),ROW(A11))),"")</f>
        <v/>
      </c>
      <c r="L26" s="210" t="str">
        <f t="shared" ca="1" si="0"/>
        <v/>
      </c>
      <c r="M26" s="210" t="str" cm="1">
        <f t="array" aca="1" ref="M26" ca="1">IFERROR(INDEX($G$16:$G$116,SMALL(IF($G$16:$G$116&lt;&gt;"",ROW($G$16:$G$116)-ROW($G$16)+1),ROW(A11))),"")</f>
        <v/>
      </c>
      <c r="N26" s="215" t="str">
        <f t="shared" ca="1" si="1"/>
        <v/>
      </c>
      <c r="O26" s="216" t="str">
        <f t="shared" ca="1" si="2"/>
        <v/>
      </c>
      <c r="P26" s="216" t="str">
        <f t="shared" ca="1" si="3"/>
        <v/>
      </c>
      <c r="Q26" s="216" t="str">
        <f t="shared" ca="1" si="4"/>
        <v/>
      </c>
      <c r="R26" s="216" t="str">
        <f t="shared" ca="1" si="5"/>
        <v/>
      </c>
      <c r="S26" s="216" t="str">
        <f t="shared" ca="1" si="6"/>
        <v/>
      </c>
      <c r="T26" s="216" t="str">
        <f t="shared" ca="1" si="7"/>
        <v/>
      </c>
      <c r="U26" s="216" t="str">
        <f t="shared" ca="1" si="8"/>
        <v/>
      </c>
      <c r="V26" s="217" t="str">
        <f t="shared" ca="1" si="9"/>
        <v/>
      </c>
      <c r="W26" s="376" t="str">
        <f t="shared" ca="1" si="21"/>
        <v/>
      </c>
      <c r="X26" s="377" t="str">
        <f t="shared" ca="1" si="22"/>
        <v/>
      </c>
      <c r="Y26" s="378" t="str">
        <f t="shared" ca="1" si="10"/>
        <v/>
      </c>
      <c r="Z26" s="378" t="str">
        <f t="shared" ca="1" si="10"/>
        <v/>
      </c>
      <c r="AA26" s="378" t="str">
        <f t="shared" ca="1" si="10"/>
        <v/>
      </c>
      <c r="AB26" s="378" t="str">
        <f t="shared" ca="1" si="10"/>
        <v/>
      </c>
      <c r="AC26" s="378" t="str">
        <f t="shared" ca="1" si="11"/>
        <v/>
      </c>
      <c r="AD26" s="378" t="str">
        <f t="shared" ref="AD26:AH35" ca="1" si="25">IF(OR($J26="Pluviomètre",LEFT($J26,5)="Sonde"),"",IF($H26&lt;&gt;"",IF(_xlfn.SINGLE(INDIRECT($H26&amp;"!"&amp;$W26&amp;($X26+AD$15+1)))&lt;&gt;"",_xlfn.SINGLE(INDIRECT($H26&amp;"!"&amp;$W26&amp;($X26+AD$15+1))),""),""))</f>
        <v/>
      </c>
      <c r="AE26" s="378" t="str">
        <f t="shared" ca="1" si="25"/>
        <v/>
      </c>
      <c r="AF26" s="378" t="str">
        <f t="shared" ca="1" si="25"/>
        <v/>
      </c>
      <c r="AG26" s="378" t="str">
        <f t="shared" ca="1" si="25"/>
        <v/>
      </c>
      <c r="AH26" s="378" t="str">
        <f t="shared" ca="1" si="25"/>
        <v/>
      </c>
      <c r="AI26" s="376" t="str">
        <f t="shared" ca="1" si="23"/>
        <v/>
      </c>
      <c r="AJ26" s="377" t="str">
        <f t="shared" ca="1" si="24"/>
        <v/>
      </c>
      <c r="AK26" s="378" t="str">
        <f t="shared" ca="1" si="13"/>
        <v/>
      </c>
      <c r="AL26" s="378" t="str">
        <f t="shared" ca="1" si="13"/>
        <v/>
      </c>
      <c r="AM26" s="378" t="str">
        <f t="shared" ca="1" si="13"/>
        <v/>
      </c>
      <c r="AN26" s="378" t="str">
        <f t="shared" ca="1" si="13"/>
        <v/>
      </c>
      <c r="AO26" s="378" t="str">
        <f t="shared" ca="1" si="14"/>
        <v/>
      </c>
      <c r="AP26" s="378" t="str">
        <f t="shared" ref="AP26:AT35" ca="1" si="26">IF(OR($J26="Pluviomètre",LEFT($J26,5)="Sonde"),"",IF($H26&lt;&gt;"",IF(_xlfn.SINGLE(INDIRECT($H26&amp;"!"&amp;$AI26&amp;($AJ26+AP$15+1)))&lt;&gt;"",_xlfn.SINGLE(INDIRECT($H26&amp;"!"&amp;$AI26&amp;($AJ26+AP$15+1))),""),""))</f>
        <v/>
      </c>
      <c r="AQ26" s="378" t="str">
        <f t="shared" ca="1" si="26"/>
        <v/>
      </c>
      <c r="AR26" s="378" t="str">
        <f t="shared" ca="1" si="26"/>
        <v/>
      </c>
      <c r="AS26" s="378" t="str">
        <f t="shared" ca="1" si="26"/>
        <v/>
      </c>
      <c r="AT26" s="378" t="str">
        <f t="shared" ca="1" si="26"/>
        <v/>
      </c>
    </row>
    <row r="27" spans="1:46" x14ac:dyDescent="0.4">
      <c r="A27" s="150">
        <v>12</v>
      </c>
      <c r="B27" s="204" t="b">
        <f t="shared" si="16"/>
        <v>0</v>
      </c>
      <c r="C27" s="209" t="str">
        <f t="shared" ca="1" si="17"/>
        <v/>
      </c>
      <c r="D27" s="359" t="str">
        <f t="shared" ca="1" si="18"/>
        <v/>
      </c>
      <c r="E27" s="359" t="str">
        <f t="shared" ca="1" si="19"/>
        <v/>
      </c>
      <c r="F27" s="57" t="str">
        <f t="shared" ca="1" si="20"/>
        <v/>
      </c>
      <c r="G27" s="57" t="str">
        <f t="shared" ca="1" si="20"/>
        <v/>
      </c>
      <c r="H27" s="211" t="str" cm="1">
        <f t="array" aca="1" ref="H27" ca="1">IFERROR(INDEX($C$16:$C$116,SMALL(IF($C$16:$C$116&lt;&gt;"",ROW($C$16:$C$116)-ROW($C$16)+1),ROW(A12))),"")</f>
        <v/>
      </c>
      <c r="I27" s="210" t="str" cm="1">
        <f t="array" aca="1" ref="I27" ca="1">IFERROR(INDEX($D$16:$D$116,SMALL(IF($D$16:$D$116&lt;&gt;"",ROW($D$16:$D$116)-ROW($D$16)+1),ROW(A12))),"")</f>
        <v/>
      </c>
      <c r="J27" s="210" t="str" cm="1">
        <f t="array" aca="1" ref="J27" ca="1">IFERROR(INDEX($E$16:$E$116,SMALL(IF($E$16:$E$116&lt;&gt;"",ROW($E$16:$E$116)-ROW($E$16)+1),ROW(A12))),"")</f>
        <v/>
      </c>
      <c r="K27" s="210" t="str" cm="1">
        <f t="array" aca="1" ref="K27" ca="1">IFERROR(INDEX($F$16:$F$116,SMALL(IF($F$16:$F$116&lt;&gt;"",ROW($F$16:$F$116)-ROW($F$16)+1),ROW(A12))),"")</f>
        <v/>
      </c>
      <c r="L27" s="210" t="str">
        <f t="shared" ca="1" si="0"/>
        <v/>
      </c>
      <c r="M27" s="210" t="str" cm="1">
        <f t="array" aca="1" ref="M27" ca="1">IFERROR(INDEX($G$16:$G$116,SMALL(IF($G$16:$G$116&lt;&gt;"",ROW($G$16:$G$116)-ROW($G$16)+1),ROW(A12))),"")</f>
        <v/>
      </c>
      <c r="N27" s="215" t="str">
        <f t="shared" ca="1" si="1"/>
        <v/>
      </c>
      <c r="O27" s="216" t="str">
        <f t="shared" ca="1" si="2"/>
        <v/>
      </c>
      <c r="P27" s="216" t="str">
        <f t="shared" ca="1" si="3"/>
        <v/>
      </c>
      <c r="Q27" s="216" t="str">
        <f t="shared" ca="1" si="4"/>
        <v/>
      </c>
      <c r="R27" s="216" t="str">
        <f t="shared" ca="1" si="5"/>
        <v/>
      </c>
      <c r="S27" s="216" t="str">
        <f t="shared" ca="1" si="6"/>
        <v/>
      </c>
      <c r="T27" s="216" t="str">
        <f t="shared" ca="1" si="7"/>
        <v/>
      </c>
      <c r="U27" s="216" t="str">
        <f t="shared" ca="1" si="8"/>
        <v/>
      </c>
      <c r="V27" s="217" t="str">
        <f t="shared" ca="1" si="9"/>
        <v/>
      </c>
      <c r="W27" s="376" t="str">
        <f t="shared" ca="1" si="21"/>
        <v/>
      </c>
      <c r="X27" s="377" t="str">
        <f t="shared" ca="1" si="22"/>
        <v/>
      </c>
      <c r="Y27" s="378" t="str">
        <f t="shared" ca="1" si="10"/>
        <v/>
      </c>
      <c r="Z27" s="378" t="str">
        <f t="shared" ca="1" si="10"/>
        <v/>
      </c>
      <c r="AA27" s="378" t="str">
        <f t="shared" ca="1" si="10"/>
        <v/>
      </c>
      <c r="AB27" s="378" t="str">
        <f t="shared" ca="1" si="10"/>
        <v/>
      </c>
      <c r="AC27" s="378" t="str">
        <f t="shared" ca="1" si="11"/>
        <v/>
      </c>
      <c r="AD27" s="378" t="str">
        <f t="shared" ca="1" si="25"/>
        <v/>
      </c>
      <c r="AE27" s="378" t="str">
        <f t="shared" ca="1" si="25"/>
        <v/>
      </c>
      <c r="AF27" s="378" t="str">
        <f t="shared" ca="1" si="25"/>
        <v/>
      </c>
      <c r="AG27" s="378" t="str">
        <f t="shared" ca="1" si="25"/>
        <v/>
      </c>
      <c r="AH27" s="378" t="str">
        <f t="shared" ca="1" si="25"/>
        <v/>
      </c>
      <c r="AI27" s="376" t="str">
        <f t="shared" ca="1" si="23"/>
        <v/>
      </c>
      <c r="AJ27" s="377" t="str">
        <f t="shared" ca="1" si="24"/>
        <v/>
      </c>
      <c r="AK27" s="378" t="str">
        <f t="shared" ca="1" si="13"/>
        <v/>
      </c>
      <c r="AL27" s="378" t="str">
        <f t="shared" ca="1" si="13"/>
        <v/>
      </c>
      <c r="AM27" s="378" t="str">
        <f t="shared" ca="1" si="13"/>
        <v/>
      </c>
      <c r="AN27" s="378" t="str">
        <f t="shared" ca="1" si="13"/>
        <v/>
      </c>
      <c r="AO27" s="378" t="str">
        <f t="shared" ca="1" si="14"/>
        <v/>
      </c>
      <c r="AP27" s="378" t="str">
        <f t="shared" ca="1" si="26"/>
        <v/>
      </c>
      <c r="AQ27" s="378" t="str">
        <f t="shared" ca="1" si="26"/>
        <v/>
      </c>
      <c r="AR27" s="378" t="str">
        <f t="shared" ca="1" si="26"/>
        <v/>
      </c>
      <c r="AS27" s="378" t="str">
        <f t="shared" ca="1" si="26"/>
        <v/>
      </c>
      <c r="AT27" s="378" t="str">
        <f t="shared" ca="1" si="26"/>
        <v/>
      </c>
    </row>
    <row r="28" spans="1:46" x14ac:dyDescent="0.4">
      <c r="A28" s="150">
        <v>13</v>
      </c>
      <c r="B28" s="204" t="b">
        <f t="shared" si="16"/>
        <v>0</v>
      </c>
      <c r="C28" s="209" t="str">
        <f t="shared" ca="1" si="17"/>
        <v/>
      </c>
      <c r="D28" s="359" t="str">
        <f t="shared" ca="1" si="18"/>
        <v/>
      </c>
      <c r="E28" s="359" t="str">
        <f t="shared" ca="1" si="19"/>
        <v/>
      </c>
      <c r="F28" s="57" t="str">
        <f t="shared" ca="1" si="20"/>
        <v/>
      </c>
      <c r="G28" s="57" t="str">
        <f t="shared" ca="1" si="20"/>
        <v/>
      </c>
      <c r="H28" s="211" t="str" cm="1">
        <f t="array" aca="1" ref="H28" ca="1">IFERROR(INDEX($C$16:$C$116,SMALL(IF($C$16:$C$116&lt;&gt;"",ROW($C$16:$C$116)-ROW($C$16)+1),ROW(A13))),"")</f>
        <v/>
      </c>
      <c r="I28" s="210" t="str" cm="1">
        <f t="array" aca="1" ref="I28" ca="1">IFERROR(INDEX($D$16:$D$116,SMALL(IF($D$16:$D$116&lt;&gt;"",ROW($D$16:$D$116)-ROW($D$16)+1),ROW(A13))),"")</f>
        <v/>
      </c>
      <c r="J28" s="210" t="str" cm="1">
        <f t="array" aca="1" ref="J28" ca="1">IFERROR(INDEX($E$16:$E$116,SMALL(IF($E$16:$E$116&lt;&gt;"",ROW($E$16:$E$116)-ROW($E$16)+1),ROW(A13))),"")</f>
        <v/>
      </c>
      <c r="K28" s="210" t="str" cm="1">
        <f t="array" aca="1" ref="K28" ca="1">IFERROR(INDEX($F$16:$F$116,SMALL(IF($F$16:$F$116&lt;&gt;"",ROW($F$16:$F$116)-ROW($F$16)+1),ROW(A13))),"")</f>
        <v/>
      </c>
      <c r="L28" s="210" t="str">
        <f t="shared" ca="1" si="0"/>
        <v/>
      </c>
      <c r="M28" s="210" t="str" cm="1">
        <f t="array" aca="1" ref="M28" ca="1">IFERROR(INDEX($G$16:$G$116,SMALL(IF($G$16:$G$116&lt;&gt;"",ROW($G$16:$G$116)-ROW($G$16)+1),ROW(A13))),"")</f>
        <v/>
      </c>
      <c r="N28" s="215" t="str">
        <f t="shared" ca="1" si="1"/>
        <v/>
      </c>
      <c r="O28" s="216" t="str">
        <f t="shared" ca="1" si="2"/>
        <v/>
      </c>
      <c r="P28" s="216" t="str">
        <f t="shared" ca="1" si="3"/>
        <v/>
      </c>
      <c r="Q28" s="216" t="str">
        <f t="shared" ca="1" si="4"/>
        <v/>
      </c>
      <c r="R28" s="216" t="str">
        <f t="shared" ca="1" si="5"/>
        <v/>
      </c>
      <c r="S28" s="216" t="str">
        <f t="shared" ca="1" si="6"/>
        <v/>
      </c>
      <c r="T28" s="216" t="str">
        <f t="shared" ca="1" si="7"/>
        <v/>
      </c>
      <c r="U28" s="216" t="str">
        <f t="shared" ca="1" si="8"/>
        <v/>
      </c>
      <c r="V28" s="217" t="str">
        <f t="shared" ca="1" si="9"/>
        <v/>
      </c>
      <c r="W28" s="376" t="str">
        <f t="shared" ca="1" si="21"/>
        <v/>
      </c>
      <c r="X28" s="377" t="str">
        <f t="shared" ca="1" si="22"/>
        <v/>
      </c>
      <c r="Y28" s="378" t="str">
        <f t="shared" ca="1" si="10"/>
        <v/>
      </c>
      <c r="Z28" s="378" t="str">
        <f t="shared" ca="1" si="10"/>
        <v/>
      </c>
      <c r="AA28" s="378" t="str">
        <f t="shared" ca="1" si="10"/>
        <v/>
      </c>
      <c r="AB28" s="378" t="str">
        <f t="shared" ca="1" si="10"/>
        <v/>
      </c>
      <c r="AC28" s="378" t="str">
        <f t="shared" ca="1" si="11"/>
        <v/>
      </c>
      <c r="AD28" s="378" t="str">
        <f t="shared" ca="1" si="25"/>
        <v/>
      </c>
      <c r="AE28" s="378" t="str">
        <f t="shared" ca="1" si="25"/>
        <v/>
      </c>
      <c r="AF28" s="378" t="str">
        <f t="shared" ca="1" si="25"/>
        <v/>
      </c>
      <c r="AG28" s="378" t="str">
        <f t="shared" ca="1" si="25"/>
        <v/>
      </c>
      <c r="AH28" s="378" t="str">
        <f t="shared" ca="1" si="25"/>
        <v/>
      </c>
      <c r="AI28" s="376" t="str">
        <f t="shared" ca="1" si="23"/>
        <v/>
      </c>
      <c r="AJ28" s="377" t="str">
        <f t="shared" ca="1" si="24"/>
        <v/>
      </c>
      <c r="AK28" s="378" t="str">
        <f t="shared" ca="1" si="13"/>
        <v/>
      </c>
      <c r="AL28" s="378" t="str">
        <f t="shared" ca="1" si="13"/>
        <v/>
      </c>
      <c r="AM28" s="378" t="str">
        <f t="shared" ca="1" si="13"/>
        <v/>
      </c>
      <c r="AN28" s="378" t="str">
        <f t="shared" ca="1" si="13"/>
        <v/>
      </c>
      <c r="AO28" s="378" t="str">
        <f t="shared" ca="1" si="14"/>
        <v/>
      </c>
      <c r="AP28" s="378" t="str">
        <f t="shared" ca="1" si="26"/>
        <v/>
      </c>
      <c r="AQ28" s="378" t="str">
        <f t="shared" ca="1" si="26"/>
        <v/>
      </c>
      <c r="AR28" s="378" t="str">
        <f t="shared" ca="1" si="26"/>
        <v/>
      </c>
      <c r="AS28" s="378" t="str">
        <f t="shared" ca="1" si="26"/>
        <v/>
      </c>
      <c r="AT28" s="378" t="str">
        <f t="shared" ca="1" si="26"/>
        <v/>
      </c>
    </row>
    <row r="29" spans="1:46" x14ac:dyDescent="0.4">
      <c r="A29" s="150">
        <v>14</v>
      </c>
      <c r="B29" s="204" t="b">
        <f t="shared" si="16"/>
        <v>0</v>
      </c>
      <c r="C29" s="209" t="str">
        <f t="shared" ca="1" si="17"/>
        <v/>
      </c>
      <c r="D29" s="359" t="str">
        <f t="shared" ca="1" si="18"/>
        <v/>
      </c>
      <c r="E29" s="359" t="str">
        <f t="shared" ca="1" si="19"/>
        <v/>
      </c>
      <c r="F29" s="57" t="str">
        <f t="shared" ca="1" si="20"/>
        <v/>
      </c>
      <c r="G29" s="57" t="str">
        <f t="shared" ca="1" si="20"/>
        <v/>
      </c>
      <c r="H29" s="211" t="str" cm="1">
        <f t="array" aca="1" ref="H29" ca="1">IFERROR(INDEX($C$16:$C$116,SMALL(IF($C$16:$C$116&lt;&gt;"",ROW($C$16:$C$116)-ROW($C$16)+1),ROW(A14))),"")</f>
        <v/>
      </c>
      <c r="I29" s="210" t="str" cm="1">
        <f t="array" aca="1" ref="I29" ca="1">IFERROR(INDEX($D$16:$D$116,SMALL(IF($D$16:$D$116&lt;&gt;"",ROW($D$16:$D$116)-ROW($D$16)+1),ROW(A14))),"")</f>
        <v/>
      </c>
      <c r="J29" s="210" t="str" cm="1">
        <f t="array" aca="1" ref="J29" ca="1">IFERROR(INDEX($E$16:$E$116,SMALL(IF($E$16:$E$116&lt;&gt;"",ROW($E$16:$E$116)-ROW($E$16)+1),ROW(A14))),"")</f>
        <v/>
      </c>
      <c r="K29" s="210" t="str" cm="1">
        <f t="array" aca="1" ref="K29" ca="1">IFERROR(INDEX($F$16:$F$116,SMALL(IF($F$16:$F$116&lt;&gt;"",ROW($F$16:$F$116)-ROW($F$16)+1),ROW(A14))),"")</f>
        <v/>
      </c>
      <c r="L29" s="210" t="str">
        <f t="shared" ca="1" si="0"/>
        <v/>
      </c>
      <c r="M29" s="210" t="str" cm="1">
        <f t="array" aca="1" ref="M29" ca="1">IFERROR(INDEX($G$16:$G$116,SMALL(IF($G$16:$G$116&lt;&gt;"",ROW($G$16:$G$116)-ROW($G$16)+1),ROW(A14))),"")</f>
        <v/>
      </c>
      <c r="N29" s="215" t="str">
        <f t="shared" ca="1" si="1"/>
        <v/>
      </c>
      <c r="O29" s="216" t="str">
        <f t="shared" ca="1" si="2"/>
        <v/>
      </c>
      <c r="P29" s="216" t="str">
        <f t="shared" ca="1" si="3"/>
        <v/>
      </c>
      <c r="Q29" s="216" t="str">
        <f t="shared" ca="1" si="4"/>
        <v/>
      </c>
      <c r="R29" s="216" t="str">
        <f t="shared" ca="1" si="5"/>
        <v/>
      </c>
      <c r="S29" s="216" t="str">
        <f t="shared" ca="1" si="6"/>
        <v/>
      </c>
      <c r="T29" s="216" t="str">
        <f t="shared" ca="1" si="7"/>
        <v/>
      </c>
      <c r="U29" s="216" t="str">
        <f t="shared" ca="1" si="8"/>
        <v/>
      </c>
      <c r="V29" s="217" t="str">
        <f t="shared" ca="1" si="9"/>
        <v/>
      </c>
      <c r="W29" s="376" t="str">
        <f t="shared" ca="1" si="21"/>
        <v/>
      </c>
      <c r="X29" s="377" t="str">
        <f t="shared" ca="1" si="22"/>
        <v/>
      </c>
      <c r="Y29" s="378" t="str">
        <f t="shared" ca="1" si="10"/>
        <v/>
      </c>
      <c r="Z29" s="378" t="str">
        <f t="shared" ca="1" si="10"/>
        <v/>
      </c>
      <c r="AA29" s="378" t="str">
        <f t="shared" ca="1" si="10"/>
        <v/>
      </c>
      <c r="AB29" s="378" t="str">
        <f t="shared" ca="1" si="10"/>
        <v/>
      </c>
      <c r="AC29" s="378" t="str">
        <f t="shared" ca="1" si="11"/>
        <v/>
      </c>
      <c r="AD29" s="378" t="str">
        <f t="shared" ca="1" si="25"/>
        <v/>
      </c>
      <c r="AE29" s="378" t="str">
        <f t="shared" ca="1" si="25"/>
        <v/>
      </c>
      <c r="AF29" s="378" t="str">
        <f t="shared" ca="1" si="25"/>
        <v/>
      </c>
      <c r="AG29" s="378" t="str">
        <f t="shared" ca="1" si="25"/>
        <v/>
      </c>
      <c r="AH29" s="378" t="str">
        <f t="shared" ca="1" si="25"/>
        <v/>
      </c>
      <c r="AI29" s="376" t="str">
        <f t="shared" ca="1" si="23"/>
        <v/>
      </c>
      <c r="AJ29" s="377" t="str">
        <f t="shared" ca="1" si="24"/>
        <v/>
      </c>
      <c r="AK29" s="378" t="str">
        <f t="shared" ca="1" si="13"/>
        <v/>
      </c>
      <c r="AL29" s="378" t="str">
        <f t="shared" ca="1" si="13"/>
        <v/>
      </c>
      <c r="AM29" s="378" t="str">
        <f t="shared" ca="1" si="13"/>
        <v/>
      </c>
      <c r="AN29" s="378" t="str">
        <f t="shared" ca="1" si="13"/>
        <v/>
      </c>
      <c r="AO29" s="378" t="str">
        <f t="shared" ca="1" si="14"/>
        <v/>
      </c>
      <c r="AP29" s="378" t="str">
        <f t="shared" ca="1" si="26"/>
        <v/>
      </c>
      <c r="AQ29" s="378" t="str">
        <f t="shared" ca="1" si="26"/>
        <v/>
      </c>
      <c r="AR29" s="378" t="str">
        <f t="shared" ca="1" si="26"/>
        <v/>
      </c>
      <c r="AS29" s="378" t="str">
        <f t="shared" ca="1" si="26"/>
        <v/>
      </c>
      <c r="AT29" s="378" t="str">
        <f t="shared" ca="1" si="26"/>
        <v/>
      </c>
    </row>
    <row r="30" spans="1:46" x14ac:dyDescent="0.4">
      <c r="A30" s="150">
        <v>15</v>
      </c>
      <c r="B30" s="204" t="b">
        <f t="shared" si="16"/>
        <v>0</v>
      </c>
      <c r="C30" s="209" t="str">
        <f t="shared" ca="1" si="17"/>
        <v/>
      </c>
      <c r="D30" s="359" t="str">
        <f t="shared" ca="1" si="18"/>
        <v/>
      </c>
      <c r="E30" s="359" t="str">
        <f t="shared" ca="1" si="19"/>
        <v/>
      </c>
      <c r="F30" s="57" t="str">
        <f t="shared" ca="1" si="20"/>
        <v/>
      </c>
      <c r="G30" s="57" t="str">
        <f t="shared" ca="1" si="20"/>
        <v/>
      </c>
      <c r="H30" s="211" t="str" cm="1">
        <f t="array" aca="1" ref="H30" ca="1">IFERROR(INDEX($C$16:$C$116,SMALL(IF($C$16:$C$116&lt;&gt;"",ROW($C$16:$C$116)-ROW($C$16)+1),ROW(A15))),"")</f>
        <v/>
      </c>
      <c r="I30" s="210" t="str" cm="1">
        <f t="array" aca="1" ref="I30" ca="1">IFERROR(INDEX($D$16:$D$116,SMALL(IF($D$16:$D$116&lt;&gt;"",ROW($D$16:$D$116)-ROW($D$16)+1),ROW(A15))),"")</f>
        <v/>
      </c>
      <c r="J30" s="210" t="str" cm="1">
        <f t="array" aca="1" ref="J30" ca="1">IFERROR(INDEX($E$16:$E$116,SMALL(IF($E$16:$E$116&lt;&gt;"",ROW($E$16:$E$116)-ROW($E$16)+1),ROW(A15))),"")</f>
        <v/>
      </c>
      <c r="K30" s="210" t="str" cm="1">
        <f t="array" aca="1" ref="K30" ca="1">IFERROR(INDEX($F$16:$F$116,SMALL(IF($F$16:$F$116&lt;&gt;"",ROW($F$16:$F$116)-ROW($F$16)+1),ROW(A15))),"")</f>
        <v/>
      </c>
      <c r="L30" s="210" t="str">
        <f t="shared" ca="1" si="0"/>
        <v/>
      </c>
      <c r="M30" s="210" t="str" cm="1">
        <f t="array" aca="1" ref="M30" ca="1">IFERROR(INDEX($G$16:$G$116,SMALL(IF($G$16:$G$116&lt;&gt;"",ROW($G$16:$G$116)-ROW($G$16)+1),ROW(A15))),"")</f>
        <v/>
      </c>
      <c r="N30" s="215" t="str">
        <f t="shared" ca="1" si="1"/>
        <v/>
      </c>
      <c r="O30" s="216" t="str">
        <f t="shared" ca="1" si="2"/>
        <v/>
      </c>
      <c r="P30" s="216" t="str">
        <f t="shared" ca="1" si="3"/>
        <v/>
      </c>
      <c r="Q30" s="216" t="str">
        <f t="shared" ca="1" si="4"/>
        <v/>
      </c>
      <c r="R30" s="216" t="str">
        <f t="shared" ca="1" si="5"/>
        <v/>
      </c>
      <c r="S30" s="216" t="str">
        <f t="shared" ca="1" si="6"/>
        <v/>
      </c>
      <c r="T30" s="216" t="str">
        <f t="shared" ca="1" si="7"/>
        <v/>
      </c>
      <c r="U30" s="216" t="str">
        <f t="shared" ca="1" si="8"/>
        <v/>
      </c>
      <c r="V30" s="217" t="str">
        <f t="shared" ca="1" si="9"/>
        <v/>
      </c>
      <c r="W30" s="376" t="str">
        <f t="shared" ca="1" si="21"/>
        <v/>
      </c>
      <c r="X30" s="377" t="str">
        <f t="shared" ca="1" si="22"/>
        <v/>
      </c>
      <c r="Y30" s="378" t="str">
        <f t="shared" ca="1" si="10"/>
        <v/>
      </c>
      <c r="Z30" s="378" t="str">
        <f t="shared" ca="1" si="10"/>
        <v/>
      </c>
      <c r="AA30" s="378" t="str">
        <f t="shared" ca="1" si="10"/>
        <v/>
      </c>
      <c r="AB30" s="378" t="str">
        <f t="shared" ca="1" si="10"/>
        <v/>
      </c>
      <c r="AC30" s="378" t="str">
        <f t="shared" ca="1" si="11"/>
        <v/>
      </c>
      <c r="AD30" s="378" t="str">
        <f t="shared" ca="1" si="25"/>
        <v/>
      </c>
      <c r="AE30" s="378" t="str">
        <f t="shared" ca="1" si="25"/>
        <v/>
      </c>
      <c r="AF30" s="378" t="str">
        <f t="shared" ca="1" si="25"/>
        <v/>
      </c>
      <c r="AG30" s="378" t="str">
        <f t="shared" ca="1" si="25"/>
        <v/>
      </c>
      <c r="AH30" s="378" t="str">
        <f t="shared" ca="1" si="25"/>
        <v/>
      </c>
      <c r="AI30" s="376" t="str">
        <f t="shared" ca="1" si="23"/>
        <v/>
      </c>
      <c r="AJ30" s="377" t="str">
        <f t="shared" ca="1" si="24"/>
        <v/>
      </c>
      <c r="AK30" s="378" t="str">
        <f t="shared" ca="1" si="13"/>
        <v/>
      </c>
      <c r="AL30" s="378" t="str">
        <f t="shared" ca="1" si="13"/>
        <v/>
      </c>
      <c r="AM30" s="378" t="str">
        <f t="shared" ca="1" si="13"/>
        <v/>
      </c>
      <c r="AN30" s="378" t="str">
        <f t="shared" ca="1" si="13"/>
        <v/>
      </c>
      <c r="AO30" s="378" t="str">
        <f t="shared" ca="1" si="14"/>
        <v/>
      </c>
      <c r="AP30" s="378" t="str">
        <f t="shared" ca="1" si="26"/>
        <v/>
      </c>
      <c r="AQ30" s="378" t="str">
        <f t="shared" ca="1" si="26"/>
        <v/>
      </c>
      <c r="AR30" s="378" t="str">
        <f t="shared" ca="1" si="26"/>
        <v/>
      </c>
      <c r="AS30" s="378" t="str">
        <f t="shared" ca="1" si="26"/>
        <v/>
      </c>
      <c r="AT30" s="378" t="str">
        <f t="shared" ca="1" si="26"/>
        <v/>
      </c>
    </row>
    <row r="31" spans="1:46" x14ac:dyDescent="0.4">
      <c r="A31" s="150">
        <v>16</v>
      </c>
      <c r="B31" s="204" t="b">
        <f t="shared" si="16"/>
        <v>0</v>
      </c>
      <c r="C31" s="209" t="str">
        <f t="shared" ca="1" si="17"/>
        <v/>
      </c>
      <c r="D31" s="359" t="str">
        <f t="shared" ca="1" si="18"/>
        <v/>
      </c>
      <c r="E31" s="359" t="str">
        <f t="shared" ca="1" si="19"/>
        <v/>
      </c>
      <c r="F31" s="57" t="str">
        <f t="shared" ca="1" si="20"/>
        <v/>
      </c>
      <c r="G31" s="57" t="str">
        <f t="shared" ca="1" si="20"/>
        <v/>
      </c>
      <c r="H31" s="211" t="str" cm="1">
        <f t="array" aca="1" ref="H31" ca="1">IFERROR(INDEX($C$16:$C$116,SMALL(IF($C$16:$C$116&lt;&gt;"",ROW($C$16:$C$116)-ROW($C$16)+1),ROW(A16))),"")</f>
        <v/>
      </c>
      <c r="I31" s="210" t="str" cm="1">
        <f t="array" aca="1" ref="I31" ca="1">IFERROR(INDEX($D$16:$D$116,SMALL(IF($D$16:$D$116&lt;&gt;"",ROW($D$16:$D$116)-ROW($D$16)+1),ROW(A16))),"")</f>
        <v/>
      </c>
      <c r="J31" s="210" t="str" cm="1">
        <f t="array" aca="1" ref="J31" ca="1">IFERROR(INDEX($E$16:$E$116,SMALL(IF($E$16:$E$116&lt;&gt;"",ROW($E$16:$E$116)-ROW($E$16)+1),ROW(A16))),"")</f>
        <v/>
      </c>
      <c r="K31" s="210" t="str" cm="1">
        <f t="array" aca="1" ref="K31" ca="1">IFERROR(INDEX($F$16:$F$116,SMALL(IF($F$16:$F$116&lt;&gt;"",ROW($F$16:$F$116)-ROW($F$16)+1),ROW(A16))),"")</f>
        <v/>
      </c>
      <c r="L31" s="210" t="str">
        <f t="shared" ca="1" si="0"/>
        <v/>
      </c>
      <c r="M31" s="210" t="str" cm="1">
        <f t="array" aca="1" ref="M31" ca="1">IFERROR(INDEX($G$16:$G$116,SMALL(IF($G$16:$G$116&lt;&gt;"",ROW($G$16:$G$116)-ROW($G$16)+1),ROW(A16))),"")</f>
        <v/>
      </c>
      <c r="N31" s="215" t="str">
        <f t="shared" ca="1" si="1"/>
        <v/>
      </c>
      <c r="O31" s="216" t="str">
        <f t="shared" ca="1" si="2"/>
        <v/>
      </c>
      <c r="P31" s="216" t="str">
        <f t="shared" ca="1" si="3"/>
        <v/>
      </c>
      <c r="Q31" s="216" t="str">
        <f t="shared" ca="1" si="4"/>
        <v/>
      </c>
      <c r="R31" s="216" t="str">
        <f t="shared" ca="1" si="5"/>
        <v/>
      </c>
      <c r="S31" s="216" t="str">
        <f t="shared" ca="1" si="6"/>
        <v/>
      </c>
      <c r="T31" s="216" t="str">
        <f t="shared" ca="1" si="7"/>
        <v/>
      </c>
      <c r="U31" s="216" t="str">
        <f t="shared" ca="1" si="8"/>
        <v/>
      </c>
      <c r="V31" s="217" t="str">
        <f t="shared" ca="1" si="9"/>
        <v/>
      </c>
      <c r="W31" s="376" t="str">
        <f t="shared" ca="1" si="21"/>
        <v/>
      </c>
      <c r="X31" s="377" t="str">
        <f t="shared" ca="1" si="22"/>
        <v/>
      </c>
      <c r="Y31" s="378" t="str">
        <f t="shared" ca="1" si="10"/>
        <v/>
      </c>
      <c r="Z31" s="378" t="str">
        <f t="shared" ca="1" si="10"/>
        <v/>
      </c>
      <c r="AA31" s="378" t="str">
        <f t="shared" ca="1" si="10"/>
        <v/>
      </c>
      <c r="AB31" s="378" t="str">
        <f t="shared" ca="1" si="10"/>
        <v/>
      </c>
      <c r="AC31" s="378" t="str">
        <f t="shared" ca="1" si="11"/>
        <v/>
      </c>
      <c r="AD31" s="378" t="str">
        <f t="shared" ca="1" si="25"/>
        <v/>
      </c>
      <c r="AE31" s="378" t="str">
        <f t="shared" ca="1" si="25"/>
        <v/>
      </c>
      <c r="AF31" s="378" t="str">
        <f t="shared" ca="1" si="25"/>
        <v/>
      </c>
      <c r="AG31" s="378" t="str">
        <f t="shared" ca="1" si="25"/>
        <v/>
      </c>
      <c r="AH31" s="378" t="str">
        <f t="shared" ca="1" si="25"/>
        <v/>
      </c>
      <c r="AI31" s="376" t="str">
        <f t="shared" ca="1" si="23"/>
        <v/>
      </c>
      <c r="AJ31" s="377" t="str">
        <f t="shared" ca="1" si="24"/>
        <v/>
      </c>
      <c r="AK31" s="378" t="str">
        <f t="shared" ca="1" si="13"/>
        <v/>
      </c>
      <c r="AL31" s="378" t="str">
        <f t="shared" ca="1" si="13"/>
        <v/>
      </c>
      <c r="AM31" s="378" t="str">
        <f t="shared" ca="1" si="13"/>
        <v/>
      </c>
      <c r="AN31" s="378" t="str">
        <f t="shared" ca="1" si="13"/>
        <v/>
      </c>
      <c r="AO31" s="378" t="str">
        <f t="shared" ca="1" si="14"/>
        <v/>
      </c>
      <c r="AP31" s="378" t="str">
        <f t="shared" ca="1" si="26"/>
        <v/>
      </c>
      <c r="AQ31" s="378" t="str">
        <f t="shared" ca="1" si="26"/>
        <v/>
      </c>
      <c r="AR31" s="378" t="str">
        <f t="shared" ca="1" si="26"/>
        <v/>
      </c>
      <c r="AS31" s="378" t="str">
        <f t="shared" ca="1" si="26"/>
        <v/>
      </c>
      <c r="AT31" s="378" t="str">
        <f t="shared" ca="1" si="26"/>
        <v/>
      </c>
    </row>
    <row r="32" spans="1:46" x14ac:dyDescent="0.4">
      <c r="A32" s="150">
        <v>17</v>
      </c>
      <c r="B32" s="204" t="b">
        <f t="shared" si="16"/>
        <v>0</v>
      </c>
      <c r="C32" s="209" t="str">
        <f t="shared" ca="1" si="17"/>
        <v/>
      </c>
      <c r="D32" s="359" t="str">
        <f t="shared" ca="1" si="18"/>
        <v/>
      </c>
      <c r="E32" s="359" t="str">
        <f t="shared" ca="1" si="19"/>
        <v/>
      </c>
      <c r="F32" s="57" t="str">
        <f t="shared" ca="1" si="20"/>
        <v/>
      </c>
      <c r="G32" s="57" t="str">
        <f t="shared" ca="1" si="20"/>
        <v/>
      </c>
      <c r="H32" s="211" t="str" cm="1">
        <f t="array" aca="1" ref="H32" ca="1">IFERROR(INDEX($C$16:$C$116,SMALL(IF($C$16:$C$116&lt;&gt;"",ROW($C$16:$C$116)-ROW($C$16)+1),ROW(A17))),"")</f>
        <v/>
      </c>
      <c r="I32" s="210" t="str" cm="1">
        <f t="array" aca="1" ref="I32" ca="1">IFERROR(INDEX($D$16:$D$116,SMALL(IF($D$16:$D$116&lt;&gt;"",ROW($D$16:$D$116)-ROW($D$16)+1),ROW(A17))),"")</f>
        <v/>
      </c>
      <c r="J32" s="210" t="str" cm="1">
        <f t="array" aca="1" ref="J32" ca="1">IFERROR(INDEX($E$16:$E$116,SMALL(IF($E$16:$E$116&lt;&gt;"",ROW($E$16:$E$116)-ROW($E$16)+1),ROW(A17))),"")</f>
        <v/>
      </c>
      <c r="K32" s="210" t="str" cm="1">
        <f t="array" aca="1" ref="K32" ca="1">IFERROR(INDEX($F$16:$F$116,SMALL(IF($F$16:$F$116&lt;&gt;"",ROW($F$16:$F$116)-ROW($F$16)+1),ROW(A17))),"")</f>
        <v/>
      </c>
      <c r="L32" s="210" t="str">
        <f t="shared" ca="1" si="0"/>
        <v/>
      </c>
      <c r="M32" s="210" t="str" cm="1">
        <f t="array" aca="1" ref="M32" ca="1">IFERROR(INDEX($G$16:$G$116,SMALL(IF($G$16:$G$116&lt;&gt;"",ROW($G$16:$G$116)-ROW($G$16)+1),ROW(A17))),"")</f>
        <v/>
      </c>
      <c r="N32" s="215" t="str">
        <f t="shared" ca="1" si="1"/>
        <v/>
      </c>
      <c r="O32" s="216" t="str">
        <f t="shared" ca="1" si="2"/>
        <v/>
      </c>
      <c r="P32" s="216" t="str">
        <f t="shared" ca="1" si="3"/>
        <v/>
      </c>
      <c r="Q32" s="216" t="str">
        <f t="shared" ca="1" si="4"/>
        <v/>
      </c>
      <c r="R32" s="216" t="str">
        <f t="shared" ca="1" si="5"/>
        <v/>
      </c>
      <c r="S32" s="216" t="str">
        <f t="shared" ca="1" si="6"/>
        <v/>
      </c>
      <c r="T32" s="216" t="str">
        <f t="shared" ca="1" si="7"/>
        <v/>
      </c>
      <c r="U32" s="216" t="str">
        <f t="shared" ca="1" si="8"/>
        <v/>
      </c>
      <c r="V32" s="217" t="str">
        <f t="shared" ca="1" si="9"/>
        <v/>
      </c>
      <c r="W32" s="376" t="str">
        <f t="shared" ca="1" si="21"/>
        <v/>
      </c>
      <c r="X32" s="377" t="str">
        <f t="shared" ca="1" si="22"/>
        <v/>
      </c>
      <c r="Y32" s="378" t="str">
        <f t="shared" ca="1" si="10"/>
        <v/>
      </c>
      <c r="Z32" s="378" t="str">
        <f t="shared" ca="1" si="10"/>
        <v/>
      </c>
      <c r="AA32" s="378" t="str">
        <f t="shared" ca="1" si="10"/>
        <v/>
      </c>
      <c r="AB32" s="378" t="str">
        <f t="shared" ca="1" si="10"/>
        <v/>
      </c>
      <c r="AC32" s="378" t="str">
        <f t="shared" ca="1" si="11"/>
        <v/>
      </c>
      <c r="AD32" s="378" t="str">
        <f t="shared" ca="1" si="25"/>
        <v/>
      </c>
      <c r="AE32" s="378" t="str">
        <f t="shared" ca="1" si="25"/>
        <v/>
      </c>
      <c r="AF32" s="378" t="str">
        <f t="shared" ca="1" si="25"/>
        <v/>
      </c>
      <c r="AG32" s="378" t="str">
        <f t="shared" ca="1" si="25"/>
        <v/>
      </c>
      <c r="AH32" s="378" t="str">
        <f t="shared" ca="1" si="25"/>
        <v/>
      </c>
      <c r="AI32" s="376" t="str">
        <f t="shared" ca="1" si="23"/>
        <v/>
      </c>
      <c r="AJ32" s="377" t="str">
        <f t="shared" ca="1" si="24"/>
        <v/>
      </c>
      <c r="AK32" s="378" t="str">
        <f t="shared" ca="1" si="13"/>
        <v/>
      </c>
      <c r="AL32" s="378" t="str">
        <f t="shared" ca="1" si="13"/>
        <v/>
      </c>
      <c r="AM32" s="378" t="str">
        <f t="shared" ca="1" si="13"/>
        <v/>
      </c>
      <c r="AN32" s="378" t="str">
        <f t="shared" ca="1" si="13"/>
        <v/>
      </c>
      <c r="AO32" s="378" t="str">
        <f t="shared" ca="1" si="14"/>
        <v/>
      </c>
      <c r="AP32" s="378" t="str">
        <f t="shared" ca="1" si="26"/>
        <v/>
      </c>
      <c r="AQ32" s="378" t="str">
        <f t="shared" ca="1" si="26"/>
        <v/>
      </c>
      <c r="AR32" s="378" t="str">
        <f t="shared" ca="1" si="26"/>
        <v/>
      </c>
      <c r="AS32" s="378" t="str">
        <f t="shared" ca="1" si="26"/>
        <v/>
      </c>
      <c r="AT32" s="378" t="str">
        <f t="shared" ca="1" si="26"/>
        <v/>
      </c>
    </row>
    <row r="33" spans="1:46" x14ac:dyDescent="0.4">
      <c r="A33" s="150">
        <v>18</v>
      </c>
      <c r="B33" s="204" t="b">
        <f t="shared" si="16"/>
        <v>0</v>
      </c>
      <c r="C33" s="209" t="str">
        <f t="shared" ca="1" si="17"/>
        <v/>
      </c>
      <c r="D33" s="359" t="str">
        <f t="shared" ca="1" si="18"/>
        <v/>
      </c>
      <c r="E33" s="359" t="str">
        <f t="shared" ca="1" si="19"/>
        <v/>
      </c>
      <c r="F33" s="57" t="str">
        <f t="shared" ca="1" si="20"/>
        <v/>
      </c>
      <c r="G33" s="57" t="str">
        <f t="shared" ca="1" si="20"/>
        <v/>
      </c>
      <c r="H33" s="211" t="str" cm="1">
        <f t="array" aca="1" ref="H33" ca="1">IFERROR(INDEX($C$16:$C$116,SMALL(IF($C$16:$C$116&lt;&gt;"",ROW($C$16:$C$116)-ROW($C$16)+1),ROW(A18))),"")</f>
        <v/>
      </c>
      <c r="I33" s="210" t="str" cm="1">
        <f t="array" aca="1" ref="I33" ca="1">IFERROR(INDEX($D$16:$D$116,SMALL(IF($D$16:$D$116&lt;&gt;"",ROW($D$16:$D$116)-ROW($D$16)+1),ROW(A18))),"")</f>
        <v/>
      </c>
      <c r="J33" s="210" t="str" cm="1">
        <f t="array" aca="1" ref="J33" ca="1">IFERROR(INDEX($E$16:$E$116,SMALL(IF($E$16:$E$116&lt;&gt;"",ROW($E$16:$E$116)-ROW($E$16)+1),ROW(A18))),"")</f>
        <v/>
      </c>
      <c r="K33" s="210" t="str" cm="1">
        <f t="array" aca="1" ref="K33" ca="1">IFERROR(INDEX($F$16:$F$116,SMALL(IF($F$16:$F$116&lt;&gt;"",ROW($F$16:$F$116)-ROW($F$16)+1),ROW(A18))),"")</f>
        <v/>
      </c>
      <c r="L33" s="210" t="str">
        <f t="shared" ca="1" si="0"/>
        <v/>
      </c>
      <c r="M33" s="210" t="str" cm="1">
        <f t="array" aca="1" ref="M33" ca="1">IFERROR(INDEX($G$16:$G$116,SMALL(IF($G$16:$G$116&lt;&gt;"",ROW($G$16:$G$116)-ROW($G$16)+1),ROW(A18))),"")</f>
        <v/>
      </c>
      <c r="N33" s="215" t="str">
        <f t="shared" ca="1" si="1"/>
        <v/>
      </c>
      <c r="O33" s="216" t="str">
        <f t="shared" ca="1" si="2"/>
        <v/>
      </c>
      <c r="P33" s="216" t="str">
        <f t="shared" ca="1" si="3"/>
        <v/>
      </c>
      <c r="Q33" s="216" t="str">
        <f t="shared" ca="1" si="4"/>
        <v/>
      </c>
      <c r="R33" s="216" t="str">
        <f t="shared" ca="1" si="5"/>
        <v/>
      </c>
      <c r="S33" s="216" t="str">
        <f t="shared" ca="1" si="6"/>
        <v/>
      </c>
      <c r="T33" s="216" t="str">
        <f t="shared" ca="1" si="7"/>
        <v/>
      </c>
      <c r="U33" s="216" t="str">
        <f t="shared" ca="1" si="8"/>
        <v/>
      </c>
      <c r="V33" s="217" t="str">
        <f t="shared" ca="1" si="9"/>
        <v/>
      </c>
      <c r="W33" s="376" t="str">
        <f t="shared" ca="1" si="21"/>
        <v/>
      </c>
      <c r="X33" s="377" t="str">
        <f t="shared" ca="1" si="22"/>
        <v/>
      </c>
      <c r="Y33" s="378" t="str">
        <f t="shared" ca="1" si="10"/>
        <v/>
      </c>
      <c r="Z33" s="378" t="str">
        <f t="shared" ca="1" si="10"/>
        <v/>
      </c>
      <c r="AA33" s="378" t="str">
        <f t="shared" ca="1" si="10"/>
        <v/>
      </c>
      <c r="AB33" s="378" t="str">
        <f t="shared" ca="1" si="10"/>
        <v/>
      </c>
      <c r="AC33" s="378" t="str">
        <f t="shared" ca="1" si="11"/>
        <v/>
      </c>
      <c r="AD33" s="378" t="str">
        <f t="shared" ca="1" si="25"/>
        <v/>
      </c>
      <c r="AE33" s="378" t="str">
        <f t="shared" ca="1" si="25"/>
        <v/>
      </c>
      <c r="AF33" s="378" t="str">
        <f t="shared" ca="1" si="25"/>
        <v/>
      </c>
      <c r="AG33" s="378" t="str">
        <f t="shared" ca="1" si="25"/>
        <v/>
      </c>
      <c r="AH33" s="378" t="str">
        <f t="shared" ca="1" si="25"/>
        <v/>
      </c>
      <c r="AI33" s="376" t="str">
        <f t="shared" ca="1" si="23"/>
        <v/>
      </c>
      <c r="AJ33" s="377" t="str">
        <f t="shared" ca="1" si="24"/>
        <v/>
      </c>
      <c r="AK33" s="378" t="str">
        <f t="shared" ca="1" si="13"/>
        <v/>
      </c>
      <c r="AL33" s="378" t="str">
        <f t="shared" ca="1" si="13"/>
        <v/>
      </c>
      <c r="AM33" s="378" t="str">
        <f t="shared" ca="1" si="13"/>
        <v/>
      </c>
      <c r="AN33" s="378" t="str">
        <f t="shared" ca="1" si="13"/>
        <v/>
      </c>
      <c r="AO33" s="378" t="str">
        <f t="shared" ca="1" si="14"/>
        <v/>
      </c>
      <c r="AP33" s="378" t="str">
        <f t="shared" ca="1" si="26"/>
        <v/>
      </c>
      <c r="AQ33" s="378" t="str">
        <f t="shared" ca="1" si="26"/>
        <v/>
      </c>
      <c r="AR33" s="378" t="str">
        <f t="shared" ca="1" si="26"/>
        <v/>
      </c>
      <c r="AS33" s="378" t="str">
        <f t="shared" ca="1" si="26"/>
        <v/>
      </c>
      <c r="AT33" s="378" t="str">
        <f t="shared" ca="1" si="26"/>
        <v/>
      </c>
    </row>
    <row r="34" spans="1:46" x14ac:dyDescent="0.4">
      <c r="A34" s="150">
        <v>19</v>
      </c>
      <c r="B34" s="204" t="b">
        <f t="shared" si="16"/>
        <v>0</v>
      </c>
      <c r="C34" s="209" t="str">
        <f t="shared" ca="1" si="17"/>
        <v/>
      </c>
      <c r="D34" s="359" t="str">
        <f t="shared" ca="1" si="18"/>
        <v/>
      </c>
      <c r="E34" s="359" t="str">
        <f t="shared" ca="1" si="19"/>
        <v/>
      </c>
      <c r="F34" s="57" t="str">
        <f t="shared" ca="1" si="20"/>
        <v/>
      </c>
      <c r="G34" s="57" t="str">
        <f t="shared" ca="1" si="20"/>
        <v/>
      </c>
      <c r="H34" s="211" t="str" cm="1">
        <f t="array" aca="1" ref="H34" ca="1">IFERROR(INDEX($C$16:$C$116,SMALL(IF($C$16:$C$116&lt;&gt;"",ROW($C$16:$C$116)-ROW($C$16)+1),ROW(A19))),"")</f>
        <v/>
      </c>
      <c r="I34" s="210" t="str" cm="1">
        <f t="array" aca="1" ref="I34" ca="1">IFERROR(INDEX($D$16:$D$116,SMALL(IF($D$16:$D$116&lt;&gt;"",ROW($D$16:$D$116)-ROW($D$16)+1),ROW(A19))),"")</f>
        <v/>
      </c>
      <c r="J34" s="210" t="str" cm="1">
        <f t="array" aca="1" ref="J34" ca="1">IFERROR(INDEX($E$16:$E$116,SMALL(IF($E$16:$E$116&lt;&gt;"",ROW($E$16:$E$116)-ROW($E$16)+1),ROW(A19))),"")</f>
        <v/>
      </c>
      <c r="K34" s="210" t="str" cm="1">
        <f t="array" aca="1" ref="K34" ca="1">IFERROR(INDEX($F$16:$F$116,SMALL(IF($F$16:$F$116&lt;&gt;"",ROW($F$16:$F$116)-ROW($F$16)+1),ROW(A19))),"")</f>
        <v/>
      </c>
      <c r="L34" s="210" t="str">
        <f t="shared" ca="1" si="0"/>
        <v/>
      </c>
      <c r="M34" s="210" t="str" cm="1">
        <f t="array" aca="1" ref="M34" ca="1">IFERROR(INDEX($G$16:$G$116,SMALL(IF($G$16:$G$116&lt;&gt;"",ROW($G$16:$G$116)-ROW($G$16)+1),ROW(A19))),"")</f>
        <v/>
      </c>
      <c r="N34" s="215" t="str">
        <f t="shared" ca="1" si="1"/>
        <v/>
      </c>
      <c r="O34" s="216" t="str">
        <f t="shared" ca="1" si="2"/>
        <v/>
      </c>
      <c r="P34" s="216" t="str">
        <f t="shared" ca="1" si="3"/>
        <v/>
      </c>
      <c r="Q34" s="216" t="str">
        <f t="shared" ca="1" si="4"/>
        <v/>
      </c>
      <c r="R34" s="216" t="str">
        <f t="shared" ca="1" si="5"/>
        <v/>
      </c>
      <c r="S34" s="216" t="str">
        <f t="shared" ca="1" si="6"/>
        <v/>
      </c>
      <c r="T34" s="216" t="str">
        <f t="shared" ca="1" si="7"/>
        <v/>
      </c>
      <c r="U34" s="216" t="str">
        <f t="shared" ca="1" si="8"/>
        <v/>
      </c>
      <c r="V34" s="217" t="str">
        <f t="shared" ca="1" si="9"/>
        <v/>
      </c>
      <c r="W34" s="376" t="str">
        <f t="shared" ca="1" si="21"/>
        <v/>
      </c>
      <c r="X34" s="377" t="str">
        <f t="shared" ca="1" si="22"/>
        <v/>
      </c>
      <c r="Y34" s="378" t="str">
        <f t="shared" ca="1" si="10"/>
        <v/>
      </c>
      <c r="Z34" s="378" t="str">
        <f t="shared" ca="1" si="10"/>
        <v/>
      </c>
      <c r="AA34" s="378" t="str">
        <f t="shared" ca="1" si="10"/>
        <v/>
      </c>
      <c r="AB34" s="378" t="str">
        <f t="shared" ca="1" si="10"/>
        <v/>
      </c>
      <c r="AC34" s="378" t="str">
        <f t="shared" ca="1" si="11"/>
        <v/>
      </c>
      <c r="AD34" s="378" t="str">
        <f t="shared" ca="1" si="25"/>
        <v/>
      </c>
      <c r="AE34" s="378" t="str">
        <f t="shared" ca="1" si="25"/>
        <v/>
      </c>
      <c r="AF34" s="378" t="str">
        <f t="shared" ca="1" si="25"/>
        <v/>
      </c>
      <c r="AG34" s="378" t="str">
        <f t="shared" ca="1" si="25"/>
        <v/>
      </c>
      <c r="AH34" s="378" t="str">
        <f t="shared" ca="1" si="25"/>
        <v/>
      </c>
      <c r="AI34" s="376" t="str">
        <f t="shared" ca="1" si="23"/>
        <v/>
      </c>
      <c r="AJ34" s="377" t="str">
        <f t="shared" ca="1" si="24"/>
        <v/>
      </c>
      <c r="AK34" s="378" t="str">
        <f t="shared" ca="1" si="13"/>
        <v/>
      </c>
      <c r="AL34" s="378" t="str">
        <f t="shared" ca="1" si="13"/>
        <v/>
      </c>
      <c r="AM34" s="378" t="str">
        <f t="shared" ca="1" si="13"/>
        <v/>
      </c>
      <c r="AN34" s="378" t="str">
        <f t="shared" ca="1" si="13"/>
        <v/>
      </c>
      <c r="AO34" s="378" t="str">
        <f t="shared" ca="1" si="14"/>
        <v/>
      </c>
      <c r="AP34" s="378" t="str">
        <f t="shared" ca="1" si="26"/>
        <v/>
      </c>
      <c r="AQ34" s="378" t="str">
        <f t="shared" ca="1" si="26"/>
        <v/>
      </c>
      <c r="AR34" s="378" t="str">
        <f t="shared" ca="1" si="26"/>
        <v/>
      </c>
      <c r="AS34" s="378" t="str">
        <f t="shared" ca="1" si="26"/>
        <v/>
      </c>
      <c r="AT34" s="378" t="str">
        <f t="shared" ca="1" si="26"/>
        <v/>
      </c>
    </row>
    <row r="35" spans="1:46" x14ac:dyDescent="0.4">
      <c r="A35" s="150">
        <v>20</v>
      </c>
      <c r="B35" s="204" t="b">
        <f t="shared" si="16"/>
        <v>0</v>
      </c>
      <c r="C35" s="209" t="str">
        <f t="shared" ca="1" si="17"/>
        <v/>
      </c>
      <c r="D35" s="359" t="str">
        <f t="shared" ca="1" si="18"/>
        <v/>
      </c>
      <c r="E35" s="359" t="str">
        <f t="shared" ca="1" si="19"/>
        <v/>
      </c>
      <c r="F35" s="57" t="str">
        <f t="shared" ca="1" si="20"/>
        <v/>
      </c>
      <c r="G35" s="57" t="str">
        <f t="shared" ca="1" si="20"/>
        <v/>
      </c>
      <c r="H35" s="211" t="str" cm="1">
        <f t="array" aca="1" ref="H35" ca="1">IFERROR(INDEX($C$16:$C$116,SMALL(IF($C$16:$C$116&lt;&gt;"",ROW($C$16:$C$116)-ROW($C$16)+1),ROW(A20))),"")</f>
        <v/>
      </c>
      <c r="I35" s="210" t="str" cm="1">
        <f t="array" aca="1" ref="I35" ca="1">IFERROR(INDEX($D$16:$D$116,SMALL(IF($D$16:$D$116&lt;&gt;"",ROW($D$16:$D$116)-ROW($D$16)+1),ROW(A20))),"")</f>
        <v/>
      </c>
      <c r="J35" s="210" t="str" cm="1">
        <f t="array" aca="1" ref="J35" ca="1">IFERROR(INDEX($E$16:$E$116,SMALL(IF($E$16:$E$116&lt;&gt;"",ROW($E$16:$E$116)-ROW($E$16)+1),ROW(A20))),"")</f>
        <v/>
      </c>
      <c r="K35" s="210" t="str" cm="1">
        <f t="array" aca="1" ref="K35" ca="1">IFERROR(INDEX($F$16:$F$116,SMALL(IF($F$16:$F$116&lt;&gt;"",ROW($F$16:$F$116)-ROW($F$16)+1),ROW(A20))),"")</f>
        <v/>
      </c>
      <c r="L35" s="210" t="str">
        <f t="shared" ca="1" si="0"/>
        <v/>
      </c>
      <c r="M35" s="210" t="str" cm="1">
        <f t="array" aca="1" ref="M35" ca="1">IFERROR(INDEX($G$16:$G$116,SMALL(IF($G$16:$G$116&lt;&gt;"",ROW($G$16:$G$116)-ROW($G$16)+1),ROW(A20))),"")</f>
        <v/>
      </c>
      <c r="N35" s="215" t="str">
        <f t="shared" ca="1" si="1"/>
        <v/>
      </c>
      <c r="O35" s="216" t="str">
        <f t="shared" ca="1" si="2"/>
        <v/>
      </c>
      <c r="P35" s="216" t="str">
        <f t="shared" ca="1" si="3"/>
        <v/>
      </c>
      <c r="Q35" s="216" t="str">
        <f t="shared" ca="1" si="4"/>
        <v/>
      </c>
      <c r="R35" s="216" t="str">
        <f t="shared" ca="1" si="5"/>
        <v/>
      </c>
      <c r="S35" s="216" t="str">
        <f t="shared" ca="1" si="6"/>
        <v/>
      </c>
      <c r="T35" s="216" t="str">
        <f t="shared" ca="1" si="7"/>
        <v/>
      </c>
      <c r="U35" s="216" t="str">
        <f t="shared" ca="1" si="8"/>
        <v/>
      </c>
      <c r="V35" s="217" t="str">
        <f t="shared" ca="1" si="9"/>
        <v/>
      </c>
      <c r="W35" s="376" t="str">
        <f t="shared" ca="1" si="21"/>
        <v/>
      </c>
      <c r="X35" s="377" t="str">
        <f t="shared" ca="1" si="22"/>
        <v/>
      </c>
      <c r="Y35" s="378" t="str">
        <f t="shared" ca="1" si="10"/>
        <v/>
      </c>
      <c r="Z35" s="378" t="str">
        <f t="shared" ca="1" si="10"/>
        <v/>
      </c>
      <c r="AA35" s="378" t="str">
        <f t="shared" ca="1" si="10"/>
        <v/>
      </c>
      <c r="AB35" s="378" t="str">
        <f t="shared" ca="1" si="10"/>
        <v/>
      </c>
      <c r="AC35" s="378" t="str">
        <f t="shared" ca="1" si="11"/>
        <v/>
      </c>
      <c r="AD35" s="378" t="str">
        <f t="shared" ca="1" si="25"/>
        <v/>
      </c>
      <c r="AE35" s="378" t="str">
        <f t="shared" ca="1" si="25"/>
        <v/>
      </c>
      <c r="AF35" s="378" t="str">
        <f t="shared" ca="1" si="25"/>
        <v/>
      </c>
      <c r="AG35" s="378" t="str">
        <f t="shared" ca="1" si="25"/>
        <v/>
      </c>
      <c r="AH35" s="378" t="str">
        <f t="shared" ca="1" si="25"/>
        <v/>
      </c>
      <c r="AI35" s="376" t="str">
        <f t="shared" ca="1" si="23"/>
        <v/>
      </c>
      <c r="AJ35" s="377" t="str">
        <f t="shared" ca="1" si="24"/>
        <v/>
      </c>
      <c r="AK35" s="378" t="str">
        <f t="shared" ca="1" si="13"/>
        <v/>
      </c>
      <c r="AL35" s="378" t="str">
        <f t="shared" ca="1" si="13"/>
        <v/>
      </c>
      <c r="AM35" s="378" t="str">
        <f t="shared" ca="1" si="13"/>
        <v/>
      </c>
      <c r="AN35" s="378" t="str">
        <f t="shared" ca="1" si="13"/>
        <v/>
      </c>
      <c r="AO35" s="378" t="str">
        <f t="shared" ca="1" si="14"/>
        <v/>
      </c>
      <c r="AP35" s="378" t="str">
        <f t="shared" ca="1" si="26"/>
        <v/>
      </c>
      <c r="AQ35" s="378" t="str">
        <f t="shared" ca="1" si="26"/>
        <v/>
      </c>
      <c r="AR35" s="378" t="str">
        <f t="shared" ca="1" si="26"/>
        <v/>
      </c>
      <c r="AS35" s="378" t="str">
        <f t="shared" ca="1" si="26"/>
        <v/>
      </c>
      <c r="AT35" s="378" t="str">
        <f t="shared" ca="1" si="26"/>
        <v/>
      </c>
    </row>
    <row r="36" spans="1:46" x14ac:dyDescent="0.4">
      <c r="A36" s="150">
        <v>21</v>
      </c>
      <c r="B36" s="204" t="b">
        <f t="shared" si="16"/>
        <v>0</v>
      </c>
      <c r="C36" s="209" t="str">
        <f t="shared" ca="1" si="17"/>
        <v/>
      </c>
      <c r="D36" s="359" t="str">
        <f t="shared" ca="1" si="18"/>
        <v/>
      </c>
      <c r="E36" s="359" t="str">
        <f t="shared" ca="1" si="19"/>
        <v/>
      </c>
      <c r="F36" s="57" t="str">
        <f t="shared" ca="1" si="20"/>
        <v/>
      </c>
      <c r="G36" s="57" t="str">
        <f t="shared" ca="1" si="20"/>
        <v/>
      </c>
      <c r="H36" s="211" t="str" cm="1">
        <f t="array" aca="1" ref="H36" ca="1">IFERROR(INDEX($C$16:$C$116,SMALL(IF($C$16:$C$116&lt;&gt;"",ROW($C$16:$C$116)-ROW($C$16)+1),ROW(A21))),"")</f>
        <v/>
      </c>
      <c r="I36" s="210" t="str" cm="1">
        <f t="array" aca="1" ref="I36" ca="1">IFERROR(INDEX($D$16:$D$116,SMALL(IF($D$16:$D$116&lt;&gt;"",ROW($D$16:$D$116)-ROW($D$16)+1),ROW(A21))),"")</f>
        <v/>
      </c>
      <c r="J36" s="210" t="str" cm="1">
        <f t="array" aca="1" ref="J36" ca="1">IFERROR(INDEX($E$16:$E$116,SMALL(IF($E$16:$E$116&lt;&gt;"",ROW($E$16:$E$116)-ROW($E$16)+1),ROW(A21))),"")</f>
        <v/>
      </c>
      <c r="K36" s="210" t="str" cm="1">
        <f t="array" aca="1" ref="K36" ca="1">IFERROR(INDEX($F$16:$F$116,SMALL(IF($F$16:$F$116&lt;&gt;"",ROW($F$16:$F$116)-ROW($F$16)+1),ROW(A21))),"")</f>
        <v/>
      </c>
      <c r="L36" s="210" t="str">
        <f t="shared" ca="1" si="0"/>
        <v/>
      </c>
      <c r="M36" s="210" t="str" cm="1">
        <f t="array" aca="1" ref="M36" ca="1">IFERROR(INDEX($G$16:$G$116,SMALL(IF($G$16:$G$116&lt;&gt;"",ROW($G$16:$G$116)-ROW($G$16)+1),ROW(A21))),"")</f>
        <v/>
      </c>
      <c r="N36" s="215" t="str">
        <f t="shared" ca="1" si="1"/>
        <v/>
      </c>
      <c r="O36" s="216" t="str">
        <f t="shared" ca="1" si="2"/>
        <v/>
      </c>
      <c r="P36" s="216" t="str">
        <f t="shared" ca="1" si="3"/>
        <v/>
      </c>
      <c r="Q36" s="216" t="str">
        <f t="shared" ca="1" si="4"/>
        <v/>
      </c>
      <c r="R36" s="216" t="str">
        <f t="shared" ca="1" si="5"/>
        <v/>
      </c>
      <c r="S36" s="216" t="str">
        <f t="shared" ca="1" si="6"/>
        <v/>
      </c>
      <c r="T36" s="216" t="str">
        <f t="shared" ca="1" si="7"/>
        <v/>
      </c>
      <c r="U36" s="216" t="str">
        <f t="shared" ca="1" si="8"/>
        <v/>
      </c>
      <c r="V36" s="217" t="str">
        <f t="shared" ca="1" si="9"/>
        <v/>
      </c>
      <c r="W36" s="376" t="str">
        <f t="shared" ca="1" si="21"/>
        <v/>
      </c>
      <c r="X36" s="377" t="str">
        <f t="shared" ca="1" si="22"/>
        <v/>
      </c>
      <c r="Y36" s="378" t="str">
        <f t="shared" ref="Y36:AB55" ca="1" si="27">IF($H36&lt;&gt;"",IF(_xlfn.SINGLE(INDIRECT($H36&amp;"!"&amp;$W36&amp;($X36+Y$15+1)))&lt;&gt;"",_xlfn.SINGLE(INDIRECT($H36&amp;"!"&amp;$W36&amp;($X36+Y$15+1))),""),"")</f>
        <v/>
      </c>
      <c r="Z36" s="378" t="str">
        <f t="shared" ca="1" si="27"/>
        <v/>
      </c>
      <c r="AA36" s="378" t="str">
        <f t="shared" ca="1" si="27"/>
        <v/>
      </c>
      <c r="AB36" s="378" t="str">
        <f t="shared" ca="1" si="27"/>
        <v/>
      </c>
      <c r="AC36" s="378" t="str">
        <f t="shared" ca="1" si="11"/>
        <v/>
      </c>
      <c r="AD36" s="378" t="str">
        <f t="shared" ref="AD36:AH45" ca="1" si="28">IF(OR($J36="Pluviomètre",LEFT($J36,5)="Sonde"),"",IF($H36&lt;&gt;"",IF(_xlfn.SINGLE(INDIRECT($H36&amp;"!"&amp;$W36&amp;($X36+AD$15+1)))&lt;&gt;"",_xlfn.SINGLE(INDIRECT($H36&amp;"!"&amp;$W36&amp;($X36+AD$15+1))),""),""))</f>
        <v/>
      </c>
      <c r="AE36" s="378" t="str">
        <f t="shared" ca="1" si="28"/>
        <v/>
      </c>
      <c r="AF36" s="378" t="str">
        <f t="shared" ca="1" si="28"/>
        <v/>
      </c>
      <c r="AG36" s="378" t="str">
        <f t="shared" ca="1" si="28"/>
        <v/>
      </c>
      <c r="AH36" s="378" t="str">
        <f t="shared" ca="1" si="28"/>
        <v/>
      </c>
      <c r="AI36" s="376" t="str">
        <f t="shared" ca="1" si="23"/>
        <v/>
      </c>
      <c r="AJ36" s="377" t="str">
        <f t="shared" ca="1" si="24"/>
        <v/>
      </c>
      <c r="AK36" s="378" t="str">
        <f t="shared" ref="AK36:AN55" ca="1" si="29">IF($H36&lt;&gt;"",IF(_xlfn.SINGLE(INDIRECT($H36&amp;"!"&amp;$AI36&amp;($AJ36+AK$15+1)))&lt;&gt;"",_xlfn.SINGLE(INDIRECT($H36&amp;"!"&amp;$AI36&amp;($AJ36+AK$15+1))),""),"")</f>
        <v/>
      </c>
      <c r="AL36" s="378" t="str">
        <f t="shared" ca="1" si="29"/>
        <v/>
      </c>
      <c r="AM36" s="378" t="str">
        <f t="shared" ca="1" si="29"/>
        <v/>
      </c>
      <c r="AN36" s="378" t="str">
        <f t="shared" ca="1" si="29"/>
        <v/>
      </c>
      <c r="AO36" s="378" t="str">
        <f t="shared" ca="1" si="14"/>
        <v/>
      </c>
      <c r="AP36" s="378" t="str">
        <f t="shared" ref="AP36:AT45" ca="1" si="30">IF(OR($J36="Pluviomètre",LEFT($J36,5)="Sonde"),"",IF($H36&lt;&gt;"",IF(_xlfn.SINGLE(INDIRECT($H36&amp;"!"&amp;$AI36&amp;($AJ36+AP$15+1)))&lt;&gt;"",_xlfn.SINGLE(INDIRECT($H36&amp;"!"&amp;$AI36&amp;($AJ36+AP$15+1))),""),""))</f>
        <v/>
      </c>
      <c r="AQ36" s="378" t="str">
        <f t="shared" ca="1" si="30"/>
        <v/>
      </c>
      <c r="AR36" s="378" t="str">
        <f t="shared" ca="1" si="30"/>
        <v/>
      </c>
      <c r="AS36" s="378" t="str">
        <f t="shared" ca="1" si="30"/>
        <v/>
      </c>
      <c r="AT36" s="378" t="str">
        <f t="shared" ca="1" si="30"/>
        <v/>
      </c>
    </row>
    <row r="37" spans="1:46" x14ac:dyDescent="0.4">
      <c r="A37" s="150">
        <v>22</v>
      </c>
      <c r="B37" s="204" t="b">
        <f t="shared" si="16"/>
        <v>0</v>
      </c>
      <c r="C37" s="209" t="str">
        <f t="shared" ca="1" si="17"/>
        <v/>
      </c>
      <c r="D37" s="359" t="str">
        <f t="shared" ca="1" si="18"/>
        <v/>
      </c>
      <c r="E37" s="359" t="str">
        <f t="shared" ca="1" si="19"/>
        <v/>
      </c>
      <c r="F37" s="57" t="str">
        <f t="shared" ca="1" si="20"/>
        <v/>
      </c>
      <c r="G37" s="57" t="str">
        <f t="shared" ca="1" si="20"/>
        <v/>
      </c>
      <c r="H37" s="211" t="str" cm="1">
        <f t="array" aca="1" ref="H37" ca="1">IFERROR(INDEX($C$16:$C$116,SMALL(IF($C$16:$C$116&lt;&gt;"",ROW($C$16:$C$116)-ROW($C$16)+1),ROW(A22))),"")</f>
        <v/>
      </c>
      <c r="I37" s="210" t="str" cm="1">
        <f t="array" aca="1" ref="I37" ca="1">IFERROR(INDEX($D$16:$D$116,SMALL(IF($D$16:$D$116&lt;&gt;"",ROW($D$16:$D$116)-ROW($D$16)+1),ROW(A22))),"")</f>
        <v/>
      </c>
      <c r="J37" s="210" t="str" cm="1">
        <f t="array" aca="1" ref="J37" ca="1">IFERROR(INDEX($E$16:$E$116,SMALL(IF($E$16:$E$116&lt;&gt;"",ROW($E$16:$E$116)-ROW($E$16)+1),ROW(A22))),"")</f>
        <v/>
      </c>
      <c r="K37" s="210" t="str" cm="1">
        <f t="array" aca="1" ref="K37" ca="1">IFERROR(INDEX($F$16:$F$116,SMALL(IF($F$16:$F$116&lt;&gt;"",ROW($F$16:$F$116)-ROW($F$16)+1),ROW(A22))),"")</f>
        <v/>
      </c>
      <c r="L37" s="210" t="str">
        <f t="shared" ca="1" si="0"/>
        <v/>
      </c>
      <c r="M37" s="210" t="str" cm="1">
        <f t="array" aca="1" ref="M37" ca="1">IFERROR(INDEX($G$16:$G$116,SMALL(IF($G$16:$G$116&lt;&gt;"",ROW($G$16:$G$116)-ROW($G$16)+1),ROW(A22))),"")</f>
        <v/>
      </c>
      <c r="N37" s="215" t="str">
        <f t="shared" ca="1" si="1"/>
        <v/>
      </c>
      <c r="O37" s="216" t="str">
        <f t="shared" ca="1" si="2"/>
        <v/>
      </c>
      <c r="P37" s="216" t="str">
        <f t="shared" ca="1" si="3"/>
        <v/>
      </c>
      <c r="Q37" s="216" t="str">
        <f t="shared" ca="1" si="4"/>
        <v/>
      </c>
      <c r="R37" s="216" t="str">
        <f t="shared" ca="1" si="5"/>
        <v/>
      </c>
      <c r="S37" s="216" t="str">
        <f t="shared" ca="1" si="6"/>
        <v/>
      </c>
      <c r="T37" s="216" t="str">
        <f t="shared" ca="1" si="7"/>
        <v/>
      </c>
      <c r="U37" s="216" t="str">
        <f t="shared" ca="1" si="8"/>
        <v/>
      </c>
      <c r="V37" s="217" t="str">
        <f t="shared" ca="1" si="9"/>
        <v/>
      </c>
      <c r="W37" s="376" t="str">
        <f t="shared" ca="1" si="21"/>
        <v/>
      </c>
      <c r="X37" s="377" t="str">
        <f t="shared" ca="1" si="22"/>
        <v/>
      </c>
      <c r="Y37" s="378" t="str">
        <f t="shared" ca="1" si="27"/>
        <v/>
      </c>
      <c r="Z37" s="378" t="str">
        <f t="shared" ca="1" si="27"/>
        <v/>
      </c>
      <c r="AA37" s="378" t="str">
        <f t="shared" ca="1" si="27"/>
        <v/>
      </c>
      <c r="AB37" s="378" t="str">
        <f t="shared" ca="1" si="27"/>
        <v/>
      </c>
      <c r="AC37" s="378" t="str">
        <f t="shared" ca="1" si="11"/>
        <v/>
      </c>
      <c r="AD37" s="378" t="str">
        <f t="shared" ca="1" si="28"/>
        <v/>
      </c>
      <c r="AE37" s="378" t="str">
        <f t="shared" ca="1" si="28"/>
        <v/>
      </c>
      <c r="AF37" s="378" t="str">
        <f t="shared" ca="1" si="28"/>
        <v/>
      </c>
      <c r="AG37" s="378" t="str">
        <f t="shared" ca="1" si="28"/>
        <v/>
      </c>
      <c r="AH37" s="378" t="str">
        <f t="shared" ca="1" si="28"/>
        <v/>
      </c>
      <c r="AI37" s="376" t="str">
        <f t="shared" ca="1" si="23"/>
        <v/>
      </c>
      <c r="AJ37" s="377" t="str">
        <f t="shared" ca="1" si="24"/>
        <v/>
      </c>
      <c r="AK37" s="378" t="str">
        <f t="shared" ca="1" si="29"/>
        <v/>
      </c>
      <c r="AL37" s="378" t="str">
        <f t="shared" ca="1" si="29"/>
        <v/>
      </c>
      <c r="AM37" s="378" t="str">
        <f t="shared" ca="1" si="29"/>
        <v/>
      </c>
      <c r="AN37" s="378" t="str">
        <f t="shared" ca="1" si="29"/>
        <v/>
      </c>
      <c r="AO37" s="378" t="str">
        <f t="shared" ca="1" si="14"/>
        <v/>
      </c>
      <c r="AP37" s="378" t="str">
        <f t="shared" ca="1" si="30"/>
        <v/>
      </c>
      <c r="AQ37" s="378" t="str">
        <f t="shared" ca="1" si="30"/>
        <v/>
      </c>
      <c r="AR37" s="378" t="str">
        <f t="shared" ca="1" si="30"/>
        <v/>
      </c>
      <c r="AS37" s="378" t="str">
        <f t="shared" ca="1" si="30"/>
        <v/>
      </c>
      <c r="AT37" s="378" t="str">
        <f t="shared" ca="1" si="30"/>
        <v/>
      </c>
    </row>
    <row r="38" spans="1:46" x14ac:dyDescent="0.4">
      <c r="A38" s="150">
        <v>23</v>
      </c>
      <c r="B38" s="204" t="b">
        <f t="shared" si="16"/>
        <v>0</v>
      </c>
      <c r="C38" s="209" t="str">
        <f t="shared" ca="1" si="17"/>
        <v/>
      </c>
      <c r="D38" s="359" t="str">
        <f t="shared" ca="1" si="18"/>
        <v/>
      </c>
      <c r="E38" s="359" t="str">
        <f t="shared" ca="1" si="19"/>
        <v/>
      </c>
      <c r="F38" s="57" t="str">
        <f t="shared" ca="1" si="20"/>
        <v/>
      </c>
      <c r="G38" s="57" t="str">
        <f t="shared" ca="1" si="20"/>
        <v/>
      </c>
      <c r="H38" s="211" t="str" cm="1">
        <f t="array" aca="1" ref="H38" ca="1">IFERROR(INDEX($C$16:$C$116,SMALL(IF($C$16:$C$116&lt;&gt;"",ROW($C$16:$C$116)-ROW($C$16)+1),ROW(A23))),"")</f>
        <v/>
      </c>
      <c r="I38" s="210" t="str" cm="1">
        <f t="array" aca="1" ref="I38" ca="1">IFERROR(INDEX($D$16:$D$116,SMALL(IF($D$16:$D$116&lt;&gt;"",ROW($D$16:$D$116)-ROW($D$16)+1),ROW(A23))),"")</f>
        <v/>
      </c>
      <c r="J38" s="210" t="str" cm="1">
        <f t="array" aca="1" ref="J38" ca="1">IFERROR(INDEX($E$16:$E$116,SMALL(IF($E$16:$E$116&lt;&gt;"",ROW($E$16:$E$116)-ROW($E$16)+1),ROW(A23))),"")</f>
        <v/>
      </c>
      <c r="K38" s="210" t="str" cm="1">
        <f t="array" aca="1" ref="K38" ca="1">IFERROR(INDEX($F$16:$F$116,SMALL(IF($F$16:$F$116&lt;&gt;"",ROW($F$16:$F$116)-ROW($F$16)+1),ROW(A23))),"")</f>
        <v/>
      </c>
      <c r="L38" s="210" t="str">
        <f t="shared" ca="1" si="0"/>
        <v/>
      </c>
      <c r="M38" s="210" t="str" cm="1">
        <f t="array" aca="1" ref="M38" ca="1">IFERROR(INDEX($G$16:$G$116,SMALL(IF($G$16:$G$116&lt;&gt;"",ROW($G$16:$G$116)-ROW($G$16)+1),ROW(A23))),"")</f>
        <v/>
      </c>
      <c r="N38" s="215" t="str">
        <f t="shared" ca="1" si="1"/>
        <v/>
      </c>
      <c r="O38" s="216" t="str">
        <f t="shared" ca="1" si="2"/>
        <v/>
      </c>
      <c r="P38" s="216" t="str">
        <f t="shared" ca="1" si="3"/>
        <v/>
      </c>
      <c r="Q38" s="216" t="str">
        <f t="shared" ca="1" si="4"/>
        <v/>
      </c>
      <c r="R38" s="216" t="str">
        <f t="shared" ca="1" si="5"/>
        <v/>
      </c>
      <c r="S38" s="216" t="str">
        <f t="shared" ca="1" si="6"/>
        <v/>
      </c>
      <c r="T38" s="216" t="str">
        <f t="shared" ca="1" si="7"/>
        <v/>
      </c>
      <c r="U38" s="216" t="str">
        <f t="shared" ca="1" si="8"/>
        <v/>
      </c>
      <c r="V38" s="217" t="str">
        <f t="shared" ca="1" si="9"/>
        <v/>
      </c>
      <c r="W38" s="376" t="str">
        <f t="shared" ca="1" si="21"/>
        <v/>
      </c>
      <c r="X38" s="377" t="str">
        <f t="shared" ca="1" si="22"/>
        <v/>
      </c>
      <c r="Y38" s="378" t="str">
        <f t="shared" ca="1" si="27"/>
        <v/>
      </c>
      <c r="Z38" s="378" t="str">
        <f t="shared" ca="1" si="27"/>
        <v/>
      </c>
      <c r="AA38" s="378" t="str">
        <f t="shared" ca="1" si="27"/>
        <v/>
      </c>
      <c r="AB38" s="378" t="str">
        <f t="shared" ca="1" si="27"/>
        <v/>
      </c>
      <c r="AC38" s="378" t="str">
        <f t="shared" ca="1" si="11"/>
        <v/>
      </c>
      <c r="AD38" s="378" t="str">
        <f t="shared" ca="1" si="28"/>
        <v/>
      </c>
      <c r="AE38" s="378" t="str">
        <f t="shared" ca="1" si="28"/>
        <v/>
      </c>
      <c r="AF38" s="378" t="str">
        <f t="shared" ca="1" si="28"/>
        <v/>
      </c>
      <c r="AG38" s="378" t="str">
        <f t="shared" ca="1" si="28"/>
        <v/>
      </c>
      <c r="AH38" s="378" t="str">
        <f t="shared" ca="1" si="28"/>
        <v/>
      </c>
      <c r="AI38" s="376" t="str">
        <f t="shared" ca="1" si="23"/>
        <v/>
      </c>
      <c r="AJ38" s="377" t="str">
        <f t="shared" ca="1" si="24"/>
        <v/>
      </c>
      <c r="AK38" s="378" t="str">
        <f t="shared" ca="1" si="29"/>
        <v/>
      </c>
      <c r="AL38" s="378" t="str">
        <f t="shared" ca="1" si="29"/>
        <v/>
      </c>
      <c r="AM38" s="378" t="str">
        <f t="shared" ca="1" si="29"/>
        <v/>
      </c>
      <c r="AN38" s="378" t="str">
        <f t="shared" ca="1" si="29"/>
        <v/>
      </c>
      <c r="AO38" s="378" t="str">
        <f t="shared" ca="1" si="14"/>
        <v/>
      </c>
      <c r="AP38" s="378" t="str">
        <f t="shared" ca="1" si="30"/>
        <v/>
      </c>
      <c r="AQ38" s="378" t="str">
        <f t="shared" ca="1" si="30"/>
        <v/>
      </c>
      <c r="AR38" s="378" t="str">
        <f t="shared" ca="1" si="30"/>
        <v/>
      </c>
      <c r="AS38" s="378" t="str">
        <f t="shared" ca="1" si="30"/>
        <v/>
      </c>
      <c r="AT38" s="378" t="str">
        <f t="shared" ca="1" si="30"/>
        <v/>
      </c>
    </row>
    <row r="39" spans="1:46" x14ac:dyDescent="0.4">
      <c r="A39" s="150">
        <v>24</v>
      </c>
      <c r="B39" s="204" t="b">
        <f t="shared" si="16"/>
        <v>0</v>
      </c>
      <c r="C39" s="209" t="str">
        <f t="shared" ca="1" si="17"/>
        <v/>
      </c>
      <c r="D39" s="359" t="str">
        <f t="shared" ca="1" si="18"/>
        <v/>
      </c>
      <c r="E39" s="359" t="str">
        <f t="shared" ca="1" si="19"/>
        <v/>
      </c>
      <c r="F39" s="57" t="str">
        <f t="shared" ca="1" si="20"/>
        <v/>
      </c>
      <c r="G39" s="57" t="str">
        <f t="shared" ca="1" si="20"/>
        <v/>
      </c>
      <c r="H39" s="211" t="str" cm="1">
        <f t="array" aca="1" ref="H39" ca="1">IFERROR(INDEX($C$16:$C$116,SMALL(IF($C$16:$C$116&lt;&gt;"",ROW($C$16:$C$116)-ROW($C$16)+1),ROW(A24))),"")</f>
        <v/>
      </c>
      <c r="I39" s="210" t="str" cm="1">
        <f t="array" aca="1" ref="I39" ca="1">IFERROR(INDEX($D$16:$D$116,SMALL(IF($D$16:$D$116&lt;&gt;"",ROW($D$16:$D$116)-ROW($D$16)+1),ROW(A24))),"")</f>
        <v/>
      </c>
      <c r="J39" s="210" t="str" cm="1">
        <f t="array" aca="1" ref="J39" ca="1">IFERROR(INDEX($E$16:$E$116,SMALL(IF($E$16:$E$116&lt;&gt;"",ROW($E$16:$E$116)-ROW($E$16)+1),ROW(A24))),"")</f>
        <v/>
      </c>
      <c r="K39" s="210" t="str" cm="1">
        <f t="array" aca="1" ref="K39" ca="1">IFERROR(INDEX($F$16:$F$116,SMALL(IF($F$16:$F$116&lt;&gt;"",ROW($F$16:$F$116)-ROW($F$16)+1),ROW(A24))),"")</f>
        <v/>
      </c>
      <c r="L39" s="210" t="str">
        <f t="shared" ca="1" si="0"/>
        <v/>
      </c>
      <c r="M39" s="210" t="str" cm="1">
        <f t="array" aca="1" ref="M39" ca="1">IFERROR(INDEX($G$16:$G$116,SMALL(IF($G$16:$G$116&lt;&gt;"",ROW($G$16:$G$116)-ROW($G$16)+1),ROW(A24))),"")</f>
        <v/>
      </c>
      <c r="N39" s="215" t="str">
        <f t="shared" ca="1" si="1"/>
        <v/>
      </c>
      <c r="O39" s="216" t="str">
        <f t="shared" ca="1" si="2"/>
        <v/>
      </c>
      <c r="P39" s="216" t="str">
        <f t="shared" ca="1" si="3"/>
        <v/>
      </c>
      <c r="Q39" s="216" t="str">
        <f t="shared" ca="1" si="4"/>
        <v/>
      </c>
      <c r="R39" s="216" t="str">
        <f t="shared" ca="1" si="5"/>
        <v/>
      </c>
      <c r="S39" s="216" t="str">
        <f t="shared" ca="1" si="6"/>
        <v/>
      </c>
      <c r="T39" s="216" t="str">
        <f t="shared" ca="1" si="7"/>
        <v/>
      </c>
      <c r="U39" s="216" t="str">
        <f t="shared" ca="1" si="8"/>
        <v/>
      </c>
      <c r="V39" s="217" t="str">
        <f t="shared" ca="1" si="9"/>
        <v/>
      </c>
      <c r="W39" s="376" t="str">
        <f t="shared" ca="1" si="21"/>
        <v/>
      </c>
      <c r="X39" s="377" t="str">
        <f t="shared" ca="1" si="22"/>
        <v/>
      </c>
      <c r="Y39" s="378" t="str">
        <f t="shared" ca="1" si="27"/>
        <v/>
      </c>
      <c r="Z39" s="378" t="str">
        <f t="shared" ca="1" si="27"/>
        <v/>
      </c>
      <c r="AA39" s="378" t="str">
        <f t="shared" ca="1" si="27"/>
        <v/>
      </c>
      <c r="AB39" s="378" t="str">
        <f t="shared" ca="1" si="27"/>
        <v/>
      </c>
      <c r="AC39" s="378" t="str">
        <f t="shared" ca="1" si="11"/>
        <v/>
      </c>
      <c r="AD39" s="378" t="str">
        <f t="shared" ca="1" si="28"/>
        <v/>
      </c>
      <c r="AE39" s="378" t="str">
        <f t="shared" ca="1" si="28"/>
        <v/>
      </c>
      <c r="AF39" s="378" t="str">
        <f t="shared" ca="1" si="28"/>
        <v/>
      </c>
      <c r="AG39" s="378" t="str">
        <f t="shared" ca="1" si="28"/>
        <v/>
      </c>
      <c r="AH39" s="378" t="str">
        <f t="shared" ca="1" si="28"/>
        <v/>
      </c>
      <c r="AI39" s="376" t="str">
        <f t="shared" ca="1" si="23"/>
        <v/>
      </c>
      <c r="AJ39" s="377" t="str">
        <f t="shared" ca="1" si="24"/>
        <v/>
      </c>
      <c r="AK39" s="378" t="str">
        <f t="shared" ca="1" si="29"/>
        <v/>
      </c>
      <c r="AL39" s="378" t="str">
        <f t="shared" ca="1" si="29"/>
        <v/>
      </c>
      <c r="AM39" s="378" t="str">
        <f t="shared" ca="1" si="29"/>
        <v/>
      </c>
      <c r="AN39" s="378" t="str">
        <f t="shared" ca="1" si="29"/>
        <v/>
      </c>
      <c r="AO39" s="378" t="str">
        <f t="shared" ca="1" si="14"/>
        <v/>
      </c>
      <c r="AP39" s="378" t="str">
        <f t="shared" ca="1" si="30"/>
        <v/>
      </c>
      <c r="AQ39" s="378" t="str">
        <f t="shared" ca="1" si="30"/>
        <v/>
      </c>
      <c r="AR39" s="378" t="str">
        <f t="shared" ca="1" si="30"/>
        <v/>
      </c>
      <c r="AS39" s="378" t="str">
        <f t="shared" ca="1" si="30"/>
        <v/>
      </c>
      <c r="AT39" s="378" t="str">
        <f t="shared" ca="1" si="30"/>
        <v/>
      </c>
    </row>
    <row r="40" spans="1:46" x14ac:dyDescent="0.4">
      <c r="A40" s="150">
        <v>25</v>
      </c>
      <c r="B40" s="204" t="b">
        <f t="shared" si="16"/>
        <v>0</v>
      </c>
      <c r="C40" s="209" t="str">
        <f t="shared" ca="1" si="17"/>
        <v/>
      </c>
      <c r="D40" s="359" t="str">
        <f t="shared" ca="1" si="18"/>
        <v/>
      </c>
      <c r="E40" s="359" t="str">
        <f t="shared" ca="1" si="19"/>
        <v/>
      </c>
      <c r="F40" s="57" t="str">
        <f t="shared" ca="1" si="20"/>
        <v/>
      </c>
      <c r="G40" s="57" t="str">
        <f t="shared" ca="1" si="20"/>
        <v/>
      </c>
      <c r="H40" s="211" t="str" cm="1">
        <f t="array" aca="1" ref="H40" ca="1">IFERROR(INDEX($C$16:$C$116,SMALL(IF($C$16:$C$116&lt;&gt;"",ROW($C$16:$C$116)-ROW($C$16)+1),ROW(A25))),"")</f>
        <v/>
      </c>
      <c r="I40" s="210" t="str" cm="1">
        <f t="array" aca="1" ref="I40" ca="1">IFERROR(INDEX($D$16:$D$116,SMALL(IF($D$16:$D$116&lt;&gt;"",ROW($D$16:$D$116)-ROW($D$16)+1),ROW(A25))),"")</f>
        <v/>
      </c>
      <c r="J40" s="210" t="str" cm="1">
        <f t="array" aca="1" ref="J40" ca="1">IFERROR(INDEX($E$16:$E$116,SMALL(IF($E$16:$E$116&lt;&gt;"",ROW($E$16:$E$116)-ROW($E$16)+1),ROW(A25))),"")</f>
        <v/>
      </c>
      <c r="K40" s="210" t="str" cm="1">
        <f t="array" aca="1" ref="K40" ca="1">IFERROR(INDEX($F$16:$F$116,SMALL(IF($F$16:$F$116&lt;&gt;"",ROW($F$16:$F$116)-ROW($F$16)+1),ROW(A25))),"")</f>
        <v/>
      </c>
      <c r="L40" s="210" t="str">
        <f t="shared" ca="1" si="0"/>
        <v/>
      </c>
      <c r="M40" s="210" t="str" cm="1">
        <f t="array" aca="1" ref="M40" ca="1">IFERROR(INDEX($G$16:$G$116,SMALL(IF($G$16:$G$116&lt;&gt;"",ROW($G$16:$G$116)-ROW($G$16)+1),ROW(A25))),"")</f>
        <v/>
      </c>
      <c r="N40" s="215" t="str">
        <f t="shared" ca="1" si="1"/>
        <v/>
      </c>
      <c r="O40" s="216" t="str">
        <f t="shared" ca="1" si="2"/>
        <v/>
      </c>
      <c r="P40" s="216" t="str">
        <f t="shared" ca="1" si="3"/>
        <v/>
      </c>
      <c r="Q40" s="216" t="str">
        <f t="shared" ca="1" si="4"/>
        <v/>
      </c>
      <c r="R40" s="216" t="str">
        <f t="shared" ca="1" si="5"/>
        <v/>
      </c>
      <c r="S40" s="216" t="str">
        <f t="shared" ca="1" si="6"/>
        <v/>
      </c>
      <c r="T40" s="216" t="str">
        <f t="shared" ca="1" si="7"/>
        <v/>
      </c>
      <c r="U40" s="216" t="str">
        <f t="shared" ca="1" si="8"/>
        <v/>
      </c>
      <c r="V40" s="217" t="str">
        <f t="shared" ca="1" si="9"/>
        <v/>
      </c>
      <c r="W40" s="376" t="str">
        <f t="shared" ca="1" si="21"/>
        <v/>
      </c>
      <c r="X40" s="377" t="str">
        <f t="shared" ca="1" si="22"/>
        <v/>
      </c>
      <c r="Y40" s="378" t="str">
        <f t="shared" ca="1" si="27"/>
        <v/>
      </c>
      <c r="Z40" s="378" t="str">
        <f t="shared" ca="1" si="27"/>
        <v/>
      </c>
      <c r="AA40" s="378" t="str">
        <f t="shared" ca="1" si="27"/>
        <v/>
      </c>
      <c r="AB40" s="378" t="str">
        <f t="shared" ca="1" si="27"/>
        <v/>
      </c>
      <c r="AC40" s="378" t="str">
        <f t="shared" ca="1" si="11"/>
        <v/>
      </c>
      <c r="AD40" s="378" t="str">
        <f t="shared" ca="1" si="28"/>
        <v/>
      </c>
      <c r="AE40" s="378" t="str">
        <f t="shared" ca="1" si="28"/>
        <v/>
      </c>
      <c r="AF40" s="378" t="str">
        <f t="shared" ca="1" si="28"/>
        <v/>
      </c>
      <c r="AG40" s="378" t="str">
        <f t="shared" ca="1" si="28"/>
        <v/>
      </c>
      <c r="AH40" s="378" t="str">
        <f t="shared" ca="1" si="28"/>
        <v/>
      </c>
      <c r="AI40" s="376" t="str">
        <f t="shared" ca="1" si="23"/>
        <v/>
      </c>
      <c r="AJ40" s="377" t="str">
        <f t="shared" ca="1" si="24"/>
        <v/>
      </c>
      <c r="AK40" s="378" t="str">
        <f t="shared" ca="1" si="29"/>
        <v/>
      </c>
      <c r="AL40" s="378" t="str">
        <f t="shared" ca="1" si="29"/>
        <v/>
      </c>
      <c r="AM40" s="378" t="str">
        <f t="shared" ca="1" si="29"/>
        <v/>
      </c>
      <c r="AN40" s="378" t="str">
        <f t="shared" ca="1" si="29"/>
        <v/>
      </c>
      <c r="AO40" s="378" t="str">
        <f t="shared" ca="1" si="14"/>
        <v/>
      </c>
      <c r="AP40" s="378" t="str">
        <f t="shared" ca="1" si="30"/>
        <v/>
      </c>
      <c r="AQ40" s="378" t="str">
        <f t="shared" ca="1" si="30"/>
        <v/>
      </c>
      <c r="AR40" s="378" t="str">
        <f t="shared" ca="1" si="30"/>
        <v/>
      </c>
      <c r="AS40" s="378" t="str">
        <f t="shared" ca="1" si="30"/>
        <v/>
      </c>
      <c r="AT40" s="378" t="str">
        <f t="shared" ca="1" si="30"/>
        <v/>
      </c>
    </row>
    <row r="41" spans="1:46" x14ac:dyDescent="0.4">
      <c r="A41" s="150">
        <v>26</v>
      </c>
      <c r="B41" s="204" t="b">
        <f t="shared" si="16"/>
        <v>0</v>
      </c>
      <c r="C41" s="209" t="str">
        <f t="shared" ca="1" si="17"/>
        <v/>
      </c>
      <c r="D41" s="359" t="str">
        <f t="shared" ca="1" si="18"/>
        <v/>
      </c>
      <c r="E41" s="359" t="str">
        <f t="shared" ca="1" si="19"/>
        <v/>
      </c>
      <c r="F41" s="57" t="str">
        <f t="shared" ca="1" si="20"/>
        <v/>
      </c>
      <c r="G41" s="57" t="str">
        <f t="shared" ca="1" si="20"/>
        <v/>
      </c>
      <c r="H41" s="211" t="str" cm="1">
        <f t="array" aca="1" ref="H41" ca="1">IFERROR(INDEX($C$16:$C$116,SMALL(IF($C$16:$C$116&lt;&gt;"",ROW($C$16:$C$116)-ROW($C$16)+1),ROW(A26))),"")</f>
        <v/>
      </c>
      <c r="I41" s="210" t="str" cm="1">
        <f t="array" aca="1" ref="I41" ca="1">IFERROR(INDEX($D$16:$D$116,SMALL(IF($D$16:$D$116&lt;&gt;"",ROW($D$16:$D$116)-ROW($D$16)+1),ROW(A26))),"")</f>
        <v/>
      </c>
      <c r="J41" s="210" t="str" cm="1">
        <f t="array" aca="1" ref="J41" ca="1">IFERROR(INDEX($E$16:$E$116,SMALL(IF($E$16:$E$116&lt;&gt;"",ROW($E$16:$E$116)-ROW($E$16)+1),ROW(A26))),"")</f>
        <v/>
      </c>
      <c r="K41" s="210" t="str" cm="1">
        <f t="array" aca="1" ref="K41" ca="1">IFERROR(INDEX($F$16:$F$116,SMALL(IF($F$16:$F$116&lt;&gt;"",ROW($F$16:$F$116)-ROW($F$16)+1),ROW(A26))),"")</f>
        <v/>
      </c>
      <c r="L41" s="210" t="str">
        <f t="shared" ca="1" si="0"/>
        <v/>
      </c>
      <c r="M41" s="210" t="str" cm="1">
        <f t="array" aca="1" ref="M41" ca="1">IFERROR(INDEX($G$16:$G$116,SMALL(IF($G$16:$G$116&lt;&gt;"",ROW($G$16:$G$116)-ROW($G$16)+1),ROW(A26))),"")</f>
        <v/>
      </c>
      <c r="N41" s="215" t="str">
        <f t="shared" ca="1" si="1"/>
        <v/>
      </c>
      <c r="O41" s="216" t="str">
        <f t="shared" ca="1" si="2"/>
        <v/>
      </c>
      <c r="P41" s="216" t="str">
        <f t="shared" ca="1" si="3"/>
        <v/>
      </c>
      <c r="Q41" s="216" t="str">
        <f t="shared" ca="1" si="4"/>
        <v/>
      </c>
      <c r="R41" s="216" t="str">
        <f t="shared" ca="1" si="5"/>
        <v/>
      </c>
      <c r="S41" s="216" t="str">
        <f t="shared" ca="1" si="6"/>
        <v/>
      </c>
      <c r="T41" s="216" t="str">
        <f t="shared" ca="1" si="7"/>
        <v/>
      </c>
      <c r="U41" s="216" t="str">
        <f t="shared" ca="1" si="8"/>
        <v/>
      </c>
      <c r="V41" s="217" t="str">
        <f t="shared" ca="1" si="9"/>
        <v/>
      </c>
      <c r="W41" s="376" t="str">
        <f t="shared" ca="1" si="21"/>
        <v/>
      </c>
      <c r="X41" s="377" t="str">
        <f t="shared" ca="1" si="22"/>
        <v/>
      </c>
      <c r="Y41" s="378" t="str">
        <f t="shared" ca="1" si="27"/>
        <v/>
      </c>
      <c r="Z41" s="378" t="str">
        <f t="shared" ca="1" si="27"/>
        <v/>
      </c>
      <c r="AA41" s="378" t="str">
        <f t="shared" ca="1" si="27"/>
        <v/>
      </c>
      <c r="AB41" s="378" t="str">
        <f t="shared" ca="1" si="27"/>
        <v/>
      </c>
      <c r="AC41" s="378" t="str">
        <f t="shared" ca="1" si="11"/>
        <v/>
      </c>
      <c r="AD41" s="378" t="str">
        <f t="shared" ca="1" si="28"/>
        <v/>
      </c>
      <c r="AE41" s="378" t="str">
        <f t="shared" ca="1" si="28"/>
        <v/>
      </c>
      <c r="AF41" s="378" t="str">
        <f t="shared" ca="1" si="28"/>
        <v/>
      </c>
      <c r="AG41" s="378" t="str">
        <f t="shared" ca="1" si="28"/>
        <v/>
      </c>
      <c r="AH41" s="378" t="str">
        <f t="shared" ca="1" si="28"/>
        <v/>
      </c>
      <c r="AI41" s="376" t="str">
        <f t="shared" ca="1" si="23"/>
        <v/>
      </c>
      <c r="AJ41" s="377" t="str">
        <f t="shared" ca="1" si="24"/>
        <v/>
      </c>
      <c r="AK41" s="378" t="str">
        <f t="shared" ca="1" si="29"/>
        <v/>
      </c>
      <c r="AL41" s="378" t="str">
        <f t="shared" ca="1" si="29"/>
        <v/>
      </c>
      <c r="AM41" s="378" t="str">
        <f t="shared" ca="1" si="29"/>
        <v/>
      </c>
      <c r="AN41" s="378" t="str">
        <f t="shared" ca="1" si="29"/>
        <v/>
      </c>
      <c r="AO41" s="378" t="str">
        <f t="shared" ca="1" si="14"/>
        <v/>
      </c>
      <c r="AP41" s="378" t="str">
        <f t="shared" ca="1" si="30"/>
        <v/>
      </c>
      <c r="AQ41" s="378" t="str">
        <f t="shared" ca="1" si="30"/>
        <v/>
      </c>
      <c r="AR41" s="378" t="str">
        <f t="shared" ca="1" si="30"/>
        <v/>
      </c>
      <c r="AS41" s="378" t="str">
        <f t="shared" ca="1" si="30"/>
        <v/>
      </c>
      <c r="AT41" s="378" t="str">
        <f t="shared" ca="1" si="30"/>
        <v/>
      </c>
    </row>
    <row r="42" spans="1:46" x14ac:dyDescent="0.4">
      <c r="A42" s="150">
        <v>27</v>
      </c>
      <c r="B42" s="204" t="b">
        <f t="shared" si="16"/>
        <v>0</v>
      </c>
      <c r="C42" s="209" t="str">
        <f t="shared" ca="1" si="17"/>
        <v/>
      </c>
      <c r="D42" s="359" t="str">
        <f t="shared" ca="1" si="18"/>
        <v/>
      </c>
      <c r="E42" s="359" t="str">
        <f t="shared" ca="1" si="19"/>
        <v/>
      </c>
      <c r="F42" s="57" t="str">
        <f t="shared" ca="1" si="20"/>
        <v/>
      </c>
      <c r="G42" s="57" t="str">
        <f t="shared" ca="1" si="20"/>
        <v/>
      </c>
      <c r="H42" s="211" t="str" cm="1">
        <f t="array" aca="1" ref="H42" ca="1">IFERROR(INDEX($C$16:$C$116,SMALL(IF($C$16:$C$116&lt;&gt;"",ROW($C$16:$C$116)-ROW($C$16)+1),ROW(A27))),"")</f>
        <v/>
      </c>
      <c r="I42" s="210" t="str" cm="1">
        <f t="array" aca="1" ref="I42" ca="1">IFERROR(INDEX($D$16:$D$116,SMALL(IF($D$16:$D$116&lt;&gt;"",ROW($D$16:$D$116)-ROW($D$16)+1),ROW(A27))),"")</f>
        <v/>
      </c>
      <c r="J42" s="210" t="str" cm="1">
        <f t="array" aca="1" ref="J42" ca="1">IFERROR(INDEX($E$16:$E$116,SMALL(IF($E$16:$E$116&lt;&gt;"",ROW($E$16:$E$116)-ROW($E$16)+1),ROW(A27))),"")</f>
        <v/>
      </c>
      <c r="K42" s="210" t="str" cm="1">
        <f t="array" aca="1" ref="K42" ca="1">IFERROR(INDEX($F$16:$F$116,SMALL(IF($F$16:$F$116&lt;&gt;"",ROW($F$16:$F$116)-ROW($F$16)+1),ROW(A27))),"")</f>
        <v/>
      </c>
      <c r="L42" s="210" t="str">
        <f t="shared" ca="1" si="0"/>
        <v/>
      </c>
      <c r="M42" s="210" t="str" cm="1">
        <f t="array" aca="1" ref="M42" ca="1">IFERROR(INDEX($G$16:$G$116,SMALL(IF($G$16:$G$116&lt;&gt;"",ROW($G$16:$G$116)-ROW($G$16)+1),ROW(A27))),"")</f>
        <v/>
      </c>
      <c r="N42" s="215" t="str">
        <f t="shared" ca="1" si="1"/>
        <v/>
      </c>
      <c r="O42" s="216" t="str">
        <f t="shared" ca="1" si="2"/>
        <v/>
      </c>
      <c r="P42" s="216" t="str">
        <f t="shared" ca="1" si="3"/>
        <v/>
      </c>
      <c r="Q42" s="216" t="str">
        <f t="shared" ca="1" si="4"/>
        <v/>
      </c>
      <c r="R42" s="216" t="str">
        <f t="shared" ca="1" si="5"/>
        <v/>
      </c>
      <c r="S42" s="216" t="str">
        <f t="shared" ca="1" si="6"/>
        <v/>
      </c>
      <c r="T42" s="216" t="str">
        <f t="shared" ca="1" si="7"/>
        <v/>
      </c>
      <c r="U42" s="216" t="str">
        <f t="shared" ca="1" si="8"/>
        <v/>
      </c>
      <c r="V42" s="217" t="str">
        <f t="shared" ca="1" si="9"/>
        <v/>
      </c>
      <c r="W42" s="376" t="str">
        <f t="shared" ca="1" si="21"/>
        <v/>
      </c>
      <c r="X42" s="377" t="str">
        <f t="shared" ca="1" si="22"/>
        <v/>
      </c>
      <c r="Y42" s="378" t="str">
        <f t="shared" ca="1" si="27"/>
        <v/>
      </c>
      <c r="Z42" s="378" t="str">
        <f t="shared" ca="1" si="27"/>
        <v/>
      </c>
      <c r="AA42" s="378" t="str">
        <f t="shared" ca="1" si="27"/>
        <v/>
      </c>
      <c r="AB42" s="378" t="str">
        <f t="shared" ca="1" si="27"/>
        <v/>
      </c>
      <c r="AC42" s="378" t="str">
        <f t="shared" ca="1" si="11"/>
        <v/>
      </c>
      <c r="AD42" s="378" t="str">
        <f t="shared" ca="1" si="28"/>
        <v/>
      </c>
      <c r="AE42" s="378" t="str">
        <f t="shared" ca="1" si="28"/>
        <v/>
      </c>
      <c r="AF42" s="378" t="str">
        <f t="shared" ca="1" si="28"/>
        <v/>
      </c>
      <c r="AG42" s="378" t="str">
        <f t="shared" ca="1" si="28"/>
        <v/>
      </c>
      <c r="AH42" s="378" t="str">
        <f t="shared" ca="1" si="28"/>
        <v/>
      </c>
      <c r="AI42" s="376" t="str">
        <f t="shared" ca="1" si="23"/>
        <v/>
      </c>
      <c r="AJ42" s="377" t="str">
        <f t="shared" ca="1" si="24"/>
        <v/>
      </c>
      <c r="AK42" s="378" t="str">
        <f t="shared" ca="1" si="29"/>
        <v/>
      </c>
      <c r="AL42" s="378" t="str">
        <f t="shared" ca="1" si="29"/>
        <v/>
      </c>
      <c r="AM42" s="378" t="str">
        <f t="shared" ca="1" si="29"/>
        <v/>
      </c>
      <c r="AN42" s="378" t="str">
        <f t="shared" ca="1" si="29"/>
        <v/>
      </c>
      <c r="AO42" s="378" t="str">
        <f t="shared" ca="1" si="14"/>
        <v/>
      </c>
      <c r="AP42" s="378" t="str">
        <f t="shared" ca="1" si="30"/>
        <v/>
      </c>
      <c r="AQ42" s="378" t="str">
        <f t="shared" ca="1" si="30"/>
        <v/>
      </c>
      <c r="AR42" s="378" t="str">
        <f t="shared" ca="1" si="30"/>
        <v/>
      </c>
      <c r="AS42" s="378" t="str">
        <f t="shared" ca="1" si="30"/>
        <v/>
      </c>
      <c r="AT42" s="378" t="str">
        <f t="shared" ca="1" si="30"/>
        <v/>
      </c>
    </row>
    <row r="43" spans="1:46" x14ac:dyDescent="0.4">
      <c r="A43" s="150">
        <v>28</v>
      </c>
      <c r="B43" s="204" t="b">
        <f t="shared" si="16"/>
        <v>0</v>
      </c>
      <c r="C43" s="209" t="str">
        <f t="shared" ca="1" si="17"/>
        <v/>
      </c>
      <c r="D43" s="359" t="str">
        <f t="shared" ca="1" si="18"/>
        <v/>
      </c>
      <c r="E43" s="359" t="str">
        <f t="shared" ca="1" si="19"/>
        <v/>
      </c>
      <c r="F43" s="57" t="str">
        <f t="shared" ca="1" si="20"/>
        <v/>
      </c>
      <c r="G43" s="57" t="str">
        <f t="shared" ca="1" si="20"/>
        <v/>
      </c>
      <c r="H43" s="211" t="str" cm="1">
        <f t="array" aca="1" ref="H43" ca="1">IFERROR(INDEX($C$16:$C$116,SMALL(IF($C$16:$C$116&lt;&gt;"",ROW($C$16:$C$116)-ROW($C$16)+1),ROW(A28))),"")</f>
        <v/>
      </c>
      <c r="I43" s="210" t="str" cm="1">
        <f t="array" aca="1" ref="I43" ca="1">IFERROR(INDEX($D$16:$D$116,SMALL(IF($D$16:$D$116&lt;&gt;"",ROW($D$16:$D$116)-ROW($D$16)+1),ROW(A28))),"")</f>
        <v/>
      </c>
      <c r="J43" s="210" t="str" cm="1">
        <f t="array" aca="1" ref="J43" ca="1">IFERROR(INDEX($E$16:$E$116,SMALL(IF($E$16:$E$116&lt;&gt;"",ROW($E$16:$E$116)-ROW($E$16)+1),ROW(A28))),"")</f>
        <v/>
      </c>
      <c r="K43" s="210" t="str" cm="1">
        <f t="array" aca="1" ref="K43" ca="1">IFERROR(INDEX($F$16:$F$116,SMALL(IF($F$16:$F$116&lt;&gt;"",ROW($F$16:$F$116)-ROW($F$16)+1),ROW(A28))),"")</f>
        <v/>
      </c>
      <c r="L43" s="210" t="str">
        <f t="shared" ca="1" si="0"/>
        <v/>
      </c>
      <c r="M43" s="210" t="str" cm="1">
        <f t="array" aca="1" ref="M43" ca="1">IFERROR(INDEX($G$16:$G$116,SMALL(IF($G$16:$G$116&lt;&gt;"",ROW($G$16:$G$116)-ROW($G$16)+1),ROW(A28))),"")</f>
        <v/>
      </c>
      <c r="N43" s="215" t="str">
        <f t="shared" ca="1" si="1"/>
        <v/>
      </c>
      <c r="O43" s="216" t="str">
        <f t="shared" ca="1" si="2"/>
        <v/>
      </c>
      <c r="P43" s="216" t="str">
        <f t="shared" ca="1" si="3"/>
        <v/>
      </c>
      <c r="Q43" s="216" t="str">
        <f t="shared" ca="1" si="4"/>
        <v/>
      </c>
      <c r="R43" s="216" t="str">
        <f t="shared" ca="1" si="5"/>
        <v/>
      </c>
      <c r="S43" s="216" t="str">
        <f t="shared" ca="1" si="6"/>
        <v/>
      </c>
      <c r="T43" s="216" t="str">
        <f t="shared" ca="1" si="7"/>
        <v/>
      </c>
      <c r="U43" s="216" t="str">
        <f t="shared" ca="1" si="8"/>
        <v/>
      </c>
      <c r="V43" s="217" t="str">
        <f t="shared" ca="1" si="9"/>
        <v/>
      </c>
      <c r="W43" s="376" t="str">
        <f t="shared" ca="1" si="21"/>
        <v/>
      </c>
      <c r="X43" s="377" t="str">
        <f t="shared" ca="1" si="22"/>
        <v/>
      </c>
      <c r="Y43" s="378" t="str">
        <f t="shared" ca="1" si="27"/>
        <v/>
      </c>
      <c r="Z43" s="378" t="str">
        <f t="shared" ca="1" si="27"/>
        <v/>
      </c>
      <c r="AA43" s="378" t="str">
        <f t="shared" ca="1" si="27"/>
        <v/>
      </c>
      <c r="AB43" s="378" t="str">
        <f t="shared" ca="1" si="27"/>
        <v/>
      </c>
      <c r="AC43" s="378" t="str">
        <f t="shared" ca="1" si="11"/>
        <v/>
      </c>
      <c r="AD43" s="378" t="str">
        <f t="shared" ca="1" si="28"/>
        <v/>
      </c>
      <c r="AE43" s="378" t="str">
        <f t="shared" ca="1" si="28"/>
        <v/>
      </c>
      <c r="AF43" s="378" t="str">
        <f t="shared" ca="1" si="28"/>
        <v/>
      </c>
      <c r="AG43" s="378" t="str">
        <f t="shared" ca="1" si="28"/>
        <v/>
      </c>
      <c r="AH43" s="378" t="str">
        <f t="shared" ca="1" si="28"/>
        <v/>
      </c>
      <c r="AI43" s="376" t="str">
        <f t="shared" ca="1" si="23"/>
        <v/>
      </c>
      <c r="AJ43" s="377" t="str">
        <f t="shared" ca="1" si="24"/>
        <v/>
      </c>
      <c r="AK43" s="378" t="str">
        <f t="shared" ca="1" si="29"/>
        <v/>
      </c>
      <c r="AL43" s="378" t="str">
        <f t="shared" ca="1" si="29"/>
        <v/>
      </c>
      <c r="AM43" s="378" t="str">
        <f t="shared" ca="1" si="29"/>
        <v/>
      </c>
      <c r="AN43" s="378" t="str">
        <f t="shared" ca="1" si="29"/>
        <v/>
      </c>
      <c r="AO43" s="378" t="str">
        <f t="shared" ca="1" si="14"/>
        <v/>
      </c>
      <c r="AP43" s="378" t="str">
        <f t="shared" ca="1" si="30"/>
        <v/>
      </c>
      <c r="AQ43" s="378" t="str">
        <f t="shared" ca="1" si="30"/>
        <v/>
      </c>
      <c r="AR43" s="378" t="str">
        <f t="shared" ca="1" si="30"/>
        <v/>
      </c>
      <c r="AS43" s="378" t="str">
        <f t="shared" ca="1" si="30"/>
        <v/>
      </c>
      <c r="AT43" s="378" t="str">
        <f t="shared" ca="1" si="30"/>
        <v/>
      </c>
    </row>
    <row r="44" spans="1:46" x14ac:dyDescent="0.4">
      <c r="A44" s="150">
        <v>29</v>
      </c>
      <c r="B44" s="204" t="b">
        <f t="shared" si="16"/>
        <v>0</v>
      </c>
      <c r="C44" s="209" t="str">
        <f t="shared" ca="1" si="17"/>
        <v/>
      </c>
      <c r="D44" s="359" t="str">
        <f t="shared" ca="1" si="18"/>
        <v/>
      </c>
      <c r="E44" s="359" t="str">
        <f t="shared" ca="1" si="19"/>
        <v/>
      </c>
      <c r="F44" s="57" t="str">
        <f t="shared" ca="1" si="20"/>
        <v/>
      </c>
      <c r="G44" s="57" t="str">
        <f t="shared" ca="1" si="20"/>
        <v/>
      </c>
      <c r="H44" s="211" t="str" cm="1">
        <f t="array" aca="1" ref="H44" ca="1">IFERROR(INDEX($C$16:$C$116,SMALL(IF($C$16:$C$116&lt;&gt;"",ROW($C$16:$C$116)-ROW($C$16)+1),ROW(A29))),"")</f>
        <v/>
      </c>
      <c r="I44" s="210" t="str" cm="1">
        <f t="array" aca="1" ref="I44" ca="1">IFERROR(INDEX($D$16:$D$116,SMALL(IF($D$16:$D$116&lt;&gt;"",ROW($D$16:$D$116)-ROW($D$16)+1),ROW(A29))),"")</f>
        <v/>
      </c>
      <c r="J44" s="210" t="str" cm="1">
        <f t="array" aca="1" ref="J44" ca="1">IFERROR(INDEX($E$16:$E$116,SMALL(IF($E$16:$E$116&lt;&gt;"",ROW($E$16:$E$116)-ROW($E$16)+1),ROW(A29))),"")</f>
        <v/>
      </c>
      <c r="K44" s="210" t="str" cm="1">
        <f t="array" aca="1" ref="K44" ca="1">IFERROR(INDEX($F$16:$F$116,SMALL(IF($F$16:$F$116&lt;&gt;"",ROW($F$16:$F$116)-ROW($F$16)+1),ROW(A29))),"")</f>
        <v/>
      </c>
      <c r="L44" s="210" t="str">
        <f t="shared" ca="1" si="0"/>
        <v/>
      </c>
      <c r="M44" s="210" t="str" cm="1">
        <f t="array" aca="1" ref="M44" ca="1">IFERROR(INDEX($G$16:$G$116,SMALL(IF($G$16:$G$116&lt;&gt;"",ROW($G$16:$G$116)-ROW($G$16)+1),ROW(A29))),"")</f>
        <v/>
      </c>
      <c r="N44" s="215" t="str">
        <f t="shared" ca="1" si="1"/>
        <v/>
      </c>
      <c r="O44" s="216" t="str">
        <f t="shared" ca="1" si="2"/>
        <v/>
      </c>
      <c r="P44" s="216" t="str">
        <f t="shared" ca="1" si="3"/>
        <v/>
      </c>
      <c r="Q44" s="216" t="str">
        <f t="shared" ca="1" si="4"/>
        <v/>
      </c>
      <c r="R44" s="216" t="str">
        <f t="shared" ca="1" si="5"/>
        <v/>
      </c>
      <c r="S44" s="216" t="str">
        <f t="shared" ca="1" si="6"/>
        <v/>
      </c>
      <c r="T44" s="216" t="str">
        <f t="shared" ca="1" si="7"/>
        <v/>
      </c>
      <c r="U44" s="216" t="str">
        <f t="shared" ca="1" si="8"/>
        <v/>
      </c>
      <c r="V44" s="217" t="str">
        <f t="shared" ca="1" si="9"/>
        <v/>
      </c>
      <c r="W44" s="376" t="str">
        <f t="shared" ca="1" si="21"/>
        <v/>
      </c>
      <c r="X44" s="377" t="str">
        <f t="shared" ca="1" si="22"/>
        <v/>
      </c>
      <c r="Y44" s="378" t="str">
        <f t="shared" ca="1" si="27"/>
        <v/>
      </c>
      <c r="Z44" s="378" t="str">
        <f t="shared" ca="1" si="27"/>
        <v/>
      </c>
      <c r="AA44" s="378" t="str">
        <f t="shared" ca="1" si="27"/>
        <v/>
      </c>
      <c r="AB44" s="378" t="str">
        <f t="shared" ca="1" si="27"/>
        <v/>
      </c>
      <c r="AC44" s="378" t="str">
        <f t="shared" ca="1" si="11"/>
        <v/>
      </c>
      <c r="AD44" s="378" t="str">
        <f t="shared" ca="1" si="28"/>
        <v/>
      </c>
      <c r="AE44" s="378" t="str">
        <f t="shared" ca="1" si="28"/>
        <v/>
      </c>
      <c r="AF44" s="378" t="str">
        <f t="shared" ca="1" si="28"/>
        <v/>
      </c>
      <c r="AG44" s="378" t="str">
        <f t="shared" ca="1" si="28"/>
        <v/>
      </c>
      <c r="AH44" s="378" t="str">
        <f t="shared" ca="1" si="28"/>
        <v/>
      </c>
      <c r="AI44" s="376" t="str">
        <f t="shared" ca="1" si="23"/>
        <v/>
      </c>
      <c r="AJ44" s="377" t="str">
        <f t="shared" ca="1" si="24"/>
        <v/>
      </c>
      <c r="AK44" s="378" t="str">
        <f t="shared" ca="1" si="29"/>
        <v/>
      </c>
      <c r="AL44" s="378" t="str">
        <f t="shared" ca="1" si="29"/>
        <v/>
      </c>
      <c r="AM44" s="378" t="str">
        <f t="shared" ca="1" si="29"/>
        <v/>
      </c>
      <c r="AN44" s="378" t="str">
        <f t="shared" ca="1" si="29"/>
        <v/>
      </c>
      <c r="AO44" s="378" t="str">
        <f t="shared" ca="1" si="14"/>
        <v/>
      </c>
      <c r="AP44" s="378" t="str">
        <f t="shared" ca="1" si="30"/>
        <v/>
      </c>
      <c r="AQ44" s="378" t="str">
        <f t="shared" ca="1" si="30"/>
        <v/>
      </c>
      <c r="AR44" s="378" t="str">
        <f t="shared" ca="1" si="30"/>
        <v/>
      </c>
      <c r="AS44" s="378" t="str">
        <f t="shared" ca="1" si="30"/>
        <v/>
      </c>
      <c r="AT44" s="378" t="str">
        <f t="shared" ca="1" si="30"/>
        <v/>
      </c>
    </row>
    <row r="45" spans="1:46" x14ac:dyDescent="0.4">
      <c r="A45" s="150">
        <v>30</v>
      </c>
      <c r="B45" s="204" t="b">
        <f t="shared" si="16"/>
        <v>0</v>
      </c>
      <c r="C45" s="209" t="str">
        <f t="shared" ca="1" si="17"/>
        <v/>
      </c>
      <c r="D45" s="359" t="str">
        <f t="shared" ca="1" si="18"/>
        <v/>
      </c>
      <c r="E45" s="359" t="str">
        <f t="shared" ca="1" si="19"/>
        <v/>
      </c>
      <c r="F45" s="57" t="str">
        <f t="shared" ca="1" si="20"/>
        <v/>
      </c>
      <c r="G45" s="57" t="str">
        <f t="shared" ca="1" si="20"/>
        <v/>
      </c>
      <c r="H45" s="211" t="str" cm="1">
        <f t="array" aca="1" ref="H45" ca="1">IFERROR(INDEX($C$16:$C$116,SMALL(IF($C$16:$C$116&lt;&gt;"",ROW($C$16:$C$116)-ROW($C$16)+1),ROW(A30))),"")</f>
        <v/>
      </c>
      <c r="I45" s="210" t="str" cm="1">
        <f t="array" aca="1" ref="I45" ca="1">IFERROR(INDEX($D$16:$D$116,SMALL(IF($D$16:$D$116&lt;&gt;"",ROW($D$16:$D$116)-ROW($D$16)+1),ROW(A30))),"")</f>
        <v/>
      </c>
      <c r="J45" s="210" t="str" cm="1">
        <f t="array" aca="1" ref="J45" ca="1">IFERROR(INDEX($E$16:$E$116,SMALL(IF($E$16:$E$116&lt;&gt;"",ROW($E$16:$E$116)-ROW($E$16)+1),ROW(A30))),"")</f>
        <v/>
      </c>
      <c r="K45" s="210" t="str" cm="1">
        <f t="array" aca="1" ref="K45" ca="1">IFERROR(INDEX($F$16:$F$116,SMALL(IF($F$16:$F$116&lt;&gt;"",ROW($F$16:$F$116)-ROW($F$16)+1),ROW(A30))),"")</f>
        <v/>
      </c>
      <c r="L45" s="210" t="str">
        <f t="shared" ca="1" si="0"/>
        <v/>
      </c>
      <c r="M45" s="210" t="str" cm="1">
        <f t="array" aca="1" ref="M45" ca="1">IFERROR(INDEX($G$16:$G$116,SMALL(IF($G$16:$G$116&lt;&gt;"",ROW($G$16:$G$116)-ROW($G$16)+1),ROW(A30))),"")</f>
        <v/>
      </c>
      <c r="N45" s="215" t="str">
        <f t="shared" ca="1" si="1"/>
        <v/>
      </c>
      <c r="O45" s="216" t="str">
        <f t="shared" ca="1" si="2"/>
        <v/>
      </c>
      <c r="P45" s="216" t="str">
        <f t="shared" ca="1" si="3"/>
        <v/>
      </c>
      <c r="Q45" s="216" t="str">
        <f t="shared" ca="1" si="4"/>
        <v/>
      </c>
      <c r="R45" s="216" t="str">
        <f t="shared" ca="1" si="5"/>
        <v/>
      </c>
      <c r="S45" s="216" t="str">
        <f t="shared" ca="1" si="6"/>
        <v/>
      </c>
      <c r="T45" s="216" t="str">
        <f t="shared" ca="1" si="7"/>
        <v/>
      </c>
      <c r="U45" s="216" t="str">
        <f t="shared" ca="1" si="8"/>
        <v/>
      </c>
      <c r="V45" s="217" t="str">
        <f t="shared" ca="1" si="9"/>
        <v/>
      </c>
      <c r="W45" s="376" t="str">
        <f t="shared" ca="1" si="21"/>
        <v/>
      </c>
      <c r="X45" s="377" t="str">
        <f t="shared" ca="1" si="22"/>
        <v/>
      </c>
      <c r="Y45" s="378" t="str">
        <f t="shared" ca="1" si="27"/>
        <v/>
      </c>
      <c r="Z45" s="378" t="str">
        <f t="shared" ca="1" si="27"/>
        <v/>
      </c>
      <c r="AA45" s="378" t="str">
        <f t="shared" ca="1" si="27"/>
        <v/>
      </c>
      <c r="AB45" s="378" t="str">
        <f t="shared" ca="1" si="27"/>
        <v/>
      </c>
      <c r="AC45" s="378" t="str">
        <f t="shared" ca="1" si="11"/>
        <v/>
      </c>
      <c r="AD45" s="378" t="str">
        <f t="shared" ca="1" si="28"/>
        <v/>
      </c>
      <c r="AE45" s="378" t="str">
        <f t="shared" ca="1" si="28"/>
        <v/>
      </c>
      <c r="AF45" s="378" t="str">
        <f t="shared" ca="1" si="28"/>
        <v/>
      </c>
      <c r="AG45" s="378" t="str">
        <f t="shared" ca="1" si="28"/>
        <v/>
      </c>
      <c r="AH45" s="378" t="str">
        <f t="shared" ca="1" si="28"/>
        <v/>
      </c>
      <c r="AI45" s="376" t="str">
        <f t="shared" ca="1" si="23"/>
        <v/>
      </c>
      <c r="AJ45" s="377" t="str">
        <f t="shared" ca="1" si="24"/>
        <v/>
      </c>
      <c r="AK45" s="378" t="str">
        <f t="shared" ca="1" si="29"/>
        <v/>
      </c>
      <c r="AL45" s="378" t="str">
        <f t="shared" ca="1" si="29"/>
        <v/>
      </c>
      <c r="AM45" s="378" t="str">
        <f t="shared" ca="1" si="29"/>
        <v/>
      </c>
      <c r="AN45" s="378" t="str">
        <f t="shared" ca="1" si="29"/>
        <v/>
      </c>
      <c r="AO45" s="378" t="str">
        <f t="shared" ca="1" si="14"/>
        <v/>
      </c>
      <c r="AP45" s="378" t="str">
        <f t="shared" ca="1" si="30"/>
        <v/>
      </c>
      <c r="AQ45" s="378" t="str">
        <f t="shared" ca="1" si="30"/>
        <v/>
      </c>
      <c r="AR45" s="378" t="str">
        <f t="shared" ca="1" si="30"/>
        <v/>
      </c>
      <c r="AS45" s="378" t="str">
        <f t="shared" ca="1" si="30"/>
        <v/>
      </c>
      <c r="AT45" s="378" t="str">
        <f t="shared" ca="1" si="30"/>
        <v/>
      </c>
    </row>
    <row r="46" spans="1:46" x14ac:dyDescent="0.4">
      <c r="A46" s="150">
        <v>31</v>
      </c>
      <c r="B46" s="204" t="b">
        <f t="shared" si="16"/>
        <v>0</v>
      </c>
      <c r="C46" s="209" t="str">
        <f t="shared" ca="1" si="17"/>
        <v/>
      </c>
      <c r="D46" s="359" t="str">
        <f t="shared" ca="1" si="18"/>
        <v/>
      </c>
      <c r="E46" s="359" t="str">
        <f t="shared" ca="1" si="19"/>
        <v/>
      </c>
      <c r="F46" s="57" t="str">
        <f t="shared" ca="1" si="20"/>
        <v/>
      </c>
      <c r="G46" s="57" t="str">
        <f t="shared" ca="1" si="20"/>
        <v/>
      </c>
      <c r="H46" s="211" t="str" cm="1">
        <f t="array" aca="1" ref="H46" ca="1">IFERROR(INDEX($C$16:$C$116,SMALL(IF($C$16:$C$116&lt;&gt;"",ROW($C$16:$C$116)-ROW($C$16)+1),ROW(A31))),"")</f>
        <v/>
      </c>
      <c r="I46" s="210" t="str" cm="1">
        <f t="array" aca="1" ref="I46" ca="1">IFERROR(INDEX($D$16:$D$116,SMALL(IF($D$16:$D$116&lt;&gt;"",ROW($D$16:$D$116)-ROW($D$16)+1),ROW(A31))),"")</f>
        <v/>
      </c>
      <c r="J46" s="210" t="str" cm="1">
        <f t="array" aca="1" ref="J46" ca="1">IFERROR(INDEX($E$16:$E$116,SMALL(IF($E$16:$E$116&lt;&gt;"",ROW($E$16:$E$116)-ROW($E$16)+1),ROW(A31))),"")</f>
        <v/>
      </c>
      <c r="K46" s="210" t="str" cm="1">
        <f t="array" aca="1" ref="K46" ca="1">IFERROR(INDEX($F$16:$F$116,SMALL(IF($F$16:$F$116&lt;&gt;"",ROW($F$16:$F$116)-ROW($F$16)+1),ROW(A31))),"")</f>
        <v/>
      </c>
      <c r="L46" s="210" t="str">
        <f t="shared" ca="1" si="0"/>
        <v/>
      </c>
      <c r="M46" s="210" t="str" cm="1">
        <f t="array" aca="1" ref="M46" ca="1">IFERROR(INDEX($G$16:$G$116,SMALL(IF($G$16:$G$116&lt;&gt;"",ROW($G$16:$G$116)-ROW($G$16)+1),ROW(A31))),"")</f>
        <v/>
      </c>
      <c r="N46" s="215" t="str">
        <f t="shared" ca="1" si="1"/>
        <v/>
      </c>
      <c r="O46" s="216" t="str">
        <f t="shared" ca="1" si="2"/>
        <v/>
      </c>
      <c r="P46" s="216" t="str">
        <f t="shared" ca="1" si="3"/>
        <v/>
      </c>
      <c r="Q46" s="216" t="str">
        <f t="shared" ca="1" si="4"/>
        <v/>
      </c>
      <c r="R46" s="216" t="str">
        <f t="shared" ca="1" si="5"/>
        <v/>
      </c>
      <c r="S46" s="216" t="str">
        <f t="shared" ca="1" si="6"/>
        <v/>
      </c>
      <c r="T46" s="216" t="str">
        <f t="shared" ca="1" si="7"/>
        <v/>
      </c>
      <c r="U46" s="216" t="str">
        <f t="shared" ca="1" si="8"/>
        <v/>
      </c>
      <c r="V46" s="217" t="str">
        <f t="shared" ca="1" si="9"/>
        <v/>
      </c>
      <c r="W46" s="376" t="str">
        <f t="shared" ca="1" si="21"/>
        <v/>
      </c>
      <c r="X46" s="377" t="str">
        <f t="shared" ca="1" si="22"/>
        <v/>
      </c>
      <c r="Y46" s="378" t="str">
        <f t="shared" ca="1" si="27"/>
        <v/>
      </c>
      <c r="Z46" s="378" t="str">
        <f t="shared" ca="1" si="27"/>
        <v/>
      </c>
      <c r="AA46" s="378" t="str">
        <f t="shared" ca="1" si="27"/>
        <v/>
      </c>
      <c r="AB46" s="378" t="str">
        <f t="shared" ca="1" si="27"/>
        <v/>
      </c>
      <c r="AC46" s="378" t="str">
        <f t="shared" ca="1" si="11"/>
        <v/>
      </c>
      <c r="AD46" s="378" t="str">
        <f t="shared" ref="AD46:AH55" ca="1" si="31">IF(OR($J46="Pluviomètre",LEFT($J46,5)="Sonde"),"",IF($H46&lt;&gt;"",IF(_xlfn.SINGLE(INDIRECT($H46&amp;"!"&amp;$W46&amp;($X46+AD$15+1)))&lt;&gt;"",_xlfn.SINGLE(INDIRECT($H46&amp;"!"&amp;$W46&amp;($X46+AD$15+1))),""),""))</f>
        <v/>
      </c>
      <c r="AE46" s="378" t="str">
        <f t="shared" ca="1" si="31"/>
        <v/>
      </c>
      <c r="AF46" s="378" t="str">
        <f t="shared" ca="1" si="31"/>
        <v/>
      </c>
      <c r="AG46" s="378" t="str">
        <f t="shared" ca="1" si="31"/>
        <v/>
      </c>
      <c r="AH46" s="378" t="str">
        <f t="shared" ca="1" si="31"/>
        <v/>
      </c>
      <c r="AI46" s="376" t="str">
        <f t="shared" ca="1" si="23"/>
        <v/>
      </c>
      <c r="AJ46" s="377" t="str">
        <f t="shared" ca="1" si="24"/>
        <v/>
      </c>
      <c r="AK46" s="378" t="str">
        <f t="shared" ca="1" si="29"/>
        <v/>
      </c>
      <c r="AL46" s="378" t="str">
        <f t="shared" ca="1" si="29"/>
        <v/>
      </c>
      <c r="AM46" s="378" t="str">
        <f t="shared" ca="1" si="29"/>
        <v/>
      </c>
      <c r="AN46" s="378" t="str">
        <f t="shared" ca="1" si="29"/>
        <v/>
      </c>
      <c r="AO46" s="378" t="str">
        <f t="shared" ca="1" si="14"/>
        <v/>
      </c>
      <c r="AP46" s="378" t="str">
        <f t="shared" ref="AP46:AT55" ca="1" si="32">IF(OR($J46="Pluviomètre",LEFT($J46,5)="Sonde"),"",IF($H46&lt;&gt;"",IF(_xlfn.SINGLE(INDIRECT($H46&amp;"!"&amp;$AI46&amp;($AJ46+AP$15+1)))&lt;&gt;"",_xlfn.SINGLE(INDIRECT($H46&amp;"!"&amp;$AI46&amp;($AJ46+AP$15+1))),""),""))</f>
        <v/>
      </c>
      <c r="AQ46" s="378" t="str">
        <f t="shared" ca="1" si="32"/>
        <v/>
      </c>
      <c r="AR46" s="378" t="str">
        <f t="shared" ca="1" si="32"/>
        <v/>
      </c>
      <c r="AS46" s="378" t="str">
        <f t="shared" ca="1" si="32"/>
        <v/>
      </c>
      <c r="AT46" s="378" t="str">
        <f t="shared" ca="1" si="32"/>
        <v/>
      </c>
    </row>
    <row r="47" spans="1:46" x14ac:dyDescent="0.4">
      <c r="A47" s="150">
        <v>32</v>
      </c>
      <c r="B47" s="204" t="b">
        <f t="shared" si="16"/>
        <v>0</v>
      </c>
      <c r="C47" s="209" t="str">
        <f t="shared" ca="1" si="17"/>
        <v/>
      </c>
      <c r="D47" s="359" t="str">
        <f t="shared" ca="1" si="18"/>
        <v/>
      </c>
      <c r="E47" s="359" t="str">
        <f t="shared" ca="1" si="19"/>
        <v/>
      </c>
      <c r="F47" s="57" t="str">
        <f t="shared" ca="1" si="20"/>
        <v/>
      </c>
      <c r="G47" s="57" t="str">
        <f t="shared" ca="1" si="20"/>
        <v/>
      </c>
      <c r="H47" s="211" t="str" cm="1">
        <f t="array" aca="1" ref="H47" ca="1">IFERROR(INDEX($C$16:$C$116,SMALL(IF($C$16:$C$116&lt;&gt;"",ROW($C$16:$C$116)-ROW($C$16)+1),ROW(A32))),"")</f>
        <v/>
      </c>
      <c r="I47" s="210" t="str" cm="1">
        <f t="array" aca="1" ref="I47" ca="1">IFERROR(INDEX($D$16:$D$116,SMALL(IF($D$16:$D$116&lt;&gt;"",ROW($D$16:$D$116)-ROW($D$16)+1),ROW(A32))),"")</f>
        <v/>
      </c>
      <c r="J47" s="210" t="str" cm="1">
        <f t="array" aca="1" ref="J47" ca="1">IFERROR(INDEX($E$16:$E$116,SMALL(IF($E$16:$E$116&lt;&gt;"",ROW($E$16:$E$116)-ROW($E$16)+1),ROW(A32))),"")</f>
        <v/>
      </c>
      <c r="K47" s="210" t="str" cm="1">
        <f t="array" aca="1" ref="K47" ca="1">IFERROR(INDEX($F$16:$F$116,SMALL(IF($F$16:$F$116&lt;&gt;"",ROW($F$16:$F$116)-ROW($F$16)+1),ROW(A32))),"")</f>
        <v/>
      </c>
      <c r="L47" s="210" t="str">
        <f t="shared" ca="1" si="0"/>
        <v/>
      </c>
      <c r="M47" s="210" t="str" cm="1">
        <f t="array" aca="1" ref="M47" ca="1">IFERROR(INDEX($G$16:$G$116,SMALL(IF($G$16:$G$116&lt;&gt;"",ROW($G$16:$G$116)-ROW($G$16)+1),ROW(A32))),"")</f>
        <v/>
      </c>
      <c r="N47" s="215" t="str">
        <f t="shared" ca="1" si="1"/>
        <v/>
      </c>
      <c r="O47" s="216" t="str">
        <f t="shared" ca="1" si="2"/>
        <v/>
      </c>
      <c r="P47" s="216" t="str">
        <f t="shared" ca="1" si="3"/>
        <v/>
      </c>
      <c r="Q47" s="216" t="str">
        <f t="shared" ca="1" si="4"/>
        <v/>
      </c>
      <c r="R47" s="216" t="str">
        <f t="shared" ca="1" si="5"/>
        <v/>
      </c>
      <c r="S47" s="216" t="str">
        <f t="shared" ca="1" si="6"/>
        <v/>
      </c>
      <c r="T47" s="216" t="str">
        <f t="shared" ca="1" si="7"/>
        <v/>
      </c>
      <c r="U47" s="216" t="str">
        <f t="shared" ca="1" si="8"/>
        <v/>
      </c>
      <c r="V47" s="217" t="str">
        <f t="shared" ca="1" si="9"/>
        <v/>
      </c>
      <c r="W47" s="376" t="str">
        <f t="shared" ca="1" si="21"/>
        <v/>
      </c>
      <c r="X47" s="377" t="str">
        <f t="shared" ca="1" si="22"/>
        <v/>
      </c>
      <c r="Y47" s="378" t="str">
        <f t="shared" ca="1" si="27"/>
        <v/>
      </c>
      <c r="Z47" s="378" t="str">
        <f t="shared" ca="1" si="27"/>
        <v/>
      </c>
      <c r="AA47" s="378" t="str">
        <f t="shared" ca="1" si="27"/>
        <v/>
      </c>
      <c r="AB47" s="378" t="str">
        <f t="shared" ca="1" si="27"/>
        <v/>
      </c>
      <c r="AC47" s="378" t="str">
        <f t="shared" ca="1" si="11"/>
        <v/>
      </c>
      <c r="AD47" s="378" t="str">
        <f t="shared" ca="1" si="31"/>
        <v/>
      </c>
      <c r="AE47" s="378" t="str">
        <f t="shared" ca="1" si="31"/>
        <v/>
      </c>
      <c r="AF47" s="378" t="str">
        <f t="shared" ca="1" si="31"/>
        <v/>
      </c>
      <c r="AG47" s="378" t="str">
        <f t="shared" ca="1" si="31"/>
        <v/>
      </c>
      <c r="AH47" s="378" t="str">
        <f t="shared" ca="1" si="31"/>
        <v/>
      </c>
      <c r="AI47" s="376" t="str">
        <f t="shared" ca="1" si="23"/>
        <v/>
      </c>
      <c r="AJ47" s="377" t="str">
        <f t="shared" ca="1" si="24"/>
        <v/>
      </c>
      <c r="AK47" s="378" t="str">
        <f t="shared" ca="1" si="29"/>
        <v/>
      </c>
      <c r="AL47" s="378" t="str">
        <f t="shared" ca="1" si="29"/>
        <v/>
      </c>
      <c r="AM47" s="378" t="str">
        <f t="shared" ca="1" si="29"/>
        <v/>
      </c>
      <c r="AN47" s="378" t="str">
        <f t="shared" ca="1" si="29"/>
        <v/>
      </c>
      <c r="AO47" s="378" t="str">
        <f t="shared" ca="1" si="14"/>
        <v/>
      </c>
      <c r="AP47" s="378" t="str">
        <f t="shared" ca="1" si="32"/>
        <v/>
      </c>
      <c r="AQ47" s="378" t="str">
        <f t="shared" ca="1" si="32"/>
        <v/>
      </c>
      <c r="AR47" s="378" t="str">
        <f t="shared" ca="1" si="32"/>
        <v/>
      </c>
      <c r="AS47" s="378" t="str">
        <f t="shared" ca="1" si="32"/>
        <v/>
      </c>
      <c r="AT47" s="378" t="str">
        <f t="shared" ca="1" si="32"/>
        <v/>
      </c>
    </row>
    <row r="48" spans="1:46" x14ac:dyDescent="0.4">
      <c r="A48" s="150">
        <v>33</v>
      </c>
      <c r="B48" s="204" t="b">
        <f t="shared" si="16"/>
        <v>0</v>
      </c>
      <c r="C48" s="209" t="str">
        <f t="shared" ca="1" si="17"/>
        <v/>
      </c>
      <c r="D48" s="359" t="str">
        <f t="shared" ca="1" si="18"/>
        <v/>
      </c>
      <c r="E48" s="359" t="str">
        <f t="shared" ca="1" si="19"/>
        <v/>
      </c>
      <c r="F48" s="57" t="str">
        <f t="shared" ca="1" si="20"/>
        <v/>
      </c>
      <c r="G48" s="57" t="str">
        <f t="shared" ca="1" si="20"/>
        <v/>
      </c>
      <c r="H48" s="211" t="str" cm="1">
        <f t="array" aca="1" ref="H48" ca="1">IFERROR(INDEX($C$16:$C$116,SMALL(IF($C$16:$C$116&lt;&gt;"",ROW($C$16:$C$116)-ROW($C$16)+1),ROW(A33))),"")</f>
        <v/>
      </c>
      <c r="I48" s="210" t="str" cm="1">
        <f t="array" aca="1" ref="I48" ca="1">IFERROR(INDEX($D$16:$D$116,SMALL(IF($D$16:$D$116&lt;&gt;"",ROW($D$16:$D$116)-ROW($D$16)+1),ROW(A33))),"")</f>
        <v/>
      </c>
      <c r="J48" s="210" t="str" cm="1">
        <f t="array" aca="1" ref="J48" ca="1">IFERROR(INDEX($E$16:$E$116,SMALL(IF($E$16:$E$116&lt;&gt;"",ROW($E$16:$E$116)-ROW($E$16)+1),ROW(A33))),"")</f>
        <v/>
      </c>
      <c r="K48" s="210" t="str" cm="1">
        <f t="array" aca="1" ref="K48" ca="1">IFERROR(INDEX($F$16:$F$116,SMALL(IF($F$16:$F$116&lt;&gt;"",ROW($F$16:$F$116)-ROW($F$16)+1),ROW(A33))),"")</f>
        <v/>
      </c>
      <c r="L48" s="210" t="str">
        <f t="shared" ref="L48:L72" ca="1" si="33">H48</f>
        <v/>
      </c>
      <c r="M48" s="210" t="str" cm="1">
        <f t="array" aca="1" ref="M48" ca="1">IFERROR(INDEX($G$16:$G$116,SMALL(IF($G$16:$G$116&lt;&gt;"",ROW($G$16:$G$116)-ROW($G$16)+1),ROW(A33))),"")</f>
        <v/>
      </c>
      <c r="N48" s="215" t="str">
        <f t="shared" ref="N48:N72" ca="1" si="34">IF($J48&lt;&gt;"",VLOOKUP($J48,$A$5:$F$9,2,FALSE),"")</f>
        <v/>
      </c>
      <c r="O48" s="216" t="str">
        <f t="shared" ref="O48:O72" ca="1" si="35">IF($J48&lt;&gt;"",VLOOKUP($J48,$A$5:$F$9,3,FALSE),"")</f>
        <v/>
      </c>
      <c r="P48" s="216" t="str">
        <f t="shared" ref="P48:P72" ca="1" si="36">IF($J48&lt;&gt;"",IF(_xlfn.SINGLE(INDIRECT($H48&amp;"!"&amp;$O48))&lt;&gt;"",_xlfn.SINGLE(INDIRECT($H48&amp;"!"&amp;$O48)),""),"")</f>
        <v/>
      </c>
      <c r="Q48" s="216" t="str">
        <f t="shared" ref="Q48:Q72" ca="1" si="37">IF($J48&lt;&gt;"",VLOOKUP($J48,$A$5:$F$9,4,FALSE),"")</f>
        <v/>
      </c>
      <c r="R48" s="216" t="str">
        <f t="shared" ref="R48:R72" ca="1" si="38">IF($J48&lt;&gt;"",IF(_xlfn.SINGLE(INDIRECT($H48&amp;"!"&amp;$Q48))&lt;&gt;"",_xlfn.SINGLE(INDIRECT($H48&amp;"!"&amp;$Q48)),""),"")</f>
        <v/>
      </c>
      <c r="S48" s="216" t="str">
        <f t="shared" ref="S48:S72" ca="1" si="39">IF($J48&lt;&gt;"",VLOOKUP($J48,$A$5:$F$9,5,FALSE),"")</f>
        <v/>
      </c>
      <c r="T48" s="216" t="str">
        <f t="shared" ref="T48:T72" ca="1" si="40">IF($J48&lt;&gt;"",IF(_xlfn.SINGLE(INDIRECT($H48&amp;"!"&amp;$S48))&lt;&gt;"",_xlfn.SINGLE(INDIRECT($H48&amp;"!"&amp;$S48)),""),"")</f>
        <v/>
      </c>
      <c r="U48" s="216" t="str">
        <f t="shared" ref="U48:U72" ca="1" si="41">IF($J48&lt;&gt;"",VLOOKUP($J48,$A$5:$F$9,6,FALSE),"")</f>
        <v/>
      </c>
      <c r="V48" s="217" t="str">
        <f t="shared" ref="V48:V72" ca="1" si="42">IF($J48&lt;&gt;"",IF(_xlfn.SINGLE(INDIRECT($H48&amp;"!"&amp;$U48))&lt;&gt;"",_xlfn.SINGLE(INDIRECT($H48&amp;"!"&amp;$U48)),""),"")</f>
        <v/>
      </c>
      <c r="W48" s="376" t="str">
        <f t="shared" ca="1" si="21"/>
        <v/>
      </c>
      <c r="X48" s="377" t="str">
        <f t="shared" ca="1" si="22"/>
        <v/>
      </c>
      <c r="Y48" s="378" t="str">
        <f t="shared" ca="1" si="27"/>
        <v/>
      </c>
      <c r="Z48" s="378" t="str">
        <f t="shared" ca="1" si="27"/>
        <v/>
      </c>
      <c r="AA48" s="378" t="str">
        <f t="shared" ca="1" si="27"/>
        <v/>
      </c>
      <c r="AB48" s="378" t="str">
        <f t="shared" ca="1" si="27"/>
        <v/>
      </c>
      <c r="AC48" s="378" t="str">
        <f t="shared" ref="AC48:AC72" ca="1" si="43">IF(LEFT($J48,5)="Sonde","",IF($H48&lt;&gt;"",IF(_xlfn.SINGLE(INDIRECT($H48&amp;"!"&amp;$W48&amp;($X48+AC$15+1)))&lt;&gt;"",_xlfn.SINGLE(INDIRECT($H48&amp;"!"&amp;$W48&amp;($X48+AC$15+1))),""),""))</f>
        <v/>
      </c>
      <c r="AD48" s="378" t="str">
        <f t="shared" ca="1" si="31"/>
        <v/>
      </c>
      <c r="AE48" s="378" t="str">
        <f t="shared" ca="1" si="31"/>
        <v/>
      </c>
      <c r="AF48" s="378" t="str">
        <f t="shared" ca="1" si="31"/>
        <v/>
      </c>
      <c r="AG48" s="378" t="str">
        <f t="shared" ca="1" si="31"/>
        <v/>
      </c>
      <c r="AH48" s="378" t="str">
        <f t="shared" ca="1" si="31"/>
        <v/>
      </c>
      <c r="AI48" s="376" t="str">
        <f t="shared" ca="1" si="23"/>
        <v/>
      </c>
      <c r="AJ48" s="377" t="str">
        <f t="shared" ca="1" si="24"/>
        <v/>
      </c>
      <c r="AK48" s="378" t="str">
        <f t="shared" ca="1" si="29"/>
        <v/>
      </c>
      <c r="AL48" s="378" t="str">
        <f t="shared" ca="1" si="29"/>
        <v/>
      </c>
      <c r="AM48" s="378" t="str">
        <f t="shared" ca="1" si="29"/>
        <v/>
      </c>
      <c r="AN48" s="378" t="str">
        <f t="shared" ca="1" si="29"/>
        <v/>
      </c>
      <c r="AO48" s="378" t="str">
        <f t="shared" ref="AO48:AO72" ca="1" si="44">IF(LEFT($J48,5)="Sonde","",IF($H48&lt;&gt;"",IF(_xlfn.SINGLE(INDIRECT($H48&amp;"!"&amp;$AI48&amp;($AJ48+AO$15+1)))&lt;&gt;"",_xlfn.SINGLE(INDIRECT($H48&amp;"!"&amp;$AI48&amp;($AJ48+AO$15+1))),""),""))</f>
        <v/>
      </c>
      <c r="AP48" s="378" t="str">
        <f t="shared" ca="1" si="32"/>
        <v/>
      </c>
      <c r="AQ48" s="378" t="str">
        <f t="shared" ca="1" si="32"/>
        <v/>
      </c>
      <c r="AR48" s="378" t="str">
        <f t="shared" ca="1" si="32"/>
        <v/>
      </c>
      <c r="AS48" s="378" t="str">
        <f t="shared" ca="1" si="32"/>
        <v/>
      </c>
      <c r="AT48" s="378" t="str">
        <f t="shared" ca="1" si="32"/>
        <v/>
      </c>
    </row>
    <row r="49" spans="1:46" s="366" customFormat="1" x14ac:dyDescent="0.4">
      <c r="A49" s="360">
        <v>34</v>
      </c>
      <c r="B49" s="204" t="b">
        <f t="shared" si="16"/>
        <v>0</v>
      </c>
      <c r="C49" s="209" t="str">
        <f t="shared" ca="1" si="17"/>
        <v/>
      </c>
      <c r="D49" s="359" t="str">
        <f t="shared" ca="1" si="18"/>
        <v/>
      </c>
      <c r="E49" s="359" t="str">
        <f t="shared" ca="1" si="19"/>
        <v/>
      </c>
      <c r="F49" s="57" t="str">
        <f t="shared" ca="1" si="20"/>
        <v/>
      </c>
      <c r="G49" s="57" t="str">
        <f t="shared" ca="1" si="20"/>
        <v/>
      </c>
      <c r="H49" s="361" t="str" cm="1">
        <f t="array" aca="1" ref="H49" ca="1">IFERROR(INDEX($C$16:$C$116,SMALL(IF($C$16:$C$116&lt;&gt;"",ROW($C$16:$C$116)-ROW($C$16)+1),ROW(A34))),"")</f>
        <v/>
      </c>
      <c r="I49" s="362" t="str" cm="1">
        <f t="array" aca="1" ref="I49" ca="1">IFERROR(INDEX($D$16:$D$116,SMALL(IF($D$16:$D$116&lt;&gt;"",ROW($D$16:$D$116)-ROW($D$16)+1),ROW(A34))),"")</f>
        <v/>
      </c>
      <c r="J49" s="362" t="str" cm="1">
        <f t="array" aca="1" ref="J49" ca="1">IFERROR(INDEX($E$16:$E$116,SMALL(IF($E$16:$E$116&lt;&gt;"",ROW($E$16:$E$116)-ROW($E$16)+1),ROW(A34))),"")</f>
        <v/>
      </c>
      <c r="K49" s="362" t="str" cm="1">
        <f t="array" aca="1" ref="K49" ca="1">IFERROR(INDEX($F$16:$F$116,SMALL(IF($F$16:$F$116&lt;&gt;"",ROW($F$16:$F$116)-ROW($F$16)+1),ROW(A34))),"")</f>
        <v/>
      </c>
      <c r="L49" s="210" t="str">
        <f t="shared" ca="1" si="33"/>
        <v/>
      </c>
      <c r="M49" s="210" t="str" cm="1">
        <f t="array" aca="1" ref="M49" ca="1">IFERROR(INDEX($G$16:$G$116,SMALL(IF($G$16:$G$116&lt;&gt;"",ROW($G$16:$G$116)-ROW($G$16)+1),ROW(A34))),"")</f>
        <v/>
      </c>
      <c r="N49" s="363" t="str">
        <f t="shared" ca="1" si="34"/>
        <v/>
      </c>
      <c r="O49" s="364" t="str">
        <f t="shared" ca="1" si="35"/>
        <v/>
      </c>
      <c r="P49" s="364" t="str">
        <f t="shared" ca="1" si="36"/>
        <v/>
      </c>
      <c r="Q49" s="364" t="str">
        <f t="shared" ca="1" si="37"/>
        <v/>
      </c>
      <c r="R49" s="364" t="str">
        <f t="shared" ca="1" si="38"/>
        <v/>
      </c>
      <c r="S49" s="364" t="str">
        <f t="shared" ca="1" si="39"/>
        <v/>
      </c>
      <c r="T49" s="364" t="str">
        <f t="shared" ca="1" si="40"/>
        <v/>
      </c>
      <c r="U49" s="364" t="str">
        <f t="shared" ca="1" si="41"/>
        <v/>
      </c>
      <c r="V49" s="365" t="str">
        <f t="shared" ca="1" si="42"/>
        <v/>
      </c>
      <c r="W49" s="376" t="str">
        <f t="shared" ca="1" si="21"/>
        <v/>
      </c>
      <c r="X49" s="379" t="str">
        <f t="shared" ca="1" si="22"/>
        <v/>
      </c>
      <c r="Y49" s="380" t="str">
        <f t="shared" ca="1" si="27"/>
        <v/>
      </c>
      <c r="Z49" s="380" t="str">
        <f t="shared" ca="1" si="27"/>
        <v/>
      </c>
      <c r="AA49" s="380" t="str">
        <f t="shared" ca="1" si="27"/>
        <v/>
      </c>
      <c r="AB49" s="380" t="str">
        <f t="shared" ca="1" si="27"/>
        <v/>
      </c>
      <c r="AC49" s="378" t="str">
        <f t="shared" ca="1" si="43"/>
        <v/>
      </c>
      <c r="AD49" s="378" t="str">
        <f t="shared" ca="1" si="31"/>
        <v/>
      </c>
      <c r="AE49" s="378" t="str">
        <f t="shared" ca="1" si="31"/>
        <v/>
      </c>
      <c r="AF49" s="378" t="str">
        <f t="shared" ca="1" si="31"/>
        <v/>
      </c>
      <c r="AG49" s="378" t="str">
        <f t="shared" ca="1" si="31"/>
        <v/>
      </c>
      <c r="AH49" s="378" t="str">
        <f t="shared" ca="1" si="31"/>
        <v/>
      </c>
      <c r="AI49" s="376" t="str">
        <f t="shared" ca="1" si="23"/>
        <v/>
      </c>
      <c r="AJ49" s="379" t="str">
        <f t="shared" ca="1" si="24"/>
        <v/>
      </c>
      <c r="AK49" s="378" t="str">
        <f t="shared" ca="1" si="29"/>
        <v/>
      </c>
      <c r="AL49" s="378" t="str">
        <f t="shared" ca="1" si="29"/>
        <v/>
      </c>
      <c r="AM49" s="378" t="str">
        <f t="shared" ca="1" si="29"/>
        <v/>
      </c>
      <c r="AN49" s="378" t="str">
        <f t="shared" ca="1" si="29"/>
        <v/>
      </c>
      <c r="AO49" s="378" t="str">
        <f t="shared" ca="1" si="44"/>
        <v/>
      </c>
      <c r="AP49" s="378" t="str">
        <f t="shared" ca="1" si="32"/>
        <v/>
      </c>
      <c r="AQ49" s="378" t="str">
        <f t="shared" ca="1" si="32"/>
        <v/>
      </c>
      <c r="AR49" s="378" t="str">
        <f t="shared" ca="1" si="32"/>
        <v/>
      </c>
      <c r="AS49" s="378" t="str">
        <f t="shared" ca="1" si="32"/>
        <v/>
      </c>
      <c r="AT49" s="378" t="str">
        <f t="shared" ca="1" si="32"/>
        <v/>
      </c>
    </row>
    <row r="50" spans="1:46" x14ac:dyDescent="0.4">
      <c r="A50" s="150">
        <v>35</v>
      </c>
      <c r="B50" s="204" t="b">
        <f t="shared" si="16"/>
        <v>0</v>
      </c>
      <c r="C50" s="209" t="str">
        <f t="shared" ca="1" si="17"/>
        <v/>
      </c>
      <c r="D50" s="359" t="str">
        <f t="shared" ca="1" si="18"/>
        <v/>
      </c>
      <c r="E50" s="359" t="str">
        <f t="shared" ca="1" si="19"/>
        <v/>
      </c>
      <c r="F50" s="57" t="str">
        <f t="shared" ca="1" si="20"/>
        <v/>
      </c>
      <c r="G50" s="57" t="str">
        <f t="shared" ca="1" si="20"/>
        <v/>
      </c>
      <c r="H50" s="211" t="str" cm="1">
        <f t="array" aca="1" ref="H50" ca="1">IFERROR(INDEX($C$16:$C$116,SMALL(IF($C$16:$C$116&lt;&gt;"",ROW($C$16:$C$116)-ROW($C$16)+1),ROW(A35))),"")</f>
        <v/>
      </c>
      <c r="I50" s="210" t="str" cm="1">
        <f t="array" aca="1" ref="I50" ca="1">IFERROR(INDEX($D$16:$D$116,SMALL(IF($D$16:$D$116&lt;&gt;"",ROW($D$16:$D$116)-ROW($D$16)+1),ROW(A35))),"")</f>
        <v/>
      </c>
      <c r="J50" s="210" t="str" cm="1">
        <f t="array" aca="1" ref="J50" ca="1">IFERROR(INDEX($E$16:$E$116,SMALL(IF($E$16:$E$116&lt;&gt;"",ROW($E$16:$E$116)-ROW($E$16)+1),ROW(A35))),"")</f>
        <v/>
      </c>
      <c r="K50" s="210" t="str" cm="1">
        <f t="array" aca="1" ref="K50" ca="1">IFERROR(INDEX($F$16:$F$116,SMALL(IF($F$16:$F$116&lt;&gt;"",ROW($F$16:$F$116)-ROW($F$16)+1),ROW(A35))),"")</f>
        <v/>
      </c>
      <c r="L50" s="210" t="str">
        <f t="shared" ca="1" si="33"/>
        <v/>
      </c>
      <c r="M50" s="210" t="str" cm="1">
        <f t="array" aca="1" ref="M50" ca="1">IFERROR(INDEX($G$16:$G$116,SMALL(IF($G$16:$G$116&lt;&gt;"",ROW($G$16:$G$116)-ROW($G$16)+1),ROW(A35))),"")</f>
        <v/>
      </c>
      <c r="N50" s="215" t="str">
        <f t="shared" ca="1" si="34"/>
        <v/>
      </c>
      <c r="O50" s="216" t="str">
        <f t="shared" ca="1" si="35"/>
        <v/>
      </c>
      <c r="P50" s="216" t="str">
        <f t="shared" ca="1" si="36"/>
        <v/>
      </c>
      <c r="Q50" s="216" t="str">
        <f t="shared" ca="1" si="37"/>
        <v/>
      </c>
      <c r="R50" s="216" t="str">
        <f t="shared" ca="1" si="38"/>
        <v/>
      </c>
      <c r="S50" s="216" t="str">
        <f t="shared" ca="1" si="39"/>
        <v/>
      </c>
      <c r="T50" s="216" t="str">
        <f t="shared" ca="1" si="40"/>
        <v/>
      </c>
      <c r="U50" s="216" t="str">
        <f t="shared" ca="1" si="41"/>
        <v/>
      </c>
      <c r="V50" s="217" t="str">
        <f t="shared" ca="1" si="42"/>
        <v/>
      </c>
      <c r="W50" s="376" t="str">
        <f t="shared" ca="1" si="21"/>
        <v/>
      </c>
      <c r="X50" s="377" t="str">
        <f t="shared" ca="1" si="22"/>
        <v/>
      </c>
      <c r="Y50" s="378" t="str">
        <f t="shared" ca="1" si="27"/>
        <v/>
      </c>
      <c r="Z50" s="378" t="str">
        <f t="shared" ca="1" si="27"/>
        <v/>
      </c>
      <c r="AA50" s="378" t="str">
        <f t="shared" ca="1" si="27"/>
        <v/>
      </c>
      <c r="AB50" s="378" t="str">
        <f t="shared" ca="1" si="27"/>
        <v/>
      </c>
      <c r="AC50" s="378" t="str">
        <f t="shared" ca="1" si="43"/>
        <v/>
      </c>
      <c r="AD50" s="378" t="str">
        <f t="shared" ca="1" si="31"/>
        <v/>
      </c>
      <c r="AE50" s="378" t="str">
        <f t="shared" ca="1" si="31"/>
        <v/>
      </c>
      <c r="AF50" s="378" t="str">
        <f t="shared" ca="1" si="31"/>
        <v/>
      </c>
      <c r="AG50" s="378" t="str">
        <f t="shared" ca="1" si="31"/>
        <v/>
      </c>
      <c r="AH50" s="378" t="str">
        <f t="shared" ca="1" si="31"/>
        <v/>
      </c>
      <c r="AI50" s="376" t="str">
        <f t="shared" ca="1" si="23"/>
        <v/>
      </c>
      <c r="AJ50" s="377" t="str">
        <f t="shared" ca="1" si="24"/>
        <v/>
      </c>
      <c r="AK50" s="378" t="str">
        <f t="shared" ca="1" si="29"/>
        <v/>
      </c>
      <c r="AL50" s="378" t="str">
        <f t="shared" ca="1" si="29"/>
        <v/>
      </c>
      <c r="AM50" s="378" t="str">
        <f t="shared" ca="1" si="29"/>
        <v/>
      </c>
      <c r="AN50" s="378" t="str">
        <f t="shared" ca="1" si="29"/>
        <v/>
      </c>
      <c r="AO50" s="378" t="str">
        <f t="shared" ca="1" si="44"/>
        <v/>
      </c>
      <c r="AP50" s="378" t="str">
        <f t="shared" ca="1" si="32"/>
        <v/>
      </c>
      <c r="AQ50" s="378" t="str">
        <f t="shared" ca="1" si="32"/>
        <v/>
      </c>
      <c r="AR50" s="378" t="str">
        <f t="shared" ca="1" si="32"/>
        <v/>
      </c>
      <c r="AS50" s="378" t="str">
        <f t="shared" ca="1" si="32"/>
        <v/>
      </c>
      <c r="AT50" s="378" t="str">
        <f t="shared" ca="1" si="32"/>
        <v/>
      </c>
    </row>
    <row r="51" spans="1:46" x14ac:dyDescent="0.4">
      <c r="A51" s="150">
        <v>36</v>
      </c>
      <c r="B51" s="204" t="b">
        <f t="shared" si="16"/>
        <v>0</v>
      </c>
      <c r="C51" s="209" t="str">
        <f t="shared" ca="1" si="17"/>
        <v/>
      </c>
      <c r="D51" s="359" t="str">
        <f t="shared" ca="1" si="18"/>
        <v/>
      </c>
      <c r="E51" s="359" t="str">
        <f t="shared" ca="1" si="19"/>
        <v/>
      </c>
      <c r="F51" s="57" t="str">
        <f t="shared" ca="1" si="20"/>
        <v/>
      </c>
      <c r="G51" s="57" t="str">
        <f t="shared" ca="1" si="20"/>
        <v/>
      </c>
      <c r="H51" s="211" t="str" cm="1">
        <f t="array" aca="1" ref="H51" ca="1">IFERROR(INDEX($C$16:$C$116,SMALL(IF($C$16:$C$116&lt;&gt;"",ROW($C$16:$C$116)-ROW($C$16)+1),ROW(A36))),"")</f>
        <v/>
      </c>
      <c r="I51" s="210" t="str" cm="1">
        <f t="array" aca="1" ref="I51" ca="1">IFERROR(INDEX($D$16:$D$116,SMALL(IF($D$16:$D$116&lt;&gt;"",ROW($D$16:$D$116)-ROW($D$16)+1),ROW(A36))),"")</f>
        <v/>
      </c>
      <c r="J51" s="210" t="str" cm="1">
        <f t="array" aca="1" ref="J51" ca="1">IFERROR(INDEX($E$16:$E$116,SMALL(IF($E$16:$E$116&lt;&gt;"",ROW($E$16:$E$116)-ROW($E$16)+1),ROW(A36))),"")</f>
        <v/>
      </c>
      <c r="K51" s="210" t="str" cm="1">
        <f t="array" aca="1" ref="K51" ca="1">IFERROR(INDEX($F$16:$F$116,SMALL(IF($F$16:$F$116&lt;&gt;"",ROW($F$16:$F$116)-ROW($F$16)+1),ROW(A36))),"")</f>
        <v/>
      </c>
      <c r="L51" s="210" t="str">
        <f t="shared" ca="1" si="33"/>
        <v/>
      </c>
      <c r="M51" s="210" t="str" cm="1">
        <f t="array" aca="1" ref="M51" ca="1">IFERROR(INDEX($G$16:$G$116,SMALL(IF($G$16:$G$116&lt;&gt;"",ROW($G$16:$G$116)-ROW($G$16)+1),ROW(A36))),"")</f>
        <v/>
      </c>
      <c r="N51" s="215" t="str">
        <f t="shared" ca="1" si="34"/>
        <v/>
      </c>
      <c r="O51" s="216" t="str">
        <f t="shared" ca="1" si="35"/>
        <v/>
      </c>
      <c r="P51" s="216" t="str">
        <f t="shared" ca="1" si="36"/>
        <v/>
      </c>
      <c r="Q51" s="216" t="str">
        <f t="shared" ca="1" si="37"/>
        <v/>
      </c>
      <c r="R51" s="216" t="str">
        <f t="shared" ca="1" si="38"/>
        <v/>
      </c>
      <c r="S51" s="216" t="str">
        <f t="shared" ca="1" si="39"/>
        <v/>
      </c>
      <c r="T51" s="216" t="str">
        <f t="shared" ca="1" si="40"/>
        <v/>
      </c>
      <c r="U51" s="216" t="str">
        <f t="shared" ca="1" si="41"/>
        <v/>
      </c>
      <c r="V51" s="217" t="str">
        <f t="shared" ca="1" si="42"/>
        <v/>
      </c>
      <c r="W51" s="376" t="str">
        <f t="shared" ca="1" si="21"/>
        <v/>
      </c>
      <c r="X51" s="377" t="str">
        <f t="shared" ca="1" si="22"/>
        <v/>
      </c>
      <c r="Y51" s="378" t="str">
        <f t="shared" ca="1" si="27"/>
        <v/>
      </c>
      <c r="Z51" s="378" t="str">
        <f t="shared" ca="1" si="27"/>
        <v/>
      </c>
      <c r="AA51" s="378" t="str">
        <f t="shared" ca="1" si="27"/>
        <v/>
      </c>
      <c r="AB51" s="378" t="str">
        <f t="shared" ca="1" si="27"/>
        <v/>
      </c>
      <c r="AC51" s="378" t="str">
        <f t="shared" ca="1" si="43"/>
        <v/>
      </c>
      <c r="AD51" s="378" t="str">
        <f t="shared" ca="1" si="31"/>
        <v/>
      </c>
      <c r="AE51" s="378" t="str">
        <f t="shared" ca="1" si="31"/>
        <v/>
      </c>
      <c r="AF51" s="378" t="str">
        <f t="shared" ca="1" si="31"/>
        <v/>
      </c>
      <c r="AG51" s="378" t="str">
        <f t="shared" ca="1" si="31"/>
        <v/>
      </c>
      <c r="AH51" s="378" t="str">
        <f t="shared" ca="1" si="31"/>
        <v/>
      </c>
      <c r="AI51" s="376" t="str">
        <f t="shared" ca="1" si="23"/>
        <v/>
      </c>
      <c r="AJ51" s="377" t="str">
        <f t="shared" ca="1" si="24"/>
        <v/>
      </c>
      <c r="AK51" s="378" t="str">
        <f t="shared" ca="1" si="29"/>
        <v/>
      </c>
      <c r="AL51" s="378" t="str">
        <f t="shared" ca="1" si="29"/>
        <v/>
      </c>
      <c r="AM51" s="378" t="str">
        <f t="shared" ca="1" si="29"/>
        <v/>
      </c>
      <c r="AN51" s="378" t="str">
        <f t="shared" ca="1" si="29"/>
        <v/>
      </c>
      <c r="AO51" s="378" t="str">
        <f t="shared" ca="1" si="44"/>
        <v/>
      </c>
      <c r="AP51" s="378" t="str">
        <f t="shared" ca="1" si="32"/>
        <v/>
      </c>
      <c r="AQ51" s="378" t="str">
        <f t="shared" ca="1" si="32"/>
        <v/>
      </c>
      <c r="AR51" s="378" t="str">
        <f t="shared" ca="1" si="32"/>
        <v/>
      </c>
      <c r="AS51" s="378" t="str">
        <f t="shared" ca="1" si="32"/>
        <v/>
      </c>
      <c r="AT51" s="378" t="str">
        <f t="shared" ca="1" si="32"/>
        <v/>
      </c>
    </row>
    <row r="52" spans="1:46" x14ac:dyDescent="0.4">
      <c r="A52" s="150">
        <v>37</v>
      </c>
      <c r="B52" s="204" t="b">
        <f t="shared" si="16"/>
        <v>0</v>
      </c>
      <c r="C52" s="209" t="str">
        <f t="shared" ca="1" si="17"/>
        <v/>
      </c>
      <c r="D52" s="359" t="str">
        <f t="shared" ca="1" si="18"/>
        <v/>
      </c>
      <c r="E52" s="359" t="str">
        <f t="shared" ca="1" si="19"/>
        <v/>
      </c>
      <c r="F52" s="57" t="str">
        <f t="shared" ca="1" si="20"/>
        <v/>
      </c>
      <c r="G52" s="57" t="str">
        <f t="shared" ca="1" si="20"/>
        <v/>
      </c>
      <c r="H52" s="211" t="str" cm="1">
        <f t="array" aca="1" ref="H52" ca="1">IFERROR(INDEX($C$16:$C$116,SMALL(IF($C$16:$C$116&lt;&gt;"",ROW($C$16:$C$116)-ROW($C$16)+1),ROW(A37))),"")</f>
        <v/>
      </c>
      <c r="I52" s="210" t="str" cm="1">
        <f t="array" aca="1" ref="I52" ca="1">IFERROR(INDEX($D$16:$D$116,SMALL(IF($D$16:$D$116&lt;&gt;"",ROW($D$16:$D$116)-ROW($D$16)+1),ROW(A37))),"")</f>
        <v/>
      </c>
      <c r="J52" s="210" t="str" cm="1">
        <f t="array" aca="1" ref="J52" ca="1">IFERROR(INDEX($E$16:$E$116,SMALL(IF($E$16:$E$116&lt;&gt;"",ROW($E$16:$E$116)-ROW($E$16)+1),ROW(A37))),"")</f>
        <v/>
      </c>
      <c r="K52" s="210" t="str" cm="1">
        <f t="array" aca="1" ref="K52" ca="1">IFERROR(INDEX($F$16:$F$116,SMALL(IF($F$16:$F$116&lt;&gt;"",ROW($F$16:$F$116)-ROW($F$16)+1),ROW(A37))),"")</f>
        <v/>
      </c>
      <c r="L52" s="210" t="str">
        <f t="shared" ca="1" si="33"/>
        <v/>
      </c>
      <c r="M52" s="210" t="str" cm="1">
        <f t="array" aca="1" ref="M52" ca="1">IFERROR(INDEX($G$16:$G$116,SMALL(IF($G$16:$G$116&lt;&gt;"",ROW($G$16:$G$116)-ROW($G$16)+1),ROW(A37))),"")</f>
        <v/>
      </c>
      <c r="N52" s="215" t="str">
        <f t="shared" ca="1" si="34"/>
        <v/>
      </c>
      <c r="O52" s="216" t="str">
        <f t="shared" ca="1" si="35"/>
        <v/>
      </c>
      <c r="P52" s="216" t="str">
        <f t="shared" ca="1" si="36"/>
        <v/>
      </c>
      <c r="Q52" s="216" t="str">
        <f t="shared" ca="1" si="37"/>
        <v/>
      </c>
      <c r="R52" s="216" t="str">
        <f t="shared" ca="1" si="38"/>
        <v/>
      </c>
      <c r="S52" s="216" t="str">
        <f t="shared" ca="1" si="39"/>
        <v/>
      </c>
      <c r="T52" s="216" t="str">
        <f t="shared" ca="1" si="40"/>
        <v/>
      </c>
      <c r="U52" s="216" t="str">
        <f t="shared" ca="1" si="41"/>
        <v/>
      </c>
      <c r="V52" s="217" t="str">
        <f t="shared" ca="1" si="42"/>
        <v/>
      </c>
      <c r="W52" s="376" t="str">
        <f t="shared" ca="1" si="21"/>
        <v/>
      </c>
      <c r="X52" s="377" t="str">
        <f t="shared" ca="1" si="22"/>
        <v/>
      </c>
      <c r="Y52" s="378" t="str">
        <f t="shared" ca="1" si="27"/>
        <v/>
      </c>
      <c r="Z52" s="378" t="str">
        <f t="shared" ca="1" si="27"/>
        <v/>
      </c>
      <c r="AA52" s="378" t="str">
        <f t="shared" ca="1" si="27"/>
        <v/>
      </c>
      <c r="AB52" s="378" t="str">
        <f t="shared" ca="1" si="27"/>
        <v/>
      </c>
      <c r="AC52" s="378" t="str">
        <f t="shared" ca="1" si="43"/>
        <v/>
      </c>
      <c r="AD52" s="378" t="str">
        <f t="shared" ca="1" si="31"/>
        <v/>
      </c>
      <c r="AE52" s="378" t="str">
        <f t="shared" ca="1" si="31"/>
        <v/>
      </c>
      <c r="AF52" s="378" t="str">
        <f t="shared" ca="1" si="31"/>
        <v/>
      </c>
      <c r="AG52" s="378" t="str">
        <f t="shared" ca="1" si="31"/>
        <v/>
      </c>
      <c r="AH52" s="378" t="str">
        <f t="shared" ca="1" si="31"/>
        <v/>
      </c>
      <c r="AI52" s="376" t="str">
        <f t="shared" ca="1" si="23"/>
        <v/>
      </c>
      <c r="AJ52" s="377" t="str">
        <f t="shared" ca="1" si="24"/>
        <v/>
      </c>
      <c r="AK52" s="378" t="str">
        <f t="shared" ca="1" si="29"/>
        <v/>
      </c>
      <c r="AL52" s="378" t="str">
        <f t="shared" ca="1" si="29"/>
        <v/>
      </c>
      <c r="AM52" s="378" t="str">
        <f t="shared" ca="1" si="29"/>
        <v/>
      </c>
      <c r="AN52" s="378" t="str">
        <f t="shared" ca="1" si="29"/>
        <v/>
      </c>
      <c r="AO52" s="378" t="str">
        <f t="shared" ca="1" si="44"/>
        <v/>
      </c>
      <c r="AP52" s="378" t="str">
        <f t="shared" ca="1" si="32"/>
        <v/>
      </c>
      <c r="AQ52" s="378" t="str">
        <f t="shared" ca="1" si="32"/>
        <v/>
      </c>
      <c r="AR52" s="378" t="str">
        <f t="shared" ca="1" si="32"/>
        <v/>
      </c>
      <c r="AS52" s="378" t="str">
        <f t="shared" ca="1" si="32"/>
        <v/>
      </c>
      <c r="AT52" s="378" t="str">
        <f t="shared" ca="1" si="32"/>
        <v/>
      </c>
    </row>
    <row r="53" spans="1:46" x14ac:dyDescent="0.4">
      <c r="A53" s="150">
        <v>38</v>
      </c>
      <c r="B53" s="204" t="b">
        <f t="shared" si="16"/>
        <v>0</v>
      </c>
      <c r="C53" s="209" t="str">
        <f t="shared" ca="1" si="17"/>
        <v/>
      </c>
      <c r="D53" s="359" t="str">
        <f t="shared" ca="1" si="18"/>
        <v/>
      </c>
      <c r="E53" s="359" t="str">
        <f t="shared" ca="1" si="19"/>
        <v/>
      </c>
      <c r="F53" s="57" t="str">
        <f t="shared" ca="1" si="20"/>
        <v/>
      </c>
      <c r="G53" s="57" t="str">
        <f t="shared" ca="1" si="20"/>
        <v/>
      </c>
      <c r="H53" s="211" t="str" cm="1">
        <f t="array" aca="1" ref="H53" ca="1">IFERROR(INDEX($C$16:$C$116,SMALL(IF($C$16:$C$116&lt;&gt;"",ROW($C$16:$C$116)-ROW($C$16)+1),ROW(A38))),"")</f>
        <v/>
      </c>
      <c r="I53" s="210" t="str" cm="1">
        <f t="array" aca="1" ref="I53" ca="1">IFERROR(INDEX($D$16:$D$116,SMALL(IF($D$16:$D$116&lt;&gt;"",ROW($D$16:$D$116)-ROW($D$16)+1),ROW(A38))),"")</f>
        <v/>
      </c>
      <c r="J53" s="210" t="str" cm="1">
        <f t="array" aca="1" ref="J53" ca="1">IFERROR(INDEX($E$16:$E$116,SMALL(IF($E$16:$E$116&lt;&gt;"",ROW($E$16:$E$116)-ROW($E$16)+1),ROW(A38))),"")</f>
        <v/>
      </c>
      <c r="K53" s="210" t="str" cm="1">
        <f t="array" aca="1" ref="K53" ca="1">IFERROR(INDEX($F$16:$F$116,SMALL(IF($F$16:$F$116&lt;&gt;"",ROW($F$16:$F$116)-ROW($F$16)+1),ROW(A38))),"")</f>
        <v/>
      </c>
      <c r="L53" s="210" t="str">
        <f t="shared" ca="1" si="33"/>
        <v/>
      </c>
      <c r="M53" s="210" t="str" cm="1">
        <f t="array" aca="1" ref="M53" ca="1">IFERROR(INDEX($G$16:$G$116,SMALL(IF($G$16:$G$116&lt;&gt;"",ROW($G$16:$G$116)-ROW($G$16)+1),ROW(A38))),"")</f>
        <v/>
      </c>
      <c r="N53" s="215" t="str">
        <f t="shared" ca="1" si="34"/>
        <v/>
      </c>
      <c r="O53" s="216" t="str">
        <f t="shared" ca="1" si="35"/>
        <v/>
      </c>
      <c r="P53" s="216" t="str">
        <f t="shared" ca="1" si="36"/>
        <v/>
      </c>
      <c r="Q53" s="216" t="str">
        <f t="shared" ca="1" si="37"/>
        <v/>
      </c>
      <c r="R53" s="216" t="str">
        <f t="shared" ca="1" si="38"/>
        <v/>
      </c>
      <c r="S53" s="216" t="str">
        <f t="shared" ca="1" si="39"/>
        <v/>
      </c>
      <c r="T53" s="216" t="str">
        <f t="shared" ca="1" si="40"/>
        <v/>
      </c>
      <c r="U53" s="216" t="str">
        <f t="shared" ca="1" si="41"/>
        <v/>
      </c>
      <c r="V53" s="217" t="str">
        <f t="shared" ca="1" si="42"/>
        <v/>
      </c>
      <c r="W53" s="376" t="str">
        <f t="shared" ca="1" si="21"/>
        <v/>
      </c>
      <c r="X53" s="377" t="str">
        <f t="shared" ca="1" si="22"/>
        <v/>
      </c>
      <c r="Y53" s="378" t="str">
        <f t="shared" ca="1" si="27"/>
        <v/>
      </c>
      <c r="Z53" s="378" t="str">
        <f t="shared" ca="1" si="27"/>
        <v/>
      </c>
      <c r="AA53" s="378" t="str">
        <f t="shared" ca="1" si="27"/>
        <v/>
      </c>
      <c r="AB53" s="378" t="str">
        <f t="shared" ca="1" si="27"/>
        <v/>
      </c>
      <c r="AC53" s="378" t="str">
        <f t="shared" ca="1" si="43"/>
        <v/>
      </c>
      <c r="AD53" s="378" t="str">
        <f t="shared" ca="1" si="31"/>
        <v/>
      </c>
      <c r="AE53" s="378" t="str">
        <f t="shared" ca="1" si="31"/>
        <v/>
      </c>
      <c r="AF53" s="378" t="str">
        <f t="shared" ca="1" si="31"/>
        <v/>
      </c>
      <c r="AG53" s="378" t="str">
        <f t="shared" ca="1" si="31"/>
        <v/>
      </c>
      <c r="AH53" s="378" t="str">
        <f t="shared" ca="1" si="31"/>
        <v/>
      </c>
      <c r="AI53" s="376" t="str">
        <f t="shared" ca="1" si="23"/>
        <v/>
      </c>
      <c r="AJ53" s="377" t="str">
        <f t="shared" ca="1" si="24"/>
        <v/>
      </c>
      <c r="AK53" s="378" t="str">
        <f t="shared" ca="1" si="29"/>
        <v/>
      </c>
      <c r="AL53" s="378" t="str">
        <f t="shared" ca="1" si="29"/>
        <v/>
      </c>
      <c r="AM53" s="378" t="str">
        <f t="shared" ca="1" si="29"/>
        <v/>
      </c>
      <c r="AN53" s="378" t="str">
        <f t="shared" ca="1" si="29"/>
        <v/>
      </c>
      <c r="AO53" s="378" t="str">
        <f t="shared" ca="1" si="44"/>
        <v/>
      </c>
      <c r="AP53" s="378" t="str">
        <f t="shared" ca="1" si="32"/>
        <v/>
      </c>
      <c r="AQ53" s="378" t="str">
        <f t="shared" ca="1" si="32"/>
        <v/>
      </c>
      <c r="AR53" s="378" t="str">
        <f t="shared" ca="1" si="32"/>
        <v/>
      </c>
      <c r="AS53" s="378" t="str">
        <f t="shared" ca="1" si="32"/>
        <v/>
      </c>
      <c r="AT53" s="378" t="str">
        <f t="shared" ca="1" si="32"/>
        <v/>
      </c>
    </row>
    <row r="54" spans="1:46" x14ac:dyDescent="0.4">
      <c r="A54" s="150">
        <v>39</v>
      </c>
      <c r="B54" s="204" t="b">
        <f t="shared" si="16"/>
        <v>0</v>
      </c>
      <c r="C54" s="209" t="str">
        <f t="shared" ca="1" si="17"/>
        <v/>
      </c>
      <c r="D54" s="359" t="str">
        <f t="shared" ca="1" si="18"/>
        <v/>
      </c>
      <c r="E54" s="359" t="str">
        <f t="shared" ca="1" si="19"/>
        <v/>
      </c>
      <c r="F54" s="57" t="str">
        <f t="shared" ca="1" si="20"/>
        <v/>
      </c>
      <c r="G54" s="57" t="str">
        <f t="shared" ca="1" si="20"/>
        <v/>
      </c>
      <c r="H54" s="211" t="str" cm="1">
        <f t="array" aca="1" ref="H54" ca="1">IFERROR(INDEX($C$16:$C$116,SMALL(IF($C$16:$C$116&lt;&gt;"",ROW($C$16:$C$116)-ROW($C$16)+1),ROW(A39))),"")</f>
        <v/>
      </c>
      <c r="I54" s="210" t="str" cm="1">
        <f t="array" aca="1" ref="I54" ca="1">IFERROR(INDEX($D$16:$D$116,SMALL(IF($D$16:$D$116&lt;&gt;"",ROW($D$16:$D$116)-ROW($D$16)+1),ROW(A39))),"")</f>
        <v/>
      </c>
      <c r="J54" s="210" t="str" cm="1">
        <f t="array" aca="1" ref="J54" ca="1">IFERROR(INDEX($E$16:$E$116,SMALL(IF($E$16:$E$116&lt;&gt;"",ROW($E$16:$E$116)-ROW($E$16)+1),ROW(A39))),"")</f>
        <v/>
      </c>
      <c r="K54" s="210" t="str" cm="1">
        <f t="array" aca="1" ref="K54" ca="1">IFERROR(INDEX($F$16:$F$116,SMALL(IF($F$16:$F$116&lt;&gt;"",ROW($F$16:$F$116)-ROW($F$16)+1),ROW(A39))),"")</f>
        <v/>
      </c>
      <c r="L54" s="210" t="str">
        <f t="shared" ca="1" si="33"/>
        <v/>
      </c>
      <c r="M54" s="210" t="str" cm="1">
        <f t="array" aca="1" ref="M54" ca="1">IFERROR(INDEX($G$16:$G$116,SMALL(IF($G$16:$G$116&lt;&gt;"",ROW($G$16:$G$116)-ROW($G$16)+1),ROW(A39))),"")</f>
        <v/>
      </c>
      <c r="N54" s="215" t="str">
        <f t="shared" ca="1" si="34"/>
        <v/>
      </c>
      <c r="O54" s="216" t="str">
        <f t="shared" ca="1" si="35"/>
        <v/>
      </c>
      <c r="P54" s="216" t="str">
        <f t="shared" ca="1" si="36"/>
        <v/>
      </c>
      <c r="Q54" s="216" t="str">
        <f t="shared" ca="1" si="37"/>
        <v/>
      </c>
      <c r="R54" s="216" t="str">
        <f t="shared" ca="1" si="38"/>
        <v/>
      </c>
      <c r="S54" s="216" t="str">
        <f t="shared" ca="1" si="39"/>
        <v/>
      </c>
      <c r="T54" s="216" t="str">
        <f t="shared" ca="1" si="40"/>
        <v/>
      </c>
      <c r="U54" s="216" t="str">
        <f t="shared" ca="1" si="41"/>
        <v/>
      </c>
      <c r="V54" s="217" t="str">
        <f t="shared" ca="1" si="42"/>
        <v/>
      </c>
      <c r="W54" s="376" t="str">
        <f t="shared" ca="1" si="21"/>
        <v/>
      </c>
      <c r="X54" s="377" t="str">
        <f t="shared" ca="1" si="22"/>
        <v/>
      </c>
      <c r="Y54" s="378" t="str">
        <f t="shared" ca="1" si="27"/>
        <v/>
      </c>
      <c r="Z54" s="378" t="str">
        <f t="shared" ca="1" si="27"/>
        <v/>
      </c>
      <c r="AA54" s="378" t="str">
        <f t="shared" ca="1" si="27"/>
        <v/>
      </c>
      <c r="AB54" s="378" t="str">
        <f t="shared" ca="1" si="27"/>
        <v/>
      </c>
      <c r="AC54" s="378" t="str">
        <f t="shared" ca="1" si="43"/>
        <v/>
      </c>
      <c r="AD54" s="378" t="str">
        <f t="shared" ca="1" si="31"/>
        <v/>
      </c>
      <c r="AE54" s="378" t="str">
        <f t="shared" ca="1" si="31"/>
        <v/>
      </c>
      <c r="AF54" s="378" t="str">
        <f t="shared" ca="1" si="31"/>
        <v/>
      </c>
      <c r="AG54" s="378" t="str">
        <f t="shared" ca="1" si="31"/>
        <v/>
      </c>
      <c r="AH54" s="378" t="str">
        <f t="shared" ca="1" si="31"/>
        <v/>
      </c>
      <c r="AI54" s="376" t="str">
        <f t="shared" ca="1" si="23"/>
        <v/>
      </c>
      <c r="AJ54" s="377" t="str">
        <f t="shared" ca="1" si="24"/>
        <v/>
      </c>
      <c r="AK54" s="378" t="str">
        <f t="shared" ca="1" si="29"/>
        <v/>
      </c>
      <c r="AL54" s="378" t="str">
        <f t="shared" ca="1" si="29"/>
        <v/>
      </c>
      <c r="AM54" s="378" t="str">
        <f t="shared" ca="1" si="29"/>
        <v/>
      </c>
      <c r="AN54" s="378" t="str">
        <f t="shared" ca="1" si="29"/>
        <v/>
      </c>
      <c r="AO54" s="378" t="str">
        <f t="shared" ca="1" si="44"/>
        <v/>
      </c>
      <c r="AP54" s="378" t="str">
        <f t="shared" ca="1" si="32"/>
        <v/>
      </c>
      <c r="AQ54" s="378" t="str">
        <f t="shared" ca="1" si="32"/>
        <v/>
      </c>
      <c r="AR54" s="378" t="str">
        <f t="shared" ca="1" si="32"/>
        <v/>
      </c>
      <c r="AS54" s="378" t="str">
        <f t="shared" ca="1" si="32"/>
        <v/>
      </c>
      <c r="AT54" s="378" t="str">
        <f t="shared" ca="1" si="32"/>
        <v/>
      </c>
    </row>
    <row r="55" spans="1:46" x14ac:dyDescent="0.4">
      <c r="A55" s="150">
        <v>40</v>
      </c>
      <c r="B55" s="204" t="b">
        <f t="shared" si="16"/>
        <v>0</v>
      </c>
      <c r="C55" s="209" t="str">
        <f t="shared" ca="1" si="17"/>
        <v/>
      </c>
      <c r="D55" s="359" t="str">
        <f t="shared" ca="1" si="18"/>
        <v/>
      </c>
      <c r="E55" s="359" t="str">
        <f t="shared" ca="1" si="19"/>
        <v/>
      </c>
      <c r="F55" s="57" t="str">
        <f t="shared" ca="1" si="20"/>
        <v/>
      </c>
      <c r="G55" s="57" t="str">
        <f t="shared" ca="1" si="20"/>
        <v/>
      </c>
      <c r="H55" s="211" t="str" cm="1">
        <f t="array" aca="1" ref="H55" ca="1">IFERROR(INDEX($C$16:$C$116,SMALL(IF($C$16:$C$116&lt;&gt;"",ROW($C$16:$C$116)-ROW($C$16)+1),ROW(A40))),"")</f>
        <v/>
      </c>
      <c r="I55" s="210" t="str" cm="1">
        <f t="array" aca="1" ref="I55" ca="1">IFERROR(INDEX($D$16:$D$116,SMALL(IF($D$16:$D$116&lt;&gt;"",ROW($D$16:$D$116)-ROW($D$16)+1),ROW(A40))),"")</f>
        <v/>
      </c>
      <c r="J55" s="210" t="str" cm="1">
        <f t="array" aca="1" ref="J55" ca="1">IFERROR(INDEX($E$16:$E$116,SMALL(IF($E$16:$E$116&lt;&gt;"",ROW($E$16:$E$116)-ROW($E$16)+1),ROW(A40))),"")</f>
        <v/>
      </c>
      <c r="K55" s="210" t="str" cm="1">
        <f t="array" aca="1" ref="K55" ca="1">IFERROR(INDEX($F$16:$F$116,SMALL(IF($F$16:$F$116&lt;&gt;"",ROW($F$16:$F$116)-ROW($F$16)+1),ROW(A40))),"")</f>
        <v/>
      </c>
      <c r="L55" s="210" t="str">
        <f t="shared" ca="1" si="33"/>
        <v/>
      </c>
      <c r="M55" s="210" t="str" cm="1">
        <f t="array" aca="1" ref="M55" ca="1">IFERROR(INDEX($G$16:$G$116,SMALL(IF($G$16:$G$116&lt;&gt;"",ROW($G$16:$G$116)-ROW($G$16)+1),ROW(A40))),"")</f>
        <v/>
      </c>
      <c r="N55" s="215" t="str">
        <f t="shared" ca="1" si="34"/>
        <v/>
      </c>
      <c r="O55" s="216" t="str">
        <f t="shared" ca="1" si="35"/>
        <v/>
      </c>
      <c r="P55" s="216" t="str">
        <f t="shared" ca="1" si="36"/>
        <v/>
      </c>
      <c r="Q55" s="216" t="str">
        <f t="shared" ca="1" si="37"/>
        <v/>
      </c>
      <c r="R55" s="216" t="str">
        <f t="shared" ca="1" si="38"/>
        <v/>
      </c>
      <c r="S55" s="216" t="str">
        <f t="shared" ca="1" si="39"/>
        <v/>
      </c>
      <c r="T55" s="216" t="str">
        <f t="shared" ca="1" si="40"/>
        <v/>
      </c>
      <c r="U55" s="216" t="str">
        <f t="shared" ca="1" si="41"/>
        <v/>
      </c>
      <c r="V55" s="217" t="str">
        <f t="shared" ca="1" si="42"/>
        <v/>
      </c>
      <c r="W55" s="376" t="str">
        <f t="shared" ca="1" si="21"/>
        <v/>
      </c>
      <c r="X55" s="377" t="str">
        <f t="shared" ca="1" si="22"/>
        <v/>
      </c>
      <c r="Y55" s="378" t="str">
        <f t="shared" ca="1" si="27"/>
        <v/>
      </c>
      <c r="Z55" s="378" t="str">
        <f t="shared" ca="1" si="27"/>
        <v/>
      </c>
      <c r="AA55" s="378" t="str">
        <f t="shared" ca="1" si="27"/>
        <v/>
      </c>
      <c r="AB55" s="378" t="str">
        <f t="shared" ca="1" si="27"/>
        <v/>
      </c>
      <c r="AC55" s="378" t="str">
        <f t="shared" ca="1" si="43"/>
        <v/>
      </c>
      <c r="AD55" s="378" t="str">
        <f t="shared" ca="1" si="31"/>
        <v/>
      </c>
      <c r="AE55" s="378" t="str">
        <f t="shared" ca="1" si="31"/>
        <v/>
      </c>
      <c r="AF55" s="378" t="str">
        <f t="shared" ca="1" si="31"/>
        <v/>
      </c>
      <c r="AG55" s="378" t="str">
        <f t="shared" ca="1" si="31"/>
        <v/>
      </c>
      <c r="AH55" s="378" t="str">
        <f t="shared" ca="1" si="31"/>
        <v/>
      </c>
      <c r="AI55" s="376" t="str">
        <f t="shared" ca="1" si="23"/>
        <v/>
      </c>
      <c r="AJ55" s="377" t="str">
        <f t="shared" ca="1" si="24"/>
        <v/>
      </c>
      <c r="AK55" s="378" t="str">
        <f t="shared" ca="1" si="29"/>
        <v/>
      </c>
      <c r="AL55" s="378" t="str">
        <f t="shared" ca="1" si="29"/>
        <v/>
      </c>
      <c r="AM55" s="378" t="str">
        <f t="shared" ca="1" si="29"/>
        <v/>
      </c>
      <c r="AN55" s="378" t="str">
        <f t="shared" ca="1" si="29"/>
        <v/>
      </c>
      <c r="AO55" s="378" t="str">
        <f t="shared" ca="1" si="44"/>
        <v/>
      </c>
      <c r="AP55" s="378" t="str">
        <f t="shared" ca="1" si="32"/>
        <v/>
      </c>
      <c r="AQ55" s="378" t="str">
        <f t="shared" ca="1" si="32"/>
        <v/>
      </c>
      <c r="AR55" s="378" t="str">
        <f t="shared" ca="1" si="32"/>
        <v/>
      </c>
      <c r="AS55" s="378" t="str">
        <f t="shared" ca="1" si="32"/>
        <v/>
      </c>
      <c r="AT55" s="378" t="str">
        <f t="shared" ca="1" si="32"/>
        <v/>
      </c>
    </row>
    <row r="56" spans="1:46" x14ac:dyDescent="0.4">
      <c r="A56" s="150">
        <v>41</v>
      </c>
      <c r="B56" s="204" t="b">
        <f t="shared" si="16"/>
        <v>0</v>
      </c>
      <c r="C56" s="209" t="str">
        <f t="shared" ca="1" si="17"/>
        <v/>
      </c>
      <c r="D56" s="359" t="str">
        <f t="shared" ca="1" si="18"/>
        <v/>
      </c>
      <c r="E56" s="359" t="str">
        <f t="shared" ca="1" si="19"/>
        <v/>
      </c>
      <c r="F56" s="57" t="str">
        <f t="shared" ca="1" si="20"/>
        <v/>
      </c>
      <c r="G56" s="57" t="str">
        <f t="shared" ca="1" si="20"/>
        <v/>
      </c>
      <c r="H56" s="211" t="str" cm="1">
        <f t="array" aca="1" ref="H56" ca="1">IFERROR(INDEX($C$16:$C$116,SMALL(IF($C$16:$C$116&lt;&gt;"",ROW($C$16:$C$116)-ROW($C$16)+1),ROW(A41))),"")</f>
        <v/>
      </c>
      <c r="I56" s="210" t="str" cm="1">
        <f t="array" aca="1" ref="I56" ca="1">IFERROR(INDEX($D$16:$D$116,SMALL(IF($D$16:$D$116&lt;&gt;"",ROW($D$16:$D$116)-ROW($D$16)+1),ROW(A41))),"")</f>
        <v/>
      </c>
      <c r="J56" s="210" t="str" cm="1">
        <f t="array" aca="1" ref="J56" ca="1">IFERROR(INDEX($E$16:$E$116,SMALL(IF($E$16:$E$116&lt;&gt;"",ROW($E$16:$E$116)-ROW($E$16)+1),ROW(A41))),"")</f>
        <v/>
      </c>
      <c r="K56" s="210" t="str" cm="1">
        <f t="array" aca="1" ref="K56" ca="1">IFERROR(INDEX($F$16:$F$116,SMALL(IF($F$16:$F$116&lt;&gt;"",ROW($F$16:$F$116)-ROW($F$16)+1),ROW(A41))),"")</f>
        <v/>
      </c>
      <c r="L56" s="210" t="str">
        <f t="shared" ca="1" si="33"/>
        <v/>
      </c>
      <c r="M56" s="210" t="str" cm="1">
        <f t="array" aca="1" ref="M56" ca="1">IFERROR(INDEX($G$16:$G$116,SMALL(IF($G$16:$G$116&lt;&gt;"",ROW($G$16:$G$116)-ROW($G$16)+1),ROW(A41))),"")</f>
        <v/>
      </c>
      <c r="N56" s="215" t="str">
        <f t="shared" ca="1" si="34"/>
        <v/>
      </c>
      <c r="O56" s="216" t="str">
        <f t="shared" ca="1" si="35"/>
        <v/>
      </c>
      <c r="P56" s="216" t="str">
        <f t="shared" ca="1" si="36"/>
        <v/>
      </c>
      <c r="Q56" s="216" t="str">
        <f t="shared" ca="1" si="37"/>
        <v/>
      </c>
      <c r="R56" s="216" t="str">
        <f t="shared" ca="1" si="38"/>
        <v/>
      </c>
      <c r="S56" s="216" t="str">
        <f t="shared" ca="1" si="39"/>
        <v/>
      </c>
      <c r="T56" s="216" t="str">
        <f t="shared" ca="1" si="40"/>
        <v/>
      </c>
      <c r="U56" s="216" t="str">
        <f t="shared" ca="1" si="41"/>
        <v/>
      </c>
      <c r="V56" s="217" t="str">
        <f t="shared" ca="1" si="42"/>
        <v/>
      </c>
      <c r="W56" s="376" t="str">
        <f t="shared" ca="1" si="21"/>
        <v/>
      </c>
      <c r="X56" s="377" t="str">
        <f t="shared" ca="1" si="22"/>
        <v/>
      </c>
      <c r="Y56" s="378" t="str">
        <f t="shared" ref="Y56:AB72" ca="1" si="45">IF($H56&lt;&gt;"",IF(_xlfn.SINGLE(INDIRECT($H56&amp;"!"&amp;$W56&amp;($X56+Y$15+1)))&lt;&gt;"",_xlfn.SINGLE(INDIRECT($H56&amp;"!"&amp;$W56&amp;($X56+Y$15+1))),""),"")</f>
        <v/>
      </c>
      <c r="Z56" s="378" t="str">
        <f t="shared" ca="1" si="45"/>
        <v/>
      </c>
      <c r="AA56" s="378" t="str">
        <f t="shared" ca="1" si="45"/>
        <v/>
      </c>
      <c r="AB56" s="378" t="str">
        <f t="shared" ca="1" si="45"/>
        <v/>
      </c>
      <c r="AC56" s="378" t="str">
        <f t="shared" ca="1" si="43"/>
        <v/>
      </c>
      <c r="AD56" s="378" t="str">
        <f t="shared" ref="AD56:AH65" ca="1" si="46">IF(OR($J56="Pluviomètre",LEFT($J56,5)="Sonde"),"",IF($H56&lt;&gt;"",IF(_xlfn.SINGLE(INDIRECT($H56&amp;"!"&amp;$W56&amp;($X56+AD$15+1)))&lt;&gt;"",_xlfn.SINGLE(INDIRECT($H56&amp;"!"&amp;$W56&amp;($X56+AD$15+1))),""),""))</f>
        <v/>
      </c>
      <c r="AE56" s="378" t="str">
        <f t="shared" ca="1" si="46"/>
        <v/>
      </c>
      <c r="AF56" s="378" t="str">
        <f t="shared" ca="1" si="46"/>
        <v/>
      </c>
      <c r="AG56" s="378" t="str">
        <f t="shared" ca="1" si="46"/>
        <v/>
      </c>
      <c r="AH56" s="378" t="str">
        <f t="shared" ca="1" si="46"/>
        <v/>
      </c>
      <c r="AI56" s="376" t="str">
        <f t="shared" ca="1" si="23"/>
        <v/>
      </c>
      <c r="AJ56" s="377" t="str">
        <f t="shared" ca="1" si="24"/>
        <v/>
      </c>
      <c r="AK56" s="378" t="str">
        <f t="shared" ref="AK56:AN72" ca="1" si="47">IF($H56&lt;&gt;"",IF(_xlfn.SINGLE(INDIRECT($H56&amp;"!"&amp;$AI56&amp;($AJ56+AK$15+1)))&lt;&gt;"",_xlfn.SINGLE(INDIRECT($H56&amp;"!"&amp;$AI56&amp;($AJ56+AK$15+1))),""),"")</f>
        <v/>
      </c>
      <c r="AL56" s="378" t="str">
        <f t="shared" ca="1" si="47"/>
        <v/>
      </c>
      <c r="AM56" s="378" t="str">
        <f t="shared" ca="1" si="47"/>
        <v/>
      </c>
      <c r="AN56" s="378" t="str">
        <f t="shared" ca="1" si="47"/>
        <v/>
      </c>
      <c r="AO56" s="378" t="str">
        <f t="shared" ca="1" si="44"/>
        <v/>
      </c>
      <c r="AP56" s="378" t="str">
        <f t="shared" ref="AP56:AT65" ca="1" si="48">IF(OR($J56="Pluviomètre",LEFT($J56,5)="Sonde"),"",IF($H56&lt;&gt;"",IF(_xlfn.SINGLE(INDIRECT($H56&amp;"!"&amp;$AI56&amp;($AJ56+AP$15+1)))&lt;&gt;"",_xlfn.SINGLE(INDIRECT($H56&amp;"!"&amp;$AI56&amp;($AJ56+AP$15+1))),""),""))</f>
        <v/>
      </c>
      <c r="AQ56" s="378" t="str">
        <f t="shared" ca="1" si="48"/>
        <v/>
      </c>
      <c r="AR56" s="378" t="str">
        <f t="shared" ca="1" si="48"/>
        <v/>
      </c>
      <c r="AS56" s="378" t="str">
        <f t="shared" ca="1" si="48"/>
        <v/>
      </c>
      <c r="AT56" s="378" t="str">
        <f t="shared" ca="1" si="48"/>
        <v/>
      </c>
    </row>
    <row r="57" spans="1:46" x14ac:dyDescent="0.4">
      <c r="A57" s="150">
        <v>42</v>
      </c>
      <c r="B57" s="204" t="b">
        <f t="shared" si="16"/>
        <v>0</v>
      </c>
      <c r="C57" s="209" t="str">
        <f t="shared" ca="1" si="17"/>
        <v/>
      </c>
      <c r="D57" s="359" t="str">
        <f t="shared" ca="1" si="18"/>
        <v/>
      </c>
      <c r="E57" s="359" t="str">
        <f t="shared" ca="1" si="19"/>
        <v/>
      </c>
      <c r="F57" s="57" t="str">
        <f t="shared" ca="1" si="20"/>
        <v/>
      </c>
      <c r="G57" s="57" t="str">
        <f t="shared" ca="1" si="20"/>
        <v/>
      </c>
      <c r="H57" s="211" t="str" cm="1">
        <f t="array" aca="1" ref="H57" ca="1">IFERROR(INDEX($C$16:$C$116,SMALL(IF($C$16:$C$116&lt;&gt;"",ROW($C$16:$C$116)-ROW($C$16)+1),ROW(A42))),"")</f>
        <v/>
      </c>
      <c r="I57" s="210" t="str" cm="1">
        <f t="array" aca="1" ref="I57" ca="1">IFERROR(INDEX($D$16:$D$116,SMALL(IF($D$16:$D$116&lt;&gt;"",ROW($D$16:$D$116)-ROW($D$16)+1),ROW(A42))),"")</f>
        <v/>
      </c>
      <c r="J57" s="210" t="str" cm="1">
        <f t="array" aca="1" ref="J57" ca="1">IFERROR(INDEX($E$16:$E$116,SMALL(IF($E$16:$E$116&lt;&gt;"",ROW($E$16:$E$116)-ROW($E$16)+1),ROW(A42))),"")</f>
        <v/>
      </c>
      <c r="K57" s="210" t="str" cm="1">
        <f t="array" aca="1" ref="K57" ca="1">IFERROR(INDEX($F$16:$F$116,SMALL(IF($F$16:$F$116&lt;&gt;"",ROW($F$16:$F$116)-ROW($F$16)+1),ROW(A42))),"")</f>
        <v/>
      </c>
      <c r="L57" s="210" t="str">
        <f t="shared" ca="1" si="33"/>
        <v/>
      </c>
      <c r="M57" s="210" t="str" cm="1">
        <f t="array" aca="1" ref="M57" ca="1">IFERROR(INDEX($G$16:$G$116,SMALL(IF($G$16:$G$116&lt;&gt;"",ROW($G$16:$G$116)-ROW($G$16)+1),ROW(A42))),"")</f>
        <v/>
      </c>
      <c r="N57" s="215" t="str">
        <f t="shared" ca="1" si="34"/>
        <v/>
      </c>
      <c r="O57" s="216" t="str">
        <f t="shared" ca="1" si="35"/>
        <v/>
      </c>
      <c r="P57" s="216" t="str">
        <f t="shared" ca="1" si="36"/>
        <v/>
      </c>
      <c r="Q57" s="216" t="str">
        <f t="shared" ca="1" si="37"/>
        <v/>
      </c>
      <c r="R57" s="216" t="str">
        <f t="shared" ca="1" si="38"/>
        <v/>
      </c>
      <c r="S57" s="216" t="str">
        <f t="shared" ca="1" si="39"/>
        <v/>
      </c>
      <c r="T57" s="216" t="str">
        <f t="shared" ca="1" si="40"/>
        <v/>
      </c>
      <c r="U57" s="216" t="str">
        <f t="shared" ca="1" si="41"/>
        <v/>
      </c>
      <c r="V57" s="217" t="str">
        <f t="shared" ca="1" si="42"/>
        <v/>
      </c>
      <c r="W57" s="376" t="str">
        <f t="shared" ca="1" si="21"/>
        <v/>
      </c>
      <c r="X57" s="377" t="str">
        <f t="shared" ca="1" si="22"/>
        <v/>
      </c>
      <c r="Y57" s="378" t="str">
        <f t="shared" ca="1" si="45"/>
        <v/>
      </c>
      <c r="Z57" s="378" t="str">
        <f t="shared" ca="1" si="45"/>
        <v/>
      </c>
      <c r="AA57" s="378" t="str">
        <f t="shared" ca="1" si="45"/>
        <v/>
      </c>
      <c r="AB57" s="378" t="str">
        <f t="shared" ca="1" si="45"/>
        <v/>
      </c>
      <c r="AC57" s="378" t="str">
        <f t="shared" ca="1" si="43"/>
        <v/>
      </c>
      <c r="AD57" s="378" t="str">
        <f t="shared" ca="1" si="46"/>
        <v/>
      </c>
      <c r="AE57" s="378" t="str">
        <f t="shared" ca="1" si="46"/>
        <v/>
      </c>
      <c r="AF57" s="378" t="str">
        <f t="shared" ca="1" si="46"/>
        <v/>
      </c>
      <c r="AG57" s="378" t="str">
        <f t="shared" ca="1" si="46"/>
        <v/>
      </c>
      <c r="AH57" s="378" t="str">
        <f t="shared" ca="1" si="46"/>
        <v/>
      </c>
      <c r="AI57" s="376" t="str">
        <f t="shared" ca="1" si="23"/>
        <v/>
      </c>
      <c r="AJ57" s="377" t="str">
        <f t="shared" ca="1" si="24"/>
        <v/>
      </c>
      <c r="AK57" s="378" t="str">
        <f t="shared" ca="1" si="47"/>
        <v/>
      </c>
      <c r="AL57" s="378" t="str">
        <f t="shared" ca="1" si="47"/>
        <v/>
      </c>
      <c r="AM57" s="378" t="str">
        <f t="shared" ca="1" si="47"/>
        <v/>
      </c>
      <c r="AN57" s="378" t="str">
        <f t="shared" ca="1" si="47"/>
        <v/>
      </c>
      <c r="AO57" s="378" t="str">
        <f t="shared" ca="1" si="44"/>
        <v/>
      </c>
      <c r="AP57" s="378" t="str">
        <f t="shared" ca="1" si="48"/>
        <v/>
      </c>
      <c r="AQ57" s="378" t="str">
        <f t="shared" ca="1" si="48"/>
        <v/>
      </c>
      <c r="AR57" s="378" t="str">
        <f t="shared" ca="1" si="48"/>
        <v/>
      </c>
      <c r="AS57" s="378" t="str">
        <f t="shared" ca="1" si="48"/>
        <v/>
      </c>
      <c r="AT57" s="378" t="str">
        <f t="shared" ca="1" si="48"/>
        <v/>
      </c>
    </row>
    <row r="58" spans="1:46" x14ac:dyDescent="0.4">
      <c r="A58" s="150">
        <v>43</v>
      </c>
      <c r="B58" s="204" t="b">
        <f t="shared" si="16"/>
        <v>0</v>
      </c>
      <c r="C58" s="209" t="str">
        <f t="shared" ca="1" si="17"/>
        <v/>
      </c>
      <c r="D58" s="359" t="str">
        <f t="shared" ca="1" si="18"/>
        <v/>
      </c>
      <c r="E58" s="359" t="str">
        <f t="shared" ca="1" si="19"/>
        <v/>
      </c>
      <c r="F58" s="57" t="str">
        <f t="shared" ca="1" si="20"/>
        <v/>
      </c>
      <c r="G58" s="57" t="str">
        <f t="shared" ca="1" si="20"/>
        <v/>
      </c>
      <c r="H58" s="211" t="str" cm="1">
        <f t="array" aca="1" ref="H58" ca="1">IFERROR(INDEX($C$16:$C$116,SMALL(IF($C$16:$C$116&lt;&gt;"",ROW($C$16:$C$116)-ROW($C$16)+1),ROW(A43))),"")</f>
        <v/>
      </c>
      <c r="I58" s="210" t="str" cm="1">
        <f t="array" aca="1" ref="I58" ca="1">IFERROR(INDEX($D$16:$D$116,SMALL(IF($D$16:$D$116&lt;&gt;"",ROW($D$16:$D$116)-ROW($D$16)+1),ROW(A43))),"")</f>
        <v/>
      </c>
      <c r="J58" s="210" t="str" cm="1">
        <f t="array" aca="1" ref="J58" ca="1">IFERROR(INDEX($E$16:$E$116,SMALL(IF($E$16:$E$116&lt;&gt;"",ROW($E$16:$E$116)-ROW($E$16)+1),ROW(A43))),"")</f>
        <v/>
      </c>
      <c r="K58" s="210" t="str" cm="1">
        <f t="array" aca="1" ref="K58" ca="1">IFERROR(INDEX($F$16:$F$116,SMALL(IF($F$16:$F$116&lt;&gt;"",ROW($F$16:$F$116)-ROW($F$16)+1),ROW(A43))),"")</f>
        <v/>
      </c>
      <c r="L58" s="210" t="str">
        <f t="shared" ca="1" si="33"/>
        <v/>
      </c>
      <c r="M58" s="210" t="str" cm="1">
        <f t="array" aca="1" ref="M58" ca="1">IFERROR(INDEX($G$16:$G$116,SMALL(IF($G$16:$G$116&lt;&gt;"",ROW($G$16:$G$116)-ROW($G$16)+1),ROW(A43))),"")</f>
        <v/>
      </c>
      <c r="N58" s="215" t="str">
        <f t="shared" ca="1" si="34"/>
        <v/>
      </c>
      <c r="O58" s="216" t="str">
        <f t="shared" ca="1" si="35"/>
        <v/>
      </c>
      <c r="P58" s="216" t="str">
        <f t="shared" ca="1" si="36"/>
        <v/>
      </c>
      <c r="Q58" s="216" t="str">
        <f t="shared" ca="1" si="37"/>
        <v/>
      </c>
      <c r="R58" s="216" t="str">
        <f t="shared" ca="1" si="38"/>
        <v/>
      </c>
      <c r="S58" s="216" t="str">
        <f t="shared" ca="1" si="39"/>
        <v/>
      </c>
      <c r="T58" s="216" t="str">
        <f t="shared" ca="1" si="40"/>
        <v/>
      </c>
      <c r="U58" s="216" t="str">
        <f t="shared" ca="1" si="41"/>
        <v/>
      </c>
      <c r="V58" s="217" t="str">
        <f t="shared" ca="1" si="42"/>
        <v/>
      </c>
      <c r="W58" s="376" t="str">
        <f t="shared" ca="1" si="21"/>
        <v/>
      </c>
      <c r="X58" s="377" t="str">
        <f t="shared" ca="1" si="22"/>
        <v/>
      </c>
      <c r="Y58" s="378" t="str">
        <f t="shared" ca="1" si="45"/>
        <v/>
      </c>
      <c r="Z58" s="378" t="str">
        <f t="shared" ca="1" si="45"/>
        <v/>
      </c>
      <c r="AA58" s="378" t="str">
        <f t="shared" ca="1" si="45"/>
        <v/>
      </c>
      <c r="AB58" s="378" t="str">
        <f t="shared" ca="1" si="45"/>
        <v/>
      </c>
      <c r="AC58" s="378" t="str">
        <f t="shared" ca="1" si="43"/>
        <v/>
      </c>
      <c r="AD58" s="378" t="str">
        <f t="shared" ca="1" si="46"/>
        <v/>
      </c>
      <c r="AE58" s="378" t="str">
        <f t="shared" ca="1" si="46"/>
        <v/>
      </c>
      <c r="AF58" s="378" t="str">
        <f t="shared" ca="1" si="46"/>
        <v/>
      </c>
      <c r="AG58" s="378" t="str">
        <f t="shared" ca="1" si="46"/>
        <v/>
      </c>
      <c r="AH58" s="378" t="str">
        <f t="shared" ca="1" si="46"/>
        <v/>
      </c>
      <c r="AI58" s="376" t="str">
        <f t="shared" ca="1" si="23"/>
        <v/>
      </c>
      <c r="AJ58" s="377" t="str">
        <f t="shared" ca="1" si="24"/>
        <v/>
      </c>
      <c r="AK58" s="378" t="str">
        <f t="shared" ca="1" si="47"/>
        <v/>
      </c>
      <c r="AL58" s="378" t="str">
        <f t="shared" ca="1" si="47"/>
        <v/>
      </c>
      <c r="AM58" s="378" t="str">
        <f t="shared" ca="1" si="47"/>
        <v/>
      </c>
      <c r="AN58" s="378" t="str">
        <f t="shared" ca="1" si="47"/>
        <v/>
      </c>
      <c r="AO58" s="378" t="str">
        <f t="shared" ca="1" si="44"/>
        <v/>
      </c>
      <c r="AP58" s="378" t="str">
        <f t="shared" ca="1" si="48"/>
        <v/>
      </c>
      <c r="AQ58" s="378" t="str">
        <f t="shared" ca="1" si="48"/>
        <v/>
      </c>
      <c r="AR58" s="378" t="str">
        <f t="shared" ca="1" si="48"/>
        <v/>
      </c>
      <c r="AS58" s="378" t="str">
        <f t="shared" ca="1" si="48"/>
        <v/>
      </c>
      <c r="AT58" s="378" t="str">
        <f t="shared" ca="1" si="48"/>
        <v/>
      </c>
    </row>
    <row r="59" spans="1:46" x14ac:dyDescent="0.4">
      <c r="A59" s="150">
        <v>44</v>
      </c>
      <c r="B59" s="204" t="b">
        <f t="shared" si="16"/>
        <v>0</v>
      </c>
      <c r="C59" s="209" t="str">
        <f t="shared" ca="1" si="17"/>
        <v/>
      </c>
      <c r="D59" s="359" t="str">
        <f t="shared" ca="1" si="18"/>
        <v/>
      </c>
      <c r="E59" s="359" t="str">
        <f t="shared" ca="1" si="19"/>
        <v/>
      </c>
      <c r="F59" s="57" t="str">
        <f t="shared" ca="1" si="20"/>
        <v/>
      </c>
      <c r="G59" s="57" t="str">
        <f t="shared" ca="1" si="20"/>
        <v/>
      </c>
      <c r="H59" s="211" t="str" cm="1">
        <f t="array" aca="1" ref="H59" ca="1">IFERROR(INDEX($C$16:$C$116,SMALL(IF($C$16:$C$116&lt;&gt;"",ROW($C$16:$C$116)-ROW($C$16)+1),ROW(A44))),"")</f>
        <v/>
      </c>
      <c r="I59" s="210" t="str" cm="1">
        <f t="array" aca="1" ref="I59" ca="1">IFERROR(INDEX($D$16:$D$116,SMALL(IF($D$16:$D$116&lt;&gt;"",ROW($D$16:$D$116)-ROW($D$16)+1),ROW(A44))),"")</f>
        <v/>
      </c>
      <c r="J59" s="210" t="str" cm="1">
        <f t="array" aca="1" ref="J59" ca="1">IFERROR(INDEX($E$16:$E$116,SMALL(IF($E$16:$E$116&lt;&gt;"",ROW($E$16:$E$116)-ROW($E$16)+1),ROW(A44))),"")</f>
        <v/>
      </c>
      <c r="K59" s="210" t="str" cm="1">
        <f t="array" aca="1" ref="K59" ca="1">IFERROR(INDEX($F$16:$F$116,SMALL(IF($F$16:$F$116&lt;&gt;"",ROW($F$16:$F$116)-ROW($F$16)+1),ROW(A44))),"")</f>
        <v/>
      </c>
      <c r="L59" s="210" t="str">
        <f t="shared" ca="1" si="33"/>
        <v/>
      </c>
      <c r="M59" s="210" t="str" cm="1">
        <f t="array" aca="1" ref="M59" ca="1">IFERROR(INDEX($G$16:$G$116,SMALL(IF($G$16:$G$116&lt;&gt;"",ROW($G$16:$G$116)-ROW($G$16)+1),ROW(A44))),"")</f>
        <v/>
      </c>
      <c r="N59" s="215" t="str">
        <f t="shared" ca="1" si="34"/>
        <v/>
      </c>
      <c r="O59" s="216" t="str">
        <f t="shared" ca="1" si="35"/>
        <v/>
      </c>
      <c r="P59" s="216" t="str">
        <f t="shared" ca="1" si="36"/>
        <v/>
      </c>
      <c r="Q59" s="216" t="str">
        <f t="shared" ca="1" si="37"/>
        <v/>
      </c>
      <c r="R59" s="216" t="str">
        <f t="shared" ca="1" si="38"/>
        <v/>
      </c>
      <c r="S59" s="216" t="str">
        <f t="shared" ca="1" si="39"/>
        <v/>
      </c>
      <c r="T59" s="216" t="str">
        <f t="shared" ca="1" si="40"/>
        <v/>
      </c>
      <c r="U59" s="216" t="str">
        <f t="shared" ca="1" si="41"/>
        <v/>
      </c>
      <c r="V59" s="217" t="str">
        <f t="shared" ca="1" si="42"/>
        <v/>
      </c>
      <c r="W59" s="376" t="str">
        <f t="shared" ca="1" si="21"/>
        <v/>
      </c>
      <c r="X59" s="377" t="str">
        <f t="shared" ca="1" si="22"/>
        <v/>
      </c>
      <c r="Y59" s="378" t="str">
        <f t="shared" ca="1" si="45"/>
        <v/>
      </c>
      <c r="Z59" s="378" t="str">
        <f t="shared" ca="1" si="45"/>
        <v/>
      </c>
      <c r="AA59" s="378" t="str">
        <f t="shared" ca="1" si="45"/>
        <v/>
      </c>
      <c r="AB59" s="378" t="str">
        <f t="shared" ca="1" si="45"/>
        <v/>
      </c>
      <c r="AC59" s="378" t="str">
        <f t="shared" ca="1" si="43"/>
        <v/>
      </c>
      <c r="AD59" s="378" t="str">
        <f t="shared" ca="1" si="46"/>
        <v/>
      </c>
      <c r="AE59" s="378" t="str">
        <f t="shared" ca="1" si="46"/>
        <v/>
      </c>
      <c r="AF59" s="378" t="str">
        <f t="shared" ca="1" si="46"/>
        <v/>
      </c>
      <c r="AG59" s="378" t="str">
        <f t="shared" ca="1" si="46"/>
        <v/>
      </c>
      <c r="AH59" s="378" t="str">
        <f t="shared" ca="1" si="46"/>
        <v/>
      </c>
      <c r="AI59" s="376" t="str">
        <f t="shared" ca="1" si="23"/>
        <v/>
      </c>
      <c r="AJ59" s="377" t="str">
        <f t="shared" ca="1" si="24"/>
        <v/>
      </c>
      <c r="AK59" s="378" t="str">
        <f t="shared" ca="1" si="47"/>
        <v/>
      </c>
      <c r="AL59" s="378" t="str">
        <f t="shared" ca="1" si="47"/>
        <v/>
      </c>
      <c r="AM59" s="378" t="str">
        <f t="shared" ca="1" si="47"/>
        <v/>
      </c>
      <c r="AN59" s="378" t="str">
        <f t="shared" ca="1" si="47"/>
        <v/>
      </c>
      <c r="AO59" s="378" t="str">
        <f t="shared" ca="1" si="44"/>
        <v/>
      </c>
      <c r="AP59" s="378" t="str">
        <f t="shared" ca="1" si="48"/>
        <v/>
      </c>
      <c r="AQ59" s="378" t="str">
        <f t="shared" ca="1" si="48"/>
        <v/>
      </c>
      <c r="AR59" s="378" t="str">
        <f t="shared" ca="1" si="48"/>
        <v/>
      </c>
      <c r="AS59" s="378" t="str">
        <f t="shared" ca="1" si="48"/>
        <v/>
      </c>
      <c r="AT59" s="378" t="str">
        <f t="shared" ca="1" si="48"/>
        <v/>
      </c>
    </row>
    <row r="60" spans="1:46" x14ac:dyDescent="0.4">
      <c r="A60" s="150">
        <v>45</v>
      </c>
      <c r="B60" s="204" t="b">
        <f t="shared" si="16"/>
        <v>0</v>
      </c>
      <c r="C60" s="209" t="str">
        <f t="shared" ca="1" si="17"/>
        <v/>
      </c>
      <c r="D60" s="359" t="str">
        <f t="shared" ca="1" si="18"/>
        <v/>
      </c>
      <c r="E60" s="359" t="str">
        <f t="shared" ca="1" si="19"/>
        <v/>
      </c>
      <c r="F60" s="57" t="str">
        <f t="shared" ca="1" si="20"/>
        <v/>
      </c>
      <c r="G60" s="57" t="str">
        <f t="shared" ca="1" si="20"/>
        <v/>
      </c>
      <c r="H60" s="211" t="str" cm="1">
        <f t="array" aca="1" ref="H60" ca="1">IFERROR(INDEX($C$16:$C$116,SMALL(IF($C$16:$C$116&lt;&gt;"",ROW($C$16:$C$116)-ROW($C$16)+1),ROW(A45))),"")</f>
        <v/>
      </c>
      <c r="I60" s="210" t="str" cm="1">
        <f t="array" aca="1" ref="I60" ca="1">IFERROR(INDEX($D$16:$D$116,SMALL(IF($D$16:$D$116&lt;&gt;"",ROW($D$16:$D$116)-ROW($D$16)+1),ROW(A45))),"")</f>
        <v/>
      </c>
      <c r="J60" s="210" t="str" cm="1">
        <f t="array" aca="1" ref="J60" ca="1">IFERROR(INDEX($E$16:$E$116,SMALL(IF($E$16:$E$116&lt;&gt;"",ROW($E$16:$E$116)-ROW($E$16)+1),ROW(A45))),"")</f>
        <v/>
      </c>
      <c r="K60" s="210" t="str" cm="1">
        <f t="array" aca="1" ref="K60" ca="1">IFERROR(INDEX($F$16:$F$116,SMALL(IF($F$16:$F$116&lt;&gt;"",ROW($F$16:$F$116)-ROW($F$16)+1),ROW(A45))),"")</f>
        <v/>
      </c>
      <c r="L60" s="210" t="str">
        <f t="shared" ca="1" si="33"/>
        <v/>
      </c>
      <c r="M60" s="210" t="str" cm="1">
        <f t="array" aca="1" ref="M60" ca="1">IFERROR(INDEX($G$16:$G$116,SMALL(IF($G$16:$G$116&lt;&gt;"",ROW($G$16:$G$116)-ROW($G$16)+1),ROW(A45))),"")</f>
        <v/>
      </c>
      <c r="N60" s="215" t="str">
        <f t="shared" ca="1" si="34"/>
        <v/>
      </c>
      <c r="O60" s="216" t="str">
        <f t="shared" ca="1" si="35"/>
        <v/>
      </c>
      <c r="P60" s="216" t="str">
        <f t="shared" ca="1" si="36"/>
        <v/>
      </c>
      <c r="Q60" s="216" t="str">
        <f t="shared" ca="1" si="37"/>
        <v/>
      </c>
      <c r="R60" s="216" t="str">
        <f t="shared" ca="1" si="38"/>
        <v/>
      </c>
      <c r="S60" s="216" t="str">
        <f t="shared" ca="1" si="39"/>
        <v/>
      </c>
      <c r="T60" s="216" t="str">
        <f t="shared" ca="1" si="40"/>
        <v/>
      </c>
      <c r="U60" s="216" t="str">
        <f t="shared" ca="1" si="41"/>
        <v/>
      </c>
      <c r="V60" s="217" t="str">
        <f t="shared" ca="1" si="42"/>
        <v/>
      </c>
      <c r="W60" s="376" t="str">
        <f t="shared" ca="1" si="21"/>
        <v/>
      </c>
      <c r="X60" s="377" t="str">
        <f t="shared" ca="1" si="22"/>
        <v/>
      </c>
      <c r="Y60" s="378" t="str">
        <f t="shared" ca="1" si="45"/>
        <v/>
      </c>
      <c r="Z60" s="378" t="str">
        <f t="shared" ca="1" si="45"/>
        <v/>
      </c>
      <c r="AA60" s="378" t="str">
        <f t="shared" ca="1" si="45"/>
        <v/>
      </c>
      <c r="AB60" s="378" t="str">
        <f t="shared" ca="1" si="45"/>
        <v/>
      </c>
      <c r="AC60" s="378" t="str">
        <f t="shared" ca="1" si="43"/>
        <v/>
      </c>
      <c r="AD60" s="378" t="str">
        <f t="shared" ca="1" si="46"/>
        <v/>
      </c>
      <c r="AE60" s="378" t="str">
        <f t="shared" ca="1" si="46"/>
        <v/>
      </c>
      <c r="AF60" s="378" t="str">
        <f t="shared" ca="1" si="46"/>
        <v/>
      </c>
      <c r="AG60" s="378" t="str">
        <f t="shared" ca="1" si="46"/>
        <v/>
      </c>
      <c r="AH60" s="378" t="str">
        <f t="shared" ca="1" si="46"/>
        <v/>
      </c>
      <c r="AI60" s="376" t="str">
        <f t="shared" ca="1" si="23"/>
        <v/>
      </c>
      <c r="AJ60" s="377" t="str">
        <f t="shared" ca="1" si="24"/>
        <v/>
      </c>
      <c r="AK60" s="378" t="str">
        <f t="shared" ca="1" si="47"/>
        <v/>
      </c>
      <c r="AL60" s="378" t="str">
        <f t="shared" ca="1" si="47"/>
        <v/>
      </c>
      <c r="AM60" s="378" t="str">
        <f t="shared" ca="1" si="47"/>
        <v/>
      </c>
      <c r="AN60" s="378" t="str">
        <f t="shared" ca="1" si="47"/>
        <v/>
      </c>
      <c r="AO60" s="378" t="str">
        <f t="shared" ca="1" si="44"/>
        <v/>
      </c>
      <c r="AP60" s="378" t="str">
        <f t="shared" ca="1" si="48"/>
        <v/>
      </c>
      <c r="AQ60" s="378" t="str">
        <f t="shared" ca="1" si="48"/>
        <v/>
      </c>
      <c r="AR60" s="378" t="str">
        <f t="shared" ca="1" si="48"/>
        <v/>
      </c>
      <c r="AS60" s="378" t="str">
        <f t="shared" ca="1" si="48"/>
        <v/>
      </c>
      <c r="AT60" s="378" t="str">
        <f t="shared" ca="1" si="48"/>
        <v/>
      </c>
    </row>
    <row r="61" spans="1:46" x14ac:dyDescent="0.4">
      <c r="A61" s="150">
        <v>46</v>
      </c>
      <c r="B61" s="204" t="b">
        <f t="shared" si="16"/>
        <v>0</v>
      </c>
      <c r="C61" s="209" t="str">
        <f t="shared" ca="1" si="17"/>
        <v/>
      </c>
      <c r="D61" s="359" t="str">
        <f t="shared" ca="1" si="18"/>
        <v/>
      </c>
      <c r="E61" s="359" t="str">
        <f t="shared" ca="1" si="19"/>
        <v/>
      </c>
      <c r="F61" s="57" t="str">
        <f t="shared" ca="1" si="20"/>
        <v/>
      </c>
      <c r="G61" s="57" t="str">
        <f t="shared" ca="1" si="20"/>
        <v/>
      </c>
      <c r="H61" s="211" t="str" cm="1">
        <f t="array" aca="1" ref="H61" ca="1">IFERROR(INDEX($C$16:$C$116,SMALL(IF($C$16:$C$116&lt;&gt;"",ROW($C$16:$C$116)-ROW($C$16)+1),ROW(A46))),"")</f>
        <v/>
      </c>
      <c r="I61" s="210" t="str" cm="1">
        <f t="array" aca="1" ref="I61" ca="1">IFERROR(INDEX($D$16:$D$116,SMALL(IF($D$16:$D$116&lt;&gt;"",ROW($D$16:$D$116)-ROW($D$16)+1),ROW(A46))),"")</f>
        <v/>
      </c>
      <c r="J61" s="210" t="str" cm="1">
        <f t="array" aca="1" ref="J61" ca="1">IFERROR(INDEX($E$16:$E$116,SMALL(IF($E$16:$E$116&lt;&gt;"",ROW($E$16:$E$116)-ROW($E$16)+1),ROW(A46))),"")</f>
        <v/>
      </c>
      <c r="K61" s="210" t="str" cm="1">
        <f t="array" aca="1" ref="K61" ca="1">IFERROR(INDEX($F$16:$F$116,SMALL(IF($F$16:$F$116&lt;&gt;"",ROW($F$16:$F$116)-ROW($F$16)+1),ROW(A46))),"")</f>
        <v/>
      </c>
      <c r="L61" s="210" t="str">
        <f t="shared" ca="1" si="33"/>
        <v/>
      </c>
      <c r="M61" s="210" t="str" cm="1">
        <f t="array" aca="1" ref="M61" ca="1">IFERROR(INDEX($G$16:$G$116,SMALL(IF($G$16:$G$116&lt;&gt;"",ROW($G$16:$G$116)-ROW($G$16)+1),ROW(A46))),"")</f>
        <v/>
      </c>
      <c r="N61" s="215" t="str">
        <f t="shared" ca="1" si="34"/>
        <v/>
      </c>
      <c r="O61" s="216" t="str">
        <f t="shared" ca="1" si="35"/>
        <v/>
      </c>
      <c r="P61" s="216" t="str">
        <f t="shared" ca="1" si="36"/>
        <v/>
      </c>
      <c r="Q61" s="216" t="str">
        <f t="shared" ca="1" si="37"/>
        <v/>
      </c>
      <c r="R61" s="216" t="str">
        <f t="shared" ca="1" si="38"/>
        <v/>
      </c>
      <c r="S61" s="216" t="str">
        <f t="shared" ca="1" si="39"/>
        <v/>
      </c>
      <c r="T61" s="216" t="str">
        <f t="shared" ca="1" si="40"/>
        <v/>
      </c>
      <c r="U61" s="216" t="str">
        <f t="shared" ca="1" si="41"/>
        <v/>
      </c>
      <c r="V61" s="217" t="str">
        <f t="shared" ca="1" si="42"/>
        <v/>
      </c>
      <c r="W61" s="376" t="str">
        <f t="shared" ca="1" si="21"/>
        <v/>
      </c>
      <c r="X61" s="377" t="str">
        <f t="shared" ca="1" si="22"/>
        <v/>
      </c>
      <c r="Y61" s="378" t="str">
        <f t="shared" ca="1" si="45"/>
        <v/>
      </c>
      <c r="Z61" s="378" t="str">
        <f t="shared" ca="1" si="45"/>
        <v/>
      </c>
      <c r="AA61" s="378" t="str">
        <f t="shared" ca="1" si="45"/>
        <v/>
      </c>
      <c r="AB61" s="378" t="str">
        <f t="shared" ca="1" si="45"/>
        <v/>
      </c>
      <c r="AC61" s="378" t="str">
        <f t="shared" ca="1" si="43"/>
        <v/>
      </c>
      <c r="AD61" s="378" t="str">
        <f t="shared" ca="1" si="46"/>
        <v/>
      </c>
      <c r="AE61" s="378" t="str">
        <f t="shared" ca="1" si="46"/>
        <v/>
      </c>
      <c r="AF61" s="378" t="str">
        <f t="shared" ca="1" si="46"/>
        <v/>
      </c>
      <c r="AG61" s="378" t="str">
        <f t="shared" ca="1" si="46"/>
        <v/>
      </c>
      <c r="AH61" s="378" t="str">
        <f t="shared" ca="1" si="46"/>
        <v/>
      </c>
      <c r="AI61" s="376" t="str">
        <f t="shared" ca="1" si="23"/>
        <v/>
      </c>
      <c r="AJ61" s="377" t="str">
        <f t="shared" ca="1" si="24"/>
        <v/>
      </c>
      <c r="AK61" s="378" t="str">
        <f t="shared" ca="1" si="47"/>
        <v/>
      </c>
      <c r="AL61" s="378" t="str">
        <f t="shared" ca="1" si="47"/>
        <v/>
      </c>
      <c r="AM61" s="378" t="str">
        <f t="shared" ca="1" si="47"/>
        <v/>
      </c>
      <c r="AN61" s="378" t="str">
        <f t="shared" ca="1" si="47"/>
        <v/>
      </c>
      <c r="AO61" s="378" t="str">
        <f t="shared" ca="1" si="44"/>
        <v/>
      </c>
      <c r="AP61" s="378" t="str">
        <f t="shared" ca="1" si="48"/>
        <v/>
      </c>
      <c r="AQ61" s="378" t="str">
        <f t="shared" ca="1" si="48"/>
        <v/>
      </c>
      <c r="AR61" s="378" t="str">
        <f t="shared" ca="1" si="48"/>
        <v/>
      </c>
      <c r="AS61" s="378" t="str">
        <f t="shared" ca="1" si="48"/>
        <v/>
      </c>
      <c r="AT61" s="378" t="str">
        <f t="shared" ca="1" si="48"/>
        <v/>
      </c>
    </row>
    <row r="62" spans="1:46" x14ac:dyDescent="0.4">
      <c r="A62" s="150">
        <v>47</v>
      </c>
      <c r="B62" s="204" t="b">
        <f t="shared" si="16"/>
        <v>0</v>
      </c>
      <c r="C62" s="209" t="str">
        <f t="shared" ca="1" si="17"/>
        <v/>
      </c>
      <c r="D62" s="359" t="str">
        <f t="shared" ca="1" si="18"/>
        <v/>
      </c>
      <c r="E62" s="359" t="str">
        <f t="shared" ca="1" si="19"/>
        <v/>
      </c>
      <c r="F62" s="57" t="str">
        <f t="shared" ca="1" si="20"/>
        <v/>
      </c>
      <c r="G62" s="57" t="str">
        <f t="shared" ca="1" si="20"/>
        <v/>
      </c>
      <c r="H62" s="211" t="str" cm="1">
        <f t="array" aca="1" ref="H62" ca="1">IFERROR(INDEX($C$16:$C$116,SMALL(IF($C$16:$C$116&lt;&gt;"",ROW($C$16:$C$116)-ROW($C$16)+1),ROW(A47))),"")</f>
        <v/>
      </c>
      <c r="I62" s="210" t="str" cm="1">
        <f t="array" aca="1" ref="I62" ca="1">IFERROR(INDEX($D$16:$D$116,SMALL(IF($D$16:$D$116&lt;&gt;"",ROW($D$16:$D$116)-ROW($D$16)+1),ROW(A47))),"")</f>
        <v/>
      </c>
      <c r="J62" s="210" t="str" cm="1">
        <f t="array" aca="1" ref="J62" ca="1">IFERROR(INDEX($E$16:$E$116,SMALL(IF($E$16:$E$116&lt;&gt;"",ROW($E$16:$E$116)-ROW($E$16)+1),ROW(A47))),"")</f>
        <v/>
      </c>
      <c r="K62" s="210" t="str" cm="1">
        <f t="array" aca="1" ref="K62" ca="1">IFERROR(INDEX($F$16:$F$116,SMALL(IF($F$16:$F$116&lt;&gt;"",ROW($F$16:$F$116)-ROW($F$16)+1),ROW(A47))),"")</f>
        <v/>
      </c>
      <c r="L62" s="210" t="str">
        <f t="shared" ca="1" si="33"/>
        <v/>
      </c>
      <c r="M62" s="210" t="str" cm="1">
        <f t="array" aca="1" ref="M62" ca="1">IFERROR(INDEX($G$16:$G$116,SMALL(IF($G$16:$G$116&lt;&gt;"",ROW($G$16:$G$116)-ROW($G$16)+1),ROW(A47))),"")</f>
        <v/>
      </c>
      <c r="N62" s="215" t="str">
        <f t="shared" ca="1" si="34"/>
        <v/>
      </c>
      <c r="O62" s="216" t="str">
        <f t="shared" ca="1" si="35"/>
        <v/>
      </c>
      <c r="P62" s="216" t="str">
        <f t="shared" ca="1" si="36"/>
        <v/>
      </c>
      <c r="Q62" s="216" t="str">
        <f t="shared" ca="1" si="37"/>
        <v/>
      </c>
      <c r="R62" s="216" t="str">
        <f t="shared" ca="1" si="38"/>
        <v/>
      </c>
      <c r="S62" s="216" t="str">
        <f t="shared" ca="1" si="39"/>
        <v/>
      </c>
      <c r="T62" s="216" t="str">
        <f t="shared" ca="1" si="40"/>
        <v/>
      </c>
      <c r="U62" s="216" t="str">
        <f t="shared" ca="1" si="41"/>
        <v/>
      </c>
      <c r="V62" s="217" t="str">
        <f t="shared" ca="1" si="42"/>
        <v/>
      </c>
      <c r="W62" s="376" t="str">
        <f t="shared" ca="1" si="21"/>
        <v/>
      </c>
      <c r="X62" s="377" t="str">
        <f t="shared" ca="1" si="22"/>
        <v/>
      </c>
      <c r="Y62" s="378" t="str">
        <f t="shared" ca="1" si="45"/>
        <v/>
      </c>
      <c r="Z62" s="378" t="str">
        <f t="shared" ca="1" si="45"/>
        <v/>
      </c>
      <c r="AA62" s="378" t="str">
        <f t="shared" ca="1" si="45"/>
        <v/>
      </c>
      <c r="AB62" s="378" t="str">
        <f t="shared" ca="1" si="45"/>
        <v/>
      </c>
      <c r="AC62" s="378" t="str">
        <f t="shared" ca="1" si="43"/>
        <v/>
      </c>
      <c r="AD62" s="378" t="str">
        <f t="shared" ca="1" si="46"/>
        <v/>
      </c>
      <c r="AE62" s="378" t="str">
        <f t="shared" ca="1" si="46"/>
        <v/>
      </c>
      <c r="AF62" s="378" t="str">
        <f t="shared" ca="1" si="46"/>
        <v/>
      </c>
      <c r="AG62" s="378" t="str">
        <f t="shared" ca="1" si="46"/>
        <v/>
      </c>
      <c r="AH62" s="378" t="str">
        <f t="shared" ca="1" si="46"/>
        <v/>
      </c>
      <c r="AI62" s="376" t="str">
        <f t="shared" ca="1" si="23"/>
        <v/>
      </c>
      <c r="AJ62" s="377" t="str">
        <f t="shared" ca="1" si="24"/>
        <v/>
      </c>
      <c r="AK62" s="378" t="str">
        <f t="shared" ca="1" si="47"/>
        <v/>
      </c>
      <c r="AL62" s="378" t="str">
        <f t="shared" ca="1" si="47"/>
        <v/>
      </c>
      <c r="AM62" s="378" t="str">
        <f t="shared" ca="1" si="47"/>
        <v/>
      </c>
      <c r="AN62" s="378" t="str">
        <f t="shared" ca="1" si="47"/>
        <v/>
      </c>
      <c r="AO62" s="378" t="str">
        <f t="shared" ca="1" si="44"/>
        <v/>
      </c>
      <c r="AP62" s="378" t="str">
        <f t="shared" ca="1" si="48"/>
        <v/>
      </c>
      <c r="AQ62" s="378" t="str">
        <f t="shared" ca="1" si="48"/>
        <v/>
      </c>
      <c r="AR62" s="378" t="str">
        <f t="shared" ca="1" si="48"/>
        <v/>
      </c>
      <c r="AS62" s="378" t="str">
        <f t="shared" ca="1" si="48"/>
        <v/>
      </c>
      <c r="AT62" s="378" t="str">
        <f t="shared" ca="1" si="48"/>
        <v/>
      </c>
    </row>
    <row r="63" spans="1:46" x14ac:dyDescent="0.4">
      <c r="A63" s="150">
        <v>48</v>
      </c>
      <c r="B63" s="204" t="b">
        <f t="shared" si="16"/>
        <v>0</v>
      </c>
      <c r="C63" s="209" t="str">
        <f t="shared" ca="1" si="17"/>
        <v/>
      </c>
      <c r="D63" s="359" t="str">
        <f t="shared" ca="1" si="18"/>
        <v/>
      </c>
      <c r="E63" s="359" t="str">
        <f t="shared" ca="1" si="19"/>
        <v/>
      </c>
      <c r="F63" s="57" t="str">
        <f t="shared" ca="1" si="20"/>
        <v/>
      </c>
      <c r="G63" s="57" t="str">
        <f t="shared" ca="1" si="20"/>
        <v/>
      </c>
      <c r="H63" s="211" t="str" cm="1">
        <f t="array" aca="1" ref="H63" ca="1">IFERROR(INDEX($C$16:$C$116,SMALL(IF($C$16:$C$116&lt;&gt;"",ROW($C$16:$C$116)-ROW($C$16)+1),ROW(A48))),"")</f>
        <v/>
      </c>
      <c r="I63" s="210" t="str" cm="1">
        <f t="array" aca="1" ref="I63" ca="1">IFERROR(INDEX($D$16:$D$116,SMALL(IF($D$16:$D$116&lt;&gt;"",ROW($D$16:$D$116)-ROW($D$16)+1),ROW(A48))),"")</f>
        <v/>
      </c>
      <c r="J63" s="210" t="str" cm="1">
        <f t="array" aca="1" ref="J63" ca="1">IFERROR(INDEX($E$16:$E$116,SMALL(IF($E$16:$E$116&lt;&gt;"",ROW($E$16:$E$116)-ROW($E$16)+1),ROW(A48))),"")</f>
        <v/>
      </c>
      <c r="K63" s="210" t="str" cm="1">
        <f t="array" aca="1" ref="K63" ca="1">IFERROR(INDEX($F$16:$F$116,SMALL(IF($F$16:$F$116&lt;&gt;"",ROW($F$16:$F$116)-ROW($F$16)+1),ROW(A48))),"")</f>
        <v/>
      </c>
      <c r="L63" s="210" t="str">
        <f t="shared" ca="1" si="33"/>
        <v/>
      </c>
      <c r="M63" s="210" t="str" cm="1">
        <f t="array" aca="1" ref="M63" ca="1">IFERROR(INDEX($G$16:$G$116,SMALL(IF($G$16:$G$116&lt;&gt;"",ROW($G$16:$G$116)-ROW($G$16)+1),ROW(A48))),"")</f>
        <v/>
      </c>
      <c r="N63" s="215" t="str">
        <f t="shared" ca="1" si="34"/>
        <v/>
      </c>
      <c r="O63" s="216" t="str">
        <f t="shared" ca="1" si="35"/>
        <v/>
      </c>
      <c r="P63" s="216" t="str">
        <f t="shared" ca="1" si="36"/>
        <v/>
      </c>
      <c r="Q63" s="216" t="str">
        <f t="shared" ca="1" si="37"/>
        <v/>
      </c>
      <c r="R63" s="216" t="str">
        <f t="shared" ca="1" si="38"/>
        <v/>
      </c>
      <c r="S63" s="216" t="str">
        <f t="shared" ca="1" si="39"/>
        <v/>
      </c>
      <c r="T63" s="216" t="str">
        <f t="shared" ca="1" si="40"/>
        <v/>
      </c>
      <c r="U63" s="216" t="str">
        <f t="shared" ca="1" si="41"/>
        <v/>
      </c>
      <c r="V63" s="217" t="str">
        <f t="shared" ca="1" si="42"/>
        <v/>
      </c>
      <c r="W63" s="376" t="str">
        <f t="shared" ca="1" si="21"/>
        <v/>
      </c>
      <c r="X63" s="377" t="str">
        <f t="shared" ca="1" si="22"/>
        <v/>
      </c>
      <c r="Y63" s="378" t="str">
        <f t="shared" ca="1" si="45"/>
        <v/>
      </c>
      <c r="Z63" s="378" t="str">
        <f t="shared" ca="1" si="45"/>
        <v/>
      </c>
      <c r="AA63" s="378" t="str">
        <f t="shared" ca="1" si="45"/>
        <v/>
      </c>
      <c r="AB63" s="378" t="str">
        <f t="shared" ca="1" si="45"/>
        <v/>
      </c>
      <c r="AC63" s="378" t="str">
        <f t="shared" ca="1" si="43"/>
        <v/>
      </c>
      <c r="AD63" s="378" t="str">
        <f t="shared" ca="1" si="46"/>
        <v/>
      </c>
      <c r="AE63" s="378" t="str">
        <f t="shared" ca="1" si="46"/>
        <v/>
      </c>
      <c r="AF63" s="378" t="str">
        <f t="shared" ca="1" si="46"/>
        <v/>
      </c>
      <c r="AG63" s="378" t="str">
        <f t="shared" ca="1" si="46"/>
        <v/>
      </c>
      <c r="AH63" s="378" t="str">
        <f t="shared" ca="1" si="46"/>
        <v/>
      </c>
      <c r="AI63" s="376" t="str">
        <f t="shared" ca="1" si="23"/>
        <v/>
      </c>
      <c r="AJ63" s="377" t="str">
        <f t="shared" ca="1" si="24"/>
        <v/>
      </c>
      <c r="AK63" s="378" t="str">
        <f t="shared" ca="1" si="47"/>
        <v/>
      </c>
      <c r="AL63" s="378" t="str">
        <f t="shared" ca="1" si="47"/>
        <v/>
      </c>
      <c r="AM63" s="378" t="str">
        <f t="shared" ca="1" si="47"/>
        <v/>
      </c>
      <c r="AN63" s="378" t="str">
        <f t="shared" ca="1" si="47"/>
        <v/>
      </c>
      <c r="AO63" s="378" t="str">
        <f t="shared" ca="1" si="44"/>
        <v/>
      </c>
      <c r="AP63" s="378" t="str">
        <f t="shared" ca="1" si="48"/>
        <v/>
      </c>
      <c r="AQ63" s="378" t="str">
        <f t="shared" ca="1" si="48"/>
        <v/>
      </c>
      <c r="AR63" s="378" t="str">
        <f t="shared" ca="1" si="48"/>
        <v/>
      </c>
      <c r="AS63" s="378" t="str">
        <f t="shared" ca="1" si="48"/>
        <v/>
      </c>
      <c r="AT63" s="378" t="str">
        <f t="shared" ca="1" si="48"/>
        <v/>
      </c>
    </row>
    <row r="64" spans="1:46" x14ac:dyDescent="0.4">
      <c r="A64" s="150">
        <v>49</v>
      </c>
      <c r="B64" s="204" t="b">
        <f t="shared" si="16"/>
        <v>0</v>
      </c>
      <c r="C64" s="209" t="str">
        <f t="shared" ca="1" si="17"/>
        <v/>
      </c>
      <c r="D64" s="359" t="str">
        <f t="shared" ca="1" si="18"/>
        <v/>
      </c>
      <c r="E64" s="359" t="str">
        <f t="shared" ca="1" si="19"/>
        <v/>
      </c>
      <c r="F64" s="57" t="str">
        <f t="shared" ca="1" si="20"/>
        <v/>
      </c>
      <c r="G64" s="57" t="str">
        <f t="shared" ca="1" si="20"/>
        <v/>
      </c>
      <c r="H64" s="211" t="str" cm="1">
        <f t="array" aca="1" ref="H64" ca="1">IFERROR(INDEX($C$16:$C$116,SMALL(IF($C$16:$C$116&lt;&gt;"",ROW($C$16:$C$116)-ROW($C$16)+1),ROW(A49))),"")</f>
        <v/>
      </c>
      <c r="I64" s="210" t="str" cm="1">
        <f t="array" aca="1" ref="I64" ca="1">IFERROR(INDEX($D$16:$D$116,SMALL(IF($D$16:$D$116&lt;&gt;"",ROW($D$16:$D$116)-ROW($D$16)+1),ROW(A49))),"")</f>
        <v/>
      </c>
      <c r="J64" s="210" t="str" cm="1">
        <f t="array" aca="1" ref="J64" ca="1">IFERROR(INDEX($E$16:$E$116,SMALL(IF($E$16:$E$116&lt;&gt;"",ROW($E$16:$E$116)-ROW($E$16)+1),ROW(A49))),"")</f>
        <v/>
      </c>
      <c r="K64" s="210" t="str" cm="1">
        <f t="array" aca="1" ref="K64" ca="1">IFERROR(INDEX($F$16:$F$116,SMALL(IF($F$16:$F$116&lt;&gt;"",ROW($F$16:$F$116)-ROW($F$16)+1),ROW(A49))),"")</f>
        <v/>
      </c>
      <c r="L64" s="210" t="str">
        <f t="shared" ca="1" si="33"/>
        <v/>
      </c>
      <c r="M64" s="210" t="str" cm="1">
        <f t="array" aca="1" ref="M64" ca="1">IFERROR(INDEX($G$16:$G$116,SMALL(IF($G$16:$G$116&lt;&gt;"",ROW($G$16:$G$116)-ROW($G$16)+1),ROW(A49))),"")</f>
        <v/>
      </c>
      <c r="N64" s="215" t="str">
        <f t="shared" ca="1" si="34"/>
        <v/>
      </c>
      <c r="O64" s="216" t="str">
        <f t="shared" ca="1" si="35"/>
        <v/>
      </c>
      <c r="P64" s="216" t="str">
        <f t="shared" ca="1" si="36"/>
        <v/>
      </c>
      <c r="Q64" s="216" t="str">
        <f t="shared" ca="1" si="37"/>
        <v/>
      </c>
      <c r="R64" s="216" t="str">
        <f t="shared" ca="1" si="38"/>
        <v/>
      </c>
      <c r="S64" s="216" t="str">
        <f t="shared" ca="1" si="39"/>
        <v/>
      </c>
      <c r="T64" s="216" t="str">
        <f t="shared" ca="1" si="40"/>
        <v/>
      </c>
      <c r="U64" s="216" t="str">
        <f t="shared" ca="1" si="41"/>
        <v/>
      </c>
      <c r="V64" s="217" t="str">
        <f t="shared" ca="1" si="42"/>
        <v/>
      </c>
      <c r="W64" s="376" t="str">
        <f t="shared" ca="1" si="21"/>
        <v/>
      </c>
      <c r="X64" s="377" t="str">
        <f t="shared" ca="1" si="22"/>
        <v/>
      </c>
      <c r="Y64" s="378" t="str">
        <f t="shared" ca="1" si="45"/>
        <v/>
      </c>
      <c r="Z64" s="378" t="str">
        <f t="shared" ca="1" si="45"/>
        <v/>
      </c>
      <c r="AA64" s="378" t="str">
        <f t="shared" ca="1" si="45"/>
        <v/>
      </c>
      <c r="AB64" s="378" t="str">
        <f t="shared" ca="1" si="45"/>
        <v/>
      </c>
      <c r="AC64" s="378" t="str">
        <f t="shared" ca="1" si="43"/>
        <v/>
      </c>
      <c r="AD64" s="378" t="str">
        <f t="shared" ca="1" si="46"/>
        <v/>
      </c>
      <c r="AE64" s="378" t="str">
        <f t="shared" ca="1" si="46"/>
        <v/>
      </c>
      <c r="AF64" s="378" t="str">
        <f t="shared" ca="1" si="46"/>
        <v/>
      </c>
      <c r="AG64" s="378" t="str">
        <f t="shared" ca="1" si="46"/>
        <v/>
      </c>
      <c r="AH64" s="378" t="str">
        <f t="shared" ca="1" si="46"/>
        <v/>
      </c>
      <c r="AI64" s="376" t="str">
        <f t="shared" ca="1" si="23"/>
        <v/>
      </c>
      <c r="AJ64" s="377" t="str">
        <f t="shared" ca="1" si="24"/>
        <v/>
      </c>
      <c r="AK64" s="378" t="str">
        <f t="shared" ca="1" si="47"/>
        <v/>
      </c>
      <c r="AL64" s="378" t="str">
        <f t="shared" ca="1" si="47"/>
        <v/>
      </c>
      <c r="AM64" s="378" t="str">
        <f t="shared" ca="1" si="47"/>
        <v/>
      </c>
      <c r="AN64" s="378" t="str">
        <f t="shared" ca="1" si="47"/>
        <v/>
      </c>
      <c r="AO64" s="378" t="str">
        <f t="shared" ca="1" si="44"/>
        <v/>
      </c>
      <c r="AP64" s="378" t="str">
        <f t="shared" ca="1" si="48"/>
        <v/>
      </c>
      <c r="AQ64" s="378" t="str">
        <f t="shared" ca="1" si="48"/>
        <v/>
      </c>
      <c r="AR64" s="378" t="str">
        <f t="shared" ca="1" si="48"/>
        <v/>
      </c>
      <c r="AS64" s="378" t="str">
        <f t="shared" ca="1" si="48"/>
        <v/>
      </c>
      <c r="AT64" s="378" t="str">
        <f t="shared" ca="1" si="48"/>
        <v/>
      </c>
    </row>
    <row r="65" spans="1:46" x14ac:dyDescent="0.4">
      <c r="A65" s="150">
        <v>50</v>
      </c>
      <c r="B65" s="204" t="b">
        <f t="shared" si="16"/>
        <v>0</v>
      </c>
      <c r="C65" s="209" t="str">
        <f t="shared" ca="1" si="17"/>
        <v/>
      </c>
      <c r="D65" s="359" t="str">
        <f t="shared" ca="1" si="18"/>
        <v/>
      </c>
      <c r="E65" s="359" t="str">
        <f t="shared" ca="1" si="19"/>
        <v/>
      </c>
      <c r="F65" s="57" t="str">
        <f t="shared" ca="1" si="20"/>
        <v/>
      </c>
      <c r="G65" s="57" t="str">
        <f t="shared" ca="1" si="20"/>
        <v/>
      </c>
      <c r="H65" s="211" t="str" cm="1">
        <f t="array" aca="1" ref="H65" ca="1">IFERROR(INDEX($C$16:$C$116,SMALL(IF($C$16:$C$116&lt;&gt;"",ROW($C$16:$C$116)-ROW($C$16)+1),ROW(A50))),"")</f>
        <v/>
      </c>
      <c r="I65" s="210" t="str" cm="1">
        <f t="array" aca="1" ref="I65" ca="1">IFERROR(INDEX($D$16:$D$116,SMALL(IF($D$16:$D$116&lt;&gt;"",ROW($D$16:$D$116)-ROW($D$16)+1),ROW(A50))),"")</f>
        <v/>
      </c>
      <c r="J65" s="210" t="str" cm="1">
        <f t="array" aca="1" ref="J65" ca="1">IFERROR(INDEX($E$16:$E$116,SMALL(IF($E$16:$E$116&lt;&gt;"",ROW($E$16:$E$116)-ROW($E$16)+1),ROW(A50))),"")</f>
        <v/>
      </c>
      <c r="K65" s="210" t="str" cm="1">
        <f t="array" aca="1" ref="K65" ca="1">IFERROR(INDEX($F$16:$F$116,SMALL(IF($F$16:$F$116&lt;&gt;"",ROW($F$16:$F$116)-ROW($F$16)+1),ROW(A50))),"")</f>
        <v/>
      </c>
      <c r="L65" s="210" t="str">
        <f t="shared" ca="1" si="33"/>
        <v/>
      </c>
      <c r="M65" s="210" t="str" cm="1">
        <f t="array" aca="1" ref="M65" ca="1">IFERROR(INDEX($G$16:$G$116,SMALL(IF($G$16:$G$116&lt;&gt;"",ROW($G$16:$G$116)-ROW($G$16)+1),ROW(A50))),"")</f>
        <v/>
      </c>
      <c r="N65" s="215" t="str">
        <f t="shared" ca="1" si="34"/>
        <v/>
      </c>
      <c r="O65" s="216" t="str">
        <f t="shared" ca="1" si="35"/>
        <v/>
      </c>
      <c r="P65" s="216" t="str">
        <f t="shared" ca="1" si="36"/>
        <v/>
      </c>
      <c r="Q65" s="216" t="str">
        <f t="shared" ca="1" si="37"/>
        <v/>
      </c>
      <c r="R65" s="216" t="str">
        <f t="shared" ca="1" si="38"/>
        <v/>
      </c>
      <c r="S65" s="216" t="str">
        <f t="shared" ca="1" si="39"/>
        <v/>
      </c>
      <c r="T65" s="216" t="str">
        <f t="shared" ca="1" si="40"/>
        <v/>
      </c>
      <c r="U65" s="216" t="str">
        <f t="shared" ca="1" si="41"/>
        <v/>
      </c>
      <c r="V65" s="217" t="str">
        <f t="shared" ca="1" si="42"/>
        <v/>
      </c>
      <c r="W65" s="376" t="str">
        <f t="shared" ca="1" si="21"/>
        <v/>
      </c>
      <c r="X65" s="377" t="str">
        <f t="shared" ca="1" si="22"/>
        <v/>
      </c>
      <c r="Y65" s="378" t="str">
        <f t="shared" ca="1" si="45"/>
        <v/>
      </c>
      <c r="Z65" s="378" t="str">
        <f t="shared" ca="1" si="45"/>
        <v/>
      </c>
      <c r="AA65" s="378" t="str">
        <f t="shared" ca="1" si="45"/>
        <v/>
      </c>
      <c r="AB65" s="378" t="str">
        <f t="shared" ca="1" si="45"/>
        <v/>
      </c>
      <c r="AC65" s="378" t="str">
        <f t="shared" ca="1" si="43"/>
        <v/>
      </c>
      <c r="AD65" s="378" t="str">
        <f t="shared" ca="1" si="46"/>
        <v/>
      </c>
      <c r="AE65" s="378" t="str">
        <f t="shared" ca="1" si="46"/>
        <v/>
      </c>
      <c r="AF65" s="378" t="str">
        <f t="shared" ca="1" si="46"/>
        <v/>
      </c>
      <c r="AG65" s="378" t="str">
        <f t="shared" ca="1" si="46"/>
        <v/>
      </c>
      <c r="AH65" s="378" t="str">
        <f t="shared" ca="1" si="46"/>
        <v/>
      </c>
      <c r="AI65" s="376" t="str">
        <f t="shared" ca="1" si="23"/>
        <v/>
      </c>
      <c r="AJ65" s="377" t="str">
        <f t="shared" ca="1" si="24"/>
        <v/>
      </c>
      <c r="AK65" s="378" t="str">
        <f t="shared" ca="1" si="47"/>
        <v/>
      </c>
      <c r="AL65" s="378" t="str">
        <f t="shared" ca="1" si="47"/>
        <v/>
      </c>
      <c r="AM65" s="378" t="str">
        <f t="shared" ca="1" si="47"/>
        <v/>
      </c>
      <c r="AN65" s="378" t="str">
        <f t="shared" ca="1" si="47"/>
        <v/>
      </c>
      <c r="AO65" s="378" t="str">
        <f t="shared" ca="1" si="44"/>
        <v/>
      </c>
      <c r="AP65" s="378" t="str">
        <f t="shared" ca="1" si="48"/>
        <v/>
      </c>
      <c r="AQ65" s="378" t="str">
        <f t="shared" ca="1" si="48"/>
        <v/>
      </c>
      <c r="AR65" s="378" t="str">
        <f t="shared" ca="1" si="48"/>
        <v/>
      </c>
      <c r="AS65" s="378" t="str">
        <f t="shared" ca="1" si="48"/>
        <v/>
      </c>
      <c r="AT65" s="378" t="str">
        <f t="shared" ca="1" si="48"/>
        <v/>
      </c>
    </row>
    <row r="66" spans="1:46" x14ac:dyDescent="0.4">
      <c r="A66" s="150">
        <v>51</v>
      </c>
      <c r="B66" s="204" t="b">
        <f t="shared" si="16"/>
        <v>0</v>
      </c>
      <c r="C66" s="209" t="str">
        <f t="shared" ca="1" si="17"/>
        <v/>
      </c>
      <c r="D66" s="359" t="str">
        <f t="shared" ca="1" si="18"/>
        <v/>
      </c>
      <c r="E66" s="359" t="str">
        <f t="shared" ca="1" si="19"/>
        <v/>
      </c>
      <c r="F66" s="57" t="str">
        <f t="shared" ca="1" si="20"/>
        <v/>
      </c>
      <c r="G66" s="57" t="str">
        <f t="shared" ca="1" si="20"/>
        <v/>
      </c>
      <c r="H66" s="211" t="str" cm="1">
        <f t="array" aca="1" ref="H66" ca="1">IFERROR(INDEX($C$16:$C$116,SMALL(IF($C$16:$C$116&lt;&gt;"",ROW($C$16:$C$116)-ROW($C$16)+1),ROW(A51))),"")</f>
        <v/>
      </c>
      <c r="I66" s="210" t="str" cm="1">
        <f t="array" aca="1" ref="I66" ca="1">IFERROR(INDEX($D$16:$D$116,SMALL(IF($D$16:$D$116&lt;&gt;"",ROW($D$16:$D$116)-ROW($D$16)+1),ROW(A51))),"")</f>
        <v/>
      </c>
      <c r="J66" s="210" t="str" cm="1">
        <f t="array" aca="1" ref="J66" ca="1">IFERROR(INDEX($E$16:$E$116,SMALL(IF($E$16:$E$116&lt;&gt;"",ROW($E$16:$E$116)-ROW($E$16)+1),ROW(A51))),"")</f>
        <v/>
      </c>
      <c r="K66" s="210" t="str" cm="1">
        <f t="array" aca="1" ref="K66" ca="1">IFERROR(INDEX($F$16:$F$116,SMALL(IF($F$16:$F$116&lt;&gt;"",ROW($F$16:$F$116)-ROW($F$16)+1),ROW(A51))),"")</f>
        <v/>
      </c>
      <c r="L66" s="210" t="str">
        <f t="shared" ca="1" si="33"/>
        <v/>
      </c>
      <c r="M66" s="210" t="str" cm="1">
        <f t="array" aca="1" ref="M66" ca="1">IFERROR(INDEX($G$16:$G$116,SMALL(IF($G$16:$G$116&lt;&gt;"",ROW($G$16:$G$116)-ROW($G$16)+1),ROW(A51))),"")</f>
        <v/>
      </c>
      <c r="N66" s="215" t="str">
        <f t="shared" ca="1" si="34"/>
        <v/>
      </c>
      <c r="O66" s="216" t="str">
        <f t="shared" ca="1" si="35"/>
        <v/>
      </c>
      <c r="P66" s="216" t="str">
        <f t="shared" ca="1" si="36"/>
        <v/>
      </c>
      <c r="Q66" s="216" t="str">
        <f t="shared" ca="1" si="37"/>
        <v/>
      </c>
      <c r="R66" s="216" t="str">
        <f t="shared" ca="1" si="38"/>
        <v/>
      </c>
      <c r="S66" s="216" t="str">
        <f t="shared" ca="1" si="39"/>
        <v/>
      </c>
      <c r="T66" s="216" t="str">
        <f t="shared" ca="1" si="40"/>
        <v/>
      </c>
      <c r="U66" s="216" t="str">
        <f t="shared" ca="1" si="41"/>
        <v/>
      </c>
      <c r="V66" s="217" t="str">
        <f t="shared" ca="1" si="42"/>
        <v/>
      </c>
      <c r="W66" s="376" t="str">
        <f t="shared" ca="1" si="21"/>
        <v/>
      </c>
      <c r="X66" s="377" t="str">
        <f t="shared" ca="1" si="22"/>
        <v/>
      </c>
      <c r="Y66" s="378" t="str">
        <f t="shared" ca="1" si="45"/>
        <v/>
      </c>
      <c r="Z66" s="378" t="str">
        <f t="shared" ca="1" si="45"/>
        <v/>
      </c>
      <c r="AA66" s="378" t="str">
        <f t="shared" ca="1" si="45"/>
        <v/>
      </c>
      <c r="AB66" s="378" t="str">
        <f t="shared" ca="1" si="45"/>
        <v/>
      </c>
      <c r="AC66" s="378" t="str">
        <f t="shared" ca="1" si="43"/>
        <v/>
      </c>
      <c r="AD66" s="378" t="str">
        <f t="shared" ref="AD66:AH72" ca="1" si="49">IF(OR($J66="Pluviomètre",LEFT($J66,5)="Sonde"),"",IF($H66&lt;&gt;"",IF(_xlfn.SINGLE(INDIRECT($H66&amp;"!"&amp;$W66&amp;($X66+AD$15+1)))&lt;&gt;"",_xlfn.SINGLE(INDIRECT($H66&amp;"!"&amp;$W66&amp;($X66+AD$15+1))),""),""))</f>
        <v/>
      </c>
      <c r="AE66" s="378" t="str">
        <f t="shared" ca="1" si="49"/>
        <v/>
      </c>
      <c r="AF66" s="378" t="str">
        <f t="shared" ca="1" si="49"/>
        <v/>
      </c>
      <c r="AG66" s="378" t="str">
        <f t="shared" ca="1" si="49"/>
        <v/>
      </c>
      <c r="AH66" s="378" t="str">
        <f t="shared" ca="1" si="49"/>
        <v/>
      </c>
      <c r="AI66" s="376" t="str">
        <f t="shared" ca="1" si="23"/>
        <v/>
      </c>
      <c r="AJ66" s="377" t="str">
        <f t="shared" ca="1" si="24"/>
        <v/>
      </c>
      <c r="AK66" s="378" t="str">
        <f t="shared" ca="1" si="47"/>
        <v/>
      </c>
      <c r="AL66" s="378" t="str">
        <f t="shared" ca="1" si="47"/>
        <v/>
      </c>
      <c r="AM66" s="378" t="str">
        <f t="shared" ca="1" si="47"/>
        <v/>
      </c>
      <c r="AN66" s="378" t="str">
        <f t="shared" ca="1" si="47"/>
        <v/>
      </c>
      <c r="AO66" s="378" t="str">
        <f t="shared" ca="1" si="44"/>
        <v/>
      </c>
      <c r="AP66" s="378" t="str">
        <f t="shared" ref="AP66:AT72" ca="1" si="50">IF(OR($J66="Pluviomètre",LEFT($J66,5)="Sonde"),"",IF($H66&lt;&gt;"",IF(_xlfn.SINGLE(INDIRECT($H66&amp;"!"&amp;$AI66&amp;($AJ66+AP$15+1)))&lt;&gt;"",_xlfn.SINGLE(INDIRECT($H66&amp;"!"&amp;$AI66&amp;($AJ66+AP$15+1))),""),""))</f>
        <v/>
      </c>
      <c r="AQ66" s="378" t="str">
        <f t="shared" ca="1" si="50"/>
        <v/>
      </c>
      <c r="AR66" s="378" t="str">
        <f t="shared" ca="1" si="50"/>
        <v/>
      </c>
      <c r="AS66" s="378" t="str">
        <f t="shared" ca="1" si="50"/>
        <v/>
      </c>
      <c r="AT66" s="378" t="str">
        <f t="shared" ca="1" si="50"/>
        <v/>
      </c>
    </row>
    <row r="67" spans="1:46" x14ac:dyDescent="0.4">
      <c r="A67" s="150">
        <v>52</v>
      </c>
      <c r="B67" s="204" t="b">
        <f t="shared" si="16"/>
        <v>0</v>
      </c>
      <c r="C67" s="209" t="str">
        <f t="shared" ca="1" si="17"/>
        <v/>
      </c>
      <c r="D67" s="359" t="str">
        <f t="shared" ca="1" si="18"/>
        <v/>
      </c>
      <c r="E67" s="359" t="str">
        <f t="shared" ca="1" si="19"/>
        <v/>
      </c>
      <c r="F67" s="57" t="str">
        <f t="shared" ca="1" si="20"/>
        <v/>
      </c>
      <c r="G67" s="57" t="str">
        <f t="shared" ca="1" si="20"/>
        <v/>
      </c>
      <c r="H67" s="211" t="str" cm="1">
        <f t="array" aca="1" ref="H67" ca="1">IFERROR(INDEX($C$16:$C$116,SMALL(IF($C$16:$C$116&lt;&gt;"",ROW($C$16:$C$116)-ROW($C$16)+1),ROW(A52))),"")</f>
        <v/>
      </c>
      <c r="I67" s="210" t="str" cm="1">
        <f t="array" aca="1" ref="I67" ca="1">IFERROR(INDEX($D$16:$D$116,SMALL(IF($D$16:$D$116&lt;&gt;"",ROW($D$16:$D$116)-ROW($D$16)+1),ROW(A52))),"")</f>
        <v/>
      </c>
      <c r="J67" s="210" t="str" cm="1">
        <f t="array" aca="1" ref="J67" ca="1">IFERROR(INDEX($E$16:$E$116,SMALL(IF($E$16:$E$116&lt;&gt;"",ROW($E$16:$E$116)-ROW($E$16)+1),ROW(A52))),"")</f>
        <v/>
      </c>
      <c r="K67" s="210" t="str" cm="1">
        <f t="array" aca="1" ref="K67" ca="1">IFERROR(INDEX($F$16:$F$116,SMALL(IF($F$16:$F$116&lt;&gt;"",ROW($F$16:$F$116)-ROW($F$16)+1),ROW(A52))),"")</f>
        <v/>
      </c>
      <c r="L67" s="210" t="str">
        <f t="shared" ca="1" si="33"/>
        <v/>
      </c>
      <c r="M67" s="210" t="str" cm="1">
        <f t="array" aca="1" ref="M67" ca="1">IFERROR(INDEX($G$16:$G$116,SMALL(IF($G$16:$G$116&lt;&gt;"",ROW($G$16:$G$116)-ROW($G$16)+1),ROW(A52))),"")</f>
        <v/>
      </c>
      <c r="N67" s="215" t="str">
        <f t="shared" ca="1" si="34"/>
        <v/>
      </c>
      <c r="O67" s="216" t="str">
        <f t="shared" ca="1" si="35"/>
        <v/>
      </c>
      <c r="P67" s="216" t="str">
        <f t="shared" ca="1" si="36"/>
        <v/>
      </c>
      <c r="Q67" s="216" t="str">
        <f t="shared" ca="1" si="37"/>
        <v/>
      </c>
      <c r="R67" s="216" t="str">
        <f t="shared" ca="1" si="38"/>
        <v/>
      </c>
      <c r="S67" s="216" t="str">
        <f t="shared" ca="1" si="39"/>
        <v/>
      </c>
      <c r="T67" s="216" t="str">
        <f t="shared" ca="1" si="40"/>
        <v/>
      </c>
      <c r="U67" s="216" t="str">
        <f t="shared" ca="1" si="41"/>
        <v/>
      </c>
      <c r="V67" s="217" t="str">
        <f t="shared" ca="1" si="42"/>
        <v/>
      </c>
      <c r="W67" s="376" t="str">
        <f t="shared" ca="1" si="21"/>
        <v/>
      </c>
      <c r="X67" s="377" t="str">
        <f t="shared" ca="1" si="22"/>
        <v/>
      </c>
      <c r="Y67" s="378" t="str">
        <f t="shared" ca="1" si="45"/>
        <v/>
      </c>
      <c r="Z67" s="378" t="str">
        <f t="shared" ca="1" si="45"/>
        <v/>
      </c>
      <c r="AA67" s="378" t="str">
        <f t="shared" ca="1" si="45"/>
        <v/>
      </c>
      <c r="AB67" s="378" t="str">
        <f t="shared" ca="1" si="45"/>
        <v/>
      </c>
      <c r="AC67" s="378" t="str">
        <f t="shared" ca="1" si="43"/>
        <v/>
      </c>
      <c r="AD67" s="378" t="str">
        <f t="shared" ca="1" si="49"/>
        <v/>
      </c>
      <c r="AE67" s="378" t="str">
        <f t="shared" ca="1" si="49"/>
        <v/>
      </c>
      <c r="AF67" s="378" t="str">
        <f t="shared" ca="1" si="49"/>
        <v/>
      </c>
      <c r="AG67" s="378" t="str">
        <f t="shared" ca="1" si="49"/>
        <v/>
      </c>
      <c r="AH67" s="378" t="str">
        <f t="shared" ca="1" si="49"/>
        <v/>
      </c>
      <c r="AI67" s="376" t="str">
        <f t="shared" ca="1" si="23"/>
        <v/>
      </c>
      <c r="AJ67" s="377" t="str">
        <f t="shared" ca="1" si="24"/>
        <v/>
      </c>
      <c r="AK67" s="378" t="str">
        <f t="shared" ca="1" si="47"/>
        <v/>
      </c>
      <c r="AL67" s="378" t="str">
        <f t="shared" ca="1" si="47"/>
        <v/>
      </c>
      <c r="AM67" s="378" t="str">
        <f t="shared" ca="1" si="47"/>
        <v/>
      </c>
      <c r="AN67" s="378" t="str">
        <f t="shared" ca="1" si="47"/>
        <v/>
      </c>
      <c r="AO67" s="378" t="str">
        <f t="shared" ca="1" si="44"/>
        <v/>
      </c>
      <c r="AP67" s="378" t="str">
        <f t="shared" ca="1" si="50"/>
        <v/>
      </c>
      <c r="AQ67" s="378" t="str">
        <f t="shared" ca="1" si="50"/>
        <v/>
      </c>
      <c r="AR67" s="378" t="str">
        <f t="shared" ca="1" si="50"/>
        <v/>
      </c>
      <c r="AS67" s="378" t="str">
        <f t="shared" ca="1" si="50"/>
        <v/>
      </c>
      <c r="AT67" s="378" t="str">
        <f t="shared" ca="1" si="50"/>
        <v/>
      </c>
    </row>
    <row r="68" spans="1:46" x14ac:dyDescent="0.4">
      <c r="A68" s="150">
        <v>53</v>
      </c>
      <c r="B68" s="204" t="b">
        <f t="shared" si="16"/>
        <v>0</v>
      </c>
      <c r="C68" s="209" t="str">
        <f t="shared" ca="1" si="17"/>
        <v/>
      </c>
      <c r="D68" s="359" t="str">
        <f t="shared" ca="1" si="18"/>
        <v/>
      </c>
      <c r="E68" s="359" t="str">
        <f t="shared" ca="1" si="19"/>
        <v/>
      </c>
      <c r="F68" s="57" t="str">
        <f t="shared" ca="1" si="20"/>
        <v/>
      </c>
      <c r="G68" s="57" t="str">
        <f t="shared" ca="1" si="20"/>
        <v/>
      </c>
      <c r="H68" s="211" t="str" cm="1">
        <f t="array" aca="1" ref="H68" ca="1">IFERROR(INDEX($C$16:$C$116,SMALL(IF($C$16:$C$116&lt;&gt;"",ROW($C$16:$C$116)-ROW($C$16)+1),ROW(A53))),"")</f>
        <v/>
      </c>
      <c r="I68" s="210" t="str" cm="1">
        <f t="array" aca="1" ref="I68" ca="1">IFERROR(INDEX($D$16:$D$116,SMALL(IF($D$16:$D$116&lt;&gt;"",ROW($D$16:$D$116)-ROW($D$16)+1),ROW(A53))),"")</f>
        <v/>
      </c>
      <c r="J68" s="210" t="str" cm="1">
        <f t="array" aca="1" ref="J68" ca="1">IFERROR(INDEX($E$16:$E$116,SMALL(IF($E$16:$E$116&lt;&gt;"",ROW($E$16:$E$116)-ROW($E$16)+1),ROW(A53))),"")</f>
        <v/>
      </c>
      <c r="K68" s="210" t="str" cm="1">
        <f t="array" aca="1" ref="K68" ca="1">IFERROR(INDEX($F$16:$F$116,SMALL(IF($F$16:$F$116&lt;&gt;"",ROW($F$16:$F$116)-ROW($F$16)+1),ROW(A53))),"")</f>
        <v/>
      </c>
      <c r="L68" s="210" t="str">
        <f t="shared" ca="1" si="33"/>
        <v/>
      </c>
      <c r="M68" s="210" t="str" cm="1">
        <f t="array" aca="1" ref="M68" ca="1">IFERROR(INDEX($G$16:$G$116,SMALL(IF($G$16:$G$116&lt;&gt;"",ROW($G$16:$G$116)-ROW($G$16)+1),ROW(A53))),"")</f>
        <v/>
      </c>
      <c r="N68" s="215" t="str">
        <f t="shared" ca="1" si="34"/>
        <v/>
      </c>
      <c r="O68" s="216" t="str">
        <f t="shared" ca="1" si="35"/>
        <v/>
      </c>
      <c r="P68" s="216" t="str">
        <f t="shared" ca="1" si="36"/>
        <v/>
      </c>
      <c r="Q68" s="216" t="str">
        <f t="shared" ca="1" si="37"/>
        <v/>
      </c>
      <c r="R68" s="216" t="str">
        <f t="shared" ca="1" si="38"/>
        <v/>
      </c>
      <c r="S68" s="216" t="str">
        <f t="shared" ca="1" si="39"/>
        <v/>
      </c>
      <c r="T68" s="216" t="str">
        <f t="shared" ca="1" si="40"/>
        <v/>
      </c>
      <c r="U68" s="216" t="str">
        <f t="shared" ca="1" si="41"/>
        <v/>
      </c>
      <c r="V68" s="217" t="str">
        <f t="shared" ca="1" si="42"/>
        <v/>
      </c>
      <c r="W68" s="376" t="str">
        <f t="shared" ca="1" si="21"/>
        <v/>
      </c>
      <c r="X68" s="377" t="str">
        <f t="shared" ca="1" si="22"/>
        <v/>
      </c>
      <c r="Y68" s="378" t="str">
        <f t="shared" ca="1" si="45"/>
        <v/>
      </c>
      <c r="Z68" s="378" t="str">
        <f t="shared" ca="1" si="45"/>
        <v/>
      </c>
      <c r="AA68" s="378" t="str">
        <f t="shared" ca="1" si="45"/>
        <v/>
      </c>
      <c r="AB68" s="378" t="str">
        <f t="shared" ca="1" si="45"/>
        <v/>
      </c>
      <c r="AC68" s="378" t="str">
        <f t="shared" ca="1" si="43"/>
        <v/>
      </c>
      <c r="AD68" s="378" t="str">
        <f t="shared" ca="1" si="49"/>
        <v/>
      </c>
      <c r="AE68" s="378" t="str">
        <f t="shared" ca="1" si="49"/>
        <v/>
      </c>
      <c r="AF68" s="378" t="str">
        <f t="shared" ca="1" si="49"/>
        <v/>
      </c>
      <c r="AG68" s="378" t="str">
        <f t="shared" ca="1" si="49"/>
        <v/>
      </c>
      <c r="AH68" s="378" t="str">
        <f t="shared" ca="1" si="49"/>
        <v/>
      </c>
      <c r="AI68" s="376" t="str">
        <f t="shared" ca="1" si="23"/>
        <v/>
      </c>
      <c r="AJ68" s="377" t="str">
        <f t="shared" ca="1" si="24"/>
        <v/>
      </c>
      <c r="AK68" s="378" t="str">
        <f t="shared" ca="1" si="47"/>
        <v/>
      </c>
      <c r="AL68" s="378" t="str">
        <f t="shared" ca="1" si="47"/>
        <v/>
      </c>
      <c r="AM68" s="378" t="str">
        <f t="shared" ca="1" si="47"/>
        <v/>
      </c>
      <c r="AN68" s="378" t="str">
        <f t="shared" ca="1" si="47"/>
        <v/>
      </c>
      <c r="AO68" s="378" t="str">
        <f t="shared" ca="1" si="44"/>
        <v/>
      </c>
      <c r="AP68" s="378" t="str">
        <f t="shared" ca="1" si="50"/>
        <v/>
      </c>
      <c r="AQ68" s="378" t="str">
        <f t="shared" ca="1" si="50"/>
        <v/>
      </c>
      <c r="AR68" s="378" t="str">
        <f t="shared" ca="1" si="50"/>
        <v/>
      </c>
      <c r="AS68" s="378" t="str">
        <f t="shared" ca="1" si="50"/>
        <v/>
      </c>
      <c r="AT68" s="378" t="str">
        <f t="shared" ca="1" si="50"/>
        <v/>
      </c>
    </row>
    <row r="69" spans="1:46" x14ac:dyDescent="0.4">
      <c r="A69" s="150">
        <v>54</v>
      </c>
      <c r="B69" s="204" t="b">
        <f t="shared" si="16"/>
        <v>0</v>
      </c>
      <c r="C69" s="209" t="str">
        <f t="shared" ca="1" si="17"/>
        <v/>
      </c>
      <c r="D69" s="359" t="str">
        <f t="shared" ca="1" si="18"/>
        <v/>
      </c>
      <c r="E69" s="359" t="str">
        <f t="shared" ca="1" si="19"/>
        <v/>
      </c>
      <c r="F69" s="57" t="str">
        <f t="shared" ca="1" si="20"/>
        <v/>
      </c>
      <c r="G69" s="57" t="str">
        <f t="shared" ca="1" si="20"/>
        <v/>
      </c>
      <c r="H69" s="211" t="str" cm="1">
        <f t="array" aca="1" ref="H69" ca="1">IFERROR(INDEX($C$16:$C$116,SMALL(IF($C$16:$C$116&lt;&gt;"",ROW($C$16:$C$116)-ROW($C$16)+1),ROW(A54))),"")</f>
        <v/>
      </c>
      <c r="I69" s="210" t="str" cm="1">
        <f t="array" aca="1" ref="I69" ca="1">IFERROR(INDEX($D$16:$D$116,SMALL(IF($D$16:$D$116&lt;&gt;"",ROW($D$16:$D$116)-ROW($D$16)+1),ROW(A54))),"")</f>
        <v/>
      </c>
      <c r="J69" s="210" t="str" cm="1">
        <f t="array" aca="1" ref="J69" ca="1">IFERROR(INDEX($E$16:$E$116,SMALL(IF($E$16:$E$116&lt;&gt;"",ROW($E$16:$E$116)-ROW($E$16)+1),ROW(A54))),"")</f>
        <v/>
      </c>
      <c r="K69" s="210" t="str" cm="1">
        <f t="array" aca="1" ref="K69" ca="1">IFERROR(INDEX($F$16:$F$116,SMALL(IF($F$16:$F$116&lt;&gt;"",ROW($F$16:$F$116)-ROW($F$16)+1),ROW(A54))),"")</f>
        <v/>
      </c>
      <c r="L69" s="210" t="str">
        <f t="shared" ca="1" si="33"/>
        <v/>
      </c>
      <c r="M69" s="210" t="str" cm="1">
        <f t="array" aca="1" ref="M69" ca="1">IFERROR(INDEX($G$16:$G$116,SMALL(IF($G$16:$G$116&lt;&gt;"",ROW($G$16:$G$116)-ROW($G$16)+1),ROW(A54))),"")</f>
        <v/>
      </c>
      <c r="N69" s="215" t="str">
        <f t="shared" ca="1" si="34"/>
        <v/>
      </c>
      <c r="O69" s="216" t="str">
        <f t="shared" ca="1" si="35"/>
        <v/>
      </c>
      <c r="P69" s="216" t="str">
        <f t="shared" ca="1" si="36"/>
        <v/>
      </c>
      <c r="Q69" s="216" t="str">
        <f t="shared" ca="1" si="37"/>
        <v/>
      </c>
      <c r="R69" s="216" t="str">
        <f t="shared" ca="1" si="38"/>
        <v/>
      </c>
      <c r="S69" s="216" t="str">
        <f t="shared" ca="1" si="39"/>
        <v/>
      </c>
      <c r="T69" s="216" t="str">
        <f t="shared" ca="1" si="40"/>
        <v/>
      </c>
      <c r="U69" s="216" t="str">
        <f t="shared" ca="1" si="41"/>
        <v/>
      </c>
      <c r="V69" s="217" t="str">
        <f t="shared" ca="1" si="42"/>
        <v/>
      </c>
      <c r="W69" s="376" t="str">
        <f t="shared" ca="1" si="21"/>
        <v/>
      </c>
      <c r="X69" s="218" t="str">
        <f t="shared" ca="1" si="22"/>
        <v/>
      </c>
      <c r="Y69" s="219" t="str">
        <f t="shared" ca="1" si="45"/>
        <v/>
      </c>
      <c r="Z69" s="219" t="str">
        <f t="shared" ca="1" si="45"/>
        <v/>
      </c>
      <c r="AA69" s="219" t="str">
        <f t="shared" ca="1" si="45"/>
        <v/>
      </c>
      <c r="AB69" s="219" t="str">
        <f t="shared" ca="1" si="45"/>
        <v/>
      </c>
      <c r="AC69" s="378" t="str">
        <f t="shared" ca="1" si="43"/>
        <v/>
      </c>
      <c r="AD69" s="378" t="str">
        <f t="shared" ca="1" si="49"/>
        <v/>
      </c>
      <c r="AE69" s="378" t="str">
        <f t="shared" ca="1" si="49"/>
        <v/>
      </c>
      <c r="AF69" s="378" t="str">
        <f t="shared" ca="1" si="49"/>
        <v/>
      </c>
      <c r="AG69" s="378" t="str">
        <f t="shared" ca="1" si="49"/>
        <v/>
      </c>
      <c r="AH69" s="378" t="str">
        <f t="shared" ca="1" si="49"/>
        <v/>
      </c>
      <c r="AI69" s="376" t="str">
        <f t="shared" ca="1" si="23"/>
        <v/>
      </c>
      <c r="AJ69" s="218" t="str">
        <f t="shared" ca="1" si="24"/>
        <v/>
      </c>
      <c r="AK69" s="378" t="str">
        <f t="shared" ca="1" si="47"/>
        <v/>
      </c>
      <c r="AL69" s="378" t="str">
        <f t="shared" ca="1" si="47"/>
        <v/>
      </c>
      <c r="AM69" s="378" t="str">
        <f t="shared" ca="1" si="47"/>
        <v/>
      </c>
      <c r="AN69" s="378" t="str">
        <f t="shared" ca="1" si="47"/>
        <v/>
      </c>
      <c r="AO69" s="378" t="str">
        <f t="shared" ca="1" si="44"/>
        <v/>
      </c>
      <c r="AP69" s="378" t="str">
        <f t="shared" ca="1" si="50"/>
        <v/>
      </c>
      <c r="AQ69" s="378" t="str">
        <f t="shared" ca="1" si="50"/>
        <v/>
      </c>
      <c r="AR69" s="378" t="str">
        <f t="shared" ca="1" si="50"/>
        <v/>
      </c>
      <c r="AS69" s="378" t="str">
        <f t="shared" ca="1" si="50"/>
        <v/>
      </c>
      <c r="AT69" s="378" t="str">
        <f t="shared" ca="1" si="50"/>
        <v/>
      </c>
    </row>
    <row r="70" spans="1:46" x14ac:dyDescent="0.4">
      <c r="A70" s="150">
        <v>55</v>
      </c>
      <c r="B70" s="204" t="b">
        <f t="shared" si="16"/>
        <v>0</v>
      </c>
      <c r="C70" s="209" t="str">
        <f t="shared" ca="1" si="17"/>
        <v/>
      </c>
      <c r="D70" s="359" t="str">
        <f t="shared" ca="1" si="18"/>
        <v/>
      </c>
      <c r="E70" s="359" t="str">
        <f t="shared" ca="1" si="19"/>
        <v/>
      </c>
      <c r="F70" s="57" t="str">
        <f t="shared" ca="1" si="20"/>
        <v/>
      </c>
      <c r="G70" s="57" t="str">
        <f t="shared" ca="1" si="20"/>
        <v/>
      </c>
      <c r="H70" s="211" t="str" cm="1">
        <f t="array" aca="1" ref="H70" ca="1">IFERROR(INDEX($C$16:$C$116,SMALL(IF($C$16:$C$116&lt;&gt;"",ROW($C$16:$C$116)-ROW($C$16)+1),ROW(A55))),"")</f>
        <v/>
      </c>
      <c r="I70" s="210" t="str" cm="1">
        <f t="array" aca="1" ref="I70" ca="1">IFERROR(INDEX($D$16:$D$116,SMALL(IF($D$16:$D$116&lt;&gt;"",ROW($D$16:$D$116)-ROW($D$16)+1),ROW(A55))),"")</f>
        <v/>
      </c>
      <c r="J70" s="210" t="str" cm="1">
        <f t="array" aca="1" ref="J70" ca="1">IFERROR(INDEX($E$16:$E$116,SMALL(IF($E$16:$E$116&lt;&gt;"",ROW($E$16:$E$116)-ROW($E$16)+1),ROW(A55))),"")</f>
        <v/>
      </c>
      <c r="K70" s="210" t="str" cm="1">
        <f t="array" aca="1" ref="K70" ca="1">IFERROR(INDEX($F$16:$F$116,SMALL(IF($F$16:$F$116&lt;&gt;"",ROW($F$16:$F$116)-ROW($F$16)+1),ROW(A55))),"")</f>
        <v/>
      </c>
      <c r="L70" s="210" t="str">
        <f t="shared" ca="1" si="33"/>
        <v/>
      </c>
      <c r="M70" s="210" t="str" cm="1">
        <f t="array" aca="1" ref="M70" ca="1">IFERROR(INDEX($G$16:$G$116,SMALL(IF($G$16:$G$116&lt;&gt;"",ROW($G$16:$G$116)-ROW($G$16)+1),ROW(A55))),"")</f>
        <v/>
      </c>
      <c r="N70" s="215" t="str">
        <f t="shared" ca="1" si="34"/>
        <v/>
      </c>
      <c r="O70" s="216" t="str">
        <f t="shared" ca="1" si="35"/>
        <v/>
      </c>
      <c r="P70" s="216" t="str">
        <f t="shared" ca="1" si="36"/>
        <v/>
      </c>
      <c r="Q70" s="216" t="str">
        <f t="shared" ca="1" si="37"/>
        <v/>
      </c>
      <c r="R70" s="216" t="str">
        <f t="shared" ca="1" si="38"/>
        <v/>
      </c>
      <c r="S70" s="216" t="str">
        <f t="shared" ca="1" si="39"/>
        <v/>
      </c>
      <c r="T70" s="216" t="str">
        <f t="shared" ca="1" si="40"/>
        <v/>
      </c>
      <c r="U70" s="216" t="str">
        <f t="shared" ca="1" si="41"/>
        <v/>
      </c>
      <c r="V70" s="217" t="str">
        <f t="shared" ca="1" si="42"/>
        <v/>
      </c>
      <c r="W70" s="376" t="str">
        <f t="shared" ca="1" si="21"/>
        <v/>
      </c>
      <c r="X70" s="218" t="str">
        <f t="shared" ca="1" si="22"/>
        <v/>
      </c>
      <c r="Y70" s="219" t="str">
        <f t="shared" ca="1" si="45"/>
        <v/>
      </c>
      <c r="Z70" s="219" t="str">
        <f t="shared" ca="1" si="45"/>
        <v/>
      </c>
      <c r="AA70" s="219" t="str">
        <f t="shared" ca="1" si="45"/>
        <v/>
      </c>
      <c r="AB70" s="219" t="str">
        <f t="shared" ca="1" si="45"/>
        <v/>
      </c>
      <c r="AC70" s="378" t="str">
        <f t="shared" ca="1" si="43"/>
        <v/>
      </c>
      <c r="AD70" s="378" t="str">
        <f t="shared" ca="1" si="49"/>
        <v/>
      </c>
      <c r="AE70" s="378" t="str">
        <f t="shared" ca="1" si="49"/>
        <v/>
      </c>
      <c r="AF70" s="378" t="str">
        <f t="shared" ca="1" si="49"/>
        <v/>
      </c>
      <c r="AG70" s="378" t="str">
        <f t="shared" ca="1" si="49"/>
        <v/>
      </c>
      <c r="AH70" s="378" t="str">
        <f t="shared" ca="1" si="49"/>
        <v/>
      </c>
      <c r="AI70" s="376" t="str">
        <f t="shared" ca="1" si="23"/>
        <v/>
      </c>
      <c r="AJ70" s="218" t="str">
        <f t="shared" ca="1" si="24"/>
        <v/>
      </c>
      <c r="AK70" s="378" t="str">
        <f t="shared" ca="1" si="47"/>
        <v/>
      </c>
      <c r="AL70" s="378" t="str">
        <f t="shared" ca="1" si="47"/>
        <v/>
      </c>
      <c r="AM70" s="378" t="str">
        <f t="shared" ca="1" si="47"/>
        <v/>
      </c>
      <c r="AN70" s="378" t="str">
        <f t="shared" ca="1" si="47"/>
        <v/>
      </c>
      <c r="AO70" s="378" t="str">
        <f t="shared" ca="1" si="44"/>
        <v/>
      </c>
      <c r="AP70" s="378" t="str">
        <f t="shared" ca="1" si="50"/>
        <v/>
      </c>
      <c r="AQ70" s="378" t="str">
        <f t="shared" ca="1" si="50"/>
        <v/>
      </c>
      <c r="AR70" s="378" t="str">
        <f t="shared" ca="1" si="50"/>
        <v/>
      </c>
      <c r="AS70" s="378" t="str">
        <f t="shared" ca="1" si="50"/>
        <v/>
      </c>
      <c r="AT70" s="378" t="str">
        <f t="shared" ca="1" si="50"/>
        <v/>
      </c>
    </row>
    <row r="71" spans="1:46" x14ac:dyDescent="0.4">
      <c r="A71" s="150">
        <v>56</v>
      </c>
      <c r="B71" s="204" t="b">
        <f t="shared" si="16"/>
        <v>0</v>
      </c>
      <c r="C71" s="209" t="str">
        <f t="shared" ca="1" si="17"/>
        <v/>
      </c>
      <c r="D71" s="359" t="str">
        <f t="shared" ca="1" si="18"/>
        <v/>
      </c>
      <c r="E71" s="359" t="str">
        <f t="shared" ca="1" si="19"/>
        <v/>
      </c>
      <c r="F71" s="57" t="str">
        <f t="shared" ca="1" si="20"/>
        <v/>
      </c>
      <c r="G71" s="57" t="str">
        <f t="shared" ca="1" si="20"/>
        <v/>
      </c>
      <c r="H71" s="211" t="str" cm="1">
        <f t="array" aca="1" ref="H71" ca="1">IFERROR(INDEX($C$16:$C$116,SMALL(IF($C$16:$C$116&lt;&gt;"",ROW($C$16:$C$116)-ROW($C$16)+1),ROW(A56))),"")</f>
        <v/>
      </c>
      <c r="I71" s="210" t="str" cm="1">
        <f t="array" aca="1" ref="I71" ca="1">IFERROR(INDEX($D$16:$D$116,SMALL(IF($D$16:$D$116&lt;&gt;"",ROW($D$16:$D$116)-ROW($D$16)+1),ROW(A56))),"")</f>
        <v/>
      </c>
      <c r="J71" s="210" t="str" cm="1">
        <f t="array" aca="1" ref="J71" ca="1">IFERROR(INDEX($E$16:$E$116,SMALL(IF($E$16:$E$116&lt;&gt;"",ROW($E$16:$E$116)-ROW($E$16)+1),ROW(A56))),"")</f>
        <v/>
      </c>
      <c r="K71" s="210" t="str" cm="1">
        <f t="array" aca="1" ref="K71" ca="1">IFERROR(INDEX($F$16:$F$116,SMALL(IF($F$16:$F$116&lt;&gt;"",ROW($F$16:$F$116)-ROW($F$16)+1),ROW(A56))),"")</f>
        <v/>
      </c>
      <c r="L71" s="210" t="str">
        <f t="shared" ca="1" si="33"/>
        <v/>
      </c>
      <c r="M71" s="210" t="str" cm="1">
        <f t="array" aca="1" ref="M71" ca="1">IFERROR(INDEX($G$16:$G$116,SMALL(IF($G$16:$G$116&lt;&gt;"",ROW($G$16:$G$116)-ROW($G$16)+1),ROW(A56))),"")</f>
        <v/>
      </c>
      <c r="N71" s="215" t="str">
        <f t="shared" ca="1" si="34"/>
        <v/>
      </c>
      <c r="O71" s="216" t="str">
        <f t="shared" ca="1" si="35"/>
        <v/>
      </c>
      <c r="P71" s="216" t="str">
        <f t="shared" ca="1" si="36"/>
        <v/>
      </c>
      <c r="Q71" s="216" t="str">
        <f t="shared" ca="1" si="37"/>
        <v/>
      </c>
      <c r="R71" s="216" t="str">
        <f t="shared" ca="1" si="38"/>
        <v/>
      </c>
      <c r="S71" s="216" t="str">
        <f t="shared" ca="1" si="39"/>
        <v/>
      </c>
      <c r="T71" s="216" t="str">
        <f t="shared" ca="1" si="40"/>
        <v/>
      </c>
      <c r="U71" s="216" t="str">
        <f t="shared" ca="1" si="41"/>
        <v/>
      </c>
      <c r="V71" s="217" t="str">
        <f t="shared" ca="1" si="42"/>
        <v/>
      </c>
      <c r="W71" s="376" t="str">
        <f t="shared" ca="1" si="21"/>
        <v/>
      </c>
      <c r="X71" s="218" t="str">
        <f t="shared" ca="1" si="22"/>
        <v/>
      </c>
      <c r="Y71" s="219" t="str">
        <f t="shared" ca="1" si="45"/>
        <v/>
      </c>
      <c r="Z71" s="219" t="str">
        <f t="shared" ca="1" si="45"/>
        <v/>
      </c>
      <c r="AA71" s="219" t="str">
        <f t="shared" ca="1" si="45"/>
        <v/>
      </c>
      <c r="AB71" s="219" t="str">
        <f t="shared" ca="1" si="45"/>
        <v/>
      </c>
      <c r="AC71" s="378" t="str">
        <f t="shared" ca="1" si="43"/>
        <v/>
      </c>
      <c r="AD71" s="378" t="str">
        <f t="shared" ca="1" si="49"/>
        <v/>
      </c>
      <c r="AE71" s="378" t="str">
        <f t="shared" ca="1" si="49"/>
        <v/>
      </c>
      <c r="AF71" s="378" t="str">
        <f t="shared" ca="1" si="49"/>
        <v/>
      </c>
      <c r="AG71" s="378" t="str">
        <f t="shared" ca="1" si="49"/>
        <v/>
      </c>
      <c r="AH71" s="378" t="str">
        <f t="shared" ca="1" si="49"/>
        <v/>
      </c>
      <c r="AI71" s="376" t="str">
        <f t="shared" ca="1" si="23"/>
        <v/>
      </c>
      <c r="AJ71" s="218" t="str">
        <f t="shared" ca="1" si="24"/>
        <v/>
      </c>
      <c r="AK71" s="378" t="str">
        <f t="shared" ca="1" si="47"/>
        <v/>
      </c>
      <c r="AL71" s="378" t="str">
        <f t="shared" ca="1" si="47"/>
        <v/>
      </c>
      <c r="AM71" s="378" t="str">
        <f t="shared" ca="1" si="47"/>
        <v/>
      </c>
      <c r="AN71" s="378" t="str">
        <f t="shared" ca="1" si="47"/>
        <v/>
      </c>
      <c r="AO71" s="378" t="str">
        <f t="shared" ca="1" si="44"/>
        <v/>
      </c>
      <c r="AP71" s="378" t="str">
        <f t="shared" ca="1" si="50"/>
        <v/>
      </c>
      <c r="AQ71" s="378" t="str">
        <f t="shared" ca="1" si="50"/>
        <v/>
      </c>
      <c r="AR71" s="378" t="str">
        <f t="shared" ca="1" si="50"/>
        <v/>
      </c>
      <c r="AS71" s="378" t="str">
        <f t="shared" ca="1" si="50"/>
        <v/>
      </c>
      <c r="AT71" s="378" t="str">
        <f t="shared" ca="1" si="50"/>
        <v/>
      </c>
    </row>
    <row r="72" spans="1:46" x14ac:dyDescent="0.4">
      <c r="A72" s="150">
        <v>57</v>
      </c>
      <c r="B72" s="204" t="b">
        <f t="shared" si="16"/>
        <v>0</v>
      </c>
      <c r="C72" s="209" t="str">
        <f t="shared" ca="1" si="17"/>
        <v/>
      </c>
      <c r="D72" s="359" t="str">
        <f t="shared" ca="1" si="18"/>
        <v/>
      </c>
      <c r="E72" s="359" t="str">
        <f t="shared" ca="1" si="19"/>
        <v/>
      </c>
      <c r="F72" s="57" t="str">
        <f t="shared" ca="1" si="20"/>
        <v/>
      </c>
      <c r="G72" s="57" t="str">
        <f t="shared" ca="1" si="20"/>
        <v/>
      </c>
      <c r="H72" s="211" t="str" cm="1">
        <f t="array" aca="1" ref="H72" ca="1">IFERROR(INDEX($C$16:$C$116,SMALL(IF($C$16:$C$116&lt;&gt;"",ROW($C$16:$C$116)-ROW($C$16)+1),ROW(A57))),"")</f>
        <v/>
      </c>
      <c r="I72" s="210" t="str" cm="1">
        <f t="array" aca="1" ref="I72" ca="1">IFERROR(INDEX($D$16:$D$116,SMALL(IF($D$16:$D$116&lt;&gt;"",ROW($D$16:$D$116)-ROW($D$16)+1),ROW(A57))),"")</f>
        <v/>
      </c>
      <c r="J72" s="210" t="str" cm="1">
        <f t="array" aca="1" ref="J72" ca="1">IFERROR(INDEX($E$16:$E$116,SMALL(IF($E$16:$E$116&lt;&gt;"",ROW($E$16:$E$116)-ROW($E$16)+1),ROW(A57))),"")</f>
        <v/>
      </c>
      <c r="K72" s="210" t="str" cm="1">
        <f t="array" aca="1" ref="K72" ca="1">IFERROR(INDEX($F$16:$F$116,SMALL(IF($F$16:$F$116&lt;&gt;"",ROW($F$16:$F$116)-ROW($F$16)+1),ROW(A57))),"")</f>
        <v/>
      </c>
      <c r="L72" s="210" t="str">
        <f t="shared" ca="1" si="33"/>
        <v/>
      </c>
      <c r="M72" s="210" t="str" cm="1">
        <f t="array" aca="1" ref="M72" ca="1">IFERROR(INDEX($G$16:$G$116,SMALL(IF($G$16:$G$116&lt;&gt;"",ROW($G$16:$G$116)-ROW($G$16)+1),ROW(A57))),"")</f>
        <v/>
      </c>
      <c r="N72" s="215" t="str">
        <f t="shared" ca="1" si="34"/>
        <v/>
      </c>
      <c r="O72" s="216" t="str">
        <f t="shared" ca="1" si="35"/>
        <v/>
      </c>
      <c r="P72" s="216" t="str">
        <f t="shared" ca="1" si="36"/>
        <v/>
      </c>
      <c r="Q72" s="216" t="str">
        <f t="shared" ca="1" si="37"/>
        <v/>
      </c>
      <c r="R72" s="216" t="str">
        <f t="shared" ca="1" si="38"/>
        <v/>
      </c>
      <c r="S72" s="216" t="str">
        <f t="shared" ca="1" si="39"/>
        <v/>
      </c>
      <c r="T72" s="216" t="str">
        <f t="shared" ca="1" si="40"/>
        <v/>
      </c>
      <c r="U72" s="216" t="str">
        <f t="shared" ca="1" si="41"/>
        <v/>
      </c>
      <c r="V72" s="217" t="str">
        <f t="shared" ca="1" si="42"/>
        <v/>
      </c>
      <c r="W72" s="376" t="str">
        <f t="shared" ca="1" si="21"/>
        <v/>
      </c>
      <c r="X72" s="218" t="str">
        <f t="shared" ca="1" si="22"/>
        <v/>
      </c>
      <c r="Y72" s="219" t="str">
        <f t="shared" ca="1" si="45"/>
        <v/>
      </c>
      <c r="Z72" s="219" t="str">
        <f t="shared" ca="1" si="45"/>
        <v/>
      </c>
      <c r="AA72" s="219" t="str">
        <f t="shared" ca="1" si="45"/>
        <v/>
      </c>
      <c r="AB72" s="219" t="str">
        <f t="shared" ca="1" si="45"/>
        <v/>
      </c>
      <c r="AC72" s="378" t="str">
        <f t="shared" ca="1" si="43"/>
        <v/>
      </c>
      <c r="AD72" s="378" t="str">
        <f t="shared" ca="1" si="49"/>
        <v/>
      </c>
      <c r="AE72" s="378" t="str">
        <f t="shared" ca="1" si="49"/>
        <v/>
      </c>
      <c r="AF72" s="378" t="str">
        <f t="shared" ca="1" si="49"/>
        <v/>
      </c>
      <c r="AG72" s="378" t="str">
        <f t="shared" ca="1" si="49"/>
        <v/>
      </c>
      <c r="AH72" s="378" t="str">
        <f t="shared" ca="1" si="49"/>
        <v/>
      </c>
      <c r="AI72" s="376" t="str">
        <f t="shared" ca="1" si="23"/>
        <v/>
      </c>
      <c r="AJ72" s="218" t="str">
        <f t="shared" ca="1" si="24"/>
        <v/>
      </c>
      <c r="AK72" s="378" t="str">
        <f t="shared" ca="1" si="47"/>
        <v/>
      </c>
      <c r="AL72" s="378" t="str">
        <f t="shared" ca="1" si="47"/>
        <v/>
      </c>
      <c r="AM72" s="378" t="str">
        <f t="shared" ca="1" si="47"/>
        <v/>
      </c>
      <c r="AN72" s="378" t="str">
        <f t="shared" ca="1" si="47"/>
        <v/>
      </c>
      <c r="AO72" s="378" t="str">
        <f t="shared" ca="1" si="44"/>
        <v/>
      </c>
      <c r="AP72" s="378" t="str">
        <f t="shared" ca="1" si="50"/>
        <v/>
      </c>
      <c r="AQ72" s="378" t="str">
        <f t="shared" ca="1" si="50"/>
        <v/>
      </c>
      <c r="AR72" s="378" t="str">
        <f t="shared" ca="1" si="50"/>
        <v/>
      </c>
      <c r="AS72" s="378" t="str">
        <f t="shared" ca="1" si="50"/>
        <v/>
      </c>
      <c r="AT72" s="378" t="str">
        <f t="shared" ca="1" si="50"/>
        <v/>
      </c>
    </row>
  </sheetData>
  <sheetProtection algorithmName="SHA-512" hashValue="FFZHv4Dnv9rcJruJIMl38OMFcpzOPBKrfqHbY8wEL2BVpNkVc5OzF4w9XrQpJVIIFUdx1JPWHb5wxeiUYy7/0g==" saltValue="FrRwblsnM31gPRTlaAjpDQ==" spinCount="100000" sheet="1" objects="1" scenarios="1" formatRows="0"/>
  <mergeCells count="8">
    <mergeCell ref="AI14:AT14"/>
    <mergeCell ref="U14:V14"/>
    <mergeCell ref="S14:T14"/>
    <mergeCell ref="W14:AH14"/>
    <mergeCell ref="B3:F3"/>
    <mergeCell ref="A14:B14"/>
    <mergeCell ref="O14:P14"/>
    <mergeCell ref="Q14:R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B7C-915A-410F-B7C1-FFBC1F674347}">
  <sheetPr codeName="Feuil6"/>
  <dimension ref="A1:AT72"/>
  <sheetViews>
    <sheetView workbookViewId="0">
      <selection activeCell="P16" sqref="P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199" t="s">
        <v>338</v>
      </c>
      <c r="B1" s="1">
        <f>Descriptif!$AD$2</f>
        <v>14</v>
      </c>
      <c r="C1" s="1">
        <f>Descriptif!$AF$2</f>
        <v>14</v>
      </c>
      <c r="D1" s="1"/>
      <c r="E1" s="1"/>
      <c r="F1" s="1"/>
      <c r="G1" s="1"/>
    </row>
    <row r="2" spans="1:46" x14ac:dyDescent="0.4">
      <c r="A2" t="s">
        <v>417</v>
      </c>
      <c r="B2" s="1">
        <f>Descriptif!$AH$2</f>
        <v>23</v>
      </c>
      <c r="C2" s="1">
        <f>Descriptif!$AI$2</f>
        <v>23</v>
      </c>
      <c r="D2" s="1"/>
      <c r="E2" s="1"/>
      <c r="F2" s="1"/>
      <c r="G2" s="1"/>
    </row>
    <row r="3" spans="1:46" x14ac:dyDescent="0.4">
      <c r="A3" s="172" t="s">
        <v>312</v>
      </c>
      <c r="B3" s="1005" t="s">
        <v>171</v>
      </c>
      <c r="C3" s="1005"/>
      <c r="D3" s="1005"/>
      <c r="E3" s="1005"/>
      <c r="F3" s="1005"/>
      <c r="G3" s="398"/>
    </row>
    <row r="4" spans="1:46" x14ac:dyDescent="0.4">
      <c r="A4" s="152"/>
      <c r="B4" s="152" t="s">
        <v>313</v>
      </c>
      <c r="C4" s="152" t="s">
        <v>352</v>
      </c>
      <c r="D4" s="152" t="s">
        <v>353</v>
      </c>
      <c r="E4" s="152" t="s">
        <v>315</v>
      </c>
      <c r="F4" s="152" t="s">
        <v>316</v>
      </c>
      <c r="G4" s="1"/>
    </row>
    <row r="5" spans="1:46" x14ac:dyDescent="0.4">
      <c r="A5" s="152" t="s">
        <v>12</v>
      </c>
      <c r="B5" s="153" t="s">
        <v>549</v>
      </c>
      <c r="C5" s="153" t="s">
        <v>377</v>
      </c>
      <c r="D5" s="153" t="s">
        <v>378</v>
      </c>
      <c r="E5" s="153" t="s">
        <v>317</v>
      </c>
      <c r="F5" s="153" t="s">
        <v>379</v>
      </c>
      <c r="G5" s="399"/>
    </row>
    <row r="6" spans="1:46" x14ac:dyDescent="0.4">
      <c r="A6" s="152" t="str">
        <f>PARAM!$C4</f>
        <v>Débitmètre en charge</v>
      </c>
      <c r="B6" s="151" t="s">
        <v>375</v>
      </c>
      <c r="C6" s="151" t="s">
        <v>385</v>
      </c>
      <c r="D6" s="151" t="s">
        <v>386</v>
      </c>
      <c r="E6" s="151" t="s">
        <v>387</v>
      </c>
      <c r="F6" s="151" t="s">
        <v>388</v>
      </c>
    </row>
    <row r="7" spans="1:46" x14ac:dyDescent="0.4">
      <c r="A7" s="152" t="str">
        <f>PARAM!$C5</f>
        <v>Débitmètre gravitaire</v>
      </c>
      <c r="B7" s="151" t="s">
        <v>389</v>
      </c>
      <c r="C7" s="151" t="s">
        <v>516</v>
      </c>
      <c r="D7" s="151" t="s">
        <v>390</v>
      </c>
      <c r="E7" s="151" t="s">
        <v>314</v>
      </c>
      <c r="F7" s="151" t="s">
        <v>391</v>
      </c>
    </row>
    <row r="8" spans="1:46" x14ac:dyDescent="0.4">
      <c r="A8" s="152" t="str">
        <f>PARAM!$C6</f>
        <v>Préleveur</v>
      </c>
      <c r="B8" s="151" t="s">
        <v>380</v>
      </c>
      <c r="C8" s="151" t="s">
        <v>381</v>
      </c>
      <c r="D8" s="151" t="s">
        <v>382</v>
      </c>
      <c r="E8" s="151" t="s">
        <v>383</v>
      </c>
      <c r="F8" s="151" t="s">
        <v>384</v>
      </c>
    </row>
    <row r="9" spans="1:46" x14ac:dyDescent="0.4">
      <c r="A9" s="152" t="str">
        <f>PARAM!$C7</f>
        <v>Sonde de température</v>
      </c>
      <c r="B9" s="151" t="s">
        <v>376</v>
      </c>
      <c r="C9" s="151" t="s">
        <v>377</v>
      </c>
      <c r="D9" s="151" t="s">
        <v>378</v>
      </c>
      <c r="E9" s="151" t="s">
        <v>317</v>
      </c>
      <c r="F9" s="151" t="s">
        <v>379</v>
      </c>
    </row>
    <row r="10" spans="1:46" x14ac:dyDescent="0.4">
      <c r="C10" s="168"/>
    </row>
    <row r="11" spans="1:46" x14ac:dyDescent="0.4">
      <c r="C11" s="168"/>
    </row>
    <row r="12" spans="1:46" x14ac:dyDescent="0.4">
      <c r="B12">
        <f>$B$2+A42-1</f>
        <v>49</v>
      </c>
      <c r="C12" s="168"/>
    </row>
    <row r="13" spans="1:46" s="202" customFormat="1" ht="13" thickBot="1" x14ac:dyDescent="0.45">
      <c r="A13" s="201" t="s">
        <v>336</v>
      </c>
      <c r="C13" s="203"/>
    </row>
    <row r="14" spans="1:46" s="154" customFormat="1" ht="17.45" customHeight="1" x14ac:dyDescent="0.4">
      <c r="A14" s="1006" t="s">
        <v>329</v>
      </c>
      <c r="B14" s="1007"/>
      <c r="C14" s="395" t="s">
        <v>346</v>
      </c>
      <c r="D14" s="396"/>
      <c r="E14" s="396"/>
      <c r="F14" s="397"/>
      <c r="G14" s="396"/>
      <c r="H14" s="395" t="s">
        <v>347</v>
      </c>
      <c r="I14" s="396"/>
      <c r="J14" s="396"/>
      <c r="K14" s="396"/>
      <c r="L14" s="358"/>
      <c r="M14" s="358"/>
      <c r="N14" s="205" t="s">
        <v>356</v>
      </c>
      <c r="O14" s="1003" t="s">
        <v>30</v>
      </c>
      <c r="P14" s="1003"/>
      <c r="Q14" s="1003" t="s">
        <v>168</v>
      </c>
      <c r="R14" s="1003"/>
      <c r="S14" s="1003" t="s">
        <v>348</v>
      </c>
      <c r="T14" s="1003"/>
      <c r="U14" s="1003" t="s">
        <v>351</v>
      </c>
      <c r="V14" s="1004"/>
      <c r="W14" s="1002" t="s">
        <v>433</v>
      </c>
      <c r="X14" s="1003"/>
      <c r="Y14" s="1003"/>
      <c r="Z14" s="1003"/>
      <c r="AA14" s="1003"/>
      <c r="AB14" s="1003"/>
      <c r="AC14" s="1003"/>
      <c r="AD14" s="1003"/>
      <c r="AE14" s="1003"/>
      <c r="AF14" s="1003"/>
      <c r="AG14" s="1003"/>
      <c r="AH14" s="1004"/>
      <c r="AI14" s="1002" t="s">
        <v>432</v>
      </c>
      <c r="AJ14" s="1003"/>
      <c r="AK14" s="1003"/>
      <c r="AL14" s="1003"/>
      <c r="AM14" s="1003"/>
      <c r="AN14" s="1003"/>
      <c r="AO14" s="1003"/>
      <c r="AP14" s="1003"/>
      <c r="AQ14" s="1003"/>
      <c r="AR14" s="1003"/>
      <c r="AS14" s="1003"/>
      <c r="AT14" s="1004"/>
    </row>
    <row r="15" spans="1:46" s="199" customFormat="1" x14ac:dyDescent="0.4">
      <c r="A15" s="206" t="s">
        <v>344</v>
      </c>
      <c r="B15" s="207" t="s">
        <v>345</v>
      </c>
      <c r="C15" s="208" t="s">
        <v>392</v>
      </c>
      <c r="D15" s="200" t="s">
        <v>337</v>
      </c>
      <c r="E15" s="200" t="s">
        <v>394</v>
      </c>
      <c r="F15" s="313" t="s">
        <v>395</v>
      </c>
      <c r="G15" s="200" t="s">
        <v>456</v>
      </c>
      <c r="H15" s="208" t="s">
        <v>340</v>
      </c>
      <c r="I15" s="200" t="s">
        <v>341</v>
      </c>
      <c r="J15" s="200" t="s">
        <v>342</v>
      </c>
      <c r="K15" s="200" t="s">
        <v>343</v>
      </c>
      <c r="L15" s="200" t="s">
        <v>419</v>
      </c>
      <c r="M15" s="200" t="s">
        <v>457</v>
      </c>
      <c r="N15" s="213" t="s">
        <v>349</v>
      </c>
      <c r="O15" s="212" t="s">
        <v>349</v>
      </c>
      <c r="P15" s="212" t="s">
        <v>350</v>
      </c>
      <c r="Q15" s="212" t="s">
        <v>349</v>
      </c>
      <c r="R15" s="212" t="s">
        <v>350</v>
      </c>
      <c r="S15" s="212" t="s">
        <v>349</v>
      </c>
      <c r="T15" s="212" t="s">
        <v>350</v>
      </c>
      <c r="U15" s="212" t="s">
        <v>349</v>
      </c>
      <c r="V15" s="214" t="s">
        <v>350</v>
      </c>
      <c r="W15" s="373" t="s">
        <v>354</v>
      </c>
      <c r="X15" s="374" t="s">
        <v>355</v>
      </c>
      <c r="Y15" s="374">
        <v>1</v>
      </c>
      <c r="Z15" s="374">
        <v>2</v>
      </c>
      <c r="AA15" s="374">
        <v>3</v>
      </c>
      <c r="AB15" s="374">
        <v>4</v>
      </c>
      <c r="AC15" s="374">
        <v>5</v>
      </c>
      <c r="AD15" s="374">
        <v>6</v>
      </c>
      <c r="AE15" s="374">
        <v>7</v>
      </c>
      <c r="AF15" s="374">
        <v>8</v>
      </c>
      <c r="AG15" s="374">
        <v>9</v>
      </c>
      <c r="AH15" s="375">
        <v>10</v>
      </c>
      <c r="AI15" s="373" t="s">
        <v>354</v>
      </c>
      <c r="AJ15" s="374" t="s">
        <v>355</v>
      </c>
      <c r="AK15" s="374">
        <v>1</v>
      </c>
      <c r="AL15" s="374">
        <v>2</v>
      </c>
      <c r="AM15" s="374">
        <v>3</v>
      </c>
      <c r="AN15" s="374">
        <v>4</v>
      </c>
      <c r="AO15" s="374">
        <v>5</v>
      </c>
      <c r="AP15" s="374">
        <v>6</v>
      </c>
      <c r="AQ15" s="374">
        <v>7</v>
      </c>
      <c r="AR15" s="374">
        <v>8</v>
      </c>
      <c r="AS15" s="374">
        <v>9</v>
      </c>
      <c r="AT15" s="375">
        <v>10</v>
      </c>
    </row>
    <row r="16" spans="1:46" x14ac:dyDescent="0.4">
      <c r="A16" s="150">
        <v>1</v>
      </c>
      <c r="B16" s="204" t="b">
        <f>IF(OR(AND(($B$1+A16-1)&gt;=$B$1,($B$1+A16-1)&lt;$C$1),AND(($B$1+A16-1)&gt;=$B$2,($B$1+A16-1)&lt;$C$2)),TRUE,FALSE)</f>
        <v>0</v>
      </c>
      <c r="C16" s="209" t="str">
        <f ca="1">IF(
    AND(
        $B16,
        OR(
            _xlfn.SINGLE(INDIRECT("Descriptif!$M"&amp;($B$1+$A16-1)))="Préleveur",
            LEFT(_xlfn.SINGLE(INDIRECT("Descriptif!$M"&amp;($B$1+$A16-1))),5)="Sonde",
            LEFT(_xlfn.SINGLE(INDIRECT("Descriptif!$M"&amp;($B$1+$A16-1))),10)="Débitmètre",
            LEFT(_xlfn.SINGLE(INDIRECT("Descriptif!$F"&amp;($B$1+$A16-1))),6)="PLUVIO"
        )
    ),
    _xlfn.SINGLE(INDIRECT("Descriptif!$"&amp;C$15&amp;($B$1 +$A16 -1))),
    ""
)</f>
        <v/>
      </c>
      <c r="D16" s="359" t="str">
        <f ca="1">IF(
    AND(
        $B16,
        OR(
            _xlfn.SINGLE(INDIRECT("Descriptif!$M"&amp;($B$1+$A16-1)))="Préleveur",
            LEFT(_xlfn.SINGLE(INDIRECT("Descriptif!$M"&amp;($B$1+$A16-1))),5)="Sonde",
            LEFT(_xlfn.SINGLE(INDIRECT("Descriptif!$M"&amp;($B$1+$A16-1))),10)="Débitmètre",
            LEFT(_xlfn.SINGLE(INDIRECT("Descriptif!$F"&amp;($B$1+$A16-1))),6)="PLUVIO"
        )
    ),
    IF(
        LEFT(_xlfn.SINGLE(INDIRECT("Descriptif!$F"&amp;($B$1+$A16-1))),11)="PLUVIO_STEU",
        "A3",
        IF(
            LEFT(_xlfn.SINGLE(INDIRECT("Descriptif!$F"&amp;($B$1+$A16-1))),10)="PLUVIO_SCL",
            "A1",
            _xlfn.SINGLE(INDIRECT("Descriptif!$"&amp;D$15&amp;($B$1 +$A16 -1))
        ))
    ),
    ""
)</f>
        <v/>
      </c>
      <c r="E16" s="359"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IF(LEFT(_xlfn.SINGLE(INDIRECT("Descriptif!$F"&amp;($B$1+$A16-1))),6)="PLUVIO","Pluviomètre",_xlfn.SINGLE(INDIRECT("Descriptif!$"&amp;E$15&amp;($B$1 +$A16 -1)))),
    ""
)</f>
        <v/>
      </c>
      <c r="F16" s="57"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IF(LEFT(_xlfn.SINGLE(INDIRECT("Descriptif!$F"&amp;($B$1+$A16-1))),6)="PLUVIO","Pluviomètre",_xlfn.SINGLE(INDIRECT("Descriptif!$"&amp;F$15&amp;($B$1 +$A16 -1)))),
    ""
)</f>
        <v/>
      </c>
      <c r="G16" s="57"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IF(LEFT(_xlfn.SINGLE(INDIRECT("Descriptif!$F"&amp;($B$1+$A16-1))),6)="PLUVIO","Pluviomètre",_xlfn.SINGLE(INDIRECT("Descriptif!$"&amp;G$15&amp;($B$1 +$A16 -1)))),
    ""
)</f>
        <v/>
      </c>
      <c r="H16" s="211" t="str" cm="1">
        <f t="array" aca="1" ref="H16" ca="1">IFERROR(INDEX($C$16:$C$116,SMALL(IF($C$16:$C$116&lt;&gt;"",ROW($C$16:$C$116)-ROW($C$16)+1),ROW(A1))),"")</f>
        <v/>
      </c>
      <c r="I16" s="210" t="str" cm="1">
        <f t="array" aca="1" ref="I16" ca="1">IFERROR(INDEX($D$16:$D$116,SMALL(IF($D$16:$D$116&lt;&gt;"",ROW($D$16:$D$116)-ROW($D$16)+1),ROW(A1))),"")</f>
        <v/>
      </c>
      <c r="J16" s="210" t="str" cm="1">
        <f t="array" aca="1" ref="J16" ca="1">IFERROR(INDEX($E$16:$E$116,SMALL(IF($E$16:$E$116&lt;&gt;"",ROW($E$16:$E$116)-ROW($E$16)+1),ROW(A1))),"")</f>
        <v/>
      </c>
      <c r="K16" s="210" t="str" cm="1">
        <f t="array" aca="1" ref="K16" ca="1">IFERROR(INDEX($F$16:$F$116,SMALL(IF($F$16:$F$116&lt;&gt;"",ROW($F$16:$F$116)-ROW($F$16)+1),ROW(A1))),"")</f>
        <v/>
      </c>
      <c r="L16" s="210" t="str">
        <f t="shared" ref="L16:L72" ca="1" si="0">H16</f>
        <v/>
      </c>
      <c r="M16" s="210" t="str" cm="1">
        <f t="array" aca="1" ref="M16" ca="1">IFERROR(INDEX($G$16:$G$116,SMALL(IF($G$16:$G$116&lt;&gt;"",ROW($G$16:$G$116)-ROW($G$16)+1),ROW(A1))),"")</f>
        <v/>
      </c>
      <c r="N16" s="215" t="str">
        <f t="shared" ref="N16:N47" ca="1" si="1">IF($J16&lt;&gt;"",VLOOKUP($J16,$A$5:$F$9,2,FALSE),"")</f>
        <v/>
      </c>
      <c r="O16" s="216" t="str">
        <f t="shared" ref="O16:O47" ca="1" si="2">IF($J16&lt;&gt;"",VLOOKUP($J16,$A$5:$F$9,3,FALSE),"")</f>
        <v/>
      </c>
      <c r="P16" s="216" t="str">
        <f t="shared" ref="P16:P72" ca="1" si="3">IF($J16&lt;&gt;"",IF(_xlfn.SINGLE(INDIRECT($H16&amp;"!"&amp;$O16))&lt;&gt;"",_xlfn.SINGLE(INDIRECT($H16&amp;"!"&amp;$O16)),""),"")</f>
        <v/>
      </c>
      <c r="Q16" s="216" t="str">
        <f t="shared" ref="Q16:Q47" ca="1" si="4">IF($J16&lt;&gt;"",VLOOKUP($J16,$A$5:$F$9,4,FALSE),"")</f>
        <v/>
      </c>
      <c r="R16" s="216" t="str">
        <f t="shared" ref="R16:R72" ca="1" si="5">IF($J16&lt;&gt;"",IF(_xlfn.SINGLE(INDIRECT($H16&amp;"!"&amp;$Q16))&lt;&gt;"",_xlfn.SINGLE(INDIRECT($H16&amp;"!"&amp;$Q16)),""),"")</f>
        <v/>
      </c>
      <c r="S16" s="216" t="str">
        <f t="shared" ref="S16:S47" ca="1" si="6">IF($J16&lt;&gt;"",VLOOKUP($J16,$A$5:$F$9,5,FALSE),"")</f>
        <v/>
      </c>
      <c r="T16" s="216" t="str">
        <f t="shared" ref="T16:T72" ca="1" si="7">IF($J16&lt;&gt;"",IF(_xlfn.SINGLE(INDIRECT($H16&amp;"!"&amp;$S16))&lt;&gt;"",_xlfn.SINGLE(INDIRECT($H16&amp;"!"&amp;$S16)),""),"")</f>
        <v/>
      </c>
      <c r="U16" s="216" t="str">
        <f t="shared" ref="U16:U47" ca="1" si="8">IF($J16&lt;&gt;"",VLOOKUP($J16,$A$5:$F$9,6,FALSE),"")</f>
        <v/>
      </c>
      <c r="V16" s="217" t="str">
        <f t="shared" ref="V16:V72" ca="1" si="9">IF($J16&lt;&gt;"",IF(_xlfn.SINGLE(INDIRECT($H16&amp;"!"&amp;$U16))&lt;&gt;"",_xlfn.SINGLE(INDIRECT($H16&amp;"!"&amp;$U16)),""),"")</f>
        <v/>
      </c>
      <c r="W16" s="376" t="str">
        <f ca="1">LEFT($Q16,1)</f>
        <v/>
      </c>
      <c r="X16" s="377" t="str">
        <f ca="1">RIGHT($N16,2)</f>
        <v/>
      </c>
      <c r="Y16" s="378" t="str">
        <f t="shared" ref="Y16:AB35" ca="1" si="10">IF($H16&lt;&gt;"",IF(_xlfn.SINGLE(INDIRECT($H16&amp;"!"&amp;$W16&amp;($X16+Y$15+1)))&lt;&gt;"",_xlfn.SINGLE(INDIRECT($H16&amp;"!"&amp;$W16&amp;($X16+Y$15+1))),""),"")</f>
        <v/>
      </c>
      <c r="Z16" s="378" t="str">
        <f t="shared" ca="1" si="10"/>
        <v/>
      </c>
      <c r="AA16" s="378" t="str">
        <f t="shared" ca="1" si="10"/>
        <v/>
      </c>
      <c r="AB16" s="378" t="str">
        <f t="shared" ca="1" si="10"/>
        <v/>
      </c>
      <c r="AC16" s="378" t="str">
        <f t="shared" ref="AC16:AC72" ca="1" si="11">IF(LEFT($J16,5)="Sonde","",IF($H16&lt;&gt;"",IF(_xlfn.SINGLE(INDIRECT($H16&amp;"!"&amp;$W16&amp;($X16+AC$15+1)))&lt;&gt;"",_xlfn.SINGLE(INDIRECT($H16&amp;"!"&amp;$W16&amp;($X16+AC$15+1))),""),""))</f>
        <v/>
      </c>
      <c r="AD16" s="378" t="str">
        <f t="shared" ref="AD16:AH31" ca="1" si="12">IF(OR($J16="Pluviomètre",LEFT($J16,5)="Sonde"),"",IF($H16&lt;&gt;"",IF(_xlfn.SINGLE(INDIRECT($H16&amp;"!"&amp;$W16&amp;($X16+AD$15+1)))&lt;&gt;"",_xlfn.SINGLE(INDIRECT($H16&amp;"!"&amp;$W16&amp;($X16+AD$15+1))),""),""))</f>
        <v/>
      </c>
      <c r="AE16" s="378" t="str">
        <f t="shared" ca="1" si="12"/>
        <v/>
      </c>
      <c r="AF16" s="378" t="str">
        <f t="shared" ca="1" si="12"/>
        <v/>
      </c>
      <c r="AG16" s="378" t="str">
        <f t="shared" ca="1" si="12"/>
        <v/>
      </c>
      <c r="AH16" s="378" t="str">
        <f t="shared" ca="1" si="12"/>
        <v/>
      </c>
      <c r="AI16" s="376" t="str">
        <f ca="1">LEFT($O16,1)</f>
        <v/>
      </c>
      <c r="AJ16" s="377" t="str">
        <f ca="1">RIGHT($N16,2)</f>
        <v/>
      </c>
      <c r="AK16" s="378" t="str">
        <f t="shared" ref="AK16:AN35" ca="1" si="13">IF($H16&lt;&gt;"",IF(_xlfn.SINGLE(INDIRECT($H16&amp;"!"&amp;$AI16&amp;($AJ16+AK$15+1)))&lt;&gt;"",_xlfn.SINGLE(INDIRECT($H16&amp;"!"&amp;$AI16&amp;($AJ16+AK$15+1))),""),"")</f>
        <v/>
      </c>
      <c r="AL16" s="378" t="str">
        <f t="shared" ca="1" si="13"/>
        <v/>
      </c>
      <c r="AM16" s="378" t="str">
        <f t="shared" ca="1" si="13"/>
        <v/>
      </c>
      <c r="AN16" s="378" t="str">
        <f t="shared" ca="1" si="13"/>
        <v/>
      </c>
      <c r="AO16" s="378" t="str">
        <f t="shared" ref="AO16:AO72" ca="1" si="14">IF(LEFT($J16,5)="Sonde","",IF($H16&lt;&gt;"",IF(_xlfn.SINGLE(INDIRECT($H16&amp;"!"&amp;$AI16&amp;($AJ16+AO$15+1)))&lt;&gt;"",_xlfn.SINGLE(INDIRECT($H16&amp;"!"&amp;$AI16&amp;($AJ16+AO$15+1))),""),""))</f>
        <v/>
      </c>
      <c r="AP16" s="378" t="str">
        <f t="shared" ref="AP16:AT31" ca="1" si="15">IF(OR($J16="Pluviomètre",LEFT($J16,5)="Sonde"),"",IF($H16&lt;&gt;"",IF(_xlfn.SINGLE(INDIRECT($H16&amp;"!"&amp;$AI16&amp;($AJ16+AP$15+1)))&lt;&gt;"",_xlfn.SINGLE(INDIRECT($H16&amp;"!"&amp;$AI16&amp;($AJ16+AP$15+1))),""),""))</f>
        <v/>
      </c>
      <c r="AQ16" s="378" t="str">
        <f t="shared" ca="1" si="15"/>
        <v/>
      </c>
      <c r="AR16" s="378" t="str">
        <f t="shared" ca="1" si="15"/>
        <v/>
      </c>
      <c r="AS16" s="378" t="str">
        <f t="shared" ca="1" si="15"/>
        <v/>
      </c>
      <c r="AT16" s="378" t="str">
        <f t="shared" ca="1" si="15"/>
        <v/>
      </c>
    </row>
    <row r="17" spans="1:46" x14ac:dyDescent="0.4">
      <c r="A17" s="150">
        <v>2</v>
      </c>
      <c r="B17" s="204" t="b">
        <f t="shared" ref="B17:B72" si="16">IF(OR(AND(($B$1+A17-1)&gt;=$B$1,($B$1+A17-1)&lt;$C$1),AND(($B$1+A17-1)&gt;=$B$2,($B$1+A17-1)&lt;$C$2)),TRUE,FALSE)</f>
        <v>0</v>
      </c>
      <c r="C17" s="209" t="str">
        <f t="shared" ref="C17:C72" ca="1" si="17">IF(
    AND(
        $B17,
        OR(
            _xlfn.SINGLE(INDIRECT("Descriptif!$M"&amp;($B$1+$A17-1)))="Préleveur",
            LEFT(_xlfn.SINGLE(INDIRECT("Descriptif!$M"&amp;($B$1+$A17-1))),5)="Sonde",
            LEFT(_xlfn.SINGLE(INDIRECT("Descriptif!$M"&amp;($B$1+$A17-1))),10)="Débitmètre",
            LEFT(_xlfn.SINGLE(INDIRECT("Descriptif!$F"&amp;($B$1+$A17-1))),6)="PLUVIO"
        )
    ),
    _xlfn.SINGLE(INDIRECT("Descriptif!$"&amp;C$15&amp;($B$1 +$A17 -1))),
    ""
)</f>
        <v/>
      </c>
      <c r="D17" s="359" t="str">
        <f t="shared" ref="D17:D72" ca="1" si="18">IF(
    AND(
        $B17,
        OR(
            _xlfn.SINGLE(INDIRECT("Descriptif!$M"&amp;($B$1+$A17-1)))="Préleveur",
            LEFT(_xlfn.SINGLE(INDIRECT("Descriptif!$M"&amp;($B$1+$A17-1))),5)="Sonde",
            LEFT(_xlfn.SINGLE(INDIRECT("Descriptif!$M"&amp;($B$1+$A17-1))),10)="Débitmètre",
            LEFT(_xlfn.SINGLE(INDIRECT("Descriptif!$F"&amp;($B$1+$A17-1))),6)="PLUVIO"
        )
    ),
    IF(
        LEFT(_xlfn.SINGLE(INDIRECT("Descriptif!$F"&amp;($B$1+$A17-1))),11)="PLUVIO_STEU",
        "A3",
        IF(
            LEFT(_xlfn.SINGLE(INDIRECT("Descriptif!$F"&amp;($B$1+$A17-1))),10)="PLUVIO_SCL",
            "A1",
            _xlfn.SINGLE(INDIRECT("Descriptif!$"&amp;D$15&amp;($B$1 +$A17 -1))
        ))
    ),
    ""
)</f>
        <v/>
      </c>
      <c r="E17" s="359" t="str">
        <f t="shared" ref="E17:G72" ca="1" si="19">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IF(LEFT(_xlfn.SINGLE(INDIRECT("Descriptif!$F"&amp;($B$1+$A17-1))),6)="PLUVIO","Pluviomètre",_xlfn.SINGLE(INDIRECT("Descriptif!$"&amp;E$15&amp;($B$1 +$A17 -1)))),
    ""
)</f>
        <v/>
      </c>
      <c r="F17" s="57" t="str">
        <f t="shared" ca="1" si="19"/>
        <v/>
      </c>
      <c r="G17" s="57" t="str">
        <f t="shared" ca="1" si="19"/>
        <v/>
      </c>
      <c r="H17" s="211" t="str" cm="1">
        <f t="array" aca="1" ref="H17" ca="1">IFERROR(INDEX($C$16:$C$116,SMALL(IF($C$16:$C$116&lt;&gt;"",ROW($C$16:$C$116)-ROW($C$16)+1),ROW(A2))),"")</f>
        <v/>
      </c>
      <c r="I17" s="210" t="str" cm="1">
        <f t="array" aca="1" ref="I17" ca="1">IFERROR(INDEX($D$16:$D$116,SMALL(IF($D$16:$D$116&lt;&gt;"",ROW($D$16:$D$116)-ROW($D$16)+1),ROW(A2))),"")</f>
        <v/>
      </c>
      <c r="J17" s="210" t="str" cm="1">
        <f t="array" aca="1" ref="J17" ca="1">IFERROR(INDEX($E$16:$E$116,SMALL(IF($E$16:$E$116&lt;&gt;"",ROW($E$16:$E$116)-ROW($E$16)+1),ROW(A2))),"")</f>
        <v/>
      </c>
      <c r="K17" s="210" t="str" cm="1">
        <f t="array" aca="1" ref="K17" ca="1">IFERROR(INDEX($F$16:$F$116,SMALL(IF($F$16:$F$116&lt;&gt;"",ROW($F$16:$F$116)-ROW($F$16)+1),ROW(A2))),"")</f>
        <v/>
      </c>
      <c r="L17" s="210" t="str">
        <f t="shared" ca="1" si="0"/>
        <v/>
      </c>
      <c r="M17" s="210" t="str" cm="1">
        <f t="array" aca="1" ref="M17" ca="1">IFERROR(INDEX($G$16:$G$116,SMALL(IF($G$16:$G$116&lt;&gt;"",ROW($G$16:$G$116)-ROW($G$16)+1),ROW(A2))),"")</f>
        <v/>
      </c>
      <c r="N17" s="215" t="str">
        <f t="shared" ca="1" si="1"/>
        <v/>
      </c>
      <c r="O17" s="216" t="str">
        <f t="shared" ca="1" si="2"/>
        <v/>
      </c>
      <c r="P17" s="216" t="str">
        <f t="shared" ca="1" si="3"/>
        <v/>
      </c>
      <c r="Q17" s="216" t="str">
        <f t="shared" ca="1" si="4"/>
        <v/>
      </c>
      <c r="R17" s="216" t="str">
        <f t="shared" ca="1" si="5"/>
        <v/>
      </c>
      <c r="S17" s="216" t="str">
        <f t="shared" ca="1" si="6"/>
        <v/>
      </c>
      <c r="T17" s="216" t="str">
        <f t="shared" ca="1" si="7"/>
        <v/>
      </c>
      <c r="U17" s="216" t="str">
        <f t="shared" ca="1" si="8"/>
        <v/>
      </c>
      <c r="V17" s="217" t="str">
        <f t="shared" ca="1" si="9"/>
        <v/>
      </c>
      <c r="W17" s="376" t="str">
        <f t="shared" ref="W17:W72" ca="1" si="20">LEFT($Q17,1)</f>
        <v/>
      </c>
      <c r="X17" s="377" t="str">
        <f t="shared" ref="X17:X72" ca="1" si="21">RIGHT($N17,2)</f>
        <v/>
      </c>
      <c r="Y17" s="378" t="str">
        <f t="shared" ca="1" si="10"/>
        <v/>
      </c>
      <c r="Z17" s="378" t="str">
        <f t="shared" ca="1" si="10"/>
        <v/>
      </c>
      <c r="AA17" s="378" t="str">
        <f t="shared" ca="1" si="10"/>
        <v/>
      </c>
      <c r="AB17" s="378" t="str">
        <f t="shared" ca="1" si="10"/>
        <v/>
      </c>
      <c r="AC17" s="378" t="str">
        <f t="shared" ca="1" si="11"/>
        <v/>
      </c>
      <c r="AD17" s="378" t="str">
        <f t="shared" ca="1" si="12"/>
        <v/>
      </c>
      <c r="AE17" s="378" t="str">
        <f t="shared" ca="1" si="12"/>
        <v/>
      </c>
      <c r="AF17" s="378" t="str">
        <f t="shared" ca="1" si="12"/>
        <v/>
      </c>
      <c r="AG17" s="378" t="str">
        <f t="shared" ca="1" si="12"/>
        <v/>
      </c>
      <c r="AH17" s="378" t="str">
        <f t="shared" ca="1" si="12"/>
        <v/>
      </c>
      <c r="AI17" s="376" t="str">
        <f t="shared" ref="AI17:AI72" ca="1" si="22">LEFT($O17,1)</f>
        <v/>
      </c>
      <c r="AJ17" s="377" t="str">
        <f t="shared" ref="AJ17:AJ72" ca="1" si="23">RIGHT($N17,2)</f>
        <v/>
      </c>
      <c r="AK17" s="378" t="str">
        <f t="shared" ca="1" si="13"/>
        <v/>
      </c>
      <c r="AL17" s="378" t="str">
        <f t="shared" ca="1" si="13"/>
        <v/>
      </c>
      <c r="AM17" s="378" t="str">
        <f t="shared" ca="1" si="13"/>
        <v/>
      </c>
      <c r="AN17" s="378" t="str">
        <f t="shared" ca="1" si="13"/>
        <v/>
      </c>
      <c r="AO17" s="378" t="str">
        <f t="shared" ca="1" si="14"/>
        <v/>
      </c>
      <c r="AP17" s="378" t="str">
        <f t="shared" ca="1" si="15"/>
        <v/>
      </c>
      <c r="AQ17" s="378" t="str">
        <f t="shared" ca="1" si="15"/>
        <v/>
      </c>
      <c r="AR17" s="378" t="str">
        <f t="shared" ca="1" si="15"/>
        <v/>
      </c>
      <c r="AS17" s="378" t="str">
        <f t="shared" ca="1" si="15"/>
        <v/>
      </c>
      <c r="AT17" s="378" t="str">
        <f t="shared" ca="1" si="15"/>
        <v/>
      </c>
    </row>
    <row r="18" spans="1:46" x14ac:dyDescent="0.4">
      <c r="A18" s="150">
        <v>3</v>
      </c>
      <c r="B18" s="204" t="b">
        <f t="shared" si="16"/>
        <v>0</v>
      </c>
      <c r="C18" s="209" t="str">
        <f t="shared" ca="1" si="17"/>
        <v/>
      </c>
      <c r="D18" s="359" t="str">
        <f t="shared" ca="1" si="18"/>
        <v/>
      </c>
      <c r="E18" s="359" t="str">
        <f t="shared" ca="1" si="19"/>
        <v/>
      </c>
      <c r="F18" s="57" t="str">
        <f t="shared" ca="1" si="19"/>
        <v/>
      </c>
      <c r="G18" s="57" t="str">
        <f t="shared" ca="1" si="19"/>
        <v/>
      </c>
      <c r="H18" s="211" t="str" cm="1">
        <f t="array" aca="1" ref="H18" ca="1">IFERROR(INDEX($C$16:$C$116,SMALL(IF($C$16:$C$116&lt;&gt;"",ROW($C$16:$C$116)-ROW($C$16)+1),ROW(A3))),"")</f>
        <v/>
      </c>
      <c r="I18" s="210" t="str" cm="1">
        <f t="array" aca="1" ref="I18" ca="1">IFERROR(INDEX($D$16:$D$116,SMALL(IF($D$16:$D$116&lt;&gt;"",ROW($D$16:$D$116)-ROW($D$16)+1),ROW(A3))),"")</f>
        <v/>
      </c>
      <c r="J18" s="210" t="str" cm="1">
        <f t="array" aca="1" ref="J18" ca="1">IFERROR(INDEX($E$16:$E$116,SMALL(IF($E$16:$E$116&lt;&gt;"",ROW($E$16:$E$116)-ROW($E$16)+1),ROW(A3))),"")</f>
        <v/>
      </c>
      <c r="K18" s="210" t="str" cm="1">
        <f t="array" aca="1" ref="K18" ca="1">IFERROR(INDEX($F$16:$F$116,SMALL(IF($F$16:$F$116&lt;&gt;"",ROW($F$16:$F$116)-ROW($F$16)+1),ROW(A3))),"")</f>
        <v/>
      </c>
      <c r="L18" s="210" t="str">
        <f t="shared" ca="1" si="0"/>
        <v/>
      </c>
      <c r="M18" s="210" t="str" cm="1">
        <f t="array" aca="1" ref="M18" ca="1">IFERROR(INDEX($G$16:$G$116,SMALL(IF($G$16:$G$116&lt;&gt;"",ROW($G$16:$G$116)-ROW($G$16)+1),ROW(A3))),"")</f>
        <v/>
      </c>
      <c r="N18" s="215" t="str">
        <f t="shared" ca="1" si="1"/>
        <v/>
      </c>
      <c r="O18" s="216" t="str">
        <f t="shared" ca="1" si="2"/>
        <v/>
      </c>
      <c r="P18" s="216" t="str">
        <f t="shared" ca="1" si="3"/>
        <v/>
      </c>
      <c r="Q18" s="216" t="str">
        <f t="shared" ca="1" si="4"/>
        <v/>
      </c>
      <c r="R18" s="216" t="str">
        <f t="shared" ca="1" si="5"/>
        <v/>
      </c>
      <c r="S18" s="216" t="str">
        <f t="shared" ca="1" si="6"/>
        <v/>
      </c>
      <c r="T18" s="216" t="str">
        <f t="shared" ca="1" si="7"/>
        <v/>
      </c>
      <c r="U18" s="216" t="str">
        <f t="shared" ca="1" si="8"/>
        <v/>
      </c>
      <c r="V18" s="217" t="str">
        <f t="shared" ca="1" si="9"/>
        <v/>
      </c>
      <c r="W18" s="376" t="str">
        <f t="shared" ca="1" si="20"/>
        <v/>
      </c>
      <c r="X18" s="377" t="str">
        <f t="shared" ca="1" si="21"/>
        <v/>
      </c>
      <c r="Y18" s="378" t="str">
        <f t="shared" ca="1" si="10"/>
        <v/>
      </c>
      <c r="Z18" s="378" t="str">
        <f t="shared" ca="1" si="10"/>
        <v/>
      </c>
      <c r="AA18" s="378" t="str">
        <f t="shared" ca="1" si="10"/>
        <v/>
      </c>
      <c r="AB18" s="378" t="str">
        <f t="shared" ca="1" si="10"/>
        <v/>
      </c>
      <c r="AC18" s="378" t="str">
        <f t="shared" ca="1" si="11"/>
        <v/>
      </c>
      <c r="AD18" s="378" t="str">
        <f t="shared" ca="1" si="12"/>
        <v/>
      </c>
      <c r="AE18" s="378" t="str">
        <f t="shared" ca="1" si="12"/>
        <v/>
      </c>
      <c r="AF18" s="378" t="str">
        <f t="shared" ca="1" si="12"/>
        <v/>
      </c>
      <c r="AG18" s="378" t="str">
        <f t="shared" ca="1" si="12"/>
        <v/>
      </c>
      <c r="AH18" s="378" t="str">
        <f t="shared" ca="1" si="12"/>
        <v/>
      </c>
      <c r="AI18" s="376" t="str">
        <f t="shared" ca="1" si="22"/>
        <v/>
      </c>
      <c r="AJ18" s="377" t="str">
        <f t="shared" ca="1" si="23"/>
        <v/>
      </c>
      <c r="AK18" s="378" t="str">
        <f t="shared" ca="1" si="13"/>
        <v/>
      </c>
      <c r="AL18" s="378" t="str">
        <f t="shared" ca="1" si="13"/>
        <v/>
      </c>
      <c r="AM18" s="378" t="str">
        <f t="shared" ca="1" si="13"/>
        <v/>
      </c>
      <c r="AN18" s="378" t="str">
        <f t="shared" ca="1" si="13"/>
        <v/>
      </c>
      <c r="AO18" s="378" t="str">
        <f t="shared" ca="1" si="14"/>
        <v/>
      </c>
      <c r="AP18" s="378" t="str">
        <f t="shared" ca="1" si="15"/>
        <v/>
      </c>
      <c r="AQ18" s="378" t="str">
        <f t="shared" ca="1" si="15"/>
        <v/>
      </c>
      <c r="AR18" s="378" t="str">
        <f t="shared" ca="1" si="15"/>
        <v/>
      </c>
      <c r="AS18" s="378" t="str">
        <f t="shared" ca="1" si="15"/>
        <v/>
      </c>
      <c r="AT18" s="378" t="str">
        <f t="shared" ca="1" si="15"/>
        <v/>
      </c>
    </row>
    <row r="19" spans="1:46" x14ac:dyDescent="0.4">
      <c r="A19" s="150">
        <v>4</v>
      </c>
      <c r="B19" s="204" t="b">
        <f t="shared" si="16"/>
        <v>0</v>
      </c>
      <c r="C19" s="209" t="str">
        <f t="shared" ca="1" si="17"/>
        <v/>
      </c>
      <c r="D19" s="359" t="str">
        <f t="shared" ca="1" si="18"/>
        <v/>
      </c>
      <c r="E19" s="359" t="str">
        <f t="shared" ca="1" si="19"/>
        <v/>
      </c>
      <c r="F19" s="57" t="str">
        <f t="shared" ca="1" si="19"/>
        <v/>
      </c>
      <c r="G19" s="57" t="str">
        <f t="shared" ca="1" si="19"/>
        <v/>
      </c>
      <c r="H19" s="211" t="str" cm="1">
        <f t="array" aca="1" ref="H19" ca="1">IFERROR(INDEX($C$16:$C$116,SMALL(IF($C$16:$C$116&lt;&gt;"",ROW($C$16:$C$116)-ROW($C$16)+1),ROW(A4))),"")</f>
        <v/>
      </c>
      <c r="I19" s="210" t="str" cm="1">
        <f t="array" aca="1" ref="I19" ca="1">IFERROR(INDEX($D$16:$D$116,SMALL(IF($D$16:$D$116&lt;&gt;"",ROW($D$16:$D$116)-ROW($D$16)+1),ROW(A4))),"")</f>
        <v/>
      </c>
      <c r="J19" s="210" t="str" cm="1">
        <f t="array" aca="1" ref="J19" ca="1">IFERROR(INDEX($E$16:$E$116,SMALL(IF($E$16:$E$116&lt;&gt;"",ROW($E$16:$E$116)-ROW($E$16)+1),ROW(A4))),"")</f>
        <v/>
      </c>
      <c r="K19" s="210" t="str" cm="1">
        <f t="array" aca="1" ref="K19" ca="1">IFERROR(INDEX($F$16:$F$116,SMALL(IF($F$16:$F$116&lt;&gt;"",ROW($F$16:$F$116)-ROW($F$16)+1),ROW(A4))),"")</f>
        <v/>
      </c>
      <c r="L19" s="210" t="str">
        <f t="shared" ca="1" si="0"/>
        <v/>
      </c>
      <c r="M19" s="210" t="str" cm="1">
        <f t="array" aca="1" ref="M19" ca="1">IFERROR(INDEX($G$16:$G$116,SMALL(IF($G$16:$G$116&lt;&gt;"",ROW($G$16:$G$116)-ROW($G$16)+1),ROW(A4))),"")</f>
        <v/>
      </c>
      <c r="N19" s="215" t="str">
        <f t="shared" ca="1" si="1"/>
        <v/>
      </c>
      <c r="O19" s="216" t="str">
        <f t="shared" ca="1" si="2"/>
        <v/>
      </c>
      <c r="P19" s="216" t="str">
        <f t="shared" ca="1" si="3"/>
        <v/>
      </c>
      <c r="Q19" s="216" t="str">
        <f t="shared" ca="1" si="4"/>
        <v/>
      </c>
      <c r="R19" s="216" t="str">
        <f t="shared" ca="1" si="5"/>
        <v/>
      </c>
      <c r="S19" s="216" t="str">
        <f t="shared" ca="1" si="6"/>
        <v/>
      </c>
      <c r="T19" s="216" t="str">
        <f t="shared" ca="1" si="7"/>
        <v/>
      </c>
      <c r="U19" s="216" t="str">
        <f t="shared" ca="1" si="8"/>
        <v/>
      </c>
      <c r="V19" s="217" t="str">
        <f t="shared" ca="1" si="9"/>
        <v/>
      </c>
      <c r="W19" s="376" t="str">
        <f t="shared" ca="1" si="20"/>
        <v/>
      </c>
      <c r="X19" s="377" t="str">
        <f t="shared" ca="1" si="21"/>
        <v/>
      </c>
      <c r="Y19" s="378" t="str">
        <f t="shared" ca="1" si="10"/>
        <v/>
      </c>
      <c r="Z19" s="378" t="str">
        <f t="shared" ca="1" si="10"/>
        <v/>
      </c>
      <c r="AA19" s="378" t="str">
        <f t="shared" ca="1" si="10"/>
        <v/>
      </c>
      <c r="AB19" s="378" t="str">
        <f t="shared" ca="1" si="10"/>
        <v/>
      </c>
      <c r="AC19" s="378" t="str">
        <f t="shared" ca="1" si="11"/>
        <v/>
      </c>
      <c r="AD19" s="378" t="str">
        <f t="shared" ca="1" si="12"/>
        <v/>
      </c>
      <c r="AE19" s="378" t="str">
        <f t="shared" ca="1" si="12"/>
        <v/>
      </c>
      <c r="AF19" s="378" t="str">
        <f t="shared" ca="1" si="12"/>
        <v/>
      </c>
      <c r="AG19" s="378" t="str">
        <f t="shared" ca="1" si="12"/>
        <v/>
      </c>
      <c r="AH19" s="378" t="str">
        <f t="shared" ca="1" si="12"/>
        <v/>
      </c>
      <c r="AI19" s="376" t="str">
        <f t="shared" ca="1" si="22"/>
        <v/>
      </c>
      <c r="AJ19" s="377" t="str">
        <f t="shared" ca="1" si="23"/>
        <v/>
      </c>
      <c r="AK19" s="378" t="str">
        <f t="shared" ca="1" si="13"/>
        <v/>
      </c>
      <c r="AL19" s="378" t="str">
        <f t="shared" ca="1" si="13"/>
        <v/>
      </c>
      <c r="AM19" s="378" t="str">
        <f t="shared" ca="1" si="13"/>
        <v/>
      </c>
      <c r="AN19" s="378" t="str">
        <f t="shared" ca="1" si="13"/>
        <v/>
      </c>
      <c r="AO19" s="378" t="str">
        <f t="shared" ca="1" si="14"/>
        <v/>
      </c>
      <c r="AP19" s="378" t="str">
        <f t="shared" ca="1" si="15"/>
        <v/>
      </c>
      <c r="AQ19" s="378" t="str">
        <f t="shared" ca="1" si="15"/>
        <v/>
      </c>
      <c r="AR19" s="378" t="str">
        <f t="shared" ca="1" si="15"/>
        <v/>
      </c>
      <c r="AS19" s="378" t="str">
        <f t="shared" ca="1" si="15"/>
        <v/>
      </c>
      <c r="AT19" s="378" t="str">
        <f t="shared" ca="1" si="15"/>
        <v/>
      </c>
    </row>
    <row r="20" spans="1:46" x14ac:dyDescent="0.4">
      <c r="A20" s="150">
        <v>5</v>
      </c>
      <c r="B20" s="204" t="b">
        <f t="shared" si="16"/>
        <v>0</v>
      </c>
      <c r="C20" s="209" t="str">
        <f t="shared" ca="1" si="17"/>
        <v/>
      </c>
      <c r="D20" s="359" t="str">
        <f t="shared" ca="1" si="18"/>
        <v/>
      </c>
      <c r="E20" s="359" t="str">
        <f t="shared" ca="1" si="19"/>
        <v/>
      </c>
      <c r="F20" s="57" t="str">
        <f t="shared" ca="1" si="19"/>
        <v/>
      </c>
      <c r="G20" s="57" t="str">
        <f t="shared" ca="1" si="19"/>
        <v/>
      </c>
      <c r="H20" s="211" t="str" cm="1">
        <f t="array" aca="1" ref="H20" ca="1">IFERROR(INDEX($C$16:$C$116,SMALL(IF($C$16:$C$116&lt;&gt;"",ROW($C$16:$C$116)-ROW($C$16)+1),ROW(A5))),"")</f>
        <v/>
      </c>
      <c r="I20" s="210" t="str" cm="1">
        <f t="array" aca="1" ref="I20" ca="1">IFERROR(INDEX($D$16:$D$116,SMALL(IF($D$16:$D$116&lt;&gt;"",ROW($D$16:$D$116)-ROW($D$16)+1),ROW(A5))),"")</f>
        <v/>
      </c>
      <c r="J20" s="210" t="str" cm="1">
        <f t="array" aca="1" ref="J20" ca="1">IFERROR(INDEX($E$16:$E$116,SMALL(IF($E$16:$E$116&lt;&gt;"",ROW($E$16:$E$116)-ROW($E$16)+1),ROW(A5))),"")</f>
        <v/>
      </c>
      <c r="K20" s="210" t="str" cm="1">
        <f t="array" aca="1" ref="K20" ca="1">IFERROR(INDEX($F$16:$F$116,SMALL(IF($F$16:$F$116&lt;&gt;"",ROW($F$16:$F$116)-ROW($F$16)+1),ROW(A5))),"")</f>
        <v/>
      </c>
      <c r="L20" s="210" t="str">
        <f t="shared" ca="1" si="0"/>
        <v/>
      </c>
      <c r="M20" s="210" t="str" cm="1">
        <f t="array" aca="1" ref="M20" ca="1">IFERROR(INDEX($G$16:$G$116,SMALL(IF($G$16:$G$116&lt;&gt;"",ROW($G$16:$G$116)-ROW($G$16)+1),ROW(A5))),"")</f>
        <v/>
      </c>
      <c r="N20" s="215" t="str">
        <f t="shared" ca="1" si="1"/>
        <v/>
      </c>
      <c r="O20" s="216" t="str">
        <f t="shared" ca="1" si="2"/>
        <v/>
      </c>
      <c r="P20" s="216" t="str">
        <f t="shared" ca="1" si="3"/>
        <v/>
      </c>
      <c r="Q20" s="216" t="str">
        <f t="shared" ca="1" si="4"/>
        <v/>
      </c>
      <c r="R20" s="216" t="str">
        <f t="shared" ca="1" si="5"/>
        <v/>
      </c>
      <c r="S20" s="216" t="str">
        <f t="shared" ca="1" si="6"/>
        <v/>
      </c>
      <c r="T20" s="216" t="str">
        <f t="shared" ca="1" si="7"/>
        <v/>
      </c>
      <c r="U20" s="216" t="str">
        <f t="shared" ca="1" si="8"/>
        <v/>
      </c>
      <c r="V20" s="217" t="str">
        <f t="shared" ca="1" si="9"/>
        <v/>
      </c>
      <c r="W20" s="376" t="str">
        <f t="shared" ca="1" si="20"/>
        <v/>
      </c>
      <c r="X20" s="377" t="str">
        <f t="shared" ca="1" si="21"/>
        <v/>
      </c>
      <c r="Y20" s="378" t="str">
        <f t="shared" ca="1" si="10"/>
        <v/>
      </c>
      <c r="Z20" s="378" t="str">
        <f t="shared" ca="1" si="10"/>
        <v/>
      </c>
      <c r="AA20" s="378" t="str">
        <f t="shared" ca="1" si="10"/>
        <v/>
      </c>
      <c r="AB20" s="378" t="str">
        <f t="shared" ca="1" si="10"/>
        <v/>
      </c>
      <c r="AC20" s="378" t="str">
        <f t="shared" ca="1" si="11"/>
        <v/>
      </c>
      <c r="AD20" s="378" t="str">
        <f t="shared" ca="1" si="12"/>
        <v/>
      </c>
      <c r="AE20" s="378" t="str">
        <f t="shared" ca="1" si="12"/>
        <v/>
      </c>
      <c r="AF20" s="378" t="str">
        <f t="shared" ca="1" si="12"/>
        <v/>
      </c>
      <c r="AG20" s="378" t="str">
        <f t="shared" ca="1" si="12"/>
        <v/>
      </c>
      <c r="AH20" s="378" t="str">
        <f t="shared" ca="1" si="12"/>
        <v/>
      </c>
      <c r="AI20" s="376" t="str">
        <f t="shared" ca="1" si="22"/>
        <v/>
      </c>
      <c r="AJ20" s="377" t="str">
        <f t="shared" ca="1" si="23"/>
        <v/>
      </c>
      <c r="AK20" s="378" t="str">
        <f t="shared" ca="1" si="13"/>
        <v/>
      </c>
      <c r="AL20" s="378" t="str">
        <f t="shared" ca="1" si="13"/>
        <v/>
      </c>
      <c r="AM20" s="378" t="str">
        <f t="shared" ca="1" si="13"/>
        <v/>
      </c>
      <c r="AN20" s="378" t="str">
        <f t="shared" ca="1" si="13"/>
        <v/>
      </c>
      <c r="AO20" s="378" t="str">
        <f t="shared" ca="1" si="14"/>
        <v/>
      </c>
      <c r="AP20" s="378" t="str">
        <f t="shared" ca="1" si="15"/>
        <v/>
      </c>
      <c r="AQ20" s="378" t="str">
        <f t="shared" ca="1" si="15"/>
        <v/>
      </c>
      <c r="AR20" s="378" t="str">
        <f t="shared" ca="1" si="15"/>
        <v/>
      </c>
      <c r="AS20" s="378" t="str">
        <f t="shared" ca="1" si="15"/>
        <v/>
      </c>
      <c r="AT20" s="378" t="str">
        <f t="shared" ca="1" si="15"/>
        <v/>
      </c>
    </row>
    <row r="21" spans="1:46" x14ac:dyDescent="0.4">
      <c r="A21" s="150">
        <v>6</v>
      </c>
      <c r="B21" s="204" t="b">
        <f t="shared" si="16"/>
        <v>0</v>
      </c>
      <c r="C21" s="209" t="str">
        <f t="shared" ca="1" si="17"/>
        <v/>
      </c>
      <c r="D21" s="359" t="str">
        <f t="shared" ca="1" si="18"/>
        <v/>
      </c>
      <c r="E21" s="359" t="str">
        <f t="shared" ca="1" si="19"/>
        <v/>
      </c>
      <c r="F21" s="57" t="str">
        <f t="shared" ca="1" si="19"/>
        <v/>
      </c>
      <c r="G21" s="57" t="str">
        <f t="shared" ca="1" si="19"/>
        <v/>
      </c>
      <c r="H21" s="211" t="str" cm="1">
        <f t="array" aca="1" ref="H21" ca="1">IFERROR(INDEX($C$16:$C$116,SMALL(IF($C$16:$C$116&lt;&gt;"",ROW($C$16:$C$116)-ROW($C$16)+1),ROW(A6))),"")</f>
        <v/>
      </c>
      <c r="I21" s="210" t="str" cm="1">
        <f t="array" aca="1" ref="I21" ca="1">IFERROR(INDEX($D$16:$D$116,SMALL(IF($D$16:$D$116&lt;&gt;"",ROW($D$16:$D$116)-ROW($D$16)+1),ROW(A6))),"")</f>
        <v/>
      </c>
      <c r="J21" s="210" t="str" cm="1">
        <f t="array" aca="1" ref="J21" ca="1">IFERROR(INDEX($E$16:$E$116,SMALL(IF($E$16:$E$116&lt;&gt;"",ROW($E$16:$E$116)-ROW($E$16)+1),ROW(A6))),"")</f>
        <v/>
      </c>
      <c r="K21" s="210" t="str" cm="1">
        <f t="array" aca="1" ref="K21" ca="1">IFERROR(INDEX($F$16:$F$116,SMALL(IF($F$16:$F$116&lt;&gt;"",ROW($F$16:$F$116)-ROW($F$16)+1),ROW(A6))),"")</f>
        <v/>
      </c>
      <c r="L21" s="210" t="str">
        <f t="shared" ca="1" si="0"/>
        <v/>
      </c>
      <c r="M21" s="210" t="str" cm="1">
        <f t="array" aca="1" ref="M21" ca="1">IFERROR(INDEX($G$16:$G$116,SMALL(IF($G$16:$G$116&lt;&gt;"",ROW($G$16:$G$116)-ROW($G$16)+1),ROW(A6))),"")</f>
        <v/>
      </c>
      <c r="N21" s="215" t="str">
        <f t="shared" ca="1" si="1"/>
        <v/>
      </c>
      <c r="O21" s="216" t="str">
        <f t="shared" ca="1" si="2"/>
        <v/>
      </c>
      <c r="P21" s="216" t="str">
        <f t="shared" ca="1" si="3"/>
        <v/>
      </c>
      <c r="Q21" s="216" t="str">
        <f t="shared" ca="1" si="4"/>
        <v/>
      </c>
      <c r="R21" s="216" t="str">
        <f t="shared" ca="1" si="5"/>
        <v/>
      </c>
      <c r="S21" s="216" t="str">
        <f t="shared" ca="1" si="6"/>
        <v/>
      </c>
      <c r="T21" s="216" t="str">
        <f t="shared" ca="1" si="7"/>
        <v/>
      </c>
      <c r="U21" s="216" t="str">
        <f t="shared" ca="1" si="8"/>
        <v/>
      </c>
      <c r="V21" s="217" t="str">
        <f t="shared" ca="1" si="9"/>
        <v/>
      </c>
      <c r="W21" s="376" t="str">
        <f t="shared" ca="1" si="20"/>
        <v/>
      </c>
      <c r="X21" s="377" t="str">
        <f t="shared" ca="1" si="21"/>
        <v/>
      </c>
      <c r="Y21" s="378" t="str">
        <f t="shared" ca="1" si="10"/>
        <v/>
      </c>
      <c r="Z21" s="378" t="str">
        <f t="shared" ca="1" si="10"/>
        <v/>
      </c>
      <c r="AA21" s="378" t="str">
        <f t="shared" ca="1" si="10"/>
        <v/>
      </c>
      <c r="AB21" s="378" t="str">
        <f t="shared" ca="1" si="10"/>
        <v/>
      </c>
      <c r="AC21" s="378" t="str">
        <f t="shared" ca="1" si="11"/>
        <v/>
      </c>
      <c r="AD21" s="378" t="str">
        <f t="shared" ca="1" si="12"/>
        <v/>
      </c>
      <c r="AE21" s="378" t="str">
        <f t="shared" ca="1" si="12"/>
        <v/>
      </c>
      <c r="AF21" s="378" t="str">
        <f t="shared" ca="1" si="12"/>
        <v/>
      </c>
      <c r="AG21" s="378" t="str">
        <f t="shared" ca="1" si="12"/>
        <v/>
      </c>
      <c r="AH21" s="378" t="str">
        <f t="shared" ca="1" si="12"/>
        <v/>
      </c>
      <c r="AI21" s="376" t="str">
        <f t="shared" ca="1" si="22"/>
        <v/>
      </c>
      <c r="AJ21" s="377" t="str">
        <f t="shared" ca="1" si="23"/>
        <v/>
      </c>
      <c r="AK21" s="378" t="str">
        <f t="shared" ca="1" si="13"/>
        <v/>
      </c>
      <c r="AL21" s="378" t="str">
        <f t="shared" ca="1" si="13"/>
        <v/>
      </c>
      <c r="AM21" s="378" t="str">
        <f t="shared" ca="1" si="13"/>
        <v/>
      </c>
      <c r="AN21" s="378" t="str">
        <f t="shared" ca="1" si="13"/>
        <v/>
      </c>
      <c r="AO21" s="378" t="str">
        <f t="shared" ca="1" si="14"/>
        <v/>
      </c>
      <c r="AP21" s="378" t="str">
        <f t="shared" ca="1" si="15"/>
        <v/>
      </c>
      <c r="AQ21" s="378" t="str">
        <f t="shared" ca="1" si="15"/>
        <v/>
      </c>
      <c r="AR21" s="378" t="str">
        <f t="shared" ca="1" si="15"/>
        <v/>
      </c>
      <c r="AS21" s="378" t="str">
        <f t="shared" ca="1" si="15"/>
        <v/>
      </c>
      <c r="AT21" s="378" t="str">
        <f t="shared" ca="1" si="15"/>
        <v/>
      </c>
    </row>
    <row r="22" spans="1:46" x14ac:dyDescent="0.4">
      <c r="A22" s="150">
        <v>7</v>
      </c>
      <c r="B22" s="204" t="b">
        <f t="shared" si="16"/>
        <v>0</v>
      </c>
      <c r="C22" s="209" t="str">
        <f t="shared" ca="1" si="17"/>
        <v/>
      </c>
      <c r="D22" s="359" t="str">
        <f t="shared" ca="1" si="18"/>
        <v/>
      </c>
      <c r="E22" s="359" t="str">
        <f t="shared" ca="1" si="19"/>
        <v/>
      </c>
      <c r="F22" s="57" t="str">
        <f t="shared" ca="1" si="19"/>
        <v/>
      </c>
      <c r="G22" s="57" t="str">
        <f t="shared" ca="1" si="19"/>
        <v/>
      </c>
      <c r="H22" s="211" t="str" cm="1">
        <f t="array" aca="1" ref="H22" ca="1">IFERROR(INDEX($C$16:$C$116,SMALL(IF($C$16:$C$116&lt;&gt;"",ROW($C$16:$C$116)-ROW($C$16)+1),ROW(A7))),"")</f>
        <v/>
      </c>
      <c r="I22" s="210" t="str" cm="1">
        <f t="array" aca="1" ref="I22" ca="1">IFERROR(INDEX($D$16:$D$116,SMALL(IF($D$16:$D$116&lt;&gt;"",ROW($D$16:$D$116)-ROW($D$16)+1),ROW(A7))),"")</f>
        <v/>
      </c>
      <c r="J22" s="210" t="str" cm="1">
        <f t="array" aca="1" ref="J22" ca="1">IFERROR(INDEX($E$16:$E$116,SMALL(IF($E$16:$E$116&lt;&gt;"",ROW($E$16:$E$116)-ROW($E$16)+1),ROW(A7))),"")</f>
        <v/>
      </c>
      <c r="K22" s="210" t="str" cm="1">
        <f t="array" aca="1" ref="K22" ca="1">IFERROR(INDEX($F$16:$F$116,SMALL(IF($F$16:$F$116&lt;&gt;"",ROW($F$16:$F$116)-ROW($F$16)+1),ROW(A7))),"")</f>
        <v/>
      </c>
      <c r="L22" s="210" t="str">
        <f t="shared" ca="1" si="0"/>
        <v/>
      </c>
      <c r="M22" s="210" t="str" cm="1">
        <f t="array" aca="1" ref="M22" ca="1">IFERROR(INDEX($G$16:$G$116,SMALL(IF($G$16:$G$116&lt;&gt;"",ROW($G$16:$G$116)-ROW($G$16)+1),ROW(A7))),"")</f>
        <v/>
      </c>
      <c r="N22" s="215" t="str">
        <f t="shared" ca="1" si="1"/>
        <v/>
      </c>
      <c r="O22" s="216" t="str">
        <f t="shared" ca="1" si="2"/>
        <v/>
      </c>
      <c r="P22" s="216" t="str">
        <f t="shared" ca="1" si="3"/>
        <v/>
      </c>
      <c r="Q22" s="216" t="str">
        <f t="shared" ca="1" si="4"/>
        <v/>
      </c>
      <c r="R22" s="216" t="str">
        <f t="shared" ca="1" si="5"/>
        <v/>
      </c>
      <c r="S22" s="216" t="str">
        <f t="shared" ca="1" si="6"/>
        <v/>
      </c>
      <c r="T22" s="216" t="str">
        <f t="shared" ca="1" si="7"/>
        <v/>
      </c>
      <c r="U22" s="216" t="str">
        <f t="shared" ca="1" si="8"/>
        <v/>
      </c>
      <c r="V22" s="217" t="str">
        <f t="shared" ca="1" si="9"/>
        <v/>
      </c>
      <c r="W22" s="376" t="str">
        <f t="shared" ca="1" si="20"/>
        <v/>
      </c>
      <c r="X22" s="377" t="str">
        <f t="shared" ca="1" si="21"/>
        <v/>
      </c>
      <c r="Y22" s="378" t="str">
        <f t="shared" ca="1" si="10"/>
        <v/>
      </c>
      <c r="Z22" s="378" t="str">
        <f t="shared" ca="1" si="10"/>
        <v/>
      </c>
      <c r="AA22" s="378" t="str">
        <f t="shared" ca="1" si="10"/>
        <v/>
      </c>
      <c r="AB22" s="378" t="str">
        <f t="shared" ca="1" si="10"/>
        <v/>
      </c>
      <c r="AC22" s="378" t="str">
        <f t="shared" ca="1" si="11"/>
        <v/>
      </c>
      <c r="AD22" s="378" t="str">
        <f t="shared" ca="1" si="12"/>
        <v/>
      </c>
      <c r="AE22" s="378" t="str">
        <f t="shared" ca="1" si="12"/>
        <v/>
      </c>
      <c r="AF22" s="378" t="str">
        <f t="shared" ca="1" si="12"/>
        <v/>
      </c>
      <c r="AG22" s="378" t="str">
        <f t="shared" ca="1" si="12"/>
        <v/>
      </c>
      <c r="AH22" s="378" t="str">
        <f t="shared" ca="1" si="12"/>
        <v/>
      </c>
      <c r="AI22" s="376" t="str">
        <f t="shared" ca="1" si="22"/>
        <v/>
      </c>
      <c r="AJ22" s="377" t="str">
        <f t="shared" ca="1" si="23"/>
        <v/>
      </c>
      <c r="AK22" s="378" t="str">
        <f t="shared" ca="1" si="13"/>
        <v/>
      </c>
      <c r="AL22" s="378" t="str">
        <f t="shared" ca="1" si="13"/>
        <v/>
      </c>
      <c r="AM22" s="378" t="str">
        <f t="shared" ca="1" si="13"/>
        <v/>
      </c>
      <c r="AN22" s="378" t="str">
        <f t="shared" ca="1" si="13"/>
        <v/>
      </c>
      <c r="AO22" s="378" t="str">
        <f t="shared" ca="1" si="14"/>
        <v/>
      </c>
      <c r="AP22" s="378" t="str">
        <f t="shared" ca="1" si="15"/>
        <v/>
      </c>
      <c r="AQ22" s="378" t="str">
        <f t="shared" ca="1" si="15"/>
        <v/>
      </c>
      <c r="AR22" s="378" t="str">
        <f t="shared" ca="1" si="15"/>
        <v/>
      </c>
      <c r="AS22" s="378" t="str">
        <f t="shared" ca="1" si="15"/>
        <v/>
      </c>
      <c r="AT22" s="378" t="str">
        <f t="shared" ca="1" si="15"/>
        <v/>
      </c>
    </row>
    <row r="23" spans="1:46" x14ac:dyDescent="0.4">
      <c r="A23" s="150">
        <v>8</v>
      </c>
      <c r="B23" s="204" t="b">
        <f t="shared" si="16"/>
        <v>0</v>
      </c>
      <c r="C23" s="209" t="str">
        <f t="shared" ca="1" si="17"/>
        <v/>
      </c>
      <c r="D23" s="359" t="str">
        <f t="shared" ca="1" si="18"/>
        <v/>
      </c>
      <c r="E23" s="359" t="str">
        <f t="shared" ca="1" si="19"/>
        <v/>
      </c>
      <c r="F23" s="57" t="str">
        <f t="shared" ca="1" si="19"/>
        <v/>
      </c>
      <c r="G23" s="57" t="str">
        <f t="shared" ca="1" si="19"/>
        <v/>
      </c>
      <c r="H23" s="211" t="str" cm="1">
        <f t="array" aca="1" ref="H23" ca="1">IFERROR(INDEX($C$16:$C$116,SMALL(IF($C$16:$C$116&lt;&gt;"",ROW($C$16:$C$116)-ROW($C$16)+1),ROW(A8))),"")</f>
        <v/>
      </c>
      <c r="I23" s="210" t="str" cm="1">
        <f t="array" aca="1" ref="I23" ca="1">IFERROR(INDEX($D$16:$D$116,SMALL(IF($D$16:$D$116&lt;&gt;"",ROW($D$16:$D$116)-ROW($D$16)+1),ROW(A8))),"")</f>
        <v/>
      </c>
      <c r="J23" s="210" t="str" cm="1">
        <f t="array" aca="1" ref="J23" ca="1">IFERROR(INDEX($E$16:$E$116,SMALL(IF($E$16:$E$116&lt;&gt;"",ROW($E$16:$E$116)-ROW($E$16)+1),ROW(A8))),"")</f>
        <v/>
      </c>
      <c r="K23" s="210" t="str" cm="1">
        <f t="array" aca="1" ref="K23" ca="1">IFERROR(INDEX($F$16:$F$116,SMALL(IF($F$16:$F$116&lt;&gt;"",ROW($F$16:$F$116)-ROW($F$16)+1),ROW(A8))),"")</f>
        <v/>
      </c>
      <c r="L23" s="210" t="str">
        <f t="shared" ca="1" si="0"/>
        <v/>
      </c>
      <c r="M23" s="210" t="str" cm="1">
        <f t="array" aca="1" ref="M23" ca="1">IFERROR(INDEX($G$16:$G$116,SMALL(IF($G$16:$G$116&lt;&gt;"",ROW($G$16:$G$116)-ROW($G$16)+1),ROW(A8))),"")</f>
        <v/>
      </c>
      <c r="N23" s="215" t="str">
        <f t="shared" ca="1" si="1"/>
        <v/>
      </c>
      <c r="O23" s="216" t="str">
        <f t="shared" ca="1" si="2"/>
        <v/>
      </c>
      <c r="P23" s="216" t="str">
        <f t="shared" ca="1" si="3"/>
        <v/>
      </c>
      <c r="Q23" s="216" t="str">
        <f t="shared" ca="1" si="4"/>
        <v/>
      </c>
      <c r="R23" s="216" t="str">
        <f t="shared" ca="1" si="5"/>
        <v/>
      </c>
      <c r="S23" s="216" t="str">
        <f t="shared" ca="1" si="6"/>
        <v/>
      </c>
      <c r="T23" s="216" t="str">
        <f t="shared" ca="1" si="7"/>
        <v/>
      </c>
      <c r="U23" s="216" t="str">
        <f t="shared" ca="1" si="8"/>
        <v/>
      </c>
      <c r="V23" s="217" t="str">
        <f t="shared" ca="1" si="9"/>
        <v/>
      </c>
      <c r="W23" s="376" t="str">
        <f t="shared" ca="1" si="20"/>
        <v/>
      </c>
      <c r="X23" s="377" t="str">
        <f t="shared" ca="1" si="21"/>
        <v/>
      </c>
      <c r="Y23" s="378" t="str">
        <f t="shared" ca="1" si="10"/>
        <v/>
      </c>
      <c r="Z23" s="378" t="str">
        <f t="shared" ca="1" si="10"/>
        <v/>
      </c>
      <c r="AA23" s="378" t="str">
        <f t="shared" ca="1" si="10"/>
        <v/>
      </c>
      <c r="AB23" s="378" t="str">
        <f t="shared" ca="1" si="10"/>
        <v/>
      </c>
      <c r="AC23" s="378" t="str">
        <f t="shared" ca="1" si="11"/>
        <v/>
      </c>
      <c r="AD23" s="378" t="str">
        <f t="shared" ca="1" si="12"/>
        <v/>
      </c>
      <c r="AE23" s="378" t="str">
        <f t="shared" ca="1" si="12"/>
        <v/>
      </c>
      <c r="AF23" s="378" t="str">
        <f t="shared" ca="1" si="12"/>
        <v/>
      </c>
      <c r="AG23" s="378" t="str">
        <f t="shared" ca="1" si="12"/>
        <v/>
      </c>
      <c r="AH23" s="378" t="str">
        <f t="shared" ca="1" si="12"/>
        <v/>
      </c>
      <c r="AI23" s="376" t="str">
        <f t="shared" ca="1" si="22"/>
        <v/>
      </c>
      <c r="AJ23" s="377" t="str">
        <f t="shared" ca="1" si="23"/>
        <v/>
      </c>
      <c r="AK23" s="378" t="str">
        <f t="shared" ca="1" si="13"/>
        <v/>
      </c>
      <c r="AL23" s="378" t="str">
        <f t="shared" ca="1" si="13"/>
        <v/>
      </c>
      <c r="AM23" s="378" t="str">
        <f t="shared" ca="1" si="13"/>
        <v/>
      </c>
      <c r="AN23" s="378" t="str">
        <f t="shared" ca="1" si="13"/>
        <v/>
      </c>
      <c r="AO23" s="378" t="str">
        <f t="shared" ca="1" si="14"/>
        <v/>
      </c>
      <c r="AP23" s="378" t="str">
        <f t="shared" ca="1" si="15"/>
        <v/>
      </c>
      <c r="AQ23" s="378" t="str">
        <f t="shared" ca="1" si="15"/>
        <v/>
      </c>
      <c r="AR23" s="378" t="str">
        <f t="shared" ca="1" si="15"/>
        <v/>
      </c>
      <c r="AS23" s="378" t="str">
        <f t="shared" ca="1" si="15"/>
        <v/>
      </c>
      <c r="AT23" s="378" t="str">
        <f t="shared" ca="1" si="15"/>
        <v/>
      </c>
    </row>
    <row r="24" spans="1:46" x14ac:dyDescent="0.4">
      <c r="A24" s="150">
        <v>9</v>
      </c>
      <c r="B24" s="204" t="b">
        <f t="shared" si="16"/>
        <v>0</v>
      </c>
      <c r="C24" s="209" t="str">
        <f t="shared" ca="1" si="17"/>
        <v/>
      </c>
      <c r="D24" s="359" t="str">
        <f t="shared" ca="1" si="18"/>
        <v/>
      </c>
      <c r="E24" s="359" t="str">
        <f t="shared" ca="1" si="19"/>
        <v/>
      </c>
      <c r="F24" s="57" t="str">
        <f t="shared" ca="1" si="19"/>
        <v/>
      </c>
      <c r="G24" s="57" t="str">
        <f t="shared" ca="1" si="19"/>
        <v/>
      </c>
      <c r="H24" s="211" t="str" cm="1">
        <f t="array" aca="1" ref="H24" ca="1">IFERROR(INDEX($C$16:$C$116,SMALL(IF($C$16:$C$116&lt;&gt;"",ROW($C$16:$C$116)-ROW($C$16)+1),ROW(A9))),"")</f>
        <v/>
      </c>
      <c r="I24" s="210" t="str" cm="1">
        <f t="array" aca="1" ref="I24" ca="1">IFERROR(INDEX($D$16:$D$116,SMALL(IF($D$16:$D$116&lt;&gt;"",ROW($D$16:$D$116)-ROW($D$16)+1),ROW(A9))),"")</f>
        <v/>
      </c>
      <c r="J24" s="210" t="str" cm="1">
        <f t="array" aca="1" ref="J24" ca="1">IFERROR(INDEX($E$16:$E$116,SMALL(IF($E$16:$E$116&lt;&gt;"",ROW($E$16:$E$116)-ROW($E$16)+1),ROW(A9))),"")</f>
        <v/>
      </c>
      <c r="K24" s="210" t="str" cm="1">
        <f t="array" aca="1" ref="K24" ca="1">IFERROR(INDEX($F$16:$F$116,SMALL(IF($F$16:$F$116&lt;&gt;"",ROW($F$16:$F$116)-ROW($F$16)+1),ROW(A9))),"")</f>
        <v/>
      </c>
      <c r="L24" s="210" t="str">
        <f t="shared" ca="1" si="0"/>
        <v/>
      </c>
      <c r="M24" s="210" t="str" cm="1">
        <f t="array" aca="1" ref="M24" ca="1">IFERROR(INDEX($G$16:$G$116,SMALL(IF($G$16:$G$116&lt;&gt;"",ROW($G$16:$G$116)-ROW($G$16)+1),ROW(A9))),"")</f>
        <v/>
      </c>
      <c r="N24" s="215" t="str">
        <f t="shared" ca="1" si="1"/>
        <v/>
      </c>
      <c r="O24" s="216" t="str">
        <f t="shared" ca="1" si="2"/>
        <v/>
      </c>
      <c r="P24" s="216" t="str">
        <f t="shared" ca="1" si="3"/>
        <v/>
      </c>
      <c r="Q24" s="216" t="str">
        <f t="shared" ca="1" si="4"/>
        <v/>
      </c>
      <c r="R24" s="216" t="str">
        <f t="shared" ca="1" si="5"/>
        <v/>
      </c>
      <c r="S24" s="216" t="str">
        <f t="shared" ca="1" si="6"/>
        <v/>
      </c>
      <c r="T24" s="216" t="str">
        <f t="shared" ca="1" si="7"/>
        <v/>
      </c>
      <c r="U24" s="216" t="str">
        <f t="shared" ca="1" si="8"/>
        <v/>
      </c>
      <c r="V24" s="217" t="str">
        <f t="shared" ca="1" si="9"/>
        <v/>
      </c>
      <c r="W24" s="376" t="str">
        <f t="shared" ca="1" si="20"/>
        <v/>
      </c>
      <c r="X24" s="377" t="str">
        <f t="shared" ca="1" si="21"/>
        <v/>
      </c>
      <c r="Y24" s="378" t="str">
        <f t="shared" ca="1" si="10"/>
        <v/>
      </c>
      <c r="Z24" s="378" t="str">
        <f t="shared" ca="1" si="10"/>
        <v/>
      </c>
      <c r="AA24" s="378" t="str">
        <f t="shared" ca="1" si="10"/>
        <v/>
      </c>
      <c r="AB24" s="378" t="str">
        <f t="shared" ca="1" si="10"/>
        <v/>
      </c>
      <c r="AC24" s="378" t="str">
        <f t="shared" ca="1" si="11"/>
        <v/>
      </c>
      <c r="AD24" s="378" t="str">
        <f t="shared" ca="1" si="12"/>
        <v/>
      </c>
      <c r="AE24" s="378" t="str">
        <f t="shared" ca="1" si="12"/>
        <v/>
      </c>
      <c r="AF24" s="378" t="str">
        <f t="shared" ca="1" si="12"/>
        <v/>
      </c>
      <c r="AG24" s="378" t="str">
        <f t="shared" ca="1" si="12"/>
        <v/>
      </c>
      <c r="AH24" s="378" t="str">
        <f t="shared" ca="1" si="12"/>
        <v/>
      </c>
      <c r="AI24" s="376" t="str">
        <f t="shared" ca="1" si="22"/>
        <v/>
      </c>
      <c r="AJ24" s="377" t="str">
        <f t="shared" ca="1" si="23"/>
        <v/>
      </c>
      <c r="AK24" s="378" t="str">
        <f t="shared" ca="1" si="13"/>
        <v/>
      </c>
      <c r="AL24" s="378" t="str">
        <f t="shared" ca="1" si="13"/>
        <v/>
      </c>
      <c r="AM24" s="378" t="str">
        <f t="shared" ca="1" si="13"/>
        <v/>
      </c>
      <c r="AN24" s="378" t="str">
        <f t="shared" ca="1" si="13"/>
        <v/>
      </c>
      <c r="AO24" s="378" t="str">
        <f t="shared" ca="1" si="14"/>
        <v/>
      </c>
      <c r="AP24" s="378" t="str">
        <f t="shared" ca="1" si="15"/>
        <v/>
      </c>
      <c r="AQ24" s="378" t="str">
        <f t="shared" ca="1" si="15"/>
        <v/>
      </c>
      <c r="AR24" s="378" t="str">
        <f t="shared" ca="1" si="15"/>
        <v/>
      </c>
      <c r="AS24" s="378" t="str">
        <f t="shared" ca="1" si="15"/>
        <v/>
      </c>
      <c r="AT24" s="378" t="str">
        <f t="shared" ca="1" si="15"/>
        <v/>
      </c>
    </row>
    <row r="25" spans="1:46" x14ac:dyDescent="0.4">
      <c r="A25" s="150">
        <v>10</v>
      </c>
      <c r="B25" s="204" t="b">
        <f t="shared" si="16"/>
        <v>0</v>
      </c>
      <c r="C25" s="209" t="str">
        <f t="shared" ca="1" si="17"/>
        <v/>
      </c>
      <c r="D25" s="359" t="str">
        <f t="shared" ca="1" si="18"/>
        <v/>
      </c>
      <c r="E25" s="359" t="str">
        <f t="shared" ca="1" si="19"/>
        <v/>
      </c>
      <c r="F25" s="57" t="str">
        <f t="shared" ca="1" si="19"/>
        <v/>
      </c>
      <c r="G25" s="57" t="str">
        <f t="shared" ca="1" si="19"/>
        <v/>
      </c>
      <c r="H25" s="211" t="str" cm="1">
        <f t="array" aca="1" ref="H25" ca="1">IFERROR(INDEX($C$16:$C$116,SMALL(IF($C$16:$C$116&lt;&gt;"",ROW($C$16:$C$116)-ROW($C$16)+1),ROW(A10))),"")</f>
        <v/>
      </c>
      <c r="I25" s="210" t="str" cm="1">
        <f t="array" aca="1" ref="I25" ca="1">IFERROR(INDEX($D$16:$D$116,SMALL(IF($D$16:$D$116&lt;&gt;"",ROW($D$16:$D$116)-ROW($D$16)+1),ROW(A10))),"")</f>
        <v/>
      </c>
      <c r="J25" s="210" t="str" cm="1">
        <f t="array" aca="1" ref="J25" ca="1">IFERROR(INDEX($E$16:$E$116,SMALL(IF($E$16:$E$116&lt;&gt;"",ROW($E$16:$E$116)-ROW($E$16)+1),ROW(A10))),"")</f>
        <v/>
      </c>
      <c r="K25" s="210" t="str" cm="1">
        <f t="array" aca="1" ref="K25" ca="1">IFERROR(INDEX($F$16:$F$116,SMALL(IF($F$16:$F$116&lt;&gt;"",ROW($F$16:$F$116)-ROW($F$16)+1),ROW(A10))),"")</f>
        <v/>
      </c>
      <c r="L25" s="210" t="str">
        <f t="shared" ca="1" si="0"/>
        <v/>
      </c>
      <c r="M25" s="210" t="str" cm="1">
        <f t="array" aca="1" ref="M25" ca="1">IFERROR(INDEX($G$16:$G$116,SMALL(IF($G$16:$G$116&lt;&gt;"",ROW($G$16:$G$116)-ROW($G$16)+1),ROW(A10))),"")</f>
        <v/>
      </c>
      <c r="N25" s="215" t="str">
        <f t="shared" ca="1" si="1"/>
        <v/>
      </c>
      <c r="O25" s="216" t="str">
        <f t="shared" ca="1" si="2"/>
        <v/>
      </c>
      <c r="P25" s="216" t="str">
        <f t="shared" ca="1" si="3"/>
        <v/>
      </c>
      <c r="Q25" s="216" t="str">
        <f t="shared" ca="1" si="4"/>
        <v/>
      </c>
      <c r="R25" s="216" t="str">
        <f t="shared" ca="1" si="5"/>
        <v/>
      </c>
      <c r="S25" s="216" t="str">
        <f t="shared" ca="1" si="6"/>
        <v/>
      </c>
      <c r="T25" s="216" t="str">
        <f t="shared" ca="1" si="7"/>
        <v/>
      </c>
      <c r="U25" s="216" t="str">
        <f t="shared" ca="1" si="8"/>
        <v/>
      </c>
      <c r="V25" s="217" t="str">
        <f t="shared" ca="1" si="9"/>
        <v/>
      </c>
      <c r="W25" s="376" t="str">
        <f t="shared" ca="1" si="20"/>
        <v/>
      </c>
      <c r="X25" s="377" t="str">
        <f t="shared" ca="1" si="21"/>
        <v/>
      </c>
      <c r="Y25" s="378" t="str">
        <f t="shared" ca="1" si="10"/>
        <v/>
      </c>
      <c r="Z25" s="378" t="str">
        <f t="shared" ca="1" si="10"/>
        <v/>
      </c>
      <c r="AA25" s="378" t="str">
        <f t="shared" ca="1" si="10"/>
        <v/>
      </c>
      <c r="AB25" s="378" t="str">
        <f t="shared" ca="1" si="10"/>
        <v/>
      </c>
      <c r="AC25" s="378" t="str">
        <f t="shared" ca="1" si="11"/>
        <v/>
      </c>
      <c r="AD25" s="378" t="str">
        <f t="shared" ca="1" si="12"/>
        <v/>
      </c>
      <c r="AE25" s="378" t="str">
        <f t="shared" ca="1" si="12"/>
        <v/>
      </c>
      <c r="AF25" s="378" t="str">
        <f t="shared" ca="1" si="12"/>
        <v/>
      </c>
      <c r="AG25" s="378" t="str">
        <f t="shared" ca="1" si="12"/>
        <v/>
      </c>
      <c r="AH25" s="378" t="str">
        <f t="shared" ca="1" si="12"/>
        <v/>
      </c>
      <c r="AI25" s="376" t="str">
        <f t="shared" ca="1" si="22"/>
        <v/>
      </c>
      <c r="AJ25" s="377" t="str">
        <f t="shared" ca="1" si="23"/>
        <v/>
      </c>
      <c r="AK25" s="378" t="str">
        <f t="shared" ca="1" si="13"/>
        <v/>
      </c>
      <c r="AL25" s="378" t="str">
        <f t="shared" ca="1" si="13"/>
        <v/>
      </c>
      <c r="AM25" s="378" t="str">
        <f t="shared" ca="1" si="13"/>
        <v/>
      </c>
      <c r="AN25" s="378" t="str">
        <f t="shared" ca="1" si="13"/>
        <v/>
      </c>
      <c r="AO25" s="378" t="str">
        <f t="shared" ca="1" si="14"/>
        <v/>
      </c>
      <c r="AP25" s="378" t="str">
        <f t="shared" ca="1" si="15"/>
        <v/>
      </c>
      <c r="AQ25" s="378" t="str">
        <f t="shared" ca="1" si="15"/>
        <v/>
      </c>
      <c r="AR25" s="378" t="str">
        <f t="shared" ca="1" si="15"/>
        <v/>
      </c>
      <c r="AS25" s="378" t="str">
        <f t="shared" ca="1" si="15"/>
        <v/>
      </c>
      <c r="AT25" s="378" t="str">
        <f t="shared" ca="1" si="15"/>
        <v/>
      </c>
    </row>
    <row r="26" spans="1:46" x14ac:dyDescent="0.4">
      <c r="A26" s="150">
        <v>11</v>
      </c>
      <c r="B26" s="204" t="b">
        <f t="shared" si="16"/>
        <v>0</v>
      </c>
      <c r="C26" s="209" t="str">
        <f t="shared" ca="1" si="17"/>
        <v/>
      </c>
      <c r="D26" s="359" t="str">
        <f t="shared" ca="1" si="18"/>
        <v/>
      </c>
      <c r="E26" s="359" t="str">
        <f t="shared" ca="1" si="19"/>
        <v/>
      </c>
      <c r="F26" s="57" t="str">
        <f t="shared" ca="1" si="19"/>
        <v/>
      </c>
      <c r="G26" s="57" t="str">
        <f t="shared" ca="1" si="19"/>
        <v/>
      </c>
      <c r="H26" s="211" t="str" cm="1">
        <f t="array" aca="1" ref="H26" ca="1">IFERROR(INDEX($C$16:$C$116,SMALL(IF($C$16:$C$116&lt;&gt;"",ROW($C$16:$C$116)-ROW($C$16)+1),ROW(A11))),"")</f>
        <v/>
      </c>
      <c r="I26" s="210" t="str" cm="1">
        <f t="array" aca="1" ref="I26" ca="1">IFERROR(INDEX($D$16:$D$116,SMALL(IF($D$16:$D$116&lt;&gt;"",ROW($D$16:$D$116)-ROW($D$16)+1),ROW(A11))),"")</f>
        <v/>
      </c>
      <c r="J26" s="210" t="str" cm="1">
        <f t="array" aca="1" ref="J26" ca="1">IFERROR(INDEX($E$16:$E$116,SMALL(IF($E$16:$E$116&lt;&gt;"",ROW($E$16:$E$116)-ROW($E$16)+1),ROW(A11))),"")</f>
        <v/>
      </c>
      <c r="K26" s="210" t="str" cm="1">
        <f t="array" aca="1" ref="K26" ca="1">IFERROR(INDEX($F$16:$F$116,SMALL(IF($F$16:$F$116&lt;&gt;"",ROW($F$16:$F$116)-ROW($F$16)+1),ROW(A11))),"")</f>
        <v/>
      </c>
      <c r="L26" s="210" t="str">
        <f t="shared" ca="1" si="0"/>
        <v/>
      </c>
      <c r="M26" s="210" t="str" cm="1">
        <f t="array" aca="1" ref="M26" ca="1">IFERROR(INDEX($G$16:$G$116,SMALL(IF($G$16:$G$116&lt;&gt;"",ROW($G$16:$G$116)-ROW($G$16)+1),ROW(A11))),"")</f>
        <v/>
      </c>
      <c r="N26" s="215" t="str">
        <f t="shared" ca="1" si="1"/>
        <v/>
      </c>
      <c r="O26" s="216" t="str">
        <f t="shared" ca="1" si="2"/>
        <v/>
      </c>
      <c r="P26" s="216" t="str">
        <f t="shared" ca="1" si="3"/>
        <v/>
      </c>
      <c r="Q26" s="216" t="str">
        <f t="shared" ca="1" si="4"/>
        <v/>
      </c>
      <c r="R26" s="216" t="str">
        <f t="shared" ca="1" si="5"/>
        <v/>
      </c>
      <c r="S26" s="216" t="str">
        <f t="shared" ca="1" si="6"/>
        <v/>
      </c>
      <c r="T26" s="216" t="str">
        <f t="shared" ca="1" si="7"/>
        <v/>
      </c>
      <c r="U26" s="216" t="str">
        <f t="shared" ca="1" si="8"/>
        <v/>
      </c>
      <c r="V26" s="217" t="str">
        <f t="shared" ca="1" si="9"/>
        <v/>
      </c>
      <c r="W26" s="376" t="str">
        <f t="shared" ca="1" si="20"/>
        <v/>
      </c>
      <c r="X26" s="377" t="str">
        <f t="shared" ca="1" si="21"/>
        <v/>
      </c>
      <c r="Y26" s="378" t="str">
        <f t="shared" ca="1" si="10"/>
        <v/>
      </c>
      <c r="Z26" s="378" t="str">
        <f t="shared" ca="1" si="10"/>
        <v/>
      </c>
      <c r="AA26" s="378" t="str">
        <f t="shared" ca="1" si="10"/>
        <v/>
      </c>
      <c r="AB26" s="378" t="str">
        <f t="shared" ca="1" si="10"/>
        <v/>
      </c>
      <c r="AC26" s="378" t="str">
        <f t="shared" ca="1" si="11"/>
        <v/>
      </c>
      <c r="AD26" s="378" t="str">
        <f t="shared" ca="1" si="12"/>
        <v/>
      </c>
      <c r="AE26" s="378" t="str">
        <f t="shared" ca="1" si="12"/>
        <v/>
      </c>
      <c r="AF26" s="378" t="str">
        <f t="shared" ca="1" si="12"/>
        <v/>
      </c>
      <c r="AG26" s="378" t="str">
        <f t="shared" ca="1" si="12"/>
        <v/>
      </c>
      <c r="AH26" s="378" t="str">
        <f t="shared" ca="1" si="12"/>
        <v/>
      </c>
      <c r="AI26" s="376" t="str">
        <f t="shared" ca="1" si="22"/>
        <v/>
      </c>
      <c r="AJ26" s="377" t="str">
        <f t="shared" ca="1" si="23"/>
        <v/>
      </c>
      <c r="AK26" s="378" t="str">
        <f t="shared" ca="1" si="13"/>
        <v/>
      </c>
      <c r="AL26" s="378" t="str">
        <f t="shared" ca="1" si="13"/>
        <v/>
      </c>
      <c r="AM26" s="378" t="str">
        <f t="shared" ca="1" si="13"/>
        <v/>
      </c>
      <c r="AN26" s="378" t="str">
        <f t="shared" ca="1" si="13"/>
        <v/>
      </c>
      <c r="AO26" s="378" t="str">
        <f t="shared" ca="1" si="14"/>
        <v/>
      </c>
      <c r="AP26" s="378" t="str">
        <f t="shared" ca="1" si="15"/>
        <v/>
      </c>
      <c r="AQ26" s="378" t="str">
        <f t="shared" ca="1" si="15"/>
        <v/>
      </c>
      <c r="AR26" s="378" t="str">
        <f t="shared" ca="1" si="15"/>
        <v/>
      </c>
      <c r="AS26" s="378" t="str">
        <f t="shared" ca="1" si="15"/>
        <v/>
      </c>
      <c r="AT26" s="378" t="str">
        <f t="shared" ca="1" si="15"/>
        <v/>
      </c>
    </row>
    <row r="27" spans="1:46" x14ac:dyDescent="0.4">
      <c r="A27" s="150">
        <v>12</v>
      </c>
      <c r="B27" s="204" t="b">
        <f t="shared" si="16"/>
        <v>0</v>
      </c>
      <c r="C27" s="209" t="str">
        <f t="shared" ca="1" si="17"/>
        <v/>
      </c>
      <c r="D27" s="359" t="str">
        <f t="shared" ca="1" si="18"/>
        <v/>
      </c>
      <c r="E27" s="359" t="str">
        <f t="shared" ca="1" si="19"/>
        <v/>
      </c>
      <c r="F27" s="57" t="str">
        <f t="shared" ca="1" si="19"/>
        <v/>
      </c>
      <c r="G27" s="57" t="str">
        <f t="shared" ca="1" si="19"/>
        <v/>
      </c>
      <c r="H27" s="211" t="str" cm="1">
        <f t="array" aca="1" ref="H27" ca="1">IFERROR(INDEX($C$16:$C$116,SMALL(IF($C$16:$C$116&lt;&gt;"",ROW($C$16:$C$116)-ROW($C$16)+1),ROW(A12))),"")</f>
        <v/>
      </c>
      <c r="I27" s="210" t="str" cm="1">
        <f t="array" aca="1" ref="I27" ca="1">IFERROR(INDEX($D$16:$D$116,SMALL(IF($D$16:$D$116&lt;&gt;"",ROW($D$16:$D$116)-ROW($D$16)+1),ROW(A12))),"")</f>
        <v/>
      </c>
      <c r="J27" s="210" t="str" cm="1">
        <f t="array" aca="1" ref="J27" ca="1">IFERROR(INDEX($E$16:$E$116,SMALL(IF($E$16:$E$116&lt;&gt;"",ROW($E$16:$E$116)-ROW($E$16)+1),ROW(A12))),"")</f>
        <v/>
      </c>
      <c r="K27" s="210" t="str" cm="1">
        <f t="array" aca="1" ref="K27" ca="1">IFERROR(INDEX($F$16:$F$116,SMALL(IF($F$16:$F$116&lt;&gt;"",ROW($F$16:$F$116)-ROW($F$16)+1),ROW(A12))),"")</f>
        <v/>
      </c>
      <c r="L27" s="210" t="str">
        <f t="shared" ca="1" si="0"/>
        <v/>
      </c>
      <c r="M27" s="210" t="str" cm="1">
        <f t="array" aca="1" ref="M27" ca="1">IFERROR(INDEX($G$16:$G$116,SMALL(IF($G$16:$G$116&lt;&gt;"",ROW($G$16:$G$116)-ROW($G$16)+1),ROW(A12))),"")</f>
        <v/>
      </c>
      <c r="N27" s="215" t="str">
        <f t="shared" ca="1" si="1"/>
        <v/>
      </c>
      <c r="O27" s="216" t="str">
        <f t="shared" ca="1" si="2"/>
        <v/>
      </c>
      <c r="P27" s="216" t="str">
        <f t="shared" ca="1" si="3"/>
        <v/>
      </c>
      <c r="Q27" s="216" t="str">
        <f t="shared" ca="1" si="4"/>
        <v/>
      </c>
      <c r="R27" s="216" t="str">
        <f t="shared" ca="1" si="5"/>
        <v/>
      </c>
      <c r="S27" s="216" t="str">
        <f t="shared" ca="1" si="6"/>
        <v/>
      </c>
      <c r="T27" s="216" t="str">
        <f t="shared" ca="1" si="7"/>
        <v/>
      </c>
      <c r="U27" s="216" t="str">
        <f t="shared" ca="1" si="8"/>
        <v/>
      </c>
      <c r="V27" s="217" t="str">
        <f t="shared" ca="1" si="9"/>
        <v/>
      </c>
      <c r="W27" s="376" t="str">
        <f t="shared" ca="1" si="20"/>
        <v/>
      </c>
      <c r="X27" s="377" t="str">
        <f t="shared" ca="1" si="21"/>
        <v/>
      </c>
      <c r="Y27" s="378" t="str">
        <f t="shared" ca="1" si="10"/>
        <v/>
      </c>
      <c r="Z27" s="378" t="str">
        <f t="shared" ca="1" si="10"/>
        <v/>
      </c>
      <c r="AA27" s="378" t="str">
        <f t="shared" ca="1" si="10"/>
        <v/>
      </c>
      <c r="AB27" s="378" t="str">
        <f t="shared" ca="1" si="10"/>
        <v/>
      </c>
      <c r="AC27" s="378" t="str">
        <f t="shared" ca="1" si="11"/>
        <v/>
      </c>
      <c r="AD27" s="378" t="str">
        <f t="shared" ca="1" si="12"/>
        <v/>
      </c>
      <c r="AE27" s="378" t="str">
        <f t="shared" ca="1" si="12"/>
        <v/>
      </c>
      <c r="AF27" s="378" t="str">
        <f t="shared" ca="1" si="12"/>
        <v/>
      </c>
      <c r="AG27" s="378" t="str">
        <f t="shared" ca="1" si="12"/>
        <v/>
      </c>
      <c r="AH27" s="378" t="str">
        <f t="shared" ca="1" si="12"/>
        <v/>
      </c>
      <c r="AI27" s="376" t="str">
        <f t="shared" ca="1" si="22"/>
        <v/>
      </c>
      <c r="AJ27" s="377" t="str">
        <f t="shared" ca="1" si="23"/>
        <v/>
      </c>
      <c r="AK27" s="378" t="str">
        <f t="shared" ca="1" si="13"/>
        <v/>
      </c>
      <c r="AL27" s="378" t="str">
        <f t="shared" ca="1" si="13"/>
        <v/>
      </c>
      <c r="AM27" s="378" t="str">
        <f t="shared" ca="1" si="13"/>
        <v/>
      </c>
      <c r="AN27" s="378" t="str">
        <f t="shared" ca="1" si="13"/>
        <v/>
      </c>
      <c r="AO27" s="378" t="str">
        <f t="shared" ca="1" si="14"/>
        <v/>
      </c>
      <c r="AP27" s="378" t="str">
        <f t="shared" ca="1" si="15"/>
        <v/>
      </c>
      <c r="AQ27" s="378" t="str">
        <f t="shared" ca="1" si="15"/>
        <v/>
      </c>
      <c r="AR27" s="378" t="str">
        <f t="shared" ca="1" si="15"/>
        <v/>
      </c>
      <c r="AS27" s="378" t="str">
        <f t="shared" ca="1" si="15"/>
        <v/>
      </c>
      <c r="AT27" s="378" t="str">
        <f t="shared" ca="1" si="15"/>
        <v/>
      </c>
    </row>
    <row r="28" spans="1:46" x14ac:dyDescent="0.4">
      <c r="A28" s="150">
        <v>13</v>
      </c>
      <c r="B28" s="204" t="b">
        <f t="shared" si="16"/>
        <v>0</v>
      </c>
      <c r="C28" s="209" t="str">
        <f t="shared" ca="1" si="17"/>
        <v/>
      </c>
      <c r="D28" s="359" t="str">
        <f t="shared" ca="1" si="18"/>
        <v/>
      </c>
      <c r="E28" s="359" t="str">
        <f t="shared" ca="1" si="19"/>
        <v/>
      </c>
      <c r="F28" s="57" t="str">
        <f t="shared" ca="1" si="19"/>
        <v/>
      </c>
      <c r="G28" s="57" t="str">
        <f t="shared" ca="1" si="19"/>
        <v/>
      </c>
      <c r="H28" s="211" t="str" cm="1">
        <f t="array" aca="1" ref="H28" ca="1">IFERROR(INDEX($C$16:$C$116,SMALL(IF($C$16:$C$116&lt;&gt;"",ROW($C$16:$C$116)-ROW($C$16)+1),ROW(A13))),"")</f>
        <v/>
      </c>
      <c r="I28" s="210" t="str" cm="1">
        <f t="array" aca="1" ref="I28" ca="1">IFERROR(INDEX($D$16:$D$116,SMALL(IF($D$16:$D$116&lt;&gt;"",ROW($D$16:$D$116)-ROW($D$16)+1),ROW(A13))),"")</f>
        <v/>
      </c>
      <c r="J28" s="210" t="str" cm="1">
        <f t="array" aca="1" ref="J28" ca="1">IFERROR(INDEX($E$16:$E$116,SMALL(IF($E$16:$E$116&lt;&gt;"",ROW($E$16:$E$116)-ROW($E$16)+1),ROW(A13))),"")</f>
        <v/>
      </c>
      <c r="K28" s="210" t="str" cm="1">
        <f t="array" aca="1" ref="K28" ca="1">IFERROR(INDEX($F$16:$F$116,SMALL(IF($F$16:$F$116&lt;&gt;"",ROW($F$16:$F$116)-ROW($F$16)+1),ROW(A13))),"")</f>
        <v/>
      </c>
      <c r="L28" s="210" t="str">
        <f t="shared" ca="1" si="0"/>
        <v/>
      </c>
      <c r="M28" s="210" t="str" cm="1">
        <f t="array" aca="1" ref="M28" ca="1">IFERROR(INDEX($G$16:$G$116,SMALL(IF($G$16:$G$116&lt;&gt;"",ROW($G$16:$G$116)-ROW($G$16)+1),ROW(A13))),"")</f>
        <v/>
      </c>
      <c r="N28" s="215" t="str">
        <f t="shared" ca="1" si="1"/>
        <v/>
      </c>
      <c r="O28" s="216" t="str">
        <f t="shared" ca="1" si="2"/>
        <v/>
      </c>
      <c r="P28" s="216" t="str">
        <f t="shared" ca="1" si="3"/>
        <v/>
      </c>
      <c r="Q28" s="216" t="str">
        <f t="shared" ca="1" si="4"/>
        <v/>
      </c>
      <c r="R28" s="216" t="str">
        <f t="shared" ca="1" si="5"/>
        <v/>
      </c>
      <c r="S28" s="216" t="str">
        <f t="shared" ca="1" si="6"/>
        <v/>
      </c>
      <c r="T28" s="216" t="str">
        <f t="shared" ca="1" si="7"/>
        <v/>
      </c>
      <c r="U28" s="216" t="str">
        <f t="shared" ca="1" si="8"/>
        <v/>
      </c>
      <c r="V28" s="217" t="str">
        <f t="shared" ca="1" si="9"/>
        <v/>
      </c>
      <c r="W28" s="376" t="str">
        <f t="shared" ca="1" si="20"/>
        <v/>
      </c>
      <c r="X28" s="377" t="str">
        <f t="shared" ca="1" si="21"/>
        <v/>
      </c>
      <c r="Y28" s="378" t="str">
        <f t="shared" ca="1" si="10"/>
        <v/>
      </c>
      <c r="Z28" s="378" t="str">
        <f t="shared" ca="1" si="10"/>
        <v/>
      </c>
      <c r="AA28" s="378" t="str">
        <f t="shared" ca="1" si="10"/>
        <v/>
      </c>
      <c r="AB28" s="378" t="str">
        <f t="shared" ca="1" si="10"/>
        <v/>
      </c>
      <c r="AC28" s="378" t="str">
        <f t="shared" ca="1" si="11"/>
        <v/>
      </c>
      <c r="AD28" s="378" t="str">
        <f t="shared" ca="1" si="12"/>
        <v/>
      </c>
      <c r="AE28" s="378" t="str">
        <f t="shared" ca="1" si="12"/>
        <v/>
      </c>
      <c r="AF28" s="378" t="str">
        <f t="shared" ca="1" si="12"/>
        <v/>
      </c>
      <c r="AG28" s="378" t="str">
        <f t="shared" ca="1" si="12"/>
        <v/>
      </c>
      <c r="AH28" s="378" t="str">
        <f t="shared" ca="1" si="12"/>
        <v/>
      </c>
      <c r="AI28" s="376" t="str">
        <f t="shared" ca="1" si="22"/>
        <v/>
      </c>
      <c r="AJ28" s="377" t="str">
        <f t="shared" ca="1" si="23"/>
        <v/>
      </c>
      <c r="AK28" s="378" t="str">
        <f t="shared" ca="1" si="13"/>
        <v/>
      </c>
      <c r="AL28" s="378" t="str">
        <f t="shared" ca="1" si="13"/>
        <v/>
      </c>
      <c r="AM28" s="378" t="str">
        <f t="shared" ca="1" si="13"/>
        <v/>
      </c>
      <c r="AN28" s="378" t="str">
        <f t="shared" ca="1" si="13"/>
        <v/>
      </c>
      <c r="AO28" s="378" t="str">
        <f t="shared" ca="1" si="14"/>
        <v/>
      </c>
      <c r="AP28" s="378" t="str">
        <f t="shared" ca="1" si="15"/>
        <v/>
      </c>
      <c r="AQ28" s="378" t="str">
        <f t="shared" ca="1" si="15"/>
        <v/>
      </c>
      <c r="AR28" s="378" t="str">
        <f t="shared" ca="1" si="15"/>
        <v/>
      </c>
      <c r="AS28" s="378" t="str">
        <f t="shared" ca="1" si="15"/>
        <v/>
      </c>
      <c r="AT28" s="378" t="str">
        <f t="shared" ca="1" si="15"/>
        <v/>
      </c>
    </row>
    <row r="29" spans="1:46" x14ac:dyDescent="0.4">
      <c r="A29" s="150">
        <v>14</v>
      </c>
      <c r="B29" s="204" t="b">
        <f t="shared" si="16"/>
        <v>0</v>
      </c>
      <c r="C29" s="209" t="str">
        <f t="shared" ca="1" si="17"/>
        <v/>
      </c>
      <c r="D29" s="359" t="str">
        <f t="shared" ca="1" si="18"/>
        <v/>
      </c>
      <c r="E29" s="359" t="str">
        <f t="shared" ca="1" si="19"/>
        <v/>
      </c>
      <c r="F29" s="57" t="str">
        <f t="shared" ca="1" si="19"/>
        <v/>
      </c>
      <c r="G29" s="57" t="str">
        <f t="shared" ca="1" si="19"/>
        <v/>
      </c>
      <c r="H29" s="211" t="str" cm="1">
        <f t="array" aca="1" ref="H29" ca="1">IFERROR(INDEX($C$16:$C$116,SMALL(IF($C$16:$C$116&lt;&gt;"",ROW($C$16:$C$116)-ROW($C$16)+1),ROW(A14))),"")</f>
        <v/>
      </c>
      <c r="I29" s="210" t="str" cm="1">
        <f t="array" aca="1" ref="I29" ca="1">IFERROR(INDEX($D$16:$D$116,SMALL(IF($D$16:$D$116&lt;&gt;"",ROW($D$16:$D$116)-ROW($D$16)+1),ROW(A14))),"")</f>
        <v/>
      </c>
      <c r="J29" s="210" t="str" cm="1">
        <f t="array" aca="1" ref="J29" ca="1">IFERROR(INDEX($E$16:$E$116,SMALL(IF($E$16:$E$116&lt;&gt;"",ROW($E$16:$E$116)-ROW($E$16)+1),ROW(A14))),"")</f>
        <v/>
      </c>
      <c r="K29" s="210" t="str" cm="1">
        <f t="array" aca="1" ref="K29" ca="1">IFERROR(INDEX($F$16:$F$116,SMALL(IF($F$16:$F$116&lt;&gt;"",ROW($F$16:$F$116)-ROW($F$16)+1),ROW(A14))),"")</f>
        <v/>
      </c>
      <c r="L29" s="210" t="str">
        <f t="shared" ca="1" si="0"/>
        <v/>
      </c>
      <c r="M29" s="210" t="str" cm="1">
        <f t="array" aca="1" ref="M29" ca="1">IFERROR(INDEX($G$16:$G$116,SMALL(IF($G$16:$G$116&lt;&gt;"",ROW($G$16:$G$116)-ROW($G$16)+1),ROW(A14))),"")</f>
        <v/>
      </c>
      <c r="N29" s="215" t="str">
        <f t="shared" ca="1" si="1"/>
        <v/>
      </c>
      <c r="O29" s="216" t="str">
        <f t="shared" ca="1" si="2"/>
        <v/>
      </c>
      <c r="P29" s="216" t="str">
        <f t="shared" ca="1" si="3"/>
        <v/>
      </c>
      <c r="Q29" s="216" t="str">
        <f t="shared" ca="1" si="4"/>
        <v/>
      </c>
      <c r="R29" s="216" t="str">
        <f t="shared" ca="1" si="5"/>
        <v/>
      </c>
      <c r="S29" s="216" t="str">
        <f t="shared" ca="1" si="6"/>
        <v/>
      </c>
      <c r="T29" s="216" t="str">
        <f t="shared" ca="1" si="7"/>
        <v/>
      </c>
      <c r="U29" s="216" t="str">
        <f t="shared" ca="1" si="8"/>
        <v/>
      </c>
      <c r="V29" s="217" t="str">
        <f t="shared" ca="1" si="9"/>
        <v/>
      </c>
      <c r="W29" s="376" t="str">
        <f t="shared" ca="1" si="20"/>
        <v/>
      </c>
      <c r="X29" s="377" t="str">
        <f t="shared" ca="1" si="21"/>
        <v/>
      </c>
      <c r="Y29" s="378" t="str">
        <f t="shared" ca="1" si="10"/>
        <v/>
      </c>
      <c r="Z29" s="378" t="str">
        <f t="shared" ca="1" si="10"/>
        <v/>
      </c>
      <c r="AA29" s="378" t="str">
        <f t="shared" ca="1" si="10"/>
        <v/>
      </c>
      <c r="AB29" s="378" t="str">
        <f t="shared" ca="1" si="10"/>
        <v/>
      </c>
      <c r="AC29" s="378" t="str">
        <f t="shared" ca="1" si="11"/>
        <v/>
      </c>
      <c r="AD29" s="378" t="str">
        <f t="shared" ca="1" si="12"/>
        <v/>
      </c>
      <c r="AE29" s="378" t="str">
        <f t="shared" ca="1" si="12"/>
        <v/>
      </c>
      <c r="AF29" s="378" t="str">
        <f t="shared" ca="1" si="12"/>
        <v/>
      </c>
      <c r="AG29" s="378" t="str">
        <f t="shared" ca="1" si="12"/>
        <v/>
      </c>
      <c r="AH29" s="378" t="str">
        <f t="shared" ca="1" si="12"/>
        <v/>
      </c>
      <c r="AI29" s="376" t="str">
        <f t="shared" ca="1" si="22"/>
        <v/>
      </c>
      <c r="AJ29" s="377" t="str">
        <f t="shared" ca="1" si="23"/>
        <v/>
      </c>
      <c r="AK29" s="378" t="str">
        <f t="shared" ca="1" si="13"/>
        <v/>
      </c>
      <c r="AL29" s="378" t="str">
        <f t="shared" ca="1" si="13"/>
        <v/>
      </c>
      <c r="AM29" s="378" t="str">
        <f t="shared" ca="1" si="13"/>
        <v/>
      </c>
      <c r="AN29" s="378" t="str">
        <f t="shared" ca="1" si="13"/>
        <v/>
      </c>
      <c r="AO29" s="378" t="str">
        <f t="shared" ca="1" si="14"/>
        <v/>
      </c>
      <c r="AP29" s="378" t="str">
        <f t="shared" ca="1" si="15"/>
        <v/>
      </c>
      <c r="AQ29" s="378" t="str">
        <f t="shared" ca="1" si="15"/>
        <v/>
      </c>
      <c r="AR29" s="378" t="str">
        <f t="shared" ca="1" si="15"/>
        <v/>
      </c>
      <c r="AS29" s="378" t="str">
        <f t="shared" ca="1" si="15"/>
        <v/>
      </c>
      <c r="AT29" s="378" t="str">
        <f t="shared" ca="1" si="15"/>
        <v/>
      </c>
    </row>
    <row r="30" spans="1:46" x14ac:dyDescent="0.4">
      <c r="A30" s="150">
        <v>15</v>
      </c>
      <c r="B30" s="204" t="b">
        <f t="shared" si="16"/>
        <v>0</v>
      </c>
      <c r="C30" s="209" t="str">
        <f t="shared" ca="1" si="17"/>
        <v/>
      </c>
      <c r="D30" s="359" t="str">
        <f t="shared" ca="1" si="18"/>
        <v/>
      </c>
      <c r="E30" s="359" t="str">
        <f t="shared" ca="1" si="19"/>
        <v/>
      </c>
      <c r="F30" s="57" t="str">
        <f t="shared" ca="1" si="19"/>
        <v/>
      </c>
      <c r="G30" s="57" t="str">
        <f t="shared" ca="1" si="19"/>
        <v/>
      </c>
      <c r="H30" s="211" t="str" cm="1">
        <f t="array" aca="1" ref="H30" ca="1">IFERROR(INDEX($C$16:$C$116,SMALL(IF($C$16:$C$116&lt;&gt;"",ROW($C$16:$C$116)-ROW($C$16)+1),ROW(A15))),"")</f>
        <v/>
      </c>
      <c r="I30" s="210" t="str" cm="1">
        <f t="array" aca="1" ref="I30" ca="1">IFERROR(INDEX($D$16:$D$116,SMALL(IF($D$16:$D$116&lt;&gt;"",ROW($D$16:$D$116)-ROW($D$16)+1),ROW(A15))),"")</f>
        <v/>
      </c>
      <c r="J30" s="210" t="str" cm="1">
        <f t="array" aca="1" ref="J30" ca="1">IFERROR(INDEX($E$16:$E$116,SMALL(IF($E$16:$E$116&lt;&gt;"",ROW($E$16:$E$116)-ROW($E$16)+1),ROW(A15))),"")</f>
        <v/>
      </c>
      <c r="K30" s="210" t="str" cm="1">
        <f t="array" aca="1" ref="K30" ca="1">IFERROR(INDEX($F$16:$F$116,SMALL(IF($F$16:$F$116&lt;&gt;"",ROW($F$16:$F$116)-ROW($F$16)+1),ROW(A15))),"")</f>
        <v/>
      </c>
      <c r="L30" s="210" t="str">
        <f t="shared" ca="1" si="0"/>
        <v/>
      </c>
      <c r="M30" s="210" t="str" cm="1">
        <f t="array" aca="1" ref="M30" ca="1">IFERROR(INDEX($G$16:$G$116,SMALL(IF($G$16:$G$116&lt;&gt;"",ROW($G$16:$G$116)-ROW($G$16)+1),ROW(A15))),"")</f>
        <v/>
      </c>
      <c r="N30" s="215" t="str">
        <f t="shared" ca="1" si="1"/>
        <v/>
      </c>
      <c r="O30" s="216" t="str">
        <f t="shared" ca="1" si="2"/>
        <v/>
      </c>
      <c r="P30" s="216" t="str">
        <f t="shared" ca="1" si="3"/>
        <v/>
      </c>
      <c r="Q30" s="216" t="str">
        <f t="shared" ca="1" si="4"/>
        <v/>
      </c>
      <c r="R30" s="216" t="str">
        <f t="shared" ca="1" si="5"/>
        <v/>
      </c>
      <c r="S30" s="216" t="str">
        <f t="shared" ca="1" si="6"/>
        <v/>
      </c>
      <c r="T30" s="216" t="str">
        <f t="shared" ca="1" si="7"/>
        <v/>
      </c>
      <c r="U30" s="216" t="str">
        <f t="shared" ca="1" si="8"/>
        <v/>
      </c>
      <c r="V30" s="217" t="str">
        <f t="shared" ca="1" si="9"/>
        <v/>
      </c>
      <c r="W30" s="376" t="str">
        <f t="shared" ca="1" si="20"/>
        <v/>
      </c>
      <c r="X30" s="377" t="str">
        <f t="shared" ca="1" si="21"/>
        <v/>
      </c>
      <c r="Y30" s="378" t="str">
        <f t="shared" ca="1" si="10"/>
        <v/>
      </c>
      <c r="Z30" s="378" t="str">
        <f t="shared" ca="1" si="10"/>
        <v/>
      </c>
      <c r="AA30" s="378" t="str">
        <f t="shared" ca="1" si="10"/>
        <v/>
      </c>
      <c r="AB30" s="378" t="str">
        <f t="shared" ca="1" si="10"/>
        <v/>
      </c>
      <c r="AC30" s="378" t="str">
        <f t="shared" ca="1" si="11"/>
        <v/>
      </c>
      <c r="AD30" s="378" t="str">
        <f t="shared" ca="1" si="12"/>
        <v/>
      </c>
      <c r="AE30" s="378" t="str">
        <f t="shared" ca="1" si="12"/>
        <v/>
      </c>
      <c r="AF30" s="378" t="str">
        <f t="shared" ca="1" si="12"/>
        <v/>
      </c>
      <c r="AG30" s="378" t="str">
        <f t="shared" ca="1" si="12"/>
        <v/>
      </c>
      <c r="AH30" s="378" t="str">
        <f t="shared" ca="1" si="12"/>
        <v/>
      </c>
      <c r="AI30" s="376" t="str">
        <f t="shared" ca="1" si="22"/>
        <v/>
      </c>
      <c r="AJ30" s="377" t="str">
        <f t="shared" ca="1" si="23"/>
        <v/>
      </c>
      <c r="AK30" s="378" t="str">
        <f t="shared" ca="1" si="13"/>
        <v/>
      </c>
      <c r="AL30" s="378" t="str">
        <f t="shared" ca="1" si="13"/>
        <v/>
      </c>
      <c r="AM30" s="378" t="str">
        <f t="shared" ca="1" si="13"/>
        <v/>
      </c>
      <c r="AN30" s="378" t="str">
        <f t="shared" ca="1" si="13"/>
        <v/>
      </c>
      <c r="AO30" s="378" t="str">
        <f t="shared" ca="1" si="14"/>
        <v/>
      </c>
      <c r="AP30" s="378" t="str">
        <f t="shared" ca="1" si="15"/>
        <v/>
      </c>
      <c r="AQ30" s="378" t="str">
        <f t="shared" ca="1" si="15"/>
        <v/>
      </c>
      <c r="AR30" s="378" t="str">
        <f t="shared" ca="1" si="15"/>
        <v/>
      </c>
      <c r="AS30" s="378" t="str">
        <f t="shared" ca="1" si="15"/>
        <v/>
      </c>
      <c r="AT30" s="378" t="str">
        <f t="shared" ca="1" si="15"/>
        <v/>
      </c>
    </row>
    <row r="31" spans="1:46" x14ac:dyDescent="0.4">
      <c r="A31" s="150">
        <v>16</v>
      </c>
      <c r="B31" s="204" t="b">
        <f t="shared" si="16"/>
        <v>0</v>
      </c>
      <c r="C31" s="209" t="str">
        <f t="shared" ca="1" si="17"/>
        <v/>
      </c>
      <c r="D31" s="359" t="str">
        <f t="shared" ca="1" si="18"/>
        <v/>
      </c>
      <c r="E31" s="359" t="str">
        <f t="shared" ca="1" si="19"/>
        <v/>
      </c>
      <c r="F31" s="57" t="str">
        <f t="shared" ca="1" si="19"/>
        <v/>
      </c>
      <c r="G31" s="57" t="str">
        <f t="shared" ca="1" si="19"/>
        <v/>
      </c>
      <c r="H31" s="211" t="str" cm="1">
        <f t="array" aca="1" ref="H31" ca="1">IFERROR(INDEX($C$16:$C$116,SMALL(IF($C$16:$C$116&lt;&gt;"",ROW($C$16:$C$116)-ROW($C$16)+1),ROW(A16))),"")</f>
        <v/>
      </c>
      <c r="I31" s="210" t="str" cm="1">
        <f t="array" aca="1" ref="I31" ca="1">IFERROR(INDEX($D$16:$D$116,SMALL(IF($D$16:$D$116&lt;&gt;"",ROW($D$16:$D$116)-ROW($D$16)+1),ROW(A16))),"")</f>
        <v/>
      </c>
      <c r="J31" s="210" t="str" cm="1">
        <f t="array" aca="1" ref="J31" ca="1">IFERROR(INDEX($E$16:$E$116,SMALL(IF($E$16:$E$116&lt;&gt;"",ROW($E$16:$E$116)-ROW($E$16)+1),ROW(A16))),"")</f>
        <v/>
      </c>
      <c r="K31" s="210" t="str" cm="1">
        <f t="array" aca="1" ref="K31" ca="1">IFERROR(INDEX($F$16:$F$116,SMALL(IF($F$16:$F$116&lt;&gt;"",ROW($F$16:$F$116)-ROW($F$16)+1),ROW(A16))),"")</f>
        <v/>
      </c>
      <c r="L31" s="210" t="str">
        <f t="shared" ca="1" si="0"/>
        <v/>
      </c>
      <c r="M31" s="210" t="str" cm="1">
        <f t="array" aca="1" ref="M31" ca="1">IFERROR(INDEX($G$16:$G$116,SMALL(IF($G$16:$G$116&lt;&gt;"",ROW($G$16:$G$116)-ROW($G$16)+1),ROW(A16))),"")</f>
        <v/>
      </c>
      <c r="N31" s="215" t="str">
        <f t="shared" ca="1" si="1"/>
        <v/>
      </c>
      <c r="O31" s="216" t="str">
        <f t="shared" ca="1" si="2"/>
        <v/>
      </c>
      <c r="P31" s="216" t="str">
        <f t="shared" ca="1" si="3"/>
        <v/>
      </c>
      <c r="Q31" s="216" t="str">
        <f t="shared" ca="1" si="4"/>
        <v/>
      </c>
      <c r="R31" s="216" t="str">
        <f t="shared" ca="1" si="5"/>
        <v/>
      </c>
      <c r="S31" s="216" t="str">
        <f t="shared" ca="1" si="6"/>
        <v/>
      </c>
      <c r="T31" s="216" t="str">
        <f t="shared" ca="1" si="7"/>
        <v/>
      </c>
      <c r="U31" s="216" t="str">
        <f t="shared" ca="1" si="8"/>
        <v/>
      </c>
      <c r="V31" s="217" t="str">
        <f t="shared" ca="1" si="9"/>
        <v/>
      </c>
      <c r="W31" s="376" t="str">
        <f t="shared" ca="1" si="20"/>
        <v/>
      </c>
      <c r="X31" s="377" t="str">
        <f t="shared" ca="1" si="21"/>
        <v/>
      </c>
      <c r="Y31" s="378" t="str">
        <f t="shared" ca="1" si="10"/>
        <v/>
      </c>
      <c r="Z31" s="378" t="str">
        <f t="shared" ca="1" si="10"/>
        <v/>
      </c>
      <c r="AA31" s="378" t="str">
        <f t="shared" ca="1" si="10"/>
        <v/>
      </c>
      <c r="AB31" s="378" t="str">
        <f t="shared" ca="1" si="10"/>
        <v/>
      </c>
      <c r="AC31" s="378" t="str">
        <f t="shared" ca="1" si="11"/>
        <v/>
      </c>
      <c r="AD31" s="378" t="str">
        <f t="shared" ca="1" si="12"/>
        <v/>
      </c>
      <c r="AE31" s="378" t="str">
        <f t="shared" ca="1" si="12"/>
        <v/>
      </c>
      <c r="AF31" s="378" t="str">
        <f t="shared" ca="1" si="12"/>
        <v/>
      </c>
      <c r="AG31" s="378" t="str">
        <f t="shared" ca="1" si="12"/>
        <v/>
      </c>
      <c r="AH31" s="378" t="str">
        <f t="shared" ca="1" si="12"/>
        <v/>
      </c>
      <c r="AI31" s="376" t="str">
        <f t="shared" ca="1" si="22"/>
        <v/>
      </c>
      <c r="AJ31" s="377" t="str">
        <f t="shared" ca="1" si="23"/>
        <v/>
      </c>
      <c r="AK31" s="378" t="str">
        <f t="shared" ca="1" si="13"/>
        <v/>
      </c>
      <c r="AL31" s="378" t="str">
        <f t="shared" ca="1" si="13"/>
        <v/>
      </c>
      <c r="AM31" s="378" t="str">
        <f t="shared" ca="1" si="13"/>
        <v/>
      </c>
      <c r="AN31" s="378" t="str">
        <f t="shared" ca="1" si="13"/>
        <v/>
      </c>
      <c r="AO31" s="378" t="str">
        <f t="shared" ca="1" si="14"/>
        <v/>
      </c>
      <c r="AP31" s="378" t="str">
        <f t="shared" ca="1" si="15"/>
        <v/>
      </c>
      <c r="AQ31" s="378" t="str">
        <f t="shared" ca="1" si="15"/>
        <v/>
      </c>
      <c r="AR31" s="378" t="str">
        <f t="shared" ca="1" si="15"/>
        <v/>
      </c>
      <c r="AS31" s="378" t="str">
        <f t="shared" ca="1" si="15"/>
        <v/>
      </c>
      <c r="AT31" s="378" t="str">
        <f t="shared" ca="1" si="15"/>
        <v/>
      </c>
    </row>
    <row r="32" spans="1:46" x14ac:dyDescent="0.4">
      <c r="A32" s="150">
        <v>17</v>
      </c>
      <c r="B32" s="204" t="b">
        <f t="shared" si="16"/>
        <v>0</v>
      </c>
      <c r="C32" s="209" t="str">
        <f t="shared" ca="1" si="17"/>
        <v/>
      </c>
      <c r="D32" s="359" t="str">
        <f t="shared" ca="1" si="18"/>
        <v/>
      </c>
      <c r="E32" s="359" t="str">
        <f t="shared" ca="1" si="19"/>
        <v/>
      </c>
      <c r="F32" s="57" t="str">
        <f t="shared" ca="1" si="19"/>
        <v/>
      </c>
      <c r="G32" s="57" t="str">
        <f t="shared" ca="1" si="19"/>
        <v/>
      </c>
      <c r="H32" s="211" t="str" cm="1">
        <f t="array" aca="1" ref="H32" ca="1">IFERROR(INDEX($C$16:$C$116,SMALL(IF($C$16:$C$116&lt;&gt;"",ROW($C$16:$C$116)-ROW($C$16)+1),ROW(A17))),"")</f>
        <v/>
      </c>
      <c r="I32" s="210" t="str" cm="1">
        <f t="array" aca="1" ref="I32" ca="1">IFERROR(INDEX($D$16:$D$116,SMALL(IF($D$16:$D$116&lt;&gt;"",ROW($D$16:$D$116)-ROW($D$16)+1),ROW(A17))),"")</f>
        <v/>
      </c>
      <c r="J32" s="210" t="str" cm="1">
        <f t="array" aca="1" ref="J32" ca="1">IFERROR(INDEX($E$16:$E$116,SMALL(IF($E$16:$E$116&lt;&gt;"",ROW($E$16:$E$116)-ROW($E$16)+1),ROW(A17))),"")</f>
        <v/>
      </c>
      <c r="K32" s="210" t="str" cm="1">
        <f t="array" aca="1" ref="K32" ca="1">IFERROR(INDEX($F$16:$F$116,SMALL(IF($F$16:$F$116&lt;&gt;"",ROW($F$16:$F$116)-ROW($F$16)+1),ROW(A17))),"")</f>
        <v/>
      </c>
      <c r="L32" s="210" t="str">
        <f t="shared" ca="1" si="0"/>
        <v/>
      </c>
      <c r="M32" s="210" t="str" cm="1">
        <f t="array" aca="1" ref="M32" ca="1">IFERROR(INDEX($G$16:$G$116,SMALL(IF($G$16:$G$116&lt;&gt;"",ROW($G$16:$G$116)-ROW($G$16)+1),ROW(A17))),"")</f>
        <v/>
      </c>
      <c r="N32" s="215" t="str">
        <f t="shared" ca="1" si="1"/>
        <v/>
      </c>
      <c r="O32" s="216" t="str">
        <f t="shared" ca="1" si="2"/>
        <v/>
      </c>
      <c r="P32" s="216" t="str">
        <f t="shared" ca="1" si="3"/>
        <v/>
      </c>
      <c r="Q32" s="216" t="str">
        <f t="shared" ca="1" si="4"/>
        <v/>
      </c>
      <c r="R32" s="216" t="str">
        <f t="shared" ca="1" si="5"/>
        <v/>
      </c>
      <c r="S32" s="216" t="str">
        <f t="shared" ca="1" si="6"/>
        <v/>
      </c>
      <c r="T32" s="216" t="str">
        <f t="shared" ca="1" si="7"/>
        <v/>
      </c>
      <c r="U32" s="216" t="str">
        <f t="shared" ca="1" si="8"/>
        <v/>
      </c>
      <c r="V32" s="217" t="str">
        <f t="shared" ca="1" si="9"/>
        <v/>
      </c>
      <c r="W32" s="376" t="str">
        <f t="shared" ca="1" si="20"/>
        <v/>
      </c>
      <c r="X32" s="377" t="str">
        <f t="shared" ca="1" si="21"/>
        <v/>
      </c>
      <c r="Y32" s="378" t="str">
        <f t="shared" ca="1" si="10"/>
        <v/>
      </c>
      <c r="Z32" s="378" t="str">
        <f t="shared" ca="1" si="10"/>
        <v/>
      </c>
      <c r="AA32" s="378" t="str">
        <f t="shared" ca="1" si="10"/>
        <v/>
      </c>
      <c r="AB32" s="378" t="str">
        <f t="shared" ca="1" si="10"/>
        <v/>
      </c>
      <c r="AC32" s="378" t="str">
        <f t="shared" ca="1" si="11"/>
        <v/>
      </c>
      <c r="AD32" s="378" t="str">
        <f t="shared" ref="AD32:AH47" ca="1" si="24">IF(OR($J32="Pluviomètre",LEFT($J32,5)="Sonde"),"",IF($H32&lt;&gt;"",IF(_xlfn.SINGLE(INDIRECT($H32&amp;"!"&amp;$W32&amp;($X32+AD$15+1)))&lt;&gt;"",_xlfn.SINGLE(INDIRECT($H32&amp;"!"&amp;$W32&amp;($X32+AD$15+1))),""),""))</f>
        <v/>
      </c>
      <c r="AE32" s="378" t="str">
        <f t="shared" ca="1" si="24"/>
        <v/>
      </c>
      <c r="AF32" s="378" t="str">
        <f t="shared" ca="1" si="24"/>
        <v/>
      </c>
      <c r="AG32" s="378" t="str">
        <f t="shared" ca="1" si="24"/>
        <v/>
      </c>
      <c r="AH32" s="378" t="str">
        <f t="shared" ca="1" si="24"/>
        <v/>
      </c>
      <c r="AI32" s="376" t="str">
        <f t="shared" ca="1" si="22"/>
        <v/>
      </c>
      <c r="AJ32" s="377" t="str">
        <f t="shared" ca="1" si="23"/>
        <v/>
      </c>
      <c r="AK32" s="378" t="str">
        <f t="shared" ca="1" si="13"/>
        <v/>
      </c>
      <c r="AL32" s="378" t="str">
        <f t="shared" ca="1" si="13"/>
        <v/>
      </c>
      <c r="AM32" s="378" t="str">
        <f t="shared" ca="1" si="13"/>
        <v/>
      </c>
      <c r="AN32" s="378" t="str">
        <f t="shared" ca="1" si="13"/>
        <v/>
      </c>
      <c r="AO32" s="378" t="str">
        <f t="shared" ca="1" si="14"/>
        <v/>
      </c>
      <c r="AP32" s="378" t="str">
        <f t="shared" ref="AP32:AT47" ca="1" si="25">IF(OR($J32="Pluviomètre",LEFT($J32,5)="Sonde"),"",IF($H32&lt;&gt;"",IF(_xlfn.SINGLE(INDIRECT($H32&amp;"!"&amp;$AI32&amp;($AJ32+AP$15+1)))&lt;&gt;"",_xlfn.SINGLE(INDIRECT($H32&amp;"!"&amp;$AI32&amp;($AJ32+AP$15+1))),""),""))</f>
        <v/>
      </c>
      <c r="AQ32" s="378" t="str">
        <f t="shared" ca="1" si="25"/>
        <v/>
      </c>
      <c r="AR32" s="378" t="str">
        <f t="shared" ca="1" si="25"/>
        <v/>
      </c>
      <c r="AS32" s="378" t="str">
        <f t="shared" ca="1" si="25"/>
        <v/>
      </c>
      <c r="AT32" s="378" t="str">
        <f t="shared" ca="1" si="25"/>
        <v/>
      </c>
    </row>
    <row r="33" spans="1:46" x14ac:dyDescent="0.4">
      <c r="A33" s="150">
        <v>18</v>
      </c>
      <c r="B33" s="204" t="b">
        <f t="shared" si="16"/>
        <v>0</v>
      </c>
      <c r="C33" s="209" t="str">
        <f t="shared" ca="1" si="17"/>
        <v/>
      </c>
      <c r="D33" s="359" t="str">
        <f t="shared" ca="1" si="18"/>
        <v/>
      </c>
      <c r="E33" s="359" t="str">
        <f t="shared" ca="1" si="19"/>
        <v/>
      </c>
      <c r="F33" s="57" t="str">
        <f t="shared" ca="1" si="19"/>
        <v/>
      </c>
      <c r="G33" s="57" t="str">
        <f t="shared" ca="1" si="19"/>
        <v/>
      </c>
      <c r="H33" s="211" t="str" cm="1">
        <f t="array" aca="1" ref="H33" ca="1">IFERROR(INDEX($C$16:$C$116,SMALL(IF($C$16:$C$116&lt;&gt;"",ROW($C$16:$C$116)-ROW($C$16)+1),ROW(A18))),"")</f>
        <v/>
      </c>
      <c r="I33" s="210" t="str" cm="1">
        <f t="array" aca="1" ref="I33" ca="1">IFERROR(INDEX($D$16:$D$116,SMALL(IF($D$16:$D$116&lt;&gt;"",ROW($D$16:$D$116)-ROW($D$16)+1),ROW(A18))),"")</f>
        <v/>
      </c>
      <c r="J33" s="210" t="str" cm="1">
        <f t="array" aca="1" ref="J33" ca="1">IFERROR(INDEX($E$16:$E$116,SMALL(IF($E$16:$E$116&lt;&gt;"",ROW($E$16:$E$116)-ROW($E$16)+1),ROW(A18))),"")</f>
        <v/>
      </c>
      <c r="K33" s="210" t="str" cm="1">
        <f t="array" aca="1" ref="K33" ca="1">IFERROR(INDEX($F$16:$F$116,SMALL(IF($F$16:$F$116&lt;&gt;"",ROW($F$16:$F$116)-ROW($F$16)+1),ROW(A18))),"")</f>
        <v/>
      </c>
      <c r="L33" s="210" t="str">
        <f t="shared" ca="1" si="0"/>
        <v/>
      </c>
      <c r="M33" s="210" t="str" cm="1">
        <f t="array" aca="1" ref="M33" ca="1">IFERROR(INDEX($G$16:$G$116,SMALL(IF($G$16:$G$116&lt;&gt;"",ROW($G$16:$G$116)-ROW($G$16)+1),ROW(A18))),"")</f>
        <v/>
      </c>
      <c r="N33" s="215" t="str">
        <f t="shared" ca="1" si="1"/>
        <v/>
      </c>
      <c r="O33" s="216" t="str">
        <f t="shared" ca="1" si="2"/>
        <v/>
      </c>
      <c r="P33" s="216" t="str">
        <f t="shared" ca="1" si="3"/>
        <v/>
      </c>
      <c r="Q33" s="216" t="str">
        <f t="shared" ca="1" si="4"/>
        <v/>
      </c>
      <c r="R33" s="216" t="str">
        <f t="shared" ca="1" si="5"/>
        <v/>
      </c>
      <c r="S33" s="216" t="str">
        <f t="shared" ca="1" si="6"/>
        <v/>
      </c>
      <c r="T33" s="216" t="str">
        <f t="shared" ca="1" si="7"/>
        <v/>
      </c>
      <c r="U33" s="216" t="str">
        <f t="shared" ca="1" si="8"/>
        <v/>
      </c>
      <c r="V33" s="217" t="str">
        <f t="shared" ca="1" si="9"/>
        <v/>
      </c>
      <c r="W33" s="376" t="str">
        <f t="shared" ca="1" si="20"/>
        <v/>
      </c>
      <c r="X33" s="377" t="str">
        <f t="shared" ca="1" si="21"/>
        <v/>
      </c>
      <c r="Y33" s="378" t="str">
        <f t="shared" ca="1" si="10"/>
        <v/>
      </c>
      <c r="Z33" s="378" t="str">
        <f t="shared" ca="1" si="10"/>
        <v/>
      </c>
      <c r="AA33" s="378" t="str">
        <f t="shared" ca="1" si="10"/>
        <v/>
      </c>
      <c r="AB33" s="378" t="str">
        <f t="shared" ca="1" si="10"/>
        <v/>
      </c>
      <c r="AC33" s="378" t="str">
        <f t="shared" ca="1" si="11"/>
        <v/>
      </c>
      <c r="AD33" s="378" t="str">
        <f t="shared" ca="1" si="24"/>
        <v/>
      </c>
      <c r="AE33" s="378" t="str">
        <f t="shared" ca="1" si="24"/>
        <v/>
      </c>
      <c r="AF33" s="378" t="str">
        <f t="shared" ca="1" si="24"/>
        <v/>
      </c>
      <c r="AG33" s="378" t="str">
        <f t="shared" ca="1" si="24"/>
        <v/>
      </c>
      <c r="AH33" s="378" t="str">
        <f t="shared" ca="1" si="24"/>
        <v/>
      </c>
      <c r="AI33" s="376" t="str">
        <f t="shared" ca="1" si="22"/>
        <v/>
      </c>
      <c r="AJ33" s="377" t="str">
        <f t="shared" ca="1" si="23"/>
        <v/>
      </c>
      <c r="AK33" s="378" t="str">
        <f t="shared" ca="1" si="13"/>
        <v/>
      </c>
      <c r="AL33" s="378" t="str">
        <f t="shared" ca="1" si="13"/>
        <v/>
      </c>
      <c r="AM33" s="378" t="str">
        <f t="shared" ca="1" si="13"/>
        <v/>
      </c>
      <c r="AN33" s="378" t="str">
        <f t="shared" ca="1" si="13"/>
        <v/>
      </c>
      <c r="AO33" s="378" t="str">
        <f t="shared" ca="1" si="14"/>
        <v/>
      </c>
      <c r="AP33" s="378" t="str">
        <f t="shared" ca="1" si="25"/>
        <v/>
      </c>
      <c r="AQ33" s="378" t="str">
        <f t="shared" ca="1" si="25"/>
        <v/>
      </c>
      <c r="AR33" s="378" t="str">
        <f t="shared" ca="1" si="25"/>
        <v/>
      </c>
      <c r="AS33" s="378" t="str">
        <f t="shared" ca="1" si="25"/>
        <v/>
      </c>
      <c r="AT33" s="378" t="str">
        <f t="shared" ca="1" si="25"/>
        <v/>
      </c>
    </row>
    <row r="34" spans="1:46" x14ac:dyDescent="0.4">
      <c r="A34" s="150">
        <v>19</v>
      </c>
      <c r="B34" s="204" t="b">
        <f t="shared" si="16"/>
        <v>0</v>
      </c>
      <c r="C34" s="209" t="str">
        <f t="shared" ca="1" si="17"/>
        <v/>
      </c>
      <c r="D34" s="359" t="str">
        <f t="shared" ca="1" si="18"/>
        <v/>
      </c>
      <c r="E34" s="359" t="str">
        <f t="shared" ca="1" si="19"/>
        <v/>
      </c>
      <c r="F34" s="57" t="str">
        <f t="shared" ca="1" si="19"/>
        <v/>
      </c>
      <c r="G34" s="57" t="str">
        <f t="shared" ca="1" si="19"/>
        <v/>
      </c>
      <c r="H34" s="211" t="str" cm="1">
        <f t="array" aca="1" ref="H34" ca="1">IFERROR(INDEX($C$16:$C$116,SMALL(IF($C$16:$C$116&lt;&gt;"",ROW($C$16:$C$116)-ROW($C$16)+1),ROW(A19))),"")</f>
        <v/>
      </c>
      <c r="I34" s="210" t="str" cm="1">
        <f t="array" aca="1" ref="I34" ca="1">IFERROR(INDEX($D$16:$D$116,SMALL(IF($D$16:$D$116&lt;&gt;"",ROW($D$16:$D$116)-ROW($D$16)+1),ROW(A19))),"")</f>
        <v/>
      </c>
      <c r="J34" s="210" t="str" cm="1">
        <f t="array" aca="1" ref="J34" ca="1">IFERROR(INDEX($E$16:$E$116,SMALL(IF($E$16:$E$116&lt;&gt;"",ROW($E$16:$E$116)-ROW($E$16)+1),ROW(A19))),"")</f>
        <v/>
      </c>
      <c r="K34" s="210" t="str" cm="1">
        <f t="array" aca="1" ref="K34" ca="1">IFERROR(INDEX($F$16:$F$116,SMALL(IF($F$16:$F$116&lt;&gt;"",ROW($F$16:$F$116)-ROW($F$16)+1),ROW(A19))),"")</f>
        <v/>
      </c>
      <c r="L34" s="210" t="str">
        <f t="shared" ca="1" si="0"/>
        <v/>
      </c>
      <c r="M34" s="210" t="str" cm="1">
        <f t="array" aca="1" ref="M34" ca="1">IFERROR(INDEX($G$16:$G$116,SMALL(IF($G$16:$G$116&lt;&gt;"",ROW($G$16:$G$116)-ROW($G$16)+1),ROW(A19))),"")</f>
        <v/>
      </c>
      <c r="N34" s="215" t="str">
        <f t="shared" ca="1" si="1"/>
        <v/>
      </c>
      <c r="O34" s="216" t="str">
        <f t="shared" ca="1" si="2"/>
        <v/>
      </c>
      <c r="P34" s="216" t="str">
        <f t="shared" ca="1" si="3"/>
        <v/>
      </c>
      <c r="Q34" s="216" t="str">
        <f t="shared" ca="1" si="4"/>
        <v/>
      </c>
      <c r="R34" s="216" t="str">
        <f t="shared" ca="1" si="5"/>
        <v/>
      </c>
      <c r="S34" s="216" t="str">
        <f t="shared" ca="1" si="6"/>
        <v/>
      </c>
      <c r="T34" s="216" t="str">
        <f t="shared" ca="1" si="7"/>
        <v/>
      </c>
      <c r="U34" s="216" t="str">
        <f t="shared" ca="1" si="8"/>
        <v/>
      </c>
      <c r="V34" s="217" t="str">
        <f t="shared" ca="1" si="9"/>
        <v/>
      </c>
      <c r="W34" s="376" t="str">
        <f t="shared" ca="1" si="20"/>
        <v/>
      </c>
      <c r="X34" s="377" t="str">
        <f t="shared" ca="1" si="21"/>
        <v/>
      </c>
      <c r="Y34" s="378" t="str">
        <f t="shared" ca="1" si="10"/>
        <v/>
      </c>
      <c r="Z34" s="378" t="str">
        <f t="shared" ca="1" si="10"/>
        <v/>
      </c>
      <c r="AA34" s="378" t="str">
        <f t="shared" ca="1" si="10"/>
        <v/>
      </c>
      <c r="AB34" s="378" t="str">
        <f t="shared" ca="1" si="10"/>
        <v/>
      </c>
      <c r="AC34" s="378" t="str">
        <f t="shared" ca="1" si="11"/>
        <v/>
      </c>
      <c r="AD34" s="378" t="str">
        <f t="shared" ca="1" si="24"/>
        <v/>
      </c>
      <c r="AE34" s="378" t="str">
        <f t="shared" ca="1" si="24"/>
        <v/>
      </c>
      <c r="AF34" s="378" t="str">
        <f t="shared" ca="1" si="24"/>
        <v/>
      </c>
      <c r="AG34" s="378" t="str">
        <f t="shared" ca="1" si="24"/>
        <v/>
      </c>
      <c r="AH34" s="378" t="str">
        <f t="shared" ca="1" si="24"/>
        <v/>
      </c>
      <c r="AI34" s="376" t="str">
        <f t="shared" ca="1" si="22"/>
        <v/>
      </c>
      <c r="AJ34" s="377" t="str">
        <f t="shared" ca="1" si="23"/>
        <v/>
      </c>
      <c r="AK34" s="378" t="str">
        <f t="shared" ca="1" si="13"/>
        <v/>
      </c>
      <c r="AL34" s="378" t="str">
        <f t="shared" ca="1" si="13"/>
        <v/>
      </c>
      <c r="AM34" s="378" t="str">
        <f t="shared" ca="1" si="13"/>
        <v/>
      </c>
      <c r="AN34" s="378" t="str">
        <f t="shared" ca="1" si="13"/>
        <v/>
      </c>
      <c r="AO34" s="378" t="str">
        <f t="shared" ca="1" si="14"/>
        <v/>
      </c>
      <c r="AP34" s="378" t="str">
        <f t="shared" ca="1" si="25"/>
        <v/>
      </c>
      <c r="AQ34" s="378" t="str">
        <f t="shared" ca="1" si="25"/>
        <v/>
      </c>
      <c r="AR34" s="378" t="str">
        <f t="shared" ca="1" si="25"/>
        <v/>
      </c>
      <c r="AS34" s="378" t="str">
        <f t="shared" ca="1" si="25"/>
        <v/>
      </c>
      <c r="AT34" s="378" t="str">
        <f t="shared" ca="1" si="25"/>
        <v/>
      </c>
    </row>
    <row r="35" spans="1:46" x14ac:dyDescent="0.4">
      <c r="A35" s="150">
        <v>20</v>
      </c>
      <c r="B35" s="204" t="b">
        <f t="shared" si="16"/>
        <v>0</v>
      </c>
      <c r="C35" s="209" t="str">
        <f t="shared" ca="1" si="17"/>
        <v/>
      </c>
      <c r="D35" s="359" t="str">
        <f t="shared" ca="1" si="18"/>
        <v/>
      </c>
      <c r="E35" s="359" t="str">
        <f t="shared" ca="1" si="19"/>
        <v/>
      </c>
      <c r="F35" s="57" t="str">
        <f t="shared" ca="1" si="19"/>
        <v/>
      </c>
      <c r="G35" s="57" t="str">
        <f t="shared" ca="1" si="19"/>
        <v/>
      </c>
      <c r="H35" s="211" t="str" cm="1">
        <f t="array" aca="1" ref="H35" ca="1">IFERROR(INDEX($C$16:$C$116,SMALL(IF($C$16:$C$116&lt;&gt;"",ROW($C$16:$C$116)-ROW($C$16)+1),ROW(A20))),"")</f>
        <v/>
      </c>
      <c r="I35" s="210" t="str" cm="1">
        <f t="array" aca="1" ref="I35" ca="1">IFERROR(INDEX($D$16:$D$116,SMALL(IF($D$16:$D$116&lt;&gt;"",ROW($D$16:$D$116)-ROW($D$16)+1),ROW(A20))),"")</f>
        <v/>
      </c>
      <c r="J35" s="210" t="str" cm="1">
        <f t="array" aca="1" ref="J35" ca="1">IFERROR(INDEX($E$16:$E$116,SMALL(IF($E$16:$E$116&lt;&gt;"",ROW($E$16:$E$116)-ROW($E$16)+1),ROW(A20))),"")</f>
        <v/>
      </c>
      <c r="K35" s="210" t="str" cm="1">
        <f t="array" aca="1" ref="K35" ca="1">IFERROR(INDEX($F$16:$F$116,SMALL(IF($F$16:$F$116&lt;&gt;"",ROW($F$16:$F$116)-ROW($F$16)+1),ROW(A20))),"")</f>
        <v/>
      </c>
      <c r="L35" s="210" t="str">
        <f t="shared" ca="1" si="0"/>
        <v/>
      </c>
      <c r="M35" s="210" t="str" cm="1">
        <f t="array" aca="1" ref="M35" ca="1">IFERROR(INDEX($G$16:$G$116,SMALL(IF($G$16:$G$116&lt;&gt;"",ROW($G$16:$G$116)-ROW($G$16)+1),ROW(A20))),"")</f>
        <v/>
      </c>
      <c r="N35" s="215" t="str">
        <f t="shared" ca="1" si="1"/>
        <v/>
      </c>
      <c r="O35" s="216" t="str">
        <f t="shared" ca="1" si="2"/>
        <v/>
      </c>
      <c r="P35" s="216" t="str">
        <f t="shared" ca="1" si="3"/>
        <v/>
      </c>
      <c r="Q35" s="216" t="str">
        <f t="shared" ca="1" si="4"/>
        <v/>
      </c>
      <c r="R35" s="216" t="str">
        <f t="shared" ca="1" si="5"/>
        <v/>
      </c>
      <c r="S35" s="216" t="str">
        <f t="shared" ca="1" si="6"/>
        <v/>
      </c>
      <c r="T35" s="216" t="str">
        <f t="shared" ca="1" si="7"/>
        <v/>
      </c>
      <c r="U35" s="216" t="str">
        <f t="shared" ca="1" si="8"/>
        <v/>
      </c>
      <c r="V35" s="217" t="str">
        <f t="shared" ca="1" si="9"/>
        <v/>
      </c>
      <c r="W35" s="376" t="str">
        <f t="shared" ca="1" si="20"/>
        <v/>
      </c>
      <c r="X35" s="377" t="str">
        <f t="shared" ca="1" si="21"/>
        <v/>
      </c>
      <c r="Y35" s="378" t="str">
        <f t="shared" ca="1" si="10"/>
        <v/>
      </c>
      <c r="Z35" s="378" t="str">
        <f t="shared" ca="1" si="10"/>
        <v/>
      </c>
      <c r="AA35" s="378" t="str">
        <f t="shared" ca="1" si="10"/>
        <v/>
      </c>
      <c r="AB35" s="378" t="str">
        <f t="shared" ca="1" si="10"/>
        <v/>
      </c>
      <c r="AC35" s="378" t="str">
        <f t="shared" ca="1" si="11"/>
        <v/>
      </c>
      <c r="AD35" s="378" t="str">
        <f t="shared" ca="1" si="24"/>
        <v/>
      </c>
      <c r="AE35" s="378" t="str">
        <f t="shared" ca="1" si="24"/>
        <v/>
      </c>
      <c r="AF35" s="378" t="str">
        <f t="shared" ca="1" si="24"/>
        <v/>
      </c>
      <c r="AG35" s="378" t="str">
        <f t="shared" ca="1" si="24"/>
        <v/>
      </c>
      <c r="AH35" s="378" t="str">
        <f t="shared" ca="1" si="24"/>
        <v/>
      </c>
      <c r="AI35" s="376" t="str">
        <f t="shared" ca="1" si="22"/>
        <v/>
      </c>
      <c r="AJ35" s="377" t="str">
        <f t="shared" ca="1" si="23"/>
        <v/>
      </c>
      <c r="AK35" s="378" t="str">
        <f t="shared" ca="1" si="13"/>
        <v/>
      </c>
      <c r="AL35" s="378" t="str">
        <f t="shared" ca="1" si="13"/>
        <v/>
      </c>
      <c r="AM35" s="378" t="str">
        <f t="shared" ca="1" si="13"/>
        <v/>
      </c>
      <c r="AN35" s="378" t="str">
        <f t="shared" ca="1" si="13"/>
        <v/>
      </c>
      <c r="AO35" s="378" t="str">
        <f t="shared" ca="1" si="14"/>
        <v/>
      </c>
      <c r="AP35" s="378" t="str">
        <f t="shared" ca="1" si="25"/>
        <v/>
      </c>
      <c r="AQ35" s="378" t="str">
        <f t="shared" ca="1" si="25"/>
        <v/>
      </c>
      <c r="AR35" s="378" t="str">
        <f t="shared" ca="1" si="25"/>
        <v/>
      </c>
      <c r="AS35" s="378" t="str">
        <f t="shared" ca="1" si="25"/>
        <v/>
      </c>
      <c r="AT35" s="378" t="str">
        <f t="shared" ca="1" si="25"/>
        <v/>
      </c>
    </row>
    <row r="36" spans="1:46" x14ac:dyDescent="0.4">
      <c r="A36" s="150">
        <v>21</v>
      </c>
      <c r="B36" s="204" t="b">
        <f t="shared" si="16"/>
        <v>0</v>
      </c>
      <c r="C36" s="209" t="str">
        <f t="shared" ca="1" si="17"/>
        <v/>
      </c>
      <c r="D36" s="359" t="str">
        <f t="shared" ca="1" si="18"/>
        <v/>
      </c>
      <c r="E36" s="359" t="str">
        <f t="shared" ca="1" si="19"/>
        <v/>
      </c>
      <c r="F36" s="57" t="str">
        <f t="shared" ca="1" si="19"/>
        <v/>
      </c>
      <c r="G36" s="57" t="str">
        <f t="shared" ca="1" si="19"/>
        <v/>
      </c>
      <c r="H36" s="211" t="str" cm="1">
        <f t="array" aca="1" ref="H36" ca="1">IFERROR(INDEX($C$16:$C$116,SMALL(IF($C$16:$C$116&lt;&gt;"",ROW($C$16:$C$116)-ROW($C$16)+1),ROW(A21))),"")</f>
        <v/>
      </c>
      <c r="I36" s="210" t="str" cm="1">
        <f t="array" aca="1" ref="I36" ca="1">IFERROR(INDEX($D$16:$D$116,SMALL(IF($D$16:$D$116&lt;&gt;"",ROW($D$16:$D$116)-ROW($D$16)+1),ROW(A21))),"")</f>
        <v/>
      </c>
      <c r="J36" s="210" t="str" cm="1">
        <f t="array" aca="1" ref="J36" ca="1">IFERROR(INDEX($E$16:$E$116,SMALL(IF($E$16:$E$116&lt;&gt;"",ROW($E$16:$E$116)-ROW($E$16)+1),ROW(A21))),"")</f>
        <v/>
      </c>
      <c r="K36" s="210" t="str" cm="1">
        <f t="array" aca="1" ref="K36" ca="1">IFERROR(INDEX($F$16:$F$116,SMALL(IF($F$16:$F$116&lt;&gt;"",ROW($F$16:$F$116)-ROW($F$16)+1),ROW(A21))),"")</f>
        <v/>
      </c>
      <c r="L36" s="210" t="str">
        <f t="shared" ca="1" si="0"/>
        <v/>
      </c>
      <c r="M36" s="210" t="str" cm="1">
        <f t="array" aca="1" ref="M36" ca="1">IFERROR(INDEX($G$16:$G$116,SMALL(IF($G$16:$G$116&lt;&gt;"",ROW($G$16:$G$116)-ROW($G$16)+1),ROW(A21))),"")</f>
        <v/>
      </c>
      <c r="N36" s="215" t="str">
        <f t="shared" ca="1" si="1"/>
        <v/>
      </c>
      <c r="O36" s="216" t="str">
        <f t="shared" ca="1" si="2"/>
        <v/>
      </c>
      <c r="P36" s="216" t="str">
        <f t="shared" ca="1" si="3"/>
        <v/>
      </c>
      <c r="Q36" s="216" t="str">
        <f t="shared" ca="1" si="4"/>
        <v/>
      </c>
      <c r="R36" s="216" t="str">
        <f t="shared" ca="1" si="5"/>
        <v/>
      </c>
      <c r="S36" s="216" t="str">
        <f t="shared" ca="1" si="6"/>
        <v/>
      </c>
      <c r="T36" s="216" t="str">
        <f t="shared" ca="1" si="7"/>
        <v/>
      </c>
      <c r="U36" s="216" t="str">
        <f t="shared" ca="1" si="8"/>
        <v/>
      </c>
      <c r="V36" s="217" t="str">
        <f t="shared" ca="1" si="9"/>
        <v/>
      </c>
      <c r="W36" s="376" t="str">
        <f t="shared" ca="1" si="20"/>
        <v/>
      </c>
      <c r="X36" s="377" t="str">
        <f t="shared" ca="1" si="21"/>
        <v/>
      </c>
      <c r="Y36" s="378" t="str">
        <f t="shared" ref="Y36:AB55" ca="1" si="26">IF($H36&lt;&gt;"",IF(_xlfn.SINGLE(INDIRECT($H36&amp;"!"&amp;$W36&amp;($X36+Y$15+1)))&lt;&gt;"",_xlfn.SINGLE(INDIRECT($H36&amp;"!"&amp;$W36&amp;($X36+Y$15+1))),""),"")</f>
        <v/>
      </c>
      <c r="Z36" s="378" t="str">
        <f t="shared" ca="1" si="26"/>
        <v/>
      </c>
      <c r="AA36" s="378" t="str">
        <f t="shared" ca="1" si="26"/>
        <v/>
      </c>
      <c r="AB36" s="378" t="str">
        <f t="shared" ca="1" si="26"/>
        <v/>
      </c>
      <c r="AC36" s="378" t="str">
        <f t="shared" ca="1" si="11"/>
        <v/>
      </c>
      <c r="AD36" s="378" t="str">
        <f t="shared" ca="1" si="24"/>
        <v/>
      </c>
      <c r="AE36" s="378" t="str">
        <f t="shared" ca="1" si="24"/>
        <v/>
      </c>
      <c r="AF36" s="378" t="str">
        <f t="shared" ca="1" si="24"/>
        <v/>
      </c>
      <c r="AG36" s="378" t="str">
        <f t="shared" ca="1" si="24"/>
        <v/>
      </c>
      <c r="AH36" s="378" t="str">
        <f t="shared" ca="1" si="24"/>
        <v/>
      </c>
      <c r="AI36" s="376" t="str">
        <f t="shared" ca="1" si="22"/>
        <v/>
      </c>
      <c r="AJ36" s="377" t="str">
        <f t="shared" ca="1" si="23"/>
        <v/>
      </c>
      <c r="AK36" s="378" t="str">
        <f t="shared" ref="AK36:AN55" ca="1" si="27">IF($H36&lt;&gt;"",IF(_xlfn.SINGLE(INDIRECT($H36&amp;"!"&amp;$AI36&amp;($AJ36+AK$15+1)))&lt;&gt;"",_xlfn.SINGLE(INDIRECT($H36&amp;"!"&amp;$AI36&amp;($AJ36+AK$15+1))),""),"")</f>
        <v/>
      </c>
      <c r="AL36" s="378" t="str">
        <f t="shared" ca="1" si="27"/>
        <v/>
      </c>
      <c r="AM36" s="378" t="str">
        <f t="shared" ca="1" si="27"/>
        <v/>
      </c>
      <c r="AN36" s="378" t="str">
        <f t="shared" ca="1" si="27"/>
        <v/>
      </c>
      <c r="AO36" s="378" t="str">
        <f t="shared" ca="1" si="14"/>
        <v/>
      </c>
      <c r="AP36" s="378" t="str">
        <f t="shared" ca="1" si="25"/>
        <v/>
      </c>
      <c r="AQ36" s="378" t="str">
        <f t="shared" ca="1" si="25"/>
        <v/>
      </c>
      <c r="AR36" s="378" t="str">
        <f t="shared" ca="1" si="25"/>
        <v/>
      </c>
      <c r="AS36" s="378" t="str">
        <f t="shared" ca="1" si="25"/>
        <v/>
      </c>
      <c r="AT36" s="378" t="str">
        <f t="shared" ca="1" si="25"/>
        <v/>
      </c>
    </row>
    <row r="37" spans="1:46" x14ac:dyDescent="0.4">
      <c r="A37" s="150">
        <v>22</v>
      </c>
      <c r="B37" s="204" t="b">
        <f t="shared" si="16"/>
        <v>0</v>
      </c>
      <c r="C37" s="209" t="str">
        <f t="shared" ca="1" si="17"/>
        <v/>
      </c>
      <c r="D37" s="359" t="str">
        <f t="shared" ca="1" si="18"/>
        <v/>
      </c>
      <c r="E37" s="359" t="str">
        <f t="shared" ca="1" si="19"/>
        <v/>
      </c>
      <c r="F37" s="57" t="str">
        <f t="shared" ca="1" si="19"/>
        <v/>
      </c>
      <c r="G37" s="57" t="str">
        <f t="shared" ca="1" si="19"/>
        <v/>
      </c>
      <c r="H37" s="211" t="str" cm="1">
        <f t="array" aca="1" ref="H37" ca="1">IFERROR(INDEX($C$16:$C$116,SMALL(IF($C$16:$C$116&lt;&gt;"",ROW($C$16:$C$116)-ROW($C$16)+1),ROW(A22))),"")</f>
        <v/>
      </c>
      <c r="I37" s="210" t="str" cm="1">
        <f t="array" aca="1" ref="I37" ca="1">IFERROR(INDEX($D$16:$D$116,SMALL(IF($D$16:$D$116&lt;&gt;"",ROW($D$16:$D$116)-ROW($D$16)+1),ROW(A22))),"")</f>
        <v/>
      </c>
      <c r="J37" s="210" t="str" cm="1">
        <f t="array" aca="1" ref="J37" ca="1">IFERROR(INDEX($E$16:$E$116,SMALL(IF($E$16:$E$116&lt;&gt;"",ROW($E$16:$E$116)-ROW($E$16)+1),ROW(A22))),"")</f>
        <v/>
      </c>
      <c r="K37" s="210" t="str" cm="1">
        <f t="array" aca="1" ref="K37" ca="1">IFERROR(INDEX($F$16:$F$116,SMALL(IF($F$16:$F$116&lt;&gt;"",ROW($F$16:$F$116)-ROW($F$16)+1),ROW(A22))),"")</f>
        <v/>
      </c>
      <c r="L37" s="210" t="str">
        <f t="shared" ca="1" si="0"/>
        <v/>
      </c>
      <c r="M37" s="210" t="str" cm="1">
        <f t="array" aca="1" ref="M37" ca="1">IFERROR(INDEX($G$16:$G$116,SMALL(IF($G$16:$G$116&lt;&gt;"",ROW($G$16:$G$116)-ROW($G$16)+1),ROW(A22))),"")</f>
        <v/>
      </c>
      <c r="N37" s="215" t="str">
        <f t="shared" ca="1" si="1"/>
        <v/>
      </c>
      <c r="O37" s="216" t="str">
        <f t="shared" ca="1" si="2"/>
        <v/>
      </c>
      <c r="P37" s="216" t="str">
        <f t="shared" ca="1" si="3"/>
        <v/>
      </c>
      <c r="Q37" s="216" t="str">
        <f t="shared" ca="1" si="4"/>
        <v/>
      </c>
      <c r="R37" s="216" t="str">
        <f t="shared" ca="1" si="5"/>
        <v/>
      </c>
      <c r="S37" s="216" t="str">
        <f t="shared" ca="1" si="6"/>
        <v/>
      </c>
      <c r="T37" s="216" t="str">
        <f t="shared" ca="1" si="7"/>
        <v/>
      </c>
      <c r="U37" s="216" t="str">
        <f t="shared" ca="1" si="8"/>
        <v/>
      </c>
      <c r="V37" s="217" t="str">
        <f t="shared" ca="1" si="9"/>
        <v/>
      </c>
      <c r="W37" s="376" t="str">
        <f t="shared" ca="1" si="20"/>
        <v/>
      </c>
      <c r="X37" s="377" t="str">
        <f t="shared" ca="1" si="21"/>
        <v/>
      </c>
      <c r="Y37" s="378" t="str">
        <f t="shared" ca="1" si="26"/>
        <v/>
      </c>
      <c r="Z37" s="378" t="str">
        <f t="shared" ca="1" si="26"/>
        <v/>
      </c>
      <c r="AA37" s="378" t="str">
        <f t="shared" ca="1" si="26"/>
        <v/>
      </c>
      <c r="AB37" s="378" t="str">
        <f t="shared" ca="1" si="26"/>
        <v/>
      </c>
      <c r="AC37" s="378" t="str">
        <f t="shared" ca="1" si="11"/>
        <v/>
      </c>
      <c r="AD37" s="378" t="str">
        <f t="shared" ca="1" si="24"/>
        <v/>
      </c>
      <c r="AE37" s="378" t="str">
        <f t="shared" ca="1" si="24"/>
        <v/>
      </c>
      <c r="AF37" s="378" t="str">
        <f t="shared" ca="1" si="24"/>
        <v/>
      </c>
      <c r="AG37" s="378" t="str">
        <f t="shared" ca="1" si="24"/>
        <v/>
      </c>
      <c r="AH37" s="378" t="str">
        <f t="shared" ca="1" si="24"/>
        <v/>
      </c>
      <c r="AI37" s="376" t="str">
        <f t="shared" ca="1" si="22"/>
        <v/>
      </c>
      <c r="AJ37" s="377" t="str">
        <f t="shared" ca="1" si="23"/>
        <v/>
      </c>
      <c r="AK37" s="378" t="str">
        <f t="shared" ca="1" si="27"/>
        <v/>
      </c>
      <c r="AL37" s="378" t="str">
        <f t="shared" ca="1" si="27"/>
        <v/>
      </c>
      <c r="AM37" s="378" t="str">
        <f t="shared" ca="1" si="27"/>
        <v/>
      </c>
      <c r="AN37" s="378" t="str">
        <f t="shared" ca="1" si="27"/>
        <v/>
      </c>
      <c r="AO37" s="378" t="str">
        <f t="shared" ca="1" si="14"/>
        <v/>
      </c>
      <c r="AP37" s="378" t="str">
        <f t="shared" ca="1" si="25"/>
        <v/>
      </c>
      <c r="AQ37" s="378" t="str">
        <f t="shared" ca="1" si="25"/>
        <v/>
      </c>
      <c r="AR37" s="378" t="str">
        <f t="shared" ca="1" si="25"/>
        <v/>
      </c>
      <c r="AS37" s="378" t="str">
        <f t="shared" ca="1" si="25"/>
        <v/>
      </c>
      <c r="AT37" s="378" t="str">
        <f t="shared" ca="1" si="25"/>
        <v/>
      </c>
    </row>
    <row r="38" spans="1:46" x14ac:dyDescent="0.4">
      <c r="A38" s="150">
        <v>23</v>
      </c>
      <c r="B38" s="204" t="b">
        <f t="shared" si="16"/>
        <v>0</v>
      </c>
      <c r="C38" s="209" t="str">
        <f t="shared" ca="1" si="17"/>
        <v/>
      </c>
      <c r="D38" s="359" t="str">
        <f t="shared" ca="1" si="18"/>
        <v/>
      </c>
      <c r="E38" s="359" t="str">
        <f t="shared" ca="1" si="19"/>
        <v/>
      </c>
      <c r="F38" s="57" t="str">
        <f t="shared" ca="1" si="19"/>
        <v/>
      </c>
      <c r="G38" s="57" t="str">
        <f t="shared" ca="1" si="19"/>
        <v/>
      </c>
      <c r="H38" s="211" t="str" cm="1">
        <f t="array" aca="1" ref="H38" ca="1">IFERROR(INDEX($C$16:$C$116,SMALL(IF($C$16:$C$116&lt;&gt;"",ROW($C$16:$C$116)-ROW($C$16)+1),ROW(A23))),"")</f>
        <v/>
      </c>
      <c r="I38" s="210" t="str" cm="1">
        <f t="array" aca="1" ref="I38" ca="1">IFERROR(INDEX($D$16:$D$116,SMALL(IF($D$16:$D$116&lt;&gt;"",ROW($D$16:$D$116)-ROW($D$16)+1),ROW(A23))),"")</f>
        <v/>
      </c>
      <c r="J38" s="210" t="str" cm="1">
        <f t="array" aca="1" ref="J38" ca="1">IFERROR(INDEX($E$16:$E$116,SMALL(IF($E$16:$E$116&lt;&gt;"",ROW($E$16:$E$116)-ROW($E$16)+1),ROW(A23))),"")</f>
        <v/>
      </c>
      <c r="K38" s="210" t="str" cm="1">
        <f t="array" aca="1" ref="K38" ca="1">IFERROR(INDEX($F$16:$F$116,SMALL(IF($F$16:$F$116&lt;&gt;"",ROW($F$16:$F$116)-ROW($F$16)+1),ROW(A23))),"")</f>
        <v/>
      </c>
      <c r="L38" s="210" t="str">
        <f t="shared" ca="1" si="0"/>
        <v/>
      </c>
      <c r="M38" s="210" t="str" cm="1">
        <f t="array" aca="1" ref="M38" ca="1">IFERROR(INDEX($G$16:$G$116,SMALL(IF($G$16:$G$116&lt;&gt;"",ROW($G$16:$G$116)-ROW($G$16)+1),ROW(A23))),"")</f>
        <v/>
      </c>
      <c r="N38" s="215" t="str">
        <f t="shared" ca="1" si="1"/>
        <v/>
      </c>
      <c r="O38" s="216" t="str">
        <f t="shared" ca="1" si="2"/>
        <v/>
      </c>
      <c r="P38" s="216" t="str">
        <f t="shared" ca="1" si="3"/>
        <v/>
      </c>
      <c r="Q38" s="216" t="str">
        <f t="shared" ca="1" si="4"/>
        <v/>
      </c>
      <c r="R38" s="216" t="str">
        <f t="shared" ca="1" si="5"/>
        <v/>
      </c>
      <c r="S38" s="216" t="str">
        <f t="shared" ca="1" si="6"/>
        <v/>
      </c>
      <c r="T38" s="216" t="str">
        <f t="shared" ca="1" si="7"/>
        <v/>
      </c>
      <c r="U38" s="216" t="str">
        <f t="shared" ca="1" si="8"/>
        <v/>
      </c>
      <c r="V38" s="217" t="str">
        <f t="shared" ca="1" si="9"/>
        <v/>
      </c>
      <c r="W38" s="376" t="str">
        <f t="shared" ca="1" si="20"/>
        <v/>
      </c>
      <c r="X38" s="377" t="str">
        <f t="shared" ca="1" si="21"/>
        <v/>
      </c>
      <c r="Y38" s="378" t="str">
        <f t="shared" ca="1" si="26"/>
        <v/>
      </c>
      <c r="Z38" s="378" t="str">
        <f t="shared" ca="1" si="26"/>
        <v/>
      </c>
      <c r="AA38" s="378" t="str">
        <f t="shared" ca="1" si="26"/>
        <v/>
      </c>
      <c r="AB38" s="378" t="str">
        <f t="shared" ca="1" si="26"/>
        <v/>
      </c>
      <c r="AC38" s="378" t="str">
        <f t="shared" ca="1" si="11"/>
        <v/>
      </c>
      <c r="AD38" s="378" t="str">
        <f t="shared" ca="1" si="24"/>
        <v/>
      </c>
      <c r="AE38" s="378" t="str">
        <f t="shared" ca="1" si="24"/>
        <v/>
      </c>
      <c r="AF38" s="378" t="str">
        <f t="shared" ca="1" si="24"/>
        <v/>
      </c>
      <c r="AG38" s="378" t="str">
        <f t="shared" ca="1" si="24"/>
        <v/>
      </c>
      <c r="AH38" s="378" t="str">
        <f t="shared" ca="1" si="24"/>
        <v/>
      </c>
      <c r="AI38" s="376" t="str">
        <f t="shared" ca="1" si="22"/>
        <v/>
      </c>
      <c r="AJ38" s="377" t="str">
        <f t="shared" ca="1" si="23"/>
        <v/>
      </c>
      <c r="AK38" s="378" t="str">
        <f t="shared" ca="1" si="27"/>
        <v/>
      </c>
      <c r="AL38" s="378" t="str">
        <f t="shared" ca="1" si="27"/>
        <v/>
      </c>
      <c r="AM38" s="378" t="str">
        <f t="shared" ca="1" si="27"/>
        <v/>
      </c>
      <c r="AN38" s="378" t="str">
        <f t="shared" ca="1" si="27"/>
        <v/>
      </c>
      <c r="AO38" s="378" t="str">
        <f t="shared" ca="1" si="14"/>
        <v/>
      </c>
      <c r="AP38" s="378" t="str">
        <f t="shared" ca="1" si="25"/>
        <v/>
      </c>
      <c r="AQ38" s="378" t="str">
        <f t="shared" ca="1" si="25"/>
        <v/>
      </c>
      <c r="AR38" s="378" t="str">
        <f t="shared" ca="1" si="25"/>
        <v/>
      </c>
      <c r="AS38" s="378" t="str">
        <f t="shared" ca="1" si="25"/>
        <v/>
      </c>
      <c r="AT38" s="378" t="str">
        <f t="shared" ca="1" si="25"/>
        <v/>
      </c>
    </row>
    <row r="39" spans="1:46" x14ac:dyDescent="0.4">
      <c r="A39" s="150">
        <v>24</v>
      </c>
      <c r="B39" s="204" t="b">
        <f t="shared" si="16"/>
        <v>0</v>
      </c>
      <c r="C39" s="209" t="str">
        <f t="shared" ca="1" si="17"/>
        <v/>
      </c>
      <c r="D39" s="359" t="str">
        <f t="shared" ca="1" si="18"/>
        <v/>
      </c>
      <c r="E39" s="359" t="str">
        <f t="shared" ca="1" si="19"/>
        <v/>
      </c>
      <c r="F39" s="57" t="str">
        <f t="shared" ca="1" si="19"/>
        <v/>
      </c>
      <c r="G39" s="57" t="str">
        <f t="shared" ca="1" si="19"/>
        <v/>
      </c>
      <c r="H39" s="211" t="str" cm="1">
        <f t="array" aca="1" ref="H39" ca="1">IFERROR(INDEX($C$16:$C$116,SMALL(IF($C$16:$C$116&lt;&gt;"",ROW($C$16:$C$116)-ROW($C$16)+1),ROW(A24))),"")</f>
        <v/>
      </c>
      <c r="I39" s="210" t="str" cm="1">
        <f t="array" aca="1" ref="I39" ca="1">IFERROR(INDEX($D$16:$D$116,SMALL(IF($D$16:$D$116&lt;&gt;"",ROW($D$16:$D$116)-ROW($D$16)+1),ROW(A24))),"")</f>
        <v/>
      </c>
      <c r="J39" s="210" t="str" cm="1">
        <f t="array" aca="1" ref="J39" ca="1">IFERROR(INDEX($E$16:$E$116,SMALL(IF($E$16:$E$116&lt;&gt;"",ROW($E$16:$E$116)-ROW($E$16)+1),ROW(A24))),"")</f>
        <v/>
      </c>
      <c r="K39" s="210" t="str" cm="1">
        <f t="array" aca="1" ref="K39" ca="1">IFERROR(INDEX($F$16:$F$116,SMALL(IF($F$16:$F$116&lt;&gt;"",ROW($F$16:$F$116)-ROW($F$16)+1),ROW(A24))),"")</f>
        <v/>
      </c>
      <c r="L39" s="210" t="str">
        <f t="shared" ca="1" si="0"/>
        <v/>
      </c>
      <c r="M39" s="210" t="str" cm="1">
        <f t="array" aca="1" ref="M39" ca="1">IFERROR(INDEX($G$16:$G$116,SMALL(IF($G$16:$G$116&lt;&gt;"",ROW($G$16:$G$116)-ROW($G$16)+1),ROW(A24))),"")</f>
        <v/>
      </c>
      <c r="N39" s="215" t="str">
        <f t="shared" ca="1" si="1"/>
        <v/>
      </c>
      <c r="O39" s="216" t="str">
        <f t="shared" ca="1" si="2"/>
        <v/>
      </c>
      <c r="P39" s="216" t="str">
        <f t="shared" ca="1" si="3"/>
        <v/>
      </c>
      <c r="Q39" s="216" t="str">
        <f t="shared" ca="1" si="4"/>
        <v/>
      </c>
      <c r="R39" s="216" t="str">
        <f t="shared" ca="1" si="5"/>
        <v/>
      </c>
      <c r="S39" s="216" t="str">
        <f t="shared" ca="1" si="6"/>
        <v/>
      </c>
      <c r="T39" s="216" t="str">
        <f t="shared" ca="1" si="7"/>
        <v/>
      </c>
      <c r="U39" s="216" t="str">
        <f t="shared" ca="1" si="8"/>
        <v/>
      </c>
      <c r="V39" s="217" t="str">
        <f t="shared" ca="1" si="9"/>
        <v/>
      </c>
      <c r="W39" s="376" t="str">
        <f t="shared" ca="1" si="20"/>
        <v/>
      </c>
      <c r="X39" s="377" t="str">
        <f t="shared" ca="1" si="21"/>
        <v/>
      </c>
      <c r="Y39" s="378" t="str">
        <f t="shared" ca="1" si="26"/>
        <v/>
      </c>
      <c r="Z39" s="378" t="str">
        <f t="shared" ca="1" si="26"/>
        <v/>
      </c>
      <c r="AA39" s="378" t="str">
        <f t="shared" ca="1" si="26"/>
        <v/>
      </c>
      <c r="AB39" s="378" t="str">
        <f t="shared" ca="1" si="26"/>
        <v/>
      </c>
      <c r="AC39" s="378" t="str">
        <f t="shared" ca="1" si="11"/>
        <v/>
      </c>
      <c r="AD39" s="378" t="str">
        <f t="shared" ca="1" si="24"/>
        <v/>
      </c>
      <c r="AE39" s="378" t="str">
        <f t="shared" ca="1" si="24"/>
        <v/>
      </c>
      <c r="AF39" s="378" t="str">
        <f t="shared" ca="1" si="24"/>
        <v/>
      </c>
      <c r="AG39" s="378" t="str">
        <f t="shared" ca="1" si="24"/>
        <v/>
      </c>
      <c r="AH39" s="378" t="str">
        <f t="shared" ca="1" si="24"/>
        <v/>
      </c>
      <c r="AI39" s="376" t="str">
        <f t="shared" ca="1" si="22"/>
        <v/>
      </c>
      <c r="AJ39" s="377" t="str">
        <f t="shared" ca="1" si="23"/>
        <v/>
      </c>
      <c r="AK39" s="378" t="str">
        <f t="shared" ca="1" si="27"/>
        <v/>
      </c>
      <c r="AL39" s="378" t="str">
        <f t="shared" ca="1" si="27"/>
        <v/>
      </c>
      <c r="AM39" s="378" t="str">
        <f t="shared" ca="1" si="27"/>
        <v/>
      </c>
      <c r="AN39" s="378" t="str">
        <f t="shared" ca="1" si="27"/>
        <v/>
      </c>
      <c r="AO39" s="378" t="str">
        <f t="shared" ca="1" si="14"/>
        <v/>
      </c>
      <c r="AP39" s="378" t="str">
        <f t="shared" ca="1" si="25"/>
        <v/>
      </c>
      <c r="AQ39" s="378" t="str">
        <f t="shared" ca="1" si="25"/>
        <v/>
      </c>
      <c r="AR39" s="378" t="str">
        <f t="shared" ca="1" si="25"/>
        <v/>
      </c>
      <c r="AS39" s="378" t="str">
        <f t="shared" ca="1" si="25"/>
        <v/>
      </c>
      <c r="AT39" s="378" t="str">
        <f t="shared" ca="1" si="25"/>
        <v/>
      </c>
    </row>
    <row r="40" spans="1:46" x14ac:dyDescent="0.4">
      <c r="A40" s="150">
        <v>25</v>
      </c>
      <c r="B40" s="204" t="b">
        <f t="shared" si="16"/>
        <v>0</v>
      </c>
      <c r="C40" s="209" t="str">
        <f t="shared" ca="1" si="17"/>
        <v/>
      </c>
      <c r="D40" s="359" t="str">
        <f t="shared" ca="1" si="18"/>
        <v/>
      </c>
      <c r="E40" s="359" t="str">
        <f t="shared" ca="1" si="19"/>
        <v/>
      </c>
      <c r="F40" s="57" t="str">
        <f t="shared" ca="1" si="19"/>
        <v/>
      </c>
      <c r="G40" s="57" t="str">
        <f t="shared" ca="1" si="19"/>
        <v/>
      </c>
      <c r="H40" s="211" t="str" cm="1">
        <f t="array" aca="1" ref="H40" ca="1">IFERROR(INDEX($C$16:$C$116,SMALL(IF($C$16:$C$116&lt;&gt;"",ROW($C$16:$C$116)-ROW($C$16)+1),ROW(A25))),"")</f>
        <v/>
      </c>
      <c r="I40" s="210" t="str" cm="1">
        <f t="array" aca="1" ref="I40" ca="1">IFERROR(INDEX($D$16:$D$116,SMALL(IF($D$16:$D$116&lt;&gt;"",ROW($D$16:$D$116)-ROW($D$16)+1),ROW(A25))),"")</f>
        <v/>
      </c>
      <c r="J40" s="210" t="str" cm="1">
        <f t="array" aca="1" ref="J40" ca="1">IFERROR(INDEX($E$16:$E$116,SMALL(IF($E$16:$E$116&lt;&gt;"",ROW($E$16:$E$116)-ROW($E$16)+1),ROW(A25))),"")</f>
        <v/>
      </c>
      <c r="K40" s="210" t="str" cm="1">
        <f t="array" aca="1" ref="K40" ca="1">IFERROR(INDEX($F$16:$F$116,SMALL(IF($F$16:$F$116&lt;&gt;"",ROW($F$16:$F$116)-ROW($F$16)+1),ROW(A25))),"")</f>
        <v/>
      </c>
      <c r="L40" s="210" t="str">
        <f t="shared" ca="1" si="0"/>
        <v/>
      </c>
      <c r="M40" s="210" t="str" cm="1">
        <f t="array" aca="1" ref="M40" ca="1">IFERROR(INDEX($G$16:$G$116,SMALL(IF($G$16:$G$116&lt;&gt;"",ROW($G$16:$G$116)-ROW($G$16)+1),ROW(A25))),"")</f>
        <v/>
      </c>
      <c r="N40" s="215" t="str">
        <f t="shared" ca="1" si="1"/>
        <v/>
      </c>
      <c r="O40" s="216" t="str">
        <f t="shared" ca="1" si="2"/>
        <v/>
      </c>
      <c r="P40" s="216" t="str">
        <f t="shared" ca="1" si="3"/>
        <v/>
      </c>
      <c r="Q40" s="216" t="str">
        <f t="shared" ca="1" si="4"/>
        <v/>
      </c>
      <c r="R40" s="216" t="str">
        <f t="shared" ca="1" si="5"/>
        <v/>
      </c>
      <c r="S40" s="216" t="str">
        <f t="shared" ca="1" si="6"/>
        <v/>
      </c>
      <c r="T40" s="216" t="str">
        <f t="shared" ca="1" si="7"/>
        <v/>
      </c>
      <c r="U40" s="216" t="str">
        <f t="shared" ca="1" si="8"/>
        <v/>
      </c>
      <c r="V40" s="217" t="str">
        <f t="shared" ca="1" si="9"/>
        <v/>
      </c>
      <c r="W40" s="376" t="str">
        <f t="shared" ca="1" si="20"/>
        <v/>
      </c>
      <c r="X40" s="377" t="str">
        <f t="shared" ca="1" si="21"/>
        <v/>
      </c>
      <c r="Y40" s="378" t="str">
        <f t="shared" ca="1" si="26"/>
        <v/>
      </c>
      <c r="Z40" s="378" t="str">
        <f t="shared" ca="1" si="26"/>
        <v/>
      </c>
      <c r="AA40" s="378" t="str">
        <f t="shared" ca="1" si="26"/>
        <v/>
      </c>
      <c r="AB40" s="378" t="str">
        <f t="shared" ca="1" si="26"/>
        <v/>
      </c>
      <c r="AC40" s="378" t="str">
        <f t="shared" ca="1" si="11"/>
        <v/>
      </c>
      <c r="AD40" s="378" t="str">
        <f t="shared" ca="1" si="24"/>
        <v/>
      </c>
      <c r="AE40" s="378" t="str">
        <f t="shared" ca="1" si="24"/>
        <v/>
      </c>
      <c r="AF40" s="378" t="str">
        <f t="shared" ca="1" si="24"/>
        <v/>
      </c>
      <c r="AG40" s="378" t="str">
        <f t="shared" ca="1" si="24"/>
        <v/>
      </c>
      <c r="AH40" s="378" t="str">
        <f t="shared" ca="1" si="24"/>
        <v/>
      </c>
      <c r="AI40" s="376" t="str">
        <f t="shared" ca="1" si="22"/>
        <v/>
      </c>
      <c r="AJ40" s="377" t="str">
        <f t="shared" ca="1" si="23"/>
        <v/>
      </c>
      <c r="AK40" s="378" t="str">
        <f t="shared" ca="1" si="27"/>
        <v/>
      </c>
      <c r="AL40" s="378" t="str">
        <f t="shared" ca="1" si="27"/>
        <v/>
      </c>
      <c r="AM40" s="378" t="str">
        <f t="shared" ca="1" si="27"/>
        <v/>
      </c>
      <c r="AN40" s="378" t="str">
        <f t="shared" ca="1" si="27"/>
        <v/>
      </c>
      <c r="AO40" s="378" t="str">
        <f t="shared" ca="1" si="14"/>
        <v/>
      </c>
      <c r="AP40" s="378" t="str">
        <f t="shared" ca="1" si="25"/>
        <v/>
      </c>
      <c r="AQ40" s="378" t="str">
        <f t="shared" ca="1" si="25"/>
        <v/>
      </c>
      <c r="AR40" s="378" t="str">
        <f t="shared" ca="1" si="25"/>
        <v/>
      </c>
      <c r="AS40" s="378" t="str">
        <f t="shared" ca="1" si="25"/>
        <v/>
      </c>
      <c r="AT40" s="378" t="str">
        <f t="shared" ca="1" si="25"/>
        <v/>
      </c>
    </row>
    <row r="41" spans="1:46" x14ac:dyDescent="0.4">
      <c r="A41" s="150">
        <v>26</v>
      </c>
      <c r="B41" s="204" t="b">
        <f t="shared" si="16"/>
        <v>0</v>
      </c>
      <c r="C41" s="209" t="str">
        <f t="shared" ca="1" si="17"/>
        <v/>
      </c>
      <c r="D41" s="359" t="str">
        <f t="shared" ca="1" si="18"/>
        <v/>
      </c>
      <c r="E41" s="359" t="str">
        <f t="shared" ca="1" si="19"/>
        <v/>
      </c>
      <c r="F41" s="57" t="str">
        <f t="shared" ca="1" si="19"/>
        <v/>
      </c>
      <c r="G41" s="57" t="str">
        <f t="shared" ca="1" si="19"/>
        <v/>
      </c>
      <c r="H41" s="211" t="str" cm="1">
        <f t="array" aca="1" ref="H41" ca="1">IFERROR(INDEX($C$16:$C$116,SMALL(IF($C$16:$C$116&lt;&gt;"",ROW($C$16:$C$116)-ROW($C$16)+1),ROW(A26))),"")</f>
        <v/>
      </c>
      <c r="I41" s="210" t="str" cm="1">
        <f t="array" aca="1" ref="I41" ca="1">IFERROR(INDEX($D$16:$D$116,SMALL(IF($D$16:$D$116&lt;&gt;"",ROW($D$16:$D$116)-ROW($D$16)+1),ROW(A26))),"")</f>
        <v/>
      </c>
      <c r="J41" s="210" t="str" cm="1">
        <f t="array" aca="1" ref="J41" ca="1">IFERROR(INDEX($E$16:$E$116,SMALL(IF($E$16:$E$116&lt;&gt;"",ROW($E$16:$E$116)-ROW($E$16)+1),ROW(A26))),"")</f>
        <v/>
      </c>
      <c r="K41" s="210" t="str" cm="1">
        <f t="array" aca="1" ref="K41" ca="1">IFERROR(INDEX($F$16:$F$116,SMALL(IF($F$16:$F$116&lt;&gt;"",ROW($F$16:$F$116)-ROW($F$16)+1),ROW(A26))),"")</f>
        <v/>
      </c>
      <c r="L41" s="210" t="str">
        <f t="shared" ca="1" si="0"/>
        <v/>
      </c>
      <c r="M41" s="210" t="str" cm="1">
        <f t="array" aca="1" ref="M41" ca="1">IFERROR(INDEX($G$16:$G$116,SMALL(IF($G$16:$G$116&lt;&gt;"",ROW($G$16:$G$116)-ROW($G$16)+1),ROW(A26))),"")</f>
        <v/>
      </c>
      <c r="N41" s="215" t="str">
        <f t="shared" ca="1" si="1"/>
        <v/>
      </c>
      <c r="O41" s="216" t="str">
        <f t="shared" ca="1" si="2"/>
        <v/>
      </c>
      <c r="P41" s="216" t="str">
        <f t="shared" ca="1" si="3"/>
        <v/>
      </c>
      <c r="Q41" s="216" t="str">
        <f t="shared" ca="1" si="4"/>
        <v/>
      </c>
      <c r="R41" s="216" t="str">
        <f t="shared" ca="1" si="5"/>
        <v/>
      </c>
      <c r="S41" s="216" t="str">
        <f t="shared" ca="1" si="6"/>
        <v/>
      </c>
      <c r="T41" s="216" t="str">
        <f t="shared" ca="1" si="7"/>
        <v/>
      </c>
      <c r="U41" s="216" t="str">
        <f t="shared" ca="1" si="8"/>
        <v/>
      </c>
      <c r="V41" s="217" t="str">
        <f t="shared" ca="1" si="9"/>
        <v/>
      </c>
      <c r="W41" s="376" t="str">
        <f t="shared" ca="1" si="20"/>
        <v/>
      </c>
      <c r="X41" s="377" t="str">
        <f t="shared" ca="1" si="21"/>
        <v/>
      </c>
      <c r="Y41" s="378" t="str">
        <f t="shared" ca="1" si="26"/>
        <v/>
      </c>
      <c r="Z41" s="378" t="str">
        <f t="shared" ca="1" si="26"/>
        <v/>
      </c>
      <c r="AA41" s="378" t="str">
        <f t="shared" ca="1" si="26"/>
        <v/>
      </c>
      <c r="AB41" s="378" t="str">
        <f t="shared" ca="1" si="26"/>
        <v/>
      </c>
      <c r="AC41" s="378" t="str">
        <f t="shared" ca="1" si="11"/>
        <v/>
      </c>
      <c r="AD41" s="378" t="str">
        <f t="shared" ca="1" si="24"/>
        <v/>
      </c>
      <c r="AE41" s="378" t="str">
        <f t="shared" ca="1" si="24"/>
        <v/>
      </c>
      <c r="AF41" s="378" t="str">
        <f t="shared" ca="1" si="24"/>
        <v/>
      </c>
      <c r="AG41" s="378" t="str">
        <f t="shared" ca="1" si="24"/>
        <v/>
      </c>
      <c r="AH41" s="378" t="str">
        <f t="shared" ca="1" si="24"/>
        <v/>
      </c>
      <c r="AI41" s="376" t="str">
        <f t="shared" ca="1" si="22"/>
        <v/>
      </c>
      <c r="AJ41" s="377" t="str">
        <f t="shared" ca="1" si="23"/>
        <v/>
      </c>
      <c r="AK41" s="378" t="str">
        <f t="shared" ca="1" si="27"/>
        <v/>
      </c>
      <c r="AL41" s="378" t="str">
        <f t="shared" ca="1" si="27"/>
        <v/>
      </c>
      <c r="AM41" s="378" t="str">
        <f t="shared" ca="1" si="27"/>
        <v/>
      </c>
      <c r="AN41" s="378" t="str">
        <f t="shared" ca="1" si="27"/>
        <v/>
      </c>
      <c r="AO41" s="378" t="str">
        <f t="shared" ca="1" si="14"/>
        <v/>
      </c>
      <c r="AP41" s="378" t="str">
        <f t="shared" ca="1" si="25"/>
        <v/>
      </c>
      <c r="AQ41" s="378" t="str">
        <f t="shared" ca="1" si="25"/>
        <v/>
      </c>
      <c r="AR41" s="378" t="str">
        <f t="shared" ca="1" si="25"/>
        <v/>
      </c>
      <c r="AS41" s="378" t="str">
        <f t="shared" ca="1" si="25"/>
        <v/>
      </c>
      <c r="AT41" s="378" t="str">
        <f t="shared" ca="1" si="25"/>
        <v/>
      </c>
    </row>
    <row r="42" spans="1:46" x14ac:dyDescent="0.4">
      <c r="A42" s="150">
        <v>27</v>
      </c>
      <c r="B42" s="204" t="b">
        <f t="shared" si="16"/>
        <v>0</v>
      </c>
      <c r="C42" s="209" t="str">
        <f t="shared" ca="1" si="17"/>
        <v/>
      </c>
      <c r="D42" s="359" t="str">
        <f t="shared" ca="1" si="18"/>
        <v/>
      </c>
      <c r="E42" s="359" t="str">
        <f t="shared" ca="1" si="19"/>
        <v/>
      </c>
      <c r="F42" s="57" t="str">
        <f t="shared" ca="1" si="19"/>
        <v/>
      </c>
      <c r="G42" s="57" t="str">
        <f t="shared" ca="1" si="19"/>
        <v/>
      </c>
      <c r="H42" s="211" t="str" cm="1">
        <f t="array" aca="1" ref="H42" ca="1">IFERROR(INDEX($C$16:$C$116,SMALL(IF($C$16:$C$116&lt;&gt;"",ROW($C$16:$C$116)-ROW($C$16)+1),ROW(A27))),"")</f>
        <v/>
      </c>
      <c r="I42" s="210" t="str" cm="1">
        <f t="array" aca="1" ref="I42" ca="1">IFERROR(INDEX($D$16:$D$116,SMALL(IF($D$16:$D$116&lt;&gt;"",ROW($D$16:$D$116)-ROW($D$16)+1),ROW(A27))),"")</f>
        <v/>
      </c>
      <c r="J42" s="210" t="str" cm="1">
        <f t="array" aca="1" ref="J42" ca="1">IFERROR(INDEX($E$16:$E$116,SMALL(IF($E$16:$E$116&lt;&gt;"",ROW($E$16:$E$116)-ROW($E$16)+1),ROW(A27))),"")</f>
        <v/>
      </c>
      <c r="K42" s="210" t="str" cm="1">
        <f t="array" aca="1" ref="K42" ca="1">IFERROR(INDEX($F$16:$F$116,SMALL(IF($F$16:$F$116&lt;&gt;"",ROW($F$16:$F$116)-ROW($F$16)+1),ROW(A27))),"")</f>
        <v/>
      </c>
      <c r="L42" s="210" t="str">
        <f t="shared" ca="1" si="0"/>
        <v/>
      </c>
      <c r="M42" s="210" t="str" cm="1">
        <f t="array" aca="1" ref="M42" ca="1">IFERROR(INDEX($G$16:$G$116,SMALL(IF($G$16:$G$116&lt;&gt;"",ROW($G$16:$G$116)-ROW($G$16)+1),ROW(A27))),"")</f>
        <v/>
      </c>
      <c r="N42" s="215" t="str">
        <f t="shared" ca="1" si="1"/>
        <v/>
      </c>
      <c r="O42" s="216" t="str">
        <f t="shared" ca="1" si="2"/>
        <v/>
      </c>
      <c r="P42" s="216" t="str">
        <f t="shared" ca="1" si="3"/>
        <v/>
      </c>
      <c r="Q42" s="216" t="str">
        <f t="shared" ca="1" si="4"/>
        <v/>
      </c>
      <c r="R42" s="216" t="str">
        <f t="shared" ca="1" si="5"/>
        <v/>
      </c>
      <c r="S42" s="216" t="str">
        <f t="shared" ca="1" si="6"/>
        <v/>
      </c>
      <c r="T42" s="216" t="str">
        <f t="shared" ca="1" si="7"/>
        <v/>
      </c>
      <c r="U42" s="216" t="str">
        <f t="shared" ca="1" si="8"/>
        <v/>
      </c>
      <c r="V42" s="217" t="str">
        <f t="shared" ca="1" si="9"/>
        <v/>
      </c>
      <c r="W42" s="376" t="str">
        <f t="shared" ca="1" si="20"/>
        <v/>
      </c>
      <c r="X42" s="377" t="str">
        <f t="shared" ca="1" si="21"/>
        <v/>
      </c>
      <c r="Y42" s="378" t="str">
        <f t="shared" ca="1" si="26"/>
        <v/>
      </c>
      <c r="Z42" s="378" t="str">
        <f t="shared" ca="1" si="26"/>
        <v/>
      </c>
      <c r="AA42" s="378" t="str">
        <f t="shared" ca="1" si="26"/>
        <v/>
      </c>
      <c r="AB42" s="378" t="str">
        <f t="shared" ca="1" si="26"/>
        <v/>
      </c>
      <c r="AC42" s="378" t="str">
        <f t="shared" ca="1" si="11"/>
        <v/>
      </c>
      <c r="AD42" s="378" t="str">
        <f t="shared" ca="1" si="24"/>
        <v/>
      </c>
      <c r="AE42" s="378" t="str">
        <f t="shared" ca="1" si="24"/>
        <v/>
      </c>
      <c r="AF42" s="378" t="str">
        <f t="shared" ca="1" si="24"/>
        <v/>
      </c>
      <c r="AG42" s="378" t="str">
        <f t="shared" ca="1" si="24"/>
        <v/>
      </c>
      <c r="AH42" s="378" t="str">
        <f t="shared" ca="1" si="24"/>
        <v/>
      </c>
      <c r="AI42" s="376" t="str">
        <f t="shared" ca="1" si="22"/>
        <v/>
      </c>
      <c r="AJ42" s="377" t="str">
        <f t="shared" ca="1" si="23"/>
        <v/>
      </c>
      <c r="AK42" s="378" t="str">
        <f t="shared" ca="1" si="27"/>
        <v/>
      </c>
      <c r="AL42" s="378" t="str">
        <f t="shared" ca="1" si="27"/>
        <v/>
      </c>
      <c r="AM42" s="378" t="str">
        <f t="shared" ca="1" si="27"/>
        <v/>
      </c>
      <c r="AN42" s="378" t="str">
        <f t="shared" ca="1" si="27"/>
        <v/>
      </c>
      <c r="AO42" s="378" t="str">
        <f t="shared" ca="1" si="14"/>
        <v/>
      </c>
      <c r="AP42" s="378" t="str">
        <f t="shared" ca="1" si="25"/>
        <v/>
      </c>
      <c r="AQ42" s="378" t="str">
        <f t="shared" ca="1" si="25"/>
        <v/>
      </c>
      <c r="AR42" s="378" t="str">
        <f t="shared" ca="1" si="25"/>
        <v/>
      </c>
      <c r="AS42" s="378" t="str">
        <f t="shared" ca="1" si="25"/>
        <v/>
      </c>
      <c r="AT42" s="378" t="str">
        <f t="shared" ca="1" si="25"/>
        <v/>
      </c>
    </row>
    <row r="43" spans="1:46" x14ac:dyDescent="0.4">
      <c r="A43" s="150">
        <v>28</v>
      </c>
      <c r="B43" s="204" t="b">
        <f t="shared" si="16"/>
        <v>0</v>
      </c>
      <c r="C43" s="209" t="str">
        <f t="shared" ca="1" si="17"/>
        <v/>
      </c>
      <c r="D43" s="359" t="str">
        <f t="shared" ca="1" si="18"/>
        <v/>
      </c>
      <c r="E43" s="359" t="str">
        <f t="shared" ca="1" si="19"/>
        <v/>
      </c>
      <c r="F43" s="57" t="str">
        <f t="shared" ca="1" si="19"/>
        <v/>
      </c>
      <c r="G43" s="57" t="str">
        <f t="shared" ca="1" si="19"/>
        <v/>
      </c>
      <c r="H43" s="211" t="str" cm="1">
        <f t="array" aca="1" ref="H43" ca="1">IFERROR(INDEX($C$16:$C$116,SMALL(IF($C$16:$C$116&lt;&gt;"",ROW($C$16:$C$116)-ROW($C$16)+1),ROW(A28))),"")</f>
        <v/>
      </c>
      <c r="I43" s="210" t="str" cm="1">
        <f t="array" aca="1" ref="I43" ca="1">IFERROR(INDEX($D$16:$D$116,SMALL(IF($D$16:$D$116&lt;&gt;"",ROW($D$16:$D$116)-ROW($D$16)+1),ROW(A28))),"")</f>
        <v/>
      </c>
      <c r="J43" s="210" t="str" cm="1">
        <f t="array" aca="1" ref="J43" ca="1">IFERROR(INDEX($E$16:$E$116,SMALL(IF($E$16:$E$116&lt;&gt;"",ROW($E$16:$E$116)-ROW($E$16)+1),ROW(A28))),"")</f>
        <v/>
      </c>
      <c r="K43" s="210" t="str" cm="1">
        <f t="array" aca="1" ref="K43" ca="1">IFERROR(INDEX($F$16:$F$116,SMALL(IF($F$16:$F$116&lt;&gt;"",ROW($F$16:$F$116)-ROW($F$16)+1),ROW(A28))),"")</f>
        <v/>
      </c>
      <c r="L43" s="210" t="str">
        <f t="shared" ca="1" si="0"/>
        <v/>
      </c>
      <c r="M43" s="210" t="str" cm="1">
        <f t="array" aca="1" ref="M43" ca="1">IFERROR(INDEX($G$16:$G$116,SMALL(IF($G$16:$G$116&lt;&gt;"",ROW($G$16:$G$116)-ROW($G$16)+1),ROW(A28))),"")</f>
        <v/>
      </c>
      <c r="N43" s="215" t="str">
        <f t="shared" ca="1" si="1"/>
        <v/>
      </c>
      <c r="O43" s="216" t="str">
        <f t="shared" ca="1" si="2"/>
        <v/>
      </c>
      <c r="P43" s="216" t="str">
        <f t="shared" ca="1" si="3"/>
        <v/>
      </c>
      <c r="Q43" s="216" t="str">
        <f t="shared" ca="1" si="4"/>
        <v/>
      </c>
      <c r="R43" s="216" t="str">
        <f t="shared" ca="1" si="5"/>
        <v/>
      </c>
      <c r="S43" s="216" t="str">
        <f t="shared" ca="1" si="6"/>
        <v/>
      </c>
      <c r="T43" s="216" t="str">
        <f t="shared" ca="1" si="7"/>
        <v/>
      </c>
      <c r="U43" s="216" t="str">
        <f t="shared" ca="1" si="8"/>
        <v/>
      </c>
      <c r="V43" s="217" t="str">
        <f t="shared" ca="1" si="9"/>
        <v/>
      </c>
      <c r="W43" s="376" t="str">
        <f t="shared" ca="1" si="20"/>
        <v/>
      </c>
      <c r="X43" s="377" t="str">
        <f t="shared" ca="1" si="21"/>
        <v/>
      </c>
      <c r="Y43" s="378" t="str">
        <f t="shared" ca="1" si="26"/>
        <v/>
      </c>
      <c r="Z43" s="378" t="str">
        <f t="shared" ca="1" si="26"/>
        <v/>
      </c>
      <c r="AA43" s="378" t="str">
        <f t="shared" ca="1" si="26"/>
        <v/>
      </c>
      <c r="AB43" s="378" t="str">
        <f t="shared" ca="1" si="26"/>
        <v/>
      </c>
      <c r="AC43" s="378" t="str">
        <f t="shared" ca="1" si="11"/>
        <v/>
      </c>
      <c r="AD43" s="378" t="str">
        <f t="shared" ca="1" si="24"/>
        <v/>
      </c>
      <c r="AE43" s="378" t="str">
        <f t="shared" ca="1" si="24"/>
        <v/>
      </c>
      <c r="AF43" s="378" t="str">
        <f t="shared" ca="1" si="24"/>
        <v/>
      </c>
      <c r="AG43" s="378" t="str">
        <f t="shared" ca="1" si="24"/>
        <v/>
      </c>
      <c r="AH43" s="378" t="str">
        <f t="shared" ca="1" si="24"/>
        <v/>
      </c>
      <c r="AI43" s="376" t="str">
        <f t="shared" ca="1" si="22"/>
        <v/>
      </c>
      <c r="AJ43" s="377" t="str">
        <f t="shared" ca="1" si="23"/>
        <v/>
      </c>
      <c r="AK43" s="378" t="str">
        <f t="shared" ca="1" si="27"/>
        <v/>
      </c>
      <c r="AL43" s="378" t="str">
        <f t="shared" ca="1" si="27"/>
        <v/>
      </c>
      <c r="AM43" s="378" t="str">
        <f t="shared" ca="1" si="27"/>
        <v/>
      </c>
      <c r="AN43" s="378" t="str">
        <f t="shared" ca="1" si="27"/>
        <v/>
      </c>
      <c r="AO43" s="378" t="str">
        <f t="shared" ca="1" si="14"/>
        <v/>
      </c>
      <c r="AP43" s="378" t="str">
        <f t="shared" ca="1" si="25"/>
        <v/>
      </c>
      <c r="AQ43" s="378" t="str">
        <f t="shared" ca="1" si="25"/>
        <v/>
      </c>
      <c r="AR43" s="378" t="str">
        <f t="shared" ca="1" si="25"/>
        <v/>
      </c>
      <c r="AS43" s="378" t="str">
        <f t="shared" ca="1" si="25"/>
        <v/>
      </c>
      <c r="AT43" s="378" t="str">
        <f t="shared" ca="1" si="25"/>
        <v/>
      </c>
    </row>
    <row r="44" spans="1:46" x14ac:dyDescent="0.4">
      <c r="A44" s="150">
        <v>29</v>
      </c>
      <c r="B44" s="204" t="b">
        <f t="shared" si="16"/>
        <v>0</v>
      </c>
      <c r="C44" s="209" t="str">
        <f t="shared" ca="1" si="17"/>
        <v/>
      </c>
      <c r="D44" s="359" t="str">
        <f t="shared" ca="1" si="18"/>
        <v/>
      </c>
      <c r="E44" s="359" t="str">
        <f t="shared" ca="1" si="19"/>
        <v/>
      </c>
      <c r="F44" s="57" t="str">
        <f t="shared" ca="1" si="19"/>
        <v/>
      </c>
      <c r="G44" s="57" t="str">
        <f t="shared" ca="1" si="19"/>
        <v/>
      </c>
      <c r="H44" s="211" t="str" cm="1">
        <f t="array" aca="1" ref="H44" ca="1">IFERROR(INDEX($C$16:$C$116,SMALL(IF($C$16:$C$116&lt;&gt;"",ROW($C$16:$C$116)-ROW($C$16)+1),ROW(A29))),"")</f>
        <v/>
      </c>
      <c r="I44" s="210" t="str" cm="1">
        <f t="array" aca="1" ref="I44" ca="1">IFERROR(INDEX($D$16:$D$116,SMALL(IF($D$16:$D$116&lt;&gt;"",ROW($D$16:$D$116)-ROW($D$16)+1),ROW(A29))),"")</f>
        <v/>
      </c>
      <c r="J44" s="210" t="str" cm="1">
        <f t="array" aca="1" ref="J44" ca="1">IFERROR(INDEX($E$16:$E$116,SMALL(IF($E$16:$E$116&lt;&gt;"",ROW($E$16:$E$116)-ROW($E$16)+1),ROW(A29))),"")</f>
        <v/>
      </c>
      <c r="K44" s="210" t="str" cm="1">
        <f t="array" aca="1" ref="K44" ca="1">IFERROR(INDEX($F$16:$F$116,SMALL(IF($F$16:$F$116&lt;&gt;"",ROW($F$16:$F$116)-ROW($F$16)+1),ROW(A29))),"")</f>
        <v/>
      </c>
      <c r="L44" s="210" t="str">
        <f t="shared" ca="1" si="0"/>
        <v/>
      </c>
      <c r="M44" s="210" t="str" cm="1">
        <f t="array" aca="1" ref="M44" ca="1">IFERROR(INDEX($G$16:$G$116,SMALL(IF($G$16:$G$116&lt;&gt;"",ROW($G$16:$G$116)-ROW($G$16)+1),ROW(A29))),"")</f>
        <v/>
      </c>
      <c r="N44" s="215" t="str">
        <f t="shared" ca="1" si="1"/>
        <v/>
      </c>
      <c r="O44" s="216" t="str">
        <f t="shared" ca="1" si="2"/>
        <v/>
      </c>
      <c r="P44" s="216" t="str">
        <f t="shared" ca="1" si="3"/>
        <v/>
      </c>
      <c r="Q44" s="216" t="str">
        <f t="shared" ca="1" si="4"/>
        <v/>
      </c>
      <c r="R44" s="216" t="str">
        <f t="shared" ca="1" si="5"/>
        <v/>
      </c>
      <c r="S44" s="216" t="str">
        <f t="shared" ca="1" si="6"/>
        <v/>
      </c>
      <c r="T44" s="216" t="str">
        <f t="shared" ca="1" si="7"/>
        <v/>
      </c>
      <c r="U44" s="216" t="str">
        <f t="shared" ca="1" si="8"/>
        <v/>
      </c>
      <c r="V44" s="217" t="str">
        <f t="shared" ca="1" si="9"/>
        <v/>
      </c>
      <c r="W44" s="376" t="str">
        <f t="shared" ca="1" si="20"/>
        <v/>
      </c>
      <c r="X44" s="377" t="str">
        <f t="shared" ca="1" si="21"/>
        <v/>
      </c>
      <c r="Y44" s="378" t="str">
        <f t="shared" ca="1" si="26"/>
        <v/>
      </c>
      <c r="Z44" s="378" t="str">
        <f t="shared" ca="1" si="26"/>
        <v/>
      </c>
      <c r="AA44" s="378" t="str">
        <f t="shared" ca="1" si="26"/>
        <v/>
      </c>
      <c r="AB44" s="378" t="str">
        <f t="shared" ca="1" si="26"/>
        <v/>
      </c>
      <c r="AC44" s="378" t="str">
        <f t="shared" ca="1" si="11"/>
        <v/>
      </c>
      <c r="AD44" s="378" t="str">
        <f t="shared" ca="1" si="24"/>
        <v/>
      </c>
      <c r="AE44" s="378" t="str">
        <f t="shared" ca="1" si="24"/>
        <v/>
      </c>
      <c r="AF44" s="378" t="str">
        <f t="shared" ca="1" si="24"/>
        <v/>
      </c>
      <c r="AG44" s="378" t="str">
        <f t="shared" ca="1" si="24"/>
        <v/>
      </c>
      <c r="AH44" s="378" t="str">
        <f t="shared" ca="1" si="24"/>
        <v/>
      </c>
      <c r="AI44" s="376" t="str">
        <f t="shared" ca="1" si="22"/>
        <v/>
      </c>
      <c r="AJ44" s="377" t="str">
        <f t="shared" ca="1" si="23"/>
        <v/>
      </c>
      <c r="AK44" s="378" t="str">
        <f t="shared" ca="1" si="27"/>
        <v/>
      </c>
      <c r="AL44" s="378" t="str">
        <f t="shared" ca="1" si="27"/>
        <v/>
      </c>
      <c r="AM44" s="378" t="str">
        <f t="shared" ca="1" si="27"/>
        <v/>
      </c>
      <c r="AN44" s="378" t="str">
        <f t="shared" ca="1" si="27"/>
        <v/>
      </c>
      <c r="AO44" s="378" t="str">
        <f t="shared" ca="1" si="14"/>
        <v/>
      </c>
      <c r="AP44" s="378" t="str">
        <f t="shared" ca="1" si="25"/>
        <v/>
      </c>
      <c r="AQ44" s="378" t="str">
        <f t="shared" ca="1" si="25"/>
        <v/>
      </c>
      <c r="AR44" s="378" t="str">
        <f t="shared" ca="1" si="25"/>
        <v/>
      </c>
      <c r="AS44" s="378" t="str">
        <f t="shared" ca="1" si="25"/>
        <v/>
      </c>
      <c r="AT44" s="378" t="str">
        <f t="shared" ca="1" si="25"/>
        <v/>
      </c>
    </row>
    <row r="45" spans="1:46" x14ac:dyDescent="0.4">
      <c r="A45" s="150">
        <v>30</v>
      </c>
      <c r="B45" s="204" t="b">
        <f t="shared" si="16"/>
        <v>0</v>
      </c>
      <c r="C45" s="209" t="str">
        <f t="shared" ca="1" si="17"/>
        <v/>
      </c>
      <c r="D45" s="359" t="str">
        <f t="shared" ca="1" si="18"/>
        <v/>
      </c>
      <c r="E45" s="359" t="str">
        <f t="shared" ca="1" si="19"/>
        <v/>
      </c>
      <c r="F45" s="57" t="str">
        <f t="shared" ca="1" si="19"/>
        <v/>
      </c>
      <c r="G45" s="57" t="str">
        <f t="shared" ca="1" si="19"/>
        <v/>
      </c>
      <c r="H45" s="211" t="str" cm="1">
        <f t="array" aca="1" ref="H45" ca="1">IFERROR(INDEX($C$16:$C$116,SMALL(IF($C$16:$C$116&lt;&gt;"",ROW($C$16:$C$116)-ROW($C$16)+1),ROW(A30))),"")</f>
        <v/>
      </c>
      <c r="I45" s="210" t="str" cm="1">
        <f t="array" aca="1" ref="I45" ca="1">IFERROR(INDEX($D$16:$D$116,SMALL(IF($D$16:$D$116&lt;&gt;"",ROW($D$16:$D$116)-ROW($D$16)+1),ROW(A30))),"")</f>
        <v/>
      </c>
      <c r="J45" s="210" t="str" cm="1">
        <f t="array" aca="1" ref="J45" ca="1">IFERROR(INDEX($E$16:$E$116,SMALL(IF($E$16:$E$116&lt;&gt;"",ROW($E$16:$E$116)-ROW($E$16)+1),ROW(A30))),"")</f>
        <v/>
      </c>
      <c r="K45" s="210" t="str" cm="1">
        <f t="array" aca="1" ref="K45" ca="1">IFERROR(INDEX($F$16:$F$116,SMALL(IF($F$16:$F$116&lt;&gt;"",ROW($F$16:$F$116)-ROW($F$16)+1),ROW(A30))),"")</f>
        <v/>
      </c>
      <c r="L45" s="210" t="str">
        <f t="shared" ca="1" si="0"/>
        <v/>
      </c>
      <c r="M45" s="210" t="str" cm="1">
        <f t="array" aca="1" ref="M45" ca="1">IFERROR(INDEX($G$16:$G$116,SMALL(IF($G$16:$G$116&lt;&gt;"",ROW($G$16:$G$116)-ROW($G$16)+1),ROW(A30))),"")</f>
        <v/>
      </c>
      <c r="N45" s="215" t="str">
        <f t="shared" ca="1" si="1"/>
        <v/>
      </c>
      <c r="O45" s="216" t="str">
        <f t="shared" ca="1" si="2"/>
        <v/>
      </c>
      <c r="P45" s="216" t="str">
        <f t="shared" ca="1" si="3"/>
        <v/>
      </c>
      <c r="Q45" s="216" t="str">
        <f t="shared" ca="1" si="4"/>
        <v/>
      </c>
      <c r="R45" s="216" t="str">
        <f t="shared" ca="1" si="5"/>
        <v/>
      </c>
      <c r="S45" s="216" t="str">
        <f t="shared" ca="1" si="6"/>
        <v/>
      </c>
      <c r="T45" s="216" t="str">
        <f t="shared" ca="1" si="7"/>
        <v/>
      </c>
      <c r="U45" s="216" t="str">
        <f t="shared" ca="1" si="8"/>
        <v/>
      </c>
      <c r="V45" s="217" t="str">
        <f t="shared" ca="1" si="9"/>
        <v/>
      </c>
      <c r="W45" s="376" t="str">
        <f t="shared" ca="1" si="20"/>
        <v/>
      </c>
      <c r="X45" s="377" t="str">
        <f t="shared" ca="1" si="21"/>
        <v/>
      </c>
      <c r="Y45" s="378" t="str">
        <f t="shared" ca="1" si="26"/>
        <v/>
      </c>
      <c r="Z45" s="378" t="str">
        <f t="shared" ca="1" si="26"/>
        <v/>
      </c>
      <c r="AA45" s="378" t="str">
        <f t="shared" ca="1" si="26"/>
        <v/>
      </c>
      <c r="AB45" s="378" t="str">
        <f t="shared" ca="1" si="26"/>
        <v/>
      </c>
      <c r="AC45" s="378" t="str">
        <f t="shared" ca="1" si="11"/>
        <v/>
      </c>
      <c r="AD45" s="378" t="str">
        <f t="shared" ca="1" si="24"/>
        <v/>
      </c>
      <c r="AE45" s="378" t="str">
        <f t="shared" ca="1" si="24"/>
        <v/>
      </c>
      <c r="AF45" s="378" t="str">
        <f t="shared" ca="1" si="24"/>
        <v/>
      </c>
      <c r="AG45" s="378" t="str">
        <f t="shared" ca="1" si="24"/>
        <v/>
      </c>
      <c r="AH45" s="378" t="str">
        <f t="shared" ca="1" si="24"/>
        <v/>
      </c>
      <c r="AI45" s="376" t="str">
        <f t="shared" ca="1" si="22"/>
        <v/>
      </c>
      <c r="AJ45" s="377" t="str">
        <f t="shared" ca="1" si="23"/>
        <v/>
      </c>
      <c r="AK45" s="378" t="str">
        <f t="shared" ca="1" si="27"/>
        <v/>
      </c>
      <c r="AL45" s="378" t="str">
        <f t="shared" ca="1" si="27"/>
        <v/>
      </c>
      <c r="AM45" s="378" t="str">
        <f t="shared" ca="1" si="27"/>
        <v/>
      </c>
      <c r="AN45" s="378" t="str">
        <f t="shared" ca="1" si="27"/>
        <v/>
      </c>
      <c r="AO45" s="378" t="str">
        <f t="shared" ca="1" si="14"/>
        <v/>
      </c>
      <c r="AP45" s="378" t="str">
        <f t="shared" ca="1" si="25"/>
        <v/>
      </c>
      <c r="AQ45" s="378" t="str">
        <f t="shared" ca="1" si="25"/>
        <v/>
      </c>
      <c r="AR45" s="378" t="str">
        <f t="shared" ca="1" si="25"/>
        <v/>
      </c>
      <c r="AS45" s="378" t="str">
        <f t="shared" ca="1" si="25"/>
        <v/>
      </c>
      <c r="AT45" s="378" t="str">
        <f t="shared" ca="1" si="25"/>
        <v/>
      </c>
    </row>
    <row r="46" spans="1:46" x14ac:dyDescent="0.4">
      <c r="A46" s="150">
        <v>31</v>
      </c>
      <c r="B46" s="204" t="b">
        <f t="shared" si="16"/>
        <v>0</v>
      </c>
      <c r="C46" s="209" t="str">
        <f t="shared" ca="1" si="17"/>
        <v/>
      </c>
      <c r="D46" s="359" t="str">
        <f t="shared" ca="1" si="18"/>
        <v/>
      </c>
      <c r="E46" s="359" t="str">
        <f t="shared" ca="1" si="19"/>
        <v/>
      </c>
      <c r="F46" s="57" t="str">
        <f t="shared" ca="1" si="19"/>
        <v/>
      </c>
      <c r="G46" s="57" t="str">
        <f t="shared" ca="1" si="19"/>
        <v/>
      </c>
      <c r="H46" s="211" t="str" cm="1">
        <f t="array" aca="1" ref="H46" ca="1">IFERROR(INDEX($C$16:$C$116,SMALL(IF($C$16:$C$116&lt;&gt;"",ROW($C$16:$C$116)-ROW($C$16)+1),ROW(A31))),"")</f>
        <v/>
      </c>
      <c r="I46" s="210" t="str" cm="1">
        <f t="array" aca="1" ref="I46" ca="1">IFERROR(INDEX($D$16:$D$116,SMALL(IF($D$16:$D$116&lt;&gt;"",ROW($D$16:$D$116)-ROW($D$16)+1),ROW(A31))),"")</f>
        <v/>
      </c>
      <c r="J46" s="210" t="str" cm="1">
        <f t="array" aca="1" ref="J46" ca="1">IFERROR(INDEX($E$16:$E$116,SMALL(IF($E$16:$E$116&lt;&gt;"",ROW($E$16:$E$116)-ROW($E$16)+1),ROW(A31))),"")</f>
        <v/>
      </c>
      <c r="K46" s="210" t="str" cm="1">
        <f t="array" aca="1" ref="K46" ca="1">IFERROR(INDEX($F$16:$F$116,SMALL(IF($F$16:$F$116&lt;&gt;"",ROW($F$16:$F$116)-ROW($F$16)+1),ROW(A31))),"")</f>
        <v/>
      </c>
      <c r="L46" s="210" t="str">
        <f t="shared" ca="1" si="0"/>
        <v/>
      </c>
      <c r="M46" s="210" t="str" cm="1">
        <f t="array" aca="1" ref="M46" ca="1">IFERROR(INDEX($G$16:$G$116,SMALL(IF($G$16:$G$116&lt;&gt;"",ROW($G$16:$G$116)-ROW($G$16)+1),ROW(A31))),"")</f>
        <v/>
      </c>
      <c r="N46" s="215" t="str">
        <f t="shared" ca="1" si="1"/>
        <v/>
      </c>
      <c r="O46" s="216" t="str">
        <f t="shared" ca="1" si="2"/>
        <v/>
      </c>
      <c r="P46" s="216" t="str">
        <f t="shared" ca="1" si="3"/>
        <v/>
      </c>
      <c r="Q46" s="216" t="str">
        <f t="shared" ca="1" si="4"/>
        <v/>
      </c>
      <c r="R46" s="216" t="str">
        <f t="shared" ca="1" si="5"/>
        <v/>
      </c>
      <c r="S46" s="216" t="str">
        <f t="shared" ca="1" si="6"/>
        <v/>
      </c>
      <c r="T46" s="216" t="str">
        <f t="shared" ca="1" si="7"/>
        <v/>
      </c>
      <c r="U46" s="216" t="str">
        <f t="shared" ca="1" si="8"/>
        <v/>
      </c>
      <c r="V46" s="217" t="str">
        <f t="shared" ca="1" si="9"/>
        <v/>
      </c>
      <c r="W46" s="376" t="str">
        <f t="shared" ca="1" si="20"/>
        <v/>
      </c>
      <c r="X46" s="377" t="str">
        <f t="shared" ca="1" si="21"/>
        <v/>
      </c>
      <c r="Y46" s="378" t="str">
        <f t="shared" ca="1" si="26"/>
        <v/>
      </c>
      <c r="Z46" s="378" t="str">
        <f t="shared" ca="1" si="26"/>
        <v/>
      </c>
      <c r="AA46" s="378" t="str">
        <f t="shared" ca="1" si="26"/>
        <v/>
      </c>
      <c r="AB46" s="378" t="str">
        <f t="shared" ca="1" si="26"/>
        <v/>
      </c>
      <c r="AC46" s="378" t="str">
        <f t="shared" ca="1" si="11"/>
        <v/>
      </c>
      <c r="AD46" s="378" t="str">
        <f t="shared" ca="1" si="24"/>
        <v/>
      </c>
      <c r="AE46" s="378" t="str">
        <f t="shared" ca="1" si="24"/>
        <v/>
      </c>
      <c r="AF46" s="378" t="str">
        <f t="shared" ca="1" si="24"/>
        <v/>
      </c>
      <c r="AG46" s="378" t="str">
        <f t="shared" ca="1" si="24"/>
        <v/>
      </c>
      <c r="AH46" s="378" t="str">
        <f t="shared" ca="1" si="24"/>
        <v/>
      </c>
      <c r="AI46" s="376" t="str">
        <f t="shared" ca="1" si="22"/>
        <v/>
      </c>
      <c r="AJ46" s="377" t="str">
        <f t="shared" ca="1" si="23"/>
        <v/>
      </c>
      <c r="AK46" s="378" t="str">
        <f t="shared" ca="1" si="27"/>
        <v/>
      </c>
      <c r="AL46" s="378" t="str">
        <f t="shared" ca="1" si="27"/>
        <v/>
      </c>
      <c r="AM46" s="378" t="str">
        <f t="shared" ca="1" si="27"/>
        <v/>
      </c>
      <c r="AN46" s="378" t="str">
        <f t="shared" ca="1" si="27"/>
        <v/>
      </c>
      <c r="AO46" s="378" t="str">
        <f t="shared" ca="1" si="14"/>
        <v/>
      </c>
      <c r="AP46" s="378" t="str">
        <f t="shared" ca="1" si="25"/>
        <v/>
      </c>
      <c r="AQ46" s="378" t="str">
        <f t="shared" ca="1" si="25"/>
        <v/>
      </c>
      <c r="AR46" s="378" t="str">
        <f t="shared" ca="1" si="25"/>
        <v/>
      </c>
      <c r="AS46" s="378" t="str">
        <f t="shared" ca="1" si="25"/>
        <v/>
      </c>
      <c r="AT46" s="378" t="str">
        <f t="shared" ca="1" si="25"/>
        <v/>
      </c>
    </row>
    <row r="47" spans="1:46" x14ac:dyDescent="0.4">
      <c r="A47" s="150">
        <v>32</v>
      </c>
      <c r="B47" s="204" t="b">
        <f t="shared" si="16"/>
        <v>0</v>
      </c>
      <c r="C47" s="209" t="str">
        <f t="shared" ca="1" si="17"/>
        <v/>
      </c>
      <c r="D47" s="359" t="str">
        <f t="shared" ca="1" si="18"/>
        <v/>
      </c>
      <c r="E47" s="359" t="str">
        <f t="shared" ca="1" si="19"/>
        <v/>
      </c>
      <c r="F47" s="57" t="str">
        <f t="shared" ca="1" si="19"/>
        <v/>
      </c>
      <c r="G47" s="57" t="str">
        <f t="shared" ca="1" si="19"/>
        <v/>
      </c>
      <c r="H47" s="211" t="str" cm="1">
        <f t="array" aca="1" ref="H47" ca="1">IFERROR(INDEX($C$16:$C$116,SMALL(IF($C$16:$C$116&lt;&gt;"",ROW($C$16:$C$116)-ROW($C$16)+1),ROW(A32))),"")</f>
        <v/>
      </c>
      <c r="I47" s="210" t="str" cm="1">
        <f t="array" aca="1" ref="I47" ca="1">IFERROR(INDEX($D$16:$D$116,SMALL(IF($D$16:$D$116&lt;&gt;"",ROW($D$16:$D$116)-ROW($D$16)+1),ROW(A32))),"")</f>
        <v/>
      </c>
      <c r="J47" s="210" t="str" cm="1">
        <f t="array" aca="1" ref="J47" ca="1">IFERROR(INDEX($E$16:$E$116,SMALL(IF($E$16:$E$116&lt;&gt;"",ROW($E$16:$E$116)-ROW($E$16)+1),ROW(A32))),"")</f>
        <v/>
      </c>
      <c r="K47" s="210" t="str" cm="1">
        <f t="array" aca="1" ref="K47" ca="1">IFERROR(INDEX($F$16:$F$116,SMALL(IF($F$16:$F$116&lt;&gt;"",ROW($F$16:$F$116)-ROW($F$16)+1),ROW(A32))),"")</f>
        <v/>
      </c>
      <c r="L47" s="210" t="str">
        <f t="shared" ca="1" si="0"/>
        <v/>
      </c>
      <c r="M47" s="210" t="str" cm="1">
        <f t="array" aca="1" ref="M47" ca="1">IFERROR(INDEX($G$16:$G$116,SMALL(IF($G$16:$G$116&lt;&gt;"",ROW($G$16:$G$116)-ROW($G$16)+1),ROW(A32))),"")</f>
        <v/>
      </c>
      <c r="N47" s="215" t="str">
        <f t="shared" ca="1" si="1"/>
        <v/>
      </c>
      <c r="O47" s="216" t="str">
        <f t="shared" ca="1" si="2"/>
        <v/>
      </c>
      <c r="P47" s="216" t="str">
        <f t="shared" ca="1" si="3"/>
        <v/>
      </c>
      <c r="Q47" s="216" t="str">
        <f t="shared" ca="1" si="4"/>
        <v/>
      </c>
      <c r="R47" s="216" t="str">
        <f t="shared" ca="1" si="5"/>
        <v/>
      </c>
      <c r="S47" s="216" t="str">
        <f t="shared" ca="1" si="6"/>
        <v/>
      </c>
      <c r="T47" s="216" t="str">
        <f t="shared" ca="1" si="7"/>
        <v/>
      </c>
      <c r="U47" s="216" t="str">
        <f t="shared" ca="1" si="8"/>
        <v/>
      </c>
      <c r="V47" s="217" t="str">
        <f t="shared" ca="1" si="9"/>
        <v/>
      </c>
      <c r="W47" s="376" t="str">
        <f t="shared" ca="1" si="20"/>
        <v/>
      </c>
      <c r="X47" s="377" t="str">
        <f t="shared" ca="1" si="21"/>
        <v/>
      </c>
      <c r="Y47" s="378" t="str">
        <f t="shared" ca="1" si="26"/>
        <v/>
      </c>
      <c r="Z47" s="378" t="str">
        <f t="shared" ca="1" si="26"/>
        <v/>
      </c>
      <c r="AA47" s="378" t="str">
        <f t="shared" ca="1" si="26"/>
        <v/>
      </c>
      <c r="AB47" s="378" t="str">
        <f t="shared" ca="1" si="26"/>
        <v/>
      </c>
      <c r="AC47" s="378" t="str">
        <f t="shared" ca="1" si="11"/>
        <v/>
      </c>
      <c r="AD47" s="378" t="str">
        <f t="shared" ca="1" si="24"/>
        <v/>
      </c>
      <c r="AE47" s="378" t="str">
        <f t="shared" ca="1" si="24"/>
        <v/>
      </c>
      <c r="AF47" s="378" t="str">
        <f t="shared" ca="1" si="24"/>
        <v/>
      </c>
      <c r="AG47" s="378" t="str">
        <f t="shared" ca="1" si="24"/>
        <v/>
      </c>
      <c r="AH47" s="378" t="str">
        <f t="shared" ca="1" si="24"/>
        <v/>
      </c>
      <c r="AI47" s="376" t="str">
        <f t="shared" ca="1" si="22"/>
        <v/>
      </c>
      <c r="AJ47" s="377" t="str">
        <f t="shared" ca="1" si="23"/>
        <v/>
      </c>
      <c r="AK47" s="378" t="str">
        <f t="shared" ca="1" si="27"/>
        <v/>
      </c>
      <c r="AL47" s="378" t="str">
        <f t="shared" ca="1" si="27"/>
        <v/>
      </c>
      <c r="AM47" s="378" t="str">
        <f t="shared" ca="1" si="27"/>
        <v/>
      </c>
      <c r="AN47" s="378" t="str">
        <f t="shared" ca="1" si="27"/>
        <v/>
      </c>
      <c r="AO47" s="378" t="str">
        <f t="shared" ca="1" si="14"/>
        <v/>
      </c>
      <c r="AP47" s="378" t="str">
        <f t="shared" ca="1" si="25"/>
        <v/>
      </c>
      <c r="AQ47" s="378" t="str">
        <f t="shared" ca="1" si="25"/>
        <v/>
      </c>
      <c r="AR47" s="378" t="str">
        <f t="shared" ca="1" si="25"/>
        <v/>
      </c>
      <c r="AS47" s="378" t="str">
        <f t="shared" ca="1" si="25"/>
        <v/>
      </c>
      <c r="AT47" s="378" t="str">
        <f t="shared" ca="1" si="25"/>
        <v/>
      </c>
    </row>
    <row r="48" spans="1:46" x14ac:dyDescent="0.4">
      <c r="A48" s="150">
        <v>33</v>
      </c>
      <c r="B48" s="204" t="b">
        <f t="shared" si="16"/>
        <v>0</v>
      </c>
      <c r="C48" s="209" t="str">
        <f t="shared" ca="1" si="17"/>
        <v/>
      </c>
      <c r="D48" s="359" t="str">
        <f t="shared" ca="1" si="18"/>
        <v/>
      </c>
      <c r="E48" s="359" t="str">
        <f t="shared" ca="1" si="19"/>
        <v/>
      </c>
      <c r="F48" s="57" t="str">
        <f t="shared" ca="1" si="19"/>
        <v/>
      </c>
      <c r="G48" s="57" t="str">
        <f t="shared" ca="1" si="19"/>
        <v/>
      </c>
      <c r="H48" s="211" t="str" cm="1">
        <f t="array" aca="1" ref="H48" ca="1">IFERROR(INDEX($C$16:$C$116,SMALL(IF($C$16:$C$116&lt;&gt;"",ROW($C$16:$C$116)-ROW($C$16)+1),ROW(A33))),"")</f>
        <v/>
      </c>
      <c r="I48" s="210" t="str" cm="1">
        <f t="array" aca="1" ref="I48" ca="1">IFERROR(INDEX($D$16:$D$116,SMALL(IF($D$16:$D$116&lt;&gt;"",ROW($D$16:$D$116)-ROW($D$16)+1),ROW(A33))),"")</f>
        <v/>
      </c>
      <c r="J48" s="210" t="str" cm="1">
        <f t="array" aca="1" ref="J48" ca="1">IFERROR(INDEX($E$16:$E$116,SMALL(IF($E$16:$E$116&lt;&gt;"",ROW($E$16:$E$116)-ROW($E$16)+1),ROW(A33))),"")</f>
        <v/>
      </c>
      <c r="K48" s="210" t="str" cm="1">
        <f t="array" aca="1" ref="K48" ca="1">IFERROR(INDEX($F$16:$F$116,SMALL(IF($F$16:$F$116&lt;&gt;"",ROW($F$16:$F$116)-ROW($F$16)+1),ROW(A33))),"")</f>
        <v/>
      </c>
      <c r="L48" s="210" t="str">
        <f t="shared" ca="1" si="0"/>
        <v/>
      </c>
      <c r="M48" s="210" t="str" cm="1">
        <f t="array" aca="1" ref="M48" ca="1">IFERROR(INDEX($G$16:$G$116,SMALL(IF($G$16:$G$116&lt;&gt;"",ROW($G$16:$G$116)-ROW($G$16)+1),ROW(A33))),"")</f>
        <v/>
      </c>
      <c r="N48" s="215" t="str">
        <f t="shared" ref="N48:N72" ca="1" si="28">IF($J48&lt;&gt;"",VLOOKUP($J48,$A$5:$F$9,2,FALSE),"")</f>
        <v/>
      </c>
      <c r="O48" s="216" t="str">
        <f t="shared" ref="O48:O72" ca="1" si="29">IF($J48&lt;&gt;"",VLOOKUP($J48,$A$5:$F$9,3,FALSE),"")</f>
        <v/>
      </c>
      <c r="P48" s="216" t="str">
        <f t="shared" ca="1" si="3"/>
        <v/>
      </c>
      <c r="Q48" s="216" t="str">
        <f t="shared" ref="Q48:Q72" ca="1" si="30">IF($J48&lt;&gt;"",VLOOKUP($J48,$A$5:$F$9,4,FALSE),"")</f>
        <v/>
      </c>
      <c r="R48" s="216" t="str">
        <f t="shared" ca="1" si="5"/>
        <v/>
      </c>
      <c r="S48" s="216" t="str">
        <f t="shared" ref="S48:S72" ca="1" si="31">IF($J48&lt;&gt;"",VLOOKUP($J48,$A$5:$F$9,5,FALSE),"")</f>
        <v/>
      </c>
      <c r="T48" s="216" t="str">
        <f t="shared" ca="1" si="7"/>
        <v/>
      </c>
      <c r="U48" s="216" t="str">
        <f t="shared" ref="U48:U72" ca="1" si="32">IF($J48&lt;&gt;"",VLOOKUP($J48,$A$5:$F$9,6,FALSE),"")</f>
        <v/>
      </c>
      <c r="V48" s="217" t="str">
        <f t="shared" ca="1" si="9"/>
        <v/>
      </c>
      <c r="W48" s="376" t="str">
        <f t="shared" ca="1" si="20"/>
        <v/>
      </c>
      <c r="X48" s="377" t="str">
        <f t="shared" ca="1" si="21"/>
        <v/>
      </c>
      <c r="Y48" s="378" t="str">
        <f t="shared" ca="1" si="26"/>
        <v/>
      </c>
      <c r="Z48" s="378" t="str">
        <f t="shared" ca="1" si="26"/>
        <v/>
      </c>
      <c r="AA48" s="378" t="str">
        <f t="shared" ca="1" si="26"/>
        <v/>
      </c>
      <c r="AB48" s="378" t="str">
        <f t="shared" ca="1" si="26"/>
        <v/>
      </c>
      <c r="AC48" s="378" t="str">
        <f t="shared" ca="1" si="11"/>
        <v/>
      </c>
      <c r="AD48" s="378" t="str">
        <f t="shared" ref="AD48:AH63" ca="1" si="33">IF(OR($J48="Pluviomètre",LEFT($J48,5)="Sonde"),"",IF($H48&lt;&gt;"",IF(_xlfn.SINGLE(INDIRECT($H48&amp;"!"&amp;$W48&amp;($X48+AD$15+1)))&lt;&gt;"",_xlfn.SINGLE(INDIRECT($H48&amp;"!"&amp;$W48&amp;($X48+AD$15+1))),""),""))</f>
        <v/>
      </c>
      <c r="AE48" s="378" t="str">
        <f t="shared" ca="1" si="33"/>
        <v/>
      </c>
      <c r="AF48" s="378" t="str">
        <f t="shared" ca="1" si="33"/>
        <v/>
      </c>
      <c r="AG48" s="378" t="str">
        <f t="shared" ca="1" si="33"/>
        <v/>
      </c>
      <c r="AH48" s="378" t="str">
        <f t="shared" ca="1" si="33"/>
        <v/>
      </c>
      <c r="AI48" s="376" t="str">
        <f t="shared" ca="1" si="22"/>
        <v/>
      </c>
      <c r="AJ48" s="377" t="str">
        <f t="shared" ca="1" si="23"/>
        <v/>
      </c>
      <c r="AK48" s="378" t="str">
        <f t="shared" ca="1" si="27"/>
        <v/>
      </c>
      <c r="AL48" s="378" t="str">
        <f t="shared" ca="1" si="27"/>
        <v/>
      </c>
      <c r="AM48" s="378" t="str">
        <f t="shared" ca="1" si="27"/>
        <v/>
      </c>
      <c r="AN48" s="378" t="str">
        <f t="shared" ca="1" si="27"/>
        <v/>
      </c>
      <c r="AO48" s="378" t="str">
        <f t="shared" ca="1" si="14"/>
        <v/>
      </c>
      <c r="AP48" s="378" t="str">
        <f t="shared" ref="AP48:AT63" ca="1" si="34">IF(OR($J48="Pluviomètre",LEFT($J48,5)="Sonde"),"",IF($H48&lt;&gt;"",IF(_xlfn.SINGLE(INDIRECT($H48&amp;"!"&amp;$AI48&amp;($AJ48+AP$15+1)))&lt;&gt;"",_xlfn.SINGLE(INDIRECT($H48&amp;"!"&amp;$AI48&amp;($AJ48+AP$15+1))),""),""))</f>
        <v/>
      </c>
      <c r="AQ48" s="378" t="str">
        <f t="shared" ca="1" si="34"/>
        <v/>
      </c>
      <c r="AR48" s="378" t="str">
        <f t="shared" ca="1" si="34"/>
        <v/>
      </c>
      <c r="AS48" s="378" t="str">
        <f t="shared" ca="1" si="34"/>
        <v/>
      </c>
      <c r="AT48" s="378" t="str">
        <f t="shared" ca="1" si="34"/>
        <v/>
      </c>
    </row>
    <row r="49" spans="1:46" s="366" customFormat="1" x14ac:dyDescent="0.4">
      <c r="A49" s="360">
        <v>34</v>
      </c>
      <c r="B49" s="204" t="b">
        <f t="shared" si="16"/>
        <v>0</v>
      </c>
      <c r="C49" s="209" t="str">
        <f t="shared" ca="1" si="17"/>
        <v/>
      </c>
      <c r="D49" s="359" t="str">
        <f t="shared" ca="1" si="18"/>
        <v/>
      </c>
      <c r="E49" s="359" t="str">
        <f t="shared" ca="1" si="19"/>
        <v/>
      </c>
      <c r="F49" s="57" t="str">
        <f t="shared" ca="1" si="19"/>
        <v/>
      </c>
      <c r="G49" s="57" t="str">
        <f t="shared" ca="1" si="19"/>
        <v/>
      </c>
      <c r="H49" s="361" t="str" cm="1">
        <f t="array" aca="1" ref="H49" ca="1">IFERROR(INDEX($C$16:$C$116,SMALL(IF($C$16:$C$116&lt;&gt;"",ROW($C$16:$C$116)-ROW($C$16)+1),ROW(A34))),"")</f>
        <v/>
      </c>
      <c r="I49" s="362" t="str" cm="1">
        <f t="array" aca="1" ref="I49" ca="1">IFERROR(INDEX($D$16:$D$116,SMALL(IF($D$16:$D$116&lt;&gt;"",ROW($D$16:$D$116)-ROW($D$16)+1),ROW(A34))),"")</f>
        <v/>
      </c>
      <c r="J49" s="362" t="str" cm="1">
        <f t="array" aca="1" ref="J49" ca="1">IFERROR(INDEX($E$16:$E$116,SMALL(IF($E$16:$E$116&lt;&gt;"",ROW($E$16:$E$116)-ROW($E$16)+1),ROW(A34))),"")</f>
        <v/>
      </c>
      <c r="K49" s="362" t="str" cm="1">
        <f t="array" aca="1" ref="K49" ca="1">IFERROR(INDEX($F$16:$F$116,SMALL(IF($F$16:$F$116&lt;&gt;"",ROW($F$16:$F$116)-ROW($F$16)+1),ROW(A34))),"")</f>
        <v/>
      </c>
      <c r="L49" s="210" t="str">
        <f t="shared" ca="1" si="0"/>
        <v/>
      </c>
      <c r="M49" s="210" t="str" cm="1">
        <f t="array" aca="1" ref="M49" ca="1">IFERROR(INDEX($G$16:$G$116,SMALL(IF($G$16:$G$116&lt;&gt;"",ROW($G$16:$G$116)-ROW($G$16)+1),ROW(A34))),"")</f>
        <v/>
      </c>
      <c r="N49" s="363" t="str">
        <f t="shared" ca="1" si="28"/>
        <v/>
      </c>
      <c r="O49" s="364" t="str">
        <f t="shared" ca="1" si="29"/>
        <v/>
      </c>
      <c r="P49" s="364" t="str">
        <f t="shared" ca="1" si="3"/>
        <v/>
      </c>
      <c r="Q49" s="364" t="str">
        <f t="shared" ca="1" si="30"/>
        <v/>
      </c>
      <c r="R49" s="364" t="str">
        <f t="shared" ca="1" si="5"/>
        <v/>
      </c>
      <c r="S49" s="364" t="str">
        <f t="shared" ca="1" si="31"/>
        <v/>
      </c>
      <c r="T49" s="364" t="str">
        <f t="shared" ca="1" si="7"/>
        <v/>
      </c>
      <c r="U49" s="364" t="str">
        <f t="shared" ca="1" si="32"/>
        <v/>
      </c>
      <c r="V49" s="365" t="str">
        <f t="shared" ca="1" si="9"/>
        <v/>
      </c>
      <c r="W49" s="376" t="str">
        <f t="shared" ca="1" si="20"/>
        <v/>
      </c>
      <c r="X49" s="379" t="str">
        <f t="shared" ca="1" si="21"/>
        <v/>
      </c>
      <c r="Y49" s="380" t="str">
        <f t="shared" ca="1" si="26"/>
        <v/>
      </c>
      <c r="Z49" s="380" t="str">
        <f t="shared" ca="1" si="26"/>
        <v/>
      </c>
      <c r="AA49" s="380" t="str">
        <f t="shared" ca="1" si="26"/>
        <v/>
      </c>
      <c r="AB49" s="380" t="str">
        <f t="shared" ca="1" si="26"/>
        <v/>
      </c>
      <c r="AC49" s="378" t="str">
        <f t="shared" ca="1" si="11"/>
        <v/>
      </c>
      <c r="AD49" s="378" t="str">
        <f t="shared" ca="1" si="33"/>
        <v/>
      </c>
      <c r="AE49" s="378" t="str">
        <f t="shared" ca="1" si="33"/>
        <v/>
      </c>
      <c r="AF49" s="378" t="str">
        <f t="shared" ca="1" si="33"/>
        <v/>
      </c>
      <c r="AG49" s="378" t="str">
        <f t="shared" ca="1" si="33"/>
        <v/>
      </c>
      <c r="AH49" s="378" t="str">
        <f t="shared" ca="1" si="33"/>
        <v/>
      </c>
      <c r="AI49" s="376" t="str">
        <f t="shared" ca="1" si="22"/>
        <v/>
      </c>
      <c r="AJ49" s="379" t="str">
        <f t="shared" ca="1" si="23"/>
        <v/>
      </c>
      <c r="AK49" s="378" t="str">
        <f t="shared" ca="1" si="27"/>
        <v/>
      </c>
      <c r="AL49" s="378" t="str">
        <f t="shared" ca="1" si="27"/>
        <v/>
      </c>
      <c r="AM49" s="378" t="str">
        <f t="shared" ca="1" si="27"/>
        <v/>
      </c>
      <c r="AN49" s="378" t="str">
        <f t="shared" ca="1" si="27"/>
        <v/>
      </c>
      <c r="AO49" s="378" t="str">
        <f t="shared" ca="1" si="14"/>
        <v/>
      </c>
      <c r="AP49" s="378" t="str">
        <f t="shared" ca="1" si="34"/>
        <v/>
      </c>
      <c r="AQ49" s="378" t="str">
        <f t="shared" ca="1" si="34"/>
        <v/>
      </c>
      <c r="AR49" s="378" t="str">
        <f t="shared" ca="1" si="34"/>
        <v/>
      </c>
      <c r="AS49" s="378" t="str">
        <f t="shared" ca="1" si="34"/>
        <v/>
      </c>
      <c r="AT49" s="378" t="str">
        <f t="shared" ca="1" si="34"/>
        <v/>
      </c>
    </row>
    <row r="50" spans="1:46" x14ac:dyDescent="0.4">
      <c r="A50" s="150">
        <v>35</v>
      </c>
      <c r="B50" s="204" t="b">
        <f t="shared" si="16"/>
        <v>0</v>
      </c>
      <c r="C50" s="209" t="str">
        <f t="shared" ca="1" si="17"/>
        <v/>
      </c>
      <c r="D50" s="359" t="str">
        <f t="shared" ca="1" si="18"/>
        <v/>
      </c>
      <c r="E50" s="359" t="str">
        <f t="shared" ca="1" si="19"/>
        <v/>
      </c>
      <c r="F50" s="57" t="str">
        <f t="shared" ca="1" si="19"/>
        <v/>
      </c>
      <c r="G50" s="57" t="str">
        <f t="shared" ca="1" si="19"/>
        <v/>
      </c>
      <c r="H50" s="211" t="str" cm="1">
        <f t="array" aca="1" ref="H50" ca="1">IFERROR(INDEX($C$16:$C$116,SMALL(IF($C$16:$C$116&lt;&gt;"",ROW($C$16:$C$116)-ROW($C$16)+1),ROW(A35))),"")</f>
        <v/>
      </c>
      <c r="I50" s="210" t="str" cm="1">
        <f t="array" aca="1" ref="I50" ca="1">IFERROR(INDEX($D$16:$D$116,SMALL(IF($D$16:$D$116&lt;&gt;"",ROW($D$16:$D$116)-ROW($D$16)+1),ROW(A35))),"")</f>
        <v/>
      </c>
      <c r="J50" s="210" t="str" cm="1">
        <f t="array" aca="1" ref="J50" ca="1">IFERROR(INDEX($E$16:$E$116,SMALL(IF($E$16:$E$116&lt;&gt;"",ROW($E$16:$E$116)-ROW($E$16)+1),ROW(A35))),"")</f>
        <v/>
      </c>
      <c r="K50" s="210" t="str" cm="1">
        <f t="array" aca="1" ref="K50" ca="1">IFERROR(INDEX($F$16:$F$116,SMALL(IF($F$16:$F$116&lt;&gt;"",ROW($F$16:$F$116)-ROW($F$16)+1),ROW(A35))),"")</f>
        <v/>
      </c>
      <c r="L50" s="210" t="str">
        <f t="shared" ca="1" si="0"/>
        <v/>
      </c>
      <c r="M50" s="210" t="str" cm="1">
        <f t="array" aca="1" ref="M50" ca="1">IFERROR(INDEX($G$16:$G$116,SMALL(IF($G$16:$G$116&lt;&gt;"",ROW($G$16:$G$116)-ROW($G$16)+1),ROW(A35))),"")</f>
        <v/>
      </c>
      <c r="N50" s="215" t="str">
        <f t="shared" ca="1" si="28"/>
        <v/>
      </c>
      <c r="O50" s="216" t="str">
        <f t="shared" ca="1" si="29"/>
        <v/>
      </c>
      <c r="P50" s="216" t="str">
        <f t="shared" ca="1" si="3"/>
        <v/>
      </c>
      <c r="Q50" s="216" t="str">
        <f t="shared" ca="1" si="30"/>
        <v/>
      </c>
      <c r="R50" s="216" t="str">
        <f t="shared" ca="1" si="5"/>
        <v/>
      </c>
      <c r="S50" s="216" t="str">
        <f t="shared" ca="1" si="31"/>
        <v/>
      </c>
      <c r="T50" s="216" t="str">
        <f t="shared" ca="1" si="7"/>
        <v/>
      </c>
      <c r="U50" s="216" t="str">
        <f t="shared" ca="1" si="32"/>
        <v/>
      </c>
      <c r="V50" s="217" t="str">
        <f t="shared" ca="1" si="9"/>
        <v/>
      </c>
      <c r="W50" s="376" t="str">
        <f t="shared" ca="1" si="20"/>
        <v/>
      </c>
      <c r="X50" s="377" t="str">
        <f t="shared" ca="1" si="21"/>
        <v/>
      </c>
      <c r="Y50" s="378" t="str">
        <f t="shared" ca="1" si="26"/>
        <v/>
      </c>
      <c r="Z50" s="378" t="str">
        <f t="shared" ca="1" si="26"/>
        <v/>
      </c>
      <c r="AA50" s="378" t="str">
        <f t="shared" ca="1" si="26"/>
        <v/>
      </c>
      <c r="AB50" s="378" t="str">
        <f t="shared" ca="1" si="26"/>
        <v/>
      </c>
      <c r="AC50" s="378" t="str">
        <f t="shared" ca="1" si="11"/>
        <v/>
      </c>
      <c r="AD50" s="378" t="str">
        <f t="shared" ca="1" si="33"/>
        <v/>
      </c>
      <c r="AE50" s="378" t="str">
        <f t="shared" ca="1" si="33"/>
        <v/>
      </c>
      <c r="AF50" s="378" t="str">
        <f t="shared" ca="1" si="33"/>
        <v/>
      </c>
      <c r="AG50" s="378" t="str">
        <f t="shared" ca="1" si="33"/>
        <v/>
      </c>
      <c r="AH50" s="378" t="str">
        <f t="shared" ca="1" si="33"/>
        <v/>
      </c>
      <c r="AI50" s="376" t="str">
        <f t="shared" ca="1" si="22"/>
        <v/>
      </c>
      <c r="AJ50" s="377" t="str">
        <f t="shared" ca="1" si="23"/>
        <v/>
      </c>
      <c r="AK50" s="378" t="str">
        <f t="shared" ca="1" si="27"/>
        <v/>
      </c>
      <c r="AL50" s="378" t="str">
        <f t="shared" ca="1" si="27"/>
        <v/>
      </c>
      <c r="AM50" s="378" t="str">
        <f t="shared" ca="1" si="27"/>
        <v/>
      </c>
      <c r="AN50" s="378" t="str">
        <f t="shared" ca="1" si="27"/>
        <v/>
      </c>
      <c r="AO50" s="378" t="str">
        <f t="shared" ca="1" si="14"/>
        <v/>
      </c>
      <c r="AP50" s="378" t="str">
        <f t="shared" ca="1" si="34"/>
        <v/>
      </c>
      <c r="AQ50" s="378" t="str">
        <f t="shared" ca="1" si="34"/>
        <v/>
      </c>
      <c r="AR50" s="378" t="str">
        <f t="shared" ca="1" si="34"/>
        <v/>
      </c>
      <c r="AS50" s="378" t="str">
        <f t="shared" ca="1" si="34"/>
        <v/>
      </c>
      <c r="AT50" s="378" t="str">
        <f t="shared" ca="1" si="34"/>
        <v/>
      </c>
    </row>
    <row r="51" spans="1:46" x14ac:dyDescent="0.4">
      <c r="A51" s="150">
        <v>36</v>
      </c>
      <c r="B51" s="204" t="b">
        <f t="shared" si="16"/>
        <v>0</v>
      </c>
      <c r="C51" s="209" t="str">
        <f t="shared" ca="1" si="17"/>
        <v/>
      </c>
      <c r="D51" s="359" t="str">
        <f t="shared" ca="1" si="18"/>
        <v/>
      </c>
      <c r="E51" s="359" t="str">
        <f t="shared" ca="1" si="19"/>
        <v/>
      </c>
      <c r="F51" s="57" t="str">
        <f t="shared" ca="1" si="19"/>
        <v/>
      </c>
      <c r="G51" s="57" t="str">
        <f t="shared" ca="1" si="19"/>
        <v/>
      </c>
      <c r="H51" s="211" t="str" cm="1">
        <f t="array" aca="1" ref="H51" ca="1">IFERROR(INDEX($C$16:$C$116,SMALL(IF($C$16:$C$116&lt;&gt;"",ROW($C$16:$C$116)-ROW($C$16)+1),ROW(A36))),"")</f>
        <v/>
      </c>
      <c r="I51" s="210" t="str" cm="1">
        <f t="array" aca="1" ref="I51" ca="1">IFERROR(INDEX($D$16:$D$116,SMALL(IF($D$16:$D$116&lt;&gt;"",ROW($D$16:$D$116)-ROW($D$16)+1),ROW(A36))),"")</f>
        <v/>
      </c>
      <c r="J51" s="210" t="str" cm="1">
        <f t="array" aca="1" ref="J51" ca="1">IFERROR(INDEX($E$16:$E$116,SMALL(IF($E$16:$E$116&lt;&gt;"",ROW($E$16:$E$116)-ROW($E$16)+1),ROW(A36))),"")</f>
        <v/>
      </c>
      <c r="K51" s="210" t="str" cm="1">
        <f t="array" aca="1" ref="K51" ca="1">IFERROR(INDEX($F$16:$F$116,SMALL(IF($F$16:$F$116&lt;&gt;"",ROW($F$16:$F$116)-ROW($F$16)+1),ROW(A36))),"")</f>
        <v/>
      </c>
      <c r="L51" s="210" t="str">
        <f t="shared" ca="1" si="0"/>
        <v/>
      </c>
      <c r="M51" s="210" t="str" cm="1">
        <f t="array" aca="1" ref="M51" ca="1">IFERROR(INDEX($G$16:$G$116,SMALL(IF($G$16:$G$116&lt;&gt;"",ROW($G$16:$G$116)-ROW($G$16)+1),ROW(A36))),"")</f>
        <v/>
      </c>
      <c r="N51" s="215" t="str">
        <f t="shared" ca="1" si="28"/>
        <v/>
      </c>
      <c r="O51" s="216" t="str">
        <f t="shared" ca="1" si="29"/>
        <v/>
      </c>
      <c r="P51" s="216" t="str">
        <f t="shared" ca="1" si="3"/>
        <v/>
      </c>
      <c r="Q51" s="216" t="str">
        <f t="shared" ca="1" si="30"/>
        <v/>
      </c>
      <c r="R51" s="216" t="str">
        <f t="shared" ca="1" si="5"/>
        <v/>
      </c>
      <c r="S51" s="216" t="str">
        <f t="shared" ca="1" si="31"/>
        <v/>
      </c>
      <c r="T51" s="216" t="str">
        <f t="shared" ca="1" si="7"/>
        <v/>
      </c>
      <c r="U51" s="216" t="str">
        <f t="shared" ca="1" si="32"/>
        <v/>
      </c>
      <c r="V51" s="217" t="str">
        <f t="shared" ca="1" si="9"/>
        <v/>
      </c>
      <c r="W51" s="376" t="str">
        <f t="shared" ca="1" si="20"/>
        <v/>
      </c>
      <c r="X51" s="377" t="str">
        <f t="shared" ca="1" si="21"/>
        <v/>
      </c>
      <c r="Y51" s="378" t="str">
        <f t="shared" ca="1" si="26"/>
        <v/>
      </c>
      <c r="Z51" s="378" t="str">
        <f t="shared" ca="1" si="26"/>
        <v/>
      </c>
      <c r="AA51" s="378" t="str">
        <f t="shared" ca="1" si="26"/>
        <v/>
      </c>
      <c r="AB51" s="378" t="str">
        <f t="shared" ca="1" si="26"/>
        <v/>
      </c>
      <c r="AC51" s="378" t="str">
        <f t="shared" ca="1" si="11"/>
        <v/>
      </c>
      <c r="AD51" s="378" t="str">
        <f t="shared" ca="1" si="33"/>
        <v/>
      </c>
      <c r="AE51" s="378" t="str">
        <f t="shared" ca="1" si="33"/>
        <v/>
      </c>
      <c r="AF51" s="378" t="str">
        <f t="shared" ca="1" si="33"/>
        <v/>
      </c>
      <c r="AG51" s="378" t="str">
        <f t="shared" ca="1" si="33"/>
        <v/>
      </c>
      <c r="AH51" s="378" t="str">
        <f t="shared" ca="1" si="33"/>
        <v/>
      </c>
      <c r="AI51" s="376" t="str">
        <f t="shared" ca="1" si="22"/>
        <v/>
      </c>
      <c r="AJ51" s="377" t="str">
        <f t="shared" ca="1" si="23"/>
        <v/>
      </c>
      <c r="AK51" s="378" t="str">
        <f t="shared" ca="1" si="27"/>
        <v/>
      </c>
      <c r="AL51" s="378" t="str">
        <f t="shared" ca="1" si="27"/>
        <v/>
      </c>
      <c r="AM51" s="378" t="str">
        <f t="shared" ca="1" si="27"/>
        <v/>
      </c>
      <c r="AN51" s="378" t="str">
        <f t="shared" ca="1" si="27"/>
        <v/>
      </c>
      <c r="AO51" s="378" t="str">
        <f t="shared" ca="1" si="14"/>
        <v/>
      </c>
      <c r="AP51" s="378" t="str">
        <f t="shared" ca="1" si="34"/>
        <v/>
      </c>
      <c r="AQ51" s="378" t="str">
        <f t="shared" ca="1" si="34"/>
        <v/>
      </c>
      <c r="AR51" s="378" t="str">
        <f t="shared" ca="1" si="34"/>
        <v/>
      </c>
      <c r="AS51" s="378" t="str">
        <f t="shared" ca="1" si="34"/>
        <v/>
      </c>
      <c r="AT51" s="378" t="str">
        <f t="shared" ca="1" si="34"/>
        <v/>
      </c>
    </row>
    <row r="52" spans="1:46" x14ac:dyDescent="0.4">
      <c r="A52" s="150">
        <v>37</v>
      </c>
      <c r="B52" s="204" t="b">
        <f t="shared" si="16"/>
        <v>0</v>
      </c>
      <c r="C52" s="209" t="str">
        <f t="shared" ca="1" si="17"/>
        <v/>
      </c>
      <c r="D52" s="359" t="str">
        <f t="shared" ca="1" si="18"/>
        <v/>
      </c>
      <c r="E52" s="359" t="str">
        <f t="shared" ca="1" si="19"/>
        <v/>
      </c>
      <c r="F52" s="57" t="str">
        <f t="shared" ca="1" si="19"/>
        <v/>
      </c>
      <c r="G52" s="57" t="str">
        <f t="shared" ca="1" si="19"/>
        <v/>
      </c>
      <c r="H52" s="211" t="str" cm="1">
        <f t="array" aca="1" ref="H52" ca="1">IFERROR(INDEX($C$16:$C$116,SMALL(IF($C$16:$C$116&lt;&gt;"",ROW($C$16:$C$116)-ROW($C$16)+1),ROW(A37))),"")</f>
        <v/>
      </c>
      <c r="I52" s="210" t="str" cm="1">
        <f t="array" aca="1" ref="I52" ca="1">IFERROR(INDEX($D$16:$D$116,SMALL(IF($D$16:$D$116&lt;&gt;"",ROW($D$16:$D$116)-ROW($D$16)+1),ROW(A37))),"")</f>
        <v/>
      </c>
      <c r="J52" s="210" t="str" cm="1">
        <f t="array" aca="1" ref="J52" ca="1">IFERROR(INDEX($E$16:$E$116,SMALL(IF($E$16:$E$116&lt;&gt;"",ROW($E$16:$E$116)-ROW($E$16)+1),ROW(A37))),"")</f>
        <v/>
      </c>
      <c r="K52" s="210" t="str" cm="1">
        <f t="array" aca="1" ref="K52" ca="1">IFERROR(INDEX($F$16:$F$116,SMALL(IF($F$16:$F$116&lt;&gt;"",ROW($F$16:$F$116)-ROW($F$16)+1),ROW(A37))),"")</f>
        <v/>
      </c>
      <c r="L52" s="210" t="str">
        <f t="shared" ca="1" si="0"/>
        <v/>
      </c>
      <c r="M52" s="210" t="str" cm="1">
        <f t="array" aca="1" ref="M52" ca="1">IFERROR(INDEX($G$16:$G$116,SMALL(IF($G$16:$G$116&lt;&gt;"",ROW($G$16:$G$116)-ROW($G$16)+1),ROW(A37))),"")</f>
        <v/>
      </c>
      <c r="N52" s="215" t="str">
        <f t="shared" ca="1" si="28"/>
        <v/>
      </c>
      <c r="O52" s="216" t="str">
        <f t="shared" ca="1" si="29"/>
        <v/>
      </c>
      <c r="P52" s="216" t="str">
        <f t="shared" ca="1" si="3"/>
        <v/>
      </c>
      <c r="Q52" s="216" t="str">
        <f t="shared" ca="1" si="30"/>
        <v/>
      </c>
      <c r="R52" s="216" t="str">
        <f t="shared" ca="1" si="5"/>
        <v/>
      </c>
      <c r="S52" s="216" t="str">
        <f t="shared" ca="1" si="31"/>
        <v/>
      </c>
      <c r="T52" s="216" t="str">
        <f t="shared" ca="1" si="7"/>
        <v/>
      </c>
      <c r="U52" s="216" t="str">
        <f t="shared" ca="1" si="32"/>
        <v/>
      </c>
      <c r="V52" s="217" t="str">
        <f t="shared" ca="1" si="9"/>
        <v/>
      </c>
      <c r="W52" s="376" t="str">
        <f t="shared" ca="1" si="20"/>
        <v/>
      </c>
      <c r="X52" s="377" t="str">
        <f t="shared" ca="1" si="21"/>
        <v/>
      </c>
      <c r="Y52" s="378" t="str">
        <f t="shared" ca="1" si="26"/>
        <v/>
      </c>
      <c r="Z52" s="378" t="str">
        <f t="shared" ca="1" si="26"/>
        <v/>
      </c>
      <c r="AA52" s="378" t="str">
        <f t="shared" ca="1" si="26"/>
        <v/>
      </c>
      <c r="AB52" s="378" t="str">
        <f t="shared" ca="1" si="26"/>
        <v/>
      </c>
      <c r="AC52" s="378" t="str">
        <f t="shared" ca="1" si="11"/>
        <v/>
      </c>
      <c r="AD52" s="378" t="str">
        <f t="shared" ca="1" si="33"/>
        <v/>
      </c>
      <c r="AE52" s="378" t="str">
        <f t="shared" ca="1" si="33"/>
        <v/>
      </c>
      <c r="AF52" s="378" t="str">
        <f t="shared" ca="1" si="33"/>
        <v/>
      </c>
      <c r="AG52" s="378" t="str">
        <f t="shared" ca="1" si="33"/>
        <v/>
      </c>
      <c r="AH52" s="378" t="str">
        <f t="shared" ca="1" si="33"/>
        <v/>
      </c>
      <c r="AI52" s="376" t="str">
        <f t="shared" ca="1" si="22"/>
        <v/>
      </c>
      <c r="AJ52" s="377" t="str">
        <f t="shared" ca="1" si="23"/>
        <v/>
      </c>
      <c r="AK52" s="378" t="str">
        <f t="shared" ca="1" si="27"/>
        <v/>
      </c>
      <c r="AL52" s="378" t="str">
        <f t="shared" ca="1" si="27"/>
        <v/>
      </c>
      <c r="AM52" s="378" t="str">
        <f t="shared" ca="1" si="27"/>
        <v/>
      </c>
      <c r="AN52" s="378" t="str">
        <f t="shared" ca="1" si="27"/>
        <v/>
      </c>
      <c r="AO52" s="378" t="str">
        <f t="shared" ca="1" si="14"/>
        <v/>
      </c>
      <c r="AP52" s="378" t="str">
        <f t="shared" ca="1" si="34"/>
        <v/>
      </c>
      <c r="AQ52" s="378" t="str">
        <f t="shared" ca="1" si="34"/>
        <v/>
      </c>
      <c r="AR52" s="378" t="str">
        <f t="shared" ca="1" si="34"/>
        <v/>
      </c>
      <c r="AS52" s="378" t="str">
        <f t="shared" ca="1" si="34"/>
        <v/>
      </c>
      <c r="AT52" s="378" t="str">
        <f t="shared" ca="1" si="34"/>
        <v/>
      </c>
    </row>
    <row r="53" spans="1:46" x14ac:dyDescent="0.4">
      <c r="A53" s="150">
        <v>38</v>
      </c>
      <c r="B53" s="204" t="b">
        <f t="shared" si="16"/>
        <v>0</v>
      </c>
      <c r="C53" s="209" t="str">
        <f t="shared" ca="1" si="17"/>
        <v/>
      </c>
      <c r="D53" s="359" t="str">
        <f t="shared" ca="1" si="18"/>
        <v/>
      </c>
      <c r="E53" s="359" t="str">
        <f t="shared" ca="1" si="19"/>
        <v/>
      </c>
      <c r="F53" s="57" t="str">
        <f t="shared" ca="1" si="19"/>
        <v/>
      </c>
      <c r="G53" s="57" t="str">
        <f t="shared" ca="1" si="19"/>
        <v/>
      </c>
      <c r="H53" s="211" t="str" cm="1">
        <f t="array" aca="1" ref="H53" ca="1">IFERROR(INDEX($C$16:$C$116,SMALL(IF($C$16:$C$116&lt;&gt;"",ROW($C$16:$C$116)-ROW($C$16)+1),ROW(A38))),"")</f>
        <v/>
      </c>
      <c r="I53" s="210" t="str" cm="1">
        <f t="array" aca="1" ref="I53" ca="1">IFERROR(INDEX($D$16:$D$116,SMALL(IF($D$16:$D$116&lt;&gt;"",ROW($D$16:$D$116)-ROW($D$16)+1),ROW(A38))),"")</f>
        <v/>
      </c>
      <c r="J53" s="210" t="str" cm="1">
        <f t="array" aca="1" ref="J53" ca="1">IFERROR(INDEX($E$16:$E$116,SMALL(IF($E$16:$E$116&lt;&gt;"",ROW($E$16:$E$116)-ROW($E$16)+1),ROW(A38))),"")</f>
        <v/>
      </c>
      <c r="K53" s="210" t="str" cm="1">
        <f t="array" aca="1" ref="K53" ca="1">IFERROR(INDEX($F$16:$F$116,SMALL(IF($F$16:$F$116&lt;&gt;"",ROW($F$16:$F$116)-ROW($F$16)+1),ROW(A38))),"")</f>
        <v/>
      </c>
      <c r="L53" s="210" t="str">
        <f t="shared" ca="1" si="0"/>
        <v/>
      </c>
      <c r="M53" s="210" t="str" cm="1">
        <f t="array" aca="1" ref="M53" ca="1">IFERROR(INDEX($G$16:$G$116,SMALL(IF($G$16:$G$116&lt;&gt;"",ROW($G$16:$G$116)-ROW($G$16)+1),ROW(A38))),"")</f>
        <v/>
      </c>
      <c r="N53" s="215" t="str">
        <f t="shared" ca="1" si="28"/>
        <v/>
      </c>
      <c r="O53" s="216" t="str">
        <f t="shared" ca="1" si="29"/>
        <v/>
      </c>
      <c r="P53" s="216" t="str">
        <f t="shared" ca="1" si="3"/>
        <v/>
      </c>
      <c r="Q53" s="216" t="str">
        <f t="shared" ca="1" si="30"/>
        <v/>
      </c>
      <c r="R53" s="216" t="str">
        <f t="shared" ca="1" si="5"/>
        <v/>
      </c>
      <c r="S53" s="216" t="str">
        <f t="shared" ca="1" si="31"/>
        <v/>
      </c>
      <c r="T53" s="216" t="str">
        <f t="shared" ca="1" si="7"/>
        <v/>
      </c>
      <c r="U53" s="216" t="str">
        <f t="shared" ca="1" si="32"/>
        <v/>
      </c>
      <c r="V53" s="217" t="str">
        <f t="shared" ca="1" si="9"/>
        <v/>
      </c>
      <c r="W53" s="376" t="str">
        <f t="shared" ca="1" si="20"/>
        <v/>
      </c>
      <c r="X53" s="377" t="str">
        <f t="shared" ca="1" si="21"/>
        <v/>
      </c>
      <c r="Y53" s="378" t="str">
        <f t="shared" ca="1" si="26"/>
        <v/>
      </c>
      <c r="Z53" s="378" t="str">
        <f t="shared" ca="1" si="26"/>
        <v/>
      </c>
      <c r="AA53" s="378" t="str">
        <f t="shared" ca="1" si="26"/>
        <v/>
      </c>
      <c r="AB53" s="378" t="str">
        <f t="shared" ca="1" si="26"/>
        <v/>
      </c>
      <c r="AC53" s="378" t="str">
        <f t="shared" ca="1" si="11"/>
        <v/>
      </c>
      <c r="AD53" s="378" t="str">
        <f t="shared" ca="1" si="33"/>
        <v/>
      </c>
      <c r="AE53" s="378" t="str">
        <f t="shared" ca="1" si="33"/>
        <v/>
      </c>
      <c r="AF53" s="378" t="str">
        <f t="shared" ca="1" si="33"/>
        <v/>
      </c>
      <c r="AG53" s="378" t="str">
        <f t="shared" ca="1" si="33"/>
        <v/>
      </c>
      <c r="AH53" s="378" t="str">
        <f t="shared" ca="1" si="33"/>
        <v/>
      </c>
      <c r="AI53" s="376" t="str">
        <f t="shared" ca="1" si="22"/>
        <v/>
      </c>
      <c r="AJ53" s="377" t="str">
        <f t="shared" ca="1" si="23"/>
        <v/>
      </c>
      <c r="AK53" s="378" t="str">
        <f t="shared" ca="1" si="27"/>
        <v/>
      </c>
      <c r="AL53" s="378" t="str">
        <f t="shared" ca="1" si="27"/>
        <v/>
      </c>
      <c r="AM53" s="378" t="str">
        <f t="shared" ca="1" si="27"/>
        <v/>
      </c>
      <c r="AN53" s="378" t="str">
        <f t="shared" ca="1" si="27"/>
        <v/>
      </c>
      <c r="AO53" s="378" t="str">
        <f t="shared" ca="1" si="14"/>
        <v/>
      </c>
      <c r="AP53" s="378" t="str">
        <f t="shared" ca="1" si="34"/>
        <v/>
      </c>
      <c r="AQ53" s="378" t="str">
        <f t="shared" ca="1" si="34"/>
        <v/>
      </c>
      <c r="AR53" s="378" t="str">
        <f t="shared" ca="1" si="34"/>
        <v/>
      </c>
      <c r="AS53" s="378" t="str">
        <f t="shared" ca="1" si="34"/>
        <v/>
      </c>
      <c r="AT53" s="378" t="str">
        <f t="shared" ca="1" si="34"/>
        <v/>
      </c>
    </row>
    <row r="54" spans="1:46" x14ac:dyDescent="0.4">
      <c r="A54" s="150">
        <v>39</v>
      </c>
      <c r="B54" s="204" t="b">
        <f t="shared" si="16"/>
        <v>0</v>
      </c>
      <c r="C54" s="209" t="str">
        <f t="shared" ca="1" si="17"/>
        <v/>
      </c>
      <c r="D54" s="359" t="str">
        <f t="shared" ca="1" si="18"/>
        <v/>
      </c>
      <c r="E54" s="359" t="str">
        <f t="shared" ca="1" si="19"/>
        <v/>
      </c>
      <c r="F54" s="57" t="str">
        <f t="shared" ca="1" si="19"/>
        <v/>
      </c>
      <c r="G54" s="57" t="str">
        <f t="shared" ca="1" si="19"/>
        <v/>
      </c>
      <c r="H54" s="211" t="str" cm="1">
        <f t="array" aca="1" ref="H54" ca="1">IFERROR(INDEX($C$16:$C$116,SMALL(IF($C$16:$C$116&lt;&gt;"",ROW($C$16:$C$116)-ROW($C$16)+1),ROW(A39))),"")</f>
        <v/>
      </c>
      <c r="I54" s="210" t="str" cm="1">
        <f t="array" aca="1" ref="I54" ca="1">IFERROR(INDEX($D$16:$D$116,SMALL(IF($D$16:$D$116&lt;&gt;"",ROW($D$16:$D$116)-ROW($D$16)+1),ROW(A39))),"")</f>
        <v/>
      </c>
      <c r="J54" s="210" t="str" cm="1">
        <f t="array" aca="1" ref="J54" ca="1">IFERROR(INDEX($E$16:$E$116,SMALL(IF($E$16:$E$116&lt;&gt;"",ROW($E$16:$E$116)-ROW($E$16)+1),ROW(A39))),"")</f>
        <v/>
      </c>
      <c r="K54" s="210" t="str" cm="1">
        <f t="array" aca="1" ref="K54" ca="1">IFERROR(INDEX($F$16:$F$116,SMALL(IF($F$16:$F$116&lt;&gt;"",ROW($F$16:$F$116)-ROW($F$16)+1),ROW(A39))),"")</f>
        <v/>
      </c>
      <c r="L54" s="210" t="str">
        <f t="shared" ca="1" si="0"/>
        <v/>
      </c>
      <c r="M54" s="210" t="str" cm="1">
        <f t="array" aca="1" ref="M54" ca="1">IFERROR(INDEX($G$16:$G$116,SMALL(IF($G$16:$G$116&lt;&gt;"",ROW($G$16:$G$116)-ROW($G$16)+1),ROW(A39))),"")</f>
        <v/>
      </c>
      <c r="N54" s="215" t="str">
        <f t="shared" ca="1" si="28"/>
        <v/>
      </c>
      <c r="O54" s="216" t="str">
        <f t="shared" ca="1" si="29"/>
        <v/>
      </c>
      <c r="P54" s="216" t="str">
        <f t="shared" ca="1" si="3"/>
        <v/>
      </c>
      <c r="Q54" s="216" t="str">
        <f t="shared" ca="1" si="30"/>
        <v/>
      </c>
      <c r="R54" s="216" t="str">
        <f t="shared" ca="1" si="5"/>
        <v/>
      </c>
      <c r="S54" s="216" t="str">
        <f t="shared" ca="1" si="31"/>
        <v/>
      </c>
      <c r="T54" s="216" t="str">
        <f t="shared" ca="1" si="7"/>
        <v/>
      </c>
      <c r="U54" s="216" t="str">
        <f t="shared" ca="1" si="32"/>
        <v/>
      </c>
      <c r="V54" s="217" t="str">
        <f t="shared" ca="1" si="9"/>
        <v/>
      </c>
      <c r="W54" s="376" t="str">
        <f t="shared" ca="1" si="20"/>
        <v/>
      </c>
      <c r="X54" s="377" t="str">
        <f t="shared" ca="1" si="21"/>
        <v/>
      </c>
      <c r="Y54" s="378" t="str">
        <f t="shared" ca="1" si="26"/>
        <v/>
      </c>
      <c r="Z54" s="378" t="str">
        <f t="shared" ca="1" si="26"/>
        <v/>
      </c>
      <c r="AA54" s="378" t="str">
        <f t="shared" ca="1" si="26"/>
        <v/>
      </c>
      <c r="AB54" s="378" t="str">
        <f t="shared" ca="1" si="26"/>
        <v/>
      </c>
      <c r="AC54" s="378" t="str">
        <f t="shared" ca="1" si="11"/>
        <v/>
      </c>
      <c r="AD54" s="378" t="str">
        <f t="shared" ca="1" si="33"/>
        <v/>
      </c>
      <c r="AE54" s="378" t="str">
        <f t="shared" ca="1" si="33"/>
        <v/>
      </c>
      <c r="AF54" s="378" t="str">
        <f t="shared" ca="1" si="33"/>
        <v/>
      </c>
      <c r="AG54" s="378" t="str">
        <f t="shared" ca="1" si="33"/>
        <v/>
      </c>
      <c r="AH54" s="378" t="str">
        <f t="shared" ca="1" si="33"/>
        <v/>
      </c>
      <c r="AI54" s="376" t="str">
        <f t="shared" ca="1" si="22"/>
        <v/>
      </c>
      <c r="AJ54" s="377" t="str">
        <f t="shared" ca="1" si="23"/>
        <v/>
      </c>
      <c r="AK54" s="378" t="str">
        <f t="shared" ca="1" si="27"/>
        <v/>
      </c>
      <c r="AL54" s="378" t="str">
        <f t="shared" ca="1" si="27"/>
        <v/>
      </c>
      <c r="AM54" s="378" t="str">
        <f t="shared" ca="1" si="27"/>
        <v/>
      </c>
      <c r="AN54" s="378" t="str">
        <f t="shared" ca="1" si="27"/>
        <v/>
      </c>
      <c r="AO54" s="378" t="str">
        <f t="shared" ca="1" si="14"/>
        <v/>
      </c>
      <c r="AP54" s="378" t="str">
        <f t="shared" ca="1" si="34"/>
        <v/>
      </c>
      <c r="AQ54" s="378" t="str">
        <f t="shared" ca="1" si="34"/>
        <v/>
      </c>
      <c r="AR54" s="378" t="str">
        <f t="shared" ca="1" si="34"/>
        <v/>
      </c>
      <c r="AS54" s="378" t="str">
        <f t="shared" ca="1" si="34"/>
        <v/>
      </c>
      <c r="AT54" s="378" t="str">
        <f t="shared" ca="1" si="34"/>
        <v/>
      </c>
    </row>
    <row r="55" spans="1:46" x14ac:dyDescent="0.4">
      <c r="A55" s="150">
        <v>40</v>
      </c>
      <c r="B55" s="204" t="b">
        <f t="shared" si="16"/>
        <v>0</v>
      </c>
      <c r="C55" s="209" t="str">
        <f t="shared" ca="1" si="17"/>
        <v/>
      </c>
      <c r="D55" s="359" t="str">
        <f t="shared" ca="1" si="18"/>
        <v/>
      </c>
      <c r="E55" s="359" t="str">
        <f t="shared" ca="1" si="19"/>
        <v/>
      </c>
      <c r="F55" s="57" t="str">
        <f t="shared" ca="1" si="19"/>
        <v/>
      </c>
      <c r="G55" s="57" t="str">
        <f t="shared" ca="1" si="19"/>
        <v/>
      </c>
      <c r="H55" s="211" t="str" cm="1">
        <f t="array" aca="1" ref="H55" ca="1">IFERROR(INDEX($C$16:$C$116,SMALL(IF($C$16:$C$116&lt;&gt;"",ROW($C$16:$C$116)-ROW($C$16)+1),ROW(A40))),"")</f>
        <v/>
      </c>
      <c r="I55" s="210" t="str" cm="1">
        <f t="array" aca="1" ref="I55" ca="1">IFERROR(INDEX($D$16:$D$116,SMALL(IF($D$16:$D$116&lt;&gt;"",ROW($D$16:$D$116)-ROW($D$16)+1),ROW(A40))),"")</f>
        <v/>
      </c>
      <c r="J55" s="210" t="str" cm="1">
        <f t="array" aca="1" ref="J55" ca="1">IFERROR(INDEX($E$16:$E$116,SMALL(IF($E$16:$E$116&lt;&gt;"",ROW($E$16:$E$116)-ROW($E$16)+1),ROW(A40))),"")</f>
        <v/>
      </c>
      <c r="K55" s="210" t="str" cm="1">
        <f t="array" aca="1" ref="K55" ca="1">IFERROR(INDEX($F$16:$F$116,SMALL(IF($F$16:$F$116&lt;&gt;"",ROW($F$16:$F$116)-ROW($F$16)+1),ROW(A40))),"")</f>
        <v/>
      </c>
      <c r="L55" s="210" t="str">
        <f t="shared" ca="1" si="0"/>
        <v/>
      </c>
      <c r="M55" s="210" t="str" cm="1">
        <f t="array" aca="1" ref="M55" ca="1">IFERROR(INDEX($G$16:$G$116,SMALL(IF($G$16:$G$116&lt;&gt;"",ROW($G$16:$G$116)-ROW($G$16)+1),ROW(A40))),"")</f>
        <v/>
      </c>
      <c r="N55" s="215" t="str">
        <f t="shared" ca="1" si="28"/>
        <v/>
      </c>
      <c r="O55" s="216" t="str">
        <f t="shared" ca="1" si="29"/>
        <v/>
      </c>
      <c r="P55" s="216" t="str">
        <f t="shared" ca="1" si="3"/>
        <v/>
      </c>
      <c r="Q55" s="216" t="str">
        <f t="shared" ca="1" si="30"/>
        <v/>
      </c>
      <c r="R55" s="216" t="str">
        <f t="shared" ca="1" si="5"/>
        <v/>
      </c>
      <c r="S55" s="216" t="str">
        <f t="shared" ca="1" si="31"/>
        <v/>
      </c>
      <c r="T55" s="216" t="str">
        <f t="shared" ca="1" si="7"/>
        <v/>
      </c>
      <c r="U55" s="216" t="str">
        <f t="shared" ca="1" si="32"/>
        <v/>
      </c>
      <c r="V55" s="217" t="str">
        <f t="shared" ca="1" si="9"/>
        <v/>
      </c>
      <c r="W55" s="376" t="str">
        <f t="shared" ca="1" si="20"/>
        <v/>
      </c>
      <c r="X55" s="377" t="str">
        <f t="shared" ca="1" si="21"/>
        <v/>
      </c>
      <c r="Y55" s="378" t="str">
        <f t="shared" ca="1" si="26"/>
        <v/>
      </c>
      <c r="Z55" s="378" t="str">
        <f t="shared" ca="1" si="26"/>
        <v/>
      </c>
      <c r="AA55" s="378" t="str">
        <f t="shared" ca="1" si="26"/>
        <v/>
      </c>
      <c r="AB55" s="378" t="str">
        <f t="shared" ca="1" si="26"/>
        <v/>
      </c>
      <c r="AC55" s="378" t="str">
        <f t="shared" ca="1" si="11"/>
        <v/>
      </c>
      <c r="AD55" s="378" t="str">
        <f t="shared" ca="1" si="33"/>
        <v/>
      </c>
      <c r="AE55" s="378" t="str">
        <f t="shared" ca="1" si="33"/>
        <v/>
      </c>
      <c r="AF55" s="378" t="str">
        <f t="shared" ca="1" si="33"/>
        <v/>
      </c>
      <c r="AG55" s="378" t="str">
        <f t="shared" ca="1" si="33"/>
        <v/>
      </c>
      <c r="AH55" s="378" t="str">
        <f t="shared" ca="1" si="33"/>
        <v/>
      </c>
      <c r="AI55" s="376" t="str">
        <f t="shared" ca="1" si="22"/>
        <v/>
      </c>
      <c r="AJ55" s="377" t="str">
        <f t="shared" ca="1" si="23"/>
        <v/>
      </c>
      <c r="AK55" s="378" t="str">
        <f t="shared" ca="1" si="27"/>
        <v/>
      </c>
      <c r="AL55" s="378" t="str">
        <f t="shared" ca="1" si="27"/>
        <v/>
      </c>
      <c r="AM55" s="378" t="str">
        <f t="shared" ca="1" si="27"/>
        <v/>
      </c>
      <c r="AN55" s="378" t="str">
        <f t="shared" ca="1" si="27"/>
        <v/>
      </c>
      <c r="AO55" s="378" t="str">
        <f t="shared" ca="1" si="14"/>
        <v/>
      </c>
      <c r="AP55" s="378" t="str">
        <f t="shared" ca="1" si="34"/>
        <v/>
      </c>
      <c r="AQ55" s="378" t="str">
        <f t="shared" ca="1" si="34"/>
        <v/>
      </c>
      <c r="AR55" s="378" t="str">
        <f t="shared" ca="1" si="34"/>
        <v/>
      </c>
      <c r="AS55" s="378" t="str">
        <f t="shared" ca="1" si="34"/>
        <v/>
      </c>
      <c r="AT55" s="378" t="str">
        <f t="shared" ca="1" si="34"/>
        <v/>
      </c>
    </row>
    <row r="56" spans="1:46" x14ac:dyDescent="0.4">
      <c r="A56" s="150">
        <v>41</v>
      </c>
      <c r="B56" s="204" t="b">
        <f t="shared" si="16"/>
        <v>0</v>
      </c>
      <c r="C56" s="209" t="str">
        <f t="shared" ca="1" si="17"/>
        <v/>
      </c>
      <c r="D56" s="359" t="str">
        <f t="shared" ca="1" si="18"/>
        <v/>
      </c>
      <c r="E56" s="359" t="str">
        <f t="shared" ca="1" si="19"/>
        <v/>
      </c>
      <c r="F56" s="57" t="str">
        <f t="shared" ca="1" si="19"/>
        <v/>
      </c>
      <c r="G56" s="57" t="str">
        <f t="shared" ca="1" si="19"/>
        <v/>
      </c>
      <c r="H56" s="211" t="str" cm="1">
        <f t="array" aca="1" ref="H56" ca="1">IFERROR(INDEX($C$16:$C$116,SMALL(IF($C$16:$C$116&lt;&gt;"",ROW($C$16:$C$116)-ROW($C$16)+1),ROW(A41))),"")</f>
        <v/>
      </c>
      <c r="I56" s="210" t="str" cm="1">
        <f t="array" aca="1" ref="I56" ca="1">IFERROR(INDEX($D$16:$D$116,SMALL(IF($D$16:$D$116&lt;&gt;"",ROW($D$16:$D$116)-ROW($D$16)+1),ROW(A41))),"")</f>
        <v/>
      </c>
      <c r="J56" s="210" t="str" cm="1">
        <f t="array" aca="1" ref="J56" ca="1">IFERROR(INDEX($E$16:$E$116,SMALL(IF($E$16:$E$116&lt;&gt;"",ROW($E$16:$E$116)-ROW($E$16)+1),ROW(A41))),"")</f>
        <v/>
      </c>
      <c r="K56" s="210" t="str" cm="1">
        <f t="array" aca="1" ref="K56" ca="1">IFERROR(INDEX($F$16:$F$116,SMALL(IF($F$16:$F$116&lt;&gt;"",ROW($F$16:$F$116)-ROW($F$16)+1),ROW(A41))),"")</f>
        <v/>
      </c>
      <c r="L56" s="210" t="str">
        <f t="shared" ca="1" si="0"/>
        <v/>
      </c>
      <c r="M56" s="210" t="str" cm="1">
        <f t="array" aca="1" ref="M56" ca="1">IFERROR(INDEX($G$16:$G$116,SMALL(IF($G$16:$G$116&lt;&gt;"",ROW($G$16:$G$116)-ROW($G$16)+1),ROW(A41))),"")</f>
        <v/>
      </c>
      <c r="N56" s="215" t="str">
        <f t="shared" ca="1" si="28"/>
        <v/>
      </c>
      <c r="O56" s="216" t="str">
        <f t="shared" ca="1" si="29"/>
        <v/>
      </c>
      <c r="P56" s="216" t="str">
        <f t="shared" ca="1" si="3"/>
        <v/>
      </c>
      <c r="Q56" s="216" t="str">
        <f t="shared" ca="1" si="30"/>
        <v/>
      </c>
      <c r="R56" s="216" t="str">
        <f t="shared" ca="1" si="5"/>
        <v/>
      </c>
      <c r="S56" s="216" t="str">
        <f t="shared" ca="1" si="31"/>
        <v/>
      </c>
      <c r="T56" s="216" t="str">
        <f t="shared" ca="1" si="7"/>
        <v/>
      </c>
      <c r="U56" s="216" t="str">
        <f t="shared" ca="1" si="32"/>
        <v/>
      </c>
      <c r="V56" s="217" t="str">
        <f t="shared" ca="1" si="9"/>
        <v/>
      </c>
      <c r="W56" s="376" t="str">
        <f t="shared" ca="1" si="20"/>
        <v/>
      </c>
      <c r="X56" s="377" t="str">
        <f t="shared" ca="1" si="21"/>
        <v/>
      </c>
      <c r="Y56" s="378" t="str">
        <f t="shared" ref="Y56:AB72" ca="1" si="35">IF($H56&lt;&gt;"",IF(_xlfn.SINGLE(INDIRECT($H56&amp;"!"&amp;$W56&amp;($X56+Y$15+1)))&lt;&gt;"",_xlfn.SINGLE(INDIRECT($H56&amp;"!"&amp;$W56&amp;($X56+Y$15+1))),""),"")</f>
        <v/>
      </c>
      <c r="Z56" s="378" t="str">
        <f t="shared" ca="1" si="35"/>
        <v/>
      </c>
      <c r="AA56" s="378" t="str">
        <f t="shared" ca="1" si="35"/>
        <v/>
      </c>
      <c r="AB56" s="378" t="str">
        <f t="shared" ca="1" si="35"/>
        <v/>
      </c>
      <c r="AC56" s="378" t="str">
        <f t="shared" ca="1" si="11"/>
        <v/>
      </c>
      <c r="AD56" s="378" t="str">
        <f t="shared" ca="1" si="33"/>
        <v/>
      </c>
      <c r="AE56" s="378" t="str">
        <f t="shared" ca="1" si="33"/>
        <v/>
      </c>
      <c r="AF56" s="378" t="str">
        <f t="shared" ca="1" si="33"/>
        <v/>
      </c>
      <c r="AG56" s="378" t="str">
        <f t="shared" ca="1" si="33"/>
        <v/>
      </c>
      <c r="AH56" s="378" t="str">
        <f t="shared" ca="1" si="33"/>
        <v/>
      </c>
      <c r="AI56" s="376" t="str">
        <f t="shared" ca="1" si="22"/>
        <v/>
      </c>
      <c r="AJ56" s="377" t="str">
        <f t="shared" ca="1" si="23"/>
        <v/>
      </c>
      <c r="AK56" s="378" t="str">
        <f t="shared" ref="AK56:AN72" ca="1" si="36">IF($H56&lt;&gt;"",IF(_xlfn.SINGLE(INDIRECT($H56&amp;"!"&amp;$AI56&amp;($AJ56+AK$15+1)))&lt;&gt;"",_xlfn.SINGLE(INDIRECT($H56&amp;"!"&amp;$AI56&amp;($AJ56+AK$15+1))),""),"")</f>
        <v/>
      </c>
      <c r="AL56" s="378" t="str">
        <f t="shared" ca="1" si="36"/>
        <v/>
      </c>
      <c r="AM56" s="378" t="str">
        <f t="shared" ca="1" si="36"/>
        <v/>
      </c>
      <c r="AN56" s="378" t="str">
        <f t="shared" ca="1" si="36"/>
        <v/>
      </c>
      <c r="AO56" s="378" t="str">
        <f t="shared" ca="1" si="14"/>
        <v/>
      </c>
      <c r="AP56" s="378" t="str">
        <f t="shared" ca="1" si="34"/>
        <v/>
      </c>
      <c r="AQ56" s="378" t="str">
        <f t="shared" ca="1" si="34"/>
        <v/>
      </c>
      <c r="AR56" s="378" t="str">
        <f t="shared" ca="1" si="34"/>
        <v/>
      </c>
      <c r="AS56" s="378" t="str">
        <f t="shared" ca="1" si="34"/>
        <v/>
      </c>
      <c r="AT56" s="378" t="str">
        <f t="shared" ca="1" si="34"/>
        <v/>
      </c>
    </row>
    <row r="57" spans="1:46" x14ac:dyDescent="0.4">
      <c r="A57" s="150">
        <v>42</v>
      </c>
      <c r="B57" s="204" t="b">
        <f t="shared" si="16"/>
        <v>0</v>
      </c>
      <c r="C57" s="209" t="str">
        <f t="shared" ca="1" si="17"/>
        <v/>
      </c>
      <c r="D57" s="359" t="str">
        <f t="shared" ca="1" si="18"/>
        <v/>
      </c>
      <c r="E57" s="359" t="str">
        <f t="shared" ca="1" si="19"/>
        <v/>
      </c>
      <c r="F57" s="57" t="str">
        <f t="shared" ca="1" si="19"/>
        <v/>
      </c>
      <c r="G57" s="57" t="str">
        <f t="shared" ca="1" si="19"/>
        <v/>
      </c>
      <c r="H57" s="211" t="str" cm="1">
        <f t="array" aca="1" ref="H57" ca="1">IFERROR(INDEX($C$16:$C$116,SMALL(IF($C$16:$C$116&lt;&gt;"",ROW($C$16:$C$116)-ROW($C$16)+1),ROW(A42))),"")</f>
        <v/>
      </c>
      <c r="I57" s="210" t="str" cm="1">
        <f t="array" aca="1" ref="I57" ca="1">IFERROR(INDEX($D$16:$D$116,SMALL(IF($D$16:$D$116&lt;&gt;"",ROW($D$16:$D$116)-ROW($D$16)+1),ROW(A42))),"")</f>
        <v/>
      </c>
      <c r="J57" s="210" t="str" cm="1">
        <f t="array" aca="1" ref="J57" ca="1">IFERROR(INDEX($E$16:$E$116,SMALL(IF($E$16:$E$116&lt;&gt;"",ROW($E$16:$E$116)-ROW($E$16)+1),ROW(A42))),"")</f>
        <v/>
      </c>
      <c r="K57" s="210" t="str" cm="1">
        <f t="array" aca="1" ref="K57" ca="1">IFERROR(INDEX($F$16:$F$116,SMALL(IF($F$16:$F$116&lt;&gt;"",ROW($F$16:$F$116)-ROW($F$16)+1),ROW(A42))),"")</f>
        <v/>
      </c>
      <c r="L57" s="210" t="str">
        <f t="shared" ca="1" si="0"/>
        <v/>
      </c>
      <c r="M57" s="210" t="str" cm="1">
        <f t="array" aca="1" ref="M57" ca="1">IFERROR(INDEX($G$16:$G$116,SMALL(IF($G$16:$G$116&lt;&gt;"",ROW($G$16:$G$116)-ROW($G$16)+1),ROW(A42))),"")</f>
        <v/>
      </c>
      <c r="N57" s="215" t="str">
        <f t="shared" ca="1" si="28"/>
        <v/>
      </c>
      <c r="O57" s="216" t="str">
        <f t="shared" ca="1" si="29"/>
        <v/>
      </c>
      <c r="P57" s="216" t="str">
        <f t="shared" ca="1" si="3"/>
        <v/>
      </c>
      <c r="Q57" s="216" t="str">
        <f t="shared" ca="1" si="30"/>
        <v/>
      </c>
      <c r="R57" s="216" t="str">
        <f t="shared" ca="1" si="5"/>
        <v/>
      </c>
      <c r="S57" s="216" t="str">
        <f t="shared" ca="1" si="31"/>
        <v/>
      </c>
      <c r="T57" s="216" t="str">
        <f t="shared" ca="1" si="7"/>
        <v/>
      </c>
      <c r="U57" s="216" t="str">
        <f t="shared" ca="1" si="32"/>
        <v/>
      </c>
      <c r="V57" s="217" t="str">
        <f t="shared" ca="1" si="9"/>
        <v/>
      </c>
      <c r="W57" s="376" t="str">
        <f t="shared" ca="1" si="20"/>
        <v/>
      </c>
      <c r="X57" s="377" t="str">
        <f t="shared" ca="1" si="21"/>
        <v/>
      </c>
      <c r="Y57" s="378" t="str">
        <f t="shared" ca="1" si="35"/>
        <v/>
      </c>
      <c r="Z57" s="378" t="str">
        <f t="shared" ca="1" si="35"/>
        <v/>
      </c>
      <c r="AA57" s="378" t="str">
        <f t="shared" ca="1" si="35"/>
        <v/>
      </c>
      <c r="AB57" s="378" t="str">
        <f t="shared" ca="1" si="35"/>
        <v/>
      </c>
      <c r="AC57" s="378" t="str">
        <f t="shared" ca="1" si="11"/>
        <v/>
      </c>
      <c r="AD57" s="378" t="str">
        <f t="shared" ca="1" si="33"/>
        <v/>
      </c>
      <c r="AE57" s="378" t="str">
        <f t="shared" ca="1" si="33"/>
        <v/>
      </c>
      <c r="AF57" s="378" t="str">
        <f t="shared" ca="1" si="33"/>
        <v/>
      </c>
      <c r="AG57" s="378" t="str">
        <f t="shared" ca="1" si="33"/>
        <v/>
      </c>
      <c r="AH57" s="378" t="str">
        <f t="shared" ca="1" si="33"/>
        <v/>
      </c>
      <c r="AI57" s="376" t="str">
        <f t="shared" ca="1" si="22"/>
        <v/>
      </c>
      <c r="AJ57" s="377" t="str">
        <f t="shared" ca="1" si="23"/>
        <v/>
      </c>
      <c r="AK57" s="378" t="str">
        <f t="shared" ca="1" si="36"/>
        <v/>
      </c>
      <c r="AL57" s="378" t="str">
        <f t="shared" ca="1" si="36"/>
        <v/>
      </c>
      <c r="AM57" s="378" t="str">
        <f t="shared" ca="1" si="36"/>
        <v/>
      </c>
      <c r="AN57" s="378" t="str">
        <f t="shared" ca="1" si="36"/>
        <v/>
      </c>
      <c r="AO57" s="378" t="str">
        <f t="shared" ca="1" si="14"/>
        <v/>
      </c>
      <c r="AP57" s="378" t="str">
        <f t="shared" ca="1" si="34"/>
        <v/>
      </c>
      <c r="AQ57" s="378" t="str">
        <f t="shared" ca="1" si="34"/>
        <v/>
      </c>
      <c r="AR57" s="378" t="str">
        <f t="shared" ca="1" si="34"/>
        <v/>
      </c>
      <c r="AS57" s="378" t="str">
        <f t="shared" ca="1" si="34"/>
        <v/>
      </c>
      <c r="AT57" s="378" t="str">
        <f t="shared" ca="1" si="34"/>
        <v/>
      </c>
    </row>
    <row r="58" spans="1:46" x14ac:dyDescent="0.4">
      <c r="A58" s="150">
        <v>43</v>
      </c>
      <c r="B58" s="204" t="b">
        <f t="shared" si="16"/>
        <v>0</v>
      </c>
      <c r="C58" s="209" t="str">
        <f t="shared" ca="1" si="17"/>
        <v/>
      </c>
      <c r="D58" s="359" t="str">
        <f t="shared" ca="1" si="18"/>
        <v/>
      </c>
      <c r="E58" s="359" t="str">
        <f t="shared" ca="1" si="19"/>
        <v/>
      </c>
      <c r="F58" s="57" t="str">
        <f t="shared" ca="1" si="19"/>
        <v/>
      </c>
      <c r="G58" s="57" t="str">
        <f t="shared" ca="1" si="19"/>
        <v/>
      </c>
      <c r="H58" s="211" t="str" cm="1">
        <f t="array" aca="1" ref="H58" ca="1">IFERROR(INDEX($C$16:$C$116,SMALL(IF($C$16:$C$116&lt;&gt;"",ROW($C$16:$C$116)-ROW($C$16)+1),ROW(A43))),"")</f>
        <v/>
      </c>
      <c r="I58" s="210" t="str" cm="1">
        <f t="array" aca="1" ref="I58" ca="1">IFERROR(INDEX($D$16:$D$116,SMALL(IF($D$16:$D$116&lt;&gt;"",ROW($D$16:$D$116)-ROW($D$16)+1),ROW(A43))),"")</f>
        <v/>
      </c>
      <c r="J58" s="210" t="str" cm="1">
        <f t="array" aca="1" ref="J58" ca="1">IFERROR(INDEX($E$16:$E$116,SMALL(IF($E$16:$E$116&lt;&gt;"",ROW($E$16:$E$116)-ROW($E$16)+1),ROW(A43))),"")</f>
        <v/>
      </c>
      <c r="K58" s="210" t="str" cm="1">
        <f t="array" aca="1" ref="K58" ca="1">IFERROR(INDEX($F$16:$F$116,SMALL(IF($F$16:$F$116&lt;&gt;"",ROW($F$16:$F$116)-ROW($F$16)+1),ROW(A43))),"")</f>
        <v/>
      </c>
      <c r="L58" s="210" t="str">
        <f t="shared" ca="1" si="0"/>
        <v/>
      </c>
      <c r="M58" s="210" t="str" cm="1">
        <f t="array" aca="1" ref="M58" ca="1">IFERROR(INDEX($G$16:$G$116,SMALL(IF($G$16:$G$116&lt;&gt;"",ROW($G$16:$G$116)-ROW($G$16)+1),ROW(A43))),"")</f>
        <v/>
      </c>
      <c r="N58" s="215" t="str">
        <f t="shared" ca="1" si="28"/>
        <v/>
      </c>
      <c r="O58" s="216" t="str">
        <f t="shared" ca="1" si="29"/>
        <v/>
      </c>
      <c r="P58" s="216" t="str">
        <f t="shared" ca="1" si="3"/>
        <v/>
      </c>
      <c r="Q58" s="216" t="str">
        <f t="shared" ca="1" si="30"/>
        <v/>
      </c>
      <c r="R58" s="216" t="str">
        <f t="shared" ca="1" si="5"/>
        <v/>
      </c>
      <c r="S58" s="216" t="str">
        <f t="shared" ca="1" si="31"/>
        <v/>
      </c>
      <c r="T58" s="216" t="str">
        <f t="shared" ca="1" si="7"/>
        <v/>
      </c>
      <c r="U58" s="216" t="str">
        <f t="shared" ca="1" si="32"/>
        <v/>
      </c>
      <c r="V58" s="217" t="str">
        <f t="shared" ca="1" si="9"/>
        <v/>
      </c>
      <c r="W58" s="376" t="str">
        <f t="shared" ca="1" si="20"/>
        <v/>
      </c>
      <c r="X58" s="377" t="str">
        <f t="shared" ca="1" si="21"/>
        <v/>
      </c>
      <c r="Y58" s="378" t="str">
        <f t="shared" ca="1" si="35"/>
        <v/>
      </c>
      <c r="Z58" s="378" t="str">
        <f t="shared" ca="1" si="35"/>
        <v/>
      </c>
      <c r="AA58" s="378" t="str">
        <f t="shared" ca="1" si="35"/>
        <v/>
      </c>
      <c r="AB58" s="378" t="str">
        <f t="shared" ca="1" si="35"/>
        <v/>
      </c>
      <c r="AC58" s="378" t="str">
        <f t="shared" ca="1" si="11"/>
        <v/>
      </c>
      <c r="AD58" s="378" t="str">
        <f t="shared" ca="1" si="33"/>
        <v/>
      </c>
      <c r="AE58" s="378" t="str">
        <f t="shared" ca="1" si="33"/>
        <v/>
      </c>
      <c r="AF58" s="378" t="str">
        <f t="shared" ca="1" si="33"/>
        <v/>
      </c>
      <c r="AG58" s="378" t="str">
        <f t="shared" ca="1" si="33"/>
        <v/>
      </c>
      <c r="AH58" s="378" t="str">
        <f t="shared" ca="1" si="33"/>
        <v/>
      </c>
      <c r="AI58" s="376" t="str">
        <f t="shared" ca="1" si="22"/>
        <v/>
      </c>
      <c r="AJ58" s="377" t="str">
        <f t="shared" ca="1" si="23"/>
        <v/>
      </c>
      <c r="AK58" s="378" t="str">
        <f t="shared" ca="1" si="36"/>
        <v/>
      </c>
      <c r="AL58" s="378" t="str">
        <f t="shared" ca="1" si="36"/>
        <v/>
      </c>
      <c r="AM58" s="378" t="str">
        <f t="shared" ca="1" si="36"/>
        <v/>
      </c>
      <c r="AN58" s="378" t="str">
        <f t="shared" ca="1" si="36"/>
        <v/>
      </c>
      <c r="AO58" s="378" t="str">
        <f t="shared" ca="1" si="14"/>
        <v/>
      </c>
      <c r="AP58" s="378" t="str">
        <f t="shared" ca="1" si="34"/>
        <v/>
      </c>
      <c r="AQ58" s="378" t="str">
        <f t="shared" ca="1" si="34"/>
        <v/>
      </c>
      <c r="AR58" s="378" t="str">
        <f t="shared" ca="1" si="34"/>
        <v/>
      </c>
      <c r="AS58" s="378" t="str">
        <f t="shared" ca="1" si="34"/>
        <v/>
      </c>
      <c r="AT58" s="378" t="str">
        <f t="shared" ca="1" si="34"/>
        <v/>
      </c>
    </row>
    <row r="59" spans="1:46" x14ac:dyDescent="0.4">
      <c r="A59" s="150">
        <v>44</v>
      </c>
      <c r="B59" s="204" t="b">
        <f t="shared" si="16"/>
        <v>0</v>
      </c>
      <c r="C59" s="209" t="str">
        <f t="shared" ca="1" si="17"/>
        <v/>
      </c>
      <c r="D59" s="359" t="str">
        <f t="shared" ca="1" si="18"/>
        <v/>
      </c>
      <c r="E59" s="359" t="str">
        <f t="shared" ca="1" si="19"/>
        <v/>
      </c>
      <c r="F59" s="57" t="str">
        <f t="shared" ca="1" si="19"/>
        <v/>
      </c>
      <c r="G59" s="57" t="str">
        <f t="shared" ca="1" si="19"/>
        <v/>
      </c>
      <c r="H59" s="211" t="str" cm="1">
        <f t="array" aca="1" ref="H59" ca="1">IFERROR(INDEX($C$16:$C$116,SMALL(IF($C$16:$C$116&lt;&gt;"",ROW($C$16:$C$116)-ROW($C$16)+1),ROW(A44))),"")</f>
        <v/>
      </c>
      <c r="I59" s="210" t="str" cm="1">
        <f t="array" aca="1" ref="I59" ca="1">IFERROR(INDEX($D$16:$D$116,SMALL(IF($D$16:$D$116&lt;&gt;"",ROW($D$16:$D$116)-ROW($D$16)+1),ROW(A44))),"")</f>
        <v/>
      </c>
      <c r="J59" s="210" t="str" cm="1">
        <f t="array" aca="1" ref="J59" ca="1">IFERROR(INDEX($E$16:$E$116,SMALL(IF($E$16:$E$116&lt;&gt;"",ROW($E$16:$E$116)-ROW($E$16)+1),ROW(A44))),"")</f>
        <v/>
      </c>
      <c r="K59" s="210" t="str" cm="1">
        <f t="array" aca="1" ref="K59" ca="1">IFERROR(INDEX($F$16:$F$116,SMALL(IF($F$16:$F$116&lt;&gt;"",ROW($F$16:$F$116)-ROW($F$16)+1),ROW(A44))),"")</f>
        <v/>
      </c>
      <c r="L59" s="210" t="str">
        <f t="shared" ca="1" si="0"/>
        <v/>
      </c>
      <c r="M59" s="210" t="str" cm="1">
        <f t="array" aca="1" ref="M59" ca="1">IFERROR(INDEX($G$16:$G$116,SMALL(IF($G$16:$G$116&lt;&gt;"",ROW($G$16:$G$116)-ROW($G$16)+1),ROW(A44))),"")</f>
        <v/>
      </c>
      <c r="N59" s="215" t="str">
        <f t="shared" ca="1" si="28"/>
        <v/>
      </c>
      <c r="O59" s="216" t="str">
        <f t="shared" ca="1" si="29"/>
        <v/>
      </c>
      <c r="P59" s="216" t="str">
        <f t="shared" ca="1" si="3"/>
        <v/>
      </c>
      <c r="Q59" s="216" t="str">
        <f t="shared" ca="1" si="30"/>
        <v/>
      </c>
      <c r="R59" s="216" t="str">
        <f t="shared" ca="1" si="5"/>
        <v/>
      </c>
      <c r="S59" s="216" t="str">
        <f t="shared" ca="1" si="31"/>
        <v/>
      </c>
      <c r="T59" s="216" t="str">
        <f t="shared" ca="1" si="7"/>
        <v/>
      </c>
      <c r="U59" s="216" t="str">
        <f t="shared" ca="1" si="32"/>
        <v/>
      </c>
      <c r="V59" s="217" t="str">
        <f t="shared" ca="1" si="9"/>
        <v/>
      </c>
      <c r="W59" s="376" t="str">
        <f t="shared" ca="1" si="20"/>
        <v/>
      </c>
      <c r="X59" s="377" t="str">
        <f t="shared" ca="1" si="21"/>
        <v/>
      </c>
      <c r="Y59" s="378" t="str">
        <f t="shared" ca="1" si="35"/>
        <v/>
      </c>
      <c r="Z59" s="378" t="str">
        <f t="shared" ca="1" si="35"/>
        <v/>
      </c>
      <c r="AA59" s="378" t="str">
        <f t="shared" ca="1" si="35"/>
        <v/>
      </c>
      <c r="AB59" s="378" t="str">
        <f t="shared" ca="1" si="35"/>
        <v/>
      </c>
      <c r="AC59" s="378" t="str">
        <f t="shared" ca="1" si="11"/>
        <v/>
      </c>
      <c r="AD59" s="378" t="str">
        <f t="shared" ca="1" si="33"/>
        <v/>
      </c>
      <c r="AE59" s="378" t="str">
        <f t="shared" ca="1" si="33"/>
        <v/>
      </c>
      <c r="AF59" s="378" t="str">
        <f t="shared" ca="1" si="33"/>
        <v/>
      </c>
      <c r="AG59" s="378" t="str">
        <f t="shared" ca="1" si="33"/>
        <v/>
      </c>
      <c r="AH59" s="378" t="str">
        <f t="shared" ca="1" si="33"/>
        <v/>
      </c>
      <c r="AI59" s="376" t="str">
        <f t="shared" ca="1" si="22"/>
        <v/>
      </c>
      <c r="AJ59" s="377" t="str">
        <f t="shared" ca="1" si="23"/>
        <v/>
      </c>
      <c r="AK59" s="378" t="str">
        <f t="shared" ca="1" si="36"/>
        <v/>
      </c>
      <c r="AL59" s="378" t="str">
        <f t="shared" ca="1" si="36"/>
        <v/>
      </c>
      <c r="AM59" s="378" t="str">
        <f t="shared" ca="1" si="36"/>
        <v/>
      </c>
      <c r="AN59" s="378" t="str">
        <f t="shared" ca="1" si="36"/>
        <v/>
      </c>
      <c r="AO59" s="378" t="str">
        <f t="shared" ca="1" si="14"/>
        <v/>
      </c>
      <c r="AP59" s="378" t="str">
        <f t="shared" ca="1" si="34"/>
        <v/>
      </c>
      <c r="AQ59" s="378" t="str">
        <f t="shared" ca="1" si="34"/>
        <v/>
      </c>
      <c r="AR59" s="378" t="str">
        <f t="shared" ca="1" si="34"/>
        <v/>
      </c>
      <c r="AS59" s="378" t="str">
        <f t="shared" ca="1" si="34"/>
        <v/>
      </c>
      <c r="AT59" s="378" t="str">
        <f t="shared" ca="1" si="34"/>
        <v/>
      </c>
    </row>
    <row r="60" spans="1:46" x14ac:dyDescent="0.4">
      <c r="A60" s="150">
        <v>45</v>
      </c>
      <c r="B60" s="204" t="b">
        <f t="shared" si="16"/>
        <v>0</v>
      </c>
      <c r="C60" s="209" t="str">
        <f t="shared" ca="1" si="17"/>
        <v/>
      </c>
      <c r="D60" s="359" t="str">
        <f t="shared" ca="1" si="18"/>
        <v/>
      </c>
      <c r="E60" s="359" t="str">
        <f t="shared" ca="1" si="19"/>
        <v/>
      </c>
      <c r="F60" s="57" t="str">
        <f t="shared" ca="1" si="19"/>
        <v/>
      </c>
      <c r="G60" s="57" t="str">
        <f t="shared" ca="1" si="19"/>
        <v/>
      </c>
      <c r="H60" s="211" t="str" cm="1">
        <f t="array" aca="1" ref="H60" ca="1">IFERROR(INDEX($C$16:$C$116,SMALL(IF($C$16:$C$116&lt;&gt;"",ROW($C$16:$C$116)-ROW($C$16)+1),ROW(A45))),"")</f>
        <v/>
      </c>
      <c r="I60" s="210" t="str" cm="1">
        <f t="array" aca="1" ref="I60" ca="1">IFERROR(INDEX($D$16:$D$116,SMALL(IF($D$16:$D$116&lt;&gt;"",ROW($D$16:$D$116)-ROW($D$16)+1),ROW(A45))),"")</f>
        <v/>
      </c>
      <c r="J60" s="210" t="str" cm="1">
        <f t="array" aca="1" ref="J60" ca="1">IFERROR(INDEX($E$16:$E$116,SMALL(IF($E$16:$E$116&lt;&gt;"",ROW($E$16:$E$116)-ROW($E$16)+1),ROW(A45))),"")</f>
        <v/>
      </c>
      <c r="K60" s="210" t="str" cm="1">
        <f t="array" aca="1" ref="K60" ca="1">IFERROR(INDEX($F$16:$F$116,SMALL(IF($F$16:$F$116&lt;&gt;"",ROW($F$16:$F$116)-ROW($F$16)+1),ROW(A45))),"")</f>
        <v/>
      </c>
      <c r="L60" s="210" t="str">
        <f t="shared" ca="1" si="0"/>
        <v/>
      </c>
      <c r="M60" s="210" t="str" cm="1">
        <f t="array" aca="1" ref="M60" ca="1">IFERROR(INDEX($G$16:$G$116,SMALL(IF($G$16:$G$116&lt;&gt;"",ROW($G$16:$G$116)-ROW($G$16)+1),ROW(A45))),"")</f>
        <v/>
      </c>
      <c r="N60" s="215" t="str">
        <f t="shared" ca="1" si="28"/>
        <v/>
      </c>
      <c r="O60" s="216" t="str">
        <f t="shared" ca="1" si="29"/>
        <v/>
      </c>
      <c r="P60" s="216" t="str">
        <f t="shared" ca="1" si="3"/>
        <v/>
      </c>
      <c r="Q60" s="216" t="str">
        <f t="shared" ca="1" si="30"/>
        <v/>
      </c>
      <c r="R60" s="216" t="str">
        <f t="shared" ca="1" si="5"/>
        <v/>
      </c>
      <c r="S60" s="216" t="str">
        <f t="shared" ca="1" si="31"/>
        <v/>
      </c>
      <c r="T60" s="216" t="str">
        <f t="shared" ca="1" si="7"/>
        <v/>
      </c>
      <c r="U60" s="216" t="str">
        <f t="shared" ca="1" si="32"/>
        <v/>
      </c>
      <c r="V60" s="217" t="str">
        <f t="shared" ca="1" si="9"/>
        <v/>
      </c>
      <c r="W60" s="376" t="str">
        <f t="shared" ca="1" si="20"/>
        <v/>
      </c>
      <c r="X60" s="377" t="str">
        <f t="shared" ca="1" si="21"/>
        <v/>
      </c>
      <c r="Y60" s="378" t="str">
        <f t="shared" ca="1" si="35"/>
        <v/>
      </c>
      <c r="Z60" s="378" t="str">
        <f t="shared" ca="1" si="35"/>
        <v/>
      </c>
      <c r="AA60" s="378" t="str">
        <f t="shared" ca="1" si="35"/>
        <v/>
      </c>
      <c r="AB60" s="378" t="str">
        <f t="shared" ca="1" si="35"/>
        <v/>
      </c>
      <c r="AC60" s="378" t="str">
        <f t="shared" ca="1" si="11"/>
        <v/>
      </c>
      <c r="AD60" s="378" t="str">
        <f t="shared" ca="1" si="33"/>
        <v/>
      </c>
      <c r="AE60" s="378" t="str">
        <f t="shared" ca="1" si="33"/>
        <v/>
      </c>
      <c r="AF60" s="378" t="str">
        <f t="shared" ca="1" si="33"/>
        <v/>
      </c>
      <c r="AG60" s="378" t="str">
        <f t="shared" ca="1" si="33"/>
        <v/>
      </c>
      <c r="AH60" s="378" t="str">
        <f t="shared" ca="1" si="33"/>
        <v/>
      </c>
      <c r="AI60" s="376" t="str">
        <f t="shared" ca="1" si="22"/>
        <v/>
      </c>
      <c r="AJ60" s="377" t="str">
        <f t="shared" ca="1" si="23"/>
        <v/>
      </c>
      <c r="AK60" s="378" t="str">
        <f t="shared" ca="1" si="36"/>
        <v/>
      </c>
      <c r="AL60" s="378" t="str">
        <f t="shared" ca="1" si="36"/>
        <v/>
      </c>
      <c r="AM60" s="378" t="str">
        <f t="shared" ca="1" si="36"/>
        <v/>
      </c>
      <c r="AN60" s="378" t="str">
        <f t="shared" ca="1" si="36"/>
        <v/>
      </c>
      <c r="AO60" s="378" t="str">
        <f t="shared" ca="1" si="14"/>
        <v/>
      </c>
      <c r="AP60" s="378" t="str">
        <f t="shared" ca="1" si="34"/>
        <v/>
      </c>
      <c r="AQ60" s="378" t="str">
        <f t="shared" ca="1" si="34"/>
        <v/>
      </c>
      <c r="AR60" s="378" t="str">
        <f t="shared" ca="1" si="34"/>
        <v/>
      </c>
      <c r="AS60" s="378" t="str">
        <f t="shared" ca="1" si="34"/>
        <v/>
      </c>
      <c r="AT60" s="378" t="str">
        <f t="shared" ca="1" si="34"/>
        <v/>
      </c>
    </row>
    <row r="61" spans="1:46" x14ac:dyDescent="0.4">
      <c r="A61" s="150">
        <v>46</v>
      </c>
      <c r="B61" s="204" t="b">
        <f t="shared" si="16"/>
        <v>0</v>
      </c>
      <c r="C61" s="209" t="str">
        <f t="shared" ca="1" si="17"/>
        <v/>
      </c>
      <c r="D61" s="359" t="str">
        <f t="shared" ca="1" si="18"/>
        <v/>
      </c>
      <c r="E61" s="359" t="str">
        <f t="shared" ca="1" si="19"/>
        <v/>
      </c>
      <c r="F61" s="57" t="str">
        <f t="shared" ca="1" si="19"/>
        <v/>
      </c>
      <c r="G61" s="57" t="str">
        <f t="shared" ca="1" si="19"/>
        <v/>
      </c>
      <c r="H61" s="211" t="str" cm="1">
        <f t="array" aca="1" ref="H61" ca="1">IFERROR(INDEX($C$16:$C$116,SMALL(IF($C$16:$C$116&lt;&gt;"",ROW($C$16:$C$116)-ROW($C$16)+1),ROW(A46))),"")</f>
        <v/>
      </c>
      <c r="I61" s="210" t="str" cm="1">
        <f t="array" aca="1" ref="I61" ca="1">IFERROR(INDEX($D$16:$D$116,SMALL(IF($D$16:$D$116&lt;&gt;"",ROW($D$16:$D$116)-ROW($D$16)+1),ROW(A46))),"")</f>
        <v/>
      </c>
      <c r="J61" s="210" t="str" cm="1">
        <f t="array" aca="1" ref="J61" ca="1">IFERROR(INDEX($E$16:$E$116,SMALL(IF($E$16:$E$116&lt;&gt;"",ROW($E$16:$E$116)-ROW($E$16)+1),ROW(A46))),"")</f>
        <v/>
      </c>
      <c r="K61" s="210" t="str" cm="1">
        <f t="array" aca="1" ref="K61" ca="1">IFERROR(INDEX($F$16:$F$116,SMALL(IF($F$16:$F$116&lt;&gt;"",ROW($F$16:$F$116)-ROW($F$16)+1),ROW(A46))),"")</f>
        <v/>
      </c>
      <c r="L61" s="210" t="str">
        <f t="shared" ca="1" si="0"/>
        <v/>
      </c>
      <c r="M61" s="210" t="str" cm="1">
        <f t="array" aca="1" ref="M61" ca="1">IFERROR(INDEX($G$16:$G$116,SMALL(IF($G$16:$G$116&lt;&gt;"",ROW($G$16:$G$116)-ROW($G$16)+1),ROW(A46))),"")</f>
        <v/>
      </c>
      <c r="N61" s="215" t="str">
        <f t="shared" ca="1" si="28"/>
        <v/>
      </c>
      <c r="O61" s="216" t="str">
        <f t="shared" ca="1" si="29"/>
        <v/>
      </c>
      <c r="P61" s="216" t="str">
        <f t="shared" ca="1" si="3"/>
        <v/>
      </c>
      <c r="Q61" s="216" t="str">
        <f t="shared" ca="1" si="30"/>
        <v/>
      </c>
      <c r="R61" s="216" t="str">
        <f t="shared" ca="1" si="5"/>
        <v/>
      </c>
      <c r="S61" s="216" t="str">
        <f t="shared" ca="1" si="31"/>
        <v/>
      </c>
      <c r="T61" s="216" t="str">
        <f t="shared" ca="1" si="7"/>
        <v/>
      </c>
      <c r="U61" s="216" t="str">
        <f t="shared" ca="1" si="32"/>
        <v/>
      </c>
      <c r="V61" s="217" t="str">
        <f t="shared" ca="1" si="9"/>
        <v/>
      </c>
      <c r="W61" s="376" t="str">
        <f t="shared" ca="1" si="20"/>
        <v/>
      </c>
      <c r="X61" s="377" t="str">
        <f t="shared" ca="1" si="21"/>
        <v/>
      </c>
      <c r="Y61" s="378" t="str">
        <f t="shared" ca="1" si="35"/>
        <v/>
      </c>
      <c r="Z61" s="378" t="str">
        <f t="shared" ca="1" si="35"/>
        <v/>
      </c>
      <c r="AA61" s="378" t="str">
        <f t="shared" ca="1" si="35"/>
        <v/>
      </c>
      <c r="AB61" s="378" t="str">
        <f t="shared" ca="1" si="35"/>
        <v/>
      </c>
      <c r="AC61" s="378" t="str">
        <f t="shared" ca="1" si="11"/>
        <v/>
      </c>
      <c r="AD61" s="378" t="str">
        <f t="shared" ca="1" si="33"/>
        <v/>
      </c>
      <c r="AE61" s="378" t="str">
        <f t="shared" ca="1" si="33"/>
        <v/>
      </c>
      <c r="AF61" s="378" t="str">
        <f t="shared" ca="1" si="33"/>
        <v/>
      </c>
      <c r="AG61" s="378" t="str">
        <f t="shared" ca="1" si="33"/>
        <v/>
      </c>
      <c r="AH61" s="378" t="str">
        <f t="shared" ca="1" si="33"/>
        <v/>
      </c>
      <c r="AI61" s="376" t="str">
        <f t="shared" ca="1" si="22"/>
        <v/>
      </c>
      <c r="AJ61" s="377" t="str">
        <f t="shared" ca="1" si="23"/>
        <v/>
      </c>
      <c r="AK61" s="378" t="str">
        <f t="shared" ca="1" si="36"/>
        <v/>
      </c>
      <c r="AL61" s="378" t="str">
        <f t="shared" ca="1" si="36"/>
        <v/>
      </c>
      <c r="AM61" s="378" t="str">
        <f t="shared" ca="1" si="36"/>
        <v/>
      </c>
      <c r="AN61" s="378" t="str">
        <f t="shared" ca="1" si="36"/>
        <v/>
      </c>
      <c r="AO61" s="378" t="str">
        <f t="shared" ca="1" si="14"/>
        <v/>
      </c>
      <c r="AP61" s="378" t="str">
        <f t="shared" ca="1" si="34"/>
        <v/>
      </c>
      <c r="AQ61" s="378" t="str">
        <f t="shared" ca="1" si="34"/>
        <v/>
      </c>
      <c r="AR61" s="378" t="str">
        <f t="shared" ca="1" si="34"/>
        <v/>
      </c>
      <c r="AS61" s="378" t="str">
        <f t="shared" ca="1" si="34"/>
        <v/>
      </c>
      <c r="AT61" s="378" t="str">
        <f t="shared" ca="1" si="34"/>
        <v/>
      </c>
    </row>
    <row r="62" spans="1:46" x14ac:dyDescent="0.4">
      <c r="A62" s="150">
        <v>47</v>
      </c>
      <c r="B62" s="204" t="b">
        <f t="shared" si="16"/>
        <v>0</v>
      </c>
      <c r="C62" s="209" t="str">
        <f t="shared" ca="1" si="17"/>
        <v/>
      </c>
      <c r="D62" s="359" t="str">
        <f t="shared" ca="1" si="18"/>
        <v/>
      </c>
      <c r="E62" s="359" t="str">
        <f t="shared" ca="1" si="19"/>
        <v/>
      </c>
      <c r="F62" s="57" t="str">
        <f t="shared" ca="1" si="19"/>
        <v/>
      </c>
      <c r="G62" s="57" t="str">
        <f t="shared" ca="1" si="19"/>
        <v/>
      </c>
      <c r="H62" s="211" t="str" cm="1">
        <f t="array" aca="1" ref="H62" ca="1">IFERROR(INDEX($C$16:$C$116,SMALL(IF($C$16:$C$116&lt;&gt;"",ROW($C$16:$C$116)-ROW($C$16)+1),ROW(A47))),"")</f>
        <v/>
      </c>
      <c r="I62" s="210" t="str" cm="1">
        <f t="array" aca="1" ref="I62" ca="1">IFERROR(INDEX($D$16:$D$116,SMALL(IF($D$16:$D$116&lt;&gt;"",ROW($D$16:$D$116)-ROW($D$16)+1),ROW(A47))),"")</f>
        <v/>
      </c>
      <c r="J62" s="210" t="str" cm="1">
        <f t="array" aca="1" ref="J62" ca="1">IFERROR(INDEX($E$16:$E$116,SMALL(IF($E$16:$E$116&lt;&gt;"",ROW($E$16:$E$116)-ROW($E$16)+1),ROW(A47))),"")</f>
        <v/>
      </c>
      <c r="K62" s="210" t="str" cm="1">
        <f t="array" aca="1" ref="K62" ca="1">IFERROR(INDEX($F$16:$F$116,SMALL(IF($F$16:$F$116&lt;&gt;"",ROW($F$16:$F$116)-ROW($F$16)+1),ROW(A47))),"")</f>
        <v/>
      </c>
      <c r="L62" s="210" t="str">
        <f t="shared" ca="1" si="0"/>
        <v/>
      </c>
      <c r="M62" s="210" t="str" cm="1">
        <f t="array" aca="1" ref="M62" ca="1">IFERROR(INDEX($G$16:$G$116,SMALL(IF($G$16:$G$116&lt;&gt;"",ROW($G$16:$G$116)-ROW($G$16)+1),ROW(A47))),"")</f>
        <v/>
      </c>
      <c r="N62" s="215" t="str">
        <f t="shared" ca="1" si="28"/>
        <v/>
      </c>
      <c r="O62" s="216" t="str">
        <f t="shared" ca="1" si="29"/>
        <v/>
      </c>
      <c r="P62" s="216" t="str">
        <f t="shared" ca="1" si="3"/>
        <v/>
      </c>
      <c r="Q62" s="216" t="str">
        <f t="shared" ca="1" si="30"/>
        <v/>
      </c>
      <c r="R62" s="216" t="str">
        <f t="shared" ca="1" si="5"/>
        <v/>
      </c>
      <c r="S62" s="216" t="str">
        <f t="shared" ca="1" si="31"/>
        <v/>
      </c>
      <c r="T62" s="216" t="str">
        <f t="shared" ca="1" si="7"/>
        <v/>
      </c>
      <c r="U62" s="216" t="str">
        <f t="shared" ca="1" si="32"/>
        <v/>
      </c>
      <c r="V62" s="217" t="str">
        <f t="shared" ca="1" si="9"/>
        <v/>
      </c>
      <c r="W62" s="376" t="str">
        <f t="shared" ca="1" si="20"/>
        <v/>
      </c>
      <c r="X62" s="377" t="str">
        <f t="shared" ca="1" si="21"/>
        <v/>
      </c>
      <c r="Y62" s="378" t="str">
        <f t="shared" ca="1" si="35"/>
        <v/>
      </c>
      <c r="Z62" s="378" t="str">
        <f t="shared" ca="1" si="35"/>
        <v/>
      </c>
      <c r="AA62" s="378" t="str">
        <f t="shared" ca="1" si="35"/>
        <v/>
      </c>
      <c r="AB62" s="378" t="str">
        <f t="shared" ca="1" si="35"/>
        <v/>
      </c>
      <c r="AC62" s="378" t="str">
        <f t="shared" ca="1" si="11"/>
        <v/>
      </c>
      <c r="AD62" s="378" t="str">
        <f t="shared" ca="1" si="33"/>
        <v/>
      </c>
      <c r="AE62" s="378" t="str">
        <f t="shared" ca="1" si="33"/>
        <v/>
      </c>
      <c r="AF62" s="378" t="str">
        <f t="shared" ca="1" si="33"/>
        <v/>
      </c>
      <c r="AG62" s="378" t="str">
        <f t="shared" ca="1" si="33"/>
        <v/>
      </c>
      <c r="AH62" s="378" t="str">
        <f t="shared" ca="1" si="33"/>
        <v/>
      </c>
      <c r="AI62" s="376" t="str">
        <f t="shared" ca="1" si="22"/>
        <v/>
      </c>
      <c r="AJ62" s="377" t="str">
        <f t="shared" ca="1" si="23"/>
        <v/>
      </c>
      <c r="AK62" s="378" t="str">
        <f t="shared" ca="1" si="36"/>
        <v/>
      </c>
      <c r="AL62" s="378" t="str">
        <f t="shared" ca="1" si="36"/>
        <v/>
      </c>
      <c r="AM62" s="378" t="str">
        <f t="shared" ca="1" si="36"/>
        <v/>
      </c>
      <c r="AN62" s="378" t="str">
        <f t="shared" ca="1" si="36"/>
        <v/>
      </c>
      <c r="AO62" s="378" t="str">
        <f t="shared" ca="1" si="14"/>
        <v/>
      </c>
      <c r="AP62" s="378" t="str">
        <f t="shared" ca="1" si="34"/>
        <v/>
      </c>
      <c r="AQ62" s="378" t="str">
        <f t="shared" ca="1" si="34"/>
        <v/>
      </c>
      <c r="AR62" s="378" t="str">
        <f t="shared" ca="1" si="34"/>
        <v/>
      </c>
      <c r="AS62" s="378" t="str">
        <f t="shared" ca="1" si="34"/>
        <v/>
      </c>
      <c r="AT62" s="378" t="str">
        <f t="shared" ca="1" si="34"/>
        <v/>
      </c>
    </row>
    <row r="63" spans="1:46" x14ac:dyDescent="0.4">
      <c r="A63" s="150">
        <v>48</v>
      </c>
      <c r="B63" s="204" t="b">
        <f t="shared" si="16"/>
        <v>0</v>
      </c>
      <c r="C63" s="209" t="str">
        <f t="shared" ca="1" si="17"/>
        <v/>
      </c>
      <c r="D63" s="359" t="str">
        <f t="shared" ca="1" si="18"/>
        <v/>
      </c>
      <c r="E63" s="359" t="str">
        <f t="shared" ca="1" si="19"/>
        <v/>
      </c>
      <c r="F63" s="57" t="str">
        <f t="shared" ca="1" si="19"/>
        <v/>
      </c>
      <c r="G63" s="57" t="str">
        <f t="shared" ca="1" si="19"/>
        <v/>
      </c>
      <c r="H63" s="211" t="str" cm="1">
        <f t="array" aca="1" ref="H63" ca="1">IFERROR(INDEX($C$16:$C$116,SMALL(IF($C$16:$C$116&lt;&gt;"",ROW($C$16:$C$116)-ROW($C$16)+1),ROW(A48))),"")</f>
        <v/>
      </c>
      <c r="I63" s="210" t="str" cm="1">
        <f t="array" aca="1" ref="I63" ca="1">IFERROR(INDEX($D$16:$D$116,SMALL(IF($D$16:$D$116&lt;&gt;"",ROW($D$16:$D$116)-ROW($D$16)+1),ROW(A48))),"")</f>
        <v/>
      </c>
      <c r="J63" s="210" t="str" cm="1">
        <f t="array" aca="1" ref="J63" ca="1">IFERROR(INDEX($E$16:$E$116,SMALL(IF($E$16:$E$116&lt;&gt;"",ROW($E$16:$E$116)-ROW($E$16)+1),ROW(A48))),"")</f>
        <v/>
      </c>
      <c r="K63" s="210" t="str" cm="1">
        <f t="array" aca="1" ref="K63" ca="1">IFERROR(INDEX($F$16:$F$116,SMALL(IF($F$16:$F$116&lt;&gt;"",ROW($F$16:$F$116)-ROW($F$16)+1),ROW(A48))),"")</f>
        <v/>
      </c>
      <c r="L63" s="210" t="str">
        <f t="shared" ca="1" si="0"/>
        <v/>
      </c>
      <c r="M63" s="210" t="str" cm="1">
        <f t="array" aca="1" ref="M63" ca="1">IFERROR(INDEX($G$16:$G$116,SMALL(IF($G$16:$G$116&lt;&gt;"",ROW($G$16:$G$116)-ROW($G$16)+1),ROW(A48))),"")</f>
        <v/>
      </c>
      <c r="N63" s="215" t="str">
        <f t="shared" ca="1" si="28"/>
        <v/>
      </c>
      <c r="O63" s="216" t="str">
        <f t="shared" ca="1" si="29"/>
        <v/>
      </c>
      <c r="P63" s="216" t="str">
        <f t="shared" ca="1" si="3"/>
        <v/>
      </c>
      <c r="Q63" s="216" t="str">
        <f t="shared" ca="1" si="30"/>
        <v/>
      </c>
      <c r="R63" s="216" t="str">
        <f t="shared" ca="1" si="5"/>
        <v/>
      </c>
      <c r="S63" s="216" t="str">
        <f t="shared" ca="1" si="31"/>
        <v/>
      </c>
      <c r="T63" s="216" t="str">
        <f t="shared" ca="1" si="7"/>
        <v/>
      </c>
      <c r="U63" s="216" t="str">
        <f t="shared" ca="1" si="32"/>
        <v/>
      </c>
      <c r="V63" s="217" t="str">
        <f t="shared" ca="1" si="9"/>
        <v/>
      </c>
      <c r="W63" s="376" t="str">
        <f t="shared" ca="1" si="20"/>
        <v/>
      </c>
      <c r="X63" s="377" t="str">
        <f t="shared" ca="1" si="21"/>
        <v/>
      </c>
      <c r="Y63" s="378" t="str">
        <f t="shared" ca="1" si="35"/>
        <v/>
      </c>
      <c r="Z63" s="378" t="str">
        <f t="shared" ca="1" si="35"/>
        <v/>
      </c>
      <c r="AA63" s="378" t="str">
        <f t="shared" ca="1" si="35"/>
        <v/>
      </c>
      <c r="AB63" s="378" t="str">
        <f t="shared" ca="1" si="35"/>
        <v/>
      </c>
      <c r="AC63" s="378" t="str">
        <f t="shared" ca="1" si="11"/>
        <v/>
      </c>
      <c r="AD63" s="378" t="str">
        <f t="shared" ca="1" si="33"/>
        <v/>
      </c>
      <c r="AE63" s="378" t="str">
        <f t="shared" ca="1" si="33"/>
        <v/>
      </c>
      <c r="AF63" s="378" t="str">
        <f t="shared" ca="1" si="33"/>
        <v/>
      </c>
      <c r="AG63" s="378" t="str">
        <f t="shared" ca="1" si="33"/>
        <v/>
      </c>
      <c r="AH63" s="378" t="str">
        <f t="shared" ca="1" si="33"/>
        <v/>
      </c>
      <c r="AI63" s="376" t="str">
        <f t="shared" ca="1" si="22"/>
        <v/>
      </c>
      <c r="AJ63" s="377" t="str">
        <f t="shared" ca="1" si="23"/>
        <v/>
      </c>
      <c r="AK63" s="378" t="str">
        <f t="shared" ca="1" si="36"/>
        <v/>
      </c>
      <c r="AL63" s="378" t="str">
        <f t="shared" ca="1" si="36"/>
        <v/>
      </c>
      <c r="AM63" s="378" t="str">
        <f t="shared" ca="1" si="36"/>
        <v/>
      </c>
      <c r="AN63" s="378" t="str">
        <f t="shared" ca="1" si="36"/>
        <v/>
      </c>
      <c r="AO63" s="378" t="str">
        <f t="shared" ca="1" si="14"/>
        <v/>
      </c>
      <c r="AP63" s="378" t="str">
        <f t="shared" ca="1" si="34"/>
        <v/>
      </c>
      <c r="AQ63" s="378" t="str">
        <f t="shared" ca="1" si="34"/>
        <v/>
      </c>
      <c r="AR63" s="378" t="str">
        <f t="shared" ca="1" si="34"/>
        <v/>
      </c>
      <c r="AS63" s="378" t="str">
        <f t="shared" ca="1" si="34"/>
        <v/>
      </c>
      <c r="AT63" s="378" t="str">
        <f t="shared" ca="1" si="34"/>
        <v/>
      </c>
    </row>
    <row r="64" spans="1:46" x14ac:dyDescent="0.4">
      <c r="A64" s="150">
        <v>49</v>
      </c>
      <c r="B64" s="204" t="b">
        <f t="shared" si="16"/>
        <v>0</v>
      </c>
      <c r="C64" s="209" t="str">
        <f t="shared" ca="1" si="17"/>
        <v/>
      </c>
      <c r="D64" s="359" t="str">
        <f t="shared" ca="1" si="18"/>
        <v/>
      </c>
      <c r="E64" s="359" t="str">
        <f t="shared" ca="1" si="19"/>
        <v/>
      </c>
      <c r="F64" s="57" t="str">
        <f t="shared" ca="1" si="19"/>
        <v/>
      </c>
      <c r="G64" s="57" t="str">
        <f t="shared" ca="1" si="19"/>
        <v/>
      </c>
      <c r="H64" s="211" t="str" cm="1">
        <f t="array" aca="1" ref="H64" ca="1">IFERROR(INDEX($C$16:$C$116,SMALL(IF($C$16:$C$116&lt;&gt;"",ROW($C$16:$C$116)-ROW($C$16)+1),ROW(A49))),"")</f>
        <v/>
      </c>
      <c r="I64" s="210" t="str" cm="1">
        <f t="array" aca="1" ref="I64" ca="1">IFERROR(INDEX($D$16:$D$116,SMALL(IF($D$16:$D$116&lt;&gt;"",ROW($D$16:$D$116)-ROW($D$16)+1),ROW(A49))),"")</f>
        <v/>
      </c>
      <c r="J64" s="210" t="str" cm="1">
        <f t="array" aca="1" ref="J64" ca="1">IFERROR(INDEX($E$16:$E$116,SMALL(IF($E$16:$E$116&lt;&gt;"",ROW($E$16:$E$116)-ROW($E$16)+1),ROW(A49))),"")</f>
        <v/>
      </c>
      <c r="K64" s="210" t="str" cm="1">
        <f t="array" aca="1" ref="K64" ca="1">IFERROR(INDEX($F$16:$F$116,SMALL(IF($F$16:$F$116&lt;&gt;"",ROW($F$16:$F$116)-ROW($F$16)+1),ROW(A49))),"")</f>
        <v/>
      </c>
      <c r="L64" s="210" t="str">
        <f t="shared" ca="1" si="0"/>
        <v/>
      </c>
      <c r="M64" s="210" t="str" cm="1">
        <f t="array" aca="1" ref="M64" ca="1">IFERROR(INDEX($G$16:$G$116,SMALL(IF($G$16:$G$116&lt;&gt;"",ROW($G$16:$G$116)-ROW($G$16)+1),ROW(A49))),"")</f>
        <v/>
      </c>
      <c r="N64" s="215" t="str">
        <f t="shared" ca="1" si="28"/>
        <v/>
      </c>
      <c r="O64" s="216" t="str">
        <f t="shared" ca="1" si="29"/>
        <v/>
      </c>
      <c r="P64" s="216" t="str">
        <f t="shared" ca="1" si="3"/>
        <v/>
      </c>
      <c r="Q64" s="216" t="str">
        <f t="shared" ca="1" si="30"/>
        <v/>
      </c>
      <c r="R64" s="216" t="str">
        <f t="shared" ca="1" si="5"/>
        <v/>
      </c>
      <c r="S64" s="216" t="str">
        <f t="shared" ca="1" si="31"/>
        <v/>
      </c>
      <c r="T64" s="216" t="str">
        <f t="shared" ca="1" si="7"/>
        <v/>
      </c>
      <c r="U64" s="216" t="str">
        <f t="shared" ca="1" si="32"/>
        <v/>
      </c>
      <c r="V64" s="217" t="str">
        <f t="shared" ca="1" si="9"/>
        <v/>
      </c>
      <c r="W64" s="376" t="str">
        <f t="shared" ca="1" si="20"/>
        <v/>
      </c>
      <c r="X64" s="377" t="str">
        <f t="shared" ca="1" si="21"/>
        <v/>
      </c>
      <c r="Y64" s="378" t="str">
        <f t="shared" ca="1" si="35"/>
        <v/>
      </c>
      <c r="Z64" s="378" t="str">
        <f t="shared" ca="1" si="35"/>
        <v/>
      </c>
      <c r="AA64" s="378" t="str">
        <f t="shared" ca="1" si="35"/>
        <v/>
      </c>
      <c r="AB64" s="378" t="str">
        <f t="shared" ca="1" si="35"/>
        <v/>
      </c>
      <c r="AC64" s="378" t="str">
        <f t="shared" ca="1" si="11"/>
        <v/>
      </c>
      <c r="AD64" s="378" t="str">
        <f t="shared" ref="AD64:AH72" ca="1" si="37">IF(OR($J64="Pluviomètre",LEFT($J64,5)="Sonde"),"",IF($H64&lt;&gt;"",IF(_xlfn.SINGLE(INDIRECT($H64&amp;"!"&amp;$W64&amp;($X64+AD$15+1)))&lt;&gt;"",_xlfn.SINGLE(INDIRECT($H64&amp;"!"&amp;$W64&amp;($X64+AD$15+1))),""),""))</f>
        <v/>
      </c>
      <c r="AE64" s="378" t="str">
        <f t="shared" ca="1" si="37"/>
        <v/>
      </c>
      <c r="AF64" s="378" t="str">
        <f t="shared" ca="1" si="37"/>
        <v/>
      </c>
      <c r="AG64" s="378" t="str">
        <f t="shared" ca="1" si="37"/>
        <v/>
      </c>
      <c r="AH64" s="378" t="str">
        <f t="shared" ca="1" si="37"/>
        <v/>
      </c>
      <c r="AI64" s="376" t="str">
        <f t="shared" ca="1" si="22"/>
        <v/>
      </c>
      <c r="AJ64" s="377" t="str">
        <f t="shared" ca="1" si="23"/>
        <v/>
      </c>
      <c r="AK64" s="378" t="str">
        <f t="shared" ca="1" si="36"/>
        <v/>
      </c>
      <c r="AL64" s="378" t="str">
        <f t="shared" ca="1" si="36"/>
        <v/>
      </c>
      <c r="AM64" s="378" t="str">
        <f t="shared" ca="1" si="36"/>
        <v/>
      </c>
      <c r="AN64" s="378" t="str">
        <f t="shared" ca="1" si="36"/>
        <v/>
      </c>
      <c r="AO64" s="378" t="str">
        <f t="shared" ca="1" si="14"/>
        <v/>
      </c>
      <c r="AP64" s="378" t="str">
        <f t="shared" ref="AP64:AT72" ca="1" si="38">IF(OR($J64="Pluviomètre",LEFT($J64,5)="Sonde"),"",IF($H64&lt;&gt;"",IF(_xlfn.SINGLE(INDIRECT($H64&amp;"!"&amp;$AI64&amp;($AJ64+AP$15+1)))&lt;&gt;"",_xlfn.SINGLE(INDIRECT($H64&amp;"!"&amp;$AI64&amp;($AJ64+AP$15+1))),""),""))</f>
        <v/>
      </c>
      <c r="AQ64" s="378" t="str">
        <f t="shared" ca="1" si="38"/>
        <v/>
      </c>
      <c r="AR64" s="378" t="str">
        <f t="shared" ca="1" si="38"/>
        <v/>
      </c>
      <c r="AS64" s="378" t="str">
        <f t="shared" ca="1" si="38"/>
        <v/>
      </c>
      <c r="AT64" s="378" t="str">
        <f t="shared" ca="1" si="38"/>
        <v/>
      </c>
    </row>
    <row r="65" spans="1:46" x14ac:dyDescent="0.4">
      <c r="A65" s="150">
        <v>50</v>
      </c>
      <c r="B65" s="204" t="b">
        <f t="shared" si="16"/>
        <v>0</v>
      </c>
      <c r="C65" s="209" t="str">
        <f t="shared" ca="1" si="17"/>
        <v/>
      </c>
      <c r="D65" s="359" t="str">
        <f t="shared" ca="1" si="18"/>
        <v/>
      </c>
      <c r="E65" s="359" t="str">
        <f t="shared" ca="1" si="19"/>
        <v/>
      </c>
      <c r="F65" s="57" t="str">
        <f t="shared" ca="1" si="19"/>
        <v/>
      </c>
      <c r="G65" s="57" t="str">
        <f t="shared" ca="1" si="19"/>
        <v/>
      </c>
      <c r="H65" s="211" t="str" cm="1">
        <f t="array" aca="1" ref="H65" ca="1">IFERROR(INDEX($C$16:$C$116,SMALL(IF($C$16:$C$116&lt;&gt;"",ROW($C$16:$C$116)-ROW($C$16)+1),ROW(A50))),"")</f>
        <v/>
      </c>
      <c r="I65" s="210" t="str" cm="1">
        <f t="array" aca="1" ref="I65" ca="1">IFERROR(INDEX($D$16:$D$116,SMALL(IF($D$16:$D$116&lt;&gt;"",ROW($D$16:$D$116)-ROW($D$16)+1),ROW(A50))),"")</f>
        <v/>
      </c>
      <c r="J65" s="210" t="str" cm="1">
        <f t="array" aca="1" ref="J65" ca="1">IFERROR(INDEX($E$16:$E$116,SMALL(IF($E$16:$E$116&lt;&gt;"",ROW($E$16:$E$116)-ROW($E$16)+1),ROW(A50))),"")</f>
        <v/>
      </c>
      <c r="K65" s="210" t="str" cm="1">
        <f t="array" aca="1" ref="K65" ca="1">IFERROR(INDEX($F$16:$F$116,SMALL(IF($F$16:$F$116&lt;&gt;"",ROW($F$16:$F$116)-ROW($F$16)+1),ROW(A50))),"")</f>
        <v/>
      </c>
      <c r="L65" s="210" t="str">
        <f t="shared" ca="1" si="0"/>
        <v/>
      </c>
      <c r="M65" s="210" t="str" cm="1">
        <f t="array" aca="1" ref="M65" ca="1">IFERROR(INDEX($G$16:$G$116,SMALL(IF($G$16:$G$116&lt;&gt;"",ROW($G$16:$G$116)-ROW($G$16)+1),ROW(A50))),"")</f>
        <v/>
      </c>
      <c r="N65" s="215" t="str">
        <f t="shared" ca="1" si="28"/>
        <v/>
      </c>
      <c r="O65" s="216" t="str">
        <f t="shared" ca="1" si="29"/>
        <v/>
      </c>
      <c r="P65" s="216" t="str">
        <f t="shared" ca="1" si="3"/>
        <v/>
      </c>
      <c r="Q65" s="216" t="str">
        <f t="shared" ca="1" si="30"/>
        <v/>
      </c>
      <c r="R65" s="216" t="str">
        <f t="shared" ca="1" si="5"/>
        <v/>
      </c>
      <c r="S65" s="216" t="str">
        <f t="shared" ca="1" si="31"/>
        <v/>
      </c>
      <c r="T65" s="216" t="str">
        <f t="shared" ca="1" si="7"/>
        <v/>
      </c>
      <c r="U65" s="216" t="str">
        <f t="shared" ca="1" si="32"/>
        <v/>
      </c>
      <c r="V65" s="217" t="str">
        <f t="shared" ca="1" si="9"/>
        <v/>
      </c>
      <c r="W65" s="376" t="str">
        <f t="shared" ca="1" si="20"/>
        <v/>
      </c>
      <c r="X65" s="377" t="str">
        <f t="shared" ca="1" si="21"/>
        <v/>
      </c>
      <c r="Y65" s="378" t="str">
        <f t="shared" ca="1" si="35"/>
        <v/>
      </c>
      <c r="Z65" s="378" t="str">
        <f t="shared" ca="1" si="35"/>
        <v/>
      </c>
      <c r="AA65" s="378" t="str">
        <f t="shared" ca="1" si="35"/>
        <v/>
      </c>
      <c r="AB65" s="378" t="str">
        <f t="shared" ca="1" si="35"/>
        <v/>
      </c>
      <c r="AC65" s="378" t="str">
        <f t="shared" ca="1" si="11"/>
        <v/>
      </c>
      <c r="AD65" s="378" t="str">
        <f t="shared" ca="1" si="37"/>
        <v/>
      </c>
      <c r="AE65" s="378" t="str">
        <f t="shared" ca="1" si="37"/>
        <v/>
      </c>
      <c r="AF65" s="378" t="str">
        <f t="shared" ca="1" si="37"/>
        <v/>
      </c>
      <c r="AG65" s="378" t="str">
        <f t="shared" ca="1" si="37"/>
        <v/>
      </c>
      <c r="AH65" s="378" t="str">
        <f t="shared" ca="1" si="37"/>
        <v/>
      </c>
      <c r="AI65" s="376" t="str">
        <f t="shared" ca="1" si="22"/>
        <v/>
      </c>
      <c r="AJ65" s="377" t="str">
        <f t="shared" ca="1" si="23"/>
        <v/>
      </c>
      <c r="AK65" s="378" t="str">
        <f t="shared" ca="1" si="36"/>
        <v/>
      </c>
      <c r="AL65" s="378" t="str">
        <f t="shared" ca="1" si="36"/>
        <v/>
      </c>
      <c r="AM65" s="378" t="str">
        <f t="shared" ca="1" si="36"/>
        <v/>
      </c>
      <c r="AN65" s="378" t="str">
        <f t="shared" ca="1" si="36"/>
        <v/>
      </c>
      <c r="AO65" s="378" t="str">
        <f t="shared" ca="1" si="14"/>
        <v/>
      </c>
      <c r="AP65" s="378" t="str">
        <f t="shared" ca="1" si="38"/>
        <v/>
      </c>
      <c r="AQ65" s="378" t="str">
        <f t="shared" ca="1" si="38"/>
        <v/>
      </c>
      <c r="AR65" s="378" t="str">
        <f t="shared" ca="1" si="38"/>
        <v/>
      </c>
      <c r="AS65" s="378" t="str">
        <f t="shared" ca="1" si="38"/>
        <v/>
      </c>
      <c r="AT65" s="378" t="str">
        <f t="shared" ca="1" si="38"/>
        <v/>
      </c>
    </row>
    <row r="66" spans="1:46" x14ac:dyDescent="0.4">
      <c r="A66" s="150">
        <v>51</v>
      </c>
      <c r="B66" s="204" t="b">
        <f t="shared" si="16"/>
        <v>0</v>
      </c>
      <c r="C66" s="209" t="str">
        <f t="shared" ca="1" si="17"/>
        <v/>
      </c>
      <c r="D66" s="359" t="str">
        <f t="shared" ca="1" si="18"/>
        <v/>
      </c>
      <c r="E66" s="359" t="str">
        <f t="shared" ca="1" si="19"/>
        <v/>
      </c>
      <c r="F66" s="57" t="str">
        <f t="shared" ca="1" si="19"/>
        <v/>
      </c>
      <c r="G66" s="57" t="str">
        <f t="shared" ca="1" si="19"/>
        <v/>
      </c>
      <c r="H66" s="211" t="str" cm="1">
        <f t="array" aca="1" ref="H66" ca="1">IFERROR(INDEX($C$16:$C$116,SMALL(IF($C$16:$C$116&lt;&gt;"",ROW($C$16:$C$116)-ROW($C$16)+1),ROW(A51))),"")</f>
        <v/>
      </c>
      <c r="I66" s="210" t="str" cm="1">
        <f t="array" aca="1" ref="I66" ca="1">IFERROR(INDEX($D$16:$D$116,SMALL(IF($D$16:$D$116&lt;&gt;"",ROW($D$16:$D$116)-ROW($D$16)+1),ROW(A51))),"")</f>
        <v/>
      </c>
      <c r="J66" s="210" t="str" cm="1">
        <f t="array" aca="1" ref="J66" ca="1">IFERROR(INDEX($E$16:$E$116,SMALL(IF($E$16:$E$116&lt;&gt;"",ROW($E$16:$E$116)-ROW($E$16)+1),ROW(A51))),"")</f>
        <v/>
      </c>
      <c r="K66" s="210" t="str" cm="1">
        <f t="array" aca="1" ref="K66" ca="1">IFERROR(INDEX($F$16:$F$116,SMALL(IF($F$16:$F$116&lt;&gt;"",ROW($F$16:$F$116)-ROW($F$16)+1),ROW(A51))),"")</f>
        <v/>
      </c>
      <c r="L66" s="210" t="str">
        <f t="shared" ca="1" si="0"/>
        <v/>
      </c>
      <c r="M66" s="210" t="str" cm="1">
        <f t="array" aca="1" ref="M66" ca="1">IFERROR(INDEX($G$16:$G$116,SMALL(IF($G$16:$G$116&lt;&gt;"",ROW($G$16:$G$116)-ROW($G$16)+1),ROW(A51))),"")</f>
        <v/>
      </c>
      <c r="N66" s="215" t="str">
        <f t="shared" ca="1" si="28"/>
        <v/>
      </c>
      <c r="O66" s="216" t="str">
        <f t="shared" ca="1" si="29"/>
        <v/>
      </c>
      <c r="P66" s="216" t="str">
        <f t="shared" ca="1" si="3"/>
        <v/>
      </c>
      <c r="Q66" s="216" t="str">
        <f t="shared" ca="1" si="30"/>
        <v/>
      </c>
      <c r="R66" s="216" t="str">
        <f t="shared" ca="1" si="5"/>
        <v/>
      </c>
      <c r="S66" s="216" t="str">
        <f t="shared" ca="1" si="31"/>
        <v/>
      </c>
      <c r="T66" s="216" t="str">
        <f t="shared" ca="1" si="7"/>
        <v/>
      </c>
      <c r="U66" s="216" t="str">
        <f t="shared" ca="1" si="32"/>
        <v/>
      </c>
      <c r="V66" s="217" t="str">
        <f t="shared" ca="1" si="9"/>
        <v/>
      </c>
      <c r="W66" s="376" t="str">
        <f t="shared" ca="1" si="20"/>
        <v/>
      </c>
      <c r="X66" s="377" t="str">
        <f t="shared" ca="1" si="21"/>
        <v/>
      </c>
      <c r="Y66" s="378" t="str">
        <f t="shared" ca="1" si="35"/>
        <v/>
      </c>
      <c r="Z66" s="378" t="str">
        <f t="shared" ca="1" si="35"/>
        <v/>
      </c>
      <c r="AA66" s="378" t="str">
        <f t="shared" ca="1" si="35"/>
        <v/>
      </c>
      <c r="AB66" s="378" t="str">
        <f t="shared" ca="1" si="35"/>
        <v/>
      </c>
      <c r="AC66" s="378" t="str">
        <f t="shared" ca="1" si="11"/>
        <v/>
      </c>
      <c r="AD66" s="378" t="str">
        <f t="shared" ca="1" si="37"/>
        <v/>
      </c>
      <c r="AE66" s="378" t="str">
        <f t="shared" ca="1" si="37"/>
        <v/>
      </c>
      <c r="AF66" s="378" t="str">
        <f t="shared" ca="1" si="37"/>
        <v/>
      </c>
      <c r="AG66" s="378" t="str">
        <f t="shared" ca="1" si="37"/>
        <v/>
      </c>
      <c r="AH66" s="378" t="str">
        <f t="shared" ca="1" si="37"/>
        <v/>
      </c>
      <c r="AI66" s="376" t="str">
        <f t="shared" ca="1" si="22"/>
        <v/>
      </c>
      <c r="AJ66" s="377" t="str">
        <f t="shared" ca="1" si="23"/>
        <v/>
      </c>
      <c r="AK66" s="378" t="str">
        <f t="shared" ca="1" si="36"/>
        <v/>
      </c>
      <c r="AL66" s="378" t="str">
        <f t="shared" ca="1" si="36"/>
        <v/>
      </c>
      <c r="AM66" s="378" t="str">
        <f t="shared" ca="1" si="36"/>
        <v/>
      </c>
      <c r="AN66" s="378" t="str">
        <f t="shared" ca="1" si="36"/>
        <v/>
      </c>
      <c r="AO66" s="378" t="str">
        <f t="shared" ca="1" si="14"/>
        <v/>
      </c>
      <c r="AP66" s="378" t="str">
        <f t="shared" ca="1" si="38"/>
        <v/>
      </c>
      <c r="AQ66" s="378" t="str">
        <f t="shared" ca="1" si="38"/>
        <v/>
      </c>
      <c r="AR66" s="378" t="str">
        <f t="shared" ca="1" si="38"/>
        <v/>
      </c>
      <c r="AS66" s="378" t="str">
        <f t="shared" ca="1" si="38"/>
        <v/>
      </c>
      <c r="AT66" s="378" t="str">
        <f t="shared" ca="1" si="38"/>
        <v/>
      </c>
    </row>
    <row r="67" spans="1:46" x14ac:dyDescent="0.4">
      <c r="A67" s="150">
        <v>52</v>
      </c>
      <c r="B67" s="204" t="b">
        <f t="shared" si="16"/>
        <v>0</v>
      </c>
      <c r="C67" s="209" t="str">
        <f t="shared" ca="1" si="17"/>
        <v/>
      </c>
      <c r="D67" s="359" t="str">
        <f t="shared" ca="1" si="18"/>
        <v/>
      </c>
      <c r="E67" s="359" t="str">
        <f t="shared" ca="1" si="19"/>
        <v/>
      </c>
      <c r="F67" s="57" t="str">
        <f t="shared" ca="1" si="19"/>
        <v/>
      </c>
      <c r="G67" s="57" t="str">
        <f t="shared" ca="1" si="19"/>
        <v/>
      </c>
      <c r="H67" s="211" t="str" cm="1">
        <f t="array" aca="1" ref="H67" ca="1">IFERROR(INDEX($C$16:$C$116,SMALL(IF($C$16:$C$116&lt;&gt;"",ROW($C$16:$C$116)-ROW($C$16)+1),ROW(A52))),"")</f>
        <v/>
      </c>
      <c r="I67" s="210" t="str" cm="1">
        <f t="array" aca="1" ref="I67" ca="1">IFERROR(INDEX($D$16:$D$116,SMALL(IF($D$16:$D$116&lt;&gt;"",ROW($D$16:$D$116)-ROW($D$16)+1),ROW(A52))),"")</f>
        <v/>
      </c>
      <c r="J67" s="210" t="str" cm="1">
        <f t="array" aca="1" ref="J67" ca="1">IFERROR(INDEX($E$16:$E$116,SMALL(IF($E$16:$E$116&lt;&gt;"",ROW($E$16:$E$116)-ROW($E$16)+1),ROW(A52))),"")</f>
        <v/>
      </c>
      <c r="K67" s="210" t="str" cm="1">
        <f t="array" aca="1" ref="K67" ca="1">IFERROR(INDEX($F$16:$F$116,SMALL(IF($F$16:$F$116&lt;&gt;"",ROW($F$16:$F$116)-ROW($F$16)+1),ROW(A52))),"")</f>
        <v/>
      </c>
      <c r="L67" s="210" t="str">
        <f t="shared" ca="1" si="0"/>
        <v/>
      </c>
      <c r="M67" s="210" t="str" cm="1">
        <f t="array" aca="1" ref="M67" ca="1">IFERROR(INDEX($G$16:$G$116,SMALL(IF($G$16:$G$116&lt;&gt;"",ROW($G$16:$G$116)-ROW($G$16)+1),ROW(A52))),"")</f>
        <v/>
      </c>
      <c r="N67" s="215" t="str">
        <f t="shared" ca="1" si="28"/>
        <v/>
      </c>
      <c r="O67" s="216" t="str">
        <f t="shared" ca="1" si="29"/>
        <v/>
      </c>
      <c r="P67" s="216" t="str">
        <f t="shared" ca="1" si="3"/>
        <v/>
      </c>
      <c r="Q67" s="216" t="str">
        <f t="shared" ca="1" si="30"/>
        <v/>
      </c>
      <c r="R67" s="216" t="str">
        <f t="shared" ca="1" si="5"/>
        <v/>
      </c>
      <c r="S67" s="216" t="str">
        <f t="shared" ca="1" si="31"/>
        <v/>
      </c>
      <c r="T67" s="216" t="str">
        <f t="shared" ca="1" si="7"/>
        <v/>
      </c>
      <c r="U67" s="216" t="str">
        <f t="shared" ca="1" si="32"/>
        <v/>
      </c>
      <c r="V67" s="217" t="str">
        <f t="shared" ca="1" si="9"/>
        <v/>
      </c>
      <c r="W67" s="376" t="str">
        <f t="shared" ca="1" si="20"/>
        <v/>
      </c>
      <c r="X67" s="377" t="str">
        <f t="shared" ca="1" si="21"/>
        <v/>
      </c>
      <c r="Y67" s="378" t="str">
        <f t="shared" ca="1" si="35"/>
        <v/>
      </c>
      <c r="Z67" s="378" t="str">
        <f t="shared" ca="1" si="35"/>
        <v/>
      </c>
      <c r="AA67" s="378" t="str">
        <f t="shared" ca="1" si="35"/>
        <v/>
      </c>
      <c r="AB67" s="378" t="str">
        <f t="shared" ca="1" si="35"/>
        <v/>
      </c>
      <c r="AC67" s="378" t="str">
        <f t="shared" ca="1" si="11"/>
        <v/>
      </c>
      <c r="AD67" s="378" t="str">
        <f t="shared" ca="1" si="37"/>
        <v/>
      </c>
      <c r="AE67" s="378" t="str">
        <f t="shared" ca="1" si="37"/>
        <v/>
      </c>
      <c r="AF67" s="378" t="str">
        <f t="shared" ca="1" si="37"/>
        <v/>
      </c>
      <c r="AG67" s="378" t="str">
        <f t="shared" ca="1" si="37"/>
        <v/>
      </c>
      <c r="AH67" s="378" t="str">
        <f t="shared" ca="1" si="37"/>
        <v/>
      </c>
      <c r="AI67" s="376" t="str">
        <f t="shared" ca="1" si="22"/>
        <v/>
      </c>
      <c r="AJ67" s="377" t="str">
        <f t="shared" ca="1" si="23"/>
        <v/>
      </c>
      <c r="AK67" s="378" t="str">
        <f t="shared" ca="1" si="36"/>
        <v/>
      </c>
      <c r="AL67" s="378" t="str">
        <f t="shared" ca="1" si="36"/>
        <v/>
      </c>
      <c r="AM67" s="378" t="str">
        <f t="shared" ca="1" si="36"/>
        <v/>
      </c>
      <c r="AN67" s="378" t="str">
        <f t="shared" ca="1" si="36"/>
        <v/>
      </c>
      <c r="AO67" s="378" t="str">
        <f t="shared" ca="1" si="14"/>
        <v/>
      </c>
      <c r="AP67" s="378" t="str">
        <f t="shared" ca="1" si="38"/>
        <v/>
      </c>
      <c r="AQ67" s="378" t="str">
        <f t="shared" ca="1" si="38"/>
        <v/>
      </c>
      <c r="AR67" s="378" t="str">
        <f t="shared" ca="1" si="38"/>
        <v/>
      </c>
      <c r="AS67" s="378" t="str">
        <f t="shared" ca="1" si="38"/>
        <v/>
      </c>
      <c r="AT67" s="378" t="str">
        <f t="shared" ca="1" si="38"/>
        <v/>
      </c>
    </row>
    <row r="68" spans="1:46" x14ac:dyDescent="0.4">
      <c r="A68" s="150">
        <v>53</v>
      </c>
      <c r="B68" s="204" t="b">
        <f t="shared" si="16"/>
        <v>0</v>
      </c>
      <c r="C68" s="209" t="str">
        <f t="shared" ca="1" si="17"/>
        <v/>
      </c>
      <c r="D68" s="359" t="str">
        <f t="shared" ca="1" si="18"/>
        <v/>
      </c>
      <c r="E68" s="359" t="str">
        <f t="shared" ca="1" si="19"/>
        <v/>
      </c>
      <c r="F68" s="57" t="str">
        <f t="shared" ca="1" si="19"/>
        <v/>
      </c>
      <c r="G68" s="57" t="str">
        <f t="shared" ca="1" si="19"/>
        <v/>
      </c>
      <c r="H68" s="211" t="str" cm="1">
        <f t="array" aca="1" ref="H68" ca="1">IFERROR(INDEX($C$16:$C$116,SMALL(IF($C$16:$C$116&lt;&gt;"",ROW($C$16:$C$116)-ROW($C$16)+1),ROW(A53))),"")</f>
        <v/>
      </c>
      <c r="I68" s="210" t="str" cm="1">
        <f t="array" aca="1" ref="I68" ca="1">IFERROR(INDEX($D$16:$D$116,SMALL(IF($D$16:$D$116&lt;&gt;"",ROW($D$16:$D$116)-ROW($D$16)+1),ROW(A53))),"")</f>
        <v/>
      </c>
      <c r="J68" s="210" t="str" cm="1">
        <f t="array" aca="1" ref="J68" ca="1">IFERROR(INDEX($E$16:$E$116,SMALL(IF($E$16:$E$116&lt;&gt;"",ROW($E$16:$E$116)-ROW($E$16)+1),ROW(A53))),"")</f>
        <v/>
      </c>
      <c r="K68" s="210" t="str" cm="1">
        <f t="array" aca="1" ref="K68" ca="1">IFERROR(INDEX($F$16:$F$116,SMALL(IF($F$16:$F$116&lt;&gt;"",ROW($F$16:$F$116)-ROW($F$16)+1),ROW(A53))),"")</f>
        <v/>
      </c>
      <c r="L68" s="210" t="str">
        <f t="shared" ca="1" si="0"/>
        <v/>
      </c>
      <c r="M68" s="210" t="str" cm="1">
        <f t="array" aca="1" ref="M68" ca="1">IFERROR(INDEX($G$16:$G$116,SMALL(IF($G$16:$G$116&lt;&gt;"",ROW($G$16:$G$116)-ROW($G$16)+1),ROW(A53))),"")</f>
        <v/>
      </c>
      <c r="N68" s="215" t="str">
        <f t="shared" ca="1" si="28"/>
        <v/>
      </c>
      <c r="O68" s="216" t="str">
        <f t="shared" ca="1" si="29"/>
        <v/>
      </c>
      <c r="P68" s="216" t="str">
        <f t="shared" ca="1" si="3"/>
        <v/>
      </c>
      <c r="Q68" s="216" t="str">
        <f t="shared" ca="1" si="30"/>
        <v/>
      </c>
      <c r="R68" s="216" t="str">
        <f t="shared" ca="1" si="5"/>
        <v/>
      </c>
      <c r="S68" s="216" t="str">
        <f t="shared" ca="1" si="31"/>
        <v/>
      </c>
      <c r="T68" s="216" t="str">
        <f t="shared" ca="1" si="7"/>
        <v/>
      </c>
      <c r="U68" s="216" t="str">
        <f t="shared" ca="1" si="32"/>
        <v/>
      </c>
      <c r="V68" s="217" t="str">
        <f t="shared" ca="1" si="9"/>
        <v/>
      </c>
      <c r="W68" s="376" t="str">
        <f t="shared" ca="1" si="20"/>
        <v/>
      </c>
      <c r="X68" s="377" t="str">
        <f t="shared" ca="1" si="21"/>
        <v/>
      </c>
      <c r="Y68" s="378" t="str">
        <f t="shared" ca="1" si="35"/>
        <v/>
      </c>
      <c r="Z68" s="378" t="str">
        <f t="shared" ca="1" si="35"/>
        <v/>
      </c>
      <c r="AA68" s="378" t="str">
        <f t="shared" ca="1" si="35"/>
        <v/>
      </c>
      <c r="AB68" s="378" t="str">
        <f t="shared" ca="1" si="35"/>
        <v/>
      </c>
      <c r="AC68" s="378" t="str">
        <f t="shared" ca="1" si="11"/>
        <v/>
      </c>
      <c r="AD68" s="378" t="str">
        <f t="shared" ca="1" si="37"/>
        <v/>
      </c>
      <c r="AE68" s="378" t="str">
        <f t="shared" ca="1" si="37"/>
        <v/>
      </c>
      <c r="AF68" s="378" t="str">
        <f t="shared" ca="1" si="37"/>
        <v/>
      </c>
      <c r="AG68" s="378" t="str">
        <f t="shared" ca="1" si="37"/>
        <v/>
      </c>
      <c r="AH68" s="378" t="str">
        <f t="shared" ca="1" si="37"/>
        <v/>
      </c>
      <c r="AI68" s="376" t="str">
        <f t="shared" ca="1" si="22"/>
        <v/>
      </c>
      <c r="AJ68" s="377" t="str">
        <f t="shared" ca="1" si="23"/>
        <v/>
      </c>
      <c r="AK68" s="378" t="str">
        <f t="shared" ca="1" si="36"/>
        <v/>
      </c>
      <c r="AL68" s="378" t="str">
        <f t="shared" ca="1" si="36"/>
        <v/>
      </c>
      <c r="AM68" s="378" t="str">
        <f t="shared" ca="1" si="36"/>
        <v/>
      </c>
      <c r="AN68" s="378" t="str">
        <f t="shared" ca="1" si="36"/>
        <v/>
      </c>
      <c r="AO68" s="378" t="str">
        <f t="shared" ca="1" si="14"/>
        <v/>
      </c>
      <c r="AP68" s="378" t="str">
        <f t="shared" ca="1" si="38"/>
        <v/>
      </c>
      <c r="AQ68" s="378" t="str">
        <f t="shared" ca="1" si="38"/>
        <v/>
      </c>
      <c r="AR68" s="378" t="str">
        <f t="shared" ca="1" si="38"/>
        <v/>
      </c>
      <c r="AS68" s="378" t="str">
        <f t="shared" ca="1" si="38"/>
        <v/>
      </c>
      <c r="AT68" s="378" t="str">
        <f t="shared" ca="1" si="38"/>
        <v/>
      </c>
    </row>
    <row r="69" spans="1:46" x14ac:dyDescent="0.4">
      <c r="A69" s="150">
        <v>54</v>
      </c>
      <c r="B69" s="204" t="b">
        <f t="shared" si="16"/>
        <v>0</v>
      </c>
      <c r="C69" s="209" t="str">
        <f t="shared" ca="1" si="17"/>
        <v/>
      </c>
      <c r="D69" s="359" t="str">
        <f t="shared" ca="1" si="18"/>
        <v/>
      </c>
      <c r="E69" s="359" t="str">
        <f t="shared" ca="1" si="19"/>
        <v/>
      </c>
      <c r="F69" s="57" t="str">
        <f t="shared" ca="1" si="19"/>
        <v/>
      </c>
      <c r="G69" s="57" t="str">
        <f t="shared" ca="1" si="19"/>
        <v/>
      </c>
      <c r="H69" s="211" t="str" cm="1">
        <f t="array" aca="1" ref="H69" ca="1">IFERROR(INDEX($C$16:$C$116,SMALL(IF($C$16:$C$116&lt;&gt;"",ROW($C$16:$C$116)-ROW($C$16)+1),ROW(A54))),"")</f>
        <v/>
      </c>
      <c r="I69" s="210" t="str" cm="1">
        <f t="array" aca="1" ref="I69" ca="1">IFERROR(INDEX($D$16:$D$116,SMALL(IF($D$16:$D$116&lt;&gt;"",ROW($D$16:$D$116)-ROW($D$16)+1),ROW(A54))),"")</f>
        <v/>
      </c>
      <c r="J69" s="210" t="str" cm="1">
        <f t="array" aca="1" ref="J69" ca="1">IFERROR(INDEX($E$16:$E$116,SMALL(IF($E$16:$E$116&lt;&gt;"",ROW($E$16:$E$116)-ROW($E$16)+1),ROW(A54))),"")</f>
        <v/>
      </c>
      <c r="K69" s="210" t="str" cm="1">
        <f t="array" aca="1" ref="K69" ca="1">IFERROR(INDEX($F$16:$F$116,SMALL(IF($F$16:$F$116&lt;&gt;"",ROW($F$16:$F$116)-ROW($F$16)+1),ROW(A54))),"")</f>
        <v/>
      </c>
      <c r="L69" s="210" t="str">
        <f t="shared" ca="1" si="0"/>
        <v/>
      </c>
      <c r="M69" s="210" t="str" cm="1">
        <f t="array" aca="1" ref="M69" ca="1">IFERROR(INDEX($G$16:$G$116,SMALL(IF($G$16:$G$116&lt;&gt;"",ROW($G$16:$G$116)-ROW($G$16)+1),ROW(A54))),"")</f>
        <v/>
      </c>
      <c r="N69" s="215" t="str">
        <f t="shared" ca="1" si="28"/>
        <v/>
      </c>
      <c r="O69" s="216" t="str">
        <f t="shared" ca="1" si="29"/>
        <v/>
      </c>
      <c r="P69" s="216" t="str">
        <f t="shared" ca="1" si="3"/>
        <v/>
      </c>
      <c r="Q69" s="216" t="str">
        <f t="shared" ca="1" si="30"/>
        <v/>
      </c>
      <c r="R69" s="216" t="str">
        <f t="shared" ca="1" si="5"/>
        <v/>
      </c>
      <c r="S69" s="216" t="str">
        <f t="shared" ca="1" si="31"/>
        <v/>
      </c>
      <c r="T69" s="216" t="str">
        <f t="shared" ca="1" si="7"/>
        <v/>
      </c>
      <c r="U69" s="216" t="str">
        <f t="shared" ca="1" si="32"/>
        <v/>
      </c>
      <c r="V69" s="217" t="str">
        <f t="shared" ca="1" si="9"/>
        <v/>
      </c>
      <c r="W69" s="376" t="str">
        <f t="shared" ca="1" si="20"/>
        <v/>
      </c>
      <c r="X69" s="218" t="str">
        <f t="shared" ca="1" si="21"/>
        <v/>
      </c>
      <c r="Y69" s="219" t="str">
        <f t="shared" ca="1" si="35"/>
        <v/>
      </c>
      <c r="Z69" s="219" t="str">
        <f t="shared" ca="1" si="35"/>
        <v/>
      </c>
      <c r="AA69" s="219" t="str">
        <f t="shared" ca="1" si="35"/>
        <v/>
      </c>
      <c r="AB69" s="219" t="str">
        <f t="shared" ca="1" si="35"/>
        <v/>
      </c>
      <c r="AC69" s="378" t="str">
        <f t="shared" ca="1" si="11"/>
        <v/>
      </c>
      <c r="AD69" s="378" t="str">
        <f t="shared" ca="1" si="37"/>
        <v/>
      </c>
      <c r="AE69" s="378" t="str">
        <f t="shared" ca="1" si="37"/>
        <v/>
      </c>
      <c r="AF69" s="378" t="str">
        <f t="shared" ca="1" si="37"/>
        <v/>
      </c>
      <c r="AG69" s="378" t="str">
        <f t="shared" ca="1" si="37"/>
        <v/>
      </c>
      <c r="AH69" s="378" t="str">
        <f t="shared" ca="1" si="37"/>
        <v/>
      </c>
      <c r="AI69" s="376" t="str">
        <f t="shared" ca="1" si="22"/>
        <v/>
      </c>
      <c r="AJ69" s="218" t="str">
        <f t="shared" ca="1" si="23"/>
        <v/>
      </c>
      <c r="AK69" s="378" t="str">
        <f t="shared" ca="1" si="36"/>
        <v/>
      </c>
      <c r="AL69" s="378" t="str">
        <f t="shared" ca="1" si="36"/>
        <v/>
      </c>
      <c r="AM69" s="378" t="str">
        <f t="shared" ca="1" si="36"/>
        <v/>
      </c>
      <c r="AN69" s="378" t="str">
        <f t="shared" ca="1" si="36"/>
        <v/>
      </c>
      <c r="AO69" s="378" t="str">
        <f t="shared" ca="1" si="14"/>
        <v/>
      </c>
      <c r="AP69" s="378" t="str">
        <f t="shared" ca="1" si="38"/>
        <v/>
      </c>
      <c r="AQ69" s="378" t="str">
        <f t="shared" ca="1" si="38"/>
        <v/>
      </c>
      <c r="AR69" s="378" t="str">
        <f t="shared" ca="1" si="38"/>
        <v/>
      </c>
      <c r="AS69" s="378" t="str">
        <f t="shared" ca="1" si="38"/>
        <v/>
      </c>
      <c r="AT69" s="378" t="str">
        <f t="shared" ca="1" si="38"/>
        <v/>
      </c>
    </row>
    <row r="70" spans="1:46" x14ac:dyDescent="0.4">
      <c r="A70" s="150">
        <v>55</v>
      </c>
      <c r="B70" s="204" t="b">
        <f t="shared" si="16"/>
        <v>0</v>
      </c>
      <c r="C70" s="209" t="str">
        <f t="shared" ca="1" si="17"/>
        <v/>
      </c>
      <c r="D70" s="359" t="str">
        <f t="shared" ca="1" si="18"/>
        <v/>
      </c>
      <c r="E70" s="359" t="str">
        <f t="shared" ca="1" si="19"/>
        <v/>
      </c>
      <c r="F70" s="57" t="str">
        <f t="shared" ca="1" si="19"/>
        <v/>
      </c>
      <c r="G70" s="57" t="str">
        <f t="shared" ca="1" si="19"/>
        <v/>
      </c>
      <c r="H70" s="211" t="str" cm="1">
        <f t="array" aca="1" ref="H70" ca="1">IFERROR(INDEX($C$16:$C$116,SMALL(IF($C$16:$C$116&lt;&gt;"",ROW($C$16:$C$116)-ROW($C$16)+1),ROW(A55))),"")</f>
        <v/>
      </c>
      <c r="I70" s="210" t="str" cm="1">
        <f t="array" aca="1" ref="I70" ca="1">IFERROR(INDEX($D$16:$D$116,SMALL(IF($D$16:$D$116&lt;&gt;"",ROW($D$16:$D$116)-ROW($D$16)+1),ROW(A55))),"")</f>
        <v/>
      </c>
      <c r="J70" s="210" t="str" cm="1">
        <f t="array" aca="1" ref="J70" ca="1">IFERROR(INDEX($E$16:$E$116,SMALL(IF($E$16:$E$116&lt;&gt;"",ROW($E$16:$E$116)-ROW($E$16)+1),ROW(A55))),"")</f>
        <v/>
      </c>
      <c r="K70" s="210" t="str" cm="1">
        <f t="array" aca="1" ref="K70" ca="1">IFERROR(INDEX($F$16:$F$116,SMALL(IF($F$16:$F$116&lt;&gt;"",ROW($F$16:$F$116)-ROW($F$16)+1),ROW(A55))),"")</f>
        <v/>
      </c>
      <c r="L70" s="210" t="str">
        <f t="shared" ca="1" si="0"/>
        <v/>
      </c>
      <c r="M70" s="210" t="str" cm="1">
        <f t="array" aca="1" ref="M70" ca="1">IFERROR(INDEX($G$16:$G$116,SMALL(IF($G$16:$G$116&lt;&gt;"",ROW($G$16:$G$116)-ROW($G$16)+1),ROW(A55))),"")</f>
        <v/>
      </c>
      <c r="N70" s="215" t="str">
        <f t="shared" ca="1" si="28"/>
        <v/>
      </c>
      <c r="O70" s="216" t="str">
        <f t="shared" ca="1" si="29"/>
        <v/>
      </c>
      <c r="P70" s="216" t="str">
        <f t="shared" ca="1" si="3"/>
        <v/>
      </c>
      <c r="Q70" s="216" t="str">
        <f t="shared" ca="1" si="30"/>
        <v/>
      </c>
      <c r="R70" s="216" t="str">
        <f t="shared" ca="1" si="5"/>
        <v/>
      </c>
      <c r="S70" s="216" t="str">
        <f t="shared" ca="1" si="31"/>
        <v/>
      </c>
      <c r="T70" s="216" t="str">
        <f t="shared" ca="1" si="7"/>
        <v/>
      </c>
      <c r="U70" s="216" t="str">
        <f t="shared" ca="1" si="32"/>
        <v/>
      </c>
      <c r="V70" s="217" t="str">
        <f t="shared" ca="1" si="9"/>
        <v/>
      </c>
      <c r="W70" s="376" t="str">
        <f t="shared" ca="1" si="20"/>
        <v/>
      </c>
      <c r="X70" s="218" t="str">
        <f t="shared" ca="1" si="21"/>
        <v/>
      </c>
      <c r="Y70" s="219" t="str">
        <f t="shared" ca="1" si="35"/>
        <v/>
      </c>
      <c r="Z70" s="219" t="str">
        <f t="shared" ca="1" si="35"/>
        <v/>
      </c>
      <c r="AA70" s="219" t="str">
        <f t="shared" ca="1" si="35"/>
        <v/>
      </c>
      <c r="AB70" s="219" t="str">
        <f t="shared" ca="1" si="35"/>
        <v/>
      </c>
      <c r="AC70" s="378" t="str">
        <f t="shared" ca="1" si="11"/>
        <v/>
      </c>
      <c r="AD70" s="378" t="str">
        <f t="shared" ca="1" si="37"/>
        <v/>
      </c>
      <c r="AE70" s="378" t="str">
        <f t="shared" ca="1" si="37"/>
        <v/>
      </c>
      <c r="AF70" s="378" t="str">
        <f t="shared" ca="1" si="37"/>
        <v/>
      </c>
      <c r="AG70" s="378" t="str">
        <f t="shared" ca="1" si="37"/>
        <v/>
      </c>
      <c r="AH70" s="378" t="str">
        <f t="shared" ca="1" si="37"/>
        <v/>
      </c>
      <c r="AI70" s="376" t="str">
        <f t="shared" ca="1" si="22"/>
        <v/>
      </c>
      <c r="AJ70" s="218" t="str">
        <f t="shared" ca="1" si="23"/>
        <v/>
      </c>
      <c r="AK70" s="378" t="str">
        <f t="shared" ca="1" si="36"/>
        <v/>
      </c>
      <c r="AL70" s="378" t="str">
        <f t="shared" ca="1" si="36"/>
        <v/>
      </c>
      <c r="AM70" s="378" t="str">
        <f t="shared" ca="1" si="36"/>
        <v/>
      </c>
      <c r="AN70" s="378" t="str">
        <f t="shared" ca="1" si="36"/>
        <v/>
      </c>
      <c r="AO70" s="378" t="str">
        <f t="shared" ca="1" si="14"/>
        <v/>
      </c>
      <c r="AP70" s="378" t="str">
        <f t="shared" ca="1" si="38"/>
        <v/>
      </c>
      <c r="AQ70" s="378" t="str">
        <f t="shared" ca="1" si="38"/>
        <v/>
      </c>
      <c r="AR70" s="378" t="str">
        <f t="shared" ca="1" si="38"/>
        <v/>
      </c>
      <c r="AS70" s="378" t="str">
        <f t="shared" ca="1" si="38"/>
        <v/>
      </c>
      <c r="AT70" s="378" t="str">
        <f t="shared" ca="1" si="38"/>
        <v/>
      </c>
    </row>
    <row r="71" spans="1:46" x14ac:dyDescent="0.4">
      <c r="A71" s="150">
        <v>56</v>
      </c>
      <c r="B71" s="204" t="b">
        <f t="shared" si="16"/>
        <v>0</v>
      </c>
      <c r="C71" s="209" t="str">
        <f t="shared" ca="1" si="17"/>
        <v/>
      </c>
      <c r="D71" s="359" t="str">
        <f t="shared" ca="1" si="18"/>
        <v/>
      </c>
      <c r="E71" s="359" t="str">
        <f t="shared" ca="1" si="19"/>
        <v/>
      </c>
      <c r="F71" s="57" t="str">
        <f t="shared" ca="1" si="19"/>
        <v/>
      </c>
      <c r="G71" s="57" t="str">
        <f t="shared" ca="1" si="19"/>
        <v/>
      </c>
      <c r="H71" s="211" t="str" cm="1">
        <f t="array" aca="1" ref="H71" ca="1">IFERROR(INDEX($C$16:$C$116,SMALL(IF($C$16:$C$116&lt;&gt;"",ROW($C$16:$C$116)-ROW($C$16)+1),ROW(A56))),"")</f>
        <v/>
      </c>
      <c r="I71" s="210" t="str" cm="1">
        <f t="array" aca="1" ref="I71" ca="1">IFERROR(INDEX($D$16:$D$116,SMALL(IF($D$16:$D$116&lt;&gt;"",ROW($D$16:$D$116)-ROW($D$16)+1),ROW(A56))),"")</f>
        <v/>
      </c>
      <c r="J71" s="210" t="str" cm="1">
        <f t="array" aca="1" ref="J71" ca="1">IFERROR(INDEX($E$16:$E$116,SMALL(IF($E$16:$E$116&lt;&gt;"",ROW($E$16:$E$116)-ROW($E$16)+1),ROW(A56))),"")</f>
        <v/>
      </c>
      <c r="K71" s="210" t="str" cm="1">
        <f t="array" aca="1" ref="K71" ca="1">IFERROR(INDEX($F$16:$F$116,SMALL(IF($F$16:$F$116&lt;&gt;"",ROW($F$16:$F$116)-ROW($F$16)+1),ROW(A56))),"")</f>
        <v/>
      </c>
      <c r="L71" s="210" t="str">
        <f t="shared" ca="1" si="0"/>
        <v/>
      </c>
      <c r="M71" s="210" t="str" cm="1">
        <f t="array" aca="1" ref="M71" ca="1">IFERROR(INDEX($G$16:$G$116,SMALL(IF($G$16:$G$116&lt;&gt;"",ROW($G$16:$G$116)-ROW($G$16)+1),ROW(A56))),"")</f>
        <v/>
      </c>
      <c r="N71" s="215" t="str">
        <f t="shared" ca="1" si="28"/>
        <v/>
      </c>
      <c r="O71" s="216" t="str">
        <f t="shared" ca="1" si="29"/>
        <v/>
      </c>
      <c r="P71" s="216" t="str">
        <f t="shared" ca="1" si="3"/>
        <v/>
      </c>
      <c r="Q71" s="216" t="str">
        <f t="shared" ca="1" si="30"/>
        <v/>
      </c>
      <c r="R71" s="216" t="str">
        <f t="shared" ca="1" si="5"/>
        <v/>
      </c>
      <c r="S71" s="216" t="str">
        <f t="shared" ca="1" si="31"/>
        <v/>
      </c>
      <c r="T71" s="216" t="str">
        <f t="shared" ca="1" si="7"/>
        <v/>
      </c>
      <c r="U71" s="216" t="str">
        <f t="shared" ca="1" si="32"/>
        <v/>
      </c>
      <c r="V71" s="217" t="str">
        <f t="shared" ca="1" si="9"/>
        <v/>
      </c>
      <c r="W71" s="376" t="str">
        <f t="shared" ca="1" si="20"/>
        <v/>
      </c>
      <c r="X71" s="218" t="str">
        <f t="shared" ca="1" si="21"/>
        <v/>
      </c>
      <c r="Y71" s="219" t="str">
        <f t="shared" ca="1" si="35"/>
        <v/>
      </c>
      <c r="Z71" s="219" t="str">
        <f t="shared" ca="1" si="35"/>
        <v/>
      </c>
      <c r="AA71" s="219" t="str">
        <f t="shared" ca="1" si="35"/>
        <v/>
      </c>
      <c r="AB71" s="219" t="str">
        <f t="shared" ca="1" si="35"/>
        <v/>
      </c>
      <c r="AC71" s="378" t="str">
        <f t="shared" ca="1" si="11"/>
        <v/>
      </c>
      <c r="AD71" s="378" t="str">
        <f t="shared" ca="1" si="37"/>
        <v/>
      </c>
      <c r="AE71" s="378" t="str">
        <f t="shared" ca="1" si="37"/>
        <v/>
      </c>
      <c r="AF71" s="378" t="str">
        <f t="shared" ca="1" si="37"/>
        <v/>
      </c>
      <c r="AG71" s="378" t="str">
        <f t="shared" ca="1" si="37"/>
        <v/>
      </c>
      <c r="AH71" s="378" t="str">
        <f t="shared" ca="1" si="37"/>
        <v/>
      </c>
      <c r="AI71" s="376" t="str">
        <f t="shared" ca="1" si="22"/>
        <v/>
      </c>
      <c r="AJ71" s="218" t="str">
        <f t="shared" ca="1" si="23"/>
        <v/>
      </c>
      <c r="AK71" s="378" t="str">
        <f t="shared" ca="1" si="36"/>
        <v/>
      </c>
      <c r="AL71" s="378" t="str">
        <f t="shared" ca="1" si="36"/>
        <v/>
      </c>
      <c r="AM71" s="378" t="str">
        <f t="shared" ca="1" si="36"/>
        <v/>
      </c>
      <c r="AN71" s="378" t="str">
        <f t="shared" ca="1" si="36"/>
        <v/>
      </c>
      <c r="AO71" s="378" t="str">
        <f t="shared" ca="1" si="14"/>
        <v/>
      </c>
      <c r="AP71" s="378" t="str">
        <f t="shared" ca="1" si="38"/>
        <v/>
      </c>
      <c r="AQ71" s="378" t="str">
        <f t="shared" ca="1" si="38"/>
        <v/>
      </c>
      <c r="AR71" s="378" t="str">
        <f t="shared" ca="1" si="38"/>
        <v/>
      </c>
      <c r="AS71" s="378" t="str">
        <f t="shared" ca="1" si="38"/>
        <v/>
      </c>
      <c r="AT71" s="378" t="str">
        <f t="shared" ca="1" si="38"/>
        <v/>
      </c>
    </row>
    <row r="72" spans="1:46" x14ac:dyDescent="0.4">
      <c r="A72" s="150">
        <v>57</v>
      </c>
      <c r="B72" s="204" t="b">
        <f t="shared" si="16"/>
        <v>0</v>
      </c>
      <c r="C72" s="209" t="str">
        <f t="shared" ca="1" si="17"/>
        <v/>
      </c>
      <c r="D72" s="359" t="str">
        <f t="shared" ca="1" si="18"/>
        <v/>
      </c>
      <c r="E72" s="359" t="str">
        <f t="shared" ca="1" si="19"/>
        <v/>
      </c>
      <c r="F72" s="57" t="str">
        <f t="shared" ca="1" si="19"/>
        <v/>
      </c>
      <c r="G72" s="57" t="str">
        <f t="shared" ca="1" si="19"/>
        <v/>
      </c>
      <c r="H72" s="211" t="str" cm="1">
        <f t="array" aca="1" ref="H72" ca="1">IFERROR(INDEX($C$16:$C$116,SMALL(IF($C$16:$C$116&lt;&gt;"",ROW($C$16:$C$116)-ROW($C$16)+1),ROW(A57))),"")</f>
        <v/>
      </c>
      <c r="I72" s="210" t="str" cm="1">
        <f t="array" aca="1" ref="I72" ca="1">IFERROR(INDEX($D$16:$D$116,SMALL(IF($D$16:$D$116&lt;&gt;"",ROW($D$16:$D$116)-ROW($D$16)+1),ROW(A57))),"")</f>
        <v/>
      </c>
      <c r="J72" s="210" t="str" cm="1">
        <f t="array" aca="1" ref="J72" ca="1">IFERROR(INDEX($E$16:$E$116,SMALL(IF($E$16:$E$116&lt;&gt;"",ROW($E$16:$E$116)-ROW($E$16)+1),ROW(A57))),"")</f>
        <v/>
      </c>
      <c r="K72" s="210" t="str" cm="1">
        <f t="array" aca="1" ref="K72" ca="1">IFERROR(INDEX($F$16:$F$116,SMALL(IF($F$16:$F$116&lt;&gt;"",ROW($F$16:$F$116)-ROW($F$16)+1),ROW(A57))),"")</f>
        <v/>
      </c>
      <c r="L72" s="210" t="str">
        <f t="shared" ca="1" si="0"/>
        <v/>
      </c>
      <c r="M72" s="210" t="str" cm="1">
        <f t="array" aca="1" ref="M72" ca="1">IFERROR(INDEX($G$16:$G$116,SMALL(IF($G$16:$G$116&lt;&gt;"",ROW($G$16:$G$116)-ROW($G$16)+1),ROW(A57))),"")</f>
        <v/>
      </c>
      <c r="N72" s="215" t="str">
        <f t="shared" ca="1" si="28"/>
        <v/>
      </c>
      <c r="O72" s="216" t="str">
        <f t="shared" ca="1" si="29"/>
        <v/>
      </c>
      <c r="P72" s="216" t="str">
        <f t="shared" ca="1" si="3"/>
        <v/>
      </c>
      <c r="Q72" s="216" t="str">
        <f t="shared" ca="1" si="30"/>
        <v/>
      </c>
      <c r="R72" s="216" t="str">
        <f t="shared" ca="1" si="5"/>
        <v/>
      </c>
      <c r="S72" s="216" t="str">
        <f t="shared" ca="1" si="31"/>
        <v/>
      </c>
      <c r="T72" s="216" t="str">
        <f t="shared" ca="1" si="7"/>
        <v/>
      </c>
      <c r="U72" s="216" t="str">
        <f t="shared" ca="1" si="32"/>
        <v/>
      </c>
      <c r="V72" s="217" t="str">
        <f t="shared" ca="1" si="9"/>
        <v/>
      </c>
      <c r="W72" s="376" t="str">
        <f t="shared" ca="1" si="20"/>
        <v/>
      </c>
      <c r="X72" s="218" t="str">
        <f t="shared" ca="1" si="21"/>
        <v/>
      </c>
      <c r="Y72" s="219" t="str">
        <f t="shared" ca="1" si="35"/>
        <v/>
      </c>
      <c r="Z72" s="219" t="str">
        <f t="shared" ca="1" si="35"/>
        <v/>
      </c>
      <c r="AA72" s="219" t="str">
        <f t="shared" ca="1" si="35"/>
        <v/>
      </c>
      <c r="AB72" s="219" t="str">
        <f t="shared" ca="1" si="35"/>
        <v/>
      </c>
      <c r="AC72" s="378" t="str">
        <f t="shared" ca="1" si="11"/>
        <v/>
      </c>
      <c r="AD72" s="378" t="str">
        <f t="shared" ca="1" si="37"/>
        <v/>
      </c>
      <c r="AE72" s="378" t="str">
        <f t="shared" ca="1" si="37"/>
        <v/>
      </c>
      <c r="AF72" s="378" t="str">
        <f t="shared" ca="1" si="37"/>
        <v/>
      </c>
      <c r="AG72" s="378" t="str">
        <f t="shared" ca="1" si="37"/>
        <v/>
      </c>
      <c r="AH72" s="378" t="str">
        <f t="shared" ca="1" si="37"/>
        <v/>
      </c>
      <c r="AI72" s="376" t="str">
        <f t="shared" ca="1" si="22"/>
        <v/>
      </c>
      <c r="AJ72" s="218" t="str">
        <f t="shared" ca="1" si="23"/>
        <v/>
      </c>
      <c r="AK72" s="378" t="str">
        <f t="shared" ca="1" si="36"/>
        <v/>
      </c>
      <c r="AL72" s="378" t="str">
        <f t="shared" ca="1" si="36"/>
        <v/>
      </c>
      <c r="AM72" s="378" t="str">
        <f t="shared" ca="1" si="36"/>
        <v/>
      </c>
      <c r="AN72" s="378" t="str">
        <f t="shared" ca="1" si="36"/>
        <v/>
      </c>
      <c r="AO72" s="378" t="str">
        <f t="shared" ca="1" si="14"/>
        <v/>
      </c>
      <c r="AP72" s="378" t="str">
        <f t="shared" ca="1" si="38"/>
        <v/>
      </c>
      <c r="AQ72" s="378" t="str">
        <f t="shared" ca="1" si="38"/>
        <v/>
      </c>
      <c r="AR72" s="378" t="str">
        <f t="shared" ca="1" si="38"/>
        <v/>
      </c>
      <c r="AS72" s="378" t="str">
        <f t="shared" ca="1" si="38"/>
        <v/>
      </c>
      <c r="AT72" s="378" t="str">
        <f t="shared" ca="1" si="38"/>
        <v/>
      </c>
    </row>
  </sheetData>
  <sheetProtection algorithmName="SHA-512" hashValue="AvsVHpILzMMQdbHA+bd4+362MOSXZepweOVAHbTxisePzzJ0tvv1zIibqX4qAV5ODZKhksZEfqBKvxyiYOh2QA==" saltValue="R5Qaf0QuIq1aBRK948GcrA==" spinCount="100000" sheet="1" objects="1" scenarios="1" formatRows="0"/>
  <mergeCells count="8">
    <mergeCell ref="W14:AH14"/>
    <mergeCell ref="AI14:AT14"/>
    <mergeCell ref="B3:F3"/>
    <mergeCell ref="A14:B14"/>
    <mergeCell ref="O14:P14"/>
    <mergeCell ref="Q14:R14"/>
    <mergeCell ref="S14:T14"/>
    <mergeCell ref="U14:V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U163"/>
  <sheetViews>
    <sheetView topLeftCell="A7" zoomScale="85" zoomScaleNormal="85" workbookViewId="0">
      <selection activeCell="G27" sqref="G27"/>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156" customFormat="1" ht="28.35" customHeight="1" x14ac:dyDescent="0.4">
      <c r="B1" s="157" t="s">
        <v>323</v>
      </c>
    </row>
    <row r="2" spans="2:19" s="154" customFormat="1" ht="23.45" customHeight="1" x14ac:dyDescent="0.4">
      <c r="B2" s="155" t="s">
        <v>321</v>
      </c>
    </row>
    <row r="3" spans="2:19" ht="13" thickBot="1" x14ac:dyDescent="0.45"/>
    <row r="4" spans="2:19" s="12" customFormat="1" ht="17.45" customHeight="1" x14ac:dyDescent="0.4">
      <c r="B4" s="1030" t="s">
        <v>425</v>
      </c>
      <c r="C4" s="1031"/>
      <c r="D4" s="367" t="s">
        <v>312</v>
      </c>
      <c r="E4" s="1005" t="s">
        <v>171</v>
      </c>
      <c r="F4" s="1005"/>
      <c r="G4" s="1005"/>
      <c r="H4" s="1005"/>
      <c r="I4" s="1005"/>
    </row>
    <row r="5" spans="2:19" x14ac:dyDescent="0.4">
      <c r="B5" s="1032">
        <f>IF(Qualité!L29="Oui",1,0.9)</f>
        <v>0.9</v>
      </c>
      <c r="C5" s="1033"/>
      <c r="D5" s="368"/>
      <c r="E5" s="152" t="s">
        <v>313</v>
      </c>
      <c r="F5" s="152" t="s">
        <v>311</v>
      </c>
      <c r="G5" s="152" t="s">
        <v>326</v>
      </c>
      <c r="H5" s="152" t="s">
        <v>315</v>
      </c>
      <c r="I5" s="152" t="s">
        <v>316</v>
      </c>
    </row>
    <row r="6" spans="2:19" x14ac:dyDescent="0.4">
      <c r="B6" s="1032"/>
      <c r="C6" s="1033"/>
      <c r="D6" s="368" t="s">
        <v>12</v>
      </c>
      <c r="E6" s="153" t="s">
        <v>549</v>
      </c>
      <c r="F6" s="153" t="s">
        <v>377</v>
      </c>
      <c r="G6" s="153" t="s">
        <v>378</v>
      </c>
      <c r="H6" s="153" t="s">
        <v>317</v>
      </c>
      <c r="I6" s="153" t="s">
        <v>379</v>
      </c>
    </row>
    <row r="7" spans="2:19" ht="13" thickBot="1" x14ac:dyDescent="0.45">
      <c r="B7" s="1034"/>
      <c r="C7" s="1035"/>
      <c r="D7" s="368" t="str">
        <f>PARAM!$C4</f>
        <v>Débitmètre en charge</v>
      </c>
      <c r="E7" s="151" t="s">
        <v>375</v>
      </c>
      <c r="F7" s="151" t="s">
        <v>385</v>
      </c>
      <c r="G7" s="151" t="s">
        <v>386</v>
      </c>
      <c r="H7" s="151" t="s">
        <v>387</v>
      </c>
      <c r="I7" s="151" t="s">
        <v>388</v>
      </c>
    </row>
    <row r="8" spans="2:19" x14ac:dyDescent="0.4">
      <c r="D8" s="152" t="str">
        <f>PARAM!$C5</f>
        <v>Débitmètre gravitaire</v>
      </c>
      <c r="E8" s="151" t="s">
        <v>389</v>
      </c>
      <c r="F8" s="151" t="s">
        <v>516</v>
      </c>
      <c r="G8" s="151" t="s">
        <v>390</v>
      </c>
      <c r="H8" s="151" t="s">
        <v>314</v>
      </c>
      <c r="I8" s="151" t="s">
        <v>391</v>
      </c>
    </row>
    <row r="9" spans="2:19" x14ac:dyDescent="0.4">
      <c r="D9" s="152" t="str">
        <f>PARAM!$C6</f>
        <v>Préleveur</v>
      </c>
      <c r="E9" s="151" t="s">
        <v>380</v>
      </c>
      <c r="F9" s="151" t="s">
        <v>381</v>
      </c>
      <c r="G9" s="151" t="s">
        <v>382</v>
      </c>
      <c r="H9" s="151" t="s">
        <v>383</v>
      </c>
      <c r="I9" s="151" t="s">
        <v>384</v>
      </c>
    </row>
    <row r="10" spans="2:19" x14ac:dyDescent="0.4">
      <c r="D10" s="152" t="str">
        <f>PARAM!$C7</f>
        <v>Sonde de température</v>
      </c>
      <c r="E10" s="151" t="s">
        <v>376</v>
      </c>
      <c r="F10" s="151" t="s">
        <v>377</v>
      </c>
      <c r="G10" s="151" t="s">
        <v>378</v>
      </c>
      <c r="H10" s="151" t="s">
        <v>317</v>
      </c>
      <c r="I10" s="151" t="s">
        <v>379</v>
      </c>
    </row>
    <row r="12" spans="2:19" s="12" customFormat="1" ht="17.45" customHeight="1" x14ac:dyDescent="0.4">
      <c r="D12" s="171" t="s">
        <v>330</v>
      </c>
      <c r="E12" s="1025" t="s">
        <v>329</v>
      </c>
      <c r="F12" s="1005"/>
      <c r="G12" s="1005"/>
      <c r="H12" s="1005"/>
      <c r="I12" s="1005"/>
      <c r="J12" s="1005"/>
      <c r="K12" s="1005"/>
      <c r="L12" s="1005"/>
      <c r="M12" s="1005"/>
      <c r="N12" s="1005"/>
      <c r="O12" s="1005"/>
      <c r="P12" s="1005"/>
      <c r="Q12" s="1005"/>
      <c r="R12" s="1005"/>
      <c r="S12" s="1026"/>
    </row>
    <row r="13" spans="2:19" x14ac:dyDescent="0.4">
      <c r="D13" s="169" t="s">
        <v>327</v>
      </c>
      <c r="E13" s="170">
        <f>Descriptif!$AD$3</f>
        <v>34</v>
      </c>
      <c r="F13" s="170">
        <f>E13+1</f>
        <v>35</v>
      </c>
      <c r="G13" s="170">
        <f t="shared" ref="G13:S14" si="0">F13+1</f>
        <v>36</v>
      </c>
      <c r="H13" s="170">
        <f t="shared" si="0"/>
        <v>37</v>
      </c>
      <c r="I13" s="170">
        <f t="shared" si="0"/>
        <v>38</v>
      </c>
      <c r="J13" s="170">
        <f t="shared" si="0"/>
        <v>39</v>
      </c>
      <c r="K13" s="170">
        <f t="shared" si="0"/>
        <v>40</v>
      </c>
      <c r="L13" s="170">
        <f t="shared" si="0"/>
        <v>41</v>
      </c>
      <c r="M13" s="170">
        <f t="shared" si="0"/>
        <v>42</v>
      </c>
      <c r="N13" s="170">
        <f t="shared" si="0"/>
        <v>43</v>
      </c>
      <c r="O13" s="170">
        <f t="shared" si="0"/>
        <v>44</v>
      </c>
      <c r="P13" s="170">
        <f t="shared" si="0"/>
        <v>45</v>
      </c>
      <c r="Q13" s="170">
        <f t="shared" si="0"/>
        <v>46</v>
      </c>
      <c r="R13" s="170">
        <f t="shared" si="0"/>
        <v>47</v>
      </c>
      <c r="S13" s="170">
        <f t="shared" si="0"/>
        <v>48</v>
      </c>
    </row>
    <row r="14" spans="2:19" x14ac:dyDescent="0.4">
      <c r="D14" s="169" t="s">
        <v>328</v>
      </c>
      <c r="E14" s="170">
        <f>Descriptif!$AD$2</f>
        <v>14</v>
      </c>
      <c r="F14" s="170">
        <f>E14+1</f>
        <v>15</v>
      </c>
      <c r="G14" s="170">
        <f t="shared" si="0"/>
        <v>16</v>
      </c>
      <c r="H14" s="170">
        <f t="shared" si="0"/>
        <v>17</v>
      </c>
      <c r="I14" s="170">
        <f t="shared" si="0"/>
        <v>18</v>
      </c>
      <c r="J14" s="170">
        <f t="shared" si="0"/>
        <v>19</v>
      </c>
      <c r="K14" s="170">
        <f t="shared" si="0"/>
        <v>20</v>
      </c>
      <c r="L14" s="170">
        <f t="shared" si="0"/>
        <v>21</v>
      </c>
      <c r="M14" s="170">
        <f t="shared" si="0"/>
        <v>22</v>
      </c>
      <c r="N14" s="170">
        <f t="shared" si="0"/>
        <v>23</v>
      </c>
      <c r="O14" s="170">
        <f t="shared" si="0"/>
        <v>24</v>
      </c>
      <c r="P14" s="170">
        <f t="shared" si="0"/>
        <v>25</v>
      </c>
      <c r="Q14" s="170">
        <f t="shared" si="0"/>
        <v>26</v>
      </c>
      <c r="R14" s="170">
        <f t="shared" si="0"/>
        <v>27</v>
      </c>
      <c r="S14" s="170">
        <f t="shared" si="0"/>
        <v>28</v>
      </c>
    </row>
    <row r="16" spans="2:19" s="154" customFormat="1" ht="23.1" customHeight="1" x14ac:dyDescent="0.4">
      <c r="B16" s="155" t="s">
        <v>322</v>
      </c>
    </row>
    <row r="17" spans="2:20" s="12" customFormat="1" ht="18" customHeight="1" thickBot="1" x14ac:dyDescent="0.45"/>
    <row r="18" spans="2:20" s="12" customFormat="1" ht="15.95" customHeight="1" thickBot="1" x14ac:dyDescent="0.45">
      <c r="B18" s="173" t="s">
        <v>324</v>
      </c>
      <c r="C18" s="174" t="s">
        <v>325</v>
      </c>
      <c r="D18" s="175"/>
      <c r="E18" s="176"/>
      <c r="F18" s="177" t="s">
        <v>5</v>
      </c>
      <c r="G18" s="177" t="s">
        <v>6</v>
      </c>
      <c r="H18" s="177" t="s">
        <v>7</v>
      </c>
      <c r="I18" s="177" t="s">
        <v>17</v>
      </c>
      <c r="J18" s="177" t="s">
        <v>18</v>
      </c>
      <c r="K18" s="177" t="s">
        <v>19</v>
      </c>
      <c r="L18" s="177" t="s">
        <v>20</v>
      </c>
      <c r="M18" s="177" t="s">
        <v>21</v>
      </c>
      <c r="N18" s="177" t="s">
        <v>22</v>
      </c>
      <c r="O18" s="177" t="s">
        <v>23</v>
      </c>
      <c r="P18" s="177" t="s">
        <v>24</v>
      </c>
      <c r="Q18" s="178" t="s">
        <v>25</v>
      </c>
      <c r="R18" s="178" t="s">
        <v>318</v>
      </c>
      <c r="S18" s="178" t="s">
        <v>319</v>
      </c>
      <c r="T18" s="178" t="s">
        <v>320</v>
      </c>
    </row>
    <row r="19" spans="2:20" x14ac:dyDescent="0.4">
      <c r="B19" s="1019" t="s">
        <v>98</v>
      </c>
      <c r="C19" s="1022" t="s">
        <v>99</v>
      </c>
      <c r="D19" s="159" t="str">
        <f>$D$7</f>
        <v>Débitmètre en charge</v>
      </c>
      <c r="E19" s="159"/>
      <c r="F19" s="160" t="str">
        <f ca="1">IF(AND(OR(INDIRECT("Descriptif!I"&amp;E$13)=Recap_equipements!$B19,INDIRECT("Descriptif!I"&amp;E$13)=Recap_equipements!$C19),INDIRECT("Descriptif!M"&amp;E$13)=$D19),INDIRECT("Descriptif!F"&amp;E$13),"")</f>
        <v/>
      </c>
      <c r="G19" s="160" t="str">
        <f ca="1">IF(AND(OR(INDIRECT("Descriptif!I"&amp;F$13)=Recap_equipements!$B19,INDIRECT("Descriptif!I"&amp;F$13)=Recap_equipements!$C19),INDIRECT("Descriptif!M"&amp;F$13)=$D19),INDIRECT("Descriptif!F"&amp;F$13),"")</f>
        <v/>
      </c>
      <c r="H19" s="160" t="str">
        <f ca="1">IF(AND(OR(INDIRECT("Descriptif!I"&amp;G$13)=Recap_equipements!$B19,INDIRECT("Descriptif!I"&amp;G$13)=Recap_equipements!$C19),INDIRECT("Descriptif!M"&amp;G$13)=$D19),INDIRECT("Descriptif!F"&amp;G$13),"")</f>
        <v/>
      </c>
      <c r="I19" s="160" t="str">
        <f ca="1">IF(AND(OR(INDIRECT("Descriptif!I"&amp;H$13)=Recap_equipements!$B19,INDIRECT("Descriptif!I"&amp;H$13)=Recap_equipements!$C19),INDIRECT("Descriptif!M"&amp;H$13)=$D19),INDIRECT("Descriptif!F"&amp;H$13),"")</f>
        <v/>
      </c>
      <c r="J19" s="160" t="str">
        <f ca="1">IF(AND(OR(INDIRECT("Descriptif!I"&amp;I$13)=Recap_equipements!$B19,INDIRECT("Descriptif!I"&amp;I$13)=Recap_equipements!$C19),INDIRECT("Descriptif!M"&amp;I$13)=$D19),INDIRECT("Descriptif!F"&amp;I$13),"")</f>
        <v/>
      </c>
      <c r="K19" s="160" t="str">
        <f ca="1">IF(AND(OR(INDIRECT("Descriptif!I"&amp;J$13)=Recap_equipements!$B19,INDIRECT("Descriptif!I"&amp;J$13)=Recap_equipements!$C19),INDIRECT("Descriptif!M"&amp;J$13)=$D19),INDIRECT("Descriptif!F"&amp;J$13),"")</f>
        <v/>
      </c>
      <c r="L19" s="160" t="str">
        <f ca="1">IF(AND(OR(INDIRECT("Descriptif!I"&amp;K$13)=Recap_equipements!$B19,INDIRECT("Descriptif!I"&amp;K$13)=Recap_equipements!$C19),INDIRECT("Descriptif!M"&amp;K$13)=$D19),INDIRECT("Descriptif!F"&amp;K$13),"")</f>
        <v/>
      </c>
      <c r="M19" s="160" t="str">
        <f ca="1">IF(AND(OR(INDIRECT("Descriptif!I"&amp;L$13)=Recap_equipements!$B19,INDIRECT("Descriptif!I"&amp;L$13)=Recap_equipements!$C19),INDIRECT("Descriptif!M"&amp;L$13)=$D19),INDIRECT("Descriptif!F"&amp;L$13),"")</f>
        <v/>
      </c>
      <c r="N19" s="160" t="str">
        <f ca="1">IF(AND(OR(INDIRECT("Descriptif!I"&amp;M$13)=Recap_equipements!$B19,INDIRECT("Descriptif!I"&amp;M$13)=Recap_equipements!$C19),INDIRECT("Descriptif!M"&amp;M$13)=$D19),INDIRECT("Descriptif!F"&amp;M$13),"")</f>
        <v/>
      </c>
      <c r="O19" s="160" t="str">
        <f ca="1">IF(AND(OR(INDIRECT("Descriptif!I"&amp;N$13)=Recap_equipements!$B19,INDIRECT("Descriptif!I"&amp;N$13)=Recap_equipements!$C19),INDIRECT("Descriptif!M"&amp;N$13)=$D19),INDIRECT("Descriptif!F"&amp;N$13),"")</f>
        <v/>
      </c>
      <c r="P19" s="160" t="str">
        <f ca="1">IF(AND(OR(INDIRECT("Descriptif!I"&amp;O$13)=Recap_equipements!$B19,INDIRECT("Descriptif!I"&amp;O$13)=Recap_equipements!$C19),INDIRECT("Descriptif!M"&amp;O$13)=$D19),INDIRECT("Descriptif!F"&amp;O$13),"")</f>
        <v/>
      </c>
      <c r="Q19" s="160" t="str">
        <f ca="1">IF(AND(OR(INDIRECT("Descriptif!I"&amp;P$13)=Recap_equipements!$B19,INDIRECT("Descriptif!I"&amp;P$13)=Recap_equipements!$C19),INDIRECT("Descriptif!M"&amp;P$13)=$D19),INDIRECT("Descriptif!F"&amp;P$13),"")</f>
        <v/>
      </c>
      <c r="R19" s="160" t="str">
        <f ca="1">IF(AND(OR(INDIRECT("Descriptif!I"&amp;Q$13)=Recap_equipements!$B19,INDIRECT("Descriptif!I"&amp;Q$13)=Recap_equipements!$C19),INDIRECT("Descriptif!M"&amp;Q$13)=$D19),INDIRECT("Descriptif!F"&amp;Q$13),"")</f>
        <v/>
      </c>
      <c r="S19" s="160" t="str">
        <f ca="1">IF(AND(OR(INDIRECT("Descriptif!I"&amp;R$13)=Recap_equipements!$B19,INDIRECT("Descriptif!I"&amp;R$13)=Recap_equipements!$C19),INDIRECT("Descriptif!M"&amp;R$13)=$D19),INDIRECT("Descriptif!F"&amp;R$13),"")</f>
        <v/>
      </c>
      <c r="T19" s="161" t="str">
        <f ca="1">IF(AND(OR(INDIRECT("Descriptif!I"&amp;S$13)=Recap_equipements!$B19,INDIRECT("Descriptif!I"&amp;S$13)=Recap_equipements!$C19),INDIRECT("Descriptif!M"&amp;S$13)=$D19),INDIRECT("Descriptif!F"&amp;S$13),"")</f>
        <v/>
      </c>
    </row>
    <row r="20" spans="2:20" x14ac:dyDescent="0.4">
      <c r="B20" s="1020"/>
      <c r="C20" s="1023"/>
      <c r="D20" s="158" t="str">
        <f>$D$8</f>
        <v>Débitmètre gravitaire</v>
      </c>
      <c r="E20" s="158"/>
      <c r="F20" s="13" t="str">
        <f ca="1">IF(AND(OR(INDIRECT("Descriptif!I"&amp;E$13)=Recap_equipements!$B19,INDIRECT("Descriptif!I"&amp;E$13)=Recap_equipements!$C19),INDIRECT("Descriptif!M"&amp;E$13)=$D20),INDIRECT("Descriptif!F"&amp;E$13),"")</f>
        <v/>
      </c>
      <c r="G20" s="13" t="str">
        <f ca="1">IF(AND(OR(INDIRECT("Descriptif!I"&amp;F$13)=Recap_equipements!$B19,INDIRECT("Descriptif!I"&amp;F$13)=Recap_equipements!$C19),INDIRECT("Descriptif!M"&amp;F$13)=$D20),INDIRECT("Descriptif!F"&amp;F$13),"")</f>
        <v/>
      </c>
      <c r="H20" s="13" t="str">
        <f ca="1">IF(AND(OR(INDIRECT("Descriptif!I"&amp;G$13)=Recap_equipements!$B19,INDIRECT("Descriptif!I"&amp;G$13)=Recap_equipements!$C19),INDIRECT("Descriptif!M"&amp;G$13)=$D20),INDIRECT("Descriptif!F"&amp;G$13),"")</f>
        <v/>
      </c>
      <c r="I20" s="13" t="str">
        <f ca="1">IF(AND(OR(INDIRECT("Descriptif!I"&amp;H$13)=Recap_equipements!$B19,INDIRECT("Descriptif!I"&amp;H$13)=Recap_equipements!$C19),INDIRECT("Descriptif!M"&amp;H$13)=$D20),INDIRECT("Descriptif!F"&amp;H$13),"")</f>
        <v/>
      </c>
      <c r="J20" s="13" t="str">
        <f ca="1">IF(AND(OR(INDIRECT("Descriptif!I"&amp;I$13)=Recap_equipements!$B19,INDIRECT("Descriptif!I"&amp;I$13)=Recap_equipements!$C19),INDIRECT("Descriptif!M"&amp;I$13)=$D20),INDIRECT("Descriptif!F"&amp;I$13),"")</f>
        <v/>
      </c>
      <c r="K20" s="13" t="str">
        <f ca="1">IF(AND(OR(INDIRECT("Descriptif!I"&amp;J$13)=Recap_equipements!$B19,INDIRECT("Descriptif!I"&amp;J$13)=Recap_equipements!$C19),INDIRECT("Descriptif!M"&amp;J$13)=$D20),INDIRECT("Descriptif!F"&amp;J$13),"")</f>
        <v/>
      </c>
      <c r="L20" s="13" t="str">
        <f ca="1">IF(AND(OR(INDIRECT("Descriptif!I"&amp;K$13)=Recap_equipements!$B19,INDIRECT("Descriptif!I"&amp;K$13)=Recap_equipements!$C19),INDIRECT("Descriptif!M"&amp;K$13)=$D20),INDIRECT("Descriptif!F"&amp;K$13),"")</f>
        <v/>
      </c>
      <c r="M20" s="13" t="str">
        <f ca="1">IF(AND(OR(INDIRECT("Descriptif!I"&amp;L$13)=Recap_equipements!$B19,INDIRECT("Descriptif!I"&amp;L$13)=Recap_equipements!$C19),INDIRECT("Descriptif!M"&amp;L$13)=$D20),INDIRECT("Descriptif!F"&amp;L$13),"")</f>
        <v/>
      </c>
      <c r="N20" s="13" t="str">
        <f ca="1">IF(AND(OR(INDIRECT("Descriptif!I"&amp;M$13)=Recap_equipements!$B19,INDIRECT("Descriptif!I"&amp;M$13)=Recap_equipements!$C19),INDIRECT("Descriptif!M"&amp;M$13)=$D20),INDIRECT("Descriptif!F"&amp;M$13),"")</f>
        <v/>
      </c>
      <c r="O20" s="13" t="str">
        <f ca="1">IF(AND(OR(INDIRECT("Descriptif!I"&amp;N$13)=Recap_equipements!$B19,INDIRECT("Descriptif!I"&amp;N$13)=Recap_equipements!$C19),INDIRECT("Descriptif!M"&amp;N$13)=$D20),INDIRECT("Descriptif!F"&amp;N$13),"")</f>
        <v/>
      </c>
      <c r="P20" s="13" t="str">
        <f ca="1">IF(AND(OR(INDIRECT("Descriptif!I"&amp;O$13)=Recap_equipements!$B19,INDIRECT("Descriptif!I"&amp;O$13)=Recap_equipements!$C19),INDIRECT("Descriptif!M"&amp;O$13)=$D20),INDIRECT("Descriptif!F"&amp;O$13),"")</f>
        <v/>
      </c>
      <c r="Q20" s="13" t="str">
        <f ca="1">IF(AND(OR(INDIRECT("Descriptif!I"&amp;P$13)=Recap_equipements!$B19,INDIRECT("Descriptif!I"&amp;P$13)=Recap_equipements!$C19),INDIRECT("Descriptif!M"&amp;P$13)=$D20),INDIRECT("Descriptif!F"&amp;P$13),"")</f>
        <v/>
      </c>
      <c r="R20" s="13" t="str">
        <f ca="1">IF(AND(OR(INDIRECT("Descriptif!I"&amp;Q$13)=Recap_equipements!$B19,INDIRECT("Descriptif!I"&amp;Q$13)=Recap_equipements!$C19),INDIRECT("Descriptif!M"&amp;Q$13)=$D20),INDIRECT("Descriptif!F"&amp;Q$13),"")</f>
        <v/>
      </c>
      <c r="S20" s="13" t="str">
        <f ca="1">IF(AND(OR(INDIRECT("Descriptif!I"&amp;R$13)=Recap_equipements!$B19,INDIRECT("Descriptif!I"&amp;R$13)=Recap_equipements!$C19),INDIRECT("Descriptif!M"&amp;R$13)=$D20),INDIRECT("Descriptif!F"&amp;R$13),"")</f>
        <v/>
      </c>
      <c r="T20" s="162" t="str">
        <f ca="1">IF(AND(OR(INDIRECT("Descriptif!I"&amp;S$13)=Recap_equipements!$B19,INDIRECT("Descriptif!I"&amp;S$13)=Recap_equipements!$C19),INDIRECT("Descriptif!M"&amp;S$13)=$D20),INDIRECT("Descriptif!F"&amp;S$13),"")</f>
        <v/>
      </c>
    </row>
    <row r="21" spans="2:20" x14ac:dyDescent="0.4">
      <c r="B21" s="1020"/>
      <c r="C21" s="1023"/>
      <c r="D21" s="158" t="str">
        <f>$D$9</f>
        <v>Préleveur</v>
      </c>
      <c r="E21" s="158"/>
      <c r="F21" s="13" t="str">
        <f ca="1">IF(AND(OR(INDIRECT("Descriptif!I"&amp;E$13)=Recap_equipements!$B19,INDIRECT("Descriptif!I"&amp;E$13)=Recap_equipements!$C19),INDIRECT("Descriptif!M"&amp;E$13)=$D21),INDIRECT("Descriptif!F"&amp;E$13),"")</f>
        <v/>
      </c>
      <c r="G21" s="13" t="str">
        <f ca="1">IF(AND(OR(INDIRECT("Descriptif!I"&amp;F$13)=Recap_equipements!$B19,INDIRECT("Descriptif!I"&amp;F$13)=Recap_equipements!$C19),INDIRECT("Descriptif!M"&amp;F$13)=$D21),INDIRECT("Descriptif!F"&amp;F$13),"")</f>
        <v/>
      </c>
      <c r="H21" s="13" t="str">
        <f ca="1">IF(AND(OR(INDIRECT("Descriptif!I"&amp;G$13)=Recap_equipements!$B19,INDIRECT("Descriptif!I"&amp;G$13)=Recap_equipements!$C19),INDIRECT("Descriptif!M"&amp;G$13)=$D21),INDIRECT("Descriptif!F"&amp;G$13),"")</f>
        <v/>
      </c>
      <c r="I21" s="13" t="str">
        <f ca="1">IF(AND(OR(INDIRECT("Descriptif!I"&amp;H$13)=Recap_equipements!$B19,INDIRECT("Descriptif!I"&amp;H$13)=Recap_equipements!$C19),INDIRECT("Descriptif!M"&amp;H$13)=$D21),INDIRECT("Descriptif!F"&amp;H$13),"")</f>
        <v/>
      </c>
      <c r="J21" s="13" t="str">
        <f ca="1">IF(AND(OR(INDIRECT("Descriptif!I"&amp;I$13)=Recap_equipements!$B19,INDIRECT("Descriptif!I"&amp;I$13)=Recap_equipements!$C19),INDIRECT("Descriptif!M"&amp;I$13)=$D21),INDIRECT("Descriptif!F"&amp;I$13),"")</f>
        <v/>
      </c>
      <c r="K21" s="13" t="str">
        <f ca="1">IF(AND(OR(INDIRECT("Descriptif!I"&amp;J$13)=Recap_equipements!$B19,INDIRECT("Descriptif!I"&amp;J$13)=Recap_equipements!$C19),INDIRECT("Descriptif!M"&amp;J$13)=$D21),INDIRECT("Descriptif!F"&amp;J$13),"")</f>
        <v/>
      </c>
      <c r="L21" s="13" t="str">
        <f ca="1">IF(AND(OR(INDIRECT("Descriptif!I"&amp;K$13)=Recap_equipements!$B19,INDIRECT("Descriptif!I"&amp;K$13)=Recap_equipements!$C19),INDIRECT("Descriptif!M"&amp;K$13)=$D21),INDIRECT("Descriptif!F"&amp;K$13),"")</f>
        <v/>
      </c>
      <c r="M21" s="13" t="str">
        <f ca="1">IF(AND(OR(INDIRECT("Descriptif!I"&amp;L$13)=Recap_equipements!$B19,INDIRECT("Descriptif!I"&amp;L$13)=Recap_equipements!$C19),INDIRECT("Descriptif!M"&amp;L$13)=$D21),INDIRECT("Descriptif!F"&amp;L$13),"")</f>
        <v/>
      </c>
      <c r="N21" s="13" t="str">
        <f ca="1">IF(AND(OR(INDIRECT("Descriptif!I"&amp;M$13)=Recap_equipements!$B19,INDIRECT("Descriptif!I"&amp;M$13)=Recap_equipements!$C19),INDIRECT("Descriptif!M"&amp;M$13)=$D21),INDIRECT("Descriptif!F"&amp;M$13),"")</f>
        <v/>
      </c>
      <c r="O21" s="13" t="str">
        <f ca="1">IF(AND(OR(INDIRECT("Descriptif!I"&amp;N$13)=Recap_equipements!$B19,INDIRECT("Descriptif!I"&amp;N$13)=Recap_equipements!$C19),INDIRECT("Descriptif!M"&amp;N$13)=$D21),INDIRECT("Descriptif!F"&amp;N$13),"")</f>
        <v/>
      </c>
      <c r="P21" s="13" t="str">
        <f ca="1">IF(AND(OR(INDIRECT("Descriptif!I"&amp;O$13)=Recap_equipements!$B19,INDIRECT("Descriptif!I"&amp;O$13)=Recap_equipements!$C19),INDIRECT("Descriptif!M"&amp;O$13)=$D21),INDIRECT("Descriptif!F"&amp;O$13),"")</f>
        <v/>
      </c>
      <c r="Q21" s="13" t="str">
        <f ca="1">IF(AND(OR(INDIRECT("Descriptif!I"&amp;P$13)=Recap_equipements!$B19,INDIRECT("Descriptif!I"&amp;P$13)=Recap_equipements!$C19),INDIRECT("Descriptif!M"&amp;P$13)=$D21),INDIRECT("Descriptif!F"&amp;P$13),"")</f>
        <v/>
      </c>
      <c r="R21" s="13" t="str">
        <f ca="1">IF(AND(OR(INDIRECT("Descriptif!I"&amp;Q$13)=Recap_equipements!$B19,INDIRECT("Descriptif!I"&amp;Q$13)=Recap_equipements!$C19),INDIRECT("Descriptif!M"&amp;Q$13)=$D21),INDIRECT("Descriptif!F"&amp;Q$13),"")</f>
        <v/>
      </c>
      <c r="S21" s="13" t="str">
        <f ca="1">IF(AND(OR(INDIRECT("Descriptif!I"&amp;R$13)=Recap_equipements!$B19,INDIRECT("Descriptif!I"&amp;R$13)=Recap_equipements!$C19),INDIRECT("Descriptif!M"&amp;R$13)=$D21),INDIRECT("Descriptif!F"&amp;R$13),"")</f>
        <v/>
      </c>
      <c r="T21" s="162" t="str">
        <f ca="1">IF(AND(OR(INDIRECT("Descriptif!I"&amp;S$13)=Recap_equipements!$B19,INDIRECT("Descriptif!I"&amp;S$13)=Recap_equipements!$C19),INDIRECT("Descriptif!M"&amp;S$13)=$D21),INDIRECT("Descriptif!F"&amp;S$13),"")</f>
        <v/>
      </c>
    </row>
    <row r="22" spans="2:20" x14ac:dyDescent="0.4">
      <c r="B22" s="1020"/>
      <c r="C22" s="1023"/>
      <c r="D22" s="369" t="s">
        <v>412</v>
      </c>
      <c r="E22" s="369"/>
      <c r="F22" s="370" t="str">
        <f ca="1">IF(F21&lt;&gt;"",VLOOKUP(F21,Analytique!$X$3:$AE$29,1,FALSE),"")</f>
        <v/>
      </c>
      <c r="G22" s="370" t="str">
        <f ca="1">IF(G21&lt;&gt;"",VLOOKUP(G21,Analytique!$X$3:$AE$29,1,FALSE),"")</f>
        <v/>
      </c>
      <c r="H22" s="370" t="str">
        <f ca="1">IF(H21&lt;&gt;"",VLOOKUP(H21,Analytique!$X$3:$AE$29,1,FALSE),"")</f>
        <v/>
      </c>
      <c r="I22" s="370" t="str">
        <f ca="1">IF(I21&lt;&gt;"",VLOOKUP(I21,Analytique!$X$3:$AE$29,1,FALSE),"")</f>
        <v/>
      </c>
      <c r="J22" s="370" t="str">
        <f ca="1">IF(J21&lt;&gt;"",VLOOKUP(J21,Analytique!$X$3:$AE$29,1,FALSE),"")</f>
        <v/>
      </c>
      <c r="K22" s="370" t="str">
        <f ca="1">IF(K21&lt;&gt;"",VLOOKUP(K21,Analytique!$X$3:$AE$29,1,FALSE),"")</f>
        <v/>
      </c>
      <c r="L22" s="370" t="str">
        <f ca="1">IF(L21&lt;&gt;"",VLOOKUP(L21,Analytique!$X$3:$AE$29,1,FALSE),"")</f>
        <v/>
      </c>
      <c r="M22" s="370" t="str">
        <f ca="1">IF(M21&lt;&gt;"",VLOOKUP(M21,Analytique!$X$3:$AE$29,1,FALSE),"")</f>
        <v/>
      </c>
      <c r="N22" s="370" t="str">
        <f ca="1">IF(N21&lt;&gt;"",VLOOKUP(N21,Analytique!$X$3:$AE$29,1,FALSE),"")</f>
        <v/>
      </c>
      <c r="O22" s="370" t="str">
        <f ca="1">IF(O21&lt;&gt;"",VLOOKUP(O21,Analytique!$X$3:$AE$29,1,FALSE),"")</f>
        <v/>
      </c>
      <c r="P22" s="370" t="str">
        <f ca="1">IF(P21&lt;&gt;"",VLOOKUP(P21,Analytique!$X$3:$AE$29,1,FALSE),"")</f>
        <v/>
      </c>
      <c r="Q22" s="370" t="str">
        <f ca="1">IF(Q21&lt;&gt;"",VLOOKUP(Q21,Analytique!$X$3:$AE$29,1,FALSE),"")</f>
        <v/>
      </c>
      <c r="R22" s="370" t="str">
        <f ca="1">IF(R21&lt;&gt;"",VLOOKUP(R21,Analytique!$X$3:$AE$29,1,FALSE),"")</f>
        <v/>
      </c>
      <c r="S22" s="370" t="str">
        <f ca="1">IF(S21&lt;&gt;"",VLOOKUP(S21,Analytique!$X$3:$AE$29,1,FALSE),"")</f>
        <v/>
      </c>
      <c r="T22" s="371" t="str">
        <f ca="1">IF(T21&lt;&gt;"",VLOOKUP(T21,Analytique!$X$3:$AE$29,1,FALSE),"")</f>
        <v/>
      </c>
    </row>
    <row r="23" spans="2:20" ht="13" thickBot="1" x14ac:dyDescent="0.45">
      <c r="B23" s="1021"/>
      <c r="C23" s="1024"/>
      <c r="D23" s="163" t="str">
        <f>$D$10</f>
        <v>Sonde de température</v>
      </c>
      <c r="E23" s="163"/>
      <c r="F23" s="164" t="str">
        <f ca="1">IF(AND(OR(INDIRECT("Descriptif!I"&amp;E$13)=Recap_equipements!$B19,INDIRECT("Descriptif!I"&amp;E$13)=Recap_equipements!$C19),INDIRECT("Descriptif!M"&amp;E$13)=$D23),INDIRECT("Descriptif!F"&amp;E$13),"")</f>
        <v/>
      </c>
      <c r="G23" s="164" t="str">
        <f ca="1">IF(AND(OR(INDIRECT("Descriptif!I"&amp;F$13)=Recap_equipements!$B19,INDIRECT("Descriptif!I"&amp;F$13)=Recap_equipements!$C19),INDIRECT("Descriptif!M"&amp;F$13)=$D23),INDIRECT("Descriptif!F"&amp;F$13),"")</f>
        <v/>
      </c>
      <c r="H23" s="164" t="str">
        <f ca="1">IF(AND(OR(INDIRECT("Descriptif!I"&amp;G$13)=Recap_equipements!$B19,INDIRECT("Descriptif!I"&amp;G$13)=Recap_equipements!$C19),INDIRECT("Descriptif!M"&amp;G$13)=$D23),INDIRECT("Descriptif!F"&amp;G$13),"")</f>
        <v/>
      </c>
      <c r="I23" s="164" t="str">
        <f ca="1">IF(AND(OR(INDIRECT("Descriptif!I"&amp;H$13)=Recap_equipements!$B19,INDIRECT("Descriptif!I"&amp;H$13)=Recap_equipements!$C19),INDIRECT("Descriptif!M"&amp;H$13)=$D23),INDIRECT("Descriptif!F"&amp;H$13),"")</f>
        <v/>
      </c>
      <c r="J23" s="164" t="str">
        <f ca="1">IF(AND(OR(INDIRECT("Descriptif!I"&amp;I$13)=Recap_equipements!$B19,INDIRECT("Descriptif!I"&amp;I$13)=Recap_equipements!$C19),INDIRECT("Descriptif!M"&amp;I$13)=$D23),INDIRECT("Descriptif!F"&amp;I$13),"")</f>
        <v/>
      </c>
      <c r="K23" s="164" t="str">
        <f ca="1">IF(AND(OR(INDIRECT("Descriptif!I"&amp;J$13)=Recap_equipements!$B19,INDIRECT("Descriptif!I"&amp;J$13)=Recap_equipements!$C19),INDIRECT("Descriptif!M"&amp;J$13)=$D23),INDIRECT("Descriptif!F"&amp;J$13),"")</f>
        <v/>
      </c>
      <c r="L23" s="164" t="str">
        <f ca="1">IF(AND(OR(INDIRECT("Descriptif!I"&amp;K$13)=Recap_equipements!$B19,INDIRECT("Descriptif!I"&amp;K$13)=Recap_equipements!$C19),INDIRECT("Descriptif!M"&amp;K$13)=$D23),INDIRECT("Descriptif!F"&amp;K$13),"")</f>
        <v/>
      </c>
      <c r="M23" s="164" t="str">
        <f ca="1">IF(AND(OR(INDIRECT("Descriptif!I"&amp;L$13)=Recap_equipements!$B19,INDIRECT("Descriptif!I"&amp;L$13)=Recap_equipements!$C19),INDIRECT("Descriptif!M"&amp;L$13)=$D23),INDIRECT("Descriptif!F"&amp;L$13),"")</f>
        <v/>
      </c>
      <c r="N23" s="164" t="str">
        <f ca="1">IF(AND(OR(INDIRECT("Descriptif!I"&amp;M$13)=Recap_equipements!$B19,INDIRECT("Descriptif!I"&amp;M$13)=Recap_equipements!$C19),INDIRECT("Descriptif!M"&amp;M$13)=$D23),INDIRECT("Descriptif!F"&amp;M$13),"")</f>
        <v/>
      </c>
      <c r="O23" s="164" t="str">
        <f ca="1">IF(AND(OR(INDIRECT("Descriptif!I"&amp;N$13)=Recap_equipements!$B19,INDIRECT("Descriptif!I"&amp;N$13)=Recap_equipements!$C19),INDIRECT("Descriptif!M"&amp;N$13)=$D23),INDIRECT("Descriptif!F"&amp;N$13),"")</f>
        <v/>
      </c>
      <c r="P23" s="164" t="str">
        <f ca="1">IF(AND(OR(INDIRECT("Descriptif!I"&amp;O$13)=Recap_equipements!$B19,INDIRECT("Descriptif!I"&amp;O$13)=Recap_equipements!$C19),INDIRECT("Descriptif!M"&amp;O$13)=$D23),INDIRECT("Descriptif!F"&amp;O$13),"")</f>
        <v/>
      </c>
      <c r="Q23" s="164" t="str">
        <f ca="1">IF(AND(OR(INDIRECT("Descriptif!I"&amp;P$13)=Recap_equipements!$B19,INDIRECT("Descriptif!I"&amp;P$13)=Recap_equipements!$C19),INDIRECT("Descriptif!M"&amp;P$13)=$D23),INDIRECT("Descriptif!F"&amp;P$13),"")</f>
        <v/>
      </c>
      <c r="R23" s="164" t="str">
        <f ca="1">IF(AND(OR(INDIRECT("Descriptif!I"&amp;Q$13)=Recap_equipements!$B19,INDIRECT("Descriptif!I"&amp;Q$13)=Recap_equipements!$C19),INDIRECT("Descriptif!M"&amp;Q$13)=$D23),INDIRECT("Descriptif!F"&amp;Q$13),"")</f>
        <v/>
      </c>
      <c r="S23" s="164" t="str">
        <f ca="1">IF(AND(OR(INDIRECT("Descriptif!I"&amp;R$13)=Recap_equipements!$B19,INDIRECT("Descriptif!I"&amp;R$13)=Recap_equipements!$C19),INDIRECT("Descriptif!M"&amp;R$13)=$D23),INDIRECT("Descriptif!F"&amp;R$13),"")</f>
        <v/>
      </c>
      <c r="T23" s="165" t="str">
        <f ca="1">IF(AND(OR(INDIRECT("Descriptif!I"&amp;S$13)=Recap_equipements!$B19,INDIRECT("Descriptif!I"&amp;S$13)=Recap_equipements!$C19),INDIRECT("Descriptif!M"&amp;S$13)=$D23),INDIRECT("Descriptif!F"&amp;S$13),"")</f>
        <v/>
      </c>
    </row>
    <row r="24" spans="2:20" x14ac:dyDescent="0.4">
      <c r="B24" s="1019" t="s">
        <v>59</v>
      </c>
      <c r="C24" s="1022" t="s">
        <v>108</v>
      </c>
      <c r="D24" s="159" t="str">
        <f>$D$7</f>
        <v>Débitmètre en charge</v>
      </c>
      <c r="E24" s="159"/>
      <c r="F24" s="160" t="str">
        <f ca="1">IF(AND(OR(INDIRECT("Descriptif!I"&amp;E$13)=Recap_equipements!$B24,INDIRECT("Descriptif!I"&amp;E$13)=Recap_equipements!$C24),INDIRECT("Descriptif!M"&amp;E$13)=$D24),INDIRECT("Descriptif!F"&amp;E$13),"")</f>
        <v/>
      </c>
      <c r="G24" s="160" t="str">
        <f ca="1">IF(AND(OR(INDIRECT("Descriptif!I"&amp;F$13)=Recap_equipements!$B24,INDIRECT("Descriptif!I"&amp;F$13)=Recap_equipements!$C24),INDIRECT("Descriptif!M"&amp;F$13)=$D24),INDIRECT("Descriptif!F"&amp;F$13),"")</f>
        <v/>
      </c>
      <c r="H24" s="160" t="str">
        <f ca="1">IF(AND(OR(INDIRECT("Descriptif!I"&amp;G$13)=Recap_equipements!$B24,INDIRECT("Descriptif!I"&amp;G$13)=Recap_equipements!$C24),INDIRECT("Descriptif!M"&amp;G$13)=$D24),INDIRECT("Descriptif!F"&amp;G$13),"")</f>
        <v/>
      </c>
      <c r="I24" s="160" t="str">
        <f ca="1">IF(AND(OR(INDIRECT("Descriptif!I"&amp;H$13)=Recap_equipements!$B24,INDIRECT("Descriptif!I"&amp;H$13)=Recap_equipements!$C24),INDIRECT("Descriptif!M"&amp;H$13)=$D24),INDIRECT("Descriptif!F"&amp;H$13),"")</f>
        <v/>
      </c>
      <c r="J24" s="160" t="str">
        <f ca="1">IF(AND(OR(INDIRECT("Descriptif!I"&amp;I$13)=Recap_equipements!$B24,INDIRECT("Descriptif!I"&amp;I$13)=Recap_equipements!$C24),INDIRECT("Descriptif!M"&amp;I$13)=$D24),INDIRECT("Descriptif!F"&amp;I$13),"")</f>
        <v/>
      </c>
      <c r="K24" s="160" t="str">
        <f ca="1">IF(AND(OR(INDIRECT("Descriptif!I"&amp;J$13)=Recap_equipements!$B24,INDIRECT("Descriptif!I"&amp;J$13)=Recap_equipements!$C24),INDIRECT("Descriptif!M"&amp;J$13)=$D24),INDIRECT("Descriptif!F"&amp;J$13),"")</f>
        <v/>
      </c>
      <c r="L24" s="160" t="str">
        <f ca="1">IF(AND(OR(INDIRECT("Descriptif!I"&amp;K$13)=Recap_equipements!$B24,INDIRECT("Descriptif!I"&amp;K$13)=Recap_equipements!$C24),INDIRECT("Descriptif!M"&amp;K$13)=$D24),INDIRECT("Descriptif!F"&amp;K$13),"")</f>
        <v/>
      </c>
      <c r="M24" s="160" t="str">
        <f ca="1">IF(AND(OR(INDIRECT("Descriptif!I"&amp;L$13)=Recap_equipements!$B24,INDIRECT("Descriptif!I"&amp;L$13)=Recap_equipements!$C24),INDIRECT("Descriptif!M"&amp;L$13)=$D24),INDIRECT("Descriptif!F"&amp;L$13),"")</f>
        <v/>
      </c>
      <c r="N24" s="160" t="str">
        <f ca="1">IF(AND(OR(INDIRECT("Descriptif!I"&amp;M$13)=Recap_equipements!$B24,INDIRECT("Descriptif!I"&amp;M$13)=Recap_equipements!$C24),INDIRECT("Descriptif!M"&amp;M$13)=$D24),INDIRECT("Descriptif!F"&amp;M$13),"")</f>
        <v/>
      </c>
      <c r="O24" s="160" t="str">
        <f ca="1">IF(AND(OR(INDIRECT("Descriptif!I"&amp;N$13)=Recap_equipements!$B24,INDIRECT("Descriptif!I"&amp;N$13)=Recap_equipements!$C24),INDIRECT("Descriptif!M"&amp;N$13)=$D24),INDIRECT("Descriptif!F"&amp;N$13),"")</f>
        <v/>
      </c>
      <c r="P24" s="160" t="str">
        <f ca="1">IF(AND(OR(INDIRECT("Descriptif!I"&amp;O$13)=Recap_equipements!$B24,INDIRECT("Descriptif!I"&amp;O$13)=Recap_equipements!$C24),INDIRECT("Descriptif!M"&amp;O$13)=$D24),INDIRECT("Descriptif!F"&amp;O$13),"")</f>
        <v/>
      </c>
      <c r="Q24" s="160" t="str">
        <f ca="1">IF(AND(OR(INDIRECT("Descriptif!I"&amp;P$13)=Recap_equipements!$B24,INDIRECT("Descriptif!I"&amp;P$13)=Recap_equipements!$C24),INDIRECT("Descriptif!M"&amp;P$13)=$D24),INDIRECT("Descriptif!F"&amp;P$13),"")</f>
        <v/>
      </c>
      <c r="R24" s="160" t="str">
        <f ca="1">IF(AND(OR(INDIRECT("Descriptif!I"&amp;Q$13)=Recap_equipements!$B24,INDIRECT("Descriptif!I"&amp;Q$13)=Recap_equipements!$C24),INDIRECT("Descriptif!M"&amp;Q$13)=$D24),INDIRECT("Descriptif!F"&amp;Q$13),"")</f>
        <v/>
      </c>
      <c r="S24" s="160" t="str">
        <f ca="1">IF(AND(OR(INDIRECT("Descriptif!I"&amp;R$13)=Recap_equipements!$B24,INDIRECT("Descriptif!I"&amp;R$13)=Recap_equipements!$C24),INDIRECT("Descriptif!M"&amp;R$13)=$D24),INDIRECT("Descriptif!F"&amp;R$13),"")</f>
        <v/>
      </c>
      <c r="T24" s="161" t="str">
        <f ca="1">IF(AND(OR(INDIRECT("Descriptif!I"&amp;S$13)=Recap_equipements!$B24,INDIRECT("Descriptif!I"&amp;S$13)=Recap_equipements!$C24),INDIRECT("Descriptif!M"&amp;S$13)=$D24),INDIRECT("Descriptif!F"&amp;S$13),"")</f>
        <v/>
      </c>
    </row>
    <row r="25" spans="2:20" x14ac:dyDescent="0.4">
      <c r="B25" s="1020"/>
      <c r="C25" s="1023"/>
      <c r="D25" s="158" t="str">
        <f>$D$8</f>
        <v>Débitmètre gravitaire</v>
      </c>
      <c r="E25" s="158"/>
      <c r="F25" s="13" t="str">
        <f ca="1">IF(AND(OR(INDIRECT("Descriptif!I"&amp;E$13)=Recap_equipements!$B24,INDIRECT("Descriptif!I"&amp;E$13)=Recap_equipements!$C24),INDIRECT("Descriptif!M"&amp;E$13)=$D25),INDIRECT("Descriptif!F"&amp;E$13),"")</f>
        <v/>
      </c>
      <c r="G25" s="13" t="str">
        <f ca="1">IF(AND(OR(INDIRECT("Descriptif!I"&amp;F$13)=Recap_equipements!$B24,INDIRECT("Descriptif!I"&amp;F$13)=Recap_equipements!$C24),INDIRECT("Descriptif!M"&amp;F$13)=$D25),INDIRECT("Descriptif!F"&amp;F$13),"")</f>
        <v/>
      </c>
      <c r="H25" s="13" t="str">
        <f ca="1">IF(AND(OR(INDIRECT("Descriptif!I"&amp;G$13)=Recap_equipements!$B24,INDIRECT("Descriptif!I"&amp;G$13)=Recap_equipements!$C24),INDIRECT("Descriptif!M"&amp;G$13)=$D25),INDIRECT("Descriptif!F"&amp;G$13),"")</f>
        <v/>
      </c>
      <c r="I25" s="13" t="str">
        <f ca="1">IF(AND(OR(INDIRECT("Descriptif!I"&amp;H$13)=Recap_equipements!$B24,INDIRECT("Descriptif!I"&amp;H$13)=Recap_equipements!$C24),INDIRECT("Descriptif!M"&amp;H$13)=$D25),INDIRECT("Descriptif!F"&amp;H$13),"")</f>
        <v/>
      </c>
      <c r="J25" s="13" t="str">
        <f ca="1">IF(AND(OR(INDIRECT("Descriptif!I"&amp;I$13)=Recap_equipements!$B24,INDIRECT("Descriptif!I"&amp;I$13)=Recap_equipements!$C24),INDIRECT("Descriptif!M"&amp;I$13)=$D25),INDIRECT("Descriptif!F"&amp;I$13),"")</f>
        <v/>
      </c>
      <c r="K25" s="13" t="str">
        <f ca="1">IF(AND(OR(INDIRECT("Descriptif!I"&amp;J$13)=Recap_equipements!$B24,INDIRECT("Descriptif!I"&amp;J$13)=Recap_equipements!$C24),INDIRECT("Descriptif!M"&amp;J$13)=$D25),INDIRECT("Descriptif!F"&amp;J$13),"")</f>
        <v/>
      </c>
      <c r="L25" s="13" t="str">
        <f ca="1">IF(AND(OR(INDIRECT("Descriptif!I"&amp;K$13)=Recap_equipements!$B24,INDIRECT("Descriptif!I"&amp;K$13)=Recap_equipements!$C24),INDIRECT("Descriptif!M"&amp;K$13)=$D25),INDIRECT("Descriptif!F"&amp;K$13),"")</f>
        <v/>
      </c>
      <c r="M25" s="13" t="str">
        <f ca="1">IF(AND(OR(INDIRECT("Descriptif!I"&amp;L$13)=Recap_equipements!$B24,INDIRECT("Descriptif!I"&amp;L$13)=Recap_equipements!$C24),INDIRECT("Descriptif!M"&amp;L$13)=$D25),INDIRECT("Descriptif!F"&amp;L$13),"")</f>
        <v/>
      </c>
      <c r="N25" s="13" t="str">
        <f ca="1">IF(AND(OR(INDIRECT("Descriptif!I"&amp;M$13)=Recap_equipements!$B24,INDIRECT("Descriptif!I"&amp;M$13)=Recap_equipements!$C24),INDIRECT("Descriptif!M"&amp;M$13)=$D25),INDIRECT("Descriptif!F"&amp;M$13),"")</f>
        <v/>
      </c>
      <c r="O25" s="13" t="str">
        <f ca="1">IF(AND(OR(INDIRECT("Descriptif!I"&amp;N$13)=Recap_equipements!$B24,INDIRECT("Descriptif!I"&amp;N$13)=Recap_equipements!$C24),INDIRECT("Descriptif!M"&amp;N$13)=$D25),INDIRECT("Descriptif!F"&amp;N$13),"")</f>
        <v/>
      </c>
      <c r="P25" s="13" t="str">
        <f ca="1">IF(AND(OR(INDIRECT("Descriptif!I"&amp;O$13)=Recap_equipements!$B24,INDIRECT("Descriptif!I"&amp;O$13)=Recap_equipements!$C24),INDIRECT("Descriptif!M"&amp;O$13)=$D25),INDIRECT("Descriptif!F"&amp;O$13),"")</f>
        <v/>
      </c>
      <c r="Q25" s="13" t="str">
        <f ca="1">IF(AND(OR(INDIRECT("Descriptif!I"&amp;P$13)=Recap_equipements!$B24,INDIRECT("Descriptif!I"&amp;P$13)=Recap_equipements!$C24),INDIRECT("Descriptif!M"&amp;P$13)=$D25),INDIRECT("Descriptif!F"&amp;P$13),"")</f>
        <v/>
      </c>
      <c r="R25" s="13" t="str">
        <f ca="1">IF(AND(OR(INDIRECT("Descriptif!I"&amp;Q$13)=Recap_equipements!$B24,INDIRECT("Descriptif!I"&amp;Q$13)=Recap_equipements!$C24),INDIRECT("Descriptif!M"&amp;Q$13)=$D25),INDIRECT("Descriptif!F"&amp;Q$13),"")</f>
        <v/>
      </c>
      <c r="S25" s="13" t="str">
        <f ca="1">IF(AND(OR(INDIRECT("Descriptif!I"&amp;R$13)=Recap_equipements!$B24,INDIRECT("Descriptif!I"&amp;R$13)=Recap_equipements!$C24),INDIRECT("Descriptif!M"&amp;R$13)=$D25),INDIRECT("Descriptif!F"&amp;R$13),"")</f>
        <v/>
      </c>
      <c r="T25" s="162" t="str">
        <f ca="1">IF(AND(OR(INDIRECT("Descriptif!I"&amp;S$13)=Recap_equipements!$B24,INDIRECT("Descriptif!I"&amp;S$13)=Recap_equipements!$C24),INDIRECT("Descriptif!M"&amp;S$13)=$D25),INDIRECT("Descriptif!F"&amp;S$13),"")</f>
        <v/>
      </c>
    </row>
    <row r="26" spans="2:20" x14ac:dyDescent="0.4">
      <c r="B26" s="1020"/>
      <c r="C26" s="1023"/>
      <c r="D26" s="158" t="str">
        <f>$D$9</f>
        <v>Préleveur</v>
      </c>
      <c r="E26" s="158"/>
      <c r="F26" s="13" t="str">
        <f ca="1">IF(AND(OR(INDIRECT("Descriptif!I"&amp;E$13)=Recap_equipements!$B24,INDIRECT("Descriptif!I"&amp;E$13)=Recap_equipements!$C24),INDIRECT("Descriptif!M"&amp;E$13)=$D26),INDIRECT("Descriptif!F"&amp;E$13),"")</f>
        <v/>
      </c>
      <c r="G26" s="13" t="str">
        <f ca="1">IF(AND(OR(INDIRECT("Descriptif!I"&amp;F$13)=Recap_equipements!$B24,INDIRECT("Descriptif!I"&amp;F$13)=Recap_equipements!$C24),INDIRECT("Descriptif!M"&amp;F$13)=$D26),INDIRECT("Descriptif!F"&amp;F$13),"")</f>
        <v/>
      </c>
      <c r="H26" s="13" t="str">
        <f ca="1">IF(AND(OR(INDIRECT("Descriptif!I"&amp;G$13)=Recap_equipements!$B24,INDIRECT("Descriptif!I"&amp;G$13)=Recap_equipements!$C24),INDIRECT("Descriptif!M"&amp;G$13)=$D26),INDIRECT("Descriptif!F"&amp;G$13),"")</f>
        <v/>
      </c>
      <c r="I26" s="13" t="str">
        <f ca="1">IF(AND(OR(INDIRECT("Descriptif!I"&amp;H$13)=Recap_equipements!$B24,INDIRECT("Descriptif!I"&amp;H$13)=Recap_equipements!$C24),INDIRECT("Descriptif!M"&amp;H$13)=$D26),INDIRECT("Descriptif!F"&amp;H$13),"")</f>
        <v/>
      </c>
      <c r="J26" s="13" t="str">
        <f ca="1">IF(AND(OR(INDIRECT("Descriptif!I"&amp;I$13)=Recap_equipements!$B24,INDIRECT("Descriptif!I"&amp;I$13)=Recap_equipements!$C24),INDIRECT("Descriptif!M"&amp;I$13)=$D26),INDIRECT("Descriptif!F"&amp;I$13),"")</f>
        <v/>
      </c>
      <c r="K26" s="13" t="str">
        <f ca="1">IF(AND(OR(INDIRECT("Descriptif!I"&amp;J$13)=Recap_equipements!$B24,INDIRECT("Descriptif!I"&amp;J$13)=Recap_equipements!$C24),INDIRECT("Descriptif!M"&amp;J$13)=$D26),INDIRECT("Descriptif!F"&amp;J$13),"")</f>
        <v/>
      </c>
      <c r="L26" s="13" t="str">
        <f ca="1">IF(AND(OR(INDIRECT("Descriptif!I"&amp;K$13)=Recap_equipements!$B24,INDIRECT("Descriptif!I"&amp;K$13)=Recap_equipements!$C24),INDIRECT("Descriptif!M"&amp;K$13)=$D26),INDIRECT("Descriptif!F"&amp;K$13),"")</f>
        <v/>
      </c>
      <c r="M26" s="13" t="str">
        <f ca="1">IF(AND(OR(INDIRECT("Descriptif!I"&amp;L$13)=Recap_equipements!$B24,INDIRECT("Descriptif!I"&amp;L$13)=Recap_equipements!$C24),INDIRECT("Descriptif!M"&amp;L$13)=$D26),INDIRECT("Descriptif!F"&amp;L$13),"")</f>
        <v/>
      </c>
      <c r="N26" s="13" t="str">
        <f ca="1">IF(AND(OR(INDIRECT("Descriptif!I"&amp;M$13)=Recap_equipements!$B24,INDIRECT("Descriptif!I"&amp;M$13)=Recap_equipements!$C24),INDIRECT("Descriptif!M"&amp;M$13)=$D26),INDIRECT("Descriptif!F"&amp;M$13),"")</f>
        <v/>
      </c>
      <c r="O26" s="13" t="str">
        <f ca="1">IF(AND(OR(INDIRECT("Descriptif!I"&amp;N$13)=Recap_equipements!$B24,INDIRECT("Descriptif!I"&amp;N$13)=Recap_equipements!$C24),INDIRECT("Descriptif!M"&amp;N$13)=$D26),INDIRECT("Descriptif!F"&amp;N$13),"")</f>
        <v/>
      </c>
      <c r="P26" s="13" t="str">
        <f ca="1">IF(AND(OR(INDIRECT("Descriptif!I"&amp;O$13)=Recap_equipements!$B24,INDIRECT("Descriptif!I"&amp;O$13)=Recap_equipements!$C24),INDIRECT("Descriptif!M"&amp;O$13)=$D26),INDIRECT("Descriptif!F"&amp;O$13),"")</f>
        <v/>
      </c>
      <c r="Q26" s="13" t="str">
        <f ca="1">IF(AND(OR(INDIRECT("Descriptif!I"&amp;P$13)=Recap_equipements!$B24,INDIRECT("Descriptif!I"&amp;P$13)=Recap_equipements!$C24),INDIRECT("Descriptif!M"&amp;P$13)=$D26),INDIRECT("Descriptif!F"&amp;P$13),"")</f>
        <v/>
      </c>
      <c r="R26" s="13" t="str">
        <f ca="1">IF(AND(OR(INDIRECT("Descriptif!I"&amp;Q$13)=Recap_equipements!$B24,INDIRECT("Descriptif!I"&amp;Q$13)=Recap_equipements!$C24),INDIRECT("Descriptif!M"&amp;Q$13)=$D26),INDIRECT("Descriptif!F"&amp;Q$13),"")</f>
        <v/>
      </c>
      <c r="S26" s="13" t="str">
        <f ca="1">IF(AND(OR(INDIRECT("Descriptif!I"&amp;R$13)=Recap_equipements!$B24,INDIRECT("Descriptif!I"&amp;R$13)=Recap_equipements!$C24),INDIRECT("Descriptif!M"&amp;R$13)=$D26),INDIRECT("Descriptif!F"&amp;R$13),"")</f>
        <v/>
      </c>
      <c r="T26" s="162" t="str">
        <f ca="1">IF(AND(OR(INDIRECT("Descriptif!I"&amp;S$13)=Recap_equipements!$B24,INDIRECT("Descriptif!I"&amp;S$13)=Recap_equipements!$C24),INDIRECT("Descriptif!M"&amp;S$13)=$D26),INDIRECT("Descriptif!F"&amp;S$13),"")</f>
        <v/>
      </c>
    </row>
    <row r="27" spans="2:20" x14ac:dyDescent="0.4">
      <c r="B27" s="1020"/>
      <c r="C27" s="1023"/>
      <c r="D27" s="369" t="s">
        <v>412</v>
      </c>
      <c r="E27" s="369"/>
      <c r="F27" s="370" t="str">
        <f ca="1">IF(F26&lt;&gt;"",VLOOKUP(F26,Analytique!$X$3:$AE$29,1,FALSE),"")</f>
        <v/>
      </c>
      <c r="G27" s="370" t="str">
        <f ca="1">IF(G26&lt;&gt;"",VLOOKUP(G26,Analytique!$X$3:$AE$29,1,FALSE),"")</f>
        <v/>
      </c>
      <c r="H27" s="370" t="str">
        <f ca="1">IF(H26&lt;&gt;"",VLOOKUP(H26,Analytique!$X$3:$AE$29,1,FALSE),"")</f>
        <v/>
      </c>
      <c r="I27" s="370" t="str">
        <f ca="1">IF(I26&lt;&gt;"",VLOOKUP(I26,Analytique!$X$3:$AE$29,1,FALSE),"")</f>
        <v/>
      </c>
      <c r="J27" s="370" t="str">
        <f ca="1">IF(J26&lt;&gt;"",VLOOKUP(J26,Analytique!$X$3:$AE$29,1,FALSE),"")</f>
        <v/>
      </c>
      <c r="K27" s="370" t="str">
        <f ca="1">IF(K26&lt;&gt;"",VLOOKUP(K26,Analytique!$X$3:$AE$29,1,FALSE),"")</f>
        <v/>
      </c>
      <c r="L27" s="370" t="str">
        <f ca="1">IF(L26&lt;&gt;"",VLOOKUP(L26,Analytique!$X$3:$AE$29,1,FALSE),"")</f>
        <v/>
      </c>
      <c r="M27" s="370" t="str">
        <f ca="1">IF(M26&lt;&gt;"",VLOOKUP(M26,Analytique!$X$3:$AE$29,1,FALSE),"")</f>
        <v/>
      </c>
      <c r="N27" s="370" t="str">
        <f ca="1">IF(N26&lt;&gt;"",VLOOKUP(N26,Analytique!$X$3:$AE$29,1,FALSE),"")</f>
        <v/>
      </c>
      <c r="O27" s="370" t="str">
        <f ca="1">IF(O26&lt;&gt;"",VLOOKUP(O26,Analytique!$X$3:$AE$29,1,FALSE),"")</f>
        <v/>
      </c>
      <c r="P27" s="370" t="str">
        <f ca="1">IF(P26&lt;&gt;"",VLOOKUP(P26,Analytique!$X$3:$AE$29,1,FALSE),"")</f>
        <v/>
      </c>
      <c r="Q27" s="370" t="str">
        <f ca="1">IF(Q26&lt;&gt;"",VLOOKUP(Q26,Analytique!$X$3:$AE$29,1,FALSE),"")</f>
        <v/>
      </c>
      <c r="R27" s="370" t="str">
        <f ca="1">IF(R26&lt;&gt;"",VLOOKUP(R26,Analytique!$X$3:$AE$29,1,FALSE),"")</f>
        <v/>
      </c>
      <c r="S27" s="370" t="str">
        <f ca="1">IF(S26&lt;&gt;"",VLOOKUP(S26,Analytique!$X$3:$AE$29,1,FALSE),"")</f>
        <v/>
      </c>
      <c r="T27" s="371" t="str">
        <f ca="1">IF(T26&lt;&gt;"",VLOOKUP(T26,Analytique!$X$3:$AE$29,1,FALSE),"")</f>
        <v/>
      </c>
    </row>
    <row r="28" spans="2:20" ht="13" thickBot="1" x14ac:dyDescent="0.45">
      <c r="B28" s="1021"/>
      <c r="C28" s="1024"/>
      <c r="D28" s="163" t="str">
        <f>$D$10</f>
        <v>Sonde de température</v>
      </c>
      <c r="E28" s="163"/>
      <c r="F28" s="164" t="str">
        <f ca="1">IF(AND(OR(INDIRECT("Descriptif!I"&amp;E$13)=Recap_equipements!$B24,INDIRECT("Descriptif!I"&amp;E$13)=Recap_equipements!$C24),INDIRECT("Descriptif!M"&amp;E$13)=$D28),INDIRECT("Descriptif!F"&amp;E$13),"")</f>
        <v/>
      </c>
      <c r="G28" s="164" t="str">
        <f ca="1">IF(AND(OR(INDIRECT("Descriptif!I"&amp;F$13)=Recap_equipements!$B24,INDIRECT("Descriptif!I"&amp;F$13)=Recap_equipements!$C24),INDIRECT("Descriptif!M"&amp;F$13)=$D28),INDIRECT("Descriptif!F"&amp;F$13),"")</f>
        <v/>
      </c>
      <c r="H28" s="164" t="str">
        <f ca="1">IF(AND(OR(INDIRECT("Descriptif!I"&amp;G$13)=Recap_equipements!$B24,INDIRECT("Descriptif!I"&amp;G$13)=Recap_equipements!$C24),INDIRECT("Descriptif!M"&amp;G$13)=$D28),INDIRECT("Descriptif!F"&amp;G$13),"")</f>
        <v/>
      </c>
      <c r="I28" s="164" t="str">
        <f ca="1">IF(AND(OR(INDIRECT("Descriptif!I"&amp;H$13)=Recap_equipements!$B24,INDIRECT("Descriptif!I"&amp;H$13)=Recap_equipements!$C24),INDIRECT("Descriptif!M"&amp;H$13)=$D28),INDIRECT("Descriptif!F"&amp;H$13),"")</f>
        <v/>
      </c>
      <c r="J28" s="164" t="str">
        <f ca="1">IF(AND(OR(INDIRECT("Descriptif!I"&amp;I$13)=Recap_equipements!$B24,INDIRECT("Descriptif!I"&amp;I$13)=Recap_equipements!$C24),INDIRECT("Descriptif!M"&amp;I$13)=$D28),INDIRECT("Descriptif!F"&amp;I$13),"")</f>
        <v/>
      </c>
      <c r="K28" s="164" t="str">
        <f ca="1">IF(AND(OR(INDIRECT("Descriptif!I"&amp;J$13)=Recap_equipements!$B24,INDIRECT("Descriptif!I"&amp;J$13)=Recap_equipements!$C24),INDIRECT("Descriptif!M"&amp;J$13)=$D28),INDIRECT("Descriptif!F"&amp;J$13),"")</f>
        <v/>
      </c>
      <c r="L28" s="164" t="str">
        <f ca="1">IF(AND(OR(INDIRECT("Descriptif!I"&amp;K$13)=Recap_equipements!$B24,INDIRECT("Descriptif!I"&amp;K$13)=Recap_equipements!$C24),INDIRECT("Descriptif!M"&amp;K$13)=$D28),INDIRECT("Descriptif!F"&amp;K$13),"")</f>
        <v/>
      </c>
      <c r="M28" s="164" t="str">
        <f ca="1">IF(AND(OR(INDIRECT("Descriptif!I"&amp;L$13)=Recap_equipements!$B24,INDIRECT("Descriptif!I"&amp;L$13)=Recap_equipements!$C24),INDIRECT("Descriptif!M"&amp;L$13)=$D28),INDIRECT("Descriptif!F"&amp;L$13),"")</f>
        <v/>
      </c>
      <c r="N28" s="164" t="str">
        <f ca="1">IF(AND(OR(INDIRECT("Descriptif!I"&amp;M$13)=Recap_equipements!$B24,INDIRECT("Descriptif!I"&amp;M$13)=Recap_equipements!$C24),INDIRECT("Descriptif!M"&amp;M$13)=$D28),INDIRECT("Descriptif!F"&amp;M$13),"")</f>
        <v/>
      </c>
      <c r="O28" s="164" t="str">
        <f ca="1">IF(AND(OR(INDIRECT("Descriptif!I"&amp;N$13)=Recap_equipements!$B24,INDIRECT("Descriptif!I"&amp;N$13)=Recap_equipements!$C24),INDIRECT("Descriptif!M"&amp;N$13)=$D28),INDIRECT("Descriptif!F"&amp;N$13),"")</f>
        <v/>
      </c>
      <c r="P28" s="164" t="str">
        <f ca="1">IF(AND(OR(INDIRECT("Descriptif!I"&amp;O$13)=Recap_equipements!$B24,INDIRECT("Descriptif!I"&amp;O$13)=Recap_equipements!$C24),INDIRECT("Descriptif!M"&amp;O$13)=$D28),INDIRECT("Descriptif!F"&amp;O$13),"")</f>
        <v/>
      </c>
      <c r="Q28" s="164" t="str">
        <f ca="1">IF(AND(OR(INDIRECT("Descriptif!I"&amp;P$13)=Recap_equipements!$B24,INDIRECT("Descriptif!I"&amp;P$13)=Recap_equipements!$C24),INDIRECT("Descriptif!M"&amp;P$13)=$D28),INDIRECT("Descriptif!F"&amp;P$13),"")</f>
        <v/>
      </c>
      <c r="R28" s="164" t="str">
        <f ca="1">IF(AND(OR(INDIRECT("Descriptif!I"&amp;Q$13)=Recap_equipements!$B24,INDIRECT("Descriptif!I"&amp;Q$13)=Recap_equipements!$C24),INDIRECT("Descriptif!M"&amp;Q$13)=$D28),INDIRECT("Descriptif!F"&amp;Q$13),"")</f>
        <v/>
      </c>
      <c r="S28" s="164" t="str">
        <f ca="1">IF(AND(OR(INDIRECT("Descriptif!I"&amp;R$13)=Recap_equipements!$B24,INDIRECT("Descriptif!I"&amp;R$13)=Recap_equipements!$C24),INDIRECT("Descriptif!M"&amp;R$13)=$D28),INDIRECT("Descriptif!F"&amp;R$13),"")</f>
        <v/>
      </c>
      <c r="T28" s="165" t="str">
        <f ca="1">IF(AND(OR(INDIRECT("Descriptif!I"&amp;S$13)=Recap_equipements!$B24,INDIRECT("Descriptif!I"&amp;S$13)=Recap_equipements!$C24),INDIRECT("Descriptif!M"&amp;S$13)=$D28),INDIRECT("Descriptif!F"&amp;S$13),"")</f>
        <v/>
      </c>
    </row>
    <row r="29" spans="2:20" x14ac:dyDescent="0.4">
      <c r="B29" s="1019" t="s">
        <v>101</v>
      </c>
      <c r="C29" s="1022" t="s">
        <v>115</v>
      </c>
      <c r="D29" s="159" t="str">
        <f>$D$7</f>
        <v>Débitmètre en charge</v>
      </c>
      <c r="E29" s="159"/>
      <c r="F29" s="160" t="str">
        <f ca="1">IF(AND(OR(INDIRECT("Descriptif!I"&amp;E$13)=Recap_equipements!$B29,INDIRECT("Descriptif!I"&amp;E$13)=Recap_equipements!$C29),INDIRECT("Descriptif!M"&amp;E$13)=$D29),INDIRECT("Descriptif!F"&amp;E$13),"")</f>
        <v/>
      </c>
      <c r="G29" s="160" t="str">
        <f ca="1">IF(AND(OR(INDIRECT("Descriptif!I"&amp;F$13)=Recap_equipements!$B29,INDIRECT("Descriptif!I"&amp;F$13)=Recap_equipements!$C29),INDIRECT("Descriptif!M"&amp;F$13)=$D29),INDIRECT("Descriptif!F"&amp;F$13),"")</f>
        <v/>
      </c>
      <c r="H29" s="160" t="str">
        <f ca="1">IF(AND(OR(INDIRECT("Descriptif!I"&amp;G$13)=Recap_equipements!$B29,INDIRECT("Descriptif!I"&amp;G$13)=Recap_equipements!$C29),INDIRECT("Descriptif!M"&amp;G$13)=$D29),INDIRECT("Descriptif!F"&amp;G$13),"")</f>
        <v/>
      </c>
      <c r="I29" s="160" t="str">
        <f ca="1">IF(AND(OR(INDIRECT("Descriptif!I"&amp;H$13)=Recap_equipements!$B29,INDIRECT("Descriptif!I"&amp;H$13)=Recap_equipements!$C29),INDIRECT("Descriptif!M"&amp;H$13)=$D29),INDIRECT("Descriptif!F"&amp;H$13),"")</f>
        <v/>
      </c>
      <c r="J29" s="160" t="str">
        <f ca="1">IF(AND(OR(INDIRECT("Descriptif!I"&amp;I$13)=Recap_equipements!$B29,INDIRECT("Descriptif!I"&amp;I$13)=Recap_equipements!$C29),INDIRECT("Descriptif!M"&amp;I$13)=$D29),INDIRECT("Descriptif!F"&amp;I$13),"")</f>
        <v/>
      </c>
      <c r="K29" s="160" t="str">
        <f ca="1">IF(AND(OR(INDIRECT("Descriptif!I"&amp;J$13)=Recap_equipements!$B29,INDIRECT("Descriptif!I"&amp;J$13)=Recap_equipements!$C29),INDIRECT("Descriptif!M"&amp;J$13)=$D29),INDIRECT("Descriptif!F"&amp;J$13),"")</f>
        <v/>
      </c>
      <c r="L29" s="160" t="str">
        <f ca="1">IF(AND(OR(INDIRECT("Descriptif!I"&amp;K$13)=Recap_equipements!$B29,INDIRECT("Descriptif!I"&amp;K$13)=Recap_equipements!$C29),INDIRECT("Descriptif!M"&amp;K$13)=$D29),INDIRECT("Descriptif!F"&amp;K$13),"")</f>
        <v/>
      </c>
      <c r="M29" s="160" t="str">
        <f ca="1">IF(AND(OR(INDIRECT("Descriptif!I"&amp;L$13)=Recap_equipements!$B29,INDIRECT("Descriptif!I"&amp;L$13)=Recap_equipements!$C29),INDIRECT("Descriptif!M"&amp;L$13)=$D29),INDIRECT("Descriptif!F"&amp;L$13),"")</f>
        <v/>
      </c>
      <c r="N29" s="160" t="str">
        <f ca="1">IF(AND(OR(INDIRECT("Descriptif!I"&amp;M$13)=Recap_equipements!$B29,INDIRECT("Descriptif!I"&amp;M$13)=Recap_equipements!$C29),INDIRECT("Descriptif!M"&amp;M$13)=$D29),INDIRECT("Descriptif!F"&amp;M$13),"")</f>
        <v/>
      </c>
      <c r="O29" s="160" t="str">
        <f ca="1">IF(AND(OR(INDIRECT("Descriptif!I"&amp;N$13)=Recap_equipements!$B29,INDIRECT("Descriptif!I"&amp;N$13)=Recap_equipements!$C29),INDIRECT("Descriptif!M"&amp;N$13)=$D29),INDIRECT("Descriptif!F"&amp;N$13),"")</f>
        <v/>
      </c>
      <c r="P29" s="160" t="str">
        <f ca="1">IF(AND(OR(INDIRECT("Descriptif!I"&amp;O$13)=Recap_equipements!$B29,INDIRECT("Descriptif!I"&amp;O$13)=Recap_equipements!$C29),INDIRECT("Descriptif!M"&amp;O$13)=$D29),INDIRECT("Descriptif!F"&amp;O$13),"")</f>
        <v/>
      </c>
      <c r="Q29" s="160" t="str">
        <f ca="1">IF(AND(OR(INDIRECT("Descriptif!I"&amp;P$13)=Recap_equipements!$B29,INDIRECT("Descriptif!I"&amp;P$13)=Recap_equipements!$C29),INDIRECT("Descriptif!M"&amp;P$13)=$D29),INDIRECT("Descriptif!F"&amp;P$13),"")</f>
        <v/>
      </c>
      <c r="R29" s="160" t="str">
        <f ca="1">IF(AND(OR(INDIRECT("Descriptif!I"&amp;Q$13)=Recap_equipements!$B29,INDIRECT("Descriptif!I"&amp;Q$13)=Recap_equipements!$C29),INDIRECT("Descriptif!M"&amp;Q$13)=$D29),INDIRECT("Descriptif!F"&amp;Q$13),"")</f>
        <v/>
      </c>
      <c r="S29" s="160" t="str">
        <f ca="1">IF(AND(OR(INDIRECT("Descriptif!I"&amp;R$13)=Recap_equipements!$B29,INDIRECT("Descriptif!I"&amp;R$13)=Recap_equipements!$C29),INDIRECT("Descriptif!M"&amp;R$13)=$D29),INDIRECT("Descriptif!F"&amp;R$13),"")</f>
        <v/>
      </c>
      <c r="T29" s="161" t="str">
        <f ca="1">IF(AND(OR(INDIRECT("Descriptif!I"&amp;S$13)=Recap_equipements!$B29,INDIRECT("Descriptif!I"&amp;S$13)=Recap_equipements!$C29),INDIRECT("Descriptif!M"&amp;S$13)=$D29),INDIRECT("Descriptif!F"&amp;S$13),"")</f>
        <v/>
      </c>
    </row>
    <row r="30" spans="2:20" x14ac:dyDescent="0.4">
      <c r="B30" s="1020"/>
      <c r="C30" s="1023"/>
      <c r="D30" s="158" t="str">
        <f>$D$8</f>
        <v>Débitmètre gravitaire</v>
      </c>
      <c r="E30" s="158"/>
      <c r="F30" s="13" t="str">
        <f ca="1">IF(AND(OR(INDIRECT("Descriptif!I"&amp;E$13)=Recap_equipements!$B29,INDIRECT("Descriptif!I"&amp;E$13)=Recap_equipements!$C29),INDIRECT("Descriptif!M"&amp;E$13)=$D30),INDIRECT("Descriptif!F"&amp;E$13),"")</f>
        <v/>
      </c>
      <c r="G30" s="13" t="str">
        <f ca="1">IF(AND(OR(INDIRECT("Descriptif!I"&amp;F$13)=Recap_equipements!$B29,INDIRECT("Descriptif!I"&amp;F$13)=Recap_equipements!$C29),INDIRECT("Descriptif!M"&amp;F$13)=$D30),INDIRECT("Descriptif!F"&amp;F$13),"")</f>
        <v/>
      </c>
      <c r="H30" s="13" t="str">
        <f ca="1">IF(AND(OR(INDIRECT("Descriptif!I"&amp;G$13)=Recap_equipements!$B29,INDIRECT("Descriptif!I"&amp;G$13)=Recap_equipements!$C29),INDIRECT("Descriptif!M"&amp;G$13)=$D30),INDIRECT("Descriptif!F"&amp;G$13),"")</f>
        <v/>
      </c>
      <c r="I30" s="13" t="str">
        <f ca="1">IF(AND(OR(INDIRECT("Descriptif!I"&amp;H$13)=Recap_equipements!$B29,INDIRECT("Descriptif!I"&amp;H$13)=Recap_equipements!$C29),INDIRECT("Descriptif!M"&amp;H$13)=$D30),INDIRECT("Descriptif!F"&amp;H$13),"")</f>
        <v/>
      </c>
      <c r="J30" s="13" t="str">
        <f ca="1">IF(AND(OR(INDIRECT("Descriptif!I"&amp;I$13)=Recap_equipements!$B29,INDIRECT("Descriptif!I"&amp;I$13)=Recap_equipements!$C29),INDIRECT("Descriptif!M"&amp;I$13)=$D30),INDIRECT("Descriptif!F"&amp;I$13),"")</f>
        <v/>
      </c>
      <c r="K30" s="13" t="str">
        <f ca="1">IF(AND(OR(INDIRECT("Descriptif!I"&amp;J$13)=Recap_equipements!$B29,INDIRECT("Descriptif!I"&amp;J$13)=Recap_equipements!$C29),INDIRECT("Descriptif!M"&amp;J$13)=$D30),INDIRECT("Descriptif!F"&amp;J$13),"")</f>
        <v/>
      </c>
      <c r="L30" s="13" t="str">
        <f ca="1">IF(AND(OR(INDIRECT("Descriptif!I"&amp;K$13)=Recap_equipements!$B29,INDIRECT("Descriptif!I"&amp;K$13)=Recap_equipements!$C29),INDIRECT("Descriptif!M"&amp;K$13)=$D30),INDIRECT("Descriptif!F"&amp;K$13),"")</f>
        <v/>
      </c>
      <c r="M30" s="13" t="str">
        <f ca="1">IF(AND(OR(INDIRECT("Descriptif!I"&amp;L$13)=Recap_equipements!$B29,INDIRECT("Descriptif!I"&amp;L$13)=Recap_equipements!$C29),INDIRECT("Descriptif!M"&amp;L$13)=$D30),INDIRECT("Descriptif!F"&amp;L$13),"")</f>
        <v/>
      </c>
      <c r="N30" s="13" t="str">
        <f ca="1">IF(AND(OR(INDIRECT("Descriptif!I"&amp;M$13)=Recap_equipements!$B29,INDIRECT("Descriptif!I"&amp;M$13)=Recap_equipements!$C29),INDIRECT("Descriptif!M"&amp;M$13)=$D30),INDIRECT("Descriptif!F"&amp;M$13),"")</f>
        <v/>
      </c>
      <c r="O30" s="13" t="str">
        <f ca="1">IF(AND(OR(INDIRECT("Descriptif!I"&amp;N$13)=Recap_equipements!$B29,INDIRECT("Descriptif!I"&amp;N$13)=Recap_equipements!$C29),INDIRECT("Descriptif!M"&amp;N$13)=$D30),INDIRECT("Descriptif!F"&amp;N$13),"")</f>
        <v/>
      </c>
      <c r="P30" s="13" t="str">
        <f ca="1">IF(AND(OR(INDIRECT("Descriptif!I"&amp;O$13)=Recap_equipements!$B29,INDIRECT("Descriptif!I"&amp;O$13)=Recap_equipements!$C29),INDIRECT("Descriptif!M"&amp;O$13)=$D30),INDIRECT("Descriptif!F"&amp;O$13),"")</f>
        <v/>
      </c>
      <c r="Q30" s="13" t="str">
        <f ca="1">IF(AND(OR(INDIRECT("Descriptif!I"&amp;P$13)=Recap_equipements!$B29,INDIRECT("Descriptif!I"&amp;P$13)=Recap_equipements!$C29),INDIRECT("Descriptif!M"&amp;P$13)=$D30),INDIRECT("Descriptif!F"&amp;P$13),"")</f>
        <v/>
      </c>
      <c r="R30" s="13" t="str">
        <f ca="1">IF(AND(OR(INDIRECT("Descriptif!I"&amp;Q$13)=Recap_equipements!$B29,INDIRECT("Descriptif!I"&amp;Q$13)=Recap_equipements!$C29),INDIRECT("Descriptif!M"&amp;Q$13)=$D30),INDIRECT("Descriptif!F"&amp;Q$13),"")</f>
        <v/>
      </c>
      <c r="S30" s="13" t="str">
        <f ca="1">IF(AND(OR(INDIRECT("Descriptif!I"&amp;R$13)=Recap_equipements!$B29,INDIRECT("Descriptif!I"&amp;R$13)=Recap_equipements!$C29),INDIRECT("Descriptif!M"&amp;R$13)=$D30),INDIRECT("Descriptif!F"&amp;R$13),"")</f>
        <v/>
      </c>
      <c r="T30" s="162" t="str">
        <f ca="1">IF(AND(OR(INDIRECT("Descriptif!I"&amp;S$13)=Recap_equipements!$B29,INDIRECT("Descriptif!I"&amp;S$13)=Recap_equipements!$C29),INDIRECT("Descriptif!M"&amp;S$13)=$D30),INDIRECT("Descriptif!F"&amp;S$13),"")</f>
        <v/>
      </c>
    </row>
    <row r="31" spans="2:20" x14ac:dyDescent="0.4">
      <c r="B31" s="1020"/>
      <c r="C31" s="1023"/>
      <c r="D31" s="158" t="str">
        <f>$D$9</f>
        <v>Préleveur</v>
      </c>
      <c r="E31" s="158"/>
      <c r="F31" s="13" t="str">
        <f ca="1">IF(AND(OR(INDIRECT("Descriptif!I"&amp;E$13)=Recap_equipements!$B29,INDIRECT("Descriptif!I"&amp;E$13)=Recap_equipements!$C29),INDIRECT("Descriptif!M"&amp;E$13)=$D31),INDIRECT("Descriptif!F"&amp;E$13),"")</f>
        <v/>
      </c>
      <c r="G31" s="13" t="str">
        <f ca="1">IF(AND(OR(INDIRECT("Descriptif!I"&amp;F$13)=Recap_equipements!$B29,INDIRECT("Descriptif!I"&amp;F$13)=Recap_equipements!$C29),INDIRECT("Descriptif!M"&amp;F$13)=$D31),INDIRECT("Descriptif!F"&amp;F$13),"")</f>
        <v/>
      </c>
      <c r="H31" s="13" t="str">
        <f ca="1">IF(AND(OR(INDIRECT("Descriptif!I"&amp;G$13)=Recap_equipements!$B29,INDIRECT("Descriptif!I"&amp;G$13)=Recap_equipements!$C29),INDIRECT("Descriptif!M"&amp;G$13)=$D31),INDIRECT("Descriptif!F"&amp;G$13),"")</f>
        <v/>
      </c>
      <c r="I31" s="13" t="str">
        <f ca="1">IF(AND(OR(INDIRECT("Descriptif!I"&amp;H$13)=Recap_equipements!$B29,INDIRECT("Descriptif!I"&amp;H$13)=Recap_equipements!$C29),INDIRECT("Descriptif!M"&amp;H$13)=$D31),INDIRECT("Descriptif!F"&amp;H$13),"")</f>
        <v/>
      </c>
      <c r="J31" s="13" t="str">
        <f ca="1">IF(AND(OR(INDIRECT("Descriptif!I"&amp;I$13)=Recap_equipements!$B29,INDIRECT("Descriptif!I"&amp;I$13)=Recap_equipements!$C29),INDIRECT("Descriptif!M"&amp;I$13)=$D31),INDIRECT("Descriptif!F"&amp;I$13),"")</f>
        <v/>
      </c>
      <c r="K31" s="13" t="str">
        <f ca="1">IF(AND(OR(INDIRECT("Descriptif!I"&amp;J$13)=Recap_equipements!$B29,INDIRECT("Descriptif!I"&amp;J$13)=Recap_equipements!$C29),INDIRECT("Descriptif!M"&amp;J$13)=$D31),INDIRECT("Descriptif!F"&amp;J$13),"")</f>
        <v/>
      </c>
      <c r="L31" s="13" t="str">
        <f ca="1">IF(AND(OR(INDIRECT("Descriptif!I"&amp;K$13)=Recap_equipements!$B29,INDIRECT("Descriptif!I"&amp;K$13)=Recap_equipements!$C29),INDIRECT("Descriptif!M"&amp;K$13)=$D31),INDIRECT("Descriptif!F"&amp;K$13),"")</f>
        <v/>
      </c>
      <c r="M31" s="13" t="str">
        <f ca="1">IF(AND(OR(INDIRECT("Descriptif!I"&amp;L$13)=Recap_equipements!$B29,INDIRECT("Descriptif!I"&amp;L$13)=Recap_equipements!$C29),INDIRECT("Descriptif!M"&amp;L$13)=$D31),INDIRECT("Descriptif!F"&amp;L$13),"")</f>
        <v/>
      </c>
      <c r="N31" s="13" t="str">
        <f ca="1">IF(AND(OR(INDIRECT("Descriptif!I"&amp;M$13)=Recap_equipements!$B29,INDIRECT("Descriptif!I"&amp;M$13)=Recap_equipements!$C29),INDIRECT("Descriptif!M"&amp;M$13)=$D31),INDIRECT("Descriptif!F"&amp;M$13),"")</f>
        <v/>
      </c>
      <c r="O31" s="13" t="str">
        <f ca="1">IF(AND(OR(INDIRECT("Descriptif!I"&amp;N$13)=Recap_equipements!$B29,INDIRECT("Descriptif!I"&amp;N$13)=Recap_equipements!$C29),INDIRECT("Descriptif!M"&amp;N$13)=$D31),INDIRECT("Descriptif!F"&amp;N$13),"")</f>
        <v/>
      </c>
      <c r="P31" s="13" t="str">
        <f ca="1">IF(AND(OR(INDIRECT("Descriptif!I"&amp;O$13)=Recap_equipements!$B29,INDIRECT("Descriptif!I"&amp;O$13)=Recap_equipements!$C29),INDIRECT("Descriptif!M"&amp;O$13)=$D31),INDIRECT("Descriptif!F"&amp;O$13),"")</f>
        <v/>
      </c>
      <c r="Q31" s="13" t="str">
        <f ca="1">IF(AND(OR(INDIRECT("Descriptif!I"&amp;P$13)=Recap_equipements!$B29,INDIRECT("Descriptif!I"&amp;P$13)=Recap_equipements!$C29),INDIRECT("Descriptif!M"&amp;P$13)=$D31),INDIRECT("Descriptif!F"&amp;P$13),"")</f>
        <v/>
      </c>
      <c r="R31" s="13" t="str">
        <f ca="1">IF(AND(OR(INDIRECT("Descriptif!I"&amp;Q$13)=Recap_equipements!$B29,INDIRECT("Descriptif!I"&amp;Q$13)=Recap_equipements!$C29),INDIRECT("Descriptif!M"&amp;Q$13)=$D31),INDIRECT("Descriptif!F"&amp;Q$13),"")</f>
        <v/>
      </c>
      <c r="S31" s="13" t="str">
        <f ca="1">IF(AND(OR(INDIRECT("Descriptif!I"&amp;R$13)=Recap_equipements!$B29,INDIRECT("Descriptif!I"&amp;R$13)=Recap_equipements!$C29),INDIRECT("Descriptif!M"&amp;R$13)=$D31),INDIRECT("Descriptif!F"&amp;R$13),"")</f>
        <v/>
      </c>
      <c r="T31" s="162" t="str">
        <f ca="1">IF(AND(OR(INDIRECT("Descriptif!I"&amp;S$13)=Recap_equipements!$B29,INDIRECT("Descriptif!I"&amp;S$13)=Recap_equipements!$C29),INDIRECT("Descriptif!M"&amp;S$13)=$D31),INDIRECT("Descriptif!F"&amp;S$13),"")</f>
        <v/>
      </c>
    </row>
    <row r="32" spans="2:20" x14ac:dyDescent="0.4">
      <c r="B32" s="1020"/>
      <c r="C32" s="1023"/>
      <c r="D32" s="369" t="s">
        <v>412</v>
      </c>
      <c r="E32" s="369"/>
      <c r="F32" s="370" t="str">
        <f ca="1">IF(F31&lt;&gt;"",VLOOKUP(F31,Analytique!$X$3:$AE$29,1,FALSE),"")</f>
        <v/>
      </c>
      <c r="G32" s="370" t="str">
        <f ca="1">IF(G31&lt;&gt;"",VLOOKUP(G31,Analytique!$X$3:$AE$29,1,FALSE),"")</f>
        <v/>
      </c>
      <c r="H32" s="370" t="str">
        <f ca="1">IF(H31&lt;&gt;"",VLOOKUP(H31,Analytique!$X$3:$AE$29,1,FALSE),"")</f>
        <v/>
      </c>
      <c r="I32" s="370" t="str">
        <f ca="1">IF(I31&lt;&gt;"",VLOOKUP(I31,Analytique!$X$3:$AE$29,1,FALSE),"")</f>
        <v/>
      </c>
      <c r="J32" s="370" t="str">
        <f ca="1">IF(J31&lt;&gt;"",VLOOKUP(J31,Analytique!$X$3:$AE$29,1,FALSE),"")</f>
        <v/>
      </c>
      <c r="K32" s="370" t="str">
        <f ca="1">IF(K31&lt;&gt;"",VLOOKUP(K31,Analytique!$X$3:$AE$29,1,FALSE),"")</f>
        <v/>
      </c>
      <c r="L32" s="370" t="str">
        <f ca="1">IF(L31&lt;&gt;"",VLOOKUP(L31,Analytique!$X$3:$AE$29,1,FALSE),"")</f>
        <v/>
      </c>
      <c r="M32" s="370" t="str">
        <f ca="1">IF(M31&lt;&gt;"",VLOOKUP(M31,Analytique!$X$3:$AE$29,1,FALSE),"")</f>
        <v/>
      </c>
      <c r="N32" s="370" t="str">
        <f ca="1">IF(N31&lt;&gt;"",VLOOKUP(N31,Analytique!$X$3:$AE$29,1,FALSE),"")</f>
        <v/>
      </c>
      <c r="O32" s="370" t="str">
        <f ca="1">IF(O31&lt;&gt;"",VLOOKUP(O31,Analytique!$X$3:$AE$29,1,FALSE),"")</f>
        <v/>
      </c>
      <c r="P32" s="370" t="str">
        <f ca="1">IF(P31&lt;&gt;"",VLOOKUP(P31,Analytique!$X$3:$AE$29,1,FALSE),"")</f>
        <v/>
      </c>
      <c r="Q32" s="370" t="str">
        <f ca="1">IF(Q31&lt;&gt;"",VLOOKUP(Q31,Analytique!$X$3:$AE$29,1,FALSE),"")</f>
        <v/>
      </c>
      <c r="R32" s="370" t="str">
        <f ca="1">IF(R31&lt;&gt;"",VLOOKUP(R31,Analytique!$X$3:$AE$29,1,FALSE),"")</f>
        <v/>
      </c>
      <c r="S32" s="370" t="str">
        <f ca="1">IF(S31&lt;&gt;"",VLOOKUP(S31,Analytique!$X$3:$AE$29,1,FALSE),"")</f>
        <v/>
      </c>
      <c r="T32" s="371" t="str">
        <f ca="1">IF(T31&lt;&gt;"",VLOOKUP(T31,Analytique!$X$3:$AE$29,1,FALSE),"")</f>
        <v/>
      </c>
    </row>
    <row r="33" spans="2:20" ht="13" thickBot="1" x14ac:dyDescent="0.45">
      <c r="B33" s="1021"/>
      <c r="C33" s="1024"/>
      <c r="D33" s="163" t="str">
        <f>$D$10</f>
        <v>Sonde de température</v>
      </c>
      <c r="E33" s="163"/>
      <c r="F33" s="164" t="str">
        <f ca="1">IF(AND(OR(INDIRECT("Descriptif!I"&amp;E$13)=Recap_equipements!$B29,INDIRECT("Descriptif!I"&amp;E$13)=Recap_equipements!$C29),INDIRECT("Descriptif!M"&amp;E$13)=$D33),INDIRECT("Descriptif!F"&amp;E$13),"")</f>
        <v/>
      </c>
      <c r="G33" s="164" t="str">
        <f ca="1">IF(AND(OR(INDIRECT("Descriptif!I"&amp;F$13)=Recap_equipements!$B29,INDIRECT("Descriptif!I"&amp;F$13)=Recap_equipements!$C29),INDIRECT("Descriptif!M"&amp;F$13)=$D33),INDIRECT("Descriptif!F"&amp;F$13),"")</f>
        <v/>
      </c>
      <c r="H33" s="164" t="str">
        <f ca="1">IF(AND(OR(INDIRECT("Descriptif!I"&amp;G$13)=Recap_equipements!$B29,INDIRECT("Descriptif!I"&amp;G$13)=Recap_equipements!$C29),INDIRECT("Descriptif!M"&amp;G$13)=$D33),INDIRECT("Descriptif!F"&amp;G$13),"")</f>
        <v/>
      </c>
      <c r="I33" s="164" t="str">
        <f ca="1">IF(AND(OR(INDIRECT("Descriptif!I"&amp;H$13)=Recap_equipements!$B29,INDIRECT("Descriptif!I"&amp;H$13)=Recap_equipements!$C29),INDIRECT("Descriptif!M"&amp;H$13)=$D33),INDIRECT("Descriptif!F"&amp;H$13),"")</f>
        <v/>
      </c>
      <c r="J33" s="164" t="str">
        <f ca="1">IF(AND(OR(INDIRECT("Descriptif!I"&amp;I$13)=Recap_equipements!$B29,INDIRECT("Descriptif!I"&amp;I$13)=Recap_equipements!$C29),INDIRECT("Descriptif!M"&amp;I$13)=$D33),INDIRECT("Descriptif!F"&amp;I$13),"")</f>
        <v/>
      </c>
      <c r="K33" s="164" t="str">
        <f ca="1">IF(AND(OR(INDIRECT("Descriptif!I"&amp;J$13)=Recap_equipements!$B29,INDIRECT("Descriptif!I"&amp;J$13)=Recap_equipements!$C29),INDIRECT("Descriptif!M"&amp;J$13)=$D33),INDIRECT("Descriptif!F"&amp;J$13),"")</f>
        <v/>
      </c>
      <c r="L33" s="164" t="str">
        <f ca="1">IF(AND(OR(INDIRECT("Descriptif!I"&amp;K$13)=Recap_equipements!$B29,INDIRECT("Descriptif!I"&amp;K$13)=Recap_equipements!$C29),INDIRECT("Descriptif!M"&amp;K$13)=$D33),INDIRECT("Descriptif!F"&amp;K$13),"")</f>
        <v/>
      </c>
      <c r="M33" s="164" t="str">
        <f ca="1">IF(AND(OR(INDIRECT("Descriptif!I"&amp;L$13)=Recap_equipements!$B29,INDIRECT("Descriptif!I"&amp;L$13)=Recap_equipements!$C29),INDIRECT("Descriptif!M"&amp;L$13)=$D33),INDIRECT("Descriptif!F"&amp;L$13),"")</f>
        <v/>
      </c>
      <c r="N33" s="164" t="str">
        <f ca="1">IF(AND(OR(INDIRECT("Descriptif!I"&amp;M$13)=Recap_equipements!$B29,INDIRECT("Descriptif!I"&amp;M$13)=Recap_equipements!$C29),INDIRECT("Descriptif!M"&amp;M$13)=$D33),INDIRECT("Descriptif!F"&amp;M$13),"")</f>
        <v/>
      </c>
      <c r="O33" s="164" t="str">
        <f ca="1">IF(AND(OR(INDIRECT("Descriptif!I"&amp;N$13)=Recap_equipements!$B29,INDIRECT("Descriptif!I"&amp;N$13)=Recap_equipements!$C29),INDIRECT("Descriptif!M"&amp;N$13)=$D33),INDIRECT("Descriptif!F"&amp;N$13),"")</f>
        <v/>
      </c>
      <c r="P33" s="164" t="str">
        <f ca="1">IF(AND(OR(INDIRECT("Descriptif!I"&amp;O$13)=Recap_equipements!$B29,INDIRECT("Descriptif!I"&amp;O$13)=Recap_equipements!$C29),INDIRECT("Descriptif!M"&amp;O$13)=$D33),INDIRECT("Descriptif!F"&amp;O$13),"")</f>
        <v/>
      </c>
      <c r="Q33" s="164" t="str">
        <f ca="1">IF(AND(OR(INDIRECT("Descriptif!I"&amp;P$13)=Recap_equipements!$B29,INDIRECT("Descriptif!I"&amp;P$13)=Recap_equipements!$C29),INDIRECT("Descriptif!M"&amp;P$13)=$D33),INDIRECT("Descriptif!F"&amp;P$13),"")</f>
        <v/>
      </c>
      <c r="R33" s="164" t="str">
        <f ca="1">IF(AND(OR(INDIRECT("Descriptif!I"&amp;Q$13)=Recap_equipements!$B29,INDIRECT("Descriptif!I"&amp;Q$13)=Recap_equipements!$C29),INDIRECT("Descriptif!M"&amp;Q$13)=$D33),INDIRECT("Descriptif!F"&amp;Q$13),"")</f>
        <v/>
      </c>
      <c r="S33" s="164" t="str">
        <f ca="1">IF(AND(OR(INDIRECT("Descriptif!I"&amp;R$13)=Recap_equipements!$B29,INDIRECT("Descriptif!I"&amp;R$13)=Recap_equipements!$C29),INDIRECT("Descriptif!M"&amp;R$13)=$D33),INDIRECT("Descriptif!F"&amp;R$13),"")</f>
        <v/>
      </c>
      <c r="T33" s="165" t="str">
        <f ca="1">IF(AND(OR(INDIRECT("Descriptif!I"&amp;S$13)=Recap_equipements!$B29,INDIRECT("Descriptif!I"&amp;S$13)=Recap_equipements!$C29),INDIRECT("Descriptif!M"&amp;S$13)=$D33),INDIRECT("Descriptif!F"&amp;S$13),"")</f>
        <v/>
      </c>
    </row>
    <row r="34" spans="2:20" x14ac:dyDescent="0.4">
      <c r="B34" s="1019" t="s">
        <v>109</v>
      </c>
      <c r="C34" s="1022" t="s">
        <v>117</v>
      </c>
      <c r="D34" s="159" t="str">
        <f>$D$7</f>
        <v>Débitmètre en charge</v>
      </c>
      <c r="E34" s="159"/>
      <c r="F34" s="160" t="str">
        <f ca="1">IF(AND(OR(INDIRECT("Descriptif!I"&amp;E$13)=Recap_equipements!$B34,INDIRECT("Descriptif!I"&amp;E$13)=Recap_equipements!$C34),INDIRECT("Descriptif!M"&amp;E$13)=$D34),INDIRECT("Descriptif!F"&amp;E$13),"")</f>
        <v/>
      </c>
      <c r="G34" s="160" t="str">
        <f ca="1">IF(AND(OR(INDIRECT("Descriptif!I"&amp;F$13)=Recap_equipements!$B34,INDIRECT("Descriptif!I"&amp;F$13)=Recap_equipements!$C34),INDIRECT("Descriptif!M"&amp;F$13)=$D34),INDIRECT("Descriptif!F"&amp;F$13),"")</f>
        <v/>
      </c>
      <c r="H34" s="160" t="str">
        <f ca="1">IF(AND(OR(INDIRECT("Descriptif!I"&amp;G$13)=Recap_equipements!$B34,INDIRECT("Descriptif!I"&amp;G$13)=Recap_equipements!$C34),INDIRECT("Descriptif!M"&amp;G$13)=$D34),INDIRECT("Descriptif!F"&amp;G$13),"")</f>
        <v/>
      </c>
      <c r="I34" s="160" t="str">
        <f ca="1">IF(AND(OR(INDIRECT("Descriptif!I"&amp;H$13)=Recap_equipements!$B34,INDIRECT("Descriptif!I"&amp;H$13)=Recap_equipements!$C34),INDIRECT("Descriptif!M"&amp;H$13)=$D34),INDIRECT("Descriptif!F"&amp;H$13),"")</f>
        <v/>
      </c>
      <c r="J34" s="160" t="str">
        <f ca="1">IF(AND(OR(INDIRECT("Descriptif!I"&amp;I$13)=Recap_equipements!$B34,INDIRECT("Descriptif!I"&amp;I$13)=Recap_equipements!$C34),INDIRECT("Descriptif!M"&amp;I$13)=$D34),INDIRECT("Descriptif!F"&amp;I$13),"")</f>
        <v/>
      </c>
      <c r="K34" s="160" t="str">
        <f ca="1">IF(AND(OR(INDIRECT("Descriptif!I"&amp;J$13)=Recap_equipements!$B34,INDIRECT("Descriptif!I"&amp;J$13)=Recap_equipements!$C34),INDIRECT("Descriptif!M"&amp;J$13)=$D34),INDIRECT("Descriptif!F"&amp;J$13),"")</f>
        <v/>
      </c>
      <c r="L34" s="160" t="str">
        <f ca="1">IF(AND(OR(INDIRECT("Descriptif!I"&amp;K$13)=Recap_equipements!$B34,INDIRECT("Descriptif!I"&amp;K$13)=Recap_equipements!$C34),INDIRECT("Descriptif!M"&amp;K$13)=$D34),INDIRECT("Descriptif!F"&amp;K$13),"")</f>
        <v/>
      </c>
      <c r="M34" s="160" t="str">
        <f ca="1">IF(AND(OR(INDIRECT("Descriptif!I"&amp;L$13)=Recap_equipements!$B34,INDIRECT("Descriptif!I"&amp;L$13)=Recap_equipements!$C34),INDIRECT("Descriptif!M"&amp;L$13)=$D34),INDIRECT("Descriptif!F"&amp;L$13),"")</f>
        <v/>
      </c>
      <c r="N34" s="160" t="str">
        <f ca="1">IF(AND(OR(INDIRECT("Descriptif!I"&amp;M$13)=Recap_equipements!$B34,INDIRECT("Descriptif!I"&amp;M$13)=Recap_equipements!$C34),INDIRECT("Descriptif!M"&amp;M$13)=$D34),INDIRECT("Descriptif!F"&amp;M$13),"")</f>
        <v/>
      </c>
      <c r="O34" s="160" t="str">
        <f ca="1">IF(AND(OR(INDIRECT("Descriptif!I"&amp;N$13)=Recap_equipements!$B34,INDIRECT("Descriptif!I"&amp;N$13)=Recap_equipements!$C34),INDIRECT("Descriptif!M"&amp;N$13)=$D34),INDIRECT("Descriptif!F"&amp;N$13),"")</f>
        <v/>
      </c>
      <c r="P34" s="160" t="str">
        <f ca="1">IF(AND(OR(INDIRECT("Descriptif!I"&amp;O$13)=Recap_equipements!$B34,INDIRECT("Descriptif!I"&amp;O$13)=Recap_equipements!$C34),INDIRECT("Descriptif!M"&amp;O$13)=$D34),INDIRECT("Descriptif!F"&amp;O$13),"")</f>
        <v/>
      </c>
      <c r="Q34" s="160" t="str">
        <f ca="1">IF(AND(OR(INDIRECT("Descriptif!I"&amp;P$13)=Recap_equipements!$B34,INDIRECT("Descriptif!I"&amp;P$13)=Recap_equipements!$C34),INDIRECT("Descriptif!M"&amp;P$13)=$D34),INDIRECT("Descriptif!F"&amp;P$13),"")</f>
        <v/>
      </c>
      <c r="R34" s="160" t="str">
        <f ca="1">IF(AND(OR(INDIRECT("Descriptif!I"&amp;Q$13)=Recap_equipements!$B34,INDIRECT("Descriptif!I"&amp;Q$13)=Recap_equipements!$C34),INDIRECT("Descriptif!M"&amp;Q$13)=$D34),INDIRECT("Descriptif!F"&amp;Q$13),"")</f>
        <v/>
      </c>
      <c r="S34" s="160" t="str">
        <f ca="1">IF(AND(OR(INDIRECT("Descriptif!I"&amp;R$13)=Recap_equipements!$B34,INDIRECT("Descriptif!I"&amp;R$13)=Recap_equipements!$C34),INDIRECT("Descriptif!M"&amp;R$13)=$D34),INDIRECT("Descriptif!F"&amp;R$13),"")</f>
        <v/>
      </c>
      <c r="T34" s="161" t="str">
        <f ca="1">IF(AND(OR(INDIRECT("Descriptif!I"&amp;S$13)=Recap_equipements!$B34,INDIRECT("Descriptif!I"&amp;S$13)=Recap_equipements!$C34),INDIRECT("Descriptif!M"&amp;S$13)=$D34),INDIRECT("Descriptif!F"&amp;S$13),"")</f>
        <v/>
      </c>
    </row>
    <row r="35" spans="2:20" x14ac:dyDescent="0.4">
      <c r="B35" s="1020"/>
      <c r="C35" s="1023"/>
      <c r="D35" s="158" t="str">
        <f>$D$8</f>
        <v>Débitmètre gravitaire</v>
      </c>
      <c r="E35" s="158"/>
      <c r="F35" s="13" t="str">
        <f ca="1">IF(AND(OR(INDIRECT("Descriptif!I"&amp;E$13)=Recap_equipements!$B34,INDIRECT("Descriptif!I"&amp;E$13)=Recap_equipements!$C34),INDIRECT("Descriptif!M"&amp;E$13)=$D35),INDIRECT("Descriptif!F"&amp;E$13),"")</f>
        <v/>
      </c>
      <c r="G35" s="13" t="str">
        <f ca="1">IF(AND(OR(INDIRECT("Descriptif!I"&amp;F$13)=Recap_equipements!$B34,INDIRECT("Descriptif!I"&amp;F$13)=Recap_equipements!$C34),INDIRECT("Descriptif!M"&amp;F$13)=$D35),INDIRECT("Descriptif!F"&amp;F$13),"")</f>
        <v/>
      </c>
      <c r="H35" s="13" t="str">
        <f ca="1">IF(AND(OR(INDIRECT("Descriptif!I"&amp;G$13)=Recap_equipements!$B34,INDIRECT("Descriptif!I"&amp;G$13)=Recap_equipements!$C34),INDIRECT("Descriptif!M"&amp;G$13)=$D35),INDIRECT("Descriptif!F"&amp;G$13),"")</f>
        <v/>
      </c>
      <c r="I35" s="13" t="str">
        <f ca="1">IF(AND(OR(INDIRECT("Descriptif!I"&amp;H$13)=Recap_equipements!$B34,INDIRECT("Descriptif!I"&amp;H$13)=Recap_equipements!$C34),INDIRECT("Descriptif!M"&amp;H$13)=$D35),INDIRECT("Descriptif!F"&amp;H$13),"")</f>
        <v/>
      </c>
      <c r="J35" s="13" t="str">
        <f ca="1">IF(AND(OR(INDIRECT("Descriptif!I"&amp;I$13)=Recap_equipements!$B34,INDIRECT("Descriptif!I"&amp;I$13)=Recap_equipements!$C34),INDIRECT("Descriptif!M"&amp;I$13)=$D35),INDIRECT("Descriptif!F"&amp;I$13),"")</f>
        <v/>
      </c>
      <c r="K35" s="13" t="str">
        <f ca="1">IF(AND(OR(INDIRECT("Descriptif!I"&amp;J$13)=Recap_equipements!$B34,INDIRECT("Descriptif!I"&amp;J$13)=Recap_equipements!$C34),INDIRECT("Descriptif!M"&amp;J$13)=$D35),INDIRECT("Descriptif!F"&amp;J$13),"")</f>
        <v/>
      </c>
      <c r="L35" s="13" t="str">
        <f ca="1">IF(AND(OR(INDIRECT("Descriptif!I"&amp;K$13)=Recap_equipements!$B34,INDIRECT("Descriptif!I"&amp;K$13)=Recap_equipements!$C34),INDIRECT("Descriptif!M"&amp;K$13)=$D35),INDIRECT("Descriptif!F"&amp;K$13),"")</f>
        <v/>
      </c>
      <c r="M35" s="13" t="str">
        <f ca="1">IF(AND(OR(INDIRECT("Descriptif!I"&amp;L$13)=Recap_equipements!$B34,INDIRECT("Descriptif!I"&amp;L$13)=Recap_equipements!$C34),INDIRECT("Descriptif!M"&amp;L$13)=$D35),INDIRECT("Descriptif!F"&amp;L$13),"")</f>
        <v/>
      </c>
      <c r="N35" s="13" t="str">
        <f ca="1">IF(AND(OR(INDIRECT("Descriptif!I"&amp;M$13)=Recap_equipements!$B34,INDIRECT("Descriptif!I"&amp;M$13)=Recap_equipements!$C34),INDIRECT("Descriptif!M"&amp;M$13)=$D35),INDIRECT("Descriptif!F"&amp;M$13),"")</f>
        <v/>
      </c>
      <c r="O35" s="13" t="str">
        <f ca="1">IF(AND(OR(INDIRECT("Descriptif!I"&amp;N$13)=Recap_equipements!$B34,INDIRECT("Descriptif!I"&amp;N$13)=Recap_equipements!$C34),INDIRECT("Descriptif!M"&amp;N$13)=$D35),INDIRECT("Descriptif!F"&amp;N$13),"")</f>
        <v/>
      </c>
      <c r="P35" s="13" t="str">
        <f ca="1">IF(AND(OR(INDIRECT("Descriptif!I"&amp;O$13)=Recap_equipements!$B34,INDIRECT("Descriptif!I"&amp;O$13)=Recap_equipements!$C34),INDIRECT("Descriptif!M"&amp;O$13)=$D35),INDIRECT("Descriptif!F"&amp;O$13),"")</f>
        <v/>
      </c>
      <c r="Q35" s="13" t="str">
        <f ca="1">IF(AND(OR(INDIRECT("Descriptif!I"&amp;P$13)=Recap_equipements!$B34,INDIRECT("Descriptif!I"&amp;P$13)=Recap_equipements!$C34),INDIRECT("Descriptif!M"&amp;P$13)=$D35),INDIRECT("Descriptif!F"&amp;P$13),"")</f>
        <v/>
      </c>
      <c r="R35" s="13" t="str">
        <f ca="1">IF(AND(OR(INDIRECT("Descriptif!I"&amp;Q$13)=Recap_equipements!$B34,INDIRECT("Descriptif!I"&amp;Q$13)=Recap_equipements!$C34),INDIRECT("Descriptif!M"&amp;Q$13)=$D35),INDIRECT("Descriptif!F"&amp;Q$13),"")</f>
        <v/>
      </c>
      <c r="S35" s="13" t="str">
        <f ca="1">IF(AND(OR(INDIRECT("Descriptif!I"&amp;R$13)=Recap_equipements!$B34,INDIRECT("Descriptif!I"&amp;R$13)=Recap_equipements!$C34),INDIRECT("Descriptif!M"&amp;R$13)=$D35),INDIRECT("Descriptif!F"&amp;R$13),"")</f>
        <v/>
      </c>
      <c r="T35" s="162" t="str">
        <f ca="1">IF(AND(OR(INDIRECT("Descriptif!I"&amp;S$13)=Recap_equipements!$B34,INDIRECT("Descriptif!I"&amp;S$13)=Recap_equipements!$C34),INDIRECT("Descriptif!M"&amp;S$13)=$D35),INDIRECT("Descriptif!F"&amp;S$13),"")</f>
        <v/>
      </c>
    </row>
    <row r="36" spans="2:20" x14ac:dyDescent="0.4">
      <c r="B36" s="1020"/>
      <c r="C36" s="1023"/>
      <c r="D36" s="158" t="str">
        <f>$D$9</f>
        <v>Préleveur</v>
      </c>
      <c r="E36" s="158"/>
      <c r="F36" s="13" t="str">
        <f ca="1">IF(AND(OR(INDIRECT("Descriptif!I"&amp;E$13)=Recap_equipements!$B34,INDIRECT("Descriptif!I"&amp;E$13)=Recap_equipements!$C34),INDIRECT("Descriptif!M"&amp;E$13)=$D36),INDIRECT("Descriptif!F"&amp;E$13),"")</f>
        <v/>
      </c>
      <c r="G36" s="13" t="str">
        <f ca="1">IF(AND(OR(INDIRECT("Descriptif!I"&amp;F$13)=Recap_equipements!$B34,INDIRECT("Descriptif!I"&amp;F$13)=Recap_equipements!$C34),INDIRECT("Descriptif!M"&amp;F$13)=$D36),INDIRECT("Descriptif!F"&amp;F$13),"")</f>
        <v/>
      </c>
      <c r="H36" s="13" t="str">
        <f ca="1">IF(AND(OR(INDIRECT("Descriptif!I"&amp;G$13)=Recap_equipements!$B34,INDIRECT("Descriptif!I"&amp;G$13)=Recap_equipements!$C34),INDIRECT("Descriptif!M"&amp;G$13)=$D36),INDIRECT("Descriptif!F"&amp;G$13),"")</f>
        <v/>
      </c>
      <c r="I36" s="13" t="str">
        <f ca="1">IF(AND(OR(INDIRECT("Descriptif!I"&amp;H$13)=Recap_equipements!$B34,INDIRECT("Descriptif!I"&amp;H$13)=Recap_equipements!$C34),INDIRECT("Descriptif!M"&amp;H$13)=$D36),INDIRECT("Descriptif!F"&amp;H$13),"")</f>
        <v/>
      </c>
      <c r="J36" s="13" t="str">
        <f ca="1">IF(AND(OR(INDIRECT("Descriptif!I"&amp;I$13)=Recap_equipements!$B34,INDIRECT("Descriptif!I"&amp;I$13)=Recap_equipements!$C34),INDIRECT("Descriptif!M"&amp;I$13)=$D36),INDIRECT("Descriptif!F"&amp;I$13),"")</f>
        <v/>
      </c>
      <c r="K36" s="13" t="str">
        <f ca="1">IF(AND(OR(INDIRECT("Descriptif!I"&amp;J$13)=Recap_equipements!$B34,INDIRECT("Descriptif!I"&amp;J$13)=Recap_equipements!$C34),INDIRECT("Descriptif!M"&amp;J$13)=$D36),INDIRECT("Descriptif!F"&amp;J$13),"")</f>
        <v/>
      </c>
      <c r="L36" s="13" t="str">
        <f ca="1">IF(AND(OR(INDIRECT("Descriptif!I"&amp;K$13)=Recap_equipements!$B34,INDIRECT("Descriptif!I"&amp;K$13)=Recap_equipements!$C34),INDIRECT("Descriptif!M"&amp;K$13)=$D36),INDIRECT("Descriptif!F"&amp;K$13),"")</f>
        <v/>
      </c>
      <c r="M36" s="13" t="str">
        <f ca="1">IF(AND(OR(INDIRECT("Descriptif!I"&amp;L$13)=Recap_equipements!$B34,INDIRECT("Descriptif!I"&amp;L$13)=Recap_equipements!$C34),INDIRECT("Descriptif!M"&amp;L$13)=$D36),INDIRECT("Descriptif!F"&amp;L$13),"")</f>
        <v/>
      </c>
      <c r="N36" s="13" t="str">
        <f ca="1">IF(AND(OR(INDIRECT("Descriptif!I"&amp;M$13)=Recap_equipements!$B34,INDIRECT("Descriptif!I"&amp;M$13)=Recap_equipements!$C34),INDIRECT("Descriptif!M"&amp;M$13)=$D36),INDIRECT("Descriptif!F"&amp;M$13),"")</f>
        <v/>
      </c>
      <c r="O36" s="13" t="str">
        <f ca="1">IF(AND(OR(INDIRECT("Descriptif!I"&amp;N$13)=Recap_equipements!$B34,INDIRECT("Descriptif!I"&amp;N$13)=Recap_equipements!$C34),INDIRECT("Descriptif!M"&amp;N$13)=$D36),INDIRECT("Descriptif!F"&amp;N$13),"")</f>
        <v/>
      </c>
      <c r="P36" s="13" t="str">
        <f ca="1">IF(AND(OR(INDIRECT("Descriptif!I"&amp;O$13)=Recap_equipements!$B34,INDIRECT("Descriptif!I"&amp;O$13)=Recap_equipements!$C34),INDIRECT("Descriptif!M"&amp;O$13)=$D36),INDIRECT("Descriptif!F"&amp;O$13),"")</f>
        <v/>
      </c>
      <c r="Q36" s="13" t="str">
        <f ca="1">IF(AND(OR(INDIRECT("Descriptif!I"&amp;P$13)=Recap_equipements!$B34,INDIRECT("Descriptif!I"&amp;P$13)=Recap_equipements!$C34),INDIRECT("Descriptif!M"&amp;P$13)=$D36),INDIRECT("Descriptif!F"&amp;P$13),"")</f>
        <v/>
      </c>
      <c r="R36" s="13" t="str">
        <f ca="1">IF(AND(OR(INDIRECT("Descriptif!I"&amp;Q$13)=Recap_equipements!$B34,INDIRECT("Descriptif!I"&amp;Q$13)=Recap_equipements!$C34),INDIRECT("Descriptif!M"&amp;Q$13)=$D36),INDIRECT("Descriptif!F"&amp;Q$13),"")</f>
        <v/>
      </c>
      <c r="S36" s="13" t="str">
        <f ca="1">IF(AND(OR(INDIRECT("Descriptif!I"&amp;R$13)=Recap_equipements!$B34,INDIRECT("Descriptif!I"&amp;R$13)=Recap_equipements!$C34),INDIRECT("Descriptif!M"&amp;R$13)=$D36),INDIRECT("Descriptif!F"&amp;R$13),"")</f>
        <v/>
      </c>
      <c r="T36" s="162" t="str">
        <f ca="1">IF(AND(OR(INDIRECT("Descriptif!I"&amp;S$13)=Recap_equipements!$B34,INDIRECT("Descriptif!I"&amp;S$13)=Recap_equipements!$C34),INDIRECT("Descriptif!M"&amp;S$13)=$D36),INDIRECT("Descriptif!F"&amp;S$13),"")</f>
        <v/>
      </c>
    </row>
    <row r="37" spans="2:20" x14ac:dyDescent="0.4">
      <c r="B37" s="1020"/>
      <c r="C37" s="1023"/>
      <c r="D37" s="158" t="s">
        <v>412</v>
      </c>
      <c r="E37" s="158"/>
      <c r="F37" s="370" t="str">
        <f ca="1">IF(F36&lt;&gt;"",VLOOKUP(F36,Analytique!$X$3:$AE$29,1,FALSE),"")</f>
        <v/>
      </c>
      <c r="G37" s="370" t="str">
        <f ca="1">IF(G36&lt;&gt;"",VLOOKUP(G36,Analytique!$X$3:$AE$29,1,FALSE),"")</f>
        <v/>
      </c>
      <c r="H37" s="370" t="str">
        <f ca="1">IF(H36&lt;&gt;"",VLOOKUP(H36,Analytique!$X$3:$AE$29,1,FALSE),"")</f>
        <v/>
      </c>
      <c r="I37" s="370" t="str">
        <f ca="1">IF(I36&lt;&gt;"",VLOOKUP(I36,Analytique!$X$3:$AE$29,1,FALSE),"")</f>
        <v/>
      </c>
      <c r="J37" s="370" t="str">
        <f ca="1">IF(J36&lt;&gt;"",VLOOKUP(J36,Analytique!$X$3:$AE$29,1,FALSE),"")</f>
        <v/>
      </c>
      <c r="K37" s="370" t="str">
        <f ca="1">IF(K36&lt;&gt;"",VLOOKUP(K36,Analytique!$X$3:$AE$29,1,FALSE),"")</f>
        <v/>
      </c>
      <c r="L37" s="370" t="str">
        <f ca="1">IF(L36&lt;&gt;"",VLOOKUP(L36,Analytique!$X$3:$AE$29,1,FALSE),"")</f>
        <v/>
      </c>
      <c r="M37" s="370" t="str">
        <f ca="1">IF(M36&lt;&gt;"",VLOOKUP(M36,Analytique!$X$3:$AE$29,1,FALSE),"")</f>
        <v/>
      </c>
      <c r="N37" s="370" t="str">
        <f ca="1">IF(N36&lt;&gt;"",VLOOKUP(N36,Analytique!$X$3:$AE$29,1,FALSE),"")</f>
        <v/>
      </c>
      <c r="O37" s="370" t="str">
        <f ca="1">IF(O36&lt;&gt;"",VLOOKUP(O36,Analytique!$X$3:$AE$29,1,FALSE),"")</f>
        <v/>
      </c>
      <c r="P37" s="370" t="str">
        <f ca="1">IF(P36&lt;&gt;"",VLOOKUP(P36,Analytique!$X$3:$AE$29,1,FALSE),"")</f>
        <v/>
      </c>
      <c r="Q37" s="370" t="str">
        <f ca="1">IF(Q36&lt;&gt;"",VLOOKUP(Q36,Analytique!$X$3:$AE$29,1,FALSE),"")</f>
        <v/>
      </c>
      <c r="R37" s="370" t="str">
        <f ca="1">IF(R36&lt;&gt;"",VLOOKUP(R36,Analytique!$X$3:$AE$29,1,FALSE),"")</f>
        <v/>
      </c>
      <c r="S37" s="370" t="str">
        <f ca="1">IF(S36&lt;&gt;"",VLOOKUP(S36,Analytique!$X$3:$AE$29,1,FALSE),"")</f>
        <v/>
      </c>
      <c r="T37" s="371" t="str">
        <f ca="1">IF(T36&lt;&gt;"",VLOOKUP(T36,Analytique!$X$3:$AE$29,1,FALSE),"")</f>
        <v/>
      </c>
    </row>
    <row r="38" spans="2:20" ht="13" thickBot="1" x14ac:dyDescent="0.45">
      <c r="B38" s="1021"/>
      <c r="C38" s="1024"/>
      <c r="D38" s="163" t="str">
        <f>$D$10</f>
        <v>Sonde de température</v>
      </c>
      <c r="E38" s="163"/>
      <c r="F38" s="164" t="str">
        <f ca="1">IF(AND(OR(INDIRECT("Descriptif!I"&amp;E$13)=Recap_equipements!$B34,INDIRECT("Descriptif!I"&amp;E$13)=Recap_equipements!$C34),INDIRECT("Descriptif!M"&amp;E$13)=$D38),INDIRECT("Descriptif!F"&amp;E$13),"")</f>
        <v/>
      </c>
      <c r="G38" s="164" t="str">
        <f ca="1">IF(AND(OR(INDIRECT("Descriptif!I"&amp;F$13)=Recap_equipements!$B34,INDIRECT("Descriptif!I"&amp;F$13)=Recap_equipements!$C34),INDIRECT("Descriptif!M"&amp;F$13)=$D38),INDIRECT("Descriptif!F"&amp;F$13),"")</f>
        <v/>
      </c>
      <c r="H38" s="164" t="str">
        <f ca="1">IF(AND(OR(INDIRECT("Descriptif!I"&amp;G$13)=Recap_equipements!$B34,INDIRECT("Descriptif!I"&amp;G$13)=Recap_equipements!$C34),INDIRECT("Descriptif!M"&amp;G$13)=$D38),INDIRECT("Descriptif!F"&amp;G$13),"")</f>
        <v/>
      </c>
      <c r="I38" s="164" t="str">
        <f ca="1">IF(AND(OR(INDIRECT("Descriptif!I"&amp;H$13)=Recap_equipements!$B34,INDIRECT("Descriptif!I"&amp;H$13)=Recap_equipements!$C34),INDIRECT("Descriptif!M"&amp;H$13)=$D38),INDIRECT("Descriptif!F"&amp;H$13),"")</f>
        <v/>
      </c>
      <c r="J38" s="164" t="str">
        <f ca="1">IF(AND(OR(INDIRECT("Descriptif!I"&amp;I$13)=Recap_equipements!$B34,INDIRECT("Descriptif!I"&amp;I$13)=Recap_equipements!$C34),INDIRECT("Descriptif!M"&amp;I$13)=$D38),INDIRECT("Descriptif!F"&amp;I$13),"")</f>
        <v/>
      </c>
      <c r="K38" s="164" t="str">
        <f ca="1">IF(AND(OR(INDIRECT("Descriptif!I"&amp;J$13)=Recap_equipements!$B34,INDIRECT("Descriptif!I"&amp;J$13)=Recap_equipements!$C34),INDIRECT("Descriptif!M"&amp;J$13)=$D38),INDIRECT("Descriptif!F"&amp;J$13),"")</f>
        <v/>
      </c>
      <c r="L38" s="164" t="str">
        <f ca="1">IF(AND(OR(INDIRECT("Descriptif!I"&amp;K$13)=Recap_equipements!$B34,INDIRECT("Descriptif!I"&amp;K$13)=Recap_equipements!$C34),INDIRECT("Descriptif!M"&amp;K$13)=$D38),INDIRECT("Descriptif!F"&amp;K$13),"")</f>
        <v/>
      </c>
      <c r="M38" s="164" t="str">
        <f ca="1">IF(AND(OR(INDIRECT("Descriptif!I"&amp;L$13)=Recap_equipements!$B34,INDIRECT("Descriptif!I"&amp;L$13)=Recap_equipements!$C34),INDIRECT("Descriptif!M"&amp;L$13)=$D38),INDIRECT("Descriptif!F"&amp;L$13),"")</f>
        <v/>
      </c>
      <c r="N38" s="164" t="str">
        <f ca="1">IF(AND(OR(INDIRECT("Descriptif!I"&amp;M$13)=Recap_equipements!$B34,INDIRECT("Descriptif!I"&amp;M$13)=Recap_equipements!$C34),INDIRECT("Descriptif!M"&amp;M$13)=$D38),INDIRECT("Descriptif!F"&amp;M$13),"")</f>
        <v/>
      </c>
      <c r="O38" s="164" t="str">
        <f ca="1">IF(AND(OR(INDIRECT("Descriptif!I"&amp;N$13)=Recap_equipements!$B34,INDIRECT("Descriptif!I"&amp;N$13)=Recap_equipements!$C34),INDIRECT("Descriptif!M"&amp;N$13)=$D38),INDIRECT("Descriptif!F"&amp;N$13),"")</f>
        <v/>
      </c>
      <c r="P38" s="164" t="str">
        <f ca="1">IF(AND(OR(INDIRECT("Descriptif!I"&amp;O$13)=Recap_equipements!$B34,INDIRECT("Descriptif!I"&amp;O$13)=Recap_equipements!$C34),INDIRECT("Descriptif!M"&amp;O$13)=$D38),INDIRECT("Descriptif!F"&amp;O$13),"")</f>
        <v/>
      </c>
      <c r="Q38" s="164" t="str">
        <f ca="1">IF(AND(OR(INDIRECT("Descriptif!I"&amp;P$13)=Recap_equipements!$B34,INDIRECT("Descriptif!I"&amp;P$13)=Recap_equipements!$C34),INDIRECT("Descriptif!M"&amp;P$13)=$D38),INDIRECT("Descriptif!F"&amp;P$13),"")</f>
        <v/>
      </c>
      <c r="R38" s="164" t="str">
        <f ca="1">IF(AND(OR(INDIRECT("Descriptif!I"&amp;Q$13)=Recap_equipements!$B34,INDIRECT("Descriptif!I"&amp;Q$13)=Recap_equipements!$C34),INDIRECT("Descriptif!M"&amp;Q$13)=$D38),INDIRECT("Descriptif!F"&amp;Q$13),"")</f>
        <v/>
      </c>
      <c r="S38" s="164" t="str">
        <f ca="1">IF(AND(OR(INDIRECT("Descriptif!I"&amp;R$13)=Recap_equipements!$B34,INDIRECT("Descriptif!I"&amp;R$13)=Recap_equipements!$C34),INDIRECT("Descriptif!M"&amp;R$13)=$D38),INDIRECT("Descriptif!F"&amp;R$13),"")</f>
        <v/>
      </c>
      <c r="T38" s="165" t="str">
        <f ca="1">IF(AND(OR(INDIRECT("Descriptif!I"&amp;S$13)=Recap_equipements!$B34,INDIRECT("Descriptif!I"&amp;S$13)=Recap_equipements!$C34),INDIRECT("Descriptif!M"&amp;S$13)=$D38),INDIRECT("Descriptif!F"&amp;S$13),"")</f>
        <v/>
      </c>
    </row>
    <row r="39" spans="2:20" x14ac:dyDescent="0.4">
      <c r="B39" s="1019" t="s">
        <v>112</v>
      </c>
      <c r="C39" s="1022" t="s">
        <v>120</v>
      </c>
      <c r="D39" s="159" t="str">
        <f>$D$7</f>
        <v>Débitmètre en charge</v>
      </c>
      <c r="E39" s="159"/>
      <c r="F39" s="160" t="str">
        <f ca="1">IF(AND(OR(INDIRECT("Descriptif!I"&amp;E$13)=Recap_equipements!$B39,INDIRECT("Descriptif!I"&amp;E$13)=Recap_equipements!$C39),INDIRECT("Descriptif!M"&amp;E$13)=$D39),INDIRECT("Descriptif!F"&amp;E$13),"")</f>
        <v/>
      </c>
      <c r="G39" s="160" t="str">
        <f ca="1">IF(AND(OR(INDIRECT("Descriptif!I"&amp;F$13)=Recap_equipements!$B39,INDIRECT("Descriptif!I"&amp;F$13)=Recap_equipements!$C39),INDIRECT("Descriptif!M"&amp;F$13)=$D39),INDIRECT("Descriptif!F"&amp;F$13),"")</f>
        <v/>
      </c>
      <c r="H39" s="160" t="str">
        <f ca="1">IF(AND(OR(INDIRECT("Descriptif!I"&amp;G$13)=Recap_equipements!$B39,INDIRECT("Descriptif!I"&amp;G$13)=Recap_equipements!$C39),INDIRECT("Descriptif!M"&amp;G$13)=$D39),INDIRECT("Descriptif!F"&amp;G$13),"")</f>
        <v/>
      </c>
      <c r="I39" s="160" t="str">
        <f ca="1">IF(AND(OR(INDIRECT("Descriptif!I"&amp;H$13)=Recap_equipements!$B39,INDIRECT("Descriptif!I"&amp;H$13)=Recap_equipements!$C39),INDIRECT("Descriptif!M"&amp;H$13)=$D39),INDIRECT("Descriptif!F"&amp;H$13),"")</f>
        <v/>
      </c>
      <c r="J39" s="160" t="str">
        <f ca="1">IF(AND(OR(INDIRECT("Descriptif!I"&amp;I$13)=Recap_equipements!$B39,INDIRECT("Descriptif!I"&amp;I$13)=Recap_equipements!$C39),INDIRECT("Descriptif!M"&amp;I$13)=$D39),INDIRECT("Descriptif!F"&amp;I$13),"")</f>
        <v/>
      </c>
      <c r="K39" s="160" t="str">
        <f ca="1">IF(AND(OR(INDIRECT("Descriptif!I"&amp;J$13)=Recap_equipements!$B39,INDIRECT("Descriptif!I"&amp;J$13)=Recap_equipements!$C39),INDIRECT("Descriptif!M"&amp;J$13)=$D39),INDIRECT("Descriptif!F"&amp;J$13),"")</f>
        <v/>
      </c>
      <c r="L39" s="160" t="str">
        <f ca="1">IF(AND(OR(INDIRECT("Descriptif!I"&amp;K$13)=Recap_equipements!$B39,INDIRECT("Descriptif!I"&amp;K$13)=Recap_equipements!$C39),INDIRECT("Descriptif!M"&amp;K$13)=$D39),INDIRECT("Descriptif!F"&amp;K$13),"")</f>
        <v/>
      </c>
      <c r="M39" s="160" t="str">
        <f ca="1">IF(AND(OR(INDIRECT("Descriptif!I"&amp;L$13)=Recap_equipements!$B39,INDIRECT("Descriptif!I"&amp;L$13)=Recap_equipements!$C39),INDIRECT("Descriptif!M"&amp;L$13)=$D39),INDIRECT("Descriptif!F"&amp;L$13),"")</f>
        <v/>
      </c>
      <c r="N39" s="160" t="str">
        <f ca="1">IF(AND(OR(INDIRECT("Descriptif!I"&amp;M$13)=Recap_equipements!$B39,INDIRECT("Descriptif!I"&amp;M$13)=Recap_equipements!$C39),INDIRECT("Descriptif!M"&amp;M$13)=$D39),INDIRECT("Descriptif!F"&amp;M$13),"")</f>
        <v/>
      </c>
      <c r="O39" s="160" t="str">
        <f ca="1">IF(AND(OR(INDIRECT("Descriptif!I"&amp;N$13)=Recap_equipements!$B39,INDIRECT("Descriptif!I"&amp;N$13)=Recap_equipements!$C39),INDIRECT("Descriptif!M"&amp;N$13)=$D39),INDIRECT("Descriptif!F"&amp;N$13),"")</f>
        <v/>
      </c>
      <c r="P39" s="160" t="str">
        <f ca="1">IF(AND(OR(INDIRECT("Descriptif!I"&amp;O$13)=Recap_equipements!$B39,INDIRECT("Descriptif!I"&amp;O$13)=Recap_equipements!$C39),INDIRECT("Descriptif!M"&amp;O$13)=$D39),INDIRECT("Descriptif!F"&amp;O$13),"")</f>
        <v/>
      </c>
      <c r="Q39" s="160" t="str">
        <f ca="1">IF(AND(OR(INDIRECT("Descriptif!I"&amp;P$13)=Recap_equipements!$B39,INDIRECT("Descriptif!I"&amp;P$13)=Recap_equipements!$C39),INDIRECT("Descriptif!M"&amp;P$13)=$D39),INDIRECT("Descriptif!F"&amp;P$13),"")</f>
        <v/>
      </c>
      <c r="R39" s="160" t="str">
        <f ca="1">IF(AND(OR(INDIRECT("Descriptif!I"&amp;Q$13)=Recap_equipements!$B39,INDIRECT("Descriptif!I"&amp;Q$13)=Recap_equipements!$C39),INDIRECT("Descriptif!M"&amp;Q$13)=$D39),INDIRECT("Descriptif!F"&amp;Q$13),"")</f>
        <v/>
      </c>
      <c r="S39" s="160" t="str">
        <f ca="1">IF(AND(OR(INDIRECT("Descriptif!I"&amp;R$13)=Recap_equipements!$B39,INDIRECT("Descriptif!I"&amp;R$13)=Recap_equipements!$C39),INDIRECT("Descriptif!M"&amp;R$13)=$D39),INDIRECT("Descriptif!F"&amp;R$13),"")</f>
        <v/>
      </c>
      <c r="T39" s="161" t="str">
        <f ca="1">IF(AND(OR(INDIRECT("Descriptif!I"&amp;S$13)=Recap_equipements!$B39,INDIRECT("Descriptif!I"&amp;S$13)=Recap_equipements!$C39),INDIRECT("Descriptif!M"&amp;S$13)=$D39),INDIRECT("Descriptif!F"&amp;S$13),"")</f>
        <v/>
      </c>
    </row>
    <row r="40" spans="2:20" x14ac:dyDescent="0.4">
      <c r="B40" s="1020"/>
      <c r="C40" s="1023"/>
      <c r="D40" s="158" t="str">
        <f>$D$8</f>
        <v>Débitmètre gravitaire</v>
      </c>
      <c r="E40" s="158"/>
      <c r="F40" s="13" t="str">
        <f ca="1">IF(AND(OR(INDIRECT("Descriptif!I"&amp;E$13)=Recap_equipements!$B39,INDIRECT("Descriptif!I"&amp;E$13)=Recap_equipements!$C39),INDIRECT("Descriptif!M"&amp;E$13)=$D40),INDIRECT("Descriptif!F"&amp;E$13),"")</f>
        <v/>
      </c>
      <c r="G40" s="13" t="str">
        <f ca="1">IF(AND(OR(INDIRECT("Descriptif!I"&amp;F$13)=Recap_equipements!$B39,INDIRECT("Descriptif!I"&amp;F$13)=Recap_equipements!$C39),INDIRECT("Descriptif!M"&amp;F$13)=$D40),INDIRECT("Descriptif!F"&amp;F$13),"")</f>
        <v/>
      </c>
      <c r="H40" s="13" t="str">
        <f ca="1">IF(AND(OR(INDIRECT("Descriptif!I"&amp;G$13)=Recap_equipements!$B39,INDIRECT("Descriptif!I"&amp;G$13)=Recap_equipements!$C39),INDIRECT("Descriptif!M"&amp;G$13)=$D40),INDIRECT("Descriptif!F"&amp;G$13),"")</f>
        <v/>
      </c>
      <c r="I40" s="13" t="str">
        <f ca="1">IF(AND(OR(INDIRECT("Descriptif!I"&amp;H$13)=Recap_equipements!$B39,INDIRECT("Descriptif!I"&amp;H$13)=Recap_equipements!$C39),INDIRECT("Descriptif!M"&amp;H$13)=$D40),INDIRECT("Descriptif!F"&amp;H$13),"")</f>
        <v/>
      </c>
      <c r="J40" s="13" t="str">
        <f ca="1">IF(AND(OR(INDIRECT("Descriptif!I"&amp;I$13)=Recap_equipements!$B39,INDIRECT("Descriptif!I"&amp;I$13)=Recap_equipements!$C39),INDIRECT("Descriptif!M"&amp;I$13)=$D40),INDIRECT("Descriptif!F"&amp;I$13),"")</f>
        <v/>
      </c>
      <c r="K40" s="13" t="str">
        <f ca="1">IF(AND(OR(INDIRECT("Descriptif!I"&amp;J$13)=Recap_equipements!$B39,INDIRECT("Descriptif!I"&amp;J$13)=Recap_equipements!$C39),INDIRECT("Descriptif!M"&amp;J$13)=$D40),INDIRECT("Descriptif!F"&amp;J$13),"")</f>
        <v/>
      </c>
      <c r="L40" s="13" t="str">
        <f ca="1">IF(AND(OR(INDIRECT("Descriptif!I"&amp;K$13)=Recap_equipements!$B39,INDIRECT("Descriptif!I"&amp;K$13)=Recap_equipements!$C39),INDIRECT("Descriptif!M"&amp;K$13)=$D40),INDIRECT("Descriptif!F"&amp;K$13),"")</f>
        <v/>
      </c>
      <c r="M40" s="13" t="str">
        <f ca="1">IF(AND(OR(INDIRECT("Descriptif!I"&amp;L$13)=Recap_equipements!$B39,INDIRECT("Descriptif!I"&amp;L$13)=Recap_equipements!$C39),INDIRECT("Descriptif!M"&amp;L$13)=$D40),INDIRECT("Descriptif!F"&amp;L$13),"")</f>
        <v/>
      </c>
      <c r="N40" s="13" t="str">
        <f ca="1">IF(AND(OR(INDIRECT("Descriptif!I"&amp;M$13)=Recap_equipements!$B39,INDIRECT("Descriptif!I"&amp;M$13)=Recap_equipements!$C39),INDIRECT("Descriptif!M"&amp;M$13)=$D40),INDIRECT("Descriptif!F"&amp;M$13),"")</f>
        <v/>
      </c>
      <c r="O40" s="13" t="str">
        <f ca="1">IF(AND(OR(INDIRECT("Descriptif!I"&amp;N$13)=Recap_equipements!$B39,INDIRECT("Descriptif!I"&amp;N$13)=Recap_equipements!$C39),INDIRECT("Descriptif!M"&amp;N$13)=$D40),INDIRECT("Descriptif!F"&amp;N$13),"")</f>
        <v/>
      </c>
      <c r="P40" s="13" t="str">
        <f ca="1">IF(AND(OR(INDIRECT("Descriptif!I"&amp;O$13)=Recap_equipements!$B39,INDIRECT("Descriptif!I"&amp;O$13)=Recap_equipements!$C39),INDIRECT("Descriptif!M"&amp;O$13)=$D40),INDIRECT("Descriptif!F"&amp;O$13),"")</f>
        <v/>
      </c>
      <c r="Q40" s="13" t="str">
        <f ca="1">IF(AND(OR(INDIRECT("Descriptif!I"&amp;P$13)=Recap_equipements!$B39,INDIRECT("Descriptif!I"&amp;P$13)=Recap_equipements!$C39),INDIRECT("Descriptif!M"&amp;P$13)=$D40),INDIRECT("Descriptif!F"&amp;P$13),"")</f>
        <v/>
      </c>
      <c r="R40" s="13" t="str">
        <f ca="1">IF(AND(OR(INDIRECT("Descriptif!I"&amp;Q$13)=Recap_equipements!$B39,INDIRECT("Descriptif!I"&amp;Q$13)=Recap_equipements!$C39),INDIRECT("Descriptif!M"&amp;Q$13)=$D40),INDIRECT("Descriptif!F"&amp;Q$13),"")</f>
        <v/>
      </c>
      <c r="S40" s="13" t="str">
        <f ca="1">IF(AND(OR(INDIRECT("Descriptif!I"&amp;R$13)=Recap_equipements!$B39,INDIRECT("Descriptif!I"&amp;R$13)=Recap_equipements!$C39),INDIRECT("Descriptif!M"&amp;R$13)=$D40),INDIRECT("Descriptif!F"&amp;R$13),"")</f>
        <v/>
      </c>
      <c r="T40" s="162" t="str">
        <f ca="1">IF(AND(OR(INDIRECT("Descriptif!I"&amp;S$13)=Recap_equipements!$B39,INDIRECT("Descriptif!I"&amp;S$13)=Recap_equipements!$C39),INDIRECT("Descriptif!M"&amp;S$13)=$D40),INDIRECT("Descriptif!F"&amp;S$13),"")</f>
        <v/>
      </c>
    </row>
    <row r="41" spans="2:20" x14ac:dyDescent="0.4">
      <c r="B41" s="1020"/>
      <c r="C41" s="1023"/>
      <c r="D41" s="158" t="str">
        <f>$D$9</f>
        <v>Préleveur</v>
      </c>
      <c r="E41" s="158"/>
      <c r="F41" s="13" t="str">
        <f ca="1">IF(AND(OR(INDIRECT("Descriptif!I"&amp;E$13)=Recap_equipements!$B39,INDIRECT("Descriptif!I"&amp;E$13)=Recap_equipements!$C39),INDIRECT("Descriptif!M"&amp;E$13)=$D41),INDIRECT("Descriptif!F"&amp;E$13),"")</f>
        <v/>
      </c>
      <c r="G41" s="13" t="str">
        <f ca="1">IF(AND(OR(INDIRECT("Descriptif!I"&amp;F$13)=Recap_equipements!$B39,INDIRECT("Descriptif!I"&amp;F$13)=Recap_equipements!$C39),INDIRECT("Descriptif!M"&amp;F$13)=$D41),INDIRECT("Descriptif!F"&amp;F$13),"")</f>
        <v/>
      </c>
      <c r="H41" s="13" t="str">
        <f ca="1">IF(AND(OR(INDIRECT("Descriptif!I"&amp;G$13)=Recap_equipements!$B39,INDIRECT("Descriptif!I"&amp;G$13)=Recap_equipements!$C39),INDIRECT("Descriptif!M"&amp;G$13)=$D41),INDIRECT("Descriptif!F"&amp;G$13),"")</f>
        <v/>
      </c>
      <c r="I41" s="13" t="str">
        <f ca="1">IF(AND(OR(INDIRECT("Descriptif!I"&amp;H$13)=Recap_equipements!$B39,INDIRECT("Descriptif!I"&amp;H$13)=Recap_equipements!$C39),INDIRECT("Descriptif!M"&amp;H$13)=$D41),INDIRECT("Descriptif!F"&amp;H$13),"")</f>
        <v/>
      </c>
      <c r="J41" s="13" t="str">
        <f ca="1">IF(AND(OR(INDIRECT("Descriptif!I"&amp;I$13)=Recap_equipements!$B39,INDIRECT("Descriptif!I"&amp;I$13)=Recap_equipements!$C39),INDIRECT("Descriptif!M"&amp;I$13)=$D41),INDIRECT("Descriptif!F"&amp;I$13),"")</f>
        <v/>
      </c>
      <c r="K41" s="13" t="str">
        <f ca="1">IF(AND(OR(INDIRECT("Descriptif!I"&amp;J$13)=Recap_equipements!$B39,INDIRECT("Descriptif!I"&amp;J$13)=Recap_equipements!$C39),INDIRECT("Descriptif!M"&amp;J$13)=$D41),INDIRECT("Descriptif!F"&amp;J$13),"")</f>
        <v/>
      </c>
      <c r="L41" s="13" t="str">
        <f ca="1">IF(AND(OR(INDIRECT("Descriptif!I"&amp;K$13)=Recap_equipements!$B39,INDIRECT("Descriptif!I"&amp;K$13)=Recap_equipements!$C39),INDIRECT("Descriptif!M"&amp;K$13)=$D41),INDIRECT("Descriptif!F"&amp;K$13),"")</f>
        <v/>
      </c>
      <c r="M41" s="13" t="str">
        <f ca="1">IF(AND(OR(INDIRECT("Descriptif!I"&amp;L$13)=Recap_equipements!$B39,INDIRECT("Descriptif!I"&amp;L$13)=Recap_equipements!$C39),INDIRECT("Descriptif!M"&amp;L$13)=$D41),INDIRECT("Descriptif!F"&amp;L$13),"")</f>
        <v/>
      </c>
      <c r="N41" s="13" t="str">
        <f ca="1">IF(AND(OR(INDIRECT("Descriptif!I"&amp;M$13)=Recap_equipements!$B39,INDIRECT("Descriptif!I"&amp;M$13)=Recap_equipements!$C39),INDIRECT("Descriptif!M"&amp;M$13)=$D41),INDIRECT("Descriptif!F"&amp;M$13),"")</f>
        <v/>
      </c>
      <c r="O41" s="13" t="str">
        <f ca="1">IF(AND(OR(INDIRECT("Descriptif!I"&amp;N$13)=Recap_equipements!$B39,INDIRECT("Descriptif!I"&amp;N$13)=Recap_equipements!$C39),INDIRECT("Descriptif!M"&amp;N$13)=$D41),INDIRECT("Descriptif!F"&amp;N$13),"")</f>
        <v/>
      </c>
      <c r="P41" s="13" t="str">
        <f ca="1">IF(AND(OR(INDIRECT("Descriptif!I"&amp;O$13)=Recap_equipements!$B39,INDIRECT("Descriptif!I"&amp;O$13)=Recap_equipements!$C39),INDIRECT("Descriptif!M"&amp;O$13)=$D41),INDIRECT("Descriptif!F"&amp;O$13),"")</f>
        <v/>
      </c>
      <c r="Q41" s="13" t="str">
        <f ca="1">IF(AND(OR(INDIRECT("Descriptif!I"&amp;P$13)=Recap_equipements!$B39,INDIRECT("Descriptif!I"&amp;P$13)=Recap_equipements!$C39),INDIRECT("Descriptif!M"&amp;P$13)=$D41),INDIRECT("Descriptif!F"&amp;P$13),"")</f>
        <v/>
      </c>
      <c r="R41" s="13" t="str">
        <f ca="1">IF(AND(OR(INDIRECT("Descriptif!I"&amp;Q$13)=Recap_equipements!$B39,INDIRECT("Descriptif!I"&amp;Q$13)=Recap_equipements!$C39),INDIRECT("Descriptif!M"&amp;Q$13)=$D41),INDIRECT("Descriptif!F"&amp;Q$13),"")</f>
        <v/>
      </c>
      <c r="S41" s="13" t="str">
        <f ca="1">IF(AND(OR(INDIRECT("Descriptif!I"&amp;R$13)=Recap_equipements!$B39,INDIRECT("Descriptif!I"&amp;R$13)=Recap_equipements!$C39),INDIRECT("Descriptif!M"&amp;R$13)=$D41),INDIRECT("Descriptif!F"&amp;R$13),"")</f>
        <v/>
      </c>
      <c r="T41" s="162" t="str">
        <f ca="1">IF(AND(OR(INDIRECT("Descriptif!I"&amp;S$13)=Recap_equipements!$B39,INDIRECT("Descriptif!I"&amp;S$13)=Recap_equipements!$C39),INDIRECT("Descriptif!M"&amp;S$13)=$D41),INDIRECT("Descriptif!F"&amp;S$13),"")</f>
        <v/>
      </c>
    </row>
    <row r="42" spans="2:20" x14ac:dyDescent="0.4">
      <c r="B42" s="1020"/>
      <c r="C42" s="1023"/>
      <c r="D42" s="369" t="s">
        <v>412</v>
      </c>
      <c r="E42" s="369"/>
      <c r="F42" s="370" t="str">
        <f ca="1">IF(F41&lt;&gt;"",VLOOKUP(F41,Analytique!$X$3:$AE$29,1,FALSE),"")</f>
        <v/>
      </c>
      <c r="G42" s="370" t="str">
        <f ca="1">IF(G41&lt;&gt;"",VLOOKUP(G41,Analytique!$X$3:$AE$29,1,FALSE),"")</f>
        <v/>
      </c>
      <c r="H42" s="370" t="str">
        <f ca="1">IF(H41&lt;&gt;"",VLOOKUP(H41,Analytique!$X$3:$AE$29,1,FALSE),"")</f>
        <v/>
      </c>
      <c r="I42" s="370" t="str">
        <f ca="1">IF(I41&lt;&gt;"",VLOOKUP(I41,Analytique!$X$3:$AE$29,1,FALSE),"")</f>
        <v/>
      </c>
      <c r="J42" s="370" t="str">
        <f ca="1">IF(J41&lt;&gt;"",VLOOKUP(J41,Analytique!$X$3:$AE$29,1,FALSE),"")</f>
        <v/>
      </c>
      <c r="K42" s="370" t="str">
        <f ca="1">IF(K41&lt;&gt;"",VLOOKUP(K41,Analytique!$X$3:$AE$29,1,FALSE),"")</f>
        <v/>
      </c>
      <c r="L42" s="370" t="str">
        <f ca="1">IF(L41&lt;&gt;"",VLOOKUP(L41,Analytique!$X$3:$AE$29,1,FALSE),"")</f>
        <v/>
      </c>
      <c r="M42" s="370" t="str">
        <f ca="1">IF(M41&lt;&gt;"",VLOOKUP(M41,Analytique!$X$3:$AE$29,1,FALSE),"")</f>
        <v/>
      </c>
      <c r="N42" s="370" t="str">
        <f ca="1">IF(N41&lt;&gt;"",VLOOKUP(N41,Analytique!$X$3:$AE$29,1,FALSE),"")</f>
        <v/>
      </c>
      <c r="O42" s="370" t="str">
        <f ca="1">IF(O41&lt;&gt;"",VLOOKUP(O41,Analytique!$X$3:$AE$29,1,FALSE),"")</f>
        <v/>
      </c>
      <c r="P42" s="370" t="str">
        <f ca="1">IF(P41&lt;&gt;"",VLOOKUP(P41,Analytique!$X$3:$AE$29,1,FALSE),"")</f>
        <v/>
      </c>
      <c r="Q42" s="370" t="str">
        <f ca="1">IF(Q41&lt;&gt;"",VLOOKUP(Q41,Analytique!$X$3:$AE$29,1,FALSE),"")</f>
        <v/>
      </c>
      <c r="R42" s="370" t="str">
        <f ca="1">IF(R41&lt;&gt;"",VLOOKUP(R41,Analytique!$X$3:$AE$29,1,FALSE),"")</f>
        <v/>
      </c>
      <c r="S42" s="370" t="str">
        <f ca="1">IF(S41&lt;&gt;"",VLOOKUP(S41,Analytique!$X$3:$AE$29,1,FALSE),"")</f>
        <v/>
      </c>
      <c r="T42" s="371" t="str">
        <f ca="1">IF(T41&lt;&gt;"",VLOOKUP(T41,Analytique!$X$3:$AE$29,1,FALSE),"")</f>
        <v/>
      </c>
    </row>
    <row r="43" spans="2:20" ht="13" thickBot="1" x14ac:dyDescent="0.45">
      <c r="B43" s="1021"/>
      <c r="C43" s="1024"/>
      <c r="D43" s="163" t="str">
        <f>$D$10</f>
        <v>Sonde de température</v>
      </c>
      <c r="E43" s="163"/>
      <c r="F43" s="164" t="str">
        <f ca="1">IF(AND(OR(INDIRECT("Descriptif!I"&amp;E$13)=Recap_equipements!$B39,INDIRECT("Descriptif!I"&amp;E$13)=Recap_equipements!$C39),INDIRECT("Descriptif!M"&amp;E$13)=$D43),INDIRECT("Descriptif!F"&amp;E$13),"")</f>
        <v/>
      </c>
      <c r="G43" s="164" t="str">
        <f ca="1">IF(AND(OR(INDIRECT("Descriptif!I"&amp;F$13)=Recap_equipements!$B39,INDIRECT("Descriptif!I"&amp;F$13)=Recap_equipements!$C39),INDIRECT("Descriptif!M"&amp;F$13)=$D43),INDIRECT("Descriptif!F"&amp;F$13),"")</f>
        <v/>
      </c>
      <c r="H43" s="164" t="str">
        <f ca="1">IF(AND(OR(INDIRECT("Descriptif!I"&amp;G$13)=Recap_equipements!$B39,INDIRECT("Descriptif!I"&amp;G$13)=Recap_equipements!$C39),INDIRECT("Descriptif!M"&amp;G$13)=$D43),INDIRECT("Descriptif!F"&amp;G$13),"")</f>
        <v/>
      </c>
      <c r="I43" s="164" t="str">
        <f ca="1">IF(AND(OR(INDIRECT("Descriptif!I"&amp;H$13)=Recap_equipements!$B39,INDIRECT("Descriptif!I"&amp;H$13)=Recap_equipements!$C39),INDIRECT("Descriptif!M"&amp;H$13)=$D43),INDIRECT("Descriptif!F"&amp;H$13),"")</f>
        <v/>
      </c>
      <c r="J43" s="164" t="str">
        <f ca="1">IF(AND(OR(INDIRECT("Descriptif!I"&amp;I$13)=Recap_equipements!$B39,INDIRECT("Descriptif!I"&amp;I$13)=Recap_equipements!$C39),INDIRECT("Descriptif!M"&amp;I$13)=$D43),INDIRECT("Descriptif!F"&amp;I$13),"")</f>
        <v/>
      </c>
      <c r="K43" s="164" t="str">
        <f ca="1">IF(AND(OR(INDIRECT("Descriptif!I"&amp;J$13)=Recap_equipements!$B39,INDIRECT("Descriptif!I"&amp;J$13)=Recap_equipements!$C39),INDIRECT("Descriptif!M"&amp;J$13)=$D43),INDIRECT("Descriptif!F"&amp;J$13),"")</f>
        <v/>
      </c>
      <c r="L43" s="164" t="str">
        <f ca="1">IF(AND(OR(INDIRECT("Descriptif!I"&amp;K$13)=Recap_equipements!$B39,INDIRECT("Descriptif!I"&amp;K$13)=Recap_equipements!$C39),INDIRECT("Descriptif!M"&amp;K$13)=$D43),INDIRECT("Descriptif!F"&amp;K$13),"")</f>
        <v/>
      </c>
      <c r="M43" s="164" t="str">
        <f ca="1">IF(AND(OR(INDIRECT("Descriptif!I"&amp;L$13)=Recap_equipements!$B39,INDIRECT("Descriptif!I"&amp;L$13)=Recap_equipements!$C39),INDIRECT("Descriptif!M"&amp;L$13)=$D43),INDIRECT("Descriptif!F"&amp;L$13),"")</f>
        <v/>
      </c>
      <c r="N43" s="164" t="str">
        <f ca="1">IF(AND(OR(INDIRECT("Descriptif!I"&amp;M$13)=Recap_equipements!$B39,INDIRECT("Descriptif!I"&amp;M$13)=Recap_equipements!$C39),INDIRECT("Descriptif!M"&amp;M$13)=$D43),INDIRECT("Descriptif!F"&amp;M$13),"")</f>
        <v/>
      </c>
      <c r="O43" s="164" t="str">
        <f ca="1">IF(AND(OR(INDIRECT("Descriptif!I"&amp;N$13)=Recap_equipements!$B39,INDIRECT("Descriptif!I"&amp;N$13)=Recap_equipements!$C39),INDIRECT("Descriptif!M"&amp;N$13)=$D43),INDIRECT("Descriptif!F"&amp;N$13),"")</f>
        <v/>
      </c>
      <c r="P43" s="164" t="str">
        <f ca="1">IF(AND(OR(INDIRECT("Descriptif!I"&amp;O$13)=Recap_equipements!$B39,INDIRECT("Descriptif!I"&amp;O$13)=Recap_equipements!$C39),INDIRECT("Descriptif!M"&amp;O$13)=$D43),INDIRECT("Descriptif!F"&amp;O$13),"")</f>
        <v/>
      </c>
      <c r="Q43" s="164" t="str">
        <f ca="1">IF(AND(OR(INDIRECT("Descriptif!I"&amp;P$13)=Recap_equipements!$B39,INDIRECT("Descriptif!I"&amp;P$13)=Recap_equipements!$C39),INDIRECT("Descriptif!M"&amp;P$13)=$D43),INDIRECT("Descriptif!F"&amp;P$13),"")</f>
        <v/>
      </c>
      <c r="R43" s="164" t="str">
        <f ca="1">IF(AND(OR(INDIRECT("Descriptif!I"&amp;Q$13)=Recap_equipements!$B39,INDIRECT("Descriptif!I"&amp;Q$13)=Recap_equipements!$C39),INDIRECT("Descriptif!M"&amp;Q$13)=$D43),INDIRECT("Descriptif!F"&amp;Q$13),"")</f>
        <v/>
      </c>
      <c r="S43" s="164" t="str">
        <f ca="1">IF(AND(OR(INDIRECT("Descriptif!I"&amp;R$13)=Recap_equipements!$B39,INDIRECT("Descriptif!I"&amp;R$13)=Recap_equipements!$C39),INDIRECT("Descriptif!M"&amp;R$13)=$D43),INDIRECT("Descriptif!F"&amp;R$13),"")</f>
        <v/>
      </c>
      <c r="T43" s="165" t="str">
        <f ca="1">IF(AND(OR(INDIRECT("Descriptif!I"&amp;S$13)=Recap_equipements!$B39,INDIRECT("Descriptif!I"&amp;S$13)=Recap_equipements!$C39),INDIRECT("Descriptif!M"&amp;S$13)=$D43),INDIRECT("Descriptif!F"&amp;S$13),"")</f>
        <v/>
      </c>
    </row>
    <row r="44" spans="2:20" x14ac:dyDescent="0.4">
      <c r="B44" s="1019" t="s">
        <v>114</v>
      </c>
      <c r="C44" s="1022" t="s">
        <v>119</v>
      </c>
      <c r="D44" s="159" t="str">
        <f>$D$7</f>
        <v>Débitmètre en charge</v>
      </c>
      <c r="E44" s="159"/>
      <c r="F44" s="160" t="str">
        <f ca="1">IF(AND(OR(INDIRECT("Descriptif!I"&amp;E$13)=Recap_equipements!$B44,INDIRECT("Descriptif!I"&amp;E$13)=Recap_equipements!$C44),INDIRECT("Descriptif!M"&amp;E$13)=$D44),INDIRECT("Descriptif!F"&amp;E$13),"")</f>
        <v/>
      </c>
      <c r="G44" s="160" t="str">
        <f ca="1">IF(AND(OR(INDIRECT("Descriptif!I"&amp;F$13)=Recap_equipements!$B44,INDIRECT("Descriptif!I"&amp;F$13)=Recap_equipements!$C44),INDIRECT("Descriptif!M"&amp;F$13)=$D44),INDIRECT("Descriptif!F"&amp;F$13),"")</f>
        <v/>
      </c>
      <c r="H44" s="160" t="str">
        <f ca="1">IF(AND(OR(INDIRECT("Descriptif!I"&amp;G$13)=Recap_equipements!$B44,INDIRECT("Descriptif!I"&amp;G$13)=Recap_equipements!$C44),INDIRECT("Descriptif!M"&amp;G$13)=$D44),INDIRECT("Descriptif!F"&amp;G$13),"")</f>
        <v/>
      </c>
      <c r="I44" s="160" t="str">
        <f ca="1">IF(AND(OR(INDIRECT("Descriptif!I"&amp;H$13)=Recap_equipements!$B44,INDIRECT("Descriptif!I"&amp;H$13)=Recap_equipements!$C44),INDIRECT("Descriptif!M"&amp;H$13)=$D44),INDIRECT("Descriptif!F"&amp;H$13),"")</f>
        <v/>
      </c>
      <c r="J44" s="160" t="str">
        <f ca="1">IF(AND(OR(INDIRECT("Descriptif!I"&amp;I$13)=Recap_equipements!$B44,INDIRECT("Descriptif!I"&amp;I$13)=Recap_equipements!$C44),INDIRECT("Descriptif!M"&amp;I$13)=$D44),INDIRECT("Descriptif!F"&amp;I$13),"")</f>
        <v/>
      </c>
      <c r="K44" s="160" t="str">
        <f ca="1">IF(AND(OR(INDIRECT("Descriptif!I"&amp;J$13)=Recap_equipements!$B44,INDIRECT("Descriptif!I"&amp;J$13)=Recap_equipements!$C44),INDIRECT("Descriptif!M"&amp;J$13)=$D44),INDIRECT("Descriptif!F"&amp;J$13),"")</f>
        <v/>
      </c>
      <c r="L44" s="160" t="str">
        <f ca="1">IF(AND(OR(INDIRECT("Descriptif!I"&amp;K$13)=Recap_equipements!$B44,INDIRECT("Descriptif!I"&amp;K$13)=Recap_equipements!$C44),INDIRECT("Descriptif!M"&amp;K$13)=$D44),INDIRECT("Descriptif!F"&amp;K$13),"")</f>
        <v/>
      </c>
      <c r="M44" s="160" t="str">
        <f ca="1">IF(AND(OR(INDIRECT("Descriptif!I"&amp;L$13)=Recap_equipements!$B44,INDIRECT("Descriptif!I"&amp;L$13)=Recap_equipements!$C44),INDIRECT("Descriptif!M"&amp;L$13)=$D44),INDIRECT("Descriptif!F"&amp;L$13),"")</f>
        <v/>
      </c>
      <c r="N44" s="160" t="str">
        <f ca="1">IF(AND(OR(INDIRECT("Descriptif!I"&amp;M$13)=Recap_equipements!$B44,INDIRECT("Descriptif!I"&amp;M$13)=Recap_equipements!$C44),INDIRECT("Descriptif!M"&amp;M$13)=$D44),INDIRECT("Descriptif!F"&amp;M$13),"")</f>
        <v/>
      </c>
      <c r="O44" s="160" t="str">
        <f ca="1">IF(AND(OR(INDIRECT("Descriptif!I"&amp;N$13)=Recap_equipements!$B44,INDIRECT("Descriptif!I"&amp;N$13)=Recap_equipements!$C44),INDIRECT("Descriptif!M"&amp;N$13)=$D44),INDIRECT("Descriptif!F"&amp;N$13),"")</f>
        <v/>
      </c>
      <c r="P44" s="160" t="str">
        <f ca="1">IF(AND(OR(INDIRECT("Descriptif!I"&amp;O$13)=Recap_equipements!$B44,INDIRECT("Descriptif!I"&amp;O$13)=Recap_equipements!$C44),INDIRECT("Descriptif!M"&amp;O$13)=$D44),INDIRECT("Descriptif!F"&amp;O$13),"")</f>
        <v/>
      </c>
      <c r="Q44" s="160" t="str">
        <f ca="1">IF(AND(OR(INDIRECT("Descriptif!I"&amp;P$13)=Recap_equipements!$B44,INDIRECT("Descriptif!I"&amp;P$13)=Recap_equipements!$C44),INDIRECT("Descriptif!M"&amp;P$13)=$D44),INDIRECT("Descriptif!F"&amp;P$13),"")</f>
        <v/>
      </c>
      <c r="R44" s="160" t="str">
        <f ca="1">IF(AND(OR(INDIRECT("Descriptif!I"&amp;Q$13)=Recap_equipements!$B44,INDIRECT("Descriptif!I"&amp;Q$13)=Recap_equipements!$C44),INDIRECT("Descriptif!M"&amp;Q$13)=$D44),INDIRECT("Descriptif!F"&amp;Q$13),"")</f>
        <v/>
      </c>
      <c r="S44" s="160" t="str">
        <f ca="1">IF(AND(OR(INDIRECT("Descriptif!I"&amp;R$13)=Recap_equipements!$B44,INDIRECT("Descriptif!I"&amp;R$13)=Recap_equipements!$C44),INDIRECT("Descriptif!M"&amp;R$13)=$D44),INDIRECT("Descriptif!F"&amp;R$13),"")</f>
        <v/>
      </c>
      <c r="T44" s="161" t="str">
        <f ca="1">IF(AND(OR(INDIRECT("Descriptif!I"&amp;S$13)=Recap_equipements!$B44,INDIRECT("Descriptif!I"&amp;S$13)=Recap_equipements!$C44),INDIRECT("Descriptif!M"&amp;S$13)=$D44),INDIRECT("Descriptif!F"&amp;S$13),"")</f>
        <v/>
      </c>
    </row>
    <row r="45" spans="2:20" x14ac:dyDescent="0.4">
      <c r="B45" s="1020"/>
      <c r="C45" s="1023"/>
      <c r="D45" s="158" t="str">
        <f>$D$8</f>
        <v>Débitmètre gravitaire</v>
      </c>
      <c r="E45" s="158"/>
      <c r="F45" s="13" t="str">
        <f ca="1">IF(AND(OR(INDIRECT("Descriptif!I"&amp;E$13)=Recap_equipements!$B44,INDIRECT("Descriptif!I"&amp;E$13)=Recap_equipements!$C44),INDIRECT("Descriptif!M"&amp;E$13)=$D45),INDIRECT("Descriptif!F"&amp;E$13),"")</f>
        <v/>
      </c>
      <c r="G45" s="13" t="str">
        <f ca="1">IF(AND(OR(INDIRECT("Descriptif!I"&amp;F$13)=Recap_equipements!$B44,INDIRECT("Descriptif!I"&amp;F$13)=Recap_equipements!$C44),INDIRECT("Descriptif!M"&amp;F$13)=$D45),INDIRECT("Descriptif!F"&amp;F$13),"")</f>
        <v/>
      </c>
      <c r="H45" s="13" t="str">
        <f ca="1">IF(AND(OR(INDIRECT("Descriptif!I"&amp;G$13)=Recap_equipements!$B44,INDIRECT("Descriptif!I"&amp;G$13)=Recap_equipements!$C44),INDIRECT("Descriptif!M"&amp;G$13)=$D45),INDIRECT("Descriptif!F"&amp;G$13),"")</f>
        <v/>
      </c>
      <c r="I45" s="13" t="str">
        <f ca="1">IF(AND(OR(INDIRECT("Descriptif!I"&amp;H$13)=Recap_equipements!$B44,INDIRECT("Descriptif!I"&amp;H$13)=Recap_equipements!$C44),INDIRECT("Descriptif!M"&amp;H$13)=$D45),INDIRECT("Descriptif!F"&amp;H$13),"")</f>
        <v/>
      </c>
      <c r="J45" s="13" t="str">
        <f ca="1">IF(AND(OR(INDIRECT("Descriptif!I"&amp;I$13)=Recap_equipements!$B44,INDIRECT("Descriptif!I"&amp;I$13)=Recap_equipements!$C44),INDIRECT("Descriptif!M"&amp;I$13)=$D45),INDIRECT("Descriptif!F"&amp;I$13),"")</f>
        <v/>
      </c>
      <c r="K45" s="13" t="str">
        <f ca="1">IF(AND(OR(INDIRECT("Descriptif!I"&amp;J$13)=Recap_equipements!$B44,INDIRECT("Descriptif!I"&amp;J$13)=Recap_equipements!$C44),INDIRECT("Descriptif!M"&amp;J$13)=$D45),INDIRECT("Descriptif!F"&amp;J$13),"")</f>
        <v/>
      </c>
      <c r="L45" s="13" t="str">
        <f ca="1">IF(AND(OR(INDIRECT("Descriptif!I"&amp;K$13)=Recap_equipements!$B44,INDIRECT("Descriptif!I"&amp;K$13)=Recap_equipements!$C44),INDIRECT("Descriptif!M"&amp;K$13)=$D45),INDIRECT("Descriptif!F"&amp;K$13),"")</f>
        <v/>
      </c>
      <c r="M45" s="13" t="str">
        <f ca="1">IF(AND(OR(INDIRECT("Descriptif!I"&amp;L$13)=Recap_equipements!$B44,INDIRECT("Descriptif!I"&amp;L$13)=Recap_equipements!$C44),INDIRECT("Descriptif!M"&amp;L$13)=$D45),INDIRECT("Descriptif!F"&amp;L$13),"")</f>
        <v/>
      </c>
      <c r="N45" s="13" t="str">
        <f ca="1">IF(AND(OR(INDIRECT("Descriptif!I"&amp;M$13)=Recap_equipements!$B44,INDIRECT("Descriptif!I"&amp;M$13)=Recap_equipements!$C44),INDIRECT("Descriptif!M"&amp;M$13)=$D45),INDIRECT("Descriptif!F"&amp;M$13),"")</f>
        <v/>
      </c>
      <c r="O45" s="13" t="str">
        <f ca="1">IF(AND(OR(INDIRECT("Descriptif!I"&amp;N$13)=Recap_equipements!$B44,INDIRECT("Descriptif!I"&amp;N$13)=Recap_equipements!$C44),INDIRECT("Descriptif!M"&amp;N$13)=$D45),INDIRECT("Descriptif!F"&amp;N$13),"")</f>
        <v/>
      </c>
      <c r="P45" s="13" t="str">
        <f ca="1">IF(AND(OR(INDIRECT("Descriptif!I"&amp;O$13)=Recap_equipements!$B44,INDIRECT("Descriptif!I"&amp;O$13)=Recap_equipements!$C44),INDIRECT("Descriptif!M"&amp;O$13)=$D45),INDIRECT("Descriptif!F"&amp;O$13),"")</f>
        <v/>
      </c>
      <c r="Q45" s="13" t="str">
        <f ca="1">IF(AND(OR(INDIRECT("Descriptif!I"&amp;P$13)=Recap_equipements!$B44,INDIRECT("Descriptif!I"&amp;P$13)=Recap_equipements!$C44),INDIRECT("Descriptif!M"&amp;P$13)=$D45),INDIRECT("Descriptif!F"&amp;P$13),"")</f>
        <v/>
      </c>
      <c r="R45" s="13" t="str">
        <f ca="1">IF(AND(OR(INDIRECT("Descriptif!I"&amp;Q$13)=Recap_equipements!$B44,INDIRECT("Descriptif!I"&amp;Q$13)=Recap_equipements!$C44),INDIRECT("Descriptif!M"&amp;Q$13)=$D45),INDIRECT("Descriptif!F"&amp;Q$13),"")</f>
        <v/>
      </c>
      <c r="S45" s="13" t="str">
        <f ca="1">IF(AND(OR(INDIRECT("Descriptif!I"&amp;R$13)=Recap_equipements!$B44,INDIRECT("Descriptif!I"&amp;R$13)=Recap_equipements!$C44),INDIRECT("Descriptif!M"&amp;R$13)=$D45),INDIRECT("Descriptif!F"&amp;R$13),"")</f>
        <v/>
      </c>
      <c r="T45" s="162" t="str">
        <f ca="1">IF(AND(OR(INDIRECT("Descriptif!I"&amp;S$13)=Recap_equipements!$B44,INDIRECT("Descriptif!I"&amp;S$13)=Recap_equipements!$C44),INDIRECT("Descriptif!M"&amp;S$13)=$D45),INDIRECT("Descriptif!F"&amp;S$13),"")</f>
        <v/>
      </c>
    </row>
    <row r="46" spans="2:20" x14ac:dyDescent="0.4">
      <c r="B46" s="1020"/>
      <c r="C46" s="1023"/>
      <c r="D46" s="158" t="str">
        <f>$D$9</f>
        <v>Préleveur</v>
      </c>
      <c r="E46" s="158"/>
      <c r="F46" s="13" t="str">
        <f ca="1">IF(AND(OR(INDIRECT("Descriptif!I"&amp;E$13)=Recap_equipements!$B44,INDIRECT("Descriptif!I"&amp;E$13)=Recap_equipements!$C44),INDIRECT("Descriptif!M"&amp;E$13)=$D46),INDIRECT("Descriptif!F"&amp;E$13),"")</f>
        <v/>
      </c>
      <c r="G46" s="13" t="str">
        <f ca="1">IF(AND(OR(INDIRECT("Descriptif!I"&amp;F$13)=Recap_equipements!$B44,INDIRECT("Descriptif!I"&amp;F$13)=Recap_equipements!$C44),INDIRECT("Descriptif!M"&amp;F$13)=$D46),INDIRECT("Descriptif!F"&amp;F$13),"")</f>
        <v/>
      </c>
      <c r="H46" s="13" t="str">
        <f ca="1">IF(AND(OR(INDIRECT("Descriptif!I"&amp;G$13)=Recap_equipements!$B44,INDIRECT("Descriptif!I"&amp;G$13)=Recap_equipements!$C44),INDIRECT("Descriptif!M"&amp;G$13)=$D46),INDIRECT("Descriptif!F"&amp;G$13),"")</f>
        <v/>
      </c>
      <c r="I46" s="13" t="str">
        <f ca="1">IF(AND(OR(INDIRECT("Descriptif!I"&amp;H$13)=Recap_equipements!$B44,INDIRECT("Descriptif!I"&amp;H$13)=Recap_equipements!$C44),INDIRECT("Descriptif!M"&amp;H$13)=$D46),INDIRECT("Descriptif!F"&amp;H$13),"")</f>
        <v/>
      </c>
      <c r="J46" s="13" t="str">
        <f ca="1">IF(AND(OR(INDIRECT("Descriptif!I"&amp;I$13)=Recap_equipements!$B44,INDIRECT("Descriptif!I"&amp;I$13)=Recap_equipements!$C44),INDIRECT("Descriptif!M"&amp;I$13)=$D46),INDIRECT("Descriptif!F"&amp;I$13),"")</f>
        <v/>
      </c>
      <c r="K46" s="13" t="str">
        <f ca="1">IF(AND(OR(INDIRECT("Descriptif!I"&amp;J$13)=Recap_equipements!$B44,INDIRECT("Descriptif!I"&amp;J$13)=Recap_equipements!$C44),INDIRECT("Descriptif!M"&amp;J$13)=$D46),INDIRECT("Descriptif!F"&amp;J$13),"")</f>
        <v/>
      </c>
      <c r="L46" s="13" t="str">
        <f ca="1">IF(AND(OR(INDIRECT("Descriptif!I"&amp;K$13)=Recap_equipements!$B44,INDIRECT("Descriptif!I"&amp;K$13)=Recap_equipements!$C44),INDIRECT("Descriptif!M"&amp;K$13)=$D46),INDIRECT("Descriptif!F"&amp;K$13),"")</f>
        <v/>
      </c>
      <c r="M46" s="13" t="str">
        <f ca="1">IF(AND(OR(INDIRECT("Descriptif!I"&amp;L$13)=Recap_equipements!$B44,INDIRECT("Descriptif!I"&amp;L$13)=Recap_equipements!$C44),INDIRECT("Descriptif!M"&amp;L$13)=$D46),INDIRECT("Descriptif!F"&amp;L$13),"")</f>
        <v/>
      </c>
      <c r="N46" s="13" t="str">
        <f ca="1">IF(AND(OR(INDIRECT("Descriptif!I"&amp;M$13)=Recap_equipements!$B44,INDIRECT("Descriptif!I"&amp;M$13)=Recap_equipements!$C44),INDIRECT("Descriptif!M"&amp;M$13)=$D46),INDIRECT("Descriptif!F"&amp;M$13),"")</f>
        <v/>
      </c>
      <c r="O46" s="13" t="str">
        <f ca="1">IF(AND(OR(INDIRECT("Descriptif!I"&amp;N$13)=Recap_equipements!$B44,INDIRECT("Descriptif!I"&amp;N$13)=Recap_equipements!$C44),INDIRECT("Descriptif!M"&amp;N$13)=$D46),INDIRECT("Descriptif!F"&amp;N$13),"")</f>
        <v/>
      </c>
      <c r="P46" s="13" t="str">
        <f ca="1">IF(AND(OR(INDIRECT("Descriptif!I"&amp;O$13)=Recap_equipements!$B44,INDIRECT("Descriptif!I"&amp;O$13)=Recap_equipements!$C44),INDIRECT("Descriptif!M"&amp;O$13)=$D46),INDIRECT("Descriptif!F"&amp;O$13),"")</f>
        <v/>
      </c>
      <c r="Q46" s="13" t="str">
        <f ca="1">IF(AND(OR(INDIRECT("Descriptif!I"&amp;P$13)=Recap_equipements!$B44,INDIRECT("Descriptif!I"&amp;P$13)=Recap_equipements!$C44),INDIRECT("Descriptif!M"&amp;P$13)=$D46),INDIRECT("Descriptif!F"&amp;P$13),"")</f>
        <v/>
      </c>
      <c r="R46" s="13" t="str">
        <f ca="1">IF(AND(OR(INDIRECT("Descriptif!I"&amp;Q$13)=Recap_equipements!$B44,INDIRECT("Descriptif!I"&amp;Q$13)=Recap_equipements!$C44),INDIRECT("Descriptif!M"&amp;Q$13)=$D46),INDIRECT("Descriptif!F"&amp;Q$13),"")</f>
        <v/>
      </c>
      <c r="S46" s="13" t="str">
        <f ca="1">IF(AND(OR(INDIRECT("Descriptif!I"&amp;R$13)=Recap_equipements!$B44,INDIRECT("Descriptif!I"&amp;R$13)=Recap_equipements!$C44),INDIRECT("Descriptif!M"&amp;R$13)=$D46),INDIRECT("Descriptif!F"&amp;R$13),"")</f>
        <v/>
      </c>
      <c r="T46" s="162" t="str">
        <f ca="1">IF(AND(OR(INDIRECT("Descriptif!I"&amp;S$13)=Recap_equipements!$B44,INDIRECT("Descriptif!I"&amp;S$13)=Recap_equipements!$C44),INDIRECT("Descriptif!M"&amp;S$13)=$D46),INDIRECT("Descriptif!F"&amp;S$13),"")</f>
        <v/>
      </c>
    </row>
    <row r="47" spans="2:20" x14ac:dyDescent="0.4">
      <c r="B47" s="1020"/>
      <c r="C47" s="1023"/>
      <c r="D47" s="369" t="s">
        <v>412</v>
      </c>
      <c r="E47" s="369"/>
      <c r="F47" s="370" t="str">
        <f ca="1">IF(F46&lt;&gt;"",VLOOKUP(F46,Analytique!$X$3:$AE$29,1,FALSE),"")</f>
        <v/>
      </c>
      <c r="G47" s="370" t="str">
        <f ca="1">IF(G46&lt;&gt;"",VLOOKUP(G46,Analytique!$X$3:$AE$29,1,FALSE),"")</f>
        <v/>
      </c>
      <c r="H47" s="370" t="str">
        <f ca="1">IF(H46&lt;&gt;"",VLOOKUP(H46,Analytique!$X$3:$AE$29,1,FALSE),"")</f>
        <v/>
      </c>
      <c r="I47" s="370" t="str">
        <f ca="1">IF(I46&lt;&gt;"",VLOOKUP(I46,Analytique!$X$3:$AE$29,1,FALSE),"")</f>
        <v/>
      </c>
      <c r="J47" s="370" t="str">
        <f ca="1">IF(J46&lt;&gt;"",VLOOKUP(J46,Analytique!$X$3:$AE$29,1,FALSE),"")</f>
        <v/>
      </c>
      <c r="K47" s="370" t="str">
        <f ca="1">IF(K46&lt;&gt;"",VLOOKUP(K46,Analytique!$X$3:$AE$29,1,FALSE),"")</f>
        <v/>
      </c>
      <c r="L47" s="370" t="str">
        <f ca="1">IF(L46&lt;&gt;"",VLOOKUP(L46,Analytique!$X$3:$AE$29,1,FALSE),"")</f>
        <v/>
      </c>
      <c r="M47" s="370" t="str">
        <f ca="1">IF(M46&lt;&gt;"",VLOOKUP(M46,Analytique!$X$3:$AE$29,1,FALSE),"")</f>
        <v/>
      </c>
      <c r="N47" s="370" t="str">
        <f ca="1">IF(N46&lt;&gt;"",VLOOKUP(N46,Analytique!$X$3:$AE$29,1,FALSE),"")</f>
        <v/>
      </c>
      <c r="O47" s="370" t="str">
        <f ca="1">IF(O46&lt;&gt;"",VLOOKUP(O46,Analytique!$X$3:$AE$29,1,FALSE),"")</f>
        <v/>
      </c>
      <c r="P47" s="370" t="str">
        <f ca="1">IF(P46&lt;&gt;"",VLOOKUP(P46,Analytique!$X$3:$AE$29,1,FALSE),"")</f>
        <v/>
      </c>
      <c r="Q47" s="370" t="str">
        <f ca="1">IF(Q46&lt;&gt;"",VLOOKUP(Q46,Analytique!$X$3:$AE$29,1,FALSE),"")</f>
        <v/>
      </c>
      <c r="R47" s="370" t="str">
        <f ca="1">IF(R46&lt;&gt;"",VLOOKUP(R46,Analytique!$X$3:$AE$29,1,FALSE),"")</f>
        <v/>
      </c>
      <c r="S47" s="370" t="str">
        <f ca="1">IF(S46&lt;&gt;"",VLOOKUP(S46,Analytique!$X$3:$AE$29,1,FALSE),"")</f>
        <v/>
      </c>
      <c r="T47" s="371" t="str">
        <f ca="1">IF(T46&lt;&gt;"",VLOOKUP(T46,Analytique!$X$3:$AE$29,1,FALSE),"")</f>
        <v/>
      </c>
    </row>
    <row r="48" spans="2:20" ht="13" thickBot="1" x14ac:dyDescent="0.45">
      <c r="B48" s="1021"/>
      <c r="C48" s="1024"/>
      <c r="D48" s="163" t="str">
        <f>$D$10</f>
        <v>Sonde de température</v>
      </c>
      <c r="E48" s="163"/>
      <c r="F48" s="164" t="str">
        <f ca="1">IF(AND(OR(INDIRECT("Descriptif!I"&amp;E$13)=Recap_equipements!$B44,INDIRECT("Descriptif!I"&amp;E$13)=Recap_equipements!$C44),INDIRECT("Descriptif!M"&amp;E$13)=$D48),INDIRECT("Descriptif!F"&amp;E$13),"")</f>
        <v/>
      </c>
      <c r="G48" s="164" t="str">
        <f ca="1">IF(AND(OR(INDIRECT("Descriptif!I"&amp;F$13)=Recap_equipements!$B44,INDIRECT("Descriptif!I"&amp;F$13)=Recap_equipements!$C44),INDIRECT("Descriptif!M"&amp;F$13)=$D48),INDIRECT("Descriptif!F"&amp;F$13),"")</f>
        <v/>
      </c>
      <c r="H48" s="164" t="str">
        <f ca="1">IF(AND(OR(INDIRECT("Descriptif!I"&amp;G$13)=Recap_equipements!$B44,INDIRECT("Descriptif!I"&amp;G$13)=Recap_equipements!$C44),INDIRECT("Descriptif!M"&amp;G$13)=$D48),INDIRECT("Descriptif!F"&amp;G$13),"")</f>
        <v/>
      </c>
      <c r="I48" s="164" t="str">
        <f ca="1">IF(AND(OR(INDIRECT("Descriptif!I"&amp;H$13)=Recap_equipements!$B44,INDIRECT("Descriptif!I"&amp;H$13)=Recap_equipements!$C44),INDIRECT("Descriptif!M"&amp;H$13)=$D48),INDIRECT("Descriptif!F"&amp;H$13),"")</f>
        <v/>
      </c>
      <c r="J48" s="164" t="str">
        <f ca="1">IF(AND(OR(INDIRECT("Descriptif!I"&amp;I$13)=Recap_equipements!$B44,INDIRECT("Descriptif!I"&amp;I$13)=Recap_equipements!$C44),INDIRECT("Descriptif!M"&amp;I$13)=$D48),INDIRECT("Descriptif!F"&amp;I$13),"")</f>
        <v/>
      </c>
      <c r="K48" s="164" t="str">
        <f ca="1">IF(AND(OR(INDIRECT("Descriptif!I"&amp;J$13)=Recap_equipements!$B44,INDIRECT("Descriptif!I"&amp;J$13)=Recap_equipements!$C44),INDIRECT("Descriptif!M"&amp;J$13)=$D48),INDIRECT("Descriptif!F"&amp;J$13),"")</f>
        <v/>
      </c>
      <c r="L48" s="164" t="str">
        <f ca="1">IF(AND(OR(INDIRECT("Descriptif!I"&amp;K$13)=Recap_equipements!$B44,INDIRECT("Descriptif!I"&amp;K$13)=Recap_equipements!$C44),INDIRECT("Descriptif!M"&amp;K$13)=$D48),INDIRECT("Descriptif!F"&amp;K$13),"")</f>
        <v/>
      </c>
      <c r="M48" s="164" t="str">
        <f ca="1">IF(AND(OR(INDIRECT("Descriptif!I"&amp;L$13)=Recap_equipements!$B44,INDIRECT("Descriptif!I"&amp;L$13)=Recap_equipements!$C44),INDIRECT("Descriptif!M"&amp;L$13)=$D48),INDIRECT("Descriptif!F"&amp;L$13),"")</f>
        <v/>
      </c>
      <c r="N48" s="164" t="str">
        <f ca="1">IF(AND(OR(INDIRECT("Descriptif!I"&amp;M$13)=Recap_equipements!$B44,INDIRECT("Descriptif!I"&amp;M$13)=Recap_equipements!$C44),INDIRECT("Descriptif!M"&amp;M$13)=$D48),INDIRECT("Descriptif!F"&amp;M$13),"")</f>
        <v/>
      </c>
      <c r="O48" s="164" t="str">
        <f ca="1">IF(AND(OR(INDIRECT("Descriptif!I"&amp;N$13)=Recap_equipements!$B44,INDIRECT("Descriptif!I"&amp;N$13)=Recap_equipements!$C44),INDIRECT("Descriptif!M"&amp;N$13)=$D48),INDIRECT("Descriptif!F"&amp;N$13),"")</f>
        <v/>
      </c>
      <c r="P48" s="164" t="str">
        <f ca="1">IF(AND(OR(INDIRECT("Descriptif!I"&amp;O$13)=Recap_equipements!$B44,INDIRECT("Descriptif!I"&amp;O$13)=Recap_equipements!$C44),INDIRECT("Descriptif!M"&amp;O$13)=$D48),INDIRECT("Descriptif!F"&amp;O$13),"")</f>
        <v/>
      </c>
      <c r="Q48" s="164" t="str">
        <f ca="1">IF(AND(OR(INDIRECT("Descriptif!I"&amp;P$13)=Recap_equipements!$B44,INDIRECT("Descriptif!I"&amp;P$13)=Recap_equipements!$C44),INDIRECT("Descriptif!M"&amp;P$13)=$D48),INDIRECT("Descriptif!F"&amp;P$13),"")</f>
        <v/>
      </c>
      <c r="R48" s="164" t="str">
        <f ca="1">IF(AND(OR(INDIRECT("Descriptif!I"&amp;Q$13)=Recap_equipements!$B44,INDIRECT("Descriptif!I"&amp;Q$13)=Recap_equipements!$C44),INDIRECT("Descriptif!M"&amp;Q$13)=$D48),INDIRECT("Descriptif!F"&amp;Q$13),"")</f>
        <v/>
      </c>
      <c r="S48" s="164" t="str">
        <f ca="1">IF(AND(OR(INDIRECT("Descriptif!I"&amp;R$13)=Recap_equipements!$B44,INDIRECT("Descriptif!I"&amp;R$13)=Recap_equipements!$C44),INDIRECT("Descriptif!M"&amp;R$13)=$D48),INDIRECT("Descriptif!F"&amp;R$13),"")</f>
        <v/>
      </c>
      <c r="T48" s="165" t="str">
        <f ca="1">IF(AND(OR(INDIRECT("Descriptif!I"&amp;S$13)=Recap_equipements!$B44,INDIRECT("Descriptif!I"&amp;S$13)=Recap_equipements!$C44),INDIRECT("Descriptif!M"&amp;S$13)=$D48),INDIRECT("Descriptif!F"&amp;S$13),"")</f>
        <v/>
      </c>
    </row>
    <row r="49" spans="2:21" x14ac:dyDescent="0.4">
      <c r="B49" s="1019" t="s">
        <v>102</v>
      </c>
      <c r="C49" s="1022" t="s">
        <v>104</v>
      </c>
      <c r="D49" s="159" t="str">
        <f>$D$7</f>
        <v>Débitmètre en charge</v>
      </c>
      <c r="E49" s="159"/>
      <c r="F49" s="160" t="str">
        <f ca="1">IF(AND(OR(INDIRECT("Descriptif!I"&amp;E$14)=Recap_equipements!$B49,INDIRECT("Descriptif!I"&amp;E$14)=Recap_equipements!$C49),INDIRECT("Descriptif!M"&amp;E$14)=$D49),INDIRECT("Descriptif!F"&amp;E$14),"")</f>
        <v/>
      </c>
      <c r="G49" s="160" t="str">
        <f ca="1">IF(AND(OR(INDIRECT("Descriptif!I"&amp;F$14)=Recap_equipements!$B49,INDIRECT("Descriptif!I"&amp;F$14)=Recap_equipements!$C49),INDIRECT("Descriptif!M"&amp;F$14)=$D49),INDIRECT("Descriptif!F"&amp;F$14),"")</f>
        <v/>
      </c>
      <c r="H49" s="160" t="str">
        <f ca="1">IF(AND(OR(INDIRECT("Descriptif!I"&amp;G$14)=Recap_equipements!$B49,INDIRECT("Descriptif!I"&amp;G$14)=Recap_equipements!$C49),INDIRECT("Descriptif!M"&amp;G$14)=$D49),INDIRECT("Descriptif!F"&amp;G$14),"")</f>
        <v/>
      </c>
      <c r="I49" s="160" t="str">
        <f ca="1">IF(AND(OR(INDIRECT("Descriptif!I"&amp;H$14)=Recap_equipements!$B49,INDIRECT("Descriptif!I"&amp;H$14)=Recap_equipements!$C49),INDIRECT("Descriptif!M"&amp;H$14)=$D49),INDIRECT("Descriptif!F"&amp;H$14),"")</f>
        <v/>
      </c>
      <c r="J49" s="160" t="str">
        <f ca="1">IF(AND(OR(INDIRECT("Descriptif!I"&amp;I$14)=Recap_equipements!$B49,INDIRECT("Descriptif!I"&amp;I$14)=Recap_equipements!$C49),INDIRECT("Descriptif!M"&amp;I$14)=$D49),INDIRECT("Descriptif!F"&amp;I$14),"")</f>
        <v/>
      </c>
      <c r="K49" s="160" t="str">
        <f ca="1">IF(AND(OR(INDIRECT("Descriptif!I"&amp;J$14)=Recap_equipements!$B49,INDIRECT("Descriptif!I"&amp;J$14)=Recap_equipements!$C49),INDIRECT("Descriptif!M"&amp;J$14)=$D49),INDIRECT("Descriptif!F"&amp;J$14),"")</f>
        <v/>
      </c>
      <c r="L49" s="160" t="str">
        <f ca="1">IF(AND(OR(INDIRECT("Descriptif!I"&amp;K$14)=Recap_equipements!$B49,INDIRECT("Descriptif!I"&amp;K$14)=Recap_equipements!$C49),INDIRECT("Descriptif!M"&amp;K$14)=$D49),INDIRECT("Descriptif!F"&amp;K$14),"")</f>
        <v/>
      </c>
      <c r="M49" s="160" t="str">
        <f ca="1">IF(AND(OR(INDIRECT("Descriptif!I"&amp;L$14)=Recap_equipements!$B49,INDIRECT("Descriptif!I"&amp;L$14)=Recap_equipements!$C49),INDIRECT("Descriptif!M"&amp;L$14)=$D49),INDIRECT("Descriptif!F"&amp;L$14),"")</f>
        <v/>
      </c>
      <c r="N49" s="160" t="str">
        <f ca="1">IF(AND(OR(INDIRECT("Descriptif!I"&amp;M$14)=Recap_equipements!$B49,INDIRECT("Descriptif!I"&amp;M$14)=Recap_equipements!$C49),INDIRECT("Descriptif!M"&amp;M$14)=$D49),INDIRECT("Descriptif!F"&amp;M$14),"")</f>
        <v/>
      </c>
      <c r="O49" s="160" t="str">
        <f ca="1">IF(AND(OR(INDIRECT("Descriptif!I"&amp;N$14)=Recap_equipements!$B49,INDIRECT("Descriptif!I"&amp;N$14)=Recap_equipements!$C49),INDIRECT("Descriptif!M"&amp;N$14)=$D49),INDIRECT("Descriptif!F"&amp;N$14),"")</f>
        <v/>
      </c>
      <c r="P49" s="160" t="str">
        <f ca="1">IF(AND(OR(INDIRECT("Descriptif!I"&amp;O$14)=Recap_equipements!$B49,INDIRECT("Descriptif!I"&amp;O$14)=Recap_equipements!$C49),INDIRECT("Descriptif!M"&amp;O$14)=$D49),INDIRECT("Descriptif!F"&amp;O$14),"")</f>
        <v/>
      </c>
      <c r="Q49" s="160" t="str">
        <f ca="1">IF(AND(OR(INDIRECT("Descriptif!I"&amp;P$14)=Recap_equipements!$B49,INDIRECT("Descriptif!I"&amp;P$14)=Recap_equipements!$C49),INDIRECT("Descriptif!M"&amp;P$14)=$D49),INDIRECT("Descriptif!F"&amp;P$14),"")</f>
        <v/>
      </c>
      <c r="R49" s="160" t="str">
        <f ca="1">IF(AND(OR(INDIRECT("Descriptif!I"&amp;Q$14)=Recap_equipements!$B49,INDIRECT("Descriptif!I"&amp;Q$14)=Recap_equipements!$C49),INDIRECT("Descriptif!M"&amp;Q$14)=$D49),INDIRECT("Descriptif!F"&amp;Q$14),"")</f>
        <v/>
      </c>
      <c r="S49" s="160" t="str">
        <f ca="1">IF(AND(OR(INDIRECT("Descriptif!I"&amp;R$14)=Recap_equipements!$B49,INDIRECT("Descriptif!I"&amp;R$14)=Recap_equipements!$C49),INDIRECT("Descriptif!M"&amp;R$14)=$D49),INDIRECT("Descriptif!F"&amp;R$14),"")</f>
        <v/>
      </c>
      <c r="T49" s="161" t="str">
        <f ca="1">IF(AND(OR(INDIRECT("Descriptif!I"&amp;S$14)=Recap_equipements!$B49,INDIRECT("Descriptif!I"&amp;S$14)=Recap_equipements!$C49),INDIRECT("Descriptif!M"&amp;S$14)=$D49),INDIRECT("Descriptif!F"&amp;S$14),"")</f>
        <v/>
      </c>
    </row>
    <row r="50" spans="2:21" x14ac:dyDescent="0.4">
      <c r="B50" s="1020"/>
      <c r="C50" s="1023"/>
      <c r="D50" s="158" t="str">
        <f>$D$8</f>
        <v>Débitmètre gravitaire</v>
      </c>
      <c r="E50" s="158"/>
      <c r="F50" s="13" t="str">
        <f ca="1">IF(AND(OR(INDIRECT("Descriptif!I"&amp;E$14)=Recap_equipements!$B49,INDIRECT("Descriptif!I"&amp;E$14)=Recap_equipements!$C49),INDIRECT("Descriptif!M"&amp;E$14)=$D50),INDIRECT("Descriptif!F"&amp;E$14),"")</f>
        <v/>
      </c>
      <c r="G50" s="13" t="str">
        <f ca="1">IF(AND(OR(INDIRECT("Descriptif!I"&amp;F$14)=Recap_equipements!$B49,INDIRECT("Descriptif!I"&amp;F$14)=Recap_equipements!$C49),INDIRECT("Descriptif!M"&amp;F$14)=$D50),INDIRECT("Descriptif!F"&amp;F$14),"")</f>
        <v/>
      </c>
      <c r="H50" s="13" t="str">
        <f ca="1">IF(AND(OR(INDIRECT("Descriptif!I"&amp;G$14)=Recap_equipements!$B49,INDIRECT("Descriptif!I"&amp;G$14)=Recap_equipements!$C49),INDIRECT("Descriptif!M"&amp;G$14)=$D50),INDIRECT("Descriptif!F"&amp;G$14),"")</f>
        <v/>
      </c>
      <c r="I50" s="13" t="str">
        <f ca="1">IF(AND(OR(INDIRECT("Descriptif!I"&amp;H$14)=Recap_equipements!$B49,INDIRECT("Descriptif!I"&amp;H$14)=Recap_equipements!$C49),INDIRECT("Descriptif!M"&amp;H$14)=$D50),INDIRECT("Descriptif!F"&amp;H$14),"")</f>
        <v/>
      </c>
      <c r="J50" s="13" t="str">
        <f ca="1">IF(AND(OR(INDIRECT("Descriptif!I"&amp;I$14)=Recap_equipements!$B49,INDIRECT("Descriptif!I"&amp;I$14)=Recap_equipements!$C49),INDIRECT("Descriptif!M"&amp;I$14)=$D50),INDIRECT("Descriptif!F"&amp;I$14),"")</f>
        <v/>
      </c>
      <c r="K50" s="13" t="str">
        <f ca="1">IF(AND(OR(INDIRECT("Descriptif!I"&amp;J$14)=Recap_equipements!$B49,INDIRECT("Descriptif!I"&amp;J$14)=Recap_equipements!$C49),INDIRECT("Descriptif!M"&amp;J$14)=$D50),INDIRECT("Descriptif!F"&amp;J$14),"")</f>
        <v/>
      </c>
      <c r="L50" s="13" t="str">
        <f ca="1">IF(AND(OR(INDIRECT("Descriptif!I"&amp;K$14)=Recap_equipements!$B49,INDIRECT("Descriptif!I"&amp;K$14)=Recap_equipements!$C49),INDIRECT("Descriptif!M"&amp;K$14)=$D50),INDIRECT("Descriptif!F"&amp;K$14),"")</f>
        <v/>
      </c>
      <c r="M50" s="13" t="str">
        <f ca="1">IF(AND(OR(INDIRECT("Descriptif!I"&amp;L$14)=Recap_equipements!$B49,INDIRECT("Descriptif!I"&amp;L$14)=Recap_equipements!$C49),INDIRECT("Descriptif!M"&amp;L$14)=$D50),INDIRECT("Descriptif!F"&amp;L$14),"")</f>
        <v/>
      </c>
      <c r="N50" s="13" t="str">
        <f ca="1">IF(AND(OR(INDIRECT("Descriptif!I"&amp;M$14)=Recap_equipements!$B49,INDIRECT("Descriptif!I"&amp;M$14)=Recap_equipements!$C49),INDIRECT("Descriptif!M"&amp;M$14)=$D50),INDIRECT("Descriptif!F"&amp;M$14),"")</f>
        <v/>
      </c>
      <c r="O50" s="13" t="str">
        <f ca="1">IF(AND(OR(INDIRECT("Descriptif!I"&amp;N$14)=Recap_equipements!$B49,INDIRECT("Descriptif!I"&amp;N$14)=Recap_equipements!$C49),INDIRECT("Descriptif!M"&amp;N$14)=$D50),INDIRECT("Descriptif!F"&amp;N$14),"")</f>
        <v/>
      </c>
      <c r="P50" s="13" t="str">
        <f ca="1">IF(AND(OR(INDIRECT("Descriptif!I"&amp;O$14)=Recap_equipements!$B49,INDIRECT("Descriptif!I"&amp;O$14)=Recap_equipements!$C49),INDIRECT("Descriptif!M"&amp;O$14)=$D50),INDIRECT("Descriptif!F"&amp;O$14),"")</f>
        <v/>
      </c>
      <c r="Q50" s="13" t="str">
        <f ca="1">IF(AND(OR(INDIRECT("Descriptif!I"&amp;P$14)=Recap_equipements!$B49,INDIRECT("Descriptif!I"&amp;P$14)=Recap_equipements!$C49),INDIRECT("Descriptif!M"&amp;P$14)=$D50),INDIRECT("Descriptif!F"&amp;P$14),"")</f>
        <v/>
      </c>
      <c r="R50" s="13" t="str">
        <f ca="1">IF(AND(OR(INDIRECT("Descriptif!I"&amp;Q$14)=Recap_equipements!$B49,INDIRECT("Descriptif!I"&amp;Q$14)=Recap_equipements!$C49),INDIRECT("Descriptif!M"&amp;Q$14)=$D50),INDIRECT("Descriptif!F"&amp;Q$14),"")</f>
        <v/>
      </c>
      <c r="S50" s="13" t="str">
        <f ca="1">IF(AND(OR(INDIRECT("Descriptif!I"&amp;R$14)=Recap_equipements!$B49,INDIRECT("Descriptif!I"&amp;R$14)=Recap_equipements!$C49),INDIRECT("Descriptif!M"&amp;R$14)=$D50),INDIRECT("Descriptif!F"&amp;R$14),"")</f>
        <v/>
      </c>
      <c r="T50" s="162" t="str">
        <f ca="1">IF(AND(OR(INDIRECT("Descriptif!I"&amp;S$14)=Recap_equipements!$B49,INDIRECT("Descriptif!I"&amp;S$14)=Recap_equipements!$C49),INDIRECT("Descriptif!M"&amp;S$14)=$D50),INDIRECT("Descriptif!F"&amp;S$14),"")</f>
        <v/>
      </c>
    </row>
    <row r="51" spans="2:21" x14ac:dyDescent="0.4">
      <c r="B51" s="1020"/>
      <c r="C51" s="1023"/>
      <c r="D51" s="158" t="str">
        <f>$D$9</f>
        <v>Préleveur</v>
      </c>
      <c r="E51" s="158"/>
      <c r="F51" s="13" t="str">
        <f ca="1">IF(AND(OR(INDIRECT("Descriptif!I"&amp;E$14)=Recap_equipements!$B49,INDIRECT("Descriptif!I"&amp;E$14)=Recap_equipements!$C49),INDIRECT("Descriptif!M"&amp;E$14)=$D51),INDIRECT("Descriptif!F"&amp;E$14),"")</f>
        <v/>
      </c>
      <c r="G51" s="13" t="str">
        <f ca="1">IF(AND(OR(INDIRECT("Descriptif!I"&amp;F$14)=Recap_equipements!$B49,INDIRECT("Descriptif!I"&amp;F$14)=Recap_equipements!$C49),INDIRECT("Descriptif!M"&amp;F$14)=$D51),INDIRECT("Descriptif!F"&amp;F$14),"")</f>
        <v/>
      </c>
      <c r="H51" s="13" t="str">
        <f ca="1">IF(AND(OR(INDIRECT("Descriptif!I"&amp;G$14)=Recap_equipements!$B49,INDIRECT("Descriptif!I"&amp;G$14)=Recap_equipements!$C49),INDIRECT("Descriptif!M"&amp;G$14)=$D51),INDIRECT("Descriptif!F"&amp;G$14),"")</f>
        <v/>
      </c>
      <c r="I51" s="13" t="str">
        <f ca="1">IF(AND(OR(INDIRECT("Descriptif!I"&amp;H$14)=Recap_equipements!$B49,INDIRECT("Descriptif!I"&amp;H$14)=Recap_equipements!$C49),INDIRECT("Descriptif!M"&amp;H$14)=$D51),INDIRECT("Descriptif!F"&amp;H$14),"")</f>
        <v/>
      </c>
      <c r="J51" s="13" t="str">
        <f ca="1">IF(AND(OR(INDIRECT("Descriptif!I"&amp;I$14)=Recap_equipements!$B49,INDIRECT("Descriptif!I"&amp;I$14)=Recap_equipements!$C49),INDIRECT("Descriptif!M"&amp;I$14)=$D51),INDIRECT("Descriptif!F"&amp;I$14),"")</f>
        <v/>
      </c>
      <c r="K51" s="13" t="str">
        <f ca="1">IF(AND(OR(INDIRECT("Descriptif!I"&amp;J$14)=Recap_equipements!$B49,INDIRECT("Descriptif!I"&amp;J$14)=Recap_equipements!$C49),INDIRECT("Descriptif!M"&amp;J$14)=$D51),INDIRECT("Descriptif!F"&amp;J$14),"")</f>
        <v/>
      </c>
      <c r="L51" s="13" t="str">
        <f ca="1">IF(AND(OR(INDIRECT("Descriptif!I"&amp;K$14)=Recap_equipements!$B49,INDIRECT("Descriptif!I"&amp;K$14)=Recap_equipements!$C49),INDIRECT("Descriptif!M"&amp;K$14)=$D51),INDIRECT("Descriptif!F"&amp;K$14),"")</f>
        <v/>
      </c>
      <c r="M51" s="13" t="str">
        <f ca="1">IF(AND(OR(INDIRECT("Descriptif!I"&amp;L$14)=Recap_equipements!$B49,INDIRECT("Descriptif!I"&amp;L$14)=Recap_equipements!$C49),INDIRECT("Descriptif!M"&amp;L$14)=$D51),INDIRECT("Descriptif!F"&amp;L$14),"")</f>
        <v/>
      </c>
      <c r="N51" s="13" t="str">
        <f ca="1">IF(AND(OR(INDIRECT("Descriptif!I"&amp;M$14)=Recap_equipements!$B49,INDIRECT("Descriptif!I"&amp;M$14)=Recap_equipements!$C49),INDIRECT("Descriptif!M"&amp;M$14)=$D51),INDIRECT("Descriptif!F"&amp;M$14),"")</f>
        <v/>
      </c>
      <c r="O51" s="13" t="str">
        <f ca="1">IF(AND(OR(INDIRECT("Descriptif!I"&amp;N$14)=Recap_equipements!$B49,INDIRECT("Descriptif!I"&amp;N$14)=Recap_equipements!$C49),INDIRECT("Descriptif!M"&amp;N$14)=$D51),INDIRECT("Descriptif!F"&amp;N$14),"")</f>
        <v/>
      </c>
      <c r="P51" s="13" t="str">
        <f ca="1">IF(AND(OR(INDIRECT("Descriptif!I"&amp;O$14)=Recap_equipements!$B49,INDIRECT("Descriptif!I"&amp;O$14)=Recap_equipements!$C49),INDIRECT("Descriptif!M"&amp;O$14)=$D51),INDIRECT("Descriptif!F"&amp;O$14),"")</f>
        <v/>
      </c>
      <c r="Q51" s="13" t="str">
        <f ca="1">IF(AND(OR(INDIRECT("Descriptif!I"&amp;P$14)=Recap_equipements!$B49,INDIRECT("Descriptif!I"&amp;P$14)=Recap_equipements!$C49),INDIRECT("Descriptif!M"&amp;P$14)=$D51),INDIRECT("Descriptif!F"&amp;P$14),"")</f>
        <v/>
      </c>
      <c r="R51" s="13" t="str">
        <f ca="1">IF(AND(OR(INDIRECT("Descriptif!I"&amp;Q$14)=Recap_equipements!$B49,INDIRECT("Descriptif!I"&amp;Q$14)=Recap_equipements!$C49),INDIRECT("Descriptif!M"&amp;Q$14)=$D51),INDIRECT("Descriptif!F"&amp;Q$14),"")</f>
        <v/>
      </c>
      <c r="S51" s="13" t="str">
        <f ca="1">IF(AND(OR(INDIRECT("Descriptif!I"&amp;R$14)=Recap_equipements!$B49,INDIRECT("Descriptif!I"&amp;R$14)=Recap_equipements!$C49),INDIRECT("Descriptif!M"&amp;R$14)=$D51),INDIRECT("Descriptif!F"&amp;R$14),"")</f>
        <v/>
      </c>
      <c r="T51" s="162" t="str">
        <f ca="1">IF(AND(OR(INDIRECT("Descriptif!I"&amp;S$14)=Recap_equipements!$B49,INDIRECT("Descriptif!I"&amp;S$14)=Recap_equipements!$C49),INDIRECT("Descriptif!M"&amp;S$14)=$D51),INDIRECT("Descriptif!F"&amp;S$14),"")</f>
        <v/>
      </c>
    </row>
    <row r="52" spans="2:21" x14ac:dyDescent="0.4">
      <c r="B52" s="1020"/>
      <c r="C52" s="1023"/>
      <c r="D52" s="369" t="s">
        <v>412</v>
      </c>
      <c r="E52" s="369"/>
      <c r="F52" s="370" t="str">
        <f ca="1">IF(F51&lt;&gt;"",VLOOKUP(F51,Analytique!$X$3:$AE$29,1,FALSE),"")</f>
        <v/>
      </c>
      <c r="G52" s="370" t="str">
        <f ca="1">IF(G51&lt;&gt;"",VLOOKUP(G51,Analytique!$X$3:$AE$29,1,FALSE),"")</f>
        <v/>
      </c>
      <c r="H52" s="370" t="str">
        <f ca="1">IF(H51&lt;&gt;"",VLOOKUP(H51,Analytique!$X$3:$AE$29,1,FALSE),"")</f>
        <v/>
      </c>
      <c r="I52" s="370" t="str">
        <f ca="1">IF(I51&lt;&gt;"",VLOOKUP(I51,Analytique!$X$3:$AE$29,1,FALSE),"")</f>
        <v/>
      </c>
      <c r="J52" s="370" t="str">
        <f ca="1">IF(J51&lt;&gt;"",VLOOKUP(J51,Analytique!$X$3:$AE$29,1,FALSE),"")</f>
        <v/>
      </c>
      <c r="K52" s="370" t="str">
        <f ca="1">IF(K51&lt;&gt;"",VLOOKUP(K51,Analytique!$X$3:$AE$29,1,FALSE),"")</f>
        <v/>
      </c>
      <c r="L52" s="370" t="str">
        <f ca="1">IF(L51&lt;&gt;"",VLOOKUP(L51,Analytique!$X$3:$AE$29,1,FALSE),"")</f>
        <v/>
      </c>
      <c r="M52" s="370" t="str">
        <f ca="1">IF(M51&lt;&gt;"",VLOOKUP(M51,Analytique!$X$3:$AE$29,1,FALSE),"")</f>
        <v/>
      </c>
      <c r="N52" s="370" t="str">
        <f ca="1">IF(N51&lt;&gt;"",VLOOKUP(N51,Analytique!$X$3:$AE$29,1,FALSE),"")</f>
        <v/>
      </c>
      <c r="O52" s="370" t="str">
        <f ca="1">IF(O51&lt;&gt;"",VLOOKUP(O51,Analytique!$X$3:$AE$29,1,FALSE),"")</f>
        <v/>
      </c>
      <c r="P52" s="370" t="str">
        <f ca="1">IF(P51&lt;&gt;"",VLOOKUP(P51,Analytique!$X$3:$AE$29,1,FALSE),"")</f>
        <v/>
      </c>
      <c r="Q52" s="370" t="str">
        <f ca="1">IF(Q51&lt;&gt;"",VLOOKUP(Q51,Analytique!$X$3:$AE$29,1,FALSE),"")</f>
        <v/>
      </c>
      <c r="R52" s="370" t="str">
        <f ca="1">IF(R51&lt;&gt;"",VLOOKUP(R51,Analytique!$X$3:$AE$29,1,FALSE),"")</f>
        <v/>
      </c>
      <c r="S52" s="370" t="str">
        <f ca="1">IF(S51&lt;&gt;"",VLOOKUP(S51,Analytique!$X$3:$AE$29,1,FALSE),"")</f>
        <v/>
      </c>
      <c r="T52" s="371" t="str">
        <f ca="1">IF(T51&lt;&gt;"",VLOOKUP(T51,Analytique!$X$3:$AE$29,1,FALSE),"")</f>
        <v/>
      </c>
    </row>
    <row r="53" spans="2:21" ht="13" thickBot="1" x14ac:dyDescent="0.45">
      <c r="B53" s="1021"/>
      <c r="C53" s="1024"/>
      <c r="D53" s="163" t="str">
        <f>$D$10</f>
        <v>Sonde de température</v>
      </c>
      <c r="E53" s="163"/>
      <c r="F53" s="164" t="str">
        <f ca="1">IF(AND(OR(INDIRECT("Descriptif!I"&amp;E$14)=Recap_equipements!$B49,INDIRECT("Descriptif!I"&amp;E$14)=Recap_equipements!$C49),INDIRECT("Descriptif!M"&amp;E$14)=$D53),INDIRECT("Descriptif!F"&amp;E$14),"")</f>
        <v/>
      </c>
      <c r="G53" s="164" t="str">
        <f ca="1">IF(AND(OR(INDIRECT("Descriptif!I"&amp;F$14)=Recap_equipements!$B49,INDIRECT("Descriptif!I"&amp;F$14)=Recap_equipements!$C49),INDIRECT("Descriptif!M"&amp;F$14)=$D53),INDIRECT("Descriptif!F"&amp;F$14),"")</f>
        <v/>
      </c>
      <c r="H53" s="164" t="str">
        <f ca="1">IF(AND(OR(INDIRECT("Descriptif!I"&amp;G$14)=Recap_equipements!$B49,INDIRECT("Descriptif!I"&amp;G$14)=Recap_equipements!$C49),INDIRECT("Descriptif!M"&amp;G$14)=$D53),INDIRECT("Descriptif!F"&amp;G$14),"")</f>
        <v/>
      </c>
      <c r="I53" s="164" t="str">
        <f ca="1">IF(AND(OR(INDIRECT("Descriptif!I"&amp;H$14)=Recap_equipements!$B49,INDIRECT("Descriptif!I"&amp;H$14)=Recap_equipements!$C49),INDIRECT("Descriptif!M"&amp;H$14)=$D53),INDIRECT("Descriptif!F"&amp;H$14),"")</f>
        <v/>
      </c>
      <c r="J53" s="164" t="str">
        <f ca="1">IF(AND(OR(INDIRECT("Descriptif!I"&amp;I$14)=Recap_equipements!$B49,INDIRECT("Descriptif!I"&amp;I$14)=Recap_equipements!$C49),INDIRECT("Descriptif!M"&amp;I$14)=$D53),INDIRECT("Descriptif!F"&amp;I$14),"")</f>
        <v/>
      </c>
      <c r="K53" s="164" t="str">
        <f ca="1">IF(AND(OR(INDIRECT("Descriptif!I"&amp;J$14)=Recap_equipements!$B49,INDIRECT("Descriptif!I"&amp;J$14)=Recap_equipements!$C49),INDIRECT("Descriptif!M"&amp;J$14)=$D53),INDIRECT("Descriptif!F"&amp;J$14),"")</f>
        <v/>
      </c>
      <c r="L53" s="164" t="str">
        <f ca="1">IF(AND(OR(INDIRECT("Descriptif!I"&amp;K$14)=Recap_equipements!$B49,INDIRECT("Descriptif!I"&amp;K$14)=Recap_equipements!$C49),INDIRECT("Descriptif!M"&amp;K$14)=$D53),INDIRECT("Descriptif!F"&amp;K$14),"")</f>
        <v/>
      </c>
      <c r="M53" s="164" t="str">
        <f ca="1">IF(AND(OR(INDIRECT("Descriptif!I"&amp;L$14)=Recap_equipements!$B49,INDIRECT("Descriptif!I"&amp;L$14)=Recap_equipements!$C49),INDIRECT("Descriptif!M"&amp;L$14)=$D53),INDIRECT("Descriptif!F"&amp;L$14),"")</f>
        <v/>
      </c>
      <c r="N53" s="164" t="str">
        <f ca="1">IF(AND(OR(INDIRECT("Descriptif!I"&amp;M$14)=Recap_equipements!$B49,INDIRECT("Descriptif!I"&amp;M$14)=Recap_equipements!$C49),INDIRECT("Descriptif!M"&amp;M$14)=$D53),INDIRECT("Descriptif!F"&amp;M$14),"")</f>
        <v/>
      </c>
      <c r="O53" s="164" t="str">
        <f ca="1">IF(AND(OR(INDIRECT("Descriptif!I"&amp;N$14)=Recap_equipements!$B49,INDIRECT("Descriptif!I"&amp;N$14)=Recap_equipements!$C49),INDIRECT("Descriptif!M"&amp;N$14)=$D53),INDIRECT("Descriptif!F"&amp;N$14),"")</f>
        <v/>
      </c>
      <c r="P53" s="164" t="str">
        <f ca="1">IF(AND(OR(INDIRECT("Descriptif!I"&amp;O$14)=Recap_equipements!$B49,INDIRECT("Descriptif!I"&amp;O$14)=Recap_equipements!$C49),INDIRECT("Descriptif!M"&amp;O$14)=$D53),INDIRECT("Descriptif!F"&amp;O$14),"")</f>
        <v/>
      </c>
      <c r="Q53" s="164" t="str">
        <f ca="1">IF(AND(OR(INDIRECT("Descriptif!I"&amp;P$14)=Recap_equipements!$B49,INDIRECT("Descriptif!I"&amp;P$14)=Recap_equipements!$C49),INDIRECT("Descriptif!M"&amp;P$14)=$D53),INDIRECT("Descriptif!F"&amp;P$14),"")</f>
        <v/>
      </c>
      <c r="R53" s="164" t="str">
        <f ca="1">IF(AND(OR(INDIRECT("Descriptif!I"&amp;Q$14)=Recap_equipements!$B49,INDIRECT("Descriptif!I"&amp;Q$14)=Recap_equipements!$C49),INDIRECT("Descriptif!M"&amp;Q$14)=$D53),INDIRECT("Descriptif!F"&amp;Q$14),"")</f>
        <v/>
      </c>
      <c r="S53" s="164" t="str">
        <f ca="1">IF(AND(OR(INDIRECT("Descriptif!I"&amp;R$14)=Recap_equipements!$B49,INDIRECT("Descriptif!I"&amp;R$14)=Recap_equipements!$C49),INDIRECT("Descriptif!M"&amp;R$14)=$D53),INDIRECT("Descriptif!F"&amp;R$14),"")</f>
        <v/>
      </c>
      <c r="T53" s="165" t="str">
        <f ca="1">IF(AND(OR(INDIRECT("Descriptif!I"&amp;S$14)=Recap_equipements!$B49,INDIRECT("Descriptif!I"&amp;S$14)=Recap_equipements!$C49),INDIRECT("Descriptif!M"&amp;S$14)=$D53),INDIRECT("Descriptif!F"&amp;S$14),"")</f>
        <v/>
      </c>
    </row>
    <row r="54" spans="2:21" x14ac:dyDescent="0.4">
      <c r="B54" s="1019" t="s">
        <v>116</v>
      </c>
      <c r="C54" s="1022" t="s">
        <v>123</v>
      </c>
      <c r="D54" s="159" t="str">
        <f>$D$7</f>
        <v>Débitmètre en charge</v>
      </c>
      <c r="E54" s="159"/>
      <c r="F54" s="160" t="str">
        <f ca="1">IF(AND(OR(INDIRECT("Descriptif!I"&amp;E$13)=Recap_equipements!$B54,INDIRECT("Descriptif!I"&amp;E$13)=Recap_equipements!$C54),INDIRECT("Descriptif!M"&amp;E$13)=$D54),INDIRECT("Descriptif!F"&amp;E$13),"")</f>
        <v/>
      </c>
      <c r="G54" s="160" t="str">
        <f ca="1">IF(AND(OR(INDIRECT("Descriptif!I"&amp;F$13)=Recap_equipements!$B54,INDIRECT("Descriptif!I"&amp;F$13)=Recap_equipements!$C54),INDIRECT("Descriptif!M"&amp;F$13)=$D54),INDIRECT("Descriptif!F"&amp;F$13),"")</f>
        <v/>
      </c>
      <c r="H54" s="160" t="str">
        <f ca="1">IF(AND(OR(INDIRECT("Descriptif!I"&amp;G$13)=Recap_equipements!$B54,INDIRECT("Descriptif!I"&amp;G$13)=Recap_equipements!$C54),INDIRECT("Descriptif!M"&amp;G$13)=$D54),INDIRECT("Descriptif!F"&amp;G$13),"")</f>
        <v/>
      </c>
      <c r="I54" s="160" t="str">
        <f ca="1">IF(AND(OR(INDIRECT("Descriptif!I"&amp;H$13)=Recap_equipements!$B54,INDIRECT("Descriptif!I"&amp;H$13)=Recap_equipements!$C54),INDIRECT("Descriptif!M"&amp;H$13)=$D54),INDIRECT("Descriptif!F"&amp;H$13),"")</f>
        <v/>
      </c>
      <c r="J54" s="160" t="str">
        <f ca="1">IF(AND(OR(INDIRECT("Descriptif!I"&amp;I$13)=Recap_equipements!$B54,INDIRECT("Descriptif!I"&amp;I$13)=Recap_equipements!$C54),INDIRECT("Descriptif!M"&amp;I$13)=$D54),INDIRECT("Descriptif!F"&amp;I$13),"")</f>
        <v/>
      </c>
      <c r="K54" s="160" t="str">
        <f ca="1">IF(AND(OR(INDIRECT("Descriptif!I"&amp;J$13)=Recap_equipements!$B54,INDIRECT("Descriptif!I"&amp;J$13)=Recap_equipements!$C54),INDIRECT("Descriptif!M"&amp;J$13)=$D54),INDIRECT("Descriptif!F"&amp;J$13),"")</f>
        <v/>
      </c>
      <c r="L54" s="160" t="str">
        <f ca="1">IF(AND(OR(INDIRECT("Descriptif!I"&amp;K$13)=Recap_equipements!$B54,INDIRECT("Descriptif!I"&amp;K$13)=Recap_equipements!$C54),INDIRECT("Descriptif!M"&amp;K$13)=$D54),INDIRECT("Descriptif!F"&amp;K$13),"")</f>
        <v/>
      </c>
      <c r="M54" s="160" t="str">
        <f ca="1">IF(AND(OR(INDIRECT("Descriptif!I"&amp;L$13)=Recap_equipements!$B54,INDIRECT("Descriptif!I"&amp;L$13)=Recap_equipements!$C54),INDIRECT("Descriptif!M"&amp;L$13)=$D54),INDIRECT("Descriptif!F"&amp;L$13),"")</f>
        <v/>
      </c>
      <c r="N54" s="160" t="str">
        <f ca="1">IF(AND(OR(INDIRECT("Descriptif!I"&amp;M$13)=Recap_equipements!$B54,INDIRECT("Descriptif!I"&amp;M$13)=Recap_equipements!$C54),INDIRECT("Descriptif!M"&amp;M$13)=$D54),INDIRECT("Descriptif!F"&amp;M$13),"")</f>
        <v/>
      </c>
      <c r="O54" s="160" t="str">
        <f ca="1">IF(AND(OR(INDIRECT("Descriptif!I"&amp;N$13)=Recap_equipements!$B54,INDIRECT("Descriptif!I"&amp;N$13)=Recap_equipements!$C54),INDIRECT("Descriptif!M"&amp;N$13)=$D54),INDIRECT("Descriptif!F"&amp;N$13),"")</f>
        <v/>
      </c>
      <c r="P54" s="160" t="str">
        <f ca="1">IF(AND(OR(INDIRECT("Descriptif!I"&amp;O$13)=Recap_equipements!$B54,INDIRECT("Descriptif!I"&amp;O$13)=Recap_equipements!$C54),INDIRECT("Descriptif!M"&amp;O$13)=$D54),INDIRECT("Descriptif!F"&amp;O$13),"")</f>
        <v/>
      </c>
      <c r="Q54" s="160" t="str">
        <f ca="1">IF(AND(OR(INDIRECT("Descriptif!I"&amp;P$13)=Recap_equipements!$B54,INDIRECT("Descriptif!I"&amp;P$13)=Recap_equipements!$C54),INDIRECT("Descriptif!M"&amp;P$13)=$D54),INDIRECT("Descriptif!F"&amp;P$13),"")</f>
        <v/>
      </c>
      <c r="R54" s="160" t="str">
        <f ca="1">IF(AND(OR(INDIRECT("Descriptif!I"&amp;Q$13)=Recap_equipements!$B54,INDIRECT("Descriptif!I"&amp;Q$13)=Recap_equipements!$C54),INDIRECT("Descriptif!M"&amp;Q$13)=$D54),INDIRECT("Descriptif!F"&amp;Q$13),"")</f>
        <v/>
      </c>
      <c r="S54" s="160" t="str">
        <f ca="1">IF(AND(OR(INDIRECT("Descriptif!I"&amp;R$13)=Recap_equipements!$B54,INDIRECT("Descriptif!I"&amp;R$13)=Recap_equipements!$C54),INDIRECT("Descriptif!M"&amp;R$13)=$D54),INDIRECT("Descriptif!F"&amp;R$13),"")</f>
        <v/>
      </c>
      <c r="T54" s="161" t="str">
        <f ca="1">IF(AND(OR(INDIRECT("Descriptif!I"&amp;S$13)=Recap_equipements!$B54,INDIRECT("Descriptif!I"&amp;S$13)=Recap_equipements!$C54),INDIRECT("Descriptif!M"&amp;S$13)=$D54),INDIRECT("Descriptif!F"&amp;S$13),"")</f>
        <v/>
      </c>
    </row>
    <row r="55" spans="2:21" x14ac:dyDescent="0.4">
      <c r="B55" s="1020"/>
      <c r="C55" s="1023"/>
      <c r="D55" s="158" t="str">
        <f>$D$8</f>
        <v>Débitmètre gravitaire</v>
      </c>
      <c r="E55" s="158"/>
      <c r="F55" s="13" t="str">
        <f ca="1">IF(AND(OR(INDIRECT("Descriptif!I"&amp;E$13)=Recap_equipements!$B54,INDIRECT("Descriptif!I"&amp;E$13)=Recap_equipements!$C54),INDIRECT("Descriptif!M"&amp;E$13)=$D55),INDIRECT("Descriptif!F"&amp;E$13),"")</f>
        <v/>
      </c>
      <c r="G55" s="13" t="str">
        <f ca="1">IF(AND(OR(INDIRECT("Descriptif!I"&amp;F$13)=Recap_equipements!$B54,INDIRECT("Descriptif!I"&amp;F$13)=Recap_equipements!$C54),INDIRECT("Descriptif!M"&amp;F$13)=$D55),INDIRECT("Descriptif!F"&amp;F$13),"")</f>
        <v/>
      </c>
      <c r="H55" s="13" t="str">
        <f ca="1">IF(AND(OR(INDIRECT("Descriptif!I"&amp;G$13)=Recap_equipements!$B54,INDIRECT("Descriptif!I"&amp;G$13)=Recap_equipements!$C54),INDIRECT("Descriptif!M"&amp;G$13)=$D55),INDIRECT("Descriptif!F"&amp;G$13),"")</f>
        <v/>
      </c>
      <c r="I55" s="13" t="str">
        <f ca="1">IF(AND(OR(INDIRECT("Descriptif!I"&amp;H$13)=Recap_equipements!$B54,INDIRECT("Descriptif!I"&amp;H$13)=Recap_equipements!$C54),INDIRECT("Descriptif!M"&amp;H$13)=$D55),INDIRECT("Descriptif!F"&amp;H$13),"")</f>
        <v/>
      </c>
      <c r="J55" s="13" t="str">
        <f ca="1">IF(AND(OR(INDIRECT("Descriptif!I"&amp;I$13)=Recap_equipements!$B54,INDIRECT("Descriptif!I"&amp;I$13)=Recap_equipements!$C54),INDIRECT("Descriptif!M"&amp;I$13)=$D55),INDIRECT("Descriptif!F"&amp;I$13),"")</f>
        <v/>
      </c>
      <c r="K55" s="13" t="str">
        <f ca="1">IF(AND(OR(INDIRECT("Descriptif!I"&amp;J$13)=Recap_equipements!$B54,INDIRECT("Descriptif!I"&amp;J$13)=Recap_equipements!$C54),INDIRECT("Descriptif!M"&amp;J$13)=$D55),INDIRECT("Descriptif!F"&amp;J$13),"")</f>
        <v/>
      </c>
      <c r="L55" s="13" t="str">
        <f ca="1">IF(AND(OR(INDIRECT("Descriptif!I"&amp;K$13)=Recap_equipements!$B54,INDIRECT("Descriptif!I"&amp;K$13)=Recap_equipements!$C54),INDIRECT("Descriptif!M"&amp;K$13)=$D55),INDIRECT("Descriptif!F"&amp;K$13),"")</f>
        <v/>
      </c>
      <c r="M55" s="13" t="str">
        <f ca="1">IF(AND(OR(INDIRECT("Descriptif!I"&amp;L$13)=Recap_equipements!$B54,INDIRECT("Descriptif!I"&amp;L$13)=Recap_equipements!$C54),INDIRECT("Descriptif!M"&amp;L$13)=$D55),INDIRECT("Descriptif!F"&amp;L$13),"")</f>
        <v/>
      </c>
      <c r="N55" s="13" t="str">
        <f ca="1">IF(AND(OR(INDIRECT("Descriptif!I"&amp;M$13)=Recap_equipements!$B54,INDIRECT("Descriptif!I"&amp;M$13)=Recap_equipements!$C54),INDIRECT("Descriptif!M"&amp;M$13)=$D55),INDIRECT("Descriptif!F"&amp;M$13),"")</f>
        <v/>
      </c>
      <c r="O55" s="13" t="str">
        <f ca="1">IF(AND(OR(INDIRECT("Descriptif!I"&amp;N$13)=Recap_equipements!$B54,INDIRECT("Descriptif!I"&amp;N$13)=Recap_equipements!$C54),INDIRECT("Descriptif!M"&amp;N$13)=$D55),INDIRECT("Descriptif!F"&amp;N$13),"")</f>
        <v/>
      </c>
      <c r="P55" s="13" t="str">
        <f ca="1">IF(AND(OR(INDIRECT("Descriptif!I"&amp;O$13)=Recap_equipements!$B54,INDIRECT("Descriptif!I"&amp;O$13)=Recap_equipements!$C54),INDIRECT("Descriptif!M"&amp;O$13)=$D55),INDIRECT("Descriptif!F"&amp;O$13),"")</f>
        <v/>
      </c>
      <c r="Q55" s="13" t="str">
        <f ca="1">IF(AND(OR(INDIRECT("Descriptif!I"&amp;P$13)=Recap_equipements!$B54,INDIRECT("Descriptif!I"&amp;P$13)=Recap_equipements!$C54),INDIRECT("Descriptif!M"&amp;P$13)=$D55),INDIRECT("Descriptif!F"&amp;P$13),"")</f>
        <v/>
      </c>
      <c r="R55" s="13" t="str">
        <f ca="1">IF(AND(OR(INDIRECT("Descriptif!I"&amp;Q$13)=Recap_equipements!$B54,INDIRECT("Descriptif!I"&amp;Q$13)=Recap_equipements!$C54),INDIRECT("Descriptif!M"&amp;Q$13)=$D55),INDIRECT("Descriptif!F"&amp;Q$13),"")</f>
        <v/>
      </c>
      <c r="S55" s="13" t="str">
        <f ca="1">IF(AND(OR(INDIRECT("Descriptif!I"&amp;R$13)=Recap_equipements!$B54,INDIRECT("Descriptif!I"&amp;R$13)=Recap_equipements!$C54),INDIRECT("Descriptif!M"&amp;R$13)=$D55),INDIRECT("Descriptif!F"&amp;R$13),"")</f>
        <v/>
      </c>
      <c r="T55" s="162" t="str">
        <f ca="1">IF(AND(OR(INDIRECT("Descriptif!I"&amp;S$13)=Recap_equipements!$B54,INDIRECT("Descriptif!I"&amp;S$13)=Recap_equipements!$C54),INDIRECT("Descriptif!M"&amp;S$13)=$D55),INDIRECT("Descriptif!F"&amp;S$13),"")</f>
        <v/>
      </c>
    </row>
    <row r="56" spans="2:21" x14ac:dyDescent="0.4">
      <c r="B56" s="1020"/>
      <c r="C56" s="1023"/>
      <c r="D56" s="158" t="str">
        <f>$D$9</f>
        <v>Préleveur</v>
      </c>
      <c r="E56" s="158"/>
      <c r="F56" s="13" t="str">
        <f ca="1">IF(AND(OR(INDIRECT("Descriptif!I"&amp;E$13)=Recap_equipements!$B54,INDIRECT("Descriptif!I"&amp;E$13)=Recap_equipements!$C54),INDIRECT("Descriptif!M"&amp;E$13)=$D56),INDIRECT("Descriptif!F"&amp;E$13),"")</f>
        <v/>
      </c>
      <c r="G56" s="13" t="str">
        <f ca="1">IF(AND(OR(INDIRECT("Descriptif!I"&amp;F$13)=Recap_equipements!$B54,INDIRECT("Descriptif!I"&amp;F$13)=Recap_equipements!$C54),INDIRECT("Descriptif!M"&amp;F$13)=$D56),INDIRECT("Descriptif!F"&amp;F$13),"")</f>
        <v/>
      </c>
      <c r="H56" s="13" t="str">
        <f ca="1">IF(AND(OR(INDIRECT("Descriptif!I"&amp;G$13)=Recap_equipements!$B54,INDIRECT("Descriptif!I"&amp;G$13)=Recap_equipements!$C54),INDIRECT("Descriptif!M"&amp;G$13)=$D56),INDIRECT("Descriptif!F"&amp;G$13),"")</f>
        <v/>
      </c>
      <c r="I56" s="13" t="str">
        <f ca="1">IF(AND(OR(INDIRECT("Descriptif!I"&amp;H$13)=Recap_equipements!$B54,INDIRECT("Descriptif!I"&amp;H$13)=Recap_equipements!$C54),INDIRECT("Descriptif!M"&amp;H$13)=$D56),INDIRECT("Descriptif!F"&amp;H$13),"")</f>
        <v/>
      </c>
      <c r="J56" s="13" t="str">
        <f ca="1">IF(AND(OR(INDIRECT("Descriptif!I"&amp;I$13)=Recap_equipements!$B54,INDIRECT("Descriptif!I"&amp;I$13)=Recap_equipements!$C54),INDIRECT("Descriptif!M"&amp;I$13)=$D56),INDIRECT("Descriptif!F"&amp;I$13),"")</f>
        <v/>
      </c>
      <c r="K56" s="13" t="str">
        <f ca="1">IF(AND(OR(INDIRECT("Descriptif!I"&amp;J$13)=Recap_equipements!$B54,INDIRECT("Descriptif!I"&amp;J$13)=Recap_equipements!$C54),INDIRECT("Descriptif!M"&amp;J$13)=$D56),INDIRECT("Descriptif!F"&amp;J$13),"")</f>
        <v/>
      </c>
      <c r="L56" s="13" t="str">
        <f ca="1">IF(AND(OR(INDIRECT("Descriptif!I"&amp;K$13)=Recap_equipements!$B54,INDIRECT("Descriptif!I"&amp;K$13)=Recap_equipements!$C54),INDIRECT("Descriptif!M"&amp;K$13)=$D56),INDIRECT("Descriptif!F"&amp;K$13),"")</f>
        <v/>
      </c>
      <c r="M56" s="13" t="str">
        <f ca="1">IF(AND(OR(INDIRECT("Descriptif!I"&amp;L$13)=Recap_equipements!$B54,INDIRECT("Descriptif!I"&amp;L$13)=Recap_equipements!$C54),INDIRECT("Descriptif!M"&amp;L$13)=$D56),INDIRECT("Descriptif!F"&amp;L$13),"")</f>
        <v/>
      </c>
      <c r="N56" s="13" t="str">
        <f ca="1">IF(AND(OR(INDIRECT("Descriptif!I"&amp;M$13)=Recap_equipements!$B54,INDIRECT("Descriptif!I"&amp;M$13)=Recap_equipements!$C54),INDIRECT("Descriptif!M"&amp;M$13)=$D56),INDIRECT("Descriptif!F"&amp;M$13),"")</f>
        <v/>
      </c>
      <c r="O56" s="13" t="str">
        <f ca="1">IF(AND(OR(INDIRECT("Descriptif!I"&amp;N$13)=Recap_equipements!$B54,INDIRECT("Descriptif!I"&amp;N$13)=Recap_equipements!$C54),INDIRECT("Descriptif!M"&amp;N$13)=$D56),INDIRECT("Descriptif!F"&amp;N$13),"")</f>
        <v/>
      </c>
      <c r="P56" s="13" t="str">
        <f ca="1">IF(AND(OR(INDIRECT("Descriptif!I"&amp;O$13)=Recap_equipements!$B54,INDIRECT("Descriptif!I"&amp;O$13)=Recap_equipements!$C54),INDIRECT("Descriptif!M"&amp;O$13)=$D56),INDIRECT("Descriptif!F"&amp;O$13),"")</f>
        <v/>
      </c>
      <c r="Q56" s="13" t="str">
        <f ca="1">IF(AND(OR(INDIRECT("Descriptif!I"&amp;P$13)=Recap_equipements!$B54,INDIRECT("Descriptif!I"&amp;P$13)=Recap_equipements!$C54),INDIRECT("Descriptif!M"&amp;P$13)=$D56),INDIRECT("Descriptif!F"&amp;P$13),"")</f>
        <v/>
      </c>
      <c r="R56" s="13" t="str">
        <f ca="1">IF(AND(OR(INDIRECT("Descriptif!I"&amp;Q$13)=Recap_equipements!$B54,INDIRECT("Descriptif!I"&amp;Q$13)=Recap_equipements!$C54),INDIRECT("Descriptif!M"&amp;Q$13)=$D56),INDIRECT("Descriptif!F"&amp;Q$13),"")</f>
        <v/>
      </c>
      <c r="S56" s="13" t="str">
        <f ca="1">IF(AND(OR(INDIRECT("Descriptif!I"&amp;R$13)=Recap_equipements!$B54,INDIRECT("Descriptif!I"&amp;R$13)=Recap_equipements!$C54),INDIRECT("Descriptif!M"&amp;R$13)=$D56),INDIRECT("Descriptif!F"&amp;R$13),"")</f>
        <v/>
      </c>
      <c r="T56" s="162" t="str">
        <f ca="1">IF(AND(OR(INDIRECT("Descriptif!I"&amp;S$13)=Recap_equipements!$B54,INDIRECT("Descriptif!I"&amp;S$13)=Recap_equipements!$C54),INDIRECT("Descriptif!M"&amp;S$13)=$D56),INDIRECT("Descriptif!F"&amp;S$13),"")</f>
        <v/>
      </c>
    </row>
    <row r="57" spans="2:21" x14ac:dyDescent="0.4">
      <c r="B57" s="1020"/>
      <c r="C57" s="1023"/>
      <c r="D57" s="369" t="s">
        <v>412</v>
      </c>
      <c r="E57" s="369"/>
      <c r="F57" s="370" t="str">
        <f ca="1">IF(F56&lt;&gt;"",VLOOKUP(F56,Analytique!$X$3:$AE$29,1,FALSE),"")</f>
        <v/>
      </c>
      <c r="G57" s="370" t="str">
        <f ca="1">IF(G56&lt;&gt;"",VLOOKUP(G56,Analytique!$X$3:$AE$29,1,FALSE),"")</f>
        <v/>
      </c>
      <c r="H57" s="370" t="str">
        <f ca="1">IF(H56&lt;&gt;"",VLOOKUP(H56,Analytique!$X$3:$AE$29,1,FALSE),"")</f>
        <v/>
      </c>
      <c r="I57" s="370" t="str">
        <f ca="1">IF(I56&lt;&gt;"",VLOOKUP(I56,Analytique!$X$3:$AE$29,1,FALSE),"")</f>
        <v/>
      </c>
      <c r="J57" s="370" t="str">
        <f ca="1">IF(J56&lt;&gt;"",VLOOKUP(J56,Analytique!$X$3:$AE$29,1,FALSE),"")</f>
        <v/>
      </c>
      <c r="K57" s="370" t="str">
        <f ca="1">IF(K56&lt;&gt;"",VLOOKUP(K56,Analytique!$X$3:$AE$29,1,FALSE),"")</f>
        <v/>
      </c>
      <c r="L57" s="370" t="str">
        <f ca="1">IF(L56&lt;&gt;"",VLOOKUP(L56,Analytique!$X$3:$AE$29,1,FALSE),"")</f>
        <v/>
      </c>
      <c r="M57" s="370" t="str">
        <f ca="1">IF(M56&lt;&gt;"",VLOOKUP(M56,Analytique!$X$3:$AE$29,1,FALSE),"")</f>
        <v/>
      </c>
      <c r="N57" s="370" t="str">
        <f ca="1">IF(N56&lt;&gt;"",VLOOKUP(N56,Analytique!$X$3:$AE$29,1,FALSE),"")</f>
        <v/>
      </c>
      <c r="O57" s="370" t="str">
        <f ca="1">IF(O56&lt;&gt;"",VLOOKUP(O56,Analytique!$X$3:$AE$29,1,FALSE),"")</f>
        <v/>
      </c>
      <c r="P57" s="370" t="str">
        <f ca="1">IF(P56&lt;&gt;"",VLOOKUP(P56,Analytique!$X$3:$AE$29,1,FALSE),"")</f>
        <v/>
      </c>
      <c r="Q57" s="370" t="str">
        <f ca="1">IF(Q56&lt;&gt;"",VLOOKUP(Q56,Analytique!$X$3:$AE$29,1,FALSE),"")</f>
        <v/>
      </c>
      <c r="R57" s="370" t="str">
        <f ca="1">IF(R56&lt;&gt;"",VLOOKUP(R56,Analytique!$X$3:$AE$29,1,FALSE),"")</f>
        <v/>
      </c>
      <c r="S57" s="370" t="str">
        <f ca="1">IF(S56&lt;&gt;"",VLOOKUP(S56,Analytique!$X$3:$AE$29,1,FALSE),"")</f>
        <v/>
      </c>
      <c r="T57" s="371" t="str">
        <f ca="1">IF(T56&lt;&gt;"",VLOOKUP(T56,Analytique!$X$3:$AE$29,1,FALSE),"")</f>
        <v/>
      </c>
    </row>
    <row r="58" spans="2:21" ht="13" thickBot="1" x14ac:dyDescent="0.45">
      <c r="B58" s="1021"/>
      <c r="C58" s="1024"/>
      <c r="D58" s="163" t="str">
        <f>$D$10</f>
        <v>Sonde de température</v>
      </c>
      <c r="E58" s="163"/>
      <c r="F58" s="164" t="str">
        <f ca="1">IF(AND(OR(INDIRECT("Descriptif!I"&amp;E$13)=Recap_equipements!$B54,INDIRECT("Descriptif!I"&amp;E$13)=Recap_equipements!$C54),INDIRECT("Descriptif!M"&amp;E$13)=$D58),INDIRECT("Descriptif!F"&amp;E$13),"")</f>
        <v/>
      </c>
      <c r="G58" s="164" t="str">
        <f ca="1">IF(AND(OR(INDIRECT("Descriptif!I"&amp;F$13)=Recap_equipements!$B54,INDIRECT("Descriptif!I"&amp;F$13)=Recap_equipements!$C54),INDIRECT("Descriptif!M"&amp;F$13)=$D58),INDIRECT("Descriptif!F"&amp;F$13),"")</f>
        <v/>
      </c>
      <c r="H58" s="164" t="str">
        <f ca="1">IF(AND(OR(INDIRECT("Descriptif!I"&amp;G$13)=Recap_equipements!$B54,INDIRECT("Descriptif!I"&amp;G$13)=Recap_equipements!$C54),INDIRECT("Descriptif!M"&amp;G$13)=$D58),INDIRECT("Descriptif!F"&amp;G$13),"")</f>
        <v/>
      </c>
      <c r="I58" s="164" t="str">
        <f ca="1">IF(AND(OR(INDIRECT("Descriptif!I"&amp;H$13)=Recap_equipements!$B54,INDIRECT("Descriptif!I"&amp;H$13)=Recap_equipements!$C54),INDIRECT("Descriptif!M"&amp;H$13)=$D58),INDIRECT("Descriptif!F"&amp;H$13),"")</f>
        <v/>
      </c>
      <c r="J58" s="164" t="str">
        <f ca="1">IF(AND(OR(INDIRECT("Descriptif!I"&amp;I$13)=Recap_equipements!$B54,INDIRECT("Descriptif!I"&amp;I$13)=Recap_equipements!$C54),INDIRECT("Descriptif!M"&amp;I$13)=$D58),INDIRECT("Descriptif!F"&amp;I$13),"")</f>
        <v/>
      </c>
      <c r="K58" s="164" t="str">
        <f ca="1">IF(AND(OR(INDIRECT("Descriptif!I"&amp;J$13)=Recap_equipements!$B54,INDIRECT("Descriptif!I"&amp;J$13)=Recap_equipements!$C54),INDIRECT("Descriptif!M"&amp;J$13)=$D58),INDIRECT("Descriptif!F"&amp;J$13),"")</f>
        <v/>
      </c>
      <c r="L58" s="164" t="str">
        <f ca="1">IF(AND(OR(INDIRECT("Descriptif!I"&amp;K$13)=Recap_equipements!$B54,INDIRECT("Descriptif!I"&amp;K$13)=Recap_equipements!$C54),INDIRECT("Descriptif!M"&amp;K$13)=$D58),INDIRECT("Descriptif!F"&amp;K$13),"")</f>
        <v/>
      </c>
      <c r="M58" s="164" t="str">
        <f ca="1">IF(AND(OR(INDIRECT("Descriptif!I"&amp;L$13)=Recap_equipements!$B54,INDIRECT("Descriptif!I"&amp;L$13)=Recap_equipements!$C54),INDIRECT("Descriptif!M"&amp;L$13)=$D58),INDIRECT("Descriptif!F"&amp;L$13),"")</f>
        <v/>
      </c>
      <c r="N58" s="164" t="str">
        <f ca="1">IF(AND(OR(INDIRECT("Descriptif!I"&amp;M$13)=Recap_equipements!$B54,INDIRECT("Descriptif!I"&amp;M$13)=Recap_equipements!$C54),INDIRECT("Descriptif!M"&amp;M$13)=$D58),INDIRECT("Descriptif!F"&amp;M$13),"")</f>
        <v/>
      </c>
      <c r="O58" s="164" t="str">
        <f ca="1">IF(AND(OR(INDIRECT("Descriptif!I"&amp;N$13)=Recap_equipements!$B54,INDIRECT("Descriptif!I"&amp;N$13)=Recap_equipements!$C54),INDIRECT("Descriptif!M"&amp;N$13)=$D58),INDIRECT("Descriptif!F"&amp;N$13),"")</f>
        <v/>
      </c>
      <c r="P58" s="164" t="str">
        <f ca="1">IF(AND(OR(INDIRECT("Descriptif!I"&amp;O$13)=Recap_equipements!$B54,INDIRECT("Descriptif!I"&amp;O$13)=Recap_equipements!$C54),INDIRECT("Descriptif!M"&amp;O$13)=$D58),INDIRECT("Descriptif!F"&amp;O$13),"")</f>
        <v/>
      </c>
      <c r="Q58" s="164" t="str">
        <f ca="1">IF(AND(OR(INDIRECT("Descriptif!I"&amp;P$13)=Recap_equipements!$B54,INDIRECT("Descriptif!I"&amp;P$13)=Recap_equipements!$C54),INDIRECT("Descriptif!M"&amp;P$13)=$D58),INDIRECT("Descriptif!F"&amp;P$13),"")</f>
        <v/>
      </c>
      <c r="R58" s="164" t="str">
        <f ca="1">IF(AND(OR(INDIRECT("Descriptif!I"&amp;Q$13)=Recap_equipements!$B54,INDIRECT("Descriptif!I"&amp;Q$13)=Recap_equipements!$C54),INDIRECT("Descriptif!M"&amp;Q$13)=$D58),INDIRECT("Descriptif!F"&amp;Q$13),"")</f>
        <v/>
      </c>
      <c r="S58" s="164" t="str">
        <f ca="1">IF(AND(OR(INDIRECT("Descriptif!I"&amp;R$13)=Recap_equipements!$B54,INDIRECT("Descriptif!I"&amp;R$13)=Recap_equipements!$C54),INDIRECT("Descriptif!M"&amp;R$13)=$D58),INDIRECT("Descriptif!F"&amp;R$13),"")</f>
        <v/>
      </c>
      <c r="T58" s="165" t="str">
        <f ca="1">IF(AND(OR(INDIRECT("Descriptif!I"&amp;S$13)=Recap_equipements!$B54,INDIRECT("Descriptif!I"&amp;S$13)=Recap_equipements!$C54),INDIRECT("Descriptif!M"&amp;S$13)=$D58),INDIRECT("Descriptif!F"&amp;S$13),"")</f>
        <v/>
      </c>
    </row>
    <row r="60" spans="2:21" s="154" customFormat="1" ht="23.1" customHeight="1" x14ac:dyDescent="0.4">
      <c r="B60" s="155" t="s">
        <v>331</v>
      </c>
    </row>
    <row r="61" spans="2:21" ht="13" thickBot="1" x14ac:dyDescent="0.45">
      <c r="B61" t="s">
        <v>426</v>
      </c>
    </row>
    <row r="62" spans="2:21" s="12" customFormat="1" ht="27.95" customHeight="1" thickBot="1" x14ac:dyDescent="0.45">
      <c r="B62" s="179" t="s">
        <v>324</v>
      </c>
      <c r="C62" s="180" t="s">
        <v>325</v>
      </c>
      <c r="D62" s="185"/>
      <c r="E62" s="198" t="s">
        <v>333</v>
      </c>
      <c r="F62" s="186" t="s">
        <v>332</v>
      </c>
      <c r="G62" s="177" t="s">
        <v>5</v>
      </c>
      <c r="H62" s="177" t="s">
        <v>6</v>
      </c>
      <c r="I62" s="177" t="s">
        <v>7</v>
      </c>
      <c r="J62" s="177" t="s">
        <v>17</v>
      </c>
      <c r="K62" s="177" t="s">
        <v>18</v>
      </c>
      <c r="L62" s="177" t="s">
        <v>19</v>
      </c>
      <c r="M62" s="177" t="s">
        <v>20</v>
      </c>
      <c r="N62" s="177" t="s">
        <v>21</v>
      </c>
      <c r="O62" s="177" t="s">
        <v>22</v>
      </c>
      <c r="P62" s="177" t="s">
        <v>23</v>
      </c>
      <c r="Q62" s="177" t="s">
        <v>24</v>
      </c>
      <c r="R62" s="178" t="s">
        <v>25</v>
      </c>
      <c r="S62" s="178" t="s">
        <v>318</v>
      </c>
      <c r="T62" s="178" t="s">
        <v>319</v>
      </c>
      <c r="U62" s="178" t="s">
        <v>320</v>
      </c>
    </row>
    <row r="63" spans="2:21" x14ac:dyDescent="0.4">
      <c r="B63" s="1019" t="s">
        <v>98</v>
      </c>
      <c r="C63" s="1022" t="s">
        <v>99</v>
      </c>
      <c r="D63" s="159" t="str">
        <f>$D$7</f>
        <v>Débitmètre en charge</v>
      </c>
      <c r="E63" s="1016" t="str">
        <f ca="1">IFERROR(AVERAGE(F65:F67)*$B$5,"")</f>
        <v/>
      </c>
      <c r="F63" s="195" t="str">
        <f ca="1">IFERROR(AVERAGE(G63:U63),"")</f>
        <v/>
      </c>
      <c r="G63" s="190" t="str">
        <f t="shared" ref="G63:U63" ca="1" si="1">IF(F19&lt;&gt;"",_xlfn.SINGLE(INDIRECT(F19&amp;"!"&amp;$F$7)),"")</f>
        <v/>
      </c>
      <c r="H63" s="160" t="str">
        <f t="shared" ca="1" si="1"/>
        <v/>
      </c>
      <c r="I63" s="160" t="str">
        <f t="shared" ca="1" si="1"/>
        <v/>
      </c>
      <c r="J63" s="160" t="str">
        <f t="shared" ca="1" si="1"/>
        <v/>
      </c>
      <c r="K63" s="160" t="str">
        <f t="shared" ca="1" si="1"/>
        <v/>
      </c>
      <c r="L63" s="160" t="str">
        <f t="shared" ca="1" si="1"/>
        <v/>
      </c>
      <c r="M63" s="160" t="str">
        <f t="shared" ca="1" si="1"/>
        <v/>
      </c>
      <c r="N63" s="160" t="str">
        <f t="shared" ca="1" si="1"/>
        <v/>
      </c>
      <c r="O63" s="160" t="str">
        <f t="shared" ca="1" si="1"/>
        <v/>
      </c>
      <c r="P63" s="160" t="str">
        <f t="shared" ca="1" si="1"/>
        <v/>
      </c>
      <c r="Q63" s="160" t="str">
        <f t="shared" ca="1" si="1"/>
        <v/>
      </c>
      <c r="R63" s="160" t="str">
        <f t="shared" ca="1" si="1"/>
        <v/>
      </c>
      <c r="S63" s="160" t="str">
        <f t="shared" ca="1" si="1"/>
        <v/>
      </c>
      <c r="T63" s="160" t="str">
        <f t="shared" ca="1" si="1"/>
        <v/>
      </c>
      <c r="U63" s="161" t="str">
        <f t="shared" ca="1" si="1"/>
        <v/>
      </c>
    </row>
    <row r="64" spans="2:21" x14ac:dyDescent="0.4">
      <c r="B64" s="1020"/>
      <c r="C64" s="1023"/>
      <c r="D64" s="158" t="str">
        <f>$D$8</f>
        <v>Débitmètre gravitaire</v>
      </c>
      <c r="E64" s="1017"/>
      <c r="F64" s="196" t="str">
        <f t="shared" ref="F64:F110" ca="1" si="2">IFERROR(AVERAGE(G64:U64),"")</f>
        <v/>
      </c>
      <c r="G64" s="191" t="str">
        <f t="shared" ref="G64:U64" ca="1" si="3">IF(F20&lt;&gt;"",_xlfn.SINGLE(INDIRECT(F20&amp;"!"&amp;$F$8)),"")</f>
        <v/>
      </c>
      <c r="H64" s="13" t="str">
        <f t="shared" ca="1" si="3"/>
        <v/>
      </c>
      <c r="I64" s="13" t="str">
        <f t="shared" ca="1" si="3"/>
        <v/>
      </c>
      <c r="J64" s="13" t="str">
        <f t="shared" ca="1" si="3"/>
        <v/>
      </c>
      <c r="K64" s="13" t="str">
        <f t="shared" ca="1" si="3"/>
        <v/>
      </c>
      <c r="L64" s="13" t="str">
        <f t="shared" ca="1" si="3"/>
        <v/>
      </c>
      <c r="M64" s="13" t="str">
        <f t="shared" ca="1" si="3"/>
        <v/>
      </c>
      <c r="N64" s="13" t="str">
        <f t="shared" ca="1" si="3"/>
        <v/>
      </c>
      <c r="O64" s="13" t="str">
        <f t="shared" ca="1" si="3"/>
        <v/>
      </c>
      <c r="P64" s="13" t="str">
        <f t="shared" ca="1" si="3"/>
        <v/>
      </c>
      <c r="Q64" s="13" t="str">
        <f t="shared" ca="1" si="3"/>
        <v/>
      </c>
      <c r="R64" s="13" t="str">
        <f t="shared" ca="1" si="3"/>
        <v/>
      </c>
      <c r="S64" s="13" t="str">
        <f t="shared" ca="1" si="3"/>
        <v/>
      </c>
      <c r="T64" s="13" t="str">
        <f t="shared" ca="1" si="3"/>
        <v/>
      </c>
      <c r="U64" s="162" t="str">
        <f t="shared" ca="1" si="3"/>
        <v/>
      </c>
    </row>
    <row r="65" spans="2:21" x14ac:dyDescent="0.4">
      <c r="B65" s="1020"/>
      <c r="C65" s="1023"/>
      <c r="D65" s="158" t="s">
        <v>420</v>
      </c>
      <c r="E65" s="1017"/>
      <c r="F65" s="196" t="str">
        <f t="shared" ca="1" si="2"/>
        <v/>
      </c>
      <c r="G65" s="192" t="str">
        <f ca="1">IF(COUNT(G63:G64)&gt;0,SUM(G63:G64),"")</f>
        <v/>
      </c>
      <c r="H65" s="181" t="str">
        <f t="shared" ref="H65:U65" ca="1" si="4">IF(COUNT(H63:H64)&gt;0,SUM(H63:H64),"")</f>
        <v/>
      </c>
      <c r="I65" s="181" t="str">
        <f t="shared" ca="1" si="4"/>
        <v/>
      </c>
      <c r="J65" s="181" t="str">
        <f t="shared" ca="1" si="4"/>
        <v/>
      </c>
      <c r="K65" s="181" t="str">
        <f t="shared" ca="1" si="4"/>
        <v/>
      </c>
      <c r="L65" s="181" t="str">
        <f t="shared" ca="1" si="4"/>
        <v/>
      </c>
      <c r="M65" s="181" t="str">
        <f t="shared" ca="1" si="4"/>
        <v/>
      </c>
      <c r="N65" s="181" t="str">
        <f t="shared" ca="1" si="4"/>
        <v/>
      </c>
      <c r="O65" s="181" t="str">
        <f t="shared" ca="1" si="4"/>
        <v/>
      </c>
      <c r="P65" s="181" t="str">
        <f t="shared" ca="1" si="4"/>
        <v/>
      </c>
      <c r="Q65" s="181" t="str">
        <f t="shared" ca="1" si="4"/>
        <v/>
      </c>
      <c r="R65" s="181" t="str">
        <f t="shared" ca="1" si="4"/>
        <v/>
      </c>
      <c r="S65" s="181" t="str">
        <f t="shared" ca="1" si="4"/>
        <v/>
      </c>
      <c r="T65" s="181" t="str">
        <f t="shared" ca="1" si="4"/>
        <v/>
      </c>
      <c r="U65" s="182" t="str">
        <f t="shared" ca="1" si="4"/>
        <v/>
      </c>
    </row>
    <row r="66" spans="2:21" x14ac:dyDescent="0.4">
      <c r="B66" s="1020"/>
      <c r="C66" s="1023"/>
      <c r="D66" s="158" t="str">
        <f>$D$9</f>
        <v>Préleveur</v>
      </c>
      <c r="E66" s="1017"/>
      <c r="F66" s="196" t="str">
        <f t="shared" ca="1" si="2"/>
        <v/>
      </c>
      <c r="G66" s="191" t="str">
        <f t="shared" ref="G66:U66" ca="1" si="5">IF(F21&lt;&gt;"",_xlfn.SINGLE(INDIRECT(F21&amp;"!"&amp;$F$9)),"")</f>
        <v/>
      </c>
      <c r="H66" s="13" t="str">
        <f t="shared" ca="1" si="5"/>
        <v/>
      </c>
      <c r="I66" s="13" t="str">
        <f t="shared" ca="1" si="5"/>
        <v/>
      </c>
      <c r="J66" s="13" t="str">
        <f t="shared" ca="1" si="5"/>
        <v/>
      </c>
      <c r="K66" s="13" t="str">
        <f t="shared" ca="1" si="5"/>
        <v/>
      </c>
      <c r="L66" s="13" t="str">
        <f t="shared" ca="1" si="5"/>
        <v/>
      </c>
      <c r="M66" s="13" t="str">
        <f t="shared" ca="1" si="5"/>
        <v/>
      </c>
      <c r="N66" s="13" t="str">
        <f t="shared" ca="1" si="5"/>
        <v/>
      </c>
      <c r="O66" s="13" t="str">
        <f t="shared" ca="1" si="5"/>
        <v/>
      </c>
      <c r="P66" s="13" t="str">
        <f t="shared" ca="1" si="5"/>
        <v/>
      </c>
      <c r="Q66" s="13" t="str">
        <f t="shared" ca="1" si="5"/>
        <v/>
      </c>
      <c r="R66" s="13" t="str">
        <f t="shared" ca="1" si="5"/>
        <v/>
      </c>
      <c r="S66" s="13" t="str">
        <f t="shared" ca="1" si="5"/>
        <v/>
      </c>
      <c r="T66" s="13" t="str">
        <f t="shared" ca="1" si="5"/>
        <v/>
      </c>
      <c r="U66" s="162" t="str">
        <f t="shared" ca="1" si="5"/>
        <v/>
      </c>
    </row>
    <row r="67" spans="2:21" x14ac:dyDescent="0.4">
      <c r="B67" s="1020"/>
      <c r="C67" s="1023"/>
      <c r="D67" s="369" t="s">
        <v>412</v>
      </c>
      <c r="E67" s="1017"/>
      <c r="F67" s="196" t="str">
        <f t="shared" ca="1" si="2"/>
        <v/>
      </c>
      <c r="G67" s="370" t="str">
        <f ca="1">IF(F22&lt;&gt;"",VLOOKUP(F22,Analytique!$X$3:$AE$29,6,FALSE),"")</f>
        <v/>
      </c>
      <c r="H67" s="370" t="str">
        <f ca="1">IF(G22&lt;&gt;"",VLOOKUP(G22,Analytique!$X$3:$AE$29,6,FALSE),"")</f>
        <v/>
      </c>
      <c r="I67" s="370" t="str">
        <f ca="1">IF(H22&lt;&gt;"",VLOOKUP(H22,Analytique!$X$3:$AE$29,6,FALSE),"")</f>
        <v/>
      </c>
      <c r="J67" s="370" t="str">
        <f ca="1">IF(I22&lt;&gt;"",VLOOKUP(I22,Analytique!$X$3:$AE$29,6,FALSE),"")</f>
        <v/>
      </c>
      <c r="K67" s="370" t="str">
        <f ca="1">IF(J22&lt;&gt;"",VLOOKUP(J22,Analytique!$X$3:$AE$29,6,FALSE),"")</f>
        <v/>
      </c>
      <c r="L67" s="370" t="str">
        <f ca="1">IF(K22&lt;&gt;"",VLOOKUP(K22,Analytique!$X$3:$AE$29,6,FALSE),"")</f>
        <v/>
      </c>
      <c r="M67" s="370" t="str">
        <f ca="1">IF(L22&lt;&gt;"",VLOOKUP(L22,Analytique!$X$3:$AE$29,6,FALSE),"")</f>
        <v/>
      </c>
      <c r="N67" s="370" t="str">
        <f ca="1">IF(M22&lt;&gt;"",VLOOKUP(M22,Analytique!$X$3:$AE$29,6,FALSE),"")</f>
        <v/>
      </c>
      <c r="O67" s="370" t="str">
        <f ca="1">IF(N22&lt;&gt;"",VLOOKUP(N22,Analytique!$X$3:$AE$29,6,FALSE),"")</f>
        <v/>
      </c>
      <c r="P67" s="370" t="str">
        <f ca="1">IF(O22&lt;&gt;"",VLOOKUP(O22,Analytique!$X$3:$AE$29,6,FALSE),"")</f>
        <v/>
      </c>
      <c r="Q67" s="370" t="str">
        <f ca="1">IF(P22&lt;&gt;"",VLOOKUP(P22,Analytique!$X$3:$AE$29,6,FALSE),"")</f>
        <v/>
      </c>
      <c r="R67" s="370" t="str">
        <f ca="1">IF(Q22&lt;&gt;"",VLOOKUP(Q22,Analytique!$X$3:$AE$29,6,FALSE),"")</f>
        <v/>
      </c>
      <c r="S67" s="370" t="str">
        <f ca="1">IF(R22&lt;&gt;"",VLOOKUP(R22,Analytique!$X$3:$AE$29,6,FALSE),"")</f>
        <v/>
      </c>
      <c r="T67" s="370" t="str">
        <f ca="1">IF(S22&lt;&gt;"",VLOOKUP(S22,Analytique!$X$3:$AE$29,6,FALSE),"")</f>
        <v/>
      </c>
      <c r="U67" s="370" t="str">
        <f ca="1">IF(T22&lt;&gt;"",VLOOKUP(T22,Analytique!$X$3:$AE$29,6,FALSE),"")</f>
        <v/>
      </c>
    </row>
    <row r="68" spans="2:21" ht="13" thickBot="1" x14ac:dyDescent="0.45">
      <c r="B68" s="1021"/>
      <c r="C68" s="1024"/>
      <c r="D68" s="163" t="str">
        <f>$D$10</f>
        <v>Sonde de température</v>
      </c>
      <c r="E68" s="1018"/>
      <c r="F68" s="197" t="str">
        <f t="shared" ca="1" si="2"/>
        <v/>
      </c>
      <c r="G68" s="193" t="str">
        <f t="shared" ref="G68:U68" ca="1" si="6">IF(F23&lt;&gt;"",_xlfn.SINGLE(INDIRECT(F23&amp;"!"&amp;$F$10)),"")</f>
        <v/>
      </c>
      <c r="H68" s="166" t="str">
        <f t="shared" ca="1" si="6"/>
        <v/>
      </c>
      <c r="I68" s="166" t="str">
        <f t="shared" ca="1" si="6"/>
        <v/>
      </c>
      <c r="J68" s="166" t="str">
        <f t="shared" ca="1" si="6"/>
        <v/>
      </c>
      <c r="K68" s="166" t="str">
        <f t="shared" ca="1" si="6"/>
        <v/>
      </c>
      <c r="L68" s="166" t="str">
        <f t="shared" ca="1" si="6"/>
        <v/>
      </c>
      <c r="M68" s="166" t="str">
        <f t="shared" ca="1" si="6"/>
        <v/>
      </c>
      <c r="N68" s="166" t="str">
        <f t="shared" ca="1" si="6"/>
        <v/>
      </c>
      <c r="O68" s="166" t="str">
        <f t="shared" ca="1" si="6"/>
        <v/>
      </c>
      <c r="P68" s="166" t="str">
        <f t="shared" ca="1" si="6"/>
        <v/>
      </c>
      <c r="Q68" s="166" t="str">
        <f t="shared" ca="1" si="6"/>
        <v/>
      </c>
      <c r="R68" s="166" t="str">
        <f t="shared" ca="1" si="6"/>
        <v/>
      </c>
      <c r="S68" s="166" t="str">
        <f t="shared" ca="1" si="6"/>
        <v/>
      </c>
      <c r="T68" s="166" t="str">
        <f t="shared" ca="1" si="6"/>
        <v/>
      </c>
      <c r="U68" s="167" t="str">
        <f t="shared" ca="1" si="6"/>
        <v/>
      </c>
    </row>
    <row r="69" spans="2:21" x14ac:dyDescent="0.4">
      <c r="B69" s="1019" t="s">
        <v>59</v>
      </c>
      <c r="C69" s="1022" t="s">
        <v>108</v>
      </c>
      <c r="D69" s="159" t="str">
        <f>$D$7</f>
        <v>Débitmètre en charge</v>
      </c>
      <c r="E69" s="1027" t="str">
        <f ca="1">IFERROR(AVERAGE(F71:F73)*$B$5,"")</f>
        <v/>
      </c>
      <c r="F69" s="195" t="str">
        <f t="shared" ca="1" si="2"/>
        <v/>
      </c>
      <c r="G69" s="190" t="str">
        <f t="shared" ref="G69:U69" ca="1" si="7">IF(F24&lt;&gt;"",_xlfn.SINGLE(INDIRECT(F24&amp;"!"&amp;$F$7)),"")</f>
        <v/>
      </c>
      <c r="H69" s="160" t="str">
        <f t="shared" ca="1" si="7"/>
        <v/>
      </c>
      <c r="I69" s="160" t="str">
        <f t="shared" ca="1" si="7"/>
        <v/>
      </c>
      <c r="J69" s="160" t="str">
        <f t="shared" ca="1" si="7"/>
        <v/>
      </c>
      <c r="K69" s="160" t="str">
        <f t="shared" ca="1" si="7"/>
        <v/>
      </c>
      <c r="L69" s="160" t="str">
        <f t="shared" ca="1" si="7"/>
        <v/>
      </c>
      <c r="M69" s="160" t="str">
        <f t="shared" ca="1" si="7"/>
        <v/>
      </c>
      <c r="N69" s="160" t="str">
        <f t="shared" ca="1" si="7"/>
        <v/>
      </c>
      <c r="O69" s="160" t="str">
        <f t="shared" ca="1" si="7"/>
        <v/>
      </c>
      <c r="P69" s="160" t="str">
        <f t="shared" ca="1" si="7"/>
        <v/>
      </c>
      <c r="Q69" s="160" t="str">
        <f t="shared" ca="1" si="7"/>
        <v/>
      </c>
      <c r="R69" s="160" t="str">
        <f t="shared" ca="1" si="7"/>
        <v/>
      </c>
      <c r="S69" s="160" t="str">
        <f t="shared" ca="1" si="7"/>
        <v/>
      </c>
      <c r="T69" s="160" t="str">
        <f t="shared" ca="1" si="7"/>
        <v/>
      </c>
      <c r="U69" s="161" t="str">
        <f t="shared" ca="1" si="7"/>
        <v/>
      </c>
    </row>
    <row r="70" spans="2:21" x14ac:dyDescent="0.4">
      <c r="B70" s="1020"/>
      <c r="C70" s="1023"/>
      <c r="D70" s="158" t="str">
        <f>$D$8</f>
        <v>Débitmètre gravitaire</v>
      </c>
      <c r="E70" s="1028"/>
      <c r="F70" s="196" t="str">
        <f t="shared" ca="1" si="2"/>
        <v/>
      </c>
      <c r="G70" s="191" t="str">
        <f t="shared" ref="G70:U70" ca="1" si="8">IF(F25&lt;&gt;"",_xlfn.SINGLE(INDIRECT(F25&amp;"!"&amp;$F$8)),"")</f>
        <v/>
      </c>
      <c r="H70" s="13" t="str">
        <f t="shared" ca="1" si="8"/>
        <v/>
      </c>
      <c r="I70" s="13" t="str">
        <f t="shared" ca="1" si="8"/>
        <v/>
      </c>
      <c r="J70" s="13" t="str">
        <f t="shared" ca="1" si="8"/>
        <v/>
      </c>
      <c r="K70" s="13" t="str">
        <f t="shared" ca="1" si="8"/>
        <v/>
      </c>
      <c r="L70" s="13" t="str">
        <f t="shared" ca="1" si="8"/>
        <v/>
      </c>
      <c r="M70" s="13" t="str">
        <f t="shared" ca="1" si="8"/>
        <v/>
      </c>
      <c r="N70" s="13" t="str">
        <f t="shared" ca="1" si="8"/>
        <v/>
      </c>
      <c r="O70" s="13" t="str">
        <f t="shared" ca="1" si="8"/>
        <v/>
      </c>
      <c r="P70" s="13" t="str">
        <f t="shared" ca="1" si="8"/>
        <v/>
      </c>
      <c r="Q70" s="13" t="str">
        <f t="shared" ca="1" si="8"/>
        <v/>
      </c>
      <c r="R70" s="13" t="str">
        <f t="shared" ca="1" si="8"/>
        <v/>
      </c>
      <c r="S70" s="13" t="str">
        <f t="shared" ca="1" si="8"/>
        <v/>
      </c>
      <c r="T70" s="13" t="str">
        <f t="shared" ca="1" si="8"/>
        <v/>
      </c>
      <c r="U70" s="162" t="str">
        <f t="shared" ca="1" si="8"/>
        <v/>
      </c>
    </row>
    <row r="71" spans="2:21" x14ac:dyDescent="0.4">
      <c r="B71" s="1020"/>
      <c r="C71" s="1023"/>
      <c r="D71" s="158" t="s">
        <v>420</v>
      </c>
      <c r="E71" s="1028"/>
      <c r="F71" s="196" t="str">
        <f t="shared" ca="1" si="2"/>
        <v/>
      </c>
      <c r="G71" s="192" t="str">
        <f ca="1">IF(COUNT(G69:G70)&gt;0,SUM(G69:G70),"")</f>
        <v/>
      </c>
      <c r="H71" s="181" t="str">
        <f t="shared" ref="H71:U71" ca="1" si="9">IF(COUNT(H69:H70)&gt;0,SUM(H69:H70),"")</f>
        <v/>
      </c>
      <c r="I71" s="181" t="str">
        <f t="shared" ca="1" si="9"/>
        <v/>
      </c>
      <c r="J71" s="181" t="str">
        <f t="shared" ca="1" si="9"/>
        <v/>
      </c>
      <c r="K71" s="181" t="str">
        <f t="shared" ca="1" si="9"/>
        <v/>
      </c>
      <c r="L71" s="181" t="str">
        <f t="shared" ca="1" si="9"/>
        <v/>
      </c>
      <c r="M71" s="181" t="str">
        <f t="shared" ca="1" si="9"/>
        <v/>
      </c>
      <c r="N71" s="181" t="str">
        <f t="shared" ca="1" si="9"/>
        <v/>
      </c>
      <c r="O71" s="181" t="str">
        <f t="shared" ca="1" si="9"/>
        <v/>
      </c>
      <c r="P71" s="181" t="str">
        <f t="shared" ca="1" si="9"/>
        <v/>
      </c>
      <c r="Q71" s="181" t="str">
        <f t="shared" ca="1" si="9"/>
        <v/>
      </c>
      <c r="R71" s="181" t="str">
        <f t="shared" ca="1" si="9"/>
        <v/>
      </c>
      <c r="S71" s="181" t="str">
        <f t="shared" ca="1" si="9"/>
        <v/>
      </c>
      <c r="T71" s="181" t="str">
        <f t="shared" ca="1" si="9"/>
        <v/>
      </c>
      <c r="U71" s="182" t="str">
        <f t="shared" ca="1" si="9"/>
        <v/>
      </c>
    </row>
    <row r="72" spans="2:21" x14ac:dyDescent="0.4">
      <c r="B72" s="1020"/>
      <c r="C72" s="1023"/>
      <c r="D72" s="158" t="str">
        <f>$D$9</f>
        <v>Préleveur</v>
      </c>
      <c r="E72" s="1028"/>
      <c r="F72" s="196" t="str">
        <f t="shared" ca="1" si="2"/>
        <v/>
      </c>
      <c r="G72" s="191" t="str">
        <f t="shared" ref="G72:U72" ca="1" si="10">IF(F26&lt;&gt;"",_xlfn.SINGLE(INDIRECT(F26&amp;"!"&amp;$F$9)),"")</f>
        <v/>
      </c>
      <c r="H72" s="13" t="str">
        <f t="shared" ca="1" si="10"/>
        <v/>
      </c>
      <c r="I72" s="13" t="str">
        <f t="shared" ca="1" si="10"/>
        <v/>
      </c>
      <c r="J72" s="13" t="str">
        <f t="shared" ca="1" si="10"/>
        <v/>
      </c>
      <c r="K72" s="13" t="str">
        <f t="shared" ca="1" si="10"/>
        <v/>
      </c>
      <c r="L72" s="13" t="str">
        <f t="shared" ca="1" si="10"/>
        <v/>
      </c>
      <c r="M72" s="13" t="str">
        <f t="shared" ca="1" si="10"/>
        <v/>
      </c>
      <c r="N72" s="13" t="str">
        <f t="shared" ca="1" si="10"/>
        <v/>
      </c>
      <c r="O72" s="13" t="str">
        <f t="shared" ca="1" si="10"/>
        <v/>
      </c>
      <c r="P72" s="13" t="str">
        <f t="shared" ca="1" si="10"/>
        <v/>
      </c>
      <c r="Q72" s="13" t="str">
        <f t="shared" ca="1" si="10"/>
        <v/>
      </c>
      <c r="R72" s="13" t="str">
        <f t="shared" ca="1" si="10"/>
        <v/>
      </c>
      <c r="S72" s="13" t="str">
        <f t="shared" ca="1" si="10"/>
        <v/>
      </c>
      <c r="T72" s="13" t="str">
        <f t="shared" ca="1" si="10"/>
        <v/>
      </c>
      <c r="U72" s="162" t="str">
        <f t="shared" ca="1" si="10"/>
        <v/>
      </c>
    </row>
    <row r="73" spans="2:21" x14ac:dyDescent="0.4">
      <c r="B73" s="1020"/>
      <c r="C73" s="1023"/>
      <c r="D73" s="369" t="s">
        <v>412</v>
      </c>
      <c r="E73" s="1028"/>
      <c r="F73" s="196" t="str">
        <f t="shared" ca="1" si="2"/>
        <v/>
      </c>
      <c r="G73" s="370" t="str">
        <f ca="1">IF(F27&lt;&gt;"",VLOOKUP(F27,Analytique!$X$3:$AE$29,6,FALSE),"")</f>
        <v/>
      </c>
      <c r="H73" s="370" t="str">
        <f ca="1">IF(G27&lt;&gt;"",VLOOKUP(G27,Analytique!$X$3:$AE$29,6,FALSE),"")</f>
        <v/>
      </c>
      <c r="I73" s="370" t="str">
        <f ca="1">IF(H27&lt;&gt;"",VLOOKUP(H27,Analytique!$X$3:$AE$29,6,FALSE),"")</f>
        <v/>
      </c>
      <c r="J73" s="370" t="str">
        <f ca="1">IF(I27&lt;&gt;"",VLOOKUP(I27,Analytique!$X$3:$AE$29,6,FALSE),"")</f>
        <v/>
      </c>
      <c r="K73" s="370" t="str">
        <f ca="1">IF(J27&lt;&gt;"",VLOOKUP(J27,Analytique!$X$3:$AE$29,6,FALSE),"")</f>
        <v/>
      </c>
      <c r="L73" s="370" t="str">
        <f ca="1">IF(K27&lt;&gt;"",VLOOKUP(K27,Analytique!$X$3:$AE$29,6,FALSE),"")</f>
        <v/>
      </c>
      <c r="M73" s="370" t="str">
        <f ca="1">IF(L27&lt;&gt;"",VLOOKUP(L27,Analytique!$X$3:$AE$29,6,FALSE),"")</f>
        <v/>
      </c>
      <c r="N73" s="370" t="str">
        <f ca="1">IF(M27&lt;&gt;"",VLOOKUP(M27,Analytique!$X$3:$AE$29,6,FALSE),"")</f>
        <v/>
      </c>
      <c r="O73" s="370" t="str">
        <f ca="1">IF(N27&lt;&gt;"",VLOOKUP(N27,Analytique!$X$3:$AE$29,6,FALSE),"")</f>
        <v/>
      </c>
      <c r="P73" s="370" t="str">
        <f ca="1">IF(O27&lt;&gt;"",VLOOKUP(O27,Analytique!$X$3:$AE$29,6,FALSE),"")</f>
        <v/>
      </c>
      <c r="Q73" s="370" t="str">
        <f ca="1">IF(P27&lt;&gt;"",VLOOKUP(P27,Analytique!$X$3:$AE$29,6,FALSE),"")</f>
        <v/>
      </c>
      <c r="R73" s="370" t="str">
        <f ca="1">IF(Q27&lt;&gt;"",VLOOKUP(Q27,Analytique!$X$3:$AE$29,6,FALSE),"")</f>
        <v/>
      </c>
      <c r="S73" s="370" t="str">
        <f ca="1">IF(R27&lt;&gt;"",VLOOKUP(R27,Analytique!$X$3:$AE$29,6,FALSE),"")</f>
        <v/>
      </c>
      <c r="T73" s="370" t="str">
        <f ca="1">IF(S27&lt;&gt;"",VLOOKUP(S27,Analytique!$X$3:$AE$29,6,FALSE),"")</f>
        <v/>
      </c>
      <c r="U73" s="371" t="str">
        <f ca="1">IF(T27&lt;&gt;"",VLOOKUP(T27,Analytique!$X$3:$AE$29,6,FALSE),"")</f>
        <v/>
      </c>
    </row>
    <row r="74" spans="2:21" ht="13" thickBot="1" x14ac:dyDescent="0.45">
      <c r="B74" s="1021"/>
      <c r="C74" s="1024"/>
      <c r="D74" s="163" t="str">
        <f>$D$10</f>
        <v>Sonde de température</v>
      </c>
      <c r="E74" s="1029"/>
      <c r="F74" s="197" t="str">
        <f t="shared" ca="1" si="2"/>
        <v/>
      </c>
      <c r="G74" s="193" t="str">
        <f t="shared" ref="G74:U74" ca="1" si="11">IF(F28&lt;&gt;"",_xlfn.SINGLE(INDIRECT(F28&amp;"!"&amp;$F$10)),"")</f>
        <v/>
      </c>
      <c r="H74" s="166" t="str">
        <f t="shared" ca="1" si="11"/>
        <v/>
      </c>
      <c r="I74" s="166" t="str">
        <f t="shared" ca="1" si="11"/>
        <v/>
      </c>
      <c r="J74" s="166" t="str">
        <f t="shared" ca="1" si="11"/>
        <v/>
      </c>
      <c r="K74" s="166" t="str">
        <f t="shared" ca="1" si="11"/>
        <v/>
      </c>
      <c r="L74" s="166" t="str">
        <f t="shared" ca="1" si="11"/>
        <v/>
      </c>
      <c r="M74" s="166" t="str">
        <f t="shared" ca="1" si="11"/>
        <v/>
      </c>
      <c r="N74" s="166" t="str">
        <f t="shared" ca="1" si="11"/>
        <v/>
      </c>
      <c r="O74" s="166" t="str">
        <f t="shared" ca="1" si="11"/>
        <v/>
      </c>
      <c r="P74" s="166" t="str">
        <f t="shared" ca="1" si="11"/>
        <v/>
      </c>
      <c r="Q74" s="166" t="str">
        <f t="shared" ca="1" si="11"/>
        <v/>
      </c>
      <c r="R74" s="166" t="str">
        <f t="shared" ca="1" si="11"/>
        <v/>
      </c>
      <c r="S74" s="166" t="str">
        <f t="shared" ca="1" si="11"/>
        <v/>
      </c>
      <c r="T74" s="166" t="str">
        <f t="shared" ca="1" si="11"/>
        <v/>
      </c>
      <c r="U74" s="167" t="str">
        <f t="shared" ca="1" si="11"/>
        <v/>
      </c>
    </row>
    <row r="75" spans="2:21" x14ac:dyDescent="0.4">
      <c r="B75" s="1019" t="s">
        <v>101</v>
      </c>
      <c r="C75" s="1022" t="s">
        <v>115</v>
      </c>
      <c r="D75" s="159" t="str">
        <f>$D$7</f>
        <v>Débitmètre en charge</v>
      </c>
      <c r="E75" s="1016" t="str">
        <f ca="1">IFERROR(AVERAGE(F77:F79)*$B$5,"")</f>
        <v/>
      </c>
      <c r="F75" s="195" t="str">
        <f t="shared" ca="1" si="2"/>
        <v/>
      </c>
      <c r="G75" s="190" t="str">
        <f t="shared" ref="G75:U75" ca="1" si="12">IF(F29&lt;&gt;"",_xlfn.SINGLE(INDIRECT(F29&amp;"!"&amp;$F$7)),"")</f>
        <v/>
      </c>
      <c r="H75" s="160" t="str">
        <f t="shared" ca="1" si="12"/>
        <v/>
      </c>
      <c r="I75" s="160" t="str">
        <f t="shared" ca="1" si="12"/>
        <v/>
      </c>
      <c r="J75" s="160" t="str">
        <f t="shared" ca="1" si="12"/>
        <v/>
      </c>
      <c r="K75" s="160" t="str">
        <f t="shared" ca="1" si="12"/>
        <v/>
      </c>
      <c r="L75" s="160" t="str">
        <f t="shared" ca="1" si="12"/>
        <v/>
      </c>
      <c r="M75" s="160" t="str">
        <f t="shared" ca="1" si="12"/>
        <v/>
      </c>
      <c r="N75" s="160" t="str">
        <f t="shared" ca="1" si="12"/>
        <v/>
      </c>
      <c r="O75" s="160" t="str">
        <f t="shared" ca="1" si="12"/>
        <v/>
      </c>
      <c r="P75" s="160" t="str">
        <f t="shared" ca="1" si="12"/>
        <v/>
      </c>
      <c r="Q75" s="160" t="str">
        <f t="shared" ca="1" si="12"/>
        <v/>
      </c>
      <c r="R75" s="160" t="str">
        <f t="shared" ca="1" si="12"/>
        <v/>
      </c>
      <c r="S75" s="160" t="str">
        <f t="shared" ca="1" si="12"/>
        <v/>
      </c>
      <c r="T75" s="160" t="str">
        <f t="shared" ca="1" si="12"/>
        <v/>
      </c>
      <c r="U75" s="161" t="str">
        <f t="shared" ca="1" si="12"/>
        <v/>
      </c>
    </row>
    <row r="76" spans="2:21" x14ac:dyDescent="0.4">
      <c r="B76" s="1020"/>
      <c r="C76" s="1023"/>
      <c r="D76" s="158" t="str">
        <f>$D$8</f>
        <v>Débitmètre gravitaire</v>
      </c>
      <c r="E76" s="1017"/>
      <c r="F76" s="196" t="str">
        <f t="shared" ca="1" si="2"/>
        <v/>
      </c>
      <c r="G76" s="191" t="str">
        <f t="shared" ref="G76:U76" ca="1" si="13">IF(F30&lt;&gt;"",_xlfn.SINGLE(INDIRECT(F30&amp;"!"&amp;$F$8)),"")</f>
        <v/>
      </c>
      <c r="H76" s="13" t="str">
        <f t="shared" ca="1" si="13"/>
        <v/>
      </c>
      <c r="I76" s="13" t="str">
        <f t="shared" ca="1" si="13"/>
        <v/>
      </c>
      <c r="J76" s="13" t="str">
        <f t="shared" ca="1" si="13"/>
        <v/>
      </c>
      <c r="K76" s="13" t="str">
        <f t="shared" ca="1" si="13"/>
        <v/>
      </c>
      <c r="L76" s="13" t="str">
        <f t="shared" ca="1" si="13"/>
        <v/>
      </c>
      <c r="M76" s="13" t="str">
        <f t="shared" ca="1" si="13"/>
        <v/>
      </c>
      <c r="N76" s="13" t="str">
        <f t="shared" ca="1" si="13"/>
        <v/>
      </c>
      <c r="O76" s="13" t="str">
        <f t="shared" ca="1" si="13"/>
        <v/>
      </c>
      <c r="P76" s="13" t="str">
        <f t="shared" ca="1" si="13"/>
        <v/>
      </c>
      <c r="Q76" s="13" t="str">
        <f t="shared" ca="1" si="13"/>
        <v/>
      </c>
      <c r="R76" s="13" t="str">
        <f t="shared" ca="1" si="13"/>
        <v/>
      </c>
      <c r="S76" s="13" t="str">
        <f t="shared" ca="1" si="13"/>
        <v/>
      </c>
      <c r="T76" s="13" t="str">
        <f t="shared" ca="1" si="13"/>
        <v/>
      </c>
      <c r="U76" s="162" t="str">
        <f t="shared" ca="1" si="13"/>
        <v/>
      </c>
    </row>
    <row r="77" spans="2:21" x14ac:dyDescent="0.4">
      <c r="B77" s="1020"/>
      <c r="C77" s="1023"/>
      <c r="D77" s="158" t="s">
        <v>420</v>
      </c>
      <c r="E77" s="1017"/>
      <c r="F77" s="196" t="str">
        <f t="shared" ca="1" si="2"/>
        <v/>
      </c>
      <c r="G77" s="192" t="str">
        <f ca="1">IF(COUNT(G75:G76)&gt;0,SUM(G75:G76),"")</f>
        <v/>
      </c>
      <c r="H77" s="181" t="str">
        <f t="shared" ref="H77:U77" ca="1" si="14">IF(COUNT(H75:H76)&gt;0,SUM(H75:H76),"")</f>
        <v/>
      </c>
      <c r="I77" s="181" t="str">
        <f t="shared" ca="1" si="14"/>
        <v/>
      </c>
      <c r="J77" s="181" t="str">
        <f t="shared" ca="1" si="14"/>
        <v/>
      </c>
      <c r="K77" s="181" t="str">
        <f t="shared" ca="1" si="14"/>
        <v/>
      </c>
      <c r="L77" s="181" t="str">
        <f t="shared" ca="1" si="14"/>
        <v/>
      </c>
      <c r="M77" s="181" t="str">
        <f t="shared" ca="1" si="14"/>
        <v/>
      </c>
      <c r="N77" s="181" t="str">
        <f t="shared" ca="1" si="14"/>
        <v/>
      </c>
      <c r="O77" s="181" t="str">
        <f t="shared" ca="1" si="14"/>
        <v/>
      </c>
      <c r="P77" s="181" t="str">
        <f t="shared" ca="1" si="14"/>
        <v/>
      </c>
      <c r="Q77" s="181" t="str">
        <f t="shared" ca="1" si="14"/>
        <v/>
      </c>
      <c r="R77" s="181" t="str">
        <f t="shared" ca="1" si="14"/>
        <v/>
      </c>
      <c r="S77" s="181" t="str">
        <f t="shared" ca="1" si="14"/>
        <v/>
      </c>
      <c r="T77" s="181" t="str">
        <f t="shared" ca="1" si="14"/>
        <v/>
      </c>
      <c r="U77" s="182" t="str">
        <f t="shared" ca="1" si="14"/>
        <v/>
      </c>
    </row>
    <row r="78" spans="2:21" x14ac:dyDescent="0.4">
      <c r="B78" s="1020"/>
      <c r="C78" s="1023"/>
      <c r="D78" s="158" t="str">
        <f>$D$9</f>
        <v>Préleveur</v>
      </c>
      <c r="E78" s="1017"/>
      <c r="F78" s="196" t="str">
        <f t="shared" ca="1" si="2"/>
        <v/>
      </c>
      <c r="G78" s="191" t="str">
        <f t="shared" ref="G78:U78" ca="1" si="15">IF(F31&lt;&gt;"",_xlfn.SINGLE(INDIRECT(F31&amp;"!"&amp;$F$9)),"")</f>
        <v/>
      </c>
      <c r="H78" s="13" t="str">
        <f t="shared" ca="1" si="15"/>
        <v/>
      </c>
      <c r="I78" s="13" t="str">
        <f t="shared" ca="1" si="15"/>
        <v/>
      </c>
      <c r="J78" s="13" t="str">
        <f t="shared" ca="1" si="15"/>
        <v/>
      </c>
      <c r="K78" s="13" t="str">
        <f t="shared" ca="1" si="15"/>
        <v/>
      </c>
      <c r="L78" s="13" t="str">
        <f t="shared" ca="1" si="15"/>
        <v/>
      </c>
      <c r="M78" s="13" t="str">
        <f t="shared" ca="1" si="15"/>
        <v/>
      </c>
      <c r="N78" s="13" t="str">
        <f t="shared" ca="1" si="15"/>
        <v/>
      </c>
      <c r="O78" s="13" t="str">
        <f t="shared" ca="1" si="15"/>
        <v/>
      </c>
      <c r="P78" s="13" t="str">
        <f t="shared" ca="1" si="15"/>
        <v/>
      </c>
      <c r="Q78" s="13" t="str">
        <f t="shared" ca="1" si="15"/>
        <v/>
      </c>
      <c r="R78" s="13" t="str">
        <f t="shared" ca="1" si="15"/>
        <v/>
      </c>
      <c r="S78" s="13" t="str">
        <f t="shared" ca="1" si="15"/>
        <v/>
      </c>
      <c r="T78" s="13" t="str">
        <f t="shared" ca="1" si="15"/>
        <v/>
      </c>
      <c r="U78" s="162" t="str">
        <f t="shared" ca="1" si="15"/>
        <v/>
      </c>
    </row>
    <row r="79" spans="2:21" x14ac:dyDescent="0.4">
      <c r="B79" s="1020"/>
      <c r="C79" s="1023"/>
      <c r="D79" s="369" t="s">
        <v>412</v>
      </c>
      <c r="E79" s="1017"/>
      <c r="F79" s="196" t="str">
        <f t="shared" ca="1" si="2"/>
        <v/>
      </c>
      <c r="G79" s="370" t="str">
        <f ca="1">IF(F32&lt;&gt;"",VLOOKUP(F32,Analytique!$X$3:$AE$29,6,FALSE),"")</f>
        <v/>
      </c>
      <c r="H79" s="370" t="str">
        <f ca="1">IF(G32&lt;&gt;"",VLOOKUP(G32,Analytique!$X$3:$AE$29,6,FALSE),"")</f>
        <v/>
      </c>
      <c r="I79" s="370" t="str">
        <f ca="1">IF(H32&lt;&gt;"",VLOOKUP(H32,Analytique!$X$3:$AE$29,6,FALSE),"")</f>
        <v/>
      </c>
      <c r="J79" s="370" t="str">
        <f ca="1">IF(I32&lt;&gt;"",VLOOKUP(I32,Analytique!$X$3:$AE$29,6,FALSE),"")</f>
        <v/>
      </c>
      <c r="K79" s="370" t="str">
        <f ca="1">IF(J32&lt;&gt;"",VLOOKUP(J32,Analytique!$X$3:$AE$29,6,FALSE),"")</f>
        <v/>
      </c>
      <c r="L79" s="370" t="str">
        <f ca="1">IF(K32&lt;&gt;"",VLOOKUP(K32,Analytique!$X$3:$AE$29,6,FALSE),"")</f>
        <v/>
      </c>
      <c r="M79" s="370" t="str">
        <f ca="1">IF(L32&lt;&gt;"",VLOOKUP(L32,Analytique!$X$3:$AE$29,6,FALSE),"")</f>
        <v/>
      </c>
      <c r="N79" s="370" t="str">
        <f ca="1">IF(M32&lt;&gt;"",VLOOKUP(M32,Analytique!$X$3:$AE$29,6,FALSE),"")</f>
        <v/>
      </c>
      <c r="O79" s="370" t="str">
        <f ca="1">IF(N32&lt;&gt;"",VLOOKUP(N32,Analytique!$X$3:$AE$29,6,FALSE),"")</f>
        <v/>
      </c>
      <c r="P79" s="370" t="str">
        <f ca="1">IF(O32&lt;&gt;"",VLOOKUP(O32,Analytique!$X$3:$AE$29,6,FALSE),"")</f>
        <v/>
      </c>
      <c r="Q79" s="370" t="str">
        <f ca="1">IF(P32&lt;&gt;"",VLOOKUP(P32,Analytique!$X$3:$AE$29,6,FALSE),"")</f>
        <v/>
      </c>
      <c r="R79" s="370" t="str">
        <f ca="1">IF(Q32&lt;&gt;"",VLOOKUP(Q32,Analytique!$X$3:$AE$29,6,FALSE),"")</f>
        <v/>
      </c>
      <c r="S79" s="370" t="str">
        <f ca="1">IF(R32&lt;&gt;"",VLOOKUP(R32,Analytique!$X$3:$AE$29,6,FALSE),"")</f>
        <v/>
      </c>
      <c r="T79" s="370" t="str">
        <f ca="1">IF(S32&lt;&gt;"",VLOOKUP(S32,Analytique!$X$3:$AE$29,6,FALSE),"")</f>
        <v/>
      </c>
      <c r="U79" s="370" t="str">
        <f ca="1">IF(T32&lt;&gt;"",VLOOKUP(T32,Analytique!$X$3:$AE$29,6,FALSE),"")</f>
        <v/>
      </c>
    </row>
    <row r="80" spans="2:21" ht="13" thickBot="1" x14ac:dyDescent="0.45">
      <c r="B80" s="1021"/>
      <c r="C80" s="1024"/>
      <c r="D80" s="163" t="str">
        <f>$D$10</f>
        <v>Sonde de température</v>
      </c>
      <c r="E80" s="1018"/>
      <c r="F80" s="197" t="str">
        <f t="shared" ca="1" si="2"/>
        <v/>
      </c>
      <c r="G80" s="193" t="str">
        <f t="shared" ref="G80:U80" ca="1" si="16">IF(F33&lt;&gt;"",_xlfn.SINGLE(INDIRECT(F33&amp;"!"&amp;$F$10)),"")</f>
        <v/>
      </c>
      <c r="H80" s="166" t="str">
        <f t="shared" ca="1" si="16"/>
        <v/>
      </c>
      <c r="I80" s="166" t="str">
        <f t="shared" ca="1" si="16"/>
        <v/>
      </c>
      <c r="J80" s="166" t="str">
        <f t="shared" ca="1" si="16"/>
        <v/>
      </c>
      <c r="K80" s="166" t="str">
        <f t="shared" ca="1" si="16"/>
        <v/>
      </c>
      <c r="L80" s="166" t="str">
        <f t="shared" ca="1" si="16"/>
        <v/>
      </c>
      <c r="M80" s="166" t="str">
        <f t="shared" ca="1" si="16"/>
        <v/>
      </c>
      <c r="N80" s="166" t="str">
        <f t="shared" ca="1" si="16"/>
        <v/>
      </c>
      <c r="O80" s="166" t="str">
        <f t="shared" ca="1" si="16"/>
        <v/>
      </c>
      <c r="P80" s="166" t="str">
        <f t="shared" ca="1" si="16"/>
        <v/>
      </c>
      <c r="Q80" s="166" t="str">
        <f t="shared" ca="1" si="16"/>
        <v/>
      </c>
      <c r="R80" s="166" t="str">
        <f t="shared" ca="1" si="16"/>
        <v/>
      </c>
      <c r="S80" s="166" t="str">
        <f t="shared" ca="1" si="16"/>
        <v/>
      </c>
      <c r="T80" s="166" t="str">
        <f t="shared" ca="1" si="16"/>
        <v/>
      </c>
      <c r="U80" s="167" t="str">
        <f t="shared" ca="1" si="16"/>
        <v/>
      </c>
    </row>
    <row r="81" spans="2:21" x14ac:dyDescent="0.4">
      <c r="B81" s="1019" t="s">
        <v>109</v>
      </c>
      <c r="C81" s="1022" t="s">
        <v>117</v>
      </c>
      <c r="D81" s="159" t="str">
        <f>$D$7</f>
        <v>Débitmètre en charge</v>
      </c>
      <c r="E81" s="1016" t="str">
        <f ca="1">IFERROR(AVERAGE(F83:F85)*$B$5,"")</f>
        <v/>
      </c>
      <c r="F81" s="195" t="str">
        <f t="shared" ca="1" si="2"/>
        <v/>
      </c>
      <c r="G81" s="190" t="str">
        <f t="shared" ref="G81:U81" ca="1" si="17">IF(F34&lt;&gt;"",_xlfn.SINGLE(INDIRECT(F34&amp;"!"&amp;$F$7)),"")</f>
        <v/>
      </c>
      <c r="H81" s="160" t="str">
        <f t="shared" ca="1" si="17"/>
        <v/>
      </c>
      <c r="I81" s="160" t="str">
        <f t="shared" ca="1" si="17"/>
        <v/>
      </c>
      <c r="J81" s="160" t="str">
        <f t="shared" ca="1" si="17"/>
        <v/>
      </c>
      <c r="K81" s="160" t="str">
        <f t="shared" ca="1" si="17"/>
        <v/>
      </c>
      <c r="L81" s="160" t="str">
        <f t="shared" ca="1" si="17"/>
        <v/>
      </c>
      <c r="M81" s="160" t="str">
        <f t="shared" ca="1" si="17"/>
        <v/>
      </c>
      <c r="N81" s="160" t="str">
        <f t="shared" ca="1" si="17"/>
        <v/>
      </c>
      <c r="O81" s="160" t="str">
        <f t="shared" ca="1" si="17"/>
        <v/>
      </c>
      <c r="P81" s="160" t="str">
        <f t="shared" ca="1" si="17"/>
        <v/>
      </c>
      <c r="Q81" s="160" t="str">
        <f t="shared" ca="1" si="17"/>
        <v/>
      </c>
      <c r="R81" s="160" t="str">
        <f t="shared" ca="1" si="17"/>
        <v/>
      </c>
      <c r="S81" s="160" t="str">
        <f t="shared" ca="1" si="17"/>
        <v/>
      </c>
      <c r="T81" s="160" t="str">
        <f t="shared" ca="1" si="17"/>
        <v/>
      </c>
      <c r="U81" s="161" t="str">
        <f t="shared" ca="1" si="17"/>
        <v/>
      </c>
    </row>
    <row r="82" spans="2:21" x14ac:dyDescent="0.4">
      <c r="B82" s="1020"/>
      <c r="C82" s="1023"/>
      <c r="D82" s="158" t="str">
        <f>$D$8</f>
        <v>Débitmètre gravitaire</v>
      </c>
      <c r="E82" s="1017"/>
      <c r="F82" s="196" t="str">
        <f t="shared" ca="1" si="2"/>
        <v/>
      </c>
      <c r="G82" s="191" t="str">
        <f t="shared" ref="G82:U82" ca="1" si="18">IF(F35&lt;&gt;"",_xlfn.SINGLE(INDIRECT(F35&amp;"!"&amp;$F$8)),"")</f>
        <v/>
      </c>
      <c r="H82" s="13" t="str">
        <f t="shared" ca="1" si="18"/>
        <v/>
      </c>
      <c r="I82" s="13" t="str">
        <f t="shared" ca="1" si="18"/>
        <v/>
      </c>
      <c r="J82" s="13" t="str">
        <f t="shared" ca="1" si="18"/>
        <v/>
      </c>
      <c r="K82" s="13" t="str">
        <f t="shared" ca="1" si="18"/>
        <v/>
      </c>
      <c r="L82" s="13" t="str">
        <f t="shared" ca="1" si="18"/>
        <v/>
      </c>
      <c r="M82" s="13" t="str">
        <f t="shared" ca="1" si="18"/>
        <v/>
      </c>
      <c r="N82" s="13" t="str">
        <f t="shared" ca="1" si="18"/>
        <v/>
      </c>
      <c r="O82" s="13" t="str">
        <f t="shared" ca="1" si="18"/>
        <v/>
      </c>
      <c r="P82" s="13" t="str">
        <f t="shared" ca="1" si="18"/>
        <v/>
      </c>
      <c r="Q82" s="13" t="str">
        <f t="shared" ca="1" si="18"/>
        <v/>
      </c>
      <c r="R82" s="13" t="str">
        <f t="shared" ca="1" si="18"/>
        <v/>
      </c>
      <c r="S82" s="13" t="str">
        <f t="shared" ca="1" si="18"/>
        <v/>
      </c>
      <c r="T82" s="13" t="str">
        <f t="shared" ca="1" si="18"/>
        <v/>
      </c>
      <c r="U82" s="162" t="str">
        <f t="shared" ca="1" si="18"/>
        <v/>
      </c>
    </row>
    <row r="83" spans="2:21" x14ac:dyDescent="0.4">
      <c r="B83" s="1020"/>
      <c r="C83" s="1023"/>
      <c r="D83" s="158" t="s">
        <v>420</v>
      </c>
      <c r="E83" s="1017"/>
      <c r="F83" s="196" t="str">
        <f t="shared" ca="1" si="2"/>
        <v/>
      </c>
      <c r="G83" s="192" t="str">
        <f ca="1">IF(COUNT(G81:G82)&gt;0,SUM(G81:G82),"")</f>
        <v/>
      </c>
      <c r="H83" s="181" t="str">
        <f t="shared" ref="H83:U83" ca="1" si="19">IF(COUNT(H81:H82)&gt;0,SUM(H81:H82),"")</f>
        <v/>
      </c>
      <c r="I83" s="181" t="str">
        <f t="shared" ca="1" si="19"/>
        <v/>
      </c>
      <c r="J83" s="181" t="str">
        <f t="shared" ca="1" si="19"/>
        <v/>
      </c>
      <c r="K83" s="181" t="str">
        <f t="shared" ca="1" si="19"/>
        <v/>
      </c>
      <c r="L83" s="181" t="str">
        <f t="shared" ca="1" si="19"/>
        <v/>
      </c>
      <c r="M83" s="181" t="str">
        <f t="shared" ca="1" si="19"/>
        <v/>
      </c>
      <c r="N83" s="181" t="str">
        <f t="shared" ca="1" si="19"/>
        <v/>
      </c>
      <c r="O83" s="181" t="str">
        <f t="shared" ca="1" si="19"/>
        <v/>
      </c>
      <c r="P83" s="181" t="str">
        <f t="shared" ca="1" si="19"/>
        <v/>
      </c>
      <c r="Q83" s="181" t="str">
        <f t="shared" ca="1" si="19"/>
        <v/>
      </c>
      <c r="R83" s="181" t="str">
        <f t="shared" ca="1" si="19"/>
        <v/>
      </c>
      <c r="S83" s="181" t="str">
        <f t="shared" ca="1" si="19"/>
        <v/>
      </c>
      <c r="T83" s="181" t="str">
        <f t="shared" ca="1" si="19"/>
        <v/>
      </c>
      <c r="U83" s="182" t="str">
        <f t="shared" ca="1" si="19"/>
        <v/>
      </c>
    </row>
    <row r="84" spans="2:21" x14ac:dyDescent="0.4">
      <c r="B84" s="1020"/>
      <c r="C84" s="1023"/>
      <c r="D84" s="158" t="str">
        <f>$D$9</f>
        <v>Préleveur</v>
      </c>
      <c r="E84" s="1017"/>
      <c r="F84" s="196" t="str">
        <f t="shared" ca="1" si="2"/>
        <v/>
      </c>
      <c r="G84" s="191" t="str">
        <f t="shared" ref="G84:U84" ca="1" si="20">IF(F36&lt;&gt;"",_xlfn.SINGLE(INDIRECT(F36&amp;"!"&amp;$F$9)),"")</f>
        <v/>
      </c>
      <c r="H84" s="13" t="str">
        <f t="shared" ca="1" si="20"/>
        <v/>
      </c>
      <c r="I84" s="13" t="str">
        <f t="shared" ca="1" si="20"/>
        <v/>
      </c>
      <c r="J84" s="13" t="str">
        <f t="shared" ca="1" si="20"/>
        <v/>
      </c>
      <c r="K84" s="13" t="str">
        <f t="shared" ca="1" si="20"/>
        <v/>
      </c>
      <c r="L84" s="13" t="str">
        <f t="shared" ca="1" si="20"/>
        <v/>
      </c>
      <c r="M84" s="13" t="str">
        <f t="shared" ca="1" si="20"/>
        <v/>
      </c>
      <c r="N84" s="13" t="str">
        <f t="shared" ca="1" si="20"/>
        <v/>
      </c>
      <c r="O84" s="13" t="str">
        <f t="shared" ca="1" si="20"/>
        <v/>
      </c>
      <c r="P84" s="13" t="str">
        <f t="shared" ca="1" si="20"/>
        <v/>
      </c>
      <c r="Q84" s="13" t="str">
        <f t="shared" ca="1" si="20"/>
        <v/>
      </c>
      <c r="R84" s="13" t="str">
        <f t="shared" ca="1" si="20"/>
        <v/>
      </c>
      <c r="S84" s="13" t="str">
        <f t="shared" ca="1" si="20"/>
        <v/>
      </c>
      <c r="T84" s="13" t="str">
        <f t="shared" ca="1" si="20"/>
        <v/>
      </c>
      <c r="U84" s="162" t="str">
        <f t="shared" ca="1" si="20"/>
        <v/>
      </c>
    </row>
    <row r="85" spans="2:21" x14ac:dyDescent="0.4">
      <c r="B85" s="1020"/>
      <c r="C85" s="1023"/>
      <c r="D85" s="369" t="s">
        <v>412</v>
      </c>
      <c r="E85" s="1017"/>
      <c r="F85" s="196" t="str">
        <f t="shared" ca="1" si="2"/>
        <v/>
      </c>
      <c r="G85" s="370" t="str">
        <f ca="1">IF(F37&lt;&gt;"",VLOOKUP(F37,Analytique!$X$3:$AE$29,6,FALSE),"")</f>
        <v/>
      </c>
      <c r="H85" s="370" t="str">
        <f ca="1">IF(G37&lt;&gt;"",VLOOKUP(G37,Analytique!$X$3:$AE$29,6,FALSE),"")</f>
        <v/>
      </c>
      <c r="I85" s="370" t="str">
        <f ca="1">IF(H37&lt;&gt;"",VLOOKUP(H37,Analytique!$X$3:$AE$29,6,FALSE),"")</f>
        <v/>
      </c>
      <c r="J85" s="370" t="str">
        <f ca="1">IF(I37&lt;&gt;"",VLOOKUP(I37,Analytique!$X$3:$AE$29,6,FALSE),"")</f>
        <v/>
      </c>
      <c r="K85" s="370" t="str">
        <f ca="1">IF(J37&lt;&gt;"",VLOOKUP(J37,Analytique!$X$3:$AE$29,6,FALSE),"")</f>
        <v/>
      </c>
      <c r="L85" s="370" t="str">
        <f ca="1">IF(K37&lt;&gt;"",VLOOKUP(K37,Analytique!$X$3:$AE$29,6,FALSE),"")</f>
        <v/>
      </c>
      <c r="M85" s="370" t="str">
        <f ca="1">IF(L37&lt;&gt;"",VLOOKUP(L37,Analytique!$X$3:$AE$29,6,FALSE),"")</f>
        <v/>
      </c>
      <c r="N85" s="370" t="str">
        <f ca="1">IF(M37&lt;&gt;"",VLOOKUP(M37,Analytique!$X$3:$AE$29,6,FALSE),"")</f>
        <v/>
      </c>
      <c r="O85" s="370" t="str">
        <f ca="1">IF(N37&lt;&gt;"",VLOOKUP(N37,Analytique!$X$3:$AE$29,6,FALSE),"")</f>
        <v/>
      </c>
      <c r="P85" s="370" t="str">
        <f ca="1">IF(O37&lt;&gt;"",VLOOKUP(O37,Analytique!$X$3:$AE$29,6,FALSE),"")</f>
        <v/>
      </c>
      <c r="Q85" s="370" t="str">
        <f ca="1">IF(P37&lt;&gt;"",VLOOKUP(P37,Analytique!$X$3:$AE$29,6,FALSE),"")</f>
        <v/>
      </c>
      <c r="R85" s="370" t="str">
        <f ca="1">IF(Q37&lt;&gt;"",VLOOKUP(Q37,Analytique!$X$3:$AE$29,6,FALSE),"")</f>
        <v/>
      </c>
      <c r="S85" s="370" t="str">
        <f ca="1">IF(R37&lt;&gt;"",VLOOKUP(R37,Analytique!$X$3:$AE$29,6,FALSE),"")</f>
        <v/>
      </c>
      <c r="T85" s="370" t="str">
        <f ca="1">IF(S37&lt;&gt;"",VLOOKUP(S37,Analytique!$X$3:$AE$29,6,FALSE),"")</f>
        <v/>
      </c>
      <c r="U85" s="370" t="str">
        <f ca="1">IF(T37&lt;&gt;"",VLOOKUP(T37,Analytique!$X$3:$AE$29,6,FALSE),"")</f>
        <v/>
      </c>
    </row>
    <row r="86" spans="2:21" ht="13" thickBot="1" x14ac:dyDescent="0.45">
      <c r="B86" s="1021"/>
      <c r="C86" s="1024"/>
      <c r="D86" s="163" t="str">
        <f>$D$10</f>
        <v>Sonde de température</v>
      </c>
      <c r="E86" s="1018"/>
      <c r="F86" s="197" t="str">
        <f t="shared" ca="1" si="2"/>
        <v/>
      </c>
      <c r="G86" s="193" t="str">
        <f t="shared" ref="G86:U86" ca="1" si="21">IF(F38&lt;&gt;"",_xlfn.SINGLE(INDIRECT(F38&amp;"!"&amp;$F$10)),"")</f>
        <v/>
      </c>
      <c r="H86" s="166" t="str">
        <f t="shared" ca="1" si="21"/>
        <v/>
      </c>
      <c r="I86" s="166" t="str">
        <f t="shared" ca="1" si="21"/>
        <v/>
      </c>
      <c r="J86" s="166" t="str">
        <f t="shared" ca="1" si="21"/>
        <v/>
      </c>
      <c r="K86" s="166" t="str">
        <f t="shared" ca="1" si="21"/>
        <v/>
      </c>
      <c r="L86" s="166" t="str">
        <f t="shared" ca="1" si="21"/>
        <v/>
      </c>
      <c r="M86" s="166" t="str">
        <f t="shared" ca="1" si="21"/>
        <v/>
      </c>
      <c r="N86" s="166" t="str">
        <f t="shared" ca="1" si="21"/>
        <v/>
      </c>
      <c r="O86" s="166" t="str">
        <f t="shared" ca="1" si="21"/>
        <v/>
      </c>
      <c r="P86" s="166" t="str">
        <f t="shared" ca="1" si="21"/>
        <v/>
      </c>
      <c r="Q86" s="166" t="str">
        <f t="shared" ca="1" si="21"/>
        <v/>
      </c>
      <c r="R86" s="166" t="str">
        <f t="shared" ca="1" si="21"/>
        <v/>
      </c>
      <c r="S86" s="166" t="str">
        <f t="shared" ca="1" si="21"/>
        <v/>
      </c>
      <c r="T86" s="166" t="str">
        <f t="shared" ca="1" si="21"/>
        <v/>
      </c>
      <c r="U86" s="167" t="str">
        <f t="shared" ca="1" si="21"/>
        <v/>
      </c>
    </row>
    <row r="87" spans="2:21" x14ac:dyDescent="0.4">
      <c r="B87" s="1019" t="s">
        <v>112</v>
      </c>
      <c r="C87" s="1022" t="s">
        <v>120</v>
      </c>
      <c r="D87" s="159" t="str">
        <f>$D$7</f>
        <v>Débitmètre en charge</v>
      </c>
      <c r="E87" s="1016" t="str">
        <f ca="1">IFERROR(AVERAGE(F89:F91)*$B$5,"")</f>
        <v/>
      </c>
      <c r="F87" s="195" t="str">
        <f t="shared" ca="1" si="2"/>
        <v/>
      </c>
      <c r="G87" s="190" t="str">
        <f t="shared" ref="G87:U87" ca="1" si="22">IF(F39&lt;&gt;"",_xlfn.SINGLE(INDIRECT(F39&amp;"!"&amp;$F$7)),"")</f>
        <v/>
      </c>
      <c r="H87" s="160" t="str">
        <f t="shared" ca="1" si="22"/>
        <v/>
      </c>
      <c r="I87" s="160" t="str">
        <f t="shared" ca="1" si="22"/>
        <v/>
      </c>
      <c r="J87" s="160" t="str">
        <f t="shared" ca="1" si="22"/>
        <v/>
      </c>
      <c r="K87" s="160" t="str">
        <f t="shared" ca="1" si="22"/>
        <v/>
      </c>
      <c r="L87" s="160" t="str">
        <f t="shared" ca="1" si="22"/>
        <v/>
      </c>
      <c r="M87" s="160" t="str">
        <f t="shared" ca="1" si="22"/>
        <v/>
      </c>
      <c r="N87" s="160" t="str">
        <f t="shared" ca="1" si="22"/>
        <v/>
      </c>
      <c r="O87" s="160" t="str">
        <f t="shared" ca="1" si="22"/>
        <v/>
      </c>
      <c r="P87" s="160" t="str">
        <f t="shared" ca="1" si="22"/>
        <v/>
      </c>
      <c r="Q87" s="160" t="str">
        <f t="shared" ca="1" si="22"/>
        <v/>
      </c>
      <c r="R87" s="160" t="str">
        <f t="shared" ca="1" si="22"/>
        <v/>
      </c>
      <c r="S87" s="160" t="str">
        <f t="shared" ca="1" si="22"/>
        <v/>
      </c>
      <c r="T87" s="160" t="str">
        <f t="shared" ca="1" si="22"/>
        <v/>
      </c>
      <c r="U87" s="161" t="str">
        <f t="shared" ca="1" si="22"/>
        <v/>
      </c>
    </row>
    <row r="88" spans="2:21" x14ac:dyDescent="0.4">
      <c r="B88" s="1020"/>
      <c r="C88" s="1023"/>
      <c r="D88" s="158" t="str">
        <f>$D$8</f>
        <v>Débitmètre gravitaire</v>
      </c>
      <c r="E88" s="1017"/>
      <c r="F88" s="196" t="str">
        <f t="shared" ca="1" si="2"/>
        <v/>
      </c>
      <c r="G88" s="191" t="str">
        <f t="shared" ref="G88:U88" ca="1" si="23">IF(F40&lt;&gt;"",_xlfn.SINGLE(INDIRECT(F40&amp;"!"&amp;$F$8)),"")</f>
        <v/>
      </c>
      <c r="H88" s="13" t="str">
        <f t="shared" ca="1" si="23"/>
        <v/>
      </c>
      <c r="I88" s="13" t="str">
        <f t="shared" ca="1" si="23"/>
        <v/>
      </c>
      <c r="J88" s="13" t="str">
        <f t="shared" ca="1" si="23"/>
        <v/>
      </c>
      <c r="K88" s="13" t="str">
        <f t="shared" ca="1" si="23"/>
        <v/>
      </c>
      <c r="L88" s="13" t="str">
        <f t="shared" ca="1" si="23"/>
        <v/>
      </c>
      <c r="M88" s="13" t="str">
        <f t="shared" ca="1" si="23"/>
        <v/>
      </c>
      <c r="N88" s="13" t="str">
        <f t="shared" ca="1" si="23"/>
        <v/>
      </c>
      <c r="O88" s="13" t="str">
        <f t="shared" ca="1" si="23"/>
        <v/>
      </c>
      <c r="P88" s="13" t="str">
        <f t="shared" ca="1" si="23"/>
        <v/>
      </c>
      <c r="Q88" s="13" t="str">
        <f t="shared" ca="1" si="23"/>
        <v/>
      </c>
      <c r="R88" s="13" t="str">
        <f t="shared" ca="1" si="23"/>
        <v/>
      </c>
      <c r="S88" s="13" t="str">
        <f t="shared" ca="1" si="23"/>
        <v/>
      </c>
      <c r="T88" s="13" t="str">
        <f t="shared" ca="1" si="23"/>
        <v/>
      </c>
      <c r="U88" s="162" t="str">
        <f t="shared" ca="1" si="23"/>
        <v/>
      </c>
    </row>
    <row r="89" spans="2:21" x14ac:dyDescent="0.4">
      <c r="B89" s="1020"/>
      <c r="C89" s="1023"/>
      <c r="D89" s="158" t="s">
        <v>420</v>
      </c>
      <c r="E89" s="1017"/>
      <c r="F89" s="196" t="str">
        <f t="shared" ca="1" si="2"/>
        <v/>
      </c>
      <c r="G89" s="192" t="str">
        <f ca="1">IF(COUNT(G87:G88)&gt;0,SUM(G87:G88),"")</f>
        <v/>
      </c>
      <c r="H89" s="181" t="str">
        <f t="shared" ref="H89:U89" ca="1" si="24">IF(COUNT(H87:H88)&gt;0,SUM(H87:H88),"")</f>
        <v/>
      </c>
      <c r="I89" s="181" t="str">
        <f t="shared" ca="1" si="24"/>
        <v/>
      </c>
      <c r="J89" s="181" t="str">
        <f t="shared" ca="1" si="24"/>
        <v/>
      </c>
      <c r="K89" s="181" t="str">
        <f t="shared" ca="1" si="24"/>
        <v/>
      </c>
      <c r="L89" s="181" t="str">
        <f t="shared" ca="1" si="24"/>
        <v/>
      </c>
      <c r="M89" s="181" t="str">
        <f t="shared" ca="1" si="24"/>
        <v/>
      </c>
      <c r="N89" s="181" t="str">
        <f t="shared" ca="1" si="24"/>
        <v/>
      </c>
      <c r="O89" s="181" t="str">
        <f t="shared" ca="1" si="24"/>
        <v/>
      </c>
      <c r="P89" s="181" t="str">
        <f t="shared" ca="1" si="24"/>
        <v/>
      </c>
      <c r="Q89" s="181" t="str">
        <f t="shared" ca="1" si="24"/>
        <v/>
      </c>
      <c r="R89" s="181" t="str">
        <f t="shared" ca="1" si="24"/>
        <v/>
      </c>
      <c r="S89" s="181" t="str">
        <f t="shared" ca="1" si="24"/>
        <v/>
      </c>
      <c r="T89" s="181" t="str">
        <f t="shared" ca="1" si="24"/>
        <v/>
      </c>
      <c r="U89" s="182" t="str">
        <f t="shared" ca="1" si="24"/>
        <v/>
      </c>
    </row>
    <row r="90" spans="2:21" x14ac:dyDescent="0.4">
      <c r="B90" s="1020"/>
      <c r="C90" s="1023"/>
      <c r="D90" s="158" t="str">
        <f>$D$9</f>
        <v>Préleveur</v>
      </c>
      <c r="E90" s="1017"/>
      <c r="F90" s="196" t="str">
        <f t="shared" ca="1" si="2"/>
        <v/>
      </c>
      <c r="G90" s="191" t="str">
        <f t="shared" ref="G90:U90" ca="1" si="25">IF(F41&lt;&gt;"",_xlfn.SINGLE(INDIRECT(F41&amp;"!"&amp;$F$9)),"")</f>
        <v/>
      </c>
      <c r="H90" s="13" t="str">
        <f t="shared" ca="1" si="25"/>
        <v/>
      </c>
      <c r="I90" s="13" t="str">
        <f t="shared" ca="1" si="25"/>
        <v/>
      </c>
      <c r="J90" s="13" t="str">
        <f t="shared" ca="1" si="25"/>
        <v/>
      </c>
      <c r="K90" s="13" t="str">
        <f t="shared" ca="1" si="25"/>
        <v/>
      </c>
      <c r="L90" s="13" t="str">
        <f t="shared" ca="1" si="25"/>
        <v/>
      </c>
      <c r="M90" s="13" t="str">
        <f t="shared" ca="1" si="25"/>
        <v/>
      </c>
      <c r="N90" s="13" t="str">
        <f t="shared" ca="1" si="25"/>
        <v/>
      </c>
      <c r="O90" s="13" t="str">
        <f t="shared" ca="1" si="25"/>
        <v/>
      </c>
      <c r="P90" s="13" t="str">
        <f t="shared" ca="1" si="25"/>
        <v/>
      </c>
      <c r="Q90" s="13" t="str">
        <f t="shared" ca="1" si="25"/>
        <v/>
      </c>
      <c r="R90" s="13" t="str">
        <f t="shared" ca="1" si="25"/>
        <v/>
      </c>
      <c r="S90" s="13" t="str">
        <f t="shared" ca="1" si="25"/>
        <v/>
      </c>
      <c r="T90" s="13" t="str">
        <f t="shared" ca="1" si="25"/>
        <v/>
      </c>
      <c r="U90" s="162" t="str">
        <f t="shared" ca="1" si="25"/>
        <v/>
      </c>
    </row>
    <row r="91" spans="2:21" x14ac:dyDescent="0.4">
      <c r="B91" s="1020"/>
      <c r="C91" s="1023"/>
      <c r="D91" s="369" t="s">
        <v>412</v>
      </c>
      <c r="E91" s="1017"/>
      <c r="F91" s="196" t="str">
        <f t="shared" ca="1" si="2"/>
        <v/>
      </c>
      <c r="G91" s="370" t="str">
        <f ca="1">IF(F42&lt;&gt;"",VLOOKUP(F42,Analytique!$X$3:$AE$29,6,FALSE),"")</f>
        <v/>
      </c>
      <c r="H91" s="370" t="str">
        <f ca="1">IF(G42&lt;&gt;"",VLOOKUP(G42,Analytique!$X$3:$AE$29,6,FALSE),"")</f>
        <v/>
      </c>
      <c r="I91" s="370" t="str">
        <f ca="1">IF(H42&lt;&gt;"",VLOOKUP(H42,Analytique!$X$3:$AE$29,6,FALSE),"")</f>
        <v/>
      </c>
      <c r="J91" s="370" t="str">
        <f ca="1">IF(I42&lt;&gt;"",VLOOKUP(I42,Analytique!$X$3:$AE$29,6,FALSE),"")</f>
        <v/>
      </c>
      <c r="K91" s="370" t="str">
        <f ca="1">IF(J42&lt;&gt;"",VLOOKUP(J42,Analytique!$X$3:$AE$29,6,FALSE),"")</f>
        <v/>
      </c>
      <c r="L91" s="370" t="str">
        <f ca="1">IF(K42&lt;&gt;"",VLOOKUP(K42,Analytique!$X$3:$AE$29,6,FALSE),"")</f>
        <v/>
      </c>
      <c r="M91" s="370" t="str">
        <f ca="1">IF(L42&lt;&gt;"",VLOOKUP(L42,Analytique!$X$3:$AE$29,6,FALSE),"")</f>
        <v/>
      </c>
      <c r="N91" s="370" t="str">
        <f ca="1">IF(M42&lt;&gt;"",VLOOKUP(M42,Analytique!$X$3:$AE$29,6,FALSE),"")</f>
        <v/>
      </c>
      <c r="O91" s="370" t="str">
        <f ca="1">IF(N42&lt;&gt;"",VLOOKUP(N42,Analytique!$X$3:$AE$29,6,FALSE),"")</f>
        <v/>
      </c>
      <c r="P91" s="370" t="str">
        <f ca="1">IF(O42&lt;&gt;"",VLOOKUP(O42,Analytique!$X$3:$AE$29,6,FALSE),"")</f>
        <v/>
      </c>
      <c r="Q91" s="370" t="str">
        <f ca="1">IF(P42&lt;&gt;"",VLOOKUP(P42,Analytique!$X$3:$AE$29,6,FALSE),"")</f>
        <v/>
      </c>
      <c r="R91" s="370" t="str">
        <f ca="1">IF(Q42&lt;&gt;"",VLOOKUP(Q42,Analytique!$X$3:$AE$29,6,FALSE),"")</f>
        <v/>
      </c>
      <c r="S91" s="370" t="str">
        <f ca="1">IF(R42&lt;&gt;"",VLOOKUP(R42,Analytique!$X$3:$AE$29,6,FALSE),"")</f>
        <v/>
      </c>
      <c r="T91" s="370" t="str">
        <f ca="1">IF(S42&lt;&gt;"",VLOOKUP(S42,Analytique!$X$3:$AE$29,6,FALSE),"")</f>
        <v/>
      </c>
      <c r="U91" s="370" t="str">
        <f ca="1">IF(T42&lt;&gt;"",VLOOKUP(T42,Analytique!$X$3:$AE$29,6,FALSE),"")</f>
        <v/>
      </c>
    </row>
    <row r="92" spans="2:21" ht="13" thickBot="1" x14ac:dyDescent="0.45">
      <c r="B92" s="1021"/>
      <c r="C92" s="1024"/>
      <c r="D92" s="163" t="str">
        <f>$D$10</f>
        <v>Sonde de température</v>
      </c>
      <c r="E92" s="1018"/>
      <c r="F92" s="197" t="str">
        <f t="shared" ca="1" si="2"/>
        <v/>
      </c>
      <c r="G92" s="193" t="str">
        <f t="shared" ref="G92:U92" ca="1" si="26">IF(F43&lt;&gt;"",_xlfn.SINGLE(INDIRECT(F43&amp;"!"&amp;$F$10)),"")</f>
        <v/>
      </c>
      <c r="H92" s="166" t="str">
        <f t="shared" ca="1" si="26"/>
        <v/>
      </c>
      <c r="I92" s="166" t="str">
        <f t="shared" ca="1" si="26"/>
        <v/>
      </c>
      <c r="J92" s="166" t="str">
        <f t="shared" ca="1" si="26"/>
        <v/>
      </c>
      <c r="K92" s="166" t="str">
        <f t="shared" ca="1" si="26"/>
        <v/>
      </c>
      <c r="L92" s="166" t="str">
        <f t="shared" ca="1" si="26"/>
        <v/>
      </c>
      <c r="M92" s="166" t="str">
        <f t="shared" ca="1" si="26"/>
        <v/>
      </c>
      <c r="N92" s="166" t="str">
        <f t="shared" ca="1" si="26"/>
        <v/>
      </c>
      <c r="O92" s="166" t="str">
        <f t="shared" ca="1" si="26"/>
        <v/>
      </c>
      <c r="P92" s="166" t="str">
        <f t="shared" ca="1" si="26"/>
        <v/>
      </c>
      <c r="Q92" s="166" t="str">
        <f t="shared" ca="1" si="26"/>
        <v/>
      </c>
      <c r="R92" s="166" t="str">
        <f t="shared" ca="1" si="26"/>
        <v/>
      </c>
      <c r="S92" s="166" t="str">
        <f t="shared" ca="1" si="26"/>
        <v/>
      </c>
      <c r="T92" s="166" t="str">
        <f t="shared" ca="1" si="26"/>
        <v/>
      </c>
      <c r="U92" s="167" t="str">
        <f t="shared" ca="1" si="26"/>
        <v/>
      </c>
    </row>
    <row r="93" spans="2:21" x14ac:dyDescent="0.4">
      <c r="B93" s="1019" t="s">
        <v>114</v>
      </c>
      <c r="C93" s="1022" t="s">
        <v>119</v>
      </c>
      <c r="D93" s="159" t="str">
        <f>$D$7</f>
        <v>Débitmètre en charge</v>
      </c>
      <c r="E93" s="1016" t="str">
        <f ca="1">IFERROR(AVERAGE(F95:F97)*$B$5,"")</f>
        <v/>
      </c>
      <c r="F93" s="195" t="str">
        <f t="shared" ca="1" si="2"/>
        <v/>
      </c>
      <c r="G93" s="190" t="str">
        <f t="shared" ref="G93:U93" ca="1" si="27">IF(F44&lt;&gt;"",_xlfn.SINGLE(INDIRECT(F44&amp;"!"&amp;$F$7)),"")</f>
        <v/>
      </c>
      <c r="H93" s="160" t="str">
        <f t="shared" ca="1" si="27"/>
        <v/>
      </c>
      <c r="I93" s="160" t="str">
        <f t="shared" ca="1" si="27"/>
        <v/>
      </c>
      <c r="J93" s="160" t="str">
        <f t="shared" ca="1" si="27"/>
        <v/>
      </c>
      <c r="K93" s="160" t="str">
        <f t="shared" ca="1" si="27"/>
        <v/>
      </c>
      <c r="L93" s="160" t="str">
        <f t="shared" ca="1" si="27"/>
        <v/>
      </c>
      <c r="M93" s="160" t="str">
        <f t="shared" ca="1" si="27"/>
        <v/>
      </c>
      <c r="N93" s="160" t="str">
        <f t="shared" ca="1" si="27"/>
        <v/>
      </c>
      <c r="O93" s="160" t="str">
        <f t="shared" ca="1" si="27"/>
        <v/>
      </c>
      <c r="P93" s="160" t="str">
        <f t="shared" ca="1" si="27"/>
        <v/>
      </c>
      <c r="Q93" s="160" t="str">
        <f t="shared" ca="1" si="27"/>
        <v/>
      </c>
      <c r="R93" s="160" t="str">
        <f t="shared" ca="1" si="27"/>
        <v/>
      </c>
      <c r="S93" s="160" t="str">
        <f t="shared" ca="1" si="27"/>
        <v/>
      </c>
      <c r="T93" s="160" t="str">
        <f t="shared" ca="1" si="27"/>
        <v/>
      </c>
      <c r="U93" s="161" t="str">
        <f t="shared" ca="1" si="27"/>
        <v/>
      </c>
    </row>
    <row r="94" spans="2:21" x14ac:dyDescent="0.4">
      <c r="B94" s="1020"/>
      <c r="C94" s="1023"/>
      <c r="D94" s="158" t="str">
        <f>$D$8</f>
        <v>Débitmètre gravitaire</v>
      </c>
      <c r="E94" s="1017"/>
      <c r="F94" s="196" t="str">
        <f t="shared" ca="1" si="2"/>
        <v/>
      </c>
      <c r="G94" s="191" t="str">
        <f t="shared" ref="G94:U94" ca="1" si="28">IF(F45&lt;&gt;"",_xlfn.SINGLE(INDIRECT(F45&amp;"!"&amp;$F$8)),"")</f>
        <v/>
      </c>
      <c r="H94" s="13" t="str">
        <f t="shared" ca="1" si="28"/>
        <v/>
      </c>
      <c r="I94" s="13" t="str">
        <f t="shared" ca="1" si="28"/>
        <v/>
      </c>
      <c r="J94" s="13" t="str">
        <f t="shared" ca="1" si="28"/>
        <v/>
      </c>
      <c r="K94" s="13" t="str">
        <f t="shared" ca="1" si="28"/>
        <v/>
      </c>
      <c r="L94" s="13" t="str">
        <f t="shared" ca="1" si="28"/>
        <v/>
      </c>
      <c r="M94" s="13" t="str">
        <f t="shared" ca="1" si="28"/>
        <v/>
      </c>
      <c r="N94" s="13" t="str">
        <f t="shared" ca="1" si="28"/>
        <v/>
      </c>
      <c r="O94" s="13" t="str">
        <f t="shared" ca="1" si="28"/>
        <v/>
      </c>
      <c r="P94" s="13" t="str">
        <f t="shared" ca="1" si="28"/>
        <v/>
      </c>
      <c r="Q94" s="13" t="str">
        <f t="shared" ca="1" si="28"/>
        <v/>
      </c>
      <c r="R94" s="13" t="str">
        <f t="shared" ca="1" si="28"/>
        <v/>
      </c>
      <c r="S94" s="13" t="str">
        <f t="shared" ca="1" si="28"/>
        <v/>
      </c>
      <c r="T94" s="13" t="str">
        <f t="shared" ca="1" si="28"/>
        <v/>
      </c>
      <c r="U94" s="162" t="str">
        <f t="shared" ca="1" si="28"/>
        <v/>
      </c>
    </row>
    <row r="95" spans="2:21" x14ac:dyDescent="0.4">
      <c r="B95" s="1020"/>
      <c r="C95" s="1023"/>
      <c r="D95" s="158" t="s">
        <v>420</v>
      </c>
      <c r="E95" s="1017"/>
      <c r="F95" s="196" t="str">
        <f t="shared" ca="1" si="2"/>
        <v/>
      </c>
      <c r="G95" s="192" t="str">
        <f ca="1">IF(COUNT(G93:G94)&gt;0,SUM(G93:G94),"")</f>
        <v/>
      </c>
      <c r="H95" s="181" t="str">
        <f t="shared" ref="H95:U95" ca="1" si="29">IF(COUNT(H93:H94)&gt;0,SUM(H93:H94),"")</f>
        <v/>
      </c>
      <c r="I95" s="181" t="str">
        <f t="shared" ca="1" si="29"/>
        <v/>
      </c>
      <c r="J95" s="181" t="str">
        <f t="shared" ca="1" si="29"/>
        <v/>
      </c>
      <c r="K95" s="181" t="str">
        <f t="shared" ca="1" si="29"/>
        <v/>
      </c>
      <c r="L95" s="181" t="str">
        <f t="shared" ca="1" si="29"/>
        <v/>
      </c>
      <c r="M95" s="181" t="str">
        <f t="shared" ca="1" si="29"/>
        <v/>
      </c>
      <c r="N95" s="181" t="str">
        <f t="shared" ca="1" si="29"/>
        <v/>
      </c>
      <c r="O95" s="181" t="str">
        <f t="shared" ca="1" si="29"/>
        <v/>
      </c>
      <c r="P95" s="181" t="str">
        <f t="shared" ca="1" si="29"/>
        <v/>
      </c>
      <c r="Q95" s="181" t="str">
        <f t="shared" ca="1" si="29"/>
        <v/>
      </c>
      <c r="R95" s="181" t="str">
        <f t="shared" ca="1" si="29"/>
        <v/>
      </c>
      <c r="S95" s="181" t="str">
        <f t="shared" ca="1" si="29"/>
        <v/>
      </c>
      <c r="T95" s="181" t="str">
        <f t="shared" ca="1" si="29"/>
        <v/>
      </c>
      <c r="U95" s="182" t="str">
        <f t="shared" ca="1" si="29"/>
        <v/>
      </c>
    </row>
    <row r="96" spans="2:21" x14ac:dyDescent="0.4">
      <c r="B96" s="1020"/>
      <c r="C96" s="1023"/>
      <c r="D96" s="158" t="str">
        <f>$D$9</f>
        <v>Préleveur</v>
      </c>
      <c r="E96" s="1017"/>
      <c r="F96" s="196" t="str">
        <f t="shared" ca="1" si="2"/>
        <v/>
      </c>
      <c r="G96" s="191" t="str">
        <f t="shared" ref="G96:U96" ca="1" si="30">IF(F46&lt;&gt;"",_xlfn.SINGLE(INDIRECT(F46&amp;"!"&amp;$F$9)),"")</f>
        <v/>
      </c>
      <c r="H96" s="13" t="str">
        <f t="shared" ca="1" si="30"/>
        <v/>
      </c>
      <c r="I96" s="13" t="str">
        <f t="shared" ca="1" si="30"/>
        <v/>
      </c>
      <c r="J96" s="13" t="str">
        <f t="shared" ca="1" si="30"/>
        <v/>
      </c>
      <c r="K96" s="13" t="str">
        <f t="shared" ca="1" si="30"/>
        <v/>
      </c>
      <c r="L96" s="13" t="str">
        <f t="shared" ca="1" si="30"/>
        <v/>
      </c>
      <c r="M96" s="13" t="str">
        <f t="shared" ca="1" si="30"/>
        <v/>
      </c>
      <c r="N96" s="13" t="str">
        <f t="shared" ca="1" si="30"/>
        <v/>
      </c>
      <c r="O96" s="13" t="str">
        <f t="shared" ca="1" si="30"/>
        <v/>
      </c>
      <c r="P96" s="13" t="str">
        <f t="shared" ca="1" si="30"/>
        <v/>
      </c>
      <c r="Q96" s="13" t="str">
        <f t="shared" ca="1" si="30"/>
        <v/>
      </c>
      <c r="R96" s="13" t="str">
        <f t="shared" ca="1" si="30"/>
        <v/>
      </c>
      <c r="S96" s="13" t="str">
        <f t="shared" ca="1" si="30"/>
        <v/>
      </c>
      <c r="T96" s="13" t="str">
        <f t="shared" ca="1" si="30"/>
        <v/>
      </c>
      <c r="U96" s="162" t="str">
        <f t="shared" ca="1" si="30"/>
        <v/>
      </c>
    </row>
    <row r="97" spans="2:21" x14ac:dyDescent="0.4">
      <c r="B97" s="1020"/>
      <c r="C97" s="1023"/>
      <c r="D97" s="369" t="s">
        <v>412</v>
      </c>
      <c r="E97" s="1017"/>
      <c r="F97" s="196" t="str">
        <f t="shared" ca="1" si="2"/>
        <v/>
      </c>
      <c r="G97" s="370" t="str">
        <f ca="1">IF(F47&lt;&gt;"",VLOOKUP(F47,Analytique!$X$3:$AE$29,6,FALSE),"")</f>
        <v/>
      </c>
      <c r="H97" s="370" t="str">
        <f ca="1">IF(G47&lt;&gt;"",VLOOKUP(G47,Analytique!$X$3:$AE$29,6,FALSE),"")</f>
        <v/>
      </c>
      <c r="I97" s="370" t="str">
        <f ca="1">IF(H47&lt;&gt;"",VLOOKUP(H47,Analytique!$X$3:$AE$29,6,FALSE),"")</f>
        <v/>
      </c>
      <c r="J97" s="370" t="str">
        <f ca="1">IF(I47&lt;&gt;"",VLOOKUP(I47,Analytique!$X$3:$AE$29,6,FALSE),"")</f>
        <v/>
      </c>
      <c r="K97" s="370" t="str">
        <f ca="1">IF(J47&lt;&gt;"",VLOOKUP(J47,Analytique!$X$3:$AE$29,6,FALSE),"")</f>
        <v/>
      </c>
      <c r="L97" s="370" t="str">
        <f ca="1">IF(K47&lt;&gt;"",VLOOKUP(K47,Analytique!$X$3:$AE$29,6,FALSE),"")</f>
        <v/>
      </c>
      <c r="M97" s="370" t="str">
        <f ca="1">IF(L47&lt;&gt;"",VLOOKUP(L47,Analytique!$X$3:$AE$29,6,FALSE),"")</f>
        <v/>
      </c>
      <c r="N97" s="370" t="str">
        <f ca="1">IF(M47&lt;&gt;"",VLOOKUP(M47,Analytique!$X$3:$AE$29,6,FALSE),"")</f>
        <v/>
      </c>
      <c r="O97" s="370" t="str">
        <f ca="1">IF(N47&lt;&gt;"",VLOOKUP(N47,Analytique!$X$3:$AE$29,6,FALSE),"")</f>
        <v/>
      </c>
      <c r="P97" s="370" t="str">
        <f ca="1">IF(O47&lt;&gt;"",VLOOKUP(O47,Analytique!$X$3:$AE$29,6,FALSE),"")</f>
        <v/>
      </c>
      <c r="Q97" s="370" t="str">
        <f ca="1">IF(P47&lt;&gt;"",VLOOKUP(P47,Analytique!$X$3:$AE$29,6,FALSE),"")</f>
        <v/>
      </c>
      <c r="R97" s="370" t="str">
        <f ca="1">IF(Q47&lt;&gt;"",VLOOKUP(Q47,Analytique!$X$3:$AE$29,6,FALSE),"")</f>
        <v/>
      </c>
      <c r="S97" s="370" t="str">
        <f ca="1">IF(R47&lt;&gt;"",VLOOKUP(R47,Analytique!$X$3:$AE$29,6,FALSE),"")</f>
        <v/>
      </c>
      <c r="T97" s="370" t="str">
        <f ca="1">IF(S47&lt;&gt;"",VLOOKUP(S47,Analytique!$X$3:$AE$29,6,FALSE),"")</f>
        <v/>
      </c>
      <c r="U97" s="370" t="str">
        <f ca="1">IF(T47&lt;&gt;"",VLOOKUP(T47,Analytique!$X$3:$AE$29,6,FALSE),"")</f>
        <v/>
      </c>
    </row>
    <row r="98" spans="2:21" ht="13" thickBot="1" x14ac:dyDescent="0.45">
      <c r="B98" s="1021"/>
      <c r="C98" s="1024"/>
      <c r="D98" s="163" t="str">
        <f>$D$10</f>
        <v>Sonde de température</v>
      </c>
      <c r="E98" s="1018"/>
      <c r="F98" s="197" t="str">
        <f t="shared" ca="1" si="2"/>
        <v/>
      </c>
      <c r="G98" s="193" t="str">
        <f t="shared" ref="G98:U98" ca="1" si="31">IF(F48&lt;&gt;"",_xlfn.SINGLE(INDIRECT(F48&amp;"!"&amp;$F$10)),"")</f>
        <v/>
      </c>
      <c r="H98" s="166" t="str">
        <f t="shared" ca="1" si="31"/>
        <v/>
      </c>
      <c r="I98" s="166" t="str">
        <f t="shared" ca="1" si="31"/>
        <v/>
      </c>
      <c r="J98" s="166" t="str">
        <f t="shared" ca="1" si="31"/>
        <v/>
      </c>
      <c r="K98" s="166" t="str">
        <f t="shared" ca="1" si="31"/>
        <v/>
      </c>
      <c r="L98" s="166" t="str">
        <f t="shared" ca="1" si="31"/>
        <v/>
      </c>
      <c r="M98" s="166" t="str">
        <f t="shared" ca="1" si="31"/>
        <v/>
      </c>
      <c r="N98" s="166" t="str">
        <f t="shared" ca="1" si="31"/>
        <v/>
      </c>
      <c r="O98" s="166" t="str">
        <f t="shared" ca="1" si="31"/>
        <v/>
      </c>
      <c r="P98" s="166" t="str">
        <f t="shared" ca="1" si="31"/>
        <v/>
      </c>
      <c r="Q98" s="166" t="str">
        <f t="shared" ca="1" si="31"/>
        <v/>
      </c>
      <c r="R98" s="166" t="str">
        <f t="shared" ca="1" si="31"/>
        <v/>
      </c>
      <c r="S98" s="166" t="str">
        <f t="shared" ca="1" si="31"/>
        <v/>
      </c>
      <c r="T98" s="166" t="str">
        <f t="shared" ca="1" si="31"/>
        <v/>
      </c>
      <c r="U98" s="167" t="str">
        <f t="shared" ca="1" si="31"/>
        <v/>
      </c>
    </row>
    <row r="99" spans="2:21" x14ac:dyDescent="0.4">
      <c r="B99" s="1019" t="s">
        <v>102</v>
      </c>
      <c r="C99" s="1022" t="s">
        <v>104</v>
      </c>
      <c r="D99" s="159" t="str">
        <f>$D$7</f>
        <v>Débitmètre en charge</v>
      </c>
      <c r="E99" s="1016" t="str">
        <f ca="1">IFERROR(AVERAGE(F101:F103)*$B$5,"")</f>
        <v/>
      </c>
      <c r="F99" s="195" t="str">
        <f t="shared" ca="1" si="2"/>
        <v/>
      </c>
      <c r="G99" s="190" t="str">
        <f t="shared" ref="G99:U99" ca="1" si="32">IF(F49&lt;&gt;"",_xlfn.SINGLE(INDIRECT(F49&amp;"!"&amp;$F$7)),"")</f>
        <v/>
      </c>
      <c r="H99" s="160" t="str">
        <f t="shared" ca="1" si="32"/>
        <v/>
      </c>
      <c r="I99" s="160" t="str">
        <f t="shared" ca="1" si="32"/>
        <v/>
      </c>
      <c r="J99" s="160" t="str">
        <f t="shared" ca="1" si="32"/>
        <v/>
      </c>
      <c r="K99" s="160" t="str">
        <f t="shared" ca="1" si="32"/>
        <v/>
      </c>
      <c r="L99" s="160" t="str">
        <f t="shared" ca="1" si="32"/>
        <v/>
      </c>
      <c r="M99" s="160" t="str">
        <f t="shared" ca="1" si="32"/>
        <v/>
      </c>
      <c r="N99" s="160" t="str">
        <f t="shared" ca="1" si="32"/>
        <v/>
      </c>
      <c r="O99" s="160" t="str">
        <f t="shared" ca="1" si="32"/>
        <v/>
      </c>
      <c r="P99" s="160" t="str">
        <f t="shared" ca="1" si="32"/>
        <v/>
      </c>
      <c r="Q99" s="160" t="str">
        <f t="shared" ca="1" si="32"/>
        <v/>
      </c>
      <c r="R99" s="160" t="str">
        <f t="shared" ca="1" si="32"/>
        <v/>
      </c>
      <c r="S99" s="160" t="str">
        <f t="shared" ca="1" si="32"/>
        <v/>
      </c>
      <c r="T99" s="160" t="str">
        <f t="shared" ca="1" si="32"/>
        <v/>
      </c>
      <c r="U99" s="161" t="str">
        <f t="shared" ca="1" si="32"/>
        <v/>
      </c>
    </row>
    <row r="100" spans="2:21" x14ac:dyDescent="0.4">
      <c r="B100" s="1020"/>
      <c r="C100" s="1023"/>
      <c r="D100" s="158" t="str">
        <f>$D$8</f>
        <v>Débitmètre gravitaire</v>
      </c>
      <c r="E100" s="1017"/>
      <c r="F100" s="196" t="str">
        <f t="shared" ca="1" si="2"/>
        <v/>
      </c>
      <c r="G100" s="191" t="str">
        <f t="shared" ref="G100:U100" ca="1" si="33">IF(F50&lt;&gt;"",_xlfn.SINGLE(INDIRECT(F50&amp;"!"&amp;$F$8)),"")</f>
        <v/>
      </c>
      <c r="H100" s="13" t="str">
        <f t="shared" ca="1" si="33"/>
        <v/>
      </c>
      <c r="I100" s="13" t="str">
        <f t="shared" ca="1" si="33"/>
        <v/>
      </c>
      <c r="J100" s="13" t="str">
        <f t="shared" ca="1" si="33"/>
        <v/>
      </c>
      <c r="K100" s="13" t="str">
        <f t="shared" ca="1" si="33"/>
        <v/>
      </c>
      <c r="L100" s="13" t="str">
        <f t="shared" ca="1" si="33"/>
        <v/>
      </c>
      <c r="M100" s="13" t="str">
        <f t="shared" ca="1" si="33"/>
        <v/>
      </c>
      <c r="N100" s="13" t="str">
        <f t="shared" ca="1" si="33"/>
        <v/>
      </c>
      <c r="O100" s="13" t="str">
        <f t="shared" ca="1" si="33"/>
        <v/>
      </c>
      <c r="P100" s="13" t="str">
        <f t="shared" ca="1" si="33"/>
        <v/>
      </c>
      <c r="Q100" s="13" t="str">
        <f t="shared" ca="1" si="33"/>
        <v/>
      </c>
      <c r="R100" s="13" t="str">
        <f t="shared" ca="1" si="33"/>
        <v/>
      </c>
      <c r="S100" s="13" t="str">
        <f t="shared" ca="1" si="33"/>
        <v/>
      </c>
      <c r="T100" s="13" t="str">
        <f t="shared" ca="1" si="33"/>
        <v/>
      </c>
      <c r="U100" s="162" t="str">
        <f t="shared" ca="1" si="33"/>
        <v/>
      </c>
    </row>
    <row r="101" spans="2:21" x14ac:dyDescent="0.4">
      <c r="B101" s="1020"/>
      <c r="C101" s="1023"/>
      <c r="D101" s="158" t="s">
        <v>420</v>
      </c>
      <c r="E101" s="1017"/>
      <c r="F101" s="196" t="str">
        <f t="shared" ca="1" si="2"/>
        <v/>
      </c>
      <c r="G101" s="192" t="str">
        <f ca="1">IF(COUNT(G99:G100)&gt;0,SUM(G99:G100),"")</f>
        <v/>
      </c>
      <c r="H101" s="181" t="str">
        <f t="shared" ref="H101:U101" ca="1" si="34">IF(COUNT(H99:H100)&gt;0,SUM(H99:H100),"")</f>
        <v/>
      </c>
      <c r="I101" s="181" t="str">
        <f t="shared" ca="1" si="34"/>
        <v/>
      </c>
      <c r="J101" s="181" t="str">
        <f t="shared" ca="1" si="34"/>
        <v/>
      </c>
      <c r="K101" s="181" t="str">
        <f t="shared" ca="1" si="34"/>
        <v/>
      </c>
      <c r="L101" s="181" t="str">
        <f t="shared" ca="1" si="34"/>
        <v/>
      </c>
      <c r="M101" s="181" t="str">
        <f t="shared" ca="1" si="34"/>
        <v/>
      </c>
      <c r="N101" s="181" t="str">
        <f t="shared" ca="1" si="34"/>
        <v/>
      </c>
      <c r="O101" s="181" t="str">
        <f t="shared" ca="1" si="34"/>
        <v/>
      </c>
      <c r="P101" s="181" t="str">
        <f t="shared" ca="1" si="34"/>
        <v/>
      </c>
      <c r="Q101" s="181" t="str">
        <f t="shared" ca="1" si="34"/>
        <v/>
      </c>
      <c r="R101" s="181" t="str">
        <f t="shared" ca="1" si="34"/>
        <v/>
      </c>
      <c r="S101" s="181" t="str">
        <f t="shared" ca="1" si="34"/>
        <v/>
      </c>
      <c r="T101" s="181" t="str">
        <f t="shared" ca="1" si="34"/>
        <v/>
      </c>
      <c r="U101" s="182" t="str">
        <f t="shared" ca="1" si="34"/>
        <v/>
      </c>
    </row>
    <row r="102" spans="2:21" x14ac:dyDescent="0.4">
      <c r="B102" s="1020"/>
      <c r="C102" s="1023"/>
      <c r="D102" s="158" t="str">
        <f>$D$9</f>
        <v>Préleveur</v>
      </c>
      <c r="E102" s="1017"/>
      <c r="F102" s="196" t="str">
        <f t="shared" ca="1" si="2"/>
        <v/>
      </c>
      <c r="G102" s="191" t="str">
        <f t="shared" ref="G102:U102" ca="1" si="35">IF(F51&lt;&gt;"",_xlfn.SINGLE(INDIRECT(F51&amp;"!"&amp;$F$9)),"")</f>
        <v/>
      </c>
      <c r="H102" s="13" t="str">
        <f t="shared" ca="1" si="35"/>
        <v/>
      </c>
      <c r="I102" s="13" t="str">
        <f t="shared" ca="1" si="35"/>
        <v/>
      </c>
      <c r="J102" s="13" t="str">
        <f t="shared" ca="1" si="35"/>
        <v/>
      </c>
      <c r="K102" s="13" t="str">
        <f t="shared" ca="1" si="35"/>
        <v/>
      </c>
      <c r="L102" s="13" t="str">
        <f t="shared" ca="1" si="35"/>
        <v/>
      </c>
      <c r="M102" s="13" t="str">
        <f t="shared" ca="1" si="35"/>
        <v/>
      </c>
      <c r="N102" s="13" t="str">
        <f t="shared" ca="1" si="35"/>
        <v/>
      </c>
      <c r="O102" s="13" t="str">
        <f t="shared" ca="1" si="35"/>
        <v/>
      </c>
      <c r="P102" s="13" t="str">
        <f t="shared" ca="1" si="35"/>
        <v/>
      </c>
      <c r="Q102" s="13" t="str">
        <f t="shared" ca="1" si="35"/>
        <v/>
      </c>
      <c r="R102" s="13" t="str">
        <f t="shared" ca="1" si="35"/>
        <v/>
      </c>
      <c r="S102" s="13" t="str">
        <f t="shared" ca="1" si="35"/>
        <v/>
      </c>
      <c r="T102" s="13" t="str">
        <f t="shared" ca="1" si="35"/>
        <v/>
      </c>
      <c r="U102" s="162" t="str">
        <f t="shared" ca="1" si="35"/>
        <v/>
      </c>
    </row>
    <row r="103" spans="2:21" x14ac:dyDescent="0.4">
      <c r="B103" s="1020"/>
      <c r="C103" s="1023"/>
      <c r="D103" s="369" t="s">
        <v>412</v>
      </c>
      <c r="E103" s="1017"/>
      <c r="F103" s="196" t="str">
        <f t="shared" ca="1" si="2"/>
        <v/>
      </c>
      <c r="G103" s="370" t="str">
        <f ca="1">IF(F52&lt;&gt;"",VLOOKUP(F52,Analytique!$X$3:$AE$29,6,FALSE),"")</f>
        <v/>
      </c>
      <c r="H103" s="370" t="str">
        <f ca="1">IF(G52&lt;&gt;"",VLOOKUP(G52,Analytique!$X$3:$AE$29,6,FALSE),"")</f>
        <v/>
      </c>
      <c r="I103" s="370" t="str">
        <f ca="1">IF(H52&lt;&gt;"",VLOOKUP(H52,Analytique!$X$3:$AE$29,6,FALSE),"")</f>
        <v/>
      </c>
      <c r="J103" s="370" t="str">
        <f ca="1">IF(I52&lt;&gt;"",VLOOKUP(I52,Analytique!$X$3:$AE$29,6,FALSE),"")</f>
        <v/>
      </c>
      <c r="K103" s="370" t="str">
        <f ca="1">IF(J52&lt;&gt;"",VLOOKUP(J52,Analytique!$X$3:$AE$29,6,FALSE),"")</f>
        <v/>
      </c>
      <c r="L103" s="370" t="str">
        <f ca="1">IF(K52&lt;&gt;"",VLOOKUP(K52,Analytique!$X$3:$AE$29,6,FALSE),"")</f>
        <v/>
      </c>
      <c r="M103" s="370" t="str">
        <f ca="1">IF(L52&lt;&gt;"",VLOOKUP(L52,Analytique!$X$3:$AE$29,6,FALSE),"")</f>
        <v/>
      </c>
      <c r="N103" s="370" t="str">
        <f ca="1">IF(M52&lt;&gt;"",VLOOKUP(M52,Analytique!$X$3:$AE$29,6,FALSE),"")</f>
        <v/>
      </c>
      <c r="O103" s="370" t="str">
        <f ca="1">IF(N52&lt;&gt;"",VLOOKUP(N52,Analytique!$X$3:$AE$29,6,FALSE),"")</f>
        <v/>
      </c>
      <c r="P103" s="370" t="str">
        <f ca="1">IF(O52&lt;&gt;"",VLOOKUP(O52,Analytique!$X$3:$AE$29,6,FALSE),"")</f>
        <v/>
      </c>
      <c r="Q103" s="370" t="str">
        <f ca="1">IF(P52&lt;&gt;"",VLOOKUP(P52,Analytique!$X$3:$AE$29,6,FALSE),"")</f>
        <v/>
      </c>
      <c r="R103" s="370" t="str">
        <f ca="1">IF(Q52&lt;&gt;"",VLOOKUP(Q52,Analytique!$X$3:$AE$29,6,FALSE),"")</f>
        <v/>
      </c>
      <c r="S103" s="370" t="str">
        <f ca="1">IF(R52&lt;&gt;"",VLOOKUP(R52,Analytique!$X$3:$AE$29,6,FALSE),"")</f>
        <v/>
      </c>
      <c r="T103" s="370" t="str">
        <f ca="1">IF(S52&lt;&gt;"",VLOOKUP(S52,Analytique!$X$3:$AE$29,6,FALSE),"")</f>
        <v/>
      </c>
      <c r="U103" s="370" t="str">
        <f ca="1">IF(T52&lt;&gt;"",VLOOKUP(T52,Analytique!$X$3:$AE$29,6,FALSE),"")</f>
        <v/>
      </c>
    </row>
    <row r="104" spans="2:21" ht="13" thickBot="1" x14ac:dyDescent="0.45">
      <c r="B104" s="1021"/>
      <c r="C104" s="1024"/>
      <c r="D104" s="163" t="str">
        <f>$D$10</f>
        <v>Sonde de température</v>
      </c>
      <c r="E104" s="1018"/>
      <c r="F104" s="197" t="str">
        <f t="shared" ca="1" si="2"/>
        <v/>
      </c>
      <c r="G104" s="193" t="str">
        <f t="shared" ref="G104:U104" ca="1" si="36">IF(F53&lt;&gt;"",_xlfn.SINGLE(INDIRECT(F53&amp;"!"&amp;$F$10)),"")</f>
        <v/>
      </c>
      <c r="H104" s="166" t="str">
        <f t="shared" ca="1" si="36"/>
        <v/>
      </c>
      <c r="I104" s="166" t="str">
        <f t="shared" ca="1" si="36"/>
        <v/>
      </c>
      <c r="J104" s="166" t="str">
        <f t="shared" ca="1" si="36"/>
        <v/>
      </c>
      <c r="K104" s="166" t="str">
        <f t="shared" ca="1" si="36"/>
        <v/>
      </c>
      <c r="L104" s="166" t="str">
        <f t="shared" ca="1" si="36"/>
        <v/>
      </c>
      <c r="M104" s="166" t="str">
        <f t="shared" ca="1" si="36"/>
        <v/>
      </c>
      <c r="N104" s="166" t="str">
        <f t="shared" ca="1" si="36"/>
        <v/>
      </c>
      <c r="O104" s="166" t="str">
        <f t="shared" ca="1" si="36"/>
        <v/>
      </c>
      <c r="P104" s="166" t="str">
        <f t="shared" ca="1" si="36"/>
        <v/>
      </c>
      <c r="Q104" s="166" t="str">
        <f t="shared" ca="1" si="36"/>
        <v/>
      </c>
      <c r="R104" s="166" t="str">
        <f t="shared" ca="1" si="36"/>
        <v/>
      </c>
      <c r="S104" s="166" t="str">
        <f t="shared" ca="1" si="36"/>
        <v/>
      </c>
      <c r="T104" s="166" t="str">
        <f t="shared" ca="1" si="36"/>
        <v/>
      </c>
      <c r="U104" s="167" t="str">
        <f t="shared" ca="1" si="36"/>
        <v/>
      </c>
    </row>
    <row r="105" spans="2:21" x14ac:dyDescent="0.4">
      <c r="B105" s="1019" t="s">
        <v>116</v>
      </c>
      <c r="C105" s="1022" t="s">
        <v>123</v>
      </c>
      <c r="D105" s="159" t="str">
        <f>$D$7</f>
        <v>Débitmètre en charge</v>
      </c>
      <c r="E105" s="1016" t="str">
        <f ca="1">IFERROR(AVERAGE(F107:F109)*$B$5,"")</f>
        <v/>
      </c>
      <c r="F105" s="195" t="str">
        <f t="shared" ca="1" si="2"/>
        <v/>
      </c>
      <c r="G105" s="190" t="str">
        <f t="shared" ref="G105:U105" ca="1" si="37">IF(F54&lt;&gt;"",_xlfn.SINGLE(INDIRECT(F54&amp;"!"&amp;$F$7)),"")</f>
        <v/>
      </c>
      <c r="H105" s="160" t="str">
        <f t="shared" ca="1" si="37"/>
        <v/>
      </c>
      <c r="I105" s="160" t="str">
        <f t="shared" ca="1" si="37"/>
        <v/>
      </c>
      <c r="J105" s="160" t="str">
        <f t="shared" ca="1" si="37"/>
        <v/>
      </c>
      <c r="K105" s="160" t="str">
        <f t="shared" ca="1" si="37"/>
        <v/>
      </c>
      <c r="L105" s="160" t="str">
        <f t="shared" ca="1" si="37"/>
        <v/>
      </c>
      <c r="M105" s="160" t="str">
        <f t="shared" ca="1" si="37"/>
        <v/>
      </c>
      <c r="N105" s="160" t="str">
        <f t="shared" ca="1" si="37"/>
        <v/>
      </c>
      <c r="O105" s="160" t="str">
        <f t="shared" ca="1" si="37"/>
        <v/>
      </c>
      <c r="P105" s="160" t="str">
        <f t="shared" ca="1" si="37"/>
        <v/>
      </c>
      <c r="Q105" s="160" t="str">
        <f t="shared" ca="1" si="37"/>
        <v/>
      </c>
      <c r="R105" s="160" t="str">
        <f t="shared" ca="1" si="37"/>
        <v/>
      </c>
      <c r="S105" s="160" t="str">
        <f t="shared" ca="1" si="37"/>
        <v/>
      </c>
      <c r="T105" s="160" t="str">
        <f t="shared" ca="1" si="37"/>
        <v/>
      </c>
      <c r="U105" s="161" t="str">
        <f t="shared" ca="1" si="37"/>
        <v/>
      </c>
    </row>
    <row r="106" spans="2:21" x14ac:dyDescent="0.4">
      <c r="B106" s="1020"/>
      <c r="C106" s="1023"/>
      <c r="D106" s="158" t="str">
        <f>$D$8</f>
        <v>Débitmètre gravitaire</v>
      </c>
      <c r="E106" s="1017"/>
      <c r="F106" s="196" t="str">
        <f t="shared" ca="1" si="2"/>
        <v/>
      </c>
      <c r="G106" s="191" t="str">
        <f t="shared" ref="G106:U106" ca="1" si="38">IF(F55&lt;&gt;"",_xlfn.SINGLE(INDIRECT(F55&amp;"!"&amp;$F$8)),"")</f>
        <v/>
      </c>
      <c r="H106" s="13" t="str">
        <f t="shared" ca="1" si="38"/>
        <v/>
      </c>
      <c r="I106" s="13" t="str">
        <f t="shared" ca="1" si="38"/>
        <v/>
      </c>
      <c r="J106" s="13" t="str">
        <f t="shared" ca="1" si="38"/>
        <v/>
      </c>
      <c r="K106" s="13" t="str">
        <f t="shared" ca="1" si="38"/>
        <v/>
      </c>
      <c r="L106" s="13" t="str">
        <f t="shared" ca="1" si="38"/>
        <v/>
      </c>
      <c r="M106" s="13" t="str">
        <f t="shared" ca="1" si="38"/>
        <v/>
      </c>
      <c r="N106" s="13" t="str">
        <f t="shared" ca="1" si="38"/>
        <v/>
      </c>
      <c r="O106" s="13" t="str">
        <f t="shared" ca="1" si="38"/>
        <v/>
      </c>
      <c r="P106" s="13" t="str">
        <f t="shared" ca="1" si="38"/>
        <v/>
      </c>
      <c r="Q106" s="13" t="str">
        <f t="shared" ca="1" si="38"/>
        <v/>
      </c>
      <c r="R106" s="13" t="str">
        <f t="shared" ca="1" si="38"/>
        <v/>
      </c>
      <c r="S106" s="13" t="str">
        <f t="shared" ca="1" si="38"/>
        <v/>
      </c>
      <c r="T106" s="13" t="str">
        <f t="shared" ca="1" si="38"/>
        <v/>
      </c>
      <c r="U106" s="162" t="str">
        <f t="shared" ca="1" si="38"/>
        <v/>
      </c>
    </row>
    <row r="107" spans="2:21" x14ac:dyDescent="0.4">
      <c r="B107" s="1020"/>
      <c r="C107" s="1023"/>
      <c r="D107" s="158" t="s">
        <v>420</v>
      </c>
      <c r="E107" s="1017"/>
      <c r="F107" s="196" t="str">
        <f t="shared" ca="1" si="2"/>
        <v/>
      </c>
      <c r="G107" s="192" t="str">
        <f ca="1">IF(COUNT(G105:G106)&gt;0,SUM(G105:G106),"")</f>
        <v/>
      </c>
      <c r="H107" s="181" t="str">
        <f t="shared" ref="H107:U107" ca="1" si="39">IF(COUNT(H105:H106)&gt;0,SUM(H105:H106),"")</f>
        <v/>
      </c>
      <c r="I107" s="181" t="str">
        <f t="shared" ca="1" si="39"/>
        <v/>
      </c>
      <c r="J107" s="181" t="str">
        <f t="shared" ca="1" si="39"/>
        <v/>
      </c>
      <c r="K107" s="181" t="str">
        <f t="shared" ca="1" si="39"/>
        <v/>
      </c>
      <c r="L107" s="181" t="str">
        <f t="shared" ca="1" si="39"/>
        <v/>
      </c>
      <c r="M107" s="181" t="str">
        <f t="shared" ca="1" si="39"/>
        <v/>
      </c>
      <c r="N107" s="181" t="str">
        <f t="shared" ca="1" si="39"/>
        <v/>
      </c>
      <c r="O107" s="181" t="str">
        <f t="shared" ca="1" si="39"/>
        <v/>
      </c>
      <c r="P107" s="181" t="str">
        <f t="shared" ca="1" si="39"/>
        <v/>
      </c>
      <c r="Q107" s="181" t="str">
        <f t="shared" ca="1" si="39"/>
        <v/>
      </c>
      <c r="R107" s="181" t="str">
        <f t="shared" ca="1" si="39"/>
        <v/>
      </c>
      <c r="S107" s="181" t="str">
        <f t="shared" ca="1" si="39"/>
        <v/>
      </c>
      <c r="T107" s="181" t="str">
        <f t="shared" ca="1" si="39"/>
        <v/>
      </c>
      <c r="U107" s="182" t="str">
        <f t="shared" ca="1" si="39"/>
        <v/>
      </c>
    </row>
    <row r="108" spans="2:21" x14ac:dyDescent="0.4">
      <c r="B108" s="1020"/>
      <c r="C108" s="1023"/>
      <c r="D108" s="158" t="str">
        <f>$D$9</f>
        <v>Préleveur</v>
      </c>
      <c r="E108" s="1017"/>
      <c r="F108" s="196" t="str">
        <f t="shared" ca="1" si="2"/>
        <v/>
      </c>
      <c r="G108" s="191" t="str">
        <f t="shared" ref="G108:U108" ca="1" si="40">IF(F56&lt;&gt;"",_xlfn.SINGLE(INDIRECT(F56&amp;"!"&amp;$F$9)),"")</f>
        <v/>
      </c>
      <c r="H108" s="13" t="str">
        <f t="shared" ca="1" si="40"/>
        <v/>
      </c>
      <c r="I108" s="13" t="str">
        <f t="shared" ca="1" si="40"/>
        <v/>
      </c>
      <c r="J108" s="13" t="str">
        <f t="shared" ca="1" si="40"/>
        <v/>
      </c>
      <c r="K108" s="13" t="str">
        <f t="shared" ca="1" si="40"/>
        <v/>
      </c>
      <c r="L108" s="13" t="str">
        <f t="shared" ca="1" si="40"/>
        <v/>
      </c>
      <c r="M108" s="13" t="str">
        <f t="shared" ca="1" si="40"/>
        <v/>
      </c>
      <c r="N108" s="13" t="str">
        <f t="shared" ca="1" si="40"/>
        <v/>
      </c>
      <c r="O108" s="13" t="str">
        <f t="shared" ca="1" si="40"/>
        <v/>
      </c>
      <c r="P108" s="13" t="str">
        <f t="shared" ca="1" si="40"/>
        <v/>
      </c>
      <c r="Q108" s="13" t="str">
        <f t="shared" ca="1" si="40"/>
        <v/>
      </c>
      <c r="R108" s="13" t="str">
        <f t="shared" ca="1" si="40"/>
        <v/>
      </c>
      <c r="S108" s="13" t="str">
        <f t="shared" ca="1" si="40"/>
        <v/>
      </c>
      <c r="T108" s="13" t="str">
        <f t="shared" ca="1" si="40"/>
        <v/>
      </c>
      <c r="U108" s="162" t="str">
        <f t="shared" ca="1" si="40"/>
        <v/>
      </c>
    </row>
    <row r="109" spans="2:21" x14ac:dyDescent="0.4">
      <c r="B109" s="1020"/>
      <c r="C109" s="1023"/>
      <c r="D109" s="369" t="s">
        <v>412</v>
      </c>
      <c r="E109" s="1017"/>
      <c r="F109" s="196" t="str">
        <f t="shared" ca="1" si="2"/>
        <v/>
      </c>
      <c r="G109" s="370" t="str">
        <f ca="1">IF(F57&lt;&gt;"",VLOOKUP(F57,Analytique!$X$3:$AE$29,6,FALSE),"")</f>
        <v/>
      </c>
      <c r="H109" s="370" t="str">
        <f ca="1">IF(G64&lt;&gt;"",VLOOKUP(G64,Analytique!$X$3:$AE$29,6,FALSE),"")</f>
        <v/>
      </c>
      <c r="I109" s="370" t="str">
        <f ca="1">IF(H64&lt;&gt;"",VLOOKUP(H64,Analytique!$X$3:$AE$29,6,FALSE),"")</f>
        <v/>
      </c>
      <c r="J109" s="370" t="str">
        <f ca="1">IF(I64&lt;&gt;"",VLOOKUP(I64,Analytique!$X$3:$AE$29,6,FALSE),"")</f>
        <v/>
      </c>
      <c r="K109" s="370" t="str">
        <f ca="1">IF(J64&lt;&gt;"",VLOOKUP(J64,Analytique!$X$3:$AE$29,6,FALSE),"")</f>
        <v/>
      </c>
      <c r="L109" s="370" t="str">
        <f ca="1">IF(K64&lt;&gt;"",VLOOKUP(K64,Analytique!$X$3:$AE$29,6,FALSE),"")</f>
        <v/>
      </c>
      <c r="M109" s="370" t="str">
        <f ca="1">IF(L64&lt;&gt;"",VLOOKUP(L64,Analytique!$X$3:$AE$29,6,FALSE),"")</f>
        <v/>
      </c>
      <c r="N109" s="370" t="str">
        <f ca="1">IF(M64&lt;&gt;"",VLOOKUP(M64,Analytique!$X$3:$AE$29,6,FALSE),"")</f>
        <v/>
      </c>
      <c r="O109" s="370" t="str">
        <f ca="1">IF(N64&lt;&gt;"",VLOOKUP(N64,Analytique!$X$3:$AE$29,6,FALSE),"")</f>
        <v/>
      </c>
      <c r="P109" s="370" t="str">
        <f ca="1">IF(O64&lt;&gt;"",VLOOKUP(O64,Analytique!$X$3:$AE$29,6,FALSE),"")</f>
        <v/>
      </c>
      <c r="Q109" s="370" t="str">
        <f ca="1">IF(P64&lt;&gt;"",VLOOKUP(P64,Analytique!$X$3:$AE$29,6,FALSE),"")</f>
        <v/>
      </c>
      <c r="R109" s="370" t="str">
        <f ca="1">IF(Q64&lt;&gt;"",VLOOKUP(Q64,Analytique!$X$3:$AE$29,6,FALSE),"")</f>
        <v/>
      </c>
      <c r="S109" s="370" t="str">
        <f ca="1">IF(R64&lt;&gt;"",VLOOKUP(R64,Analytique!$X$3:$AE$29,6,FALSE),"")</f>
        <v/>
      </c>
      <c r="T109" s="370" t="str">
        <f ca="1">IF(S64&lt;&gt;"",VLOOKUP(S64,Analytique!$X$3:$AE$29,6,FALSE),"")</f>
        <v/>
      </c>
      <c r="U109" s="371" t="str">
        <f ca="1">IF(T64&lt;&gt;"",VLOOKUP(T64,Analytique!$X$3:$AE$29,6,FALSE),"")</f>
        <v/>
      </c>
    </row>
    <row r="110" spans="2:21" ht="13" thickBot="1" x14ac:dyDescent="0.45">
      <c r="B110" s="1021"/>
      <c r="C110" s="1024"/>
      <c r="D110" s="163" t="str">
        <f>$D$10</f>
        <v>Sonde de température</v>
      </c>
      <c r="E110" s="1018"/>
      <c r="F110" s="197" t="str">
        <f t="shared" ca="1" si="2"/>
        <v/>
      </c>
      <c r="G110" s="193" t="str">
        <f t="shared" ref="G110:U110" ca="1" si="41">IF(F58&lt;&gt;"",_xlfn.SINGLE(INDIRECT(F58&amp;"!"&amp;$F$10)),"")</f>
        <v/>
      </c>
      <c r="H110" s="166" t="str">
        <f t="shared" ca="1" si="41"/>
        <v/>
      </c>
      <c r="I110" s="166" t="str">
        <f t="shared" ca="1" si="41"/>
        <v/>
      </c>
      <c r="J110" s="166" t="str">
        <f t="shared" ca="1" si="41"/>
        <v/>
      </c>
      <c r="K110" s="166" t="str">
        <f t="shared" ca="1" si="41"/>
        <v/>
      </c>
      <c r="L110" s="166" t="str">
        <f t="shared" ca="1" si="41"/>
        <v/>
      </c>
      <c r="M110" s="166" t="str">
        <f t="shared" ca="1" si="41"/>
        <v/>
      </c>
      <c r="N110" s="166" t="str">
        <f t="shared" ca="1" si="41"/>
        <v/>
      </c>
      <c r="O110" s="166" t="str">
        <f t="shared" ca="1" si="41"/>
        <v/>
      </c>
      <c r="P110" s="166" t="str">
        <f t="shared" ca="1" si="41"/>
        <v/>
      </c>
      <c r="Q110" s="166" t="str">
        <f t="shared" ca="1" si="41"/>
        <v/>
      </c>
      <c r="R110" s="166" t="str">
        <f t="shared" ca="1" si="41"/>
        <v/>
      </c>
      <c r="S110" s="166" t="str">
        <f t="shared" ca="1" si="41"/>
        <v/>
      </c>
      <c r="T110" s="166" t="str">
        <f t="shared" ca="1" si="41"/>
        <v/>
      </c>
      <c r="U110" s="167" t="str">
        <f t="shared" ca="1" si="41"/>
        <v/>
      </c>
    </row>
    <row r="113" spans="2:21" s="154" customFormat="1" ht="23.1" customHeight="1" x14ac:dyDescent="0.4">
      <c r="B113" s="155" t="s">
        <v>29</v>
      </c>
    </row>
    <row r="114" spans="2:21" ht="13" thickBot="1" x14ac:dyDescent="0.45">
      <c r="B114" t="s">
        <v>426</v>
      </c>
    </row>
    <row r="115" spans="2:21" s="12" customFormat="1" ht="15.95" customHeight="1" thickBot="1" x14ac:dyDescent="0.45">
      <c r="B115" s="179" t="s">
        <v>324</v>
      </c>
      <c r="C115" s="180" t="s">
        <v>325</v>
      </c>
      <c r="D115" s="185"/>
      <c r="E115" s="194" t="s">
        <v>335</v>
      </c>
      <c r="F115" s="186" t="s">
        <v>334</v>
      </c>
      <c r="G115" s="183" t="s">
        <v>5</v>
      </c>
      <c r="H115" s="183" t="s">
        <v>6</v>
      </c>
      <c r="I115" s="183" t="s">
        <v>7</v>
      </c>
      <c r="J115" s="183" t="s">
        <v>17</v>
      </c>
      <c r="K115" s="183" t="s">
        <v>18</v>
      </c>
      <c r="L115" s="183" t="s">
        <v>19</v>
      </c>
      <c r="M115" s="183" t="s">
        <v>20</v>
      </c>
      <c r="N115" s="183" t="s">
        <v>21</v>
      </c>
      <c r="O115" s="183" t="s">
        <v>22</v>
      </c>
      <c r="P115" s="183" t="s">
        <v>23</v>
      </c>
      <c r="Q115" s="183" t="s">
        <v>24</v>
      </c>
      <c r="R115" s="184" t="s">
        <v>25</v>
      </c>
      <c r="S115" s="184" t="s">
        <v>318</v>
      </c>
      <c r="T115" s="184" t="s">
        <v>319</v>
      </c>
      <c r="U115" s="184" t="s">
        <v>320</v>
      </c>
    </row>
    <row r="116" spans="2:21" ht="13" thickBot="1" x14ac:dyDescent="0.45">
      <c r="B116" s="1008" t="s">
        <v>98</v>
      </c>
      <c r="C116" s="1012" t="s">
        <v>99</v>
      </c>
      <c r="D116" s="188" t="str">
        <f>$D$7</f>
        <v>Débitmètre en charge</v>
      </c>
      <c r="E116" s="1016" t="str" cm="1">
        <f t="array" aca="1" ref="E116" ca="1">IFERROR(LOOKUP(MIN(IF(LEFT(F116:F120,10)="Non validé",1,IF(F116:F120="Validé avec réserve",2,IF(F116:F120="Validé",3)))),{1,2,3},{"Non validé","Validé avec réserve","Validé"}),"")</f>
        <v/>
      </c>
      <c r="F116" s="188" t="str" cm="1">
        <f t="array" aca="1" ref="F116" ca="1">IFERROR(LOOKUP(MIN(IF(LEFT(G116:U116,10)="Non validé",1,IF(G116:U116="Validé avec réserve",2,IF(G116:U116="Validé",3)))),{1,2,3},{"Non validé","Validé avec réserve","Validé"}),"")</f>
        <v/>
      </c>
      <c r="G116" s="160" t="str">
        <f ca="1">IF(F19&lt;&gt;"",_xlfn.SINGLE(INDIRECT(F19&amp;"!"&amp;$G$7)),"")</f>
        <v/>
      </c>
      <c r="H116" s="160" t="str">
        <f ca="1">IF(G19&lt;&gt;"",_xlfn.SINGLE(INDIRECT(G19&amp;"!"&amp;$G$7)),"")</f>
        <v/>
      </c>
      <c r="I116" s="160" t="str">
        <f ca="1">IF(H19&lt;&gt;"",_xlfn.SINGLE(INDIRECT(H19&amp;"!"&amp;$G$7)),"")</f>
        <v/>
      </c>
      <c r="J116" s="160" t="str">
        <f t="shared" ref="J116:U116" ca="1" si="42">IF(I19&lt;&gt;"",_xlfn.SINGLE(INDIRECT(I19&amp;"!"&amp;$G$7)),"")</f>
        <v/>
      </c>
      <c r="K116" s="160" t="str">
        <f t="shared" ca="1" si="42"/>
        <v/>
      </c>
      <c r="L116" s="160" t="str">
        <f t="shared" ca="1" si="42"/>
        <v/>
      </c>
      <c r="M116" s="160" t="str">
        <f t="shared" ca="1" si="42"/>
        <v/>
      </c>
      <c r="N116" s="160" t="str">
        <f t="shared" ca="1" si="42"/>
        <v/>
      </c>
      <c r="O116" s="160" t="str">
        <f t="shared" ca="1" si="42"/>
        <v/>
      </c>
      <c r="P116" s="160" t="str">
        <f t="shared" ca="1" si="42"/>
        <v/>
      </c>
      <c r="Q116" s="160" t="str">
        <f t="shared" ca="1" si="42"/>
        <v/>
      </c>
      <c r="R116" s="160" t="str">
        <f t="shared" ca="1" si="42"/>
        <v/>
      </c>
      <c r="S116" s="160" t="str">
        <f t="shared" ca="1" si="42"/>
        <v/>
      </c>
      <c r="T116" s="160" t="str">
        <f t="shared" ca="1" si="42"/>
        <v/>
      </c>
      <c r="U116" s="160" t="str">
        <f t="shared" ca="1" si="42"/>
        <v/>
      </c>
    </row>
    <row r="117" spans="2:21" ht="13" thickBot="1" x14ac:dyDescent="0.45">
      <c r="B117" s="1009"/>
      <c r="C117" s="1013"/>
      <c r="D117" s="187" t="str">
        <f>$D$8</f>
        <v>Débitmètre gravitaire</v>
      </c>
      <c r="E117" s="1017"/>
      <c r="F117" s="188" t="str" cm="1">
        <f t="array" aca="1" ref="F117" ca="1">IFERROR(LOOKUP(MIN(IF(LEFT(G117:U117,10)="Non validé",1,IF(G117:U117="Validé avec réserve",2,IF(G117:U117="Validé",3)))),{1,2,3},{"Non validé","Validé avec réserve","Validé"}),"")</f>
        <v/>
      </c>
      <c r="G117" s="13" t="str">
        <f t="shared" ref="G117:U117" ca="1" si="43">IF(F20&lt;&gt;"",_xlfn.SINGLE(INDIRECT(F20&amp;"!"&amp;$G$8)),"")</f>
        <v/>
      </c>
      <c r="H117" s="13" t="str">
        <f t="shared" ca="1" si="43"/>
        <v/>
      </c>
      <c r="I117" s="13" t="str">
        <f t="shared" ca="1" si="43"/>
        <v/>
      </c>
      <c r="J117" s="13" t="str">
        <f t="shared" ca="1" si="43"/>
        <v/>
      </c>
      <c r="K117" s="13" t="str">
        <f t="shared" ca="1" si="43"/>
        <v/>
      </c>
      <c r="L117" s="13" t="str">
        <f t="shared" ca="1" si="43"/>
        <v/>
      </c>
      <c r="M117" s="13" t="str">
        <f t="shared" ca="1" si="43"/>
        <v/>
      </c>
      <c r="N117" s="13" t="str">
        <f t="shared" ca="1" si="43"/>
        <v/>
      </c>
      <c r="O117" s="13" t="str">
        <f t="shared" ca="1" si="43"/>
        <v/>
      </c>
      <c r="P117" s="13" t="str">
        <f t="shared" ca="1" si="43"/>
        <v/>
      </c>
      <c r="Q117" s="13" t="str">
        <f t="shared" ca="1" si="43"/>
        <v/>
      </c>
      <c r="R117" s="13" t="str">
        <f t="shared" ca="1" si="43"/>
        <v/>
      </c>
      <c r="S117" s="13" t="str">
        <f t="shared" ca="1" si="43"/>
        <v/>
      </c>
      <c r="T117" s="13" t="str">
        <f t="shared" ca="1" si="43"/>
        <v/>
      </c>
      <c r="U117" s="13" t="str">
        <f t="shared" ca="1" si="43"/>
        <v/>
      </c>
    </row>
    <row r="118" spans="2:21" ht="13" thickBot="1" x14ac:dyDescent="0.45">
      <c r="B118" s="1009"/>
      <c r="C118" s="1013"/>
      <c r="D118" s="187" t="s">
        <v>420</v>
      </c>
      <c r="E118" s="1017"/>
      <c r="F118" s="188" t="str" cm="1">
        <f t="array" aca="1" ref="F118" ca="1">IFERROR(LOOKUP(MIN(IF(LEFT(G118:U118,10)="Non validé",1,IF(G118:U118="Validé avec réserve",2,IF(G118:U118="Validé",3)))),{1,2,3},{"Non validé","Validé avec réserve","Validé"}),"")</f>
        <v/>
      </c>
      <c r="G118" s="181" t="str">
        <f ca="1">G116 &amp; G117</f>
        <v/>
      </c>
      <c r="H118" s="181" t="str">
        <f t="shared" ref="H118:U118" ca="1" si="44">H116 &amp; H117</f>
        <v/>
      </c>
      <c r="I118" s="181" t="str">
        <f t="shared" ca="1" si="44"/>
        <v/>
      </c>
      <c r="J118" s="181" t="str">
        <f t="shared" ca="1" si="44"/>
        <v/>
      </c>
      <c r="K118" s="181" t="str">
        <f t="shared" ca="1" si="44"/>
        <v/>
      </c>
      <c r="L118" s="181" t="str">
        <f t="shared" ca="1" si="44"/>
        <v/>
      </c>
      <c r="M118" s="181" t="str">
        <f t="shared" ca="1" si="44"/>
        <v/>
      </c>
      <c r="N118" s="181" t="str">
        <f t="shared" ca="1" si="44"/>
        <v/>
      </c>
      <c r="O118" s="181" t="str">
        <f t="shared" ca="1" si="44"/>
        <v/>
      </c>
      <c r="P118" s="181" t="str">
        <f t="shared" ca="1" si="44"/>
        <v/>
      </c>
      <c r="Q118" s="181" t="str">
        <f t="shared" ca="1" si="44"/>
        <v/>
      </c>
      <c r="R118" s="181" t="str">
        <f t="shared" ca="1" si="44"/>
        <v/>
      </c>
      <c r="S118" s="181" t="str">
        <f t="shared" ca="1" si="44"/>
        <v/>
      </c>
      <c r="T118" s="181" t="str">
        <f t="shared" ca="1" si="44"/>
        <v/>
      </c>
      <c r="U118" s="181" t="str">
        <f t="shared" ca="1" si="44"/>
        <v/>
      </c>
    </row>
    <row r="119" spans="2:21" ht="13" thickBot="1" x14ac:dyDescent="0.45">
      <c r="B119" s="1009"/>
      <c r="C119" s="1013"/>
      <c r="D119" s="187" t="str">
        <f>$D$9</f>
        <v>Préleveur</v>
      </c>
      <c r="E119" s="1017"/>
      <c r="F119" s="188" t="str" cm="1">
        <f t="array" aca="1" ref="F119" ca="1">IFERROR(LOOKUP(MIN(IF(LEFT(G119:U119,10)="Non validé",1,IF(G119:U119="Validé avec réserve",2,IF(G119:U119="Validé",3)))),{1,2,3},{"Non validé","Validé avec réserve","Validé"}),"")</f>
        <v/>
      </c>
      <c r="G119" s="13" t="str">
        <f t="shared" ref="G119:U119" ca="1" si="45">IF(F21&lt;&gt;"",_xlfn.SINGLE(INDIRECT(F21&amp;"!"&amp;$G$9)),"")</f>
        <v/>
      </c>
      <c r="H119" s="13" t="str">
        <f t="shared" ca="1" si="45"/>
        <v/>
      </c>
      <c r="I119" s="13" t="str">
        <f t="shared" ca="1" si="45"/>
        <v/>
      </c>
      <c r="J119" s="13" t="str">
        <f t="shared" ca="1" si="45"/>
        <v/>
      </c>
      <c r="K119" s="13" t="str">
        <f t="shared" ca="1" si="45"/>
        <v/>
      </c>
      <c r="L119" s="13" t="str">
        <f t="shared" ca="1" si="45"/>
        <v/>
      </c>
      <c r="M119" s="13" t="str">
        <f t="shared" ca="1" si="45"/>
        <v/>
      </c>
      <c r="N119" s="13" t="str">
        <f t="shared" ca="1" si="45"/>
        <v/>
      </c>
      <c r="O119" s="13" t="str">
        <f t="shared" ca="1" si="45"/>
        <v/>
      </c>
      <c r="P119" s="13" t="str">
        <f t="shared" ca="1" si="45"/>
        <v/>
      </c>
      <c r="Q119" s="13" t="str">
        <f t="shared" ca="1" si="45"/>
        <v/>
      </c>
      <c r="R119" s="13" t="str">
        <f t="shared" ca="1" si="45"/>
        <v/>
      </c>
      <c r="S119" s="13" t="str">
        <f t="shared" ca="1" si="45"/>
        <v/>
      </c>
      <c r="T119" s="13" t="str">
        <f t="shared" ca="1" si="45"/>
        <v/>
      </c>
      <c r="U119" s="13" t="str">
        <f t="shared" ca="1" si="45"/>
        <v/>
      </c>
    </row>
    <row r="120" spans="2:21" ht="13" thickBot="1" x14ac:dyDescent="0.45">
      <c r="B120" s="1010"/>
      <c r="C120" s="1014"/>
      <c r="D120" s="372" t="s">
        <v>412</v>
      </c>
      <c r="E120" s="1017"/>
      <c r="F120" s="188" t="str" cm="1">
        <f t="array" aca="1" ref="F120" ca="1">IFERROR(LOOKUP(MIN(IF(LEFT(G120:U120,10)="Non validé",1,IF(G120:U120="Validé avec réserve",2,IF(G120:U120="Validé",3)))),{1,2,3},{"Non validé","Validé avec réserve","Validé"}),"")</f>
        <v/>
      </c>
      <c r="G120" s="370" t="str">
        <f ca="1">IF(F22&lt;&gt;"",VLOOKUP(F22,Analytique!$X$3:$AE$29,7,FALSE),"")</f>
        <v/>
      </c>
      <c r="H120" s="370" t="str">
        <f ca="1">IF(G22&lt;&gt;"",VLOOKUP(G22,Analytique!$X$3:$AE$29,7,FALSE),"")</f>
        <v/>
      </c>
      <c r="I120" s="370" t="str">
        <f ca="1">IF(H22&lt;&gt;"",VLOOKUP(H22,Analytique!$X$3:$AE$29,7,FALSE),"")</f>
        <v/>
      </c>
      <c r="J120" s="370" t="str">
        <f ca="1">IF(I22&lt;&gt;"",VLOOKUP(I22,Analytique!$X$3:$AE$29,7,FALSE),"")</f>
        <v/>
      </c>
      <c r="K120" s="370" t="str">
        <f ca="1">IF(J22&lt;&gt;"",VLOOKUP(J22,Analytique!$X$3:$AE$29,7,FALSE),"")</f>
        <v/>
      </c>
      <c r="L120" s="370" t="str">
        <f ca="1">IF(K22&lt;&gt;"",VLOOKUP(K22,Analytique!$X$3:$AE$29,7,FALSE),"")</f>
        <v/>
      </c>
      <c r="M120" s="370" t="str">
        <f ca="1">IF(L22&lt;&gt;"",VLOOKUP(L22,Analytique!$X$3:$AE$29,7,FALSE),"")</f>
        <v/>
      </c>
      <c r="N120" s="370" t="str">
        <f ca="1">IF(M22&lt;&gt;"",VLOOKUP(M22,Analytique!$X$3:$AE$29,7,FALSE),"")</f>
        <v/>
      </c>
      <c r="O120" s="370" t="str">
        <f ca="1">IF(N22&lt;&gt;"",VLOOKUP(N22,Analytique!$X$3:$AE$29,7,FALSE),"")</f>
        <v/>
      </c>
      <c r="P120" s="370" t="str">
        <f ca="1">IF(O22&lt;&gt;"",VLOOKUP(O22,Analytique!$X$3:$AE$29,7,FALSE),"")</f>
        <v/>
      </c>
      <c r="Q120" s="370" t="str">
        <f ca="1">IF(P22&lt;&gt;"",VLOOKUP(P22,Analytique!$X$3:$AE$29,7,FALSE),"")</f>
        <v/>
      </c>
      <c r="R120" s="370" t="str">
        <f ca="1">IF(Q22&lt;&gt;"",VLOOKUP(Q22,Analytique!$X$3:$AE$29,7,FALSE),"")</f>
        <v/>
      </c>
      <c r="S120" s="370" t="str">
        <f ca="1">IF(R22&lt;&gt;"",VLOOKUP(R22,Analytique!$X$3:$AE$29,7,FALSE),"")</f>
        <v/>
      </c>
      <c r="T120" s="370" t="str">
        <f ca="1">IF(S22&lt;&gt;"",VLOOKUP(S22,Analytique!$X$3:$AE$29,7,FALSE),"")</f>
        <v/>
      </c>
      <c r="U120" s="370" t="str">
        <f ca="1">IF(T22&lt;&gt;"",VLOOKUP(T22,Analytique!$X$3:$AE$29,7,FALSE),"")</f>
        <v/>
      </c>
    </row>
    <row r="121" spans="2:21" ht="13" thickBot="1" x14ac:dyDescent="0.45">
      <c r="B121" s="1011"/>
      <c r="C121" s="1015"/>
      <c r="D121" s="189" t="str">
        <f>$D$10</f>
        <v>Sonde de température</v>
      </c>
      <c r="E121" s="1018"/>
      <c r="F121" s="188" t="str" cm="1">
        <f t="array" aca="1" ref="F121" ca="1">IFERROR(LOOKUP(MIN(IF(LEFT(G121:U121,10)="Non validé",1,IF(G121:U121="Validé avec réserve",2,IF(G121:U121="Validé",3)))),{1,2,3},{"Non validé","Validé avec réserve","Validé"}),"")</f>
        <v/>
      </c>
      <c r="G121" s="166" t="str">
        <f t="shared" ref="G121:U121" ca="1" si="46">IF(F23&lt;&gt;"",_xlfn.SINGLE(INDIRECT(F23&amp;"!"&amp;$G$10)),"")</f>
        <v/>
      </c>
      <c r="H121" s="166" t="str">
        <f t="shared" ca="1" si="46"/>
        <v/>
      </c>
      <c r="I121" s="166" t="str">
        <f t="shared" ca="1" si="46"/>
        <v/>
      </c>
      <c r="J121" s="166" t="str">
        <f t="shared" ca="1" si="46"/>
        <v/>
      </c>
      <c r="K121" s="166" t="str">
        <f t="shared" ca="1" si="46"/>
        <v/>
      </c>
      <c r="L121" s="166" t="str">
        <f t="shared" ca="1" si="46"/>
        <v/>
      </c>
      <c r="M121" s="166" t="str">
        <f t="shared" ca="1" si="46"/>
        <v/>
      </c>
      <c r="N121" s="166" t="str">
        <f t="shared" ca="1" si="46"/>
        <v/>
      </c>
      <c r="O121" s="166" t="str">
        <f t="shared" ca="1" si="46"/>
        <v/>
      </c>
      <c r="P121" s="166" t="str">
        <f t="shared" ca="1" si="46"/>
        <v/>
      </c>
      <c r="Q121" s="166" t="str">
        <f t="shared" ca="1" si="46"/>
        <v/>
      </c>
      <c r="R121" s="166" t="str">
        <f t="shared" ca="1" si="46"/>
        <v/>
      </c>
      <c r="S121" s="166" t="str">
        <f t="shared" ca="1" si="46"/>
        <v/>
      </c>
      <c r="T121" s="166" t="str">
        <f t="shared" ca="1" si="46"/>
        <v/>
      </c>
      <c r="U121" s="166" t="str">
        <f t="shared" ca="1" si="46"/>
        <v/>
      </c>
    </row>
    <row r="122" spans="2:21" ht="13" thickBot="1" x14ac:dyDescent="0.45">
      <c r="B122" s="1008" t="s">
        <v>59</v>
      </c>
      <c r="C122" s="1012" t="s">
        <v>108</v>
      </c>
      <c r="D122" s="188" t="str">
        <f>$D$7</f>
        <v>Débitmètre en charge</v>
      </c>
      <c r="E122" s="1016" t="str" cm="1">
        <f t="array" aca="1" ref="E122" ca="1">IFERROR(LOOKUP(MIN(IF(LEFT(F122:F126,10)="Non validé",1,IF(F122:F126="Validé avec réserve",2,IF(F122:F126="Validé",3)))),{1,2,3},{"Non validé","Validé avec réserve","Validé"}),"")</f>
        <v/>
      </c>
      <c r="F122" s="188" t="str" cm="1">
        <f t="array" aca="1" ref="F122" ca="1">IFERROR(LOOKUP(MIN(IF(LEFT(G122:U122,10)="Non validé",1,IF(G122:U122="Validé avec réserve",2,IF(G122:U122="Validé",3)))),{1,2,3},{"Non validé","Validé avec réserve","Validé"}),"")</f>
        <v/>
      </c>
      <c r="G122" s="160" t="str">
        <f t="shared" ref="G122:U122" ca="1" si="47">IF(F24&lt;&gt;"",_xlfn.SINGLE(INDIRECT(F24&amp;"!"&amp;$G$7)),"")</f>
        <v/>
      </c>
      <c r="H122" s="160" t="str">
        <f t="shared" ca="1" si="47"/>
        <v/>
      </c>
      <c r="I122" s="160" t="str">
        <f t="shared" ca="1" si="47"/>
        <v/>
      </c>
      <c r="J122" s="160" t="str">
        <f t="shared" ca="1" si="47"/>
        <v/>
      </c>
      <c r="K122" s="160" t="str">
        <f t="shared" ca="1" si="47"/>
        <v/>
      </c>
      <c r="L122" s="160" t="str">
        <f t="shared" ca="1" si="47"/>
        <v/>
      </c>
      <c r="M122" s="160" t="str">
        <f t="shared" ca="1" si="47"/>
        <v/>
      </c>
      <c r="N122" s="160" t="str">
        <f t="shared" ca="1" si="47"/>
        <v/>
      </c>
      <c r="O122" s="160" t="str">
        <f t="shared" ca="1" si="47"/>
        <v/>
      </c>
      <c r="P122" s="160" t="str">
        <f t="shared" ca="1" si="47"/>
        <v/>
      </c>
      <c r="Q122" s="160" t="str">
        <f t="shared" ca="1" si="47"/>
        <v/>
      </c>
      <c r="R122" s="160" t="str">
        <f t="shared" ca="1" si="47"/>
        <v/>
      </c>
      <c r="S122" s="160" t="str">
        <f t="shared" ca="1" si="47"/>
        <v/>
      </c>
      <c r="T122" s="160" t="str">
        <f t="shared" ca="1" si="47"/>
        <v/>
      </c>
      <c r="U122" s="160" t="str">
        <f t="shared" ca="1" si="47"/>
        <v/>
      </c>
    </row>
    <row r="123" spans="2:21" ht="13" thickBot="1" x14ac:dyDescent="0.45">
      <c r="B123" s="1009"/>
      <c r="C123" s="1013"/>
      <c r="D123" s="187" t="str">
        <f>$D$8</f>
        <v>Débitmètre gravitaire</v>
      </c>
      <c r="E123" s="1017"/>
      <c r="F123" s="188" t="str" cm="1">
        <f t="array" aca="1" ref="F123" ca="1">IFERROR(LOOKUP(MIN(IF(LEFT(G123:U123,10)="Non validé",1,IF(G123:U123="Validé avec réserve",2,IF(G123:U123="Validé",3)))),{1,2,3},{"Non validé","Validé avec réserve","Validé"}),"")</f>
        <v/>
      </c>
      <c r="G123" s="13" t="str">
        <f t="shared" ref="G123:U123" ca="1" si="48">IF(F25&lt;&gt;"",_xlfn.SINGLE(INDIRECT(F25&amp;"!"&amp;$G$8)),"")</f>
        <v/>
      </c>
      <c r="H123" s="13" t="str">
        <f t="shared" ca="1" si="48"/>
        <v/>
      </c>
      <c r="I123" s="13" t="str">
        <f t="shared" ca="1" si="48"/>
        <v/>
      </c>
      <c r="J123" s="13" t="str">
        <f t="shared" ca="1" si="48"/>
        <v/>
      </c>
      <c r="K123" s="13" t="str">
        <f t="shared" ca="1" si="48"/>
        <v/>
      </c>
      <c r="L123" s="13" t="str">
        <f t="shared" ca="1" si="48"/>
        <v/>
      </c>
      <c r="M123" s="13" t="str">
        <f t="shared" ca="1" si="48"/>
        <v/>
      </c>
      <c r="N123" s="13" t="str">
        <f t="shared" ca="1" si="48"/>
        <v/>
      </c>
      <c r="O123" s="13" t="str">
        <f t="shared" ca="1" si="48"/>
        <v/>
      </c>
      <c r="P123" s="13" t="str">
        <f t="shared" ca="1" si="48"/>
        <v/>
      </c>
      <c r="Q123" s="13" t="str">
        <f t="shared" ca="1" si="48"/>
        <v/>
      </c>
      <c r="R123" s="13" t="str">
        <f t="shared" ca="1" si="48"/>
        <v/>
      </c>
      <c r="S123" s="13" t="str">
        <f t="shared" ca="1" si="48"/>
        <v/>
      </c>
      <c r="T123" s="13" t="str">
        <f t="shared" ca="1" si="48"/>
        <v/>
      </c>
      <c r="U123" s="13" t="str">
        <f t="shared" ca="1" si="48"/>
        <v/>
      </c>
    </row>
    <row r="124" spans="2:21" ht="13" thickBot="1" x14ac:dyDescent="0.45">
      <c r="B124" s="1009"/>
      <c r="C124" s="1013"/>
      <c r="D124" s="187" t="s">
        <v>420</v>
      </c>
      <c r="E124" s="1017"/>
      <c r="F124" s="188" t="str" cm="1">
        <f t="array" aca="1" ref="F124" ca="1">IFERROR(LOOKUP(MIN(IF(LEFT(G124:U124,10)="Non validé",1,IF(G124:U124="Validé avec réserve",2,IF(G124:U124="Validé",3)))),{1,2,3},{"Non validé","Validé avec réserve","Validé"}),"")</f>
        <v/>
      </c>
      <c r="G124" s="181" t="str">
        <f ca="1">G122 &amp; G123</f>
        <v/>
      </c>
      <c r="H124" s="181" t="str">
        <f t="shared" ref="H124:U124" ca="1" si="49">H122 &amp; H123</f>
        <v/>
      </c>
      <c r="I124" s="181" t="str">
        <f t="shared" ca="1" si="49"/>
        <v/>
      </c>
      <c r="J124" s="181" t="str">
        <f t="shared" ca="1" si="49"/>
        <v/>
      </c>
      <c r="K124" s="181" t="str">
        <f t="shared" ca="1" si="49"/>
        <v/>
      </c>
      <c r="L124" s="181" t="str">
        <f t="shared" ca="1" si="49"/>
        <v/>
      </c>
      <c r="M124" s="181" t="str">
        <f t="shared" ca="1" si="49"/>
        <v/>
      </c>
      <c r="N124" s="181" t="str">
        <f t="shared" ca="1" si="49"/>
        <v/>
      </c>
      <c r="O124" s="181" t="str">
        <f t="shared" ca="1" si="49"/>
        <v/>
      </c>
      <c r="P124" s="181" t="str">
        <f t="shared" ca="1" si="49"/>
        <v/>
      </c>
      <c r="Q124" s="181" t="str">
        <f t="shared" ca="1" si="49"/>
        <v/>
      </c>
      <c r="R124" s="181" t="str">
        <f t="shared" ca="1" si="49"/>
        <v/>
      </c>
      <c r="S124" s="181" t="str">
        <f t="shared" ca="1" si="49"/>
        <v/>
      </c>
      <c r="T124" s="181" t="str">
        <f t="shared" ca="1" si="49"/>
        <v/>
      </c>
      <c r="U124" s="181" t="str">
        <f t="shared" ca="1" si="49"/>
        <v/>
      </c>
    </row>
    <row r="125" spans="2:21" ht="13" thickBot="1" x14ac:dyDescent="0.45">
      <c r="B125" s="1009"/>
      <c r="C125" s="1013"/>
      <c r="D125" s="187" t="str">
        <f>$D$9</f>
        <v>Préleveur</v>
      </c>
      <c r="E125" s="1017"/>
      <c r="F125" s="188" t="str" cm="1">
        <f t="array" aca="1" ref="F125" ca="1">IFERROR(LOOKUP(MIN(IF(LEFT(G125:U125,10)="Non validé",1,IF(G125:U125="Validé avec réserve",2,IF(G125:U125="Validé",3)))),{1,2,3},{"Non validé","Validé avec réserve","Validé"}),"")</f>
        <v/>
      </c>
      <c r="G125" s="13" t="str">
        <f t="shared" ref="G125:U125" ca="1" si="50">IF(F26&lt;&gt;"",_xlfn.SINGLE(INDIRECT(F26&amp;"!"&amp;$G$9)),"")</f>
        <v/>
      </c>
      <c r="H125" s="13" t="str">
        <f t="shared" ca="1" si="50"/>
        <v/>
      </c>
      <c r="I125" s="13" t="str">
        <f t="shared" ca="1" si="50"/>
        <v/>
      </c>
      <c r="J125" s="13" t="str">
        <f t="shared" ca="1" si="50"/>
        <v/>
      </c>
      <c r="K125" s="13" t="str">
        <f t="shared" ca="1" si="50"/>
        <v/>
      </c>
      <c r="L125" s="13" t="str">
        <f t="shared" ca="1" si="50"/>
        <v/>
      </c>
      <c r="M125" s="13" t="str">
        <f t="shared" ca="1" si="50"/>
        <v/>
      </c>
      <c r="N125" s="13" t="str">
        <f t="shared" ca="1" si="50"/>
        <v/>
      </c>
      <c r="O125" s="13" t="str">
        <f t="shared" ca="1" si="50"/>
        <v/>
      </c>
      <c r="P125" s="13" t="str">
        <f t="shared" ca="1" si="50"/>
        <v/>
      </c>
      <c r="Q125" s="13" t="str">
        <f t="shared" ca="1" si="50"/>
        <v/>
      </c>
      <c r="R125" s="13" t="str">
        <f t="shared" ca="1" si="50"/>
        <v/>
      </c>
      <c r="S125" s="13" t="str">
        <f t="shared" ca="1" si="50"/>
        <v/>
      </c>
      <c r="T125" s="13" t="str">
        <f t="shared" ca="1" si="50"/>
        <v/>
      </c>
      <c r="U125" s="13" t="str">
        <f t="shared" ca="1" si="50"/>
        <v/>
      </c>
    </row>
    <row r="126" spans="2:21" ht="13" thickBot="1" x14ac:dyDescent="0.45">
      <c r="B126" s="1010"/>
      <c r="C126" s="1014"/>
      <c r="D126" s="372" t="s">
        <v>412</v>
      </c>
      <c r="E126" s="1017"/>
      <c r="F126" s="188" t="str" cm="1">
        <f t="array" aca="1" ref="F126" ca="1">IFERROR(LOOKUP(MIN(IF(LEFT(G126:U126,10)="Non validé",1,IF(G126:U126="Validé avec réserve",2,IF(G126:U126="Validé",3)))),{1,2,3},{"Non validé","Validé avec réserve","Validé"}),"")</f>
        <v/>
      </c>
      <c r="G126" s="370" t="str">
        <f ca="1">IF(F27&lt;&gt;"",VLOOKUP(F27,Analytique!$X$3:$AE$29,7,FALSE),"")</f>
        <v/>
      </c>
      <c r="H126" s="370" t="str">
        <f ca="1">IF(G27&lt;&gt;"",VLOOKUP(G27,Analytique!$X$3:$AE$29,7,FALSE),"")</f>
        <v/>
      </c>
      <c r="I126" s="370" t="str">
        <f ca="1">IF(H27&lt;&gt;"",VLOOKUP(H27,Analytique!$X$3:$AE$29,7,FALSE),"")</f>
        <v/>
      </c>
      <c r="J126" s="370" t="str">
        <f ca="1">IF(I27&lt;&gt;"",VLOOKUP(I27,Analytique!$X$3:$AE$29,7,FALSE),"")</f>
        <v/>
      </c>
      <c r="K126" s="370" t="str">
        <f ca="1">IF(J27&lt;&gt;"",VLOOKUP(J27,Analytique!$X$3:$AE$29,7,FALSE),"")</f>
        <v/>
      </c>
      <c r="L126" s="370" t="str">
        <f ca="1">IF(K27&lt;&gt;"",VLOOKUP(K27,Analytique!$X$3:$AE$29,7,FALSE),"")</f>
        <v/>
      </c>
      <c r="M126" s="370" t="str">
        <f ca="1">IF(L27&lt;&gt;"",VLOOKUP(L27,Analytique!$X$3:$AE$29,7,FALSE),"")</f>
        <v/>
      </c>
      <c r="N126" s="370" t="str">
        <f ca="1">IF(M27&lt;&gt;"",VLOOKUP(M27,Analytique!$X$3:$AE$29,7,FALSE),"")</f>
        <v/>
      </c>
      <c r="O126" s="370" t="str">
        <f ca="1">IF(N27&lt;&gt;"",VLOOKUP(N27,Analytique!$X$3:$AE$29,7,FALSE),"")</f>
        <v/>
      </c>
      <c r="P126" s="370" t="str">
        <f ca="1">IF(O27&lt;&gt;"",VLOOKUP(O27,Analytique!$X$3:$AE$29,7,FALSE),"")</f>
        <v/>
      </c>
      <c r="Q126" s="370" t="str">
        <f ca="1">IF(P27&lt;&gt;"",VLOOKUP(P27,Analytique!$X$3:$AE$29,7,FALSE),"")</f>
        <v/>
      </c>
      <c r="R126" s="370" t="str">
        <f ca="1">IF(Q27&lt;&gt;"",VLOOKUP(Q27,Analytique!$X$3:$AE$29,7,FALSE),"")</f>
        <v/>
      </c>
      <c r="S126" s="370" t="str">
        <f ca="1">IF(R27&lt;&gt;"",VLOOKUP(R27,Analytique!$X$3:$AE$29,7,FALSE),"")</f>
        <v/>
      </c>
      <c r="T126" s="370" t="str">
        <f ca="1">IF(S27&lt;&gt;"",VLOOKUP(S27,Analytique!$X$3:$AE$29,7,FALSE),"")</f>
        <v/>
      </c>
      <c r="U126" s="370" t="str">
        <f ca="1">IF(T27&lt;&gt;"",VLOOKUP(T27,Analytique!$X$3:$AE$29,7,FALSE),"")</f>
        <v/>
      </c>
    </row>
    <row r="127" spans="2:21" ht="13" thickBot="1" x14ac:dyDescent="0.45">
      <c r="B127" s="1011"/>
      <c r="C127" s="1015"/>
      <c r="D127" s="189" t="str">
        <f>$D$10</f>
        <v>Sonde de température</v>
      </c>
      <c r="E127" s="1018"/>
      <c r="F127" s="188" t="str" cm="1">
        <f t="array" aca="1" ref="F127" ca="1">IFERROR(LOOKUP(MIN(IF(LEFT(G127:U127,10)="Non validé",1,IF(G127:U127="Validé avec réserve",2,IF(G127:U127="Validé",3)))),{1,2,3},{"Non validé","Validé avec réserve","Validé"}),"")</f>
        <v/>
      </c>
      <c r="G127" s="166" t="str">
        <f t="shared" ref="G127:U127" ca="1" si="51">IF(F28&lt;&gt;"",_xlfn.SINGLE(INDIRECT(F28&amp;"!"&amp;$G$10)),"")</f>
        <v/>
      </c>
      <c r="H127" s="166" t="str">
        <f t="shared" ca="1" si="51"/>
        <v/>
      </c>
      <c r="I127" s="166" t="str">
        <f t="shared" ca="1" si="51"/>
        <v/>
      </c>
      <c r="J127" s="166" t="str">
        <f t="shared" ca="1" si="51"/>
        <v/>
      </c>
      <c r="K127" s="166" t="str">
        <f t="shared" ca="1" si="51"/>
        <v/>
      </c>
      <c r="L127" s="166" t="str">
        <f t="shared" ca="1" si="51"/>
        <v/>
      </c>
      <c r="M127" s="166" t="str">
        <f t="shared" ca="1" si="51"/>
        <v/>
      </c>
      <c r="N127" s="166" t="str">
        <f t="shared" ca="1" si="51"/>
        <v/>
      </c>
      <c r="O127" s="166" t="str">
        <f t="shared" ca="1" si="51"/>
        <v/>
      </c>
      <c r="P127" s="166" t="str">
        <f t="shared" ca="1" si="51"/>
        <v/>
      </c>
      <c r="Q127" s="166" t="str">
        <f t="shared" ca="1" si="51"/>
        <v/>
      </c>
      <c r="R127" s="166" t="str">
        <f t="shared" ca="1" si="51"/>
        <v/>
      </c>
      <c r="S127" s="166" t="str">
        <f t="shared" ca="1" si="51"/>
        <v/>
      </c>
      <c r="T127" s="166" t="str">
        <f t="shared" ca="1" si="51"/>
        <v/>
      </c>
      <c r="U127" s="166" t="str">
        <f t="shared" ca="1" si="51"/>
        <v/>
      </c>
    </row>
    <row r="128" spans="2:21" ht="13" thickBot="1" x14ac:dyDescent="0.45">
      <c r="B128" s="1008" t="s">
        <v>101</v>
      </c>
      <c r="C128" s="1012" t="s">
        <v>115</v>
      </c>
      <c r="D128" s="188" t="str">
        <f>$D$7</f>
        <v>Débitmètre en charge</v>
      </c>
      <c r="E128" s="1016" t="str" cm="1">
        <f t="array" aca="1" ref="E128" ca="1">IFERROR(LOOKUP(MIN(IF(LEFT(F128:F132,10)="Non validé",1,IF(F128:F132="Validé avec réserve",2,IF(F128:F132="Validé",3)))),{1,2,3},{"Non validé","Validé avec réserve","Validé"}),"")</f>
        <v/>
      </c>
      <c r="F128" s="188" t="str" cm="1">
        <f t="array" aca="1" ref="F128" ca="1">IFERROR(LOOKUP(MIN(IF(LEFT(G128:U128,10)="Non validé",1,IF(G128:U128="Validé avec réserve",2,IF(G128:U128="Validé",3)))),{1,2,3},{"Non validé","Validé avec réserve","Validé"}),"")</f>
        <v/>
      </c>
      <c r="G128" s="160" t="str">
        <f t="shared" ref="G128:U128" ca="1" si="52">IF(F29&lt;&gt;"",_xlfn.SINGLE(INDIRECT(F29&amp;"!"&amp;$G$7)),"")</f>
        <v/>
      </c>
      <c r="H128" s="160" t="str">
        <f t="shared" ca="1" si="52"/>
        <v/>
      </c>
      <c r="I128" s="160" t="str">
        <f t="shared" ca="1" si="52"/>
        <v/>
      </c>
      <c r="J128" s="160" t="str">
        <f t="shared" ca="1" si="52"/>
        <v/>
      </c>
      <c r="K128" s="160" t="str">
        <f t="shared" ca="1" si="52"/>
        <v/>
      </c>
      <c r="L128" s="160" t="str">
        <f t="shared" ca="1" si="52"/>
        <v/>
      </c>
      <c r="M128" s="160" t="str">
        <f t="shared" ca="1" si="52"/>
        <v/>
      </c>
      <c r="N128" s="160" t="str">
        <f t="shared" ca="1" si="52"/>
        <v/>
      </c>
      <c r="O128" s="160" t="str">
        <f t="shared" ca="1" si="52"/>
        <v/>
      </c>
      <c r="P128" s="160" t="str">
        <f t="shared" ca="1" si="52"/>
        <v/>
      </c>
      <c r="Q128" s="160" t="str">
        <f t="shared" ca="1" si="52"/>
        <v/>
      </c>
      <c r="R128" s="160" t="str">
        <f t="shared" ca="1" si="52"/>
        <v/>
      </c>
      <c r="S128" s="160" t="str">
        <f t="shared" ca="1" si="52"/>
        <v/>
      </c>
      <c r="T128" s="160" t="str">
        <f t="shared" ca="1" si="52"/>
        <v/>
      </c>
      <c r="U128" s="160" t="str">
        <f t="shared" ca="1" si="52"/>
        <v/>
      </c>
    </row>
    <row r="129" spans="2:21" ht="13" thickBot="1" x14ac:dyDescent="0.45">
      <c r="B129" s="1009"/>
      <c r="C129" s="1013"/>
      <c r="D129" s="187" t="str">
        <f>$D$8</f>
        <v>Débitmètre gravitaire</v>
      </c>
      <c r="E129" s="1017"/>
      <c r="F129" s="188" t="str" cm="1">
        <f t="array" aca="1" ref="F129" ca="1">IFERROR(LOOKUP(MIN(IF(LEFT(G129:U129,10)="Non validé",1,IF(G129:U129="Validé avec réserve",2,IF(G129:U129="Validé",3)))),{1,2,3},{"Non validé","Validé avec réserve","Validé"}),"")</f>
        <v/>
      </c>
      <c r="G129" s="13" t="str">
        <f t="shared" ref="G129:U129" ca="1" si="53">IF(F30&lt;&gt;"",_xlfn.SINGLE(INDIRECT(F30&amp;"!"&amp;$G$8)),"")</f>
        <v/>
      </c>
      <c r="H129" s="13" t="str">
        <f t="shared" ca="1" si="53"/>
        <v/>
      </c>
      <c r="I129" s="13" t="str">
        <f t="shared" ca="1" si="53"/>
        <v/>
      </c>
      <c r="J129" s="13" t="str">
        <f t="shared" ca="1" si="53"/>
        <v/>
      </c>
      <c r="K129" s="13" t="str">
        <f t="shared" ca="1" si="53"/>
        <v/>
      </c>
      <c r="L129" s="13" t="str">
        <f t="shared" ca="1" si="53"/>
        <v/>
      </c>
      <c r="M129" s="13" t="str">
        <f t="shared" ca="1" si="53"/>
        <v/>
      </c>
      <c r="N129" s="13" t="str">
        <f t="shared" ca="1" si="53"/>
        <v/>
      </c>
      <c r="O129" s="13" t="str">
        <f t="shared" ca="1" si="53"/>
        <v/>
      </c>
      <c r="P129" s="13" t="str">
        <f t="shared" ca="1" si="53"/>
        <v/>
      </c>
      <c r="Q129" s="13" t="str">
        <f t="shared" ca="1" si="53"/>
        <v/>
      </c>
      <c r="R129" s="13" t="str">
        <f t="shared" ca="1" si="53"/>
        <v/>
      </c>
      <c r="S129" s="13" t="str">
        <f t="shared" ca="1" si="53"/>
        <v/>
      </c>
      <c r="T129" s="13" t="str">
        <f t="shared" ca="1" si="53"/>
        <v/>
      </c>
      <c r="U129" s="13" t="str">
        <f t="shared" ca="1" si="53"/>
        <v/>
      </c>
    </row>
    <row r="130" spans="2:21" ht="13" thickBot="1" x14ac:dyDescent="0.45">
      <c r="B130" s="1009"/>
      <c r="C130" s="1013"/>
      <c r="D130" s="187" t="s">
        <v>420</v>
      </c>
      <c r="E130" s="1017"/>
      <c r="F130" s="188" t="str" cm="1">
        <f t="array" aca="1" ref="F130" ca="1">IFERROR(LOOKUP(MIN(IF(LEFT(G130:U130,10)="Non validé",1,IF(G130:U130="Validé avec réserve",2,IF(G130:U130="Validé",3)))),{1,2,3},{"Non validé","Validé avec réserve","Validé"}),"")</f>
        <v/>
      </c>
      <c r="G130" s="181" t="str">
        <f ca="1">G128 &amp; G129</f>
        <v/>
      </c>
      <c r="H130" s="181" t="str">
        <f t="shared" ref="H130:U130" ca="1" si="54">H128 &amp; H129</f>
        <v/>
      </c>
      <c r="I130" s="181" t="str">
        <f t="shared" ca="1" si="54"/>
        <v/>
      </c>
      <c r="J130" s="181" t="str">
        <f t="shared" ca="1" si="54"/>
        <v/>
      </c>
      <c r="K130" s="181" t="str">
        <f t="shared" ca="1" si="54"/>
        <v/>
      </c>
      <c r="L130" s="181" t="str">
        <f t="shared" ca="1" si="54"/>
        <v/>
      </c>
      <c r="M130" s="181" t="str">
        <f t="shared" ca="1" si="54"/>
        <v/>
      </c>
      <c r="N130" s="181" t="str">
        <f t="shared" ca="1" si="54"/>
        <v/>
      </c>
      <c r="O130" s="181" t="str">
        <f t="shared" ca="1" si="54"/>
        <v/>
      </c>
      <c r="P130" s="181" t="str">
        <f t="shared" ca="1" si="54"/>
        <v/>
      </c>
      <c r="Q130" s="181" t="str">
        <f t="shared" ca="1" si="54"/>
        <v/>
      </c>
      <c r="R130" s="181" t="str">
        <f t="shared" ca="1" si="54"/>
        <v/>
      </c>
      <c r="S130" s="181" t="str">
        <f t="shared" ca="1" si="54"/>
        <v/>
      </c>
      <c r="T130" s="181" t="str">
        <f t="shared" ca="1" si="54"/>
        <v/>
      </c>
      <c r="U130" s="181" t="str">
        <f t="shared" ca="1" si="54"/>
        <v/>
      </c>
    </row>
    <row r="131" spans="2:21" ht="13" thickBot="1" x14ac:dyDescent="0.45">
      <c r="B131" s="1009"/>
      <c r="C131" s="1013"/>
      <c r="D131" s="187" t="str">
        <f>$D$9</f>
        <v>Préleveur</v>
      </c>
      <c r="E131" s="1017"/>
      <c r="F131" s="188" t="str" cm="1">
        <f t="array" aca="1" ref="F131" ca="1">IFERROR(LOOKUP(MIN(IF(LEFT(G131:U131,10)="Non validé",1,IF(G131:U131="Validé avec réserve",2,IF(G131:U131="Validé",3)))),{1,2,3},{"Non validé","Validé avec réserve","Validé"}),"")</f>
        <v/>
      </c>
      <c r="G131" s="13" t="str">
        <f t="shared" ref="G131:U131" ca="1" si="55">IF(F31&lt;&gt;"",_xlfn.SINGLE(INDIRECT(F31&amp;"!"&amp;$G$9)),"")</f>
        <v/>
      </c>
      <c r="H131" s="13" t="str">
        <f t="shared" ca="1" si="55"/>
        <v/>
      </c>
      <c r="I131" s="13" t="str">
        <f t="shared" ca="1" si="55"/>
        <v/>
      </c>
      <c r="J131" s="13" t="str">
        <f t="shared" ca="1" si="55"/>
        <v/>
      </c>
      <c r="K131" s="13" t="str">
        <f t="shared" ca="1" si="55"/>
        <v/>
      </c>
      <c r="L131" s="13" t="str">
        <f t="shared" ca="1" si="55"/>
        <v/>
      </c>
      <c r="M131" s="13" t="str">
        <f t="shared" ca="1" si="55"/>
        <v/>
      </c>
      <c r="N131" s="13" t="str">
        <f t="shared" ca="1" si="55"/>
        <v/>
      </c>
      <c r="O131" s="13" t="str">
        <f t="shared" ca="1" si="55"/>
        <v/>
      </c>
      <c r="P131" s="13" t="str">
        <f t="shared" ca="1" si="55"/>
        <v/>
      </c>
      <c r="Q131" s="13" t="str">
        <f t="shared" ca="1" si="55"/>
        <v/>
      </c>
      <c r="R131" s="13" t="str">
        <f t="shared" ca="1" si="55"/>
        <v/>
      </c>
      <c r="S131" s="13" t="str">
        <f t="shared" ca="1" si="55"/>
        <v/>
      </c>
      <c r="T131" s="13" t="str">
        <f t="shared" ca="1" si="55"/>
        <v/>
      </c>
      <c r="U131" s="13" t="str">
        <f t="shared" ca="1" si="55"/>
        <v/>
      </c>
    </row>
    <row r="132" spans="2:21" ht="13" thickBot="1" x14ac:dyDescent="0.45">
      <c r="B132" s="1010"/>
      <c r="C132" s="1014"/>
      <c r="D132" s="372" t="s">
        <v>412</v>
      </c>
      <c r="E132" s="1017"/>
      <c r="F132" s="188" t="str" cm="1">
        <f t="array" aca="1" ref="F132" ca="1">IFERROR(LOOKUP(MIN(IF(LEFT(G132:U132,10)="Non validé",1,IF(G132:U132="Validé avec réserve",2,IF(G132:U132="Validé",3)))),{1,2,3},{"Non validé","Validé avec réserve","Validé"}),"")</f>
        <v/>
      </c>
      <c r="G132" s="370" t="str">
        <f ca="1">IF(F32&lt;&gt;"",VLOOKUP(F32,Analytique!$X$3:$AE$29,7,FALSE),"")</f>
        <v/>
      </c>
      <c r="H132" s="370" t="str">
        <f ca="1">IF(G32&lt;&gt;"",VLOOKUP(G32,Analytique!$X$3:$AE$29,7,FALSE),"")</f>
        <v/>
      </c>
      <c r="I132" s="370" t="str">
        <f ca="1">IF(H32&lt;&gt;"",VLOOKUP(H32,Analytique!$X$3:$AE$29,7,FALSE),"")</f>
        <v/>
      </c>
      <c r="J132" s="370" t="str">
        <f ca="1">IF(I32&lt;&gt;"",VLOOKUP(I32,Analytique!$X$3:$AE$29,7,FALSE),"")</f>
        <v/>
      </c>
      <c r="K132" s="370" t="str">
        <f ca="1">IF(J32&lt;&gt;"",VLOOKUP(J32,Analytique!$X$3:$AE$29,7,FALSE),"")</f>
        <v/>
      </c>
      <c r="L132" s="370" t="str">
        <f ca="1">IF(K32&lt;&gt;"",VLOOKUP(K32,Analytique!$X$3:$AE$29,7,FALSE),"")</f>
        <v/>
      </c>
      <c r="M132" s="370" t="str">
        <f ca="1">IF(L32&lt;&gt;"",VLOOKUP(L32,Analytique!$X$3:$AE$29,7,FALSE),"")</f>
        <v/>
      </c>
      <c r="N132" s="370" t="str">
        <f ca="1">IF(M32&lt;&gt;"",VLOOKUP(M32,Analytique!$X$3:$AE$29,7,FALSE),"")</f>
        <v/>
      </c>
      <c r="O132" s="370" t="str">
        <f ca="1">IF(N32&lt;&gt;"",VLOOKUP(N32,Analytique!$X$3:$AE$29,7,FALSE),"")</f>
        <v/>
      </c>
      <c r="P132" s="370" t="str">
        <f ca="1">IF(O32&lt;&gt;"",VLOOKUP(O32,Analytique!$X$3:$AE$29,7,FALSE),"")</f>
        <v/>
      </c>
      <c r="Q132" s="370" t="str">
        <f ca="1">IF(P32&lt;&gt;"",VLOOKUP(P32,Analytique!$X$3:$AE$29,7,FALSE),"")</f>
        <v/>
      </c>
      <c r="R132" s="370" t="str">
        <f ca="1">IF(Q32&lt;&gt;"",VLOOKUP(Q32,Analytique!$X$3:$AE$29,7,FALSE),"")</f>
        <v/>
      </c>
      <c r="S132" s="370" t="str">
        <f ca="1">IF(R32&lt;&gt;"",VLOOKUP(R32,Analytique!$X$3:$AE$29,7,FALSE),"")</f>
        <v/>
      </c>
      <c r="T132" s="370" t="str">
        <f ca="1">IF(S32&lt;&gt;"",VLOOKUP(S32,Analytique!$X$3:$AE$29,7,FALSE),"")</f>
        <v/>
      </c>
      <c r="U132" s="370" t="str">
        <f ca="1">IF(T32&lt;&gt;"",VLOOKUP(T32,Analytique!$X$3:$AE$29,7,FALSE),"")</f>
        <v/>
      </c>
    </row>
    <row r="133" spans="2:21" ht="13" thickBot="1" x14ac:dyDescent="0.45">
      <c r="B133" s="1011"/>
      <c r="C133" s="1015"/>
      <c r="D133" s="189" t="str">
        <f>$D$10</f>
        <v>Sonde de température</v>
      </c>
      <c r="E133" s="1018"/>
      <c r="F133" s="188" t="str" cm="1">
        <f t="array" aca="1" ref="F133" ca="1">IFERROR(LOOKUP(MIN(IF(LEFT(G133:U133,10)="Non validé",1,IF(G133:U133="Validé avec réserve",2,IF(G133:U133="Validé",3)))),{1,2,3},{"Non validé","Validé avec réserve","Validé"}),"")</f>
        <v/>
      </c>
      <c r="G133" s="166" t="str">
        <f t="shared" ref="G133:U133" ca="1" si="56">IF(F33&lt;&gt;"",_xlfn.SINGLE(INDIRECT(F33&amp;"!"&amp;$G$10)),"")</f>
        <v/>
      </c>
      <c r="H133" s="166" t="str">
        <f t="shared" ca="1" si="56"/>
        <v/>
      </c>
      <c r="I133" s="166" t="str">
        <f t="shared" ca="1" si="56"/>
        <v/>
      </c>
      <c r="J133" s="166" t="str">
        <f t="shared" ca="1" si="56"/>
        <v/>
      </c>
      <c r="K133" s="166" t="str">
        <f t="shared" ca="1" si="56"/>
        <v/>
      </c>
      <c r="L133" s="166" t="str">
        <f t="shared" ca="1" si="56"/>
        <v/>
      </c>
      <c r="M133" s="166" t="str">
        <f t="shared" ca="1" si="56"/>
        <v/>
      </c>
      <c r="N133" s="166" t="str">
        <f t="shared" ca="1" si="56"/>
        <v/>
      </c>
      <c r="O133" s="166" t="str">
        <f t="shared" ca="1" si="56"/>
        <v/>
      </c>
      <c r="P133" s="166" t="str">
        <f t="shared" ca="1" si="56"/>
        <v/>
      </c>
      <c r="Q133" s="166" t="str">
        <f t="shared" ca="1" si="56"/>
        <v/>
      </c>
      <c r="R133" s="166" t="str">
        <f t="shared" ca="1" si="56"/>
        <v/>
      </c>
      <c r="S133" s="166" t="str">
        <f t="shared" ca="1" si="56"/>
        <v/>
      </c>
      <c r="T133" s="166" t="str">
        <f t="shared" ca="1" si="56"/>
        <v/>
      </c>
      <c r="U133" s="166" t="str">
        <f t="shared" ca="1" si="56"/>
        <v/>
      </c>
    </row>
    <row r="134" spans="2:21" ht="13" thickBot="1" x14ac:dyDescent="0.45">
      <c r="B134" s="1008" t="s">
        <v>109</v>
      </c>
      <c r="C134" s="1012" t="s">
        <v>117</v>
      </c>
      <c r="D134" s="188" t="str">
        <f>$D$7</f>
        <v>Débitmètre en charge</v>
      </c>
      <c r="E134" s="1016" t="str" cm="1">
        <f t="array" aca="1" ref="E134" ca="1">IFERROR(LOOKUP(MIN(IF(LEFT(F134:F138,10)="Non validé",1,IF(F134:F138="Validé avec réserve",2,IF(F134:F138="Validé",3)))),{1,2,3},{"Non validé","Validé avec réserve","Validé"}),"")</f>
        <v/>
      </c>
      <c r="F134" s="188" t="str" cm="1">
        <f t="array" aca="1" ref="F134" ca="1">IFERROR(LOOKUP(MIN(IF(LEFT(G134:U134,10)="Non validé",1,IF(G134:U134="Validé avec réserve",2,IF(G134:U134="Validé",3)))),{1,2,3},{"Non validé","Validé avec réserve","Validé"}),"")</f>
        <v/>
      </c>
      <c r="G134" s="160" t="str">
        <f t="shared" ref="G134:U134" ca="1" si="57">IF(F34&lt;&gt;"",_xlfn.SINGLE(INDIRECT(F34&amp;"!"&amp;$G$7)),"")</f>
        <v/>
      </c>
      <c r="H134" s="160" t="str">
        <f t="shared" ca="1" si="57"/>
        <v/>
      </c>
      <c r="I134" s="160" t="str">
        <f t="shared" ca="1" si="57"/>
        <v/>
      </c>
      <c r="J134" s="160" t="str">
        <f t="shared" ca="1" si="57"/>
        <v/>
      </c>
      <c r="K134" s="160" t="str">
        <f t="shared" ca="1" si="57"/>
        <v/>
      </c>
      <c r="L134" s="160" t="str">
        <f t="shared" ca="1" si="57"/>
        <v/>
      </c>
      <c r="M134" s="160" t="str">
        <f t="shared" ca="1" si="57"/>
        <v/>
      </c>
      <c r="N134" s="160" t="str">
        <f t="shared" ca="1" si="57"/>
        <v/>
      </c>
      <c r="O134" s="160" t="str">
        <f t="shared" ca="1" si="57"/>
        <v/>
      </c>
      <c r="P134" s="160" t="str">
        <f t="shared" ca="1" si="57"/>
        <v/>
      </c>
      <c r="Q134" s="160" t="str">
        <f t="shared" ca="1" si="57"/>
        <v/>
      </c>
      <c r="R134" s="160" t="str">
        <f t="shared" ca="1" si="57"/>
        <v/>
      </c>
      <c r="S134" s="160" t="str">
        <f t="shared" ca="1" si="57"/>
        <v/>
      </c>
      <c r="T134" s="160" t="str">
        <f t="shared" ca="1" si="57"/>
        <v/>
      </c>
      <c r="U134" s="160" t="str">
        <f t="shared" ca="1" si="57"/>
        <v/>
      </c>
    </row>
    <row r="135" spans="2:21" ht="13" thickBot="1" x14ac:dyDescent="0.45">
      <c r="B135" s="1009"/>
      <c r="C135" s="1013"/>
      <c r="D135" s="187" t="str">
        <f>$D$8</f>
        <v>Débitmètre gravitaire</v>
      </c>
      <c r="E135" s="1017"/>
      <c r="F135" s="188" t="str" cm="1">
        <f t="array" aca="1" ref="F135" ca="1">IFERROR(LOOKUP(MIN(IF(LEFT(G135:U135,10)="Non validé",1,IF(G135:U135="Validé avec réserve",2,IF(G135:U135="Validé",3)))),{1,2,3},{"Non validé","Validé avec réserve","Validé"}),"")</f>
        <v/>
      </c>
      <c r="G135" s="13" t="str">
        <f t="shared" ref="G135:U135" ca="1" si="58">IF(F35&lt;&gt;"",_xlfn.SINGLE(INDIRECT(F35&amp;"!"&amp;$G$8)),"")</f>
        <v/>
      </c>
      <c r="H135" s="13" t="str">
        <f t="shared" ca="1" si="58"/>
        <v/>
      </c>
      <c r="I135" s="13" t="str">
        <f t="shared" ca="1" si="58"/>
        <v/>
      </c>
      <c r="J135" s="13" t="str">
        <f t="shared" ca="1" si="58"/>
        <v/>
      </c>
      <c r="K135" s="13" t="str">
        <f t="shared" ca="1" si="58"/>
        <v/>
      </c>
      <c r="L135" s="13" t="str">
        <f t="shared" ca="1" si="58"/>
        <v/>
      </c>
      <c r="M135" s="13" t="str">
        <f t="shared" ca="1" si="58"/>
        <v/>
      </c>
      <c r="N135" s="13" t="str">
        <f t="shared" ca="1" si="58"/>
        <v/>
      </c>
      <c r="O135" s="13" t="str">
        <f t="shared" ca="1" si="58"/>
        <v/>
      </c>
      <c r="P135" s="13" t="str">
        <f t="shared" ca="1" si="58"/>
        <v/>
      </c>
      <c r="Q135" s="13" t="str">
        <f t="shared" ca="1" si="58"/>
        <v/>
      </c>
      <c r="R135" s="13" t="str">
        <f t="shared" ca="1" si="58"/>
        <v/>
      </c>
      <c r="S135" s="13" t="str">
        <f t="shared" ca="1" si="58"/>
        <v/>
      </c>
      <c r="T135" s="13" t="str">
        <f t="shared" ca="1" si="58"/>
        <v/>
      </c>
      <c r="U135" s="13" t="str">
        <f t="shared" ca="1" si="58"/>
        <v/>
      </c>
    </row>
    <row r="136" spans="2:21" ht="13" thickBot="1" x14ac:dyDescent="0.45">
      <c r="B136" s="1009"/>
      <c r="C136" s="1013"/>
      <c r="D136" s="187" t="s">
        <v>420</v>
      </c>
      <c r="E136" s="1017"/>
      <c r="F136" s="188" t="str" cm="1">
        <f t="array" aca="1" ref="F136" ca="1">IFERROR(LOOKUP(MIN(IF(LEFT(G136:U136,10)="Non validé",1,IF(G136:U136="Validé avec réserve",2,IF(G136:U136="Validé",3)))),{1,2,3},{"Non validé","Validé avec réserve","Validé"}),"")</f>
        <v/>
      </c>
      <c r="G136" s="181" t="str">
        <f ca="1">G134 &amp; G135</f>
        <v/>
      </c>
      <c r="H136" s="181" t="str">
        <f t="shared" ref="H136:U136" ca="1" si="59">H134 &amp; H135</f>
        <v/>
      </c>
      <c r="I136" s="181" t="str">
        <f t="shared" ca="1" si="59"/>
        <v/>
      </c>
      <c r="J136" s="181" t="str">
        <f t="shared" ca="1" si="59"/>
        <v/>
      </c>
      <c r="K136" s="181" t="str">
        <f t="shared" ca="1" si="59"/>
        <v/>
      </c>
      <c r="L136" s="181" t="str">
        <f t="shared" ca="1" si="59"/>
        <v/>
      </c>
      <c r="M136" s="181" t="str">
        <f t="shared" ca="1" si="59"/>
        <v/>
      </c>
      <c r="N136" s="181" t="str">
        <f t="shared" ca="1" si="59"/>
        <v/>
      </c>
      <c r="O136" s="181" t="str">
        <f t="shared" ca="1" si="59"/>
        <v/>
      </c>
      <c r="P136" s="181" t="str">
        <f t="shared" ca="1" si="59"/>
        <v/>
      </c>
      <c r="Q136" s="181" t="str">
        <f t="shared" ca="1" si="59"/>
        <v/>
      </c>
      <c r="R136" s="181" t="str">
        <f t="shared" ca="1" si="59"/>
        <v/>
      </c>
      <c r="S136" s="181" t="str">
        <f t="shared" ca="1" si="59"/>
        <v/>
      </c>
      <c r="T136" s="181" t="str">
        <f t="shared" ca="1" si="59"/>
        <v/>
      </c>
      <c r="U136" s="181" t="str">
        <f t="shared" ca="1" si="59"/>
        <v/>
      </c>
    </row>
    <row r="137" spans="2:21" ht="13" thickBot="1" x14ac:dyDescent="0.45">
      <c r="B137" s="1009"/>
      <c r="C137" s="1013"/>
      <c r="D137" s="187" t="str">
        <f>$D$9</f>
        <v>Préleveur</v>
      </c>
      <c r="E137" s="1017"/>
      <c r="F137" s="188" t="str" cm="1">
        <f t="array" aca="1" ref="F137" ca="1">IFERROR(LOOKUP(MIN(IF(LEFT(G137:U137,10)="Non validé",1,IF(G137:U137="Validé avec réserve",2,IF(G137:U137="Validé",3)))),{1,2,3},{"Non validé","Validé avec réserve","Validé"}),"")</f>
        <v/>
      </c>
      <c r="G137" s="13" t="str">
        <f t="shared" ref="G137:U137" ca="1" si="60">IF(F36&lt;&gt;"",_xlfn.SINGLE(INDIRECT(F36&amp;"!"&amp;$G$9)),"")</f>
        <v/>
      </c>
      <c r="H137" s="13" t="str">
        <f t="shared" ca="1" si="60"/>
        <v/>
      </c>
      <c r="I137" s="13" t="str">
        <f t="shared" ca="1" si="60"/>
        <v/>
      </c>
      <c r="J137" s="13" t="str">
        <f t="shared" ca="1" si="60"/>
        <v/>
      </c>
      <c r="K137" s="13" t="str">
        <f t="shared" ca="1" si="60"/>
        <v/>
      </c>
      <c r="L137" s="13" t="str">
        <f t="shared" ca="1" si="60"/>
        <v/>
      </c>
      <c r="M137" s="13" t="str">
        <f t="shared" ca="1" si="60"/>
        <v/>
      </c>
      <c r="N137" s="13" t="str">
        <f t="shared" ca="1" si="60"/>
        <v/>
      </c>
      <c r="O137" s="13" t="str">
        <f t="shared" ca="1" si="60"/>
        <v/>
      </c>
      <c r="P137" s="13" t="str">
        <f t="shared" ca="1" si="60"/>
        <v/>
      </c>
      <c r="Q137" s="13" t="str">
        <f t="shared" ca="1" si="60"/>
        <v/>
      </c>
      <c r="R137" s="13" t="str">
        <f t="shared" ca="1" si="60"/>
        <v/>
      </c>
      <c r="S137" s="13" t="str">
        <f t="shared" ca="1" si="60"/>
        <v/>
      </c>
      <c r="T137" s="13" t="str">
        <f t="shared" ca="1" si="60"/>
        <v/>
      </c>
      <c r="U137" s="13" t="str">
        <f t="shared" ca="1" si="60"/>
        <v/>
      </c>
    </row>
    <row r="138" spans="2:21" ht="13" thickBot="1" x14ac:dyDescent="0.45">
      <c r="B138" s="1010"/>
      <c r="C138" s="1014"/>
      <c r="D138" s="372" t="s">
        <v>412</v>
      </c>
      <c r="E138" s="1017"/>
      <c r="F138" s="188" t="str" cm="1">
        <f t="array" aca="1" ref="F138" ca="1">IFERROR(LOOKUP(MIN(IF(LEFT(G138:U138,10)="Non validé",1,IF(G138:U138="Validé avec réserve",2,IF(G138:U138="Validé",3)))),{1,2,3},{"Non validé","Validé avec réserve","Validé"}),"")</f>
        <v/>
      </c>
      <c r="G138" s="370" t="str">
        <f ca="1">IF(F37&lt;&gt;"",VLOOKUP(F37,Analytique!$X$3:$AE$29,7,FALSE),"")</f>
        <v/>
      </c>
      <c r="H138" s="370" t="str">
        <f ca="1">IF(G37&lt;&gt;"",VLOOKUP(G37,Analytique!$X$3:$AE$29,7,FALSE),"")</f>
        <v/>
      </c>
      <c r="I138" s="370" t="str">
        <f ca="1">IF(H37&lt;&gt;"",VLOOKUP(H37,Analytique!$X$3:$AE$29,7,FALSE),"")</f>
        <v/>
      </c>
      <c r="J138" s="370" t="str">
        <f ca="1">IF(I37&lt;&gt;"",VLOOKUP(I37,Analytique!$X$3:$AE$29,7,FALSE),"")</f>
        <v/>
      </c>
      <c r="K138" s="370" t="str">
        <f ca="1">IF(J37&lt;&gt;"",VLOOKUP(J37,Analytique!$X$3:$AE$29,7,FALSE),"")</f>
        <v/>
      </c>
      <c r="L138" s="370" t="str">
        <f ca="1">IF(K37&lt;&gt;"",VLOOKUP(K37,Analytique!$X$3:$AE$29,7,FALSE),"")</f>
        <v/>
      </c>
      <c r="M138" s="370" t="str">
        <f ca="1">IF(L37&lt;&gt;"",VLOOKUP(L37,Analytique!$X$3:$AE$29,7,FALSE),"")</f>
        <v/>
      </c>
      <c r="N138" s="370" t="str">
        <f ca="1">IF(M37&lt;&gt;"",VLOOKUP(M37,Analytique!$X$3:$AE$29,7,FALSE),"")</f>
        <v/>
      </c>
      <c r="O138" s="370" t="str">
        <f ca="1">IF(N37&lt;&gt;"",VLOOKUP(N37,Analytique!$X$3:$AE$29,7,FALSE),"")</f>
        <v/>
      </c>
      <c r="P138" s="370" t="str">
        <f ca="1">IF(O37&lt;&gt;"",VLOOKUP(O37,Analytique!$X$3:$AE$29,7,FALSE),"")</f>
        <v/>
      </c>
      <c r="Q138" s="370" t="str">
        <f ca="1">IF(P37&lt;&gt;"",VLOOKUP(P37,Analytique!$X$3:$AE$29,7,FALSE),"")</f>
        <v/>
      </c>
      <c r="R138" s="370" t="str">
        <f ca="1">IF(Q37&lt;&gt;"",VLOOKUP(Q37,Analytique!$X$3:$AE$29,7,FALSE),"")</f>
        <v/>
      </c>
      <c r="S138" s="370" t="str">
        <f ca="1">IF(R37&lt;&gt;"",VLOOKUP(R37,Analytique!$X$3:$AE$29,7,FALSE),"")</f>
        <v/>
      </c>
      <c r="T138" s="370" t="str">
        <f ca="1">IF(S37&lt;&gt;"",VLOOKUP(S37,Analytique!$X$3:$AE$29,7,FALSE),"")</f>
        <v/>
      </c>
      <c r="U138" s="370" t="str">
        <f ca="1">IF(T37&lt;&gt;"",VLOOKUP(T37,Analytique!$X$3:$AE$29,7,FALSE),"")</f>
        <v/>
      </c>
    </row>
    <row r="139" spans="2:21" ht="13" thickBot="1" x14ac:dyDescent="0.45">
      <c r="B139" s="1011"/>
      <c r="C139" s="1015"/>
      <c r="D139" s="189" t="str">
        <f>$D$10</f>
        <v>Sonde de température</v>
      </c>
      <c r="E139" s="1018"/>
      <c r="F139" s="188" t="str" cm="1">
        <f t="array" aca="1" ref="F139" ca="1">IFERROR(LOOKUP(MIN(IF(LEFT(G139:U139,10)="Non validé",1,IF(G139:U139="Validé avec réserve",2,IF(G139:U139="Validé",3)))),{1,2,3},{"Non validé","Validé avec réserve","Validé"}),"")</f>
        <v/>
      </c>
      <c r="G139" s="166" t="str">
        <f t="shared" ref="G139:U139" ca="1" si="61">IF(F38&lt;&gt;"",_xlfn.SINGLE(INDIRECT(F38&amp;"!"&amp;$G$10)),"")</f>
        <v/>
      </c>
      <c r="H139" s="166" t="str">
        <f t="shared" ca="1" si="61"/>
        <v/>
      </c>
      <c r="I139" s="166" t="str">
        <f t="shared" ca="1" si="61"/>
        <v/>
      </c>
      <c r="J139" s="166" t="str">
        <f t="shared" ca="1" si="61"/>
        <v/>
      </c>
      <c r="K139" s="166" t="str">
        <f t="shared" ca="1" si="61"/>
        <v/>
      </c>
      <c r="L139" s="166" t="str">
        <f t="shared" ca="1" si="61"/>
        <v/>
      </c>
      <c r="M139" s="166" t="str">
        <f t="shared" ca="1" si="61"/>
        <v/>
      </c>
      <c r="N139" s="166" t="str">
        <f t="shared" ca="1" si="61"/>
        <v/>
      </c>
      <c r="O139" s="166" t="str">
        <f t="shared" ca="1" si="61"/>
        <v/>
      </c>
      <c r="P139" s="166" t="str">
        <f t="shared" ca="1" si="61"/>
        <v/>
      </c>
      <c r="Q139" s="166" t="str">
        <f t="shared" ca="1" si="61"/>
        <v/>
      </c>
      <c r="R139" s="166" t="str">
        <f t="shared" ca="1" si="61"/>
        <v/>
      </c>
      <c r="S139" s="166" t="str">
        <f t="shared" ca="1" si="61"/>
        <v/>
      </c>
      <c r="T139" s="166" t="str">
        <f t="shared" ca="1" si="61"/>
        <v/>
      </c>
      <c r="U139" s="166" t="str">
        <f t="shared" ca="1" si="61"/>
        <v/>
      </c>
    </row>
    <row r="140" spans="2:21" ht="13" thickBot="1" x14ac:dyDescent="0.45">
      <c r="B140" s="1008" t="s">
        <v>112</v>
      </c>
      <c r="C140" s="1012" t="s">
        <v>120</v>
      </c>
      <c r="D140" s="188" t="str">
        <f>$D$7</f>
        <v>Débitmètre en charge</v>
      </c>
      <c r="E140" s="1016" t="str" cm="1">
        <f t="array" aca="1" ref="E140" ca="1">IFERROR(LOOKUP(MIN(IF(LEFT(F140:F144,10)="Non validé",1,IF(F140:F144="Validé avec réserve",2,IF(F140:F144="Validé",3)))),{1,2,3},{"Non validé","Validé avec réserve","Validé"}),"")</f>
        <v/>
      </c>
      <c r="F140" s="188" t="str" cm="1">
        <f t="array" aca="1" ref="F140" ca="1">IFERROR(LOOKUP(MIN(IF(LEFT(G140:U140,10)="Non validé",1,IF(G140:U140="Validé avec réserve",2,IF(G140:U140="Validé",3)))),{1,2,3},{"Non validé","Validé avec réserve","Validé"}),"")</f>
        <v/>
      </c>
      <c r="G140" s="160" t="str">
        <f t="shared" ref="G140:U140" ca="1" si="62">IF(F39&lt;&gt;"",_xlfn.SINGLE(INDIRECT(F39&amp;"!"&amp;$G$7)),"")</f>
        <v/>
      </c>
      <c r="H140" s="160" t="str">
        <f t="shared" ca="1" si="62"/>
        <v/>
      </c>
      <c r="I140" s="160" t="str">
        <f t="shared" ca="1" si="62"/>
        <v/>
      </c>
      <c r="J140" s="160" t="str">
        <f t="shared" ca="1" si="62"/>
        <v/>
      </c>
      <c r="K140" s="160" t="str">
        <f t="shared" ca="1" si="62"/>
        <v/>
      </c>
      <c r="L140" s="160" t="str">
        <f t="shared" ca="1" si="62"/>
        <v/>
      </c>
      <c r="M140" s="160" t="str">
        <f t="shared" ca="1" si="62"/>
        <v/>
      </c>
      <c r="N140" s="160" t="str">
        <f t="shared" ca="1" si="62"/>
        <v/>
      </c>
      <c r="O140" s="160" t="str">
        <f t="shared" ca="1" si="62"/>
        <v/>
      </c>
      <c r="P140" s="160" t="str">
        <f t="shared" ca="1" si="62"/>
        <v/>
      </c>
      <c r="Q140" s="160" t="str">
        <f t="shared" ca="1" si="62"/>
        <v/>
      </c>
      <c r="R140" s="160" t="str">
        <f t="shared" ca="1" si="62"/>
        <v/>
      </c>
      <c r="S140" s="160" t="str">
        <f t="shared" ca="1" si="62"/>
        <v/>
      </c>
      <c r="T140" s="160" t="str">
        <f t="shared" ca="1" si="62"/>
        <v/>
      </c>
      <c r="U140" s="160" t="str">
        <f t="shared" ca="1" si="62"/>
        <v/>
      </c>
    </row>
    <row r="141" spans="2:21" ht="13" thickBot="1" x14ac:dyDescent="0.45">
      <c r="B141" s="1009"/>
      <c r="C141" s="1013"/>
      <c r="D141" s="187" t="str">
        <f>$D$8</f>
        <v>Débitmètre gravitaire</v>
      </c>
      <c r="E141" s="1017"/>
      <c r="F141" s="188" t="str" cm="1">
        <f t="array" aca="1" ref="F141" ca="1">IFERROR(LOOKUP(MIN(IF(LEFT(G141:U141,10)="Non validé",1,IF(G141:U141="Validé avec réserve",2,IF(G141:U141="Validé",3)))),{1,2,3},{"Non validé","Validé avec réserve","Validé"}),"")</f>
        <v/>
      </c>
      <c r="G141" s="13" t="str">
        <f t="shared" ref="G141:U141" ca="1" si="63">IF(F40&lt;&gt;"",_xlfn.SINGLE(INDIRECT(F40&amp;"!"&amp;$G$8)),"")</f>
        <v/>
      </c>
      <c r="H141" s="13" t="str">
        <f t="shared" ca="1" si="63"/>
        <v/>
      </c>
      <c r="I141" s="13" t="str">
        <f t="shared" ca="1" si="63"/>
        <v/>
      </c>
      <c r="J141" s="13" t="str">
        <f t="shared" ca="1" si="63"/>
        <v/>
      </c>
      <c r="K141" s="13" t="str">
        <f t="shared" ca="1" si="63"/>
        <v/>
      </c>
      <c r="L141" s="13" t="str">
        <f t="shared" ca="1" si="63"/>
        <v/>
      </c>
      <c r="M141" s="13" t="str">
        <f t="shared" ca="1" si="63"/>
        <v/>
      </c>
      <c r="N141" s="13" t="str">
        <f t="shared" ca="1" si="63"/>
        <v/>
      </c>
      <c r="O141" s="13" t="str">
        <f t="shared" ca="1" si="63"/>
        <v/>
      </c>
      <c r="P141" s="13" t="str">
        <f t="shared" ca="1" si="63"/>
        <v/>
      </c>
      <c r="Q141" s="13" t="str">
        <f t="shared" ca="1" si="63"/>
        <v/>
      </c>
      <c r="R141" s="13" t="str">
        <f t="shared" ca="1" si="63"/>
        <v/>
      </c>
      <c r="S141" s="13" t="str">
        <f t="shared" ca="1" si="63"/>
        <v/>
      </c>
      <c r="T141" s="13" t="str">
        <f t="shared" ca="1" si="63"/>
        <v/>
      </c>
      <c r="U141" s="13" t="str">
        <f t="shared" ca="1" si="63"/>
        <v/>
      </c>
    </row>
    <row r="142" spans="2:21" ht="13" thickBot="1" x14ac:dyDescent="0.45">
      <c r="B142" s="1009"/>
      <c r="C142" s="1013"/>
      <c r="D142" s="187" t="s">
        <v>420</v>
      </c>
      <c r="E142" s="1017"/>
      <c r="F142" s="188" t="str" cm="1">
        <f t="array" aca="1" ref="F142" ca="1">IFERROR(LOOKUP(MIN(IF(LEFT(G142:U142,10)="Non validé",1,IF(G142:U142="Validé avec réserve",2,IF(G142:U142="Validé",3)))),{1,2,3},{"Non validé","Validé avec réserve","Validé"}),"")</f>
        <v/>
      </c>
      <c r="G142" s="181" t="str">
        <f ca="1">G140 &amp; G141</f>
        <v/>
      </c>
      <c r="H142" s="181" t="str">
        <f t="shared" ref="H142:U142" ca="1" si="64">H140 &amp; H141</f>
        <v/>
      </c>
      <c r="I142" s="181" t="str">
        <f t="shared" ca="1" si="64"/>
        <v/>
      </c>
      <c r="J142" s="181" t="str">
        <f t="shared" ca="1" si="64"/>
        <v/>
      </c>
      <c r="K142" s="181" t="str">
        <f t="shared" ca="1" si="64"/>
        <v/>
      </c>
      <c r="L142" s="181" t="str">
        <f t="shared" ca="1" si="64"/>
        <v/>
      </c>
      <c r="M142" s="181" t="str">
        <f t="shared" ca="1" si="64"/>
        <v/>
      </c>
      <c r="N142" s="181" t="str">
        <f t="shared" ca="1" si="64"/>
        <v/>
      </c>
      <c r="O142" s="181" t="str">
        <f t="shared" ca="1" si="64"/>
        <v/>
      </c>
      <c r="P142" s="181" t="str">
        <f t="shared" ca="1" si="64"/>
        <v/>
      </c>
      <c r="Q142" s="181" t="str">
        <f t="shared" ca="1" si="64"/>
        <v/>
      </c>
      <c r="R142" s="181" t="str">
        <f t="shared" ca="1" si="64"/>
        <v/>
      </c>
      <c r="S142" s="181" t="str">
        <f t="shared" ca="1" si="64"/>
        <v/>
      </c>
      <c r="T142" s="181" t="str">
        <f t="shared" ca="1" si="64"/>
        <v/>
      </c>
      <c r="U142" s="181" t="str">
        <f t="shared" ca="1" si="64"/>
        <v/>
      </c>
    </row>
    <row r="143" spans="2:21" ht="13" thickBot="1" x14ac:dyDescent="0.45">
      <c r="B143" s="1009"/>
      <c r="C143" s="1013"/>
      <c r="D143" s="187" t="str">
        <f>$D$9</f>
        <v>Préleveur</v>
      </c>
      <c r="E143" s="1017"/>
      <c r="F143" s="188" t="str" cm="1">
        <f t="array" aca="1" ref="F143" ca="1">IFERROR(LOOKUP(MIN(IF(LEFT(G143:U143,10)="Non validé",1,IF(G143:U143="Validé avec réserve",2,IF(G143:U143="Validé",3)))),{1,2,3},{"Non validé","Validé avec réserve","Validé"}),"")</f>
        <v/>
      </c>
      <c r="G143" s="13" t="str">
        <f t="shared" ref="G143:U143" ca="1" si="65">IF(F41&lt;&gt;"",_xlfn.SINGLE(INDIRECT(F41&amp;"!"&amp;$G$9)),"")</f>
        <v/>
      </c>
      <c r="H143" s="13" t="str">
        <f t="shared" ca="1" si="65"/>
        <v/>
      </c>
      <c r="I143" s="13" t="str">
        <f t="shared" ca="1" si="65"/>
        <v/>
      </c>
      <c r="J143" s="13" t="str">
        <f t="shared" ca="1" si="65"/>
        <v/>
      </c>
      <c r="K143" s="13" t="str">
        <f t="shared" ca="1" si="65"/>
        <v/>
      </c>
      <c r="L143" s="13" t="str">
        <f t="shared" ca="1" si="65"/>
        <v/>
      </c>
      <c r="M143" s="13" t="str">
        <f t="shared" ca="1" si="65"/>
        <v/>
      </c>
      <c r="N143" s="13" t="str">
        <f t="shared" ca="1" si="65"/>
        <v/>
      </c>
      <c r="O143" s="13" t="str">
        <f t="shared" ca="1" si="65"/>
        <v/>
      </c>
      <c r="P143" s="13" t="str">
        <f t="shared" ca="1" si="65"/>
        <v/>
      </c>
      <c r="Q143" s="13" t="str">
        <f t="shared" ca="1" si="65"/>
        <v/>
      </c>
      <c r="R143" s="13" t="str">
        <f t="shared" ca="1" si="65"/>
        <v/>
      </c>
      <c r="S143" s="13" t="str">
        <f t="shared" ca="1" si="65"/>
        <v/>
      </c>
      <c r="T143" s="13" t="str">
        <f t="shared" ca="1" si="65"/>
        <v/>
      </c>
      <c r="U143" s="13" t="str">
        <f t="shared" ca="1" si="65"/>
        <v/>
      </c>
    </row>
    <row r="144" spans="2:21" ht="13" thickBot="1" x14ac:dyDescent="0.45">
      <c r="B144" s="1010"/>
      <c r="C144" s="1014"/>
      <c r="D144" s="372" t="s">
        <v>412</v>
      </c>
      <c r="E144" s="1017"/>
      <c r="F144" s="188" t="str" cm="1">
        <f t="array" aca="1" ref="F144" ca="1">IFERROR(LOOKUP(MIN(IF(LEFT(G144:U144,10)="Non validé",1,IF(G144:U144="Validé avec réserve",2,IF(G144:U144="Validé",3)))),{1,2,3},{"Non validé","Validé avec réserve","Validé"}),"")</f>
        <v/>
      </c>
      <c r="G144" s="370" t="str">
        <f ca="1">IF(F42&lt;&gt;"",VLOOKUP(F42,Analytique!$X$3:$AE$29,7,FALSE),"")</f>
        <v/>
      </c>
      <c r="H144" s="370" t="str">
        <f ca="1">IF(G42&lt;&gt;"",VLOOKUP(G42,Analytique!$X$3:$AE$29,7,FALSE),"")</f>
        <v/>
      </c>
      <c r="I144" s="370" t="str">
        <f ca="1">IF(H42&lt;&gt;"",VLOOKUP(H42,Analytique!$X$3:$AE$29,7,FALSE),"")</f>
        <v/>
      </c>
      <c r="J144" s="370" t="str">
        <f ca="1">IF(I42&lt;&gt;"",VLOOKUP(I42,Analytique!$X$3:$AE$29,7,FALSE),"")</f>
        <v/>
      </c>
      <c r="K144" s="370" t="str">
        <f ca="1">IF(J42&lt;&gt;"",VLOOKUP(J42,Analytique!$X$3:$AE$29,7,FALSE),"")</f>
        <v/>
      </c>
      <c r="L144" s="370" t="str">
        <f ca="1">IF(K42&lt;&gt;"",VLOOKUP(K42,Analytique!$X$3:$AE$29,7,FALSE),"")</f>
        <v/>
      </c>
      <c r="M144" s="370" t="str">
        <f ca="1">IF(L42&lt;&gt;"",VLOOKUP(L42,Analytique!$X$3:$AE$29,7,FALSE),"")</f>
        <v/>
      </c>
      <c r="N144" s="370" t="str">
        <f ca="1">IF(M42&lt;&gt;"",VLOOKUP(M42,Analytique!$X$3:$AE$29,7,FALSE),"")</f>
        <v/>
      </c>
      <c r="O144" s="370" t="str">
        <f ca="1">IF(N42&lt;&gt;"",VLOOKUP(N42,Analytique!$X$3:$AE$29,7,FALSE),"")</f>
        <v/>
      </c>
      <c r="P144" s="370" t="str">
        <f ca="1">IF(O42&lt;&gt;"",VLOOKUP(O42,Analytique!$X$3:$AE$29,7,FALSE),"")</f>
        <v/>
      </c>
      <c r="Q144" s="370" t="str">
        <f ca="1">IF(P42&lt;&gt;"",VLOOKUP(P42,Analytique!$X$3:$AE$29,7,FALSE),"")</f>
        <v/>
      </c>
      <c r="R144" s="370" t="str">
        <f ca="1">IF(Q42&lt;&gt;"",VLOOKUP(Q42,Analytique!$X$3:$AE$29,7,FALSE),"")</f>
        <v/>
      </c>
      <c r="S144" s="370" t="str">
        <f ca="1">IF(R42&lt;&gt;"",VLOOKUP(R42,Analytique!$X$3:$AE$29,7,FALSE),"")</f>
        <v/>
      </c>
      <c r="T144" s="370" t="str">
        <f ca="1">IF(S42&lt;&gt;"",VLOOKUP(S42,Analytique!$X$3:$AE$29,7,FALSE),"")</f>
        <v/>
      </c>
      <c r="U144" s="370" t="str">
        <f ca="1">IF(T42&lt;&gt;"",VLOOKUP(T42,Analytique!$X$3:$AE$29,7,FALSE),"")</f>
        <v/>
      </c>
    </row>
    <row r="145" spans="2:21" ht="13" thickBot="1" x14ac:dyDescent="0.45">
      <c r="B145" s="1011"/>
      <c r="C145" s="1015"/>
      <c r="D145" s="189" t="str">
        <f>$D$10</f>
        <v>Sonde de température</v>
      </c>
      <c r="E145" s="1018"/>
      <c r="F145" s="188" t="str" cm="1">
        <f t="array" aca="1" ref="F145" ca="1">IFERROR(LOOKUP(MIN(IF(LEFT(G145:U145,10)="Non validé",1,IF(G145:U145="Validé avec réserve",2,IF(G145:U145="Validé",3)))),{1,2,3},{"Non validé","Validé avec réserve","Validé"}),"")</f>
        <v/>
      </c>
      <c r="G145" s="166" t="str">
        <f t="shared" ref="G145:U145" ca="1" si="66">IF(F43&lt;&gt;"",_xlfn.SINGLE(INDIRECT(F43&amp;"!"&amp;$G$10)),"")</f>
        <v/>
      </c>
      <c r="H145" s="166" t="str">
        <f t="shared" ca="1" si="66"/>
        <v/>
      </c>
      <c r="I145" s="166" t="str">
        <f t="shared" ca="1" si="66"/>
        <v/>
      </c>
      <c r="J145" s="166" t="str">
        <f t="shared" ca="1" si="66"/>
        <v/>
      </c>
      <c r="K145" s="166" t="str">
        <f t="shared" ca="1" si="66"/>
        <v/>
      </c>
      <c r="L145" s="166" t="str">
        <f t="shared" ca="1" si="66"/>
        <v/>
      </c>
      <c r="M145" s="166" t="str">
        <f t="shared" ca="1" si="66"/>
        <v/>
      </c>
      <c r="N145" s="166" t="str">
        <f t="shared" ca="1" si="66"/>
        <v/>
      </c>
      <c r="O145" s="166" t="str">
        <f t="shared" ca="1" si="66"/>
        <v/>
      </c>
      <c r="P145" s="166" t="str">
        <f t="shared" ca="1" si="66"/>
        <v/>
      </c>
      <c r="Q145" s="166" t="str">
        <f t="shared" ca="1" si="66"/>
        <v/>
      </c>
      <c r="R145" s="166" t="str">
        <f t="shared" ca="1" si="66"/>
        <v/>
      </c>
      <c r="S145" s="166" t="str">
        <f t="shared" ca="1" si="66"/>
        <v/>
      </c>
      <c r="T145" s="166" t="str">
        <f t="shared" ca="1" si="66"/>
        <v/>
      </c>
      <c r="U145" s="166" t="str">
        <f t="shared" ca="1" si="66"/>
        <v/>
      </c>
    </row>
    <row r="146" spans="2:21" ht="13" thickBot="1" x14ac:dyDescent="0.45">
      <c r="B146" s="1008" t="s">
        <v>114</v>
      </c>
      <c r="C146" s="1012" t="s">
        <v>119</v>
      </c>
      <c r="D146" s="188" t="str">
        <f>$D$7</f>
        <v>Débitmètre en charge</v>
      </c>
      <c r="E146" s="1016" t="str" cm="1">
        <f t="array" aca="1" ref="E146" ca="1">IFERROR(LOOKUP(MIN(IF(LEFT(F146:F150,10)="Non validé",1,IF(F146:F150="Validé avec réserve",2,IF(F146:F150="Validé",3)))),{1,2,3},{"Non validé","Validé avec réserve","Validé"}),"")</f>
        <v/>
      </c>
      <c r="F146" s="188" t="str" cm="1">
        <f t="array" aca="1" ref="F146" ca="1">IFERROR(LOOKUP(MIN(IF(LEFT(G146:U146,10)="Non validé",1,IF(G146:U146="Validé avec réserve",2,IF(G146:U146="Validé",3)))),{1,2,3},{"Non validé","Validé avec réserve","Validé"}),"")</f>
        <v/>
      </c>
      <c r="G146" s="160" t="str">
        <f t="shared" ref="G146:U146" ca="1" si="67">IF(F44&lt;&gt;"",_xlfn.SINGLE(INDIRECT(F44&amp;"!"&amp;$G$7)),"")</f>
        <v/>
      </c>
      <c r="H146" s="160" t="str">
        <f t="shared" ca="1" si="67"/>
        <v/>
      </c>
      <c r="I146" s="160" t="str">
        <f t="shared" ca="1" si="67"/>
        <v/>
      </c>
      <c r="J146" s="160" t="str">
        <f t="shared" ca="1" si="67"/>
        <v/>
      </c>
      <c r="K146" s="160" t="str">
        <f t="shared" ca="1" si="67"/>
        <v/>
      </c>
      <c r="L146" s="160" t="str">
        <f t="shared" ca="1" si="67"/>
        <v/>
      </c>
      <c r="M146" s="160" t="str">
        <f t="shared" ca="1" si="67"/>
        <v/>
      </c>
      <c r="N146" s="160" t="str">
        <f t="shared" ca="1" si="67"/>
        <v/>
      </c>
      <c r="O146" s="160" t="str">
        <f t="shared" ca="1" si="67"/>
        <v/>
      </c>
      <c r="P146" s="160" t="str">
        <f t="shared" ca="1" si="67"/>
        <v/>
      </c>
      <c r="Q146" s="160" t="str">
        <f t="shared" ca="1" si="67"/>
        <v/>
      </c>
      <c r="R146" s="160" t="str">
        <f t="shared" ca="1" si="67"/>
        <v/>
      </c>
      <c r="S146" s="160" t="str">
        <f t="shared" ca="1" si="67"/>
        <v/>
      </c>
      <c r="T146" s="160" t="str">
        <f t="shared" ca="1" si="67"/>
        <v/>
      </c>
      <c r="U146" s="160" t="str">
        <f t="shared" ca="1" si="67"/>
        <v/>
      </c>
    </row>
    <row r="147" spans="2:21" ht="13" thickBot="1" x14ac:dyDescent="0.45">
      <c r="B147" s="1009"/>
      <c r="C147" s="1013"/>
      <c r="D147" s="187" t="str">
        <f>$D$8</f>
        <v>Débitmètre gravitaire</v>
      </c>
      <c r="E147" s="1017"/>
      <c r="F147" s="188" t="str" cm="1">
        <f t="array" aca="1" ref="F147" ca="1">IFERROR(LOOKUP(MIN(IF(LEFT(G147:U147,10)="Non validé",1,IF(G147:U147="Validé avec réserve",2,IF(G147:U147="Validé",3)))),{1,2,3},{"Non validé","Validé avec réserve","Validé"}),"")</f>
        <v/>
      </c>
      <c r="G147" s="13" t="str">
        <f t="shared" ref="G147:U147" ca="1" si="68">IF(F45&lt;&gt;"",_xlfn.SINGLE(INDIRECT(F45&amp;"!"&amp;$G$8)),"")</f>
        <v/>
      </c>
      <c r="H147" s="13" t="str">
        <f t="shared" ca="1" si="68"/>
        <v/>
      </c>
      <c r="I147" s="13" t="str">
        <f t="shared" ca="1" si="68"/>
        <v/>
      </c>
      <c r="J147" s="13" t="str">
        <f t="shared" ca="1" si="68"/>
        <v/>
      </c>
      <c r="K147" s="13" t="str">
        <f t="shared" ca="1" si="68"/>
        <v/>
      </c>
      <c r="L147" s="13" t="str">
        <f t="shared" ca="1" si="68"/>
        <v/>
      </c>
      <c r="M147" s="13" t="str">
        <f t="shared" ca="1" si="68"/>
        <v/>
      </c>
      <c r="N147" s="13" t="str">
        <f t="shared" ca="1" si="68"/>
        <v/>
      </c>
      <c r="O147" s="13" t="str">
        <f t="shared" ca="1" si="68"/>
        <v/>
      </c>
      <c r="P147" s="13" t="str">
        <f t="shared" ca="1" si="68"/>
        <v/>
      </c>
      <c r="Q147" s="13" t="str">
        <f t="shared" ca="1" si="68"/>
        <v/>
      </c>
      <c r="R147" s="13" t="str">
        <f t="shared" ca="1" si="68"/>
        <v/>
      </c>
      <c r="S147" s="13" t="str">
        <f t="shared" ca="1" si="68"/>
        <v/>
      </c>
      <c r="T147" s="13" t="str">
        <f t="shared" ca="1" si="68"/>
        <v/>
      </c>
      <c r="U147" s="13" t="str">
        <f t="shared" ca="1" si="68"/>
        <v/>
      </c>
    </row>
    <row r="148" spans="2:21" ht="13" thickBot="1" x14ac:dyDescent="0.45">
      <c r="B148" s="1009"/>
      <c r="C148" s="1013"/>
      <c r="D148" s="187" t="s">
        <v>420</v>
      </c>
      <c r="E148" s="1017"/>
      <c r="F148" s="188" t="str" cm="1">
        <f t="array" aca="1" ref="F148" ca="1">IFERROR(LOOKUP(MIN(IF(LEFT(G148:U148,10)="Non validé",1,IF(G148:U148="Validé avec réserve",2,IF(G148:U148="Validé",3)))),{1,2,3},{"Non validé","Validé avec réserve","Validé"}),"")</f>
        <v/>
      </c>
      <c r="G148" s="181" t="str">
        <f ca="1">G146 &amp; G147</f>
        <v/>
      </c>
      <c r="H148" s="181" t="str">
        <f t="shared" ref="H148:U148" ca="1" si="69">H146 &amp; H147</f>
        <v/>
      </c>
      <c r="I148" s="181" t="str">
        <f t="shared" ca="1" si="69"/>
        <v/>
      </c>
      <c r="J148" s="181" t="str">
        <f t="shared" ca="1" si="69"/>
        <v/>
      </c>
      <c r="K148" s="181" t="str">
        <f t="shared" ca="1" si="69"/>
        <v/>
      </c>
      <c r="L148" s="181" t="str">
        <f t="shared" ca="1" si="69"/>
        <v/>
      </c>
      <c r="M148" s="181" t="str">
        <f t="shared" ca="1" si="69"/>
        <v/>
      </c>
      <c r="N148" s="181" t="str">
        <f t="shared" ca="1" si="69"/>
        <v/>
      </c>
      <c r="O148" s="181" t="str">
        <f t="shared" ca="1" si="69"/>
        <v/>
      </c>
      <c r="P148" s="181" t="str">
        <f t="shared" ca="1" si="69"/>
        <v/>
      </c>
      <c r="Q148" s="181" t="str">
        <f t="shared" ca="1" si="69"/>
        <v/>
      </c>
      <c r="R148" s="181" t="str">
        <f t="shared" ca="1" si="69"/>
        <v/>
      </c>
      <c r="S148" s="181" t="str">
        <f t="shared" ca="1" si="69"/>
        <v/>
      </c>
      <c r="T148" s="181" t="str">
        <f t="shared" ca="1" si="69"/>
        <v/>
      </c>
      <c r="U148" s="181" t="str">
        <f t="shared" ca="1" si="69"/>
        <v/>
      </c>
    </row>
    <row r="149" spans="2:21" ht="13" thickBot="1" x14ac:dyDescent="0.45">
      <c r="B149" s="1009"/>
      <c r="C149" s="1013"/>
      <c r="D149" s="187" t="str">
        <f>$D$9</f>
        <v>Préleveur</v>
      </c>
      <c r="E149" s="1017"/>
      <c r="F149" s="188" t="str" cm="1">
        <f t="array" aca="1" ref="F149" ca="1">IFERROR(LOOKUP(MIN(IF(LEFT(G149:U149,10)="Non validé",1,IF(G149:U149="Validé avec réserve",2,IF(G149:U149="Validé",3)))),{1,2,3},{"Non validé","Validé avec réserve","Validé"}),"")</f>
        <v/>
      </c>
      <c r="G149" s="13" t="str">
        <f t="shared" ref="G149:U149" ca="1" si="70">IF(F46&lt;&gt;"",_xlfn.SINGLE(INDIRECT(F46&amp;"!"&amp;$G$9)),"")</f>
        <v/>
      </c>
      <c r="H149" s="13" t="str">
        <f t="shared" ca="1" si="70"/>
        <v/>
      </c>
      <c r="I149" s="13" t="str">
        <f t="shared" ca="1" si="70"/>
        <v/>
      </c>
      <c r="J149" s="13" t="str">
        <f t="shared" ca="1" si="70"/>
        <v/>
      </c>
      <c r="K149" s="13" t="str">
        <f t="shared" ca="1" si="70"/>
        <v/>
      </c>
      <c r="L149" s="13" t="str">
        <f t="shared" ca="1" si="70"/>
        <v/>
      </c>
      <c r="M149" s="13" t="str">
        <f t="shared" ca="1" si="70"/>
        <v/>
      </c>
      <c r="N149" s="13" t="str">
        <f t="shared" ca="1" si="70"/>
        <v/>
      </c>
      <c r="O149" s="13" t="str">
        <f t="shared" ca="1" si="70"/>
        <v/>
      </c>
      <c r="P149" s="13" t="str">
        <f t="shared" ca="1" si="70"/>
        <v/>
      </c>
      <c r="Q149" s="13" t="str">
        <f t="shared" ca="1" si="70"/>
        <v/>
      </c>
      <c r="R149" s="13" t="str">
        <f t="shared" ca="1" si="70"/>
        <v/>
      </c>
      <c r="S149" s="13" t="str">
        <f t="shared" ca="1" si="70"/>
        <v/>
      </c>
      <c r="T149" s="13" t="str">
        <f t="shared" ca="1" si="70"/>
        <v/>
      </c>
      <c r="U149" s="13" t="str">
        <f t="shared" ca="1" si="70"/>
        <v/>
      </c>
    </row>
    <row r="150" spans="2:21" ht="13" thickBot="1" x14ac:dyDescent="0.45">
      <c r="B150" s="1010"/>
      <c r="C150" s="1014"/>
      <c r="D150" s="372" t="s">
        <v>412</v>
      </c>
      <c r="E150" s="1017"/>
      <c r="F150" s="188" t="str" cm="1">
        <f t="array" aca="1" ref="F150" ca="1">IFERROR(LOOKUP(MIN(IF(LEFT(G150:U150,10)="Non validé",1,IF(G150:U150="Validé avec réserve",2,IF(G150:U150="Validé",3)))),{1,2,3},{"Non validé","Validé avec réserve","Validé"}),"")</f>
        <v/>
      </c>
      <c r="G150" s="370" t="str">
        <f ca="1">IF(F47&lt;&gt;"",VLOOKUP(F47,Analytique!$X$3:$AE$29,7,FALSE),"")</f>
        <v/>
      </c>
      <c r="H150" s="370" t="str">
        <f ca="1">IF(G47&lt;&gt;"",VLOOKUP(G47,Analytique!$X$3:$AE$29,7,FALSE),"")</f>
        <v/>
      </c>
      <c r="I150" s="370" t="str">
        <f ca="1">IF(H47&lt;&gt;"",VLOOKUP(H47,Analytique!$X$3:$AE$29,7,FALSE),"")</f>
        <v/>
      </c>
      <c r="J150" s="370" t="str">
        <f ca="1">IF(I47&lt;&gt;"",VLOOKUP(I47,Analytique!$X$3:$AE$29,7,FALSE),"")</f>
        <v/>
      </c>
      <c r="K150" s="370" t="str">
        <f ca="1">IF(J47&lt;&gt;"",VLOOKUP(J47,Analytique!$X$3:$AE$29,7,FALSE),"")</f>
        <v/>
      </c>
      <c r="L150" s="370" t="str">
        <f ca="1">IF(K47&lt;&gt;"",VLOOKUP(K47,Analytique!$X$3:$AE$29,7,FALSE),"")</f>
        <v/>
      </c>
      <c r="M150" s="370" t="str">
        <f ca="1">IF(L47&lt;&gt;"",VLOOKUP(L47,Analytique!$X$3:$AE$29,7,FALSE),"")</f>
        <v/>
      </c>
      <c r="N150" s="370" t="str">
        <f ca="1">IF(M47&lt;&gt;"",VLOOKUP(M47,Analytique!$X$3:$AE$29,7,FALSE),"")</f>
        <v/>
      </c>
      <c r="O150" s="370" t="str">
        <f ca="1">IF(N47&lt;&gt;"",VLOOKUP(N47,Analytique!$X$3:$AE$29,7,FALSE),"")</f>
        <v/>
      </c>
      <c r="P150" s="370" t="str">
        <f ca="1">IF(O47&lt;&gt;"",VLOOKUP(O47,Analytique!$X$3:$AE$29,7,FALSE),"")</f>
        <v/>
      </c>
      <c r="Q150" s="370" t="str">
        <f ca="1">IF(P47&lt;&gt;"",VLOOKUP(P47,Analytique!$X$3:$AE$29,7,FALSE),"")</f>
        <v/>
      </c>
      <c r="R150" s="370" t="str">
        <f ca="1">IF(Q47&lt;&gt;"",VLOOKUP(Q47,Analytique!$X$3:$AE$29,7,FALSE),"")</f>
        <v/>
      </c>
      <c r="S150" s="370" t="str">
        <f ca="1">IF(R47&lt;&gt;"",VLOOKUP(R47,Analytique!$X$3:$AE$29,7,FALSE),"")</f>
        <v/>
      </c>
      <c r="T150" s="370" t="str">
        <f ca="1">IF(S47&lt;&gt;"",VLOOKUP(S47,Analytique!$X$3:$AE$29,7,FALSE),"")</f>
        <v/>
      </c>
      <c r="U150" s="370" t="str">
        <f ca="1">IF(T47&lt;&gt;"",VLOOKUP(T47,Analytique!$X$3:$AE$29,7,FALSE),"")</f>
        <v/>
      </c>
    </row>
    <row r="151" spans="2:21" ht="13" thickBot="1" x14ac:dyDescent="0.45">
      <c r="B151" s="1011"/>
      <c r="C151" s="1015"/>
      <c r="D151" s="189" t="str">
        <f>$D$10</f>
        <v>Sonde de température</v>
      </c>
      <c r="E151" s="1018"/>
      <c r="F151" s="188" t="str" cm="1">
        <f t="array" aca="1" ref="F151" ca="1">IFERROR(LOOKUP(MIN(IF(LEFT(G151:U151,10)="Non validé",1,IF(G151:U151="Validé avec réserve",2,IF(G151:U151="Validé",3)))),{1,2,3},{"Non validé","Validé avec réserve","Validé"}),"")</f>
        <v/>
      </c>
      <c r="G151" s="166" t="str">
        <f t="shared" ref="G151:U151" ca="1" si="71">IF(F48&lt;&gt;"",_xlfn.SINGLE(INDIRECT(F48&amp;"!"&amp;$G$10)),"")</f>
        <v/>
      </c>
      <c r="H151" s="166" t="str">
        <f t="shared" ca="1" si="71"/>
        <v/>
      </c>
      <c r="I151" s="166" t="str">
        <f t="shared" ca="1" si="71"/>
        <v/>
      </c>
      <c r="J151" s="166" t="str">
        <f t="shared" ca="1" si="71"/>
        <v/>
      </c>
      <c r="K151" s="166" t="str">
        <f t="shared" ca="1" si="71"/>
        <v/>
      </c>
      <c r="L151" s="166" t="str">
        <f t="shared" ca="1" si="71"/>
        <v/>
      </c>
      <c r="M151" s="166" t="str">
        <f t="shared" ca="1" si="71"/>
        <v/>
      </c>
      <c r="N151" s="166" t="str">
        <f t="shared" ca="1" si="71"/>
        <v/>
      </c>
      <c r="O151" s="166" t="str">
        <f t="shared" ca="1" si="71"/>
        <v/>
      </c>
      <c r="P151" s="166" t="str">
        <f t="shared" ca="1" si="71"/>
        <v/>
      </c>
      <c r="Q151" s="166" t="str">
        <f t="shared" ca="1" si="71"/>
        <v/>
      </c>
      <c r="R151" s="166" t="str">
        <f t="shared" ca="1" si="71"/>
        <v/>
      </c>
      <c r="S151" s="166" t="str">
        <f t="shared" ca="1" si="71"/>
        <v/>
      </c>
      <c r="T151" s="166" t="str">
        <f t="shared" ca="1" si="71"/>
        <v/>
      </c>
      <c r="U151" s="166" t="str">
        <f t="shared" ca="1" si="71"/>
        <v/>
      </c>
    </row>
    <row r="152" spans="2:21" ht="13" thickBot="1" x14ac:dyDescent="0.45">
      <c r="B152" s="1008" t="s">
        <v>102</v>
      </c>
      <c r="C152" s="1012" t="s">
        <v>104</v>
      </c>
      <c r="D152" s="188" t="str">
        <f>$D$7</f>
        <v>Débitmètre en charge</v>
      </c>
      <c r="E152" s="1016" t="str" cm="1">
        <f t="array" aca="1" ref="E152" ca="1">IFERROR(LOOKUP(MIN(IF(LEFT(F152:F156,10)="Non validé",1,IF(F152:F156="Validé avec réserve",2,IF(F152:F156="Validé",3)))),{1,2,3},{"Non validé","Validé avec réserve","Validé"}),"")</f>
        <v/>
      </c>
      <c r="F152" s="188" t="str" cm="1">
        <f t="array" aca="1" ref="F152" ca="1">IFERROR(LOOKUP(MIN(IF(LEFT(G152:U152,10)="Non validé",1,IF(G152:U152="Validé avec réserve",2,IF(G152:U152="Validé",3)))),{1,2,3},{"Non validé","Validé avec réserve","Validé"}),"")</f>
        <v/>
      </c>
      <c r="G152" s="160" t="str">
        <f t="shared" ref="G152:U152" ca="1" si="72">IF(F49&lt;&gt;"",_xlfn.SINGLE(INDIRECT(F49&amp;"!"&amp;$G$7)),"")</f>
        <v/>
      </c>
      <c r="H152" s="160" t="str">
        <f t="shared" ca="1" si="72"/>
        <v/>
      </c>
      <c r="I152" s="160" t="str">
        <f t="shared" ca="1" si="72"/>
        <v/>
      </c>
      <c r="J152" s="160" t="str">
        <f t="shared" ca="1" si="72"/>
        <v/>
      </c>
      <c r="K152" s="160" t="str">
        <f t="shared" ca="1" si="72"/>
        <v/>
      </c>
      <c r="L152" s="160" t="str">
        <f t="shared" ca="1" si="72"/>
        <v/>
      </c>
      <c r="M152" s="160" t="str">
        <f t="shared" ca="1" si="72"/>
        <v/>
      </c>
      <c r="N152" s="160" t="str">
        <f t="shared" ca="1" si="72"/>
        <v/>
      </c>
      <c r="O152" s="160" t="str">
        <f t="shared" ca="1" si="72"/>
        <v/>
      </c>
      <c r="P152" s="160" t="str">
        <f t="shared" ca="1" si="72"/>
        <v/>
      </c>
      <c r="Q152" s="160" t="str">
        <f t="shared" ca="1" si="72"/>
        <v/>
      </c>
      <c r="R152" s="160" t="str">
        <f t="shared" ca="1" si="72"/>
        <v/>
      </c>
      <c r="S152" s="160" t="str">
        <f t="shared" ca="1" si="72"/>
        <v/>
      </c>
      <c r="T152" s="160" t="str">
        <f t="shared" ca="1" si="72"/>
        <v/>
      </c>
      <c r="U152" s="160" t="str">
        <f t="shared" ca="1" si="72"/>
        <v/>
      </c>
    </row>
    <row r="153" spans="2:21" ht="13" thickBot="1" x14ac:dyDescent="0.45">
      <c r="B153" s="1009"/>
      <c r="C153" s="1013"/>
      <c r="D153" s="187" t="str">
        <f>$D$8</f>
        <v>Débitmètre gravitaire</v>
      </c>
      <c r="E153" s="1017"/>
      <c r="F153" s="188" t="str" cm="1">
        <f t="array" aca="1" ref="F153" ca="1">IFERROR(LOOKUP(MIN(IF(LEFT(G153:U153,10)="Non validé",1,IF(G153:U153="Validé avec réserve",2,IF(G153:U153="Validé",3)))),{1,2,3},{"Non validé","Validé avec réserve","Validé"}),"")</f>
        <v/>
      </c>
      <c r="G153" s="13" t="str">
        <f t="shared" ref="G153:U153" ca="1" si="73">IF(F50&lt;&gt;"",_xlfn.SINGLE(INDIRECT(F50&amp;"!"&amp;$G$8)),"")</f>
        <v/>
      </c>
      <c r="H153" s="13" t="str">
        <f t="shared" ca="1" si="73"/>
        <v/>
      </c>
      <c r="I153" s="13" t="str">
        <f t="shared" ca="1" si="73"/>
        <v/>
      </c>
      <c r="J153" s="13" t="str">
        <f t="shared" ca="1" si="73"/>
        <v/>
      </c>
      <c r="K153" s="13" t="str">
        <f t="shared" ca="1" si="73"/>
        <v/>
      </c>
      <c r="L153" s="13" t="str">
        <f t="shared" ca="1" si="73"/>
        <v/>
      </c>
      <c r="M153" s="13" t="str">
        <f t="shared" ca="1" si="73"/>
        <v/>
      </c>
      <c r="N153" s="13" t="str">
        <f t="shared" ca="1" si="73"/>
        <v/>
      </c>
      <c r="O153" s="13" t="str">
        <f t="shared" ca="1" si="73"/>
        <v/>
      </c>
      <c r="P153" s="13" t="str">
        <f t="shared" ca="1" si="73"/>
        <v/>
      </c>
      <c r="Q153" s="13" t="str">
        <f t="shared" ca="1" si="73"/>
        <v/>
      </c>
      <c r="R153" s="13" t="str">
        <f t="shared" ca="1" si="73"/>
        <v/>
      </c>
      <c r="S153" s="13" t="str">
        <f t="shared" ca="1" si="73"/>
        <v/>
      </c>
      <c r="T153" s="13" t="str">
        <f t="shared" ca="1" si="73"/>
        <v/>
      </c>
      <c r="U153" s="13" t="str">
        <f t="shared" ca="1" si="73"/>
        <v/>
      </c>
    </row>
    <row r="154" spans="2:21" ht="13" thickBot="1" x14ac:dyDescent="0.45">
      <c r="B154" s="1009"/>
      <c r="C154" s="1013"/>
      <c r="D154" s="187" t="s">
        <v>420</v>
      </c>
      <c r="E154" s="1017"/>
      <c r="F154" s="188" t="str" cm="1">
        <f t="array" aca="1" ref="F154" ca="1">IFERROR(LOOKUP(MIN(IF(LEFT(G154:U154,10)="Non validé",1,IF(G154:U154="Validé avec réserve",2,IF(G154:U154="Validé",3)))),{1,2,3},{"Non validé","Validé avec réserve","Validé"}),"")</f>
        <v/>
      </c>
      <c r="G154" s="181" t="str">
        <f ca="1">G152 &amp; G153</f>
        <v/>
      </c>
      <c r="H154" s="181" t="str">
        <f t="shared" ref="H154:U154" ca="1" si="74">H152 &amp; H153</f>
        <v/>
      </c>
      <c r="I154" s="181" t="str">
        <f t="shared" ca="1" si="74"/>
        <v/>
      </c>
      <c r="J154" s="181" t="str">
        <f t="shared" ca="1" si="74"/>
        <v/>
      </c>
      <c r="K154" s="181" t="str">
        <f t="shared" ca="1" si="74"/>
        <v/>
      </c>
      <c r="L154" s="181" t="str">
        <f t="shared" ca="1" si="74"/>
        <v/>
      </c>
      <c r="M154" s="181" t="str">
        <f t="shared" ca="1" si="74"/>
        <v/>
      </c>
      <c r="N154" s="181" t="str">
        <f t="shared" ca="1" si="74"/>
        <v/>
      </c>
      <c r="O154" s="181" t="str">
        <f t="shared" ca="1" si="74"/>
        <v/>
      </c>
      <c r="P154" s="181" t="str">
        <f t="shared" ca="1" si="74"/>
        <v/>
      </c>
      <c r="Q154" s="181" t="str">
        <f t="shared" ca="1" si="74"/>
        <v/>
      </c>
      <c r="R154" s="181" t="str">
        <f t="shared" ca="1" si="74"/>
        <v/>
      </c>
      <c r="S154" s="181" t="str">
        <f t="shared" ca="1" si="74"/>
        <v/>
      </c>
      <c r="T154" s="181" t="str">
        <f t="shared" ca="1" si="74"/>
        <v/>
      </c>
      <c r="U154" s="181" t="str">
        <f t="shared" ca="1" si="74"/>
        <v/>
      </c>
    </row>
    <row r="155" spans="2:21" ht="13" thickBot="1" x14ac:dyDescent="0.45">
      <c r="B155" s="1009"/>
      <c r="C155" s="1013"/>
      <c r="D155" s="187" t="str">
        <f>$D$9</f>
        <v>Préleveur</v>
      </c>
      <c r="E155" s="1017"/>
      <c r="F155" s="188" t="str" cm="1">
        <f t="array" aca="1" ref="F155" ca="1">IFERROR(LOOKUP(MIN(IF(LEFT(G155:U155,10)="Non validé",1,IF(G155:U155="Validé avec réserve",2,IF(G155:U155="Validé",3)))),{1,2,3},{"Non validé","Validé avec réserve","Validé"}),"")</f>
        <v/>
      </c>
      <c r="G155" s="13" t="str">
        <f t="shared" ref="G155:U155" ca="1" si="75">IF(F51&lt;&gt;"",_xlfn.SINGLE(INDIRECT(F51&amp;"!"&amp;$G$9)),"")</f>
        <v/>
      </c>
      <c r="H155" s="13" t="str">
        <f t="shared" ca="1" si="75"/>
        <v/>
      </c>
      <c r="I155" s="13" t="str">
        <f t="shared" ca="1" si="75"/>
        <v/>
      </c>
      <c r="J155" s="13" t="str">
        <f t="shared" ca="1" si="75"/>
        <v/>
      </c>
      <c r="K155" s="13" t="str">
        <f t="shared" ca="1" si="75"/>
        <v/>
      </c>
      <c r="L155" s="13" t="str">
        <f t="shared" ca="1" si="75"/>
        <v/>
      </c>
      <c r="M155" s="13" t="str">
        <f t="shared" ca="1" si="75"/>
        <v/>
      </c>
      <c r="N155" s="13" t="str">
        <f t="shared" ca="1" si="75"/>
        <v/>
      </c>
      <c r="O155" s="13" t="str">
        <f t="shared" ca="1" si="75"/>
        <v/>
      </c>
      <c r="P155" s="13" t="str">
        <f t="shared" ca="1" si="75"/>
        <v/>
      </c>
      <c r="Q155" s="13" t="str">
        <f t="shared" ca="1" si="75"/>
        <v/>
      </c>
      <c r="R155" s="13" t="str">
        <f t="shared" ca="1" si="75"/>
        <v/>
      </c>
      <c r="S155" s="13" t="str">
        <f t="shared" ca="1" si="75"/>
        <v/>
      </c>
      <c r="T155" s="13" t="str">
        <f t="shared" ca="1" si="75"/>
        <v/>
      </c>
      <c r="U155" s="13" t="str">
        <f t="shared" ca="1" si="75"/>
        <v/>
      </c>
    </row>
    <row r="156" spans="2:21" ht="13" thickBot="1" x14ac:dyDescent="0.45">
      <c r="B156" s="1010"/>
      <c r="C156" s="1014"/>
      <c r="D156" s="372" t="s">
        <v>412</v>
      </c>
      <c r="E156" s="1017"/>
      <c r="F156" s="188" t="str" cm="1">
        <f t="array" aca="1" ref="F156" ca="1">IFERROR(LOOKUP(MIN(IF(LEFT(G156:U156,10)="Non validé",1,IF(G156:U156="Validé avec réserve",2,IF(G156:U156="Validé",3)))),{1,2,3},{"Non validé","Validé avec réserve","Validé"}),"")</f>
        <v/>
      </c>
      <c r="G156" s="370" t="str">
        <f ca="1">IF(F52&lt;&gt;"",VLOOKUP(F52,Analytique!$X$3:$AE$29,7,FALSE),"")</f>
        <v/>
      </c>
      <c r="H156" s="370" t="str">
        <f ca="1">IF(G52&lt;&gt;"",VLOOKUP(G52,Analytique!$X$3:$AE$29,7,FALSE),"")</f>
        <v/>
      </c>
      <c r="I156" s="370" t="str">
        <f ca="1">IF(H52&lt;&gt;"",VLOOKUP(H52,Analytique!$X$3:$AE$29,7,FALSE),"")</f>
        <v/>
      </c>
      <c r="J156" s="370" t="str">
        <f ca="1">IF(I52&lt;&gt;"",VLOOKUP(I52,Analytique!$X$3:$AE$29,7,FALSE),"")</f>
        <v/>
      </c>
      <c r="K156" s="370" t="str">
        <f ca="1">IF(J52&lt;&gt;"",VLOOKUP(J52,Analytique!$X$3:$AE$29,7,FALSE),"")</f>
        <v/>
      </c>
      <c r="L156" s="370" t="str">
        <f ca="1">IF(K52&lt;&gt;"",VLOOKUP(K52,Analytique!$X$3:$AE$29,7,FALSE),"")</f>
        <v/>
      </c>
      <c r="M156" s="370" t="str">
        <f ca="1">IF(L52&lt;&gt;"",VLOOKUP(L52,Analytique!$X$3:$AE$29,7,FALSE),"")</f>
        <v/>
      </c>
      <c r="N156" s="370" t="str">
        <f ca="1">IF(M52&lt;&gt;"",VLOOKUP(M52,Analytique!$X$3:$AE$29,7,FALSE),"")</f>
        <v/>
      </c>
      <c r="O156" s="370" t="str">
        <f ca="1">IF(N52&lt;&gt;"",VLOOKUP(N52,Analytique!$X$3:$AE$29,7,FALSE),"")</f>
        <v/>
      </c>
      <c r="P156" s="370" t="str">
        <f ca="1">IF(O52&lt;&gt;"",VLOOKUP(O52,Analytique!$X$3:$AE$29,7,FALSE),"")</f>
        <v/>
      </c>
      <c r="Q156" s="370" t="str">
        <f ca="1">IF(P52&lt;&gt;"",VLOOKUP(P52,Analytique!$X$3:$AE$29,7,FALSE),"")</f>
        <v/>
      </c>
      <c r="R156" s="370" t="str">
        <f ca="1">IF(Q52&lt;&gt;"",VLOOKUP(Q52,Analytique!$X$3:$AE$29,7,FALSE),"")</f>
        <v/>
      </c>
      <c r="S156" s="370" t="str">
        <f ca="1">IF(R52&lt;&gt;"",VLOOKUP(R52,Analytique!$X$3:$AE$29,7,FALSE),"")</f>
        <v/>
      </c>
      <c r="T156" s="370" t="str">
        <f ca="1">IF(S52&lt;&gt;"",VLOOKUP(S52,Analytique!$X$3:$AE$29,7,FALSE),"")</f>
        <v/>
      </c>
      <c r="U156" s="370" t="str">
        <f ca="1">IF(T52&lt;&gt;"",VLOOKUP(T52,Analytique!$X$3:$AE$29,7,FALSE),"")</f>
        <v/>
      </c>
    </row>
    <row r="157" spans="2:21" ht="13" thickBot="1" x14ac:dyDescent="0.45">
      <c r="B157" s="1011"/>
      <c r="C157" s="1015"/>
      <c r="D157" s="189" t="str">
        <f>$D$10</f>
        <v>Sonde de température</v>
      </c>
      <c r="E157" s="1018"/>
      <c r="F157" s="188" t="str" cm="1">
        <f t="array" aca="1" ref="F157" ca="1">IFERROR(LOOKUP(MIN(IF(LEFT(G157:U157,10)="Non validé",1,IF(G157:U157="Validé avec réserve",2,IF(G157:U157="Validé",3)))),{1,2,3},{"Non validé","Validé avec réserve","Validé"}),"")</f>
        <v/>
      </c>
      <c r="G157" s="166" t="str">
        <f t="shared" ref="G157:U157" ca="1" si="76">IF(F53&lt;&gt;"",_xlfn.SINGLE(INDIRECT(F53&amp;"!"&amp;$G$10)),"")</f>
        <v/>
      </c>
      <c r="H157" s="166" t="str">
        <f t="shared" ca="1" si="76"/>
        <v/>
      </c>
      <c r="I157" s="166" t="str">
        <f t="shared" ca="1" si="76"/>
        <v/>
      </c>
      <c r="J157" s="166" t="str">
        <f t="shared" ca="1" si="76"/>
        <v/>
      </c>
      <c r="K157" s="166" t="str">
        <f t="shared" ca="1" si="76"/>
        <v/>
      </c>
      <c r="L157" s="166" t="str">
        <f t="shared" ca="1" si="76"/>
        <v/>
      </c>
      <c r="M157" s="166" t="str">
        <f t="shared" ca="1" si="76"/>
        <v/>
      </c>
      <c r="N157" s="166" t="str">
        <f t="shared" ca="1" si="76"/>
        <v/>
      </c>
      <c r="O157" s="166" t="str">
        <f t="shared" ca="1" si="76"/>
        <v/>
      </c>
      <c r="P157" s="166" t="str">
        <f t="shared" ca="1" si="76"/>
        <v/>
      </c>
      <c r="Q157" s="166" t="str">
        <f t="shared" ca="1" si="76"/>
        <v/>
      </c>
      <c r="R157" s="166" t="str">
        <f t="shared" ca="1" si="76"/>
        <v/>
      </c>
      <c r="S157" s="166" t="str">
        <f t="shared" ca="1" si="76"/>
        <v/>
      </c>
      <c r="T157" s="166" t="str">
        <f t="shared" ca="1" si="76"/>
        <v/>
      </c>
      <c r="U157" s="166" t="str">
        <f t="shared" ca="1" si="76"/>
        <v/>
      </c>
    </row>
    <row r="158" spans="2:21" ht="13" thickBot="1" x14ac:dyDescent="0.45">
      <c r="B158" s="1008" t="s">
        <v>116</v>
      </c>
      <c r="C158" s="1012" t="s">
        <v>123</v>
      </c>
      <c r="D158" s="188" t="str">
        <f>$D$7</f>
        <v>Débitmètre en charge</v>
      </c>
      <c r="E158" s="1016" t="str" cm="1">
        <f t="array" aca="1" ref="E158" ca="1">IFERROR(LOOKUP(MIN(IF(LEFT(F158:F162,10)="Non validé",1,IF(F158:F162="Validé avec réserve",2,IF(F158:F162="Validé",3)))),{1,2,3},{"Non validé","Validé avec réserve","Validé"}),"")</f>
        <v/>
      </c>
      <c r="F158" s="188" t="str" cm="1">
        <f t="array" aca="1" ref="F158" ca="1">IFERROR(LOOKUP(MIN(IF(LEFT(G158:U158,10)="Non validé",1,IF(G158:U158="Validé avec réserve",2,IF(G158:U158="Validé",3)))),{1,2,3},{"Non validé","Validé avec réserve","Validé"}),"")</f>
        <v/>
      </c>
      <c r="G158" s="160" t="str">
        <f t="shared" ref="G158:U158" ca="1" si="77">IF(F54&lt;&gt;"",_xlfn.SINGLE(INDIRECT(F54&amp;"!"&amp;$G$7)),"")</f>
        <v/>
      </c>
      <c r="H158" s="160" t="str">
        <f t="shared" ca="1" si="77"/>
        <v/>
      </c>
      <c r="I158" s="160" t="str">
        <f t="shared" ca="1" si="77"/>
        <v/>
      </c>
      <c r="J158" s="160" t="str">
        <f t="shared" ca="1" si="77"/>
        <v/>
      </c>
      <c r="K158" s="160" t="str">
        <f t="shared" ca="1" si="77"/>
        <v/>
      </c>
      <c r="L158" s="160" t="str">
        <f t="shared" ca="1" si="77"/>
        <v/>
      </c>
      <c r="M158" s="160" t="str">
        <f t="shared" ca="1" si="77"/>
        <v/>
      </c>
      <c r="N158" s="160" t="str">
        <f t="shared" ca="1" si="77"/>
        <v/>
      </c>
      <c r="O158" s="160" t="str">
        <f t="shared" ca="1" si="77"/>
        <v/>
      </c>
      <c r="P158" s="160" t="str">
        <f t="shared" ca="1" si="77"/>
        <v/>
      </c>
      <c r="Q158" s="160" t="str">
        <f t="shared" ca="1" si="77"/>
        <v/>
      </c>
      <c r="R158" s="160" t="str">
        <f t="shared" ca="1" si="77"/>
        <v/>
      </c>
      <c r="S158" s="160" t="str">
        <f t="shared" ca="1" si="77"/>
        <v/>
      </c>
      <c r="T158" s="160" t="str">
        <f t="shared" ca="1" si="77"/>
        <v/>
      </c>
      <c r="U158" s="160" t="str">
        <f t="shared" ca="1" si="77"/>
        <v/>
      </c>
    </row>
    <row r="159" spans="2:21" ht="13" thickBot="1" x14ac:dyDescent="0.45">
      <c r="B159" s="1009"/>
      <c r="C159" s="1013"/>
      <c r="D159" s="187" t="str">
        <f>$D$8</f>
        <v>Débitmètre gravitaire</v>
      </c>
      <c r="E159" s="1017"/>
      <c r="F159" s="188" t="str" cm="1">
        <f t="array" aca="1" ref="F159" ca="1">IFERROR(LOOKUP(MIN(IF(LEFT(G159:U159,10)="Non validé",1,IF(G159:U159="Validé avec réserve",2,IF(G159:U159="Validé",3)))),{1,2,3},{"Non validé","Validé avec réserve","Validé"}),"")</f>
        <v/>
      </c>
      <c r="G159" s="13" t="str">
        <f t="shared" ref="G159:U159" ca="1" si="78">IF(F55&lt;&gt;"",_xlfn.SINGLE(INDIRECT(F55&amp;"!"&amp;$G$8)),"")</f>
        <v/>
      </c>
      <c r="H159" s="13" t="str">
        <f t="shared" ca="1" si="78"/>
        <v/>
      </c>
      <c r="I159" s="13" t="str">
        <f t="shared" ca="1" si="78"/>
        <v/>
      </c>
      <c r="J159" s="13" t="str">
        <f t="shared" ca="1" si="78"/>
        <v/>
      </c>
      <c r="K159" s="13" t="str">
        <f t="shared" ca="1" si="78"/>
        <v/>
      </c>
      <c r="L159" s="13" t="str">
        <f t="shared" ca="1" si="78"/>
        <v/>
      </c>
      <c r="M159" s="13" t="str">
        <f t="shared" ca="1" si="78"/>
        <v/>
      </c>
      <c r="N159" s="13" t="str">
        <f t="shared" ca="1" si="78"/>
        <v/>
      </c>
      <c r="O159" s="13" t="str">
        <f t="shared" ca="1" si="78"/>
        <v/>
      </c>
      <c r="P159" s="13" t="str">
        <f t="shared" ca="1" si="78"/>
        <v/>
      </c>
      <c r="Q159" s="13" t="str">
        <f t="shared" ca="1" si="78"/>
        <v/>
      </c>
      <c r="R159" s="13" t="str">
        <f t="shared" ca="1" si="78"/>
        <v/>
      </c>
      <c r="S159" s="13" t="str">
        <f t="shared" ca="1" si="78"/>
        <v/>
      </c>
      <c r="T159" s="13" t="str">
        <f t="shared" ca="1" si="78"/>
        <v/>
      </c>
      <c r="U159" s="13" t="str">
        <f t="shared" ca="1" si="78"/>
        <v/>
      </c>
    </row>
    <row r="160" spans="2:21" ht="13" thickBot="1" x14ac:dyDescent="0.45">
      <c r="B160" s="1009"/>
      <c r="C160" s="1013"/>
      <c r="D160" s="187" t="s">
        <v>420</v>
      </c>
      <c r="E160" s="1017"/>
      <c r="F160" s="188" t="str" cm="1">
        <f t="array" aca="1" ref="F160" ca="1">IFERROR(LOOKUP(MIN(IF(LEFT(G160:U160,10)="Non validé",1,IF(G160:U160="Validé avec réserve",2,IF(G160:U160="Validé",3)))),{1,2,3},{"Non validé","Validé avec réserve","Validé"}),"")</f>
        <v/>
      </c>
      <c r="G160" s="181" t="str">
        <f ca="1">G158 &amp; G159</f>
        <v/>
      </c>
      <c r="H160" s="181" t="str">
        <f t="shared" ref="H160:U160" ca="1" si="79">H158 &amp; H159</f>
        <v/>
      </c>
      <c r="I160" s="181" t="str">
        <f t="shared" ca="1" si="79"/>
        <v/>
      </c>
      <c r="J160" s="181" t="str">
        <f t="shared" ca="1" si="79"/>
        <v/>
      </c>
      <c r="K160" s="181" t="str">
        <f t="shared" ca="1" si="79"/>
        <v/>
      </c>
      <c r="L160" s="181" t="str">
        <f t="shared" ca="1" si="79"/>
        <v/>
      </c>
      <c r="M160" s="181" t="str">
        <f t="shared" ca="1" si="79"/>
        <v/>
      </c>
      <c r="N160" s="181" t="str">
        <f t="shared" ca="1" si="79"/>
        <v/>
      </c>
      <c r="O160" s="181" t="str">
        <f t="shared" ca="1" si="79"/>
        <v/>
      </c>
      <c r="P160" s="181" t="str">
        <f t="shared" ca="1" si="79"/>
        <v/>
      </c>
      <c r="Q160" s="181" t="str">
        <f t="shared" ca="1" si="79"/>
        <v/>
      </c>
      <c r="R160" s="181" t="str">
        <f t="shared" ca="1" si="79"/>
        <v/>
      </c>
      <c r="S160" s="181" t="str">
        <f t="shared" ca="1" si="79"/>
        <v/>
      </c>
      <c r="T160" s="181" t="str">
        <f t="shared" ca="1" si="79"/>
        <v/>
      </c>
      <c r="U160" s="181" t="str">
        <f t="shared" ca="1" si="79"/>
        <v/>
      </c>
    </row>
    <row r="161" spans="2:21" ht="13" thickBot="1" x14ac:dyDescent="0.45">
      <c r="B161" s="1009"/>
      <c r="C161" s="1013"/>
      <c r="D161" s="187" t="str">
        <f>$D$9</f>
        <v>Préleveur</v>
      </c>
      <c r="E161" s="1017"/>
      <c r="F161" s="188" t="str" cm="1">
        <f t="array" aca="1" ref="F161" ca="1">IFERROR(LOOKUP(MIN(IF(LEFT(G161:U161,10)="Non validé",1,IF(G161:U161="Validé avec réserve",2,IF(G161:U161="Validé",3)))),{1,2,3},{"Non validé","Validé avec réserve","Validé"}),"")</f>
        <v/>
      </c>
      <c r="G161" s="13" t="str">
        <f t="shared" ref="G161:U161" ca="1" si="80">IF(F56&lt;&gt;"",_xlfn.SINGLE(INDIRECT(F56&amp;"!"&amp;$G$9)),"")</f>
        <v/>
      </c>
      <c r="H161" s="13" t="str">
        <f t="shared" ca="1" si="80"/>
        <v/>
      </c>
      <c r="I161" s="13" t="str">
        <f t="shared" ca="1" si="80"/>
        <v/>
      </c>
      <c r="J161" s="13" t="str">
        <f t="shared" ca="1" si="80"/>
        <v/>
      </c>
      <c r="K161" s="13" t="str">
        <f t="shared" ca="1" si="80"/>
        <v/>
      </c>
      <c r="L161" s="13" t="str">
        <f t="shared" ca="1" si="80"/>
        <v/>
      </c>
      <c r="M161" s="13" t="str">
        <f t="shared" ca="1" si="80"/>
        <v/>
      </c>
      <c r="N161" s="13" t="str">
        <f t="shared" ca="1" si="80"/>
        <v/>
      </c>
      <c r="O161" s="13" t="str">
        <f t="shared" ca="1" si="80"/>
        <v/>
      </c>
      <c r="P161" s="13" t="str">
        <f t="shared" ca="1" si="80"/>
        <v/>
      </c>
      <c r="Q161" s="13" t="str">
        <f t="shared" ca="1" si="80"/>
        <v/>
      </c>
      <c r="R161" s="13" t="str">
        <f t="shared" ca="1" si="80"/>
        <v/>
      </c>
      <c r="S161" s="13" t="str">
        <f t="shared" ca="1" si="80"/>
        <v/>
      </c>
      <c r="T161" s="13" t="str">
        <f t="shared" ca="1" si="80"/>
        <v/>
      </c>
      <c r="U161" s="13" t="str">
        <f t="shared" ca="1" si="80"/>
        <v/>
      </c>
    </row>
    <row r="162" spans="2:21" ht="13" thickBot="1" x14ac:dyDescent="0.45">
      <c r="B162" s="1010"/>
      <c r="C162" s="1014"/>
      <c r="D162" s="372" t="s">
        <v>412</v>
      </c>
      <c r="E162" s="1017"/>
      <c r="F162" s="188" t="str" cm="1">
        <f t="array" aca="1" ref="F162" ca="1">IFERROR(LOOKUP(MIN(IF(LEFT(G162:U162,10)="Non validé",1,IF(G162:U162="Validé avec réserve",2,IF(G162:U162="Validé",3)))),{1,2,3},{"Non validé","Validé avec réserve","Validé"}),"")</f>
        <v/>
      </c>
      <c r="G162" s="370" t="str">
        <f ca="1">IF(F57&lt;&gt;"",VLOOKUP(F64,Analytique!$X$3:$AE$29,7,FALSE),"")</f>
        <v/>
      </c>
      <c r="H162" s="370" t="str">
        <f ca="1">IF(G57&lt;&gt;"",VLOOKUP(G64,Analytique!$X$3:$AE$29,7,FALSE),"")</f>
        <v/>
      </c>
      <c r="I162" s="370" t="str">
        <f ca="1">IF(H57&lt;&gt;"",VLOOKUP(H64,Analytique!$X$3:$AE$29,7,FALSE),"")</f>
        <v/>
      </c>
      <c r="J162" s="370" t="str">
        <f ca="1">IF(I57&lt;&gt;"",VLOOKUP(I64,Analytique!$X$3:$AE$29,7,FALSE),"")</f>
        <v/>
      </c>
      <c r="K162" s="370" t="str">
        <f ca="1">IF(J57&lt;&gt;"",VLOOKUP(J64,Analytique!$X$3:$AE$29,7,FALSE),"")</f>
        <v/>
      </c>
      <c r="L162" s="370" t="str">
        <f ca="1">IF(K57&lt;&gt;"",VLOOKUP(K64,Analytique!$X$3:$AE$29,7,FALSE),"")</f>
        <v/>
      </c>
      <c r="M162" s="370" t="str">
        <f ca="1">IF(L57&lt;&gt;"",VLOOKUP(L64,Analytique!$X$3:$AE$29,7,FALSE),"")</f>
        <v/>
      </c>
      <c r="N162" s="370" t="str">
        <f ca="1">IF(M57&lt;&gt;"",VLOOKUP(M64,Analytique!$X$3:$AE$29,7,FALSE),"")</f>
        <v/>
      </c>
      <c r="O162" s="370" t="str">
        <f ca="1">IF(N57&lt;&gt;"",VLOOKUP(N64,Analytique!$X$3:$AE$29,7,FALSE),"")</f>
        <v/>
      </c>
      <c r="P162" s="370" t="str">
        <f ca="1">IF(O57&lt;&gt;"",VLOOKUP(O64,Analytique!$X$3:$AE$29,7,FALSE),"")</f>
        <v/>
      </c>
      <c r="Q162" s="370" t="str">
        <f ca="1">IF(P57&lt;&gt;"",VLOOKUP(P64,Analytique!$X$3:$AE$29,7,FALSE),"")</f>
        <v/>
      </c>
      <c r="R162" s="370" t="str">
        <f ca="1">IF(Q57&lt;&gt;"",VLOOKUP(Q64,Analytique!$X$3:$AE$29,7,FALSE),"")</f>
        <v/>
      </c>
      <c r="S162" s="370" t="str">
        <f ca="1">IF(R57&lt;&gt;"",VLOOKUP(R64,Analytique!$X$3:$AE$29,7,FALSE),"")</f>
        <v/>
      </c>
      <c r="T162" s="370" t="str">
        <f ca="1">IF(S57&lt;&gt;"",VLOOKUP(S64,Analytique!$X$3:$AE$29,7,FALSE),"")</f>
        <v/>
      </c>
      <c r="U162" s="370" t="str">
        <f ca="1">IF(T57&lt;&gt;"",VLOOKUP(T64,Analytique!$X$3:$AE$29,7,FALSE),"")</f>
        <v/>
      </c>
    </row>
    <row r="163" spans="2:21" ht="13" thickBot="1" x14ac:dyDescent="0.45">
      <c r="B163" s="1011"/>
      <c r="C163" s="1015"/>
      <c r="D163" s="189" t="str">
        <f>$D$10</f>
        <v>Sonde de température</v>
      </c>
      <c r="E163" s="1018"/>
      <c r="F163" s="188" t="str" cm="1">
        <f t="array" aca="1" ref="F163" ca="1">IFERROR(LOOKUP(MIN(IF(LEFT(G163:U163,10)="Non validé",1,IF(G163:U163="Validé avec réserve",2,IF(G163:U163="Validé",3)))),{1,2,3},{"Non validé","Validé avec réserve","Validé"}),"")</f>
        <v/>
      </c>
      <c r="G163" s="166" t="str">
        <f t="shared" ref="G163:U163" ca="1" si="81">IF(F58&lt;&gt;"",_xlfn.SINGLE(INDIRECT(F58&amp;"!"&amp;$G$10)),"")</f>
        <v/>
      </c>
      <c r="H163" s="166" t="str">
        <f t="shared" ca="1" si="81"/>
        <v/>
      </c>
      <c r="I163" s="166" t="str">
        <f t="shared" ca="1" si="81"/>
        <v/>
      </c>
      <c r="J163" s="166" t="str">
        <f t="shared" ca="1" si="81"/>
        <v/>
      </c>
      <c r="K163" s="166" t="str">
        <f t="shared" ca="1" si="81"/>
        <v/>
      </c>
      <c r="L163" s="166" t="str">
        <f t="shared" ca="1" si="81"/>
        <v/>
      </c>
      <c r="M163" s="166" t="str">
        <f t="shared" ca="1" si="81"/>
        <v/>
      </c>
      <c r="N163" s="166" t="str">
        <f t="shared" ca="1" si="81"/>
        <v/>
      </c>
      <c r="O163" s="166" t="str">
        <f t="shared" ca="1" si="81"/>
        <v/>
      </c>
      <c r="P163" s="166" t="str">
        <f t="shared" ca="1" si="81"/>
        <v/>
      </c>
      <c r="Q163" s="166" t="str">
        <f t="shared" ca="1" si="81"/>
        <v/>
      </c>
      <c r="R163" s="166" t="str">
        <f t="shared" ca="1" si="81"/>
        <v/>
      </c>
      <c r="S163" s="166" t="str">
        <f t="shared" ca="1" si="81"/>
        <v/>
      </c>
      <c r="T163" s="166" t="str">
        <f t="shared" ca="1" si="81"/>
        <v/>
      </c>
      <c r="U163" s="166" t="str">
        <f t="shared" ca="1" si="81"/>
        <v/>
      </c>
    </row>
  </sheetData>
  <sheetProtection algorithmName="SHA-512" hashValue="nZltM/49NQ2zrCon0cmL4qPaxTmILMgRh/YHOjCXwqVy4ldcKJ0XXznaJz0Hp0odOuPPkH0yE0+hL5eXawyRMw==" saltValue="33d9O67CaOZaGSbVaO8m8Q==" spinCount="100000" sheet="1" objects="1" scenarios="1" formatRows="0"/>
  <mergeCells count="68">
    <mergeCell ref="E4:I4"/>
    <mergeCell ref="E12:S12"/>
    <mergeCell ref="B122:B127"/>
    <mergeCell ref="C122:C127"/>
    <mergeCell ref="B140:B145"/>
    <mergeCell ref="C140:C145"/>
    <mergeCell ref="B69:B74"/>
    <mergeCell ref="C69:C74"/>
    <mergeCell ref="E69:E74"/>
    <mergeCell ref="B75:B80"/>
    <mergeCell ref="C75:C80"/>
    <mergeCell ref="B4:C4"/>
    <mergeCell ref="B5:C7"/>
    <mergeCell ref="B39:B43"/>
    <mergeCell ref="C39:C43"/>
    <mergeCell ref="B44:B48"/>
    <mergeCell ref="C44:C48"/>
    <mergeCell ref="B49:B53"/>
    <mergeCell ref="C49:C53"/>
    <mergeCell ref="B19:B23"/>
    <mergeCell ref="C19:C23"/>
    <mergeCell ref="B24:B28"/>
    <mergeCell ref="B29:B33"/>
    <mergeCell ref="B34:B38"/>
    <mergeCell ref="C34:C38"/>
    <mergeCell ref="C24:C28"/>
    <mergeCell ref="C29:C33"/>
    <mergeCell ref="B54:B58"/>
    <mergeCell ref="C54:C58"/>
    <mergeCell ref="B63:B68"/>
    <mergeCell ref="C63:C68"/>
    <mergeCell ref="E63:E68"/>
    <mergeCell ref="E75:E80"/>
    <mergeCell ref="B81:B86"/>
    <mergeCell ref="C81:C86"/>
    <mergeCell ref="E81:E86"/>
    <mergeCell ref="B87:B92"/>
    <mergeCell ref="C87:C92"/>
    <mergeCell ref="E87:E92"/>
    <mergeCell ref="B93:B98"/>
    <mergeCell ref="C93:C98"/>
    <mergeCell ref="E93:E98"/>
    <mergeCell ref="B99:B104"/>
    <mergeCell ref="C99:C104"/>
    <mergeCell ref="E99:E104"/>
    <mergeCell ref="B105:B110"/>
    <mergeCell ref="C105:C110"/>
    <mergeCell ref="E105:E110"/>
    <mergeCell ref="B116:B121"/>
    <mergeCell ref="C116:C121"/>
    <mergeCell ref="E116:E121"/>
    <mergeCell ref="E122:E127"/>
    <mergeCell ref="B128:B133"/>
    <mergeCell ref="C128:C133"/>
    <mergeCell ref="E128:E133"/>
    <mergeCell ref="B134:B139"/>
    <mergeCell ref="C134:C139"/>
    <mergeCell ref="E134:E139"/>
    <mergeCell ref="B158:B163"/>
    <mergeCell ref="C158:C163"/>
    <mergeCell ref="E158:E163"/>
    <mergeCell ref="E140:E145"/>
    <mergeCell ref="B146:B151"/>
    <mergeCell ref="C146:C151"/>
    <mergeCell ref="E146:E151"/>
    <mergeCell ref="B152:B157"/>
    <mergeCell ref="C152:C157"/>
    <mergeCell ref="E152:E157"/>
  </mergeCells>
  <phoneticPr fontId="14" type="noConversion"/>
  <conditionalFormatting sqref="B19:C19">
    <cfRule type="expression" priority="21">
      <formula>IF($C$19="Industrie",1,0)</formula>
    </cfRule>
  </conditionalFormatting>
  <conditionalFormatting sqref="B24:C24">
    <cfRule type="expression" priority="20">
      <formula>IF($C$19="Industrie",1,0)</formula>
    </cfRule>
  </conditionalFormatting>
  <conditionalFormatting sqref="B29:C29">
    <cfRule type="expression" priority="19">
      <formula>IF($C$19="Industrie",1,0)</formula>
    </cfRule>
  </conditionalFormatting>
  <conditionalFormatting sqref="B34:C34">
    <cfRule type="expression" priority="24">
      <formula>IF($C$19="Industrie",1,0)</formula>
    </cfRule>
  </conditionalFormatting>
  <conditionalFormatting sqref="B39:C39">
    <cfRule type="expression" priority="23">
      <formula>IF($C$19="Industrie",1,0)</formula>
    </cfRule>
  </conditionalFormatting>
  <conditionalFormatting sqref="B44:C44">
    <cfRule type="expression" priority="22">
      <formula>IF($C$19="Industrie",1,0)</formula>
    </cfRule>
  </conditionalFormatting>
  <conditionalFormatting sqref="B49:C49">
    <cfRule type="expression" priority="18">
      <formula>IF($C$19="Industrie",1,0)</formula>
    </cfRule>
  </conditionalFormatting>
  <conditionalFormatting sqref="B54:C54">
    <cfRule type="expression" priority="17">
      <formula>IF($C$19="Industrie",1,0)</formula>
    </cfRule>
  </conditionalFormatting>
  <conditionalFormatting sqref="B63:C63">
    <cfRule type="expression" priority="13">
      <formula>IF($C$19="Industrie",1,0)</formula>
    </cfRule>
  </conditionalFormatting>
  <conditionalFormatting sqref="B69:C69">
    <cfRule type="expression" priority="12">
      <formula>IF($C$19="Industrie",1,0)</formula>
    </cfRule>
  </conditionalFormatting>
  <conditionalFormatting sqref="B75:C75">
    <cfRule type="expression" priority="11">
      <formula>IF($C$19="Industrie",1,0)</formula>
    </cfRule>
  </conditionalFormatting>
  <conditionalFormatting sqref="B81:C81">
    <cfRule type="expression" priority="16">
      <formula>IF($C$19="Industrie",1,0)</formula>
    </cfRule>
  </conditionalFormatting>
  <conditionalFormatting sqref="B87:C87">
    <cfRule type="expression" priority="15">
      <formula>IF($C$19="Industrie",1,0)</formula>
    </cfRule>
  </conditionalFormatting>
  <conditionalFormatting sqref="B93:C93">
    <cfRule type="expression" priority="14">
      <formula>IF($C$19="Industrie",1,0)</formula>
    </cfRule>
  </conditionalFormatting>
  <conditionalFormatting sqref="B99:C99">
    <cfRule type="expression" priority="10">
      <formula>IF($C$19="Industrie",1,0)</formula>
    </cfRule>
  </conditionalFormatting>
  <conditionalFormatting sqref="B105:C105">
    <cfRule type="expression" priority="9">
      <formula>IF($C$19="Industrie",1,0)</formula>
    </cfRule>
  </conditionalFormatting>
  <conditionalFormatting sqref="B116:C116">
    <cfRule type="expression" priority="5">
      <formula>IF($C$19="Industrie",1,0)</formula>
    </cfRule>
  </conditionalFormatting>
  <conditionalFormatting sqref="B122:C122">
    <cfRule type="expression" priority="4">
      <formula>IF($C$19="Industrie",1,0)</formula>
    </cfRule>
  </conditionalFormatting>
  <conditionalFormatting sqref="B128:C128">
    <cfRule type="expression" priority="3">
      <formula>IF($C$19="Industrie",1,0)</formula>
    </cfRule>
  </conditionalFormatting>
  <conditionalFormatting sqref="B134:C134">
    <cfRule type="expression" priority="8">
      <formula>IF($C$19="Industrie",1,0)</formula>
    </cfRule>
  </conditionalFormatting>
  <conditionalFormatting sqref="B140:C140">
    <cfRule type="expression" priority="7">
      <formula>IF($C$19="Industrie",1,0)</formula>
    </cfRule>
  </conditionalFormatting>
  <conditionalFormatting sqref="B146:C146">
    <cfRule type="expression" priority="6">
      <formula>IF($C$19="Industrie",1,0)</formula>
    </cfRule>
  </conditionalFormatting>
  <conditionalFormatting sqref="B152:C152">
    <cfRule type="expression" priority="2">
      <formula>IF($C$19="Industrie",1,0)</formula>
    </cfRule>
  </conditionalFormatting>
  <conditionalFormatting sqref="B158:C158">
    <cfRule type="expression" priority="1">
      <formula>IF($C$19="Industrie",1,0)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3A4E-88F5-4C88-B35C-F58E081CBD65}">
  <sheetPr codeName="Feuil11"/>
  <dimension ref="B1:U43"/>
  <sheetViews>
    <sheetView workbookViewId="0">
      <selection activeCell="B10" sqref="B10"/>
    </sheetView>
  </sheetViews>
  <sheetFormatPr baseColWidth="10" defaultRowHeight="12.7" x14ac:dyDescent="0.4"/>
  <cols>
    <col min="1" max="1" width="3.29296875" customWidth="1"/>
    <col min="3" max="3" width="15.234375" bestFit="1" customWidth="1"/>
    <col min="4" max="4" width="18.41015625" customWidth="1"/>
    <col min="5" max="5" width="17.29296875" customWidth="1"/>
    <col min="6" max="6" width="21.29296875" customWidth="1"/>
    <col min="7" max="19" width="13.87890625" customWidth="1"/>
  </cols>
  <sheetData>
    <row r="1" spans="2:19" s="156" customFormat="1" ht="28.35" customHeight="1" x14ac:dyDescent="0.4">
      <c r="B1" s="157" t="s">
        <v>323</v>
      </c>
    </row>
    <row r="2" spans="2:19" s="154" customFormat="1" ht="23.45" customHeight="1" x14ac:dyDescent="0.4">
      <c r="B2" s="155" t="s">
        <v>321</v>
      </c>
    </row>
    <row r="3" spans="2:19" ht="13" thickBot="1" x14ac:dyDescent="0.45"/>
    <row r="4" spans="2:19" s="12" customFormat="1" ht="17.45" customHeight="1" x14ac:dyDescent="0.4">
      <c r="B4" s="1030" t="s">
        <v>425</v>
      </c>
      <c r="C4" s="1031"/>
      <c r="D4" s="367" t="s">
        <v>312</v>
      </c>
      <c r="E4" s="1005" t="s">
        <v>171</v>
      </c>
      <c r="F4" s="1005"/>
      <c r="G4" s="1005"/>
      <c r="H4" s="1005"/>
      <c r="I4" s="1005"/>
    </row>
    <row r="5" spans="2:19" x14ac:dyDescent="0.4">
      <c r="B5" s="1032">
        <f>IF(Qualité!L29="Oui",1,0.9)</f>
        <v>0.9</v>
      </c>
      <c r="C5" s="1033"/>
      <c r="D5" s="368"/>
      <c r="E5" s="152" t="s">
        <v>313</v>
      </c>
      <c r="F5" s="152" t="s">
        <v>311</v>
      </c>
      <c r="G5" s="152" t="s">
        <v>326</v>
      </c>
      <c r="H5" s="152" t="s">
        <v>315</v>
      </c>
      <c r="I5" s="152" t="s">
        <v>316</v>
      </c>
    </row>
    <row r="6" spans="2:19" x14ac:dyDescent="0.4">
      <c r="B6" s="1032"/>
      <c r="C6" s="1033"/>
      <c r="D6" s="368" t="s">
        <v>12</v>
      </c>
      <c r="E6" s="153" t="s">
        <v>549</v>
      </c>
      <c r="F6" s="153" t="s">
        <v>377</v>
      </c>
      <c r="G6" s="153" t="s">
        <v>378</v>
      </c>
      <c r="H6" s="153" t="s">
        <v>317</v>
      </c>
      <c r="I6" s="153" t="s">
        <v>379</v>
      </c>
    </row>
    <row r="7" spans="2:19" ht="13" thickBot="1" x14ac:dyDescent="0.45">
      <c r="B7" s="1034"/>
      <c r="C7" s="1035"/>
      <c r="D7" s="368" t="str">
        <f>PARAM!$C4</f>
        <v>Débitmètre en charge</v>
      </c>
      <c r="E7" s="151" t="s">
        <v>375</v>
      </c>
      <c r="F7" s="151" t="s">
        <v>385</v>
      </c>
      <c r="G7" s="151" t="s">
        <v>386</v>
      </c>
      <c r="H7" s="151" t="s">
        <v>387</v>
      </c>
      <c r="I7" s="151" t="s">
        <v>388</v>
      </c>
    </row>
    <row r="8" spans="2:19" x14ac:dyDescent="0.4">
      <c r="D8" s="152" t="str">
        <f>PARAM!$C5</f>
        <v>Débitmètre gravitaire</v>
      </c>
      <c r="E8" s="151" t="s">
        <v>389</v>
      </c>
      <c r="F8" s="151" t="s">
        <v>516</v>
      </c>
      <c r="G8" s="151" t="s">
        <v>390</v>
      </c>
      <c r="H8" s="151" t="s">
        <v>314</v>
      </c>
      <c r="I8" s="151" t="s">
        <v>391</v>
      </c>
    </row>
    <row r="9" spans="2:19" x14ac:dyDescent="0.4">
      <c r="D9" s="152" t="str">
        <f>PARAM!$C6</f>
        <v>Préleveur</v>
      </c>
      <c r="E9" s="151" t="s">
        <v>380</v>
      </c>
      <c r="F9" s="151" t="s">
        <v>381</v>
      </c>
      <c r="G9" s="151" t="s">
        <v>382</v>
      </c>
      <c r="H9" s="151" t="s">
        <v>383</v>
      </c>
      <c r="I9" s="151" t="s">
        <v>384</v>
      </c>
    </row>
    <row r="10" spans="2:19" x14ac:dyDescent="0.4">
      <c r="D10" s="152" t="str">
        <f>PARAM!$C7</f>
        <v>Sonde de température</v>
      </c>
      <c r="E10" s="151" t="s">
        <v>376</v>
      </c>
      <c r="F10" s="151" t="s">
        <v>377</v>
      </c>
      <c r="G10" s="151" t="s">
        <v>378</v>
      </c>
      <c r="H10" s="151" t="s">
        <v>317</v>
      </c>
      <c r="I10" s="151" t="s">
        <v>379</v>
      </c>
    </row>
    <row r="12" spans="2:19" s="12" customFormat="1" ht="17.45" customHeight="1" x14ac:dyDescent="0.4">
      <c r="D12" s="171" t="s">
        <v>330</v>
      </c>
      <c r="E12" s="1025" t="s">
        <v>329</v>
      </c>
      <c r="F12" s="1005"/>
      <c r="G12" s="1005"/>
      <c r="H12" s="1005"/>
      <c r="I12" s="1005"/>
      <c r="J12" s="1005"/>
      <c r="K12" s="1005"/>
      <c r="L12" s="1005"/>
      <c r="M12" s="1005"/>
      <c r="N12" s="1005"/>
      <c r="O12" s="1005"/>
      <c r="P12" s="1005"/>
      <c r="Q12" s="1005"/>
      <c r="R12" s="1005"/>
      <c r="S12" s="1026"/>
    </row>
    <row r="13" spans="2:19" x14ac:dyDescent="0.4">
      <c r="D13" s="169" t="s">
        <v>328</v>
      </c>
      <c r="E13" s="170">
        <f>Descriptif!$AD$2</f>
        <v>14</v>
      </c>
      <c r="F13" s="170">
        <f>E13+1</f>
        <v>15</v>
      </c>
      <c r="G13" s="170">
        <f t="shared" ref="G13:S13" si="0">F13+1</f>
        <v>16</v>
      </c>
      <c r="H13" s="170">
        <f t="shared" si="0"/>
        <v>17</v>
      </c>
      <c r="I13" s="170">
        <f t="shared" si="0"/>
        <v>18</v>
      </c>
      <c r="J13" s="170">
        <f t="shared" si="0"/>
        <v>19</v>
      </c>
      <c r="K13" s="170">
        <f t="shared" si="0"/>
        <v>20</v>
      </c>
      <c r="L13" s="170">
        <f t="shared" si="0"/>
        <v>21</v>
      </c>
      <c r="M13" s="170">
        <f t="shared" si="0"/>
        <v>22</v>
      </c>
      <c r="N13" s="170">
        <f t="shared" si="0"/>
        <v>23</v>
      </c>
      <c r="O13" s="170">
        <f t="shared" si="0"/>
        <v>24</v>
      </c>
      <c r="P13" s="170">
        <f t="shared" si="0"/>
        <v>25</v>
      </c>
      <c r="Q13" s="170">
        <f t="shared" si="0"/>
        <v>26</v>
      </c>
      <c r="R13" s="170">
        <f t="shared" si="0"/>
        <v>27</v>
      </c>
      <c r="S13" s="170">
        <f t="shared" si="0"/>
        <v>28</v>
      </c>
    </row>
    <row r="15" spans="2:19" s="154" customFormat="1" ht="23.1" customHeight="1" x14ac:dyDescent="0.4">
      <c r="B15" s="155" t="s">
        <v>322</v>
      </c>
    </row>
    <row r="16" spans="2:19" s="12" customFormat="1" ht="18" customHeight="1" thickBot="1" x14ac:dyDescent="0.45">
      <c r="B16" s="12" t="s">
        <v>551</v>
      </c>
    </row>
    <row r="17" spans="2:21" s="12" customFormat="1" ht="15.95" customHeight="1" thickBot="1" x14ac:dyDescent="0.45">
      <c r="B17" s="173" t="s">
        <v>324</v>
      </c>
      <c r="C17" s="174" t="s">
        <v>537</v>
      </c>
      <c r="D17" s="175"/>
      <c r="E17" s="176"/>
      <c r="F17" s="177" t="s">
        <v>5</v>
      </c>
      <c r="G17" s="177" t="s">
        <v>6</v>
      </c>
      <c r="H17" s="177" t="s">
        <v>7</v>
      </c>
      <c r="I17" s="177" t="s">
        <v>17</v>
      </c>
      <c r="J17" s="177" t="s">
        <v>18</v>
      </c>
      <c r="K17" s="177" t="s">
        <v>19</v>
      </c>
      <c r="L17" s="177" t="s">
        <v>20</v>
      </c>
      <c r="M17" s="177" t="s">
        <v>21</v>
      </c>
      <c r="N17" s="177" t="s">
        <v>22</v>
      </c>
      <c r="O17" s="177" t="s">
        <v>23</v>
      </c>
      <c r="P17" s="177" t="s">
        <v>24</v>
      </c>
      <c r="Q17" s="178" t="s">
        <v>25</v>
      </c>
      <c r="R17" s="178" t="s">
        <v>318</v>
      </c>
      <c r="S17" s="178" t="s">
        <v>319</v>
      </c>
      <c r="T17" s="178" t="s">
        <v>320</v>
      </c>
    </row>
    <row r="18" spans="2:21" x14ac:dyDescent="0.4">
      <c r="B18" s="1019" t="s">
        <v>102</v>
      </c>
      <c r="C18" s="505"/>
      <c r="D18" s="159" t="str">
        <f>$D$7</f>
        <v>Débitmètre en charge</v>
      </c>
      <c r="E18" s="159"/>
      <c r="F18" s="160" t="str">
        <f ca="1">IF(AND(OR(INDIRECT("Descriptif!I"&amp;E$13)=Recap_reseau!$B18,INDIRECT("Descriptif!I"&amp;E$13)=Recap_reseau!$C18),INDIRECT("Descriptif!M"&amp;E$13)=$D18),INDIRECT("Descriptif!F"&amp;E$13),"")</f>
        <v/>
      </c>
      <c r="G18" s="160" t="str">
        <f ca="1">IF(AND(OR(INDIRECT("Descriptif!I"&amp;F$13)=Recap_reseau!$B18,INDIRECT("Descriptif!I"&amp;F$13)=Recap_reseau!$C18),INDIRECT("Descriptif!M"&amp;F$13)=$D18),INDIRECT("Descriptif!F"&amp;F$13),"")</f>
        <v/>
      </c>
      <c r="H18" s="160" t="str">
        <f ca="1">IF(AND(OR(INDIRECT("Descriptif!I"&amp;G$13)=Recap_reseau!$B18,INDIRECT("Descriptif!I"&amp;G$13)=Recap_reseau!$C18),INDIRECT("Descriptif!M"&amp;G$13)=$D18),INDIRECT("Descriptif!F"&amp;G$13),"")</f>
        <v/>
      </c>
      <c r="I18" s="160" t="str">
        <f ca="1">IF(AND(OR(INDIRECT("Descriptif!I"&amp;H$13)=Recap_reseau!$B18,INDIRECT("Descriptif!I"&amp;H$13)=Recap_reseau!$C18),INDIRECT("Descriptif!M"&amp;H$13)=$D18),INDIRECT("Descriptif!F"&amp;H$13),"")</f>
        <v/>
      </c>
      <c r="J18" s="160" t="str">
        <f ca="1">IF(AND(OR(INDIRECT("Descriptif!I"&amp;I$13)=Recap_reseau!$B18,INDIRECT("Descriptif!I"&amp;I$13)=Recap_reseau!$C18),INDIRECT("Descriptif!M"&amp;I$13)=$D18),INDIRECT("Descriptif!F"&amp;I$13),"")</f>
        <v/>
      </c>
      <c r="K18" s="160" t="str">
        <f ca="1">IF(AND(OR(INDIRECT("Descriptif!I"&amp;J$13)=Recap_reseau!$B18,INDIRECT("Descriptif!I"&amp;J$13)=Recap_reseau!$C18),INDIRECT("Descriptif!M"&amp;J$13)=$D18),INDIRECT("Descriptif!F"&amp;J$13),"")</f>
        <v/>
      </c>
      <c r="L18" s="160" t="str">
        <f ca="1">IF(AND(OR(INDIRECT("Descriptif!I"&amp;K$13)=Recap_reseau!$B18,INDIRECT("Descriptif!I"&amp;K$13)=Recap_reseau!$C18),INDIRECT("Descriptif!M"&amp;K$13)=$D18),INDIRECT("Descriptif!F"&amp;K$13),"")</f>
        <v/>
      </c>
      <c r="M18" s="160" t="str">
        <f ca="1">IF(AND(OR(INDIRECT("Descriptif!I"&amp;L$13)=Recap_reseau!$B18,INDIRECT("Descriptif!I"&amp;L$13)=Recap_reseau!$C18),INDIRECT("Descriptif!M"&amp;L$13)=$D18),INDIRECT("Descriptif!F"&amp;L$13),"")</f>
        <v/>
      </c>
      <c r="N18" s="160" t="str">
        <f ca="1">IF(AND(OR(INDIRECT("Descriptif!I"&amp;M$13)=Recap_reseau!$B18,INDIRECT("Descriptif!I"&amp;M$13)=Recap_reseau!$C18),INDIRECT("Descriptif!M"&amp;M$13)=$D18),INDIRECT("Descriptif!F"&amp;M$13),"")</f>
        <v/>
      </c>
      <c r="O18" s="160" t="str">
        <f ca="1">IF(AND(OR(INDIRECT("Descriptif!I"&amp;N$13)=Recap_reseau!$B18,INDIRECT("Descriptif!I"&amp;N$13)=Recap_reseau!$C18),INDIRECT("Descriptif!M"&amp;N$13)=$D18),INDIRECT("Descriptif!F"&amp;N$13),"")</f>
        <v/>
      </c>
      <c r="P18" s="160" t="str">
        <f ca="1">IF(AND(OR(INDIRECT("Descriptif!I"&amp;O$13)=Recap_reseau!$B18,INDIRECT("Descriptif!I"&amp;O$13)=Recap_reseau!$C18),INDIRECT("Descriptif!M"&amp;O$13)=$D18),INDIRECT("Descriptif!F"&amp;O$13),"")</f>
        <v/>
      </c>
      <c r="Q18" s="160" t="str">
        <f ca="1">IF(AND(OR(INDIRECT("Descriptif!I"&amp;P$13)=Recap_reseau!$B18,INDIRECT("Descriptif!I"&amp;P$13)=Recap_reseau!$C18),INDIRECT("Descriptif!M"&amp;P$13)=$D18),INDIRECT("Descriptif!F"&amp;P$13),"")</f>
        <v/>
      </c>
      <c r="R18" s="160" t="str">
        <f ca="1">IF(AND(OR(INDIRECT("Descriptif!I"&amp;Q$13)=Recap_reseau!$B18,INDIRECT("Descriptif!I"&amp;Q$13)=Recap_reseau!$C18),INDIRECT("Descriptif!M"&amp;Q$13)=$D18),INDIRECT("Descriptif!F"&amp;Q$13),"")</f>
        <v/>
      </c>
      <c r="S18" s="160" t="str">
        <f ca="1">IF(AND(OR(INDIRECT("Descriptif!I"&amp;R$13)=Recap_reseau!$B18,INDIRECT("Descriptif!I"&amp;R$13)=Recap_reseau!$C18),INDIRECT("Descriptif!M"&amp;R$13)=$D18),INDIRECT("Descriptif!F"&amp;R$13),"")</f>
        <v/>
      </c>
      <c r="T18" s="160" t="str">
        <f ca="1">IF(AND(OR(INDIRECT("Descriptif!I"&amp;S$13)=Recap_reseau!$B18,INDIRECT("Descriptif!I"&amp;S$13)=Recap_reseau!$C18),INDIRECT("Descriptif!M"&amp;S$13)=$D18),INDIRECT("Descriptif!F"&amp;S$13),"")</f>
        <v/>
      </c>
    </row>
    <row r="19" spans="2:21" x14ac:dyDescent="0.4">
      <c r="B19" s="1020"/>
      <c r="C19" s="506"/>
      <c r="D19" s="158" t="str">
        <f>$D$8</f>
        <v>Débitmètre gravitaire</v>
      </c>
      <c r="E19" s="158"/>
      <c r="F19" s="13" t="str">
        <f ca="1">IF(AND(OR(INDIRECT("Descriptif!I"&amp;E$13)=Recap_reseau!$B18,INDIRECT("Descriptif!I"&amp;E$13)=Recap_reseau!$C18),INDIRECT("Descriptif!M"&amp;E$13)=$D19),INDIRECT("Descriptif!F"&amp;E$13),"")</f>
        <v/>
      </c>
      <c r="G19" s="13" t="str">
        <f ca="1">IF(AND(OR(INDIRECT("Descriptif!I"&amp;F$13)=Recap_reseau!$B18,INDIRECT("Descriptif!I"&amp;F$13)=Recap_reseau!$C18),INDIRECT("Descriptif!M"&amp;F$13)=$D19),INDIRECT("Descriptif!F"&amp;F$13),"")</f>
        <v/>
      </c>
      <c r="H19" s="13" t="str">
        <f ca="1">IF(AND(OR(INDIRECT("Descriptif!I"&amp;G$13)=Recap_reseau!$B18,INDIRECT("Descriptif!I"&amp;G$13)=Recap_reseau!$C18),INDIRECT("Descriptif!M"&amp;G$13)=$D19),INDIRECT("Descriptif!F"&amp;G$13),"")</f>
        <v/>
      </c>
      <c r="I19" s="13" t="str">
        <f ca="1">IF(AND(OR(INDIRECT("Descriptif!I"&amp;H$13)=Recap_reseau!$B18,INDIRECT("Descriptif!I"&amp;H$13)=Recap_reseau!$C18),INDIRECT("Descriptif!M"&amp;H$13)=$D19),INDIRECT("Descriptif!F"&amp;H$13),"")</f>
        <v/>
      </c>
      <c r="J19" s="13" t="str">
        <f ca="1">IF(AND(OR(INDIRECT("Descriptif!I"&amp;I$13)=Recap_reseau!$B18,INDIRECT("Descriptif!I"&amp;I$13)=Recap_reseau!$C18),INDIRECT("Descriptif!M"&amp;I$13)=$D19),INDIRECT("Descriptif!F"&amp;I$13),"")</f>
        <v/>
      </c>
      <c r="K19" s="13" t="str">
        <f ca="1">IF(AND(OR(INDIRECT("Descriptif!I"&amp;J$13)=Recap_reseau!$B18,INDIRECT("Descriptif!I"&amp;J$13)=Recap_reseau!$C18),INDIRECT("Descriptif!M"&amp;J$13)=$D19),INDIRECT("Descriptif!F"&amp;J$13),"")</f>
        <v/>
      </c>
      <c r="L19" s="13" t="str">
        <f ca="1">IF(AND(OR(INDIRECT("Descriptif!I"&amp;K$13)=Recap_reseau!$B18,INDIRECT("Descriptif!I"&amp;K$13)=Recap_reseau!$C18),INDIRECT("Descriptif!M"&amp;K$13)=$D19),INDIRECT("Descriptif!F"&amp;K$13),"")</f>
        <v/>
      </c>
      <c r="M19" s="13" t="str">
        <f ca="1">IF(AND(OR(INDIRECT("Descriptif!I"&amp;L$13)=Recap_reseau!$B18,INDIRECT("Descriptif!I"&amp;L$13)=Recap_reseau!$C18),INDIRECT("Descriptif!M"&amp;L$13)=$D19),INDIRECT("Descriptif!F"&amp;L$13),"")</f>
        <v/>
      </c>
      <c r="N19" s="13" t="str">
        <f ca="1">IF(AND(OR(INDIRECT("Descriptif!I"&amp;M$13)=Recap_reseau!$B18,INDIRECT("Descriptif!I"&amp;M$13)=Recap_reseau!$C18),INDIRECT("Descriptif!M"&amp;M$13)=$D19),INDIRECT("Descriptif!F"&amp;M$13),"")</f>
        <v/>
      </c>
      <c r="O19" s="13" t="str">
        <f ca="1">IF(AND(OR(INDIRECT("Descriptif!I"&amp;N$13)=Recap_reseau!$B18,INDIRECT("Descriptif!I"&amp;N$13)=Recap_reseau!$C18),INDIRECT("Descriptif!M"&amp;N$13)=$D19),INDIRECT("Descriptif!F"&amp;N$13),"")</f>
        <v/>
      </c>
      <c r="P19" s="13" t="str">
        <f ca="1">IF(AND(OR(INDIRECT("Descriptif!I"&amp;O$13)=Recap_reseau!$B18,INDIRECT("Descriptif!I"&amp;O$13)=Recap_reseau!$C18),INDIRECT("Descriptif!M"&amp;O$13)=$D19),INDIRECT("Descriptif!F"&amp;O$13),"")</f>
        <v/>
      </c>
      <c r="Q19" s="13" t="str">
        <f ca="1">IF(AND(OR(INDIRECT("Descriptif!I"&amp;P$13)=Recap_reseau!$B18,INDIRECT("Descriptif!I"&amp;P$13)=Recap_reseau!$C18),INDIRECT("Descriptif!M"&amp;P$13)=$D19),INDIRECT("Descriptif!F"&amp;P$13),"")</f>
        <v/>
      </c>
      <c r="R19" s="13" t="str">
        <f ca="1">IF(AND(OR(INDIRECT("Descriptif!I"&amp;Q$13)=Recap_reseau!$B18,INDIRECT("Descriptif!I"&amp;Q$13)=Recap_reseau!$C18),INDIRECT("Descriptif!M"&amp;Q$13)=$D19),INDIRECT("Descriptif!F"&amp;Q$13),"")</f>
        <v/>
      </c>
      <c r="S19" s="13" t="str">
        <f ca="1">IF(AND(OR(INDIRECT("Descriptif!I"&amp;R$13)=Recap_reseau!$B18,INDIRECT("Descriptif!I"&amp;R$13)=Recap_reseau!$C18),INDIRECT("Descriptif!M"&amp;R$13)=$D19),INDIRECT("Descriptif!F"&amp;R$13),"")</f>
        <v/>
      </c>
      <c r="T19" s="13" t="str">
        <f ca="1">IF(AND(OR(INDIRECT("Descriptif!I"&amp;S$13)=Recap_reseau!$B18,INDIRECT("Descriptif!I"&amp;S$13)=Recap_reseau!$C18),INDIRECT("Descriptif!M"&amp;S$13)=$D19),INDIRECT("Descriptif!F"&amp;S$13),"")</f>
        <v/>
      </c>
    </row>
    <row r="20" spans="2:21" x14ac:dyDescent="0.4">
      <c r="B20" s="1020"/>
      <c r="C20" s="506"/>
      <c r="D20" s="158" t="str">
        <f>$D$9</f>
        <v>Préleveur</v>
      </c>
      <c r="E20" s="158"/>
      <c r="F20" s="13" t="str">
        <f ca="1">IF(AND(OR(INDIRECT("Descriptif!I"&amp;E$13)=Recap_reseau!$B18,INDIRECT("Descriptif!I"&amp;E$13)=Recap_reseau!$C18),INDIRECT("Descriptif!M"&amp;E$13)=$D20),INDIRECT("Descriptif!F"&amp;E$13),"")</f>
        <v/>
      </c>
      <c r="G20" s="13" t="str">
        <f ca="1">IF(AND(OR(INDIRECT("Descriptif!I"&amp;F$13)=Recap_reseau!$B18,INDIRECT("Descriptif!I"&amp;F$13)=Recap_reseau!$C18),INDIRECT("Descriptif!M"&amp;F$13)=$D20),INDIRECT("Descriptif!F"&amp;F$13),"")</f>
        <v/>
      </c>
      <c r="H20" s="13" t="str">
        <f ca="1">IF(AND(OR(INDIRECT("Descriptif!I"&amp;G$13)=Recap_reseau!$B18,INDIRECT("Descriptif!I"&amp;G$13)=Recap_reseau!$C18),INDIRECT("Descriptif!M"&amp;G$13)=$D20),INDIRECT("Descriptif!F"&amp;G$13),"")</f>
        <v/>
      </c>
      <c r="I20" s="13" t="str">
        <f ca="1">IF(AND(OR(INDIRECT("Descriptif!I"&amp;H$13)=Recap_reseau!$B18,INDIRECT("Descriptif!I"&amp;H$13)=Recap_reseau!$C18),INDIRECT("Descriptif!M"&amp;H$13)=$D20),INDIRECT("Descriptif!F"&amp;H$13),"")</f>
        <v/>
      </c>
      <c r="J20" s="13" t="str">
        <f ca="1">IF(AND(OR(INDIRECT("Descriptif!I"&amp;I$13)=Recap_reseau!$B18,INDIRECT("Descriptif!I"&amp;I$13)=Recap_reseau!$C18),INDIRECT("Descriptif!M"&amp;I$13)=$D20),INDIRECT("Descriptif!F"&amp;I$13),"")</f>
        <v/>
      </c>
      <c r="K20" s="13" t="str">
        <f ca="1">IF(AND(OR(INDIRECT("Descriptif!I"&amp;J$13)=Recap_reseau!$B18,INDIRECT("Descriptif!I"&amp;J$13)=Recap_reseau!$C18),INDIRECT("Descriptif!M"&amp;J$13)=$D20),INDIRECT("Descriptif!F"&amp;J$13),"")</f>
        <v/>
      </c>
      <c r="L20" s="13" t="str">
        <f ca="1">IF(AND(OR(INDIRECT("Descriptif!I"&amp;K$13)=Recap_reseau!$B18,INDIRECT("Descriptif!I"&amp;K$13)=Recap_reseau!$C18),INDIRECT("Descriptif!M"&amp;K$13)=$D20),INDIRECT("Descriptif!F"&amp;K$13),"")</f>
        <v/>
      </c>
      <c r="M20" s="13" t="str">
        <f ca="1">IF(AND(OR(INDIRECT("Descriptif!I"&amp;L$13)=Recap_reseau!$B18,INDIRECT("Descriptif!I"&amp;L$13)=Recap_reseau!$C18),INDIRECT("Descriptif!M"&amp;L$13)=$D20),INDIRECT("Descriptif!F"&amp;L$13),"")</f>
        <v/>
      </c>
      <c r="N20" s="13" t="str">
        <f ca="1">IF(AND(OR(INDIRECT("Descriptif!I"&amp;M$13)=Recap_reseau!$B18,INDIRECT("Descriptif!I"&amp;M$13)=Recap_reseau!$C18),INDIRECT("Descriptif!M"&amp;M$13)=$D20),INDIRECT("Descriptif!F"&amp;M$13),"")</f>
        <v/>
      </c>
      <c r="O20" s="13" t="str">
        <f ca="1">IF(AND(OR(INDIRECT("Descriptif!I"&amp;N$13)=Recap_reseau!$B18,INDIRECT("Descriptif!I"&amp;N$13)=Recap_reseau!$C18),INDIRECT("Descriptif!M"&amp;N$13)=$D20),INDIRECT("Descriptif!F"&amp;N$13),"")</f>
        <v/>
      </c>
      <c r="P20" s="13" t="str">
        <f ca="1">IF(AND(OR(INDIRECT("Descriptif!I"&amp;O$13)=Recap_reseau!$B18,INDIRECT("Descriptif!I"&amp;O$13)=Recap_reseau!$C18),INDIRECT("Descriptif!M"&amp;O$13)=$D20),INDIRECT("Descriptif!F"&amp;O$13),"")</f>
        <v/>
      </c>
      <c r="Q20" s="13" t="str">
        <f ca="1">IF(AND(OR(INDIRECT("Descriptif!I"&amp;P$13)=Recap_reseau!$B18,INDIRECT("Descriptif!I"&amp;P$13)=Recap_reseau!$C18),INDIRECT("Descriptif!M"&amp;P$13)=$D20),INDIRECT("Descriptif!F"&amp;P$13),"")</f>
        <v/>
      </c>
      <c r="R20" s="13" t="str">
        <f ca="1">IF(AND(OR(INDIRECT("Descriptif!I"&amp;Q$13)=Recap_reseau!$B18,INDIRECT("Descriptif!I"&amp;Q$13)=Recap_reseau!$C18),INDIRECT("Descriptif!M"&amp;Q$13)=$D20),INDIRECT("Descriptif!F"&amp;Q$13),"")</f>
        <v/>
      </c>
      <c r="S20" s="13" t="str">
        <f ca="1">IF(AND(OR(INDIRECT("Descriptif!I"&amp;R$13)=Recap_reseau!$B18,INDIRECT("Descriptif!I"&amp;R$13)=Recap_reseau!$C18),INDIRECT("Descriptif!M"&amp;R$13)=$D20),INDIRECT("Descriptif!F"&amp;R$13),"")</f>
        <v/>
      </c>
      <c r="T20" s="13" t="str">
        <f ca="1">IF(AND(OR(INDIRECT("Descriptif!I"&amp;S$13)=Recap_reseau!$B18,INDIRECT("Descriptif!I"&amp;S$13)=Recap_reseau!$C18),INDIRECT("Descriptif!M"&amp;S$13)=$D20),INDIRECT("Descriptif!F"&amp;S$13),"")</f>
        <v/>
      </c>
    </row>
    <row r="21" spans="2:21" x14ac:dyDescent="0.4">
      <c r="B21" s="1020"/>
      <c r="C21" s="506"/>
      <c r="D21" s="369" t="s">
        <v>412</v>
      </c>
      <c r="E21" s="369"/>
      <c r="F21" s="370" t="str">
        <f ca="1">IF(F20&lt;&gt;"",VLOOKUP(F20,Analytique!$X$3:$AE$29,1,FALSE),"")</f>
        <v/>
      </c>
      <c r="G21" s="370" t="str">
        <f ca="1">IF(G20&lt;&gt;"",VLOOKUP(G20,Analytique!$X$3:$AE$29,1,FALSE),"")</f>
        <v/>
      </c>
      <c r="H21" s="370" t="str">
        <f ca="1">IF(H20&lt;&gt;"",VLOOKUP(H20,Analytique!$X$3:$AE$29,1,FALSE),"")</f>
        <v/>
      </c>
      <c r="I21" s="370" t="str">
        <f ca="1">IF(I20&lt;&gt;"",VLOOKUP(I20,Analytique!$X$3:$AE$29,1,FALSE),"")</f>
        <v/>
      </c>
      <c r="J21" s="370" t="str">
        <f ca="1">IF(J20&lt;&gt;"",VLOOKUP(J20,Analytique!$X$3:$AE$29,1,FALSE),"")</f>
        <v/>
      </c>
      <c r="K21" s="370" t="str">
        <f ca="1">IF(K20&lt;&gt;"",VLOOKUP(K20,Analytique!$X$3:$AE$29,1,FALSE),"")</f>
        <v/>
      </c>
      <c r="L21" s="370" t="str">
        <f ca="1">IF(L20&lt;&gt;"",VLOOKUP(L20,Analytique!$X$3:$AE$29,1,FALSE),"")</f>
        <v/>
      </c>
      <c r="M21" s="370" t="str">
        <f ca="1">IF(M20&lt;&gt;"",VLOOKUP(M20,Analytique!$X$3:$AE$29,1,FALSE),"")</f>
        <v/>
      </c>
      <c r="N21" s="370" t="str">
        <f ca="1">IF(N20&lt;&gt;"",VLOOKUP(N20,Analytique!$X$3:$AE$29,1,FALSE),"")</f>
        <v/>
      </c>
      <c r="O21" s="370" t="str">
        <f ca="1">IF(O20&lt;&gt;"",VLOOKUP(O20,Analytique!$X$3:$AE$29,1,FALSE),"")</f>
        <v/>
      </c>
      <c r="P21" s="370" t="str">
        <f ca="1">IF(P20&lt;&gt;"",VLOOKUP(P20,Analytique!$X$3:$AE$29,1,FALSE),"")</f>
        <v/>
      </c>
      <c r="Q21" s="370" t="str">
        <f ca="1">IF(Q20&lt;&gt;"",VLOOKUP(Q20,Analytique!$X$3:$AE$29,1,FALSE),"")</f>
        <v/>
      </c>
      <c r="R21" s="370" t="str">
        <f ca="1">IF(R20&lt;&gt;"",VLOOKUP(R20,Analytique!$X$3:$AE$29,1,FALSE),"")</f>
        <v/>
      </c>
      <c r="S21" s="370" t="str">
        <f ca="1">IF(S20&lt;&gt;"",VLOOKUP(S20,Analytique!$X$3:$AE$29,1,FALSE),"")</f>
        <v/>
      </c>
      <c r="T21" s="370" t="str">
        <f ca="1">IF(T20&lt;&gt;"",VLOOKUP(T20,Analytique!$X$3:$AE$29,1,FALSE),"")</f>
        <v/>
      </c>
    </row>
    <row r="22" spans="2:21" ht="13" thickBot="1" x14ac:dyDescent="0.45">
      <c r="B22" s="1021"/>
      <c r="C22" s="507"/>
      <c r="D22" s="163" t="str">
        <f>$D$10</f>
        <v>Sonde de température</v>
      </c>
      <c r="E22" s="163"/>
      <c r="F22" s="164" t="str">
        <f ca="1">IF(AND(OR(INDIRECT("Descriptif!I"&amp;E$13)=Recap_reseau!$B18,INDIRECT("Descriptif!I"&amp;E$13)=Recap_reseau!$C18),INDIRECT("Descriptif!M"&amp;E$13)=$D22),INDIRECT("Descriptif!F"&amp;E$13),"")</f>
        <v/>
      </c>
      <c r="G22" s="164" t="str">
        <f ca="1">IF(AND(OR(INDIRECT("Descriptif!I"&amp;F$13)=Recap_reseau!$B18,INDIRECT("Descriptif!I"&amp;F$13)=Recap_reseau!$C18),INDIRECT("Descriptif!M"&amp;F$13)=$D22),INDIRECT("Descriptif!F"&amp;F$13),"")</f>
        <v/>
      </c>
      <c r="H22" s="164" t="str">
        <f ca="1">IF(AND(OR(INDIRECT("Descriptif!I"&amp;G$13)=Recap_reseau!$B18,INDIRECT("Descriptif!I"&amp;G$13)=Recap_reseau!$C18),INDIRECT("Descriptif!M"&amp;G$13)=$D22),INDIRECT("Descriptif!F"&amp;G$13),"")</f>
        <v/>
      </c>
      <c r="I22" s="164" t="str">
        <f ca="1">IF(AND(OR(INDIRECT("Descriptif!I"&amp;H$13)=Recap_reseau!$B18,INDIRECT("Descriptif!I"&amp;H$13)=Recap_reseau!$C18),INDIRECT("Descriptif!M"&amp;H$13)=$D22),INDIRECT("Descriptif!F"&amp;H$13),"")</f>
        <v/>
      </c>
      <c r="J22" s="164" t="str">
        <f ca="1">IF(AND(OR(INDIRECT("Descriptif!I"&amp;I$13)=Recap_reseau!$B18,INDIRECT("Descriptif!I"&amp;I$13)=Recap_reseau!$C18),INDIRECT("Descriptif!M"&amp;I$13)=$D22),INDIRECT("Descriptif!F"&amp;I$13),"")</f>
        <v/>
      </c>
      <c r="K22" s="164" t="str">
        <f ca="1">IF(AND(OR(INDIRECT("Descriptif!I"&amp;J$13)=Recap_reseau!$B18,INDIRECT("Descriptif!I"&amp;J$13)=Recap_reseau!$C18),INDIRECT("Descriptif!M"&amp;J$13)=$D22),INDIRECT("Descriptif!F"&amp;J$13),"")</f>
        <v/>
      </c>
      <c r="L22" s="164" t="str">
        <f ca="1">IF(AND(OR(INDIRECT("Descriptif!I"&amp;K$13)=Recap_reseau!$B18,INDIRECT("Descriptif!I"&amp;K$13)=Recap_reseau!$C18),INDIRECT("Descriptif!M"&amp;K$13)=$D22),INDIRECT("Descriptif!F"&amp;K$13),"")</f>
        <v/>
      </c>
      <c r="M22" s="164" t="str">
        <f ca="1">IF(AND(OR(INDIRECT("Descriptif!I"&amp;L$13)=Recap_reseau!$B18,INDIRECT("Descriptif!I"&amp;L$13)=Recap_reseau!$C18),INDIRECT("Descriptif!M"&amp;L$13)=$D22),INDIRECT("Descriptif!F"&amp;L$13),"")</f>
        <v/>
      </c>
      <c r="N22" s="164" t="str">
        <f ca="1">IF(AND(OR(INDIRECT("Descriptif!I"&amp;M$13)=Recap_reseau!$B18,INDIRECT("Descriptif!I"&amp;M$13)=Recap_reseau!$C18),INDIRECT("Descriptif!M"&amp;M$13)=$D22),INDIRECT("Descriptif!F"&amp;M$13),"")</f>
        <v/>
      </c>
      <c r="O22" s="164" t="str">
        <f ca="1">IF(AND(OR(INDIRECT("Descriptif!I"&amp;N$13)=Recap_reseau!$B18,INDIRECT("Descriptif!I"&amp;N$13)=Recap_reseau!$C18),INDIRECT("Descriptif!M"&amp;N$13)=$D22),INDIRECT("Descriptif!F"&amp;N$13),"")</f>
        <v/>
      </c>
      <c r="P22" s="164" t="str">
        <f ca="1">IF(AND(OR(INDIRECT("Descriptif!I"&amp;O$13)=Recap_reseau!$B18,INDIRECT("Descriptif!I"&amp;O$13)=Recap_reseau!$C18),INDIRECT("Descriptif!M"&amp;O$13)=$D22),INDIRECT("Descriptif!F"&amp;O$13),"")</f>
        <v/>
      </c>
      <c r="Q22" s="164" t="str">
        <f ca="1">IF(AND(OR(INDIRECT("Descriptif!I"&amp;P$13)=Recap_reseau!$B18,INDIRECT("Descriptif!I"&amp;P$13)=Recap_reseau!$C18),INDIRECT("Descriptif!M"&amp;P$13)=$D22),INDIRECT("Descriptif!F"&amp;P$13),"")</f>
        <v/>
      </c>
      <c r="R22" s="164" t="str">
        <f ca="1">IF(AND(OR(INDIRECT("Descriptif!I"&amp;Q$13)=Recap_reseau!$B18,INDIRECT("Descriptif!I"&amp;Q$13)=Recap_reseau!$C18),INDIRECT("Descriptif!M"&amp;Q$13)=$D22),INDIRECT("Descriptif!F"&amp;Q$13),"")</f>
        <v/>
      </c>
      <c r="S22" s="164" t="str">
        <f ca="1">IF(AND(OR(INDIRECT("Descriptif!I"&amp;R$13)=Recap_reseau!$B18,INDIRECT("Descriptif!I"&amp;R$13)=Recap_reseau!$C18),INDIRECT("Descriptif!M"&amp;R$13)=$D22),INDIRECT("Descriptif!F"&amp;R$13),"")</f>
        <v/>
      </c>
      <c r="T22" s="164" t="str">
        <f ca="1">IF(AND(OR(INDIRECT("Descriptif!I"&amp;S$13)=Recap_reseau!$B18,INDIRECT("Descriptif!I"&amp;S$13)=Recap_reseau!$C18),INDIRECT("Descriptif!M"&amp;S$13)=$D22),INDIRECT("Descriptif!F"&amp;S$13),"")</f>
        <v/>
      </c>
    </row>
    <row r="24" spans="2:21" s="154" customFormat="1" ht="23.1" customHeight="1" x14ac:dyDescent="0.4">
      <c r="B24" s="155" t="s">
        <v>331</v>
      </c>
    </row>
    <row r="25" spans="2:21" ht="13" thickBot="1" x14ac:dyDescent="0.45">
      <c r="B25" t="s">
        <v>426</v>
      </c>
    </row>
    <row r="26" spans="2:21" s="12" customFormat="1" ht="27.95" customHeight="1" thickBot="1" x14ac:dyDescent="0.45">
      <c r="B26" s="179" t="s">
        <v>324</v>
      </c>
      <c r="C26" s="180" t="s">
        <v>325</v>
      </c>
      <c r="D26" s="185"/>
      <c r="E26" s="198" t="s">
        <v>333</v>
      </c>
      <c r="F26" s="186" t="s">
        <v>332</v>
      </c>
      <c r="G26" s="177" t="s">
        <v>5</v>
      </c>
      <c r="H26" s="177" t="s">
        <v>6</v>
      </c>
      <c r="I26" s="177" t="s">
        <v>7</v>
      </c>
      <c r="J26" s="177" t="s">
        <v>17</v>
      </c>
      <c r="K26" s="177" t="s">
        <v>18</v>
      </c>
      <c r="L26" s="177" t="s">
        <v>19</v>
      </c>
      <c r="M26" s="177" t="s">
        <v>20</v>
      </c>
      <c r="N26" s="177" t="s">
        <v>21</v>
      </c>
      <c r="O26" s="177" t="s">
        <v>22</v>
      </c>
      <c r="P26" s="177" t="s">
        <v>23</v>
      </c>
      <c r="Q26" s="177" t="s">
        <v>24</v>
      </c>
      <c r="R26" s="178" t="s">
        <v>25</v>
      </c>
      <c r="S26" s="178" t="s">
        <v>318</v>
      </c>
      <c r="T26" s="178" t="s">
        <v>319</v>
      </c>
      <c r="U26" s="178" t="s">
        <v>320</v>
      </c>
    </row>
    <row r="27" spans="2:21" x14ac:dyDescent="0.4">
      <c r="B27" s="1019" t="s">
        <v>102</v>
      </c>
      <c r="C27" s="1022" t="s">
        <v>104</v>
      </c>
      <c r="D27" s="159" t="str">
        <f>$D$7</f>
        <v>Débitmètre en charge</v>
      </c>
      <c r="E27" s="1016" t="str">
        <f ca="1">IFERROR(AVERAGE(F29:F31)*$B$5,"")</f>
        <v/>
      </c>
      <c r="F27" s="195" t="str">
        <f t="shared" ref="F27:F32" ca="1" si="1">IFERROR(AVERAGE(G27:U27),"")</f>
        <v/>
      </c>
      <c r="G27" s="190" t="str">
        <f t="shared" ref="G27:U27" ca="1" si="2">IF(F18&lt;&gt;"",_xlfn.SINGLE(INDIRECT(F18&amp;"!"&amp;$F$7)),"")</f>
        <v/>
      </c>
      <c r="H27" s="160" t="str">
        <f t="shared" ca="1" si="2"/>
        <v/>
      </c>
      <c r="I27" s="160" t="str">
        <f t="shared" ca="1" si="2"/>
        <v/>
      </c>
      <c r="J27" s="160" t="str">
        <f t="shared" ca="1" si="2"/>
        <v/>
      </c>
      <c r="K27" s="160" t="str">
        <f t="shared" ca="1" si="2"/>
        <v/>
      </c>
      <c r="L27" s="160" t="str">
        <f t="shared" ca="1" si="2"/>
        <v/>
      </c>
      <c r="M27" s="160" t="str">
        <f t="shared" ca="1" si="2"/>
        <v/>
      </c>
      <c r="N27" s="160" t="str">
        <f t="shared" ca="1" si="2"/>
        <v/>
      </c>
      <c r="O27" s="160" t="str">
        <f t="shared" ca="1" si="2"/>
        <v/>
      </c>
      <c r="P27" s="160" t="str">
        <f t="shared" ca="1" si="2"/>
        <v/>
      </c>
      <c r="Q27" s="160" t="str">
        <f t="shared" ca="1" si="2"/>
        <v/>
      </c>
      <c r="R27" s="160" t="str">
        <f t="shared" ca="1" si="2"/>
        <v/>
      </c>
      <c r="S27" s="160" t="str">
        <f t="shared" ca="1" si="2"/>
        <v/>
      </c>
      <c r="T27" s="160" t="str">
        <f t="shared" ca="1" si="2"/>
        <v/>
      </c>
      <c r="U27" s="161" t="str">
        <f t="shared" ca="1" si="2"/>
        <v/>
      </c>
    </row>
    <row r="28" spans="2:21" x14ac:dyDescent="0.4">
      <c r="B28" s="1020"/>
      <c r="C28" s="1023"/>
      <c r="D28" s="158" t="str">
        <f>$D$8</f>
        <v>Débitmètre gravitaire</v>
      </c>
      <c r="E28" s="1017"/>
      <c r="F28" s="196" t="str">
        <f t="shared" ca="1" si="1"/>
        <v/>
      </c>
      <c r="G28" s="191" t="str">
        <f t="shared" ref="G28:U28" ca="1" si="3">IF(F19&lt;&gt;"",_xlfn.SINGLE(INDIRECT(F19&amp;"!"&amp;$F$8)),"")</f>
        <v/>
      </c>
      <c r="H28" s="13" t="str">
        <f t="shared" ca="1" si="3"/>
        <v/>
      </c>
      <c r="I28" s="13" t="str">
        <f t="shared" ca="1" si="3"/>
        <v/>
      </c>
      <c r="J28" s="13" t="str">
        <f t="shared" ca="1" si="3"/>
        <v/>
      </c>
      <c r="K28" s="13" t="str">
        <f t="shared" ca="1" si="3"/>
        <v/>
      </c>
      <c r="L28" s="13" t="str">
        <f t="shared" ca="1" si="3"/>
        <v/>
      </c>
      <c r="M28" s="13" t="str">
        <f t="shared" ca="1" si="3"/>
        <v/>
      </c>
      <c r="N28" s="13" t="str">
        <f t="shared" ca="1" si="3"/>
        <v/>
      </c>
      <c r="O28" s="13" t="str">
        <f t="shared" ca="1" si="3"/>
        <v/>
      </c>
      <c r="P28" s="13" t="str">
        <f t="shared" ca="1" si="3"/>
        <v/>
      </c>
      <c r="Q28" s="13" t="str">
        <f t="shared" ca="1" si="3"/>
        <v/>
      </c>
      <c r="R28" s="13" t="str">
        <f t="shared" ca="1" si="3"/>
        <v/>
      </c>
      <c r="S28" s="13" t="str">
        <f t="shared" ca="1" si="3"/>
        <v/>
      </c>
      <c r="T28" s="13" t="str">
        <f t="shared" ca="1" si="3"/>
        <v/>
      </c>
      <c r="U28" s="162" t="str">
        <f t="shared" ca="1" si="3"/>
        <v/>
      </c>
    </row>
    <row r="29" spans="2:21" x14ac:dyDescent="0.4">
      <c r="B29" s="1020"/>
      <c r="C29" s="1023"/>
      <c r="D29" s="158" t="s">
        <v>420</v>
      </c>
      <c r="E29" s="1017"/>
      <c r="F29" s="196" t="str">
        <f t="shared" ca="1" si="1"/>
        <v/>
      </c>
      <c r="G29" s="192" t="str">
        <f ca="1">IF(COUNT(G27:G28)&gt;0,SUM(G27:G28),"")</f>
        <v/>
      </c>
      <c r="H29" s="181" t="str">
        <f t="shared" ref="H29:U29" ca="1" si="4">IF(COUNT(H27:H28)&gt;0,SUM(H27:H28),"")</f>
        <v/>
      </c>
      <c r="I29" s="181" t="str">
        <f t="shared" ca="1" si="4"/>
        <v/>
      </c>
      <c r="J29" s="181" t="str">
        <f t="shared" ca="1" si="4"/>
        <v/>
      </c>
      <c r="K29" s="181" t="str">
        <f t="shared" ca="1" si="4"/>
        <v/>
      </c>
      <c r="L29" s="181" t="str">
        <f t="shared" ca="1" si="4"/>
        <v/>
      </c>
      <c r="M29" s="181" t="str">
        <f t="shared" ca="1" si="4"/>
        <v/>
      </c>
      <c r="N29" s="181" t="str">
        <f t="shared" ca="1" si="4"/>
        <v/>
      </c>
      <c r="O29" s="181" t="str">
        <f t="shared" ca="1" si="4"/>
        <v/>
      </c>
      <c r="P29" s="181" t="str">
        <f t="shared" ca="1" si="4"/>
        <v/>
      </c>
      <c r="Q29" s="181" t="str">
        <f t="shared" ca="1" si="4"/>
        <v/>
      </c>
      <c r="R29" s="181" t="str">
        <f t="shared" ca="1" si="4"/>
        <v/>
      </c>
      <c r="S29" s="181" t="str">
        <f t="shared" ca="1" si="4"/>
        <v/>
      </c>
      <c r="T29" s="181" t="str">
        <f t="shared" ca="1" si="4"/>
        <v/>
      </c>
      <c r="U29" s="182" t="str">
        <f t="shared" ca="1" si="4"/>
        <v/>
      </c>
    </row>
    <row r="30" spans="2:21" x14ac:dyDescent="0.4">
      <c r="B30" s="1020"/>
      <c r="C30" s="1023"/>
      <c r="D30" s="158" t="str">
        <f>$D$9</f>
        <v>Préleveur</v>
      </c>
      <c r="E30" s="1017"/>
      <c r="F30" s="196" t="str">
        <f t="shared" ca="1" si="1"/>
        <v/>
      </c>
      <c r="G30" s="191" t="str">
        <f t="shared" ref="G30:U30" ca="1" si="5">IF(F20&lt;&gt;"",_xlfn.SINGLE(INDIRECT(F20&amp;"!"&amp;$F$9)),"")</f>
        <v/>
      </c>
      <c r="H30" s="13" t="str">
        <f t="shared" ca="1" si="5"/>
        <v/>
      </c>
      <c r="I30" s="13" t="str">
        <f t="shared" ca="1" si="5"/>
        <v/>
      </c>
      <c r="J30" s="13" t="str">
        <f t="shared" ca="1" si="5"/>
        <v/>
      </c>
      <c r="K30" s="13" t="str">
        <f t="shared" ca="1" si="5"/>
        <v/>
      </c>
      <c r="L30" s="13" t="str">
        <f t="shared" ca="1" si="5"/>
        <v/>
      </c>
      <c r="M30" s="13" t="str">
        <f t="shared" ca="1" si="5"/>
        <v/>
      </c>
      <c r="N30" s="13" t="str">
        <f t="shared" ca="1" si="5"/>
        <v/>
      </c>
      <c r="O30" s="13" t="str">
        <f t="shared" ca="1" si="5"/>
        <v/>
      </c>
      <c r="P30" s="13" t="str">
        <f t="shared" ca="1" si="5"/>
        <v/>
      </c>
      <c r="Q30" s="13" t="str">
        <f t="shared" ca="1" si="5"/>
        <v/>
      </c>
      <c r="R30" s="13" t="str">
        <f t="shared" ca="1" si="5"/>
        <v/>
      </c>
      <c r="S30" s="13" t="str">
        <f t="shared" ca="1" si="5"/>
        <v/>
      </c>
      <c r="T30" s="13" t="str">
        <f t="shared" ca="1" si="5"/>
        <v/>
      </c>
      <c r="U30" s="162" t="str">
        <f t="shared" ca="1" si="5"/>
        <v/>
      </c>
    </row>
    <row r="31" spans="2:21" x14ac:dyDescent="0.4">
      <c r="B31" s="1020"/>
      <c r="C31" s="1023"/>
      <c r="D31" s="369" t="s">
        <v>412</v>
      </c>
      <c r="E31" s="1017"/>
      <c r="F31" s="196" t="str">
        <f t="shared" ca="1" si="1"/>
        <v/>
      </c>
      <c r="G31" s="370" t="str">
        <f ca="1">IF(F21&lt;&gt;"",VLOOKUP(F21,Analytique!$X$3:$AE$29,6,FALSE),"")</f>
        <v/>
      </c>
      <c r="H31" s="370" t="str">
        <f ca="1">IF(G21&lt;&gt;"",VLOOKUP(G21,Analytique!$X$3:$AE$29,6,FALSE),"")</f>
        <v/>
      </c>
      <c r="I31" s="370" t="str">
        <f ca="1">IF(H21&lt;&gt;"",VLOOKUP(H21,Analytique!$X$3:$AE$29,6,FALSE),"")</f>
        <v/>
      </c>
      <c r="J31" s="370" t="str">
        <f ca="1">IF(I21&lt;&gt;"",VLOOKUP(I21,Analytique!$X$3:$AE$29,6,FALSE),"")</f>
        <v/>
      </c>
      <c r="K31" s="370" t="str">
        <f ca="1">IF(J21&lt;&gt;"",VLOOKUP(J21,Analytique!$X$3:$AE$29,6,FALSE),"")</f>
        <v/>
      </c>
      <c r="L31" s="370" t="str">
        <f ca="1">IF(K21&lt;&gt;"",VLOOKUP(K21,Analytique!$X$3:$AE$29,6,FALSE),"")</f>
        <v/>
      </c>
      <c r="M31" s="370" t="str">
        <f ca="1">IF(L21&lt;&gt;"",VLOOKUP(L21,Analytique!$X$3:$AE$29,6,FALSE),"")</f>
        <v/>
      </c>
      <c r="N31" s="370" t="str">
        <f ca="1">IF(M21&lt;&gt;"",VLOOKUP(M21,Analytique!$X$3:$AE$29,6,FALSE),"")</f>
        <v/>
      </c>
      <c r="O31" s="370" t="str">
        <f ca="1">IF(N21&lt;&gt;"",VLOOKUP(N21,Analytique!$X$3:$AE$29,6,FALSE),"")</f>
        <v/>
      </c>
      <c r="P31" s="370" t="str">
        <f ca="1">IF(O21&lt;&gt;"",VLOOKUP(O21,Analytique!$X$3:$AE$29,6,FALSE),"")</f>
        <v/>
      </c>
      <c r="Q31" s="370" t="str">
        <f ca="1">IF(P21&lt;&gt;"",VLOOKUP(P21,Analytique!$X$3:$AE$29,6,FALSE),"")</f>
        <v/>
      </c>
      <c r="R31" s="370" t="str">
        <f ca="1">IF(Q21&lt;&gt;"",VLOOKUP(Q21,Analytique!$X$3:$AE$29,6,FALSE),"")</f>
        <v/>
      </c>
      <c r="S31" s="370" t="str">
        <f ca="1">IF(R21&lt;&gt;"",VLOOKUP(R21,Analytique!$X$3:$AE$29,6,FALSE),"")</f>
        <v/>
      </c>
      <c r="T31" s="370" t="str">
        <f ca="1">IF(S21&lt;&gt;"",VLOOKUP(S21,Analytique!$X$3:$AE$29,6,FALSE),"")</f>
        <v/>
      </c>
      <c r="U31" s="370" t="str">
        <f ca="1">IF(T21&lt;&gt;"",VLOOKUP(T21,Analytique!$X$3:$AE$29,6,FALSE),"")</f>
        <v/>
      </c>
    </row>
    <row r="32" spans="2:21" ht="13" thickBot="1" x14ac:dyDescent="0.45">
      <c r="B32" s="1021"/>
      <c r="C32" s="1024"/>
      <c r="D32" s="163" t="str">
        <f>$D$10</f>
        <v>Sonde de température</v>
      </c>
      <c r="E32" s="1018"/>
      <c r="F32" s="197" t="str">
        <f t="shared" ca="1" si="1"/>
        <v/>
      </c>
      <c r="G32" s="193" t="str">
        <f t="shared" ref="G32:U32" ca="1" si="6">IF(F22&lt;&gt;"",_xlfn.SINGLE(INDIRECT(F22&amp;"!"&amp;$F$10)),"")</f>
        <v/>
      </c>
      <c r="H32" s="166" t="str">
        <f t="shared" ca="1" si="6"/>
        <v/>
      </c>
      <c r="I32" s="166" t="str">
        <f t="shared" ca="1" si="6"/>
        <v/>
      </c>
      <c r="J32" s="166" t="str">
        <f t="shared" ca="1" si="6"/>
        <v/>
      </c>
      <c r="K32" s="166" t="str">
        <f t="shared" ca="1" si="6"/>
        <v/>
      </c>
      <c r="L32" s="166" t="str">
        <f t="shared" ca="1" si="6"/>
        <v/>
      </c>
      <c r="M32" s="166" t="str">
        <f t="shared" ca="1" si="6"/>
        <v/>
      </c>
      <c r="N32" s="166" t="str">
        <f t="shared" ca="1" si="6"/>
        <v/>
      </c>
      <c r="O32" s="166" t="str">
        <f t="shared" ca="1" si="6"/>
        <v/>
      </c>
      <c r="P32" s="166" t="str">
        <f t="shared" ca="1" si="6"/>
        <v/>
      </c>
      <c r="Q32" s="166" t="str">
        <f t="shared" ca="1" si="6"/>
        <v/>
      </c>
      <c r="R32" s="166" t="str">
        <f t="shared" ca="1" si="6"/>
        <v/>
      </c>
      <c r="S32" s="166" t="str">
        <f t="shared" ca="1" si="6"/>
        <v/>
      </c>
      <c r="T32" s="166" t="str">
        <f t="shared" ca="1" si="6"/>
        <v/>
      </c>
      <c r="U32" s="167" t="str">
        <f t="shared" ca="1" si="6"/>
        <v/>
      </c>
    </row>
    <row r="35" spans="2:21" s="154" customFormat="1" ht="23.1" customHeight="1" x14ac:dyDescent="0.4">
      <c r="B35" s="155" t="s">
        <v>29</v>
      </c>
    </row>
    <row r="36" spans="2:21" x14ac:dyDescent="0.4">
      <c r="B36" t="s">
        <v>426</v>
      </c>
    </row>
    <row r="37" spans="2:21" s="12" customFormat="1" ht="15.95" customHeight="1" thickBot="1" x14ac:dyDescent="0.45">
      <c r="B37" s="179" t="s">
        <v>324</v>
      </c>
      <c r="C37" s="180" t="s">
        <v>325</v>
      </c>
      <c r="D37" s="185"/>
      <c r="E37" s="194" t="s">
        <v>335</v>
      </c>
      <c r="F37" s="186" t="s">
        <v>334</v>
      </c>
      <c r="G37" s="183" t="s">
        <v>5</v>
      </c>
      <c r="H37" s="183" t="s">
        <v>6</v>
      </c>
      <c r="I37" s="183" t="s">
        <v>7</v>
      </c>
      <c r="J37" s="183" t="s">
        <v>17</v>
      </c>
      <c r="K37" s="183" t="s">
        <v>18</v>
      </c>
      <c r="L37" s="183" t="s">
        <v>19</v>
      </c>
      <c r="M37" s="183" t="s">
        <v>20</v>
      </c>
      <c r="N37" s="183" t="s">
        <v>21</v>
      </c>
      <c r="O37" s="183" t="s">
        <v>22</v>
      </c>
      <c r="P37" s="183" t="s">
        <v>23</v>
      </c>
      <c r="Q37" s="183" t="s">
        <v>24</v>
      </c>
      <c r="R37" s="184" t="s">
        <v>25</v>
      </c>
      <c r="S37" s="184" t="s">
        <v>318</v>
      </c>
      <c r="T37" s="184" t="s">
        <v>319</v>
      </c>
      <c r="U37" s="184" t="s">
        <v>320</v>
      </c>
    </row>
    <row r="38" spans="2:21" ht="13" thickBot="1" x14ac:dyDescent="0.45">
      <c r="B38" s="1008" t="s">
        <v>102</v>
      </c>
      <c r="C38" s="1012" t="s">
        <v>104</v>
      </c>
      <c r="D38" s="188" t="str">
        <f>$D$7</f>
        <v>Débitmètre en charge</v>
      </c>
      <c r="E38" s="1016" t="str" cm="1">
        <f t="array" aca="1" ref="E38" ca="1">IFERROR(LOOKUP(MIN(IF(LEFT(F38:F42,10)="Non validé",1,IF(F38:F42="Validé avec réserve",2,IF(F38:F42="Validé",3)))),{1,2,3},{"Non validé","Validé avec réserve","Validé"}),"")</f>
        <v/>
      </c>
      <c r="F38" s="188" t="str" cm="1">
        <f t="array" aca="1" ref="F38" ca="1">IFERROR(LOOKUP(MIN(IF(LEFT(G38:U38,10)="Non validé",1,IF(G38:U38="Validé avec réserve",2,IF(G38:U38="Validé",3)))),{1,2,3},{"Non validé","Validé avec réserve","Validé"}),"")</f>
        <v/>
      </c>
      <c r="G38" s="160" t="str">
        <f t="shared" ref="G38:U38" ca="1" si="7">IF(F18&lt;&gt;"",_xlfn.SINGLE(INDIRECT(F18&amp;"!"&amp;$G$7)),"")</f>
        <v/>
      </c>
      <c r="H38" s="160" t="str">
        <f t="shared" ca="1" si="7"/>
        <v/>
      </c>
      <c r="I38" s="160" t="str">
        <f t="shared" ca="1" si="7"/>
        <v/>
      </c>
      <c r="J38" s="160" t="str">
        <f t="shared" ca="1" si="7"/>
        <v/>
      </c>
      <c r="K38" s="160" t="str">
        <f t="shared" ca="1" si="7"/>
        <v/>
      </c>
      <c r="L38" s="160" t="str">
        <f t="shared" ca="1" si="7"/>
        <v/>
      </c>
      <c r="M38" s="160" t="str">
        <f t="shared" ca="1" si="7"/>
        <v/>
      </c>
      <c r="N38" s="160" t="str">
        <f t="shared" ca="1" si="7"/>
        <v/>
      </c>
      <c r="O38" s="160" t="str">
        <f t="shared" ca="1" si="7"/>
        <v/>
      </c>
      <c r="P38" s="160" t="str">
        <f t="shared" ca="1" si="7"/>
        <v/>
      </c>
      <c r="Q38" s="160" t="str">
        <f t="shared" ca="1" si="7"/>
        <v/>
      </c>
      <c r="R38" s="160" t="str">
        <f t="shared" ca="1" si="7"/>
        <v/>
      </c>
      <c r="S38" s="160" t="str">
        <f t="shared" ca="1" si="7"/>
        <v/>
      </c>
      <c r="T38" s="160" t="str">
        <f t="shared" ca="1" si="7"/>
        <v/>
      </c>
      <c r="U38" s="160" t="str">
        <f t="shared" ca="1" si="7"/>
        <v/>
      </c>
    </row>
    <row r="39" spans="2:21" ht="13" thickBot="1" x14ac:dyDescent="0.45">
      <c r="B39" s="1009"/>
      <c r="C39" s="1013"/>
      <c r="D39" s="187" t="str">
        <f>$D$8</f>
        <v>Débitmètre gravitaire</v>
      </c>
      <c r="E39" s="1017"/>
      <c r="F39" s="188" t="str" cm="1">
        <f t="array" aca="1" ref="F39" ca="1">IFERROR(LOOKUP(MIN(IF(LEFT(G39:U39,10)="Non validé",1,IF(G39:U39="Validé avec réserve",2,IF(G39:U39="Validé",3)))),{1,2,3},{"Non validé","Validé avec réserve","Validé"}),"")</f>
        <v/>
      </c>
      <c r="G39" s="13" t="str">
        <f t="shared" ref="G39:U39" ca="1" si="8">IF(F19&lt;&gt;"",_xlfn.SINGLE(INDIRECT(F19&amp;"!"&amp;$G$8)),"")</f>
        <v/>
      </c>
      <c r="H39" s="13" t="str">
        <f t="shared" ca="1" si="8"/>
        <v/>
      </c>
      <c r="I39" s="13" t="str">
        <f t="shared" ca="1" si="8"/>
        <v/>
      </c>
      <c r="J39" s="13" t="str">
        <f t="shared" ca="1" si="8"/>
        <v/>
      </c>
      <c r="K39" s="13" t="str">
        <f t="shared" ca="1" si="8"/>
        <v/>
      </c>
      <c r="L39" s="13" t="str">
        <f t="shared" ca="1" si="8"/>
        <v/>
      </c>
      <c r="M39" s="13" t="str">
        <f t="shared" ca="1" si="8"/>
        <v/>
      </c>
      <c r="N39" s="13" t="str">
        <f t="shared" ca="1" si="8"/>
        <v/>
      </c>
      <c r="O39" s="13" t="str">
        <f t="shared" ca="1" si="8"/>
        <v/>
      </c>
      <c r="P39" s="13" t="str">
        <f t="shared" ca="1" si="8"/>
        <v/>
      </c>
      <c r="Q39" s="13" t="str">
        <f t="shared" ca="1" si="8"/>
        <v/>
      </c>
      <c r="R39" s="13" t="str">
        <f t="shared" ca="1" si="8"/>
        <v/>
      </c>
      <c r="S39" s="13" t="str">
        <f t="shared" ca="1" si="8"/>
        <v/>
      </c>
      <c r="T39" s="13" t="str">
        <f t="shared" ca="1" si="8"/>
        <v/>
      </c>
      <c r="U39" s="13" t="str">
        <f t="shared" ca="1" si="8"/>
        <v/>
      </c>
    </row>
    <row r="40" spans="2:21" ht="13" thickBot="1" x14ac:dyDescent="0.45">
      <c r="B40" s="1009"/>
      <c r="C40" s="1013"/>
      <c r="D40" s="187" t="s">
        <v>420</v>
      </c>
      <c r="E40" s="1017"/>
      <c r="F40" s="188" t="str" cm="1">
        <f t="array" aca="1" ref="F40" ca="1">IFERROR(LOOKUP(MIN(IF(LEFT(G40:U40,10)="Non validé",1,IF(G40:U40="Validé avec réserve",2,IF(G40:U40="Validé",3)))),{1,2,3},{"Non validé","Validé avec réserve","Validé"}),"")</f>
        <v/>
      </c>
      <c r="G40" s="181" t="str">
        <f ca="1">G38 &amp; G39</f>
        <v/>
      </c>
      <c r="H40" s="181" t="str">
        <f t="shared" ref="H40:U40" ca="1" si="9">H38 &amp; H39</f>
        <v/>
      </c>
      <c r="I40" s="181" t="str">
        <f t="shared" ca="1" si="9"/>
        <v/>
      </c>
      <c r="J40" s="181" t="str">
        <f t="shared" ca="1" si="9"/>
        <v/>
      </c>
      <c r="K40" s="181" t="str">
        <f t="shared" ca="1" si="9"/>
        <v/>
      </c>
      <c r="L40" s="181" t="str">
        <f t="shared" ca="1" si="9"/>
        <v/>
      </c>
      <c r="M40" s="181" t="str">
        <f t="shared" ca="1" si="9"/>
        <v/>
      </c>
      <c r="N40" s="181" t="str">
        <f t="shared" ca="1" si="9"/>
        <v/>
      </c>
      <c r="O40" s="181" t="str">
        <f t="shared" ca="1" si="9"/>
        <v/>
      </c>
      <c r="P40" s="181" t="str">
        <f t="shared" ca="1" si="9"/>
        <v/>
      </c>
      <c r="Q40" s="181" t="str">
        <f t="shared" ca="1" si="9"/>
        <v/>
      </c>
      <c r="R40" s="181" t="str">
        <f t="shared" ca="1" si="9"/>
        <v/>
      </c>
      <c r="S40" s="181" t="str">
        <f t="shared" ca="1" si="9"/>
        <v/>
      </c>
      <c r="T40" s="181" t="str">
        <f t="shared" ca="1" si="9"/>
        <v/>
      </c>
      <c r="U40" s="181" t="str">
        <f t="shared" ca="1" si="9"/>
        <v/>
      </c>
    </row>
    <row r="41" spans="2:21" ht="13" thickBot="1" x14ac:dyDescent="0.45">
      <c r="B41" s="1009"/>
      <c r="C41" s="1013"/>
      <c r="D41" s="187" t="str">
        <f>$D$9</f>
        <v>Préleveur</v>
      </c>
      <c r="E41" s="1017"/>
      <c r="F41" s="188" t="str" cm="1">
        <f t="array" aca="1" ref="F41" ca="1">IFERROR(LOOKUP(MIN(IF(LEFT(G41:U41,10)="Non validé",1,IF(G41:U41="Validé avec réserve",2,IF(G41:U41="Validé",3)))),{1,2,3},{"Non validé","Validé avec réserve","Validé"}),"")</f>
        <v/>
      </c>
      <c r="G41" s="13" t="str">
        <f t="shared" ref="G41:U41" ca="1" si="10">IF(F20&lt;&gt;"",_xlfn.SINGLE(INDIRECT(F20&amp;"!"&amp;$G$9)),"")</f>
        <v/>
      </c>
      <c r="H41" s="13" t="str">
        <f t="shared" ca="1" si="10"/>
        <v/>
      </c>
      <c r="I41" s="13" t="str">
        <f t="shared" ca="1" si="10"/>
        <v/>
      </c>
      <c r="J41" s="13" t="str">
        <f t="shared" ca="1" si="10"/>
        <v/>
      </c>
      <c r="K41" s="13" t="str">
        <f t="shared" ca="1" si="10"/>
        <v/>
      </c>
      <c r="L41" s="13" t="str">
        <f t="shared" ca="1" si="10"/>
        <v/>
      </c>
      <c r="M41" s="13" t="str">
        <f t="shared" ca="1" si="10"/>
        <v/>
      </c>
      <c r="N41" s="13" t="str">
        <f t="shared" ca="1" si="10"/>
        <v/>
      </c>
      <c r="O41" s="13" t="str">
        <f t="shared" ca="1" si="10"/>
        <v/>
      </c>
      <c r="P41" s="13" t="str">
        <f t="shared" ca="1" si="10"/>
        <v/>
      </c>
      <c r="Q41" s="13" t="str">
        <f t="shared" ca="1" si="10"/>
        <v/>
      </c>
      <c r="R41" s="13" t="str">
        <f t="shared" ca="1" si="10"/>
        <v/>
      </c>
      <c r="S41" s="13" t="str">
        <f t="shared" ca="1" si="10"/>
        <v/>
      </c>
      <c r="T41" s="13" t="str">
        <f t="shared" ca="1" si="10"/>
        <v/>
      </c>
      <c r="U41" s="13" t="str">
        <f t="shared" ca="1" si="10"/>
        <v/>
      </c>
    </row>
    <row r="42" spans="2:21" ht="13" thickBot="1" x14ac:dyDescent="0.45">
      <c r="B42" s="1010"/>
      <c r="C42" s="1014"/>
      <c r="D42" s="372" t="s">
        <v>412</v>
      </c>
      <c r="E42" s="1017"/>
      <c r="F42" s="188" t="str" cm="1">
        <f t="array" aca="1" ref="F42" ca="1">IFERROR(LOOKUP(MIN(IF(LEFT(G42:U42,10)="Non validé",1,IF(G42:U42="Validé avec réserve",2,IF(G42:U42="Validé",3)))),{1,2,3},{"Non validé","Validé avec réserve","Validé"}),"")</f>
        <v/>
      </c>
      <c r="G42" s="370" t="str">
        <f ca="1">IF(F21&lt;&gt;"",VLOOKUP(F21,Analytique!$X$3:$AE$29,7,FALSE),"")</f>
        <v/>
      </c>
      <c r="H42" s="370" t="str">
        <f ca="1">IF(G21&lt;&gt;"",VLOOKUP(G21,Analytique!$X$3:$AE$29,7,FALSE),"")</f>
        <v/>
      </c>
      <c r="I42" s="370" t="str">
        <f ca="1">IF(H21&lt;&gt;"",VLOOKUP(H21,Analytique!$X$3:$AE$29,7,FALSE),"")</f>
        <v/>
      </c>
      <c r="J42" s="370" t="str">
        <f ca="1">IF(I21&lt;&gt;"",VLOOKUP(I21,Analytique!$X$3:$AE$29,7,FALSE),"")</f>
        <v/>
      </c>
      <c r="K42" s="370" t="str">
        <f ca="1">IF(J21&lt;&gt;"",VLOOKUP(J21,Analytique!$X$3:$AE$29,7,FALSE),"")</f>
        <v/>
      </c>
      <c r="L42" s="370" t="str">
        <f ca="1">IF(K21&lt;&gt;"",VLOOKUP(K21,Analytique!$X$3:$AE$29,7,FALSE),"")</f>
        <v/>
      </c>
      <c r="M42" s="370" t="str">
        <f ca="1">IF(L21&lt;&gt;"",VLOOKUP(L21,Analytique!$X$3:$AE$29,7,FALSE),"")</f>
        <v/>
      </c>
      <c r="N42" s="370" t="str">
        <f ca="1">IF(M21&lt;&gt;"",VLOOKUP(M21,Analytique!$X$3:$AE$29,7,FALSE),"")</f>
        <v/>
      </c>
      <c r="O42" s="370" t="str">
        <f ca="1">IF(N21&lt;&gt;"",VLOOKUP(N21,Analytique!$X$3:$AE$29,7,FALSE),"")</f>
        <v/>
      </c>
      <c r="P42" s="370" t="str">
        <f ca="1">IF(O21&lt;&gt;"",VLOOKUP(O21,Analytique!$X$3:$AE$29,7,FALSE),"")</f>
        <v/>
      </c>
      <c r="Q42" s="370" t="str">
        <f ca="1">IF(P21&lt;&gt;"",VLOOKUP(P21,Analytique!$X$3:$AE$29,7,FALSE),"")</f>
        <v/>
      </c>
      <c r="R42" s="370" t="str">
        <f ca="1">IF(Q21&lt;&gt;"",VLOOKUP(Q21,Analytique!$X$3:$AE$29,7,FALSE),"")</f>
        <v/>
      </c>
      <c r="S42" s="370" t="str">
        <f ca="1">IF(R21&lt;&gt;"",VLOOKUP(R21,Analytique!$X$3:$AE$29,7,FALSE),"")</f>
        <v/>
      </c>
      <c r="T42" s="370" t="str">
        <f ca="1">IF(S21&lt;&gt;"",VLOOKUP(S21,Analytique!$X$3:$AE$29,7,FALSE),"")</f>
        <v/>
      </c>
      <c r="U42" s="370" t="str">
        <f ca="1">IF(T21&lt;&gt;"",VLOOKUP(T21,Analytique!$X$3:$AE$29,7,FALSE),"")</f>
        <v/>
      </c>
    </row>
    <row r="43" spans="2:21" ht="13" thickBot="1" x14ac:dyDescent="0.45">
      <c r="B43" s="1011"/>
      <c r="C43" s="1015"/>
      <c r="D43" s="189" t="str">
        <f>$D$10</f>
        <v>Sonde de température</v>
      </c>
      <c r="E43" s="1018"/>
      <c r="F43" s="188" t="str" cm="1">
        <f t="array" aca="1" ref="F43" ca="1">IFERROR(LOOKUP(MIN(IF(LEFT(G43:U43,10)="Non validé",1,IF(G43:U43="Validé avec réserve",2,IF(G43:U43="Validé",3)))),{1,2,3},{"Non validé","Validé avec réserve","Validé"}),"")</f>
        <v/>
      </c>
      <c r="G43" s="166" t="str">
        <f t="shared" ref="G43:U43" ca="1" si="11">IF(F22&lt;&gt;"",_xlfn.SINGLE(INDIRECT(F22&amp;"!"&amp;$G$10)),"")</f>
        <v/>
      </c>
      <c r="H43" s="166" t="str">
        <f t="shared" ca="1" si="11"/>
        <v/>
      </c>
      <c r="I43" s="166" t="str">
        <f t="shared" ca="1" si="11"/>
        <v/>
      </c>
      <c r="J43" s="166" t="str">
        <f t="shared" ca="1" si="11"/>
        <v/>
      </c>
      <c r="K43" s="166" t="str">
        <f t="shared" ca="1" si="11"/>
        <v/>
      </c>
      <c r="L43" s="166" t="str">
        <f t="shared" ca="1" si="11"/>
        <v/>
      </c>
      <c r="M43" s="166" t="str">
        <f t="shared" ca="1" si="11"/>
        <v/>
      </c>
      <c r="N43" s="166" t="str">
        <f t="shared" ca="1" si="11"/>
        <v/>
      </c>
      <c r="O43" s="166" t="str">
        <f t="shared" ca="1" si="11"/>
        <v/>
      </c>
      <c r="P43" s="166" t="str">
        <f t="shared" ca="1" si="11"/>
        <v/>
      </c>
      <c r="Q43" s="166" t="str">
        <f t="shared" ca="1" si="11"/>
        <v/>
      </c>
      <c r="R43" s="166" t="str">
        <f t="shared" ca="1" si="11"/>
        <v/>
      </c>
      <c r="S43" s="166" t="str">
        <f t="shared" ca="1" si="11"/>
        <v/>
      </c>
      <c r="T43" s="166" t="str">
        <f t="shared" ca="1" si="11"/>
        <v/>
      </c>
      <c r="U43" s="166" t="str">
        <f t="shared" ca="1" si="11"/>
        <v/>
      </c>
    </row>
  </sheetData>
  <sheetProtection algorithmName="SHA-512" hashValue="uZ6MwmoVXZLo+Qd59bqywJ219ZmjgFIjD6pr7SUMn41Z61TisKDknwm+GXlSVchI1bvkTKasAFRbc7iTOjJZnw==" saltValue="P3kEap29NrHWJqTJdjom0A==" spinCount="100000" sheet="1" objects="1" scenarios="1" formatRows="0"/>
  <mergeCells count="11">
    <mergeCell ref="B18:B22"/>
    <mergeCell ref="B4:C4"/>
    <mergeCell ref="E4:I4"/>
    <mergeCell ref="B5:C7"/>
    <mergeCell ref="E12:S12"/>
    <mergeCell ref="B38:B43"/>
    <mergeCell ref="C38:C43"/>
    <mergeCell ref="E38:E43"/>
    <mergeCell ref="B27:B32"/>
    <mergeCell ref="C27:C32"/>
    <mergeCell ref="E27:E32"/>
  </mergeCells>
  <conditionalFormatting sqref="B18:C18">
    <cfRule type="expression" priority="18">
      <formula>IF(#REF!="Industrie",1,0)</formula>
    </cfRule>
  </conditionalFormatting>
  <conditionalFormatting sqref="B27:C27">
    <cfRule type="expression" priority="10">
      <formula>IF(#REF!="Industrie",1,0)</formula>
    </cfRule>
  </conditionalFormatting>
  <conditionalFormatting sqref="B38:C38">
    <cfRule type="expression" priority="2">
      <formula>IF(#REF!="Industrie",1,0)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4" customWidth="1"/>
    <col min="2" max="2" width="8.703125" style="4" bestFit="1" customWidth="1"/>
    <col min="3" max="3" width="26.5859375" style="4" bestFit="1" customWidth="1"/>
    <col min="4" max="4" width="19" style="4" customWidth="1"/>
    <col min="5" max="5" width="13" style="10" customWidth="1"/>
    <col min="6" max="6" width="2.703125" style="4" customWidth="1"/>
    <col min="7" max="7" width="12.1171875" style="4" hidden="1" customWidth="1"/>
    <col min="8" max="11" width="0" style="4" hidden="1" customWidth="1"/>
    <col min="12" max="16384" width="11.41015625" style="4" hidden="1"/>
  </cols>
  <sheetData>
    <row r="1" spans="1:6" ht="13" thickBot="1" x14ac:dyDescent="0.45">
      <c r="A1" s="60"/>
      <c r="B1" s="60"/>
      <c r="C1" s="60"/>
      <c r="D1" s="60"/>
      <c r="E1" s="94"/>
      <c r="F1" s="60"/>
    </row>
    <row r="2" spans="1:6" ht="15.7" thickBot="1" x14ac:dyDescent="0.45">
      <c r="A2" s="60"/>
      <c r="B2" s="996" t="s">
        <v>142</v>
      </c>
      <c r="C2" s="997"/>
      <c r="D2" s="997"/>
      <c r="E2" s="998"/>
      <c r="F2" s="95"/>
    </row>
    <row r="3" spans="1:6" ht="13" thickBot="1" x14ac:dyDescent="0.45">
      <c r="A3" s="60"/>
      <c r="B3" s="60"/>
      <c r="C3" s="60"/>
      <c r="D3" s="60"/>
      <c r="E3" s="94"/>
      <c r="F3" s="60"/>
    </row>
    <row r="4" spans="1:6" s="5" customFormat="1" ht="51" thickBot="1" x14ac:dyDescent="0.45">
      <c r="A4" s="96"/>
      <c r="B4" s="97" t="s">
        <v>26</v>
      </c>
      <c r="C4" s="98" t="s">
        <v>32</v>
      </c>
      <c r="D4" s="98" t="s">
        <v>129</v>
      </c>
      <c r="E4" s="99" t="s">
        <v>143</v>
      </c>
      <c r="F4" s="96"/>
    </row>
    <row r="5" spans="1:6" ht="20.100000000000001" customHeight="1" x14ac:dyDescent="0.4">
      <c r="A5" s="60"/>
      <c r="B5" s="100">
        <v>1458</v>
      </c>
      <c r="C5" s="101" t="s">
        <v>144</v>
      </c>
      <c r="D5" s="102" t="s">
        <v>145</v>
      </c>
      <c r="E5" s="103">
        <v>100</v>
      </c>
      <c r="F5" s="60"/>
    </row>
    <row r="6" spans="1:6" ht="20.100000000000001" customHeight="1" x14ac:dyDescent="0.4">
      <c r="A6" s="60"/>
      <c r="B6" s="104">
        <v>1114</v>
      </c>
      <c r="C6" s="105" t="s">
        <v>146</v>
      </c>
      <c r="D6" s="106" t="s">
        <v>147</v>
      </c>
      <c r="E6" s="107">
        <v>10</v>
      </c>
      <c r="F6" s="60"/>
    </row>
    <row r="7" spans="1:6" ht="20.100000000000001" customHeight="1" x14ac:dyDescent="0.4">
      <c r="A7" s="60"/>
      <c r="B7" s="104">
        <v>1115</v>
      </c>
      <c r="C7" s="105" t="s">
        <v>148</v>
      </c>
      <c r="D7" s="106" t="s">
        <v>145</v>
      </c>
      <c r="E7" s="107">
        <v>100</v>
      </c>
      <c r="F7" s="60"/>
    </row>
    <row r="8" spans="1:6" ht="20.100000000000001" customHeight="1" x14ac:dyDescent="0.4">
      <c r="A8" s="60"/>
      <c r="B8" s="104">
        <v>1116</v>
      </c>
      <c r="C8" s="105" t="s">
        <v>149</v>
      </c>
      <c r="D8" s="106" t="s">
        <v>150</v>
      </c>
      <c r="E8" s="107">
        <v>100</v>
      </c>
      <c r="F8" s="60"/>
    </row>
    <row r="9" spans="1:6" ht="20.100000000000001" customHeight="1" x14ac:dyDescent="0.4">
      <c r="A9" s="60"/>
      <c r="B9" s="104">
        <v>1117</v>
      </c>
      <c r="C9" s="105" t="s">
        <v>151</v>
      </c>
      <c r="D9" s="106" t="s">
        <v>150</v>
      </c>
      <c r="E9" s="107">
        <v>100</v>
      </c>
      <c r="F9" s="60"/>
    </row>
    <row r="10" spans="1:6" ht="20.100000000000001" customHeight="1" x14ac:dyDescent="0.4">
      <c r="A10" s="60"/>
      <c r="B10" s="104">
        <v>1118</v>
      </c>
      <c r="C10" s="105" t="s">
        <v>152</v>
      </c>
      <c r="D10" s="106" t="s">
        <v>150</v>
      </c>
      <c r="E10" s="107">
        <v>1000</v>
      </c>
      <c r="F10" s="60"/>
    </row>
    <row r="11" spans="1:6" ht="20.100000000000001" customHeight="1" x14ac:dyDescent="0.4">
      <c r="A11" s="60"/>
      <c r="B11" s="104">
        <v>6616</v>
      </c>
      <c r="C11" s="105" t="s">
        <v>153</v>
      </c>
      <c r="D11" s="106" t="s">
        <v>147</v>
      </c>
      <c r="E11" s="107">
        <v>10</v>
      </c>
      <c r="F11" s="60"/>
    </row>
    <row r="12" spans="1:6" ht="20.100000000000001" customHeight="1" x14ac:dyDescent="0.4">
      <c r="A12" s="60"/>
      <c r="B12" s="104">
        <v>1497</v>
      </c>
      <c r="C12" s="105" t="s">
        <v>154</v>
      </c>
      <c r="D12" s="106" t="s">
        <v>147</v>
      </c>
      <c r="E12" s="107">
        <v>10</v>
      </c>
      <c r="F12" s="60"/>
    </row>
    <row r="13" spans="1:6" ht="20.100000000000001" customHeight="1" x14ac:dyDescent="0.4">
      <c r="A13" s="60"/>
      <c r="B13" s="104">
        <v>1191</v>
      </c>
      <c r="C13" s="105" t="s">
        <v>155</v>
      </c>
      <c r="D13" s="106" t="s">
        <v>145</v>
      </c>
      <c r="E13" s="107">
        <v>100</v>
      </c>
      <c r="F13" s="60"/>
    </row>
    <row r="14" spans="1:6" ht="20.100000000000001" customHeight="1" x14ac:dyDescent="0.4">
      <c r="A14" s="60"/>
      <c r="B14" s="108">
        <v>1204</v>
      </c>
      <c r="C14" s="109" t="s">
        <v>156</v>
      </c>
      <c r="D14" s="106" t="s">
        <v>150</v>
      </c>
      <c r="E14" s="107">
        <v>1000</v>
      </c>
      <c r="F14" s="60"/>
    </row>
    <row r="15" spans="1:6" ht="20.100000000000001" customHeight="1" x14ac:dyDescent="0.4">
      <c r="A15" s="60"/>
      <c r="B15" s="108">
        <v>1517</v>
      </c>
      <c r="C15" s="109" t="s">
        <v>157</v>
      </c>
      <c r="D15" s="106" t="s">
        <v>158</v>
      </c>
      <c r="E15" s="107">
        <v>10</v>
      </c>
      <c r="F15" s="60"/>
    </row>
    <row r="16" spans="1:6" ht="20.100000000000001" customHeight="1" x14ac:dyDescent="0.4">
      <c r="A16" s="60"/>
      <c r="B16" s="108">
        <v>6598</v>
      </c>
      <c r="C16" s="109" t="s">
        <v>159</v>
      </c>
      <c r="D16" s="106" t="s">
        <v>160</v>
      </c>
      <c r="E16" s="107">
        <v>50</v>
      </c>
      <c r="F16" s="60"/>
    </row>
    <row r="17" spans="1:6" s="9" customFormat="1" ht="20.100000000000001" customHeight="1" x14ac:dyDescent="0.4">
      <c r="A17" s="110"/>
      <c r="B17" s="108">
        <v>6600</v>
      </c>
      <c r="C17" s="109" t="s">
        <v>161</v>
      </c>
      <c r="D17" s="106" t="s">
        <v>160</v>
      </c>
      <c r="E17" s="107">
        <v>100</v>
      </c>
      <c r="F17" s="110"/>
    </row>
    <row r="18" spans="1:6" ht="20.100000000000001" customHeight="1" x14ac:dyDescent="0.4">
      <c r="A18" s="60"/>
      <c r="B18" s="108">
        <v>1278</v>
      </c>
      <c r="C18" s="109" t="s">
        <v>162</v>
      </c>
      <c r="D18" s="106" t="s">
        <v>163</v>
      </c>
      <c r="E18" s="107">
        <v>10</v>
      </c>
      <c r="F18" s="60"/>
    </row>
    <row r="19" spans="1:6" ht="20.100000000000001" customHeight="1" x14ac:dyDescent="0.4">
      <c r="A19" s="60"/>
      <c r="B19" s="108">
        <v>2879</v>
      </c>
      <c r="C19" s="109" t="s">
        <v>164</v>
      </c>
      <c r="D19" s="106" t="s">
        <v>165</v>
      </c>
      <c r="E19" s="107">
        <v>1000</v>
      </c>
      <c r="F19" s="60"/>
    </row>
    <row r="20" spans="1:6" ht="20.100000000000001" customHeight="1" thickBot="1" x14ac:dyDescent="0.45">
      <c r="A20" s="60"/>
      <c r="B20" s="111">
        <v>1780</v>
      </c>
      <c r="C20" s="112" t="s">
        <v>166</v>
      </c>
      <c r="D20" s="113" t="s">
        <v>167</v>
      </c>
      <c r="E20" s="114">
        <v>10</v>
      </c>
      <c r="F20" s="60"/>
    </row>
    <row r="21" spans="1:6" ht="12.7" x14ac:dyDescent="0.4">
      <c r="A21" s="60"/>
      <c r="B21" s="60"/>
      <c r="C21" s="115"/>
      <c r="D21" s="116"/>
      <c r="E21" s="117"/>
      <c r="F21" s="60"/>
    </row>
  </sheetData>
  <sheetProtection algorithmName="SHA-512" hashValue="F227rjOdDEIHXfxzk7st/coTz+A4qaxrk/RRqs17chpmWnSwxp6VQuZU2mq3EcHpNY06SjmfhQdDdgEuhR9ZXQ==" saltValue="wnB6sSu/6WF6707PFE0x8A==" spinCount="100000" sheet="1" objects="1" scenarios="1" formatRows="0"/>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Q27"/>
  <sheetViews>
    <sheetView zoomScale="55" zoomScaleNormal="55" workbookViewId="0">
      <pane xSplit="1" ySplit="4" topLeftCell="B5" activePane="bottomRight" state="frozen"/>
      <selection pane="topRight" activeCell="B1" sqref="B1"/>
      <selection pane="bottomLeft" activeCell="A5" sqref="A5"/>
      <selection pane="bottomRight" activeCell="BO10" sqref="BO10"/>
    </sheetView>
  </sheetViews>
  <sheetFormatPr baseColWidth="10" defaultColWidth="11.41015625" defaultRowHeight="12.7" x14ac:dyDescent="0.4"/>
  <cols>
    <col min="1" max="1" width="5.41015625" style="49" bestFit="1" customWidth="1"/>
    <col min="2" max="3" width="40.703125" style="49" customWidth="1"/>
    <col min="4" max="4" width="15.703125" style="49" customWidth="1"/>
    <col min="5" max="5" width="10.703125" style="49" customWidth="1"/>
    <col min="6" max="7" width="40.703125" style="49" customWidth="1"/>
    <col min="8" max="8" width="15.703125" style="49" customWidth="1"/>
    <col min="9" max="9" width="10.703125" style="49" customWidth="1"/>
    <col min="10" max="11" width="40.703125" style="52" customWidth="1"/>
    <col min="12" max="12" width="15.703125" style="53" customWidth="1"/>
    <col min="13" max="13" width="10.703125" style="53" customWidth="1"/>
    <col min="14" max="15" width="40.703125" style="52" customWidth="1"/>
    <col min="16" max="16" width="15.703125" style="53" customWidth="1"/>
    <col min="17" max="17" width="10.703125" style="53" customWidth="1"/>
    <col min="18" max="19" width="40.703125" style="52" customWidth="1"/>
    <col min="20" max="20" width="15.703125" style="53" customWidth="1"/>
    <col min="21" max="21" width="10.703125" style="53" customWidth="1"/>
    <col min="22" max="23" width="40.703125" style="52" customWidth="1"/>
    <col min="24" max="24" width="15.703125" style="53" customWidth="1"/>
    <col min="25" max="25" width="10.703125" style="53" customWidth="1"/>
    <col min="26" max="27" width="40.703125" style="52" customWidth="1"/>
    <col min="28" max="28" width="15.703125" style="53" customWidth="1"/>
    <col min="29" max="29" width="10.703125" style="53" customWidth="1"/>
    <col min="30" max="31" width="40.703125" style="52" customWidth="1"/>
    <col min="32" max="32" width="15.703125" style="53" customWidth="1"/>
    <col min="33" max="33" width="10.703125" style="53" customWidth="1"/>
    <col min="34" max="35" width="40.703125" style="52" customWidth="1"/>
    <col min="36" max="36" width="15.703125" style="53" customWidth="1"/>
    <col min="37" max="37" width="10.703125" style="53" customWidth="1"/>
    <col min="38" max="39" width="40.703125" style="52" customWidth="1"/>
    <col min="40" max="40" width="15.703125" style="53" customWidth="1"/>
    <col min="41" max="41" width="10.703125" style="53" customWidth="1"/>
    <col min="42" max="43" width="40.703125" style="52" customWidth="1"/>
    <col min="44" max="44" width="15.703125" style="53" customWidth="1"/>
    <col min="45" max="45" width="10.703125" style="53" customWidth="1"/>
    <col min="46" max="47" width="40.703125" style="52" customWidth="1"/>
    <col min="48" max="48" width="15.703125" style="53" customWidth="1"/>
    <col min="49" max="49" width="10.703125" style="53" customWidth="1"/>
    <col min="50" max="51" width="40.703125" style="52" customWidth="1"/>
    <col min="52" max="52" width="15.703125" style="53" customWidth="1"/>
    <col min="53" max="53" width="10.703125" style="53" customWidth="1"/>
    <col min="54" max="55" width="40.703125" style="52" customWidth="1"/>
    <col min="56" max="56" width="15.703125" style="53" customWidth="1"/>
    <col min="57" max="57" width="10.703125" style="53" customWidth="1"/>
    <col min="58" max="59" width="40.703125" style="52" customWidth="1"/>
    <col min="60" max="60" width="15.703125" style="52" customWidth="1"/>
    <col min="61" max="61" width="10.703125" style="52" customWidth="1"/>
    <col min="62" max="63" width="40.703125" style="52" customWidth="1"/>
    <col min="64" max="64" width="15.703125" style="52" customWidth="1"/>
    <col min="65" max="65" width="10.703125" style="52" customWidth="1"/>
    <col min="66" max="67" width="40.703125" style="52" customWidth="1"/>
    <col min="68" max="68" width="15.703125" style="52" customWidth="1"/>
    <col min="69" max="69" width="10.703125" style="52" customWidth="1"/>
    <col min="70" max="71" width="40.703125" style="52" customWidth="1"/>
    <col min="72" max="72" width="15.703125" style="52" customWidth="1"/>
    <col min="73" max="73" width="10.703125" style="52" customWidth="1"/>
    <col min="74" max="75" width="40.703125" style="52" customWidth="1"/>
    <col min="76" max="76" width="15.703125" style="52" customWidth="1"/>
    <col min="77" max="77" width="10.703125" style="52" customWidth="1"/>
    <col min="78" max="78" width="40.703125" style="52" customWidth="1"/>
    <col min="79" max="80" width="7.703125" style="52" customWidth="1"/>
    <col min="81" max="81" width="35.703125" style="52" customWidth="1"/>
    <col min="82" max="82" width="40.703125" style="52" customWidth="1"/>
    <col min="83" max="84" width="7.703125" style="52" customWidth="1"/>
    <col min="85" max="85" width="35.703125" style="52" customWidth="1"/>
    <col min="86" max="86" width="40.703125" style="52" customWidth="1"/>
    <col min="87" max="88" width="7.703125" style="52" customWidth="1"/>
    <col min="89" max="89" width="35.703125" style="52" customWidth="1"/>
    <col min="90" max="90" width="40.703125" style="52" customWidth="1"/>
    <col min="91" max="92" width="7.703125" style="52" customWidth="1"/>
    <col min="93" max="93" width="35.703125" style="52" customWidth="1"/>
    <col min="94" max="94" width="40.703125" style="52" customWidth="1"/>
    <col min="95" max="96" width="7.703125" style="52" customWidth="1"/>
    <col min="97" max="97" width="40.703125" style="52" customWidth="1"/>
    <col min="98" max="99" width="7.703125" style="52" customWidth="1"/>
    <col min="100" max="100" width="35.703125" style="52" customWidth="1"/>
    <col min="101" max="101" width="40.703125" style="52" customWidth="1"/>
    <col min="102" max="103" width="7.703125" style="52" customWidth="1"/>
    <col min="104" max="104" width="35.703125" style="52" customWidth="1"/>
    <col min="105" max="105" width="40.703125" style="52" customWidth="1"/>
    <col min="106" max="107" width="7.703125" style="52" customWidth="1"/>
    <col min="108" max="108" width="35.703125" style="52" customWidth="1"/>
    <col min="109" max="109" width="40.703125" style="52" customWidth="1"/>
    <col min="110" max="111" width="7.703125" style="52" customWidth="1"/>
    <col min="112" max="112" width="35.703125" style="52" customWidth="1"/>
    <col min="113" max="113" width="40.703125" style="52" customWidth="1"/>
    <col min="114" max="115" width="7.703125" style="52" customWidth="1"/>
    <col min="116" max="116" width="35.703125" style="52" customWidth="1"/>
    <col min="117" max="117" width="40.703125" style="52" customWidth="1"/>
    <col min="118" max="119" width="7.703125" style="52" customWidth="1"/>
    <col min="120" max="120" width="35.703125" style="52" customWidth="1"/>
    <col min="121" max="121" width="40.703125" style="52" customWidth="1"/>
    <col min="122" max="123" width="7.703125" style="52" customWidth="1"/>
    <col min="124" max="124" width="35.703125" style="52" customWidth="1"/>
    <col min="125" max="125" width="40.703125" style="52" customWidth="1"/>
    <col min="126" max="127" width="7.703125" style="52" customWidth="1"/>
    <col min="128" max="128" width="35.703125" style="52" customWidth="1"/>
    <col min="129" max="129" width="40.703125" style="52" customWidth="1"/>
    <col min="130" max="131" width="7.703125" style="52" customWidth="1"/>
    <col min="132" max="132" width="35.703125" style="52" customWidth="1"/>
    <col min="133" max="133" width="40.703125" style="52" customWidth="1"/>
    <col min="134" max="135" width="7.703125" style="52" customWidth="1"/>
    <col min="136" max="136" width="40.703125" style="52" customWidth="1"/>
    <col min="137" max="138" width="7.703125" style="52" customWidth="1"/>
    <col min="139" max="139" width="35.703125" style="52" customWidth="1"/>
    <col min="140" max="140" width="40.703125" style="52" customWidth="1"/>
    <col min="141" max="142" width="7.703125" style="52" customWidth="1"/>
    <col min="143" max="143" width="35.703125" style="52" customWidth="1"/>
    <col min="144" max="144" width="40.703125" style="52" customWidth="1"/>
    <col min="145" max="146" width="7.703125" style="52" customWidth="1"/>
    <col min="147" max="147" width="35.703125" style="52" customWidth="1"/>
    <col min="148" max="148" width="40.703125" style="52" customWidth="1"/>
    <col min="149" max="150" width="7.703125" style="52" customWidth="1"/>
    <col min="151" max="151" width="35.703125" style="52" customWidth="1"/>
    <col min="152" max="152" width="40.703125" style="52" customWidth="1"/>
    <col min="153" max="154" width="7.703125" style="52" customWidth="1"/>
    <col min="155" max="155" width="35.703125" style="52" customWidth="1"/>
    <col min="156" max="156" width="40.703125" style="52" customWidth="1"/>
    <col min="157" max="158" width="7.703125" style="52" customWidth="1"/>
    <col min="159" max="159" width="35.703125" style="52" customWidth="1"/>
    <col min="160" max="160" width="40.703125" style="52" customWidth="1"/>
    <col min="161" max="162" width="7.703125" style="52" customWidth="1"/>
    <col min="163" max="163" width="35.703125" style="52" customWidth="1"/>
    <col min="164" max="164" width="40.703125" style="52" customWidth="1"/>
    <col min="165" max="166" width="7.703125" style="52" customWidth="1"/>
    <col min="167" max="167" width="35.703125" style="52" customWidth="1"/>
    <col min="168" max="168" width="40.703125" style="52" customWidth="1"/>
    <col min="169" max="170" width="7.703125" style="52" customWidth="1"/>
    <col min="171" max="171" width="35.703125" style="52" customWidth="1"/>
    <col min="172" max="172" width="40.703125" style="52" customWidth="1"/>
    <col min="173" max="174" width="7.703125" style="52" customWidth="1"/>
    <col min="175" max="175" width="40.703125" style="52" customWidth="1"/>
    <col min="176" max="177" width="7.703125" style="52" customWidth="1"/>
    <col min="178" max="178" width="35.703125" style="52" customWidth="1"/>
    <col min="179" max="179" width="40.703125" style="52" customWidth="1"/>
    <col min="180" max="181" width="7.703125" style="52" customWidth="1"/>
    <col min="182" max="182" width="35.703125" style="52" customWidth="1"/>
    <col min="183" max="183" width="40.703125" style="52" customWidth="1"/>
    <col min="184" max="185" width="7.703125" style="52" customWidth="1"/>
    <col min="186" max="186" width="35.703125" style="52" customWidth="1"/>
    <col min="187" max="187" width="40.703125" style="52" customWidth="1"/>
    <col min="188" max="189" width="7.703125" style="52" customWidth="1"/>
    <col min="190" max="190" width="35.703125" style="52" customWidth="1"/>
    <col min="191" max="191" width="40.703125" style="52" customWidth="1"/>
    <col min="192" max="193" width="7.703125" style="52" customWidth="1"/>
    <col min="194" max="194" width="35.703125" style="52" customWidth="1"/>
    <col min="195" max="195" width="40.703125" style="52" customWidth="1"/>
    <col min="196" max="197" width="7.703125" style="52" customWidth="1"/>
    <col min="198" max="198" width="35.703125" style="52" customWidth="1"/>
    <col min="199" max="199" width="40.703125" style="52" customWidth="1"/>
    <col min="200" max="201" width="7.703125" style="52" customWidth="1"/>
    <col min="202" max="202" width="35.703125" style="52" customWidth="1"/>
    <col min="203" max="203" width="40.703125" style="52" customWidth="1"/>
    <col min="204" max="205" width="7.703125" style="52" customWidth="1"/>
    <col min="206" max="206" width="35.703125" style="52" customWidth="1"/>
    <col min="207" max="207" width="40.703125" style="52" customWidth="1"/>
    <col min="208" max="209" width="7.703125" style="52" customWidth="1"/>
    <col min="210" max="210" width="35.703125" style="52" customWidth="1"/>
    <col min="211" max="211" width="40.703125" style="52" customWidth="1"/>
    <col min="212" max="213" width="7.703125" style="52" customWidth="1"/>
    <col min="214" max="214" width="40.703125" style="52" customWidth="1"/>
    <col min="215" max="216" width="7.703125" style="52" customWidth="1"/>
    <col min="217" max="217" width="35.703125" style="52" customWidth="1"/>
    <col min="218" max="218" width="40.703125" style="52" customWidth="1"/>
    <col min="219" max="220" width="7.703125" style="52" customWidth="1"/>
    <col min="221" max="221" width="35.703125" style="52" customWidth="1"/>
    <col min="222" max="222" width="40.703125" style="52" customWidth="1"/>
    <col min="223" max="224" width="7.703125" style="52" customWidth="1"/>
    <col min="225" max="225" width="35.703125" style="52" customWidth="1"/>
    <col min="226" max="226" width="40.703125" style="52" customWidth="1"/>
    <col min="227" max="228" width="7.703125" style="52" customWidth="1"/>
    <col min="229" max="229" width="35.703125" style="52" customWidth="1"/>
    <col min="230" max="230" width="40.703125" style="52" customWidth="1"/>
    <col min="231" max="232" width="7.703125" style="52" customWidth="1"/>
    <col min="233" max="233" width="35.703125" style="52" customWidth="1"/>
    <col min="234" max="234" width="40.703125" style="52" customWidth="1"/>
    <col min="235" max="236" width="7.703125" style="52" customWidth="1"/>
    <col min="237" max="237" width="35.703125" style="52" customWidth="1"/>
    <col min="238" max="238" width="40.703125" style="52" customWidth="1"/>
    <col min="239" max="240" width="7.703125" style="52" customWidth="1"/>
    <col min="241" max="241" width="35.703125" style="52" customWidth="1"/>
    <col min="242" max="242" width="40.703125" style="52" customWidth="1"/>
    <col min="243" max="244" width="7.703125" style="52" customWidth="1"/>
    <col min="245" max="245" width="35.703125" style="52" customWidth="1"/>
    <col min="246" max="246" width="40.703125" style="52" customWidth="1"/>
    <col min="247" max="248" width="7.703125" style="52" customWidth="1"/>
    <col min="249" max="249" width="35.703125" style="52" customWidth="1"/>
    <col min="250" max="250" width="40.703125" style="52" customWidth="1"/>
    <col min="251" max="252" width="7.703125" style="52" customWidth="1"/>
    <col min="253" max="253" width="40.703125" style="52" customWidth="1"/>
    <col min="254" max="255" width="7.703125" style="52" customWidth="1"/>
    <col min="256" max="256" width="35.703125" style="52" customWidth="1"/>
    <col min="257" max="257" width="40.703125" style="52" customWidth="1"/>
    <col min="258" max="259" width="7.703125" style="52" customWidth="1"/>
    <col min="260" max="260" width="35.703125" style="52" customWidth="1"/>
    <col min="261" max="261" width="40.703125" style="52" customWidth="1"/>
    <col min="262" max="263" width="7.703125" style="52" customWidth="1"/>
    <col min="264" max="264" width="35.703125" style="52" customWidth="1"/>
    <col min="265" max="265" width="40.703125" style="52" customWidth="1"/>
    <col min="266" max="267" width="7.703125" style="52" customWidth="1"/>
    <col min="268" max="268" width="35.703125" style="52" customWidth="1"/>
    <col min="269" max="269" width="40.703125" style="52" customWidth="1"/>
    <col min="270" max="271" width="7.703125" style="52" customWidth="1"/>
    <col min="272" max="272" width="35.703125" style="52" customWidth="1"/>
    <col min="273" max="273" width="40.703125" style="52" customWidth="1"/>
    <col min="274" max="275" width="7.703125" style="52" customWidth="1"/>
    <col min="276" max="276" width="35.703125" style="52" customWidth="1"/>
    <col min="277" max="277" width="40.703125" style="52" customWidth="1"/>
    <col min="278" max="279" width="7.703125" style="52" customWidth="1"/>
    <col min="280" max="280" width="35.703125" style="52" customWidth="1"/>
    <col min="281" max="281" width="40.703125" style="52" customWidth="1"/>
    <col min="282" max="283" width="7.703125" style="52" customWidth="1"/>
    <col min="284" max="284" width="35.703125" style="52" customWidth="1"/>
    <col min="285" max="285" width="40.703125" style="52" customWidth="1"/>
    <col min="286" max="287" width="7.703125" style="52" customWidth="1"/>
    <col min="288" max="288" width="35.703125" style="52" customWidth="1"/>
    <col min="289" max="289" width="40.703125" style="52" customWidth="1"/>
    <col min="290" max="291" width="7.703125" style="52" customWidth="1"/>
    <col min="292" max="292" width="40.703125" style="52" customWidth="1"/>
    <col min="293" max="294" width="7.703125" style="52" customWidth="1"/>
    <col min="295" max="295" width="35.703125" style="52" customWidth="1"/>
    <col min="296" max="296" width="40.703125" style="52" customWidth="1"/>
    <col min="297" max="298" width="7.703125" style="52" customWidth="1"/>
    <col min="299" max="299" width="35.703125" style="52" customWidth="1"/>
    <col min="300" max="300" width="40.703125" style="52" customWidth="1"/>
    <col min="301" max="302" width="7.703125" style="52" customWidth="1"/>
    <col min="303" max="303" width="35.703125" style="52" customWidth="1"/>
    <col min="304" max="304" width="40.703125" style="52" customWidth="1"/>
    <col min="305" max="306" width="7.703125" style="52" customWidth="1"/>
    <col min="307" max="307" width="35.703125" style="52" customWidth="1"/>
    <col min="308" max="308" width="40.703125" style="52" customWidth="1"/>
    <col min="309" max="310" width="7.703125" style="52" customWidth="1"/>
    <col min="311" max="311" width="35.703125" style="52" customWidth="1"/>
    <col min="312" max="312" width="40.703125" style="52" customWidth="1"/>
    <col min="313" max="314" width="7.703125" style="52" customWidth="1"/>
    <col min="315" max="315" width="35.703125" style="52" customWidth="1"/>
    <col min="316" max="316" width="40.703125" style="52" customWidth="1"/>
    <col min="317" max="318" width="7.703125" style="52" customWidth="1"/>
    <col min="319" max="319" width="35.703125" style="52" customWidth="1"/>
    <col min="320" max="320" width="40.703125" style="52" customWidth="1"/>
    <col min="321" max="322" width="7.703125" style="52" customWidth="1"/>
    <col min="323" max="323" width="35.703125" style="400" customWidth="1"/>
    <col min="324" max="324" width="40.703125" style="52" customWidth="1"/>
    <col min="325" max="326" width="7.703125" style="52" customWidth="1"/>
    <col min="327" max="327" width="35.703125" style="52" customWidth="1"/>
    <col min="328" max="328" width="40.703125" style="52" customWidth="1"/>
    <col min="329" max="330" width="7.703125" style="52" customWidth="1"/>
    <col min="331" max="331" width="40.703125" style="52" customWidth="1"/>
    <col min="332" max="333" width="7.703125" style="52" customWidth="1"/>
    <col min="334" max="334" width="35.703125" style="52" customWidth="1"/>
    <col min="335" max="335" width="40.703125" style="52" customWidth="1"/>
    <col min="336" max="337" width="7.703125" style="52" customWidth="1"/>
    <col min="338" max="338" width="35.703125" style="52" customWidth="1"/>
    <col min="339" max="339" width="40.703125" style="52" customWidth="1"/>
    <col min="340" max="341" width="7.703125" style="52" customWidth="1"/>
    <col min="342" max="342" width="35.703125" style="400" customWidth="1"/>
    <col min="343" max="343" width="40.703125" style="52" customWidth="1"/>
    <col min="344" max="345" width="7.703125" style="52" customWidth="1"/>
    <col min="346" max="346" width="35.703125" style="52" customWidth="1"/>
    <col min="347" max="347" width="40.703125" style="52" customWidth="1"/>
    <col min="348" max="349" width="7.703125" style="52" customWidth="1"/>
    <col min="350" max="350" width="35.703125" style="52" customWidth="1"/>
    <col min="351" max="351" width="40.703125" style="52" customWidth="1"/>
    <col min="352" max="353" width="7.703125" style="52" customWidth="1"/>
    <col min="354" max="354" width="35.703125" style="52" customWidth="1"/>
    <col min="355" max="355" width="40.703125" style="52" customWidth="1"/>
    <col min="356" max="357" width="7.703125" style="52" customWidth="1"/>
    <col min="358" max="358" width="35.703125" style="400" customWidth="1"/>
    <col min="359" max="359" width="40.703125" style="400" customWidth="1"/>
    <col min="360" max="361" width="7.703125" style="400" customWidth="1"/>
    <col min="362" max="362" width="35.703125" style="400" customWidth="1"/>
    <col min="363" max="363" width="40.703125" style="52" customWidth="1"/>
    <col min="364" max="365" width="7.703125" style="52" customWidth="1"/>
    <col min="366" max="366" width="35.703125" style="52" customWidth="1"/>
    <col min="367" max="367" width="40.703125" style="52" customWidth="1"/>
    <col min="368" max="368" width="7.703125" style="400" customWidth="1"/>
    <col min="369" max="369" width="7.703125" style="52" customWidth="1"/>
    <col min="370" max="370" width="40.703125" style="52" customWidth="1"/>
    <col min="371" max="371" width="7.703125" style="52" customWidth="1"/>
    <col min="372" max="372" width="7.703125" style="400" customWidth="1"/>
    <col min="373" max="373" width="35.703125" style="52" customWidth="1"/>
    <col min="374" max="374" width="40.703125" style="52" customWidth="1"/>
    <col min="375" max="375" width="7.703125" style="52" customWidth="1"/>
    <col min="376" max="376" width="7.703125" style="400" customWidth="1"/>
    <col min="377" max="377" width="35.703125" style="52" customWidth="1"/>
    <col min="378" max="378" width="40.703125" style="52" customWidth="1"/>
    <col min="379" max="379" width="7.703125" style="52" customWidth="1"/>
    <col min="380" max="380" width="7.703125" style="400" customWidth="1"/>
    <col min="381" max="381" width="35.703125" style="400" customWidth="1"/>
    <col min="382" max="382" width="40.703125" style="52" customWidth="1"/>
    <col min="383" max="383" width="7.703125" style="52" customWidth="1"/>
    <col min="384" max="384" width="7.703125" style="400" customWidth="1"/>
    <col min="385" max="385" width="35.703125" style="52" customWidth="1"/>
    <col min="386" max="386" width="40.703125" style="52" customWidth="1"/>
    <col min="387" max="387" width="7.703125" style="52" customWidth="1"/>
    <col min="388" max="388" width="7.703125" style="400" customWidth="1"/>
    <col min="389" max="389" width="35.703125" style="52" customWidth="1"/>
    <col min="390" max="390" width="40.703125" style="52" customWidth="1"/>
    <col min="391" max="391" width="7.703125" style="52" customWidth="1"/>
    <col min="392" max="392" width="7.703125" style="400" customWidth="1"/>
    <col min="393" max="393" width="35.703125" style="52" customWidth="1"/>
    <col min="394" max="394" width="40.703125" style="52" customWidth="1"/>
    <col min="395" max="395" width="7.703125" style="52" customWidth="1"/>
    <col min="396" max="396" width="7.703125" style="400" customWidth="1"/>
    <col min="397" max="397" width="35.703125" style="400" customWidth="1"/>
    <col min="398" max="398" width="40.703125" style="52" customWidth="1"/>
    <col min="399" max="399" width="7.703125" style="52" customWidth="1"/>
    <col min="400" max="400" width="7.703125" style="400" customWidth="1"/>
    <col min="401" max="401" width="35.703125" style="52" customWidth="1"/>
    <col min="402" max="402" width="40.703125" style="52" customWidth="1"/>
    <col min="403" max="403" width="7.703125" style="52" customWidth="1"/>
    <col min="404" max="404" width="7.703125" style="400" customWidth="1"/>
    <col min="405" max="405" width="35.703125" style="52" customWidth="1"/>
    <col min="406" max="406" width="40.703125" style="52" customWidth="1"/>
    <col min="407" max="408" width="7.703125" style="400" customWidth="1"/>
    <col min="409" max="409" width="40.703125" style="52" customWidth="1"/>
    <col min="410" max="410" width="7.703125" style="52" customWidth="1"/>
    <col min="411" max="411" width="7.703125" style="400" customWidth="1"/>
    <col min="412" max="412" width="35.703125" style="52" customWidth="1"/>
    <col min="413" max="413" width="40.703125" style="52" customWidth="1"/>
    <col min="414" max="414" width="7.703125" style="52" customWidth="1"/>
    <col min="415" max="415" width="7.703125" style="400" customWidth="1"/>
    <col min="416" max="416" width="35.703125" style="52" customWidth="1"/>
    <col min="417" max="417" width="40.703125" style="52" customWidth="1"/>
    <col min="418" max="418" width="7.703125" style="52" customWidth="1"/>
    <col min="419" max="419" width="7.703125" style="400" customWidth="1"/>
    <col min="420" max="420" width="35.703125" style="52" customWidth="1"/>
    <col min="421" max="421" width="40.703125" style="52" customWidth="1"/>
    <col min="422" max="422" width="7.703125" style="52" customWidth="1"/>
    <col min="423" max="423" width="7.703125" style="400" customWidth="1"/>
    <col min="424" max="424" width="35.703125" style="52" customWidth="1"/>
    <col min="425" max="425" width="40.703125" style="52" customWidth="1"/>
    <col min="426" max="426" width="7.703125" style="52" customWidth="1"/>
    <col min="427" max="427" width="7.703125" style="400" customWidth="1"/>
    <col min="428" max="428" width="35.703125" style="52" customWidth="1"/>
    <col min="429" max="429" width="40.703125" style="52" customWidth="1"/>
    <col min="430" max="430" width="7.703125" style="52" customWidth="1"/>
    <col min="431" max="431" width="7.703125" style="400" customWidth="1"/>
    <col min="432" max="432" width="35.703125" style="52" customWidth="1"/>
    <col min="433" max="433" width="40.703125" style="52" customWidth="1"/>
    <col min="434" max="434" width="7.703125" style="52" customWidth="1"/>
    <col min="435" max="435" width="7.703125" style="400" customWidth="1"/>
    <col min="436" max="436" width="35.703125" style="52" customWidth="1"/>
    <col min="437" max="437" width="40.703125" style="52" customWidth="1"/>
    <col min="438" max="438" width="7.703125" style="52" customWidth="1"/>
    <col min="439" max="439" width="7.703125" style="400" customWidth="1"/>
    <col min="440" max="440" width="35.703125" style="52" customWidth="1"/>
    <col min="441" max="441" width="40.703125" style="52" customWidth="1"/>
    <col min="442" max="442" width="7.703125" style="52" customWidth="1"/>
    <col min="443" max="443" width="7.703125" style="400" customWidth="1"/>
    <col min="444" max="444" width="35.703125" style="52" customWidth="1"/>
    <col min="445" max="445" width="40.703125" style="52" customWidth="1"/>
    <col min="446" max="446" width="7.703125" style="52" customWidth="1"/>
    <col min="447" max="447" width="7.703125" style="400" customWidth="1"/>
    <col min="448" max="448" width="40.703125" style="52" customWidth="1"/>
    <col min="449" max="450" width="7.703125" style="52" customWidth="1"/>
    <col min="451" max="452" width="40.703125" style="52" customWidth="1"/>
    <col min="453" max="454" width="7.703125" style="52" customWidth="1"/>
    <col min="455" max="456" width="40.703125" style="52" customWidth="1"/>
    <col min="457" max="458" width="7.703125" style="52" customWidth="1"/>
    <col min="459" max="460" width="40.703125" style="52" customWidth="1"/>
    <col min="461" max="462" width="7.703125" style="52" customWidth="1"/>
    <col min="463" max="464" width="40.703125" style="52" customWidth="1"/>
    <col min="465" max="466" width="7.703125" style="52" customWidth="1"/>
    <col min="467" max="468" width="40.703125" style="52" customWidth="1"/>
    <col min="469" max="470" width="7.703125" style="52" customWidth="1"/>
    <col min="471" max="472" width="40.703125" style="52" customWidth="1"/>
    <col min="473" max="474" width="7.703125" style="52" customWidth="1"/>
    <col min="475" max="476" width="40.703125" style="52" customWidth="1"/>
    <col min="477" max="478" width="7.703125" style="52" customWidth="1"/>
    <col min="479" max="480" width="40.703125" style="52" customWidth="1"/>
    <col min="481" max="482" width="7.703125" style="52" customWidth="1"/>
    <col min="483" max="484" width="40.703125" style="52" customWidth="1"/>
    <col min="485" max="486" width="7.703125" style="52" customWidth="1"/>
    <col min="487" max="487" width="40.703125" style="52" customWidth="1"/>
    <col min="488" max="489" width="7.703125" style="52" customWidth="1"/>
    <col min="490" max="491" width="40.703125" style="52" customWidth="1"/>
    <col min="492" max="493" width="7.703125" style="52" customWidth="1"/>
    <col min="494" max="495" width="40.703125" style="52" customWidth="1"/>
    <col min="496" max="497" width="7.703125" style="52" customWidth="1"/>
    <col min="498" max="499" width="40.703125" style="52" customWidth="1"/>
    <col min="500" max="501" width="7.703125" style="52" customWidth="1"/>
    <col min="502" max="503" width="40.703125" style="52" customWidth="1"/>
    <col min="504" max="505" width="7.703125" style="52" customWidth="1"/>
    <col min="506" max="507" width="40.703125" style="52" customWidth="1"/>
    <col min="508" max="509" width="7.703125" style="52" customWidth="1"/>
    <col min="510" max="511" width="40.703125" style="52" customWidth="1"/>
    <col min="512" max="513" width="7.703125" style="52" customWidth="1"/>
    <col min="514" max="515" width="40.703125" style="52" customWidth="1"/>
    <col min="516" max="517" width="7.703125" style="52" customWidth="1"/>
    <col min="518" max="519" width="40.703125" style="52" customWidth="1"/>
    <col min="520" max="521" width="7.703125" style="52" customWidth="1"/>
    <col min="522" max="523" width="40.703125" style="52" customWidth="1"/>
    <col min="524" max="525" width="7.703125" style="52" customWidth="1"/>
    <col min="526" max="526" width="40.703125" style="52" customWidth="1"/>
    <col min="527" max="528" width="7.703125" style="52" customWidth="1"/>
    <col min="529" max="530" width="40.703125" style="52" customWidth="1"/>
    <col min="531" max="532" width="7.703125" style="52" customWidth="1"/>
    <col min="533" max="534" width="40.703125" style="52" customWidth="1"/>
    <col min="535" max="536" width="7.703125" style="52" customWidth="1"/>
    <col min="537" max="538" width="40.703125" style="52" customWidth="1"/>
    <col min="539" max="540" width="7.703125" style="52" customWidth="1"/>
    <col min="541" max="542" width="40.703125" style="52" customWidth="1"/>
    <col min="543" max="544" width="7.703125" style="52" customWidth="1"/>
    <col min="545" max="546" width="40.703125" style="52" customWidth="1"/>
    <col min="547" max="548" width="7.703125" style="52" customWidth="1"/>
    <col min="549" max="550" width="40.703125" style="52" customWidth="1"/>
    <col min="551" max="552" width="7.703125" style="52" customWidth="1"/>
    <col min="553" max="554" width="40.703125" style="52" customWidth="1"/>
    <col min="555" max="556" width="7.703125" style="52" customWidth="1"/>
    <col min="557" max="558" width="40.703125" style="52" customWidth="1"/>
    <col min="559" max="560" width="7.703125" style="52" customWidth="1"/>
    <col min="561" max="562" width="40.703125" style="52" customWidth="1"/>
    <col min="563" max="564" width="7.703125" style="52" customWidth="1"/>
    <col min="565" max="565" width="40.703125" style="52" customWidth="1"/>
    <col min="566" max="567" width="7.703125" style="52" customWidth="1"/>
    <col min="568" max="569" width="40.703125" style="52" customWidth="1"/>
    <col min="570" max="571" width="7.703125" style="52" customWidth="1"/>
    <col min="572" max="573" width="40.703125" style="52" customWidth="1"/>
    <col min="574" max="575" width="7.703125" style="52" customWidth="1"/>
    <col min="576" max="577" width="40.703125" style="52" customWidth="1"/>
    <col min="578" max="579" width="7.703125" style="52" customWidth="1"/>
    <col min="580" max="581" width="40.703125" style="52" customWidth="1"/>
    <col min="582" max="583" width="7.703125" style="52" customWidth="1"/>
    <col min="584" max="585" width="40.703125" style="52" customWidth="1"/>
    <col min="586" max="587" width="7.703125" style="52" customWidth="1"/>
    <col min="588" max="589" width="40.703125" style="52" customWidth="1"/>
    <col min="590" max="591" width="7.703125" style="52" customWidth="1"/>
    <col min="592" max="593" width="40.703125" style="52" customWidth="1"/>
    <col min="594" max="595" width="7.703125" style="52" customWidth="1"/>
    <col min="596" max="597" width="40.703125" style="52" customWidth="1"/>
    <col min="598" max="599" width="7.703125" style="52" customWidth="1"/>
    <col min="600" max="601" width="40.703125" style="52" customWidth="1"/>
    <col min="602" max="603" width="7.703125" style="52" customWidth="1"/>
    <col min="604" max="604" width="40.703125" style="52" customWidth="1"/>
    <col min="605" max="606" width="7.703125" style="52" customWidth="1"/>
    <col min="607" max="608" width="40.703125" style="52" customWidth="1"/>
    <col min="609" max="610" width="7.703125" style="52" customWidth="1"/>
    <col min="611" max="612" width="40.703125" style="52" customWidth="1"/>
    <col min="613" max="614" width="7.703125" style="52" customWidth="1"/>
    <col min="615" max="616" width="40.703125" style="52" customWidth="1"/>
    <col min="617" max="618" width="7.703125" style="52" customWidth="1"/>
    <col min="619" max="620" width="40.703125" style="52" customWidth="1"/>
    <col min="621" max="622" width="7.703125" style="52" customWidth="1"/>
    <col min="623" max="624" width="40.703125" style="52" customWidth="1"/>
    <col min="625" max="626" width="7.703125" style="52" customWidth="1"/>
    <col min="627" max="628" width="40.703125" style="52" customWidth="1"/>
    <col min="629" max="630" width="7.703125" style="52" customWidth="1"/>
    <col min="631" max="632" width="40.703125" style="52" customWidth="1"/>
    <col min="633" max="634" width="7.703125" style="52" customWidth="1"/>
    <col min="635" max="636" width="40.703125" style="52" customWidth="1"/>
    <col min="637" max="638" width="7.703125" style="52" customWidth="1"/>
    <col min="639" max="640" width="40.703125" style="52" customWidth="1"/>
    <col min="641" max="642" width="7.703125" style="52" customWidth="1"/>
    <col min="643" max="643" width="40.703125" style="52" customWidth="1"/>
    <col min="644" max="645" width="7.703125" style="52" customWidth="1"/>
    <col min="646" max="647" width="40.703125" style="52" customWidth="1"/>
    <col min="648" max="649" width="7.703125" style="52" customWidth="1"/>
    <col min="650" max="651" width="40.703125" style="52" customWidth="1"/>
    <col min="652" max="653" width="7.703125" style="52" customWidth="1"/>
    <col min="654" max="655" width="40.703125" style="52" customWidth="1"/>
    <col min="656" max="657" width="7.703125" style="52" customWidth="1"/>
    <col min="658" max="659" width="40.703125" style="52" customWidth="1"/>
    <col min="660" max="661" width="7.703125" style="52" customWidth="1"/>
    <col min="662" max="663" width="40.703125" style="52" customWidth="1"/>
    <col min="664" max="665" width="7.703125" style="52" customWidth="1"/>
    <col min="666" max="667" width="40.703125" style="52" customWidth="1"/>
    <col min="668" max="669" width="7.703125" style="52" customWidth="1"/>
    <col min="670" max="671" width="40.703125" style="52" customWidth="1"/>
    <col min="672" max="673" width="7.703125" style="52" customWidth="1"/>
    <col min="674" max="675" width="40.703125" style="52" customWidth="1"/>
    <col min="676" max="677" width="7.703125" style="52" customWidth="1"/>
    <col min="678" max="679" width="40.703125" style="52" customWidth="1"/>
    <col min="680" max="681" width="7.703125" style="52" customWidth="1"/>
    <col min="682" max="682" width="40.703125" style="52" customWidth="1"/>
    <col min="683" max="684" width="7.703125" style="52" customWidth="1"/>
    <col min="685" max="686" width="40.703125" style="52" customWidth="1"/>
    <col min="687" max="688" width="7.703125" style="52" customWidth="1"/>
    <col min="689" max="690" width="40.703125" style="52" customWidth="1"/>
    <col min="691" max="692" width="7.703125" style="52" customWidth="1"/>
    <col min="693" max="694" width="40.703125" style="52" customWidth="1"/>
    <col min="695" max="696" width="7.703125" style="52" customWidth="1"/>
    <col min="697" max="698" width="40.703125" style="52" customWidth="1"/>
    <col min="699" max="700" width="7.703125" style="52" customWidth="1"/>
    <col min="701" max="702" width="40.703125" style="52" customWidth="1"/>
    <col min="703" max="704" width="7.703125" style="52" customWidth="1"/>
    <col min="705" max="706" width="40.703125" style="52" customWidth="1"/>
    <col min="707" max="708" width="7.703125" style="52" customWidth="1"/>
    <col min="709" max="710" width="40.703125" style="52" customWidth="1"/>
    <col min="711" max="712" width="7.703125" style="52" customWidth="1"/>
    <col min="713" max="714" width="40.703125" style="52" customWidth="1"/>
    <col min="715" max="716" width="7.703125" style="52" customWidth="1"/>
    <col min="717" max="718" width="40.703125" style="52" customWidth="1"/>
    <col min="719" max="720" width="7.703125" style="52" customWidth="1"/>
    <col min="721" max="721" width="60.703125" style="52" customWidth="1"/>
    <col min="722" max="723" width="8.703125" style="52" customWidth="1"/>
    <col min="724" max="725" width="60.703125" style="52" customWidth="1"/>
    <col min="726" max="727" width="8.703125" style="52" customWidth="1"/>
    <col min="728" max="729" width="60.703125" style="52" customWidth="1"/>
    <col min="730" max="731" width="8.703125" style="52" customWidth="1"/>
    <col min="732" max="733" width="60.703125" style="52" customWidth="1"/>
    <col min="734" max="735" width="8.703125" style="52" customWidth="1"/>
    <col min="736" max="737" width="60.703125" style="52" customWidth="1"/>
    <col min="738" max="739" width="8.703125" style="52" customWidth="1"/>
    <col min="740" max="741" width="60.703125" style="52" customWidth="1"/>
    <col min="742" max="743" width="8.703125" style="52" customWidth="1"/>
    <col min="744" max="745" width="60.703125" style="52" customWidth="1"/>
    <col min="746" max="747" width="8.703125" style="52" customWidth="1"/>
    <col min="748" max="749" width="60.703125" style="52" customWidth="1"/>
    <col min="750" max="751" width="8.703125" style="52" customWidth="1"/>
    <col min="752" max="753" width="60.703125" style="52" customWidth="1"/>
    <col min="754" max="755" width="8.703125" style="52" customWidth="1"/>
    <col min="756" max="757" width="60.703125" style="52" customWidth="1"/>
    <col min="758" max="759" width="8.703125" style="52" customWidth="1"/>
    <col min="760" max="760" width="80.703125" style="52" customWidth="1"/>
    <col min="761" max="762" width="10.703125" style="52" customWidth="1"/>
    <col min="763" max="764" width="80.703125" style="52" customWidth="1"/>
    <col min="765" max="766" width="10.703125" style="52" customWidth="1"/>
    <col min="767" max="768" width="80.703125" style="52" customWidth="1"/>
    <col min="769" max="770" width="10.703125" style="52" customWidth="1"/>
    <col min="771" max="772" width="80.703125" style="52" customWidth="1"/>
    <col min="773" max="774" width="10.703125" style="52" customWidth="1"/>
    <col min="775" max="776" width="80.703125" style="52" customWidth="1"/>
    <col min="777" max="778" width="10.703125" style="52" customWidth="1"/>
    <col min="779" max="780" width="80.703125" style="52" customWidth="1"/>
    <col min="781" max="782" width="10.703125" style="52" customWidth="1"/>
    <col min="783" max="784" width="80.703125" style="52" customWidth="1"/>
    <col min="785" max="786" width="10.703125" style="52" customWidth="1"/>
    <col min="787" max="788" width="80.703125" style="52" customWidth="1"/>
    <col min="789" max="790" width="10.703125" style="52" customWidth="1"/>
    <col min="791" max="792" width="80.703125" style="52" customWidth="1"/>
    <col min="793" max="794" width="10.703125" style="52" customWidth="1"/>
    <col min="795" max="796" width="80.703125" style="52" customWidth="1"/>
    <col min="797" max="798" width="10.703125" style="52" customWidth="1"/>
    <col min="799" max="799" width="150.703125" style="52" customWidth="1"/>
    <col min="800" max="801" width="50.703125" style="52" customWidth="1"/>
    <col min="802" max="803" width="150.703125" style="52" customWidth="1"/>
    <col min="804" max="805" width="50.703125" style="52" customWidth="1"/>
    <col min="806" max="807" width="150.703125" style="52" customWidth="1"/>
    <col min="808" max="809" width="50.703125" style="52" customWidth="1"/>
    <col min="810" max="811" width="150.703125" style="52" customWidth="1"/>
    <col min="812" max="813" width="50.703125" style="52" customWidth="1"/>
    <col min="814" max="815" width="150.703125" style="52" customWidth="1"/>
    <col min="816" max="817" width="50.703125" style="52" customWidth="1"/>
    <col min="818" max="819" width="150.703125" style="52" customWidth="1"/>
    <col min="820" max="821" width="50.703125" style="52" customWidth="1"/>
    <col min="822" max="823" width="150.703125" style="52" customWidth="1"/>
    <col min="824" max="825" width="50.703125" style="52" customWidth="1"/>
    <col min="826" max="827" width="150.703125" style="52" customWidth="1"/>
    <col min="828" max="829" width="50.703125" style="52" customWidth="1"/>
    <col min="830" max="831" width="150.703125" style="52" customWidth="1"/>
    <col min="832" max="833" width="50.703125" style="52" customWidth="1"/>
    <col min="834" max="835" width="150.703125" style="52" customWidth="1"/>
    <col min="836" max="837" width="50.703125" style="52" customWidth="1"/>
    <col min="838" max="914" width="33.41015625" style="52" customWidth="1"/>
    <col min="915" max="930" width="30.87890625" style="52" customWidth="1"/>
    <col min="931" max="946" width="26.703125" style="52" customWidth="1"/>
    <col min="947" max="16384" width="11.41015625" style="52"/>
  </cols>
  <sheetData>
    <row r="1" spans="1:615" ht="22.7" x14ac:dyDescent="0.4">
      <c r="B1" s="50" t="s">
        <v>280</v>
      </c>
      <c r="C1" s="51"/>
      <c r="D1" s="51"/>
      <c r="E1" s="51"/>
      <c r="F1" s="51"/>
      <c r="G1" s="51"/>
      <c r="H1" s="51"/>
      <c r="I1" s="51"/>
    </row>
    <row r="2" spans="1:615" ht="13" thickBot="1" x14ac:dyDescent="0.45">
      <c r="LK2" s="52"/>
      <c r="MD2" s="52"/>
      <c r="MT2" s="52"/>
      <c r="MU2" s="52"/>
      <c r="MV2" s="52"/>
      <c r="MW2" s="52"/>
      <c r="MX2" s="52"/>
      <c r="ND2" s="52"/>
      <c r="NH2" s="52"/>
      <c r="NL2" s="52"/>
      <c r="NP2" s="52"/>
      <c r="NQ2" s="52"/>
      <c r="NT2" s="52"/>
      <c r="NX2" s="52"/>
      <c r="OB2" s="52"/>
      <c r="OF2" s="52"/>
      <c r="OG2" s="52"/>
      <c r="OJ2" s="52"/>
      <c r="ON2" s="52"/>
      <c r="OQ2" s="52"/>
      <c r="OR2" s="52"/>
      <c r="OU2" s="52"/>
      <c r="OY2" s="52"/>
      <c r="PC2" s="52"/>
      <c r="PG2" s="52"/>
      <c r="PK2" s="52"/>
      <c r="PO2" s="52"/>
      <c r="PS2" s="52"/>
      <c r="PW2" s="52"/>
      <c r="QA2" s="52"/>
      <c r="QE2" s="52"/>
    </row>
    <row r="3" spans="1:615" s="12" customFormat="1" ht="21.7" thickTop="1" x14ac:dyDescent="0.4">
      <c r="A3" s="62" t="s">
        <v>62</v>
      </c>
      <c r="B3" s="63" t="s">
        <v>207</v>
      </c>
      <c r="C3" s="63"/>
      <c r="D3" s="64"/>
      <c r="E3" s="65"/>
      <c r="F3" s="63" t="s">
        <v>208</v>
      </c>
      <c r="G3" s="63"/>
      <c r="H3" s="64"/>
      <c r="I3" s="65"/>
      <c r="J3" s="63" t="s">
        <v>544</v>
      </c>
      <c r="K3" s="63"/>
      <c r="L3" s="64"/>
      <c r="M3" s="65"/>
      <c r="N3" s="63" t="s">
        <v>182</v>
      </c>
      <c r="O3" s="63"/>
      <c r="P3" s="64"/>
      <c r="Q3" s="65"/>
      <c r="R3" s="63" t="s">
        <v>545</v>
      </c>
      <c r="S3" s="63"/>
      <c r="T3" s="64"/>
      <c r="U3" s="65"/>
      <c r="V3" s="66" t="s">
        <v>63</v>
      </c>
      <c r="W3" s="63"/>
      <c r="X3" s="64"/>
      <c r="Y3" s="65"/>
      <c r="Z3" s="67" t="s">
        <v>66</v>
      </c>
      <c r="AA3" s="68"/>
      <c r="AB3" s="69"/>
      <c r="AC3" s="70"/>
      <c r="AD3" s="67" t="s">
        <v>27</v>
      </c>
      <c r="AE3" s="68"/>
      <c r="AF3" s="69"/>
      <c r="AG3" s="70"/>
      <c r="AH3" s="67" t="s">
        <v>67</v>
      </c>
      <c r="AI3" s="68"/>
      <c r="AJ3" s="69"/>
      <c r="AK3" s="70"/>
      <c r="AL3" s="67" t="s">
        <v>68</v>
      </c>
      <c r="AM3" s="68"/>
      <c r="AN3" s="69"/>
      <c r="AO3" s="70"/>
      <c r="AP3" s="67" t="s">
        <v>69</v>
      </c>
      <c r="AQ3" s="63"/>
      <c r="AR3" s="64"/>
      <c r="AS3" s="65"/>
      <c r="AT3" s="67" t="s">
        <v>28</v>
      </c>
      <c r="AU3" s="68"/>
      <c r="AV3" s="69"/>
      <c r="AW3" s="70"/>
      <c r="AX3" s="67" t="s">
        <v>70</v>
      </c>
      <c r="AY3" s="68"/>
      <c r="AZ3" s="69"/>
      <c r="BA3" s="70"/>
      <c r="BB3" s="67" t="s">
        <v>71</v>
      </c>
      <c r="BC3" s="68"/>
      <c r="BD3" s="69"/>
      <c r="BE3" s="70"/>
      <c r="BF3" s="67" t="s">
        <v>72</v>
      </c>
      <c r="BG3" s="68"/>
      <c r="BH3" s="69"/>
      <c r="BI3" s="69"/>
      <c r="BJ3" s="525" t="s">
        <v>73</v>
      </c>
      <c r="BK3" s="526"/>
      <c r="BL3" s="527"/>
      <c r="BM3" s="528"/>
      <c r="BN3" s="67" t="s">
        <v>74</v>
      </c>
      <c r="BO3" s="63"/>
      <c r="BP3" s="64"/>
      <c r="BQ3" s="65"/>
      <c r="BR3" s="67" t="s">
        <v>286</v>
      </c>
      <c r="BS3" s="63"/>
      <c r="BT3" s="64"/>
      <c r="BU3" s="65"/>
      <c r="BV3" s="67" t="s">
        <v>12</v>
      </c>
      <c r="BW3" s="63"/>
      <c r="BX3" s="64"/>
      <c r="BY3" s="65"/>
    </row>
    <row r="4" spans="1:615" s="49" customFormat="1" ht="21.7" thickBot="1" x14ac:dyDescent="0.45">
      <c r="A4" s="71"/>
      <c r="B4" s="72" t="s">
        <v>16</v>
      </c>
      <c r="C4" s="72" t="s">
        <v>209</v>
      </c>
      <c r="D4" s="72" t="s">
        <v>210</v>
      </c>
      <c r="E4" s="73" t="s">
        <v>211</v>
      </c>
      <c r="F4" s="72" t="s">
        <v>16</v>
      </c>
      <c r="G4" s="72" t="s">
        <v>209</v>
      </c>
      <c r="H4" s="72" t="s">
        <v>210</v>
      </c>
      <c r="I4" s="73" t="s">
        <v>211</v>
      </c>
      <c r="J4" s="72" t="s">
        <v>16</v>
      </c>
      <c r="K4" s="72" t="s">
        <v>209</v>
      </c>
      <c r="L4" s="72" t="s">
        <v>210</v>
      </c>
      <c r="M4" s="73" t="s">
        <v>211</v>
      </c>
      <c r="N4" s="72" t="s">
        <v>16</v>
      </c>
      <c r="O4" s="72" t="s">
        <v>209</v>
      </c>
      <c r="P4" s="72" t="s">
        <v>210</v>
      </c>
      <c r="Q4" s="73" t="s">
        <v>211</v>
      </c>
      <c r="R4" s="72" t="s">
        <v>16</v>
      </c>
      <c r="S4" s="72" t="s">
        <v>209</v>
      </c>
      <c r="T4" s="72" t="s">
        <v>210</v>
      </c>
      <c r="U4" s="73" t="s">
        <v>211</v>
      </c>
      <c r="V4" s="74" t="s">
        <v>16</v>
      </c>
      <c r="W4" s="72" t="s">
        <v>209</v>
      </c>
      <c r="X4" s="72" t="s">
        <v>210</v>
      </c>
      <c r="Y4" s="73" t="s">
        <v>211</v>
      </c>
      <c r="Z4" s="72" t="s">
        <v>16</v>
      </c>
      <c r="AA4" s="72" t="s">
        <v>209</v>
      </c>
      <c r="AB4" s="72" t="s">
        <v>210</v>
      </c>
      <c r="AC4" s="73" t="s">
        <v>211</v>
      </c>
      <c r="AD4" s="72" t="s">
        <v>16</v>
      </c>
      <c r="AE4" s="72" t="s">
        <v>209</v>
      </c>
      <c r="AF4" s="72" t="s">
        <v>210</v>
      </c>
      <c r="AG4" s="73" t="s">
        <v>211</v>
      </c>
      <c r="AH4" s="72" t="s">
        <v>16</v>
      </c>
      <c r="AI4" s="72" t="s">
        <v>209</v>
      </c>
      <c r="AJ4" s="72" t="s">
        <v>210</v>
      </c>
      <c r="AK4" s="73" t="s">
        <v>211</v>
      </c>
      <c r="AL4" s="72" t="s">
        <v>16</v>
      </c>
      <c r="AM4" s="72" t="s">
        <v>209</v>
      </c>
      <c r="AN4" s="72" t="s">
        <v>210</v>
      </c>
      <c r="AO4" s="73" t="s">
        <v>211</v>
      </c>
      <c r="AP4" s="72" t="s">
        <v>16</v>
      </c>
      <c r="AQ4" s="72" t="s">
        <v>209</v>
      </c>
      <c r="AR4" s="72" t="s">
        <v>210</v>
      </c>
      <c r="AS4" s="73" t="s">
        <v>211</v>
      </c>
      <c r="AT4" s="72" t="s">
        <v>16</v>
      </c>
      <c r="AU4" s="72" t="s">
        <v>209</v>
      </c>
      <c r="AV4" s="72" t="s">
        <v>210</v>
      </c>
      <c r="AW4" s="73" t="s">
        <v>211</v>
      </c>
      <c r="AX4" s="72" t="s">
        <v>16</v>
      </c>
      <c r="AY4" s="72" t="s">
        <v>209</v>
      </c>
      <c r="AZ4" s="72" t="s">
        <v>210</v>
      </c>
      <c r="BA4" s="73" t="s">
        <v>211</v>
      </c>
      <c r="BB4" s="72" t="s">
        <v>16</v>
      </c>
      <c r="BC4" s="72" t="s">
        <v>209</v>
      </c>
      <c r="BD4" s="72" t="s">
        <v>210</v>
      </c>
      <c r="BE4" s="73" t="s">
        <v>211</v>
      </c>
      <c r="BF4" s="72" t="s">
        <v>16</v>
      </c>
      <c r="BG4" s="72" t="s">
        <v>209</v>
      </c>
      <c r="BH4" s="72" t="s">
        <v>210</v>
      </c>
      <c r="BI4" s="72" t="s">
        <v>211</v>
      </c>
      <c r="BJ4" s="529" t="s">
        <v>16</v>
      </c>
      <c r="BK4" s="72" t="s">
        <v>209</v>
      </c>
      <c r="BL4" s="72" t="s">
        <v>210</v>
      </c>
      <c r="BM4" s="530" t="s">
        <v>211</v>
      </c>
      <c r="BN4" s="72" t="s">
        <v>16</v>
      </c>
      <c r="BO4" s="72" t="s">
        <v>209</v>
      </c>
      <c r="BP4" s="72" t="s">
        <v>210</v>
      </c>
      <c r="BQ4" s="73" t="s">
        <v>211</v>
      </c>
      <c r="BR4" s="72" t="s">
        <v>16</v>
      </c>
      <c r="BS4" s="72" t="s">
        <v>209</v>
      </c>
      <c r="BT4" s="72" t="s">
        <v>210</v>
      </c>
      <c r="BU4" s="73" t="s">
        <v>211</v>
      </c>
      <c r="BV4" s="72" t="s">
        <v>16</v>
      </c>
      <c r="BW4" s="72" t="s">
        <v>209</v>
      </c>
      <c r="BX4" s="72" t="s">
        <v>210</v>
      </c>
      <c r="BY4" s="73" t="s">
        <v>211</v>
      </c>
    </row>
    <row r="5" spans="1:615" s="54" customFormat="1" ht="51" thickTop="1" x14ac:dyDescent="0.4">
      <c r="A5" s="14">
        <v>1</v>
      </c>
      <c r="B5" s="15" t="s">
        <v>212</v>
      </c>
      <c r="C5" s="16" t="s">
        <v>396</v>
      </c>
      <c r="D5" s="17">
        <v>10</v>
      </c>
      <c r="E5" s="18" t="s">
        <v>92</v>
      </c>
      <c r="F5" s="15" t="s">
        <v>212</v>
      </c>
      <c r="G5" s="16" t="s">
        <v>396</v>
      </c>
      <c r="H5" s="17">
        <v>10</v>
      </c>
      <c r="I5" s="18" t="s">
        <v>92</v>
      </c>
      <c r="J5" s="15" t="s">
        <v>212</v>
      </c>
      <c r="K5" s="16" t="s">
        <v>396</v>
      </c>
      <c r="L5" s="17">
        <v>10</v>
      </c>
      <c r="M5" s="18" t="s">
        <v>92</v>
      </c>
      <c r="N5" s="15" t="s">
        <v>212</v>
      </c>
      <c r="O5" s="16" t="s">
        <v>396</v>
      </c>
      <c r="P5" s="17">
        <v>10</v>
      </c>
      <c r="Q5" s="18" t="s">
        <v>92</v>
      </c>
      <c r="R5" s="15" t="s">
        <v>212</v>
      </c>
      <c r="S5" s="16" t="s">
        <v>396</v>
      </c>
      <c r="T5" s="17">
        <v>10</v>
      </c>
      <c r="U5" s="18" t="s">
        <v>92</v>
      </c>
      <c r="V5" s="19" t="s">
        <v>212</v>
      </c>
      <c r="W5" s="16" t="s">
        <v>396</v>
      </c>
      <c r="X5" s="17">
        <v>10</v>
      </c>
      <c r="Y5" s="18" t="s">
        <v>92</v>
      </c>
      <c r="Z5" s="15" t="s">
        <v>212</v>
      </c>
      <c r="AA5" s="16" t="s">
        <v>396</v>
      </c>
      <c r="AB5" s="17">
        <v>10</v>
      </c>
      <c r="AC5" s="18" t="s">
        <v>92</v>
      </c>
      <c r="AD5" s="15" t="s">
        <v>212</v>
      </c>
      <c r="AE5" s="16" t="s">
        <v>396</v>
      </c>
      <c r="AF5" s="17">
        <v>10</v>
      </c>
      <c r="AG5" s="18" t="s">
        <v>92</v>
      </c>
      <c r="AH5" s="15" t="s">
        <v>212</v>
      </c>
      <c r="AI5" s="16" t="s">
        <v>396</v>
      </c>
      <c r="AJ5" s="17">
        <v>10</v>
      </c>
      <c r="AK5" s="18" t="s">
        <v>92</v>
      </c>
      <c r="AL5" s="15" t="s">
        <v>212</v>
      </c>
      <c r="AM5" s="16" t="s">
        <v>396</v>
      </c>
      <c r="AN5" s="17">
        <v>10</v>
      </c>
      <c r="AO5" s="18" t="s">
        <v>92</v>
      </c>
      <c r="AP5" s="19" t="s">
        <v>212</v>
      </c>
      <c r="AQ5" s="16" t="s">
        <v>396</v>
      </c>
      <c r="AR5" s="17">
        <v>10</v>
      </c>
      <c r="AS5" s="18" t="s">
        <v>92</v>
      </c>
      <c r="AT5" s="19" t="s">
        <v>212</v>
      </c>
      <c r="AU5" s="16" t="s">
        <v>396</v>
      </c>
      <c r="AV5" s="17">
        <v>10</v>
      </c>
      <c r="AW5" s="18" t="s">
        <v>92</v>
      </c>
      <c r="AX5" s="15" t="s">
        <v>212</v>
      </c>
      <c r="AY5" s="16" t="s">
        <v>396</v>
      </c>
      <c r="AZ5" s="17">
        <v>10</v>
      </c>
      <c r="BA5" s="18" t="s">
        <v>92</v>
      </c>
      <c r="BB5" s="15" t="s">
        <v>212</v>
      </c>
      <c r="BC5" s="16" t="s">
        <v>396</v>
      </c>
      <c r="BD5" s="17">
        <v>10</v>
      </c>
      <c r="BE5" s="18" t="s">
        <v>92</v>
      </c>
      <c r="BF5" s="15" t="s">
        <v>212</v>
      </c>
      <c r="BG5" s="16" t="s">
        <v>396</v>
      </c>
      <c r="BH5" s="17">
        <v>10</v>
      </c>
      <c r="BI5" s="531" t="s">
        <v>92</v>
      </c>
      <c r="BJ5" s="532" t="s">
        <v>212</v>
      </c>
      <c r="BK5" s="16" t="s">
        <v>396</v>
      </c>
      <c r="BL5" s="17">
        <v>10</v>
      </c>
      <c r="BM5" s="533" t="s">
        <v>92</v>
      </c>
      <c r="BN5" s="15" t="s">
        <v>212</v>
      </c>
      <c r="BO5" s="16" t="s">
        <v>396</v>
      </c>
      <c r="BP5" s="17">
        <v>10</v>
      </c>
      <c r="BQ5" s="18" t="s">
        <v>92</v>
      </c>
      <c r="BR5" s="19" t="s">
        <v>212</v>
      </c>
      <c r="BS5" s="16" t="s">
        <v>396</v>
      </c>
      <c r="BT5" s="17">
        <v>10</v>
      </c>
      <c r="BU5" s="18" t="s">
        <v>92</v>
      </c>
      <c r="BV5" s="19" t="s">
        <v>212</v>
      </c>
      <c r="BW5" s="16" t="s">
        <v>396</v>
      </c>
      <c r="BX5" s="17">
        <v>10</v>
      </c>
      <c r="BY5" s="18" t="s">
        <v>92</v>
      </c>
    </row>
    <row r="6" spans="1:615" s="33" customFormat="1" ht="114" x14ac:dyDescent="0.4">
      <c r="A6" s="75">
        <v>2</v>
      </c>
      <c r="B6" s="76" t="s">
        <v>213</v>
      </c>
      <c r="C6" s="77" t="s">
        <v>558</v>
      </c>
      <c r="D6" s="78">
        <v>10</v>
      </c>
      <c r="E6" s="79" t="s">
        <v>92</v>
      </c>
      <c r="F6" s="76" t="s">
        <v>213</v>
      </c>
      <c r="G6" s="77" t="s">
        <v>558</v>
      </c>
      <c r="H6" s="78">
        <v>10</v>
      </c>
      <c r="I6" s="79" t="s">
        <v>92</v>
      </c>
      <c r="J6" s="76" t="s">
        <v>213</v>
      </c>
      <c r="K6" s="77" t="s">
        <v>558</v>
      </c>
      <c r="L6" s="78">
        <v>10</v>
      </c>
      <c r="M6" s="79" t="s">
        <v>92</v>
      </c>
      <c r="N6" s="76" t="s">
        <v>213</v>
      </c>
      <c r="O6" s="77" t="s">
        <v>558</v>
      </c>
      <c r="P6" s="78">
        <v>10</v>
      </c>
      <c r="Q6" s="79" t="s">
        <v>92</v>
      </c>
      <c r="R6" s="76" t="s">
        <v>213</v>
      </c>
      <c r="S6" s="77" t="s">
        <v>558</v>
      </c>
      <c r="T6" s="78">
        <v>10</v>
      </c>
      <c r="U6" s="79" t="s">
        <v>92</v>
      </c>
      <c r="V6" s="80" t="s">
        <v>214</v>
      </c>
      <c r="W6" s="77" t="s">
        <v>558</v>
      </c>
      <c r="X6" s="78">
        <v>10</v>
      </c>
      <c r="Y6" s="79" t="s">
        <v>92</v>
      </c>
      <c r="Z6" s="76" t="s">
        <v>214</v>
      </c>
      <c r="AA6" s="77" t="s">
        <v>558</v>
      </c>
      <c r="AB6" s="78">
        <v>10</v>
      </c>
      <c r="AC6" s="79" t="s">
        <v>92</v>
      </c>
      <c r="AD6" s="76" t="s">
        <v>75</v>
      </c>
      <c r="AE6" s="77" t="s">
        <v>558</v>
      </c>
      <c r="AF6" s="78">
        <v>10</v>
      </c>
      <c r="AG6" s="79" t="s">
        <v>92</v>
      </c>
      <c r="AH6" s="76" t="s">
        <v>458</v>
      </c>
      <c r="AI6" s="81"/>
      <c r="AJ6" s="78">
        <v>10</v>
      </c>
      <c r="AK6" s="79" t="s">
        <v>92</v>
      </c>
      <c r="AL6" s="76" t="s">
        <v>459</v>
      </c>
      <c r="AM6" s="81"/>
      <c r="AN6" s="78">
        <v>10</v>
      </c>
      <c r="AO6" s="79" t="s">
        <v>92</v>
      </c>
      <c r="AP6" s="76" t="s">
        <v>213</v>
      </c>
      <c r="AQ6" s="77" t="s">
        <v>558</v>
      </c>
      <c r="AR6" s="78">
        <v>10</v>
      </c>
      <c r="AS6" s="79" t="s">
        <v>92</v>
      </c>
      <c r="AT6" s="76" t="s">
        <v>215</v>
      </c>
      <c r="AU6" s="77" t="s">
        <v>558</v>
      </c>
      <c r="AV6" s="78">
        <v>10</v>
      </c>
      <c r="AW6" s="79" t="s">
        <v>92</v>
      </c>
      <c r="AX6" s="76" t="s">
        <v>543</v>
      </c>
      <c r="AY6" s="81" t="s">
        <v>558</v>
      </c>
      <c r="AZ6" s="78">
        <v>10</v>
      </c>
      <c r="BA6" s="79" t="s">
        <v>92</v>
      </c>
      <c r="BB6" s="76" t="s">
        <v>216</v>
      </c>
      <c r="BC6" s="81" t="s">
        <v>558</v>
      </c>
      <c r="BD6" s="78">
        <v>20</v>
      </c>
      <c r="BE6" s="79" t="s">
        <v>92</v>
      </c>
      <c r="BF6" s="76" t="s">
        <v>76</v>
      </c>
      <c r="BG6" s="77" t="s">
        <v>558</v>
      </c>
      <c r="BH6" s="78">
        <v>15</v>
      </c>
      <c r="BI6" s="534" t="s">
        <v>92</v>
      </c>
      <c r="BJ6" s="535" t="s">
        <v>77</v>
      </c>
      <c r="BK6" s="77"/>
      <c r="BL6" s="78">
        <v>15</v>
      </c>
      <c r="BM6" s="536" t="s">
        <v>92</v>
      </c>
      <c r="BN6" s="76" t="s">
        <v>78</v>
      </c>
      <c r="BO6" s="77" t="s">
        <v>558</v>
      </c>
      <c r="BP6" s="78">
        <v>20</v>
      </c>
      <c r="BQ6" s="79" t="s">
        <v>92</v>
      </c>
      <c r="BR6" s="80" t="s">
        <v>287</v>
      </c>
      <c r="BS6" s="77" t="s">
        <v>288</v>
      </c>
      <c r="BT6" s="78">
        <v>30</v>
      </c>
      <c r="BU6" s="79" t="s">
        <v>92</v>
      </c>
      <c r="BV6" s="76" t="s">
        <v>289</v>
      </c>
      <c r="BW6" s="77" t="s">
        <v>290</v>
      </c>
      <c r="BX6" s="78">
        <v>20</v>
      </c>
      <c r="BY6" s="79" t="s">
        <v>92</v>
      </c>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c r="ED6" s="82"/>
      <c r="EE6" s="82"/>
      <c r="EF6" s="82"/>
      <c r="EG6" s="82"/>
      <c r="EH6" s="82"/>
      <c r="EI6" s="82"/>
      <c r="EJ6" s="82"/>
      <c r="EK6" s="82"/>
      <c r="EL6" s="82"/>
      <c r="EM6" s="82"/>
      <c r="EN6" s="82"/>
      <c r="EO6" s="82"/>
      <c r="EP6" s="82"/>
      <c r="EQ6" s="82"/>
      <c r="ER6" s="82"/>
      <c r="ES6" s="82"/>
      <c r="ET6" s="82"/>
      <c r="EU6" s="82"/>
      <c r="EV6" s="82"/>
      <c r="EW6" s="82"/>
      <c r="EX6" s="82"/>
      <c r="EY6" s="82"/>
      <c r="EZ6" s="82"/>
      <c r="FA6" s="82"/>
      <c r="FB6" s="82"/>
      <c r="FC6" s="82"/>
      <c r="FD6" s="82"/>
      <c r="FE6" s="82"/>
      <c r="FF6" s="82"/>
      <c r="FG6" s="82"/>
      <c r="FH6" s="82"/>
      <c r="FI6" s="82"/>
      <c r="FJ6" s="82"/>
      <c r="FK6" s="82"/>
      <c r="FL6" s="82"/>
      <c r="FM6" s="82"/>
      <c r="FN6" s="82"/>
      <c r="FO6" s="82"/>
      <c r="FP6" s="82"/>
      <c r="FQ6" s="82"/>
      <c r="FR6" s="82"/>
      <c r="FS6" s="82"/>
      <c r="FT6" s="82"/>
      <c r="FU6" s="82"/>
      <c r="FV6" s="82"/>
      <c r="FW6" s="82"/>
      <c r="FX6" s="82"/>
      <c r="FY6" s="82"/>
      <c r="FZ6" s="82"/>
      <c r="GA6" s="82"/>
      <c r="GB6" s="82"/>
      <c r="GC6" s="82"/>
      <c r="GD6" s="82"/>
      <c r="GE6" s="82"/>
      <c r="GF6" s="82"/>
      <c r="GG6" s="82"/>
      <c r="GH6" s="82"/>
      <c r="GI6" s="82"/>
      <c r="GJ6" s="82"/>
      <c r="GK6" s="82"/>
      <c r="GL6" s="82"/>
      <c r="GM6" s="82"/>
      <c r="GN6" s="82"/>
      <c r="GO6" s="82"/>
      <c r="GP6" s="82"/>
      <c r="GQ6" s="82"/>
      <c r="GR6" s="82"/>
      <c r="GS6" s="82"/>
      <c r="GT6" s="82"/>
      <c r="GU6" s="82"/>
      <c r="GV6" s="82"/>
      <c r="GW6" s="82"/>
      <c r="GX6" s="82"/>
      <c r="GY6" s="82"/>
      <c r="GZ6" s="82"/>
      <c r="HA6" s="82"/>
      <c r="HB6" s="82"/>
      <c r="HC6" s="82"/>
      <c r="HD6" s="82"/>
      <c r="HE6" s="82"/>
      <c r="HF6" s="82"/>
      <c r="HG6" s="82"/>
      <c r="HH6" s="82"/>
      <c r="HI6" s="82"/>
      <c r="HJ6" s="82"/>
      <c r="HK6" s="82"/>
      <c r="HL6" s="82"/>
      <c r="HM6" s="82"/>
      <c r="HN6" s="82"/>
      <c r="HO6" s="82"/>
      <c r="HP6" s="82"/>
      <c r="HQ6" s="82"/>
      <c r="HR6" s="82"/>
      <c r="HS6" s="82"/>
      <c r="HT6" s="82"/>
      <c r="HU6" s="82"/>
      <c r="HV6" s="82"/>
      <c r="HW6" s="82"/>
      <c r="HX6" s="82"/>
      <c r="HY6" s="82"/>
      <c r="HZ6" s="82"/>
      <c r="IA6" s="82"/>
      <c r="IB6" s="82"/>
      <c r="IC6" s="82"/>
      <c r="ID6" s="82"/>
      <c r="IE6" s="82"/>
      <c r="IF6" s="82"/>
      <c r="IG6" s="82"/>
      <c r="IH6" s="82"/>
      <c r="II6" s="82"/>
      <c r="IJ6" s="82"/>
      <c r="IK6" s="82"/>
      <c r="IL6" s="82"/>
      <c r="IM6" s="82"/>
      <c r="IN6" s="82"/>
      <c r="IO6" s="82"/>
      <c r="IP6" s="82"/>
      <c r="IQ6" s="82"/>
      <c r="IR6" s="82"/>
      <c r="IS6" s="82"/>
      <c r="IT6" s="82"/>
      <c r="IU6" s="82"/>
      <c r="IV6" s="82"/>
      <c r="IW6" s="82"/>
      <c r="IX6" s="82"/>
      <c r="IY6" s="82"/>
      <c r="IZ6" s="82"/>
      <c r="JA6" s="82"/>
      <c r="JB6" s="82"/>
      <c r="JC6" s="82"/>
      <c r="JD6" s="82"/>
      <c r="JE6" s="82"/>
      <c r="JF6" s="82"/>
      <c r="JG6" s="82"/>
      <c r="JH6" s="82"/>
      <c r="JI6" s="82"/>
      <c r="JJ6" s="82"/>
      <c r="JK6" s="82"/>
      <c r="JL6" s="82"/>
      <c r="JM6" s="82"/>
      <c r="JN6" s="82"/>
      <c r="JO6" s="82"/>
      <c r="JP6" s="82"/>
      <c r="JQ6" s="82"/>
      <c r="JR6" s="82"/>
      <c r="JS6" s="82"/>
      <c r="JT6" s="82"/>
      <c r="JU6" s="82"/>
      <c r="JV6" s="82"/>
      <c r="JW6" s="82"/>
      <c r="JX6" s="82"/>
      <c r="JY6" s="82"/>
      <c r="JZ6" s="82"/>
      <c r="KA6" s="82"/>
      <c r="KB6" s="82"/>
      <c r="KC6" s="82"/>
      <c r="KD6" s="82"/>
      <c r="KE6" s="82"/>
      <c r="KF6" s="82"/>
      <c r="KG6" s="82"/>
      <c r="KH6" s="82"/>
      <c r="KI6" s="82"/>
      <c r="KJ6" s="82"/>
      <c r="KK6" s="82"/>
      <c r="KL6" s="82"/>
      <c r="KM6" s="82"/>
      <c r="KN6" s="82"/>
      <c r="KO6" s="82"/>
      <c r="KP6" s="82"/>
      <c r="KQ6" s="82"/>
      <c r="KR6" s="82"/>
      <c r="KS6" s="82"/>
      <c r="KT6" s="82"/>
      <c r="KU6" s="82"/>
      <c r="KV6" s="82"/>
      <c r="KW6" s="82"/>
      <c r="KX6" s="82"/>
      <c r="KY6" s="82"/>
      <c r="KZ6" s="82"/>
      <c r="LA6" s="82"/>
      <c r="LB6" s="82"/>
      <c r="LC6" s="82"/>
      <c r="LD6" s="82"/>
      <c r="LE6" s="82"/>
      <c r="LF6" s="82"/>
      <c r="LG6" s="82"/>
      <c r="LH6" s="82"/>
      <c r="LI6" s="82"/>
      <c r="LJ6" s="82"/>
      <c r="LK6" s="82"/>
      <c r="LL6" s="82"/>
      <c r="LM6" s="82"/>
      <c r="LN6" s="82"/>
      <c r="LO6" s="82"/>
      <c r="LP6" s="82"/>
      <c r="LQ6" s="82"/>
      <c r="LR6" s="82"/>
      <c r="LS6" s="82"/>
      <c r="LT6" s="82"/>
      <c r="LU6" s="82"/>
      <c r="LV6" s="82"/>
      <c r="LW6" s="82"/>
      <c r="LX6" s="82"/>
      <c r="LY6" s="82"/>
      <c r="LZ6" s="82"/>
      <c r="MA6" s="82"/>
      <c r="MB6" s="82"/>
      <c r="MC6" s="82"/>
      <c r="MD6" s="82"/>
      <c r="ME6" s="82"/>
      <c r="MF6" s="82"/>
      <c r="MG6" s="82"/>
      <c r="MH6" s="82"/>
      <c r="MI6" s="82"/>
      <c r="MJ6" s="82"/>
      <c r="MK6" s="82"/>
      <c r="ML6" s="82"/>
      <c r="MM6" s="82"/>
      <c r="MN6" s="82"/>
      <c r="MO6" s="82"/>
      <c r="MP6" s="82"/>
      <c r="MQ6" s="82"/>
      <c r="MR6" s="82"/>
      <c r="MS6" s="82"/>
      <c r="MT6" s="82"/>
      <c r="MU6" s="82"/>
      <c r="MV6" s="82"/>
      <c r="MW6" s="82"/>
      <c r="MX6" s="82"/>
      <c r="MY6" s="82"/>
      <c r="MZ6" s="82"/>
      <c r="NA6" s="82"/>
      <c r="NB6" s="82"/>
      <c r="NC6" s="82"/>
      <c r="ND6" s="82"/>
      <c r="NE6" s="82"/>
      <c r="NF6" s="82"/>
      <c r="NG6" s="82"/>
      <c r="NH6" s="82"/>
      <c r="NI6" s="82"/>
      <c r="NJ6" s="82"/>
      <c r="NK6" s="82"/>
      <c r="NL6" s="82"/>
      <c r="NM6" s="82"/>
      <c r="NN6" s="82"/>
      <c r="NO6" s="82"/>
      <c r="NP6" s="82"/>
      <c r="NQ6" s="82"/>
      <c r="NR6" s="82"/>
      <c r="NS6" s="82"/>
      <c r="NT6" s="82"/>
      <c r="NU6" s="82"/>
      <c r="NV6" s="82"/>
      <c r="NW6" s="82"/>
      <c r="NX6" s="82"/>
      <c r="NY6" s="82"/>
      <c r="NZ6" s="82"/>
      <c r="OA6" s="82"/>
      <c r="OB6" s="82"/>
      <c r="OC6" s="82"/>
      <c r="OD6" s="82"/>
      <c r="OE6" s="82"/>
      <c r="OF6" s="82"/>
      <c r="OG6" s="82"/>
      <c r="OH6" s="82"/>
      <c r="OI6" s="82"/>
      <c r="OJ6" s="82"/>
      <c r="OK6" s="82"/>
      <c r="OL6" s="82"/>
      <c r="OM6" s="82"/>
      <c r="ON6" s="82"/>
      <c r="OO6" s="82"/>
      <c r="OP6" s="82"/>
      <c r="OQ6" s="82"/>
      <c r="OR6" s="82"/>
      <c r="OS6" s="82"/>
      <c r="OT6" s="82"/>
      <c r="OU6" s="82"/>
      <c r="OV6" s="82"/>
      <c r="OW6" s="82"/>
      <c r="OX6" s="82"/>
      <c r="OY6" s="82"/>
      <c r="OZ6" s="82"/>
      <c r="PA6" s="82"/>
      <c r="PB6" s="82"/>
      <c r="PC6" s="82"/>
      <c r="PD6" s="82"/>
      <c r="PE6" s="82"/>
      <c r="PF6" s="82"/>
      <c r="PG6" s="82"/>
      <c r="PH6" s="82"/>
      <c r="PI6" s="82"/>
      <c r="PJ6" s="82"/>
      <c r="PK6" s="82"/>
      <c r="PL6" s="82"/>
      <c r="PM6" s="82"/>
      <c r="PN6" s="82"/>
      <c r="PO6" s="82"/>
      <c r="PP6" s="82"/>
      <c r="PQ6" s="82"/>
      <c r="PR6" s="82"/>
      <c r="PS6" s="82"/>
      <c r="PT6" s="82"/>
      <c r="PU6" s="82"/>
      <c r="PV6" s="82"/>
      <c r="PW6" s="82"/>
      <c r="PX6" s="82"/>
      <c r="PY6" s="82"/>
      <c r="PZ6" s="82"/>
      <c r="QA6" s="82"/>
      <c r="QB6" s="82"/>
      <c r="QC6" s="82"/>
      <c r="QD6" s="82"/>
      <c r="QE6" s="82"/>
      <c r="QF6" s="82"/>
      <c r="QG6" s="82"/>
      <c r="QH6" s="82"/>
      <c r="QI6" s="82"/>
      <c r="QJ6" s="82"/>
      <c r="QK6" s="82"/>
      <c r="QL6" s="82"/>
      <c r="QM6" s="82"/>
      <c r="QN6" s="82"/>
      <c r="QO6" s="82"/>
      <c r="QP6" s="82"/>
      <c r="QQ6" s="82"/>
      <c r="QR6" s="82"/>
      <c r="QS6" s="82"/>
      <c r="QT6" s="82"/>
      <c r="QU6" s="82"/>
      <c r="QV6" s="82"/>
      <c r="QW6" s="82"/>
      <c r="QX6" s="82"/>
      <c r="QY6" s="82"/>
      <c r="QZ6" s="82"/>
      <c r="RA6" s="82"/>
      <c r="RB6" s="82"/>
      <c r="RC6" s="82"/>
      <c r="RD6" s="82"/>
      <c r="RE6" s="82"/>
      <c r="RF6" s="82"/>
      <c r="RG6" s="82"/>
      <c r="RH6" s="82"/>
      <c r="RI6" s="82"/>
      <c r="RJ6" s="82"/>
      <c r="RK6" s="82"/>
      <c r="RL6" s="82"/>
      <c r="RM6" s="82"/>
      <c r="RN6" s="82"/>
      <c r="RO6" s="82"/>
      <c r="RP6" s="82"/>
      <c r="RQ6" s="82"/>
      <c r="RR6" s="82"/>
      <c r="RS6" s="82"/>
      <c r="RT6" s="82"/>
      <c r="RU6" s="82"/>
      <c r="RV6" s="82"/>
      <c r="RW6" s="82"/>
      <c r="RX6" s="82"/>
      <c r="RY6" s="82"/>
      <c r="RZ6" s="82"/>
      <c r="SA6" s="82"/>
      <c r="SB6" s="82"/>
      <c r="SC6" s="82"/>
      <c r="SD6" s="82"/>
      <c r="SE6" s="82"/>
      <c r="SF6" s="82"/>
      <c r="SG6" s="82"/>
      <c r="SH6" s="82"/>
      <c r="SI6" s="82"/>
      <c r="SJ6" s="82"/>
      <c r="SK6" s="82"/>
      <c r="SL6" s="82"/>
      <c r="SM6" s="82"/>
      <c r="SN6" s="82"/>
      <c r="SO6" s="82"/>
      <c r="SP6" s="82"/>
      <c r="SQ6" s="82"/>
      <c r="SR6" s="82"/>
      <c r="SS6" s="82"/>
      <c r="ST6" s="82"/>
      <c r="SU6" s="82"/>
      <c r="SV6" s="82"/>
      <c r="SW6" s="82"/>
      <c r="SX6" s="82"/>
      <c r="SY6" s="82"/>
      <c r="SZ6" s="82"/>
      <c r="TA6" s="82"/>
      <c r="TB6" s="82"/>
      <c r="TC6" s="82"/>
      <c r="TD6" s="82"/>
      <c r="TE6" s="82"/>
      <c r="TF6" s="82"/>
      <c r="TG6" s="82"/>
      <c r="TH6" s="82"/>
      <c r="TI6" s="82"/>
      <c r="TJ6" s="82"/>
      <c r="TK6" s="82"/>
      <c r="TL6" s="82"/>
      <c r="TM6" s="82"/>
      <c r="TN6" s="82"/>
      <c r="TO6" s="82"/>
      <c r="TP6" s="82"/>
      <c r="TQ6" s="82"/>
      <c r="TR6" s="82"/>
      <c r="TS6" s="82"/>
      <c r="TT6" s="82"/>
      <c r="TU6" s="82"/>
      <c r="TV6" s="82"/>
      <c r="TW6" s="82"/>
      <c r="TX6" s="82"/>
      <c r="TY6" s="82"/>
      <c r="TZ6" s="82"/>
      <c r="UA6" s="82"/>
      <c r="UB6" s="82"/>
      <c r="UC6" s="82"/>
      <c r="UD6" s="82"/>
      <c r="UE6" s="82"/>
      <c r="UF6" s="82"/>
      <c r="UG6" s="82"/>
      <c r="UH6" s="82"/>
      <c r="UI6" s="82"/>
      <c r="UJ6" s="82"/>
      <c r="UK6" s="82"/>
      <c r="UL6" s="82"/>
      <c r="UM6" s="82"/>
      <c r="UN6" s="82"/>
      <c r="UO6" s="82"/>
      <c r="UP6" s="82"/>
      <c r="UQ6" s="82"/>
      <c r="UR6" s="82"/>
      <c r="US6" s="82"/>
      <c r="UT6" s="82"/>
      <c r="UU6" s="82"/>
      <c r="UV6" s="82"/>
      <c r="UW6" s="82"/>
      <c r="UX6" s="82"/>
      <c r="UY6" s="82"/>
      <c r="UZ6" s="82"/>
      <c r="VA6" s="82"/>
      <c r="VB6" s="82"/>
      <c r="VC6" s="82"/>
      <c r="VD6" s="82"/>
      <c r="VE6" s="82"/>
      <c r="VF6" s="82"/>
      <c r="VG6" s="82"/>
      <c r="VH6" s="82"/>
      <c r="VI6" s="82"/>
      <c r="VJ6" s="82"/>
      <c r="VK6" s="82"/>
      <c r="VL6" s="82"/>
      <c r="VM6" s="82"/>
      <c r="VN6" s="82"/>
      <c r="VO6" s="82"/>
      <c r="VP6" s="82"/>
      <c r="VQ6" s="82"/>
      <c r="VR6" s="82"/>
      <c r="VS6" s="82"/>
      <c r="VT6" s="82"/>
      <c r="VU6" s="82"/>
      <c r="VV6" s="82"/>
      <c r="VW6" s="82"/>
      <c r="VX6" s="82"/>
      <c r="VY6" s="82"/>
      <c r="VZ6" s="82"/>
      <c r="WA6" s="82"/>
      <c r="WB6" s="82"/>
      <c r="WC6" s="82"/>
      <c r="WD6" s="82"/>
      <c r="WE6" s="82"/>
      <c r="WF6" s="82"/>
      <c r="WG6" s="82"/>
      <c r="WH6" s="82"/>
      <c r="WI6" s="82"/>
      <c r="WJ6" s="82"/>
      <c r="WK6" s="82"/>
      <c r="WL6" s="82"/>
      <c r="WM6" s="82"/>
      <c r="WN6" s="82"/>
      <c r="WO6" s="82"/>
      <c r="WP6" s="82"/>
      <c r="WQ6" s="82"/>
    </row>
    <row r="7" spans="1:615" s="54" customFormat="1" ht="126.7" x14ac:dyDescent="0.4">
      <c r="A7" s="20">
        <v>3</v>
      </c>
      <c r="B7" s="21" t="s">
        <v>217</v>
      </c>
      <c r="C7" s="22" t="s">
        <v>558</v>
      </c>
      <c r="D7" s="23">
        <v>10</v>
      </c>
      <c r="E7" s="24" t="s">
        <v>92</v>
      </c>
      <c r="F7" s="21" t="s">
        <v>217</v>
      </c>
      <c r="G7" s="22" t="s">
        <v>558</v>
      </c>
      <c r="H7" s="23">
        <v>10</v>
      </c>
      <c r="I7" s="24" t="s">
        <v>92</v>
      </c>
      <c r="J7" s="21" t="s">
        <v>217</v>
      </c>
      <c r="K7" s="22" t="s">
        <v>558</v>
      </c>
      <c r="L7" s="23">
        <v>10</v>
      </c>
      <c r="M7" s="24" t="s">
        <v>92</v>
      </c>
      <c r="N7" s="21" t="s">
        <v>217</v>
      </c>
      <c r="O7" s="22" t="s">
        <v>558</v>
      </c>
      <c r="P7" s="23">
        <v>10</v>
      </c>
      <c r="Q7" s="24" t="s">
        <v>92</v>
      </c>
      <c r="R7" s="21" t="s">
        <v>217</v>
      </c>
      <c r="S7" s="22" t="s">
        <v>558</v>
      </c>
      <c r="T7" s="23">
        <v>10</v>
      </c>
      <c r="U7" s="24" t="s">
        <v>92</v>
      </c>
      <c r="V7" s="25" t="s">
        <v>540</v>
      </c>
      <c r="W7" s="22" t="s">
        <v>218</v>
      </c>
      <c r="X7" s="23">
        <v>10</v>
      </c>
      <c r="Y7" s="24" t="s">
        <v>92</v>
      </c>
      <c r="Z7" s="21" t="s">
        <v>540</v>
      </c>
      <c r="AA7" s="22" t="s">
        <v>218</v>
      </c>
      <c r="AB7" s="23">
        <v>10</v>
      </c>
      <c r="AC7" s="24" t="s">
        <v>92</v>
      </c>
      <c r="AD7" s="21" t="s">
        <v>541</v>
      </c>
      <c r="AE7" s="22" t="s">
        <v>558</v>
      </c>
      <c r="AF7" s="23">
        <v>10</v>
      </c>
      <c r="AG7" s="24" t="s">
        <v>92</v>
      </c>
      <c r="AH7" s="21" t="s">
        <v>219</v>
      </c>
      <c r="AI7" s="22"/>
      <c r="AJ7" s="23">
        <v>10</v>
      </c>
      <c r="AK7" s="24" t="s">
        <v>93</v>
      </c>
      <c r="AL7" s="21" t="s">
        <v>220</v>
      </c>
      <c r="AM7" s="22"/>
      <c r="AN7" s="23">
        <v>10</v>
      </c>
      <c r="AO7" s="24" t="s">
        <v>93</v>
      </c>
      <c r="AP7" s="21" t="s">
        <v>221</v>
      </c>
      <c r="AQ7" s="22" t="s">
        <v>558</v>
      </c>
      <c r="AR7" s="23">
        <v>10</v>
      </c>
      <c r="AS7" s="24" t="s">
        <v>92</v>
      </c>
      <c r="AT7" s="21" t="s">
        <v>222</v>
      </c>
      <c r="AU7" s="26" t="s">
        <v>558</v>
      </c>
      <c r="AV7" s="23">
        <v>10</v>
      </c>
      <c r="AW7" s="24" t="s">
        <v>92</v>
      </c>
      <c r="AX7" s="21" t="s">
        <v>223</v>
      </c>
      <c r="AY7" s="22" t="s">
        <v>558</v>
      </c>
      <c r="AZ7" s="23">
        <v>10</v>
      </c>
      <c r="BA7" s="24" t="s">
        <v>93</v>
      </c>
      <c r="BB7" s="21" t="s">
        <v>224</v>
      </c>
      <c r="BC7" s="22" t="s">
        <v>558</v>
      </c>
      <c r="BD7" s="23">
        <v>20</v>
      </c>
      <c r="BE7" s="24" t="s">
        <v>93</v>
      </c>
      <c r="BF7" s="21" t="s">
        <v>225</v>
      </c>
      <c r="BG7" s="22" t="s">
        <v>226</v>
      </c>
      <c r="BH7" s="23">
        <v>5</v>
      </c>
      <c r="BI7" s="537" t="s">
        <v>92</v>
      </c>
      <c r="BJ7" s="538" t="s">
        <v>225</v>
      </c>
      <c r="BK7" s="22" t="s">
        <v>226</v>
      </c>
      <c r="BL7" s="23">
        <v>5</v>
      </c>
      <c r="BM7" s="539" t="s">
        <v>92</v>
      </c>
      <c r="BN7" s="21" t="s">
        <v>227</v>
      </c>
      <c r="BO7" s="22" t="s">
        <v>558</v>
      </c>
      <c r="BP7" s="23">
        <v>30</v>
      </c>
      <c r="BQ7" s="24" t="s">
        <v>92</v>
      </c>
      <c r="BR7" s="58" t="s">
        <v>291</v>
      </c>
      <c r="BS7" s="22" t="s">
        <v>231</v>
      </c>
      <c r="BT7" s="23">
        <v>30</v>
      </c>
      <c r="BU7" s="24" t="s">
        <v>92</v>
      </c>
      <c r="BV7" s="58" t="s">
        <v>292</v>
      </c>
      <c r="BW7" s="59" t="s">
        <v>293</v>
      </c>
      <c r="BX7" s="23">
        <v>20</v>
      </c>
      <c r="BY7" s="24" t="s">
        <v>92</v>
      </c>
    </row>
    <row r="8" spans="1:615" s="33" customFormat="1" ht="101.35" x14ac:dyDescent="0.4">
      <c r="A8" s="75">
        <v>4</v>
      </c>
      <c r="B8" s="76" t="s">
        <v>228</v>
      </c>
      <c r="C8" s="77" t="s">
        <v>229</v>
      </c>
      <c r="D8" s="78">
        <v>40</v>
      </c>
      <c r="E8" s="79" t="s">
        <v>94</v>
      </c>
      <c r="F8" s="76" t="s">
        <v>230</v>
      </c>
      <c r="G8" s="77" t="s">
        <v>229</v>
      </c>
      <c r="H8" s="78">
        <v>40</v>
      </c>
      <c r="I8" s="79" t="s">
        <v>94</v>
      </c>
      <c r="J8" s="76" t="s">
        <v>228</v>
      </c>
      <c r="K8" s="77" t="s">
        <v>229</v>
      </c>
      <c r="L8" s="78">
        <v>40</v>
      </c>
      <c r="M8" s="79" t="s">
        <v>94</v>
      </c>
      <c r="N8" s="76" t="s">
        <v>228</v>
      </c>
      <c r="O8" s="77" t="s">
        <v>229</v>
      </c>
      <c r="P8" s="78">
        <v>40</v>
      </c>
      <c r="Q8" s="79" t="s">
        <v>94</v>
      </c>
      <c r="R8" s="76" t="s">
        <v>228</v>
      </c>
      <c r="S8" s="77" t="s">
        <v>229</v>
      </c>
      <c r="T8" s="78">
        <v>40</v>
      </c>
      <c r="U8" s="79" t="s">
        <v>94</v>
      </c>
      <c r="V8" s="80" t="s">
        <v>80</v>
      </c>
      <c r="W8" s="77" t="s">
        <v>231</v>
      </c>
      <c r="X8" s="78">
        <v>10</v>
      </c>
      <c r="Y8" s="79" t="s">
        <v>92</v>
      </c>
      <c r="Z8" s="76" t="s">
        <v>80</v>
      </c>
      <c r="AA8" s="77" t="s">
        <v>231</v>
      </c>
      <c r="AB8" s="78">
        <v>10</v>
      </c>
      <c r="AC8" s="79" t="s">
        <v>92</v>
      </c>
      <c r="AD8" s="76" t="s">
        <v>81</v>
      </c>
      <c r="AE8" s="77" t="s">
        <v>231</v>
      </c>
      <c r="AF8" s="78">
        <v>10</v>
      </c>
      <c r="AG8" s="79" t="s">
        <v>92</v>
      </c>
      <c r="AH8" s="76" t="s">
        <v>82</v>
      </c>
      <c r="AI8" s="77" t="s">
        <v>231</v>
      </c>
      <c r="AJ8" s="78">
        <v>10</v>
      </c>
      <c r="AK8" s="79" t="s">
        <v>92</v>
      </c>
      <c r="AL8" s="76" t="s">
        <v>82</v>
      </c>
      <c r="AM8" s="77" t="s">
        <v>231</v>
      </c>
      <c r="AN8" s="78">
        <v>10</v>
      </c>
      <c r="AO8" s="79" t="s">
        <v>92</v>
      </c>
      <c r="AP8" s="80" t="s">
        <v>82</v>
      </c>
      <c r="AQ8" s="77" t="s">
        <v>231</v>
      </c>
      <c r="AR8" s="78">
        <v>10</v>
      </c>
      <c r="AS8" s="79" t="s">
        <v>92</v>
      </c>
      <c r="AT8" s="76" t="s">
        <v>232</v>
      </c>
      <c r="AU8" s="77" t="s">
        <v>231</v>
      </c>
      <c r="AV8" s="78">
        <v>10</v>
      </c>
      <c r="AW8" s="79" t="s">
        <v>92</v>
      </c>
      <c r="AX8" s="76" t="s">
        <v>83</v>
      </c>
      <c r="AY8" s="77" t="s">
        <v>231</v>
      </c>
      <c r="AZ8" s="78">
        <v>10</v>
      </c>
      <c r="BA8" s="79" t="s">
        <v>93</v>
      </c>
      <c r="BB8" s="76" t="s">
        <v>233</v>
      </c>
      <c r="BC8" s="77" t="s">
        <v>558</v>
      </c>
      <c r="BD8" s="78">
        <v>20</v>
      </c>
      <c r="BE8" s="79" t="s">
        <v>92</v>
      </c>
      <c r="BF8" s="76" t="s">
        <v>79</v>
      </c>
      <c r="BG8" s="77" t="s">
        <v>558</v>
      </c>
      <c r="BH8" s="78">
        <v>5</v>
      </c>
      <c r="BI8" s="534" t="s">
        <v>92</v>
      </c>
      <c r="BJ8" s="535" t="s">
        <v>234</v>
      </c>
      <c r="BK8" s="77"/>
      <c r="BL8" s="78">
        <v>5</v>
      </c>
      <c r="BM8" s="536" t="s">
        <v>92</v>
      </c>
      <c r="BN8" s="76" t="s">
        <v>84</v>
      </c>
      <c r="BO8" s="77" t="s">
        <v>226</v>
      </c>
      <c r="BP8" s="78">
        <v>20</v>
      </c>
      <c r="BQ8" s="79" t="s">
        <v>92</v>
      </c>
      <c r="BR8" s="80" t="s">
        <v>294</v>
      </c>
      <c r="BS8" s="77" t="s">
        <v>558</v>
      </c>
      <c r="BT8" s="78">
        <v>30</v>
      </c>
      <c r="BU8" s="79" t="s">
        <v>92</v>
      </c>
      <c r="BV8" s="76" t="s">
        <v>295</v>
      </c>
      <c r="BW8" s="22" t="s">
        <v>231</v>
      </c>
      <c r="BX8" s="78">
        <v>20</v>
      </c>
      <c r="BY8" s="79" t="s">
        <v>92</v>
      </c>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c r="HR8" s="82"/>
      <c r="HS8" s="82"/>
      <c r="HT8" s="82"/>
      <c r="HU8" s="82"/>
      <c r="HV8" s="82"/>
      <c r="HW8" s="82"/>
      <c r="HX8" s="82"/>
      <c r="HY8" s="82"/>
      <c r="HZ8" s="82"/>
      <c r="IA8" s="82"/>
      <c r="IB8" s="82"/>
      <c r="IC8" s="82"/>
      <c r="ID8" s="82"/>
      <c r="IE8" s="82"/>
      <c r="IF8" s="82"/>
      <c r="IG8" s="82"/>
      <c r="IH8" s="82"/>
      <c r="II8" s="82"/>
      <c r="IJ8" s="82"/>
      <c r="IK8" s="82"/>
      <c r="IL8" s="82"/>
      <c r="IM8" s="82"/>
      <c r="IN8" s="82"/>
      <c r="IO8" s="82"/>
      <c r="IP8" s="82"/>
      <c r="IQ8" s="82"/>
      <c r="IR8" s="82"/>
      <c r="IS8" s="82"/>
      <c r="IT8" s="82"/>
      <c r="IU8" s="82"/>
      <c r="IV8" s="82"/>
      <c r="IW8" s="82"/>
      <c r="IX8" s="82"/>
      <c r="IY8" s="82"/>
      <c r="IZ8" s="82"/>
      <c r="JA8" s="82"/>
      <c r="JB8" s="82"/>
      <c r="JC8" s="82"/>
      <c r="JD8" s="82"/>
      <c r="JE8" s="82"/>
      <c r="JF8" s="82"/>
      <c r="JG8" s="82"/>
      <c r="JH8" s="82"/>
      <c r="JI8" s="82"/>
      <c r="JJ8" s="82"/>
      <c r="JK8" s="82"/>
      <c r="JL8" s="82"/>
      <c r="JM8" s="82"/>
      <c r="JN8" s="82"/>
      <c r="JO8" s="82"/>
      <c r="JP8" s="82"/>
      <c r="JQ8" s="82"/>
      <c r="JR8" s="82"/>
      <c r="JS8" s="82"/>
      <c r="JT8" s="82"/>
      <c r="JU8" s="82"/>
      <c r="JV8" s="82"/>
      <c r="JW8" s="82"/>
      <c r="JX8" s="82"/>
      <c r="JY8" s="82"/>
      <c r="JZ8" s="82"/>
      <c r="KA8" s="82"/>
      <c r="KB8" s="82"/>
      <c r="KC8" s="82"/>
      <c r="KD8" s="82"/>
      <c r="KE8" s="82"/>
      <c r="KF8" s="82"/>
      <c r="KG8" s="82"/>
      <c r="KH8" s="82"/>
      <c r="KI8" s="82"/>
      <c r="KJ8" s="82"/>
      <c r="KK8" s="82"/>
      <c r="KL8" s="82"/>
      <c r="KM8" s="82"/>
      <c r="KN8" s="82"/>
      <c r="KO8" s="82"/>
      <c r="KP8" s="82"/>
      <c r="KQ8" s="82"/>
      <c r="KR8" s="82"/>
      <c r="KS8" s="82"/>
      <c r="KT8" s="82"/>
      <c r="KU8" s="82"/>
      <c r="KV8" s="82"/>
      <c r="KW8" s="82"/>
      <c r="KX8" s="82"/>
      <c r="KY8" s="82"/>
      <c r="KZ8" s="82"/>
      <c r="LA8" s="82"/>
      <c r="LB8" s="82"/>
      <c r="LC8" s="82"/>
      <c r="LD8" s="82"/>
      <c r="LE8" s="82"/>
      <c r="LF8" s="82"/>
      <c r="LG8" s="82"/>
      <c r="LH8" s="82"/>
      <c r="LI8" s="82"/>
      <c r="LJ8" s="82"/>
      <c r="LK8" s="82"/>
      <c r="LL8" s="82"/>
      <c r="LM8" s="82"/>
      <c r="LN8" s="82"/>
      <c r="LO8" s="82"/>
      <c r="LP8" s="82"/>
      <c r="LQ8" s="82"/>
      <c r="LR8" s="82"/>
      <c r="LS8" s="82"/>
      <c r="LT8" s="82"/>
      <c r="LU8" s="82"/>
      <c r="LV8" s="82"/>
      <c r="LW8" s="82"/>
      <c r="LX8" s="82"/>
      <c r="LY8" s="82"/>
      <c r="LZ8" s="82"/>
      <c r="MA8" s="82"/>
      <c r="MB8" s="82"/>
      <c r="MC8" s="82"/>
      <c r="MD8" s="82"/>
      <c r="ME8" s="82"/>
      <c r="MF8" s="82"/>
      <c r="MG8" s="82"/>
      <c r="MH8" s="82"/>
      <c r="MI8" s="82"/>
      <c r="MJ8" s="82"/>
      <c r="MK8" s="82"/>
      <c r="ML8" s="82"/>
      <c r="MM8" s="82"/>
      <c r="MN8" s="82"/>
      <c r="MO8" s="82"/>
      <c r="MP8" s="82"/>
      <c r="MQ8" s="82"/>
      <c r="MR8" s="82"/>
      <c r="MS8" s="82"/>
      <c r="MT8" s="82"/>
      <c r="MU8" s="82"/>
      <c r="MV8" s="82"/>
      <c r="MW8" s="82"/>
      <c r="MX8" s="82"/>
      <c r="MY8" s="82"/>
      <c r="MZ8" s="82"/>
      <c r="NA8" s="82"/>
      <c r="NB8" s="82"/>
      <c r="NC8" s="82"/>
      <c r="ND8" s="82"/>
      <c r="NE8" s="82"/>
      <c r="NF8" s="82"/>
      <c r="NG8" s="82"/>
      <c r="NH8" s="82"/>
      <c r="NI8" s="82"/>
      <c r="NJ8" s="82"/>
      <c r="NK8" s="82"/>
      <c r="NL8" s="82"/>
      <c r="NM8" s="82"/>
      <c r="NN8" s="82"/>
      <c r="NO8" s="82"/>
      <c r="NP8" s="82"/>
      <c r="NQ8" s="82"/>
      <c r="NR8" s="82"/>
      <c r="NS8" s="82"/>
      <c r="NT8" s="82"/>
      <c r="NU8" s="82"/>
      <c r="NV8" s="82"/>
      <c r="NW8" s="82"/>
      <c r="NX8" s="82"/>
      <c r="NY8" s="82"/>
      <c r="NZ8" s="82"/>
      <c r="OA8" s="82"/>
      <c r="OB8" s="82"/>
      <c r="OC8" s="82"/>
      <c r="OD8" s="82"/>
      <c r="OE8" s="82"/>
      <c r="OF8" s="82"/>
      <c r="OG8" s="82"/>
      <c r="OH8" s="82"/>
      <c r="OI8" s="82"/>
      <c r="OJ8" s="82"/>
      <c r="OK8" s="82"/>
      <c r="OL8" s="82"/>
      <c r="OM8" s="82"/>
      <c r="ON8" s="82"/>
      <c r="OO8" s="82"/>
      <c r="OP8" s="82"/>
      <c r="OQ8" s="82"/>
      <c r="OR8" s="82"/>
      <c r="OS8" s="82"/>
      <c r="OT8" s="82"/>
      <c r="OU8" s="82"/>
      <c r="OV8" s="82"/>
      <c r="OW8" s="82"/>
      <c r="OX8" s="82"/>
      <c r="OY8" s="82"/>
      <c r="OZ8" s="82"/>
      <c r="PA8" s="82"/>
      <c r="PB8" s="82"/>
      <c r="PC8" s="82"/>
      <c r="PD8" s="82"/>
      <c r="PE8" s="82"/>
      <c r="PF8" s="82"/>
      <c r="PG8" s="82"/>
      <c r="PH8" s="82"/>
      <c r="PI8" s="82"/>
      <c r="PJ8" s="82"/>
      <c r="PK8" s="82"/>
      <c r="PL8" s="82"/>
      <c r="PM8" s="82"/>
      <c r="PN8" s="82"/>
      <c r="PO8" s="82"/>
      <c r="PP8" s="82"/>
      <c r="PQ8" s="82"/>
      <c r="PR8" s="82"/>
      <c r="PS8" s="82"/>
      <c r="PT8" s="82"/>
      <c r="PU8" s="82"/>
      <c r="PV8" s="82"/>
      <c r="PW8" s="82"/>
      <c r="PX8" s="82"/>
      <c r="PY8" s="82"/>
      <c r="PZ8" s="82"/>
      <c r="QA8" s="82"/>
      <c r="QB8" s="82"/>
      <c r="QC8" s="82"/>
      <c r="QD8" s="82"/>
      <c r="QE8" s="82"/>
      <c r="QF8" s="82"/>
      <c r="QG8" s="82"/>
      <c r="QH8" s="82"/>
      <c r="QI8" s="82"/>
      <c r="QJ8" s="82"/>
      <c r="QK8" s="82"/>
      <c r="QL8" s="82"/>
      <c r="QM8" s="82"/>
      <c r="QN8" s="82"/>
      <c r="QO8" s="82"/>
      <c r="QP8" s="82"/>
      <c r="QQ8" s="82"/>
      <c r="QR8" s="82"/>
      <c r="QS8" s="82"/>
      <c r="QT8" s="82"/>
      <c r="QU8" s="82"/>
      <c r="QV8" s="82"/>
      <c r="QW8" s="82"/>
      <c r="QX8" s="82"/>
      <c r="QY8" s="82"/>
      <c r="QZ8" s="82"/>
      <c r="RA8" s="82"/>
      <c r="RB8" s="82"/>
      <c r="RC8" s="82"/>
      <c r="RD8" s="82"/>
      <c r="RE8" s="82"/>
      <c r="RF8" s="82"/>
      <c r="RG8" s="82"/>
      <c r="RH8" s="82"/>
      <c r="RI8" s="82"/>
      <c r="RJ8" s="82"/>
      <c r="RK8" s="82"/>
      <c r="RL8" s="82"/>
      <c r="RM8" s="82"/>
      <c r="RN8" s="82"/>
      <c r="RO8" s="82"/>
      <c r="RP8" s="82"/>
      <c r="RQ8" s="82"/>
      <c r="RR8" s="82"/>
      <c r="RS8" s="82"/>
      <c r="RT8" s="82"/>
      <c r="RU8" s="82"/>
      <c r="RV8" s="82"/>
      <c r="RW8" s="82"/>
      <c r="RX8" s="82"/>
      <c r="RY8" s="82"/>
      <c r="RZ8" s="82"/>
      <c r="SA8" s="82"/>
      <c r="SB8" s="82"/>
      <c r="SC8" s="82"/>
      <c r="SD8" s="82"/>
      <c r="SE8" s="82"/>
      <c r="SF8" s="82"/>
      <c r="SG8" s="82"/>
      <c r="SH8" s="82"/>
      <c r="SI8" s="82"/>
      <c r="SJ8" s="82"/>
      <c r="SK8" s="82"/>
      <c r="SL8" s="82"/>
      <c r="SM8" s="82"/>
      <c r="SN8" s="82"/>
      <c r="SO8" s="82"/>
      <c r="SP8" s="82"/>
      <c r="SQ8" s="82"/>
      <c r="SR8" s="82"/>
      <c r="SS8" s="82"/>
      <c r="ST8" s="82"/>
      <c r="SU8" s="82"/>
      <c r="SV8" s="82"/>
      <c r="SW8" s="82"/>
      <c r="SX8" s="82"/>
      <c r="SY8" s="82"/>
      <c r="SZ8" s="82"/>
      <c r="TA8" s="82"/>
      <c r="TB8" s="82"/>
      <c r="TC8" s="82"/>
      <c r="TD8" s="82"/>
      <c r="TE8" s="82"/>
      <c r="TF8" s="82"/>
      <c r="TG8" s="82"/>
      <c r="TH8" s="82"/>
      <c r="TI8" s="82"/>
      <c r="TJ8" s="82"/>
      <c r="TK8" s="82"/>
      <c r="TL8" s="82"/>
      <c r="TM8" s="82"/>
      <c r="TN8" s="82"/>
      <c r="TO8" s="82"/>
      <c r="TP8" s="82"/>
      <c r="TQ8" s="82"/>
      <c r="TR8" s="82"/>
      <c r="TS8" s="82"/>
      <c r="TT8" s="82"/>
      <c r="TU8" s="82"/>
      <c r="TV8" s="82"/>
      <c r="TW8" s="82"/>
      <c r="TX8" s="82"/>
      <c r="TY8" s="82"/>
      <c r="TZ8" s="82"/>
      <c r="UA8" s="82"/>
      <c r="UB8" s="82"/>
      <c r="UC8" s="82"/>
      <c r="UD8" s="82"/>
      <c r="UE8" s="82"/>
      <c r="UF8" s="82"/>
      <c r="UG8" s="82"/>
      <c r="UH8" s="82"/>
      <c r="UI8" s="82"/>
      <c r="UJ8" s="82"/>
      <c r="UK8" s="82"/>
      <c r="UL8" s="82"/>
      <c r="UM8" s="82"/>
      <c r="UN8" s="82"/>
      <c r="UO8" s="82"/>
      <c r="UP8" s="82"/>
      <c r="UQ8" s="82"/>
      <c r="UR8" s="82"/>
      <c r="US8" s="82"/>
      <c r="UT8" s="82"/>
      <c r="UU8" s="82"/>
      <c r="UV8" s="82"/>
      <c r="UW8" s="82"/>
      <c r="UX8" s="82"/>
      <c r="UY8" s="82"/>
      <c r="UZ8" s="82"/>
      <c r="VA8" s="82"/>
      <c r="VB8" s="82"/>
      <c r="VC8" s="82"/>
      <c r="VD8" s="82"/>
      <c r="VE8" s="82"/>
      <c r="VF8" s="82"/>
      <c r="VG8" s="82"/>
      <c r="VH8" s="82"/>
      <c r="VI8" s="82"/>
      <c r="VJ8" s="82"/>
      <c r="VK8" s="82"/>
      <c r="VL8" s="82"/>
      <c r="VM8" s="82"/>
      <c r="VN8" s="82"/>
      <c r="VO8" s="82"/>
      <c r="VP8" s="82"/>
      <c r="VQ8" s="82"/>
      <c r="VR8" s="82"/>
      <c r="VS8" s="82"/>
      <c r="VT8" s="82"/>
      <c r="VU8" s="82"/>
      <c r="VV8" s="82"/>
      <c r="VW8" s="82"/>
      <c r="VX8" s="82"/>
      <c r="VY8" s="82"/>
      <c r="VZ8" s="82"/>
      <c r="WA8" s="82"/>
      <c r="WB8" s="82"/>
      <c r="WC8" s="82"/>
      <c r="WD8" s="82"/>
      <c r="WE8" s="82"/>
      <c r="WF8" s="82"/>
      <c r="WG8" s="82"/>
      <c r="WH8" s="82"/>
      <c r="WI8" s="82"/>
      <c r="WJ8" s="82"/>
      <c r="WK8" s="82"/>
      <c r="WL8" s="82"/>
      <c r="WM8" s="82"/>
      <c r="WN8" s="82"/>
      <c r="WO8" s="82"/>
      <c r="WP8" s="82"/>
      <c r="WQ8" s="82"/>
    </row>
    <row r="9" spans="1:615" s="54" customFormat="1" ht="115" thickBot="1" x14ac:dyDescent="0.45">
      <c r="A9" s="20">
        <v>5</v>
      </c>
      <c r="B9" s="27" t="s">
        <v>235</v>
      </c>
      <c r="C9" s="28" t="s">
        <v>236</v>
      </c>
      <c r="D9" s="29">
        <v>20</v>
      </c>
      <c r="E9" s="30" t="s">
        <v>93</v>
      </c>
      <c r="F9" s="27" t="s">
        <v>237</v>
      </c>
      <c r="G9" s="28" t="s">
        <v>236</v>
      </c>
      <c r="H9" s="29">
        <v>20</v>
      </c>
      <c r="I9" s="30" t="s">
        <v>93</v>
      </c>
      <c r="J9" s="27" t="s">
        <v>235</v>
      </c>
      <c r="K9" s="28" t="s">
        <v>236</v>
      </c>
      <c r="L9" s="29">
        <v>20</v>
      </c>
      <c r="M9" s="30" t="s">
        <v>93</v>
      </c>
      <c r="N9" s="27" t="s">
        <v>235</v>
      </c>
      <c r="O9" s="28" t="s">
        <v>236</v>
      </c>
      <c r="P9" s="29">
        <v>20</v>
      </c>
      <c r="Q9" s="30" t="s">
        <v>93</v>
      </c>
      <c r="R9" s="27" t="s">
        <v>235</v>
      </c>
      <c r="S9" s="28" t="s">
        <v>236</v>
      </c>
      <c r="T9" s="29">
        <v>20</v>
      </c>
      <c r="U9" s="30" t="s">
        <v>93</v>
      </c>
      <c r="V9" s="25" t="s">
        <v>85</v>
      </c>
      <c r="W9" s="22" t="s">
        <v>517</v>
      </c>
      <c r="X9" s="23">
        <v>10</v>
      </c>
      <c r="Y9" s="24" t="s">
        <v>92</v>
      </c>
      <c r="Z9" s="21" t="s">
        <v>85</v>
      </c>
      <c r="AA9" s="22" t="s">
        <v>517</v>
      </c>
      <c r="AB9" s="23">
        <v>10</v>
      </c>
      <c r="AC9" s="24" t="s">
        <v>92</v>
      </c>
      <c r="AD9" s="21" t="s">
        <v>85</v>
      </c>
      <c r="AE9" s="22" t="s">
        <v>518</v>
      </c>
      <c r="AF9" s="23">
        <v>10</v>
      </c>
      <c r="AG9" s="24" t="s">
        <v>92</v>
      </c>
      <c r="AH9" s="21" t="s">
        <v>238</v>
      </c>
      <c r="AI9" s="22" t="s">
        <v>519</v>
      </c>
      <c r="AJ9" s="23">
        <v>10</v>
      </c>
      <c r="AK9" s="24" t="s">
        <v>92</v>
      </c>
      <c r="AL9" s="21" t="s">
        <v>238</v>
      </c>
      <c r="AM9" s="22" t="s">
        <v>519</v>
      </c>
      <c r="AN9" s="23">
        <v>10</v>
      </c>
      <c r="AO9" s="24" t="s">
        <v>92</v>
      </c>
      <c r="AP9" s="25" t="s">
        <v>238</v>
      </c>
      <c r="AQ9" s="22" t="s">
        <v>239</v>
      </c>
      <c r="AR9" s="23">
        <v>10</v>
      </c>
      <c r="AS9" s="24" t="s">
        <v>92</v>
      </c>
      <c r="AT9" s="21" t="s">
        <v>240</v>
      </c>
      <c r="AU9" s="31" t="s">
        <v>241</v>
      </c>
      <c r="AV9" s="23">
        <v>10</v>
      </c>
      <c r="AW9" s="24" t="s">
        <v>92</v>
      </c>
      <c r="AX9" s="21" t="s">
        <v>242</v>
      </c>
      <c r="AY9" s="31" t="s">
        <v>241</v>
      </c>
      <c r="AZ9" s="23">
        <v>10</v>
      </c>
      <c r="BA9" s="24" t="s">
        <v>92</v>
      </c>
      <c r="BB9" s="21" t="s">
        <v>243</v>
      </c>
      <c r="BC9" s="26" t="s">
        <v>558</v>
      </c>
      <c r="BD9" s="23">
        <v>20</v>
      </c>
      <c r="BE9" s="24" t="s">
        <v>92</v>
      </c>
      <c r="BF9" s="21" t="s">
        <v>244</v>
      </c>
      <c r="BG9" s="22" t="s">
        <v>245</v>
      </c>
      <c r="BH9" s="23">
        <v>5</v>
      </c>
      <c r="BI9" s="537" t="s">
        <v>93</v>
      </c>
      <c r="BJ9" s="538" t="s">
        <v>244</v>
      </c>
      <c r="BK9" s="22" t="s">
        <v>245</v>
      </c>
      <c r="BL9" s="23">
        <v>5</v>
      </c>
      <c r="BM9" s="539" t="s">
        <v>93</v>
      </c>
      <c r="BN9" s="27" t="s">
        <v>246</v>
      </c>
      <c r="BO9" s="28" t="s">
        <v>558</v>
      </c>
      <c r="BP9" s="29">
        <v>20</v>
      </c>
      <c r="BQ9" s="30" t="s">
        <v>92</v>
      </c>
      <c r="BR9" s="25" t="s">
        <v>558</v>
      </c>
      <c r="BS9" s="28" t="s">
        <v>558</v>
      </c>
      <c r="BT9" s="29"/>
      <c r="BU9" s="92" t="s">
        <v>448</v>
      </c>
      <c r="BV9" s="25" t="s">
        <v>414</v>
      </c>
      <c r="BW9" s="28" t="s">
        <v>558</v>
      </c>
      <c r="BX9" s="23">
        <v>30</v>
      </c>
      <c r="BY9" s="24" t="s">
        <v>92</v>
      </c>
    </row>
    <row r="10" spans="1:615" s="33" customFormat="1" ht="101.7" thickBot="1" x14ac:dyDescent="0.45">
      <c r="A10" s="75">
        <v>6</v>
      </c>
      <c r="B10" s="83" t="s">
        <v>436</v>
      </c>
      <c r="C10" s="84" t="s">
        <v>558</v>
      </c>
      <c r="D10" s="85">
        <v>20</v>
      </c>
      <c r="E10" s="86" t="s">
        <v>93</v>
      </c>
      <c r="F10" s="83" t="s">
        <v>247</v>
      </c>
      <c r="G10" s="84" t="s">
        <v>558</v>
      </c>
      <c r="H10" s="85">
        <v>20</v>
      </c>
      <c r="I10" s="86" t="s">
        <v>93</v>
      </c>
      <c r="J10" s="83" t="s">
        <v>436</v>
      </c>
      <c r="K10" s="84" t="s">
        <v>558</v>
      </c>
      <c r="L10" s="85">
        <v>20</v>
      </c>
      <c r="M10" s="86" t="s">
        <v>93</v>
      </c>
      <c r="N10" s="83" t="s">
        <v>436</v>
      </c>
      <c r="O10" s="84" t="s">
        <v>558</v>
      </c>
      <c r="P10" s="85">
        <v>20</v>
      </c>
      <c r="Q10" s="86" t="s">
        <v>93</v>
      </c>
      <c r="R10" s="83" t="s">
        <v>436</v>
      </c>
      <c r="S10" s="84" t="s">
        <v>558</v>
      </c>
      <c r="T10" s="85">
        <v>20</v>
      </c>
      <c r="U10" s="86" t="s">
        <v>93</v>
      </c>
      <c r="V10" s="80" t="s">
        <v>248</v>
      </c>
      <c r="W10" s="81" t="s">
        <v>558</v>
      </c>
      <c r="X10" s="78">
        <v>10</v>
      </c>
      <c r="Y10" s="79" t="s">
        <v>92</v>
      </c>
      <c r="Z10" s="76" t="s">
        <v>249</v>
      </c>
      <c r="AA10" s="77" t="s">
        <v>558</v>
      </c>
      <c r="AB10" s="78">
        <v>10</v>
      </c>
      <c r="AC10" s="79" t="s">
        <v>92</v>
      </c>
      <c r="AD10" s="76" t="s">
        <v>460</v>
      </c>
      <c r="AE10" s="77" t="s">
        <v>558</v>
      </c>
      <c r="AF10" s="78">
        <v>10</v>
      </c>
      <c r="AG10" s="79" t="s">
        <v>92</v>
      </c>
      <c r="AH10" s="76" t="s">
        <v>460</v>
      </c>
      <c r="AI10" s="77"/>
      <c r="AJ10" s="78">
        <v>10</v>
      </c>
      <c r="AK10" s="79" t="s">
        <v>92</v>
      </c>
      <c r="AL10" s="76" t="s">
        <v>460</v>
      </c>
      <c r="AM10" s="77"/>
      <c r="AN10" s="78">
        <v>10</v>
      </c>
      <c r="AO10" s="79" t="s">
        <v>92</v>
      </c>
      <c r="AP10" s="80" t="s">
        <v>460</v>
      </c>
      <c r="AQ10" s="81" t="s">
        <v>558</v>
      </c>
      <c r="AR10" s="78">
        <v>10</v>
      </c>
      <c r="AS10" s="79" t="s">
        <v>92</v>
      </c>
      <c r="AT10" s="76" t="s">
        <v>542</v>
      </c>
      <c r="AU10" s="77" t="s">
        <v>558</v>
      </c>
      <c r="AV10" s="78">
        <v>10</v>
      </c>
      <c r="AW10" s="79" t="s">
        <v>92</v>
      </c>
      <c r="AX10" s="76" t="s">
        <v>250</v>
      </c>
      <c r="AY10" s="77" t="s">
        <v>558</v>
      </c>
      <c r="AZ10" s="78">
        <v>20</v>
      </c>
      <c r="BA10" s="79" t="s">
        <v>93</v>
      </c>
      <c r="BB10" s="76" t="s">
        <v>251</v>
      </c>
      <c r="BC10" s="77" t="s">
        <v>558</v>
      </c>
      <c r="BD10" s="78">
        <v>5</v>
      </c>
      <c r="BE10" s="79" t="s">
        <v>93</v>
      </c>
      <c r="BF10" s="76" t="s">
        <v>86</v>
      </c>
      <c r="BG10" s="77" t="s">
        <v>245</v>
      </c>
      <c r="BH10" s="78">
        <v>5</v>
      </c>
      <c r="BI10" s="534" t="s">
        <v>93</v>
      </c>
      <c r="BJ10" s="535" t="s">
        <v>252</v>
      </c>
      <c r="BK10" s="77" t="s">
        <v>520</v>
      </c>
      <c r="BL10" s="78">
        <v>10</v>
      </c>
      <c r="BM10" s="536" t="s">
        <v>92</v>
      </c>
      <c r="BN10" s="76" t="s">
        <v>558</v>
      </c>
      <c r="BO10" s="77" t="s">
        <v>558</v>
      </c>
      <c r="BP10" s="78"/>
      <c r="BQ10" s="92" t="s">
        <v>448</v>
      </c>
      <c r="BR10" s="80" t="s">
        <v>558</v>
      </c>
      <c r="BS10" s="77" t="s">
        <v>558</v>
      </c>
      <c r="BT10" s="78"/>
      <c r="BU10" s="92" t="s">
        <v>448</v>
      </c>
      <c r="BV10" s="80" t="s">
        <v>558</v>
      </c>
      <c r="BW10" s="77" t="s">
        <v>558</v>
      </c>
      <c r="BX10" s="78"/>
      <c r="BY10" s="92" t="s">
        <v>448</v>
      </c>
      <c r="BZ10" s="82"/>
      <c r="CA10" s="82"/>
      <c r="CB10" s="82"/>
      <c r="CC10" s="82"/>
      <c r="CD10" s="82"/>
      <c r="CE10" s="82"/>
      <c r="CF10" s="8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c r="DH10" s="82"/>
      <c r="DI10" s="82"/>
      <c r="DJ10" s="82"/>
      <c r="DK10" s="82"/>
      <c r="DL10" s="82"/>
      <c r="DM10" s="82"/>
      <c r="DN10" s="82"/>
      <c r="DO10" s="82"/>
      <c r="DP10" s="82"/>
      <c r="DQ10" s="82"/>
      <c r="DR10" s="82"/>
      <c r="DS10" s="82"/>
      <c r="DT10" s="82"/>
      <c r="DU10" s="82"/>
      <c r="DV10" s="82"/>
      <c r="DW10" s="82"/>
      <c r="DX10" s="82"/>
      <c r="DY10" s="82"/>
      <c r="DZ10" s="82"/>
      <c r="EA10" s="82"/>
      <c r="EB10" s="82"/>
      <c r="EC10" s="82"/>
      <c r="ED10" s="82"/>
      <c r="EE10" s="82"/>
      <c r="EF10" s="82"/>
      <c r="EG10" s="82"/>
      <c r="EH10" s="82"/>
      <c r="EI10" s="82"/>
      <c r="EJ10" s="82"/>
      <c r="EK10" s="82"/>
      <c r="EL10" s="82"/>
      <c r="EM10" s="82"/>
      <c r="EN10" s="82"/>
      <c r="EO10" s="82"/>
      <c r="EP10" s="82"/>
      <c r="EQ10" s="82"/>
      <c r="ER10" s="82"/>
      <c r="ES10" s="82"/>
      <c r="ET10" s="82"/>
      <c r="EU10" s="82"/>
      <c r="EV10" s="82"/>
      <c r="EW10" s="82"/>
      <c r="EX10" s="82"/>
      <c r="EY10" s="82"/>
      <c r="EZ10" s="82"/>
      <c r="FA10" s="82"/>
      <c r="FB10" s="82"/>
      <c r="FC10" s="82"/>
      <c r="FD10" s="82"/>
      <c r="FE10" s="82"/>
      <c r="FF10" s="82"/>
      <c r="FG10" s="82"/>
      <c r="FH10" s="82"/>
      <c r="FI10" s="82"/>
      <c r="FJ10" s="82"/>
      <c r="FK10" s="82"/>
      <c r="FL10" s="82"/>
      <c r="FM10" s="82"/>
      <c r="FN10" s="82"/>
      <c r="FO10" s="82"/>
      <c r="FP10" s="82"/>
      <c r="FQ10" s="82"/>
      <c r="FR10" s="82"/>
      <c r="FS10" s="82"/>
      <c r="FT10" s="82"/>
      <c r="FU10" s="82"/>
      <c r="FV10" s="82"/>
      <c r="FW10" s="82"/>
      <c r="FX10" s="82"/>
      <c r="FY10" s="82"/>
      <c r="FZ10" s="82"/>
      <c r="GA10" s="82"/>
      <c r="GB10" s="82"/>
      <c r="GC10" s="82"/>
      <c r="GD10" s="82"/>
      <c r="GE10" s="82"/>
      <c r="GF10" s="82"/>
      <c r="GG10" s="82"/>
      <c r="GH10" s="82"/>
      <c r="GI10" s="82"/>
      <c r="GJ10" s="82"/>
      <c r="GK10" s="82"/>
      <c r="GL10" s="82"/>
      <c r="GM10" s="82"/>
      <c r="GN10" s="82"/>
      <c r="GO10" s="82"/>
      <c r="GP10" s="82"/>
      <c r="GQ10" s="82"/>
      <c r="GR10" s="82"/>
      <c r="GS10" s="82"/>
      <c r="GT10" s="82"/>
      <c r="GU10" s="82"/>
      <c r="GV10" s="82"/>
      <c r="GW10" s="82"/>
      <c r="GX10" s="82"/>
      <c r="GY10" s="82"/>
      <c r="GZ10" s="82"/>
      <c r="HA10" s="82"/>
      <c r="HB10" s="82"/>
      <c r="HC10" s="82"/>
      <c r="HD10" s="82"/>
      <c r="HE10" s="82"/>
      <c r="HF10" s="82"/>
      <c r="HG10" s="82"/>
      <c r="HH10" s="82"/>
      <c r="HI10" s="82"/>
      <c r="HJ10" s="82"/>
      <c r="HK10" s="82"/>
      <c r="HL10" s="82"/>
      <c r="HM10" s="82"/>
      <c r="HN10" s="82"/>
      <c r="HO10" s="82"/>
      <c r="HP10" s="82"/>
      <c r="HQ10" s="82"/>
      <c r="HR10" s="82"/>
      <c r="HS10" s="82"/>
      <c r="HT10" s="82"/>
      <c r="HU10" s="82"/>
      <c r="HV10" s="82"/>
      <c r="HW10" s="82"/>
      <c r="HX10" s="82"/>
      <c r="HY10" s="82"/>
      <c r="HZ10" s="82"/>
      <c r="IA10" s="82"/>
      <c r="IB10" s="82"/>
      <c r="IC10" s="82"/>
      <c r="ID10" s="82"/>
      <c r="IE10" s="82"/>
      <c r="IF10" s="82"/>
      <c r="IG10" s="82"/>
      <c r="IH10" s="82"/>
      <c r="II10" s="82"/>
      <c r="IJ10" s="82"/>
      <c r="IK10" s="82"/>
      <c r="IL10" s="82"/>
      <c r="IM10" s="82"/>
      <c r="IN10" s="82"/>
      <c r="IO10" s="82"/>
      <c r="IP10" s="82"/>
      <c r="IQ10" s="82"/>
      <c r="IR10" s="82"/>
      <c r="IS10" s="82"/>
      <c r="IT10" s="82"/>
      <c r="IU10" s="82"/>
      <c r="IV10" s="82"/>
      <c r="IW10" s="82"/>
      <c r="IX10" s="82"/>
      <c r="IY10" s="82"/>
      <c r="IZ10" s="82"/>
      <c r="JA10" s="82"/>
      <c r="JB10" s="82"/>
      <c r="JC10" s="82"/>
      <c r="JD10" s="82"/>
      <c r="JE10" s="82"/>
      <c r="JF10" s="82"/>
      <c r="JG10" s="82"/>
      <c r="JH10" s="82"/>
      <c r="JI10" s="82"/>
      <c r="JJ10" s="82"/>
      <c r="JK10" s="82"/>
      <c r="JL10" s="82"/>
      <c r="JM10" s="82"/>
      <c r="JN10" s="82"/>
      <c r="JO10" s="82"/>
      <c r="JP10" s="82"/>
      <c r="JQ10" s="82"/>
      <c r="JR10" s="82"/>
      <c r="JS10" s="82"/>
      <c r="JT10" s="82"/>
      <c r="JU10" s="82"/>
      <c r="JV10" s="82"/>
      <c r="JW10" s="82"/>
      <c r="JX10" s="82"/>
      <c r="JY10" s="82"/>
      <c r="JZ10" s="82"/>
      <c r="KA10" s="82"/>
      <c r="KB10" s="82"/>
      <c r="KC10" s="82"/>
      <c r="KD10" s="82"/>
      <c r="KE10" s="82"/>
      <c r="KF10" s="82"/>
      <c r="KG10" s="82"/>
      <c r="KH10" s="82"/>
      <c r="KI10" s="82"/>
      <c r="KJ10" s="82"/>
      <c r="KK10" s="82"/>
      <c r="KL10" s="82"/>
      <c r="KM10" s="82"/>
      <c r="KN10" s="82"/>
      <c r="KO10" s="82"/>
      <c r="KP10" s="82"/>
      <c r="KQ10" s="82"/>
      <c r="KR10" s="82"/>
      <c r="KS10" s="82"/>
      <c r="KT10" s="82"/>
      <c r="KU10" s="82"/>
      <c r="KV10" s="82"/>
      <c r="KW10" s="82"/>
      <c r="KX10" s="82"/>
      <c r="KY10" s="82"/>
      <c r="KZ10" s="82"/>
      <c r="LA10" s="82"/>
      <c r="LB10" s="82"/>
      <c r="LC10" s="82"/>
      <c r="LD10" s="82"/>
      <c r="LE10" s="82"/>
      <c r="LF10" s="82"/>
      <c r="LG10" s="82"/>
      <c r="LH10" s="82"/>
      <c r="LI10" s="82"/>
      <c r="LJ10" s="82"/>
      <c r="LK10" s="82"/>
      <c r="LL10" s="82"/>
      <c r="LM10" s="82"/>
      <c r="LN10" s="82"/>
      <c r="LO10" s="82"/>
      <c r="LP10" s="82"/>
      <c r="LQ10" s="82"/>
      <c r="LR10" s="82"/>
      <c r="LS10" s="82"/>
      <c r="LT10" s="82"/>
      <c r="LU10" s="82"/>
      <c r="LV10" s="82"/>
      <c r="LW10" s="82"/>
      <c r="LX10" s="82"/>
      <c r="LY10" s="82"/>
      <c r="LZ10" s="82"/>
      <c r="MA10" s="82"/>
      <c r="MB10" s="82"/>
      <c r="MC10" s="82"/>
      <c r="MD10" s="82"/>
      <c r="ME10" s="82"/>
      <c r="MF10" s="82"/>
      <c r="MG10" s="82"/>
      <c r="MH10" s="82"/>
      <c r="MI10" s="82"/>
      <c r="MJ10" s="82"/>
      <c r="MK10" s="82"/>
      <c r="ML10" s="82"/>
      <c r="MM10" s="82"/>
      <c r="MN10" s="82"/>
      <c r="MO10" s="82"/>
      <c r="MP10" s="82"/>
      <c r="MQ10" s="82"/>
      <c r="MR10" s="82"/>
      <c r="MS10" s="82"/>
      <c r="MT10" s="82"/>
      <c r="MU10" s="82"/>
      <c r="MV10" s="82"/>
      <c r="MW10" s="82"/>
      <c r="MX10" s="82"/>
      <c r="MY10" s="82"/>
      <c r="MZ10" s="82"/>
      <c r="NA10" s="82"/>
      <c r="NB10" s="82"/>
      <c r="NC10" s="82"/>
      <c r="ND10" s="82"/>
      <c r="NE10" s="82"/>
      <c r="NF10" s="82"/>
      <c r="NG10" s="82"/>
      <c r="NH10" s="82"/>
      <c r="NI10" s="82"/>
      <c r="NJ10" s="82"/>
      <c r="NK10" s="82"/>
      <c r="NL10" s="82"/>
      <c r="NM10" s="82"/>
      <c r="NN10" s="82"/>
      <c r="NO10" s="82"/>
      <c r="NP10" s="82"/>
      <c r="NQ10" s="82"/>
      <c r="NR10" s="82"/>
      <c r="NS10" s="82"/>
      <c r="NT10" s="82"/>
      <c r="NU10" s="82"/>
      <c r="NV10" s="82"/>
      <c r="NW10" s="82"/>
      <c r="NX10" s="82"/>
      <c r="NY10" s="82"/>
      <c r="NZ10" s="82"/>
      <c r="OA10" s="82"/>
      <c r="OB10" s="82"/>
      <c r="OC10" s="82"/>
      <c r="OD10" s="82"/>
      <c r="OE10" s="82"/>
      <c r="OF10" s="82"/>
      <c r="OG10" s="82"/>
      <c r="OH10" s="82"/>
      <c r="OI10" s="82"/>
      <c r="OJ10" s="82"/>
      <c r="OK10" s="82"/>
      <c r="OL10" s="82"/>
      <c r="OM10" s="82"/>
      <c r="ON10" s="82"/>
      <c r="OO10" s="82"/>
      <c r="OP10" s="82"/>
      <c r="OQ10" s="82"/>
      <c r="OR10" s="82"/>
      <c r="OS10" s="82"/>
      <c r="OT10" s="82"/>
      <c r="OU10" s="82"/>
      <c r="OV10" s="82"/>
      <c r="OW10" s="82"/>
      <c r="OX10" s="82"/>
      <c r="OY10" s="82"/>
      <c r="OZ10" s="82"/>
      <c r="PA10" s="82"/>
      <c r="PB10" s="82"/>
      <c r="PC10" s="82"/>
      <c r="PD10" s="82"/>
      <c r="PE10" s="82"/>
      <c r="PF10" s="82"/>
      <c r="PG10" s="82"/>
      <c r="PH10" s="82"/>
      <c r="PI10" s="82"/>
      <c r="PJ10" s="82"/>
      <c r="PK10" s="82"/>
      <c r="PL10" s="82"/>
      <c r="PM10" s="82"/>
      <c r="PN10" s="82"/>
      <c r="PO10" s="82"/>
      <c r="PP10" s="82"/>
      <c r="PQ10" s="82"/>
      <c r="PR10" s="82"/>
      <c r="PS10" s="82"/>
      <c r="PT10" s="82"/>
      <c r="PU10" s="82"/>
      <c r="PV10" s="82"/>
      <c r="PW10" s="82"/>
      <c r="PX10" s="82"/>
      <c r="PY10" s="82"/>
      <c r="PZ10" s="82"/>
      <c r="QA10" s="82"/>
      <c r="QB10" s="82"/>
      <c r="QC10" s="82"/>
      <c r="QD10" s="82"/>
      <c r="QE10" s="82"/>
      <c r="QF10" s="82"/>
      <c r="QG10" s="82"/>
      <c r="QH10" s="82"/>
      <c r="QI10" s="82"/>
      <c r="QJ10" s="82"/>
      <c r="QK10" s="82"/>
      <c r="QL10" s="82"/>
      <c r="QM10" s="82"/>
      <c r="QN10" s="82"/>
      <c r="QO10" s="82"/>
      <c r="QP10" s="82"/>
      <c r="QQ10" s="82"/>
      <c r="QR10" s="82"/>
      <c r="QS10" s="82"/>
      <c r="QT10" s="82"/>
      <c r="QU10" s="82"/>
      <c r="QV10" s="82"/>
      <c r="QW10" s="82"/>
      <c r="QX10" s="82"/>
      <c r="QY10" s="82"/>
      <c r="QZ10" s="82"/>
      <c r="RA10" s="82"/>
      <c r="RB10" s="82"/>
      <c r="RC10" s="82"/>
      <c r="RD10" s="82"/>
      <c r="RE10" s="82"/>
      <c r="RF10" s="82"/>
      <c r="RG10" s="82"/>
      <c r="RH10" s="82"/>
      <c r="RI10" s="82"/>
      <c r="RJ10" s="82"/>
      <c r="RK10" s="82"/>
      <c r="RL10" s="82"/>
      <c r="RM10" s="82"/>
      <c r="RN10" s="82"/>
      <c r="RO10" s="82"/>
      <c r="RP10" s="82"/>
      <c r="RQ10" s="82"/>
      <c r="RR10" s="82"/>
      <c r="RS10" s="82"/>
      <c r="RT10" s="82"/>
      <c r="RU10" s="82"/>
      <c r="RV10" s="82"/>
      <c r="RW10" s="82"/>
      <c r="RX10" s="82"/>
      <c r="RY10" s="82"/>
      <c r="RZ10" s="82"/>
      <c r="SA10" s="82"/>
      <c r="SB10" s="82"/>
      <c r="SC10" s="82"/>
      <c r="SD10" s="82"/>
      <c r="SE10" s="82"/>
      <c r="SF10" s="82"/>
      <c r="SG10" s="82"/>
      <c r="SH10" s="82"/>
      <c r="SI10" s="82"/>
      <c r="SJ10" s="82"/>
      <c r="SK10" s="82"/>
      <c r="SL10" s="82"/>
      <c r="SM10" s="82"/>
      <c r="SN10" s="82"/>
      <c r="SO10" s="82"/>
      <c r="SP10" s="82"/>
      <c r="SQ10" s="82"/>
      <c r="SR10" s="82"/>
      <c r="SS10" s="82"/>
      <c r="ST10" s="82"/>
      <c r="SU10" s="82"/>
      <c r="SV10" s="82"/>
      <c r="SW10" s="82"/>
      <c r="SX10" s="82"/>
      <c r="SY10" s="82"/>
      <c r="SZ10" s="82"/>
      <c r="TA10" s="82"/>
      <c r="TB10" s="82"/>
      <c r="TC10" s="82"/>
      <c r="TD10" s="82"/>
      <c r="TE10" s="82"/>
      <c r="TF10" s="82"/>
      <c r="TG10" s="82"/>
      <c r="TH10" s="82"/>
      <c r="TI10" s="82"/>
      <c r="TJ10" s="82"/>
      <c r="TK10" s="82"/>
      <c r="TL10" s="82"/>
      <c r="TM10" s="82"/>
      <c r="TN10" s="82"/>
      <c r="TO10" s="82"/>
      <c r="TP10" s="82"/>
      <c r="TQ10" s="82"/>
      <c r="TR10" s="82"/>
      <c r="TS10" s="82"/>
      <c r="TT10" s="82"/>
      <c r="TU10" s="82"/>
      <c r="TV10" s="82"/>
      <c r="TW10" s="82"/>
      <c r="TX10" s="82"/>
      <c r="TY10" s="82"/>
      <c r="TZ10" s="82"/>
      <c r="UA10" s="82"/>
      <c r="UB10" s="82"/>
      <c r="UC10" s="82"/>
      <c r="UD10" s="82"/>
      <c r="UE10" s="82"/>
      <c r="UF10" s="82"/>
      <c r="UG10" s="82"/>
      <c r="UH10" s="82"/>
      <c r="UI10" s="82"/>
      <c r="UJ10" s="82"/>
      <c r="UK10" s="82"/>
      <c r="UL10" s="82"/>
      <c r="UM10" s="82"/>
      <c r="UN10" s="82"/>
      <c r="UO10" s="82"/>
      <c r="UP10" s="82"/>
      <c r="UQ10" s="82"/>
      <c r="UR10" s="82"/>
      <c r="US10" s="82"/>
      <c r="UT10" s="82"/>
      <c r="UU10" s="82"/>
      <c r="UV10" s="82"/>
      <c r="UW10" s="82"/>
      <c r="UX10" s="82"/>
      <c r="UY10" s="82"/>
      <c r="UZ10" s="82"/>
      <c r="VA10" s="82"/>
      <c r="VB10" s="82"/>
      <c r="VC10" s="82"/>
      <c r="VD10" s="82"/>
      <c r="VE10" s="82"/>
      <c r="VF10" s="82"/>
      <c r="VG10" s="82"/>
      <c r="VH10" s="82"/>
      <c r="VI10" s="82"/>
      <c r="VJ10" s="82"/>
      <c r="VK10" s="82"/>
      <c r="VL10" s="82"/>
      <c r="VM10" s="82"/>
      <c r="VN10" s="82"/>
      <c r="VO10" s="82"/>
      <c r="VP10" s="82"/>
      <c r="VQ10" s="82"/>
      <c r="VR10" s="82"/>
      <c r="VS10" s="82"/>
      <c r="VT10" s="82"/>
      <c r="VU10" s="82"/>
      <c r="VV10" s="82"/>
      <c r="VW10" s="82"/>
      <c r="VX10" s="82"/>
      <c r="VY10" s="82"/>
      <c r="VZ10" s="82"/>
      <c r="WA10" s="82"/>
      <c r="WB10" s="82"/>
      <c r="WC10" s="82"/>
      <c r="WD10" s="82"/>
      <c r="WE10" s="82"/>
      <c r="WF10" s="82"/>
      <c r="WG10" s="82"/>
      <c r="WH10" s="82"/>
      <c r="WI10" s="82"/>
      <c r="WJ10" s="82"/>
      <c r="WK10" s="82"/>
      <c r="WL10" s="82"/>
      <c r="WM10" s="82"/>
      <c r="WN10" s="82"/>
      <c r="WO10" s="82"/>
      <c r="WP10" s="82"/>
      <c r="WQ10" s="82"/>
    </row>
    <row r="11" spans="1:615" s="54" customFormat="1" ht="140.35" x14ac:dyDescent="0.4">
      <c r="A11" s="20">
        <v>7</v>
      </c>
      <c r="B11" s="27" t="s">
        <v>437</v>
      </c>
      <c r="C11" s="28" t="s">
        <v>558</v>
      </c>
      <c r="D11" s="29">
        <v>20</v>
      </c>
      <c r="E11" s="30" t="s">
        <v>93</v>
      </c>
      <c r="F11" s="27" t="s">
        <v>253</v>
      </c>
      <c r="G11" s="28" t="s">
        <v>558</v>
      </c>
      <c r="H11" s="29">
        <v>20</v>
      </c>
      <c r="I11" s="30" t="s">
        <v>93</v>
      </c>
      <c r="J11" s="27" t="s">
        <v>437</v>
      </c>
      <c r="K11" s="28" t="s">
        <v>558</v>
      </c>
      <c r="L11" s="29">
        <v>20</v>
      </c>
      <c r="M11" s="30" t="s">
        <v>93</v>
      </c>
      <c r="N11" s="27" t="s">
        <v>437</v>
      </c>
      <c r="O11" s="28" t="s">
        <v>558</v>
      </c>
      <c r="P11" s="29">
        <v>20</v>
      </c>
      <c r="Q11" s="30" t="s">
        <v>93</v>
      </c>
      <c r="R11" s="27" t="s">
        <v>437</v>
      </c>
      <c r="S11" s="28" t="s">
        <v>558</v>
      </c>
      <c r="T11" s="29">
        <v>20</v>
      </c>
      <c r="U11" s="30" t="s">
        <v>93</v>
      </c>
      <c r="V11" s="25" t="s">
        <v>254</v>
      </c>
      <c r="W11" s="22" t="s">
        <v>558</v>
      </c>
      <c r="X11" s="23">
        <v>10</v>
      </c>
      <c r="Y11" s="24" t="s">
        <v>93</v>
      </c>
      <c r="Z11" s="21" t="s">
        <v>254</v>
      </c>
      <c r="AA11" s="22" t="s">
        <v>558</v>
      </c>
      <c r="AB11" s="23">
        <v>10</v>
      </c>
      <c r="AC11" s="24" t="s">
        <v>93</v>
      </c>
      <c r="AD11" s="21" t="s">
        <v>255</v>
      </c>
      <c r="AE11" s="22" t="s">
        <v>558</v>
      </c>
      <c r="AF11" s="23">
        <v>15</v>
      </c>
      <c r="AG11" s="24" t="s">
        <v>93</v>
      </c>
      <c r="AH11" s="21" t="s">
        <v>255</v>
      </c>
      <c r="AI11" s="22"/>
      <c r="AJ11" s="23">
        <v>15</v>
      </c>
      <c r="AK11" s="24" t="s">
        <v>93</v>
      </c>
      <c r="AL11" s="21" t="s">
        <v>255</v>
      </c>
      <c r="AM11" s="22"/>
      <c r="AN11" s="23">
        <v>15</v>
      </c>
      <c r="AO11" s="24" t="s">
        <v>93</v>
      </c>
      <c r="AP11" s="25" t="s">
        <v>254</v>
      </c>
      <c r="AQ11" s="22" t="s">
        <v>558</v>
      </c>
      <c r="AR11" s="23">
        <v>10</v>
      </c>
      <c r="AS11" s="24" t="s">
        <v>93</v>
      </c>
      <c r="AT11" s="21" t="s">
        <v>256</v>
      </c>
      <c r="AU11" s="26" t="s">
        <v>558</v>
      </c>
      <c r="AV11" s="23">
        <v>15</v>
      </c>
      <c r="AW11" s="24" t="s">
        <v>93</v>
      </c>
      <c r="AX11" s="32" t="s">
        <v>257</v>
      </c>
      <c r="AY11" s="22" t="s">
        <v>558</v>
      </c>
      <c r="AZ11" s="23">
        <v>20</v>
      </c>
      <c r="BA11" s="24" t="s">
        <v>93</v>
      </c>
      <c r="BB11" s="21" t="s">
        <v>258</v>
      </c>
      <c r="BC11" s="22" t="s">
        <v>558</v>
      </c>
      <c r="BD11" s="23">
        <v>5</v>
      </c>
      <c r="BE11" s="24" t="s">
        <v>93</v>
      </c>
      <c r="BF11" s="21" t="s">
        <v>252</v>
      </c>
      <c r="BG11" s="22" t="s">
        <v>520</v>
      </c>
      <c r="BH11" s="23">
        <v>10</v>
      </c>
      <c r="BI11" s="537" t="s">
        <v>92</v>
      </c>
      <c r="BJ11" s="535" t="s">
        <v>558</v>
      </c>
      <c r="BK11" s="77" t="s">
        <v>558</v>
      </c>
      <c r="BL11" s="78">
        <v>0</v>
      </c>
      <c r="BM11" s="536" t="s">
        <v>448</v>
      </c>
      <c r="BN11" s="21" t="s">
        <v>558</v>
      </c>
      <c r="BO11" s="22" t="s">
        <v>558</v>
      </c>
      <c r="BP11" s="23"/>
      <c r="BQ11" s="42" t="s">
        <v>448</v>
      </c>
      <c r="BR11" s="25" t="s">
        <v>558</v>
      </c>
      <c r="BS11" s="22" t="s">
        <v>558</v>
      </c>
      <c r="BT11" s="23"/>
      <c r="BU11" s="42" t="s">
        <v>448</v>
      </c>
      <c r="BV11" s="25" t="s">
        <v>558</v>
      </c>
      <c r="BW11" s="22" t="s">
        <v>558</v>
      </c>
      <c r="BX11" s="23"/>
      <c r="BY11" s="42" t="s">
        <v>448</v>
      </c>
    </row>
    <row r="12" spans="1:615" s="33" customFormat="1" ht="178.7" thickBot="1" x14ac:dyDescent="0.45">
      <c r="A12" s="75">
        <v>8</v>
      </c>
      <c r="B12" s="87" t="s">
        <v>259</v>
      </c>
      <c r="C12" s="82" t="s">
        <v>260</v>
      </c>
      <c r="D12" s="78">
        <v>10</v>
      </c>
      <c r="E12" s="79" t="s">
        <v>93</v>
      </c>
      <c r="F12" s="76" t="s">
        <v>259</v>
      </c>
      <c r="G12" s="77" t="s">
        <v>260</v>
      </c>
      <c r="H12" s="78">
        <v>10</v>
      </c>
      <c r="I12" s="79" t="s">
        <v>93</v>
      </c>
      <c r="J12" s="87" t="s">
        <v>259</v>
      </c>
      <c r="K12" s="82" t="s">
        <v>260</v>
      </c>
      <c r="L12" s="78">
        <v>10</v>
      </c>
      <c r="M12" s="79" t="s">
        <v>93</v>
      </c>
      <c r="N12" s="87" t="s">
        <v>259</v>
      </c>
      <c r="O12" s="82" t="s">
        <v>260</v>
      </c>
      <c r="P12" s="78">
        <v>10</v>
      </c>
      <c r="Q12" s="79" t="s">
        <v>93</v>
      </c>
      <c r="R12" s="87" t="s">
        <v>259</v>
      </c>
      <c r="S12" s="82" t="s">
        <v>260</v>
      </c>
      <c r="T12" s="78">
        <v>10</v>
      </c>
      <c r="U12" s="79" t="s">
        <v>93</v>
      </c>
      <c r="V12" s="80" t="s">
        <v>261</v>
      </c>
      <c r="W12" s="77" t="s">
        <v>262</v>
      </c>
      <c r="X12" s="78">
        <v>10</v>
      </c>
      <c r="Y12" s="79" t="s">
        <v>93</v>
      </c>
      <c r="Z12" s="76" t="s">
        <v>261</v>
      </c>
      <c r="AA12" s="77" t="s">
        <v>262</v>
      </c>
      <c r="AB12" s="78">
        <v>10</v>
      </c>
      <c r="AC12" s="79" t="s">
        <v>93</v>
      </c>
      <c r="AD12" s="76" t="s">
        <v>263</v>
      </c>
      <c r="AE12" s="77" t="s">
        <v>262</v>
      </c>
      <c r="AF12" s="78">
        <v>15</v>
      </c>
      <c r="AG12" s="79" t="s">
        <v>93</v>
      </c>
      <c r="AH12" s="76" t="s">
        <v>264</v>
      </c>
      <c r="AI12" s="77" t="s">
        <v>262</v>
      </c>
      <c r="AJ12" s="78">
        <v>15</v>
      </c>
      <c r="AK12" s="79" t="s">
        <v>93</v>
      </c>
      <c r="AL12" s="76" t="s">
        <v>264</v>
      </c>
      <c r="AM12" s="77" t="s">
        <v>262</v>
      </c>
      <c r="AN12" s="78">
        <v>15</v>
      </c>
      <c r="AO12" s="79" t="s">
        <v>93</v>
      </c>
      <c r="AP12" s="80" t="s">
        <v>265</v>
      </c>
      <c r="AQ12" s="77" t="s">
        <v>558</v>
      </c>
      <c r="AR12" s="78">
        <v>10</v>
      </c>
      <c r="AS12" s="79" t="s">
        <v>93</v>
      </c>
      <c r="AT12" s="76" t="s">
        <v>266</v>
      </c>
      <c r="AU12" s="77" t="s">
        <v>267</v>
      </c>
      <c r="AV12" s="78">
        <v>15</v>
      </c>
      <c r="AW12" s="79" t="s">
        <v>93</v>
      </c>
      <c r="AX12" s="83" t="s">
        <v>268</v>
      </c>
      <c r="AY12" s="84" t="s">
        <v>269</v>
      </c>
      <c r="AZ12" s="85">
        <v>20</v>
      </c>
      <c r="BA12" s="86" t="s">
        <v>93</v>
      </c>
      <c r="BB12" s="76" t="s">
        <v>558</v>
      </c>
      <c r="BC12" s="77" t="s">
        <v>558</v>
      </c>
      <c r="BD12" s="78"/>
      <c r="BE12" s="79" t="s">
        <v>448</v>
      </c>
      <c r="BF12" s="76" t="s">
        <v>87</v>
      </c>
      <c r="BG12" s="77" t="s">
        <v>558</v>
      </c>
      <c r="BH12" s="78">
        <v>5</v>
      </c>
      <c r="BI12" s="534" t="s">
        <v>93</v>
      </c>
      <c r="BJ12" s="538" t="s">
        <v>87</v>
      </c>
      <c r="BK12" s="22" t="s">
        <v>558</v>
      </c>
      <c r="BL12" s="23">
        <v>5</v>
      </c>
      <c r="BM12" s="540" t="s">
        <v>93</v>
      </c>
      <c r="BN12" s="76" t="s">
        <v>558</v>
      </c>
      <c r="BO12" s="77" t="s">
        <v>558</v>
      </c>
      <c r="BP12" s="78"/>
      <c r="BQ12" s="92" t="s">
        <v>448</v>
      </c>
      <c r="BR12" s="80" t="s">
        <v>558</v>
      </c>
      <c r="BS12" s="77" t="s">
        <v>558</v>
      </c>
      <c r="BT12" s="78"/>
      <c r="BU12" s="92" t="s">
        <v>448</v>
      </c>
      <c r="BV12" s="80" t="s">
        <v>558</v>
      </c>
      <c r="BW12" s="77" t="s">
        <v>558</v>
      </c>
      <c r="BX12" s="78"/>
      <c r="BY12" s="92" t="s">
        <v>448</v>
      </c>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c r="ED12" s="82"/>
      <c r="EE12" s="82"/>
      <c r="EF12" s="82"/>
      <c r="EG12" s="82"/>
      <c r="EH12" s="82"/>
      <c r="EI12" s="82"/>
      <c r="EJ12" s="82"/>
      <c r="EK12" s="82"/>
      <c r="EL12" s="82"/>
      <c r="EM12" s="82"/>
      <c r="EN12" s="82"/>
      <c r="EO12" s="82"/>
      <c r="EP12" s="82"/>
      <c r="EQ12" s="82"/>
      <c r="ER12" s="82"/>
      <c r="ES12" s="82"/>
      <c r="ET12" s="82"/>
      <c r="EU12" s="82"/>
      <c r="EV12" s="82"/>
      <c r="EW12" s="82"/>
      <c r="EX12" s="82"/>
      <c r="EY12" s="82"/>
      <c r="EZ12" s="82"/>
      <c r="FA12" s="82"/>
      <c r="FB12" s="82"/>
      <c r="FC12" s="82"/>
      <c r="FD12" s="82"/>
      <c r="FE12" s="82"/>
      <c r="FF12" s="82"/>
      <c r="FG12" s="82"/>
      <c r="FH12" s="82"/>
      <c r="FI12" s="82"/>
      <c r="FJ12" s="82"/>
      <c r="FK12" s="82"/>
      <c r="FL12" s="82"/>
      <c r="FM12" s="82"/>
      <c r="FN12" s="82"/>
      <c r="FO12" s="82"/>
      <c r="FP12" s="82"/>
      <c r="FQ12" s="82"/>
      <c r="FR12" s="82"/>
      <c r="FS12" s="82"/>
      <c r="FT12" s="82"/>
      <c r="FU12" s="82"/>
      <c r="FV12" s="82"/>
      <c r="FW12" s="82"/>
      <c r="FX12" s="82"/>
      <c r="FY12" s="82"/>
      <c r="FZ12" s="82"/>
      <c r="GA12" s="82"/>
      <c r="GB12" s="82"/>
      <c r="GC12" s="82"/>
      <c r="GD12" s="82"/>
      <c r="GE12" s="82"/>
      <c r="GF12" s="82"/>
      <c r="GG12" s="82"/>
      <c r="GH12" s="82"/>
      <c r="GI12" s="82"/>
      <c r="GJ12" s="82"/>
      <c r="GK12" s="82"/>
      <c r="GL12" s="82"/>
      <c r="GM12" s="82"/>
      <c r="GN12" s="82"/>
      <c r="GO12" s="82"/>
      <c r="GP12" s="82"/>
      <c r="GQ12" s="82"/>
      <c r="GR12" s="82"/>
      <c r="GS12" s="82"/>
      <c r="GT12" s="82"/>
      <c r="GU12" s="82"/>
      <c r="GV12" s="82"/>
      <c r="GW12" s="82"/>
      <c r="GX12" s="82"/>
      <c r="GY12" s="82"/>
      <c r="GZ12" s="82"/>
      <c r="HA12" s="82"/>
      <c r="HB12" s="82"/>
      <c r="HC12" s="82"/>
      <c r="HD12" s="82"/>
      <c r="HE12" s="82"/>
      <c r="HF12" s="82"/>
      <c r="HG12" s="82"/>
      <c r="HH12" s="82"/>
      <c r="HI12" s="82"/>
      <c r="HJ12" s="82"/>
      <c r="HK12" s="82"/>
      <c r="HL12" s="82"/>
      <c r="HM12" s="82"/>
      <c r="HN12" s="82"/>
      <c r="HO12" s="82"/>
      <c r="HP12" s="82"/>
      <c r="HQ12" s="82"/>
      <c r="HR12" s="82"/>
      <c r="HS12" s="82"/>
      <c r="HT12" s="82"/>
      <c r="HU12" s="82"/>
      <c r="HV12" s="82"/>
      <c r="HW12" s="82"/>
      <c r="HX12" s="82"/>
      <c r="HY12" s="82"/>
      <c r="HZ12" s="82"/>
      <c r="IA12" s="82"/>
      <c r="IB12" s="82"/>
      <c r="IC12" s="82"/>
      <c r="ID12" s="82"/>
      <c r="IE12" s="82"/>
      <c r="IF12" s="82"/>
      <c r="IG12" s="82"/>
      <c r="IH12" s="82"/>
      <c r="II12" s="82"/>
      <c r="IJ12" s="82"/>
      <c r="IK12" s="82"/>
      <c r="IL12" s="82"/>
      <c r="IM12" s="82"/>
      <c r="IN12" s="82"/>
      <c r="IO12" s="82"/>
      <c r="IP12" s="82"/>
      <c r="IQ12" s="82"/>
      <c r="IR12" s="82"/>
      <c r="IS12" s="82"/>
      <c r="IT12" s="82"/>
      <c r="IU12" s="82"/>
      <c r="IV12" s="82"/>
      <c r="IW12" s="82"/>
      <c r="IX12" s="82"/>
      <c r="IY12" s="82"/>
      <c r="IZ12" s="82"/>
      <c r="JA12" s="82"/>
      <c r="JB12" s="82"/>
      <c r="JC12" s="82"/>
      <c r="JD12" s="82"/>
      <c r="JE12" s="82"/>
      <c r="JF12" s="82"/>
      <c r="JG12" s="82"/>
      <c r="JH12" s="82"/>
      <c r="JI12" s="82"/>
      <c r="JJ12" s="82"/>
      <c r="JK12" s="82"/>
      <c r="JL12" s="82"/>
      <c r="JM12" s="82"/>
      <c r="JN12" s="82"/>
      <c r="JO12" s="82"/>
      <c r="JP12" s="82"/>
      <c r="JQ12" s="82"/>
      <c r="JR12" s="82"/>
      <c r="JS12" s="82"/>
      <c r="JT12" s="82"/>
      <c r="JU12" s="82"/>
      <c r="JV12" s="82"/>
      <c r="JW12" s="82"/>
      <c r="JX12" s="82"/>
      <c r="JY12" s="82"/>
      <c r="JZ12" s="82"/>
      <c r="KA12" s="82"/>
      <c r="KB12" s="82"/>
      <c r="KC12" s="82"/>
      <c r="KD12" s="82"/>
      <c r="KE12" s="82"/>
      <c r="KF12" s="82"/>
      <c r="KG12" s="82"/>
      <c r="KH12" s="82"/>
      <c r="KI12" s="82"/>
      <c r="KJ12" s="82"/>
      <c r="KK12" s="82"/>
      <c r="KL12" s="82"/>
      <c r="KM12" s="82"/>
      <c r="KN12" s="82"/>
      <c r="KO12" s="82"/>
      <c r="KP12" s="82"/>
      <c r="KQ12" s="82"/>
      <c r="KR12" s="82"/>
      <c r="KS12" s="82"/>
      <c r="KT12" s="82"/>
      <c r="KU12" s="82"/>
      <c r="KV12" s="82"/>
      <c r="KW12" s="82"/>
      <c r="KX12" s="82"/>
      <c r="KY12" s="82"/>
      <c r="KZ12" s="82"/>
      <c r="LA12" s="82"/>
      <c r="LB12" s="82"/>
      <c r="LC12" s="82"/>
      <c r="LD12" s="82"/>
      <c r="LE12" s="82"/>
      <c r="LF12" s="82"/>
      <c r="LG12" s="82"/>
      <c r="LH12" s="82"/>
      <c r="LI12" s="82"/>
      <c r="LJ12" s="82"/>
      <c r="LK12" s="82"/>
      <c r="LL12" s="82"/>
      <c r="LM12" s="82"/>
      <c r="LN12" s="82"/>
      <c r="LO12" s="82"/>
      <c r="LP12" s="82"/>
      <c r="LQ12" s="82"/>
      <c r="LR12" s="82"/>
      <c r="LS12" s="82"/>
      <c r="LT12" s="82"/>
      <c r="LU12" s="82"/>
      <c r="LV12" s="82"/>
      <c r="LW12" s="82"/>
      <c r="LX12" s="82"/>
      <c r="LY12" s="82"/>
      <c r="LZ12" s="82"/>
      <c r="MA12" s="82"/>
      <c r="MB12" s="82"/>
      <c r="MC12" s="82"/>
      <c r="MD12" s="82"/>
      <c r="ME12" s="82"/>
      <c r="MF12" s="82"/>
      <c r="MG12" s="82"/>
      <c r="MH12" s="82"/>
      <c r="MI12" s="82"/>
      <c r="MJ12" s="82"/>
      <c r="MK12" s="82"/>
      <c r="ML12" s="82"/>
      <c r="MM12" s="82"/>
      <c r="MN12" s="82"/>
      <c r="MO12" s="82"/>
      <c r="MP12" s="82"/>
      <c r="MQ12" s="82"/>
      <c r="MR12" s="82"/>
      <c r="MS12" s="82"/>
      <c r="MT12" s="82"/>
      <c r="MU12" s="82"/>
      <c r="MV12" s="82"/>
      <c r="MW12" s="82"/>
      <c r="MX12" s="82"/>
      <c r="MY12" s="82"/>
      <c r="MZ12" s="82"/>
      <c r="NA12" s="82"/>
      <c r="NB12" s="82"/>
      <c r="NC12" s="82"/>
      <c r="ND12" s="82"/>
      <c r="NE12" s="82"/>
      <c r="NF12" s="82"/>
      <c r="NG12" s="82"/>
      <c r="NH12" s="82"/>
      <c r="NI12" s="82"/>
      <c r="NJ12" s="82"/>
      <c r="NK12" s="82"/>
      <c r="NL12" s="82"/>
      <c r="NM12" s="82"/>
      <c r="NN12" s="82"/>
      <c r="NO12" s="82"/>
      <c r="NP12" s="82"/>
      <c r="NQ12" s="82"/>
      <c r="NR12" s="82"/>
      <c r="NS12" s="82"/>
      <c r="NT12" s="82"/>
      <c r="NU12" s="82"/>
      <c r="NV12" s="82"/>
      <c r="NW12" s="82"/>
      <c r="NX12" s="82"/>
      <c r="NY12" s="82"/>
      <c r="NZ12" s="82"/>
      <c r="OA12" s="82"/>
      <c r="OB12" s="82"/>
      <c r="OC12" s="82"/>
      <c r="OD12" s="82"/>
      <c r="OE12" s="82"/>
      <c r="OF12" s="82"/>
      <c r="OG12" s="82"/>
      <c r="OH12" s="82"/>
      <c r="OI12" s="82"/>
      <c r="OJ12" s="82"/>
      <c r="OK12" s="82"/>
      <c r="OL12" s="82"/>
      <c r="OM12" s="82"/>
      <c r="ON12" s="82"/>
      <c r="OO12" s="82"/>
      <c r="OP12" s="82"/>
      <c r="OQ12" s="82"/>
      <c r="OR12" s="82"/>
      <c r="OS12" s="82"/>
      <c r="OT12" s="82"/>
      <c r="OU12" s="82"/>
      <c r="OV12" s="82"/>
      <c r="OW12" s="82"/>
      <c r="OX12" s="82"/>
      <c r="OY12" s="82"/>
      <c r="OZ12" s="82"/>
      <c r="PA12" s="82"/>
      <c r="PB12" s="82"/>
      <c r="PC12" s="82"/>
      <c r="PD12" s="82"/>
      <c r="PE12" s="82"/>
      <c r="PF12" s="82"/>
      <c r="PG12" s="82"/>
      <c r="PH12" s="82"/>
      <c r="PI12" s="82"/>
      <c r="PJ12" s="82"/>
      <c r="PK12" s="82"/>
      <c r="PL12" s="82"/>
      <c r="PM12" s="82"/>
      <c r="PN12" s="82"/>
      <c r="PO12" s="82"/>
      <c r="PP12" s="82"/>
      <c r="PQ12" s="82"/>
      <c r="PR12" s="82"/>
      <c r="PS12" s="82"/>
      <c r="PT12" s="82"/>
      <c r="PU12" s="82"/>
      <c r="PV12" s="82"/>
      <c r="PW12" s="82"/>
      <c r="PX12" s="82"/>
      <c r="PY12" s="82"/>
      <c r="PZ12" s="82"/>
      <c r="QA12" s="82"/>
      <c r="QB12" s="82"/>
      <c r="QC12" s="82"/>
      <c r="QD12" s="82"/>
      <c r="QE12" s="82"/>
      <c r="QF12" s="82"/>
      <c r="QG12" s="82"/>
      <c r="QH12" s="82"/>
      <c r="QI12" s="82"/>
      <c r="QJ12" s="82"/>
      <c r="QK12" s="82"/>
      <c r="QL12" s="82"/>
      <c r="QM12" s="82"/>
      <c r="QN12" s="82"/>
      <c r="QO12" s="82"/>
      <c r="QP12" s="82"/>
      <c r="QQ12" s="82"/>
      <c r="QR12" s="82"/>
      <c r="QS12" s="82"/>
      <c r="QT12" s="82"/>
      <c r="QU12" s="82"/>
      <c r="QV12" s="82"/>
      <c r="QW12" s="82"/>
      <c r="QX12" s="82"/>
      <c r="QY12" s="82"/>
      <c r="QZ12" s="82"/>
      <c r="RA12" s="82"/>
      <c r="RB12" s="82"/>
      <c r="RC12" s="82"/>
      <c r="RD12" s="82"/>
      <c r="RE12" s="82"/>
      <c r="RF12" s="82"/>
      <c r="RG12" s="82"/>
      <c r="RH12" s="82"/>
      <c r="RI12" s="82"/>
      <c r="RJ12" s="82"/>
      <c r="RK12" s="82"/>
      <c r="RL12" s="82"/>
      <c r="RM12" s="82"/>
      <c r="RN12" s="82"/>
      <c r="RO12" s="82"/>
      <c r="RP12" s="82"/>
      <c r="RQ12" s="82"/>
      <c r="RR12" s="82"/>
      <c r="RS12" s="82"/>
      <c r="RT12" s="82"/>
      <c r="RU12" s="82"/>
      <c r="RV12" s="82"/>
      <c r="RW12" s="82"/>
      <c r="RX12" s="82"/>
      <c r="RY12" s="82"/>
      <c r="RZ12" s="82"/>
      <c r="SA12" s="82"/>
      <c r="SB12" s="82"/>
      <c r="SC12" s="82"/>
      <c r="SD12" s="82"/>
      <c r="SE12" s="82"/>
      <c r="SF12" s="82"/>
      <c r="SG12" s="82"/>
      <c r="SH12" s="82"/>
      <c r="SI12" s="82"/>
      <c r="SJ12" s="82"/>
      <c r="SK12" s="82"/>
      <c r="SL12" s="82"/>
      <c r="SM12" s="82"/>
      <c r="SN12" s="82"/>
      <c r="SO12" s="82"/>
      <c r="SP12" s="82"/>
      <c r="SQ12" s="82"/>
      <c r="SR12" s="82"/>
      <c r="SS12" s="82"/>
      <c r="ST12" s="82"/>
      <c r="SU12" s="82"/>
      <c r="SV12" s="82"/>
      <c r="SW12" s="82"/>
      <c r="SX12" s="82"/>
      <c r="SY12" s="82"/>
      <c r="SZ12" s="82"/>
      <c r="TA12" s="82"/>
      <c r="TB12" s="82"/>
      <c r="TC12" s="82"/>
      <c r="TD12" s="82"/>
      <c r="TE12" s="82"/>
      <c r="TF12" s="82"/>
      <c r="TG12" s="82"/>
      <c r="TH12" s="82"/>
      <c r="TI12" s="82"/>
      <c r="TJ12" s="82"/>
      <c r="TK12" s="82"/>
      <c r="TL12" s="82"/>
      <c r="TM12" s="82"/>
      <c r="TN12" s="82"/>
      <c r="TO12" s="82"/>
      <c r="TP12" s="82"/>
      <c r="TQ12" s="82"/>
      <c r="TR12" s="82"/>
      <c r="TS12" s="82"/>
      <c r="TT12" s="82"/>
      <c r="TU12" s="82"/>
      <c r="TV12" s="82"/>
      <c r="TW12" s="82"/>
      <c r="TX12" s="82"/>
      <c r="TY12" s="82"/>
      <c r="TZ12" s="82"/>
      <c r="UA12" s="82"/>
      <c r="UB12" s="82"/>
      <c r="UC12" s="82"/>
      <c r="UD12" s="82"/>
      <c r="UE12" s="82"/>
      <c r="UF12" s="82"/>
      <c r="UG12" s="82"/>
      <c r="UH12" s="82"/>
      <c r="UI12" s="82"/>
      <c r="UJ12" s="82"/>
      <c r="UK12" s="82"/>
      <c r="UL12" s="82"/>
      <c r="UM12" s="82"/>
      <c r="UN12" s="82"/>
      <c r="UO12" s="82"/>
      <c r="UP12" s="82"/>
      <c r="UQ12" s="82"/>
      <c r="UR12" s="82"/>
      <c r="US12" s="82"/>
      <c r="UT12" s="82"/>
      <c r="UU12" s="82"/>
      <c r="UV12" s="82"/>
      <c r="UW12" s="82"/>
      <c r="UX12" s="82"/>
      <c r="UY12" s="82"/>
      <c r="UZ12" s="82"/>
      <c r="VA12" s="82"/>
      <c r="VB12" s="82"/>
      <c r="VC12" s="82"/>
      <c r="VD12" s="82"/>
      <c r="VE12" s="82"/>
      <c r="VF12" s="82"/>
      <c r="VG12" s="82"/>
      <c r="VH12" s="82"/>
      <c r="VI12" s="82"/>
      <c r="VJ12" s="82"/>
      <c r="VK12" s="82"/>
      <c r="VL12" s="82"/>
      <c r="VM12" s="82"/>
      <c r="VN12" s="82"/>
      <c r="VO12" s="82"/>
      <c r="VP12" s="82"/>
      <c r="VQ12" s="82"/>
      <c r="VR12" s="82"/>
      <c r="VS12" s="82"/>
      <c r="VT12" s="82"/>
      <c r="VU12" s="82"/>
      <c r="VV12" s="82"/>
      <c r="VW12" s="82"/>
      <c r="VX12" s="82"/>
      <c r="VY12" s="82"/>
      <c r="VZ12" s="82"/>
      <c r="WA12" s="82"/>
      <c r="WB12" s="82"/>
      <c r="WC12" s="82"/>
      <c r="WD12" s="82"/>
      <c r="WE12" s="82"/>
      <c r="WF12" s="82"/>
      <c r="WG12" s="82"/>
      <c r="WH12" s="82"/>
      <c r="WI12" s="82"/>
      <c r="WJ12" s="82"/>
      <c r="WK12" s="82"/>
      <c r="WL12" s="82"/>
      <c r="WM12" s="82"/>
      <c r="WN12" s="82"/>
      <c r="WO12" s="82"/>
      <c r="WP12" s="82"/>
      <c r="WQ12" s="82"/>
    </row>
    <row r="13" spans="1:615" s="54" customFormat="1" ht="93.35" x14ac:dyDescent="0.4">
      <c r="A13" s="34">
        <v>9</v>
      </c>
      <c r="B13" s="35" t="s">
        <v>88</v>
      </c>
      <c r="C13" s="36" t="s">
        <v>558</v>
      </c>
      <c r="D13" s="37">
        <v>20</v>
      </c>
      <c r="E13" s="38" t="s">
        <v>91</v>
      </c>
      <c r="F13" s="39" t="s">
        <v>88</v>
      </c>
      <c r="G13" s="40" t="s">
        <v>558</v>
      </c>
      <c r="H13" s="41">
        <v>20</v>
      </c>
      <c r="I13" s="42" t="s">
        <v>91</v>
      </c>
      <c r="J13" s="35" t="s">
        <v>88</v>
      </c>
      <c r="K13" s="36" t="s">
        <v>558</v>
      </c>
      <c r="L13" s="37">
        <v>20</v>
      </c>
      <c r="M13" s="38" t="s">
        <v>91</v>
      </c>
      <c r="N13" s="35" t="s">
        <v>88</v>
      </c>
      <c r="O13" s="36" t="s">
        <v>558</v>
      </c>
      <c r="P13" s="37">
        <v>20</v>
      </c>
      <c r="Q13" s="38" t="s">
        <v>91</v>
      </c>
      <c r="R13" s="35" t="s">
        <v>88</v>
      </c>
      <c r="S13" s="36" t="s">
        <v>558</v>
      </c>
      <c r="T13" s="37">
        <v>20</v>
      </c>
      <c r="U13" s="38" t="s">
        <v>91</v>
      </c>
      <c r="V13" s="43" t="s">
        <v>271</v>
      </c>
      <c r="W13" s="40" t="s">
        <v>272</v>
      </c>
      <c r="X13" s="41">
        <v>10</v>
      </c>
      <c r="Y13" s="42" t="s">
        <v>93</v>
      </c>
      <c r="Z13" s="39" t="s">
        <v>271</v>
      </c>
      <c r="AA13" s="40" t="s">
        <v>272</v>
      </c>
      <c r="AB13" s="41">
        <v>10</v>
      </c>
      <c r="AC13" s="42" t="s">
        <v>93</v>
      </c>
      <c r="AD13" s="35" t="s">
        <v>273</v>
      </c>
      <c r="AE13" s="36" t="s">
        <v>558</v>
      </c>
      <c r="AF13" s="37">
        <v>10</v>
      </c>
      <c r="AG13" s="38" t="s">
        <v>91</v>
      </c>
      <c r="AH13" s="35" t="s">
        <v>273</v>
      </c>
      <c r="AI13" s="40"/>
      <c r="AJ13" s="41">
        <v>10</v>
      </c>
      <c r="AK13" s="38" t="s">
        <v>91</v>
      </c>
      <c r="AL13" s="35" t="s">
        <v>273</v>
      </c>
      <c r="AM13" s="40"/>
      <c r="AN13" s="41">
        <v>10</v>
      </c>
      <c r="AO13" s="38" t="s">
        <v>91</v>
      </c>
      <c r="AP13" s="43" t="s">
        <v>271</v>
      </c>
      <c r="AQ13" s="40" t="s">
        <v>272</v>
      </c>
      <c r="AR13" s="41">
        <v>10</v>
      </c>
      <c r="AS13" s="42" t="s">
        <v>93</v>
      </c>
      <c r="AT13" s="39" t="s">
        <v>274</v>
      </c>
      <c r="AU13" s="40" t="s">
        <v>558</v>
      </c>
      <c r="AV13" s="41">
        <v>10</v>
      </c>
      <c r="AW13" s="42" t="s">
        <v>91</v>
      </c>
      <c r="AX13" s="44" t="s">
        <v>275</v>
      </c>
      <c r="AY13" s="45" t="s">
        <v>558</v>
      </c>
      <c r="AZ13" s="46">
        <v>20</v>
      </c>
      <c r="BA13" s="47" t="s">
        <v>93</v>
      </c>
      <c r="BB13" s="21" t="s">
        <v>558</v>
      </c>
      <c r="BC13" s="40" t="s">
        <v>558</v>
      </c>
      <c r="BD13" s="41"/>
      <c r="BE13" s="42" t="s">
        <v>448</v>
      </c>
      <c r="BF13" s="39" t="s">
        <v>270</v>
      </c>
      <c r="BG13" s="48" t="s">
        <v>558</v>
      </c>
      <c r="BH13" s="41">
        <v>15</v>
      </c>
      <c r="BI13" s="541" t="s">
        <v>93</v>
      </c>
      <c r="BJ13" s="535" t="s">
        <v>270</v>
      </c>
      <c r="BK13" s="77" t="s">
        <v>558</v>
      </c>
      <c r="BL13" s="78">
        <v>15</v>
      </c>
      <c r="BM13" s="536" t="s">
        <v>93</v>
      </c>
      <c r="BN13" s="39" t="s">
        <v>558</v>
      </c>
      <c r="BO13" s="40" t="s">
        <v>558</v>
      </c>
      <c r="BP13" s="41"/>
      <c r="BQ13" s="42" t="s">
        <v>448</v>
      </c>
      <c r="BR13" s="43" t="s">
        <v>558</v>
      </c>
      <c r="BS13" s="40" t="s">
        <v>558</v>
      </c>
      <c r="BT13" s="41"/>
      <c r="BU13" s="42" t="s">
        <v>448</v>
      </c>
      <c r="BV13" s="43" t="s">
        <v>558</v>
      </c>
      <c r="BW13" s="40" t="s">
        <v>558</v>
      </c>
      <c r="BX13" s="41"/>
      <c r="BY13" s="42" t="s">
        <v>448</v>
      </c>
    </row>
    <row r="14" spans="1:615" s="33" customFormat="1" ht="38.35" thickBot="1" x14ac:dyDescent="0.45">
      <c r="A14" s="88">
        <v>10</v>
      </c>
      <c r="B14" s="89" t="s">
        <v>558</v>
      </c>
      <c r="C14" s="90" t="s">
        <v>558</v>
      </c>
      <c r="D14" s="91"/>
      <c r="E14" s="92" t="s">
        <v>448</v>
      </c>
      <c r="F14" s="89" t="s">
        <v>558</v>
      </c>
      <c r="G14" s="90" t="s">
        <v>558</v>
      </c>
      <c r="H14" s="91"/>
      <c r="I14" s="92" t="s">
        <v>448</v>
      </c>
      <c r="J14" s="89" t="s">
        <v>558</v>
      </c>
      <c r="K14" s="90" t="s">
        <v>558</v>
      </c>
      <c r="L14" s="91"/>
      <c r="M14" s="92" t="s">
        <v>448</v>
      </c>
      <c r="N14" s="89" t="s">
        <v>558</v>
      </c>
      <c r="O14" s="90" t="s">
        <v>558</v>
      </c>
      <c r="P14" s="91"/>
      <c r="Q14" s="92" t="s">
        <v>448</v>
      </c>
      <c r="R14" s="89" t="s">
        <v>558</v>
      </c>
      <c r="S14" s="90" t="s">
        <v>558</v>
      </c>
      <c r="T14" s="91"/>
      <c r="U14" s="92" t="s">
        <v>448</v>
      </c>
      <c r="V14" s="93" t="s">
        <v>273</v>
      </c>
      <c r="W14" s="90" t="s">
        <v>558</v>
      </c>
      <c r="X14" s="91">
        <v>10</v>
      </c>
      <c r="Y14" s="92" t="s">
        <v>91</v>
      </c>
      <c r="Z14" s="89" t="s">
        <v>273</v>
      </c>
      <c r="AA14" s="90" t="s">
        <v>558</v>
      </c>
      <c r="AB14" s="91">
        <v>10</v>
      </c>
      <c r="AC14" s="92" t="s">
        <v>91</v>
      </c>
      <c r="AD14" s="89" t="s">
        <v>558</v>
      </c>
      <c r="AE14" s="90" t="s">
        <v>558</v>
      </c>
      <c r="AF14" s="91"/>
      <c r="AG14" s="92" t="s">
        <v>448</v>
      </c>
      <c r="AH14" s="89" t="s">
        <v>558</v>
      </c>
      <c r="AI14" s="90"/>
      <c r="AJ14" s="91"/>
      <c r="AK14" s="92" t="s">
        <v>448</v>
      </c>
      <c r="AL14" s="89" t="s">
        <v>558</v>
      </c>
      <c r="AM14" s="90"/>
      <c r="AN14" s="91"/>
      <c r="AO14" s="92" t="s">
        <v>448</v>
      </c>
      <c r="AP14" s="89" t="s">
        <v>273</v>
      </c>
      <c r="AQ14" s="90" t="s">
        <v>558</v>
      </c>
      <c r="AR14" s="91">
        <v>10</v>
      </c>
      <c r="AS14" s="92" t="s">
        <v>91</v>
      </c>
      <c r="AT14" s="89" t="s">
        <v>558</v>
      </c>
      <c r="AU14" s="90" t="s">
        <v>558</v>
      </c>
      <c r="AV14" s="91"/>
      <c r="AW14" s="92" t="s">
        <v>448</v>
      </c>
      <c r="AX14" s="89" t="s">
        <v>276</v>
      </c>
      <c r="AY14" s="90" t="s">
        <v>558</v>
      </c>
      <c r="AZ14" s="91">
        <v>10</v>
      </c>
      <c r="BA14" s="92" t="s">
        <v>91</v>
      </c>
      <c r="BB14" s="89" t="s">
        <v>558</v>
      </c>
      <c r="BC14" s="90" t="s">
        <v>558</v>
      </c>
      <c r="BD14" s="91"/>
      <c r="BE14" s="92" t="s">
        <v>448</v>
      </c>
      <c r="BF14" s="89" t="s">
        <v>90</v>
      </c>
      <c r="BG14" s="90" t="s">
        <v>558</v>
      </c>
      <c r="BH14" s="91">
        <v>25</v>
      </c>
      <c r="BI14" s="542" t="s">
        <v>93</v>
      </c>
      <c r="BJ14" s="543" t="s">
        <v>90</v>
      </c>
      <c r="BK14" s="544" t="s">
        <v>558</v>
      </c>
      <c r="BL14" s="545">
        <v>30</v>
      </c>
      <c r="BM14" s="546" t="s">
        <v>93</v>
      </c>
      <c r="BN14" s="89" t="s">
        <v>558</v>
      </c>
      <c r="BO14" s="90" t="s">
        <v>558</v>
      </c>
      <c r="BP14" s="91"/>
      <c r="BQ14" s="92" t="s">
        <v>448</v>
      </c>
      <c r="BR14" s="93" t="s">
        <v>558</v>
      </c>
      <c r="BS14" s="90" t="s">
        <v>558</v>
      </c>
      <c r="BT14" s="91"/>
      <c r="BU14" s="92" t="s">
        <v>448</v>
      </c>
      <c r="BV14" s="93" t="s">
        <v>558</v>
      </c>
      <c r="BW14" s="90" t="s">
        <v>558</v>
      </c>
      <c r="BX14" s="91"/>
      <c r="BY14" s="92" t="s">
        <v>448</v>
      </c>
      <c r="BZ14" s="82"/>
      <c r="CA14" s="82"/>
      <c r="CB14" s="82"/>
      <c r="CC14" s="82"/>
      <c r="CD14" s="82"/>
      <c r="CE14" s="82"/>
      <c r="CF14" s="8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2"/>
      <c r="DO14" s="82"/>
      <c r="DP14" s="82"/>
      <c r="DQ14" s="82"/>
      <c r="DR14" s="82"/>
      <c r="DS14" s="82"/>
      <c r="DT14" s="82"/>
      <c r="DU14" s="82"/>
      <c r="DV14" s="82"/>
      <c r="DW14" s="82"/>
      <c r="DX14" s="82"/>
      <c r="DY14" s="82"/>
      <c r="DZ14" s="82"/>
      <c r="EA14" s="82"/>
      <c r="EB14" s="82"/>
      <c r="EC14" s="82"/>
      <c r="ED14" s="82"/>
      <c r="EE14" s="82"/>
      <c r="EF14" s="82"/>
      <c r="EG14" s="82"/>
      <c r="EH14" s="82"/>
      <c r="EI14" s="82"/>
      <c r="EJ14" s="82"/>
      <c r="EK14" s="82"/>
      <c r="EL14" s="82"/>
      <c r="EM14" s="82"/>
      <c r="EN14" s="82"/>
      <c r="EO14" s="82"/>
      <c r="EP14" s="82"/>
      <c r="EQ14" s="82"/>
      <c r="ER14" s="82"/>
      <c r="ES14" s="82"/>
      <c r="ET14" s="82"/>
      <c r="EU14" s="82"/>
      <c r="EV14" s="82"/>
      <c r="EW14" s="82"/>
      <c r="EX14" s="82"/>
      <c r="EY14" s="82"/>
      <c r="EZ14" s="82"/>
      <c r="FA14" s="82"/>
      <c r="FB14" s="82"/>
      <c r="FC14" s="82"/>
      <c r="FD14" s="82"/>
      <c r="FE14" s="82"/>
      <c r="FF14" s="82"/>
      <c r="FG14" s="82"/>
      <c r="FH14" s="82"/>
      <c r="FI14" s="82"/>
      <c r="FJ14" s="82"/>
      <c r="FK14" s="82"/>
      <c r="FL14" s="82"/>
      <c r="FM14" s="82"/>
      <c r="FN14" s="82"/>
      <c r="FO14" s="82"/>
      <c r="FP14" s="82"/>
      <c r="FQ14" s="82"/>
      <c r="FR14" s="82"/>
      <c r="FS14" s="82"/>
      <c r="FT14" s="82"/>
      <c r="FU14" s="82"/>
      <c r="FV14" s="82"/>
      <c r="FW14" s="82"/>
      <c r="FX14" s="82"/>
      <c r="FY14" s="82"/>
      <c r="FZ14" s="82"/>
      <c r="GA14" s="82"/>
      <c r="GB14" s="82"/>
      <c r="GC14" s="82"/>
      <c r="GD14" s="82"/>
      <c r="GE14" s="82"/>
      <c r="GF14" s="82"/>
      <c r="GG14" s="82"/>
      <c r="GH14" s="82"/>
      <c r="GI14" s="82"/>
      <c r="GJ14" s="82"/>
      <c r="GK14" s="82"/>
      <c r="GL14" s="82"/>
      <c r="GM14" s="82"/>
      <c r="GN14" s="82"/>
      <c r="GO14" s="82"/>
      <c r="GP14" s="82"/>
      <c r="GQ14" s="82"/>
      <c r="GR14" s="82"/>
      <c r="GS14" s="82"/>
      <c r="GT14" s="82"/>
      <c r="GU14" s="82"/>
      <c r="GV14" s="82"/>
      <c r="GW14" s="82"/>
      <c r="GX14" s="82"/>
      <c r="GY14" s="82"/>
      <c r="GZ14" s="82"/>
      <c r="HA14" s="82"/>
      <c r="HB14" s="82"/>
      <c r="HC14" s="82"/>
      <c r="HD14" s="82"/>
      <c r="HE14" s="82"/>
      <c r="HF14" s="82"/>
      <c r="HG14" s="82"/>
      <c r="HH14" s="82"/>
      <c r="HI14" s="82"/>
      <c r="HJ14" s="82"/>
      <c r="HK14" s="82"/>
      <c r="HL14" s="82"/>
      <c r="HM14" s="82"/>
      <c r="HN14" s="82"/>
      <c r="HO14" s="82"/>
      <c r="HP14" s="82"/>
      <c r="HQ14" s="82"/>
      <c r="HR14" s="82"/>
      <c r="HS14" s="82"/>
      <c r="HT14" s="82"/>
      <c r="HU14" s="82"/>
      <c r="HV14" s="82"/>
      <c r="HW14" s="82"/>
      <c r="HX14" s="82"/>
      <c r="HY14" s="82"/>
      <c r="HZ14" s="82"/>
      <c r="IA14" s="82"/>
      <c r="IB14" s="82"/>
      <c r="IC14" s="82"/>
      <c r="ID14" s="82"/>
      <c r="IE14" s="82"/>
      <c r="IF14" s="82"/>
      <c r="IG14" s="82"/>
      <c r="IH14" s="82"/>
      <c r="II14" s="82"/>
      <c r="IJ14" s="82"/>
      <c r="IK14" s="82"/>
      <c r="IL14" s="82"/>
      <c r="IM14" s="82"/>
      <c r="IN14" s="82"/>
      <c r="IO14" s="82"/>
      <c r="IP14" s="82"/>
      <c r="IQ14" s="82"/>
      <c r="IR14" s="82"/>
      <c r="IS14" s="82"/>
      <c r="IT14" s="82"/>
      <c r="IU14" s="82"/>
      <c r="IV14" s="82"/>
      <c r="IW14" s="82"/>
      <c r="IX14" s="82"/>
      <c r="IY14" s="82"/>
      <c r="IZ14" s="82"/>
      <c r="JA14" s="82"/>
      <c r="JB14" s="82"/>
      <c r="JC14" s="82"/>
      <c r="JD14" s="82"/>
      <c r="JE14" s="82"/>
      <c r="JF14" s="82"/>
      <c r="JG14" s="82"/>
      <c r="JH14" s="82"/>
      <c r="JI14" s="82"/>
      <c r="JJ14" s="82"/>
      <c r="JK14" s="82"/>
      <c r="JL14" s="82"/>
      <c r="JM14" s="82"/>
      <c r="JN14" s="82"/>
      <c r="JO14" s="82"/>
      <c r="JP14" s="82"/>
      <c r="JQ14" s="82"/>
      <c r="JR14" s="82"/>
      <c r="JS14" s="82"/>
      <c r="JT14" s="82"/>
      <c r="JU14" s="82"/>
      <c r="JV14" s="82"/>
      <c r="JW14" s="82"/>
      <c r="JX14" s="82"/>
      <c r="JY14" s="82"/>
      <c r="JZ14" s="82"/>
      <c r="KA14" s="82"/>
      <c r="KB14" s="82"/>
      <c r="KC14" s="82"/>
      <c r="KD14" s="82"/>
      <c r="KE14" s="82"/>
      <c r="KF14" s="82"/>
      <c r="KG14" s="82"/>
      <c r="KH14" s="82"/>
      <c r="KI14" s="82"/>
      <c r="KJ14" s="82"/>
      <c r="KK14" s="82"/>
      <c r="KL14" s="82"/>
      <c r="KM14" s="82"/>
      <c r="KN14" s="82"/>
      <c r="KO14" s="82"/>
      <c r="KP14" s="82"/>
      <c r="KQ14" s="82"/>
      <c r="KR14" s="82"/>
      <c r="KS14" s="82"/>
      <c r="KT14" s="82"/>
      <c r="KU14" s="82"/>
      <c r="KV14" s="82"/>
      <c r="KW14" s="82"/>
      <c r="KX14" s="82"/>
      <c r="KY14" s="82"/>
      <c r="KZ14" s="82"/>
      <c r="LA14" s="82"/>
      <c r="LB14" s="82"/>
      <c r="LC14" s="82"/>
      <c r="LD14" s="82"/>
      <c r="LE14" s="82"/>
      <c r="LF14" s="82"/>
      <c r="LG14" s="82"/>
      <c r="LH14" s="82"/>
      <c r="LI14" s="82"/>
      <c r="LJ14" s="82"/>
      <c r="LK14" s="82"/>
      <c r="LL14" s="82"/>
      <c r="LM14" s="82"/>
      <c r="LN14" s="82"/>
      <c r="LO14" s="82"/>
      <c r="LP14" s="82"/>
      <c r="LQ14" s="82"/>
      <c r="LR14" s="82"/>
      <c r="LS14" s="82"/>
      <c r="LT14" s="82"/>
      <c r="LU14" s="82"/>
      <c r="LV14" s="82"/>
      <c r="LW14" s="82"/>
      <c r="LX14" s="82"/>
      <c r="LY14" s="82"/>
      <c r="LZ14" s="82"/>
      <c r="MA14" s="82"/>
      <c r="MB14" s="82"/>
      <c r="MC14" s="82"/>
      <c r="MD14" s="82"/>
      <c r="ME14" s="82"/>
      <c r="MF14" s="82"/>
      <c r="MG14" s="82"/>
      <c r="MH14" s="82"/>
      <c r="MI14" s="82"/>
      <c r="MJ14" s="82"/>
      <c r="MK14" s="82"/>
      <c r="ML14" s="82"/>
      <c r="MM14" s="82"/>
      <c r="MN14" s="82"/>
      <c r="MO14" s="82"/>
      <c r="MP14" s="82"/>
      <c r="MQ14" s="82"/>
      <c r="MR14" s="82"/>
      <c r="MS14" s="82"/>
      <c r="MT14" s="82"/>
      <c r="MU14" s="82"/>
      <c r="MV14" s="82"/>
      <c r="MW14" s="82"/>
      <c r="MX14" s="82"/>
      <c r="MY14" s="82"/>
      <c r="MZ14" s="82"/>
      <c r="NA14" s="82"/>
      <c r="NB14" s="82"/>
      <c r="NC14" s="82"/>
      <c r="ND14" s="82"/>
      <c r="NE14" s="82"/>
      <c r="NF14" s="82"/>
      <c r="NG14" s="82"/>
      <c r="NH14" s="82"/>
      <c r="NI14" s="82"/>
      <c r="NJ14" s="82"/>
      <c r="NK14" s="82"/>
      <c r="NL14" s="82"/>
      <c r="NM14" s="82"/>
      <c r="NN14" s="82"/>
      <c r="NO14" s="82"/>
      <c r="NP14" s="82"/>
      <c r="NQ14" s="82"/>
      <c r="NR14" s="82"/>
      <c r="NS14" s="82"/>
      <c r="NT14" s="82"/>
      <c r="NU14" s="82"/>
      <c r="NV14" s="82"/>
      <c r="NW14" s="82"/>
      <c r="NX14" s="82"/>
      <c r="NY14" s="82"/>
      <c r="NZ14" s="82"/>
      <c r="OA14" s="82"/>
      <c r="OB14" s="82"/>
      <c r="OC14" s="82"/>
      <c r="OD14" s="82"/>
      <c r="OE14" s="82"/>
      <c r="OF14" s="82"/>
      <c r="OG14" s="82"/>
      <c r="OH14" s="82"/>
      <c r="OI14" s="82"/>
      <c r="OJ14" s="82"/>
      <c r="OK14" s="82"/>
      <c r="OL14" s="82"/>
      <c r="OM14" s="82"/>
      <c r="ON14" s="82"/>
      <c r="OO14" s="82"/>
      <c r="OP14" s="82"/>
      <c r="OQ14" s="82"/>
      <c r="OR14" s="82"/>
      <c r="OS14" s="82"/>
      <c r="OT14" s="82"/>
      <c r="OU14" s="82"/>
      <c r="OV14" s="82"/>
      <c r="OW14" s="82"/>
      <c r="OX14" s="82"/>
      <c r="OY14" s="82"/>
      <c r="OZ14" s="82"/>
      <c r="PA14" s="82"/>
      <c r="PB14" s="82"/>
      <c r="PC14" s="82"/>
      <c r="PD14" s="82"/>
      <c r="PE14" s="82"/>
      <c r="PF14" s="82"/>
      <c r="PG14" s="82"/>
      <c r="PH14" s="82"/>
      <c r="PI14" s="82"/>
      <c r="PJ14" s="82"/>
      <c r="PK14" s="82"/>
      <c r="PL14" s="82"/>
      <c r="PM14" s="82"/>
      <c r="PN14" s="82"/>
      <c r="PO14" s="82"/>
      <c r="PP14" s="82"/>
      <c r="PQ14" s="82"/>
      <c r="PR14" s="82"/>
      <c r="PS14" s="82"/>
      <c r="PT14" s="82"/>
      <c r="PU14" s="82"/>
      <c r="PV14" s="82"/>
      <c r="PW14" s="82"/>
      <c r="PX14" s="82"/>
      <c r="PY14" s="82"/>
      <c r="PZ14" s="82"/>
      <c r="QA14" s="82"/>
      <c r="QB14" s="82"/>
      <c r="QC14" s="82"/>
      <c r="QD14" s="82"/>
      <c r="QE14" s="82"/>
      <c r="QF14" s="82"/>
      <c r="QG14" s="82"/>
      <c r="QH14" s="82"/>
      <c r="QI14" s="82"/>
      <c r="QJ14" s="82"/>
      <c r="QK14" s="82"/>
      <c r="QL14" s="82"/>
      <c r="QM14" s="82"/>
      <c r="QN14" s="82"/>
      <c r="QO14" s="82"/>
      <c r="QP14" s="82"/>
      <c r="QQ14" s="82"/>
      <c r="QR14" s="82"/>
      <c r="QS14" s="82"/>
      <c r="QT14" s="82"/>
      <c r="QU14" s="82"/>
      <c r="QV14" s="82"/>
      <c r="QW14" s="82"/>
      <c r="QX14" s="82"/>
      <c r="QY14" s="82"/>
      <c r="QZ14" s="82"/>
      <c r="RA14" s="82"/>
      <c r="RB14" s="82"/>
      <c r="RC14" s="82"/>
      <c r="RD14" s="82"/>
      <c r="RE14" s="82"/>
      <c r="RF14" s="82"/>
      <c r="RG14" s="82"/>
      <c r="RH14" s="82"/>
      <c r="RI14" s="82"/>
      <c r="RJ14" s="82"/>
      <c r="RK14" s="82"/>
      <c r="RL14" s="82"/>
      <c r="RM14" s="82"/>
      <c r="RN14" s="82"/>
      <c r="RO14" s="82"/>
      <c r="RP14" s="82"/>
      <c r="RQ14" s="82"/>
      <c r="RR14" s="82"/>
      <c r="RS14" s="82"/>
      <c r="RT14" s="82"/>
      <c r="RU14" s="82"/>
      <c r="RV14" s="82"/>
      <c r="RW14" s="82"/>
      <c r="RX14" s="82"/>
      <c r="RY14" s="82"/>
      <c r="RZ14" s="82"/>
      <c r="SA14" s="82"/>
      <c r="SB14" s="82"/>
      <c r="SC14" s="82"/>
      <c r="SD14" s="82"/>
      <c r="SE14" s="82"/>
      <c r="SF14" s="82"/>
      <c r="SG14" s="82"/>
      <c r="SH14" s="82"/>
      <c r="SI14" s="82"/>
      <c r="SJ14" s="82"/>
      <c r="SK14" s="82"/>
      <c r="SL14" s="82"/>
      <c r="SM14" s="82"/>
      <c r="SN14" s="82"/>
      <c r="SO14" s="82"/>
      <c r="SP14" s="82"/>
      <c r="SQ14" s="82"/>
      <c r="SR14" s="82"/>
      <c r="SS14" s="82"/>
      <c r="ST14" s="82"/>
      <c r="SU14" s="82"/>
      <c r="SV14" s="82"/>
      <c r="SW14" s="82"/>
      <c r="SX14" s="82"/>
      <c r="SY14" s="82"/>
      <c r="SZ14" s="82"/>
      <c r="TA14" s="82"/>
      <c r="TB14" s="82"/>
      <c r="TC14" s="82"/>
      <c r="TD14" s="82"/>
      <c r="TE14" s="82"/>
      <c r="TF14" s="82"/>
      <c r="TG14" s="82"/>
      <c r="TH14" s="82"/>
      <c r="TI14" s="82"/>
      <c r="TJ14" s="82"/>
      <c r="TK14" s="82"/>
      <c r="TL14" s="82"/>
      <c r="TM14" s="82"/>
      <c r="TN14" s="82"/>
      <c r="TO14" s="82"/>
      <c r="TP14" s="82"/>
      <c r="TQ14" s="82"/>
      <c r="TR14" s="82"/>
      <c r="TS14" s="82"/>
      <c r="TT14" s="82"/>
      <c r="TU14" s="82"/>
      <c r="TV14" s="82"/>
      <c r="TW14" s="82"/>
      <c r="TX14" s="82"/>
      <c r="TY14" s="82"/>
      <c r="TZ14" s="82"/>
      <c r="UA14" s="82"/>
      <c r="UB14" s="82"/>
      <c r="UC14" s="82"/>
      <c r="UD14" s="82"/>
      <c r="UE14" s="82"/>
      <c r="UF14" s="82"/>
      <c r="UG14" s="82"/>
      <c r="UH14" s="82"/>
      <c r="UI14" s="82"/>
      <c r="UJ14" s="82"/>
      <c r="UK14" s="82"/>
      <c r="UL14" s="82"/>
      <c r="UM14" s="82"/>
      <c r="UN14" s="82"/>
      <c r="UO14" s="82"/>
      <c r="UP14" s="82"/>
      <c r="UQ14" s="82"/>
      <c r="UR14" s="82"/>
      <c r="US14" s="82"/>
      <c r="UT14" s="82"/>
      <c r="UU14" s="82"/>
      <c r="UV14" s="82"/>
      <c r="UW14" s="82"/>
      <c r="UX14" s="82"/>
      <c r="UY14" s="82"/>
      <c r="UZ14" s="82"/>
      <c r="VA14" s="82"/>
      <c r="VB14" s="82"/>
      <c r="VC14" s="82"/>
      <c r="VD14" s="82"/>
      <c r="VE14" s="82"/>
      <c r="VF14" s="82"/>
      <c r="VG14" s="82"/>
      <c r="VH14" s="82"/>
      <c r="VI14" s="82"/>
      <c r="VJ14" s="82"/>
      <c r="VK14" s="82"/>
      <c r="VL14" s="82"/>
      <c r="VM14" s="82"/>
      <c r="VN14" s="82"/>
      <c r="VO14" s="82"/>
      <c r="VP14" s="82"/>
      <c r="VQ14" s="82"/>
      <c r="VR14" s="82"/>
      <c r="VS14" s="82"/>
      <c r="VT14" s="82"/>
      <c r="VU14" s="82"/>
      <c r="VV14" s="82"/>
      <c r="VW14" s="82"/>
      <c r="VX14" s="82"/>
      <c r="VY14" s="82"/>
      <c r="VZ14" s="82"/>
      <c r="WA14" s="82"/>
      <c r="WB14" s="82"/>
      <c r="WC14" s="82"/>
      <c r="WD14" s="82"/>
      <c r="WE14" s="82"/>
      <c r="WF14" s="82"/>
      <c r="WG14" s="82"/>
      <c r="WH14" s="82"/>
      <c r="WI14" s="82"/>
      <c r="WJ14" s="82"/>
      <c r="WK14" s="82"/>
      <c r="WL14" s="82"/>
      <c r="WM14" s="82"/>
      <c r="WN14" s="82"/>
      <c r="WO14" s="82"/>
      <c r="WP14" s="82"/>
      <c r="WQ14" s="82"/>
    </row>
    <row r="15" spans="1:615" s="33" customFormat="1" x14ac:dyDescent="0.4">
      <c r="A15" s="49"/>
      <c r="B15" s="49"/>
      <c r="C15" s="49"/>
      <c r="D15" s="49"/>
      <c r="E15" s="49"/>
      <c r="F15" s="49"/>
      <c r="G15" s="49"/>
      <c r="H15" s="49"/>
      <c r="I15" s="49"/>
      <c r="J15" s="52"/>
      <c r="K15" s="52"/>
      <c r="L15" s="53"/>
      <c r="M15" s="53"/>
      <c r="N15" s="52"/>
      <c r="O15" s="52"/>
      <c r="P15" s="53"/>
      <c r="Q15" s="53"/>
      <c r="R15" s="52"/>
      <c r="S15" s="52"/>
      <c r="T15" s="53"/>
      <c r="U15" s="53"/>
      <c r="V15" s="52"/>
      <c r="W15" s="52"/>
      <c r="X15" s="53"/>
      <c r="Y15" s="53"/>
      <c r="Z15" s="52"/>
      <c r="AA15" s="52"/>
      <c r="AB15" s="53"/>
      <c r="AC15" s="53"/>
      <c r="AD15" s="52"/>
      <c r="AE15" s="52"/>
      <c r="AF15" s="53"/>
      <c r="AG15" s="53"/>
      <c r="AH15" s="52"/>
      <c r="AI15" s="52"/>
      <c r="AJ15" s="53"/>
      <c r="AK15" s="53"/>
      <c r="AL15" s="52"/>
      <c r="AM15" s="52"/>
      <c r="AN15" s="53"/>
      <c r="AO15" s="53"/>
      <c r="AP15" s="52"/>
      <c r="AQ15" s="52"/>
      <c r="AR15" s="53"/>
      <c r="AS15" s="53"/>
      <c r="AT15" s="52"/>
      <c r="AU15" s="52"/>
      <c r="AV15" s="53"/>
      <c r="AW15" s="53"/>
      <c r="AX15" s="52"/>
      <c r="AY15" s="52"/>
      <c r="AZ15" s="53"/>
      <c r="BA15" s="53"/>
      <c r="BB15" s="52"/>
      <c r="BC15" s="52"/>
      <c r="BD15" s="53"/>
      <c r="BE15" s="53"/>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row>
    <row r="16" spans="1:615" s="33" customFormat="1" x14ac:dyDescent="0.4">
      <c r="A16" s="49"/>
      <c r="B16" s="49"/>
      <c r="C16" s="49"/>
      <c r="D16" s="49"/>
      <c r="E16" s="49"/>
      <c r="F16" s="49"/>
      <c r="G16" s="49"/>
      <c r="H16" s="49"/>
      <c r="I16" s="49"/>
      <c r="J16" s="52"/>
      <c r="K16" s="52"/>
      <c r="L16" s="53"/>
      <c r="M16" s="53"/>
      <c r="N16" s="52"/>
      <c r="O16" s="52"/>
      <c r="P16" s="53"/>
      <c r="Q16" s="53"/>
      <c r="R16" s="52"/>
      <c r="S16" s="52"/>
      <c r="T16" s="53"/>
      <c r="U16" s="53"/>
      <c r="V16" s="52"/>
      <c r="W16" s="52"/>
      <c r="X16" s="53"/>
      <c r="Y16" s="53"/>
      <c r="Z16" s="52"/>
      <c r="AA16" s="52"/>
      <c r="AB16" s="53"/>
      <c r="AC16" s="53"/>
      <c r="AD16" s="52"/>
      <c r="AE16" s="52"/>
      <c r="AF16" s="53"/>
      <c r="AG16" s="53"/>
      <c r="AH16" s="52"/>
      <c r="AI16" s="52"/>
      <c r="AJ16" s="53"/>
      <c r="AK16" s="53"/>
      <c r="AL16" s="52"/>
      <c r="AM16" s="52"/>
      <c r="AN16" s="53"/>
      <c r="AO16" s="53"/>
      <c r="AP16" s="52"/>
      <c r="AQ16" s="52"/>
      <c r="AR16" s="53"/>
      <c r="AS16" s="53"/>
      <c r="AT16" s="52"/>
      <c r="AU16" s="52"/>
      <c r="AV16" s="53"/>
      <c r="AW16" s="53"/>
      <c r="AX16" s="52"/>
      <c r="AY16" s="52"/>
      <c r="AZ16" s="53"/>
      <c r="BA16" s="53"/>
      <c r="BB16" s="52"/>
      <c r="BC16" s="52"/>
      <c r="BD16" s="53"/>
      <c r="BE16" s="53"/>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row>
    <row r="17" spans="1:603" s="33" customFormat="1" x14ac:dyDescent="0.4">
      <c r="A17" s="49"/>
      <c r="B17" s="49"/>
      <c r="C17" s="49"/>
      <c r="D17" s="49"/>
      <c r="E17" s="49"/>
      <c r="F17" s="49"/>
      <c r="G17" s="49"/>
      <c r="H17" s="49"/>
      <c r="I17" s="49"/>
      <c r="J17" s="52"/>
      <c r="K17" s="52"/>
      <c r="L17" s="53"/>
      <c r="M17" s="53"/>
      <c r="N17" s="52"/>
      <c r="O17" s="52"/>
      <c r="P17" s="53"/>
      <c r="Q17" s="53"/>
      <c r="R17" s="52"/>
      <c r="S17" s="52"/>
      <c r="T17" s="53"/>
      <c r="U17" s="53"/>
      <c r="V17" s="52"/>
      <c r="W17" s="52"/>
      <c r="X17" s="53"/>
      <c r="Y17" s="53"/>
      <c r="Z17" s="52"/>
      <c r="AA17" s="52"/>
      <c r="AB17" s="53"/>
      <c r="AC17" s="53"/>
      <c r="AD17" s="52"/>
      <c r="AE17" s="52"/>
      <c r="AF17" s="53"/>
      <c r="AG17" s="53"/>
      <c r="AH17" s="52"/>
      <c r="AI17" s="52"/>
      <c r="AJ17" s="53"/>
      <c r="AK17" s="53"/>
      <c r="AL17" s="52"/>
      <c r="AM17" s="52"/>
      <c r="AN17" s="53"/>
      <c r="AO17" s="53"/>
      <c r="AP17" s="52"/>
      <c r="AQ17" s="52"/>
      <c r="AR17" s="53"/>
      <c r="AS17" s="53"/>
      <c r="AT17" s="52"/>
      <c r="AU17" s="52"/>
      <c r="AV17" s="53"/>
      <c r="AW17" s="53"/>
      <c r="AX17" s="52"/>
      <c r="AY17" s="52"/>
      <c r="AZ17" s="53"/>
      <c r="BA17" s="53"/>
      <c r="BB17" s="52"/>
      <c r="BC17" s="52"/>
      <c r="BD17" s="53"/>
      <c r="BE17" s="53"/>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row>
    <row r="18" spans="1:603" s="33" customFormat="1" x14ac:dyDescent="0.4">
      <c r="A18" s="49"/>
      <c r="B18" s="49"/>
      <c r="C18" s="49"/>
      <c r="D18" s="49"/>
      <c r="E18" s="49"/>
      <c r="F18" s="49"/>
      <c r="G18" s="49"/>
      <c r="H18" s="49"/>
      <c r="I18" s="49"/>
      <c r="J18" s="52"/>
      <c r="K18" s="52"/>
      <c r="L18" s="53"/>
      <c r="M18" s="53"/>
      <c r="N18" s="52"/>
      <c r="O18" s="52"/>
      <c r="P18" s="53"/>
      <c r="Q18" s="53"/>
      <c r="R18" s="52"/>
      <c r="S18" s="52"/>
      <c r="T18" s="53"/>
      <c r="U18" s="53"/>
      <c r="V18" s="52"/>
      <c r="W18" s="52"/>
      <c r="X18" s="53"/>
      <c r="Y18" s="53"/>
      <c r="Z18" s="52"/>
      <c r="AA18" s="52"/>
      <c r="AB18" s="53"/>
      <c r="AC18" s="53"/>
      <c r="AD18" s="52"/>
      <c r="AE18" s="52"/>
      <c r="AF18" s="53"/>
      <c r="AG18" s="53"/>
      <c r="AH18" s="52"/>
      <c r="AI18" s="52"/>
      <c r="AJ18" s="53"/>
      <c r="AK18" s="53"/>
      <c r="AL18" s="52"/>
      <c r="AM18" s="52"/>
      <c r="AN18" s="53"/>
      <c r="AO18" s="53"/>
      <c r="AP18" s="52"/>
      <c r="AQ18" s="52"/>
      <c r="AR18" s="53"/>
      <c r="AS18" s="53"/>
      <c r="AT18" s="52"/>
      <c r="AU18" s="52"/>
      <c r="AV18" s="53"/>
      <c r="AW18" s="53"/>
      <c r="AX18" s="52"/>
      <c r="AY18" s="52"/>
      <c r="AZ18" s="53"/>
      <c r="BA18" s="53"/>
      <c r="BB18" s="52"/>
      <c r="BC18" s="52"/>
      <c r="BD18" s="53"/>
      <c r="BE18" s="53"/>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row>
    <row r="19" spans="1:603" s="33" customFormat="1" x14ac:dyDescent="0.4">
      <c r="A19" s="49"/>
      <c r="B19" s="49"/>
      <c r="C19" s="49"/>
      <c r="D19" s="49"/>
      <c r="E19" s="49"/>
      <c r="F19" s="49"/>
      <c r="G19" s="49"/>
      <c r="H19" s="49"/>
      <c r="I19" s="49"/>
      <c r="J19" s="52"/>
      <c r="K19" s="52"/>
      <c r="L19" s="53"/>
      <c r="M19" s="53"/>
      <c r="N19" s="52"/>
      <c r="O19" s="52"/>
      <c r="P19" s="53"/>
      <c r="Q19" s="53"/>
      <c r="R19" s="52"/>
      <c r="S19" s="52"/>
      <c r="T19" s="53"/>
      <c r="U19" s="53"/>
      <c r="V19" s="52"/>
      <c r="W19" s="52"/>
      <c r="X19" s="53"/>
      <c r="Y19" s="53"/>
      <c r="Z19" s="52"/>
      <c r="AA19" s="52"/>
      <c r="AB19" s="53"/>
      <c r="AC19" s="53"/>
      <c r="AD19" s="52"/>
      <c r="AE19" s="52"/>
      <c r="AF19" s="53"/>
      <c r="AG19" s="53"/>
      <c r="AH19" s="52"/>
      <c r="AI19" s="52"/>
      <c r="AJ19" s="53"/>
      <c r="AK19" s="53"/>
      <c r="AL19" s="52"/>
      <c r="AM19" s="52"/>
      <c r="AN19" s="53"/>
      <c r="AO19" s="53"/>
      <c r="AP19" s="52"/>
      <c r="AQ19" s="52"/>
      <c r="AR19" s="53"/>
      <c r="AS19" s="53"/>
      <c r="AT19" s="52"/>
      <c r="AU19" s="52"/>
      <c r="AV19" s="53"/>
      <c r="AW19" s="53"/>
      <c r="AX19" s="52"/>
      <c r="AY19" s="52"/>
      <c r="AZ19" s="53"/>
      <c r="BA19" s="53"/>
      <c r="BB19" s="52"/>
      <c r="BC19" s="52"/>
      <c r="BD19" s="53"/>
      <c r="BE19" s="53"/>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row>
    <row r="20" spans="1:603" s="33" customFormat="1" x14ac:dyDescent="0.4">
      <c r="A20" s="49"/>
      <c r="B20" s="49"/>
      <c r="C20" s="49"/>
      <c r="D20" s="49"/>
      <c r="E20" s="49"/>
      <c r="F20" s="49"/>
      <c r="G20" s="49"/>
      <c r="H20" s="49"/>
      <c r="I20" s="49"/>
      <c r="J20" s="52"/>
      <c r="K20" s="52"/>
      <c r="L20" s="53"/>
      <c r="M20" s="53"/>
      <c r="N20" s="52"/>
      <c r="O20" s="52"/>
      <c r="P20" s="53"/>
      <c r="Q20" s="53"/>
      <c r="R20" s="52"/>
      <c r="S20" s="52"/>
      <c r="T20" s="53"/>
      <c r="U20" s="53"/>
      <c r="V20" s="52"/>
      <c r="W20" s="52"/>
      <c r="X20" s="53"/>
      <c r="Y20" s="53"/>
      <c r="Z20" s="52"/>
      <c r="AA20" s="52"/>
      <c r="AB20" s="53"/>
      <c r="AC20" s="53"/>
      <c r="AD20" s="52"/>
      <c r="AE20" s="52"/>
      <c r="AF20" s="53"/>
      <c r="AG20" s="53"/>
      <c r="AH20" s="52"/>
      <c r="AI20" s="52"/>
      <c r="AJ20" s="53"/>
      <c r="AK20" s="53"/>
      <c r="AL20" s="52"/>
      <c r="AM20" s="52"/>
      <c r="AN20" s="53"/>
      <c r="AO20" s="53"/>
      <c r="AP20" s="52"/>
      <c r="AQ20" s="52"/>
      <c r="AR20" s="53"/>
      <c r="AS20" s="53"/>
      <c r="AT20" s="52"/>
      <c r="AU20" s="52"/>
      <c r="AV20" s="53"/>
      <c r="AW20" s="53"/>
      <c r="AX20" s="52"/>
      <c r="AY20" s="52"/>
      <c r="AZ20" s="53"/>
      <c r="BA20" s="53"/>
      <c r="BB20" s="52"/>
      <c r="BC20" s="52"/>
      <c r="BD20" s="53"/>
      <c r="BE20" s="53"/>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row>
    <row r="21" spans="1:603" s="33" customFormat="1" x14ac:dyDescent="0.4">
      <c r="A21" s="49"/>
      <c r="B21" s="49"/>
      <c r="C21" s="49"/>
      <c r="D21" s="49"/>
      <c r="E21" s="49"/>
      <c r="F21" s="49"/>
      <c r="G21" s="49"/>
      <c r="H21" s="49"/>
      <c r="I21" s="49"/>
      <c r="J21" s="52"/>
      <c r="K21" s="52"/>
      <c r="L21" s="53"/>
      <c r="M21" s="53"/>
      <c r="N21" s="52"/>
      <c r="O21" s="52"/>
      <c r="P21" s="53"/>
      <c r="Q21" s="53"/>
      <c r="R21" s="52"/>
      <c r="S21" s="52"/>
      <c r="T21" s="53"/>
      <c r="U21" s="53"/>
      <c r="V21" s="52"/>
      <c r="W21" s="52"/>
      <c r="X21" s="53"/>
      <c r="Y21" s="53"/>
      <c r="Z21" s="52"/>
      <c r="AA21" s="52"/>
      <c r="AB21" s="53"/>
      <c r="AC21" s="53"/>
      <c r="AD21" s="52"/>
      <c r="AE21" s="52"/>
      <c r="AF21" s="53"/>
      <c r="AG21" s="53"/>
      <c r="AH21" s="52"/>
      <c r="AI21" s="52"/>
      <c r="AJ21" s="53"/>
      <c r="AK21" s="53"/>
      <c r="AL21" s="52"/>
      <c r="AM21" s="52"/>
      <c r="AN21" s="53"/>
      <c r="AO21" s="53"/>
      <c r="AP21" s="52"/>
      <c r="AQ21" s="52"/>
      <c r="AR21" s="53"/>
      <c r="AS21" s="53"/>
      <c r="AT21" s="52"/>
      <c r="AU21" s="52"/>
      <c r="AV21" s="53"/>
      <c r="AW21" s="53"/>
      <c r="AX21" s="52"/>
      <c r="AY21" s="52"/>
      <c r="AZ21" s="53"/>
      <c r="BA21" s="53"/>
      <c r="BB21" s="52"/>
      <c r="BC21" s="52"/>
      <c r="BD21" s="53"/>
      <c r="BE21" s="53"/>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row>
    <row r="22" spans="1:603" s="33" customFormat="1" x14ac:dyDescent="0.4">
      <c r="A22" s="49"/>
      <c r="B22" s="49"/>
      <c r="C22" s="49"/>
      <c r="D22" s="49"/>
      <c r="E22" s="49"/>
      <c r="F22" s="49"/>
      <c r="G22" s="49"/>
      <c r="H22" s="49"/>
      <c r="I22" s="49"/>
      <c r="J22" s="52"/>
      <c r="K22" s="52"/>
      <c r="L22" s="53"/>
      <c r="M22" s="53"/>
      <c r="N22" s="52"/>
      <c r="O22" s="52"/>
      <c r="P22" s="53"/>
      <c r="Q22" s="53"/>
      <c r="R22" s="52"/>
      <c r="S22" s="52"/>
      <c r="T22" s="53"/>
      <c r="U22" s="53"/>
      <c r="V22" s="52"/>
      <c r="W22" s="52"/>
      <c r="X22" s="53"/>
      <c r="Y22" s="53"/>
      <c r="Z22" s="52"/>
      <c r="AA22" s="52"/>
      <c r="AB22" s="53"/>
      <c r="AC22" s="53"/>
      <c r="AD22" s="52"/>
      <c r="AE22" s="52"/>
      <c r="AF22" s="53"/>
      <c r="AG22" s="53"/>
      <c r="AH22" s="52"/>
      <c r="AI22" s="52"/>
      <c r="AJ22" s="53"/>
      <c r="AK22" s="53"/>
      <c r="AL22" s="52"/>
      <c r="AM22" s="52"/>
      <c r="AN22" s="53"/>
      <c r="AO22" s="53"/>
      <c r="AP22" s="52"/>
      <c r="AQ22" s="52"/>
      <c r="AR22" s="53"/>
      <c r="AS22" s="53"/>
      <c r="AT22" s="52"/>
      <c r="AU22" s="52"/>
      <c r="AV22" s="53"/>
      <c r="AW22" s="53"/>
      <c r="AX22" s="52"/>
      <c r="AY22" s="52"/>
      <c r="AZ22" s="53"/>
      <c r="BA22" s="53"/>
      <c r="BB22" s="52"/>
      <c r="BC22" s="52"/>
      <c r="BD22" s="53"/>
      <c r="BE22" s="53"/>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row>
    <row r="23" spans="1:603" s="33" customFormat="1" x14ac:dyDescent="0.4">
      <c r="A23" s="49"/>
      <c r="B23" s="49"/>
      <c r="C23" s="49"/>
      <c r="D23" s="49"/>
      <c r="E23" s="49"/>
      <c r="F23" s="49"/>
      <c r="G23" s="49"/>
      <c r="H23" s="49"/>
      <c r="I23" s="49"/>
      <c r="J23" s="52"/>
      <c r="K23" s="52"/>
      <c r="L23" s="53"/>
      <c r="M23" s="53"/>
      <c r="N23" s="52"/>
      <c r="O23" s="52"/>
      <c r="P23" s="53"/>
      <c r="Q23" s="53"/>
      <c r="R23" s="52"/>
      <c r="S23" s="52"/>
      <c r="T23" s="53"/>
      <c r="U23" s="53"/>
      <c r="V23" s="52"/>
      <c r="W23" s="52"/>
      <c r="X23" s="53"/>
      <c r="Y23" s="53"/>
      <c r="Z23" s="52"/>
      <c r="AA23" s="52"/>
      <c r="AB23" s="53"/>
      <c r="AC23" s="53"/>
      <c r="AD23" s="52"/>
      <c r="AE23" s="52"/>
      <c r="AF23" s="53"/>
      <c r="AG23" s="53"/>
      <c r="AH23" s="52"/>
      <c r="AI23" s="52"/>
      <c r="AJ23" s="53"/>
      <c r="AK23" s="53"/>
      <c r="AL23" s="52"/>
      <c r="AM23" s="52"/>
      <c r="AN23" s="53"/>
      <c r="AO23" s="53"/>
      <c r="AP23" s="52"/>
      <c r="AQ23" s="52"/>
      <c r="AR23" s="53"/>
      <c r="AS23" s="53"/>
      <c r="AT23" s="52"/>
      <c r="AU23" s="52"/>
      <c r="AV23" s="53"/>
      <c r="AW23" s="53"/>
      <c r="AX23" s="52"/>
      <c r="AY23" s="52"/>
      <c r="AZ23" s="53"/>
      <c r="BA23" s="53"/>
      <c r="BB23" s="52"/>
      <c r="BC23" s="52"/>
      <c r="BD23" s="53"/>
      <c r="BE23" s="53"/>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row>
    <row r="24" spans="1:603" s="55" customFormat="1" x14ac:dyDescent="0.4">
      <c r="A24" s="49"/>
      <c r="B24" s="49"/>
      <c r="C24" s="49"/>
      <c r="D24" s="49"/>
      <c r="E24" s="49"/>
      <c r="F24" s="49"/>
      <c r="G24" s="49"/>
      <c r="H24" s="49"/>
      <c r="I24" s="49"/>
      <c r="J24" s="52"/>
      <c r="K24" s="52"/>
      <c r="L24" s="53"/>
      <c r="M24" s="53"/>
      <c r="N24" s="52"/>
      <c r="O24" s="52"/>
      <c r="P24" s="53"/>
      <c r="Q24" s="53"/>
      <c r="R24" s="52"/>
      <c r="S24" s="52"/>
      <c r="T24" s="53"/>
      <c r="U24" s="53"/>
      <c r="V24" s="52"/>
      <c r="W24" s="52"/>
      <c r="X24" s="53"/>
      <c r="Y24" s="53"/>
      <c r="Z24" s="52"/>
      <c r="AA24" s="52"/>
      <c r="AB24" s="53"/>
      <c r="AC24" s="53"/>
      <c r="AD24" s="52"/>
      <c r="AE24" s="52"/>
      <c r="AF24" s="53"/>
      <c r="AG24" s="53"/>
      <c r="AH24" s="52"/>
      <c r="AI24" s="52"/>
      <c r="AJ24" s="53"/>
      <c r="AK24" s="53"/>
      <c r="AL24" s="52"/>
      <c r="AM24" s="52"/>
      <c r="AN24" s="53"/>
      <c r="AO24" s="53"/>
      <c r="AP24" s="52"/>
      <c r="AQ24" s="52"/>
      <c r="AR24" s="53"/>
      <c r="AS24" s="53"/>
      <c r="AT24" s="52"/>
      <c r="AU24" s="52"/>
      <c r="AV24" s="53"/>
      <c r="AW24" s="53"/>
      <c r="AX24" s="52"/>
      <c r="AY24" s="52"/>
      <c r="AZ24" s="53"/>
      <c r="BA24" s="53"/>
      <c r="BB24" s="52"/>
      <c r="BC24" s="52"/>
      <c r="BD24" s="53"/>
      <c r="BE24" s="53"/>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row>
    <row r="25" spans="1:603" s="56" customFormat="1" x14ac:dyDescent="0.4">
      <c r="A25" s="49"/>
      <c r="B25" s="49"/>
      <c r="C25" s="49"/>
      <c r="D25" s="49"/>
      <c r="E25" s="49"/>
      <c r="F25" s="49"/>
      <c r="G25" s="49"/>
      <c r="H25" s="49"/>
      <c r="I25" s="49"/>
      <c r="J25" s="52"/>
      <c r="K25" s="52"/>
      <c r="L25" s="53"/>
      <c r="M25" s="53"/>
      <c r="N25" s="52"/>
      <c r="O25" s="52"/>
      <c r="P25" s="53"/>
      <c r="Q25" s="53"/>
      <c r="R25" s="52"/>
      <c r="S25" s="52"/>
      <c r="T25" s="53"/>
      <c r="U25" s="53"/>
      <c r="V25" s="52"/>
      <c r="W25" s="52"/>
      <c r="X25" s="53"/>
      <c r="Y25" s="53"/>
      <c r="Z25" s="52"/>
      <c r="AA25" s="52"/>
      <c r="AB25" s="53"/>
      <c r="AC25" s="53"/>
      <c r="AD25" s="52"/>
      <c r="AE25" s="52"/>
      <c r="AF25" s="53"/>
      <c r="AG25" s="53"/>
      <c r="AH25" s="52"/>
      <c r="AI25" s="52"/>
      <c r="AJ25" s="53"/>
      <c r="AK25" s="53"/>
      <c r="AL25" s="52"/>
      <c r="AM25" s="52"/>
      <c r="AN25" s="53"/>
      <c r="AO25" s="53"/>
      <c r="AP25" s="52"/>
      <c r="AQ25" s="52"/>
      <c r="AR25" s="53"/>
      <c r="AS25" s="53"/>
      <c r="AT25" s="52"/>
      <c r="AU25" s="52"/>
      <c r="AV25" s="53"/>
      <c r="AW25" s="53"/>
      <c r="AX25" s="52"/>
      <c r="AY25" s="52"/>
      <c r="AZ25" s="53"/>
      <c r="BA25" s="53"/>
      <c r="BB25" s="52"/>
      <c r="BC25" s="52"/>
      <c r="BD25" s="53"/>
      <c r="BE25" s="53"/>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row>
    <row r="26" spans="1:603" s="56" customFormat="1" x14ac:dyDescent="0.4">
      <c r="A26" s="49"/>
      <c r="B26" s="49"/>
      <c r="C26" s="49"/>
      <c r="D26" s="49"/>
      <c r="E26" s="49"/>
      <c r="F26" s="49"/>
      <c r="G26" s="49"/>
      <c r="H26" s="49"/>
      <c r="I26" s="49"/>
      <c r="J26" s="52"/>
      <c r="K26" s="52"/>
      <c r="L26" s="53"/>
      <c r="M26" s="53"/>
      <c r="N26" s="52"/>
      <c r="O26" s="52"/>
      <c r="P26" s="53"/>
      <c r="Q26" s="53"/>
      <c r="R26" s="52"/>
      <c r="S26" s="52"/>
      <c r="T26" s="53"/>
      <c r="U26" s="53"/>
      <c r="V26" s="52"/>
      <c r="W26" s="52"/>
      <c r="X26" s="53"/>
      <c r="Y26" s="53"/>
      <c r="Z26" s="52"/>
      <c r="AA26" s="52"/>
      <c r="AB26" s="53"/>
      <c r="AC26" s="53"/>
      <c r="AD26" s="52"/>
      <c r="AE26" s="52"/>
      <c r="AF26" s="53"/>
      <c r="AG26" s="53"/>
      <c r="AH26" s="52"/>
      <c r="AI26" s="52"/>
      <c r="AJ26" s="53"/>
      <c r="AK26" s="53"/>
      <c r="AL26" s="52"/>
      <c r="AM26" s="52"/>
      <c r="AN26" s="53"/>
      <c r="AO26" s="53"/>
      <c r="AP26" s="52"/>
      <c r="AQ26" s="52"/>
      <c r="AR26" s="53"/>
      <c r="AS26" s="53"/>
      <c r="AT26" s="52"/>
      <c r="AU26" s="52"/>
      <c r="AV26" s="53"/>
      <c r="AW26" s="53"/>
      <c r="AX26" s="52"/>
      <c r="AY26" s="52"/>
      <c r="AZ26" s="53"/>
      <c r="BA26" s="53"/>
      <c r="BB26" s="52"/>
      <c r="BC26" s="52"/>
      <c r="BD26" s="53"/>
      <c r="BE26" s="53"/>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row>
    <row r="27" spans="1:603" s="56" customFormat="1" x14ac:dyDescent="0.4">
      <c r="A27" s="49"/>
      <c r="B27" s="49"/>
      <c r="C27" s="49"/>
      <c r="D27" s="49"/>
      <c r="E27" s="49"/>
      <c r="F27" s="49"/>
      <c r="G27" s="49"/>
      <c r="H27" s="49"/>
      <c r="I27" s="49"/>
      <c r="J27" s="52"/>
      <c r="K27" s="52"/>
      <c r="L27" s="53"/>
      <c r="M27" s="53"/>
      <c r="N27" s="52"/>
      <c r="O27" s="52"/>
      <c r="P27" s="53"/>
      <c r="Q27" s="53"/>
      <c r="R27" s="52"/>
      <c r="S27" s="52"/>
      <c r="T27" s="53"/>
      <c r="U27" s="53"/>
      <c r="V27" s="52"/>
      <c r="W27" s="52"/>
      <c r="X27" s="53"/>
      <c r="Y27" s="53"/>
      <c r="Z27" s="52"/>
      <c r="AA27" s="52"/>
      <c r="AB27" s="53"/>
      <c r="AC27" s="53"/>
      <c r="AD27" s="52"/>
      <c r="AE27" s="52"/>
      <c r="AF27" s="53"/>
      <c r="AG27" s="53"/>
      <c r="AH27" s="52"/>
      <c r="AI27" s="52"/>
      <c r="AJ27" s="53"/>
      <c r="AK27" s="53"/>
      <c r="AL27" s="52"/>
      <c r="AM27" s="52"/>
      <c r="AN27" s="53"/>
      <c r="AO27" s="53"/>
      <c r="AP27" s="52"/>
      <c r="AQ27" s="52"/>
      <c r="AR27" s="53"/>
      <c r="AS27" s="53"/>
      <c r="AT27" s="52"/>
      <c r="AU27" s="52"/>
      <c r="AV27" s="53"/>
      <c r="AW27" s="53"/>
      <c r="AX27" s="52"/>
      <c r="AY27" s="52"/>
      <c r="AZ27" s="53"/>
      <c r="BA27" s="53"/>
      <c r="BB27" s="52"/>
      <c r="BC27" s="52"/>
      <c r="BD27" s="53"/>
      <c r="BE27" s="53"/>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row>
  </sheetData>
  <sheetProtection algorithmName="SHA-512" hashValue="ekzA5pxbwyrew1VQuQMBPUvmiSpnINpVKBB6Sx81NSX4rvb+S4GTHj8AElxwxqZHEDO/HkKAqQzpLzKi9tQGWg==" saltValue="5EpI2874w7RiiVwh3uxiwQ==" spinCount="100000" sheet="1" objects="1" scenarios="1" formatRow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3.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30</vt:i4>
      </vt:variant>
    </vt:vector>
  </HeadingPairs>
  <TitlesOfParts>
    <vt:vector size="43" baseType="lpstr">
      <vt:lpstr>Descriptif</vt:lpstr>
      <vt:lpstr>SYNTHESE_SCL</vt:lpstr>
      <vt:lpstr>SYNTHESE_STEU</vt:lpstr>
      <vt:lpstr>Qualité</vt:lpstr>
      <vt:lpstr>Analytique</vt:lpstr>
      <vt:lpstr>PARAM</vt:lpstr>
      <vt:lpstr>SeuilsComparaison-EMT</vt:lpstr>
      <vt:lpstr>Equipements_STEU</vt:lpstr>
      <vt:lpstr>Equipements_SCL</vt:lpstr>
      <vt:lpstr>Recap_equipements</vt:lpstr>
      <vt:lpstr>Recap_reseau</vt:lpstr>
      <vt:lpstr>LimitequantificationSDE</vt:lpstr>
      <vt:lpstr>Critères</vt:lpstr>
      <vt:lpstr>Asservissement</vt:lpstr>
      <vt:lpstr>CODE_SANDRE_3</vt:lpstr>
      <vt:lpstr>CODE_SANDRE_SCL</vt:lpstr>
      <vt:lpstr>CODE_SANDRE_STEU</vt:lpstr>
      <vt:lpstr>conditions_meteo</vt:lpstr>
      <vt:lpstr>Conformité</vt:lpstr>
      <vt:lpstr>Eq_h_controle</vt:lpstr>
      <vt:lpstr>EQUIPEMENT_PREL</vt:lpstr>
      <vt:lpstr>EQUIPEMENT_Q</vt:lpstr>
      <vt:lpstr>Frequence</vt:lpstr>
      <vt:lpstr>LISTE_1</vt:lpstr>
      <vt:lpstr>LISTE_2</vt:lpstr>
      <vt:lpstr>LISTE_3</vt:lpstr>
      <vt:lpstr>LISTE_4</vt:lpstr>
      <vt:lpstr>LISTE_5</vt:lpstr>
      <vt:lpstr>LISTE_6</vt:lpstr>
      <vt:lpstr>LISTE_7</vt:lpstr>
      <vt:lpstr>Méthode</vt:lpstr>
      <vt:lpstr>Montage_sonde</vt:lpstr>
      <vt:lpstr>PLUVIO_SCL</vt:lpstr>
      <vt:lpstr>LimitequantificationSDE!Print_Area</vt:lpstr>
      <vt:lpstr>'SeuilsComparaison-EMT'!Print_Area</vt:lpstr>
      <vt:lpstr>Q_en_charge</vt:lpstr>
      <vt:lpstr>Q_en_charge_boues</vt:lpstr>
      <vt:lpstr>Q_Gravitaire</vt:lpstr>
      <vt:lpstr>Satisfaction</vt:lpstr>
      <vt:lpstr>Type_capteur</vt:lpstr>
      <vt:lpstr>Type_equipement</vt:lpstr>
      <vt:lpstr>Type_reseau</vt:lpstr>
      <vt:lpstr>TypeDeMesure</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dcterms:created xsi:type="dcterms:W3CDTF">2022-12-06T13:32:43Z</dcterms:created>
  <dcterms:modified xsi:type="dcterms:W3CDTF">2026-08-03T13:08:17Z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